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Scenario Summary" sheetId="3" state="visible" r:id="rId5"/>
    <sheet name="Model_Conservative" sheetId="4" state="visible" r:id="rId6"/>
    <sheet name="Model_Base" sheetId="5" state="visible" r:id="rId7"/>
    <sheet name="Model_Upside" sheetId="6" state="visible" r:id="rId8"/>
    <sheet name="Sensitivity" sheetId="7" state="visible" r:id="rId9"/>
    <sheet name="Celebrity Economics" sheetId="8" state="visible" r:id="rId10"/>
    <sheet name="Assumptions Register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<sst xmlns="http://schemas.openxmlformats.org/spreadsheetml/2006/main" count="1523" uniqueCount="446">
  <si>
    <t xml:space="preserve">Reserve Clinic — Driver-based financial model (proposed concept; prepared 2026-09-02)</t>
  </si>
  <si>
    <t xml:space="preserve">Purpose: illustrate the economics of a compliant premium consumer-health + telehealth + commerce model under three scenarios. Nothing here is a forecast of results; every number is an assumption or a formula on assumptions.</t>
  </si>
  <si>
    <t xml:space="preserve">How to use: edit BLUE cells on the Assumptions sheet only. Yellow-filled cells are the highest-sensitivity inputs and should be validated first (see Validation method column).</t>
  </si>
  <si>
    <t xml:space="preserve">Sheets: Scenario Summary (outputs) · Assumptions (inputs) · Assumptions Register (rationale) · Model_Conservative / Model_Base / Model_Upside (36 monthly columns) · Sensitivity (LTV:CAC, payback, price×churn grids) · Celebrity Economics (hypothetical partner structures).</t>
  </si>
  <si>
    <t xml:space="preserve">Color code: blue = input; black = formula; green = link to another sheet; yellow fill = key assumption.</t>
  </si>
  <si>
    <t xml:space="preserve">Structure caveats: prescription-program revenue is modeled as an all-in monthly program price. Whether the brand entity, the affiliated medical practice, or the pharmacy is merchant of record for medication depends on corporate-practice-of-medicine and fee-splitting analysis by counsel; revenue recognition may differ (e.g., management-fee model). Clinician prescribing rate is a clinical outcome that is monitored for safety, never targeted.</t>
  </si>
  <si>
    <t xml:space="preserve">Scenario A vs B: set 'Named-partner model active?' to 1 (Scenario A: brand-partner retainer, royalty and traffic uplift apply) or 0 (Scenario B: independent brand).</t>
  </si>
  <si>
    <t xml:space="preserve">Sources for benchmark-informed assumptions are summarized in 08_ReserveClinic_Evidence_Ledger.xlsx and research/06_market_size_benchmarks.md; each assumption's rationale is on the Assumptions sheet.</t>
  </si>
  <si>
    <t xml:space="preserve">This model is not investment, legal, medical, or tax advice.</t>
  </si>
  <si>
    <t xml:space="preserve">Reserve Clinic — Financial Model Assumptions (all values are FINANCIAL ASSUMPTIONS unless a source is cited)</t>
  </si>
  <si>
    <t xml:space="preserve">Blue = editable input. Three scenario columns drive Model_Conservative, Model_Base, Model_Upside. Change blue cells only; every other sheet recalculates. Prepared 2026-09-02; proposed concept.</t>
  </si>
  <si>
    <t xml:space="preserve">Key</t>
  </si>
  <si>
    <t xml:space="preserve">Assumption</t>
  </si>
  <si>
    <t xml:space="preserve">Unit</t>
  </si>
  <si>
    <t xml:space="preserve">Conservative</t>
  </si>
  <si>
    <t xml:space="preserve">Base</t>
  </si>
  <si>
    <t xml:space="preserve">Upside</t>
  </si>
  <si>
    <t xml:space="preserve">Rationale / source</t>
  </si>
  <si>
    <t xml:space="preserve">Confidence</t>
  </si>
  <si>
    <t xml:space="preserve">Sensitivity</t>
  </si>
  <si>
    <t xml:space="preserve">Validation method</t>
  </si>
  <si>
    <t xml:space="preserve">Timing</t>
  </si>
  <si>
    <t xml:space="preserve">launch_month</t>
  </si>
  <si>
    <t xml:space="preserve">Public launch month (model month #)</t>
  </si>
  <si>
    <t xml:space="preserve">month</t>
  </si>
  <si>
    <t xml:space="preserve">Phase plan in 06_ReserveClinic_Launch_Plan.md: Phase 0-3 precede launch; conservative adds one month of slippage.</t>
  </si>
  <si>
    <t xml:space="preserve">Medium</t>
  </si>
  <si>
    <t xml:space="preserve">High</t>
  </si>
  <si>
    <t xml:space="preserve">Phase exit criteria</t>
  </si>
  <si>
    <t xml:space="preserve">beta_month</t>
  </si>
  <si>
    <t xml:space="preserve">Private beta start month</t>
  </si>
  <si>
    <t xml:space="preserve">Phase 2 begins after internal pilot.</t>
  </si>
  <si>
    <t xml:space="preserve">Low</t>
  </si>
  <si>
    <t xml:space="preserve">Traffic</t>
  </si>
  <si>
    <t xml:space="preserve">organic_m1</t>
  </si>
  <si>
    <t xml:space="preserve">Organic + direct sessions in month 1</t>
  </si>
  <si>
    <t xml:space="preserve">sessions</t>
  </si>
  <si>
    <t xml:space="preserve">Prototype site with 20 library entries; comparable early-stage health content sites. Analyst assumption.</t>
  </si>
  <si>
    <t xml:space="preserve">GA4 after month 1</t>
  </si>
  <si>
    <t xml:space="preserve">organic_growth</t>
  </si>
  <si>
    <t xml:space="preserve">Organic monthly growth rate</t>
  </si>
  <si>
    <t xml:space="preserve">%</t>
  </si>
  <si>
    <t xml:space="preserve">Library-led SEO compounding; DTC health benchmarks show 8-15%/mo early growth from a small base (analyst inference from research/06 benchmarks).</t>
  </si>
  <si>
    <t xml:space="preserve">Search Console trend, quarterly</t>
  </si>
  <si>
    <t xml:space="preserve">organic_cap</t>
  </si>
  <si>
    <t xml:space="preserve">Organic + direct sessions ceiling per month</t>
  </si>
  <si>
    <t xml:space="preserve">Caps compounding growth; category-level informational search demand is finite (analyst inference).</t>
  </si>
  <si>
    <t xml:space="preserve">Search Console</t>
  </si>
  <si>
    <t xml:space="preserve">cps</t>
  </si>
  <si>
    <t xml:space="preserve">Cost per paid session (blended)</t>
  </si>
  <si>
    <t xml:space="preserve">$</t>
  </si>
  <si>
    <t xml:space="preserve">Health/wellness CPC and CPM proxies; Meta health-category restrictions raise cost. Analyst assumption.</t>
  </si>
  <si>
    <t xml:space="preserve">Ad platform reports</t>
  </si>
  <si>
    <t xml:space="preserve">paid_pre</t>
  </si>
  <si>
    <t xml:space="preserve">Paid media spend per month, months 1 to beta-1</t>
  </si>
  <si>
    <t xml:space="preserve">Waitlist/education ads only.</t>
  </si>
  <si>
    <t xml:space="preserve">Budget actuals</t>
  </si>
  <si>
    <t xml:space="preserve">paid_beta</t>
  </si>
  <si>
    <t xml:space="preserve">Paid media spend per month, beta to launch-1</t>
  </si>
  <si>
    <t xml:space="preserve">Waitlist building (Phase 3).</t>
  </si>
  <si>
    <t xml:space="preserve">paid_launch</t>
  </si>
  <si>
    <t xml:space="preserve">Paid media spend, launch month</t>
  </si>
  <si>
    <t xml:space="preserve">Phase 4 budget range.</t>
  </si>
  <si>
    <t xml:space="preserve">paid_post</t>
  </si>
  <si>
    <t xml:space="preserve">Paid media spend per month after launch (month launch+1)</t>
  </si>
  <si>
    <t xml:space="preserve">Phase 5 operating range; scaled by growth below.</t>
  </si>
  <si>
    <t xml:space="preserve">Payback discipline gate</t>
  </si>
  <si>
    <t xml:space="preserve">paid_growth</t>
  </si>
  <si>
    <t xml:space="preserve">Monthly growth in post-launch paid spend</t>
  </si>
  <si>
    <t xml:space="preserve">Spend grows only while payback &lt;= target.</t>
  </si>
  <si>
    <t xml:space="preserve">Monthly CAC review</t>
  </si>
  <si>
    <t xml:space="preserve">Funnel (prescription programs)</t>
  </si>
  <si>
    <t xml:space="preserve">quiz_start</t>
  </si>
  <si>
    <t xml:space="preserve">Quiz start rate (starts / sessions)</t>
  </si>
  <si>
    <t xml:space="preserve">Telehealth quiz-start benchmarks 5-10% (analyst inference).</t>
  </si>
  <si>
    <t xml:space="preserve">Analytics</t>
  </si>
  <si>
    <t xml:space="preserve">quiz_complete</t>
  </si>
  <si>
    <t xml:space="preserve">Quiz completion rate</t>
  </si>
  <si>
    <t xml:space="preserve">One-question-per-screen quizzes typically 55-75%.</t>
  </si>
  <si>
    <t xml:space="preserve">eligible_outcome</t>
  </si>
  <si>
    <t xml:space="preserve">Share of completes with an eligible outcome</t>
  </si>
  <si>
    <t xml:space="preserve">Red-flag and state screening remove 40-55%.</t>
  </si>
  <si>
    <t xml:space="preserve">state_cov_launch</t>
  </si>
  <si>
    <t xml:space="preserve">Share of US population in served states at launch</t>
  </si>
  <si>
    <t xml:space="preserve">4-6 pilot states incl. large states (TX, FL) if licensure achieved.</t>
  </si>
  <si>
    <t xml:space="preserve">State readiness tracker</t>
  </si>
  <si>
    <t xml:space="preserve">state_cov_step</t>
  </si>
  <si>
    <t xml:space="preserve">Monthly increase in population coverage after launch</t>
  </si>
  <si>
    <t xml:space="preserve">Tranche-based expansion.</t>
  </si>
  <si>
    <t xml:space="preserve">state_cov_cap</t>
  </si>
  <si>
    <t xml:space="preserve">Maximum population coverage</t>
  </si>
  <si>
    <t xml:space="preserve">Some states excluded for CPOM/async restrictions.</t>
  </si>
  <si>
    <t xml:space="preserve">Counsel memo</t>
  </si>
  <si>
    <t xml:space="preserve">intake_submit</t>
  </si>
  <si>
    <t xml:space="preserve">Intake submission rate (eligible → intake)</t>
  </si>
  <si>
    <t xml:space="preserve">ID verification and consent friction.</t>
  </si>
  <si>
    <t xml:space="preserve">consult_complete</t>
  </si>
  <si>
    <t xml:space="preserve">Consult completion rate</t>
  </si>
  <si>
    <t xml:space="preserve">Async review completes higher than video.</t>
  </si>
  <si>
    <t xml:space="preserve">EHR data</t>
  </si>
  <si>
    <t xml:space="preserve">rx_rate</t>
  </si>
  <si>
    <t xml:space="preserve">Clinician prescribing rate (clinical decision; not a target)</t>
  </si>
  <si>
    <t xml:space="preserve">Observed ranges for telehealth GLP-1/hormone programs 50-70% (third-party reports); monitored for safety only.</t>
  </si>
  <si>
    <t xml:space="preserve">Medical director audit</t>
  </si>
  <si>
    <t xml:space="preserve">enroll_rate</t>
  </si>
  <si>
    <t xml:space="preserve">Enrollment (paid) rate after prescription</t>
  </si>
  <si>
    <t xml:space="preserve">Price shock at plan stage; all-in pricing shown earlier improves this.</t>
  </si>
  <si>
    <t xml:space="preserve">Pricing</t>
  </si>
  <si>
    <t xml:space="preserve">program_price</t>
  </si>
  <si>
    <t xml:space="preserve">All-in program price per member-month (blended)</t>
  </si>
  <si>
    <t xml:space="preserve">Competitive bands in 03_Peptide_Product_and_Pricing_Audit.xlsx: compounded peptide programs ~$150-$450/mo; premium positioning.</t>
  </si>
  <si>
    <t xml:space="preserve">Van Westendorp + tests</t>
  </si>
  <si>
    <t xml:space="preserve">consult_fee</t>
  </si>
  <si>
    <t xml:space="preserve">Consultation fee (charged at intake)</t>
  </si>
  <si>
    <t xml:space="preserve">Range $0-$150 among competitors; refundable if not eligible is common.</t>
  </si>
  <si>
    <t xml:space="preserve">Pricing test</t>
  </si>
  <si>
    <t xml:space="preserve">lab_attach</t>
  </si>
  <si>
    <t xml:space="preserve">Share of new intakes ordering labs</t>
  </si>
  <si>
    <t xml:space="preserve">Programs requiring labs (hormone/metabolic).</t>
  </si>
  <si>
    <t xml:space="preserve">lab_price</t>
  </si>
  <si>
    <t xml:space="preserve">Lab panel price charged</t>
  </si>
  <si>
    <t xml:space="preserve">Direct-pay panels via lab partners.</t>
  </si>
  <si>
    <t xml:space="preserve">Vendor quotes</t>
  </si>
  <si>
    <t xml:space="preserve">member_price</t>
  </si>
  <si>
    <t xml:space="preserve">Membership price per month (education, navigation, member pricing)</t>
  </si>
  <si>
    <t xml:space="preserve">Function Health $499/yr, Superpower $199-499/yr and Lifeforce $129/mo bracket the range; Reserve Clinic tier is lighter.</t>
  </si>
  <si>
    <t xml:space="preserve">member_attach_nonelig</t>
  </si>
  <si>
    <t xml:space="preserve">Membership attach among non-eligible quiz completers</t>
  </si>
  <si>
    <t xml:space="preserve">Analyst assumption.</t>
  </si>
  <si>
    <t xml:space="preserve">member_attach_traffic</t>
  </si>
  <si>
    <t xml:space="preserve">Membership sign-ups per session (organic)</t>
  </si>
  <si>
    <t xml:space="preserve">shop_conv</t>
  </si>
  <si>
    <t xml:space="preserve">Non-Rx shop conversion (orders / sessions)</t>
  </si>
  <si>
    <t xml:space="preserve">DTC supplement conversion 0.5-1.5%.</t>
  </si>
  <si>
    <t xml:space="preserve">Shopify analytics</t>
  </si>
  <si>
    <t xml:space="preserve">shop_aov</t>
  </si>
  <si>
    <t xml:space="preserve">Non-Rx average order value</t>
  </si>
  <si>
    <t xml:space="preserve">Premium supplement/cosmetic AOV.</t>
  </si>
  <si>
    <t xml:space="preserve">shop_repeat</t>
  </si>
  <si>
    <t xml:space="preserve">Monthly reorder rate of prior shop customers</t>
  </si>
  <si>
    <t xml:space="preserve">Subscription attach on consumables.</t>
  </si>
  <si>
    <t xml:space="preserve">Retention</t>
  </si>
  <si>
    <t xml:space="preserve">rx_churn</t>
  </si>
  <si>
    <t xml:space="preserve">Monthly churn, prescription programs (blended)</t>
  </si>
  <si>
    <t xml:space="preserve">DTC health subscription churn 8-15%/mo; GLP-1 programs higher. Third-party benchmarks in research/06.</t>
  </si>
  <si>
    <t xml:space="preserve">Cohort analysis</t>
  </si>
  <si>
    <t xml:space="preserve">member_churn</t>
  </si>
  <si>
    <t xml:space="preserve">Monthly churn, membership</t>
  </si>
  <si>
    <t xml:space="preserve">Content memberships 5-8%.</t>
  </si>
  <si>
    <t xml:space="preserve">Cost of revenue</t>
  </si>
  <si>
    <t xml:space="preserve">pharm_cost</t>
  </si>
  <si>
    <t xml:space="preserve">Pharmacy/medication cost per Rx member-month</t>
  </si>
  <si>
    <t xml:space="preserve">Compounded peptide and GLP-1 wholesale-to-telehealth cost bands (third-party reports); volume tiers reduce cost.</t>
  </si>
  <si>
    <t xml:space="preserve">Pharmacy contracts</t>
  </si>
  <si>
    <t xml:space="preserve">clin_consult_cost</t>
  </si>
  <si>
    <t xml:space="preserve">Clinician cost per completed consult</t>
  </si>
  <si>
    <t xml:space="preserve">Async visit cost via provider networks ~$25-60.</t>
  </si>
  <si>
    <t xml:space="preserve">Vendor contracts</t>
  </si>
  <si>
    <t xml:space="preserve">clin_refill_cost</t>
  </si>
  <si>
    <t xml:space="preserve">Clinician cost per active Rx member-month (monitoring/refill review)</t>
  </si>
  <si>
    <t xml:space="preserve">Monthly check-in review.</t>
  </si>
  <si>
    <t xml:space="preserve">ship_cost</t>
  </si>
  <si>
    <t xml:space="preserve">Fulfillment + shipping per Rx shipment (cold chain where needed)</t>
  </si>
  <si>
    <t xml:space="preserve">Pharmacy carrier programs.</t>
  </si>
  <si>
    <t xml:space="preserve">lab_cost</t>
  </si>
  <si>
    <t xml:space="preserve">Lab panel cost</t>
  </si>
  <si>
    <t xml:space="preserve">Direct-pay lab wholesale.</t>
  </si>
  <si>
    <t xml:space="preserve">pay_fee</t>
  </si>
  <si>
    <t xml:space="preserve">Payment processing fee (% of revenue)</t>
  </si>
  <si>
    <t xml:space="preserve">Card fees 2.7-3.2% + fixed; high-risk processors cost more.</t>
  </si>
  <si>
    <t xml:space="preserve">Processor statements</t>
  </si>
  <si>
    <t xml:space="preserve">refund_pct</t>
  </si>
  <si>
    <t xml:space="preserve">Refunds and chargebacks (% of revenue)</t>
  </si>
  <si>
    <t xml:space="preserve">Benchmark 2-5%.</t>
  </si>
  <si>
    <t xml:space="preserve">Finance actuals</t>
  </si>
  <si>
    <t xml:space="preserve">support_cost</t>
  </si>
  <si>
    <t xml:space="preserve">Support cost per active member-month (non-clinical)</t>
  </si>
  <si>
    <t xml:space="preserve">Tooling + staffing per member.</t>
  </si>
  <si>
    <t xml:space="preserve">Support actuals</t>
  </si>
  <si>
    <t xml:space="preserve">shop_cogs_pct</t>
  </si>
  <si>
    <t xml:space="preserve">Non-Rx product COGS (% of revenue)</t>
  </si>
  <si>
    <t xml:space="preserve">Premium supplements 30-40%.</t>
  </si>
  <si>
    <t xml:space="preserve">Supplier quotes</t>
  </si>
  <si>
    <t xml:space="preserve">shop_fulfil</t>
  </si>
  <si>
    <t xml:space="preserve">Non-Rx fulfillment per order</t>
  </si>
  <si>
    <t xml:space="preserve">3PL pick/pack/ship.</t>
  </si>
  <si>
    <t xml:space="preserve">3PL quotes</t>
  </si>
  <si>
    <t xml:space="preserve">member_cogs</t>
  </si>
  <si>
    <t xml:space="preserve">Membership delivery cost per member-month</t>
  </si>
  <si>
    <t xml:space="preserve">Platform + content amortization.</t>
  </si>
  <si>
    <t xml:space="preserve">Actuals</t>
  </si>
  <si>
    <t xml:space="preserve">Operating expenses (monthly, fully loaded)</t>
  </si>
  <si>
    <t xml:space="preserve">team_p0</t>
  </si>
  <si>
    <t xml:space="preserve">Team cost per month, months 1-3</t>
  </si>
  <si>
    <t xml:space="preserve">GM, product lead, compliance (fractional), engineering contractors.</t>
  </si>
  <si>
    <t xml:space="preserve">Hiring plan</t>
  </si>
  <si>
    <t xml:space="preserve">team_p1</t>
  </si>
  <si>
    <t xml:space="preserve">Team cost per month, month 4 to launch-1</t>
  </si>
  <si>
    <t xml:space="preserve">Adds content, support, ops.</t>
  </si>
  <si>
    <t xml:space="preserve">team_p2</t>
  </si>
  <si>
    <t xml:space="preserve">Team cost per month, launch to month 12</t>
  </si>
  <si>
    <t xml:space="preserve">Growth, support scaling.</t>
  </si>
  <si>
    <t xml:space="preserve">team_p3</t>
  </si>
  <si>
    <t xml:space="preserve">Team cost per month, months 13-24</t>
  </si>
  <si>
    <t xml:space="preserve">team_p4</t>
  </si>
  <si>
    <t xml:space="preserve">Team cost per month, months 25-36</t>
  </si>
  <si>
    <t xml:space="preserve">med_lead</t>
  </si>
  <si>
    <t xml:space="preserve">Medical leadership (medical director + advisory) per month</t>
  </si>
  <si>
    <t xml:space="preserve">Fractional medical director retainers $10-25k/mo (analyst inference); compensation never tied to Rx volume.</t>
  </si>
  <si>
    <t xml:space="preserve">Agreement</t>
  </si>
  <si>
    <t xml:space="preserve">tech_pre</t>
  </si>
  <si>
    <t xml:space="preserve">Technology &amp; software per month, pre-launch</t>
  </si>
  <si>
    <t xml:space="preserve">Vendor sandboxes, CMS, analytics, CMP.</t>
  </si>
  <si>
    <t xml:space="preserve">tech_post</t>
  </si>
  <si>
    <t xml:space="preserve">Technology &amp; software per month, post-launch</t>
  </si>
  <si>
    <t xml:space="preserve">Telehealth/EHR platform fees, Shopify, Stripe, warehouse, support tools.</t>
  </si>
  <si>
    <t xml:space="preserve">build_capex</t>
  </si>
  <si>
    <t xml:space="preserve">Site &amp; portal build per month, months 1-4 (one-time)</t>
  </si>
  <si>
    <t xml:space="preserve">Option C build $150-300k in 05_ReserveClinic_Website_Strategy.md.</t>
  </si>
  <si>
    <t xml:space="preserve">SOW</t>
  </si>
  <si>
    <t xml:space="preserve">legal_p0</t>
  </si>
  <si>
    <t xml:space="preserve">Legal, regulatory &amp; compliance per month, months 1-3</t>
  </si>
  <si>
    <t xml:space="preserve">Structuring, CPOM memos, formulary review, trademark, contracts.</t>
  </si>
  <si>
    <t xml:space="preserve">Counsel estimates</t>
  </si>
  <si>
    <t xml:space="preserve">legal_post</t>
  </si>
  <si>
    <t xml:space="preserve">Legal &amp; compliance per month thereafter</t>
  </si>
  <si>
    <t xml:space="preserve">Ongoing review, state expansion, claims review.</t>
  </si>
  <si>
    <t xml:space="preserve">insurance</t>
  </si>
  <si>
    <t xml:space="preserve">Insurance per month (from launch)</t>
  </si>
  <si>
    <t xml:space="preserve">Professional, product, cyber, D&amp;O.</t>
  </si>
  <si>
    <t xml:space="preserve">Broker quotes</t>
  </si>
  <si>
    <t xml:space="preserve">creative_pre</t>
  </si>
  <si>
    <t xml:space="preserve">Creative &amp; content production per month, pre-launch</t>
  </si>
  <si>
    <t xml:space="preserve">Library, video series, photography.</t>
  </si>
  <si>
    <t xml:space="preserve">Agency quotes</t>
  </si>
  <si>
    <t xml:space="preserve">creative_post</t>
  </si>
  <si>
    <t xml:space="preserve">Creative &amp; content production per month, post-launch</t>
  </si>
  <si>
    <t xml:space="preserve">launch_pr</t>
  </si>
  <si>
    <t xml:space="preserve">Launch PR/events one-time (launch month)</t>
  </si>
  <si>
    <t xml:space="preserve">Phase 4 budget.</t>
  </si>
  <si>
    <t xml:space="preserve">influ_pre</t>
  </si>
  <si>
    <t xml:space="preserve">Influencer/affiliate per month, beta to launch-1</t>
  </si>
  <si>
    <t xml:space="preserve">Disclosed creator seeding.</t>
  </si>
  <si>
    <t xml:space="preserve">Contracts</t>
  </si>
  <si>
    <t xml:space="preserve">influ_post</t>
  </si>
  <si>
    <t xml:space="preserve">Influencer/affiliate per month, post-launch</t>
  </si>
  <si>
    <t xml:space="preserve">Principal (celebrity) economics — hypothetical; no terms offered or accepted</t>
  </si>
  <si>
    <t xml:space="preserve">named_partner</t>
  </si>
  <si>
    <t xml:space="preserve">Named-partner model active? (1 = Scenario A, 0 = Scenario B)</t>
  </si>
  <si>
    <t xml:space="preserve">flag</t>
  </si>
  <si>
    <t xml:space="preserve">Toggle to compare Scenario A vs B. Set to 0 for the independent-brand model.</t>
  </si>
  <si>
    <t xml:space="preserve">n/a</t>
  </si>
  <si>
    <t xml:space="preserve">Founder decision</t>
  </si>
  <si>
    <t xml:space="preserve">celeb_cash</t>
  </si>
  <si>
    <t xml:space="preserve">Brand partner cash retainer per month (from beta month)</t>
  </si>
  <si>
    <t xml:space="preserve">Hypothetical mixed structure; see Celebrity Economics sheet for alternatives.</t>
  </si>
  <si>
    <t xml:space="preserve">Negotiation</t>
  </si>
  <si>
    <t xml:space="preserve">celeb_royalty</t>
  </si>
  <si>
    <t xml:space="preserve">Brand partner royalty (% of net revenue)</t>
  </si>
  <si>
    <t xml:space="preserve">Hypothetical; licensing royalties in consumer brands commonly 3-10% (third-party reports).</t>
  </si>
  <si>
    <t xml:space="preserve">celeb_equity</t>
  </si>
  <si>
    <t xml:space="preserve">Brand partner equity (% fully diluted; non-cash, for reference)</t>
  </si>
  <si>
    <t xml:space="preserve">Hypothetical.</t>
  </si>
  <si>
    <t xml:space="preserve">celeb_lift</t>
  </si>
  <si>
    <t xml:space="preserve">Traffic uplift multiplier when named-partner model is active (post-launch organic/direct)</t>
  </si>
  <si>
    <t xml:space="preserve">x</t>
  </si>
  <si>
    <t xml:space="preserve">Celebrity-founded brands show launch-window demand spikes (see 04_Celebrity_Founder_Database.xlsx lessons); durability uncertain.</t>
  </si>
  <si>
    <t xml:space="preserve">Brand-lift study</t>
  </si>
  <si>
    <t xml:space="preserve">Working capital</t>
  </si>
  <si>
    <t xml:space="preserve">inv_months</t>
  </si>
  <si>
    <t xml:space="preserve">Non-Rx inventory on hand (months of COGS)</t>
  </si>
  <si>
    <t xml:space="preserve">months</t>
  </si>
  <si>
    <t xml:space="preserve">Initial stock.</t>
  </si>
  <si>
    <t xml:space="preserve">Ops</t>
  </si>
  <si>
    <t xml:space="preserve">opening_cash</t>
  </si>
  <si>
    <t xml:space="preserve">Opening cash (for cash-balance line; capital requirement computed separately)</t>
  </si>
  <si>
    <t xml:space="preserve">Set to committed capital once known.</t>
  </si>
  <si>
    <t xml:space="preserve">Cap table</t>
  </si>
  <si>
    <t xml:space="preserve">Legend: yellow fill = high-sensitivity assumption to validate first. Scenario columns are independent; edit any of them.</t>
  </si>
  <si>
    <t xml:space="preserve">Reserve Clinic — Scenario summary (all cells link to model sheets; green = cross-sheet link)</t>
  </si>
  <si>
    <t xml:space="preserve">Proposed concept. Outputs are projections from labeled assumptions, not forecasts of results. Break-even = first month with positive EBITDA; capital required = most negative cumulative cash flow plus 15% contingency.</t>
  </si>
  <si>
    <t xml:space="preserve">Metric</t>
  </si>
  <si>
    <t xml:space="preserve">Year 1 net revenue</t>
  </si>
  <si>
    <t xml:space="preserve">Year 2 net revenue</t>
  </si>
  <si>
    <t xml:space="preserve">Year 3 net revenue</t>
  </si>
  <si>
    <t xml:space="preserve">Year 1 gross profit</t>
  </si>
  <si>
    <t xml:space="preserve">Year 2 gross profit</t>
  </si>
  <si>
    <t xml:space="preserve">Year 3 gross profit</t>
  </si>
  <si>
    <t xml:space="preserve">Year 1 EBITDA</t>
  </si>
  <si>
    <t xml:space="preserve">Year 2 EBITDA</t>
  </si>
  <si>
    <t xml:space="preserve">Year 3 EBITDA</t>
  </si>
  <si>
    <t xml:space="preserve">Year 3 gross margin %</t>
  </si>
  <si>
    <t xml:space="preserve">Active Rx members, month 12</t>
  </si>
  <si>
    <t xml:space="preserve">#</t>
  </si>
  <si>
    <t xml:space="preserve">Active Rx members, month 24</t>
  </si>
  <si>
    <t xml:space="preserve">Active Rx members, month 36</t>
  </si>
  <si>
    <t xml:space="preserve">Active members (membership), month 36</t>
  </si>
  <si>
    <t xml:space="preserve">Total sessions, 36 months</t>
  </si>
  <si>
    <t xml:space="preserve">Blended CAC, month 12</t>
  </si>
  <si>
    <t xml:space="preserve">CAC per Rx member, month 12</t>
  </si>
  <si>
    <t xml:space="preserve">CAC per Rx member, month 24</t>
  </si>
  <si>
    <t xml:space="preserve">Contribution per Rx member-month</t>
  </si>
  <si>
    <t xml:space="preserve">LTV (contribution-based)</t>
  </si>
  <si>
    <t xml:space="preserve">LTV : CAC, month 24</t>
  </si>
  <si>
    <t xml:space="preserve">CAC payback, month 24 (months)</t>
  </si>
  <si>
    <t xml:space="preserve">Net revenue per active customer, month 36</t>
  </si>
  <si>
    <t xml:space="preserve">Break-even month (first positive EBITDA)</t>
  </si>
  <si>
    <t xml:space="preserve">Peak cumulative cash burn</t>
  </si>
  <si>
    <t xml:space="preserve">Capital required (peak burn + 15% contingency)</t>
  </si>
  <si>
    <t xml:space="preserve">Cumulative cash flow, month 36</t>
  </si>
  <si>
    <t xml:space="preserve">Brand partner cash + royalty paid, 36 months</t>
  </si>
  <si>
    <t xml:space="preserve">Reserve Clinic monthly model — Conservative scenario (all cells are formulas driven by the Assumptions sheet)</t>
  </si>
  <si>
    <t xml:space="preserve">Units: $ unless noted. Month 1 = start of Phase 0. Prescription programs run through an affiliated medical practice and licensed pharmacies; revenue recognition and merchant-of-record structure subject to counsel.</t>
  </si>
  <si>
    <t xml:space="preserve">Line</t>
  </si>
  <si>
    <t xml:space="preserve">36-mo total</t>
  </si>
  <si>
    <t xml:space="preserve">Timing &amp; coverage</t>
  </si>
  <si>
    <t xml:space="preserve">Model month</t>
  </si>
  <si>
    <t xml:space="preserve">Pre-beta phase flag</t>
  </si>
  <si>
    <t xml:space="preserve">Beta/waitlist phase flag</t>
  </si>
  <si>
    <t xml:space="preserve">Launch month flag</t>
  </si>
  <si>
    <t xml:space="preserve">Post-launch flag (incl. launch month)</t>
  </si>
  <si>
    <t xml:space="preserve">Population coverage of served states (Rx)</t>
  </si>
  <si>
    <t xml:space="preserve">Paid media spend</t>
  </si>
  <si>
    <t xml:space="preserve">Paid sessions</t>
  </si>
  <si>
    <t xml:space="preserve">Organic + direct sessions</t>
  </si>
  <si>
    <t xml:space="preserve">Total sessions</t>
  </si>
  <si>
    <t xml:space="preserve">Prescription-program funnel (clinical decisions are independent; rates are monitored, not targeted)</t>
  </si>
  <si>
    <t xml:space="preserve">Eligibility quiz starts</t>
  </si>
  <si>
    <t xml:space="preserve">Quiz completions</t>
  </si>
  <si>
    <t xml:space="preserve">Eligible outcomes (screen + state)</t>
  </si>
  <si>
    <t xml:space="preserve">Intakes submitted (consult fee charged)</t>
  </si>
  <si>
    <t xml:space="preserve">Consults completed</t>
  </si>
  <si>
    <t xml:space="preserve">Prescriptions issued (clinician decision)</t>
  </si>
  <si>
    <t xml:space="preserve">New paying Rx program members</t>
  </si>
  <si>
    <t xml:space="preserve">Active Rx program members (end of month)</t>
  </si>
  <si>
    <t xml:space="preserve">Rx members churned</t>
  </si>
  <si>
    <t xml:space="preserve">Lab panels ordered</t>
  </si>
  <si>
    <t xml:space="preserve">Membership and non-prescription commerce</t>
  </si>
  <si>
    <t xml:space="preserve">New membership sign-ups</t>
  </si>
  <si>
    <t xml:space="preserve">Active members (end of month)</t>
  </si>
  <si>
    <t xml:space="preserve">Members churned</t>
  </si>
  <si>
    <t xml:space="preserve">Non-Rx first orders</t>
  </si>
  <si>
    <t xml:space="preserve">Cumulative non-Rx customers</t>
  </si>
  <si>
    <t xml:space="preserve">Non-Rx repeat orders</t>
  </si>
  <si>
    <t xml:space="preserve">Total non-Rx orders</t>
  </si>
  <si>
    <t xml:space="preserve">Revenue</t>
  </si>
  <si>
    <t xml:space="preserve">Rx program revenue (all-in monthly)</t>
  </si>
  <si>
    <t xml:space="preserve">Consultation revenue</t>
  </si>
  <si>
    <t xml:space="preserve">Lab revenue</t>
  </si>
  <si>
    <t xml:space="preserve">Membership revenue</t>
  </si>
  <si>
    <t xml:space="preserve">Non-Rx commerce revenue</t>
  </si>
  <si>
    <t xml:space="preserve">Gross revenue</t>
  </si>
  <si>
    <t xml:space="preserve">Refunds &amp; chargebacks</t>
  </si>
  <si>
    <t xml:space="preserve">Net revenue</t>
  </si>
  <si>
    <t xml:space="preserve">Pharmacy / medication</t>
  </si>
  <si>
    <t xml:space="preserve">Clinical (consults + monitoring)</t>
  </si>
  <si>
    <t xml:space="preserve">Lab costs</t>
  </si>
  <si>
    <t xml:space="preserve">Rx fulfillment &amp; shipping</t>
  </si>
  <si>
    <t xml:space="preserve">Non-Rx COGS + fulfillment</t>
  </si>
  <si>
    <t xml:space="preserve">Membership delivery</t>
  </si>
  <si>
    <t xml:space="preserve">Payment processing</t>
  </si>
  <si>
    <t xml:space="preserve">Customer support (variable)</t>
  </si>
  <si>
    <t xml:space="preserve">Total cost of revenue</t>
  </si>
  <si>
    <t xml:space="preserve">Gross profit</t>
  </si>
  <si>
    <t xml:space="preserve">Gross margin %</t>
  </si>
  <si>
    <t xml:space="preserve">Acquisition and contribution</t>
  </si>
  <si>
    <t xml:space="preserve">Paid media</t>
  </si>
  <si>
    <t xml:space="preserve">Influencer &amp; affiliate</t>
  </si>
  <si>
    <t xml:space="preserve">Launch PR/events (one-time)</t>
  </si>
  <si>
    <t xml:space="preserve">Brand partner cash retainer (Scenario A only)</t>
  </si>
  <si>
    <t xml:space="preserve">Brand partner royalty (Scenario A only)</t>
  </si>
  <si>
    <t xml:space="preserve">Total acquisition &amp; partner cost</t>
  </si>
  <si>
    <t xml:space="preserve">Contribution margin</t>
  </si>
  <si>
    <t xml:space="preserve">New paying customers (Rx + members + first shop orders)</t>
  </si>
  <si>
    <t xml:space="preserve">Blended CAC (acquisition cost / new paying customers)</t>
  </si>
  <si>
    <t xml:space="preserve">CAC per new Rx member (all acquisition cost allocated to Rx)</t>
  </si>
  <si>
    <t xml:space="preserve">Operating expenses</t>
  </si>
  <si>
    <t xml:space="preserve">Team (fully loaded)</t>
  </si>
  <si>
    <t xml:space="preserve">Medical leadership &amp; governance</t>
  </si>
  <si>
    <t xml:space="preserve">Technology &amp; software</t>
  </si>
  <si>
    <t xml:space="preserve">Site &amp; portal build (one-time)</t>
  </si>
  <si>
    <t xml:space="preserve">Legal, regulatory &amp; compliance</t>
  </si>
  <si>
    <t xml:space="preserve">Insurance</t>
  </si>
  <si>
    <t xml:space="preserve">Creative &amp; content production</t>
  </si>
  <si>
    <t xml:space="preserve">Total operating expenses</t>
  </si>
  <si>
    <t xml:space="preserve">Profitability and cash</t>
  </si>
  <si>
    <t xml:space="preserve">EBITDA / operating profit (loss)</t>
  </si>
  <si>
    <t xml:space="preserve">Working capital investment (non-Rx inventory)</t>
  </si>
  <si>
    <t xml:space="preserve">Net cash flow</t>
  </si>
  <si>
    <t xml:space="preserve">Cumulative cash flow</t>
  </si>
  <si>
    <t xml:space="preserve">Cash balance (opening cash + cumulative)</t>
  </si>
  <si>
    <t xml:space="preserve">Break-even helper (month # if EBITDA &gt; 0, else 999)</t>
  </si>
  <si>
    <t xml:space="preserve">Unit economics (steady-state view, per active Rx member)</t>
  </si>
  <si>
    <t xml:space="preserve">Revenue per active Rx member-month</t>
  </si>
  <si>
    <t xml:space="preserve">Contribution per Rx member-month before acquisition</t>
  </si>
  <si>
    <t xml:space="preserve">LTV (contribution-based) = contribution / churn</t>
  </si>
  <si>
    <t xml:space="preserve">LTV : CAC (Rx)</t>
  </si>
  <si>
    <t xml:space="preserve">CAC payback (months)</t>
  </si>
  <si>
    <t xml:space="preserve">Net revenue per active customer (Rx + membership)</t>
  </si>
  <si>
    <t xml:space="preserve">Reserve Clinic monthly model — Base scenario (all cells are formulas driven by the Assumptions sheet)</t>
  </si>
  <si>
    <t xml:space="preserve">Reserve Clinic monthly model — Upside scenario (all cells are formulas driven by the Assumptions sheet)</t>
  </si>
  <si>
    <t xml:space="preserve">Sensitivity analysis (Base scenario inputs; formulas recalculate when Assumptions change)</t>
  </si>
  <si>
    <t xml:space="preserve">Table 1: LTV:CAC as a function of monthly Rx churn (rows) and CAC per Rx member (columns). Table 2: CAC payback months. Table 3: Year-3 Rx program revenue vs price and churn (steady-state approximation: month-36 new members / churn × price × 12).</t>
  </si>
  <si>
    <t xml:space="preserve">Table 1 — LTV : CAC (contribution-based LTV = contribution per member-month / churn)</t>
  </si>
  <si>
    <t xml:space="preserve">Churn ↓ / CAC →</t>
  </si>
  <si>
    <t xml:space="preserve">Table 2 — CAC payback (months) = CAC / contribution per member-month</t>
  </si>
  <si>
    <t xml:space="preserve">Table 3 — Steady-state annual Rx program revenue ($) = (Base month-36 new Rx members / churn) × price × 12</t>
  </si>
  <si>
    <t xml:space="preserve">Churn ↓ / Price →</t>
  </si>
  <si>
    <t xml:space="preserve">Table 4 — Single-variable sensitivity (Base): what each high-sensitivity input must be for LTV:CAC = 3.0 at the month-24 Base CAC</t>
  </si>
  <si>
    <t xml:space="preserve">Month-24 Base CAC per Rx member</t>
  </si>
  <si>
    <t xml:space="preserve">Required contribution per member-month at Base churn for LTV:CAC = 3</t>
  </si>
  <si>
    <t xml:space="preserve">Current Base contribution per member-month</t>
  </si>
  <si>
    <t xml:space="preserve">Maximum monthly churn for LTV:CAC = 3 at current contribution</t>
  </si>
  <si>
    <t xml:space="preserve">Maximum CAC for LTV:CAC = 3 at current contribution and churn</t>
  </si>
  <si>
    <t xml:space="preserve">Hypothetical brand-partner compensation structures (no terms have been offered, discussed, or accepted)</t>
  </si>
  <si>
    <t xml:space="preserve">Uses Base-scenario net revenue. Equity value is illustrative and depends on an assumed exit multiple; it is not a valuation. All structures require FTC material-connection disclosure and counsel review of NIL, exclusivity, morality, and termination terms.</t>
  </si>
  <si>
    <t xml:space="preserve">Inputs</t>
  </si>
  <si>
    <t xml:space="preserve">Base net revenue, year 1</t>
  </si>
  <si>
    <t xml:space="preserve">Base net revenue, year 2</t>
  </si>
  <si>
    <t xml:space="preserve">Base net revenue, year 3</t>
  </si>
  <si>
    <t xml:space="preserve">Illustrative year-3 revenue multiple for equity value (assumption)</t>
  </si>
  <si>
    <t xml:space="preserve">Structure 1 — Cash only: annual retainer</t>
  </si>
  <si>
    <t xml:space="preserve">Structure 2 — Equity only: fully diluted %</t>
  </si>
  <si>
    <t xml:space="preserve">Structure 3 — Royalty only: % of net revenue</t>
  </si>
  <si>
    <t xml:space="preserve">Structure 4 — Mixed: annual cash retainer</t>
  </si>
  <si>
    <t xml:space="preserve">Structure 4 — Mixed: royalty % of net revenue</t>
  </si>
  <si>
    <t xml:space="preserve">Structure 4 — Mixed: equity % (fully diluted)</t>
  </si>
  <si>
    <t xml:space="preserve">Structure 5 — Performance: royalty % above revenue hurdle</t>
  </si>
  <si>
    <t xml:space="preserve">Structure 5 — Performance: annual net revenue hurdle</t>
  </si>
  <si>
    <t xml:space="preserve">Illustrative partner economics by structure</t>
  </si>
  <si>
    <t xml:space="preserve">Structure</t>
  </si>
  <si>
    <t xml:space="preserve">Year 1 cash</t>
  </si>
  <si>
    <t xml:space="preserve">Year 2 cash</t>
  </si>
  <si>
    <t xml:space="preserve">Year 3 cash</t>
  </si>
  <si>
    <t xml:space="preserve">3-yr cash total</t>
  </si>
  <si>
    <t xml:space="preserve">Illustrative equity value at yr-3 multiple</t>
  </si>
  <si>
    <t xml:space="preserve">3-yr total value</t>
  </si>
  <si>
    <t xml:space="preserve">Cash cost as % of 3-yr revenue</t>
  </si>
  <si>
    <t xml:space="preserve">1. Cash retainer only</t>
  </si>
  <si>
    <t xml:space="preserve">2. Equity only</t>
  </si>
  <si>
    <t xml:space="preserve">3. Royalty only</t>
  </si>
  <si>
    <t xml:space="preserve">4. Mixed (cash + royalty + equity)</t>
  </si>
  <si>
    <t xml:space="preserve">5. Performance royalty above hurdle</t>
  </si>
  <si>
    <t xml:space="preserve">Reading this table: cash-heavy structures front-load risk onto the company before demand is proven; royalty and equity structures align incentives but dilute margin or ownership. A mixed structure with a modest retainer, a capped royalty, and vesting equity tied to deliverables (content days, launch obligations) is the analyst's recommended starting point, subject to negotiation and counsel. Independent of structure: medical decisions must be insulated from partner influence, and disclosure of ownership/compensation is required in endorsements.</t>
  </si>
  <si>
    <t xml:space="preserve">Assumptions register (links to the Assumptions sheet; edit values there)</t>
  </si>
  <si>
    <t xml:space="preserve">Base value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</si>
</sst>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.0%"/>
    <numFmt numFmtId="167" formatCode="\$#,##0;&quot;($&quot;#,##0\);\-"/>
    <numFmt numFmtId="168" formatCode="#,##0.00"/>
    <numFmt numFmtId="169" formatCode="0.0"/>
    <numFmt numFmtId="170" formatCode="#,##0;\(#,##0\);\-"/>
    <numFmt numFmtId="171" formatCode="0.0\x"/>
    <numFmt numFmtId="172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8"/>
      <color rgb="FF777777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D33"/>
        <bgColor rgb="FF333300"/>
      </patternFill>
    </fill>
    <fill>
      <patternFill patternType="solid">
        <fgColor rgb="FFE8EFEA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E8EF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D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3" customFormat="false" ht="45" hidden="false" customHeight="true" outlineLevel="0" collapsed="false">
      <c r="A3" s="2" t="s">
        <v>1</v>
      </c>
    </row>
    <row r="4" customFormat="false" ht="45" hidden="false" customHeight="true" outlineLevel="0" collapsed="false">
      <c r="A4" s="2" t="s">
        <v>2</v>
      </c>
    </row>
    <row r="5" customFormat="false" ht="45" hidden="false" customHeight="true" outlineLevel="0" collapsed="false">
      <c r="A5" s="2" t="s">
        <v>3</v>
      </c>
    </row>
    <row r="6" customFormat="false" ht="45" hidden="false" customHeight="true" outlineLevel="0" collapsed="false">
      <c r="A6" s="2" t="s">
        <v>4</v>
      </c>
    </row>
    <row r="7" customFormat="false" ht="45" hidden="false" customHeight="true" outlineLevel="0" collapsed="false">
      <c r="A7" s="2" t="s">
        <v>5</v>
      </c>
    </row>
    <row r="8" customFormat="false" ht="45" hidden="false" customHeight="true" outlineLevel="0" collapsed="false">
      <c r="A8" s="2" t="s">
        <v>6</v>
      </c>
    </row>
    <row r="9" customFormat="false" ht="45" hidden="false" customHeight="true" outlineLevel="0" collapsed="false">
      <c r="A9" s="2" t="s">
        <v>7</v>
      </c>
    </row>
    <row r="10" customFormat="false" ht="45" hidden="false" customHeight="true" outlineLevel="0" collapsed="false">
      <c r="A10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9"/>
    <col collapsed="false" customWidth="true" hidden="false" outlineLevel="0" max="6" min="4" style="0" width="14"/>
    <col collapsed="false" customWidth="true" hidden="false" outlineLevel="0" max="7" min="7" style="0" width="70"/>
    <col collapsed="false" customWidth="true" hidden="false" outlineLevel="0" max="9" min="8" style="0" width="11"/>
    <col collapsed="false" customWidth="true" hidden="false" outlineLevel="0" max="10" min="10" style="0" width="24"/>
  </cols>
  <sheetData>
    <row r="1" customFormat="false" ht="17.35" hidden="false" customHeight="false" outlineLevel="0" collapsed="false">
      <c r="A1" s="1" t="s">
        <v>9</v>
      </c>
    </row>
    <row r="2" customFormat="false" ht="15" hidden="false" customHeight="false" outlineLevel="0" collapsed="false">
      <c r="A2" s="3" t="s">
        <v>10</v>
      </c>
    </row>
    <row r="4" customFormat="false" ht="15" hidden="false" customHeight="false" outlineLevel="0" collapsed="false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</row>
    <row r="5" customFormat="false" ht="15" hidden="false" customHeight="false" outlineLevel="0" collapsed="false">
      <c r="A5" s="5" t="s">
        <v>21</v>
      </c>
      <c r="B5" s="6"/>
      <c r="C5" s="6"/>
      <c r="D5" s="6"/>
      <c r="E5" s="6"/>
      <c r="F5" s="6"/>
      <c r="G5" s="6"/>
      <c r="H5" s="6"/>
      <c r="I5" s="6"/>
      <c r="J5" s="6"/>
    </row>
    <row r="6" customFormat="false" ht="15" hidden="false" customHeight="false" outlineLevel="0" collapsed="false">
      <c r="A6" s="7" t="s">
        <v>22</v>
      </c>
      <c r="B6" s="8" t="s">
        <v>23</v>
      </c>
      <c r="C6" s="8" t="s">
        <v>24</v>
      </c>
      <c r="D6" s="9" t="n">
        <v>9</v>
      </c>
      <c r="E6" s="9" t="n">
        <v>8</v>
      </c>
      <c r="F6" s="9" t="n">
        <v>7</v>
      </c>
      <c r="G6" s="10" t="s">
        <v>25</v>
      </c>
      <c r="H6" s="8" t="s">
        <v>26</v>
      </c>
      <c r="I6" s="8" t="s">
        <v>27</v>
      </c>
      <c r="J6" s="10" t="s">
        <v>28</v>
      </c>
    </row>
    <row r="7" customFormat="false" ht="15" hidden="false" customHeight="false" outlineLevel="0" collapsed="false">
      <c r="A7" s="7" t="s">
        <v>29</v>
      </c>
      <c r="B7" s="8" t="s">
        <v>30</v>
      </c>
      <c r="C7" s="8" t="s">
        <v>24</v>
      </c>
      <c r="D7" s="11" t="n">
        <v>6</v>
      </c>
      <c r="E7" s="11" t="n">
        <v>5</v>
      </c>
      <c r="F7" s="11" t="n">
        <v>5</v>
      </c>
      <c r="G7" s="10" t="s">
        <v>31</v>
      </c>
      <c r="H7" s="8" t="s">
        <v>26</v>
      </c>
      <c r="I7" s="8" t="s">
        <v>32</v>
      </c>
      <c r="J7" s="10" t="s">
        <v>28</v>
      </c>
    </row>
    <row r="8" customFormat="false" ht="15" hidden="false" customHeight="false" outlineLevel="0" collapsed="false">
      <c r="A8" s="5" t="s">
        <v>33</v>
      </c>
      <c r="B8" s="6"/>
      <c r="C8" s="6"/>
      <c r="D8" s="6"/>
      <c r="E8" s="6"/>
      <c r="F8" s="6"/>
      <c r="G8" s="6"/>
      <c r="H8" s="6"/>
      <c r="I8" s="6"/>
      <c r="J8" s="6"/>
    </row>
    <row r="9" customFormat="false" ht="15" hidden="false" customHeight="false" outlineLevel="0" collapsed="false">
      <c r="A9" s="7" t="s">
        <v>34</v>
      </c>
      <c r="B9" s="8" t="s">
        <v>35</v>
      </c>
      <c r="C9" s="8" t="s">
        <v>36</v>
      </c>
      <c r="D9" s="11" t="n">
        <v>1500</v>
      </c>
      <c r="E9" s="11" t="n">
        <v>2500</v>
      </c>
      <c r="F9" s="11" t="n">
        <v>4000</v>
      </c>
      <c r="G9" s="10" t="s">
        <v>37</v>
      </c>
      <c r="H9" s="8" t="s">
        <v>32</v>
      </c>
      <c r="I9" s="8" t="s">
        <v>26</v>
      </c>
      <c r="J9" s="10" t="s">
        <v>38</v>
      </c>
    </row>
    <row r="10" customFormat="false" ht="15" hidden="false" customHeight="false" outlineLevel="0" collapsed="false">
      <c r="A10" s="7" t="s">
        <v>39</v>
      </c>
      <c r="B10" s="8" t="s">
        <v>40</v>
      </c>
      <c r="C10" s="8" t="s">
        <v>41</v>
      </c>
      <c r="D10" s="12" t="n">
        <v>0.07</v>
      </c>
      <c r="E10" s="12" t="n">
        <v>0.09</v>
      </c>
      <c r="F10" s="12" t="n">
        <v>0.11</v>
      </c>
      <c r="G10" s="10" t="s">
        <v>42</v>
      </c>
      <c r="H10" s="8" t="s">
        <v>32</v>
      </c>
      <c r="I10" s="8" t="s">
        <v>27</v>
      </c>
      <c r="J10" s="10" t="s">
        <v>43</v>
      </c>
    </row>
    <row r="11" customFormat="false" ht="15" hidden="false" customHeight="false" outlineLevel="0" collapsed="false">
      <c r="A11" s="7" t="s">
        <v>44</v>
      </c>
      <c r="B11" s="8" t="s">
        <v>45</v>
      </c>
      <c r="C11" s="8" t="s">
        <v>36</v>
      </c>
      <c r="D11" s="11" t="n">
        <v>150000</v>
      </c>
      <c r="E11" s="11" t="n">
        <v>300000</v>
      </c>
      <c r="F11" s="11" t="n">
        <v>400000</v>
      </c>
      <c r="G11" s="10" t="s">
        <v>46</v>
      </c>
      <c r="H11" s="8" t="s">
        <v>32</v>
      </c>
      <c r="I11" s="8" t="s">
        <v>26</v>
      </c>
      <c r="J11" s="10" t="s">
        <v>47</v>
      </c>
    </row>
    <row r="12" customFormat="false" ht="15" hidden="false" customHeight="false" outlineLevel="0" collapsed="false">
      <c r="A12" s="7" t="s">
        <v>48</v>
      </c>
      <c r="B12" s="8" t="s">
        <v>49</v>
      </c>
      <c r="C12" s="8" t="s">
        <v>50</v>
      </c>
      <c r="D12" s="13" t="n">
        <v>2.3</v>
      </c>
      <c r="E12" s="13" t="n">
        <v>2</v>
      </c>
      <c r="F12" s="13" t="n">
        <v>1.8</v>
      </c>
      <c r="G12" s="10" t="s">
        <v>51</v>
      </c>
      <c r="H12" s="8" t="s">
        <v>26</v>
      </c>
      <c r="I12" s="8" t="s">
        <v>27</v>
      </c>
      <c r="J12" s="10" t="s">
        <v>52</v>
      </c>
    </row>
    <row r="13" customFormat="false" ht="15" hidden="false" customHeight="false" outlineLevel="0" collapsed="false">
      <c r="A13" s="7" t="s">
        <v>53</v>
      </c>
      <c r="B13" s="8" t="s">
        <v>54</v>
      </c>
      <c r="C13" s="8" t="s">
        <v>50</v>
      </c>
      <c r="D13" s="14" t="n">
        <v>10000</v>
      </c>
      <c r="E13" s="14" t="n">
        <v>20000</v>
      </c>
      <c r="F13" s="14" t="n">
        <v>30000</v>
      </c>
      <c r="G13" s="10" t="s">
        <v>55</v>
      </c>
      <c r="H13" s="8" t="s">
        <v>26</v>
      </c>
      <c r="I13" s="8" t="s">
        <v>32</v>
      </c>
      <c r="J13" s="10" t="s">
        <v>56</v>
      </c>
    </row>
    <row r="14" customFormat="false" ht="15" hidden="false" customHeight="false" outlineLevel="0" collapsed="false">
      <c r="A14" s="7" t="s">
        <v>57</v>
      </c>
      <c r="B14" s="8" t="s">
        <v>58</v>
      </c>
      <c r="C14" s="8" t="s">
        <v>50</v>
      </c>
      <c r="D14" s="14" t="n">
        <v>30000</v>
      </c>
      <c r="E14" s="14" t="n">
        <v>60000</v>
      </c>
      <c r="F14" s="14" t="n">
        <v>100000</v>
      </c>
      <c r="G14" s="10" t="s">
        <v>59</v>
      </c>
      <c r="H14" s="8" t="s">
        <v>26</v>
      </c>
      <c r="I14" s="8" t="s">
        <v>26</v>
      </c>
      <c r="J14" s="10" t="s">
        <v>56</v>
      </c>
    </row>
    <row r="15" customFormat="false" ht="15" hidden="false" customHeight="false" outlineLevel="0" collapsed="false">
      <c r="A15" s="7" t="s">
        <v>60</v>
      </c>
      <c r="B15" s="8" t="s">
        <v>61</v>
      </c>
      <c r="C15" s="8" t="s">
        <v>50</v>
      </c>
      <c r="D15" s="14" t="n">
        <v>200000</v>
      </c>
      <c r="E15" s="14" t="n">
        <v>350000</v>
      </c>
      <c r="F15" s="14" t="n">
        <v>500000</v>
      </c>
      <c r="G15" s="10" t="s">
        <v>62</v>
      </c>
      <c r="H15" s="8" t="s">
        <v>26</v>
      </c>
      <c r="I15" s="8" t="s">
        <v>26</v>
      </c>
      <c r="J15" s="10" t="s">
        <v>56</v>
      </c>
    </row>
    <row r="16" customFormat="false" ht="15" hidden="false" customHeight="false" outlineLevel="0" collapsed="false">
      <c r="A16" s="7" t="s">
        <v>63</v>
      </c>
      <c r="B16" s="8" t="s">
        <v>64</v>
      </c>
      <c r="C16" s="8" t="s">
        <v>50</v>
      </c>
      <c r="D16" s="13" t="n">
        <v>100000</v>
      </c>
      <c r="E16" s="13" t="n">
        <v>180000</v>
      </c>
      <c r="F16" s="13" t="n">
        <v>250000</v>
      </c>
      <c r="G16" s="10" t="s">
        <v>65</v>
      </c>
      <c r="H16" s="8" t="s">
        <v>26</v>
      </c>
      <c r="I16" s="8" t="s">
        <v>27</v>
      </c>
      <c r="J16" s="10" t="s">
        <v>66</v>
      </c>
    </row>
    <row r="17" customFormat="false" ht="15" hidden="false" customHeight="false" outlineLevel="0" collapsed="false">
      <c r="A17" s="7" t="s">
        <v>67</v>
      </c>
      <c r="B17" s="8" t="s">
        <v>68</v>
      </c>
      <c r="C17" s="8" t="s">
        <v>41</v>
      </c>
      <c r="D17" s="15" t="n">
        <v>0.02</v>
      </c>
      <c r="E17" s="15" t="n">
        <v>0.03</v>
      </c>
      <c r="F17" s="15" t="n">
        <v>0.04</v>
      </c>
      <c r="G17" s="10" t="s">
        <v>69</v>
      </c>
      <c r="H17" s="8" t="s">
        <v>26</v>
      </c>
      <c r="I17" s="8" t="s">
        <v>26</v>
      </c>
      <c r="J17" s="10" t="s">
        <v>70</v>
      </c>
    </row>
    <row r="18" customFormat="false" ht="15" hidden="false" customHeight="false" outlineLevel="0" collapsed="false">
      <c r="A18" s="5" t="s">
        <v>71</v>
      </c>
      <c r="B18" s="6"/>
      <c r="C18" s="6"/>
      <c r="D18" s="6"/>
      <c r="E18" s="6"/>
      <c r="F18" s="6"/>
      <c r="G18" s="6"/>
      <c r="H18" s="6"/>
      <c r="I18" s="6"/>
      <c r="J18" s="6"/>
    </row>
    <row r="19" customFormat="false" ht="15" hidden="false" customHeight="false" outlineLevel="0" collapsed="false">
      <c r="A19" s="7" t="s">
        <v>72</v>
      </c>
      <c r="B19" s="8" t="s">
        <v>73</v>
      </c>
      <c r="C19" s="8" t="s">
        <v>41</v>
      </c>
      <c r="D19" s="12" t="n">
        <v>0.09</v>
      </c>
      <c r="E19" s="12" t="n">
        <v>0.1</v>
      </c>
      <c r="F19" s="12" t="n">
        <v>0.12</v>
      </c>
      <c r="G19" s="10" t="s">
        <v>74</v>
      </c>
      <c r="H19" s="8" t="s">
        <v>26</v>
      </c>
      <c r="I19" s="8" t="s">
        <v>27</v>
      </c>
      <c r="J19" s="10" t="s">
        <v>75</v>
      </c>
    </row>
    <row r="20" customFormat="false" ht="15" hidden="false" customHeight="false" outlineLevel="0" collapsed="false">
      <c r="A20" s="7" t="s">
        <v>76</v>
      </c>
      <c r="B20" s="8" t="s">
        <v>77</v>
      </c>
      <c r="C20" s="8" t="s">
        <v>41</v>
      </c>
      <c r="D20" s="15" t="n">
        <v>0.6</v>
      </c>
      <c r="E20" s="15" t="n">
        <v>0.7</v>
      </c>
      <c r="F20" s="15" t="n">
        <v>0.75</v>
      </c>
      <c r="G20" s="10" t="s">
        <v>78</v>
      </c>
      <c r="H20" s="8" t="s">
        <v>26</v>
      </c>
      <c r="I20" s="8" t="s">
        <v>26</v>
      </c>
      <c r="J20" s="10" t="s">
        <v>75</v>
      </c>
    </row>
    <row r="21" customFormat="false" ht="15" hidden="false" customHeight="false" outlineLevel="0" collapsed="false">
      <c r="A21" s="7" t="s">
        <v>79</v>
      </c>
      <c r="B21" s="8" t="s">
        <v>80</v>
      </c>
      <c r="C21" s="8" t="s">
        <v>41</v>
      </c>
      <c r="D21" s="15" t="n">
        <v>0.5</v>
      </c>
      <c r="E21" s="15" t="n">
        <v>0.6</v>
      </c>
      <c r="F21" s="15" t="n">
        <v>0.65</v>
      </c>
      <c r="G21" s="10" t="s">
        <v>81</v>
      </c>
      <c r="H21" s="8" t="s">
        <v>26</v>
      </c>
      <c r="I21" s="8" t="s">
        <v>26</v>
      </c>
      <c r="J21" s="10" t="s">
        <v>75</v>
      </c>
    </row>
    <row r="22" customFormat="false" ht="15" hidden="false" customHeight="false" outlineLevel="0" collapsed="false">
      <c r="A22" s="7" t="s">
        <v>82</v>
      </c>
      <c r="B22" s="8" t="s">
        <v>83</v>
      </c>
      <c r="C22" s="8" t="s">
        <v>41</v>
      </c>
      <c r="D22" s="12" t="n">
        <v>0.35</v>
      </c>
      <c r="E22" s="12" t="n">
        <v>0.4</v>
      </c>
      <c r="F22" s="12" t="n">
        <v>0.45</v>
      </c>
      <c r="G22" s="10" t="s">
        <v>84</v>
      </c>
      <c r="H22" s="8" t="s">
        <v>26</v>
      </c>
      <c r="I22" s="8" t="s">
        <v>27</v>
      </c>
      <c r="J22" s="10" t="s">
        <v>85</v>
      </c>
    </row>
    <row r="23" customFormat="false" ht="15" hidden="false" customHeight="false" outlineLevel="0" collapsed="false">
      <c r="A23" s="7" t="s">
        <v>86</v>
      </c>
      <c r="B23" s="8" t="s">
        <v>87</v>
      </c>
      <c r="C23" s="8" t="s">
        <v>41</v>
      </c>
      <c r="D23" s="15" t="n">
        <v>0.02</v>
      </c>
      <c r="E23" s="15" t="n">
        <v>0.03</v>
      </c>
      <c r="F23" s="15" t="n">
        <v>0.035</v>
      </c>
      <c r="G23" s="10" t="s">
        <v>88</v>
      </c>
      <c r="H23" s="8" t="s">
        <v>26</v>
      </c>
      <c r="I23" s="8" t="s">
        <v>26</v>
      </c>
      <c r="J23" s="10" t="s">
        <v>85</v>
      </c>
    </row>
    <row r="24" customFormat="false" ht="15" hidden="false" customHeight="false" outlineLevel="0" collapsed="false">
      <c r="A24" s="7" t="s">
        <v>89</v>
      </c>
      <c r="B24" s="8" t="s">
        <v>90</v>
      </c>
      <c r="C24" s="8" t="s">
        <v>41</v>
      </c>
      <c r="D24" s="15" t="n">
        <v>0.75</v>
      </c>
      <c r="E24" s="15" t="n">
        <v>0.85</v>
      </c>
      <c r="F24" s="15" t="n">
        <v>0.9</v>
      </c>
      <c r="G24" s="10" t="s">
        <v>91</v>
      </c>
      <c r="H24" s="8" t="s">
        <v>26</v>
      </c>
      <c r="I24" s="8" t="s">
        <v>32</v>
      </c>
      <c r="J24" s="10" t="s">
        <v>92</v>
      </c>
    </row>
    <row r="25" customFormat="false" ht="15" hidden="false" customHeight="false" outlineLevel="0" collapsed="false">
      <c r="A25" s="7" t="s">
        <v>93</v>
      </c>
      <c r="B25" s="8" t="s">
        <v>94</v>
      </c>
      <c r="C25" s="8" t="s">
        <v>41</v>
      </c>
      <c r="D25" s="12" t="n">
        <v>0.48</v>
      </c>
      <c r="E25" s="12" t="n">
        <v>0.55</v>
      </c>
      <c r="F25" s="12" t="n">
        <v>0.6</v>
      </c>
      <c r="G25" s="10" t="s">
        <v>95</v>
      </c>
      <c r="H25" s="8" t="s">
        <v>26</v>
      </c>
      <c r="I25" s="8" t="s">
        <v>27</v>
      </c>
      <c r="J25" s="10" t="s">
        <v>75</v>
      </c>
    </row>
    <row r="26" customFormat="false" ht="15" hidden="false" customHeight="false" outlineLevel="0" collapsed="false">
      <c r="A26" s="7" t="s">
        <v>96</v>
      </c>
      <c r="B26" s="8" t="s">
        <v>97</v>
      </c>
      <c r="C26" s="8" t="s">
        <v>41</v>
      </c>
      <c r="D26" s="15" t="n">
        <v>0.75</v>
      </c>
      <c r="E26" s="15" t="n">
        <v>0.82</v>
      </c>
      <c r="F26" s="15" t="n">
        <v>0.88</v>
      </c>
      <c r="G26" s="10" t="s">
        <v>98</v>
      </c>
      <c r="H26" s="8" t="s">
        <v>26</v>
      </c>
      <c r="I26" s="8" t="s">
        <v>26</v>
      </c>
      <c r="J26" s="10" t="s">
        <v>99</v>
      </c>
    </row>
    <row r="27" customFormat="false" ht="15" hidden="false" customHeight="false" outlineLevel="0" collapsed="false">
      <c r="A27" s="7" t="s">
        <v>100</v>
      </c>
      <c r="B27" s="8" t="s">
        <v>101</v>
      </c>
      <c r="C27" s="8" t="s">
        <v>41</v>
      </c>
      <c r="D27" s="12" t="n">
        <v>0.55</v>
      </c>
      <c r="E27" s="12" t="n">
        <v>0.62</v>
      </c>
      <c r="F27" s="12" t="n">
        <v>0.68</v>
      </c>
      <c r="G27" s="10" t="s">
        <v>102</v>
      </c>
      <c r="H27" s="8" t="s">
        <v>32</v>
      </c>
      <c r="I27" s="8" t="s">
        <v>27</v>
      </c>
      <c r="J27" s="10" t="s">
        <v>103</v>
      </c>
    </row>
    <row r="28" customFormat="false" ht="15" hidden="false" customHeight="false" outlineLevel="0" collapsed="false">
      <c r="A28" s="7" t="s">
        <v>104</v>
      </c>
      <c r="B28" s="8" t="s">
        <v>105</v>
      </c>
      <c r="C28" s="8" t="s">
        <v>41</v>
      </c>
      <c r="D28" s="12" t="n">
        <v>0.58</v>
      </c>
      <c r="E28" s="12" t="n">
        <v>0.65</v>
      </c>
      <c r="F28" s="12" t="n">
        <v>0.68</v>
      </c>
      <c r="G28" s="10" t="s">
        <v>106</v>
      </c>
      <c r="H28" s="8" t="s">
        <v>26</v>
      </c>
      <c r="I28" s="8" t="s">
        <v>27</v>
      </c>
      <c r="J28" s="10" t="s">
        <v>75</v>
      </c>
    </row>
    <row r="29" customFormat="false" ht="15" hidden="false" customHeight="false" outlineLevel="0" collapsed="false">
      <c r="A29" s="5" t="s">
        <v>107</v>
      </c>
      <c r="B29" s="6"/>
      <c r="C29" s="6"/>
      <c r="D29" s="6"/>
      <c r="E29" s="6"/>
      <c r="F29" s="6"/>
      <c r="G29" s="6"/>
      <c r="H29" s="6"/>
      <c r="I29" s="6"/>
      <c r="J29" s="6"/>
    </row>
    <row r="30" customFormat="false" ht="15" hidden="false" customHeight="false" outlineLevel="0" collapsed="false">
      <c r="A30" s="7" t="s">
        <v>108</v>
      </c>
      <c r="B30" s="8" t="s">
        <v>109</v>
      </c>
      <c r="C30" s="8" t="s">
        <v>50</v>
      </c>
      <c r="D30" s="13" t="n">
        <v>249</v>
      </c>
      <c r="E30" s="13" t="n">
        <v>275</v>
      </c>
      <c r="F30" s="13" t="n">
        <v>299</v>
      </c>
      <c r="G30" s="10" t="s">
        <v>110</v>
      </c>
      <c r="H30" s="8" t="s">
        <v>26</v>
      </c>
      <c r="I30" s="8" t="s">
        <v>27</v>
      </c>
      <c r="J30" s="10" t="s">
        <v>111</v>
      </c>
    </row>
    <row r="31" customFormat="false" ht="15" hidden="false" customHeight="false" outlineLevel="0" collapsed="false">
      <c r="A31" s="7" t="s">
        <v>112</v>
      </c>
      <c r="B31" s="8" t="s">
        <v>113</v>
      </c>
      <c r="C31" s="8" t="s">
        <v>50</v>
      </c>
      <c r="D31" s="14" t="n">
        <v>49</v>
      </c>
      <c r="E31" s="14" t="n">
        <v>79</v>
      </c>
      <c r="F31" s="14" t="n">
        <v>99</v>
      </c>
      <c r="G31" s="10" t="s">
        <v>114</v>
      </c>
      <c r="H31" s="8" t="s">
        <v>26</v>
      </c>
      <c r="I31" s="8" t="s">
        <v>26</v>
      </c>
      <c r="J31" s="10" t="s">
        <v>115</v>
      </c>
    </row>
    <row r="32" customFormat="false" ht="15" hidden="false" customHeight="false" outlineLevel="0" collapsed="false">
      <c r="A32" s="7" t="s">
        <v>116</v>
      </c>
      <c r="B32" s="8" t="s">
        <v>117</v>
      </c>
      <c r="C32" s="8" t="s">
        <v>41</v>
      </c>
      <c r="D32" s="15" t="n">
        <v>0.4</v>
      </c>
      <c r="E32" s="15" t="n">
        <v>0.5</v>
      </c>
      <c r="F32" s="15" t="n">
        <v>0.6</v>
      </c>
      <c r="G32" s="10" t="s">
        <v>118</v>
      </c>
      <c r="H32" s="8" t="s">
        <v>26</v>
      </c>
      <c r="I32" s="8" t="s">
        <v>26</v>
      </c>
      <c r="J32" s="10" t="s">
        <v>99</v>
      </c>
    </row>
    <row r="33" customFormat="false" ht="15" hidden="false" customHeight="false" outlineLevel="0" collapsed="false">
      <c r="A33" s="7" t="s">
        <v>119</v>
      </c>
      <c r="B33" s="8" t="s">
        <v>120</v>
      </c>
      <c r="C33" s="8" t="s">
        <v>50</v>
      </c>
      <c r="D33" s="14" t="n">
        <v>99</v>
      </c>
      <c r="E33" s="14" t="n">
        <v>119</v>
      </c>
      <c r="F33" s="14" t="n">
        <v>139</v>
      </c>
      <c r="G33" s="10" t="s">
        <v>121</v>
      </c>
      <c r="H33" s="8" t="s">
        <v>26</v>
      </c>
      <c r="I33" s="8" t="s">
        <v>32</v>
      </c>
      <c r="J33" s="10" t="s">
        <v>122</v>
      </c>
    </row>
    <row r="34" customFormat="false" ht="15" hidden="false" customHeight="false" outlineLevel="0" collapsed="false">
      <c r="A34" s="7" t="s">
        <v>123</v>
      </c>
      <c r="B34" s="8" t="s">
        <v>124</v>
      </c>
      <c r="C34" s="8" t="s">
        <v>50</v>
      </c>
      <c r="D34" s="14" t="n">
        <v>19</v>
      </c>
      <c r="E34" s="14" t="n">
        <v>29</v>
      </c>
      <c r="F34" s="14" t="n">
        <v>39</v>
      </c>
      <c r="G34" s="10" t="s">
        <v>125</v>
      </c>
      <c r="H34" s="8" t="s">
        <v>26</v>
      </c>
      <c r="I34" s="8" t="s">
        <v>26</v>
      </c>
      <c r="J34" s="10" t="s">
        <v>115</v>
      </c>
    </row>
    <row r="35" customFormat="false" ht="15" hidden="false" customHeight="false" outlineLevel="0" collapsed="false">
      <c r="A35" s="7" t="s">
        <v>126</v>
      </c>
      <c r="B35" s="8" t="s">
        <v>127</v>
      </c>
      <c r="C35" s="8" t="s">
        <v>41</v>
      </c>
      <c r="D35" s="15" t="n">
        <v>0.04</v>
      </c>
      <c r="E35" s="15" t="n">
        <v>0.06</v>
      </c>
      <c r="F35" s="15" t="n">
        <v>0.08</v>
      </c>
      <c r="G35" s="10" t="s">
        <v>128</v>
      </c>
      <c r="H35" s="8" t="s">
        <v>32</v>
      </c>
      <c r="I35" s="8" t="s">
        <v>26</v>
      </c>
      <c r="J35" s="10" t="s">
        <v>75</v>
      </c>
    </row>
    <row r="36" customFormat="false" ht="15" hidden="false" customHeight="false" outlineLevel="0" collapsed="false">
      <c r="A36" s="7" t="s">
        <v>129</v>
      </c>
      <c r="B36" s="8" t="s">
        <v>130</v>
      </c>
      <c r="C36" s="8" t="s">
        <v>41</v>
      </c>
      <c r="D36" s="15" t="n">
        <v>0.0005</v>
      </c>
      <c r="E36" s="15" t="n">
        <v>0.001</v>
      </c>
      <c r="F36" s="15" t="n">
        <v>0.0015</v>
      </c>
      <c r="G36" s="10" t="s">
        <v>128</v>
      </c>
      <c r="H36" s="8" t="s">
        <v>32</v>
      </c>
      <c r="I36" s="8" t="s">
        <v>32</v>
      </c>
      <c r="J36" s="10" t="s">
        <v>75</v>
      </c>
    </row>
    <row r="37" customFormat="false" ht="15" hidden="false" customHeight="false" outlineLevel="0" collapsed="false">
      <c r="A37" s="7" t="s">
        <v>131</v>
      </c>
      <c r="B37" s="8" t="s">
        <v>132</v>
      </c>
      <c r="C37" s="8" t="s">
        <v>41</v>
      </c>
      <c r="D37" s="15" t="n">
        <v>0.006</v>
      </c>
      <c r="E37" s="15" t="n">
        <v>0.009</v>
      </c>
      <c r="F37" s="15" t="n">
        <v>0.012</v>
      </c>
      <c r="G37" s="10" t="s">
        <v>133</v>
      </c>
      <c r="H37" s="8" t="s">
        <v>26</v>
      </c>
      <c r="I37" s="8" t="s">
        <v>26</v>
      </c>
      <c r="J37" s="10" t="s">
        <v>134</v>
      </c>
    </row>
    <row r="38" customFormat="false" ht="15" hidden="false" customHeight="false" outlineLevel="0" collapsed="false">
      <c r="A38" s="7" t="s">
        <v>135</v>
      </c>
      <c r="B38" s="8" t="s">
        <v>136</v>
      </c>
      <c r="C38" s="8" t="s">
        <v>50</v>
      </c>
      <c r="D38" s="14" t="n">
        <v>65</v>
      </c>
      <c r="E38" s="14" t="n">
        <v>75</v>
      </c>
      <c r="F38" s="14" t="n">
        <v>85</v>
      </c>
      <c r="G38" s="10" t="s">
        <v>137</v>
      </c>
      <c r="H38" s="8" t="s">
        <v>26</v>
      </c>
      <c r="I38" s="8" t="s">
        <v>32</v>
      </c>
      <c r="J38" s="10" t="s">
        <v>134</v>
      </c>
    </row>
    <row r="39" customFormat="false" ht="15" hidden="false" customHeight="false" outlineLevel="0" collapsed="false">
      <c r="A39" s="7" t="s">
        <v>138</v>
      </c>
      <c r="B39" s="8" t="s">
        <v>139</v>
      </c>
      <c r="C39" s="8" t="s">
        <v>41</v>
      </c>
      <c r="D39" s="15" t="n">
        <v>0.12</v>
      </c>
      <c r="E39" s="15" t="n">
        <v>0.15</v>
      </c>
      <c r="F39" s="15" t="n">
        <v>0.18</v>
      </c>
      <c r="G39" s="10" t="s">
        <v>140</v>
      </c>
      <c r="H39" s="8" t="s">
        <v>32</v>
      </c>
      <c r="I39" s="8" t="s">
        <v>26</v>
      </c>
      <c r="J39" s="10" t="s">
        <v>134</v>
      </c>
    </row>
    <row r="40" customFormat="false" ht="15" hidden="false" customHeight="false" outlineLevel="0" collapsed="false">
      <c r="A40" s="5" t="s">
        <v>141</v>
      </c>
      <c r="B40" s="6"/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A41" s="7" t="s">
        <v>142</v>
      </c>
      <c r="B41" s="8" t="s">
        <v>143</v>
      </c>
      <c r="C41" s="8" t="s">
        <v>41</v>
      </c>
      <c r="D41" s="12" t="n">
        <v>0.13</v>
      </c>
      <c r="E41" s="12" t="n">
        <v>0.11</v>
      </c>
      <c r="F41" s="12" t="n">
        <v>0.1</v>
      </c>
      <c r="G41" s="10" t="s">
        <v>144</v>
      </c>
      <c r="H41" s="8" t="s">
        <v>32</v>
      </c>
      <c r="I41" s="8" t="s">
        <v>27</v>
      </c>
      <c r="J41" s="10" t="s">
        <v>145</v>
      </c>
    </row>
    <row r="42" customFormat="false" ht="15" hidden="false" customHeight="false" outlineLevel="0" collapsed="false">
      <c r="A42" s="7" t="s">
        <v>146</v>
      </c>
      <c r="B42" s="8" t="s">
        <v>147</v>
      </c>
      <c r="C42" s="8" t="s">
        <v>41</v>
      </c>
      <c r="D42" s="15" t="n">
        <v>0.08</v>
      </c>
      <c r="E42" s="15" t="n">
        <v>0.06</v>
      </c>
      <c r="F42" s="15" t="n">
        <v>0.05</v>
      </c>
      <c r="G42" s="10" t="s">
        <v>148</v>
      </c>
      <c r="H42" s="8" t="s">
        <v>32</v>
      </c>
      <c r="I42" s="8" t="s">
        <v>26</v>
      </c>
      <c r="J42" s="10" t="s">
        <v>145</v>
      </c>
    </row>
    <row r="43" customFormat="false" ht="15" hidden="false" customHeight="false" outlineLevel="0" collapsed="false">
      <c r="A43" s="5" t="s">
        <v>149</v>
      </c>
      <c r="B43" s="6"/>
      <c r="C43" s="6"/>
      <c r="D43" s="6"/>
      <c r="E43" s="6"/>
      <c r="F43" s="6"/>
      <c r="G43" s="6"/>
      <c r="H43" s="6"/>
      <c r="I43" s="6"/>
      <c r="J43" s="6"/>
    </row>
    <row r="44" customFormat="false" ht="15" hidden="false" customHeight="false" outlineLevel="0" collapsed="false">
      <c r="A44" s="7" t="s">
        <v>150</v>
      </c>
      <c r="B44" s="8" t="s">
        <v>151</v>
      </c>
      <c r="C44" s="8" t="s">
        <v>50</v>
      </c>
      <c r="D44" s="13" t="n">
        <v>110</v>
      </c>
      <c r="E44" s="13" t="n">
        <v>95</v>
      </c>
      <c r="F44" s="13" t="n">
        <v>85</v>
      </c>
      <c r="G44" s="10" t="s">
        <v>152</v>
      </c>
      <c r="H44" s="8" t="s">
        <v>32</v>
      </c>
      <c r="I44" s="8" t="s">
        <v>27</v>
      </c>
      <c r="J44" s="10" t="s">
        <v>153</v>
      </c>
    </row>
    <row r="45" customFormat="false" ht="15" hidden="false" customHeight="false" outlineLevel="0" collapsed="false">
      <c r="A45" s="7" t="s">
        <v>154</v>
      </c>
      <c r="B45" s="8" t="s">
        <v>155</v>
      </c>
      <c r="C45" s="8" t="s">
        <v>50</v>
      </c>
      <c r="D45" s="14" t="n">
        <v>45</v>
      </c>
      <c r="E45" s="14" t="n">
        <v>40</v>
      </c>
      <c r="F45" s="14" t="n">
        <v>35</v>
      </c>
      <c r="G45" s="10" t="s">
        <v>156</v>
      </c>
      <c r="H45" s="8" t="s">
        <v>26</v>
      </c>
      <c r="I45" s="8" t="s">
        <v>26</v>
      </c>
      <c r="J45" s="10" t="s">
        <v>157</v>
      </c>
    </row>
    <row r="46" customFormat="false" ht="15" hidden="false" customHeight="false" outlineLevel="0" collapsed="false">
      <c r="A46" s="7" t="s">
        <v>158</v>
      </c>
      <c r="B46" s="8" t="s">
        <v>159</v>
      </c>
      <c r="C46" s="8" t="s">
        <v>50</v>
      </c>
      <c r="D46" s="14" t="n">
        <v>10</v>
      </c>
      <c r="E46" s="14" t="n">
        <v>8</v>
      </c>
      <c r="F46" s="14" t="n">
        <v>7</v>
      </c>
      <c r="G46" s="10" t="s">
        <v>160</v>
      </c>
      <c r="H46" s="8" t="s">
        <v>26</v>
      </c>
      <c r="I46" s="8" t="s">
        <v>26</v>
      </c>
      <c r="J46" s="10" t="s">
        <v>157</v>
      </c>
    </row>
    <row r="47" customFormat="false" ht="15" hidden="false" customHeight="false" outlineLevel="0" collapsed="false">
      <c r="A47" s="7" t="s">
        <v>161</v>
      </c>
      <c r="B47" s="8" t="s">
        <v>162</v>
      </c>
      <c r="C47" s="8" t="s">
        <v>50</v>
      </c>
      <c r="D47" s="14" t="n">
        <v>18</v>
      </c>
      <c r="E47" s="14" t="n">
        <v>15</v>
      </c>
      <c r="F47" s="14" t="n">
        <v>13</v>
      </c>
      <c r="G47" s="10" t="s">
        <v>163</v>
      </c>
      <c r="H47" s="8" t="s">
        <v>26</v>
      </c>
      <c r="I47" s="8" t="s">
        <v>32</v>
      </c>
      <c r="J47" s="10" t="s">
        <v>153</v>
      </c>
    </row>
    <row r="48" customFormat="false" ht="15" hidden="false" customHeight="false" outlineLevel="0" collapsed="false">
      <c r="A48" s="7" t="s">
        <v>164</v>
      </c>
      <c r="B48" s="8" t="s">
        <v>165</v>
      </c>
      <c r="C48" s="8" t="s">
        <v>50</v>
      </c>
      <c r="D48" s="14" t="n">
        <v>85</v>
      </c>
      <c r="E48" s="14" t="n">
        <v>80</v>
      </c>
      <c r="F48" s="14" t="n">
        <v>75</v>
      </c>
      <c r="G48" s="10" t="s">
        <v>166</v>
      </c>
      <c r="H48" s="8" t="s">
        <v>26</v>
      </c>
      <c r="I48" s="8" t="s">
        <v>32</v>
      </c>
      <c r="J48" s="10" t="s">
        <v>122</v>
      </c>
    </row>
    <row r="49" customFormat="false" ht="15" hidden="false" customHeight="false" outlineLevel="0" collapsed="false">
      <c r="A49" s="7" t="s">
        <v>167</v>
      </c>
      <c r="B49" s="8" t="s">
        <v>168</v>
      </c>
      <c r="C49" s="8" t="s">
        <v>41</v>
      </c>
      <c r="D49" s="15" t="n">
        <v>0.032</v>
      </c>
      <c r="E49" s="15" t="n">
        <v>0.029</v>
      </c>
      <c r="F49" s="15" t="n">
        <v>0.027</v>
      </c>
      <c r="G49" s="10" t="s">
        <v>169</v>
      </c>
      <c r="H49" s="8" t="s">
        <v>27</v>
      </c>
      <c r="I49" s="8" t="s">
        <v>32</v>
      </c>
      <c r="J49" s="10" t="s">
        <v>170</v>
      </c>
    </row>
    <row r="50" customFormat="false" ht="15" hidden="false" customHeight="false" outlineLevel="0" collapsed="false">
      <c r="A50" s="7" t="s">
        <v>171</v>
      </c>
      <c r="B50" s="8" t="s">
        <v>172</v>
      </c>
      <c r="C50" s="8" t="s">
        <v>41</v>
      </c>
      <c r="D50" s="15" t="n">
        <v>0.05</v>
      </c>
      <c r="E50" s="15" t="n">
        <v>0.035</v>
      </c>
      <c r="F50" s="15" t="n">
        <v>0.025</v>
      </c>
      <c r="G50" s="10" t="s">
        <v>173</v>
      </c>
      <c r="H50" s="8" t="s">
        <v>26</v>
      </c>
      <c r="I50" s="8" t="s">
        <v>26</v>
      </c>
      <c r="J50" s="10" t="s">
        <v>174</v>
      </c>
    </row>
    <row r="51" customFormat="false" ht="15" hidden="false" customHeight="false" outlineLevel="0" collapsed="false">
      <c r="A51" s="7" t="s">
        <v>175</v>
      </c>
      <c r="B51" s="8" t="s">
        <v>176</v>
      </c>
      <c r="C51" s="8" t="s">
        <v>50</v>
      </c>
      <c r="D51" s="14" t="n">
        <v>6</v>
      </c>
      <c r="E51" s="14" t="n">
        <v>5</v>
      </c>
      <c r="F51" s="14" t="n">
        <v>4</v>
      </c>
      <c r="G51" s="10" t="s">
        <v>177</v>
      </c>
      <c r="H51" s="8" t="s">
        <v>26</v>
      </c>
      <c r="I51" s="8" t="s">
        <v>32</v>
      </c>
      <c r="J51" s="10" t="s">
        <v>178</v>
      </c>
    </row>
    <row r="52" customFormat="false" ht="15" hidden="false" customHeight="false" outlineLevel="0" collapsed="false">
      <c r="A52" s="7" t="s">
        <v>179</v>
      </c>
      <c r="B52" s="8" t="s">
        <v>180</v>
      </c>
      <c r="C52" s="8" t="s">
        <v>41</v>
      </c>
      <c r="D52" s="15" t="n">
        <v>0.4</v>
      </c>
      <c r="E52" s="15" t="n">
        <v>0.35</v>
      </c>
      <c r="F52" s="15" t="n">
        <v>0.32</v>
      </c>
      <c r="G52" s="10" t="s">
        <v>181</v>
      </c>
      <c r="H52" s="8" t="s">
        <v>26</v>
      </c>
      <c r="I52" s="8" t="s">
        <v>32</v>
      </c>
      <c r="J52" s="10" t="s">
        <v>182</v>
      </c>
    </row>
    <row r="53" customFormat="false" ht="15" hidden="false" customHeight="false" outlineLevel="0" collapsed="false">
      <c r="A53" s="7" t="s">
        <v>183</v>
      </c>
      <c r="B53" s="8" t="s">
        <v>184</v>
      </c>
      <c r="C53" s="8" t="s">
        <v>50</v>
      </c>
      <c r="D53" s="14" t="n">
        <v>9</v>
      </c>
      <c r="E53" s="14" t="n">
        <v>8</v>
      </c>
      <c r="F53" s="14" t="n">
        <v>7</v>
      </c>
      <c r="G53" s="10" t="s">
        <v>185</v>
      </c>
      <c r="H53" s="8" t="s">
        <v>26</v>
      </c>
      <c r="I53" s="8" t="s">
        <v>32</v>
      </c>
      <c r="J53" s="10" t="s">
        <v>186</v>
      </c>
    </row>
    <row r="54" customFormat="false" ht="15" hidden="false" customHeight="false" outlineLevel="0" collapsed="false">
      <c r="A54" s="7" t="s">
        <v>187</v>
      </c>
      <c r="B54" s="8" t="s">
        <v>188</v>
      </c>
      <c r="C54" s="8" t="s">
        <v>50</v>
      </c>
      <c r="D54" s="14" t="n">
        <v>3</v>
      </c>
      <c r="E54" s="14" t="n">
        <v>2</v>
      </c>
      <c r="F54" s="14" t="n">
        <v>2</v>
      </c>
      <c r="G54" s="10" t="s">
        <v>189</v>
      </c>
      <c r="H54" s="8" t="s">
        <v>26</v>
      </c>
      <c r="I54" s="8" t="s">
        <v>32</v>
      </c>
      <c r="J54" s="10" t="s">
        <v>190</v>
      </c>
    </row>
    <row r="55" customFormat="false" ht="15" hidden="false" customHeight="false" outlineLevel="0" collapsed="false">
      <c r="A55" s="5" t="s">
        <v>191</v>
      </c>
      <c r="B55" s="6"/>
      <c r="C55" s="6"/>
      <c r="D55" s="6"/>
      <c r="E55" s="6"/>
      <c r="F55" s="6"/>
      <c r="G55" s="6"/>
      <c r="H55" s="6"/>
      <c r="I55" s="6"/>
      <c r="J55" s="6"/>
    </row>
    <row r="56" customFormat="false" ht="15" hidden="false" customHeight="false" outlineLevel="0" collapsed="false">
      <c r="A56" s="7" t="s">
        <v>192</v>
      </c>
      <c r="B56" s="8" t="s">
        <v>193</v>
      </c>
      <c r="C56" s="8" t="s">
        <v>50</v>
      </c>
      <c r="D56" s="14" t="n">
        <v>45000</v>
      </c>
      <c r="E56" s="14" t="n">
        <v>60000</v>
      </c>
      <c r="F56" s="14" t="n">
        <v>80000</v>
      </c>
      <c r="G56" s="10" t="s">
        <v>194</v>
      </c>
      <c r="H56" s="8" t="s">
        <v>26</v>
      </c>
      <c r="I56" s="8" t="s">
        <v>26</v>
      </c>
      <c r="J56" s="10" t="s">
        <v>195</v>
      </c>
    </row>
    <row r="57" customFormat="false" ht="15" hidden="false" customHeight="false" outlineLevel="0" collapsed="false">
      <c r="A57" s="7" t="s">
        <v>196</v>
      </c>
      <c r="B57" s="8" t="s">
        <v>197</v>
      </c>
      <c r="C57" s="8" t="s">
        <v>50</v>
      </c>
      <c r="D57" s="14" t="n">
        <v>90000</v>
      </c>
      <c r="E57" s="14" t="n">
        <v>120000</v>
      </c>
      <c r="F57" s="14" t="n">
        <v>160000</v>
      </c>
      <c r="G57" s="10" t="s">
        <v>198</v>
      </c>
      <c r="H57" s="8" t="s">
        <v>26</v>
      </c>
      <c r="I57" s="8" t="s">
        <v>26</v>
      </c>
      <c r="J57" s="10" t="s">
        <v>195</v>
      </c>
    </row>
    <row r="58" customFormat="false" ht="15" hidden="false" customHeight="false" outlineLevel="0" collapsed="false">
      <c r="A58" s="7" t="s">
        <v>199</v>
      </c>
      <c r="B58" s="8" t="s">
        <v>200</v>
      </c>
      <c r="C58" s="8" t="s">
        <v>50</v>
      </c>
      <c r="D58" s="14" t="n">
        <v>140000</v>
      </c>
      <c r="E58" s="14" t="n">
        <v>180000</v>
      </c>
      <c r="F58" s="14" t="n">
        <v>240000</v>
      </c>
      <c r="G58" s="10" t="s">
        <v>201</v>
      </c>
      <c r="H58" s="8" t="s">
        <v>26</v>
      </c>
      <c r="I58" s="8" t="s">
        <v>26</v>
      </c>
      <c r="J58" s="10" t="s">
        <v>195</v>
      </c>
    </row>
    <row r="59" customFormat="false" ht="15" hidden="false" customHeight="false" outlineLevel="0" collapsed="false">
      <c r="A59" s="7" t="s">
        <v>202</v>
      </c>
      <c r="B59" s="8" t="s">
        <v>203</v>
      </c>
      <c r="C59" s="8" t="s">
        <v>50</v>
      </c>
      <c r="D59" s="14" t="n">
        <v>160000</v>
      </c>
      <c r="E59" s="14" t="n">
        <v>260000</v>
      </c>
      <c r="F59" s="14" t="n">
        <v>340000</v>
      </c>
      <c r="G59" s="10"/>
      <c r="H59" s="8" t="s">
        <v>32</v>
      </c>
      <c r="I59" s="8" t="s">
        <v>26</v>
      </c>
      <c r="J59" s="10" t="s">
        <v>195</v>
      </c>
    </row>
    <row r="60" customFormat="false" ht="15" hidden="false" customHeight="false" outlineLevel="0" collapsed="false">
      <c r="A60" s="7" t="s">
        <v>204</v>
      </c>
      <c r="B60" s="8" t="s">
        <v>205</v>
      </c>
      <c r="C60" s="8" t="s">
        <v>50</v>
      </c>
      <c r="D60" s="14" t="n">
        <v>190000</v>
      </c>
      <c r="E60" s="14" t="n">
        <v>340000</v>
      </c>
      <c r="F60" s="14" t="n">
        <v>450000</v>
      </c>
      <c r="G60" s="10"/>
      <c r="H60" s="8" t="s">
        <v>32</v>
      </c>
      <c r="I60" s="8" t="s">
        <v>26</v>
      </c>
      <c r="J60" s="10" t="s">
        <v>195</v>
      </c>
    </row>
    <row r="61" customFormat="false" ht="15" hidden="false" customHeight="false" outlineLevel="0" collapsed="false">
      <c r="A61" s="7" t="s">
        <v>206</v>
      </c>
      <c r="B61" s="8" t="s">
        <v>207</v>
      </c>
      <c r="C61" s="8" t="s">
        <v>50</v>
      </c>
      <c r="D61" s="14" t="n">
        <v>15000</v>
      </c>
      <c r="E61" s="14" t="n">
        <v>20000</v>
      </c>
      <c r="F61" s="14" t="n">
        <v>25000</v>
      </c>
      <c r="G61" s="10" t="s">
        <v>208</v>
      </c>
      <c r="H61" s="8" t="s">
        <v>26</v>
      </c>
      <c r="I61" s="8" t="s">
        <v>32</v>
      </c>
      <c r="J61" s="10" t="s">
        <v>209</v>
      </c>
    </row>
    <row r="62" customFormat="false" ht="15" hidden="false" customHeight="false" outlineLevel="0" collapsed="false">
      <c r="A62" s="7" t="s">
        <v>210</v>
      </c>
      <c r="B62" s="8" t="s">
        <v>211</v>
      </c>
      <c r="C62" s="8" t="s">
        <v>50</v>
      </c>
      <c r="D62" s="14" t="n">
        <v>8000</v>
      </c>
      <c r="E62" s="14" t="n">
        <v>12000</v>
      </c>
      <c r="F62" s="14" t="n">
        <v>18000</v>
      </c>
      <c r="G62" s="10" t="s">
        <v>212</v>
      </c>
      <c r="H62" s="8" t="s">
        <v>26</v>
      </c>
      <c r="I62" s="8" t="s">
        <v>32</v>
      </c>
      <c r="J62" s="10" t="s">
        <v>122</v>
      </c>
    </row>
    <row r="63" customFormat="false" ht="15" hidden="false" customHeight="false" outlineLevel="0" collapsed="false">
      <c r="A63" s="7" t="s">
        <v>213</v>
      </c>
      <c r="B63" s="8" t="s">
        <v>214</v>
      </c>
      <c r="C63" s="8" t="s">
        <v>50</v>
      </c>
      <c r="D63" s="14" t="n">
        <v>20000</v>
      </c>
      <c r="E63" s="14" t="n">
        <v>30000</v>
      </c>
      <c r="F63" s="14" t="n">
        <v>45000</v>
      </c>
      <c r="G63" s="10" t="s">
        <v>215</v>
      </c>
      <c r="H63" s="8" t="s">
        <v>26</v>
      </c>
      <c r="I63" s="8" t="s">
        <v>26</v>
      </c>
      <c r="J63" s="10" t="s">
        <v>122</v>
      </c>
    </row>
    <row r="64" customFormat="false" ht="15" hidden="false" customHeight="false" outlineLevel="0" collapsed="false">
      <c r="A64" s="7" t="s">
        <v>216</v>
      </c>
      <c r="B64" s="8" t="s">
        <v>217</v>
      </c>
      <c r="C64" s="8" t="s">
        <v>50</v>
      </c>
      <c r="D64" s="14" t="n">
        <v>40000</v>
      </c>
      <c r="E64" s="14" t="n">
        <v>60000</v>
      </c>
      <c r="F64" s="14" t="n">
        <v>80000</v>
      </c>
      <c r="G64" s="10" t="s">
        <v>218</v>
      </c>
      <c r="H64" s="8" t="s">
        <v>26</v>
      </c>
      <c r="I64" s="8" t="s">
        <v>32</v>
      </c>
      <c r="J64" s="10" t="s">
        <v>219</v>
      </c>
    </row>
    <row r="65" customFormat="false" ht="15" hidden="false" customHeight="false" outlineLevel="0" collapsed="false">
      <c r="A65" s="7" t="s">
        <v>220</v>
      </c>
      <c r="B65" s="8" t="s">
        <v>221</v>
      </c>
      <c r="C65" s="8" t="s">
        <v>50</v>
      </c>
      <c r="D65" s="14" t="n">
        <v>40000</v>
      </c>
      <c r="E65" s="14" t="n">
        <v>50000</v>
      </c>
      <c r="F65" s="14" t="n">
        <v>60000</v>
      </c>
      <c r="G65" s="10" t="s">
        <v>222</v>
      </c>
      <c r="H65" s="8" t="s">
        <v>26</v>
      </c>
      <c r="I65" s="8" t="s">
        <v>32</v>
      </c>
      <c r="J65" s="10" t="s">
        <v>223</v>
      </c>
    </row>
    <row r="66" customFormat="false" ht="15" hidden="false" customHeight="false" outlineLevel="0" collapsed="false">
      <c r="A66" s="7" t="s">
        <v>224</v>
      </c>
      <c r="B66" s="8" t="s">
        <v>225</v>
      </c>
      <c r="C66" s="8" t="s">
        <v>50</v>
      </c>
      <c r="D66" s="14" t="n">
        <v>15000</v>
      </c>
      <c r="E66" s="14" t="n">
        <v>20000</v>
      </c>
      <c r="F66" s="14" t="n">
        <v>25000</v>
      </c>
      <c r="G66" s="10" t="s">
        <v>226</v>
      </c>
      <c r="H66" s="8" t="s">
        <v>26</v>
      </c>
      <c r="I66" s="8" t="s">
        <v>32</v>
      </c>
      <c r="J66" s="10" t="s">
        <v>223</v>
      </c>
    </row>
    <row r="67" customFormat="false" ht="15" hidden="false" customHeight="false" outlineLevel="0" collapsed="false">
      <c r="A67" s="7" t="s">
        <v>227</v>
      </c>
      <c r="B67" s="8" t="s">
        <v>228</v>
      </c>
      <c r="C67" s="8" t="s">
        <v>50</v>
      </c>
      <c r="D67" s="14" t="n">
        <v>6000</v>
      </c>
      <c r="E67" s="14" t="n">
        <v>8000</v>
      </c>
      <c r="F67" s="14" t="n">
        <v>10000</v>
      </c>
      <c r="G67" s="10" t="s">
        <v>229</v>
      </c>
      <c r="H67" s="8" t="s">
        <v>26</v>
      </c>
      <c r="I67" s="8" t="s">
        <v>32</v>
      </c>
      <c r="J67" s="10" t="s">
        <v>230</v>
      </c>
    </row>
    <row r="68" customFormat="false" ht="15" hidden="false" customHeight="false" outlineLevel="0" collapsed="false">
      <c r="A68" s="7" t="s">
        <v>231</v>
      </c>
      <c r="B68" s="8" t="s">
        <v>232</v>
      </c>
      <c r="C68" s="8" t="s">
        <v>50</v>
      </c>
      <c r="D68" s="14" t="n">
        <v>15000</v>
      </c>
      <c r="E68" s="14" t="n">
        <v>25000</v>
      </c>
      <c r="F68" s="14" t="n">
        <v>40000</v>
      </c>
      <c r="G68" s="10" t="s">
        <v>233</v>
      </c>
      <c r="H68" s="8" t="s">
        <v>26</v>
      </c>
      <c r="I68" s="8" t="s">
        <v>32</v>
      </c>
      <c r="J68" s="10" t="s">
        <v>234</v>
      </c>
    </row>
    <row r="69" customFormat="false" ht="15" hidden="false" customHeight="false" outlineLevel="0" collapsed="false">
      <c r="A69" s="7" t="s">
        <v>235</v>
      </c>
      <c r="B69" s="8" t="s">
        <v>236</v>
      </c>
      <c r="C69" s="8" t="s">
        <v>50</v>
      </c>
      <c r="D69" s="14" t="n">
        <v>25000</v>
      </c>
      <c r="E69" s="14" t="n">
        <v>40000</v>
      </c>
      <c r="F69" s="14" t="n">
        <v>60000</v>
      </c>
      <c r="G69" s="10"/>
      <c r="H69" s="8" t="s">
        <v>26</v>
      </c>
      <c r="I69" s="8" t="s">
        <v>32</v>
      </c>
      <c r="J69" s="10" t="s">
        <v>234</v>
      </c>
    </row>
    <row r="70" customFormat="false" ht="15" hidden="false" customHeight="false" outlineLevel="0" collapsed="false">
      <c r="A70" s="7" t="s">
        <v>237</v>
      </c>
      <c r="B70" s="8" t="s">
        <v>238</v>
      </c>
      <c r="C70" s="8" t="s">
        <v>50</v>
      </c>
      <c r="D70" s="14" t="n">
        <v>60000</v>
      </c>
      <c r="E70" s="14" t="n">
        <v>90000</v>
      </c>
      <c r="F70" s="14" t="n">
        <v>120000</v>
      </c>
      <c r="G70" s="10" t="s">
        <v>239</v>
      </c>
      <c r="H70" s="8" t="s">
        <v>26</v>
      </c>
      <c r="I70" s="8" t="s">
        <v>32</v>
      </c>
      <c r="J70" s="10" t="s">
        <v>234</v>
      </c>
    </row>
    <row r="71" customFormat="false" ht="15" hidden="false" customHeight="false" outlineLevel="0" collapsed="false">
      <c r="A71" s="7" t="s">
        <v>240</v>
      </c>
      <c r="B71" s="8" t="s">
        <v>241</v>
      </c>
      <c r="C71" s="8" t="s">
        <v>50</v>
      </c>
      <c r="D71" s="14" t="n">
        <v>10000</v>
      </c>
      <c r="E71" s="14" t="n">
        <v>25000</v>
      </c>
      <c r="F71" s="14" t="n">
        <v>50000</v>
      </c>
      <c r="G71" s="10" t="s">
        <v>242</v>
      </c>
      <c r="H71" s="8" t="s">
        <v>26</v>
      </c>
      <c r="I71" s="8" t="s">
        <v>26</v>
      </c>
      <c r="J71" s="10" t="s">
        <v>243</v>
      </c>
    </row>
    <row r="72" customFormat="false" ht="15" hidden="false" customHeight="false" outlineLevel="0" collapsed="false">
      <c r="A72" s="7" t="s">
        <v>244</v>
      </c>
      <c r="B72" s="8" t="s">
        <v>245</v>
      </c>
      <c r="C72" s="8" t="s">
        <v>50</v>
      </c>
      <c r="D72" s="14" t="n">
        <v>20000</v>
      </c>
      <c r="E72" s="14" t="n">
        <v>50000</v>
      </c>
      <c r="F72" s="14" t="n">
        <v>100000</v>
      </c>
      <c r="G72" s="10"/>
      <c r="H72" s="8" t="s">
        <v>26</v>
      </c>
      <c r="I72" s="8" t="s">
        <v>26</v>
      </c>
      <c r="J72" s="10" t="s">
        <v>243</v>
      </c>
    </row>
    <row r="73" customFormat="false" ht="15" hidden="false" customHeight="false" outlineLevel="0" collapsed="false">
      <c r="A73" s="5" t="s">
        <v>246</v>
      </c>
      <c r="B73" s="6"/>
      <c r="C73" s="6"/>
      <c r="D73" s="6"/>
      <c r="E73" s="6"/>
      <c r="F73" s="6"/>
      <c r="G73" s="6"/>
      <c r="H73" s="6"/>
      <c r="I73" s="6"/>
      <c r="J73" s="6"/>
    </row>
    <row r="74" customFormat="false" ht="15" hidden="false" customHeight="false" outlineLevel="0" collapsed="false">
      <c r="A74" s="7" t="s">
        <v>247</v>
      </c>
      <c r="B74" s="8" t="s">
        <v>248</v>
      </c>
      <c r="C74" s="8" t="s">
        <v>249</v>
      </c>
      <c r="D74" s="9" t="n">
        <v>1</v>
      </c>
      <c r="E74" s="9" t="n">
        <v>1</v>
      </c>
      <c r="F74" s="9" t="n">
        <v>1</v>
      </c>
      <c r="G74" s="10" t="s">
        <v>250</v>
      </c>
      <c r="H74" s="8" t="s">
        <v>251</v>
      </c>
      <c r="I74" s="8" t="s">
        <v>27</v>
      </c>
      <c r="J74" s="10" t="s">
        <v>252</v>
      </c>
    </row>
    <row r="75" customFormat="false" ht="15" hidden="false" customHeight="false" outlineLevel="0" collapsed="false">
      <c r="A75" s="7" t="s">
        <v>253</v>
      </c>
      <c r="B75" s="8" t="s">
        <v>254</v>
      </c>
      <c r="C75" s="8" t="s">
        <v>50</v>
      </c>
      <c r="D75" s="13" t="n">
        <v>25000</v>
      </c>
      <c r="E75" s="13" t="n">
        <v>30000</v>
      </c>
      <c r="F75" s="13" t="n">
        <v>40000</v>
      </c>
      <c r="G75" s="10" t="s">
        <v>255</v>
      </c>
      <c r="H75" s="8" t="s">
        <v>32</v>
      </c>
      <c r="I75" s="8" t="s">
        <v>27</v>
      </c>
      <c r="J75" s="10" t="s">
        <v>256</v>
      </c>
    </row>
    <row r="76" customFormat="false" ht="15" hidden="false" customHeight="false" outlineLevel="0" collapsed="false">
      <c r="A76" s="7" t="s">
        <v>257</v>
      </c>
      <c r="B76" s="8" t="s">
        <v>258</v>
      </c>
      <c r="C76" s="8" t="s">
        <v>41</v>
      </c>
      <c r="D76" s="12" t="n">
        <v>0.03</v>
      </c>
      <c r="E76" s="12" t="n">
        <v>0.03</v>
      </c>
      <c r="F76" s="12" t="n">
        <v>0.03</v>
      </c>
      <c r="G76" s="10" t="s">
        <v>259</v>
      </c>
      <c r="H76" s="8" t="s">
        <v>32</v>
      </c>
      <c r="I76" s="8" t="s">
        <v>27</v>
      </c>
      <c r="J76" s="10" t="s">
        <v>256</v>
      </c>
    </row>
    <row r="77" customFormat="false" ht="15" hidden="false" customHeight="false" outlineLevel="0" collapsed="false">
      <c r="A77" s="7" t="s">
        <v>260</v>
      </c>
      <c r="B77" s="8" t="s">
        <v>261</v>
      </c>
      <c r="C77" s="8" t="s">
        <v>41</v>
      </c>
      <c r="D77" s="15" t="n">
        <v>0.05</v>
      </c>
      <c r="E77" s="15" t="n">
        <v>0.08</v>
      </c>
      <c r="F77" s="15" t="n">
        <v>0.12</v>
      </c>
      <c r="G77" s="10" t="s">
        <v>262</v>
      </c>
      <c r="H77" s="8" t="s">
        <v>32</v>
      </c>
      <c r="I77" s="8" t="s">
        <v>251</v>
      </c>
      <c r="J77" s="10" t="s">
        <v>256</v>
      </c>
    </row>
    <row r="78" customFormat="false" ht="15" hidden="false" customHeight="false" outlineLevel="0" collapsed="false">
      <c r="A78" s="7" t="s">
        <v>263</v>
      </c>
      <c r="B78" s="8" t="s">
        <v>264</v>
      </c>
      <c r="C78" s="8" t="s">
        <v>265</v>
      </c>
      <c r="D78" s="16" t="n">
        <v>1.1</v>
      </c>
      <c r="E78" s="16" t="n">
        <v>1.25</v>
      </c>
      <c r="F78" s="16" t="n">
        <v>1.3</v>
      </c>
      <c r="G78" s="10" t="s">
        <v>266</v>
      </c>
      <c r="H78" s="8" t="s">
        <v>32</v>
      </c>
      <c r="I78" s="8" t="s">
        <v>27</v>
      </c>
      <c r="J78" s="10" t="s">
        <v>267</v>
      </c>
    </row>
    <row r="79" customFormat="false" ht="15" hidden="false" customHeight="false" outlineLevel="0" collapsed="false">
      <c r="A79" s="5" t="s">
        <v>268</v>
      </c>
      <c r="B79" s="6"/>
      <c r="C79" s="6"/>
      <c r="D79" s="6"/>
      <c r="E79" s="6"/>
      <c r="F79" s="6"/>
      <c r="G79" s="6"/>
      <c r="H79" s="6"/>
      <c r="I79" s="6"/>
      <c r="J79" s="6"/>
    </row>
    <row r="80" customFormat="false" ht="15" hidden="false" customHeight="false" outlineLevel="0" collapsed="false">
      <c r="A80" s="7" t="s">
        <v>269</v>
      </c>
      <c r="B80" s="8" t="s">
        <v>270</v>
      </c>
      <c r="C80" s="8" t="s">
        <v>271</v>
      </c>
      <c r="D80" s="17" t="n">
        <v>2</v>
      </c>
      <c r="E80" s="17" t="n">
        <v>1.5</v>
      </c>
      <c r="F80" s="17" t="n">
        <v>1.5</v>
      </c>
      <c r="G80" s="10" t="s">
        <v>272</v>
      </c>
      <c r="H80" s="8" t="s">
        <v>26</v>
      </c>
      <c r="I80" s="8" t="s">
        <v>32</v>
      </c>
      <c r="J80" s="10" t="s">
        <v>273</v>
      </c>
    </row>
    <row r="81" customFormat="false" ht="15" hidden="false" customHeight="false" outlineLevel="0" collapsed="false">
      <c r="A81" s="7" t="s">
        <v>274</v>
      </c>
      <c r="B81" s="8" t="s">
        <v>275</v>
      </c>
      <c r="C81" s="8" t="s">
        <v>50</v>
      </c>
      <c r="D81" s="14" t="n">
        <v>0</v>
      </c>
      <c r="E81" s="14" t="n">
        <v>0</v>
      </c>
      <c r="F81" s="14" t="n">
        <v>0</v>
      </c>
      <c r="G81" s="10" t="s">
        <v>276</v>
      </c>
      <c r="H81" s="8" t="s">
        <v>251</v>
      </c>
      <c r="I81" s="8" t="s">
        <v>251</v>
      </c>
      <c r="J81" s="10" t="s">
        <v>277</v>
      </c>
    </row>
    <row r="83" customFormat="false" ht="15" hidden="false" customHeight="false" outlineLevel="0" collapsed="false">
      <c r="B83" s="3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"/>
    <col collapsed="false" customWidth="true" hidden="false" outlineLevel="0" max="5" min="3" style="0" width="18"/>
  </cols>
  <sheetData>
    <row r="1" customFormat="false" ht="17.35" hidden="false" customHeight="false" outlineLevel="0" collapsed="false">
      <c r="A1" s="1" t="s">
        <v>279</v>
      </c>
    </row>
    <row r="2" customFormat="false" ht="15" hidden="false" customHeight="false" outlineLevel="0" collapsed="false">
      <c r="A2" s="3" t="s">
        <v>280</v>
      </c>
    </row>
    <row r="4" customFormat="false" ht="15" hidden="false" customHeight="false" outlineLevel="0" collapsed="false">
      <c r="A4" s="4" t="s">
        <v>281</v>
      </c>
      <c r="B4" s="4" t="s">
        <v>13</v>
      </c>
      <c r="C4" s="4" t="s">
        <v>14</v>
      </c>
      <c r="D4" s="4" t="s">
        <v>15</v>
      </c>
      <c r="E4" s="4" t="s">
        <v>16</v>
      </c>
    </row>
    <row r="5" customFormat="false" ht="15" hidden="false" customHeight="false" outlineLevel="0" collapsed="false">
      <c r="A5" s="8" t="s">
        <v>282</v>
      </c>
      <c r="B5" s="8" t="s">
        <v>50</v>
      </c>
      <c r="C5" s="18" t="n">
        <f aca="false">SUM(Model_Conservative!D43:O43)</f>
        <v>443993.134974603</v>
      </c>
      <c r="D5" s="18" t="n">
        <f aca="false">SUM(Model_Base!D43:O43)</f>
        <v>3428128.34653253</v>
      </c>
      <c r="E5" s="18" t="n">
        <f aca="false">SUM(Model_Upside!D43:O43)</f>
        <v>14728834.3973829</v>
      </c>
    </row>
    <row r="6" customFormat="false" ht="15" hidden="false" customHeight="false" outlineLevel="0" collapsed="false">
      <c r="A6" s="8" t="s">
        <v>283</v>
      </c>
      <c r="B6" s="8" t="s">
        <v>50</v>
      </c>
      <c r="C6" s="18" t="n">
        <f aca="false">SUM(Model_Conservative!P43:AA43)</f>
        <v>2517835.93316493</v>
      </c>
      <c r="D6" s="18" t="n">
        <f aca="false">SUM(Model_Base!P43:AA43)</f>
        <v>19830860.3834385</v>
      </c>
      <c r="E6" s="18" t="n">
        <f aca="false">SUM(Model_Upside!P43:AA43)</f>
        <v>83677544.6095087</v>
      </c>
    </row>
    <row r="7" customFormat="false" ht="15" hidden="false" customHeight="false" outlineLevel="0" collapsed="false">
      <c r="A7" s="8" t="s">
        <v>284</v>
      </c>
      <c r="B7" s="8" t="s">
        <v>50</v>
      </c>
      <c r="C7" s="18" t="n">
        <f aca="false">SUM(Model_Conservative!AB43:AM43)</f>
        <v>5056214.57497327</v>
      </c>
      <c r="D7" s="18" t="n">
        <f aca="false">SUM(Model_Base!AB43:AM43)</f>
        <v>42820607.7481619</v>
      </c>
      <c r="E7" s="18" t="n">
        <f aca="false">SUM(Model_Upside!AB43:AM43)</f>
        <v>194178417.303234</v>
      </c>
    </row>
    <row r="8" customFormat="false" ht="15" hidden="false" customHeight="false" outlineLevel="0" collapsed="false">
      <c r="A8" s="8" t="s">
        <v>285</v>
      </c>
      <c r="B8" s="8" t="s">
        <v>50</v>
      </c>
      <c r="C8" s="18" t="n">
        <f aca="false">SUM(Model_Conservative!D54:O54)</f>
        <v>147653.373642331</v>
      </c>
      <c r="D8" s="18" t="n">
        <f aca="false">SUM(Model_Base!D54:O54)</f>
        <v>1717740.40406068</v>
      </c>
      <c r="E8" s="18" t="n">
        <f aca="false">SUM(Model_Upside!D54:O54)</f>
        <v>8785277.76373961</v>
      </c>
    </row>
    <row r="9" customFormat="false" ht="15" hidden="false" customHeight="false" outlineLevel="0" collapsed="false">
      <c r="A9" s="8" t="s">
        <v>286</v>
      </c>
      <c r="B9" s="8" t="s">
        <v>50</v>
      </c>
      <c r="C9" s="18" t="n">
        <f aca="false">SUM(Model_Conservative!P54:AA54)</f>
        <v>865047.333363343</v>
      </c>
      <c r="D9" s="18" t="n">
        <f aca="false">SUM(Model_Base!P54:AA54)</f>
        <v>10009261.0158147</v>
      </c>
      <c r="E9" s="18" t="n">
        <f aca="false">SUM(Model_Upside!P54:AA54)</f>
        <v>50035950.5662679</v>
      </c>
    </row>
    <row r="10" customFormat="false" ht="15" hidden="false" customHeight="false" outlineLevel="0" collapsed="false">
      <c r="A10" s="8" t="s">
        <v>287</v>
      </c>
      <c r="B10" s="8" t="s">
        <v>50</v>
      </c>
      <c r="C10" s="18" t="n">
        <f aca="false">SUM(Model_Conservative!AB54:AM54)</f>
        <v>1738951.04337082</v>
      </c>
      <c r="D10" s="18" t="n">
        <f aca="false">SUM(Model_Base!AB54:AM54)</f>
        <v>21570745.6521713</v>
      </c>
      <c r="E10" s="18" t="n">
        <f aca="false">SUM(Model_Upside!AB54:AM54)</f>
        <v>115888435.296787</v>
      </c>
    </row>
    <row r="11" customFormat="false" ht="15" hidden="false" customHeight="false" outlineLevel="0" collapsed="false">
      <c r="A11" s="8" t="s">
        <v>288</v>
      </c>
      <c r="B11" s="8" t="s">
        <v>50</v>
      </c>
      <c r="C11" s="18" t="n">
        <f aca="false">SUM(Model_Conservative!D77:O77)</f>
        <v>-2984706.42040691</v>
      </c>
      <c r="D11" s="18" t="n">
        <f aca="false">SUM(Model_Base!D77:O77)</f>
        <v>-3422156.30633529</v>
      </c>
      <c r="E11" s="18" t="n">
        <f aca="false">SUM(Model_Upside!D77:O77)</f>
        <v>806332.091818123</v>
      </c>
    </row>
    <row r="12" customFormat="false" ht="15" hidden="false" customHeight="false" outlineLevel="0" collapsed="false">
      <c r="A12" s="8" t="s">
        <v>289</v>
      </c>
      <c r="B12" s="8" t="s">
        <v>50</v>
      </c>
      <c r="C12" s="18" t="n">
        <f aca="false">SUM(Model_Conservative!P77:AA77)</f>
        <v>-4065789.43625225</v>
      </c>
      <c r="D12" s="18" t="n">
        <f aca="false">SUM(Model_Base!P77:AA77)</f>
        <v>1043149.42971879</v>
      </c>
      <c r="E12" s="18" t="n">
        <f aca="false">SUM(Model_Upside!P77:AA77)</f>
        <v>35215326.7707559</v>
      </c>
    </row>
    <row r="13" customFormat="false" ht="15" hidden="false" customHeight="false" outlineLevel="0" collapsed="false">
      <c r="A13" s="8" t="s">
        <v>290</v>
      </c>
      <c r="B13" s="8" t="s">
        <v>50</v>
      </c>
      <c r="C13" s="18" t="n">
        <f aca="false">SUM(Model_Conservative!AB77:AM77)</f>
        <v>-4009826.08546325</v>
      </c>
      <c r="D13" s="18" t="n">
        <f aca="false">SUM(Model_Base!AB77:AM77)</f>
        <v>9730799.99989564</v>
      </c>
      <c r="E13" s="18" t="n">
        <f aca="false">SUM(Model_Upside!AB77:AM77)</f>
        <v>93685889.3002318</v>
      </c>
    </row>
    <row r="14" customFormat="false" ht="15" hidden="false" customHeight="false" outlineLevel="0" collapsed="false">
      <c r="A14" s="8" t="s">
        <v>291</v>
      </c>
      <c r="B14" s="8" t="s">
        <v>41</v>
      </c>
      <c r="C14" s="19" t="n">
        <f aca="false">IF(SUM(Model_Conservative!AB43:AM43)=0,0,SUM(Model_Conservative!AB54:AM54)/SUM(Model_Conservative!AB43:AM43))</f>
        <v>0.343923505932305</v>
      </c>
      <c r="D14" s="19" t="n">
        <f aca="false">IF(SUM(Model_Base!AB43:AM43)=0,0,SUM(Model_Base!AB54:AM54)/SUM(Model_Base!AB43:AM43))</f>
        <v>0.503746835613216</v>
      </c>
      <c r="E14" s="19" t="n">
        <f aca="false">IF(SUM(Model_Upside!AB43:AM43)=0,0,SUM(Model_Upside!AB54:AM54)/SUM(Model_Upside!AB43:AM43))</f>
        <v>0.596814192361103</v>
      </c>
    </row>
    <row r="15" customFormat="false" ht="15" hidden="false" customHeight="false" outlineLevel="0" collapsed="false">
      <c r="A15" s="8" t="s">
        <v>292</v>
      </c>
      <c r="B15" s="8" t="s">
        <v>293</v>
      </c>
      <c r="C15" s="20" t="n">
        <f aca="false">Model_Conservative!O24</f>
        <v>229.053237454721</v>
      </c>
      <c r="D15" s="20" t="n">
        <f aca="false">Model_Base!O24</f>
        <v>1687.94877177444</v>
      </c>
      <c r="E15" s="20" t="n">
        <f aca="false">Model_Upside!O24</f>
        <v>6762.97622137344</v>
      </c>
    </row>
    <row r="16" customFormat="false" ht="15" hidden="false" customHeight="false" outlineLevel="0" collapsed="false">
      <c r="A16" s="8" t="s">
        <v>294</v>
      </c>
      <c r="B16" s="8" t="s">
        <v>293</v>
      </c>
      <c r="C16" s="20" t="n">
        <f aca="false">Model_Conservative!AA24</f>
        <v>705.821232789173</v>
      </c>
      <c r="D16" s="20" t="n">
        <f aca="false">Model_Base!AA24</f>
        <v>6030.76915557496</v>
      </c>
      <c r="E16" s="20" t="n">
        <f aca="false">Model_Upside!AA24</f>
        <v>24843.6332937803</v>
      </c>
    </row>
    <row r="17" customFormat="false" ht="15" hidden="false" customHeight="false" outlineLevel="0" collapsed="false">
      <c r="A17" s="8" t="s">
        <v>295</v>
      </c>
      <c r="B17" s="8" t="s">
        <v>293</v>
      </c>
      <c r="C17" s="20" t="n">
        <f aca="false">Model_Conservative!AM24</f>
        <v>1302.82918634881</v>
      </c>
      <c r="D17" s="20" t="n">
        <f aca="false">Model_Base!AM24</f>
        <v>11437.5820313239</v>
      </c>
      <c r="E17" s="20" t="n">
        <f aca="false">Model_Upside!AM24</f>
        <v>52299.6838540519</v>
      </c>
    </row>
    <row r="18" customFormat="false" ht="15" hidden="false" customHeight="false" outlineLevel="0" collapsed="false">
      <c r="A18" s="8" t="s">
        <v>296</v>
      </c>
      <c r="B18" s="8" t="s">
        <v>293</v>
      </c>
      <c r="C18" s="20" t="n">
        <f aca="false">Model_Conservative!AM29</f>
        <v>1595.83944615989</v>
      </c>
      <c r="D18" s="20" t="n">
        <f aca="false">Model_Base!AM29</f>
        <v>8289.87627309169</v>
      </c>
      <c r="E18" s="20" t="n">
        <f aca="false">Model_Upside!AM29</f>
        <v>27495.4241172045</v>
      </c>
    </row>
    <row r="19" customFormat="false" ht="15" hidden="false" customHeight="false" outlineLevel="0" collapsed="false">
      <c r="A19" s="8" t="s">
        <v>297</v>
      </c>
      <c r="B19" s="8" t="s">
        <v>293</v>
      </c>
      <c r="C19" s="20" t="n">
        <f aca="false">Model_Conservative!C15</f>
        <v>1928704.05712949</v>
      </c>
      <c r="D19" s="20" t="n">
        <f aca="false">Model_Base!C15</f>
        <v>4900922.51356663</v>
      </c>
      <c r="E19" s="20" t="n">
        <f aca="false">Model_Upside!C15</f>
        <v>9779343.68695771</v>
      </c>
    </row>
    <row r="20" customFormat="false" ht="15" hidden="false" customHeight="false" outlineLevel="0" collapsed="false">
      <c r="A20" s="8" t="s">
        <v>298</v>
      </c>
      <c r="B20" s="8" t="s">
        <v>50</v>
      </c>
      <c r="C20" s="18" t="n">
        <f aca="false">Model_Conservative!O65</f>
        <v>268.390263013439</v>
      </c>
      <c r="D20" s="18" t="n">
        <f aca="false">Model_Base!O65</f>
        <v>137.511687632181</v>
      </c>
      <c r="E20" s="18" t="n">
        <f aca="false">Model_Upside!O65</f>
        <v>82.1724906625169</v>
      </c>
    </row>
    <row r="21" customFormat="false" ht="15" hidden="false" customHeight="false" outlineLevel="0" collapsed="false">
      <c r="A21" s="8" t="s">
        <v>299</v>
      </c>
      <c r="B21" s="8" t="s">
        <v>50</v>
      </c>
      <c r="C21" s="18" t="n">
        <f aca="false">Model_Conservative!O66</f>
        <v>2003.19184173404</v>
      </c>
      <c r="D21" s="18" t="n">
        <f aca="false">Model_Base!O66</f>
        <v>584.035711960594</v>
      </c>
      <c r="E21" s="18" t="n">
        <f aca="false">Model_Upside!O66</f>
        <v>245.797026940728</v>
      </c>
    </row>
    <row r="22" customFormat="false" ht="15" hidden="false" customHeight="false" outlineLevel="0" collapsed="false">
      <c r="A22" s="8" t="s">
        <v>300</v>
      </c>
      <c r="B22" s="8" t="s">
        <v>50</v>
      </c>
      <c r="C22" s="18" t="n">
        <f aca="false">Model_Conservative!AA66</f>
        <v>1156.48475009158</v>
      </c>
      <c r="D22" s="18" t="n">
        <f aca="false">Model_Base!AA66</f>
        <v>312.622007865893</v>
      </c>
      <c r="E22" s="18" t="n">
        <f aca="false">Model_Upside!AA66</f>
        <v>139.244841354847</v>
      </c>
    </row>
    <row r="23" customFormat="false" ht="15" hidden="false" customHeight="false" outlineLevel="0" collapsed="false">
      <c r="A23" s="8" t="s">
        <v>301</v>
      </c>
      <c r="B23" s="8" t="s">
        <v>50</v>
      </c>
      <c r="C23" s="18" t="n">
        <f aca="false">Model_Conservative!O85</f>
        <v>84.582</v>
      </c>
      <c r="D23" s="18" t="n">
        <f aca="false">Model_Base!O85</f>
        <v>134.4</v>
      </c>
      <c r="E23" s="18" t="n">
        <f aca="false">Model_Upside!O85</f>
        <v>174.452</v>
      </c>
    </row>
    <row r="24" customFormat="false" ht="15" hidden="false" customHeight="false" outlineLevel="0" collapsed="false">
      <c r="A24" s="8" t="s">
        <v>302</v>
      </c>
      <c r="B24" s="8" t="s">
        <v>50</v>
      </c>
      <c r="C24" s="18" t="n">
        <f aca="false">Model_Conservative!O86</f>
        <v>650.630769230769</v>
      </c>
      <c r="D24" s="18" t="n">
        <f aca="false">Model_Base!O86</f>
        <v>1221.81818181818</v>
      </c>
      <c r="E24" s="18" t="n">
        <f aca="false">Model_Upside!O86</f>
        <v>1744.52</v>
      </c>
    </row>
    <row r="25" customFormat="false" ht="15" hidden="false" customHeight="false" outlineLevel="0" collapsed="false">
      <c r="A25" s="8" t="s">
        <v>303</v>
      </c>
      <c r="B25" s="8" t="s">
        <v>265</v>
      </c>
      <c r="C25" s="21" t="n">
        <f aca="false">Model_Conservative!AA87</f>
        <v>0.562593470583373</v>
      </c>
      <c r="D25" s="21" t="n">
        <f aca="false">Model_Base!AA87</f>
        <v>3.9082922861346</v>
      </c>
      <c r="E25" s="21" t="n">
        <f aca="false">Model_Upside!AA87</f>
        <v>12.5284354021728</v>
      </c>
    </row>
    <row r="26" customFormat="false" ht="15" hidden="false" customHeight="false" outlineLevel="0" collapsed="false">
      <c r="A26" s="8" t="s">
        <v>304</v>
      </c>
      <c r="B26" s="8" t="s">
        <v>271</v>
      </c>
      <c r="C26" s="22" t="n">
        <f aca="false">Model_Conservative!AA88</f>
        <v>13.6729416435126</v>
      </c>
      <c r="D26" s="22" t="n">
        <f aca="false">Model_Base!AA88</f>
        <v>2.32605660614504</v>
      </c>
      <c r="E26" s="22" t="n">
        <f aca="false">Model_Upside!AA88</f>
        <v>0.798184264753896</v>
      </c>
    </row>
    <row r="27" customFormat="false" ht="15" hidden="false" customHeight="false" outlineLevel="0" collapsed="false">
      <c r="A27" s="8" t="s">
        <v>305</v>
      </c>
      <c r="B27" s="8" t="s">
        <v>50</v>
      </c>
      <c r="C27" s="18" t="n">
        <f aca="false">Model_Conservative!AM89</f>
        <v>181.045995219093</v>
      </c>
      <c r="D27" s="18" t="n">
        <f aca="false">Model_Base!AM89</f>
        <v>232.119019824938</v>
      </c>
      <c r="E27" s="18" t="n">
        <f aca="false">Model_Upside!AM89</f>
        <v>275.673573220664</v>
      </c>
    </row>
    <row r="28" customFormat="false" ht="15" hidden="false" customHeight="false" outlineLevel="0" collapsed="false">
      <c r="A28" s="8" t="s">
        <v>306</v>
      </c>
      <c r="B28" s="8" t="s">
        <v>24</v>
      </c>
      <c r="C28" s="23" t="str">
        <f aca="false">IF(MIN(Model_Conservative!D82:AM82)=999,"Not within 36 months",MIN(Model_Conservative!D82:AM82))</f>
        <v>Not within 36 months</v>
      </c>
      <c r="D28" s="23" t="n">
        <f aca="false">IF(MIN(Model_Base!D82:AM82)=999,"Not within 36 months",MIN(Model_Base!D82:AM82))</f>
        <v>18</v>
      </c>
      <c r="E28" s="23" t="n">
        <f aca="false">IF(MIN(Model_Upside!D82:AM82)=999,"Not within 36 months",MIN(Model_Upside!D82:AM82))</f>
        <v>8</v>
      </c>
    </row>
    <row r="29" customFormat="false" ht="15" hidden="false" customHeight="false" outlineLevel="0" collapsed="false">
      <c r="A29" s="8" t="s">
        <v>307</v>
      </c>
      <c r="B29" s="8" t="s">
        <v>50</v>
      </c>
      <c r="C29" s="18" t="n">
        <f aca="false">MIN(Model_Conservative!D80:AM80)</f>
        <v>-11189400.3265358</v>
      </c>
      <c r="D29" s="18" t="n">
        <f aca="false">MIN(Model_Base!D80:AM80)</f>
        <v>-4165450.0734033</v>
      </c>
      <c r="E29" s="18" t="n">
        <f aca="false">MIN(Model_Upside!D80:AM80)</f>
        <v>-2325279.21682266</v>
      </c>
    </row>
    <row r="30" customFormat="false" ht="15" hidden="false" customHeight="false" outlineLevel="0" collapsed="false">
      <c r="A30" s="8" t="s">
        <v>308</v>
      </c>
      <c r="B30" s="8" t="s">
        <v>50</v>
      </c>
      <c r="C30" s="18" t="n">
        <f aca="false">-MIN(Model_Conservative!D80:AM80)*1.15</f>
        <v>12867810.3755162</v>
      </c>
      <c r="D30" s="18" t="n">
        <f aca="false">-MIN(Model_Base!D80:AM80)*1.15</f>
        <v>4790267.58441379</v>
      </c>
      <c r="E30" s="18" t="n">
        <f aca="false">-MIN(Model_Upside!D80:AM80)*1.15</f>
        <v>2674071.09934606</v>
      </c>
    </row>
    <row r="31" customFormat="false" ht="15" hidden="false" customHeight="false" outlineLevel="0" collapsed="false">
      <c r="A31" s="8" t="s">
        <v>309</v>
      </c>
      <c r="B31" s="8" t="s">
        <v>50</v>
      </c>
      <c r="C31" s="18" t="n">
        <f aca="false">Model_Conservative!AM80</f>
        <v>-11189400.3265358</v>
      </c>
      <c r="D31" s="18" t="n">
        <f aca="false">Model_Base!AM80</f>
        <v>6911807.86286002</v>
      </c>
      <c r="E31" s="18" t="n">
        <f aca="false">Model_Upside!AM80</f>
        <v>128321898.425085</v>
      </c>
    </row>
    <row r="32" customFormat="false" ht="15" hidden="false" customHeight="false" outlineLevel="0" collapsed="false">
      <c r="A32" s="8" t="s">
        <v>310</v>
      </c>
      <c r="B32" s="8" t="s">
        <v>50</v>
      </c>
      <c r="C32" s="18" t="n">
        <f aca="false">-(Model_Conservative!C60+Model_Conservative!C61)</f>
        <v>1015541.30929338</v>
      </c>
      <c r="D32" s="18" t="n">
        <f aca="false">-(Model_Base!C60+Model_Base!C61)</f>
        <v>2942387.89434399</v>
      </c>
      <c r="E32" s="18" t="n">
        <f aca="false">-(Model_Upside!C60+Model_Upside!C61)</f>
        <v>10057543.8893038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39" min="4" style="0" width="11"/>
  </cols>
  <sheetData>
    <row r="1" customFormat="false" ht="17.35" hidden="false" customHeight="false" outlineLevel="0" collapsed="false">
      <c r="A1" s="1" t="s">
        <v>311</v>
      </c>
    </row>
    <row r="2" customFormat="false" ht="15" hidden="false" customHeight="false" outlineLevel="0" collapsed="false">
      <c r="A2" s="3" t="s">
        <v>312</v>
      </c>
    </row>
    <row r="3" customFormat="false" ht="15" hidden="false" customHeight="false" outlineLevel="0" collapsed="false">
      <c r="A3" s="4" t="s">
        <v>313</v>
      </c>
      <c r="B3" s="4" t="s">
        <v>13</v>
      </c>
      <c r="C3" s="4" t="s">
        <v>314</v>
      </c>
      <c r="D3" s="24" t="n">
        <v>1</v>
      </c>
      <c r="E3" s="24" t="n">
        <v>2</v>
      </c>
      <c r="F3" s="24" t="n">
        <v>3</v>
      </c>
      <c r="G3" s="24" t="n">
        <v>4</v>
      </c>
      <c r="H3" s="24" t="n">
        <v>5</v>
      </c>
      <c r="I3" s="24" t="n">
        <v>6</v>
      </c>
      <c r="J3" s="24" t="n">
        <v>7</v>
      </c>
      <c r="K3" s="24" t="n">
        <v>8</v>
      </c>
      <c r="L3" s="24" t="n">
        <v>9</v>
      </c>
      <c r="M3" s="24" t="n">
        <v>10</v>
      </c>
      <c r="N3" s="24" t="n">
        <v>11</v>
      </c>
      <c r="O3" s="24" t="n">
        <v>12</v>
      </c>
      <c r="P3" s="24" t="n">
        <v>13</v>
      </c>
      <c r="Q3" s="24" t="n">
        <v>14</v>
      </c>
      <c r="R3" s="24" t="n">
        <v>15</v>
      </c>
      <c r="S3" s="24" t="n">
        <v>16</v>
      </c>
      <c r="T3" s="24" t="n">
        <v>17</v>
      </c>
      <c r="U3" s="24" t="n">
        <v>18</v>
      </c>
      <c r="V3" s="24" t="n">
        <v>19</v>
      </c>
      <c r="W3" s="24" t="n">
        <v>20</v>
      </c>
      <c r="X3" s="24" t="n">
        <v>21</v>
      </c>
      <c r="Y3" s="24" t="n">
        <v>22</v>
      </c>
      <c r="Z3" s="24" t="n">
        <v>23</v>
      </c>
      <c r="AA3" s="24" t="n">
        <v>24</v>
      </c>
      <c r="AB3" s="24" t="n">
        <v>25</v>
      </c>
      <c r="AC3" s="24" t="n">
        <v>26</v>
      </c>
      <c r="AD3" s="24" t="n">
        <v>27</v>
      </c>
      <c r="AE3" s="24" t="n">
        <v>28</v>
      </c>
      <c r="AF3" s="24" t="n">
        <v>29</v>
      </c>
      <c r="AG3" s="24" t="n">
        <v>30</v>
      </c>
      <c r="AH3" s="24" t="n">
        <v>31</v>
      </c>
      <c r="AI3" s="24" t="n">
        <v>32</v>
      </c>
      <c r="AJ3" s="24" t="n">
        <v>33</v>
      </c>
      <c r="AK3" s="24" t="n">
        <v>34</v>
      </c>
      <c r="AL3" s="24" t="n">
        <v>35</v>
      </c>
      <c r="AM3" s="24" t="n">
        <v>36</v>
      </c>
    </row>
    <row r="4" customFormat="false" ht="15" hidden="false" customHeight="false" outlineLevel="0" collapsed="false">
      <c r="A4" s="5" t="s">
        <v>315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customFormat="false" ht="15" hidden="false" customHeight="false" outlineLevel="0" collapsed="false">
      <c r="A5" s="8" t="s">
        <v>316</v>
      </c>
      <c r="B5" s="8" t="s">
        <v>293</v>
      </c>
      <c r="D5" s="25" t="n">
        <f aca="false">D$3</f>
        <v>1</v>
      </c>
      <c r="E5" s="25" t="n">
        <f aca="false">E$3</f>
        <v>2</v>
      </c>
      <c r="F5" s="25" t="n">
        <f aca="false">F$3</f>
        <v>3</v>
      </c>
      <c r="G5" s="25" t="n">
        <f aca="false">G$3</f>
        <v>4</v>
      </c>
      <c r="H5" s="25" t="n">
        <f aca="false">H$3</f>
        <v>5</v>
      </c>
      <c r="I5" s="25" t="n">
        <f aca="false">I$3</f>
        <v>6</v>
      </c>
      <c r="J5" s="25" t="n">
        <f aca="false">J$3</f>
        <v>7</v>
      </c>
      <c r="K5" s="25" t="n">
        <f aca="false">K$3</f>
        <v>8</v>
      </c>
      <c r="L5" s="25" t="n">
        <f aca="false">L$3</f>
        <v>9</v>
      </c>
      <c r="M5" s="25" t="n">
        <f aca="false">M$3</f>
        <v>10</v>
      </c>
      <c r="N5" s="25" t="n">
        <f aca="false">N$3</f>
        <v>11</v>
      </c>
      <c r="O5" s="25" t="n">
        <f aca="false">O$3</f>
        <v>12</v>
      </c>
      <c r="P5" s="25" t="n">
        <f aca="false">P$3</f>
        <v>13</v>
      </c>
      <c r="Q5" s="25" t="n">
        <f aca="false">Q$3</f>
        <v>14</v>
      </c>
      <c r="R5" s="25" t="n">
        <f aca="false">R$3</f>
        <v>15</v>
      </c>
      <c r="S5" s="25" t="n">
        <f aca="false">S$3</f>
        <v>16</v>
      </c>
      <c r="T5" s="25" t="n">
        <f aca="false">T$3</f>
        <v>17</v>
      </c>
      <c r="U5" s="25" t="n">
        <f aca="false">U$3</f>
        <v>18</v>
      </c>
      <c r="V5" s="25" t="n">
        <f aca="false">V$3</f>
        <v>19</v>
      </c>
      <c r="W5" s="25" t="n">
        <f aca="false">W$3</f>
        <v>20</v>
      </c>
      <c r="X5" s="25" t="n">
        <f aca="false">X$3</f>
        <v>21</v>
      </c>
      <c r="Y5" s="25" t="n">
        <f aca="false">Y$3</f>
        <v>22</v>
      </c>
      <c r="Z5" s="25" t="n">
        <f aca="false">Z$3</f>
        <v>23</v>
      </c>
      <c r="AA5" s="25" t="n">
        <f aca="false">AA$3</f>
        <v>24</v>
      </c>
      <c r="AB5" s="25" t="n">
        <f aca="false">AB$3</f>
        <v>25</v>
      </c>
      <c r="AC5" s="25" t="n">
        <f aca="false">AC$3</f>
        <v>26</v>
      </c>
      <c r="AD5" s="25" t="n">
        <f aca="false">AD$3</f>
        <v>27</v>
      </c>
      <c r="AE5" s="25" t="n">
        <f aca="false">AE$3</f>
        <v>28</v>
      </c>
      <c r="AF5" s="25" t="n">
        <f aca="false">AF$3</f>
        <v>29</v>
      </c>
      <c r="AG5" s="25" t="n">
        <f aca="false">AG$3</f>
        <v>30</v>
      </c>
      <c r="AH5" s="25" t="n">
        <f aca="false">AH$3</f>
        <v>31</v>
      </c>
      <c r="AI5" s="25" t="n">
        <f aca="false">AI$3</f>
        <v>32</v>
      </c>
      <c r="AJ5" s="25" t="n">
        <f aca="false">AJ$3</f>
        <v>33</v>
      </c>
      <c r="AK5" s="25" t="n">
        <f aca="false">AK$3</f>
        <v>34</v>
      </c>
      <c r="AL5" s="25" t="n">
        <f aca="false">AL$3</f>
        <v>35</v>
      </c>
      <c r="AM5" s="25" t="n">
        <f aca="false">AM$3</f>
        <v>36</v>
      </c>
    </row>
    <row r="6" customFormat="false" ht="15" hidden="false" customHeight="false" outlineLevel="0" collapsed="false">
      <c r="A6" s="8" t="s">
        <v>317</v>
      </c>
      <c r="B6" s="8" t="s">
        <v>249</v>
      </c>
      <c r="D6" s="25" t="n">
        <f aca="false">IF(D$3&lt;Assumptions!$D$7,1,0)</f>
        <v>1</v>
      </c>
      <c r="E6" s="25" t="n">
        <f aca="false">IF(E$3&lt;Assumptions!$D$7,1,0)</f>
        <v>1</v>
      </c>
      <c r="F6" s="25" t="n">
        <f aca="false">IF(F$3&lt;Assumptions!$D$7,1,0)</f>
        <v>1</v>
      </c>
      <c r="G6" s="25" t="n">
        <f aca="false">IF(G$3&lt;Assumptions!$D$7,1,0)</f>
        <v>1</v>
      </c>
      <c r="H6" s="25" t="n">
        <f aca="false">IF(H$3&lt;Assumptions!$D$7,1,0)</f>
        <v>1</v>
      </c>
      <c r="I6" s="25" t="n">
        <f aca="false">IF(I$3&lt;Assumptions!$D$7,1,0)</f>
        <v>0</v>
      </c>
      <c r="J6" s="25" t="n">
        <f aca="false">IF(J$3&lt;Assumptions!$D$7,1,0)</f>
        <v>0</v>
      </c>
      <c r="K6" s="25" t="n">
        <f aca="false">IF(K$3&lt;Assumptions!$D$7,1,0)</f>
        <v>0</v>
      </c>
      <c r="L6" s="25" t="n">
        <f aca="false">IF(L$3&lt;Assumptions!$D$7,1,0)</f>
        <v>0</v>
      </c>
      <c r="M6" s="25" t="n">
        <f aca="false">IF(M$3&lt;Assumptions!$D$7,1,0)</f>
        <v>0</v>
      </c>
      <c r="N6" s="25" t="n">
        <f aca="false">IF(N$3&lt;Assumptions!$D$7,1,0)</f>
        <v>0</v>
      </c>
      <c r="O6" s="25" t="n">
        <f aca="false">IF(O$3&lt;Assumptions!$D$7,1,0)</f>
        <v>0</v>
      </c>
      <c r="P6" s="25" t="n">
        <f aca="false">IF(P$3&lt;Assumptions!$D$7,1,0)</f>
        <v>0</v>
      </c>
      <c r="Q6" s="25" t="n">
        <f aca="false">IF(Q$3&lt;Assumptions!$D$7,1,0)</f>
        <v>0</v>
      </c>
      <c r="R6" s="25" t="n">
        <f aca="false">IF(R$3&lt;Assumptions!$D$7,1,0)</f>
        <v>0</v>
      </c>
      <c r="S6" s="25" t="n">
        <f aca="false">IF(S$3&lt;Assumptions!$D$7,1,0)</f>
        <v>0</v>
      </c>
      <c r="T6" s="25" t="n">
        <f aca="false">IF(T$3&lt;Assumptions!$D$7,1,0)</f>
        <v>0</v>
      </c>
      <c r="U6" s="25" t="n">
        <f aca="false">IF(U$3&lt;Assumptions!$D$7,1,0)</f>
        <v>0</v>
      </c>
      <c r="V6" s="25" t="n">
        <f aca="false">IF(V$3&lt;Assumptions!$D$7,1,0)</f>
        <v>0</v>
      </c>
      <c r="W6" s="25" t="n">
        <f aca="false">IF(W$3&lt;Assumptions!$D$7,1,0)</f>
        <v>0</v>
      </c>
      <c r="X6" s="25" t="n">
        <f aca="false">IF(X$3&lt;Assumptions!$D$7,1,0)</f>
        <v>0</v>
      </c>
      <c r="Y6" s="25" t="n">
        <f aca="false">IF(Y$3&lt;Assumptions!$D$7,1,0)</f>
        <v>0</v>
      </c>
      <c r="Z6" s="25" t="n">
        <f aca="false">IF(Z$3&lt;Assumptions!$D$7,1,0)</f>
        <v>0</v>
      </c>
      <c r="AA6" s="25" t="n">
        <f aca="false">IF(AA$3&lt;Assumptions!$D$7,1,0)</f>
        <v>0</v>
      </c>
      <c r="AB6" s="25" t="n">
        <f aca="false">IF(AB$3&lt;Assumptions!$D$7,1,0)</f>
        <v>0</v>
      </c>
      <c r="AC6" s="25" t="n">
        <f aca="false">IF(AC$3&lt;Assumptions!$D$7,1,0)</f>
        <v>0</v>
      </c>
      <c r="AD6" s="25" t="n">
        <f aca="false">IF(AD$3&lt;Assumptions!$D$7,1,0)</f>
        <v>0</v>
      </c>
      <c r="AE6" s="25" t="n">
        <f aca="false">IF(AE$3&lt;Assumptions!$D$7,1,0)</f>
        <v>0</v>
      </c>
      <c r="AF6" s="25" t="n">
        <f aca="false">IF(AF$3&lt;Assumptions!$D$7,1,0)</f>
        <v>0</v>
      </c>
      <c r="AG6" s="25" t="n">
        <f aca="false">IF(AG$3&lt;Assumptions!$D$7,1,0)</f>
        <v>0</v>
      </c>
      <c r="AH6" s="25" t="n">
        <f aca="false">IF(AH$3&lt;Assumptions!$D$7,1,0)</f>
        <v>0</v>
      </c>
      <c r="AI6" s="25" t="n">
        <f aca="false">IF(AI$3&lt;Assumptions!$D$7,1,0)</f>
        <v>0</v>
      </c>
      <c r="AJ6" s="25" t="n">
        <f aca="false">IF(AJ$3&lt;Assumptions!$D$7,1,0)</f>
        <v>0</v>
      </c>
      <c r="AK6" s="25" t="n">
        <f aca="false">IF(AK$3&lt;Assumptions!$D$7,1,0)</f>
        <v>0</v>
      </c>
      <c r="AL6" s="25" t="n">
        <f aca="false">IF(AL$3&lt;Assumptions!$D$7,1,0)</f>
        <v>0</v>
      </c>
      <c r="AM6" s="25" t="n">
        <f aca="false">IF(AM$3&lt;Assumptions!$D$7,1,0)</f>
        <v>0</v>
      </c>
    </row>
    <row r="7" customFormat="false" ht="15" hidden="false" customHeight="false" outlineLevel="0" collapsed="false">
      <c r="A7" s="8" t="s">
        <v>318</v>
      </c>
      <c r="B7" s="8" t="s">
        <v>249</v>
      </c>
      <c r="D7" s="25" t="n">
        <f aca="false">IF(AND(D$3&gt;=Assumptions!$D$7,D$3&lt;Assumptions!$D$6),1,0)</f>
        <v>0</v>
      </c>
      <c r="E7" s="25" t="n">
        <f aca="false">IF(AND(E$3&gt;=Assumptions!$D$7,E$3&lt;Assumptions!$D$6),1,0)</f>
        <v>0</v>
      </c>
      <c r="F7" s="25" t="n">
        <f aca="false">IF(AND(F$3&gt;=Assumptions!$D$7,F$3&lt;Assumptions!$D$6),1,0)</f>
        <v>0</v>
      </c>
      <c r="G7" s="25" t="n">
        <f aca="false">IF(AND(G$3&gt;=Assumptions!$D$7,G$3&lt;Assumptions!$D$6),1,0)</f>
        <v>0</v>
      </c>
      <c r="H7" s="25" t="n">
        <f aca="false">IF(AND(H$3&gt;=Assumptions!$D$7,H$3&lt;Assumptions!$D$6),1,0)</f>
        <v>0</v>
      </c>
      <c r="I7" s="25" t="n">
        <f aca="false">IF(AND(I$3&gt;=Assumptions!$D$7,I$3&lt;Assumptions!$D$6),1,0)</f>
        <v>1</v>
      </c>
      <c r="J7" s="25" t="n">
        <f aca="false">IF(AND(J$3&gt;=Assumptions!$D$7,J$3&lt;Assumptions!$D$6),1,0)</f>
        <v>1</v>
      </c>
      <c r="K7" s="25" t="n">
        <f aca="false">IF(AND(K$3&gt;=Assumptions!$D$7,K$3&lt;Assumptions!$D$6),1,0)</f>
        <v>1</v>
      </c>
      <c r="L7" s="25" t="n">
        <f aca="false">IF(AND(L$3&gt;=Assumptions!$D$7,L$3&lt;Assumptions!$D$6),1,0)</f>
        <v>0</v>
      </c>
      <c r="M7" s="25" t="n">
        <f aca="false">IF(AND(M$3&gt;=Assumptions!$D$7,M$3&lt;Assumptions!$D$6),1,0)</f>
        <v>0</v>
      </c>
      <c r="N7" s="25" t="n">
        <f aca="false">IF(AND(N$3&gt;=Assumptions!$D$7,N$3&lt;Assumptions!$D$6),1,0)</f>
        <v>0</v>
      </c>
      <c r="O7" s="25" t="n">
        <f aca="false">IF(AND(O$3&gt;=Assumptions!$D$7,O$3&lt;Assumptions!$D$6),1,0)</f>
        <v>0</v>
      </c>
      <c r="P7" s="25" t="n">
        <f aca="false">IF(AND(P$3&gt;=Assumptions!$D$7,P$3&lt;Assumptions!$D$6),1,0)</f>
        <v>0</v>
      </c>
      <c r="Q7" s="25" t="n">
        <f aca="false">IF(AND(Q$3&gt;=Assumptions!$D$7,Q$3&lt;Assumptions!$D$6),1,0)</f>
        <v>0</v>
      </c>
      <c r="R7" s="25" t="n">
        <f aca="false">IF(AND(R$3&gt;=Assumptions!$D$7,R$3&lt;Assumptions!$D$6),1,0)</f>
        <v>0</v>
      </c>
      <c r="S7" s="25" t="n">
        <f aca="false">IF(AND(S$3&gt;=Assumptions!$D$7,S$3&lt;Assumptions!$D$6),1,0)</f>
        <v>0</v>
      </c>
      <c r="T7" s="25" t="n">
        <f aca="false">IF(AND(T$3&gt;=Assumptions!$D$7,T$3&lt;Assumptions!$D$6),1,0)</f>
        <v>0</v>
      </c>
      <c r="U7" s="25" t="n">
        <f aca="false">IF(AND(U$3&gt;=Assumptions!$D$7,U$3&lt;Assumptions!$D$6),1,0)</f>
        <v>0</v>
      </c>
      <c r="V7" s="25" t="n">
        <f aca="false">IF(AND(V$3&gt;=Assumptions!$D$7,V$3&lt;Assumptions!$D$6),1,0)</f>
        <v>0</v>
      </c>
      <c r="W7" s="25" t="n">
        <f aca="false">IF(AND(W$3&gt;=Assumptions!$D$7,W$3&lt;Assumptions!$D$6),1,0)</f>
        <v>0</v>
      </c>
      <c r="X7" s="25" t="n">
        <f aca="false">IF(AND(X$3&gt;=Assumptions!$D$7,X$3&lt;Assumptions!$D$6),1,0)</f>
        <v>0</v>
      </c>
      <c r="Y7" s="25" t="n">
        <f aca="false">IF(AND(Y$3&gt;=Assumptions!$D$7,Y$3&lt;Assumptions!$D$6),1,0)</f>
        <v>0</v>
      </c>
      <c r="Z7" s="25" t="n">
        <f aca="false">IF(AND(Z$3&gt;=Assumptions!$D$7,Z$3&lt;Assumptions!$D$6),1,0)</f>
        <v>0</v>
      </c>
      <c r="AA7" s="25" t="n">
        <f aca="false">IF(AND(AA$3&gt;=Assumptions!$D$7,AA$3&lt;Assumptions!$D$6),1,0)</f>
        <v>0</v>
      </c>
      <c r="AB7" s="25" t="n">
        <f aca="false">IF(AND(AB$3&gt;=Assumptions!$D$7,AB$3&lt;Assumptions!$D$6),1,0)</f>
        <v>0</v>
      </c>
      <c r="AC7" s="25" t="n">
        <f aca="false">IF(AND(AC$3&gt;=Assumptions!$D$7,AC$3&lt;Assumptions!$D$6),1,0)</f>
        <v>0</v>
      </c>
      <c r="AD7" s="25" t="n">
        <f aca="false">IF(AND(AD$3&gt;=Assumptions!$D$7,AD$3&lt;Assumptions!$D$6),1,0)</f>
        <v>0</v>
      </c>
      <c r="AE7" s="25" t="n">
        <f aca="false">IF(AND(AE$3&gt;=Assumptions!$D$7,AE$3&lt;Assumptions!$D$6),1,0)</f>
        <v>0</v>
      </c>
      <c r="AF7" s="25" t="n">
        <f aca="false">IF(AND(AF$3&gt;=Assumptions!$D$7,AF$3&lt;Assumptions!$D$6),1,0)</f>
        <v>0</v>
      </c>
      <c r="AG7" s="25" t="n">
        <f aca="false">IF(AND(AG$3&gt;=Assumptions!$D$7,AG$3&lt;Assumptions!$D$6),1,0)</f>
        <v>0</v>
      </c>
      <c r="AH7" s="25" t="n">
        <f aca="false">IF(AND(AH$3&gt;=Assumptions!$D$7,AH$3&lt;Assumptions!$D$6),1,0)</f>
        <v>0</v>
      </c>
      <c r="AI7" s="25" t="n">
        <f aca="false">IF(AND(AI$3&gt;=Assumptions!$D$7,AI$3&lt;Assumptions!$D$6),1,0)</f>
        <v>0</v>
      </c>
      <c r="AJ7" s="25" t="n">
        <f aca="false">IF(AND(AJ$3&gt;=Assumptions!$D$7,AJ$3&lt;Assumptions!$D$6),1,0)</f>
        <v>0</v>
      </c>
      <c r="AK7" s="25" t="n">
        <f aca="false">IF(AND(AK$3&gt;=Assumptions!$D$7,AK$3&lt;Assumptions!$D$6),1,0)</f>
        <v>0</v>
      </c>
      <c r="AL7" s="25" t="n">
        <f aca="false">IF(AND(AL$3&gt;=Assumptions!$D$7,AL$3&lt;Assumptions!$D$6),1,0)</f>
        <v>0</v>
      </c>
      <c r="AM7" s="25" t="n">
        <f aca="false">IF(AND(AM$3&gt;=Assumptions!$D$7,AM$3&lt;Assumptions!$D$6),1,0)</f>
        <v>0</v>
      </c>
    </row>
    <row r="8" customFormat="false" ht="15" hidden="false" customHeight="false" outlineLevel="0" collapsed="false">
      <c r="A8" s="8" t="s">
        <v>319</v>
      </c>
      <c r="B8" s="8" t="s">
        <v>249</v>
      </c>
      <c r="D8" s="25" t="n">
        <f aca="false">IF(D$3=Assumptions!$D$6,1,0)</f>
        <v>0</v>
      </c>
      <c r="E8" s="25" t="n">
        <f aca="false">IF(E$3=Assumptions!$D$6,1,0)</f>
        <v>0</v>
      </c>
      <c r="F8" s="25" t="n">
        <f aca="false">IF(F$3=Assumptions!$D$6,1,0)</f>
        <v>0</v>
      </c>
      <c r="G8" s="25" t="n">
        <f aca="false">IF(G$3=Assumptions!$D$6,1,0)</f>
        <v>0</v>
      </c>
      <c r="H8" s="25" t="n">
        <f aca="false">IF(H$3=Assumptions!$D$6,1,0)</f>
        <v>0</v>
      </c>
      <c r="I8" s="25" t="n">
        <f aca="false">IF(I$3=Assumptions!$D$6,1,0)</f>
        <v>0</v>
      </c>
      <c r="J8" s="25" t="n">
        <f aca="false">IF(J$3=Assumptions!$D$6,1,0)</f>
        <v>0</v>
      </c>
      <c r="K8" s="25" t="n">
        <f aca="false">IF(K$3=Assumptions!$D$6,1,0)</f>
        <v>0</v>
      </c>
      <c r="L8" s="25" t="n">
        <f aca="false">IF(L$3=Assumptions!$D$6,1,0)</f>
        <v>1</v>
      </c>
      <c r="M8" s="25" t="n">
        <f aca="false">IF(M$3=Assumptions!$D$6,1,0)</f>
        <v>0</v>
      </c>
      <c r="N8" s="25" t="n">
        <f aca="false">IF(N$3=Assumptions!$D$6,1,0)</f>
        <v>0</v>
      </c>
      <c r="O8" s="25" t="n">
        <f aca="false">IF(O$3=Assumptions!$D$6,1,0)</f>
        <v>0</v>
      </c>
      <c r="P8" s="25" t="n">
        <f aca="false">IF(P$3=Assumptions!$D$6,1,0)</f>
        <v>0</v>
      </c>
      <c r="Q8" s="25" t="n">
        <f aca="false">IF(Q$3=Assumptions!$D$6,1,0)</f>
        <v>0</v>
      </c>
      <c r="R8" s="25" t="n">
        <f aca="false">IF(R$3=Assumptions!$D$6,1,0)</f>
        <v>0</v>
      </c>
      <c r="S8" s="25" t="n">
        <f aca="false">IF(S$3=Assumptions!$D$6,1,0)</f>
        <v>0</v>
      </c>
      <c r="T8" s="25" t="n">
        <f aca="false">IF(T$3=Assumptions!$D$6,1,0)</f>
        <v>0</v>
      </c>
      <c r="U8" s="25" t="n">
        <f aca="false">IF(U$3=Assumptions!$D$6,1,0)</f>
        <v>0</v>
      </c>
      <c r="V8" s="25" t="n">
        <f aca="false">IF(V$3=Assumptions!$D$6,1,0)</f>
        <v>0</v>
      </c>
      <c r="W8" s="25" t="n">
        <f aca="false">IF(W$3=Assumptions!$D$6,1,0)</f>
        <v>0</v>
      </c>
      <c r="X8" s="25" t="n">
        <f aca="false">IF(X$3=Assumptions!$D$6,1,0)</f>
        <v>0</v>
      </c>
      <c r="Y8" s="25" t="n">
        <f aca="false">IF(Y$3=Assumptions!$D$6,1,0)</f>
        <v>0</v>
      </c>
      <c r="Z8" s="25" t="n">
        <f aca="false">IF(Z$3=Assumptions!$D$6,1,0)</f>
        <v>0</v>
      </c>
      <c r="AA8" s="25" t="n">
        <f aca="false">IF(AA$3=Assumptions!$D$6,1,0)</f>
        <v>0</v>
      </c>
      <c r="AB8" s="25" t="n">
        <f aca="false">IF(AB$3=Assumptions!$D$6,1,0)</f>
        <v>0</v>
      </c>
      <c r="AC8" s="25" t="n">
        <f aca="false">IF(AC$3=Assumptions!$D$6,1,0)</f>
        <v>0</v>
      </c>
      <c r="AD8" s="25" t="n">
        <f aca="false">IF(AD$3=Assumptions!$D$6,1,0)</f>
        <v>0</v>
      </c>
      <c r="AE8" s="25" t="n">
        <f aca="false">IF(AE$3=Assumptions!$D$6,1,0)</f>
        <v>0</v>
      </c>
      <c r="AF8" s="25" t="n">
        <f aca="false">IF(AF$3=Assumptions!$D$6,1,0)</f>
        <v>0</v>
      </c>
      <c r="AG8" s="25" t="n">
        <f aca="false">IF(AG$3=Assumptions!$D$6,1,0)</f>
        <v>0</v>
      </c>
      <c r="AH8" s="25" t="n">
        <f aca="false">IF(AH$3=Assumptions!$D$6,1,0)</f>
        <v>0</v>
      </c>
      <c r="AI8" s="25" t="n">
        <f aca="false">IF(AI$3=Assumptions!$D$6,1,0)</f>
        <v>0</v>
      </c>
      <c r="AJ8" s="25" t="n">
        <f aca="false">IF(AJ$3=Assumptions!$D$6,1,0)</f>
        <v>0</v>
      </c>
      <c r="AK8" s="25" t="n">
        <f aca="false">IF(AK$3=Assumptions!$D$6,1,0)</f>
        <v>0</v>
      </c>
      <c r="AL8" s="25" t="n">
        <f aca="false">IF(AL$3=Assumptions!$D$6,1,0)</f>
        <v>0</v>
      </c>
      <c r="AM8" s="25" t="n">
        <f aca="false">IF(AM$3=Assumptions!$D$6,1,0)</f>
        <v>0</v>
      </c>
    </row>
    <row r="9" customFormat="false" ht="15" hidden="false" customHeight="false" outlineLevel="0" collapsed="false">
      <c r="A9" s="8" t="s">
        <v>320</v>
      </c>
      <c r="B9" s="8" t="s">
        <v>249</v>
      </c>
      <c r="D9" s="25" t="n">
        <f aca="false">IF(D$3&gt;=Assumptions!$D$6,1,0)</f>
        <v>0</v>
      </c>
      <c r="E9" s="25" t="n">
        <f aca="false">IF(E$3&gt;=Assumptions!$D$6,1,0)</f>
        <v>0</v>
      </c>
      <c r="F9" s="25" t="n">
        <f aca="false">IF(F$3&gt;=Assumptions!$D$6,1,0)</f>
        <v>0</v>
      </c>
      <c r="G9" s="25" t="n">
        <f aca="false">IF(G$3&gt;=Assumptions!$D$6,1,0)</f>
        <v>0</v>
      </c>
      <c r="H9" s="25" t="n">
        <f aca="false">IF(H$3&gt;=Assumptions!$D$6,1,0)</f>
        <v>0</v>
      </c>
      <c r="I9" s="25" t="n">
        <f aca="false">IF(I$3&gt;=Assumptions!$D$6,1,0)</f>
        <v>0</v>
      </c>
      <c r="J9" s="25" t="n">
        <f aca="false">IF(J$3&gt;=Assumptions!$D$6,1,0)</f>
        <v>0</v>
      </c>
      <c r="K9" s="25" t="n">
        <f aca="false">IF(K$3&gt;=Assumptions!$D$6,1,0)</f>
        <v>0</v>
      </c>
      <c r="L9" s="25" t="n">
        <f aca="false">IF(L$3&gt;=Assumptions!$D$6,1,0)</f>
        <v>1</v>
      </c>
      <c r="M9" s="25" t="n">
        <f aca="false">IF(M$3&gt;=Assumptions!$D$6,1,0)</f>
        <v>1</v>
      </c>
      <c r="N9" s="25" t="n">
        <f aca="false">IF(N$3&gt;=Assumptions!$D$6,1,0)</f>
        <v>1</v>
      </c>
      <c r="O9" s="25" t="n">
        <f aca="false">IF(O$3&gt;=Assumptions!$D$6,1,0)</f>
        <v>1</v>
      </c>
      <c r="P9" s="25" t="n">
        <f aca="false">IF(P$3&gt;=Assumptions!$D$6,1,0)</f>
        <v>1</v>
      </c>
      <c r="Q9" s="25" t="n">
        <f aca="false">IF(Q$3&gt;=Assumptions!$D$6,1,0)</f>
        <v>1</v>
      </c>
      <c r="R9" s="25" t="n">
        <f aca="false">IF(R$3&gt;=Assumptions!$D$6,1,0)</f>
        <v>1</v>
      </c>
      <c r="S9" s="25" t="n">
        <f aca="false">IF(S$3&gt;=Assumptions!$D$6,1,0)</f>
        <v>1</v>
      </c>
      <c r="T9" s="25" t="n">
        <f aca="false">IF(T$3&gt;=Assumptions!$D$6,1,0)</f>
        <v>1</v>
      </c>
      <c r="U9" s="25" t="n">
        <f aca="false">IF(U$3&gt;=Assumptions!$D$6,1,0)</f>
        <v>1</v>
      </c>
      <c r="V9" s="25" t="n">
        <f aca="false">IF(V$3&gt;=Assumptions!$D$6,1,0)</f>
        <v>1</v>
      </c>
      <c r="W9" s="25" t="n">
        <f aca="false">IF(W$3&gt;=Assumptions!$D$6,1,0)</f>
        <v>1</v>
      </c>
      <c r="X9" s="25" t="n">
        <f aca="false">IF(X$3&gt;=Assumptions!$D$6,1,0)</f>
        <v>1</v>
      </c>
      <c r="Y9" s="25" t="n">
        <f aca="false">IF(Y$3&gt;=Assumptions!$D$6,1,0)</f>
        <v>1</v>
      </c>
      <c r="Z9" s="25" t="n">
        <f aca="false">IF(Z$3&gt;=Assumptions!$D$6,1,0)</f>
        <v>1</v>
      </c>
      <c r="AA9" s="25" t="n">
        <f aca="false">IF(AA$3&gt;=Assumptions!$D$6,1,0)</f>
        <v>1</v>
      </c>
      <c r="AB9" s="25" t="n">
        <f aca="false">IF(AB$3&gt;=Assumptions!$D$6,1,0)</f>
        <v>1</v>
      </c>
      <c r="AC9" s="25" t="n">
        <f aca="false">IF(AC$3&gt;=Assumptions!$D$6,1,0)</f>
        <v>1</v>
      </c>
      <c r="AD9" s="25" t="n">
        <f aca="false">IF(AD$3&gt;=Assumptions!$D$6,1,0)</f>
        <v>1</v>
      </c>
      <c r="AE9" s="25" t="n">
        <f aca="false">IF(AE$3&gt;=Assumptions!$D$6,1,0)</f>
        <v>1</v>
      </c>
      <c r="AF9" s="25" t="n">
        <f aca="false">IF(AF$3&gt;=Assumptions!$D$6,1,0)</f>
        <v>1</v>
      </c>
      <c r="AG9" s="25" t="n">
        <f aca="false">IF(AG$3&gt;=Assumptions!$D$6,1,0)</f>
        <v>1</v>
      </c>
      <c r="AH9" s="25" t="n">
        <f aca="false">IF(AH$3&gt;=Assumptions!$D$6,1,0)</f>
        <v>1</v>
      </c>
      <c r="AI9" s="25" t="n">
        <f aca="false">IF(AI$3&gt;=Assumptions!$D$6,1,0)</f>
        <v>1</v>
      </c>
      <c r="AJ9" s="25" t="n">
        <f aca="false">IF(AJ$3&gt;=Assumptions!$D$6,1,0)</f>
        <v>1</v>
      </c>
      <c r="AK9" s="25" t="n">
        <f aca="false">IF(AK$3&gt;=Assumptions!$D$6,1,0)</f>
        <v>1</v>
      </c>
      <c r="AL9" s="25" t="n">
        <f aca="false">IF(AL$3&gt;=Assumptions!$D$6,1,0)</f>
        <v>1</v>
      </c>
      <c r="AM9" s="25" t="n">
        <f aca="false">IF(AM$3&gt;=Assumptions!$D$6,1,0)</f>
        <v>1</v>
      </c>
    </row>
    <row r="10" customFormat="false" ht="15" hidden="false" customHeight="false" outlineLevel="0" collapsed="false">
      <c r="A10" s="8" t="s">
        <v>321</v>
      </c>
      <c r="B10" s="8" t="s">
        <v>41</v>
      </c>
      <c r="D10" s="26" t="n">
        <f aca="false">IF(D$3&lt;Assumptions!$D$7,0,IF(D$3&lt;Assumptions!$D$6,Assumptions!$D$22*0.5,MIN(Assumptions!$D$24,Assumptions!$D$22+Assumptions!$D$23*(D$3-Assumptions!$D$6))))</f>
        <v>0</v>
      </c>
      <c r="E10" s="26" t="n">
        <f aca="false">IF(E$3&lt;Assumptions!$D$7,0,IF(E$3&lt;Assumptions!$D$6,Assumptions!$D$22*0.5,MIN(Assumptions!$D$24,Assumptions!$D$22+Assumptions!$D$23*(E$3-Assumptions!$D$6))))</f>
        <v>0</v>
      </c>
      <c r="F10" s="26" t="n">
        <f aca="false">IF(F$3&lt;Assumptions!$D$7,0,IF(F$3&lt;Assumptions!$D$6,Assumptions!$D$22*0.5,MIN(Assumptions!$D$24,Assumptions!$D$22+Assumptions!$D$23*(F$3-Assumptions!$D$6))))</f>
        <v>0</v>
      </c>
      <c r="G10" s="26" t="n">
        <f aca="false">IF(G$3&lt;Assumptions!$D$7,0,IF(G$3&lt;Assumptions!$D$6,Assumptions!$D$22*0.5,MIN(Assumptions!$D$24,Assumptions!$D$22+Assumptions!$D$23*(G$3-Assumptions!$D$6))))</f>
        <v>0</v>
      </c>
      <c r="H10" s="26" t="n">
        <f aca="false">IF(H$3&lt;Assumptions!$D$7,0,IF(H$3&lt;Assumptions!$D$6,Assumptions!$D$22*0.5,MIN(Assumptions!$D$24,Assumptions!$D$22+Assumptions!$D$23*(H$3-Assumptions!$D$6))))</f>
        <v>0</v>
      </c>
      <c r="I10" s="26" t="n">
        <f aca="false">IF(I$3&lt;Assumptions!$D$7,0,IF(I$3&lt;Assumptions!$D$6,Assumptions!$D$22*0.5,MIN(Assumptions!$D$24,Assumptions!$D$22+Assumptions!$D$23*(I$3-Assumptions!$D$6))))</f>
        <v>0.175</v>
      </c>
      <c r="J10" s="26" t="n">
        <f aca="false">IF(J$3&lt;Assumptions!$D$7,0,IF(J$3&lt;Assumptions!$D$6,Assumptions!$D$22*0.5,MIN(Assumptions!$D$24,Assumptions!$D$22+Assumptions!$D$23*(J$3-Assumptions!$D$6))))</f>
        <v>0.175</v>
      </c>
      <c r="K10" s="26" t="n">
        <f aca="false">IF(K$3&lt;Assumptions!$D$7,0,IF(K$3&lt;Assumptions!$D$6,Assumptions!$D$22*0.5,MIN(Assumptions!$D$24,Assumptions!$D$22+Assumptions!$D$23*(K$3-Assumptions!$D$6))))</f>
        <v>0.175</v>
      </c>
      <c r="L10" s="26" t="n">
        <f aca="false">IF(L$3&lt;Assumptions!$D$7,0,IF(L$3&lt;Assumptions!$D$6,Assumptions!$D$22*0.5,MIN(Assumptions!$D$24,Assumptions!$D$22+Assumptions!$D$23*(L$3-Assumptions!$D$6))))</f>
        <v>0.35</v>
      </c>
      <c r="M10" s="26" t="n">
        <f aca="false">IF(M$3&lt;Assumptions!$D$7,0,IF(M$3&lt;Assumptions!$D$6,Assumptions!$D$22*0.5,MIN(Assumptions!$D$24,Assumptions!$D$22+Assumptions!$D$23*(M$3-Assumptions!$D$6))))</f>
        <v>0.37</v>
      </c>
      <c r="N10" s="26" t="n">
        <f aca="false">IF(N$3&lt;Assumptions!$D$7,0,IF(N$3&lt;Assumptions!$D$6,Assumptions!$D$22*0.5,MIN(Assumptions!$D$24,Assumptions!$D$22+Assumptions!$D$23*(N$3-Assumptions!$D$6))))</f>
        <v>0.39</v>
      </c>
      <c r="O10" s="26" t="n">
        <f aca="false">IF(O$3&lt;Assumptions!$D$7,0,IF(O$3&lt;Assumptions!$D$6,Assumptions!$D$22*0.5,MIN(Assumptions!$D$24,Assumptions!$D$22+Assumptions!$D$23*(O$3-Assumptions!$D$6))))</f>
        <v>0.41</v>
      </c>
      <c r="P10" s="26" t="n">
        <f aca="false">IF(P$3&lt;Assumptions!$D$7,0,IF(P$3&lt;Assumptions!$D$6,Assumptions!$D$22*0.5,MIN(Assumptions!$D$24,Assumptions!$D$22+Assumptions!$D$23*(P$3-Assumptions!$D$6))))</f>
        <v>0.43</v>
      </c>
      <c r="Q10" s="26" t="n">
        <f aca="false">IF(Q$3&lt;Assumptions!$D$7,0,IF(Q$3&lt;Assumptions!$D$6,Assumptions!$D$22*0.5,MIN(Assumptions!$D$24,Assumptions!$D$22+Assumptions!$D$23*(Q$3-Assumptions!$D$6))))</f>
        <v>0.45</v>
      </c>
      <c r="R10" s="26" t="n">
        <f aca="false">IF(R$3&lt;Assumptions!$D$7,0,IF(R$3&lt;Assumptions!$D$6,Assumptions!$D$22*0.5,MIN(Assumptions!$D$24,Assumptions!$D$22+Assumptions!$D$23*(R$3-Assumptions!$D$6))))</f>
        <v>0.47</v>
      </c>
      <c r="S10" s="26" t="n">
        <f aca="false">IF(S$3&lt;Assumptions!$D$7,0,IF(S$3&lt;Assumptions!$D$6,Assumptions!$D$22*0.5,MIN(Assumptions!$D$24,Assumptions!$D$22+Assumptions!$D$23*(S$3-Assumptions!$D$6))))</f>
        <v>0.49</v>
      </c>
      <c r="T10" s="26" t="n">
        <f aca="false">IF(T$3&lt;Assumptions!$D$7,0,IF(T$3&lt;Assumptions!$D$6,Assumptions!$D$22*0.5,MIN(Assumptions!$D$24,Assumptions!$D$22+Assumptions!$D$23*(T$3-Assumptions!$D$6))))</f>
        <v>0.51</v>
      </c>
      <c r="U10" s="26" t="n">
        <f aca="false">IF(U$3&lt;Assumptions!$D$7,0,IF(U$3&lt;Assumptions!$D$6,Assumptions!$D$22*0.5,MIN(Assumptions!$D$24,Assumptions!$D$22+Assumptions!$D$23*(U$3-Assumptions!$D$6))))</f>
        <v>0.53</v>
      </c>
      <c r="V10" s="26" t="n">
        <f aca="false">IF(V$3&lt;Assumptions!$D$7,0,IF(V$3&lt;Assumptions!$D$6,Assumptions!$D$22*0.5,MIN(Assumptions!$D$24,Assumptions!$D$22+Assumptions!$D$23*(V$3-Assumptions!$D$6))))</f>
        <v>0.55</v>
      </c>
      <c r="W10" s="26" t="n">
        <f aca="false">IF(W$3&lt;Assumptions!$D$7,0,IF(W$3&lt;Assumptions!$D$6,Assumptions!$D$22*0.5,MIN(Assumptions!$D$24,Assumptions!$D$22+Assumptions!$D$23*(W$3-Assumptions!$D$6))))</f>
        <v>0.57</v>
      </c>
      <c r="X10" s="26" t="n">
        <f aca="false">IF(X$3&lt;Assumptions!$D$7,0,IF(X$3&lt;Assumptions!$D$6,Assumptions!$D$22*0.5,MIN(Assumptions!$D$24,Assumptions!$D$22+Assumptions!$D$23*(X$3-Assumptions!$D$6))))</f>
        <v>0.59</v>
      </c>
      <c r="Y10" s="26" t="n">
        <f aca="false">IF(Y$3&lt;Assumptions!$D$7,0,IF(Y$3&lt;Assumptions!$D$6,Assumptions!$D$22*0.5,MIN(Assumptions!$D$24,Assumptions!$D$22+Assumptions!$D$23*(Y$3-Assumptions!$D$6))))</f>
        <v>0.61</v>
      </c>
      <c r="Z10" s="26" t="n">
        <f aca="false">IF(Z$3&lt;Assumptions!$D$7,0,IF(Z$3&lt;Assumptions!$D$6,Assumptions!$D$22*0.5,MIN(Assumptions!$D$24,Assumptions!$D$22+Assumptions!$D$23*(Z$3-Assumptions!$D$6))))</f>
        <v>0.63</v>
      </c>
      <c r="AA10" s="26" t="n">
        <f aca="false">IF(AA$3&lt;Assumptions!$D$7,0,IF(AA$3&lt;Assumptions!$D$6,Assumptions!$D$22*0.5,MIN(Assumptions!$D$24,Assumptions!$D$22+Assumptions!$D$23*(AA$3-Assumptions!$D$6))))</f>
        <v>0.65</v>
      </c>
      <c r="AB10" s="26" t="n">
        <f aca="false">IF(AB$3&lt;Assumptions!$D$7,0,IF(AB$3&lt;Assumptions!$D$6,Assumptions!$D$22*0.5,MIN(Assumptions!$D$24,Assumptions!$D$22+Assumptions!$D$23*(AB$3-Assumptions!$D$6))))</f>
        <v>0.67</v>
      </c>
      <c r="AC10" s="26" t="n">
        <f aca="false">IF(AC$3&lt;Assumptions!$D$7,0,IF(AC$3&lt;Assumptions!$D$6,Assumptions!$D$22*0.5,MIN(Assumptions!$D$24,Assumptions!$D$22+Assumptions!$D$23*(AC$3-Assumptions!$D$6))))</f>
        <v>0.69</v>
      </c>
      <c r="AD10" s="26" t="n">
        <f aca="false">IF(AD$3&lt;Assumptions!$D$7,0,IF(AD$3&lt;Assumptions!$D$6,Assumptions!$D$22*0.5,MIN(Assumptions!$D$24,Assumptions!$D$22+Assumptions!$D$23*(AD$3-Assumptions!$D$6))))</f>
        <v>0.71</v>
      </c>
      <c r="AE10" s="26" t="n">
        <f aca="false">IF(AE$3&lt;Assumptions!$D$7,0,IF(AE$3&lt;Assumptions!$D$6,Assumptions!$D$22*0.5,MIN(Assumptions!$D$24,Assumptions!$D$22+Assumptions!$D$23*(AE$3-Assumptions!$D$6))))</f>
        <v>0.73</v>
      </c>
      <c r="AF10" s="26" t="n">
        <f aca="false">IF(AF$3&lt;Assumptions!$D$7,0,IF(AF$3&lt;Assumptions!$D$6,Assumptions!$D$22*0.5,MIN(Assumptions!$D$24,Assumptions!$D$22+Assumptions!$D$23*(AF$3-Assumptions!$D$6))))</f>
        <v>0.75</v>
      </c>
      <c r="AG10" s="26" t="n">
        <f aca="false">IF(AG$3&lt;Assumptions!$D$7,0,IF(AG$3&lt;Assumptions!$D$6,Assumptions!$D$22*0.5,MIN(Assumptions!$D$24,Assumptions!$D$22+Assumptions!$D$23*(AG$3-Assumptions!$D$6))))</f>
        <v>0.75</v>
      </c>
      <c r="AH10" s="26" t="n">
        <f aca="false">IF(AH$3&lt;Assumptions!$D$7,0,IF(AH$3&lt;Assumptions!$D$6,Assumptions!$D$22*0.5,MIN(Assumptions!$D$24,Assumptions!$D$22+Assumptions!$D$23*(AH$3-Assumptions!$D$6))))</f>
        <v>0.75</v>
      </c>
      <c r="AI10" s="26" t="n">
        <f aca="false">IF(AI$3&lt;Assumptions!$D$7,0,IF(AI$3&lt;Assumptions!$D$6,Assumptions!$D$22*0.5,MIN(Assumptions!$D$24,Assumptions!$D$22+Assumptions!$D$23*(AI$3-Assumptions!$D$6))))</f>
        <v>0.75</v>
      </c>
      <c r="AJ10" s="26" t="n">
        <f aca="false">IF(AJ$3&lt;Assumptions!$D$7,0,IF(AJ$3&lt;Assumptions!$D$6,Assumptions!$D$22*0.5,MIN(Assumptions!$D$24,Assumptions!$D$22+Assumptions!$D$23*(AJ$3-Assumptions!$D$6))))</f>
        <v>0.75</v>
      </c>
      <c r="AK10" s="26" t="n">
        <f aca="false">IF(AK$3&lt;Assumptions!$D$7,0,IF(AK$3&lt;Assumptions!$D$6,Assumptions!$D$22*0.5,MIN(Assumptions!$D$24,Assumptions!$D$22+Assumptions!$D$23*(AK$3-Assumptions!$D$6))))</f>
        <v>0.75</v>
      </c>
      <c r="AL10" s="26" t="n">
        <f aca="false">IF(AL$3&lt;Assumptions!$D$7,0,IF(AL$3&lt;Assumptions!$D$6,Assumptions!$D$22*0.5,MIN(Assumptions!$D$24,Assumptions!$D$22+Assumptions!$D$23*(AL$3-Assumptions!$D$6))))</f>
        <v>0.75</v>
      </c>
      <c r="AM10" s="26" t="n">
        <f aca="false">IF(AM$3&lt;Assumptions!$D$7,0,IF(AM$3&lt;Assumptions!$D$6,Assumptions!$D$22*0.5,MIN(Assumptions!$D$24,Assumptions!$D$22+Assumptions!$D$23*(AM$3-Assumptions!$D$6))))</f>
        <v>0.75</v>
      </c>
    </row>
    <row r="11" customFormat="false" ht="15" hidden="false" customHeight="false" outlineLevel="0" collapsed="false">
      <c r="A11" s="5" t="s">
        <v>33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 customFormat="false" ht="15" hidden="false" customHeight="false" outlineLevel="0" collapsed="false">
      <c r="A12" s="8" t="s">
        <v>322</v>
      </c>
      <c r="B12" s="8" t="s">
        <v>50</v>
      </c>
      <c r="C12" s="27" t="n">
        <f aca="false">SUM(D12:AM12)</f>
        <v>3874432.38320553</v>
      </c>
      <c r="D12" s="27" t="n">
        <f aca="false">IF(D$3&lt;Assumptions!$D$7,Assumptions!$D$13,IF(D$3&lt;Assumptions!$D$6,Assumptions!$D$14,IF(D$3=Assumptions!$D$6,Assumptions!$D$15,Assumptions!$D$16*(1+Assumptions!$D$17)^(D$3-Assumptions!$D$6-1))))</f>
        <v>10000</v>
      </c>
      <c r="E12" s="27" t="n">
        <f aca="false">IF(E$3&lt;Assumptions!$D$7,Assumptions!$D$13,IF(E$3&lt;Assumptions!$D$6,Assumptions!$D$14,IF(E$3=Assumptions!$D$6,Assumptions!$D$15,Assumptions!$D$16*(1+Assumptions!$D$17)^(E$3-Assumptions!$D$6-1))))</f>
        <v>10000</v>
      </c>
      <c r="F12" s="27" t="n">
        <f aca="false">IF(F$3&lt;Assumptions!$D$7,Assumptions!$D$13,IF(F$3&lt;Assumptions!$D$6,Assumptions!$D$14,IF(F$3=Assumptions!$D$6,Assumptions!$D$15,Assumptions!$D$16*(1+Assumptions!$D$17)^(F$3-Assumptions!$D$6-1))))</f>
        <v>10000</v>
      </c>
      <c r="G12" s="27" t="n">
        <f aca="false">IF(G$3&lt;Assumptions!$D$7,Assumptions!$D$13,IF(G$3&lt;Assumptions!$D$6,Assumptions!$D$14,IF(G$3=Assumptions!$D$6,Assumptions!$D$15,Assumptions!$D$16*(1+Assumptions!$D$17)^(G$3-Assumptions!$D$6-1))))</f>
        <v>10000</v>
      </c>
      <c r="H12" s="27" t="n">
        <f aca="false">IF(H$3&lt;Assumptions!$D$7,Assumptions!$D$13,IF(H$3&lt;Assumptions!$D$6,Assumptions!$D$14,IF(H$3=Assumptions!$D$6,Assumptions!$D$15,Assumptions!$D$16*(1+Assumptions!$D$17)^(H$3-Assumptions!$D$6-1))))</f>
        <v>10000</v>
      </c>
      <c r="I12" s="27" t="n">
        <f aca="false">IF(I$3&lt;Assumptions!$D$7,Assumptions!$D$13,IF(I$3&lt;Assumptions!$D$6,Assumptions!$D$14,IF(I$3=Assumptions!$D$6,Assumptions!$D$15,Assumptions!$D$16*(1+Assumptions!$D$17)^(I$3-Assumptions!$D$6-1))))</f>
        <v>30000</v>
      </c>
      <c r="J12" s="27" t="n">
        <f aca="false">IF(J$3&lt;Assumptions!$D$7,Assumptions!$D$13,IF(J$3&lt;Assumptions!$D$6,Assumptions!$D$14,IF(J$3=Assumptions!$D$6,Assumptions!$D$15,Assumptions!$D$16*(1+Assumptions!$D$17)^(J$3-Assumptions!$D$6-1))))</f>
        <v>30000</v>
      </c>
      <c r="K12" s="27" t="n">
        <f aca="false">IF(K$3&lt;Assumptions!$D$7,Assumptions!$D$13,IF(K$3&lt;Assumptions!$D$6,Assumptions!$D$14,IF(K$3=Assumptions!$D$6,Assumptions!$D$15,Assumptions!$D$16*(1+Assumptions!$D$17)^(K$3-Assumptions!$D$6-1))))</f>
        <v>30000</v>
      </c>
      <c r="L12" s="27" t="n">
        <f aca="false">IF(L$3&lt;Assumptions!$D$7,Assumptions!$D$13,IF(L$3&lt;Assumptions!$D$6,Assumptions!$D$14,IF(L$3=Assumptions!$D$6,Assumptions!$D$15,Assumptions!$D$16*(1+Assumptions!$D$17)^(L$3-Assumptions!$D$6-1))))</f>
        <v>200000</v>
      </c>
      <c r="M12" s="27" t="n">
        <f aca="false">IF(M$3&lt;Assumptions!$D$7,Assumptions!$D$13,IF(M$3&lt;Assumptions!$D$6,Assumptions!$D$14,IF(M$3=Assumptions!$D$6,Assumptions!$D$15,Assumptions!$D$16*(1+Assumptions!$D$17)^(M$3-Assumptions!$D$6-1))))</f>
        <v>100000</v>
      </c>
      <c r="N12" s="27" t="n">
        <f aca="false">IF(N$3&lt;Assumptions!$D$7,Assumptions!$D$13,IF(N$3&lt;Assumptions!$D$6,Assumptions!$D$14,IF(N$3=Assumptions!$D$6,Assumptions!$D$15,Assumptions!$D$16*(1+Assumptions!$D$17)^(N$3-Assumptions!$D$6-1))))</f>
        <v>102000</v>
      </c>
      <c r="O12" s="27" t="n">
        <f aca="false">IF(O$3&lt;Assumptions!$D$7,Assumptions!$D$13,IF(O$3&lt;Assumptions!$D$6,Assumptions!$D$14,IF(O$3=Assumptions!$D$6,Assumptions!$D$15,Assumptions!$D$16*(1+Assumptions!$D$17)^(O$3-Assumptions!$D$6-1))))</f>
        <v>104040</v>
      </c>
      <c r="P12" s="27" t="n">
        <f aca="false">IF(P$3&lt;Assumptions!$D$7,Assumptions!$D$13,IF(P$3&lt;Assumptions!$D$6,Assumptions!$D$14,IF(P$3=Assumptions!$D$6,Assumptions!$D$15,Assumptions!$D$16*(1+Assumptions!$D$17)^(P$3-Assumptions!$D$6-1))))</f>
        <v>106120.8</v>
      </c>
      <c r="Q12" s="27" t="n">
        <f aca="false">IF(Q$3&lt;Assumptions!$D$7,Assumptions!$D$13,IF(Q$3&lt;Assumptions!$D$6,Assumptions!$D$14,IF(Q$3=Assumptions!$D$6,Assumptions!$D$15,Assumptions!$D$16*(1+Assumptions!$D$17)^(Q$3-Assumptions!$D$6-1))))</f>
        <v>108243.216</v>
      </c>
      <c r="R12" s="27" t="n">
        <f aca="false">IF(R$3&lt;Assumptions!$D$7,Assumptions!$D$13,IF(R$3&lt;Assumptions!$D$6,Assumptions!$D$14,IF(R$3=Assumptions!$D$6,Assumptions!$D$15,Assumptions!$D$16*(1+Assumptions!$D$17)^(R$3-Assumptions!$D$6-1))))</f>
        <v>110408.08032</v>
      </c>
      <c r="S12" s="27" t="n">
        <f aca="false">IF(S$3&lt;Assumptions!$D$7,Assumptions!$D$13,IF(S$3&lt;Assumptions!$D$6,Assumptions!$D$14,IF(S$3=Assumptions!$D$6,Assumptions!$D$15,Assumptions!$D$16*(1+Assumptions!$D$17)^(S$3-Assumptions!$D$6-1))))</f>
        <v>112616.2419264</v>
      </c>
      <c r="T12" s="27" t="n">
        <f aca="false">IF(T$3&lt;Assumptions!$D$7,Assumptions!$D$13,IF(T$3&lt;Assumptions!$D$6,Assumptions!$D$14,IF(T$3=Assumptions!$D$6,Assumptions!$D$15,Assumptions!$D$16*(1+Assumptions!$D$17)^(T$3-Assumptions!$D$6-1))))</f>
        <v>114868.566764928</v>
      </c>
      <c r="U12" s="27" t="n">
        <f aca="false">IF(U$3&lt;Assumptions!$D$7,Assumptions!$D$13,IF(U$3&lt;Assumptions!$D$6,Assumptions!$D$14,IF(U$3=Assumptions!$D$6,Assumptions!$D$15,Assumptions!$D$16*(1+Assumptions!$D$17)^(U$3-Assumptions!$D$6-1))))</f>
        <v>117165.938100227</v>
      </c>
      <c r="V12" s="27" t="n">
        <f aca="false">IF(V$3&lt;Assumptions!$D$7,Assumptions!$D$13,IF(V$3&lt;Assumptions!$D$6,Assumptions!$D$14,IF(V$3=Assumptions!$D$6,Assumptions!$D$15,Assumptions!$D$16*(1+Assumptions!$D$17)^(V$3-Assumptions!$D$6-1))))</f>
        <v>119509.256862231</v>
      </c>
      <c r="W12" s="27" t="n">
        <f aca="false">IF(W$3&lt;Assumptions!$D$7,Assumptions!$D$13,IF(W$3&lt;Assumptions!$D$6,Assumptions!$D$14,IF(W$3=Assumptions!$D$6,Assumptions!$D$15,Assumptions!$D$16*(1+Assumptions!$D$17)^(W$3-Assumptions!$D$6-1))))</f>
        <v>121899.441999476</v>
      </c>
      <c r="X12" s="27" t="n">
        <f aca="false">IF(X$3&lt;Assumptions!$D$7,Assumptions!$D$13,IF(X$3&lt;Assumptions!$D$6,Assumptions!$D$14,IF(X$3=Assumptions!$D$6,Assumptions!$D$15,Assumptions!$D$16*(1+Assumptions!$D$17)^(X$3-Assumptions!$D$6-1))))</f>
        <v>124337.430839465</v>
      </c>
      <c r="Y12" s="27" t="n">
        <f aca="false">IF(Y$3&lt;Assumptions!$D$7,Assumptions!$D$13,IF(Y$3&lt;Assumptions!$D$6,Assumptions!$D$14,IF(Y$3=Assumptions!$D$6,Assumptions!$D$15,Assumptions!$D$16*(1+Assumptions!$D$17)^(Y$3-Assumptions!$D$6-1))))</f>
        <v>126824.179456255</v>
      </c>
      <c r="Z12" s="27" t="n">
        <f aca="false">IF(Z$3&lt;Assumptions!$D$7,Assumptions!$D$13,IF(Z$3&lt;Assumptions!$D$6,Assumptions!$D$14,IF(Z$3=Assumptions!$D$6,Assumptions!$D$15,Assumptions!$D$16*(1+Assumptions!$D$17)^(Z$3-Assumptions!$D$6-1))))</f>
        <v>129360.66304538</v>
      </c>
      <c r="AA12" s="27" t="n">
        <f aca="false">IF(AA$3&lt;Assumptions!$D$7,Assumptions!$D$13,IF(AA$3&lt;Assumptions!$D$6,Assumptions!$D$14,IF(AA$3=Assumptions!$D$6,Assumptions!$D$15,Assumptions!$D$16*(1+Assumptions!$D$17)^(AA$3-Assumptions!$D$6-1))))</f>
        <v>131947.876306287</v>
      </c>
      <c r="AB12" s="27" t="n">
        <f aca="false">IF(AB$3&lt;Assumptions!$D$7,Assumptions!$D$13,IF(AB$3&lt;Assumptions!$D$6,Assumptions!$D$14,IF(AB$3=Assumptions!$D$6,Assumptions!$D$15,Assumptions!$D$16*(1+Assumptions!$D$17)^(AB$3-Assumptions!$D$6-1))))</f>
        <v>134586.833832413</v>
      </c>
      <c r="AC12" s="27" t="n">
        <f aca="false">IF(AC$3&lt;Assumptions!$D$7,Assumptions!$D$13,IF(AC$3&lt;Assumptions!$D$6,Assumptions!$D$14,IF(AC$3=Assumptions!$D$6,Assumptions!$D$15,Assumptions!$D$16*(1+Assumptions!$D$17)^(AC$3-Assumptions!$D$6-1))))</f>
        <v>137278.570509061</v>
      </c>
      <c r="AD12" s="27" t="n">
        <f aca="false">IF(AD$3&lt;Assumptions!$D$7,Assumptions!$D$13,IF(AD$3&lt;Assumptions!$D$6,Assumptions!$D$14,IF(AD$3=Assumptions!$D$6,Assumptions!$D$15,Assumptions!$D$16*(1+Assumptions!$D$17)^(AD$3-Assumptions!$D$6-1))))</f>
        <v>140024.141919242</v>
      </c>
      <c r="AE12" s="27" t="n">
        <f aca="false">IF(AE$3&lt;Assumptions!$D$7,Assumptions!$D$13,IF(AE$3&lt;Assumptions!$D$6,Assumptions!$D$14,IF(AE$3=Assumptions!$D$6,Assumptions!$D$15,Assumptions!$D$16*(1+Assumptions!$D$17)^(AE$3-Assumptions!$D$6-1))))</f>
        <v>142824.624757627</v>
      </c>
      <c r="AF12" s="27" t="n">
        <f aca="false">IF(AF$3&lt;Assumptions!$D$7,Assumptions!$D$13,IF(AF$3&lt;Assumptions!$D$6,Assumptions!$D$14,IF(AF$3=Assumptions!$D$6,Assumptions!$D$15,Assumptions!$D$16*(1+Assumptions!$D$17)^(AF$3-Assumptions!$D$6-1))))</f>
        <v>145681.11725278</v>
      </c>
      <c r="AG12" s="27" t="n">
        <f aca="false">IF(AG$3&lt;Assumptions!$D$7,Assumptions!$D$13,IF(AG$3&lt;Assumptions!$D$6,Assumptions!$D$14,IF(AG$3=Assumptions!$D$6,Assumptions!$D$15,Assumptions!$D$16*(1+Assumptions!$D$17)^(AG$3-Assumptions!$D$6-1))))</f>
        <v>148594.739597836</v>
      </c>
      <c r="AH12" s="27" t="n">
        <f aca="false">IF(AH$3&lt;Assumptions!$D$7,Assumptions!$D$13,IF(AH$3&lt;Assumptions!$D$6,Assumptions!$D$14,IF(AH$3=Assumptions!$D$6,Assumptions!$D$15,Assumptions!$D$16*(1+Assumptions!$D$17)^(AH$3-Assumptions!$D$6-1))))</f>
        <v>151566.634389792</v>
      </c>
      <c r="AI12" s="27" t="n">
        <f aca="false">IF(AI$3&lt;Assumptions!$D$7,Assumptions!$D$13,IF(AI$3&lt;Assumptions!$D$6,Assumptions!$D$14,IF(AI$3=Assumptions!$D$6,Assumptions!$D$15,Assumptions!$D$16*(1+Assumptions!$D$17)^(AI$3-Assumptions!$D$6-1))))</f>
        <v>154597.967077588</v>
      </c>
      <c r="AJ12" s="27" t="n">
        <f aca="false">IF(AJ$3&lt;Assumptions!$D$7,Assumptions!$D$13,IF(AJ$3&lt;Assumptions!$D$6,Assumptions!$D$14,IF(AJ$3=Assumptions!$D$6,Assumptions!$D$15,Assumptions!$D$16*(1+Assumptions!$D$17)^(AJ$3-Assumptions!$D$6-1))))</f>
        <v>157689.92641914</v>
      </c>
      <c r="AK12" s="27" t="n">
        <f aca="false">IF(AK$3&lt;Assumptions!$D$7,Assumptions!$D$13,IF(AK$3&lt;Assumptions!$D$6,Assumptions!$D$14,IF(AK$3=Assumptions!$D$6,Assumptions!$D$15,Assumptions!$D$16*(1+Assumptions!$D$17)^(AK$3-Assumptions!$D$6-1))))</f>
        <v>160843.724947523</v>
      </c>
      <c r="AL12" s="27" t="n">
        <f aca="false">IF(AL$3&lt;Assumptions!$D$7,Assumptions!$D$13,IF(AL$3&lt;Assumptions!$D$6,Assumptions!$D$14,IF(AL$3=Assumptions!$D$6,Assumptions!$D$15,Assumptions!$D$16*(1+Assumptions!$D$17)^(AL$3-Assumptions!$D$6-1))))</f>
        <v>164060.599446473</v>
      </c>
      <c r="AM12" s="27" t="n">
        <f aca="false">IF(AM$3&lt;Assumptions!$D$7,Assumptions!$D$13,IF(AM$3&lt;Assumptions!$D$6,Assumptions!$D$14,IF(AM$3=Assumptions!$D$6,Assumptions!$D$15,Assumptions!$D$16*(1+Assumptions!$D$17)^(AM$3-Assumptions!$D$6-1))))</f>
        <v>167341.811435403</v>
      </c>
    </row>
    <row r="13" customFormat="false" ht="15" hidden="false" customHeight="false" outlineLevel="0" collapsed="false">
      <c r="A13" s="8" t="s">
        <v>323</v>
      </c>
      <c r="B13" s="8" t="s">
        <v>36</v>
      </c>
      <c r="C13" s="28" t="n">
        <f aca="false">SUM(D13:AM13)</f>
        <v>1684535.81878501</v>
      </c>
      <c r="D13" s="28" t="n">
        <f aca="false">D12/Assumptions!$D$12</f>
        <v>4347.82608695652</v>
      </c>
      <c r="E13" s="28" t="n">
        <f aca="false">E12/Assumptions!$D$12</f>
        <v>4347.82608695652</v>
      </c>
      <c r="F13" s="28" t="n">
        <f aca="false">F12/Assumptions!$D$12</f>
        <v>4347.82608695652</v>
      </c>
      <c r="G13" s="28" t="n">
        <f aca="false">G12/Assumptions!$D$12</f>
        <v>4347.82608695652</v>
      </c>
      <c r="H13" s="28" t="n">
        <f aca="false">H12/Assumptions!$D$12</f>
        <v>4347.82608695652</v>
      </c>
      <c r="I13" s="28" t="n">
        <f aca="false">I12/Assumptions!$D$12</f>
        <v>13043.4782608696</v>
      </c>
      <c r="J13" s="28" t="n">
        <f aca="false">J12/Assumptions!$D$12</f>
        <v>13043.4782608696</v>
      </c>
      <c r="K13" s="28" t="n">
        <f aca="false">K12/Assumptions!$D$12</f>
        <v>13043.4782608696</v>
      </c>
      <c r="L13" s="28" t="n">
        <f aca="false">L12/Assumptions!$D$12</f>
        <v>86956.5217391305</v>
      </c>
      <c r="M13" s="28" t="n">
        <f aca="false">M12/Assumptions!$D$12</f>
        <v>43478.2608695652</v>
      </c>
      <c r="N13" s="28" t="n">
        <f aca="false">N12/Assumptions!$D$12</f>
        <v>44347.8260869565</v>
      </c>
      <c r="O13" s="28" t="n">
        <f aca="false">O12/Assumptions!$D$12</f>
        <v>45234.7826086957</v>
      </c>
      <c r="P13" s="28" t="n">
        <f aca="false">P12/Assumptions!$D$12</f>
        <v>46139.4782608696</v>
      </c>
      <c r="Q13" s="28" t="n">
        <f aca="false">Q12/Assumptions!$D$12</f>
        <v>47062.267826087</v>
      </c>
      <c r="R13" s="28" t="n">
        <f aca="false">R12/Assumptions!$D$12</f>
        <v>48003.5131826087</v>
      </c>
      <c r="S13" s="28" t="n">
        <f aca="false">S12/Assumptions!$D$12</f>
        <v>48963.5834462609</v>
      </c>
      <c r="T13" s="28" t="n">
        <f aca="false">T12/Assumptions!$D$12</f>
        <v>49942.8551151861</v>
      </c>
      <c r="U13" s="28" t="n">
        <f aca="false">U12/Assumptions!$D$12</f>
        <v>50941.7122174898</v>
      </c>
      <c r="V13" s="28" t="n">
        <f aca="false">V12/Assumptions!$D$12</f>
        <v>51960.5464618396</v>
      </c>
      <c r="W13" s="28" t="n">
        <f aca="false">W12/Assumptions!$D$12</f>
        <v>52999.7573910764</v>
      </c>
      <c r="X13" s="28" t="n">
        <f aca="false">X12/Assumptions!$D$12</f>
        <v>54059.7525388979</v>
      </c>
      <c r="Y13" s="28" t="n">
        <f aca="false">Y12/Assumptions!$D$12</f>
        <v>55140.9475896759</v>
      </c>
      <c r="Z13" s="28" t="n">
        <f aca="false">Z12/Assumptions!$D$12</f>
        <v>56243.7665414694</v>
      </c>
      <c r="AA13" s="28" t="n">
        <f aca="false">AA12/Assumptions!$D$12</f>
        <v>57368.6418722988</v>
      </c>
      <c r="AB13" s="28" t="n">
        <f aca="false">AB12/Assumptions!$D$12</f>
        <v>58516.0147097448</v>
      </c>
      <c r="AC13" s="28" t="n">
        <f aca="false">AC12/Assumptions!$D$12</f>
        <v>59686.3350039397</v>
      </c>
      <c r="AD13" s="28" t="n">
        <f aca="false">AD12/Assumptions!$D$12</f>
        <v>60880.0617040185</v>
      </c>
      <c r="AE13" s="28" t="n">
        <f aca="false">AE12/Assumptions!$D$12</f>
        <v>62097.6629380989</v>
      </c>
      <c r="AF13" s="28" t="n">
        <f aca="false">AF12/Assumptions!$D$12</f>
        <v>63339.6161968608</v>
      </c>
      <c r="AG13" s="28" t="n">
        <f aca="false">AG12/Assumptions!$D$12</f>
        <v>64606.408520798</v>
      </c>
      <c r="AH13" s="28" t="n">
        <f aca="false">AH12/Assumptions!$D$12</f>
        <v>65898.536691214</v>
      </c>
      <c r="AI13" s="28" t="n">
        <f aca="false">AI12/Assumptions!$D$12</f>
        <v>67216.5074250383</v>
      </c>
      <c r="AJ13" s="28" t="n">
        <f aca="false">AJ12/Assumptions!$D$12</f>
        <v>68560.8375735391</v>
      </c>
      <c r="AK13" s="28" t="n">
        <f aca="false">AK12/Assumptions!$D$12</f>
        <v>69932.0543250098</v>
      </c>
      <c r="AL13" s="28" t="n">
        <f aca="false">AL12/Assumptions!$D$12</f>
        <v>71330.69541151</v>
      </c>
      <c r="AM13" s="28" t="n">
        <f aca="false">AM12/Assumptions!$D$12</f>
        <v>72757.3093197402</v>
      </c>
    </row>
    <row r="14" customFormat="false" ht="15" hidden="false" customHeight="false" outlineLevel="0" collapsed="false">
      <c r="A14" s="8" t="s">
        <v>324</v>
      </c>
      <c r="B14" s="8" t="s">
        <v>36</v>
      </c>
      <c r="C14" s="28" t="n">
        <f aca="false">SUM(D14:AM14)</f>
        <v>244168.238344483</v>
      </c>
      <c r="D14" s="28" t="n">
        <f aca="false">MIN(Assumptions!$D$11,Assumptions!$D$9*(1+Assumptions!$D$10)^(D$3-1))*IF(AND(D9=1,Assumptions!$D$74=1),Assumptions!$D$78,1)</f>
        <v>1500</v>
      </c>
      <c r="E14" s="28" t="n">
        <f aca="false">MIN(Assumptions!$D$11,Assumptions!$D$9*(1+Assumptions!$D$10)^(E$3-1))*IF(AND(E9=1,Assumptions!$D$74=1),Assumptions!$D$78,1)</f>
        <v>1605</v>
      </c>
      <c r="F14" s="28" t="n">
        <f aca="false">MIN(Assumptions!$D$11,Assumptions!$D$9*(1+Assumptions!$D$10)^(F$3-1))*IF(AND(F9=1,Assumptions!$D$74=1),Assumptions!$D$78,1)</f>
        <v>1717.35</v>
      </c>
      <c r="G14" s="28" t="n">
        <f aca="false">MIN(Assumptions!$D$11,Assumptions!$D$9*(1+Assumptions!$D$10)^(G$3-1))*IF(AND(G9=1,Assumptions!$D$74=1),Assumptions!$D$78,1)</f>
        <v>1837.5645</v>
      </c>
      <c r="H14" s="28" t="n">
        <f aca="false">MIN(Assumptions!$D$11,Assumptions!$D$9*(1+Assumptions!$D$10)^(H$3-1))*IF(AND(H9=1,Assumptions!$D$74=1),Assumptions!$D$78,1)</f>
        <v>1966.194015</v>
      </c>
      <c r="I14" s="28" t="n">
        <f aca="false">MIN(Assumptions!$D$11,Assumptions!$D$9*(1+Assumptions!$D$10)^(I$3-1))*IF(AND(I9=1,Assumptions!$D$74=1),Assumptions!$D$78,1)</f>
        <v>2103.82759605</v>
      </c>
      <c r="J14" s="28" t="n">
        <f aca="false">MIN(Assumptions!$D$11,Assumptions!$D$9*(1+Assumptions!$D$10)^(J$3-1))*IF(AND(J9=1,Assumptions!$D$74=1),Assumptions!$D$78,1)</f>
        <v>2251.0955277735</v>
      </c>
      <c r="K14" s="28" t="n">
        <f aca="false">MIN(Assumptions!$D$11,Assumptions!$D$9*(1+Assumptions!$D$10)^(K$3-1))*IF(AND(K9=1,Assumptions!$D$74=1),Assumptions!$D$78,1)</f>
        <v>2408.67221471765</v>
      </c>
      <c r="L14" s="28" t="n">
        <f aca="false">MIN(Assumptions!$D$11,Assumptions!$D$9*(1+Assumptions!$D$10)^(L$3-1))*IF(AND(L9=1,Assumptions!$D$74=1),Assumptions!$D$78,1)</f>
        <v>2835.00719672267</v>
      </c>
      <c r="M14" s="28" t="n">
        <f aca="false">MIN(Assumptions!$D$11,Assumptions!$D$9*(1+Assumptions!$D$10)^(M$3-1))*IF(AND(M9=1,Assumptions!$D$74=1),Assumptions!$D$78,1)</f>
        <v>3033.45770049326</v>
      </c>
      <c r="N14" s="28" t="n">
        <f aca="false">MIN(Assumptions!$D$11,Assumptions!$D$9*(1+Assumptions!$D$10)^(N$3-1))*IF(AND(N9=1,Assumptions!$D$74=1),Assumptions!$D$78,1)</f>
        <v>3245.79973952779</v>
      </c>
      <c r="O14" s="28" t="n">
        <f aca="false">MIN(Assumptions!$D$11,Assumptions!$D$9*(1+Assumptions!$D$10)^(O$3-1))*IF(AND(O9=1,Assumptions!$D$74=1),Assumptions!$D$78,1)</f>
        <v>3473.00572129473</v>
      </c>
      <c r="P14" s="28" t="n">
        <f aca="false">MIN(Assumptions!$D$11,Assumptions!$D$9*(1+Assumptions!$D$10)^(P$3-1))*IF(AND(P9=1,Assumptions!$D$74=1),Assumptions!$D$78,1)</f>
        <v>3716.11612178536</v>
      </c>
      <c r="Q14" s="28" t="n">
        <f aca="false">MIN(Assumptions!$D$11,Assumptions!$D$9*(1+Assumptions!$D$10)^(Q$3-1))*IF(AND(Q9=1,Assumptions!$D$74=1),Assumptions!$D$78,1)</f>
        <v>3976.24425031034</v>
      </c>
      <c r="R14" s="28" t="n">
        <f aca="false">MIN(Assumptions!$D$11,Assumptions!$D$9*(1+Assumptions!$D$10)^(R$3-1))*IF(AND(R9=1,Assumptions!$D$74=1),Assumptions!$D$78,1)</f>
        <v>4254.58134783206</v>
      </c>
      <c r="S14" s="28" t="n">
        <f aca="false">MIN(Assumptions!$D$11,Assumptions!$D$9*(1+Assumptions!$D$10)^(S$3-1))*IF(AND(S9=1,Assumptions!$D$74=1),Assumptions!$D$78,1)</f>
        <v>4552.40204218031</v>
      </c>
      <c r="T14" s="28" t="n">
        <f aca="false">MIN(Assumptions!$D$11,Assumptions!$D$9*(1+Assumptions!$D$10)^(T$3-1))*IF(AND(T9=1,Assumptions!$D$74=1),Assumptions!$D$78,1)</f>
        <v>4871.07018513293</v>
      </c>
      <c r="U14" s="28" t="n">
        <f aca="false">MIN(Assumptions!$D$11,Assumptions!$D$9*(1+Assumptions!$D$10)^(U$3-1))*IF(AND(U9=1,Assumptions!$D$74=1),Assumptions!$D$78,1)</f>
        <v>5212.04509809223</v>
      </c>
      <c r="V14" s="28" t="n">
        <f aca="false">MIN(Assumptions!$D$11,Assumptions!$D$9*(1+Assumptions!$D$10)^(V$3-1))*IF(AND(V9=1,Assumptions!$D$74=1),Assumptions!$D$78,1)</f>
        <v>5576.88825495869</v>
      </c>
      <c r="W14" s="28" t="n">
        <f aca="false">MIN(Assumptions!$D$11,Assumptions!$D$9*(1+Assumptions!$D$10)^(W$3-1))*IF(AND(W9=1,Assumptions!$D$74=1),Assumptions!$D$78,1)</f>
        <v>5967.2704328058</v>
      </c>
      <c r="X14" s="28" t="n">
        <f aca="false">MIN(Assumptions!$D$11,Assumptions!$D$9*(1+Assumptions!$D$10)^(X$3-1))*IF(AND(X9=1,Assumptions!$D$74=1),Assumptions!$D$78,1)</f>
        <v>6384.9793631022</v>
      </c>
      <c r="Y14" s="28" t="n">
        <f aca="false">MIN(Assumptions!$D$11,Assumptions!$D$9*(1+Assumptions!$D$10)^(Y$3-1))*IF(AND(Y9=1,Assumptions!$D$74=1),Assumptions!$D$78,1)</f>
        <v>6831.92791851936</v>
      </c>
      <c r="Z14" s="28" t="n">
        <f aca="false">MIN(Assumptions!$D$11,Assumptions!$D$9*(1+Assumptions!$D$10)^(Z$3-1))*IF(AND(Z9=1,Assumptions!$D$74=1),Assumptions!$D$78,1)</f>
        <v>7310.16287281571</v>
      </c>
      <c r="AA14" s="28" t="n">
        <f aca="false">MIN(Assumptions!$D$11,Assumptions!$D$9*(1+Assumptions!$D$10)^(AA$3-1))*IF(AND(AA9=1,Assumptions!$D$74=1),Assumptions!$D$78,1)</f>
        <v>7821.87427391281</v>
      </c>
      <c r="AB14" s="28" t="n">
        <f aca="false">MIN(Assumptions!$D$11,Assumptions!$D$9*(1+Assumptions!$D$10)^(AB$3-1))*IF(AND(AB9=1,Assumptions!$D$74=1),Assumptions!$D$78,1)</f>
        <v>8369.40547308671</v>
      </c>
      <c r="AC14" s="28" t="n">
        <f aca="false">MIN(Assumptions!$D$11,Assumptions!$D$9*(1+Assumptions!$D$10)^(AC$3-1))*IF(AND(AC9=1,Assumptions!$D$74=1),Assumptions!$D$78,1)</f>
        <v>8955.26385620278</v>
      </c>
      <c r="AD14" s="28" t="n">
        <f aca="false">MIN(Assumptions!$D$11,Assumptions!$D$9*(1+Assumptions!$D$10)^(AD$3-1))*IF(AND(AD9=1,Assumptions!$D$74=1),Assumptions!$D$78,1)</f>
        <v>9582.13232613698</v>
      </c>
      <c r="AE14" s="28" t="n">
        <f aca="false">MIN(Assumptions!$D$11,Assumptions!$D$9*(1+Assumptions!$D$10)^(AE$3-1))*IF(AND(AE9=1,Assumptions!$D$74=1),Assumptions!$D$78,1)</f>
        <v>10252.8815889666</v>
      </c>
      <c r="AF14" s="28" t="n">
        <f aca="false">MIN(Assumptions!$D$11,Assumptions!$D$9*(1+Assumptions!$D$10)^(AF$3-1))*IF(AND(AF9=1,Assumptions!$D$74=1),Assumptions!$D$78,1)</f>
        <v>10970.5833001942</v>
      </c>
      <c r="AG14" s="28" t="n">
        <f aca="false">MIN(Assumptions!$D$11,Assumptions!$D$9*(1+Assumptions!$D$10)^(AG$3-1))*IF(AND(AG9=1,Assumptions!$D$74=1),Assumptions!$D$78,1)</f>
        <v>11738.5241312078</v>
      </c>
      <c r="AH14" s="28" t="n">
        <f aca="false">MIN(Assumptions!$D$11,Assumptions!$D$9*(1+Assumptions!$D$10)^(AH$3-1))*IF(AND(AH9=1,Assumptions!$D$74=1),Assumptions!$D$78,1)</f>
        <v>12560.2208203924</v>
      </c>
      <c r="AI14" s="28" t="n">
        <f aca="false">MIN(Assumptions!$D$11,Assumptions!$D$9*(1+Assumptions!$D$10)^(AI$3-1))*IF(AND(AI9=1,Assumptions!$D$74=1),Assumptions!$D$78,1)</f>
        <v>13439.4362778198</v>
      </c>
      <c r="AJ14" s="28" t="n">
        <f aca="false">MIN(Assumptions!$D$11,Assumptions!$D$9*(1+Assumptions!$D$10)^(AJ$3-1))*IF(AND(AJ9=1,Assumptions!$D$74=1),Assumptions!$D$78,1)</f>
        <v>14380.1968172672</v>
      </c>
      <c r="AK14" s="28" t="n">
        <f aca="false">MIN(Assumptions!$D$11,Assumptions!$D$9*(1+Assumptions!$D$10)^(AK$3-1))*IF(AND(AK9=1,Assumptions!$D$74=1),Assumptions!$D$78,1)</f>
        <v>15386.8105944759</v>
      </c>
      <c r="AL14" s="28" t="n">
        <f aca="false">MIN(Assumptions!$D$11,Assumptions!$D$9*(1+Assumptions!$D$10)^(AL$3-1))*IF(AND(AL9=1,Assumptions!$D$74=1),Assumptions!$D$78,1)</f>
        <v>16463.8873360893</v>
      </c>
      <c r="AM14" s="28" t="n">
        <f aca="false">MIN(Assumptions!$D$11,Assumptions!$D$9*(1+Assumptions!$D$10)^(AM$3-1))*IF(AND(AM9=1,Assumptions!$D$74=1),Assumptions!$D$78,1)</f>
        <v>17616.3594496155</v>
      </c>
    </row>
    <row r="15" customFormat="false" ht="15" hidden="false" customHeight="false" outlineLevel="0" collapsed="false">
      <c r="A15" s="29" t="s">
        <v>325</v>
      </c>
      <c r="B15" s="8" t="s">
        <v>36</v>
      </c>
      <c r="C15" s="30" t="n">
        <f aca="false">SUM(D15:AM15)</f>
        <v>1928704.05712949</v>
      </c>
      <c r="D15" s="30" t="n">
        <f aca="false">D13+D14</f>
        <v>5847.82608695652</v>
      </c>
      <c r="E15" s="30" t="n">
        <f aca="false">E13+E14</f>
        <v>5952.82608695652</v>
      </c>
      <c r="F15" s="30" t="n">
        <f aca="false">F13+F14</f>
        <v>6065.17608695652</v>
      </c>
      <c r="G15" s="30" t="n">
        <f aca="false">G13+G14</f>
        <v>6185.39058695652</v>
      </c>
      <c r="H15" s="30" t="n">
        <f aca="false">H13+H14</f>
        <v>6314.02010195652</v>
      </c>
      <c r="I15" s="30" t="n">
        <f aca="false">I13+I14</f>
        <v>15147.3058569196</v>
      </c>
      <c r="J15" s="30" t="n">
        <f aca="false">J13+J14</f>
        <v>15294.5737886431</v>
      </c>
      <c r="K15" s="30" t="n">
        <f aca="false">K13+K14</f>
        <v>15452.1504755872</v>
      </c>
      <c r="L15" s="30" t="n">
        <f aca="false">L13+L14</f>
        <v>89791.5289358531</v>
      </c>
      <c r="M15" s="30" t="n">
        <f aca="false">M13+M14</f>
        <v>46511.7185700585</v>
      </c>
      <c r="N15" s="30" t="n">
        <f aca="false">N13+N14</f>
        <v>47593.6258264843</v>
      </c>
      <c r="O15" s="30" t="n">
        <f aca="false">O13+O14</f>
        <v>48707.7883299904</v>
      </c>
      <c r="P15" s="30" t="n">
        <f aca="false">P13+P14</f>
        <v>49855.5943826549</v>
      </c>
      <c r="Q15" s="30" t="n">
        <f aca="false">Q13+Q14</f>
        <v>51038.5120763973</v>
      </c>
      <c r="R15" s="30" t="n">
        <f aca="false">R13+R14</f>
        <v>52258.0945304408</v>
      </c>
      <c r="S15" s="30" t="n">
        <f aca="false">S13+S14</f>
        <v>53515.9854884412</v>
      </c>
      <c r="T15" s="30" t="n">
        <f aca="false">T13+T14</f>
        <v>54813.925300319</v>
      </c>
      <c r="U15" s="30" t="n">
        <f aca="false">U13+U14</f>
        <v>56153.7573155821</v>
      </c>
      <c r="V15" s="30" t="n">
        <f aca="false">V13+V14</f>
        <v>57537.4347167983</v>
      </c>
      <c r="W15" s="30" t="n">
        <f aca="false">W13+W14</f>
        <v>58967.0278238822</v>
      </c>
      <c r="X15" s="30" t="n">
        <f aca="false">X13+X14</f>
        <v>60444.7319020001</v>
      </c>
      <c r="Y15" s="30" t="n">
        <f aca="false">Y13+Y14</f>
        <v>61972.8755081953</v>
      </c>
      <c r="Z15" s="30" t="n">
        <f aca="false">Z13+Z14</f>
        <v>63553.9294142851</v>
      </c>
      <c r="AA15" s="30" t="n">
        <f aca="false">AA13+AA14</f>
        <v>65190.5161462116</v>
      </c>
      <c r="AB15" s="30" t="n">
        <f aca="false">AB13+AB14</f>
        <v>66885.4201828315</v>
      </c>
      <c r="AC15" s="30" t="n">
        <f aca="false">AC13+AC14</f>
        <v>68641.5988601425</v>
      </c>
      <c r="AD15" s="30" t="n">
        <f aca="false">AD13+AD14</f>
        <v>70462.1940301555</v>
      </c>
      <c r="AE15" s="30" t="n">
        <f aca="false">AE13+AE14</f>
        <v>72350.5445270654</v>
      </c>
      <c r="AF15" s="30" t="n">
        <f aca="false">AF13+AF14</f>
        <v>74310.1994970551</v>
      </c>
      <c r="AG15" s="30" t="n">
        <f aca="false">AG13+AG14</f>
        <v>76344.9326520059</v>
      </c>
      <c r="AH15" s="30" t="n">
        <f aca="false">AH13+AH14</f>
        <v>78458.7575116064</v>
      </c>
      <c r="AI15" s="30" t="n">
        <f aca="false">AI13+AI14</f>
        <v>80655.9437028581</v>
      </c>
      <c r="AJ15" s="30" t="n">
        <f aca="false">AJ13+AJ14</f>
        <v>82941.0343908063</v>
      </c>
      <c r="AK15" s="30" t="n">
        <f aca="false">AK13+AK14</f>
        <v>85318.8649194858</v>
      </c>
      <c r="AL15" s="30" t="n">
        <f aca="false">AL13+AL14</f>
        <v>87794.5827475993</v>
      </c>
      <c r="AM15" s="30" t="n">
        <f aca="false">AM13+AM14</f>
        <v>90373.6687693557</v>
      </c>
    </row>
    <row r="16" customFormat="false" ht="15" hidden="false" customHeight="false" outlineLevel="0" collapsed="false">
      <c r="A16" s="5" t="s">
        <v>326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customFormat="false" ht="15" hidden="false" customHeight="false" outlineLevel="0" collapsed="false">
      <c r="A17" s="8" t="s">
        <v>327</v>
      </c>
      <c r="B17" s="8" t="s">
        <v>293</v>
      </c>
      <c r="C17" s="28" t="n">
        <f aca="false">SUM(D17:AM17)</f>
        <v>170850.493636174</v>
      </c>
      <c r="D17" s="28" t="n">
        <f aca="false">D15*Assumptions!$D$19*IF(D$3&lt;Assumptions!$D$7,0,1)</f>
        <v>0</v>
      </c>
      <c r="E17" s="28" t="n">
        <f aca="false">E15*Assumptions!$D$19*IF(E$3&lt;Assumptions!$D$7,0,1)</f>
        <v>0</v>
      </c>
      <c r="F17" s="28" t="n">
        <f aca="false">F15*Assumptions!$D$19*IF(F$3&lt;Assumptions!$D$7,0,1)</f>
        <v>0</v>
      </c>
      <c r="G17" s="28" t="n">
        <f aca="false">G15*Assumptions!$D$19*IF(G$3&lt;Assumptions!$D$7,0,1)</f>
        <v>0</v>
      </c>
      <c r="H17" s="28" t="n">
        <f aca="false">H15*Assumptions!$D$19*IF(H$3&lt;Assumptions!$D$7,0,1)</f>
        <v>0</v>
      </c>
      <c r="I17" s="28" t="n">
        <f aca="false">I15*Assumptions!$D$19*IF(I$3&lt;Assumptions!$D$7,0,1)</f>
        <v>1363.25752712276</v>
      </c>
      <c r="J17" s="28" t="n">
        <f aca="false">J15*Assumptions!$D$19*IF(J$3&lt;Assumptions!$D$7,0,1)</f>
        <v>1376.51164097788</v>
      </c>
      <c r="K17" s="28" t="n">
        <f aca="false">K15*Assumptions!$D$19*IF(K$3&lt;Assumptions!$D$7,0,1)</f>
        <v>1390.69354280285</v>
      </c>
      <c r="L17" s="28" t="n">
        <f aca="false">L15*Assumptions!$D$19*IF(L$3&lt;Assumptions!$D$7,0,1)</f>
        <v>8081.23760422678</v>
      </c>
      <c r="M17" s="28" t="n">
        <f aca="false">M15*Assumptions!$D$19*IF(M$3&lt;Assumptions!$D$7,0,1)</f>
        <v>4186.05467130526</v>
      </c>
      <c r="N17" s="28" t="n">
        <f aca="false">N15*Assumptions!$D$19*IF(N$3&lt;Assumptions!$D$7,0,1)</f>
        <v>4283.42632438359</v>
      </c>
      <c r="O17" s="28" t="n">
        <f aca="false">O15*Assumptions!$D$19*IF(O$3&lt;Assumptions!$D$7,0,1)</f>
        <v>4383.70094969913</v>
      </c>
      <c r="P17" s="28" t="n">
        <f aca="false">P15*Assumptions!$D$19*IF(P$3&lt;Assumptions!$D$7,0,1)</f>
        <v>4487.00349443894</v>
      </c>
      <c r="Q17" s="28" t="n">
        <f aca="false">Q15*Assumptions!$D$19*IF(Q$3&lt;Assumptions!$D$7,0,1)</f>
        <v>4593.46608687576</v>
      </c>
      <c r="R17" s="28" t="n">
        <f aca="false">R15*Assumptions!$D$19*IF(R$3&lt;Assumptions!$D$7,0,1)</f>
        <v>4703.22850773967</v>
      </c>
      <c r="S17" s="28" t="n">
        <f aca="false">S15*Assumptions!$D$19*IF(S$3&lt;Assumptions!$D$7,0,1)</f>
        <v>4816.43869395971</v>
      </c>
      <c r="T17" s="28" t="n">
        <f aca="false">T15*Assumptions!$D$19*IF(T$3&lt;Assumptions!$D$7,0,1)</f>
        <v>4933.25327702871</v>
      </c>
      <c r="U17" s="28" t="n">
        <f aca="false">U15*Assumptions!$D$19*IF(U$3&lt;Assumptions!$D$7,0,1)</f>
        <v>5053.83815840239</v>
      </c>
      <c r="V17" s="28" t="n">
        <f aca="false">V15*Assumptions!$D$19*IF(V$3&lt;Assumptions!$D$7,0,1)</f>
        <v>5178.36912451185</v>
      </c>
      <c r="W17" s="28" t="n">
        <f aca="false">W15*Assumptions!$D$19*IF(W$3&lt;Assumptions!$D$7,0,1)</f>
        <v>5307.0325041494</v>
      </c>
      <c r="X17" s="28" t="n">
        <f aca="false">X15*Assumptions!$D$19*IF(X$3&lt;Assumptions!$D$7,0,1)</f>
        <v>5440.02587118001</v>
      </c>
      <c r="Y17" s="28" t="n">
        <f aca="false">Y15*Assumptions!$D$19*IF(Y$3&lt;Assumptions!$D$7,0,1)</f>
        <v>5577.55879573757</v>
      </c>
      <c r="Z17" s="28" t="n">
        <f aca="false">Z15*Assumptions!$D$19*IF(Z$3&lt;Assumptions!$D$7,0,1)</f>
        <v>5719.85364728566</v>
      </c>
      <c r="AA17" s="28" t="n">
        <f aca="false">AA15*Assumptions!$D$19*IF(AA$3&lt;Assumptions!$D$7,0,1)</f>
        <v>5867.14645315905</v>
      </c>
      <c r="AB17" s="28" t="n">
        <f aca="false">AB15*Assumptions!$D$19*IF(AB$3&lt;Assumptions!$D$7,0,1)</f>
        <v>6019.68781645483</v>
      </c>
      <c r="AC17" s="28" t="n">
        <f aca="false">AC15*Assumptions!$D$19*IF(AC$3&lt;Assumptions!$D$7,0,1)</f>
        <v>6177.74389741282</v>
      </c>
      <c r="AD17" s="28" t="n">
        <f aca="false">AD15*Assumptions!$D$19*IF(AD$3&lt;Assumptions!$D$7,0,1)</f>
        <v>6341.59746271399</v>
      </c>
      <c r="AE17" s="28" t="n">
        <f aca="false">AE15*Assumptions!$D$19*IF(AE$3&lt;Assumptions!$D$7,0,1)</f>
        <v>6511.54900743589</v>
      </c>
      <c r="AF17" s="28" t="n">
        <f aca="false">AF15*Assumptions!$D$19*IF(AF$3&lt;Assumptions!$D$7,0,1)</f>
        <v>6687.91795473496</v>
      </c>
      <c r="AG17" s="28" t="n">
        <f aca="false">AG15*Assumptions!$D$19*IF(AG$3&lt;Assumptions!$D$7,0,1)</f>
        <v>6871.04393868053</v>
      </c>
      <c r="AH17" s="28" t="n">
        <f aca="false">AH15*Assumptions!$D$19*IF(AH$3&lt;Assumptions!$D$7,0,1)</f>
        <v>7061.28817604457</v>
      </c>
      <c r="AI17" s="28" t="n">
        <f aca="false">AI15*Assumptions!$D$19*IF(AI$3&lt;Assumptions!$D$7,0,1)</f>
        <v>7259.03493325723</v>
      </c>
      <c r="AJ17" s="28" t="n">
        <f aca="false">AJ15*Assumptions!$D$19*IF(AJ$3&lt;Assumptions!$D$7,0,1)</f>
        <v>7464.69309517256</v>
      </c>
      <c r="AK17" s="28" t="n">
        <f aca="false">AK15*Assumptions!$D$19*IF(AK$3&lt;Assumptions!$D$7,0,1)</f>
        <v>7678.69784275372</v>
      </c>
      <c r="AL17" s="28" t="n">
        <f aca="false">AL15*Assumptions!$D$19*IF(AL$3&lt;Assumptions!$D$7,0,1)</f>
        <v>7901.51244728394</v>
      </c>
      <c r="AM17" s="28" t="n">
        <f aca="false">AM15*Assumptions!$D$19*IF(AM$3&lt;Assumptions!$D$7,0,1)</f>
        <v>8133.63018924202</v>
      </c>
    </row>
    <row r="18" customFormat="false" ht="15" hidden="false" customHeight="false" outlineLevel="0" collapsed="false">
      <c r="A18" s="8" t="s">
        <v>328</v>
      </c>
      <c r="B18" s="8" t="s">
        <v>293</v>
      </c>
      <c r="C18" s="28" t="n">
        <f aca="false">SUM(D18:AM18)</f>
        <v>102510.296181704</v>
      </c>
      <c r="D18" s="28" t="n">
        <f aca="false">D17*Assumptions!$D$20</f>
        <v>0</v>
      </c>
      <c r="E18" s="28" t="n">
        <f aca="false">E17*Assumptions!$D$20</f>
        <v>0</v>
      </c>
      <c r="F18" s="28" t="n">
        <f aca="false">F17*Assumptions!$D$20</f>
        <v>0</v>
      </c>
      <c r="G18" s="28" t="n">
        <f aca="false">G17*Assumptions!$D$20</f>
        <v>0</v>
      </c>
      <c r="H18" s="28" t="n">
        <f aca="false">H17*Assumptions!$D$20</f>
        <v>0</v>
      </c>
      <c r="I18" s="28" t="n">
        <f aca="false">I17*Assumptions!$D$20</f>
        <v>817.954516273657</v>
      </c>
      <c r="J18" s="28" t="n">
        <f aca="false">J17*Assumptions!$D$20</f>
        <v>825.906984586726</v>
      </c>
      <c r="K18" s="28" t="n">
        <f aca="false">K17*Assumptions!$D$20</f>
        <v>834.416125681709</v>
      </c>
      <c r="L18" s="28" t="n">
        <f aca="false">L17*Assumptions!$D$20</f>
        <v>4848.74256253607</v>
      </c>
      <c r="M18" s="28" t="n">
        <f aca="false">M17*Assumptions!$D$20</f>
        <v>2511.63280278316</v>
      </c>
      <c r="N18" s="28" t="n">
        <f aca="false">N17*Assumptions!$D$20</f>
        <v>2570.05579463015</v>
      </c>
      <c r="O18" s="28" t="n">
        <f aca="false">O17*Assumptions!$D$20</f>
        <v>2630.22056981948</v>
      </c>
      <c r="P18" s="28" t="n">
        <f aca="false">P17*Assumptions!$D$20</f>
        <v>2692.20209666337</v>
      </c>
      <c r="Q18" s="28" t="n">
        <f aca="false">Q17*Assumptions!$D$20</f>
        <v>2756.07965212545</v>
      </c>
      <c r="R18" s="28" t="n">
        <f aca="false">R17*Assumptions!$D$20</f>
        <v>2821.9371046438</v>
      </c>
      <c r="S18" s="28" t="n">
        <f aca="false">S17*Assumptions!$D$20</f>
        <v>2889.86321637582</v>
      </c>
      <c r="T18" s="28" t="n">
        <f aca="false">T17*Assumptions!$D$20</f>
        <v>2959.95196621723</v>
      </c>
      <c r="U18" s="28" t="n">
        <f aca="false">U17*Assumptions!$D$20</f>
        <v>3032.30289504143</v>
      </c>
      <c r="V18" s="28" t="n">
        <f aca="false">V17*Assumptions!$D$20</f>
        <v>3107.02147470711</v>
      </c>
      <c r="W18" s="28" t="n">
        <f aca="false">W17*Assumptions!$D$20</f>
        <v>3184.21950248964</v>
      </c>
      <c r="X18" s="28" t="n">
        <f aca="false">X17*Assumptions!$D$20</f>
        <v>3264.01552270801</v>
      </c>
      <c r="Y18" s="28" t="n">
        <f aca="false">Y17*Assumptions!$D$20</f>
        <v>3346.53527744254</v>
      </c>
      <c r="Z18" s="28" t="n">
        <f aca="false">Z17*Assumptions!$D$20</f>
        <v>3431.9121883714</v>
      </c>
      <c r="AA18" s="28" t="n">
        <f aca="false">AA17*Assumptions!$D$20</f>
        <v>3520.28787189543</v>
      </c>
      <c r="AB18" s="28" t="n">
        <f aca="false">AB17*Assumptions!$D$20</f>
        <v>3611.8126898729</v>
      </c>
      <c r="AC18" s="28" t="n">
        <f aca="false">AC17*Assumptions!$D$20</f>
        <v>3706.64633844769</v>
      </c>
      <c r="AD18" s="28" t="n">
        <f aca="false">AD17*Assumptions!$D$20</f>
        <v>3804.95847762839</v>
      </c>
      <c r="AE18" s="28" t="n">
        <f aca="false">AE17*Assumptions!$D$20</f>
        <v>3906.92940446153</v>
      </c>
      <c r="AF18" s="28" t="n">
        <f aca="false">AF17*Assumptions!$D$20</f>
        <v>4012.75077284097</v>
      </c>
      <c r="AG18" s="28" t="n">
        <f aca="false">AG17*Assumptions!$D$20</f>
        <v>4122.62636320832</v>
      </c>
      <c r="AH18" s="28" t="n">
        <f aca="false">AH17*Assumptions!$D$20</f>
        <v>4236.77290562674</v>
      </c>
      <c r="AI18" s="28" t="n">
        <f aca="false">AI17*Assumptions!$D$20</f>
        <v>4355.42095995434</v>
      </c>
      <c r="AJ18" s="28" t="n">
        <f aca="false">AJ17*Assumptions!$D$20</f>
        <v>4478.81585710354</v>
      </c>
      <c r="AK18" s="28" t="n">
        <f aca="false">AK17*Assumptions!$D$20</f>
        <v>4607.21870565223</v>
      </c>
      <c r="AL18" s="28" t="n">
        <f aca="false">AL17*Assumptions!$D$20</f>
        <v>4740.90746837036</v>
      </c>
      <c r="AM18" s="28" t="n">
        <f aca="false">AM17*Assumptions!$D$20</f>
        <v>4880.17811354521</v>
      </c>
    </row>
    <row r="19" customFormat="false" ht="15" hidden="false" customHeight="false" outlineLevel="0" collapsed="false">
      <c r="A19" s="8" t="s">
        <v>329</v>
      </c>
      <c r="B19" s="8" t="s">
        <v>293</v>
      </c>
      <c r="C19" s="28" t="n">
        <f aca="false">SUM(D19:AM19)</f>
        <v>31223.05461493</v>
      </c>
      <c r="D19" s="28" t="n">
        <f aca="false">D18*Assumptions!$D$21*D10</f>
        <v>0</v>
      </c>
      <c r="E19" s="28" t="n">
        <f aca="false">E18*Assumptions!$D$21*E10</f>
        <v>0</v>
      </c>
      <c r="F19" s="28" t="n">
        <f aca="false">F18*Assumptions!$D$21*F10</f>
        <v>0</v>
      </c>
      <c r="G19" s="28" t="n">
        <f aca="false">G18*Assumptions!$D$21*G10</f>
        <v>0</v>
      </c>
      <c r="H19" s="28" t="n">
        <f aca="false">H18*Assumptions!$D$21*H10</f>
        <v>0</v>
      </c>
      <c r="I19" s="28" t="n">
        <f aca="false">I18*Assumptions!$D$21*I10</f>
        <v>71.5710201739449</v>
      </c>
      <c r="J19" s="28" t="n">
        <f aca="false">J18*Assumptions!$D$21*J10</f>
        <v>72.2668611513385</v>
      </c>
      <c r="K19" s="28" t="n">
        <f aca="false">K18*Assumptions!$D$21*K10</f>
        <v>73.0114109971496</v>
      </c>
      <c r="L19" s="28" t="n">
        <f aca="false">L18*Assumptions!$D$21*L10</f>
        <v>848.529948443812</v>
      </c>
      <c r="M19" s="28" t="n">
        <f aca="false">M18*Assumptions!$D$21*M10</f>
        <v>464.652068514884</v>
      </c>
      <c r="N19" s="28" t="n">
        <f aca="false">N18*Assumptions!$D$21*N10</f>
        <v>501.16087995288</v>
      </c>
      <c r="O19" s="28" t="n">
        <f aca="false">O18*Assumptions!$D$21*O10</f>
        <v>539.195216812993</v>
      </c>
      <c r="P19" s="28" t="n">
        <f aca="false">P18*Assumptions!$D$21*P10</f>
        <v>578.823450782624</v>
      </c>
      <c r="Q19" s="28" t="n">
        <f aca="false">Q18*Assumptions!$D$21*Q10</f>
        <v>620.117921728227</v>
      </c>
      <c r="R19" s="28" t="n">
        <f aca="false">R18*Assumptions!$D$21*R10</f>
        <v>663.155219591293</v>
      </c>
      <c r="S19" s="28" t="n">
        <f aca="false">S18*Assumptions!$D$21*S10</f>
        <v>708.016488012077</v>
      </c>
      <c r="T19" s="28" t="n">
        <f aca="false">T18*Assumptions!$D$21*T10</f>
        <v>754.787751385393</v>
      </c>
      <c r="U19" s="28" t="n">
        <f aca="false">U18*Assumptions!$D$21*U10</f>
        <v>803.560267185979</v>
      </c>
      <c r="V19" s="28" t="n">
        <f aca="false">V18*Assumptions!$D$21*V10</f>
        <v>854.430905544455</v>
      </c>
      <c r="W19" s="28" t="n">
        <f aca="false">W18*Assumptions!$D$21*W10</f>
        <v>907.502558209547</v>
      </c>
      <c r="X19" s="28" t="n">
        <f aca="false">X18*Assumptions!$D$21*X10</f>
        <v>962.884579198862</v>
      </c>
      <c r="Y19" s="28" t="n">
        <f aca="false">Y18*Assumptions!$D$21*Y10</f>
        <v>1020.69325961998</v>
      </c>
      <c r="Z19" s="28" t="n">
        <f aca="false">Z18*Assumptions!$D$21*Z10</f>
        <v>1081.05233933699</v>
      </c>
      <c r="AA19" s="28" t="n">
        <f aca="false">AA18*Assumptions!$D$21*AA10</f>
        <v>1144.09355836601</v>
      </c>
      <c r="AB19" s="28" t="n">
        <f aca="false">AB18*Assumptions!$D$21*AB10</f>
        <v>1209.95725110742</v>
      </c>
      <c r="AC19" s="28" t="n">
        <f aca="false">AC18*Assumptions!$D$21*AC10</f>
        <v>1278.79298676445</v>
      </c>
      <c r="AD19" s="28" t="n">
        <f aca="false">AD18*Assumptions!$D$21*AD10</f>
        <v>1350.76025955808</v>
      </c>
      <c r="AE19" s="28" t="n">
        <f aca="false">AE18*Assumptions!$D$21*AE10</f>
        <v>1426.02923262846</v>
      </c>
      <c r="AF19" s="28" t="n">
        <f aca="false">AF18*Assumptions!$D$21*AF10</f>
        <v>1504.78153981536</v>
      </c>
      <c r="AG19" s="28" t="n">
        <f aca="false">AG18*Assumptions!$D$21*AG10</f>
        <v>1545.98488620312</v>
      </c>
      <c r="AH19" s="28" t="n">
        <f aca="false">AH18*Assumptions!$D$21*AH10</f>
        <v>1588.78983961003</v>
      </c>
      <c r="AI19" s="28" t="n">
        <f aca="false">AI18*Assumptions!$D$21*AI10</f>
        <v>1633.28285998288</v>
      </c>
      <c r="AJ19" s="28" t="n">
        <f aca="false">AJ18*Assumptions!$D$21*AJ10</f>
        <v>1679.55594641383</v>
      </c>
      <c r="AK19" s="28" t="n">
        <f aca="false">AK18*Assumptions!$D$21*AK10</f>
        <v>1727.70701461959</v>
      </c>
      <c r="AL19" s="28" t="n">
        <f aca="false">AL18*Assumptions!$D$21*AL10</f>
        <v>1777.84030063889</v>
      </c>
      <c r="AM19" s="28" t="n">
        <f aca="false">AM18*Assumptions!$D$21*AM10</f>
        <v>1830.06679257945</v>
      </c>
    </row>
    <row r="20" customFormat="false" ht="15" hidden="false" customHeight="false" outlineLevel="0" collapsed="false">
      <c r="A20" s="8" t="s">
        <v>330</v>
      </c>
      <c r="B20" s="8" t="s">
        <v>293</v>
      </c>
      <c r="C20" s="28" t="n">
        <f aca="false">SUM(D20:AM20)</f>
        <v>14987.0662151664</v>
      </c>
      <c r="D20" s="28" t="n">
        <f aca="false">D19*Assumptions!$D$25</f>
        <v>0</v>
      </c>
      <c r="E20" s="28" t="n">
        <f aca="false">E19*Assumptions!$D$25</f>
        <v>0</v>
      </c>
      <c r="F20" s="28" t="n">
        <f aca="false">F19*Assumptions!$D$25</f>
        <v>0</v>
      </c>
      <c r="G20" s="28" t="n">
        <f aca="false">G19*Assumptions!$D$25</f>
        <v>0</v>
      </c>
      <c r="H20" s="28" t="n">
        <f aca="false">H19*Assumptions!$D$25</f>
        <v>0</v>
      </c>
      <c r="I20" s="28" t="n">
        <f aca="false">I19*Assumptions!$D$25</f>
        <v>34.3540896834936</v>
      </c>
      <c r="J20" s="28" t="n">
        <f aca="false">J19*Assumptions!$D$25</f>
        <v>34.6880933526425</v>
      </c>
      <c r="K20" s="28" t="n">
        <f aca="false">K19*Assumptions!$D$25</f>
        <v>35.0454772786318</v>
      </c>
      <c r="L20" s="28" t="n">
        <f aca="false">L19*Assumptions!$D$25</f>
        <v>407.29437525303</v>
      </c>
      <c r="M20" s="28" t="n">
        <f aca="false">M19*Assumptions!$D$25</f>
        <v>223.032992887144</v>
      </c>
      <c r="N20" s="28" t="n">
        <f aca="false">N19*Assumptions!$D$25</f>
        <v>240.557222377382</v>
      </c>
      <c r="O20" s="28" t="n">
        <f aca="false">O19*Assumptions!$D$25</f>
        <v>258.813704070237</v>
      </c>
      <c r="P20" s="28" t="n">
        <f aca="false">P19*Assumptions!$D$25</f>
        <v>277.835256375659</v>
      </c>
      <c r="Q20" s="28" t="n">
        <f aca="false">Q19*Assumptions!$D$25</f>
        <v>297.656602429549</v>
      </c>
      <c r="R20" s="28" t="n">
        <f aca="false">R19*Assumptions!$D$25</f>
        <v>318.314505403821</v>
      </c>
      <c r="S20" s="28" t="n">
        <f aca="false">S19*Assumptions!$D$25</f>
        <v>339.847914245797</v>
      </c>
      <c r="T20" s="28" t="n">
        <f aca="false">T19*Assumptions!$D$25</f>
        <v>362.298120664989</v>
      </c>
      <c r="U20" s="28" t="n">
        <f aca="false">U19*Assumptions!$D$25</f>
        <v>385.70892824927</v>
      </c>
      <c r="V20" s="28" t="n">
        <f aca="false">V19*Assumptions!$D$25</f>
        <v>410.126834661338</v>
      </c>
      <c r="W20" s="28" t="n">
        <f aca="false">W19*Assumptions!$D$25</f>
        <v>435.601227940583</v>
      </c>
      <c r="X20" s="28" t="n">
        <f aca="false">X19*Assumptions!$D$25</f>
        <v>462.184598015454</v>
      </c>
      <c r="Y20" s="28" t="n">
        <f aca="false">Y19*Assumptions!$D$25</f>
        <v>489.932764617588</v>
      </c>
      <c r="Z20" s="28" t="n">
        <f aca="false">Z19*Assumptions!$D$25</f>
        <v>518.905122881755</v>
      </c>
      <c r="AA20" s="28" t="n">
        <f aca="false">AA19*Assumptions!$D$25</f>
        <v>549.164908015687</v>
      </c>
      <c r="AB20" s="28" t="n">
        <f aca="false">AB19*Assumptions!$D$25</f>
        <v>580.779480531562</v>
      </c>
      <c r="AC20" s="28" t="n">
        <f aca="false">AC19*Assumptions!$D$25</f>
        <v>613.820633646938</v>
      </c>
      <c r="AD20" s="28" t="n">
        <f aca="false">AD19*Assumptions!$D$25</f>
        <v>648.364924587878</v>
      </c>
      <c r="AE20" s="28" t="n">
        <f aca="false">AE19*Assumptions!$D$25</f>
        <v>684.49403166166</v>
      </c>
      <c r="AF20" s="28" t="n">
        <f aca="false">AF19*Assumptions!$D$25</f>
        <v>722.295139111375</v>
      </c>
      <c r="AG20" s="28" t="n">
        <f aca="false">AG19*Assumptions!$D$25</f>
        <v>742.072745377497</v>
      </c>
      <c r="AH20" s="28" t="n">
        <f aca="false">AH19*Assumptions!$D$25</f>
        <v>762.619123012814</v>
      </c>
      <c r="AI20" s="28" t="n">
        <f aca="false">AI19*Assumptions!$D$25</f>
        <v>783.975772791781</v>
      </c>
      <c r="AJ20" s="28" t="n">
        <f aca="false">AJ19*Assumptions!$D$25</f>
        <v>806.186854278637</v>
      </c>
      <c r="AK20" s="28" t="n">
        <f aca="false">AK19*Assumptions!$D$25</f>
        <v>829.299367017402</v>
      </c>
      <c r="AL20" s="28" t="n">
        <f aca="false">AL19*Assumptions!$D$25</f>
        <v>853.363344306665</v>
      </c>
      <c r="AM20" s="28" t="n">
        <f aca="false">AM19*Assumptions!$D$25</f>
        <v>878.432060438138</v>
      </c>
    </row>
    <row r="21" customFormat="false" ht="15" hidden="false" customHeight="false" outlineLevel="0" collapsed="false">
      <c r="A21" s="8" t="s">
        <v>331</v>
      </c>
      <c r="B21" s="8" t="s">
        <v>293</v>
      </c>
      <c r="C21" s="28" t="n">
        <f aca="false">SUM(D21:AM21)</f>
        <v>11240.2996613748</v>
      </c>
      <c r="D21" s="28" t="n">
        <f aca="false">D20*Assumptions!$D$26</f>
        <v>0</v>
      </c>
      <c r="E21" s="28" t="n">
        <f aca="false">E20*Assumptions!$D$26</f>
        <v>0</v>
      </c>
      <c r="F21" s="28" t="n">
        <f aca="false">F20*Assumptions!$D$26</f>
        <v>0</v>
      </c>
      <c r="G21" s="28" t="n">
        <f aca="false">G20*Assumptions!$D$26</f>
        <v>0</v>
      </c>
      <c r="H21" s="28" t="n">
        <f aca="false">H20*Assumptions!$D$26</f>
        <v>0</v>
      </c>
      <c r="I21" s="28" t="n">
        <f aca="false">I20*Assumptions!$D$26</f>
        <v>25.7655672626202</v>
      </c>
      <c r="J21" s="28" t="n">
        <f aca="false">J20*Assumptions!$D$26</f>
        <v>26.0160700144819</v>
      </c>
      <c r="K21" s="28" t="n">
        <f aca="false">K20*Assumptions!$D$26</f>
        <v>26.2841079589738</v>
      </c>
      <c r="L21" s="28" t="n">
        <f aca="false">L20*Assumptions!$D$26</f>
        <v>305.470781439772</v>
      </c>
      <c r="M21" s="28" t="n">
        <f aca="false">M20*Assumptions!$D$26</f>
        <v>167.274744665358</v>
      </c>
      <c r="N21" s="28" t="n">
        <f aca="false">N20*Assumptions!$D$26</f>
        <v>180.417916783037</v>
      </c>
      <c r="O21" s="28" t="n">
        <f aca="false">O20*Assumptions!$D$26</f>
        <v>194.110278052678</v>
      </c>
      <c r="P21" s="28" t="n">
        <f aca="false">P20*Assumptions!$D$26</f>
        <v>208.376442281745</v>
      </c>
      <c r="Q21" s="28" t="n">
        <f aca="false">Q20*Assumptions!$D$26</f>
        <v>223.242451822162</v>
      </c>
      <c r="R21" s="28" t="n">
        <f aca="false">R20*Assumptions!$D$26</f>
        <v>238.735879052866</v>
      </c>
      <c r="S21" s="28" t="n">
        <f aca="false">S20*Assumptions!$D$26</f>
        <v>254.885935684348</v>
      </c>
      <c r="T21" s="28" t="n">
        <f aca="false">T20*Assumptions!$D$26</f>
        <v>271.723590498741</v>
      </c>
      <c r="U21" s="28" t="n">
        <f aca="false">U20*Assumptions!$D$26</f>
        <v>289.281696186952</v>
      </c>
      <c r="V21" s="28" t="n">
        <f aca="false">V20*Assumptions!$D$26</f>
        <v>307.595125996004</v>
      </c>
      <c r="W21" s="28" t="n">
        <f aca="false">W20*Assumptions!$D$26</f>
        <v>326.700920955437</v>
      </c>
      <c r="X21" s="28" t="n">
        <f aca="false">X20*Assumptions!$D$26</f>
        <v>346.63844851159</v>
      </c>
      <c r="Y21" s="28" t="n">
        <f aca="false">Y20*Assumptions!$D$26</f>
        <v>367.449573463191</v>
      </c>
      <c r="Z21" s="28" t="n">
        <f aca="false">Z20*Assumptions!$D$26</f>
        <v>389.178842161316</v>
      </c>
      <c r="AA21" s="28" t="n">
        <f aca="false">AA20*Assumptions!$D$26</f>
        <v>411.873681011765</v>
      </c>
      <c r="AB21" s="28" t="n">
        <f aca="false">AB20*Assumptions!$D$26</f>
        <v>435.584610398672</v>
      </c>
      <c r="AC21" s="28" t="n">
        <f aca="false">AC20*Assumptions!$D$26</f>
        <v>460.365475235203</v>
      </c>
      <c r="AD21" s="28" t="n">
        <f aca="false">AD20*Assumptions!$D$26</f>
        <v>486.273693440909</v>
      </c>
      <c r="AE21" s="28" t="n">
        <f aca="false">AE20*Assumptions!$D$26</f>
        <v>513.370523746245</v>
      </c>
      <c r="AF21" s="28" t="n">
        <f aca="false">AF20*Assumptions!$D$26</f>
        <v>541.721354333531</v>
      </c>
      <c r="AG21" s="28" t="n">
        <f aca="false">AG20*Assumptions!$D$26</f>
        <v>556.554559033123</v>
      </c>
      <c r="AH21" s="28" t="n">
        <f aca="false">AH20*Assumptions!$D$26</f>
        <v>571.96434225961</v>
      </c>
      <c r="AI21" s="28" t="n">
        <f aca="false">AI20*Assumptions!$D$26</f>
        <v>587.981829593836</v>
      </c>
      <c r="AJ21" s="28" t="n">
        <f aca="false">AJ20*Assumptions!$D$26</f>
        <v>604.640140708978</v>
      </c>
      <c r="AK21" s="28" t="n">
        <f aca="false">AK20*Assumptions!$D$26</f>
        <v>621.974525263051</v>
      </c>
      <c r="AL21" s="28" t="n">
        <f aca="false">AL20*Assumptions!$D$26</f>
        <v>640.022508229999</v>
      </c>
      <c r="AM21" s="28" t="n">
        <f aca="false">AM20*Assumptions!$D$26</f>
        <v>658.824045328603</v>
      </c>
    </row>
    <row r="22" customFormat="false" ht="15" hidden="false" customHeight="false" outlineLevel="0" collapsed="false">
      <c r="A22" s="8" t="s">
        <v>332</v>
      </c>
      <c r="B22" s="8" t="s">
        <v>293</v>
      </c>
      <c r="C22" s="28" t="n">
        <f aca="false">SUM(D22:AM22)</f>
        <v>6182.16481375614</v>
      </c>
      <c r="D22" s="28" t="n">
        <f aca="false">D21*Assumptions!$D$27</f>
        <v>0</v>
      </c>
      <c r="E22" s="28" t="n">
        <f aca="false">E21*Assumptions!$D$27</f>
        <v>0</v>
      </c>
      <c r="F22" s="28" t="n">
        <f aca="false">F21*Assumptions!$D$27</f>
        <v>0</v>
      </c>
      <c r="G22" s="28" t="n">
        <f aca="false">G21*Assumptions!$D$27</f>
        <v>0</v>
      </c>
      <c r="H22" s="28" t="n">
        <f aca="false">H21*Assumptions!$D$27</f>
        <v>0</v>
      </c>
      <c r="I22" s="28" t="n">
        <f aca="false">I21*Assumptions!$D$27</f>
        <v>14.1710619944411</v>
      </c>
      <c r="J22" s="28" t="n">
        <f aca="false">J21*Assumptions!$D$27</f>
        <v>14.308838507965</v>
      </c>
      <c r="K22" s="28" t="n">
        <f aca="false">K21*Assumptions!$D$27</f>
        <v>14.4562593774356</v>
      </c>
      <c r="L22" s="28" t="n">
        <f aca="false">L21*Assumptions!$D$27</f>
        <v>168.008929791875</v>
      </c>
      <c r="M22" s="28" t="n">
        <f aca="false">M21*Assumptions!$D$27</f>
        <v>92.0011095659471</v>
      </c>
      <c r="N22" s="28" t="n">
        <f aca="false">N21*Assumptions!$D$27</f>
        <v>99.2298542306702</v>
      </c>
      <c r="O22" s="28" t="n">
        <f aca="false">O21*Assumptions!$D$27</f>
        <v>106.760652928973</v>
      </c>
      <c r="P22" s="28" t="n">
        <f aca="false">P21*Assumptions!$D$27</f>
        <v>114.607043254959</v>
      </c>
      <c r="Q22" s="28" t="n">
        <f aca="false">Q21*Assumptions!$D$27</f>
        <v>122.783348502189</v>
      </c>
      <c r="R22" s="28" t="n">
        <f aca="false">R21*Assumptions!$D$27</f>
        <v>131.304733479076</v>
      </c>
      <c r="S22" s="28" t="n">
        <f aca="false">S21*Assumptions!$D$27</f>
        <v>140.187264626391</v>
      </c>
      <c r="T22" s="28" t="n">
        <f aca="false">T21*Assumptions!$D$27</f>
        <v>149.447974774308</v>
      </c>
      <c r="U22" s="28" t="n">
        <f aca="false">U21*Assumptions!$D$27</f>
        <v>159.104932902824</v>
      </c>
      <c r="V22" s="28" t="n">
        <f aca="false">V21*Assumptions!$D$27</f>
        <v>169.177319297802</v>
      </c>
      <c r="W22" s="28" t="n">
        <f aca="false">W21*Assumptions!$D$27</f>
        <v>179.68550652549</v>
      </c>
      <c r="X22" s="28" t="n">
        <f aca="false">X21*Assumptions!$D$27</f>
        <v>190.651146681375</v>
      </c>
      <c r="Y22" s="28" t="n">
        <f aca="false">Y21*Assumptions!$D$27</f>
        <v>202.097265404755</v>
      </c>
      <c r="Z22" s="28" t="n">
        <f aca="false">Z21*Assumptions!$D$27</f>
        <v>214.048363188724</v>
      </c>
      <c r="AA22" s="28" t="n">
        <f aca="false">AA21*Assumptions!$D$27</f>
        <v>226.530524556471</v>
      </c>
      <c r="AB22" s="28" t="n">
        <f aca="false">AB21*Assumptions!$D$27</f>
        <v>239.57153571927</v>
      </c>
      <c r="AC22" s="28" t="n">
        <f aca="false">AC21*Assumptions!$D$27</f>
        <v>253.201011379362</v>
      </c>
      <c r="AD22" s="28" t="n">
        <f aca="false">AD21*Assumptions!$D$27</f>
        <v>267.4505313925</v>
      </c>
      <c r="AE22" s="28" t="n">
        <f aca="false">AE21*Assumptions!$D$27</f>
        <v>282.353788060435</v>
      </c>
      <c r="AF22" s="28" t="n">
        <f aca="false">AF21*Assumptions!$D$27</f>
        <v>297.946744883442</v>
      </c>
      <c r="AG22" s="28" t="n">
        <f aca="false">AG21*Assumptions!$D$27</f>
        <v>306.105007468217</v>
      </c>
      <c r="AH22" s="28" t="n">
        <f aca="false">AH21*Assumptions!$D$27</f>
        <v>314.580388242786</v>
      </c>
      <c r="AI22" s="28" t="n">
        <f aca="false">AI21*Assumptions!$D$27</f>
        <v>323.39000627661</v>
      </c>
      <c r="AJ22" s="28" t="n">
        <f aca="false">AJ21*Assumptions!$D$27</f>
        <v>332.552077389938</v>
      </c>
      <c r="AK22" s="28" t="n">
        <f aca="false">AK21*Assumptions!$D$27</f>
        <v>342.085988894678</v>
      </c>
      <c r="AL22" s="28" t="n">
        <f aca="false">AL21*Assumptions!$D$27</f>
        <v>352.012379526499</v>
      </c>
      <c r="AM22" s="28" t="n">
        <f aca="false">AM21*Assumptions!$D$27</f>
        <v>362.353224930732</v>
      </c>
    </row>
    <row r="23" customFormat="false" ht="15" hidden="false" customHeight="false" outlineLevel="0" collapsed="false">
      <c r="A23" s="29" t="s">
        <v>333</v>
      </c>
      <c r="B23" s="8" t="s">
        <v>293</v>
      </c>
      <c r="C23" s="30" t="n">
        <f aca="false">SUM(D23:AM23)</f>
        <v>3585.65559197856</v>
      </c>
      <c r="D23" s="30" t="n">
        <f aca="false">D22*Assumptions!$D$28</f>
        <v>0</v>
      </c>
      <c r="E23" s="30" t="n">
        <f aca="false">E22*Assumptions!$D$28</f>
        <v>0</v>
      </c>
      <c r="F23" s="30" t="n">
        <f aca="false">F22*Assumptions!$D$28</f>
        <v>0</v>
      </c>
      <c r="G23" s="30" t="n">
        <f aca="false">G22*Assumptions!$D$28</f>
        <v>0</v>
      </c>
      <c r="H23" s="30" t="n">
        <f aca="false">H22*Assumptions!$D$28</f>
        <v>0</v>
      </c>
      <c r="I23" s="30" t="n">
        <f aca="false">I22*Assumptions!$D$28</f>
        <v>8.21921595677584</v>
      </c>
      <c r="J23" s="30" t="n">
        <f aca="false">J22*Assumptions!$D$28</f>
        <v>8.29912633461971</v>
      </c>
      <c r="K23" s="30" t="n">
        <f aca="false">K22*Assumptions!$D$28</f>
        <v>8.38463043891266</v>
      </c>
      <c r="L23" s="30" t="n">
        <f aca="false">L22*Assumptions!$D$28</f>
        <v>97.4451792792874</v>
      </c>
      <c r="M23" s="30" t="n">
        <f aca="false">M22*Assumptions!$D$28</f>
        <v>53.3606435482493</v>
      </c>
      <c r="N23" s="30" t="n">
        <f aca="false">N22*Assumptions!$D$28</f>
        <v>57.5533154537887</v>
      </c>
      <c r="O23" s="30" t="n">
        <f aca="false">O22*Assumptions!$D$28</f>
        <v>61.9211786988042</v>
      </c>
      <c r="P23" s="30" t="n">
        <f aca="false">P22*Assumptions!$D$28</f>
        <v>66.4720850878765</v>
      </c>
      <c r="Q23" s="30" t="n">
        <f aca="false">Q22*Assumptions!$D$28</f>
        <v>71.2143421312696</v>
      </c>
      <c r="R23" s="30" t="n">
        <f aca="false">R22*Assumptions!$D$28</f>
        <v>76.1567454178641</v>
      </c>
      <c r="S23" s="30" t="n">
        <f aca="false">S22*Assumptions!$D$28</f>
        <v>81.3086134833069</v>
      </c>
      <c r="T23" s="30" t="n">
        <f aca="false">T22*Assumptions!$D$28</f>
        <v>86.6798253690985</v>
      </c>
      <c r="U23" s="30" t="n">
        <f aca="false">U22*Assumptions!$D$28</f>
        <v>92.2808610836378</v>
      </c>
      <c r="V23" s="30" t="n">
        <f aca="false">V22*Assumptions!$D$28</f>
        <v>98.1228451927252</v>
      </c>
      <c r="W23" s="30" t="n">
        <f aca="false">W22*Assumptions!$D$28</f>
        <v>104.217593784784</v>
      </c>
      <c r="X23" s="30" t="n">
        <f aca="false">X22*Assumptions!$D$28</f>
        <v>110.577665075197</v>
      </c>
      <c r="Y23" s="30" t="n">
        <f aca="false">Y22*Assumptions!$D$28</f>
        <v>117.216413934758</v>
      </c>
      <c r="Z23" s="30" t="n">
        <f aca="false">Z22*Assumptions!$D$28</f>
        <v>124.14805064946</v>
      </c>
      <c r="AA23" s="30" t="n">
        <f aca="false">AA22*Assumptions!$D$28</f>
        <v>131.387704242753</v>
      </c>
      <c r="AB23" s="30" t="n">
        <f aca="false">AB22*Assumptions!$D$28</f>
        <v>138.951490717176</v>
      </c>
      <c r="AC23" s="30" t="n">
        <f aca="false">AC22*Assumptions!$D$28</f>
        <v>146.85658660003</v>
      </c>
      <c r="AD23" s="30" t="n">
        <f aca="false">AD22*Assumptions!$D$28</f>
        <v>155.12130820765</v>
      </c>
      <c r="AE23" s="30" t="n">
        <f aca="false">AE22*Assumptions!$D$28</f>
        <v>163.765197075052</v>
      </c>
      <c r="AF23" s="30" t="n">
        <f aca="false">AF22*Assumptions!$D$28</f>
        <v>172.809112032396</v>
      </c>
      <c r="AG23" s="30" t="n">
        <f aca="false">AG22*Assumptions!$D$28</f>
        <v>177.540904331566</v>
      </c>
      <c r="AH23" s="30" t="n">
        <f aca="false">AH22*Assumptions!$D$28</f>
        <v>182.456625180816</v>
      </c>
      <c r="AI23" s="30" t="n">
        <f aca="false">AI22*Assumptions!$D$28</f>
        <v>187.566203640434</v>
      </c>
      <c r="AJ23" s="30" t="n">
        <f aca="false">AJ22*Assumptions!$D$28</f>
        <v>192.880204886164</v>
      </c>
      <c r="AK23" s="30" t="n">
        <f aca="false">AK22*Assumptions!$D$28</f>
        <v>198.409873558913</v>
      </c>
      <c r="AL23" s="30" t="n">
        <f aca="false">AL22*Assumptions!$D$28</f>
        <v>204.16718012537</v>
      </c>
      <c r="AM23" s="30" t="n">
        <f aca="false">AM22*Assumptions!$D$28</f>
        <v>210.164870459824</v>
      </c>
    </row>
    <row r="24" customFormat="false" ht="15" hidden="false" customHeight="false" outlineLevel="0" collapsed="false">
      <c r="A24" s="29" t="s">
        <v>334</v>
      </c>
      <c r="B24" s="8" t="s">
        <v>293</v>
      </c>
      <c r="D24" s="30" t="n">
        <f aca="false">D23</f>
        <v>0</v>
      </c>
      <c r="E24" s="30" t="n">
        <f aca="false">D24*(1-Assumptions!$D$41)+E23</f>
        <v>0</v>
      </c>
      <c r="F24" s="30" t="n">
        <f aca="false">E24*(1-Assumptions!$D$41)+F23</f>
        <v>0</v>
      </c>
      <c r="G24" s="30" t="n">
        <f aca="false">F24*(1-Assumptions!$D$41)+G23</f>
        <v>0</v>
      </c>
      <c r="H24" s="30" t="n">
        <f aca="false">G24*(1-Assumptions!$D$41)+H23</f>
        <v>0</v>
      </c>
      <c r="I24" s="30" t="n">
        <f aca="false">H24*(1-Assumptions!$D$41)+I23</f>
        <v>8.21921595677584</v>
      </c>
      <c r="J24" s="30" t="n">
        <f aca="false">I24*(1-Assumptions!$D$41)+J23</f>
        <v>15.4498442170147</v>
      </c>
      <c r="K24" s="30" t="n">
        <f aca="false">J24*(1-Assumptions!$D$41)+K23</f>
        <v>21.8259949077154</v>
      </c>
      <c r="L24" s="30" t="n">
        <f aca="false">K24*(1-Assumptions!$D$41)+L23</f>
        <v>116.433794849</v>
      </c>
      <c r="M24" s="30" t="n">
        <f aca="false">L24*(1-Assumptions!$D$41)+M23</f>
        <v>154.658045066879</v>
      </c>
      <c r="N24" s="30" t="n">
        <f aca="false">M24*(1-Assumptions!$D$41)+N23</f>
        <v>192.105814661974</v>
      </c>
      <c r="O24" s="30" t="n">
        <f aca="false">N24*(1-Assumptions!$D$41)+O23</f>
        <v>229.053237454721</v>
      </c>
      <c r="P24" s="30" t="n">
        <f aca="false">O24*(1-Assumptions!$D$41)+P23</f>
        <v>265.748401673484</v>
      </c>
      <c r="Q24" s="30" t="n">
        <f aca="false">P24*(1-Assumptions!$D$41)+Q23</f>
        <v>302.415451587201</v>
      </c>
      <c r="R24" s="30" t="n">
        <f aca="false">Q24*(1-Assumptions!$D$41)+R23</f>
        <v>339.258188298729</v>
      </c>
      <c r="S24" s="30" t="n">
        <f aca="false">R24*(1-Assumptions!$D$41)+S23</f>
        <v>376.463237303201</v>
      </c>
      <c r="T24" s="30" t="n">
        <f aca="false">S24*(1-Assumptions!$D$41)+T23</f>
        <v>414.202841822883</v>
      </c>
      <c r="U24" s="30" t="n">
        <f aca="false">T24*(1-Assumptions!$D$41)+U23</f>
        <v>452.637333469546</v>
      </c>
      <c r="V24" s="30" t="n">
        <f aca="false">U24*(1-Assumptions!$D$41)+V23</f>
        <v>491.91732531123</v>
      </c>
      <c r="W24" s="30" t="n">
        <f aca="false">V24*(1-Assumptions!$D$41)+W23</f>
        <v>532.185666805555</v>
      </c>
      <c r="X24" s="30" t="n">
        <f aca="false">W24*(1-Assumptions!$D$41)+X23</f>
        <v>573.57919519603</v>
      </c>
      <c r="Y24" s="30" t="n">
        <f aca="false">X24*(1-Assumptions!$D$41)+Y23</f>
        <v>616.230313755304</v>
      </c>
      <c r="Z24" s="30" t="n">
        <f aca="false">Y24*(1-Assumptions!$D$41)+Z23</f>
        <v>660.268423616575</v>
      </c>
      <c r="AA24" s="30" t="n">
        <f aca="false">Z24*(1-Assumptions!$D$41)+AA23</f>
        <v>705.821232789173</v>
      </c>
      <c r="AB24" s="30" t="n">
        <f aca="false">AA24*(1-Assumptions!$D$41)+AB23</f>
        <v>753.015963243757</v>
      </c>
      <c r="AC24" s="30" t="n">
        <f aca="false">AB24*(1-Assumptions!$D$41)+AC23</f>
        <v>801.980474622098</v>
      </c>
      <c r="AD24" s="30" t="n">
        <f aca="false">AC24*(1-Assumptions!$D$41)+AD23</f>
        <v>852.844321128875</v>
      </c>
      <c r="AE24" s="30" t="n">
        <f aca="false">AD24*(1-Assumptions!$D$41)+AE23</f>
        <v>905.739756457174</v>
      </c>
      <c r="AF24" s="30" t="n">
        <f aca="false">AE24*(1-Assumptions!$D$41)+AF23</f>
        <v>960.802700150138</v>
      </c>
      <c r="AG24" s="30" t="n">
        <f aca="false">AF24*(1-Assumptions!$D$41)+AG23</f>
        <v>1013.43925346219</v>
      </c>
      <c r="AH24" s="30" t="n">
        <f aca="false">AG24*(1-Assumptions!$D$41)+AH23</f>
        <v>1064.14877569292</v>
      </c>
      <c r="AI24" s="30" t="n">
        <f aca="false">AH24*(1-Assumptions!$D$41)+AI23</f>
        <v>1113.37563849327</v>
      </c>
      <c r="AJ24" s="30" t="n">
        <f aca="false">AI24*(1-Assumptions!$D$41)+AJ23</f>
        <v>1161.51701037531</v>
      </c>
      <c r="AK24" s="30" t="n">
        <f aca="false">AJ24*(1-Assumptions!$D$41)+AK23</f>
        <v>1208.92967258543</v>
      </c>
      <c r="AL24" s="30" t="n">
        <f aca="false">AK24*(1-Assumptions!$D$41)+AL23</f>
        <v>1255.9359952747</v>
      </c>
      <c r="AM24" s="30" t="n">
        <f aca="false">AL24*(1-Assumptions!$D$41)+AM23</f>
        <v>1302.82918634881</v>
      </c>
    </row>
    <row r="25" customFormat="false" ht="15" hidden="false" customHeight="false" outlineLevel="0" collapsed="false">
      <c r="A25" s="8" t="s">
        <v>335</v>
      </c>
      <c r="B25" s="8" t="s">
        <v>293</v>
      </c>
      <c r="C25" s="28" t="n">
        <f aca="false">SUM(D25:AM25)</f>
        <v>2282.82640562975</v>
      </c>
      <c r="D25" s="28" t="n">
        <f aca="false">0</f>
        <v>0</v>
      </c>
      <c r="E25" s="28" t="n">
        <f aca="false">D24*Assumptions!$D$41</f>
        <v>0</v>
      </c>
      <c r="F25" s="28" t="n">
        <f aca="false">E24*Assumptions!$D$41</f>
        <v>0</v>
      </c>
      <c r="G25" s="28" t="n">
        <f aca="false">F24*Assumptions!$D$41</f>
        <v>0</v>
      </c>
      <c r="H25" s="28" t="n">
        <f aca="false">G24*Assumptions!$D$41</f>
        <v>0</v>
      </c>
      <c r="I25" s="28" t="n">
        <f aca="false">H24*Assumptions!$D$41</f>
        <v>0</v>
      </c>
      <c r="J25" s="28" t="n">
        <f aca="false">I24*Assumptions!$D$41</f>
        <v>1.06849807438086</v>
      </c>
      <c r="K25" s="28" t="n">
        <f aca="false">J24*Assumptions!$D$41</f>
        <v>2.00847974821191</v>
      </c>
      <c r="L25" s="28" t="n">
        <f aca="false">K24*Assumptions!$D$41</f>
        <v>2.83737933800301</v>
      </c>
      <c r="M25" s="28" t="n">
        <f aca="false">L24*Assumptions!$D$41</f>
        <v>15.13639333037</v>
      </c>
      <c r="N25" s="28" t="n">
        <f aca="false">M24*Assumptions!$D$41</f>
        <v>20.1055458586943</v>
      </c>
      <c r="O25" s="28" t="n">
        <f aca="false">N24*Assumptions!$D$41</f>
        <v>24.9737559060566</v>
      </c>
      <c r="P25" s="28" t="n">
        <f aca="false">O24*Assumptions!$D$41</f>
        <v>29.7769208691138</v>
      </c>
      <c r="Q25" s="28" t="n">
        <f aca="false">P24*Assumptions!$D$41</f>
        <v>34.5472922175529</v>
      </c>
      <c r="R25" s="28" t="n">
        <f aca="false">Q24*Assumptions!$D$41</f>
        <v>39.3140087063361</v>
      </c>
      <c r="S25" s="28" t="n">
        <f aca="false">R24*Assumptions!$D$41</f>
        <v>44.1035644788347</v>
      </c>
      <c r="T25" s="28" t="n">
        <f aca="false">S24*Assumptions!$D$41</f>
        <v>48.9402208494161</v>
      </c>
      <c r="U25" s="28" t="n">
        <f aca="false">T24*Assumptions!$D$41</f>
        <v>53.8463694369748</v>
      </c>
      <c r="V25" s="28" t="n">
        <f aca="false">U24*Assumptions!$D$41</f>
        <v>58.842853351041</v>
      </c>
      <c r="W25" s="28" t="n">
        <f aca="false">V24*Assumptions!$D$41</f>
        <v>63.9492522904599</v>
      </c>
      <c r="X25" s="28" t="n">
        <f aca="false">W24*Assumptions!$D$41</f>
        <v>69.1841366847221</v>
      </c>
      <c r="Y25" s="28" t="n">
        <f aca="false">X24*Assumptions!$D$41</f>
        <v>74.5652953754839</v>
      </c>
      <c r="Z25" s="28" t="n">
        <f aca="false">Y24*Assumptions!$D$41</f>
        <v>80.1099407881895</v>
      </c>
      <c r="AA25" s="28" t="n">
        <f aca="false">Z24*Assumptions!$D$41</f>
        <v>85.8348950701547</v>
      </c>
      <c r="AB25" s="28" t="n">
        <f aca="false">AA24*Assumptions!$D$41</f>
        <v>91.7567602625925</v>
      </c>
      <c r="AC25" s="28" t="n">
        <f aca="false">AB24*Assumptions!$D$41</f>
        <v>97.8920752216884</v>
      </c>
      <c r="AD25" s="28" t="n">
        <f aca="false">AC24*Assumptions!$D$41</f>
        <v>104.257461700873</v>
      </c>
      <c r="AE25" s="28" t="n">
        <f aca="false">AD24*Assumptions!$D$41</f>
        <v>110.869761746754</v>
      </c>
      <c r="AF25" s="28" t="n">
        <f aca="false">AE24*Assumptions!$D$41</f>
        <v>117.746168339433</v>
      </c>
      <c r="AG25" s="28" t="n">
        <f aca="false">AF24*Assumptions!$D$41</f>
        <v>124.904351019518</v>
      </c>
      <c r="AH25" s="28" t="n">
        <f aca="false">AG24*Assumptions!$D$41</f>
        <v>131.747102950084</v>
      </c>
      <c r="AI25" s="28" t="n">
        <f aca="false">AH24*Assumptions!$D$41</f>
        <v>138.339340840079</v>
      </c>
      <c r="AJ25" s="28" t="n">
        <f aca="false">AI24*Assumptions!$D$41</f>
        <v>144.738833004125</v>
      </c>
      <c r="AK25" s="28" t="n">
        <f aca="false">AJ24*Assumptions!$D$41</f>
        <v>150.99721134879</v>
      </c>
      <c r="AL25" s="28" t="n">
        <f aca="false">AK24*Assumptions!$D$41</f>
        <v>157.160857436106</v>
      </c>
      <c r="AM25" s="28" t="n">
        <f aca="false">AL24*Assumptions!$D$41</f>
        <v>163.271679385711</v>
      </c>
    </row>
    <row r="26" customFormat="false" ht="15" hidden="false" customHeight="false" outlineLevel="0" collapsed="false">
      <c r="A26" s="8" t="s">
        <v>336</v>
      </c>
      <c r="B26" s="8" t="s">
        <v>293</v>
      </c>
      <c r="C26" s="28" t="n">
        <f aca="false">SUM(D26:AM26)</f>
        <v>5994.82648606656</v>
      </c>
      <c r="D26" s="28" t="n">
        <f aca="false">D20*Assumptions!$D$32</f>
        <v>0</v>
      </c>
      <c r="E26" s="28" t="n">
        <f aca="false">E20*Assumptions!$D$32</f>
        <v>0</v>
      </c>
      <c r="F26" s="28" t="n">
        <f aca="false">F20*Assumptions!$D$32</f>
        <v>0</v>
      </c>
      <c r="G26" s="28" t="n">
        <f aca="false">G20*Assumptions!$D$32</f>
        <v>0</v>
      </c>
      <c r="H26" s="28" t="n">
        <f aca="false">H20*Assumptions!$D$32</f>
        <v>0</v>
      </c>
      <c r="I26" s="28" t="n">
        <f aca="false">I20*Assumptions!$D$32</f>
        <v>13.7416358733974</v>
      </c>
      <c r="J26" s="28" t="n">
        <f aca="false">J20*Assumptions!$D$32</f>
        <v>13.875237341057</v>
      </c>
      <c r="K26" s="28" t="n">
        <f aca="false">K20*Assumptions!$D$32</f>
        <v>14.0181909114527</v>
      </c>
      <c r="L26" s="28" t="n">
        <f aca="false">L20*Assumptions!$D$32</f>
        <v>162.917750101212</v>
      </c>
      <c r="M26" s="28" t="n">
        <f aca="false">M20*Assumptions!$D$32</f>
        <v>89.2131971548578</v>
      </c>
      <c r="N26" s="28" t="n">
        <f aca="false">N20*Assumptions!$D$32</f>
        <v>96.2228889509529</v>
      </c>
      <c r="O26" s="28" t="n">
        <f aca="false">O20*Assumptions!$D$32</f>
        <v>103.525481628095</v>
      </c>
      <c r="P26" s="28" t="n">
        <f aca="false">P20*Assumptions!$D$32</f>
        <v>111.134102550264</v>
      </c>
      <c r="Q26" s="28" t="n">
        <f aca="false">Q20*Assumptions!$D$32</f>
        <v>119.06264097182</v>
      </c>
      <c r="R26" s="28" t="n">
        <f aca="false">R20*Assumptions!$D$32</f>
        <v>127.325802161528</v>
      </c>
      <c r="S26" s="28" t="n">
        <f aca="false">S20*Assumptions!$D$32</f>
        <v>135.939165698319</v>
      </c>
      <c r="T26" s="28" t="n">
        <f aca="false">T20*Assumptions!$D$32</f>
        <v>144.919248265995</v>
      </c>
      <c r="U26" s="28" t="n">
        <f aca="false">U20*Assumptions!$D$32</f>
        <v>154.283571299708</v>
      </c>
      <c r="V26" s="28" t="n">
        <f aca="false">V20*Assumptions!$D$32</f>
        <v>164.050733864535</v>
      </c>
      <c r="W26" s="28" t="n">
        <f aca="false">W20*Assumptions!$D$32</f>
        <v>174.240491176233</v>
      </c>
      <c r="X26" s="28" t="n">
        <f aca="false">X20*Assumptions!$D$32</f>
        <v>184.873839206182</v>
      </c>
      <c r="Y26" s="28" t="n">
        <f aca="false">Y20*Assumptions!$D$32</f>
        <v>195.973105847035</v>
      </c>
      <c r="Z26" s="28" t="n">
        <f aca="false">Z20*Assumptions!$D$32</f>
        <v>207.562049152702</v>
      </c>
      <c r="AA26" s="28" t="n">
        <f aca="false">AA20*Assumptions!$D$32</f>
        <v>219.665963206275</v>
      </c>
      <c r="AB26" s="28" t="n">
        <f aca="false">AB20*Assumptions!$D$32</f>
        <v>232.311792212625</v>
      </c>
      <c r="AC26" s="28" t="n">
        <f aca="false">AC20*Assumptions!$D$32</f>
        <v>245.528253458775</v>
      </c>
      <c r="AD26" s="28" t="n">
        <f aca="false">AD20*Assumptions!$D$32</f>
        <v>259.345969835151</v>
      </c>
      <c r="AE26" s="28" t="n">
        <f aca="false">AE20*Assumptions!$D$32</f>
        <v>273.797612664664</v>
      </c>
      <c r="AF26" s="28" t="n">
        <f aca="false">AF20*Assumptions!$D$32</f>
        <v>288.91805564455</v>
      </c>
      <c r="AG26" s="28" t="n">
        <f aca="false">AG20*Assumptions!$D$32</f>
        <v>296.829098150999</v>
      </c>
      <c r="AH26" s="28" t="n">
        <f aca="false">AH20*Assumptions!$D$32</f>
        <v>305.047649205126</v>
      </c>
      <c r="AI26" s="28" t="n">
        <f aca="false">AI20*Assumptions!$D$32</f>
        <v>313.590309116712</v>
      </c>
      <c r="AJ26" s="28" t="n">
        <f aca="false">AJ20*Assumptions!$D$32</f>
        <v>322.474741711455</v>
      </c>
      <c r="AK26" s="28" t="n">
        <f aca="false">AK20*Assumptions!$D$32</f>
        <v>331.719746806961</v>
      </c>
      <c r="AL26" s="28" t="n">
        <f aca="false">AL20*Assumptions!$D$32</f>
        <v>341.345337722666</v>
      </c>
      <c r="AM26" s="28" t="n">
        <f aca="false">AM20*Assumptions!$D$32</f>
        <v>351.372824175255</v>
      </c>
    </row>
    <row r="27" customFormat="false" ht="15" hidden="false" customHeight="false" outlineLevel="0" collapsed="false">
      <c r="A27" s="5" t="s">
        <v>337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 customFormat="false" ht="15" hidden="false" customHeight="false" outlineLevel="0" collapsed="false">
      <c r="A28" s="8" t="s">
        <v>338</v>
      </c>
      <c r="B28" s="8" t="s">
        <v>293</v>
      </c>
      <c r="C28" s="28" t="n">
        <f aca="false">SUM(D28:AM28)</f>
        <v>3800.65907176083</v>
      </c>
      <c r="D28" s="28" t="n">
        <f aca="false">(D18-D19)*Assumptions!$D$35+D15*Assumptions!$D$36*IF(D$3&lt;Assumptions!$D$7,0,1)</f>
        <v>0</v>
      </c>
      <c r="E28" s="28" t="n">
        <f aca="false">(E18-E19)*Assumptions!$D$35+E15*Assumptions!$D$36*IF(E$3&lt;Assumptions!$D$7,0,1)</f>
        <v>0</v>
      </c>
      <c r="F28" s="28" t="n">
        <f aca="false">(F18-F19)*Assumptions!$D$35+F15*Assumptions!$D$36*IF(F$3&lt;Assumptions!$D$7,0,1)</f>
        <v>0</v>
      </c>
      <c r="G28" s="28" t="n">
        <f aca="false">(G18-G19)*Assumptions!$D$35+G15*Assumptions!$D$36*IF(G$3&lt;Assumptions!$D$7,0,1)</f>
        <v>0</v>
      </c>
      <c r="H28" s="28" t="n">
        <f aca="false">(H18-H19)*Assumptions!$D$35+H15*Assumptions!$D$36*IF(H$3&lt;Assumptions!$D$7,0,1)</f>
        <v>0</v>
      </c>
      <c r="I28" s="28" t="n">
        <f aca="false">(I18-I19)*Assumptions!$D$35+I15*Assumptions!$D$36*IF(I$3&lt;Assumptions!$D$7,0,1)</f>
        <v>37.4289927724483</v>
      </c>
      <c r="J28" s="28" t="n">
        <f aca="false">(J18-J19)*Assumptions!$D$35+J15*Assumptions!$D$36*IF(J$3&lt;Assumptions!$D$7,0,1)</f>
        <v>37.792891831737</v>
      </c>
      <c r="K28" s="28" t="n">
        <f aca="false">(K18-K19)*Assumptions!$D$35+K15*Assumptions!$D$36*IF(K$3&lt;Assumptions!$D$7,0,1)</f>
        <v>38.182263825176</v>
      </c>
      <c r="L28" s="28" t="n">
        <f aca="false">(L18-L19)*Assumptions!$D$35+L15*Assumptions!$D$36*IF(L$3&lt;Assumptions!$D$7,0,1)</f>
        <v>204.904269031617</v>
      </c>
      <c r="M28" s="28" t="n">
        <f aca="false">(M18-M19)*Assumptions!$D$35+M15*Assumptions!$D$36*IF(M$3&lt;Assumptions!$D$7,0,1)</f>
        <v>105.13508865576</v>
      </c>
      <c r="N28" s="28" t="n">
        <f aca="false">(N18-N19)*Assumptions!$D$35+N15*Assumptions!$D$36*IF(N$3&lt;Assumptions!$D$7,0,1)</f>
        <v>106.552609500333</v>
      </c>
      <c r="O28" s="28" t="n">
        <f aca="false">(O18-O19)*Assumptions!$D$35+O15*Assumptions!$D$36*IF(O$3&lt;Assumptions!$D$7,0,1)</f>
        <v>107.994908285255</v>
      </c>
      <c r="P28" s="28" t="n">
        <f aca="false">(P18-P19)*Assumptions!$D$35+P15*Assumptions!$D$36*IF(P$3&lt;Assumptions!$D$7,0,1)</f>
        <v>109.462943026557</v>
      </c>
      <c r="Q28" s="28" t="n">
        <f aca="false">(Q18-Q19)*Assumptions!$D$35+Q15*Assumptions!$D$36*IF(Q$3&lt;Assumptions!$D$7,0,1)</f>
        <v>110.957725254088</v>
      </c>
      <c r="R28" s="28" t="n">
        <f aca="false">(R18-R19)*Assumptions!$D$35+R15*Assumptions!$D$36*IF(R$3&lt;Assumptions!$D$7,0,1)</f>
        <v>112.480322667321</v>
      </c>
      <c r="S28" s="28" t="n">
        <f aca="false">(S18-S19)*Assumptions!$D$35+S15*Assumptions!$D$36*IF(S$3&lt;Assumptions!$D$7,0,1)</f>
        <v>114.03186187877</v>
      </c>
      <c r="T28" s="28" t="n">
        <f aca="false">(T18-T19)*Assumptions!$D$35+T15*Assumptions!$D$36*IF(T$3&lt;Assumptions!$D$7,0,1)</f>
        <v>115.613531243433</v>
      </c>
      <c r="U28" s="28" t="n">
        <f aca="false">(U18-U19)*Assumptions!$D$35+U15*Assumptions!$D$36*IF(U$3&lt;Assumptions!$D$7,0,1)</f>
        <v>117.226583772009</v>
      </c>
      <c r="V28" s="28" t="n">
        <f aca="false">(V18-V19)*Assumptions!$D$35+V15*Assumptions!$D$36*IF(V$3&lt;Assumptions!$D$7,0,1)</f>
        <v>118.872340124905</v>
      </c>
      <c r="W28" s="28" t="n">
        <f aca="false">(W18-W19)*Assumptions!$D$35+W15*Assumptions!$D$36*IF(W$3&lt;Assumptions!$D$7,0,1)</f>
        <v>120.552191683145</v>
      </c>
      <c r="X28" s="28" t="n">
        <f aca="false">(X18-X19)*Assumptions!$D$35+X15*Assumptions!$D$36*IF(X$3&lt;Assumptions!$D$7,0,1)</f>
        <v>122.267603691366</v>
      </c>
      <c r="Y28" s="28" t="n">
        <f aca="false">(Y18-Y19)*Assumptions!$D$35+Y15*Assumptions!$D$36*IF(Y$3&lt;Assumptions!$D$7,0,1)</f>
        <v>124.020118467</v>
      </c>
      <c r="Z28" s="28" t="n">
        <f aca="false">(Z18-Z19)*Assumptions!$D$35+Z15*Assumptions!$D$36*IF(Z$3&lt;Assumptions!$D$7,0,1)</f>
        <v>125.811358668519</v>
      </c>
      <c r="AA28" s="28" t="n">
        <f aca="false">(AA18-AA19)*Assumptions!$D$35+AA15*Assumptions!$D$36*IF(AA$3&lt;Assumptions!$D$7,0,1)</f>
        <v>127.643030614282</v>
      </c>
      <c r="AB28" s="28" t="n">
        <f aca="false">(AB18-AB19)*Assumptions!$D$35+AB15*Assumptions!$D$36*IF(AB$3&lt;Assumptions!$D$7,0,1)</f>
        <v>129.516927642035</v>
      </c>
      <c r="AC28" s="28" t="n">
        <f aca="false">(AC18-AC19)*Assumptions!$D$35+AC15*Assumptions!$D$36*IF(AC$3&lt;Assumptions!$D$7,0,1)</f>
        <v>131.434933497401</v>
      </c>
      <c r="AD28" s="28" t="n">
        <f aca="false">(AD18-AD19)*Assumptions!$D$35+AD15*Assumptions!$D$36*IF(AD$3&lt;Assumptions!$D$7,0,1)</f>
        <v>133.39902573789</v>
      </c>
      <c r="AE28" s="28" t="n">
        <f aca="false">(AE18-AE19)*Assumptions!$D$35+AE15*Assumptions!$D$36*IF(AE$3&lt;Assumptions!$D$7,0,1)</f>
        <v>135.411279136856</v>
      </c>
      <c r="AF28" s="28" t="n">
        <f aca="false">(AF18-AF19)*Assumptions!$D$35+AF15*Assumptions!$D$36*IF(AF$3&lt;Assumptions!$D$7,0,1)</f>
        <v>137.473869069552</v>
      </c>
      <c r="AG28" s="28" t="n">
        <f aca="false">(AG18-AG19)*Assumptions!$D$35+AG15*Assumptions!$D$36*IF(AG$3&lt;Assumptions!$D$7,0,1)</f>
        <v>141.238125406211</v>
      </c>
      <c r="AH28" s="28" t="n">
        <f aca="false">(AH18-AH19)*Assumptions!$D$35+AH15*Assumptions!$D$36*IF(AH$3&lt;Assumptions!$D$7,0,1)</f>
        <v>145.148701396472</v>
      </c>
      <c r="AI28" s="28" t="n">
        <f aca="false">(AI18-AI19)*Assumptions!$D$35+AI15*Assumptions!$D$36*IF(AI$3&lt;Assumptions!$D$7,0,1)</f>
        <v>149.213495850288</v>
      </c>
      <c r="AJ28" s="28" t="n">
        <f aca="false">(AJ18-AJ19)*Assumptions!$D$35+AJ15*Assumptions!$D$36*IF(AJ$3&lt;Assumptions!$D$7,0,1)</f>
        <v>153.440913622992</v>
      </c>
      <c r="AK28" s="28" t="n">
        <f aca="false">(AK18-AK19)*Assumptions!$D$35+AK15*Assumptions!$D$36*IF(AK$3&lt;Assumptions!$D$7,0,1)</f>
        <v>157.839900101049</v>
      </c>
      <c r="AL28" s="28" t="n">
        <f aca="false">(AL18-AL19)*Assumptions!$D$35+AL15*Assumptions!$D$36*IF(AL$3&lt;Assumptions!$D$7,0,1)</f>
        <v>162.419978083059</v>
      </c>
      <c r="AM28" s="28" t="n">
        <f aca="false">(AM18-AM19)*Assumptions!$D$35+AM15*Assumptions!$D$36*IF(AM$3&lt;Assumptions!$D$7,0,1)</f>
        <v>167.191287223308</v>
      </c>
    </row>
    <row r="29" customFormat="false" ht="15" hidden="false" customHeight="false" outlineLevel="0" collapsed="false">
      <c r="A29" s="29" t="s">
        <v>339</v>
      </c>
      <c r="B29" s="8" t="s">
        <v>293</v>
      </c>
      <c r="D29" s="30" t="n">
        <f aca="false">D28</f>
        <v>0</v>
      </c>
      <c r="E29" s="30" t="n">
        <f aca="false">D29*(1-Assumptions!$D$42)+E28</f>
        <v>0</v>
      </c>
      <c r="F29" s="30" t="n">
        <f aca="false">E29*(1-Assumptions!$D$42)+F28</f>
        <v>0</v>
      </c>
      <c r="G29" s="30" t="n">
        <f aca="false">F29*(1-Assumptions!$D$42)+G28</f>
        <v>0</v>
      </c>
      <c r="H29" s="30" t="n">
        <f aca="false">G29*(1-Assumptions!$D$42)+H28</f>
        <v>0</v>
      </c>
      <c r="I29" s="30" t="n">
        <f aca="false">H29*(1-Assumptions!$D$42)+I28</f>
        <v>37.4289927724483</v>
      </c>
      <c r="J29" s="30" t="n">
        <f aca="false">I29*(1-Assumptions!$D$42)+J28</f>
        <v>72.2275651823894</v>
      </c>
      <c r="K29" s="30" t="n">
        <f aca="false">J29*(1-Assumptions!$D$42)+K28</f>
        <v>104.631623792974</v>
      </c>
      <c r="L29" s="30" t="n">
        <f aca="false">K29*(1-Assumptions!$D$42)+L28</f>
        <v>301.165362921153</v>
      </c>
      <c r="M29" s="30" t="n">
        <f aca="false">L29*(1-Assumptions!$D$42)+M28</f>
        <v>382.207222543221</v>
      </c>
      <c r="N29" s="30" t="n">
        <f aca="false">M29*(1-Assumptions!$D$42)+N28</f>
        <v>458.183254240096</v>
      </c>
      <c r="O29" s="30" t="n">
        <f aca="false">N29*(1-Assumptions!$D$42)+O28</f>
        <v>529.523502186143</v>
      </c>
      <c r="P29" s="30" t="n">
        <f aca="false">O29*(1-Assumptions!$D$42)+P28</f>
        <v>596.624565037809</v>
      </c>
      <c r="Q29" s="30" t="n">
        <f aca="false">P29*(1-Assumptions!$D$42)+Q28</f>
        <v>659.852325088872</v>
      </c>
      <c r="R29" s="30" t="n">
        <f aca="false">Q29*(1-Assumptions!$D$42)+R28</f>
        <v>719.544461749083</v>
      </c>
      <c r="S29" s="30" t="n">
        <f aca="false">R29*(1-Assumptions!$D$42)+S28</f>
        <v>776.012766687927</v>
      </c>
      <c r="T29" s="30" t="n">
        <f aca="false">S29*(1-Assumptions!$D$42)+T28</f>
        <v>829.545276596326</v>
      </c>
      <c r="U29" s="30" t="n">
        <f aca="false">T29*(1-Assumptions!$D$42)+U28</f>
        <v>880.408238240629</v>
      </c>
      <c r="V29" s="30" t="n">
        <f aca="false">U29*(1-Assumptions!$D$42)+V28</f>
        <v>928.847919306284</v>
      </c>
      <c r="W29" s="30" t="n">
        <f aca="false">V29*(1-Assumptions!$D$42)+W28</f>
        <v>975.092277444926</v>
      </c>
      <c r="X29" s="30" t="n">
        <f aca="false">W29*(1-Assumptions!$D$42)+X28</f>
        <v>1019.3524989407</v>
      </c>
      <c r="Y29" s="30" t="n">
        <f aca="false">X29*(1-Assumptions!$D$42)+Y28</f>
        <v>1061.82441749244</v>
      </c>
      <c r="Z29" s="30" t="n">
        <f aca="false">Y29*(1-Assumptions!$D$42)+Z28</f>
        <v>1102.68982276157</v>
      </c>
      <c r="AA29" s="30" t="n">
        <f aca="false">Z29*(1-Assumptions!$D$42)+AA28</f>
        <v>1142.11766755492</v>
      </c>
      <c r="AB29" s="30" t="n">
        <f aca="false">AA29*(1-Assumptions!$D$42)+AB28</f>
        <v>1180.26518179256</v>
      </c>
      <c r="AC29" s="30" t="n">
        <f aca="false">AB29*(1-Assumptions!$D$42)+AC28</f>
        <v>1217.27890074656</v>
      </c>
      <c r="AD29" s="30" t="n">
        <f aca="false">AC29*(1-Assumptions!$D$42)+AD28</f>
        <v>1253.29561442473</v>
      </c>
      <c r="AE29" s="30" t="n">
        <f aca="false">AD29*(1-Assumptions!$D$42)+AE28</f>
        <v>1288.4432444076</v>
      </c>
      <c r="AF29" s="30" t="n">
        <f aca="false">AE29*(1-Assumptions!$D$42)+AF28</f>
        <v>1322.84165392455</v>
      </c>
      <c r="AG29" s="30" t="n">
        <f aca="false">AF29*(1-Assumptions!$D$42)+AG28</f>
        <v>1358.25244701679</v>
      </c>
      <c r="AH29" s="30" t="n">
        <f aca="false">AG29*(1-Assumptions!$D$42)+AH28</f>
        <v>1394.74095265192</v>
      </c>
      <c r="AI29" s="30" t="n">
        <f aca="false">AH29*(1-Assumptions!$D$42)+AI28</f>
        <v>1432.37517229006</v>
      </c>
      <c r="AJ29" s="30" t="n">
        <f aca="false">AI29*(1-Assumptions!$D$42)+AJ28</f>
        <v>1471.22607212984</v>
      </c>
      <c r="AK29" s="30" t="n">
        <f aca="false">AJ29*(1-Assumptions!$D$42)+AK28</f>
        <v>1511.3678864605</v>
      </c>
      <c r="AL29" s="30" t="n">
        <f aca="false">AK29*(1-Assumptions!$D$42)+AL28</f>
        <v>1552.87843362672</v>
      </c>
      <c r="AM29" s="30" t="n">
        <f aca="false">AL29*(1-Assumptions!$D$42)+AM28</f>
        <v>1595.83944615989</v>
      </c>
    </row>
    <row r="30" customFormat="false" ht="15" hidden="false" customHeight="false" outlineLevel="0" collapsed="false">
      <c r="A30" s="8" t="s">
        <v>340</v>
      </c>
      <c r="B30" s="8" t="s">
        <v>293</v>
      </c>
      <c r="C30" s="28" t="n">
        <f aca="false">SUM(D30:AM30)</f>
        <v>2204.81962560094</v>
      </c>
      <c r="D30" s="28" t="n">
        <f aca="false">0</f>
        <v>0</v>
      </c>
      <c r="E30" s="28" t="n">
        <f aca="false">D29*Assumptions!$D$42</f>
        <v>0</v>
      </c>
      <c r="F30" s="28" t="n">
        <f aca="false">E29*Assumptions!$D$42</f>
        <v>0</v>
      </c>
      <c r="G30" s="28" t="n">
        <f aca="false">F29*Assumptions!$D$42</f>
        <v>0</v>
      </c>
      <c r="H30" s="28" t="n">
        <f aca="false">G29*Assumptions!$D$42</f>
        <v>0</v>
      </c>
      <c r="I30" s="28" t="n">
        <f aca="false">H29*Assumptions!$D$42</f>
        <v>0</v>
      </c>
      <c r="J30" s="28" t="n">
        <f aca="false">I29*Assumptions!$D$42</f>
        <v>2.99431942179586</v>
      </c>
      <c r="K30" s="28" t="n">
        <f aca="false">J29*Assumptions!$D$42</f>
        <v>5.77820521459115</v>
      </c>
      <c r="L30" s="28" t="n">
        <f aca="false">K29*Assumptions!$D$42</f>
        <v>8.37052990343794</v>
      </c>
      <c r="M30" s="28" t="n">
        <f aca="false">L29*Assumptions!$D$42</f>
        <v>24.0932290336923</v>
      </c>
      <c r="N30" s="28" t="n">
        <f aca="false">M29*Assumptions!$D$42</f>
        <v>30.5765778034577</v>
      </c>
      <c r="O30" s="28" t="n">
        <f aca="false">N29*Assumptions!$D$42</f>
        <v>36.6546603392077</v>
      </c>
      <c r="P30" s="28" t="n">
        <f aca="false">O29*Assumptions!$D$42</f>
        <v>42.3618801748915</v>
      </c>
      <c r="Q30" s="28" t="n">
        <f aca="false">P29*Assumptions!$D$42</f>
        <v>47.7299652030247</v>
      </c>
      <c r="R30" s="28" t="n">
        <f aca="false">Q29*Assumptions!$D$42</f>
        <v>52.7881860071098</v>
      </c>
      <c r="S30" s="28" t="n">
        <f aca="false">R29*Assumptions!$D$42</f>
        <v>57.5635569399267</v>
      </c>
      <c r="T30" s="28" t="n">
        <f aca="false">S29*Assumptions!$D$42</f>
        <v>62.0810213350342</v>
      </c>
      <c r="U30" s="28" t="n">
        <f aca="false">T29*Assumptions!$D$42</f>
        <v>66.3636221277061</v>
      </c>
      <c r="V30" s="28" t="n">
        <f aca="false">U29*Assumptions!$D$42</f>
        <v>70.4326590592503</v>
      </c>
      <c r="W30" s="28" t="n">
        <f aca="false">V29*Assumptions!$D$42</f>
        <v>74.3078335445027</v>
      </c>
      <c r="X30" s="28" t="n">
        <f aca="false">W29*Assumptions!$D$42</f>
        <v>78.0073821955941</v>
      </c>
      <c r="Y30" s="28" t="n">
        <f aca="false">X29*Assumptions!$D$42</f>
        <v>81.5481999152558</v>
      </c>
      <c r="Z30" s="28" t="n">
        <f aca="false">Y29*Assumptions!$D$42</f>
        <v>84.9459533993954</v>
      </c>
      <c r="AA30" s="28" t="n">
        <f aca="false">Z29*Assumptions!$D$42</f>
        <v>88.2151858209253</v>
      </c>
      <c r="AB30" s="28" t="n">
        <f aca="false">AA29*Assumptions!$D$42</f>
        <v>91.3694134043939</v>
      </c>
      <c r="AC30" s="28" t="n">
        <f aca="false">AB29*Assumptions!$D$42</f>
        <v>94.4212145434052</v>
      </c>
      <c r="AD30" s="28" t="n">
        <f aca="false">AC29*Assumptions!$D$42</f>
        <v>97.3823120597248</v>
      </c>
      <c r="AE30" s="28" t="n">
        <f aca="false">AD29*Assumptions!$D$42</f>
        <v>100.263649153978</v>
      </c>
      <c r="AF30" s="28" t="n">
        <f aca="false">AE29*Assumptions!$D$42</f>
        <v>103.075459552608</v>
      </c>
      <c r="AG30" s="28" t="n">
        <f aca="false">AF29*Assumptions!$D$42</f>
        <v>105.827332313964</v>
      </c>
      <c r="AH30" s="28" t="n">
        <f aca="false">AG29*Assumptions!$D$42</f>
        <v>108.660195761344</v>
      </c>
      <c r="AI30" s="28" t="n">
        <f aca="false">AH29*Assumptions!$D$42</f>
        <v>111.579276212154</v>
      </c>
      <c r="AJ30" s="28" t="n">
        <f aca="false">AI29*Assumptions!$D$42</f>
        <v>114.590013783205</v>
      </c>
      <c r="AK30" s="28" t="n">
        <f aca="false">AJ29*Assumptions!$D$42</f>
        <v>117.698085770387</v>
      </c>
      <c r="AL30" s="28" t="n">
        <f aca="false">AK29*Assumptions!$D$42</f>
        <v>120.90943091684</v>
      </c>
      <c r="AM30" s="28" t="n">
        <f aca="false">AL29*Assumptions!$D$42</f>
        <v>124.230274690138</v>
      </c>
    </row>
    <row r="31" customFormat="false" ht="15" hidden="false" customHeight="false" outlineLevel="0" collapsed="false">
      <c r="A31" s="8" t="s">
        <v>341</v>
      </c>
      <c r="B31" s="8" t="s">
        <v>293</v>
      </c>
      <c r="C31" s="28" t="n">
        <f aca="false">SUM(D31:AM31)</f>
        <v>11390.0329090783</v>
      </c>
      <c r="D31" s="28" t="n">
        <f aca="false">D15*Assumptions!$D$37*IF(D$3&lt;Assumptions!$D$7,0,1)</f>
        <v>0</v>
      </c>
      <c r="E31" s="28" t="n">
        <f aca="false">E15*Assumptions!$D$37*IF(E$3&lt;Assumptions!$D$7,0,1)</f>
        <v>0</v>
      </c>
      <c r="F31" s="28" t="n">
        <f aca="false">F15*Assumptions!$D$37*IF(F$3&lt;Assumptions!$D$7,0,1)</f>
        <v>0</v>
      </c>
      <c r="G31" s="28" t="n">
        <f aca="false">G15*Assumptions!$D$37*IF(G$3&lt;Assumptions!$D$7,0,1)</f>
        <v>0</v>
      </c>
      <c r="H31" s="28" t="n">
        <f aca="false">H15*Assumptions!$D$37*IF(H$3&lt;Assumptions!$D$7,0,1)</f>
        <v>0</v>
      </c>
      <c r="I31" s="28" t="n">
        <f aca="false">I15*Assumptions!$D$37*IF(I$3&lt;Assumptions!$D$7,0,1)</f>
        <v>90.8838351415174</v>
      </c>
      <c r="J31" s="28" t="n">
        <f aca="false">J15*Assumptions!$D$37*IF(J$3&lt;Assumptions!$D$7,0,1)</f>
        <v>91.7674427318584</v>
      </c>
      <c r="K31" s="28" t="n">
        <f aca="false">K15*Assumptions!$D$37*IF(K$3&lt;Assumptions!$D$7,0,1)</f>
        <v>92.7129028535233</v>
      </c>
      <c r="L31" s="28" t="n">
        <f aca="false">L15*Assumptions!$D$37*IF(L$3&lt;Assumptions!$D$7,0,1)</f>
        <v>538.749173615119</v>
      </c>
      <c r="M31" s="28" t="n">
        <f aca="false">M15*Assumptions!$D$37*IF(M$3&lt;Assumptions!$D$7,0,1)</f>
        <v>279.070311420351</v>
      </c>
      <c r="N31" s="28" t="n">
        <f aca="false">N15*Assumptions!$D$37*IF(N$3&lt;Assumptions!$D$7,0,1)</f>
        <v>285.561754958906</v>
      </c>
      <c r="O31" s="28" t="n">
        <f aca="false">O15*Assumptions!$D$37*IF(O$3&lt;Assumptions!$D$7,0,1)</f>
        <v>292.246729979942</v>
      </c>
      <c r="P31" s="28" t="n">
        <f aca="false">P15*Assumptions!$D$37*IF(P$3&lt;Assumptions!$D$7,0,1)</f>
        <v>299.13356629593</v>
      </c>
      <c r="Q31" s="28" t="n">
        <f aca="false">Q15*Assumptions!$D$37*IF(Q$3&lt;Assumptions!$D$7,0,1)</f>
        <v>306.231072458384</v>
      </c>
      <c r="R31" s="28" t="n">
        <f aca="false">R15*Assumptions!$D$37*IF(R$3&lt;Assumptions!$D$7,0,1)</f>
        <v>313.548567182645</v>
      </c>
      <c r="S31" s="28" t="n">
        <f aca="false">S15*Assumptions!$D$37*IF(S$3&lt;Assumptions!$D$7,0,1)</f>
        <v>321.095912930647</v>
      </c>
      <c r="T31" s="28" t="n">
        <f aca="false">T15*Assumptions!$D$37*IF(T$3&lt;Assumptions!$D$7,0,1)</f>
        <v>328.883551801914</v>
      </c>
      <c r="U31" s="28" t="n">
        <f aca="false">U15*Assumptions!$D$37*IF(U$3&lt;Assumptions!$D$7,0,1)</f>
        <v>336.922543893492</v>
      </c>
      <c r="V31" s="28" t="n">
        <f aca="false">V15*Assumptions!$D$37*IF(V$3&lt;Assumptions!$D$7,0,1)</f>
        <v>345.22460830079</v>
      </c>
      <c r="W31" s="28" t="n">
        <f aca="false">W15*Assumptions!$D$37*IF(W$3&lt;Assumptions!$D$7,0,1)</f>
        <v>353.802166943293</v>
      </c>
      <c r="X31" s="28" t="n">
        <f aca="false">X15*Assumptions!$D$37*IF(X$3&lt;Assumptions!$D$7,0,1)</f>
        <v>362.668391412001</v>
      </c>
      <c r="Y31" s="28" t="n">
        <f aca="false">Y15*Assumptions!$D$37*IF(Y$3&lt;Assumptions!$D$7,0,1)</f>
        <v>371.837253049172</v>
      </c>
      <c r="Z31" s="28" t="n">
        <f aca="false">Z15*Assumptions!$D$37*IF(Z$3&lt;Assumptions!$D$7,0,1)</f>
        <v>381.323576485711</v>
      </c>
      <c r="AA31" s="28" t="n">
        <f aca="false">AA15*Assumptions!$D$37*IF(AA$3&lt;Assumptions!$D$7,0,1)</f>
        <v>391.14309687727</v>
      </c>
      <c r="AB31" s="28" t="n">
        <f aca="false">AB15*Assumptions!$D$37*IF(AB$3&lt;Assumptions!$D$7,0,1)</f>
        <v>401.312521096989</v>
      </c>
      <c r="AC31" s="28" t="n">
        <f aca="false">AC15*Assumptions!$D$37*IF(AC$3&lt;Assumptions!$D$7,0,1)</f>
        <v>411.849593160855</v>
      </c>
      <c r="AD31" s="28" t="n">
        <f aca="false">AD15*Assumptions!$D$37*IF(AD$3&lt;Assumptions!$D$7,0,1)</f>
        <v>422.773164180933</v>
      </c>
      <c r="AE31" s="28" t="n">
        <f aca="false">AE15*Assumptions!$D$37*IF(AE$3&lt;Assumptions!$D$7,0,1)</f>
        <v>434.103267162393</v>
      </c>
      <c r="AF31" s="28" t="n">
        <f aca="false">AF15*Assumptions!$D$37*IF(AF$3&lt;Assumptions!$D$7,0,1)</f>
        <v>445.86119698233</v>
      </c>
      <c r="AG31" s="28" t="n">
        <f aca="false">AG15*Assumptions!$D$37*IF(AG$3&lt;Assumptions!$D$7,0,1)</f>
        <v>458.069595912035</v>
      </c>
      <c r="AH31" s="28" t="n">
        <f aca="false">AH15*Assumptions!$D$37*IF(AH$3&lt;Assumptions!$D$7,0,1)</f>
        <v>470.752545069638</v>
      </c>
      <c r="AI31" s="28" t="n">
        <f aca="false">AI15*Assumptions!$D$37*IF(AI$3&lt;Assumptions!$D$7,0,1)</f>
        <v>483.935662217149</v>
      </c>
      <c r="AJ31" s="28" t="n">
        <f aca="false">AJ15*Assumptions!$D$37*IF(AJ$3&lt;Assumptions!$D$7,0,1)</f>
        <v>497.646206344838</v>
      </c>
      <c r="AK31" s="28" t="n">
        <f aca="false">AK15*Assumptions!$D$37*IF(AK$3&lt;Assumptions!$D$7,0,1)</f>
        <v>511.913189516915</v>
      </c>
      <c r="AL31" s="28" t="n">
        <f aca="false">AL15*Assumptions!$D$37*IF(AL$3&lt;Assumptions!$D$7,0,1)</f>
        <v>526.767496485596</v>
      </c>
      <c r="AM31" s="28" t="n">
        <f aca="false">AM15*Assumptions!$D$37*IF(AM$3&lt;Assumptions!$D$7,0,1)</f>
        <v>542.242012616134</v>
      </c>
    </row>
    <row r="32" customFormat="false" ht="15" hidden="false" customHeight="false" outlineLevel="0" collapsed="false">
      <c r="A32" s="8" t="s">
        <v>342</v>
      </c>
      <c r="B32" s="8" t="s">
        <v>293</v>
      </c>
      <c r="D32" s="28" t="n">
        <f aca="false">D31</f>
        <v>0</v>
      </c>
      <c r="E32" s="28" t="n">
        <f aca="false">D32+E31</f>
        <v>0</v>
      </c>
      <c r="F32" s="28" t="n">
        <f aca="false">E32+F31</f>
        <v>0</v>
      </c>
      <c r="G32" s="28" t="n">
        <f aca="false">F32+G31</f>
        <v>0</v>
      </c>
      <c r="H32" s="28" t="n">
        <f aca="false">G32+H31</f>
        <v>0</v>
      </c>
      <c r="I32" s="28" t="n">
        <f aca="false">H32+I31</f>
        <v>90.8838351415174</v>
      </c>
      <c r="J32" s="28" t="n">
        <f aca="false">I32+J31</f>
        <v>182.651277873376</v>
      </c>
      <c r="K32" s="28" t="n">
        <f aca="false">J32+K31</f>
        <v>275.364180726899</v>
      </c>
      <c r="L32" s="28" t="n">
        <f aca="false">K32+L31</f>
        <v>814.113354342018</v>
      </c>
      <c r="M32" s="28" t="n">
        <f aca="false">L32+M31</f>
        <v>1093.18366576237</v>
      </c>
      <c r="N32" s="28" t="n">
        <f aca="false">M32+N31</f>
        <v>1378.74542072127</v>
      </c>
      <c r="O32" s="28" t="n">
        <f aca="false">N32+O31</f>
        <v>1670.99215070122</v>
      </c>
      <c r="P32" s="28" t="n">
        <f aca="false">O32+P31</f>
        <v>1970.12571699715</v>
      </c>
      <c r="Q32" s="28" t="n">
        <f aca="false">P32+Q31</f>
        <v>2276.35678945553</v>
      </c>
      <c r="R32" s="28" t="n">
        <f aca="false">Q32+R31</f>
        <v>2589.90535663817</v>
      </c>
      <c r="S32" s="28" t="n">
        <f aca="false">R32+S31</f>
        <v>2911.00126956882</v>
      </c>
      <c r="T32" s="28" t="n">
        <f aca="false">S32+T31</f>
        <v>3239.88482137074</v>
      </c>
      <c r="U32" s="28" t="n">
        <f aca="false">T32+U31</f>
        <v>3576.80736526423</v>
      </c>
      <c r="V32" s="28" t="n">
        <f aca="false">U32+V31</f>
        <v>3922.03197356502</v>
      </c>
      <c r="W32" s="28" t="n">
        <f aca="false">V32+W31</f>
        <v>4275.83414050831</v>
      </c>
      <c r="X32" s="28" t="n">
        <f aca="false">W32+X31</f>
        <v>4638.50253192031</v>
      </c>
      <c r="Y32" s="28" t="n">
        <f aca="false">X32+Y31</f>
        <v>5010.33978496948</v>
      </c>
      <c r="Z32" s="28" t="n">
        <f aca="false">Y32+Z31</f>
        <v>5391.6633614552</v>
      </c>
      <c r="AA32" s="28" t="n">
        <f aca="false">Z32+AA31</f>
        <v>5782.80645833247</v>
      </c>
      <c r="AB32" s="28" t="n">
        <f aca="false">AA32+AB31</f>
        <v>6184.11897942945</v>
      </c>
      <c r="AC32" s="28" t="n">
        <f aca="false">AB32+AC31</f>
        <v>6595.96857259031</v>
      </c>
      <c r="AD32" s="28" t="n">
        <f aca="false">AC32+AD31</f>
        <v>7018.74173677124</v>
      </c>
      <c r="AE32" s="28" t="n">
        <f aca="false">AD32+AE31</f>
        <v>7452.84500393363</v>
      </c>
      <c r="AF32" s="28" t="n">
        <f aca="false">AE32+AF31</f>
        <v>7898.70620091596</v>
      </c>
      <c r="AG32" s="28" t="n">
        <f aca="false">AF32+AG31</f>
        <v>8356.775796828</v>
      </c>
      <c r="AH32" s="28" t="n">
        <f aca="false">AG32+AH31</f>
        <v>8827.52834189764</v>
      </c>
      <c r="AI32" s="28" t="n">
        <f aca="false">AH32+AI31</f>
        <v>9311.46400411479</v>
      </c>
      <c r="AJ32" s="28" t="n">
        <f aca="false">AI32+AJ31</f>
        <v>9809.11021045963</v>
      </c>
      <c r="AK32" s="28" t="n">
        <f aca="false">AJ32+AK31</f>
        <v>10321.0233999765</v>
      </c>
      <c r="AL32" s="28" t="n">
        <f aca="false">AK32+AL31</f>
        <v>10847.7908964621</v>
      </c>
      <c r="AM32" s="28" t="n">
        <f aca="false">AL32+AM31</f>
        <v>11390.0329090783</v>
      </c>
    </row>
    <row r="33" customFormat="false" ht="15" hidden="false" customHeight="false" outlineLevel="0" collapsed="false">
      <c r="A33" s="8" t="s">
        <v>343</v>
      </c>
      <c r="B33" s="8" t="s">
        <v>293</v>
      </c>
      <c r="C33" s="28" t="n">
        <f aca="false">SUM(D33:AM33)</f>
        <v>17245.8319918432</v>
      </c>
      <c r="D33" s="28" t="n">
        <f aca="false">0</f>
        <v>0</v>
      </c>
      <c r="E33" s="28" t="n">
        <f aca="false">D32*Assumptions!$D$39</f>
        <v>0</v>
      </c>
      <c r="F33" s="28" t="n">
        <f aca="false">E32*Assumptions!$D$39</f>
        <v>0</v>
      </c>
      <c r="G33" s="28" t="n">
        <f aca="false">F32*Assumptions!$D$39</f>
        <v>0</v>
      </c>
      <c r="H33" s="28" t="n">
        <f aca="false">G32*Assumptions!$D$39</f>
        <v>0</v>
      </c>
      <c r="I33" s="28" t="n">
        <f aca="false">H32*Assumptions!$D$39</f>
        <v>0</v>
      </c>
      <c r="J33" s="28" t="n">
        <f aca="false">I32*Assumptions!$D$39</f>
        <v>10.9060602169821</v>
      </c>
      <c r="K33" s="28" t="n">
        <f aca="false">J32*Assumptions!$D$39</f>
        <v>21.9181533448051</v>
      </c>
      <c r="L33" s="28" t="n">
        <f aca="false">K32*Assumptions!$D$39</f>
        <v>33.0437016872279</v>
      </c>
      <c r="M33" s="28" t="n">
        <f aca="false">L32*Assumptions!$D$39</f>
        <v>97.6936025210421</v>
      </c>
      <c r="N33" s="28" t="n">
        <f aca="false">M32*Assumptions!$D$39</f>
        <v>131.182039891484</v>
      </c>
      <c r="O33" s="28" t="n">
        <f aca="false">N32*Assumptions!$D$39</f>
        <v>165.449450486553</v>
      </c>
      <c r="P33" s="28" t="n">
        <f aca="false">O32*Assumptions!$D$39</f>
        <v>200.519058084146</v>
      </c>
      <c r="Q33" s="28" t="n">
        <f aca="false">P32*Assumptions!$D$39</f>
        <v>236.415086039658</v>
      </c>
      <c r="R33" s="28" t="n">
        <f aca="false">Q32*Assumptions!$D$39</f>
        <v>273.162814734664</v>
      </c>
      <c r="S33" s="28" t="n">
        <f aca="false">R32*Assumptions!$D$39</f>
        <v>310.788642796581</v>
      </c>
      <c r="T33" s="28" t="n">
        <f aca="false">S32*Assumptions!$D$39</f>
        <v>349.320152348259</v>
      </c>
      <c r="U33" s="28" t="n">
        <f aca="false">T32*Assumptions!$D$39</f>
        <v>388.786178564488</v>
      </c>
      <c r="V33" s="28" t="n">
        <f aca="false">U32*Assumptions!$D$39</f>
        <v>429.216883831707</v>
      </c>
      <c r="W33" s="28" t="n">
        <f aca="false">V32*Assumptions!$D$39</f>
        <v>470.643836827802</v>
      </c>
      <c r="X33" s="28" t="n">
        <f aca="false">W32*Assumptions!$D$39</f>
        <v>513.100096860997</v>
      </c>
      <c r="Y33" s="28" t="n">
        <f aca="false">X32*Assumptions!$D$39</f>
        <v>556.620303830438</v>
      </c>
      <c r="Z33" s="28" t="n">
        <f aca="false">Y32*Assumptions!$D$39</f>
        <v>601.240774196338</v>
      </c>
      <c r="AA33" s="28" t="n">
        <f aca="false">Z32*Assumptions!$D$39</f>
        <v>646.999603374623</v>
      </c>
      <c r="AB33" s="28" t="n">
        <f aca="false">AA32*Assumptions!$D$39</f>
        <v>693.936774999896</v>
      </c>
      <c r="AC33" s="28" t="n">
        <f aca="false">AB32*Assumptions!$D$39</f>
        <v>742.094277531534</v>
      </c>
      <c r="AD33" s="28" t="n">
        <f aca="false">AC32*Assumptions!$D$39</f>
        <v>791.516228710837</v>
      </c>
      <c r="AE33" s="28" t="n">
        <f aca="false">AD32*Assumptions!$D$39</f>
        <v>842.249008412549</v>
      </c>
      <c r="AF33" s="28" t="n">
        <f aca="false">AE32*Assumptions!$D$39</f>
        <v>894.341400472036</v>
      </c>
      <c r="AG33" s="28" t="n">
        <f aca="false">AF32*Assumptions!$D$39</f>
        <v>947.844744109916</v>
      </c>
      <c r="AH33" s="28" t="n">
        <f aca="false">AG32*Assumptions!$D$39</f>
        <v>1002.81309561936</v>
      </c>
      <c r="AI33" s="28" t="n">
        <f aca="false">AH32*Assumptions!$D$39</f>
        <v>1059.30340102772</v>
      </c>
      <c r="AJ33" s="28" t="n">
        <f aca="false">AI32*Assumptions!$D$39</f>
        <v>1117.37568049377</v>
      </c>
      <c r="AK33" s="28" t="n">
        <f aca="false">AJ32*Assumptions!$D$39</f>
        <v>1177.09322525516</v>
      </c>
      <c r="AL33" s="28" t="n">
        <f aca="false">AK32*Assumptions!$D$39</f>
        <v>1238.52280799718</v>
      </c>
      <c r="AM33" s="28" t="n">
        <f aca="false">AL32*Assumptions!$D$39</f>
        <v>1301.73490757546</v>
      </c>
    </row>
    <row r="34" customFormat="false" ht="15" hidden="false" customHeight="false" outlineLevel="0" collapsed="false">
      <c r="A34" s="8" t="s">
        <v>344</v>
      </c>
      <c r="B34" s="8" t="s">
        <v>293</v>
      </c>
      <c r="C34" s="28" t="n">
        <f aca="false">SUM(D34:AM34)</f>
        <v>28635.8649009215</v>
      </c>
      <c r="D34" s="28" t="n">
        <f aca="false">D31+D33</f>
        <v>0</v>
      </c>
      <c r="E34" s="28" t="n">
        <f aca="false">E31+E33</f>
        <v>0</v>
      </c>
      <c r="F34" s="28" t="n">
        <f aca="false">F31+F33</f>
        <v>0</v>
      </c>
      <c r="G34" s="28" t="n">
        <f aca="false">G31+G33</f>
        <v>0</v>
      </c>
      <c r="H34" s="28" t="n">
        <f aca="false">H31+H33</f>
        <v>0</v>
      </c>
      <c r="I34" s="28" t="n">
        <f aca="false">I31+I33</f>
        <v>90.8838351415174</v>
      </c>
      <c r="J34" s="28" t="n">
        <f aca="false">J31+J33</f>
        <v>102.673502948841</v>
      </c>
      <c r="K34" s="28" t="n">
        <f aca="false">K31+K33</f>
        <v>114.631056198328</v>
      </c>
      <c r="L34" s="28" t="n">
        <f aca="false">L31+L33</f>
        <v>571.792875302347</v>
      </c>
      <c r="M34" s="28" t="n">
        <f aca="false">M31+M33</f>
        <v>376.763913941393</v>
      </c>
      <c r="N34" s="28" t="n">
        <f aca="false">N31+N33</f>
        <v>416.74379485039</v>
      </c>
      <c r="O34" s="28" t="n">
        <f aca="false">O31+O33</f>
        <v>457.696180466495</v>
      </c>
      <c r="P34" s="28" t="n">
        <f aca="false">P31+P33</f>
        <v>499.652624380076</v>
      </c>
      <c r="Q34" s="28" t="n">
        <f aca="false">Q31+Q33</f>
        <v>542.646158498041</v>
      </c>
      <c r="R34" s="28" t="n">
        <f aca="false">R31+R33</f>
        <v>586.711381917308</v>
      </c>
      <c r="S34" s="28" t="n">
        <f aca="false">S31+S33</f>
        <v>631.884555727228</v>
      </c>
      <c r="T34" s="28" t="n">
        <f aca="false">T31+T33</f>
        <v>678.203704150173</v>
      </c>
      <c r="U34" s="28" t="n">
        <f aca="false">U31+U33</f>
        <v>725.708722457981</v>
      </c>
      <c r="V34" s="28" t="n">
        <f aca="false">V31+V33</f>
        <v>774.441492132497</v>
      </c>
      <c r="W34" s="28" t="n">
        <f aca="false">W31+W33</f>
        <v>824.446003771095</v>
      </c>
      <c r="X34" s="28" t="n">
        <f aca="false">X31+X33</f>
        <v>875.768488272998</v>
      </c>
      <c r="Y34" s="28" t="n">
        <f aca="false">Y31+Y33</f>
        <v>928.457556879609</v>
      </c>
      <c r="Z34" s="28" t="n">
        <f aca="false">Z31+Z33</f>
        <v>982.564350682049</v>
      </c>
      <c r="AA34" s="28" t="n">
        <f aca="false">AA31+AA33</f>
        <v>1038.14270025189</v>
      </c>
      <c r="AB34" s="28" t="n">
        <f aca="false">AB31+AB33</f>
        <v>1095.24929609688</v>
      </c>
      <c r="AC34" s="28" t="n">
        <f aca="false">AC31+AC33</f>
        <v>1153.94387069239</v>
      </c>
      <c r="AD34" s="28" t="n">
        <f aca="false">AD31+AD33</f>
        <v>1214.28939289177</v>
      </c>
      <c r="AE34" s="28" t="n">
        <f aca="false">AE31+AE33</f>
        <v>1276.35227557494</v>
      </c>
      <c r="AF34" s="28" t="n">
        <f aca="false">AF31+AF33</f>
        <v>1340.20259745437</v>
      </c>
      <c r="AG34" s="28" t="n">
        <f aca="false">AG31+AG33</f>
        <v>1405.91434002195</v>
      </c>
      <c r="AH34" s="28" t="n">
        <f aca="false">AH31+AH33</f>
        <v>1473.565640689</v>
      </c>
      <c r="AI34" s="28" t="n">
        <f aca="false">AI31+AI33</f>
        <v>1543.23906324487</v>
      </c>
      <c r="AJ34" s="28" t="n">
        <f aca="false">AJ31+AJ33</f>
        <v>1615.02188683861</v>
      </c>
      <c r="AK34" s="28" t="n">
        <f aca="false">AK31+AK33</f>
        <v>1689.00641477207</v>
      </c>
      <c r="AL34" s="28" t="n">
        <f aca="false">AL31+AL33</f>
        <v>1765.29030448278</v>
      </c>
      <c r="AM34" s="28" t="n">
        <f aca="false">AM31+AM33</f>
        <v>1843.97692019159</v>
      </c>
    </row>
    <row r="35" customFormat="false" ht="15" hidden="false" customHeight="false" outlineLevel="0" collapsed="false">
      <c r="A35" s="5" t="s">
        <v>345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</row>
    <row r="36" customFormat="false" ht="15" hidden="false" customHeight="false" outlineLevel="0" collapsed="false">
      <c r="A36" s="8" t="s">
        <v>346</v>
      </c>
      <c r="B36" s="8" t="s">
        <v>50</v>
      </c>
      <c r="C36" s="27" t="n">
        <f aca="false">SUM(D36:AM36)</f>
        <v>4696895.04433784</v>
      </c>
      <c r="D36" s="27" t="n">
        <f aca="false">D24*Assumptions!$D$30</f>
        <v>0</v>
      </c>
      <c r="E36" s="27" t="n">
        <f aca="false">E24*Assumptions!$D$30</f>
        <v>0</v>
      </c>
      <c r="F36" s="27" t="n">
        <f aca="false">F24*Assumptions!$D$30</f>
        <v>0</v>
      </c>
      <c r="G36" s="27" t="n">
        <f aca="false">G24*Assumptions!$D$30</f>
        <v>0</v>
      </c>
      <c r="H36" s="27" t="n">
        <f aca="false">H24*Assumptions!$D$30</f>
        <v>0</v>
      </c>
      <c r="I36" s="27" t="n">
        <f aca="false">I24*Assumptions!$D$30</f>
        <v>2046.58477323718</v>
      </c>
      <c r="J36" s="27" t="n">
        <f aca="false">J24*Assumptions!$D$30</f>
        <v>3847.01121003666</v>
      </c>
      <c r="K36" s="27" t="n">
        <f aca="false">K24*Assumptions!$D$30</f>
        <v>5434.67273202114</v>
      </c>
      <c r="L36" s="27" t="n">
        <f aca="false">L24*Assumptions!$D$30</f>
        <v>28992.0149174009</v>
      </c>
      <c r="M36" s="27" t="n">
        <f aca="false">M24*Assumptions!$D$30</f>
        <v>38509.8532216529</v>
      </c>
      <c r="N36" s="27" t="n">
        <f aca="false">N24*Assumptions!$D$30</f>
        <v>47834.3478508314</v>
      </c>
      <c r="O36" s="27" t="n">
        <f aca="false">O24*Assumptions!$D$30</f>
        <v>57034.2561262256</v>
      </c>
      <c r="P36" s="27" t="n">
        <f aca="false">P24*Assumptions!$D$30</f>
        <v>66171.3520166975</v>
      </c>
      <c r="Q36" s="27" t="n">
        <f aca="false">Q24*Assumptions!$D$30</f>
        <v>75301.4474452129</v>
      </c>
      <c r="R36" s="27" t="n">
        <f aca="false">R24*Assumptions!$D$30</f>
        <v>84475.2888863834</v>
      </c>
      <c r="S36" s="27" t="n">
        <f aca="false">S24*Assumptions!$D$30</f>
        <v>93739.346088497</v>
      </c>
      <c r="T36" s="27" t="n">
        <f aca="false">T24*Assumptions!$D$30</f>
        <v>103136.507613898</v>
      </c>
      <c r="U36" s="27" t="n">
        <f aca="false">U24*Assumptions!$D$30</f>
        <v>112706.696033917</v>
      </c>
      <c r="V36" s="27" t="n">
        <f aca="false">V24*Assumptions!$D$30</f>
        <v>122487.414002496</v>
      </c>
      <c r="W36" s="27" t="n">
        <f aca="false">W24*Assumptions!$D$30</f>
        <v>132514.231034583</v>
      </c>
      <c r="X36" s="27" t="n">
        <f aca="false">X24*Assumptions!$D$30</f>
        <v>142821.219603811</v>
      </c>
      <c r="Y36" s="27" t="n">
        <f aca="false">Y24*Assumptions!$D$30</f>
        <v>153441.348125071</v>
      </c>
      <c r="Z36" s="27" t="n">
        <f aca="false">Z24*Assumptions!$D$30</f>
        <v>164406.837480527</v>
      </c>
      <c r="AA36" s="27" t="n">
        <f aca="false">AA24*Assumptions!$D$30</f>
        <v>175749.486964504</v>
      </c>
      <c r="AB36" s="27" t="n">
        <f aca="false">AB24*Assumptions!$D$30</f>
        <v>187500.974847695</v>
      </c>
      <c r="AC36" s="27" t="n">
        <f aca="false">AC24*Assumptions!$D$30</f>
        <v>199693.138180902</v>
      </c>
      <c r="AD36" s="27" t="n">
        <f aca="false">AD24*Assumptions!$D$30</f>
        <v>212358.23596109</v>
      </c>
      <c r="AE36" s="27" t="n">
        <f aca="false">AE24*Assumptions!$D$30</f>
        <v>225529.199357836</v>
      </c>
      <c r="AF36" s="27" t="n">
        <f aca="false">AF24*Assumptions!$D$30</f>
        <v>239239.872337384</v>
      </c>
      <c r="AG36" s="27" t="n">
        <f aca="false">AG24*Assumptions!$D$30</f>
        <v>252346.374112084</v>
      </c>
      <c r="AH36" s="27" t="n">
        <f aca="false">AH24*Assumptions!$D$30</f>
        <v>264973.045147536</v>
      </c>
      <c r="AI36" s="27" t="n">
        <f aca="false">AI24*Assumptions!$D$30</f>
        <v>277230.533984825</v>
      </c>
      <c r="AJ36" s="27" t="n">
        <f aca="false">AJ24*Assumptions!$D$30</f>
        <v>289217.735583452</v>
      </c>
      <c r="AK36" s="27" t="n">
        <f aca="false">AK24*Assumptions!$D$30</f>
        <v>301023.488473773</v>
      </c>
      <c r="AL36" s="27" t="n">
        <f aca="false">AL24*Assumptions!$D$30</f>
        <v>312728.062823399</v>
      </c>
      <c r="AM36" s="27" t="n">
        <f aca="false">AM24*Assumptions!$D$30</f>
        <v>324404.467400854</v>
      </c>
    </row>
    <row r="37" customFormat="false" ht="15" hidden="false" customHeight="false" outlineLevel="0" collapsed="false">
      <c r="A37" s="8" t="s">
        <v>347</v>
      </c>
      <c r="B37" s="8" t="s">
        <v>50</v>
      </c>
      <c r="C37" s="27" t="n">
        <f aca="false">SUM(D37:AM37)</f>
        <v>734366.244543153</v>
      </c>
      <c r="D37" s="27" t="n">
        <f aca="false">D20*Assumptions!$D$31</f>
        <v>0</v>
      </c>
      <c r="E37" s="27" t="n">
        <f aca="false">E20*Assumptions!$D$31</f>
        <v>0</v>
      </c>
      <c r="F37" s="27" t="n">
        <f aca="false">F20*Assumptions!$D$31</f>
        <v>0</v>
      </c>
      <c r="G37" s="27" t="n">
        <f aca="false">G20*Assumptions!$D$31</f>
        <v>0</v>
      </c>
      <c r="H37" s="27" t="n">
        <f aca="false">H20*Assumptions!$D$31</f>
        <v>0</v>
      </c>
      <c r="I37" s="27" t="n">
        <f aca="false">I20*Assumptions!$D$31</f>
        <v>1683.35039449119</v>
      </c>
      <c r="J37" s="27" t="n">
        <f aca="false">J20*Assumptions!$D$31</f>
        <v>1699.71657427948</v>
      </c>
      <c r="K37" s="27" t="n">
        <f aca="false">K20*Assumptions!$D$31</f>
        <v>1717.22838665296</v>
      </c>
      <c r="L37" s="27" t="n">
        <f aca="false">L20*Assumptions!$D$31</f>
        <v>19957.4243873985</v>
      </c>
      <c r="M37" s="27" t="n">
        <f aca="false">M20*Assumptions!$D$31</f>
        <v>10928.6166514701</v>
      </c>
      <c r="N37" s="27" t="n">
        <f aca="false">N20*Assumptions!$D$31</f>
        <v>11787.3038964917</v>
      </c>
      <c r="O37" s="27" t="n">
        <f aca="false">O20*Assumptions!$D$31</f>
        <v>12681.8714994416</v>
      </c>
      <c r="P37" s="27" t="n">
        <f aca="false">P20*Assumptions!$D$31</f>
        <v>13613.9275624073</v>
      </c>
      <c r="Q37" s="27" t="n">
        <f aca="false">Q20*Assumptions!$D$31</f>
        <v>14585.1735190479</v>
      </c>
      <c r="R37" s="27" t="n">
        <f aca="false">R20*Assumptions!$D$31</f>
        <v>15597.4107647872</v>
      </c>
      <c r="S37" s="27" t="n">
        <f aca="false">S20*Assumptions!$D$31</f>
        <v>16652.547798044</v>
      </c>
      <c r="T37" s="27" t="n">
        <f aca="false">T20*Assumptions!$D$31</f>
        <v>17752.6079125844</v>
      </c>
      <c r="U37" s="27" t="n">
        <f aca="false">U20*Assumptions!$D$31</f>
        <v>18899.7374842142</v>
      </c>
      <c r="V37" s="27" t="n">
        <f aca="false">V20*Assumptions!$D$31</f>
        <v>20096.2148984056</v>
      </c>
      <c r="W37" s="27" t="n">
        <f aca="false">W20*Assumptions!$D$31</f>
        <v>21344.4601690885</v>
      </c>
      <c r="X37" s="27" t="n">
        <f aca="false">X20*Assumptions!$D$31</f>
        <v>22647.0453027572</v>
      </c>
      <c r="Y37" s="27" t="n">
        <f aca="false">Y20*Assumptions!$D$31</f>
        <v>24006.7054662618</v>
      </c>
      <c r="Z37" s="27" t="n">
        <f aca="false">Z20*Assumptions!$D$31</f>
        <v>25426.351021206</v>
      </c>
      <c r="AA37" s="27" t="n">
        <f aca="false">AA20*Assumptions!$D$31</f>
        <v>26909.0804927686</v>
      </c>
      <c r="AB37" s="27" t="n">
        <f aca="false">AB20*Assumptions!$D$31</f>
        <v>28458.1945460466</v>
      </c>
      <c r="AC37" s="27" t="n">
        <f aca="false">AC20*Assumptions!$D$31</f>
        <v>30077.2110487</v>
      </c>
      <c r="AD37" s="27" t="n">
        <f aca="false">AD20*Assumptions!$D$31</f>
        <v>31769.881304806</v>
      </c>
      <c r="AE37" s="27" t="n">
        <f aca="false">AE20*Assumptions!$D$31</f>
        <v>33540.2075514214</v>
      </c>
      <c r="AF37" s="27" t="n">
        <f aca="false">AF20*Assumptions!$D$31</f>
        <v>35392.4618164574</v>
      </c>
      <c r="AG37" s="27" t="n">
        <f aca="false">AG20*Assumptions!$D$31</f>
        <v>36361.5645234974</v>
      </c>
      <c r="AH37" s="27" t="n">
        <f aca="false">AH20*Assumptions!$D$31</f>
        <v>37368.3370276279</v>
      </c>
      <c r="AI37" s="27" t="n">
        <f aca="false">AI20*Assumptions!$D$31</f>
        <v>38414.8128667973</v>
      </c>
      <c r="AJ37" s="27" t="n">
        <f aca="false">AJ20*Assumptions!$D$31</f>
        <v>39503.1558596532</v>
      </c>
      <c r="AK37" s="27" t="n">
        <f aca="false">AK20*Assumptions!$D$31</f>
        <v>40635.6689838527</v>
      </c>
      <c r="AL37" s="27" t="n">
        <f aca="false">AL20*Assumptions!$D$31</f>
        <v>41814.8038710266</v>
      </c>
      <c r="AM37" s="27" t="n">
        <f aca="false">AM20*Assumptions!$D$31</f>
        <v>43043.1709614688</v>
      </c>
    </row>
    <row r="38" customFormat="false" ht="15" hidden="false" customHeight="false" outlineLevel="0" collapsed="false">
      <c r="A38" s="8" t="s">
        <v>348</v>
      </c>
      <c r="B38" s="8" t="s">
        <v>50</v>
      </c>
      <c r="C38" s="27" t="n">
        <f aca="false">SUM(D38:AM38)</f>
        <v>593487.822120589</v>
      </c>
      <c r="D38" s="27" t="n">
        <f aca="false">D26*Assumptions!$D$33</f>
        <v>0</v>
      </c>
      <c r="E38" s="27" t="n">
        <f aca="false">E26*Assumptions!$D$33</f>
        <v>0</v>
      </c>
      <c r="F38" s="27" t="n">
        <f aca="false">F26*Assumptions!$D$33</f>
        <v>0</v>
      </c>
      <c r="G38" s="27" t="n">
        <f aca="false">G26*Assumptions!$D$33</f>
        <v>0</v>
      </c>
      <c r="H38" s="27" t="n">
        <f aca="false">H26*Assumptions!$D$33</f>
        <v>0</v>
      </c>
      <c r="I38" s="27" t="n">
        <f aca="false">I26*Assumptions!$D$33</f>
        <v>1360.42195146635</v>
      </c>
      <c r="J38" s="27" t="n">
        <f aca="false">J26*Assumptions!$D$33</f>
        <v>1373.64849676464</v>
      </c>
      <c r="K38" s="27" t="n">
        <f aca="false">K26*Assumptions!$D$33</f>
        <v>1387.80090023382</v>
      </c>
      <c r="L38" s="27" t="n">
        <f aca="false">L26*Assumptions!$D$33</f>
        <v>16128.85726002</v>
      </c>
      <c r="M38" s="27" t="n">
        <f aca="false">M26*Assumptions!$D$33</f>
        <v>8832.10651833092</v>
      </c>
      <c r="N38" s="27" t="n">
        <f aca="false">N26*Assumptions!$D$33</f>
        <v>9526.06600614434</v>
      </c>
      <c r="O38" s="27" t="n">
        <f aca="false">O26*Assumptions!$D$33</f>
        <v>10249.0226811814</v>
      </c>
      <c r="P38" s="27" t="n">
        <f aca="false">P26*Assumptions!$D$33</f>
        <v>11002.2761524761</v>
      </c>
      <c r="Q38" s="27" t="n">
        <f aca="false">Q26*Assumptions!$D$33</f>
        <v>11787.2014562101</v>
      </c>
      <c r="R38" s="27" t="n">
        <f aca="false">R26*Assumptions!$D$33</f>
        <v>12605.2544139913</v>
      </c>
      <c r="S38" s="27" t="n">
        <f aca="false">S26*Assumptions!$D$33</f>
        <v>13457.9774041336</v>
      </c>
      <c r="T38" s="27" t="n">
        <f aca="false">T26*Assumptions!$D$33</f>
        <v>14347.0055783335</v>
      </c>
      <c r="U38" s="27" t="n">
        <f aca="false">U26*Assumptions!$D$33</f>
        <v>15274.0735586711</v>
      </c>
      <c r="V38" s="27" t="n">
        <f aca="false">V26*Assumptions!$D$33</f>
        <v>16241.022652589</v>
      </c>
      <c r="W38" s="27" t="n">
        <f aca="false">W26*Assumptions!$D$33</f>
        <v>17249.8086264471</v>
      </c>
      <c r="X38" s="27" t="n">
        <f aca="false">X26*Assumptions!$D$33</f>
        <v>18302.510081412</v>
      </c>
      <c r="Y38" s="27" t="n">
        <f aca="false">Y26*Assumptions!$D$33</f>
        <v>19401.3374788565</v>
      </c>
      <c r="Z38" s="27" t="n">
        <f aca="false">Z26*Assumptions!$D$33</f>
        <v>20548.6428661175</v>
      </c>
      <c r="AA38" s="27" t="n">
        <f aca="false">AA26*Assumptions!$D$33</f>
        <v>21746.9303574212</v>
      </c>
      <c r="AB38" s="27" t="n">
        <f aca="false">AB26*Assumptions!$D$33</f>
        <v>22998.8674290499</v>
      </c>
      <c r="AC38" s="27" t="n">
        <f aca="false">AC26*Assumptions!$D$33</f>
        <v>24307.2970924187</v>
      </c>
      <c r="AD38" s="27" t="n">
        <f aca="false">AD26*Assumptions!$D$33</f>
        <v>25675.25101368</v>
      </c>
      <c r="AE38" s="27" t="n">
        <f aca="false">AE26*Assumptions!$D$33</f>
        <v>27105.9636538018</v>
      </c>
      <c r="AF38" s="27" t="n">
        <f aca="false">AF26*Assumptions!$D$33</f>
        <v>28602.8875088105</v>
      </c>
      <c r="AG38" s="27" t="n">
        <f aca="false">AG26*Assumptions!$D$33</f>
        <v>29386.0807169489</v>
      </c>
      <c r="AH38" s="27" t="n">
        <f aca="false">AH26*Assumptions!$D$33</f>
        <v>30199.7172713074</v>
      </c>
      <c r="AI38" s="27" t="n">
        <f aca="false">AI26*Assumptions!$D$33</f>
        <v>31045.4406025545</v>
      </c>
      <c r="AJ38" s="27" t="n">
        <f aca="false">AJ26*Assumptions!$D$33</f>
        <v>31924.999429434</v>
      </c>
      <c r="AK38" s="27" t="n">
        <f aca="false">AK26*Assumptions!$D$33</f>
        <v>32840.2549338891</v>
      </c>
      <c r="AL38" s="27" t="n">
        <f aca="false">AL26*Assumptions!$D$33</f>
        <v>33793.1884345439</v>
      </c>
      <c r="AM38" s="27" t="n">
        <f aca="false">AM26*Assumptions!$D$33</f>
        <v>34785.9095933503</v>
      </c>
    </row>
    <row r="39" customFormat="false" ht="15" hidden="false" customHeight="false" outlineLevel="0" collapsed="false">
      <c r="A39" s="8" t="s">
        <v>349</v>
      </c>
      <c r="B39" s="8" t="s">
        <v>50</v>
      </c>
      <c r="C39" s="27" t="n">
        <f aca="false">SUM(D39:AM39)</f>
        <v>553965.610557261</v>
      </c>
      <c r="D39" s="27" t="n">
        <f aca="false">D29*Assumptions!$D$34</f>
        <v>0</v>
      </c>
      <c r="E39" s="27" t="n">
        <f aca="false">E29*Assumptions!$D$34</f>
        <v>0</v>
      </c>
      <c r="F39" s="27" t="n">
        <f aca="false">F29*Assumptions!$D$34</f>
        <v>0</v>
      </c>
      <c r="G39" s="27" t="n">
        <f aca="false">G29*Assumptions!$D$34</f>
        <v>0</v>
      </c>
      <c r="H39" s="27" t="n">
        <f aca="false">H29*Assumptions!$D$34</f>
        <v>0</v>
      </c>
      <c r="I39" s="27" t="n">
        <f aca="false">I29*Assumptions!$D$34</f>
        <v>711.150862676517</v>
      </c>
      <c r="J39" s="27" t="n">
        <f aca="false">J29*Assumptions!$D$34</f>
        <v>1372.3237384654</v>
      </c>
      <c r="K39" s="27" t="n">
        <f aca="false">K29*Assumptions!$D$34</f>
        <v>1988.00085206651</v>
      </c>
      <c r="L39" s="27" t="n">
        <f aca="false">L29*Assumptions!$D$34</f>
        <v>5722.14189550191</v>
      </c>
      <c r="M39" s="27" t="n">
        <f aca="false">M29*Assumptions!$D$34</f>
        <v>7261.9372283212</v>
      </c>
      <c r="N39" s="27" t="n">
        <f aca="false">N29*Assumptions!$D$34</f>
        <v>8705.48183056183</v>
      </c>
      <c r="O39" s="27" t="n">
        <f aca="false">O29*Assumptions!$D$34</f>
        <v>10060.9465415367</v>
      </c>
      <c r="P39" s="27" t="n">
        <f aca="false">P29*Assumptions!$D$34</f>
        <v>11335.8667357184</v>
      </c>
      <c r="Q39" s="27" t="n">
        <f aca="false">Q29*Assumptions!$D$34</f>
        <v>12537.1941766886</v>
      </c>
      <c r="R39" s="27" t="n">
        <f aca="false">R29*Assumptions!$D$34</f>
        <v>13671.3447732326</v>
      </c>
      <c r="S39" s="27" t="n">
        <f aca="false">S29*Assumptions!$D$34</f>
        <v>14744.2425670706</v>
      </c>
      <c r="T39" s="27" t="n">
        <f aca="false">T29*Assumptions!$D$34</f>
        <v>15761.3602553302</v>
      </c>
      <c r="U39" s="27" t="n">
        <f aca="false">U29*Assumptions!$D$34</f>
        <v>16727.756526572</v>
      </c>
      <c r="V39" s="27" t="n">
        <f aca="false">V29*Assumptions!$D$34</f>
        <v>17648.1104668194</v>
      </c>
      <c r="W39" s="27" t="n">
        <f aca="false">W29*Assumptions!$D$34</f>
        <v>18526.7532714536</v>
      </c>
      <c r="X39" s="27" t="n">
        <f aca="false">X29*Assumptions!$D$34</f>
        <v>19367.6974798733</v>
      </c>
      <c r="Y39" s="27" t="n">
        <f aca="false">Y29*Assumptions!$D$34</f>
        <v>20174.6639323564</v>
      </c>
      <c r="Z39" s="27" t="n">
        <f aca="false">Z29*Assumptions!$D$34</f>
        <v>20951.1066324698</v>
      </c>
      <c r="AA39" s="27" t="n">
        <f aca="false">AA29*Assumptions!$D$34</f>
        <v>21700.2356835435</v>
      </c>
      <c r="AB39" s="27" t="n">
        <f aca="false">AB29*Assumptions!$D$34</f>
        <v>22425.0384540587</v>
      </c>
      <c r="AC39" s="27" t="n">
        <f aca="false">AC29*Assumptions!$D$34</f>
        <v>23128.2991141846</v>
      </c>
      <c r="AD39" s="27" t="n">
        <f aca="false">AD29*Assumptions!$D$34</f>
        <v>23812.6166740698</v>
      </c>
      <c r="AE39" s="27" t="n">
        <f aca="false">AE29*Assumptions!$D$34</f>
        <v>24480.4216437445</v>
      </c>
      <c r="AF39" s="27" t="n">
        <f aca="false">AF29*Assumptions!$D$34</f>
        <v>25133.9914245664</v>
      </c>
      <c r="AG39" s="27" t="n">
        <f aca="false">AG29*Assumptions!$D$34</f>
        <v>25806.7964933191</v>
      </c>
      <c r="AH39" s="27" t="n">
        <f aca="false">AH29*Assumptions!$D$34</f>
        <v>26500.0781003865</v>
      </c>
      <c r="AI39" s="27" t="n">
        <f aca="false">AI29*Assumptions!$D$34</f>
        <v>27215.1282735111</v>
      </c>
      <c r="AJ39" s="27" t="n">
        <f aca="false">AJ29*Assumptions!$D$34</f>
        <v>27953.295370467</v>
      </c>
      <c r="AK39" s="27" t="n">
        <f aca="false">AK29*Assumptions!$D$34</f>
        <v>28715.9898427496</v>
      </c>
      <c r="AL39" s="27" t="n">
        <f aca="false">AL29*Assumptions!$D$34</f>
        <v>29504.6902389077</v>
      </c>
      <c r="AM39" s="27" t="n">
        <f aca="false">AM29*Assumptions!$D$34</f>
        <v>30320.949477038</v>
      </c>
    </row>
    <row r="40" customFormat="false" ht="15" hidden="false" customHeight="false" outlineLevel="0" collapsed="false">
      <c r="A40" s="8" t="s">
        <v>350</v>
      </c>
      <c r="B40" s="8" t="s">
        <v>50</v>
      </c>
      <c r="C40" s="27" t="n">
        <f aca="false">SUM(D40:AM40)</f>
        <v>1861331.2185599</v>
      </c>
      <c r="D40" s="27" t="n">
        <f aca="false">D34*Assumptions!$D$38</f>
        <v>0</v>
      </c>
      <c r="E40" s="27" t="n">
        <f aca="false">E34*Assumptions!$D$38</f>
        <v>0</v>
      </c>
      <c r="F40" s="27" t="n">
        <f aca="false">F34*Assumptions!$D$38</f>
        <v>0</v>
      </c>
      <c r="G40" s="27" t="n">
        <f aca="false">G34*Assumptions!$D$38</f>
        <v>0</v>
      </c>
      <c r="H40" s="27" t="n">
        <f aca="false">H34*Assumptions!$D$38</f>
        <v>0</v>
      </c>
      <c r="I40" s="27" t="n">
        <f aca="false">I34*Assumptions!$D$38</f>
        <v>5907.44928419863</v>
      </c>
      <c r="J40" s="27" t="n">
        <f aca="false">J34*Assumptions!$D$38</f>
        <v>6673.77769167463</v>
      </c>
      <c r="K40" s="27" t="n">
        <f aca="false">K34*Assumptions!$D$38</f>
        <v>7451.01865289134</v>
      </c>
      <c r="L40" s="27" t="n">
        <f aca="false">L34*Assumptions!$D$38</f>
        <v>37166.5368946525</v>
      </c>
      <c r="M40" s="27" t="n">
        <f aca="false">M34*Assumptions!$D$38</f>
        <v>24489.6544061905</v>
      </c>
      <c r="N40" s="27" t="n">
        <f aca="false">N34*Assumptions!$D$38</f>
        <v>27088.3466652754</v>
      </c>
      <c r="O40" s="27" t="n">
        <f aca="false">O34*Assumptions!$D$38</f>
        <v>29750.2517303222</v>
      </c>
      <c r="P40" s="27" t="n">
        <f aca="false">P34*Assumptions!$D$38</f>
        <v>32477.4205847049</v>
      </c>
      <c r="Q40" s="27" t="n">
        <f aca="false">Q34*Assumptions!$D$38</f>
        <v>35272.0003023727</v>
      </c>
      <c r="R40" s="27" t="n">
        <f aca="false">R34*Assumptions!$D$38</f>
        <v>38136.239824625</v>
      </c>
      <c r="S40" s="27" t="n">
        <f aca="false">S34*Assumptions!$D$38</f>
        <v>41072.4961222698</v>
      </c>
      <c r="T40" s="27" t="n">
        <f aca="false">T34*Assumptions!$D$38</f>
        <v>44083.2407697612</v>
      </c>
      <c r="U40" s="27" t="n">
        <f aca="false">U34*Assumptions!$D$38</f>
        <v>47171.0669597687</v>
      </c>
      <c r="V40" s="27" t="n">
        <f aca="false">V34*Assumptions!$D$38</f>
        <v>50338.6969886123</v>
      </c>
      <c r="W40" s="27" t="n">
        <f aca="false">W34*Assumptions!$D$38</f>
        <v>53588.9902451212</v>
      </c>
      <c r="X40" s="27" t="n">
        <f aca="false">X34*Assumptions!$D$38</f>
        <v>56924.9517377449</v>
      </c>
      <c r="Y40" s="27" t="n">
        <f aca="false">Y34*Assumptions!$D$38</f>
        <v>60349.7411971746</v>
      </c>
      <c r="Z40" s="27" t="n">
        <f aca="false">Z34*Assumptions!$D$38</f>
        <v>63866.6827943332</v>
      </c>
      <c r="AA40" s="27" t="n">
        <f aca="false">AA34*Assumptions!$D$38</f>
        <v>67479.2755163731</v>
      </c>
      <c r="AB40" s="27" t="n">
        <f aca="false">AB34*Assumptions!$D$38</f>
        <v>71191.2042462975</v>
      </c>
      <c r="AC40" s="27" t="n">
        <f aca="false">AC34*Assumptions!$D$38</f>
        <v>75006.3515950053</v>
      </c>
      <c r="AD40" s="27" t="n">
        <f aca="false">AD34*Assumptions!$D$38</f>
        <v>78928.810537965</v>
      </c>
      <c r="AE40" s="27" t="n">
        <f aca="false">AE34*Assumptions!$D$38</f>
        <v>82962.8979123712</v>
      </c>
      <c r="AF40" s="27" t="n">
        <f aca="false">AF34*Assumptions!$D$38</f>
        <v>87113.1688345338</v>
      </c>
      <c r="AG40" s="27" t="n">
        <f aca="false">AG34*Assumptions!$D$38</f>
        <v>91384.4321014268</v>
      </c>
      <c r="AH40" s="27" t="n">
        <f aca="false">AH34*Assumptions!$D$38</f>
        <v>95781.7666447849</v>
      </c>
      <c r="AI40" s="27" t="n">
        <f aca="false">AI34*Assumptions!$D$38</f>
        <v>100310.539110916</v>
      </c>
      <c r="AJ40" s="27" t="n">
        <f aca="false">AJ34*Assumptions!$D$38</f>
        <v>104976.42264451</v>
      </c>
      <c r="AK40" s="27" t="n">
        <f aca="false">AK34*Assumptions!$D$38</f>
        <v>109785.416960185</v>
      </c>
      <c r="AL40" s="27" t="n">
        <f aca="false">AL34*Assumptions!$D$38</f>
        <v>114743.869791381</v>
      </c>
      <c r="AM40" s="27" t="n">
        <f aca="false">AM34*Assumptions!$D$38</f>
        <v>119858.499812453</v>
      </c>
    </row>
    <row r="41" customFormat="false" ht="15" hidden="false" customHeight="false" outlineLevel="0" collapsed="false">
      <c r="A41" s="29" t="s">
        <v>351</v>
      </c>
      <c r="B41" s="8" t="s">
        <v>50</v>
      </c>
      <c r="C41" s="31" t="n">
        <f aca="false">SUM(D41:AM41)</f>
        <v>8440045.94011874</v>
      </c>
      <c r="D41" s="31" t="n">
        <f aca="false">D36+D37+D38+D39+D40</f>
        <v>0</v>
      </c>
      <c r="E41" s="31" t="n">
        <f aca="false">E36+E37+E38+E39+E40</f>
        <v>0</v>
      </c>
      <c r="F41" s="31" t="n">
        <f aca="false">F36+F37+F38+F39+F40</f>
        <v>0</v>
      </c>
      <c r="G41" s="31" t="n">
        <f aca="false">G36+G37+G38+G39+G40</f>
        <v>0</v>
      </c>
      <c r="H41" s="31" t="n">
        <f aca="false">H36+H37+H38+H39+H40</f>
        <v>0</v>
      </c>
      <c r="I41" s="31" t="n">
        <f aca="false">I36+I37+I38+I39+I40</f>
        <v>11708.9572660699</v>
      </c>
      <c r="J41" s="31" t="n">
        <f aca="false">J36+J37+J38+J39+J40</f>
        <v>14966.4777112208</v>
      </c>
      <c r="K41" s="31" t="n">
        <f aca="false">K36+K37+K38+K39+K40</f>
        <v>17978.7215238658</v>
      </c>
      <c r="L41" s="31" t="n">
        <f aca="false">L36+L37+L38+L39+L40</f>
        <v>107966.975354974</v>
      </c>
      <c r="M41" s="31" t="n">
        <f aca="false">M36+M37+M38+M39+M40</f>
        <v>90022.1680259656</v>
      </c>
      <c r="N41" s="31" t="n">
        <f aca="false">N36+N37+N38+N39+N40</f>
        <v>104941.546249305</v>
      </c>
      <c r="O41" s="31" t="n">
        <f aca="false">O36+O37+O38+O39+O40</f>
        <v>119776.348578707</v>
      </c>
      <c r="P41" s="31" t="n">
        <f aca="false">P36+P37+P38+P39+P40</f>
        <v>134600.843052004</v>
      </c>
      <c r="Q41" s="31" t="n">
        <f aca="false">Q36+Q37+Q38+Q39+Q40</f>
        <v>149483.016899532</v>
      </c>
      <c r="R41" s="31" t="n">
        <f aca="false">R36+R37+R38+R39+R40</f>
        <v>164485.53866302</v>
      </c>
      <c r="S41" s="31" t="n">
        <f aca="false">S36+S37+S38+S39+S40</f>
        <v>179666.609980015</v>
      </c>
      <c r="T41" s="31" t="n">
        <f aca="false">T36+T37+T38+T39+T40</f>
        <v>195080.722129907</v>
      </c>
      <c r="U41" s="31" t="n">
        <f aca="false">U36+U37+U38+U39+U40</f>
        <v>210779.330563143</v>
      </c>
      <c r="V41" s="31" t="n">
        <f aca="false">V36+V37+V38+V39+V40</f>
        <v>226811.459008923</v>
      </c>
      <c r="W41" s="31" t="n">
        <f aca="false">W36+W37+W38+W39+W40</f>
        <v>243224.243346694</v>
      </c>
      <c r="X41" s="31" t="n">
        <f aca="false">X36+X37+X38+X39+X40</f>
        <v>260063.424205599</v>
      </c>
      <c r="Y41" s="31" t="n">
        <f aca="false">Y36+Y37+Y38+Y39+Y40</f>
        <v>277373.79619972</v>
      </c>
      <c r="Z41" s="31" t="n">
        <f aca="false">Z36+Z37+Z38+Z39+Z40</f>
        <v>295199.620794654</v>
      </c>
      <c r="AA41" s="31" t="n">
        <f aca="false">AA36+AA37+AA38+AA39+AA40</f>
        <v>313585.00901461</v>
      </c>
      <c r="AB41" s="31" t="n">
        <f aca="false">AB36+AB37+AB38+AB39+AB40</f>
        <v>332574.279523148</v>
      </c>
      <c r="AC41" s="31" t="n">
        <f aca="false">AC36+AC37+AC38+AC39+AC40</f>
        <v>352212.297031211</v>
      </c>
      <c r="AD41" s="31" t="n">
        <f aca="false">AD36+AD37+AD38+AD39+AD40</f>
        <v>372544.795491611</v>
      </c>
      <c r="AE41" s="31" t="n">
        <f aca="false">AE36+AE37+AE38+AE39+AE40</f>
        <v>393618.690119175</v>
      </c>
      <c r="AF41" s="31" t="n">
        <f aca="false">AF36+AF37+AF38+AF39+AF40</f>
        <v>415482.381921752</v>
      </c>
      <c r="AG41" s="31" t="n">
        <f aca="false">AG36+AG37+AG38+AG39+AG40</f>
        <v>435285.247947276</v>
      </c>
      <c r="AH41" s="31" t="n">
        <f aca="false">AH36+AH37+AH38+AH39+AH40</f>
        <v>454822.944191643</v>
      </c>
      <c r="AI41" s="31" t="n">
        <f aca="false">AI36+AI37+AI38+AI39+AI40</f>
        <v>474216.454838604</v>
      </c>
      <c r="AJ41" s="31" t="n">
        <f aca="false">AJ36+AJ37+AJ38+AJ39+AJ40</f>
        <v>493575.608887516</v>
      </c>
      <c r="AK41" s="31" t="n">
        <f aca="false">AK36+AK37+AK38+AK39+AK40</f>
        <v>513000.819194449</v>
      </c>
      <c r="AL41" s="31" t="n">
        <f aca="false">AL36+AL37+AL38+AL39+AL40</f>
        <v>532584.615159259</v>
      </c>
      <c r="AM41" s="31" t="n">
        <f aca="false">AM36+AM37+AM38+AM39+AM40</f>
        <v>552412.997245164</v>
      </c>
    </row>
    <row r="42" customFormat="false" ht="15" hidden="false" customHeight="false" outlineLevel="0" collapsed="false">
      <c r="A42" s="8" t="s">
        <v>352</v>
      </c>
      <c r="B42" s="8" t="s">
        <v>50</v>
      </c>
      <c r="C42" s="27" t="n">
        <f aca="false">SUM(D42:AM42)</f>
        <v>-422002.297005937</v>
      </c>
      <c r="D42" s="27" t="n">
        <f aca="false">-D41*Assumptions!$D$50</f>
        <v>-0</v>
      </c>
      <c r="E42" s="27" t="n">
        <f aca="false">-E41*Assumptions!$D$50</f>
        <v>-0</v>
      </c>
      <c r="F42" s="27" t="n">
        <f aca="false">-F41*Assumptions!$D$50</f>
        <v>-0</v>
      </c>
      <c r="G42" s="27" t="n">
        <f aca="false">-G41*Assumptions!$D$50</f>
        <v>-0</v>
      </c>
      <c r="H42" s="27" t="n">
        <f aca="false">-H41*Assumptions!$D$50</f>
        <v>-0</v>
      </c>
      <c r="I42" s="27" t="n">
        <f aca="false">-I41*Assumptions!$D$50</f>
        <v>-585.447863303493</v>
      </c>
      <c r="J42" s="27" t="n">
        <f aca="false">-J41*Assumptions!$D$50</f>
        <v>-748.323885561041</v>
      </c>
      <c r="K42" s="27" t="n">
        <f aca="false">-K41*Assumptions!$D$50</f>
        <v>-898.936076193289</v>
      </c>
      <c r="L42" s="27" t="n">
        <f aca="false">-L41*Assumptions!$D$50</f>
        <v>-5398.34876774869</v>
      </c>
      <c r="M42" s="27" t="n">
        <f aca="false">-M41*Assumptions!$D$50</f>
        <v>-4501.10840129828</v>
      </c>
      <c r="N42" s="27" t="n">
        <f aca="false">-N41*Assumptions!$D$50</f>
        <v>-5247.07731246523</v>
      </c>
      <c r="O42" s="27" t="n">
        <f aca="false">-O41*Assumptions!$D$50</f>
        <v>-5988.81742893537</v>
      </c>
      <c r="P42" s="27" t="n">
        <f aca="false">-P41*Assumptions!$D$50</f>
        <v>-6730.04215260021</v>
      </c>
      <c r="Q42" s="27" t="n">
        <f aca="false">-Q41*Assumptions!$D$50</f>
        <v>-7474.15084497661</v>
      </c>
      <c r="R42" s="27" t="n">
        <f aca="false">-R41*Assumptions!$D$50</f>
        <v>-8224.27693315098</v>
      </c>
      <c r="S42" s="27" t="n">
        <f aca="false">-S41*Assumptions!$D$50</f>
        <v>-8983.33049900075</v>
      </c>
      <c r="T42" s="27" t="n">
        <f aca="false">-T41*Assumptions!$D$50</f>
        <v>-9754.03610649537</v>
      </c>
      <c r="U42" s="27" t="n">
        <f aca="false">-U41*Assumptions!$D$50</f>
        <v>-10538.9665281572</v>
      </c>
      <c r="V42" s="27" t="n">
        <f aca="false">-V41*Assumptions!$D$50</f>
        <v>-11340.5729504461</v>
      </c>
      <c r="W42" s="27" t="n">
        <f aca="false">-W41*Assumptions!$D$50</f>
        <v>-12161.2121673347</v>
      </c>
      <c r="X42" s="27" t="n">
        <f aca="false">-X41*Assumptions!$D$50</f>
        <v>-13003.1712102799</v>
      </c>
      <c r="Y42" s="27" t="n">
        <f aca="false">-Y41*Assumptions!$D$50</f>
        <v>-13868.689809986</v>
      </c>
      <c r="Z42" s="27" t="n">
        <f aca="false">-Z41*Assumptions!$D$50</f>
        <v>-14759.9810397327</v>
      </c>
      <c r="AA42" s="27" t="n">
        <f aca="false">-AA41*Assumptions!$D$50</f>
        <v>-15679.2504507305</v>
      </c>
      <c r="AB42" s="27" t="n">
        <f aca="false">-AB41*Assumptions!$D$50</f>
        <v>-16628.7139761574</v>
      </c>
      <c r="AC42" s="27" t="n">
        <f aca="false">-AC41*Assumptions!$D$50</f>
        <v>-17610.6148515606</v>
      </c>
      <c r="AD42" s="27" t="n">
        <f aca="false">-AD41*Assumptions!$D$50</f>
        <v>-18627.2397745805</v>
      </c>
      <c r="AE42" s="27" t="n">
        <f aca="false">-AE41*Assumptions!$D$50</f>
        <v>-19680.9345059588</v>
      </c>
      <c r="AF42" s="27" t="n">
        <f aca="false">-AF41*Assumptions!$D$50</f>
        <v>-20774.1190960876</v>
      </c>
      <c r="AG42" s="27" t="n">
        <f aca="false">-AG41*Assumptions!$D$50</f>
        <v>-21764.2623973638</v>
      </c>
      <c r="AH42" s="27" t="n">
        <f aca="false">-AH41*Assumptions!$D$50</f>
        <v>-22741.1472095822</v>
      </c>
      <c r="AI42" s="27" t="n">
        <f aca="false">-AI41*Assumptions!$D$50</f>
        <v>-23710.8227419302</v>
      </c>
      <c r="AJ42" s="27" t="n">
        <f aca="false">-AJ41*Assumptions!$D$50</f>
        <v>-24678.7804443758</v>
      </c>
      <c r="AK42" s="27" t="n">
        <f aca="false">-AK41*Assumptions!$D$50</f>
        <v>-25650.0409597224</v>
      </c>
      <c r="AL42" s="27" t="n">
        <f aca="false">-AL41*Assumptions!$D$50</f>
        <v>-26629.2307579629</v>
      </c>
      <c r="AM42" s="27" t="n">
        <f aca="false">-AM41*Assumptions!$D$50</f>
        <v>-27620.6498622582</v>
      </c>
    </row>
    <row r="43" customFormat="false" ht="15" hidden="false" customHeight="false" outlineLevel="0" collapsed="false">
      <c r="A43" s="29" t="s">
        <v>353</v>
      </c>
      <c r="B43" s="8" t="s">
        <v>50</v>
      </c>
      <c r="C43" s="31" t="n">
        <f aca="false">SUM(D43:AM43)</f>
        <v>8018043.6431128</v>
      </c>
      <c r="D43" s="31" t="n">
        <f aca="false">D41+D42</f>
        <v>0</v>
      </c>
      <c r="E43" s="31" t="n">
        <f aca="false">E41+E42</f>
        <v>0</v>
      </c>
      <c r="F43" s="31" t="n">
        <f aca="false">F41+F42</f>
        <v>0</v>
      </c>
      <c r="G43" s="31" t="n">
        <f aca="false">G41+G42</f>
        <v>0</v>
      </c>
      <c r="H43" s="31" t="n">
        <f aca="false">H41+H42</f>
        <v>0</v>
      </c>
      <c r="I43" s="31" t="n">
        <f aca="false">I41+I42</f>
        <v>11123.5094027664</v>
      </c>
      <c r="J43" s="31" t="n">
        <f aca="false">J41+J42</f>
        <v>14218.1538256598</v>
      </c>
      <c r="K43" s="31" t="n">
        <f aca="false">K41+K42</f>
        <v>17079.7854476725</v>
      </c>
      <c r="L43" s="31" t="n">
        <f aca="false">L41+L42</f>
        <v>102568.626587225</v>
      </c>
      <c r="M43" s="31" t="n">
        <f aca="false">M41+M42</f>
        <v>85521.0596246674</v>
      </c>
      <c r="N43" s="31" t="n">
        <f aca="false">N41+N42</f>
        <v>99694.4689368395</v>
      </c>
      <c r="O43" s="31" t="n">
        <f aca="false">O41+O42</f>
        <v>113787.531149772</v>
      </c>
      <c r="P43" s="31" t="n">
        <f aca="false">P41+P42</f>
        <v>127870.800899404</v>
      </c>
      <c r="Q43" s="31" t="n">
        <f aca="false">Q41+Q42</f>
        <v>142008.866054556</v>
      </c>
      <c r="R43" s="31" t="n">
        <f aca="false">R41+R42</f>
        <v>156261.261729869</v>
      </c>
      <c r="S43" s="31" t="n">
        <f aca="false">S41+S42</f>
        <v>170683.279481014</v>
      </c>
      <c r="T43" s="31" t="n">
        <f aca="false">T41+T42</f>
        <v>185326.686023412</v>
      </c>
      <c r="U43" s="31" t="n">
        <f aca="false">U41+U42</f>
        <v>200240.364034986</v>
      </c>
      <c r="V43" s="31" t="n">
        <f aca="false">V41+V42</f>
        <v>215470.886058477</v>
      </c>
      <c r="W43" s="31" t="n">
        <f aca="false">W41+W42</f>
        <v>231063.031179359</v>
      </c>
      <c r="X43" s="31" t="n">
        <f aca="false">X41+X42</f>
        <v>247060.252995319</v>
      </c>
      <c r="Y43" s="31" t="n">
        <f aca="false">Y41+Y42</f>
        <v>263505.106389734</v>
      </c>
      <c r="Z43" s="31" t="n">
        <f aca="false">Z41+Z42</f>
        <v>280439.639754921</v>
      </c>
      <c r="AA43" s="31" t="n">
        <f aca="false">AA41+AA42</f>
        <v>297905.75856388</v>
      </c>
      <c r="AB43" s="31" t="n">
        <f aca="false">AB41+AB42</f>
        <v>315945.565546991</v>
      </c>
      <c r="AC43" s="31" t="n">
        <f aca="false">AC41+AC42</f>
        <v>334601.68217965</v>
      </c>
      <c r="AD43" s="31" t="n">
        <f aca="false">AD41+AD42</f>
        <v>353917.55571703</v>
      </c>
      <c r="AE43" s="31" t="n">
        <f aca="false">AE41+AE42</f>
        <v>373937.755613216</v>
      </c>
      <c r="AF43" s="31" t="n">
        <f aca="false">AF41+AF42</f>
        <v>394708.262825665</v>
      </c>
      <c r="AG43" s="31" t="n">
        <f aca="false">AG41+AG42</f>
        <v>413520.985549913</v>
      </c>
      <c r="AH43" s="31" t="n">
        <f aca="false">AH41+AH42</f>
        <v>432081.796982061</v>
      </c>
      <c r="AI43" s="31" t="n">
        <f aca="false">AI41+AI42</f>
        <v>450505.632096674</v>
      </c>
      <c r="AJ43" s="31" t="n">
        <f aca="false">AJ41+AJ42</f>
        <v>468896.828443141</v>
      </c>
      <c r="AK43" s="31" t="n">
        <f aca="false">AK41+AK42</f>
        <v>487350.778234726</v>
      </c>
      <c r="AL43" s="31" t="n">
        <f aca="false">AL41+AL42</f>
        <v>505955.384401296</v>
      </c>
      <c r="AM43" s="31" t="n">
        <f aca="false">AM41+AM42</f>
        <v>524792.347382906</v>
      </c>
    </row>
    <row r="44" customFormat="false" ht="15" hidden="false" customHeight="false" outlineLevel="0" collapsed="false">
      <c r="A44" s="5" t="s">
        <v>149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</row>
    <row r="45" customFormat="false" ht="15" hidden="false" customHeight="false" outlineLevel="0" collapsed="false">
      <c r="A45" s="8" t="s">
        <v>354</v>
      </c>
      <c r="B45" s="8" t="s">
        <v>50</v>
      </c>
      <c r="C45" s="27" t="n">
        <f aca="false">SUM(D45:AM45)</f>
        <v>-2074933.55372354</v>
      </c>
      <c r="D45" s="27" t="n">
        <f aca="false">-D24*Assumptions!$D$44</f>
        <v>-0</v>
      </c>
      <c r="E45" s="27" t="n">
        <f aca="false">-E24*Assumptions!$D$44</f>
        <v>-0</v>
      </c>
      <c r="F45" s="27" t="n">
        <f aca="false">-F24*Assumptions!$D$44</f>
        <v>-0</v>
      </c>
      <c r="G45" s="27" t="n">
        <f aca="false">-G24*Assumptions!$D$44</f>
        <v>-0</v>
      </c>
      <c r="H45" s="27" t="n">
        <f aca="false">-H24*Assumptions!$D$44</f>
        <v>-0</v>
      </c>
      <c r="I45" s="27" t="n">
        <f aca="false">-I24*Assumptions!$D$44</f>
        <v>-904.113755245342</v>
      </c>
      <c r="J45" s="27" t="n">
        <f aca="false">-J24*Assumptions!$D$44</f>
        <v>-1699.48286387162</v>
      </c>
      <c r="K45" s="27" t="n">
        <f aca="false">-K24*Assumptions!$D$44</f>
        <v>-2400.8594398487</v>
      </c>
      <c r="L45" s="27" t="n">
        <f aca="false">-L24*Assumptions!$D$44</f>
        <v>-12807.71743339</v>
      </c>
      <c r="M45" s="27" t="n">
        <f aca="false">-M24*Assumptions!$D$44</f>
        <v>-17012.3849573567</v>
      </c>
      <c r="N45" s="27" t="n">
        <f aca="false">-N24*Assumptions!$D$44</f>
        <v>-21131.6396128171</v>
      </c>
      <c r="O45" s="27" t="n">
        <f aca="false">-O24*Assumptions!$D$44</f>
        <v>-25195.8561200193</v>
      </c>
      <c r="P45" s="27" t="n">
        <f aca="false">-P24*Assumptions!$D$44</f>
        <v>-29232.3241840832</v>
      </c>
      <c r="Q45" s="27" t="n">
        <f aca="false">-Q24*Assumptions!$D$44</f>
        <v>-33265.6996745921</v>
      </c>
      <c r="R45" s="27" t="n">
        <f aca="false">-R24*Assumptions!$D$44</f>
        <v>-37318.4007128601</v>
      </c>
      <c r="S45" s="27" t="n">
        <f aca="false">-S24*Assumptions!$D$44</f>
        <v>-41410.9561033521</v>
      </c>
      <c r="T45" s="27" t="n">
        <f aca="false">-T24*Assumptions!$D$44</f>
        <v>-45562.3126005172</v>
      </c>
      <c r="U45" s="27" t="n">
        <f aca="false">-U24*Assumptions!$D$44</f>
        <v>-49790.1066816501</v>
      </c>
      <c r="V45" s="27" t="n">
        <f aca="false">-V24*Assumptions!$D$44</f>
        <v>-54110.9057842353</v>
      </c>
      <c r="W45" s="27" t="n">
        <f aca="false">-W24*Assumptions!$D$44</f>
        <v>-58540.423348611</v>
      </c>
      <c r="X45" s="27" t="n">
        <f aca="false">-X24*Assumptions!$D$44</f>
        <v>-63093.7114715633</v>
      </c>
      <c r="Y45" s="27" t="n">
        <f aca="false">-Y24*Assumptions!$D$44</f>
        <v>-67785.3345130835</v>
      </c>
      <c r="Z45" s="27" t="n">
        <f aca="false">-Z24*Assumptions!$D$44</f>
        <v>-72629.5265978232</v>
      </c>
      <c r="AA45" s="27" t="n">
        <f aca="false">-AA24*Assumptions!$D$44</f>
        <v>-77640.335606809</v>
      </c>
      <c r="AB45" s="27" t="n">
        <f aca="false">-AB24*Assumptions!$D$44</f>
        <v>-82831.7559568132</v>
      </c>
      <c r="AC45" s="27" t="n">
        <f aca="false">-AC24*Assumptions!$D$44</f>
        <v>-88217.8522084308</v>
      </c>
      <c r="AD45" s="27" t="n">
        <f aca="false">-AD24*Assumptions!$D$44</f>
        <v>-93812.8753241763</v>
      </c>
      <c r="AE45" s="27" t="n">
        <f aca="false">-AE24*Assumptions!$D$44</f>
        <v>-99631.3732102891</v>
      </c>
      <c r="AF45" s="27" t="n">
        <f aca="false">-AF24*Assumptions!$D$44</f>
        <v>-105688.297016515</v>
      </c>
      <c r="AG45" s="27" t="n">
        <f aca="false">-AG24*Assumptions!$D$44</f>
        <v>-111478.31788084</v>
      </c>
      <c r="AH45" s="27" t="n">
        <f aca="false">-AH24*Assumptions!$D$44</f>
        <v>-117056.365326221</v>
      </c>
      <c r="AI45" s="27" t="n">
        <f aca="false">-AI24*Assumptions!$D$44</f>
        <v>-122471.32023426</v>
      </c>
      <c r="AJ45" s="27" t="n">
        <f aca="false">-AJ24*Assumptions!$D$44</f>
        <v>-127766.871141284</v>
      </c>
      <c r="AK45" s="27" t="n">
        <f aca="false">-AK24*Assumptions!$D$44</f>
        <v>-132982.263984398</v>
      </c>
      <c r="AL45" s="27" t="n">
        <f aca="false">-AL24*Assumptions!$D$44</f>
        <v>-138152.959480217</v>
      </c>
      <c r="AM45" s="27" t="n">
        <f aca="false">-AM24*Assumptions!$D$44</f>
        <v>-143311.210498369</v>
      </c>
    </row>
    <row r="46" customFormat="false" ht="15" hidden="false" customHeight="false" outlineLevel="0" collapsed="false">
      <c r="A46" s="8" t="s">
        <v>355</v>
      </c>
      <c r="B46" s="8" t="s">
        <v>50</v>
      </c>
      <c r="C46" s="27" t="n">
        <f aca="false">SUM(D46:AM46)</f>
        <v>-694443.807827642</v>
      </c>
      <c r="D46" s="27" t="n">
        <f aca="false">-(D21*Assumptions!$D$45+D24*Assumptions!$D$46)</f>
        <v>-0</v>
      </c>
      <c r="E46" s="27" t="n">
        <f aca="false">-(E21*Assumptions!$D$45+E24*Assumptions!$D$46)</f>
        <v>-0</v>
      </c>
      <c r="F46" s="27" t="n">
        <f aca="false">-(F21*Assumptions!$D$45+F24*Assumptions!$D$46)</f>
        <v>-0</v>
      </c>
      <c r="G46" s="27" t="n">
        <f aca="false">-(G21*Assumptions!$D$45+G24*Assumptions!$D$46)</f>
        <v>-0</v>
      </c>
      <c r="H46" s="27" t="n">
        <f aca="false">-(H21*Assumptions!$D$45+H24*Assumptions!$D$46)</f>
        <v>-0</v>
      </c>
      <c r="I46" s="27" t="n">
        <f aca="false">-(I21*Assumptions!$D$45+I24*Assumptions!$D$46)</f>
        <v>-1241.64268638567</v>
      </c>
      <c r="J46" s="27" t="n">
        <f aca="false">-(J21*Assumptions!$D$45+J24*Assumptions!$D$46)</f>
        <v>-1325.22159282183</v>
      </c>
      <c r="K46" s="27" t="n">
        <f aca="false">-(K21*Assumptions!$D$45+K24*Assumptions!$D$46)</f>
        <v>-1401.04480723098</v>
      </c>
      <c r="L46" s="27" t="n">
        <f aca="false">-(L21*Assumptions!$D$45+L24*Assumptions!$D$46)</f>
        <v>-14910.5231132798</v>
      </c>
      <c r="M46" s="27" t="n">
        <f aca="false">-(M21*Assumptions!$D$45+M24*Assumptions!$D$46)</f>
        <v>-9073.94396060992</v>
      </c>
      <c r="N46" s="27" t="n">
        <f aca="false">-(N21*Assumptions!$D$45+N24*Assumptions!$D$46)</f>
        <v>-10039.8644018564</v>
      </c>
      <c r="O46" s="27" t="n">
        <f aca="false">-(O21*Assumptions!$D$45+O24*Assumptions!$D$46)</f>
        <v>-11025.4948869177</v>
      </c>
      <c r="P46" s="27" t="n">
        <f aca="false">-(P21*Assumptions!$D$45+P24*Assumptions!$D$46)</f>
        <v>-12034.4239194133</v>
      </c>
      <c r="Q46" s="27" t="n">
        <f aca="false">-(Q21*Assumptions!$D$45+Q24*Assumptions!$D$46)</f>
        <v>-13070.0648478693</v>
      </c>
      <c r="R46" s="27" t="n">
        <f aca="false">-(R21*Assumptions!$D$45+R24*Assumptions!$D$46)</f>
        <v>-14135.6964403662</v>
      </c>
      <c r="S46" s="27" t="n">
        <f aca="false">-(S21*Assumptions!$D$45+S24*Assumptions!$D$46)</f>
        <v>-15234.4994788276</v>
      </c>
      <c r="T46" s="27" t="n">
        <f aca="false">-(T21*Assumptions!$D$45+T24*Assumptions!$D$46)</f>
        <v>-16369.5899906722</v>
      </c>
      <c r="U46" s="27" t="n">
        <f aca="false">-(U21*Assumptions!$D$45+U24*Assumptions!$D$46)</f>
        <v>-17544.0496631083</v>
      </c>
      <c r="V46" s="27" t="n">
        <f aca="false">-(V21*Assumptions!$D$45+V24*Assumptions!$D$46)</f>
        <v>-18760.9539229325</v>
      </c>
      <c r="W46" s="27" t="n">
        <f aca="false">-(W21*Assumptions!$D$45+W24*Assumptions!$D$46)</f>
        <v>-20023.3981110502</v>
      </c>
      <c r="X46" s="27" t="n">
        <f aca="false">-(X21*Assumptions!$D$45+X24*Assumptions!$D$46)</f>
        <v>-21334.5221349819</v>
      </c>
      <c r="Y46" s="27" t="n">
        <f aca="false">-(Y21*Assumptions!$D$45+Y24*Assumptions!$D$46)</f>
        <v>-22697.5339433966</v>
      </c>
      <c r="Z46" s="27" t="n">
        <f aca="false">-(Z21*Assumptions!$D$45+Z24*Assumptions!$D$46)</f>
        <v>-24115.732133425</v>
      </c>
      <c r="AA46" s="27" t="n">
        <f aca="false">-(AA21*Assumptions!$D$45+AA24*Assumptions!$D$46)</f>
        <v>-25592.5279734212</v>
      </c>
      <c r="AB46" s="27" t="n">
        <f aca="false">-(AB21*Assumptions!$D$45+AB24*Assumptions!$D$46)</f>
        <v>-27131.4671003778</v>
      </c>
      <c r="AC46" s="27" t="n">
        <f aca="false">-(AC21*Assumptions!$D$45+AC24*Assumptions!$D$46)</f>
        <v>-28736.2511318051</v>
      </c>
      <c r="AD46" s="27" t="n">
        <f aca="false">-(AD21*Assumptions!$D$45+AD24*Assumptions!$D$46)</f>
        <v>-30410.7594161296</v>
      </c>
      <c r="AE46" s="27" t="n">
        <f aca="false">-(AE21*Assumptions!$D$45+AE24*Assumptions!$D$46)</f>
        <v>-32159.0711331528</v>
      </c>
      <c r="AF46" s="27" t="n">
        <f aca="false">-(AF21*Assumptions!$D$45+AF24*Assumptions!$D$46)</f>
        <v>-33985.4879465103</v>
      </c>
      <c r="AG46" s="27" t="n">
        <f aca="false">-(AG21*Assumptions!$D$45+AG24*Assumptions!$D$46)</f>
        <v>-35179.3476911124</v>
      </c>
      <c r="AH46" s="27" t="n">
        <f aca="false">-(AH21*Assumptions!$D$45+AH24*Assumptions!$D$46)</f>
        <v>-36379.8831586116</v>
      </c>
      <c r="AI46" s="27" t="n">
        <f aca="false">-(AI21*Assumptions!$D$45+AI24*Assumptions!$D$46)</f>
        <v>-37592.9387166553</v>
      </c>
      <c r="AJ46" s="27" t="n">
        <f aca="false">-(AJ21*Assumptions!$D$45+AJ24*Assumptions!$D$46)</f>
        <v>-38823.9764356571</v>
      </c>
      <c r="AK46" s="27" t="n">
        <f aca="false">-(AK21*Assumptions!$D$45+AK24*Assumptions!$D$46)</f>
        <v>-40078.1503626916</v>
      </c>
      <c r="AL46" s="27" t="n">
        <f aca="false">-(AL21*Assumptions!$D$45+AL24*Assumptions!$D$46)</f>
        <v>-41360.3728230969</v>
      </c>
      <c r="AM46" s="27" t="n">
        <f aca="false">-(AM21*Assumptions!$D$45+AM24*Assumptions!$D$46)</f>
        <v>-42675.3739032753</v>
      </c>
    </row>
    <row r="47" customFormat="false" ht="15" hidden="false" customHeight="false" outlineLevel="0" collapsed="false">
      <c r="A47" s="8" t="s">
        <v>356</v>
      </c>
      <c r="B47" s="8" t="s">
        <v>50</v>
      </c>
      <c r="C47" s="27" t="n">
        <f aca="false">SUM(D47:AM47)</f>
        <v>-509560.251315658</v>
      </c>
      <c r="D47" s="27" t="n">
        <f aca="false">-D26*Assumptions!$D$48</f>
        <v>-0</v>
      </c>
      <c r="E47" s="27" t="n">
        <f aca="false">-E26*Assumptions!$D$48</f>
        <v>-0</v>
      </c>
      <c r="F47" s="27" t="n">
        <f aca="false">-F26*Assumptions!$D$48</f>
        <v>-0</v>
      </c>
      <c r="G47" s="27" t="n">
        <f aca="false">-G26*Assumptions!$D$48</f>
        <v>-0</v>
      </c>
      <c r="H47" s="27" t="n">
        <f aca="false">-H26*Assumptions!$D$48</f>
        <v>-0</v>
      </c>
      <c r="I47" s="27" t="n">
        <f aca="false">-I26*Assumptions!$D$48</f>
        <v>-1168.03904923878</v>
      </c>
      <c r="J47" s="27" t="n">
        <f aca="false">-J26*Assumptions!$D$48</f>
        <v>-1179.39517398984</v>
      </c>
      <c r="K47" s="27" t="n">
        <f aca="false">-K26*Assumptions!$D$48</f>
        <v>-1191.54622747348</v>
      </c>
      <c r="L47" s="27" t="n">
        <f aca="false">-L26*Assumptions!$D$48</f>
        <v>-13848.008758603</v>
      </c>
      <c r="M47" s="27" t="n">
        <f aca="false">-M26*Assumptions!$D$48</f>
        <v>-7583.12175816291</v>
      </c>
      <c r="N47" s="27" t="n">
        <f aca="false">-N26*Assumptions!$D$48</f>
        <v>-8178.945560831</v>
      </c>
      <c r="O47" s="27" t="n">
        <f aca="false">-O26*Assumptions!$D$48</f>
        <v>-8799.66593838805</v>
      </c>
      <c r="P47" s="27" t="n">
        <f aca="false">-P26*Assumptions!$D$48</f>
        <v>-9446.39871677242</v>
      </c>
      <c r="Q47" s="27" t="n">
        <f aca="false">-Q26*Assumptions!$D$48</f>
        <v>-10120.3244826047</v>
      </c>
      <c r="R47" s="27" t="n">
        <f aca="false">-R26*Assumptions!$D$48</f>
        <v>-10822.6931837299</v>
      </c>
      <c r="S47" s="27" t="n">
        <f aca="false">-S26*Assumptions!$D$48</f>
        <v>-11554.8290843571</v>
      </c>
      <c r="T47" s="27" t="n">
        <f aca="false">-T26*Assumptions!$D$48</f>
        <v>-12318.1361026096</v>
      </c>
      <c r="U47" s="27" t="n">
        <f aca="false">-U26*Assumptions!$D$48</f>
        <v>-13114.1035604752</v>
      </c>
      <c r="V47" s="27" t="n">
        <f aca="false">-V26*Assumptions!$D$48</f>
        <v>-13944.3123784855</v>
      </c>
      <c r="W47" s="27" t="n">
        <f aca="false">-W26*Assumptions!$D$48</f>
        <v>-14810.4417499798</v>
      </c>
      <c r="X47" s="27" t="n">
        <f aca="false">-X26*Assumptions!$D$48</f>
        <v>-15714.2763325254</v>
      </c>
      <c r="Y47" s="27" t="n">
        <f aca="false">-Y26*Assumptions!$D$48</f>
        <v>-16657.713996998</v>
      </c>
      <c r="Z47" s="27" t="n">
        <f aca="false">-Z26*Assumptions!$D$48</f>
        <v>-17642.7741779797</v>
      </c>
      <c r="AA47" s="27" t="n">
        <f aca="false">-AA26*Assumptions!$D$48</f>
        <v>-18671.6068725333</v>
      </c>
      <c r="AB47" s="27" t="n">
        <f aca="false">-AB26*Assumptions!$D$48</f>
        <v>-19746.5023380731</v>
      </c>
      <c r="AC47" s="27" t="n">
        <f aca="false">-AC26*Assumptions!$D$48</f>
        <v>-20869.9015439959</v>
      </c>
      <c r="AD47" s="27" t="n">
        <f aca="false">-AD26*Assumptions!$D$48</f>
        <v>-22044.4074359879</v>
      </c>
      <c r="AE47" s="27" t="n">
        <f aca="false">-AE26*Assumptions!$D$48</f>
        <v>-23272.7970764965</v>
      </c>
      <c r="AF47" s="27" t="n">
        <f aca="false">-AF26*Assumptions!$D$48</f>
        <v>-24558.0347297868</v>
      </c>
      <c r="AG47" s="27" t="n">
        <f aca="false">-AG26*Assumptions!$D$48</f>
        <v>-25230.4733428349</v>
      </c>
      <c r="AH47" s="27" t="n">
        <f aca="false">-AH26*Assumptions!$D$48</f>
        <v>-25929.0501824357</v>
      </c>
      <c r="AI47" s="27" t="n">
        <f aca="false">-AI26*Assumptions!$D$48</f>
        <v>-26655.1762749206</v>
      </c>
      <c r="AJ47" s="27" t="n">
        <f aca="false">-AJ26*Assumptions!$D$48</f>
        <v>-27410.3530454737</v>
      </c>
      <c r="AK47" s="27" t="n">
        <f aca="false">-AK26*Assumptions!$D$48</f>
        <v>-28196.1784785917</v>
      </c>
      <c r="AL47" s="27" t="n">
        <f aca="false">-AL26*Assumptions!$D$48</f>
        <v>-29014.3537064266</v>
      </c>
      <c r="AM47" s="27" t="n">
        <f aca="false">-AM26*Assumptions!$D$48</f>
        <v>-29866.6900548967</v>
      </c>
    </row>
    <row r="48" customFormat="false" ht="15" hidden="false" customHeight="false" outlineLevel="0" collapsed="false">
      <c r="A48" s="8" t="s">
        <v>357</v>
      </c>
      <c r="B48" s="8" t="s">
        <v>50</v>
      </c>
      <c r="C48" s="27" t="n">
        <f aca="false">SUM(D48:AM48)</f>
        <v>-339534.581518398</v>
      </c>
      <c r="D48" s="27" t="n">
        <f aca="false">-D24*Assumptions!$D$47</f>
        <v>-0</v>
      </c>
      <c r="E48" s="27" t="n">
        <f aca="false">-E24*Assumptions!$D$47</f>
        <v>-0</v>
      </c>
      <c r="F48" s="27" t="n">
        <f aca="false">-F24*Assumptions!$D$47</f>
        <v>-0</v>
      </c>
      <c r="G48" s="27" t="n">
        <f aca="false">-G24*Assumptions!$D$47</f>
        <v>-0</v>
      </c>
      <c r="H48" s="27" t="n">
        <f aca="false">-H24*Assumptions!$D$47</f>
        <v>-0</v>
      </c>
      <c r="I48" s="27" t="n">
        <f aca="false">-I24*Assumptions!$D$47</f>
        <v>-147.945887221965</v>
      </c>
      <c r="J48" s="27" t="n">
        <f aca="false">-J24*Assumptions!$D$47</f>
        <v>-278.097195906264</v>
      </c>
      <c r="K48" s="27" t="n">
        <f aca="false">-K24*Assumptions!$D$47</f>
        <v>-392.867908338878</v>
      </c>
      <c r="L48" s="27" t="n">
        <f aca="false">-L24*Assumptions!$D$47</f>
        <v>-2095.808307282</v>
      </c>
      <c r="M48" s="27" t="n">
        <f aca="false">-M24*Assumptions!$D$47</f>
        <v>-2783.84481120382</v>
      </c>
      <c r="N48" s="27" t="n">
        <f aca="false">-N24*Assumptions!$D$47</f>
        <v>-3457.90466391552</v>
      </c>
      <c r="O48" s="27" t="n">
        <f aca="false">-O24*Assumptions!$D$47</f>
        <v>-4122.95827418498</v>
      </c>
      <c r="P48" s="27" t="n">
        <f aca="false">-P24*Assumptions!$D$47</f>
        <v>-4783.47123012271</v>
      </c>
      <c r="Q48" s="27" t="n">
        <f aca="false">-Q24*Assumptions!$D$47</f>
        <v>-5443.47812856961</v>
      </c>
      <c r="R48" s="27" t="n">
        <f aca="false">-R24*Assumptions!$D$47</f>
        <v>-6106.64738937711</v>
      </c>
      <c r="S48" s="27" t="n">
        <f aca="false">-S24*Assumptions!$D$47</f>
        <v>-6776.33827145761</v>
      </c>
      <c r="T48" s="27" t="n">
        <f aca="false">-T24*Assumptions!$D$47</f>
        <v>-7455.6511528119</v>
      </c>
      <c r="U48" s="27" t="n">
        <f aca="false">-U24*Assumptions!$D$47</f>
        <v>-8147.47200245183</v>
      </c>
      <c r="V48" s="27" t="n">
        <f aca="false">-V24*Assumptions!$D$47</f>
        <v>-8854.51185560215</v>
      </c>
      <c r="W48" s="27" t="n">
        <f aca="false">-W24*Assumptions!$D$47</f>
        <v>-9579.34200249999</v>
      </c>
      <c r="X48" s="27" t="n">
        <f aca="false">-X24*Assumptions!$D$47</f>
        <v>-10324.4255135285</v>
      </c>
      <c r="Y48" s="27" t="n">
        <f aca="false">-Y24*Assumptions!$D$47</f>
        <v>-11092.1456475955</v>
      </c>
      <c r="Z48" s="27" t="n">
        <f aca="false">-Z24*Assumptions!$D$47</f>
        <v>-11884.8316250983</v>
      </c>
      <c r="AA48" s="27" t="n">
        <f aca="false">-AA24*Assumptions!$D$47</f>
        <v>-12704.7821902051</v>
      </c>
      <c r="AB48" s="27" t="n">
        <f aca="false">-AB24*Assumptions!$D$47</f>
        <v>-13554.2873383876</v>
      </c>
      <c r="AC48" s="27" t="n">
        <f aca="false">-AC24*Assumptions!$D$47</f>
        <v>-14435.6485431978</v>
      </c>
      <c r="AD48" s="27" t="n">
        <f aca="false">-AD24*Assumptions!$D$47</f>
        <v>-15351.1977803198</v>
      </c>
      <c r="AE48" s="27" t="n">
        <f aca="false">-AE24*Assumptions!$D$47</f>
        <v>-16303.3156162291</v>
      </c>
      <c r="AF48" s="27" t="n">
        <f aca="false">-AF24*Assumptions!$D$47</f>
        <v>-17294.4486027025</v>
      </c>
      <c r="AG48" s="27" t="n">
        <f aca="false">-AG24*Assumptions!$D$47</f>
        <v>-18241.9065623193</v>
      </c>
      <c r="AH48" s="27" t="n">
        <f aca="false">-AH24*Assumptions!$D$47</f>
        <v>-19154.6779624725</v>
      </c>
      <c r="AI48" s="27" t="n">
        <f aca="false">-AI24*Assumptions!$D$47</f>
        <v>-20040.7614928789</v>
      </c>
      <c r="AJ48" s="27" t="n">
        <f aca="false">-AJ24*Assumptions!$D$47</f>
        <v>-20907.3061867556</v>
      </c>
      <c r="AK48" s="27" t="n">
        <f aca="false">-AK24*Assumptions!$D$47</f>
        <v>-21760.7341065378</v>
      </c>
      <c r="AL48" s="27" t="n">
        <f aca="false">-AL24*Assumptions!$D$47</f>
        <v>-22606.8479149445</v>
      </c>
      <c r="AM48" s="27" t="n">
        <f aca="false">-AM24*Assumptions!$D$47</f>
        <v>-23450.9253542786</v>
      </c>
    </row>
    <row r="49" customFormat="false" ht="15" hidden="false" customHeight="false" outlineLevel="0" collapsed="false">
      <c r="A49" s="8" t="s">
        <v>358</v>
      </c>
      <c r="B49" s="8" t="s">
        <v>50</v>
      </c>
      <c r="C49" s="27" t="n">
        <f aca="false">SUM(D49:AM49)</f>
        <v>-1002255.27153225</v>
      </c>
      <c r="D49" s="27" t="n">
        <f aca="false">-(D40*Assumptions!$D$52+D34*Assumptions!$D$53)</f>
        <v>-0</v>
      </c>
      <c r="E49" s="27" t="n">
        <f aca="false">-(E40*Assumptions!$D$52+E34*Assumptions!$D$53)</f>
        <v>-0</v>
      </c>
      <c r="F49" s="27" t="n">
        <f aca="false">-(F40*Assumptions!$D$52+F34*Assumptions!$D$53)</f>
        <v>-0</v>
      </c>
      <c r="G49" s="27" t="n">
        <f aca="false">-(G40*Assumptions!$D$52+G34*Assumptions!$D$53)</f>
        <v>-0</v>
      </c>
      <c r="H49" s="27" t="n">
        <f aca="false">-(H40*Assumptions!$D$52+H34*Assumptions!$D$53)</f>
        <v>-0</v>
      </c>
      <c r="I49" s="27" t="n">
        <f aca="false">-(I40*Assumptions!$D$52+I34*Assumptions!$D$53)</f>
        <v>-3180.93422995311</v>
      </c>
      <c r="J49" s="27" t="n">
        <f aca="false">-(J40*Assumptions!$D$52+J34*Assumptions!$D$53)</f>
        <v>-3593.57260320942</v>
      </c>
      <c r="K49" s="27" t="n">
        <f aca="false">-(K40*Assumptions!$D$52+K34*Assumptions!$D$53)</f>
        <v>-4012.08696694149</v>
      </c>
      <c r="L49" s="27" t="n">
        <f aca="false">-(L40*Assumptions!$D$52+L34*Assumptions!$D$53)</f>
        <v>-20012.7506355821</v>
      </c>
      <c r="M49" s="27" t="n">
        <f aca="false">-(M40*Assumptions!$D$52+M34*Assumptions!$D$53)</f>
        <v>-13186.7369879488</v>
      </c>
      <c r="N49" s="27" t="n">
        <f aca="false">-(N40*Assumptions!$D$52+N34*Assumptions!$D$53)</f>
        <v>-14586.0328197637</v>
      </c>
      <c r="O49" s="27" t="n">
        <f aca="false">-(O40*Assumptions!$D$52+O34*Assumptions!$D$53)</f>
        <v>-16019.3663163273</v>
      </c>
      <c r="P49" s="27" t="n">
        <f aca="false">-(P40*Assumptions!$D$52+P34*Assumptions!$D$53)</f>
        <v>-17487.8418533027</v>
      </c>
      <c r="Q49" s="27" t="n">
        <f aca="false">-(Q40*Assumptions!$D$52+Q34*Assumptions!$D$53)</f>
        <v>-18992.6155474314</v>
      </c>
      <c r="R49" s="27" t="n">
        <f aca="false">-(R40*Assumptions!$D$52+R34*Assumptions!$D$53)</f>
        <v>-20534.8983671058</v>
      </c>
      <c r="S49" s="27" t="n">
        <f aca="false">-(S40*Assumptions!$D$52+S34*Assumptions!$D$53)</f>
        <v>-22115.959450453</v>
      </c>
      <c r="T49" s="27" t="n">
        <f aca="false">-(T40*Assumptions!$D$52+T34*Assumptions!$D$53)</f>
        <v>-23737.1296452561</v>
      </c>
      <c r="U49" s="27" t="n">
        <f aca="false">-(U40*Assumptions!$D$52+U34*Assumptions!$D$53)</f>
        <v>-25399.8052860293</v>
      </c>
      <c r="V49" s="27" t="n">
        <f aca="false">-(V40*Assumptions!$D$52+V34*Assumptions!$D$53)</f>
        <v>-27105.4522246374</v>
      </c>
      <c r="W49" s="27" t="n">
        <f aca="false">-(W40*Assumptions!$D$52+W34*Assumptions!$D$53)</f>
        <v>-28855.6101319883</v>
      </c>
      <c r="X49" s="27" t="n">
        <f aca="false">-(X40*Assumptions!$D$52+X34*Assumptions!$D$53)</f>
        <v>-30651.8970895549</v>
      </c>
      <c r="Y49" s="27" t="n">
        <f aca="false">-(Y40*Assumptions!$D$52+Y34*Assumptions!$D$53)</f>
        <v>-32496.0144907863</v>
      </c>
      <c r="Z49" s="27" t="n">
        <f aca="false">-(Z40*Assumptions!$D$52+Z34*Assumptions!$D$53)</f>
        <v>-34389.7522738717</v>
      </c>
      <c r="AA49" s="27" t="n">
        <f aca="false">-(AA40*Assumptions!$D$52+AA34*Assumptions!$D$53)</f>
        <v>-36334.9945088163</v>
      </c>
      <c r="AB49" s="27" t="n">
        <f aca="false">-(AB40*Assumptions!$D$52+AB34*Assumptions!$D$53)</f>
        <v>-38333.725363391</v>
      </c>
      <c r="AC49" s="27" t="n">
        <f aca="false">-(AC40*Assumptions!$D$52+AC34*Assumptions!$D$53)</f>
        <v>-40388.0354742336</v>
      </c>
      <c r="AD49" s="27" t="n">
        <f aca="false">-(AD40*Assumptions!$D$52+AD34*Assumptions!$D$53)</f>
        <v>-42500.1287512119</v>
      </c>
      <c r="AE49" s="27" t="n">
        <f aca="false">-(AE40*Assumptions!$D$52+AE34*Assumptions!$D$53)</f>
        <v>-44672.329645123</v>
      </c>
      <c r="AF49" s="27" t="n">
        <f aca="false">-(AF40*Assumptions!$D$52+AF34*Assumptions!$D$53)</f>
        <v>-46907.0909109028</v>
      </c>
      <c r="AG49" s="27" t="n">
        <f aca="false">-(AG40*Assumptions!$D$52+AG34*Assumptions!$D$53)</f>
        <v>-49207.0019007683</v>
      </c>
      <c r="AH49" s="27" t="n">
        <f aca="false">-(AH40*Assumptions!$D$52+AH34*Assumptions!$D$53)</f>
        <v>-51574.7974241149</v>
      </c>
      <c r="AI49" s="27" t="n">
        <f aca="false">-(AI40*Assumptions!$D$52+AI34*Assumptions!$D$53)</f>
        <v>-54013.3672135703</v>
      </c>
      <c r="AJ49" s="27" t="n">
        <f aca="false">-(AJ40*Assumptions!$D$52+AJ34*Assumptions!$D$53)</f>
        <v>-56525.7660393514</v>
      </c>
      <c r="AK49" s="27" t="n">
        <f aca="false">-(AK40*Assumptions!$D$52+AK34*Assumptions!$D$53)</f>
        <v>-59115.2245170224</v>
      </c>
      <c r="AL49" s="27" t="n">
        <f aca="false">-(AL40*Assumptions!$D$52+AL34*Assumptions!$D$53)</f>
        <v>-61785.1606568973</v>
      </c>
      <c r="AM49" s="27" t="n">
        <f aca="false">-(AM40*Assumptions!$D$52+AM34*Assumptions!$D$53)</f>
        <v>-64539.1922067057</v>
      </c>
    </row>
    <row r="50" customFormat="false" ht="15" hidden="false" customHeight="false" outlineLevel="0" collapsed="false">
      <c r="A50" s="8" t="s">
        <v>359</v>
      </c>
      <c r="B50" s="8" t="s">
        <v>50</v>
      </c>
      <c r="C50" s="27" t="n">
        <f aca="false">SUM(D50:AM50)</f>
        <v>-87468.254298515</v>
      </c>
      <c r="D50" s="27" t="n">
        <f aca="false">-D29*Assumptions!$D$54</f>
        <v>-0</v>
      </c>
      <c r="E50" s="27" t="n">
        <f aca="false">-E29*Assumptions!$D$54</f>
        <v>-0</v>
      </c>
      <c r="F50" s="27" t="n">
        <f aca="false">-F29*Assumptions!$D$54</f>
        <v>-0</v>
      </c>
      <c r="G50" s="27" t="n">
        <f aca="false">-G29*Assumptions!$D$54</f>
        <v>-0</v>
      </c>
      <c r="H50" s="27" t="n">
        <f aca="false">-H29*Assumptions!$D$54</f>
        <v>-0</v>
      </c>
      <c r="I50" s="27" t="n">
        <f aca="false">-I29*Assumptions!$D$54</f>
        <v>-112.286978317345</v>
      </c>
      <c r="J50" s="27" t="n">
        <f aca="false">-J29*Assumptions!$D$54</f>
        <v>-216.682695547168</v>
      </c>
      <c r="K50" s="27" t="n">
        <f aca="false">-K29*Assumptions!$D$54</f>
        <v>-313.894871378923</v>
      </c>
      <c r="L50" s="27" t="n">
        <f aca="false">-L29*Assumptions!$D$54</f>
        <v>-903.496088763459</v>
      </c>
      <c r="M50" s="27" t="n">
        <f aca="false">-M29*Assumptions!$D$54</f>
        <v>-1146.62166762966</v>
      </c>
      <c r="N50" s="27" t="n">
        <f aca="false">-N29*Assumptions!$D$54</f>
        <v>-1374.54976272029</v>
      </c>
      <c r="O50" s="27" t="n">
        <f aca="false">-O29*Assumptions!$D$54</f>
        <v>-1588.57050655843</v>
      </c>
      <c r="P50" s="27" t="n">
        <f aca="false">-P29*Assumptions!$D$54</f>
        <v>-1789.87369511343</v>
      </c>
      <c r="Q50" s="27" t="n">
        <f aca="false">-Q29*Assumptions!$D$54</f>
        <v>-1979.55697526662</v>
      </c>
      <c r="R50" s="27" t="n">
        <f aca="false">-R29*Assumptions!$D$54</f>
        <v>-2158.63338524725</v>
      </c>
      <c r="S50" s="27" t="n">
        <f aca="false">-S29*Assumptions!$D$54</f>
        <v>-2328.03830006378</v>
      </c>
      <c r="T50" s="27" t="n">
        <f aca="false">-T29*Assumptions!$D$54</f>
        <v>-2488.63582978898</v>
      </c>
      <c r="U50" s="27" t="n">
        <f aca="false">-U29*Assumptions!$D$54</f>
        <v>-2641.22471472189</v>
      </c>
      <c r="V50" s="27" t="n">
        <f aca="false">-V29*Assumptions!$D$54</f>
        <v>-2786.54375791885</v>
      </c>
      <c r="W50" s="27" t="n">
        <f aca="false">-W29*Assumptions!$D$54</f>
        <v>-2925.27683233478</v>
      </c>
      <c r="X50" s="27" t="n">
        <f aca="false">-X29*Assumptions!$D$54</f>
        <v>-3058.05749682209</v>
      </c>
      <c r="Y50" s="27" t="n">
        <f aca="false">-Y29*Assumptions!$D$54</f>
        <v>-3185.47325247733</v>
      </c>
      <c r="Z50" s="27" t="n">
        <f aca="false">-Z29*Assumptions!$D$54</f>
        <v>-3308.0694682847</v>
      </c>
      <c r="AA50" s="27" t="n">
        <f aca="false">-AA29*Assumptions!$D$54</f>
        <v>-3426.35300266477</v>
      </c>
      <c r="AB50" s="27" t="n">
        <f aca="false">-AB29*Assumptions!$D$54</f>
        <v>-3540.79554537769</v>
      </c>
      <c r="AC50" s="27" t="n">
        <f aca="false">-AC29*Assumptions!$D$54</f>
        <v>-3651.83670223968</v>
      </c>
      <c r="AD50" s="27" t="n">
        <f aca="false">-AD29*Assumptions!$D$54</f>
        <v>-3759.88684327418</v>
      </c>
      <c r="AE50" s="27" t="n">
        <f aca="false">-AE29*Assumptions!$D$54</f>
        <v>-3865.32973322281</v>
      </c>
      <c r="AF50" s="27" t="n">
        <f aca="false">-AF29*Assumptions!$D$54</f>
        <v>-3968.52496177364</v>
      </c>
      <c r="AG50" s="27" t="n">
        <f aca="false">-AG29*Assumptions!$D$54</f>
        <v>-4074.75734105038</v>
      </c>
      <c r="AH50" s="27" t="n">
        <f aca="false">-AH29*Assumptions!$D$54</f>
        <v>-4184.22285795577</v>
      </c>
      <c r="AI50" s="27" t="n">
        <f aca="false">-AI29*Assumptions!$D$54</f>
        <v>-4297.12551687017</v>
      </c>
      <c r="AJ50" s="27" t="n">
        <f aca="false">-AJ29*Assumptions!$D$54</f>
        <v>-4413.67821638953</v>
      </c>
      <c r="AK50" s="27" t="n">
        <f aca="false">-AK29*Assumptions!$D$54</f>
        <v>-4534.10365938151</v>
      </c>
      <c r="AL50" s="27" t="n">
        <f aca="false">-AL29*Assumptions!$D$54</f>
        <v>-4658.63530088017</v>
      </c>
      <c r="AM50" s="27" t="n">
        <f aca="false">-AM29*Assumptions!$D$54</f>
        <v>-4787.51833847968</v>
      </c>
    </row>
    <row r="51" customFormat="false" ht="15" hidden="false" customHeight="false" outlineLevel="0" collapsed="false">
      <c r="A51" s="8" t="s">
        <v>360</v>
      </c>
      <c r="B51" s="8" t="s">
        <v>50</v>
      </c>
      <c r="C51" s="27" t="n">
        <f aca="false">SUM(D51:AM51)</f>
        <v>-270081.4700838</v>
      </c>
      <c r="D51" s="27" t="n">
        <f aca="false">-D41*Assumptions!$D$49</f>
        <v>-0</v>
      </c>
      <c r="E51" s="27" t="n">
        <f aca="false">-E41*Assumptions!$D$49</f>
        <v>-0</v>
      </c>
      <c r="F51" s="27" t="n">
        <f aca="false">-F41*Assumptions!$D$49</f>
        <v>-0</v>
      </c>
      <c r="G51" s="27" t="n">
        <f aca="false">-G41*Assumptions!$D$49</f>
        <v>-0</v>
      </c>
      <c r="H51" s="27" t="n">
        <f aca="false">-H41*Assumptions!$D$49</f>
        <v>-0</v>
      </c>
      <c r="I51" s="27" t="n">
        <f aca="false">-I41*Assumptions!$D$49</f>
        <v>-374.686632514236</v>
      </c>
      <c r="J51" s="27" t="n">
        <f aca="false">-J41*Assumptions!$D$49</f>
        <v>-478.927286759066</v>
      </c>
      <c r="K51" s="27" t="n">
        <f aca="false">-K41*Assumptions!$D$49</f>
        <v>-575.319088763705</v>
      </c>
      <c r="L51" s="27" t="n">
        <f aca="false">-L41*Assumptions!$D$49</f>
        <v>-3454.94321135916</v>
      </c>
      <c r="M51" s="27" t="n">
        <f aca="false">-M41*Assumptions!$D$49</f>
        <v>-2880.7093768309</v>
      </c>
      <c r="N51" s="27" t="n">
        <f aca="false">-N41*Assumptions!$D$49</f>
        <v>-3358.12947997775</v>
      </c>
      <c r="O51" s="27" t="n">
        <f aca="false">-O41*Assumptions!$D$49</f>
        <v>-3832.84315451864</v>
      </c>
      <c r="P51" s="27" t="n">
        <f aca="false">-P41*Assumptions!$D$49</f>
        <v>-4307.22697766413</v>
      </c>
      <c r="Q51" s="27" t="n">
        <f aca="false">-Q41*Assumptions!$D$49</f>
        <v>-4783.45654078503</v>
      </c>
      <c r="R51" s="27" t="n">
        <f aca="false">-R41*Assumptions!$D$49</f>
        <v>-5263.53723721663</v>
      </c>
      <c r="S51" s="27" t="n">
        <f aca="false">-S41*Assumptions!$D$49</f>
        <v>-5749.33151936048</v>
      </c>
      <c r="T51" s="27" t="n">
        <f aca="false">-T41*Assumptions!$D$49</f>
        <v>-6242.58310815703</v>
      </c>
      <c r="U51" s="27" t="n">
        <f aca="false">-U41*Assumptions!$D$49</f>
        <v>-6744.93857802058</v>
      </c>
      <c r="V51" s="27" t="n">
        <f aca="false">-V41*Assumptions!$D$49</f>
        <v>-7257.96668828553</v>
      </c>
      <c r="W51" s="27" t="n">
        <f aca="false">-W41*Assumptions!$D$49</f>
        <v>-7783.17578709419</v>
      </c>
      <c r="X51" s="27" t="n">
        <f aca="false">-X41*Assumptions!$D$49</f>
        <v>-8322.02957457916</v>
      </c>
      <c r="Y51" s="27" t="n">
        <f aca="false">-Y41*Assumptions!$D$49</f>
        <v>-8875.96147839104</v>
      </c>
      <c r="Z51" s="27" t="n">
        <f aca="false">-Z41*Assumptions!$D$49</f>
        <v>-9446.38786542891</v>
      </c>
      <c r="AA51" s="27" t="n">
        <f aca="false">-AA41*Assumptions!$D$49</f>
        <v>-10034.7202884675</v>
      </c>
      <c r="AB51" s="27" t="n">
        <f aca="false">-AB41*Assumptions!$D$49</f>
        <v>-10642.3769447407</v>
      </c>
      <c r="AC51" s="27" t="n">
        <f aca="false">-AC41*Assumptions!$D$49</f>
        <v>-11270.7935049988</v>
      </c>
      <c r="AD51" s="27" t="n">
        <f aca="false">-AD41*Assumptions!$D$49</f>
        <v>-11921.4334557315</v>
      </c>
      <c r="AE51" s="27" t="n">
        <f aca="false">-AE41*Assumptions!$D$49</f>
        <v>-12595.7980838136</v>
      </c>
      <c r="AF51" s="27" t="n">
        <f aca="false">-AF41*Assumptions!$D$49</f>
        <v>-13295.4362214961</v>
      </c>
      <c r="AG51" s="27" t="n">
        <f aca="false">-AG41*Assumptions!$D$49</f>
        <v>-13929.1279343128</v>
      </c>
      <c r="AH51" s="27" t="n">
        <f aca="false">-AH41*Assumptions!$D$49</f>
        <v>-14554.3342141326</v>
      </c>
      <c r="AI51" s="27" t="n">
        <f aca="false">-AI41*Assumptions!$D$49</f>
        <v>-15174.9265548353</v>
      </c>
      <c r="AJ51" s="27" t="n">
        <f aca="false">-AJ41*Assumptions!$D$49</f>
        <v>-15794.4194844005</v>
      </c>
      <c r="AK51" s="27" t="n">
        <f aca="false">-AK41*Assumptions!$D$49</f>
        <v>-16416.0262142224</v>
      </c>
      <c r="AL51" s="27" t="n">
        <f aca="false">-AL41*Assumptions!$D$49</f>
        <v>-17042.7076850963</v>
      </c>
      <c r="AM51" s="27" t="n">
        <f aca="false">-AM41*Assumptions!$D$49</f>
        <v>-17677.2159118453</v>
      </c>
    </row>
    <row r="52" customFormat="false" ht="15" hidden="false" customHeight="false" outlineLevel="0" collapsed="false">
      <c r="A52" s="8" t="s">
        <v>361</v>
      </c>
      <c r="B52" s="8" t="s">
        <v>50</v>
      </c>
      <c r="C52" s="27" t="n">
        <f aca="false">SUM(D52:AM52)</f>
        <v>-288114.702436496</v>
      </c>
      <c r="D52" s="27" t="n">
        <f aca="false">-(D24+D29)*Assumptions!$D$51</f>
        <v>-0</v>
      </c>
      <c r="E52" s="27" t="n">
        <f aca="false">-(E24+E29)*Assumptions!$D$51</f>
        <v>-0</v>
      </c>
      <c r="F52" s="27" t="n">
        <f aca="false">-(F24+F29)*Assumptions!$D$51</f>
        <v>-0</v>
      </c>
      <c r="G52" s="27" t="n">
        <f aca="false">-(G24+G29)*Assumptions!$D$51</f>
        <v>-0</v>
      </c>
      <c r="H52" s="27" t="n">
        <f aca="false">-(H24+H29)*Assumptions!$D$51</f>
        <v>-0</v>
      </c>
      <c r="I52" s="27" t="n">
        <f aca="false">-(I24+I29)*Assumptions!$D$51</f>
        <v>-273.889252375345</v>
      </c>
      <c r="J52" s="27" t="n">
        <f aca="false">-(J24+J29)*Assumptions!$D$51</f>
        <v>-526.064456396425</v>
      </c>
      <c r="K52" s="27" t="n">
        <f aca="false">-(K24+K29)*Assumptions!$D$51</f>
        <v>-758.745712204138</v>
      </c>
      <c r="L52" s="27" t="n">
        <f aca="false">-(L24+L29)*Assumptions!$D$51</f>
        <v>-2505.59494662092</v>
      </c>
      <c r="M52" s="27" t="n">
        <f aca="false">-(M24+M29)*Assumptions!$D$51</f>
        <v>-3221.1916056606</v>
      </c>
      <c r="N52" s="27" t="n">
        <f aca="false">-(N24+N29)*Assumptions!$D$51</f>
        <v>-3901.73441341242</v>
      </c>
      <c r="O52" s="27" t="n">
        <f aca="false">-(O24+O29)*Assumptions!$D$51</f>
        <v>-4551.46043784519</v>
      </c>
      <c r="P52" s="27" t="n">
        <f aca="false">-(P24+P29)*Assumptions!$D$51</f>
        <v>-5174.23780026776</v>
      </c>
      <c r="Q52" s="27" t="n">
        <f aca="false">-(Q24+Q29)*Assumptions!$D$51</f>
        <v>-5773.60666005644</v>
      </c>
      <c r="R52" s="27" t="n">
        <f aca="false">-(R24+R29)*Assumptions!$D$51</f>
        <v>-6352.81590028687</v>
      </c>
      <c r="S52" s="27" t="n">
        <f aca="false">-(S24+S29)*Assumptions!$D$51</f>
        <v>-6914.85602394677</v>
      </c>
      <c r="T52" s="27" t="n">
        <f aca="false">-(T24+T29)*Assumptions!$D$51</f>
        <v>-7462.48871051525</v>
      </c>
      <c r="U52" s="27" t="n">
        <f aca="false">-(U24+U29)*Assumptions!$D$51</f>
        <v>-7998.27343026105</v>
      </c>
      <c r="V52" s="27" t="n">
        <f aca="false">-(V24+V29)*Assumptions!$D$51</f>
        <v>-8524.59146770509</v>
      </c>
      <c r="W52" s="27" t="n">
        <f aca="false">-(W24+W29)*Assumptions!$D$51</f>
        <v>-9043.66766550288</v>
      </c>
      <c r="X52" s="27" t="n">
        <f aca="false">-(X24+X29)*Assumptions!$D$51</f>
        <v>-9557.59016482037</v>
      </c>
      <c r="Y52" s="27" t="n">
        <f aca="false">-(Y24+Y29)*Assumptions!$D$51</f>
        <v>-10068.3283874865</v>
      </c>
      <c r="Z52" s="27" t="n">
        <f aca="false">-(Z24+Z29)*Assumptions!$D$51</f>
        <v>-10577.7494782688</v>
      </c>
      <c r="AA52" s="27" t="n">
        <f aca="false">-(AA24+AA29)*Assumptions!$D$51</f>
        <v>-11087.6334020646</v>
      </c>
      <c r="AB52" s="27" t="n">
        <f aca="false">-(AB24+AB29)*Assumptions!$D$51</f>
        <v>-11599.6868702179</v>
      </c>
      <c r="AC52" s="27" t="n">
        <f aca="false">-(AC24+AC29)*Assumptions!$D$51</f>
        <v>-12115.5562522119</v>
      </c>
      <c r="AD52" s="27" t="n">
        <f aca="false">-(AD24+AD29)*Assumptions!$D$51</f>
        <v>-12636.8396133216</v>
      </c>
      <c r="AE52" s="27" t="n">
        <f aca="false">-(AE24+AE29)*Assumptions!$D$51</f>
        <v>-13165.0980051887</v>
      </c>
      <c r="AF52" s="27" t="n">
        <f aca="false">-(AF24+AF29)*Assumptions!$D$51</f>
        <v>-13701.8661244481</v>
      </c>
      <c r="AG52" s="27" t="n">
        <f aca="false">-(AG24+AG29)*Assumptions!$D$51</f>
        <v>-14230.1502028739</v>
      </c>
      <c r="AH52" s="27" t="n">
        <f aca="false">-(AH24+AH29)*Assumptions!$D$51</f>
        <v>-14753.338370069</v>
      </c>
      <c r="AI52" s="27" t="n">
        <f aca="false">-(AI24+AI29)*Assumptions!$D$51</f>
        <v>-15274.5048647</v>
      </c>
      <c r="AJ52" s="27" t="n">
        <f aca="false">-(AJ24+AJ29)*Assumptions!$D$51</f>
        <v>-15796.4584950309</v>
      </c>
      <c r="AK52" s="27" t="n">
        <f aca="false">-(AK24+AK29)*Assumptions!$D$51</f>
        <v>-16321.7853542756</v>
      </c>
      <c r="AL52" s="27" t="n">
        <f aca="false">-(AL24+AL29)*Assumptions!$D$51</f>
        <v>-16852.8865734085</v>
      </c>
      <c r="AM52" s="27" t="n">
        <f aca="false">-(AM24+AM29)*Assumptions!$D$51</f>
        <v>-17392.0117950522</v>
      </c>
    </row>
    <row r="53" customFormat="false" ht="15" hidden="false" customHeight="false" outlineLevel="0" collapsed="false">
      <c r="A53" s="29" t="s">
        <v>362</v>
      </c>
      <c r="B53" s="8" t="s">
        <v>50</v>
      </c>
      <c r="C53" s="31" t="n">
        <f aca="false">SUM(D53:AM53)</f>
        <v>-5266391.8927363</v>
      </c>
      <c r="D53" s="31" t="n">
        <f aca="false">SUM(D45:D52)</f>
        <v>0</v>
      </c>
      <c r="E53" s="31" t="n">
        <f aca="false">SUM(E45:E52)</f>
        <v>0</v>
      </c>
      <c r="F53" s="31" t="n">
        <f aca="false">SUM(F45:F52)</f>
        <v>0</v>
      </c>
      <c r="G53" s="31" t="n">
        <f aca="false">SUM(G45:G52)</f>
        <v>0</v>
      </c>
      <c r="H53" s="31" t="n">
        <f aca="false">SUM(H45:H52)</f>
        <v>0</v>
      </c>
      <c r="I53" s="31" t="n">
        <f aca="false">SUM(I45:I52)</f>
        <v>-7403.53847125179</v>
      </c>
      <c r="J53" s="31" t="n">
        <f aca="false">SUM(J45:J52)</f>
        <v>-9297.44386850163</v>
      </c>
      <c r="K53" s="31" t="n">
        <f aca="false">SUM(K45:K52)</f>
        <v>-11046.3650221803</v>
      </c>
      <c r="L53" s="31" t="n">
        <f aca="false">SUM(L45:L52)</f>
        <v>-70538.8424948804</v>
      </c>
      <c r="M53" s="31" t="n">
        <f aca="false">SUM(M45:M52)</f>
        <v>-56888.5551254033</v>
      </c>
      <c r="N53" s="31" t="n">
        <f aca="false">SUM(N45:N52)</f>
        <v>-66028.8007152941</v>
      </c>
      <c r="O53" s="31" t="n">
        <f aca="false">SUM(O45:O52)</f>
        <v>-75136.2156347597</v>
      </c>
      <c r="P53" s="31" t="n">
        <f aca="false">SUM(P45:P52)</f>
        <v>-84255.7983767397</v>
      </c>
      <c r="Q53" s="31" t="n">
        <f aca="false">SUM(Q45:Q52)</f>
        <v>-93428.8028571752</v>
      </c>
      <c r="R53" s="31" t="n">
        <f aca="false">SUM(R45:R52)</f>
        <v>-102693.32261619</v>
      </c>
      <c r="S53" s="31" t="n">
        <f aca="false">SUM(S45:S52)</f>
        <v>-112084.808231818</v>
      </c>
      <c r="T53" s="31" t="n">
        <f aca="false">SUM(T45:T52)</f>
        <v>-121636.527140328</v>
      </c>
      <c r="U53" s="31" t="n">
        <f aca="false">SUM(U45:U52)</f>
        <v>-131379.973916718</v>
      </c>
      <c r="V53" s="31" t="n">
        <f aca="false">SUM(V45:V52)</f>
        <v>-141345.238079802</v>
      </c>
      <c r="W53" s="31" t="n">
        <f aca="false">SUM(W45:W52)</f>
        <v>-151561.335629061</v>
      </c>
      <c r="X53" s="31" t="n">
        <f aca="false">SUM(X45:X52)</f>
        <v>-162056.509778376</v>
      </c>
      <c r="Y53" s="31" t="n">
        <f aca="false">SUM(Y45:Y52)</f>
        <v>-172858.505710215</v>
      </c>
      <c r="Z53" s="31" t="n">
        <f aca="false">SUM(Z45:Z52)</f>
        <v>-183994.82362018</v>
      </c>
      <c r="AA53" s="31" t="n">
        <f aca="false">SUM(AA45:AA52)</f>
        <v>-195492.953844982</v>
      </c>
      <c r="AB53" s="31" t="n">
        <f aca="false">SUM(AB45:AB52)</f>
        <v>-207380.597457379</v>
      </c>
      <c r="AC53" s="31" t="n">
        <f aca="false">SUM(AC45:AC52)</f>
        <v>-219685.875361114</v>
      </c>
      <c r="AD53" s="31" t="n">
        <f aca="false">SUM(AD45:AD52)</f>
        <v>-232437.528620153</v>
      </c>
      <c r="AE53" s="31" t="n">
        <f aca="false">SUM(AE45:AE52)</f>
        <v>-245665.112503515</v>
      </c>
      <c r="AF53" s="31" t="n">
        <f aca="false">SUM(AF45:AF52)</f>
        <v>-259399.186514135</v>
      </c>
      <c r="AG53" s="31" t="n">
        <f aca="false">SUM(AG45:AG52)</f>
        <v>-271571.082856112</v>
      </c>
      <c r="AH53" s="31" t="n">
        <f aca="false">SUM(AH45:AH52)</f>
        <v>-283586.669496013</v>
      </c>
      <c r="AI53" s="31" t="n">
        <f aca="false">SUM(AI45:AI52)</f>
        <v>-295520.12086869</v>
      </c>
      <c r="AJ53" s="31" t="n">
        <f aca="false">SUM(AJ45:AJ52)</f>
        <v>-307438.829044343</v>
      </c>
      <c r="AK53" s="31" t="n">
        <f aca="false">SUM(AK45:AK52)</f>
        <v>-319404.466677121</v>
      </c>
      <c r="AL53" s="31" t="n">
        <f aca="false">SUM(AL45:AL52)</f>
        <v>-331473.924140967</v>
      </c>
      <c r="AM53" s="31" t="n">
        <f aca="false">SUM(AM45:AM52)</f>
        <v>-343700.138062903</v>
      </c>
    </row>
    <row r="54" customFormat="false" ht="15" hidden="false" customHeight="false" outlineLevel="0" collapsed="false">
      <c r="A54" s="29" t="s">
        <v>363</v>
      </c>
      <c r="B54" s="8" t="s">
        <v>50</v>
      </c>
      <c r="C54" s="31" t="n">
        <f aca="false">SUM(D54:AM54)</f>
        <v>2751651.7503765</v>
      </c>
      <c r="D54" s="31" t="n">
        <f aca="false">D43+D53</f>
        <v>0</v>
      </c>
      <c r="E54" s="31" t="n">
        <f aca="false">E43+E53</f>
        <v>0</v>
      </c>
      <c r="F54" s="31" t="n">
        <f aca="false">F43+F53</f>
        <v>0</v>
      </c>
      <c r="G54" s="31" t="n">
        <f aca="false">G43+G53</f>
        <v>0</v>
      </c>
      <c r="H54" s="31" t="n">
        <f aca="false">H43+H53</f>
        <v>0</v>
      </c>
      <c r="I54" s="31" t="n">
        <f aca="false">I43+I53</f>
        <v>3719.97093151458</v>
      </c>
      <c r="J54" s="31" t="n">
        <f aca="false">J43+J53</f>
        <v>4920.70995715814</v>
      </c>
      <c r="K54" s="31" t="n">
        <f aca="false">K43+K53</f>
        <v>6033.42042549219</v>
      </c>
      <c r="L54" s="31" t="n">
        <f aca="false">L43+L53</f>
        <v>32029.7840923447</v>
      </c>
      <c r="M54" s="31" t="n">
        <f aca="false">M43+M53</f>
        <v>28632.5044992641</v>
      </c>
      <c r="N54" s="31" t="n">
        <f aca="false">N43+N53</f>
        <v>33665.6682215453</v>
      </c>
      <c r="O54" s="31" t="n">
        <f aca="false">O43+O53</f>
        <v>38651.3155150124</v>
      </c>
      <c r="P54" s="31" t="n">
        <f aca="false">P43+P53</f>
        <v>43615.0025226643</v>
      </c>
      <c r="Q54" s="31" t="n">
        <f aca="false">Q43+Q53</f>
        <v>48580.0631973805</v>
      </c>
      <c r="R54" s="31" t="n">
        <f aca="false">R43+R53</f>
        <v>53567.9391136786</v>
      </c>
      <c r="S54" s="31" t="n">
        <f aca="false">S43+S53</f>
        <v>58598.4712491958</v>
      </c>
      <c r="T54" s="31" t="n">
        <f aca="false">T43+T53</f>
        <v>63690.1588830838</v>
      </c>
      <c r="U54" s="31" t="n">
        <f aca="false">U43+U53</f>
        <v>68860.3901182676</v>
      </c>
      <c r="V54" s="31" t="n">
        <f aca="false">V43+V53</f>
        <v>74125.6479786742</v>
      </c>
      <c r="W54" s="31" t="n">
        <f aca="false">W43+W53</f>
        <v>79501.6955502976</v>
      </c>
      <c r="X54" s="31" t="n">
        <f aca="false">X43+X53</f>
        <v>85003.7432169432</v>
      </c>
      <c r="Y54" s="31" t="n">
        <f aca="false">Y43+Y53</f>
        <v>90646.6006795193</v>
      </c>
      <c r="Z54" s="31" t="n">
        <f aca="false">Z43+Z53</f>
        <v>96444.8161347404</v>
      </c>
      <c r="AA54" s="31" t="n">
        <f aca="false">AA43+AA53</f>
        <v>102412.804718898</v>
      </c>
      <c r="AB54" s="31" t="n">
        <f aca="false">AB43+AB53</f>
        <v>108564.968089612</v>
      </c>
      <c r="AC54" s="31" t="n">
        <f aca="false">AC43+AC53</f>
        <v>114915.806818537</v>
      </c>
      <c r="AD54" s="31" t="n">
        <f aca="false">AD43+AD53</f>
        <v>121480.027096877</v>
      </c>
      <c r="AE54" s="31" t="n">
        <f aca="false">AE43+AE53</f>
        <v>128272.643109701</v>
      </c>
      <c r="AF54" s="31" t="n">
        <f aca="false">AF43+AF53</f>
        <v>135309.076311529</v>
      </c>
      <c r="AG54" s="31" t="n">
        <f aca="false">AG43+AG53</f>
        <v>141949.9026938</v>
      </c>
      <c r="AH54" s="31" t="n">
        <f aca="false">AH43+AH53</f>
        <v>148495.127486048</v>
      </c>
      <c r="AI54" s="31" t="n">
        <f aca="false">AI43+AI53</f>
        <v>154985.511227983</v>
      </c>
      <c r="AJ54" s="31" t="n">
        <f aca="false">AJ43+AJ53</f>
        <v>161457.999398798</v>
      </c>
      <c r="AK54" s="31" t="n">
        <f aca="false">AK43+AK53</f>
        <v>167946.311557606</v>
      </c>
      <c r="AL54" s="31" t="n">
        <f aca="false">AL43+AL53</f>
        <v>174481.460260329</v>
      </c>
      <c r="AM54" s="31" t="n">
        <f aca="false">AM43+AM53</f>
        <v>181092.209320004</v>
      </c>
    </row>
    <row r="55" customFormat="false" ht="15" hidden="false" customHeight="false" outlineLevel="0" collapsed="false">
      <c r="A55" s="8" t="s">
        <v>364</v>
      </c>
      <c r="B55" s="8" t="s">
        <v>41</v>
      </c>
      <c r="D55" s="26" t="n">
        <f aca="false">IF(D43=0,0,D54/D43)</f>
        <v>0</v>
      </c>
      <c r="E55" s="26" t="n">
        <f aca="false">IF(E43=0,0,E54/E43)</f>
        <v>0</v>
      </c>
      <c r="F55" s="26" t="n">
        <f aca="false">IF(F43=0,0,F54/F43)</f>
        <v>0</v>
      </c>
      <c r="G55" s="26" t="n">
        <f aca="false">IF(G43=0,0,G54/G43)</f>
        <v>0</v>
      </c>
      <c r="H55" s="26" t="n">
        <f aca="false">IF(H43=0,0,H54/H43)</f>
        <v>0</v>
      </c>
      <c r="I55" s="26" t="n">
        <f aca="false">IF(I43=0,0,I54/I43)</f>
        <v>0.334424217827284</v>
      </c>
      <c r="J55" s="26" t="n">
        <f aca="false">IF(J43=0,0,J54/J43)</f>
        <v>0.346086420044046</v>
      </c>
      <c r="K55" s="26" t="n">
        <f aca="false">IF(K43=0,0,K54/K43)</f>
        <v>0.353249192970067</v>
      </c>
      <c r="L55" s="26" t="n">
        <f aca="false">IF(L43=0,0,L54/L43)</f>
        <v>0.312276620620501</v>
      </c>
      <c r="M55" s="26" t="n">
        <f aca="false">IF(M43=0,0,M54/M43)</f>
        <v>0.334800628347283</v>
      </c>
      <c r="N55" s="26" t="n">
        <f aca="false">IF(N43=0,0,N54/N43)</f>
        <v>0.337688425251294</v>
      </c>
      <c r="O55" s="26" t="n">
        <f aca="false">IF(O43=0,0,O54/O43)</f>
        <v>0.339679709406278</v>
      </c>
      <c r="P55" s="26" t="n">
        <f aca="false">IF(P43=0,0,P54/P43)</f>
        <v>0.34108648898646</v>
      </c>
      <c r="Q55" s="26" t="n">
        <f aca="false">IF(Q43=0,0,Q54/Q43)</f>
        <v>0.342091761923636</v>
      </c>
      <c r="R55" s="26" t="n">
        <f aca="false">IF(R43=0,0,R54/R43)</f>
        <v>0.342810102265028</v>
      </c>
      <c r="S55" s="26" t="n">
        <f aca="false">IF(S43=0,0,S54/S43)</f>
        <v>0.343316998755663</v>
      </c>
      <c r="T55" s="26" t="n">
        <f aca="false">IF(T43=0,0,T54/T43)</f>
        <v>0.343664262550068</v>
      </c>
      <c r="U55" s="26" t="n">
        <f aca="false">IF(U43=0,0,U54/U43)</f>
        <v>0.343888658263907</v>
      </c>
      <c r="V55" s="26" t="n">
        <f aca="false">IF(V43=0,0,V54/V43)</f>
        <v>0.344017000786627</v>
      </c>
      <c r="W55" s="26" t="n">
        <f aca="false">IF(W43=0,0,W54/W43)</f>
        <v>0.344069300677466</v>
      </c>
      <c r="X55" s="26" t="n">
        <f aca="false">IF(X43=0,0,X54/X43)</f>
        <v>0.344060779451051</v>
      </c>
      <c r="Y55" s="26" t="n">
        <f aca="false">IF(Y43=0,0,Y54/Y43)</f>
        <v>0.344003203283088</v>
      </c>
      <c r="Z55" s="26" t="n">
        <f aca="false">IF(Z43=0,0,Z54/Z43)</f>
        <v>0.34390579098955</v>
      </c>
      <c r="AA55" s="26" t="n">
        <f aca="false">IF(AA43=0,0,AA54/AA43)</f>
        <v>0.343775847813757</v>
      </c>
      <c r="AB55" s="26" t="n">
        <f aca="false">IF(AB43=0,0,AB54/AB43)</f>
        <v>0.343619217765108</v>
      </c>
      <c r="AC55" s="26" t="n">
        <f aca="false">IF(AC43=0,0,AC54/AC43)</f>
        <v>0.343440612940008</v>
      </c>
      <c r="AD55" s="26" t="n">
        <f aca="false">IF(AD43=0,0,AD54/AD43)</f>
        <v>0.343243857600568</v>
      </c>
      <c r="AE55" s="26" t="n">
        <f aca="false">IF(AE43=0,0,AE54/AE43)</f>
        <v>0.343032072007139</v>
      </c>
      <c r="AF55" s="26" t="n">
        <f aca="false">IF(AF43=0,0,AF54/AF43)</f>
        <v>0.342807812896719</v>
      </c>
      <c r="AG55" s="26" t="n">
        <f aca="false">IF(AG43=0,0,AG54/AG43)</f>
        <v>0.343271339675859</v>
      </c>
      <c r="AH55" s="26" t="n">
        <f aca="false">IF(AH43=0,0,AH54/AH43)</f>
        <v>0.343673648191694</v>
      </c>
      <c r="AI55" s="26" t="n">
        <f aca="false">IF(AI43=0,0,AI54/AI43)</f>
        <v>0.344025690659346</v>
      </c>
      <c r="AJ55" s="26" t="n">
        <f aca="false">IF(AJ43=0,0,AJ54/AJ43)</f>
        <v>0.344335874343361</v>
      </c>
      <c r="AK55" s="26" t="n">
        <f aca="false">IF(AK43=0,0,AK54/AK43)</f>
        <v>0.34461073842118</v>
      </c>
      <c r="AL55" s="26" t="n">
        <f aca="false">IF(AL43=0,0,AL54/AL43)</f>
        <v>0.344855427256289</v>
      </c>
      <c r="AM55" s="26" t="n">
        <f aca="false">IF(AM43=0,0,AM54/AM43)</f>
        <v>0.345074028276317</v>
      </c>
    </row>
    <row r="56" customFormat="false" ht="15" hidden="false" customHeight="false" outlineLevel="0" collapsed="false">
      <c r="A56" s="5" t="s">
        <v>365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</row>
    <row r="57" customFormat="false" ht="15" hidden="false" customHeight="false" outlineLevel="0" collapsed="false">
      <c r="A57" s="8" t="s">
        <v>366</v>
      </c>
      <c r="B57" s="8" t="s">
        <v>50</v>
      </c>
      <c r="C57" s="27" t="n">
        <f aca="false">SUM(D57:AM57)</f>
        <v>-3874432.38320553</v>
      </c>
      <c r="D57" s="27" t="n">
        <f aca="false">-D12</f>
        <v>-10000</v>
      </c>
      <c r="E57" s="27" t="n">
        <f aca="false">-E12</f>
        <v>-10000</v>
      </c>
      <c r="F57" s="27" t="n">
        <f aca="false">-F12</f>
        <v>-10000</v>
      </c>
      <c r="G57" s="27" t="n">
        <f aca="false">-G12</f>
        <v>-10000</v>
      </c>
      <c r="H57" s="27" t="n">
        <f aca="false">-H12</f>
        <v>-10000</v>
      </c>
      <c r="I57" s="27" t="n">
        <f aca="false">-I12</f>
        <v>-30000</v>
      </c>
      <c r="J57" s="27" t="n">
        <f aca="false">-J12</f>
        <v>-30000</v>
      </c>
      <c r="K57" s="27" t="n">
        <f aca="false">-K12</f>
        <v>-30000</v>
      </c>
      <c r="L57" s="27" t="n">
        <f aca="false">-L12</f>
        <v>-200000</v>
      </c>
      <c r="M57" s="27" t="n">
        <f aca="false">-M12</f>
        <v>-100000</v>
      </c>
      <c r="N57" s="27" t="n">
        <f aca="false">-N12</f>
        <v>-102000</v>
      </c>
      <c r="O57" s="27" t="n">
        <f aca="false">-O12</f>
        <v>-104040</v>
      </c>
      <c r="P57" s="27" t="n">
        <f aca="false">-P12</f>
        <v>-106120.8</v>
      </c>
      <c r="Q57" s="27" t="n">
        <f aca="false">-Q12</f>
        <v>-108243.216</v>
      </c>
      <c r="R57" s="27" t="n">
        <f aca="false">-R12</f>
        <v>-110408.08032</v>
      </c>
      <c r="S57" s="27" t="n">
        <f aca="false">-S12</f>
        <v>-112616.2419264</v>
      </c>
      <c r="T57" s="27" t="n">
        <f aca="false">-T12</f>
        <v>-114868.566764928</v>
      </c>
      <c r="U57" s="27" t="n">
        <f aca="false">-U12</f>
        <v>-117165.938100227</v>
      </c>
      <c r="V57" s="27" t="n">
        <f aca="false">-V12</f>
        <v>-119509.256862231</v>
      </c>
      <c r="W57" s="27" t="n">
        <f aca="false">-W12</f>
        <v>-121899.441999476</v>
      </c>
      <c r="X57" s="27" t="n">
        <f aca="false">-X12</f>
        <v>-124337.430839465</v>
      </c>
      <c r="Y57" s="27" t="n">
        <f aca="false">-Y12</f>
        <v>-126824.179456255</v>
      </c>
      <c r="Z57" s="27" t="n">
        <f aca="false">-Z12</f>
        <v>-129360.66304538</v>
      </c>
      <c r="AA57" s="27" t="n">
        <f aca="false">-AA12</f>
        <v>-131947.876306287</v>
      </c>
      <c r="AB57" s="27" t="n">
        <f aca="false">-AB12</f>
        <v>-134586.833832413</v>
      </c>
      <c r="AC57" s="27" t="n">
        <f aca="false">-AC12</f>
        <v>-137278.570509061</v>
      </c>
      <c r="AD57" s="27" t="n">
        <f aca="false">-AD12</f>
        <v>-140024.141919242</v>
      </c>
      <c r="AE57" s="27" t="n">
        <f aca="false">-AE12</f>
        <v>-142824.624757627</v>
      </c>
      <c r="AF57" s="27" t="n">
        <f aca="false">-AF12</f>
        <v>-145681.11725278</v>
      </c>
      <c r="AG57" s="27" t="n">
        <f aca="false">-AG12</f>
        <v>-148594.739597836</v>
      </c>
      <c r="AH57" s="27" t="n">
        <f aca="false">-AH12</f>
        <v>-151566.634389792</v>
      </c>
      <c r="AI57" s="27" t="n">
        <f aca="false">-AI12</f>
        <v>-154597.967077588</v>
      </c>
      <c r="AJ57" s="27" t="n">
        <f aca="false">-AJ12</f>
        <v>-157689.92641914</v>
      </c>
      <c r="AK57" s="27" t="n">
        <f aca="false">-AK12</f>
        <v>-160843.724947523</v>
      </c>
      <c r="AL57" s="27" t="n">
        <f aca="false">-AL12</f>
        <v>-164060.599446473</v>
      </c>
      <c r="AM57" s="27" t="n">
        <f aca="false">-AM12</f>
        <v>-167341.811435403</v>
      </c>
    </row>
    <row r="58" customFormat="false" ht="15" hidden="false" customHeight="false" outlineLevel="0" collapsed="false">
      <c r="A58" s="8" t="s">
        <v>367</v>
      </c>
      <c r="B58" s="8" t="s">
        <v>50</v>
      </c>
      <c r="C58" s="27" t="n">
        <f aca="false">SUM(D58:AM58)</f>
        <v>-590000</v>
      </c>
      <c r="D58" s="27" t="n">
        <f aca="false">-IF(D$3&lt;Assumptions!$D$7,0,IF(D$3&lt;Assumptions!$D$6,Assumptions!$D$71,Assumptions!$D$72))</f>
        <v>-0</v>
      </c>
      <c r="E58" s="27" t="n">
        <f aca="false">-IF(E$3&lt;Assumptions!$D$7,0,IF(E$3&lt;Assumptions!$D$6,Assumptions!$D$71,Assumptions!$D$72))</f>
        <v>-0</v>
      </c>
      <c r="F58" s="27" t="n">
        <f aca="false">-IF(F$3&lt;Assumptions!$D$7,0,IF(F$3&lt;Assumptions!$D$6,Assumptions!$D$71,Assumptions!$D$72))</f>
        <v>-0</v>
      </c>
      <c r="G58" s="27" t="n">
        <f aca="false">-IF(G$3&lt;Assumptions!$D$7,0,IF(G$3&lt;Assumptions!$D$6,Assumptions!$D$71,Assumptions!$D$72))</f>
        <v>-0</v>
      </c>
      <c r="H58" s="27" t="n">
        <f aca="false">-IF(H$3&lt;Assumptions!$D$7,0,IF(H$3&lt;Assumptions!$D$6,Assumptions!$D$71,Assumptions!$D$72))</f>
        <v>-0</v>
      </c>
      <c r="I58" s="27" t="n">
        <f aca="false">-IF(I$3&lt;Assumptions!$D$7,0,IF(I$3&lt;Assumptions!$D$6,Assumptions!$D$71,Assumptions!$D$72))</f>
        <v>-10000</v>
      </c>
      <c r="J58" s="27" t="n">
        <f aca="false">-IF(J$3&lt;Assumptions!$D$7,0,IF(J$3&lt;Assumptions!$D$6,Assumptions!$D$71,Assumptions!$D$72))</f>
        <v>-10000</v>
      </c>
      <c r="K58" s="27" t="n">
        <f aca="false">-IF(K$3&lt;Assumptions!$D$7,0,IF(K$3&lt;Assumptions!$D$6,Assumptions!$D$71,Assumptions!$D$72))</f>
        <v>-10000</v>
      </c>
      <c r="L58" s="27" t="n">
        <f aca="false">-IF(L$3&lt;Assumptions!$D$7,0,IF(L$3&lt;Assumptions!$D$6,Assumptions!$D$71,Assumptions!$D$72))</f>
        <v>-20000</v>
      </c>
      <c r="M58" s="27" t="n">
        <f aca="false">-IF(M$3&lt;Assumptions!$D$7,0,IF(M$3&lt;Assumptions!$D$6,Assumptions!$D$71,Assumptions!$D$72))</f>
        <v>-20000</v>
      </c>
      <c r="N58" s="27" t="n">
        <f aca="false">-IF(N$3&lt;Assumptions!$D$7,0,IF(N$3&lt;Assumptions!$D$6,Assumptions!$D$71,Assumptions!$D$72))</f>
        <v>-20000</v>
      </c>
      <c r="O58" s="27" t="n">
        <f aca="false">-IF(O$3&lt;Assumptions!$D$7,0,IF(O$3&lt;Assumptions!$D$6,Assumptions!$D$71,Assumptions!$D$72))</f>
        <v>-20000</v>
      </c>
      <c r="P58" s="27" t="n">
        <f aca="false">-IF(P$3&lt;Assumptions!$D$7,0,IF(P$3&lt;Assumptions!$D$6,Assumptions!$D$71,Assumptions!$D$72))</f>
        <v>-20000</v>
      </c>
      <c r="Q58" s="27" t="n">
        <f aca="false">-IF(Q$3&lt;Assumptions!$D$7,0,IF(Q$3&lt;Assumptions!$D$6,Assumptions!$D$71,Assumptions!$D$72))</f>
        <v>-20000</v>
      </c>
      <c r="R58" s="27" t="n">
        <f aca="false">-IF(R$3&lt;Assumptions!$D$7,0,IF(R$3&lt;Assumptions!$D$6,Assumptions!$D$71,Assumptions!$D$72))</f>
        <v>-20000</v>
      </c>
      <c r="S58" s="27" t="n">
        <f aca="false">-IF(S$3&lt;Assumptions!$D$7,0,IF(S$3&lt;Assumptions!$D$6,Assumptions!$D$71,Assumptions!$D$72))</f>
        <v>-20000</v>
      </c>
      <c r="T58" s="27" t="n">
        <f aca="false">-IF(T$3&lt;Assumptions!$D$7,0,IF(T$3&lt;Assumptions!$D$6,Assumptions!$D$71,Assumptions!$D$72))</f>
        <v>-20000</v>
      </c>
      <c r="U58" s="27" t="n">
        <f aca="false">-IF(U$3&lt;Assumptions!$D$7,0,IF(U$3&lt;Assumptions!$D$6,Assumptions!$D$71,Assumptions!$D$72))</f>
        <v>-20000</v>
      </c>
      <c r="V58" s="27" t="n">
        <f aca="false">-IF(V$3&lt;Assumptions!$D$7,0,IF(V$3&lt;Assumptions!$D$6,Assumptions!$D$71,Assumptions!$D$72))</f>
        <v>-20000</v>
      </c>
      <c r="W58" s="27" t="n">
        <f aca="false">-IF(W$3&lt;Assumptions!$D$7,0,IF(W$3&lt;Assumptions!$D$6,Assumptions!$D$71,Assumptions!$D$72))</f>
        <v>-20000</v>
      </c>
      <c r="X58" s="27" t="n">
        <f aca="false">-IF(X$3&lt;Assumptions!$D$7,0,IF(X$3&lt;Assumptions!$D$6,Assumptions!$D$71,Assumptions!$D$72))</f>
        <v>-20000</v>
      </c>
      <c r="Y58" s="27" t="n">
        <f aca="false">-IF(Y$3&lt;Assumptions!$D$7,0,IF(Y$3&lt;Assumptions!$D$6,Assumptions!$D$71,Assumptions!$D$72))</f>
        <v>-20000</v>
      </c>
      <c r="Z58" s="27" t="n">
        <f aca="false">-IF(Z$3&lt;Assumptions!$D$7,0,IF(Z$3&lt;Assumptions!$D$6,Assumptions!$D$71,Assumptions!$D$72))</f>
        <v>-20000</v>
      </c>
      <c r="AA58" s="27" t="n">
        <f aca="false">-IF(AA$3&lt;Assumptions!$D$7,0,IF(AA$3&lt;Assumptions!$D$6,Assumptions!$D$71,Assumptions!$D$72))</f>
        <v>-20000</v>
      </c>
      <c r="AB58" s="27" t="n">
        <f aca="false">-IF(AB$3&lt;Assumptions!$D$7,0,IF(AB$3&lt;Assumptions!$D$6,Assumptions!$D$71,Assumptions!$D$72))</f>
        <v>-20000</v>
      </c>
      <c r="AC58" s="27" t="n">
        <f aca="false">-IF(AC$3&lt;Assumptions!$D$7,0,IF(AC$3&lt;Assumptions!$D$6,Assumptions!$D$71,Assumptions!$D$72))</f>
        <v>-20000</v>
      </c>
      <c r="AD58" s="27" t="n">
        <f aca="false">-IF(AD$3&lt;Assumptions!$D$7,0,IF(AD$3&lt;Assumptions!$D$6,Assumptions!$D$71,Assumptions!$D$72))</f>
        <v>-20000</v>
      </c>
      <c r="AE58" s="27" t="n">
        <f aca="false">-IF(AE$3&lt;Assumptions!$D$7,0,IF(AE$3&lt;Assumptions!$D$6,Assumptions!$D$71,Assumptions!$D$72))</f>
        <v>-20000</v>
      </c>
      <c r="AF58" s="27" t="n">
        <f aca="false">-IF(AF$3&lt;Assumptions!$D$7,0,IF(AF$3&lt;Assumptions!$D$6,Assumptions!$D$71,Assumptions!$D$72))</f>
        <v>-20000</v>
      </c>
      <c r="AG58" s="27" t="n">
        <f aca="false">-IF(AG$3&lt;Assumptions!$D$7,0,IF(AG$3&lt;Assumptions!$D$6,Assumptions!$D$71,Assumptions!$D$72))</f>
        <v>-20000</v>
      </c>
      <c r="AH58" s="27" t="n">
        <f aca="false">-IF(AH$3&lt;Assumptions!$D$7,0,IF(AH$3&lt;Assumptions!$D$6,Assumptions!$D$71,Assumptions!$D$72))</f>
        <v>-20000</v>
      </c>
      <c r="AI58" s="27" t="n">
        <f aca="false">-IF(AI$3&lt;Assumptions!$D$7,0,IF(AI$3&lt;Assumptions!$D$6,Assumptions!$D$71,Assumptions!$D$72))</f>
        <v>-20000</v>
      </c>
      <c r="AJ58" s="27" t="n">
        <f aca="false">-IF(AJ$3&lt;Assumptions!$D$7,0,IF(AJ$3&lt;Assumptions!$D$6,Assumptions!$D$71,Assumptions!$D$72))</f>
        <v>-20000</v>
      </c>
      <c r="AK58" s="27" t="n">
        <f aca="false">-IF(AK$3&lt;Assumptions!$D$7,0,IF(AK$3&lt;Assumptions!$D$6,Assumptions!$D$71,Assumptions!$D$72))</f>
        <v>-20000</v>
      </c>
      <c r="AL58" s="27" t="n">
        <f aca="false">-IF(AL$3&lt;Assumptions!$D$7,0,IF(AL$3&lt;Assumptions!$D$6,Assumptions!$D$71,Assumptions!$D$72))</f>
        <v>-20000</v>
      </c>
      <c r="AM58" s="27" t="n">
        <f aca="false">-IF(AM$3&lt;Assumptions!$D$7,0,IF(AM$3&lt;Assumptions!$D$6,Assumptions!$D$71,Assumptions!$D$72))</f>
        <v>-20000</v>
      </c>
    </row>
    <row r="59" customFormat="false" ht="15" hidden="false" customHeight="false" outlineLevel="0" collapsed="false">
      <c r="A59" s="8" t="s">
        <v>368</v>
      </c>
      <c r="B59" s="8" t="s">
        <v>50</v>
      </c>
      <c r="C59" s="27" t="n">
        <f aca="false">SUM(D59:AM59)</f>
        <v>-60000</v>
      </c>
      <c r="D59" s="27" t="n">
        <f aca="false">-D8*Assumptions!$D$70</f>
        <v>-0</v>
      </c>
      <c r="E59" s="27" t="n">
        <f aca="false">-E8*Assumptions!$D$70</f>
        <v>-0</v>
      </c>
      <c r="F59" s="27" t="n">
        <f aca="false">-F8*Assumptions!$D$70</f>
        <v>-0</v>
      </c>
      <c r="G59" s="27" t="n">
        <f aca="false">-G8*Assumptions!$D$70</f>
        <v>-0</v>
      </c>
      <c r="H59" s="27" t="n">
        <f aca="false">-H8*Assumptions!$D$70</f>
        <v>-0</v>
      </c>
      <c r="I59" s="27" t="n">
        <f aca="false">-I8*Assumptions!$D$70</f>
        <v>-0</v>
      </c>
      <c r="J59" s="27" t="n">
        <f aca="false">-J8*Assumptions!$D$70</f>
        <v>-0</v>
      </c>
      <c r="K59" s="27" t="n">
        <f aca="false">-K8*Assumptions!$D$70</f>
        <v>-0</v>
      </c>
      <c r="L59" s="27" t="n">
        <f aca="false">-L8*Assumptions!$D$70</f>
        <v>-60000</v>
      </c>
      <c r="M59" s="27" t="n">
        <f aca="false">-M8*Assumptions!$D$70</f>
        <v>-0</v>
      </c>
      <c r="N59" s="27" t="n">
        <f aca="false">-N8*Assumptions!$D$70</f>
        <v>-0</v>
      </c>
      <c r="O59" s="27" t="n">
        <f aca="false">-O8*Assumptions!$D$70</f>
        <v>-0</v>
      </c>
      <c r="P59" s="27" t="n">
        <f aca="false">-P8*Assumptions!$D$70</f>
        <v>-0</v>
      </c>
      <c r="Q59" s="27" t="n">
        <f aca="false">-Q8*Assumptions!$D$70</f>
        <v>-0</v>
      </c>
      <c r="R59" s="27" t="n">
        <f aca="false">-R8*Assumptions!$D$70</f>
        <v>-0</v>
      </c>
      <c r="S59" s="27" t="n">
        <f aca="false">-S8*Assumptions!$D$70</f>
        <v>-0</v>
      </c>
      <c r="T59" s="27" t="n">
        <f aca="false">-T8*Assumptions!$D$70</f>
        <v>-0</v>
      </c>
      <c r="U59" s="27" t="n">
        <f aca="false">-U8*Assumptions!$D$70</f>
        <v>-0</v>
      </c>
      <c r="V59" s="27" t="n">
        <f aca="false">-V8*Assumptions!$D$70</f>
        <v>-0</v>
      </c>
      <c r="W59" s="27" t="n">
        <f aca="false">-W8*Assumptions!$D$70</f>
        <v>-0</v>
      </c>
      <c r="X59" s="27" t="n">
        <f aca="false">-X8*Assumptions!$D$70</f>
        <v>-0</v>
      </c>
      <c r="Y59" s="27" t="n">
        <f aca="false">-Y8*Assumptions!$D$70</f>
        <v>-0</v>
      </c>
      <c r="Z59" s="27" t="n">
        <f aca="false">-Z8*Assumptions!$D$70</f>
        <v>-0</v>
      </c>
      <c r="AA59" s="27" t="n">
        <f aca="false">-AA8*Assumptions!$D$70</f>
        <v>-0</v>
      </c>
      <c r="AB59" s="27" t="n">
        <f aca="false">-AB8*Assumptions!$D$70</f>
        <v>-0</v>
      </c>
      <c r="AC59" s="27" t="n">
        <f aca="false">-AC8*Assumptions!$D$70</f>
        <v>-0</v>
      </c>
      <c r="AD59" s="27" t="n">
        <f aca="false">-AD8*Assumptions!$D$70</f>
        <v>-0</v>
      </c>
      <c r="AE59" s="27" t="n">
        <f aca="false">-AE8*Assumptions!$D$70</f>
        <v>-0</v>
      </c>
      <c r="AF59" s="27" t="n">
        <f aca="false">-AF8*Assumptions!$D$70</f>
        <v>-0</v>
      </c>
      <c r="AG59" s="27" t="n">
        <f aca="false">-AG8*Assumptions!$D$70</f>
        <v>-0</v>
      </c>
      <c r="AH59" s="27" t="n">
        <f aca="false">-AH8*Assumptions!$D$70</f>
        <v>-0</v>
      </c>
      <c r="AI59" s="27" t="n">
        <f aca="false">-AI8*Assumptions!$D$70</f>
        <v>-0</v>
      </c>
      <c r="AJ59" s="27" t="n">
        <f aca="false">-AJ8*Assumptions!$D$70</f>
        <v>-0</v>
      </c>
      <c r="AK59" s="27" t="n">
        <f aca="false">-AK8*Assumptions!$D$70</f>
        <v>-0</v>
      </c>
      <c r="AL59" s="27" t="n">
        <f aca="false">-AL8*Assumptions!$D$70</f>
        <v>-0</v>
      </c>
      <c r="AM59" s="27" t="n">
        <f aca="false">-AM8*Assumptions!$D$70</f>
        <v>-0</v>
      </c>
    </row>
    <row r="60" customFormat="false" ht="15" hidden="false" customHeight="false" outlineLevel="0" collapsed="false">
      <c r="A60" s="8" t="s">
        <v>369</v>
      </c>
      <c r="B60" s="8" t="s">
        <v>50</v>
      </c>
      <c r="C60" s="27" t="n">
        <f aca="false">SUM(D60:AM60)</f>
        <v>-775000</v>
      </c>
      <c r="D60" s="27" t="n">
        <f aca="false">-Assumptions!$D$74*IF(D$3&lt;Assumptions!$D$7,0,Assumptions!$D$75)</f>
        <v>-0</v>
      </c>
      <c r="E60" s="27" t="n">
        <f aca="false">-Assumptions!$D$74*IF(E$3&lt;Assumptions!$D$7,0,Assumptions!$D$75)</f>
        <v>-0</v>
      </c>
      <c r="F60" s="27" t="n">
        <f aca="false">-Assumptions!$D$74*IF(F$3&lt;Assumptions!$D$7,0,Assumptions!$D$75)</f>
        <v>-0</v>
      </c>
      <c r="G60" s="27" t="n">
        <f aca="false">-Assumptions!$D$74*IF(G$3&lt;Assumptions!$D$7,0,Assumptions!$D$75)</f>
        <v>-0</v>
      </c>
      <c r="H60" s="27" t="n">
        <f aca="false">-Assumptions!$D$74*IF(H$3&lt;Assumptions!$D$7,0,Assumptions!$D$75)</f>
        <v>-0</v>
      </c>
      <c r="I60" s="27" t="n">
        <f aca="false">-Assumptions!$D$74*IF(I$3&lt;Assumptions!$D$7,0,Assumptions!$D$75)</f>
        <v>-25000</v>
      </c>
      <c r="J60" s="27" t="n">
        <f aca="false">-Assumptions!$D$74*IF(J$3&lt;Assumptions!$D$7,0,Assumptions!$D$75)</f>
        <v>-25000</v>
      </c>
      <c r="K60" s="27" t="n">
        <f aca="false">-Assumptions!$D$74*IF(K$3&lt;Assumptions!$D$7,0,Assumptions!$D$75)</f>
        <v>-25000</v>
      </c>
      <c r="L60" s="27" t="n">
        <f aca="false">-Assumptions!$D$74*IF(L$3&lt;Assumptions!$D$7,0,Assumptions!$D$75)</f>
        <v>-25000</v>
      </c>
      <c r="M60" s="27" t="n">
        <f aca="false">-Assumptions!$D$74*IF(M$3&lt;Assumptions!$D$7,0,Assumptions!$D$75)</f>
        <v>-25000</v>
      </c>
      <c r="N60" s="27" t="n">
        <f aca="false">-Assumptions!$D$74*IF(N$3&lt;Assumptions!$D$7,0,Assumptions!$D$75)</f>
        <v>-25000</v>
      </c>
      <c r="O60" s="27" t="n">
        <f aca="false">-Assumptions!$D$74*IF(O$3&lt;Assumptions!$D$7,0,Assumptions!$D$75)</f>
        <v>-25000</v>
      </c>
      <c r="P60" s="27" t="n">
        <f aca="false">-Assumptions!$D$74*IF(P$3&lt;Assumptions!$D$7,0,Assumptions!$D$75)</f>
        <v>-25000</v>
      </c>
      <c r="Q60" s="27" t="n">
        <f aca="false">-Assumptions!$D$74*IF(Q$3&lt;Assumptions!$D$7,0,Assumptions!$D$75)</f>
        <v>-25000</v>
      </c>
      <c r="R60" s="27" t="n">
        <f aca="false">-Assumptions!$D$74*IF(R$3&lt;Assumptions!$D$7,0,Assumptions!$D$75)</f>
        <v>-25000</v>
      </c>
      <c r="S60" s="27" t="n">
        <f aca="false">-Assumptions!$D$74*IF(S$3&lt;Assumptions!$D$7,0,Assumptions!$D$75)</f>
        <v>-25000</v>
      </c>
      <c r="T60" s="27" t="n">
        <f aca="false">-Assumptions!$D$74*IF(T$3&lt;Assumptions!$D$7,0,Assumptions!$D$75)</f>
        <v>-25000</v>
      </c>
      <c r="U60" s="27" t="n">
        <f aca="false">-Assumptions!$D$74*IF(U$3&lt;Assumptions!$D$7,0,Assumptions!$D$75)</f>
        <v>-25000</v>
      </c>
      <c r="V60" s="27" t="n">
        <f aca="false">-Assumptions!$D$74*IF(V$3&lt;Assumptions!$D$7,0,Assumptions!$D$75)</f>
        <v>-25000</v>
      </c>
      <c r="W60" s="27" t="n">
        <f aca="false">-Assumptions!$D$74*IF(W$3&lt;Assumptions!$D$7,0,Assumptions!$D$75)</f>
        <v>-25000</v>
      </c>
      <c r="X60" s="27" t="n">
        <f aca="false">-Assumptions!$D$74*IF(X$3&lt;Assumptions!$D$7,0,Assumptions!$D$75)</f>
        <v>-25000</v>
      </c>
      <c r="Y60" s="27" t="n">
        <f aca="false">-Assumptions!$D$74*IF(Y$3&lt;Assumptions!$D$7,0,Assumptions!$D$75)</f>
        <v>-25000</v>
      </c>
      <c r="Z60" s="27" t="n">
        <f aca="false">-Assumptions!$D$74*IF(Z$3&lt;Assumptions!$D$7,0,Assumptions!$D$75)</f>
        <v>-25000</v>
      </c>
      <c r="AA60" s="27" t="n">
        <f aca="false">-Assumptions!$D$74*IF(AA$3&lt;Assumptions!$D$7,0,Assumptions!$D$75)</f>
        <v>-25000</v>
      </c>
      <c r="AB60" s="27" t="n">
        <f aca="false">-Assumptions!$D$74*IF(AB$3&lt;Assumptions!$D$7,0,Assumptions!$D$75)</f>
        <v>-25000</v>
      </c>
      <c r="AC60" s="27" t="n">
        <f aca="false">-Assumptions!$D$74*IF(AC$3&lt;Assumptions!$D$7,0,Assumptions!$D$75)</f>
        <v>-25000</v>
      </c>
      <c r="AD60" s="27" t="n">
        <f aca="false">-Assumptions!$D$74*IF(AD$3&lt;Assumptions!$D$7,0,Assumptions!$D$75)</f>
        <v>-25000</v>
      </c>
      <c r="AE60" s="27" t="n">
        <f aca="false">-Assumptions!$D$74*IF(AE$3&lt;Assumptions!$D$7,0,Assumptions!$D$75)</f>
        <v>-25000</v>
      </c>
      <c r="AF60" s="27" t="n">
        <f aca="false">-Assumptions!$D$74*IF(AF$3&lt;Assumptions!$D$7,0,Assumptions!$D$75)</f>
        <v>-25000</v>
      </c>
      <c r="AG60" s="27" t="n">
        <f aca="false">-Assumptions!$D$74*IF(AG$3&lt;Assumptions!$D$7,0,Assumptions!$D$75)</f>
        <v>-25000</v>
      </c>
      <c r="AH60" s="27" t="n">
        <f aca="false">-Assumptions!$D$74*IF(AH$3&lt;Assumptions!$D$7,0,Assumptions!$D$75)</f>
        <v>-25000</v>
      </c>
      <c r="AI60" s="27" t="n">
        <f aca="false">-Assumptions!$D$74*IF(AI$3&lt;Assumptions!$D$7,0,Assumptions!$D$75)</f>
        <v>-25000</v>
      </c>
      <c r="AJ60" s="27" t="n">
        <f aca="false">-Assumptions!$D$74*IF(AJ$3&lt;Assumptions!$D$7,0,Assumptions!$D$75)</f>
        <v>-25000</v>
      </c>
      <c r="AK60" s="27" t="n">
        <f aca="false">-Assumptions!$D$74*IF(AK$3&lt;Assumptions!$D$7,0,Assumptions!$D$75)</f>
        <v>-25000</v>
      </c>
      <c r="AL60" s="27" t="n">
        <f aca="false">-Assumptions!$D$74*IF(AL$3&lt;Assumptions!$D$7,0,Assumptions!$D$75)</f>
        <v>-25000</v>
      </c>
      <c r="AM60" s="27" t="n">
        <f aca="false">-Assumptions!$D$74*IF(AM$3&lt;Assumptions!$D$7,0,Assumptions!$D$75)</f>
        <v>-25000</v>
      </c>
    </row>
    <row r="61" customFormat="false" ht="15" hidden="false" customHeight="false" outlineLevel="0" collapsed="false">
      <c r="A61" s="8" t="s">
        <v>370</v>
      </c>
      <c r="B61" s="8" t="s">
        <v>50</v>
      </c>
      <c r="C61" s="27" t="n">
        <f aca="false">SUM(D61:AM61)</f>
        <v>-240541.309293384</v>
      </c>
      <c r="D61" s="27" t="n">
        <f aca="false">-Assumptions!$D$74*D43*Assumptions!$D$76</f>
        <v>-0</v>
      </c>
      <c r="E61" s="27" t="n">
        <f aca="false">-Assumptions!$D$74*E43*Assumptions!$D$76</f>
        <v>-0</v>
      </c>
      <c r="F61" s="27" t="n">
        <f aca="false">-Assumptions!$D$74*F43*Assumptions!$D$76</f>
        <v>-0</v>
      </c>
      <c r="G61" s="27" t="n">
        <f aca="false">-Assumptions!$D$74*G43*Assumptions!$D$76</f>
        <v>-0</v>
      </c>
      <c r="H61" s="27" t="n">
        <f aca="false">-Assumptions!$D$74*H43*Assumptions!$D$76</f>
        <v>-0</v>
      </c>
      <c r="I61" s="27" t="n">
        <f aca="false">-Assumptions!$D$74*I43*Assumptions!$D$76</f>
        <v>-333.705282082991</v>
      </c>
      <c r="J61" s="27" t="n">
        <f aca="false">-Assumptions!$D$74*J43*Assumptions!$D$76</f>
        <v>-426.544614769793</v>
      </c>
      <c r="K61" s="27" t="n">
        <f aca="false">-Assumptions!$D$74*K43*Assumptions!$D$76</f>
        <v>-512.393563430175</v>
      </c>
      <c r="L61" s="27" t="n">
        <f aca="false">-Assumptions!$D$74*L43*Assumptions!$D$76</f>
        <v>-3077.05879761675</v>
      </c>
      <c r="M61" s="27" t="n">
        <f aca="false">-Assumptions!$D$74*M43*Assumptions!$D$76</f>
        <v>-2565.63178874002</v>
      </c>
      <c r="N61" s="27" t="n">
        <f aca="false">-Assumptions!$D$74*N43*Assumptions!$D$76</f>
        <v>-2990.83406810518</v>
      </c>
      <c r="O61" s="27" t="n">
        <f aca="false">-Assumptions!$D$74*O43*Assumptions!$D$76</f>
        <v>-3413.62593449316</v>
      </c>
      <c r="P61" s="27" t="n">
        <f aca="false">-Assumptions!$D$74*P43*Assumptions!$D$76</f>
        <v>-3836.12402698212</v>
      </c>
      <c r="Q61" s="27" t="n">
        <f aca="false">-Assumptions!$D$74*Q43*Assumptions!$D$76</f>
        <v>-4260.26598163667</v>
      </c>
      <c r="R61" s="27" t="n">
        <f aca="false">-Assumptions!$D$74*R43*Assumptions!$D$76</f>
        <v>-4687.83785189606</v>
      </c>
      <c r="S61" s="27" t="n">
        <f aca="false">-Assumptions!$D$74*S43*Assumptions!$D$76</f>
        <v>-5120.49838443043</v>
      </c>
      <c r="T61" s="27" t="n">
        <f aca="false">-Assumptions!$D$74*T43*Assumptions!$D$76</f>
        <v>-5559.80058070236</v>
      </c>
      <c r="U61" s="27" t="n">
        <f aca="false">-Assumptions!$D$74*U43*Assumptions!$D$76</f>
        <v>-6007.21092104958</v>
      </c>
      <c r="V61" s="27" t="n">
        <f aca="false">-Assumptions!$D$74*V43*Assumptions!$D$76</f>
        <v>-6464.1265817543</v>
      </c>
      <c r="W61" s="27" t="n">
        <f aca="false">-Assumptions!$D$74*W43*Assumptions!$D$76</f>
        <v>-6931.89093538077</v>
      </c>
      <c r="X61" s="27" t="n">
        <f aca="false">-Assumptions!$D$74*X43*Assumptions!$D$76</f>
        <v>-7411.80758985957</v>
      </c>
      <c r="Y61" s="27" t="n">
        <f aca="false">-Assumptions!$D$74*Y43*Assumptions!$D$76</f>
        <v>-7905.15319169202</v>
      </c>
      <c r="Z61" s="27" t="n">
        <f aca="false">-Assumptions!$D$74*Z43*Assumptions!$D$76</f>
        <v>-8413.18919264762</v>
      </c>
      <c r="AA61" s="27" t="n">
        <f aca="false">-Assumptions!$D$74*AA43*Assumptions!$D$76</f>
        <v>-8937.1727569164</v>
      </c>
      <c r="AB61" s="27" t="n">
        <f aca="false">-Assumptions!$D$74*AB43*Assumptions!$D$76</f>
        <v>-9478.36696640972</v>
      </c>
      <c r="AC61" s="27" t="n">
        <f aca="false">-Assumptions!$D$74*AC43*Assumptions!$D$76</f>
        <v>-10038.0504653895</v>
      </c>
      <c r="AD61" s="27" t="n">
        <f aca="false">-Assumptions!$D$74*AD43*Assumptions!$D$76</f>
        <v>-10617.5266715109</v>
      </c>
      <c r="AE61" s="27" t="n">
        <f aca="false">-Assumptions!$D$74*AE43*Assumptions!$D$76</f>
        <v>-11218.1326683965</v>
      </c>
      <c r="AF61" s="27" t="n">
        <f aca="false">-Assumptions!$D$74*AF43*Assumptions!$D$76</f>
        <v>-11841.2478847699</v>
      </c>
      <c r="AG61" s="27" t="n">
        <f aca="false">-Assumptions!$D$74*AG43*Assumptions!$D$76</f>
        <v>-12405.6295664974</v>
      </c>
      <c r="AH61" s="27" t="n">
        <f aca="false">-Assumptions!$D$74*AH43*Assumptions!$D$76</f>
        <v>-12962.4539094618</v>
      </c>
      <c r="AI61" s="27" t="n">
        <f aca="false">-Assumptions!$D$74*AI43*Assumptions!$D$76</f>
        <v>-13515.1689629002</v>
      </c>
      <c r="AJ61" s="27" t="n">
        <f aca="false">-Assumptions!$D$74*AJ43*Assumptions!$D$76</f>
        <v>-14066.9048532942</v>
      </c>
      <c r="AK61" s="27" t="n">
        <f aca="false">-Assumptions!$D$74*AK43*Assumptions!$D$76</f>
        <v>-14620.5233470418</v>
      </c>
      <c r="AL61" s="27" t="n">
        <f aca="false">-Assumptions!$D$74*AL43*Assumptions!$D$76</f>
        <v>-15178.6615320389</v>
      </c>
      <c r="AM61" s="27" t="n">
        <f aca="false">-Assumptions!$D$74*AM43*Assumptions!$D$76</f>
        <v>-15743.7704214872</v>
      </c>
    </row>
    <row r="62" customFormat="false" ht="15" hidden="false" customHeight="false" outlineLevel="0" collapsed="false">
      <c r="A62" s="29" t="s">
        <v>371</v>
      </c>
      <c r="B62" s="8" t="s">
        <v>50</v>
      </c>
      <c r="C62" s="31" t="n">
        <f aca="false">SUM(D62:AM62)</f>
        <v>-5539973.69249891</v>
      </c>
      <c r="D62" s="31" t="n">
        <f aca="false">SUM(D57:D61)</f>
        <v>-10000</v>
      </c>
      <c r="E62" s="31" t="n">
        <f aca="false">SUM(E57:E61)</f>
        <v>-10000</v>
      </c>
      <c r="F62" s="31" t="n">
        <f aca="false">SUM(F57:F61)</f>
        <v>-10000</v>
      </c>
      <c r="G62" s="31" t="n">
        <f aca="false">SUM(G57:G61)</f>
        <v>-10000</v>
      </c>
      <c r="H62" s="31" t="n">
        <f aca="false">SUM(H57:H61)</f>
        <v>-10000</v>
      </c>
      <c r="I62" s="31" t="n">
        <f aca="false">SUM(I57:I61)</f>
        <v>-65333.705282083</v>
      </c>
      <c r="J62" s="31" t="n">
        <f aca="false">SUM(J57:J61)</f>
        <v>-65426.5446147698</v>
      </c>
      <c r="K62" s="31" t="n">
        <f aca="false">SUM(K57:K61)</f>
        <v>-65512.3935634302</v>
      </c>
      <c r="L62" s="31" t="n">
        <f aca="false">SUM(L57:L61)</f>
        <v>-308077.058797617</v>
      </c>
      <c r="M62" s="31" t="n">
        <f aca="false">SUM(M57:M61)</f>
        <v>-147565.63178874</v>
      </c>
      <c r="N62" s="31" t="n">
        <f aca="false">SUM(N57:N61)</f>
        <v>-149990.834068105</v>
      </c>
      <c r="O62" s="31" t="n">
        <f aca="false">SUM(O57:O61)</f>
        <v>-152453.625934493</v>
      </c>
      <c r="P62" s="31" t="n">
        <f aca="false">SUM(P57:P61)</f>
        <v>-154956.924026982</v>
      </c>
      <c r="Q62" s="31" t="n">
        <f aca="false">SUM(Q57:Q61)</f>
        <v>-157503.481981637</v>
      </c>
      <c r="R62" s="31" t="n">
        <f aca="false">SUM(R57:R61)</f>
        <v>-160095.918171896</v>
      </c>
      <c r="S62" s="31" t="n">
        <f aca="false">SUM(S57:S61)</f>
        <v>-162736.74031083</v>
      </c>
      <c r="T62" s="31" t="n">
        <f aca="false">SUM(T57:T61)</f>
        <v>-165428.36734563</v>
      </c>
      <c r="U62" s="31" t="n">
        <f aca="false">SUM(U57:U61)</f>
        <v>-168173.149021276</v>
      </c>
      <c r="V62" s="31" t="n">
        <f aca="false">SUM(V57:V61)</f>
        <v>-170973.383443985</v>
      </c>
      <c r="W62" s="31" t="n">
        <f aca="false">SUM(W57:W61)</f>
        <v>-173831.332934857</v>
      </c>
      <c r="X62" s="31" t="n">
        <f aca="false">SUM(X57:X61)</f>
        <v>-176749.238429325</v>
      </c>
      <c r="Y62" s="31" t="n">
        <f aca="false">SUM(Y57:Y61)</f>
        <v>-179729.332647947</v>
      </c>
      <c r="Z62" s="31" t="n">
        <f aca="false">SUM(Z57:Z61)</f>
        <v>-182773.852238027</v>
      </c>
      <c r="AA62" s="31" t="n">
        <f aca="false">SUM(AA57:AA61)</f>
        <v>-185885.049063204</v>
      </c>
      <c r="AB62" s="31" t="n">
        <f aca="false">SUM(AB57:AB61)</f>
        <v>-189065.200798823</v>
      </c>
      <c r="AC62" s="31" t="n">
        <f aca="false">SUM(AC57:AC61)</f>
        <v>-192316.620974451</v>
      </c>
      <c r="AD62" s="31" t="n">
        <f aca="false">SUM(AD57:AD61)</f>
        <v>-195641.668590753</v>
      </c>
      <c r="AE62" s="31" t="n">
        <f aca="false">SUM(AE57:AE61)</f>
        <v>-199042.757426024</v>
      </c>
      <c r="AF62" s="31" t="n">
        <f aca="false">SUM(AF57:AF61)</f>
        <v>-202522.36513755</v>
      </c>
      <c r="AG62" s="31" t="n">
        <f aca="false">SUM(AG57:AG61)</f>
        <v>-206000.369164333</v>
      </c>
      <c r="AH62" s="31" t="n">
        <f aca="false">SUM(AH57:AH61)</f>
        <v>-209529.088299254</v>
      </c>
      <c r="AI62" s="31" t="n">
        <f aca="false">SUM(AI57:AI61)</f>
        <v>-213113.136040488</v>
      </c>
      <c r="AJ62" s="31" t="n">
        <f aca="false">SUM(AJ57:AJ61)</f>
        <v>-216756.831272434</v>
      </c>
      <c r="AK62" s="31" t="n">
        <f aca="false">SUM(AK57:AK61)</f>
        <v>-220464.248294564</v>
      </c>
      <c r="AL62" s="31" t="n">
        <f aca="false">SUM(AL57:AL61)</f>
        <v>-224239.260978512</v>
      </c>
      <c r="AM62" s="31" t="n">
        <f aca="false">SUM(AM57:AM61)</f>
        <v>-228085.58185689</v>
      </c>
    </row>
    <row r="63" customFormat="false" ht="15" hidden="false" customHeight="false" outlineLevel="0" collapsed="false">
      <c r="A63" s="29" t="s">
        <v>372</v>
      </c>
      <c r="B63" s="8" t="s">
        <v>50</v>
      </c>
      <c r="C63" s="31" t="n">
        <f aca="false">SUM(D63:AM63)</f>
        <v>-2788321.94212241</v>
      </c>
      <c r="D63" s="31" t="n">
        <f aca="false">D54+D62</f>
        <v>-10000</v>
      </c>
      <c r="E63" s="31" t="n">
        <f aca="false">E54+E62</f>
        <v>-10000</v>
      </c>
      <c r="F63" s="31" t="n">
        <f aca="false">F54+F62</f>
        <v>-10000</v>
      </c>
      <c r="G63" s="31" t="n">
        <f aca="false">G54+G62</f>
        <v>-10000</v>
      </c>
      <c r="H63" s="31" t="n">
        <f aca="false">H54+H62</f>
        <v>-10000</v>
      </c>
      <c r="I63" s="31" t="n">
        <f aca="false">I54+I62</f>
        <v>-61613.7343505684</v>
      </c>
      <c r="J63" s="31" t="n">
        <f aca="false">J54+J62</f>
        <v>-60505.8346576117</v>
      </c>
      <c r="K63" s="31" t="n">
        <f aca="false">K54+K62</f>
        <v>-59478.973137938</v>
      </c>
      <c r="L63" s="31" t="n">
        <f aca="false">L54+L62</f>
        <v>-276047.274705272</v>
      </c>
      <c r="M63" s="31" t="n">
        <f aca="false">M54+M62</f>
        <v>-118933.127289476</v>
      </c>
      <c r="N63" s="31" t="n">
        <f aca="false">N54+N62</f>
        <v>-116325.16584656</v>
      </c>
      <c r="O63" s="31" t="n">
        <f aca="false">O54+O62</f>
        <v>-113802.310419481</v>
      </c>
      <c r="P63" s="31" t="n">
        <f aca="false">P54+P62</f>
        <v>-111341.921504318</v>
      </c>
      <c r="Q63" s="31" t="n">
        <f aca="false">Q54+Q62</f>
        <v>-108923.418784256</v>
      </c>
      <c r="R63" s="31" t="n">
        <f aca="false">R54+R62</f>
        <v>-106527.979058217</v>
      </c>
      <c r="S63" s="31" t="n">
        <f aca="false">S54+S62</f>
        <v>-104138.269061635</v>
      </c>
      <c r="T63" s="31" t="n">
        <f aca="false">T54+T62</f>
        <v>-101738.208462547</v>
      </c>
      <c r="U63" s="31" t="n">
        <f aca="false">U54+U62</f>
        <v>-99312.7589030086</v>
      </c>
      <c r="V63" s="31" t="n">
        <f aca="false">V54+V62</f>
        <v>-96847.7354653112</v>
      </c>
      <c r="W63" s="31" t="n">
        <f aca="false">W54+W62</f>
        <v>-94329.6373845589</v>
      </c>
      <c r="X63" s="31" t="n">
        <f aca="false">X54+X62</f>
        <v>-91745.4952123816</v>
      </c>
      <c r="Y63" s="31" t="n">
        <f aca="false">Y54+Y62</f>
        <v>-89082.7319684273</v>
      </c>
      <c r="Z63" s="31" t="n">
        <f aca="false">Z54+Z62</f>
        <v>-86329.0361032868</v>
      </c>
      <c r="AA63" s="31" t="n">
        <f aca="false">AA54+AA62</f>
        <v>-83472.2443443055</v>
      </c>
      <c r="AB63" s="31" t="n">
        <f aca="false">AB54+AB62</f>
        <v>-80500.2327092112</v>
      </c>
      <c r="AC63" s="31" t="n">
        <f aca="false">AC54+AC62</f>
        <v>-77400.8141559138</v>
      </c>
      <c r="AD63" s="31" t="n">
        <f aca="false">AD54+AD62</f>
        <v>-74161.641493876</v>
      </c>
      <c r="AE63" s="31" t="n">
        <f aca="false">AE54+AE62</f>
        <v>-70770.114316323</v>
      </c>
      <c r="AF63" s="31" t="n">
        <f aca="false">AF54+AF62</f>
        <v>-67213.2888260205</v>
      </c>
      <c r="AG63" s="31" t="n">
        <f aca="false">AG54+AG62</f>
        <v>-64050.4664705327</v>
      </c>
      <c r="AH63" s="31" t="n">
        <f aca="false">AH54+AH62</f>
        <v>-61033.9608132061</v>
      </c>
      <c r="AI63" s="31" t="n">
        <f aca="false">AI54+AI62</f>
        <v>-58127.624812505</v>
      </c>
      <c r="AJ63" s="31" t="n">
        <f aca="false">AJ54+AJ62</f>
        <v>-55298.8318736365</v>
      </c>
      <c r="AK63" s="31" t="n">
        <f aca="false">AK54+AK62</f>
        <v>-52517.9367369587</v>
      </c>
      <c r="AL63" s="31" t="n">
        <f aca="false">AL54+AL62</f>
        <v>-49757.8007181833</v>
      </c>
      <c r="AM63" s="31" t="n">
        <f aca="false">AM54+AM62</f>
        <v>-46993.3725368862</v>
      </c>
    </row>
    <row r="64" customFormat="false" ht="15" hidden="false" customHeight="false" outlineLevel="0" collapsed="false">
      <c r="A64" s="8" t="s">
        <v>373</v>
      </c>
      <c r="B64" s="8" t="s">
        <v>293</v>
      </c>
      <c r="C64" s="28" t="n">
        <f aca="false">SUM(D64:AM64)</f>
        <v>18776.3475728177</v>
      </c>
      <c r="D64" s="28" t="n">
        <f aca="false">D23+D28+D31</f>
        <v>0</v>
      </c>
      <c r="E64" s="28" t="n">
        <f aca="false">E23+E28+E31</f>
        <v>0</v>
      </c>
      <c r="F64" s="28" t="n">
        <f aca="false">F23+F28+F31</f>
        <v>0</v>
      </c>
      <c r="G64" s="28" t="n">
        <f aca="false">G23+G28+G31</f>
        <v>0</v>
      </c>
      <c r="H64" s="28" t="n">
        <f aca="false">H23+H28+H31</f>
        <v>0</v>
      </c>
      <c r="I64" s="28" t="n">
        <f aca="false">I23+I28+I31</f>
        <v>136.532043870742</v>
      </c>
      <c r="J64" s="28" t="n">
        <f aca="false">J23+J28+J31</f>
        <v>137.859460898215</v>
      </c>
      <c r="K64" s="28" t="n">
        <f aca="false">K23+K28+K31</f>
        <v>139.279797117612</v>
      </c>
      <c r="L64" s="28" t="n">
        <f aca="false">L23+L28+L31</f>
        <v>841.098621926023</v>
      </c>
      <c r="M64" s="28" t="n">
        <f aca="false">M23+M28+M31</f>
        <v>437.56604362436</v>
      </c>
      <c r="N64" s="28" t="n">
        <f aca="false">N23+N28+N31</f>
        <v>449.667679913028</v>
      </c>
      <c r="O64" s="28" t="n">
        <f aca="false">O23+O28+O31</f>
        <v>462.162816964001</v>
      </c>
      <c r="P64" s="28" t="n">
        <f aca="false">P23+P28+P31</f>
        <v>475.068594410363</v>
      </c>
      <c r="Q64" s="28" t="n">
        <f aca="false">Q23+Q28+Q31</f>
        <v>488.403139843741</v>
      </c>
      <c r="R64" s="28" t="n">
        <f aca="false">R23+R28+R31</f>
        <v>502.185635267829</v>
      </c>
      <c r="S64" s="28" t="n">
        <f aca="false">S23+S28+S31</f>
        <v>516.436388292724</v>
      </c>
      <c r="T64" s="28" t="n">
        <f aca="false">T23+T28+T31</f>
        <v>531.176908414446</v>
      </c>
      <c r="U64" s="28" t="n">
        <f aca="false">U23+U28+U31</f>
        <v>546.429988749139</v>
      </c>
      <c r="V64" s="28" t="n">
        <f aca="false">V23+V28+V31</f>
        <v>562.21979361842</v>
      </c>
      <c r="W64" s="28" t="n">
        <f aca="false">W23+W28+W31</f>
        <v>578.571952411222</v>
      </c>
      <c r="X64" s="28" t="n">
        <f aca="false">X23+X28+X31</f>
        <v>595.513660178564</v>
      </c>
      <c r="Y64" s="28" t="n">
        <f aca="false">Y23+Y28+Y31</f>
        <v>613.07378545093</v>
      </c>
      <c r="Z64" s="28" t="n">
        <f aca="false">Z23+Z28+Z31</f>
        <v>631.28298580369</v>
      </c>
      <c r="AA64" s="28" t="n">
        <f aca="false">AA23+AA28+AA31</f>
        <v>650.173831734305</v>
      </c>
      <c r="AB64" s="28" t="n">
        <f aca="false">AB23+AB28+AB31</f>
        <v>669.7809394562</v>
      </c>
      <c r="AC64" s="28" t="n">
        <f aca="false">AC23+AC28+AC31</f>
        <v>690.141113258286</v>
      </c>
      <c r="AD64" s="28" t="n">
        <f aca="false">AD23+AD28+AD31</f>
        <v>711.293498126473</v>
      </c>
      <c r="AE64" s="28" t="n">
        <f aca="false">AE23+AE28+AE31</f>
        <v>733.2797433743</v>
      </c>
      <c r="AF64" s="28" t="n">
        <f aca="false">AF23+AF28+AF31</f>
        <v>756.144178084279</v>
      </c>
      <c r="AG64" s="28" t="n">
        <f aca="false">AG23+AG28+AG31</f>
        <v>776.848625649812</v>
      </c>
      <c r="AH64" s="28" t="n">
        <f aca="false">AH23+AH28+AH31</f>
        <v>798.357871646926</v>
      </c>
      <c r="AI64" s="28" t="n">
        <f aca="false">AI23+AI28+AI31</f>
        <v>820.71536170787</v>
      </c>
      <c r="AJ64" s="28" t="n">
        <f aca="false">AJ23+AJ28+AJ31</f>
        <v>843.967324853993</v>
      </c>
      <c r="AK64" s="28" t="n">
        <f aca="false">AK23+AK28+AK31</f>
        <v>868.162963176877</v>
      </c>
      <c r="AL64" s="28" t="n">
        <f aca="false">AL23+AL28+AL31</f>
        <v>893.354654694024</v>
      </c>
      <c r="AM64" s="28" t="n">
        <f aca="false">AM23+AM28+AM31</f>
        <v>919.598170299267</v>
      </c>
    </row>
    <row r="65" customFormat="false" ht="15" hidden="false" customHeight="false" outlineLevel="0" collapsed="false">
      <c r="A65" s="8" t="s">
        <v>374</v>
      </c>
      <c r="B65" s="8" t="s">
        <v>50</v>
      </c>
      <c r="D65" s="27" t="n">
        <f aca="false">IF(D64=0,0,-(D57+D58+D59)/D64)</f>
        <v>0</v>
      </c>
      <c r="E65" s="27" t="n">
        <f aca="false">IF(E64=0,0,-(E57+E58+E59)/E64)</f>
        <v>0</v>
      </c>
      <c r="F65" s="27" t="n">
        <f aca="false">IF(F64=0,0,-(F57+F58+F59)/F64)</f>
        <v>0</v>
      </c>
      <c r="G65" s="27" t="n">
        <f aca="false">IF(G64=0,0,-(G57+G58+G59)/G64)</f>
        <v>0</v>
      </c>
      <c r="H65" s="27" t="n">
        <f aca="false">IF(H64=0,0,-(H57+H58+H59)/H64)</f>
        <v>0</v>
      </c>
      <c r="I65" s="27" t="n">
        <f aca="false">IF(I64=0,0,-(I57+I58+I59)/I64)</f>
        <v>292.971516912682</v>
      </c>
      <c r="J65" s="27" t="n">
        <f aca="false">IF(J64=0,0,-(J57+J58+J59)/J64)</f>
        <v>290.150561589189</v>
      </c>
      <c r="K65" s="27" t="n">
        <f aca="false">IF(K64=0,0,-(K57+K58+K59)/K64)</f>
        <v>287.191687723546</v>
      </c>
      <c r="L65" s="27" t="n">
        <f aca="false">IF(L64=0,0,-(L57+L58+L59)/L64)</f>
        <v>332.89794169301</v>
      </c>
      <c r="M65" s="27" t="n">
        <f aca="false">IF(M64=0,0,-(M57+M58+M59)/M64)</f>
        <v>274.244315226199</v>
      </c>
      <c r="N65" s="27" t="n">
        <f aca="false">IF(N64=0,0,-(N57+N58+N59)/N64)</f>
        <v>271.311471670805</v>
      </c>
      <c r="O65" s="27" t="n">
        <f aca="false">IF(O64=0,0,-(O57+O58+O59)/O64)</f>
        <v>268.390263013439</v>
      </c>
      <c r="P65" s="27" t="n">
        <f aca="false">IF(P64=0,0,-(P57+P58+P59)/P64)</f>
        <v>265.479136032</v>
      </c>
      <c r="Q65" s="27" t="n">
        <f aca="false">IF(Q64=0,0,-(Q57+Q58+Q59)/Q64)</f>
        <v>262.576559276482</v>
      </c>
      <c r="R65" s="27" t="n">
        <f aca="false">IF(R64=0,0,-(R57+R58+R59)/R64)</f>
        <v>259.681024628372</v>
      </c>
      <c r="S65" s="27" t="n">
        <f aca="false">IF(S64=0,0,-(S57+S58+S59)/S64)</f>
        <v>256.791049067656</v>
      </c>
      <c r="T65" s="27" t="n">
        <f aca="false">IF(T64=0,0,-(T57+T58+T59)/T64)</f>
        <v>253.905176652932</v>
      </c>
      <c r="U65" s="27" t="n">
        <f aca="false">IF(U64=0,0,-(U57+U58+U59)/U64)</f>
        <v>251.021980719287</v>
      </c>
      <c r="V65" s="27" t="n">
        <f aca="false">IF(V64=0,0,-(V57+V58+V59)/V64)</f>
        <v>248.140066297481</v>
      </c>
      <c r="W65" s="27" t="n">
        <f aca="false">IF(W64=0,0,-(W57+W58+W59)/W64)</f>
        <v>245.258072756731</v>
      </c>
      <c r="X65" s="27" t="n">
        <f aca="false">IF(X64=0,0,-(X57+X58+X59)/X64)</f>
        <v>242.374676671877</v>
      </c>
      <c r="Y65" s="27" t="n">
        <f aca="false">IF(Y64=0,0,-(Y57+Y58+Y59)/Y64)</f>
        <v>239.488594914007</v>
      </c>
      <c r="Z65" s="27" t="n">
        <f aca="false">IF(Z64=0,0,-(Z57+Z58+Z59)/Z64)</f>
        <v>236.59858796167</v>
      </c>
      <c r="AA65" s="27" t="n">
        <f aca="false">IF(AA64=0,0,-(AA57+AA58+AA59)/AA64)</f>
        <v>233.703463427579</v>
      </c>
      <c r="AB65" s="27" t="n">
        <f aca="false">IF(AB64=0,0,-(AB57+AB58+AB59)/AB64)</f>
        <v>230.802079793317</v>
      </c>
      <c r="AC65" s="27" t="n">
        <f aca="false">IF(AC64=0,0,-(AC57+AC58+AC59)/AC64)</f>
        <v>227.893350341816</v>
      </c>
      <c r="AD65" s="27" t="n">
        <f aca="false">IF(AD64=0,0,-(AD57+AD58+AD59)/AD64)</f>
        <v>224.976247274496</v>
      </c>
      <c r="AE65" s="27" t="n">
        <f aca="false">IF(AE64=0,0,-(AE57+AE58+AE59)/AE64)</f>
        <v>222.049805996774</v>
      </c>
      <c r="AF65" s="27" t="n">
        <f aca="false">IF(AF64=0,0,-(AF57+AF58+AF59)/AF64)</f>
        <v>219.113129552276</v>
      </c>
      <c r="AG65" s="27" t="n">
        <f aca="false">IF(AG64=0,0,-(AG57+AG58+AG59)/AG64)</f>
        <v>217.023927224961</v>
      </c>
      <c r="AH65" s="27" t="n">
        <f aca="false">IF(AH64=0,0,-(AH57+AH58+AH59)/AH64)</f>
        <v>214.89940850194</v>
      </c>
      <c r="AI65" s="27" t="n">
        <f aca="false">IF(AI64=0,0,-(AI57+AI58+AI59)/AI64)</f>
        <v>212.738758434176</v>
      </c>
      <c r="AJ65" s="27" t="n">
        <f aca="false">IF(AJ64=0,0,-(AJ57+AJ58+AJ59)/AJ64)</f>
        <v>210.541239200084</v>
      </c>
      <c r="AK65" s="27" t="n">
        <f aca="false">IF(AK64=0,0,-(AK57+AK58+AK59)/AK64)</f>
        <v>208.306196668146</v>
      </c>
      <c r="AL65" s="27" t="n">
        <f aca="false">IF(AL64=0,0,-(AL57+AL58+AL59)/AL64)</f>
        <v>206.033067023661</v>
      </c>
      <c r="AM65" s="27" t="n">
        <f aca="false">IF(AM64=0,0,-(AM57+AM58+AM59)/AM64)</f>
        <v>203.721383410795</v>
      </c>
    </row>
    <row r="66" customFormat="false" ht="15" hidden="false" customHeight="false" outlineLevel="0" collapsed="false">
      <c r="A66" s="8" t="s">
        <v>375</v>
      </c>
      <c r="B66" s="8" t="s">
        <v>50</v>
      </c>
      <c r="D66" s="27" t="n">
        <f aca="false">IF(D23=0,0,-(D57+D58+D59)/D23)</f>
        <v>0</v>
      </c>
      <c r="E66" s="27" t="n">
        <f aca="false">IF(E23=0,0,-(E57+E58+E59)/E23)</f>
        <v>0</v>
      </c>
      <c r="F66" s="27" t="n">
        <f aca="false">IF(F23=0,0,-(F57+F58+F59)/F23)</f>
        <v>0</v>
      </c>
      <c r="G66" s="27" t="n">
        <f aca="false">IF(G23=0,0,-(G57+G58+G59)/G23)</f>
        <v>0</v>
      </c>
      <c r="H66" s="27" t="n">
        <f aca="false">IF(H23=0,0,-(H57+H58+H59)/H23)</f>
        <v>0</v>
      </c>
      <c r="I66" s="27" t="n">
        <f aca="false">IF(I23=0,0,-(I57+I58+I59)/I23)</f>
        <v>4866.64424080796</v>
      </c>
      <c r="J66" s="27" t="n">
        <f aca="false">IF(J23=0,0,-(J57+J58+J59)/J23)</f>
        <v>4819.78444322994</v>
      </c>
      <c r="K66" s="27" t="n">
        <f aca="false">IF(K23=0,0,-(K57+K58+K59)/K23)</f>
        <v>4770.63363632128</v>
      </c>
      <c r="L66" s="27" t="n">
        <f aca="false">IF(L23=0,0,-(L57+L58+L59)/L23)</f>
        <v>2873.41048650024</v>
      </c>
      <c r="M66" s="27" t="n">
        <f aca="false">IF(M23=0,0,-(M57+M58+M59)/M23)</f>
        <v>2248.84843998357</v>
      </c>
      <c r="N66" s="27" t="n">
        <f aca="false">IF(N23=0,0,-(N57+N58+N59)/N23)</f>
        <v>2119.77362273695</v>
      </c>
      <c r="O66" s="27" t="n">
        <f aca="false">IF(O23=0,0,-(O57+O58+O59)/O23)</f>
        <v>2003.19184173404</v>
      </c>
      <c r="P66" s="27" t="n">
        <f aca="false">IF(P23=0,0,-(P57+P58+P59)/P23)</f>
        <v>1897.34983991051</v>
      </c>
      <c r="Q66" s="27" t="n">
        <f aca="false">IF(Q23=0,0,-(Q57+Q58+Q59)/Q23)</f>
        <v>1800.80601971452</v>
      </c>
      <c r="R66" s="27" t="n">
        <f aca="false">IF(R23=0,0,-(R57+R58+R59)/R23)</f>
        <v>1712.36414587394</v>
      </c>
      <c r="S66" s="27" t="n">
        <f aca="false">IF(S23=0,0,-(S57+S58+S59)/S23)</f>
        <v>1631.02328578788</v>
      </c>
      <c r="T66" s="27" t="n">
        <f aca="false">IF(T23=0,0,-(T57+T58+T59)/T23)</f>
        <v>1555.93953022671</v>
      </c>
      <c r="U66" s="27" t="n">
        <f aca="false">IF(U23=0,0,-(U57+U58+U59)/U23)</f>
        <v>1486.39638262486</v>
      </c>
      <c r="V66" s="27" t="n">
        <f aca="false">IF(V23=0,0,-(V57+V58+V59)/V23)</f>
        <v>1421.78161047224</v>
      </c>
      <c r="W66" s="27" t="n">
        <f aca="false">IF(W23=0,0,-(W57+W58+W59)/W23)</f>
        <v>1361.56897167005</v>
      </c>
      <c r="X66" s="27" t="n">
        <f aca="false">IF(X23=0,0,-(X57+X58+X59)/X23)</f>
        <v>1305.30365911877</v>
      </c>
      <c r="Y66" s="27" t="n">
        <f aca="false">IF(Y23=0,0,-(Y57+Y58+Y59)/Y23)</f>
        <v>1252.59061020222</v>
      </c>
      <c r="Z66" s="27" t="n">
        <f aca="false">IF(Z23=0,0,-(Z57+Z58+Z59)/Z23)</f>
        <v>1203.08504454177</v>
      </c>
      <c r="AA66" s="27" t="n">
        <f aca="false">IF(AA23=0,0,-(AA57+AA58+AA59)/AA23)</f>
        <v>1156.48475009158</v>
      </c>
      <c r="AB66" s="27" t="n">
        <f aca="false">IF(AB23=0,0,-(AB57+AB58+AB59)/AB23)</f>
        <v>1112.52375224287</v>
      </c>
      <c r="AC66" s="27" t="n">
        <f aca="false">IF(AC23=0,0,-(AC57+AC58+AC59)/AC23)</f>
        <v>1070.96708530627</v>
      </c>
      <c r="AD66" s="27" t="n">
        <f aca="false">IF(AD23=0,0,-(AD57+AD58+AD59)/AD23)</f>
        <v>1031.60644896721</v>
      </c>
      <c r="AE66" s="27" t="n">
        <f aca="false">IF(AE23=0,0,-(AE57+AE58+AE59)/AE23)</f>
        <v>994.256579943577</v>
      </c>
      <c r="AF66" s="27" t="n">
        <f aca="false">IF(AF23=0,0,-(AF57+AF58+AF59)/AF23)</f>
        <v>958.752205275609</v>
      </c>
      <c r="AG66" s="27" t="n">
        <f aca="false">IF(AG23=0,0,-(AG57+AG58+AG59)/AG23)</f>
        <v>949.610683986248</v>
      </c>
      <c r="AH66" s="27" t="n">
        <f aca="false">IF(AH23=0,0,-(AH57+AH58+AH59)/AH23)</f>
        <v>940.314632147605</v>
      </c>
      <c r="AI66" s="27" t="n">
        <f aca="false">IF(AI23=0,0,-(AI57+AI58+AI59)/AI23)</f>
        <v>930.860483865709</v>
      </c>
      <c r="AJ66" s="27" t="n">
        <f aca="false">IF(AJ23=0,0,-(AJ57+AJ58+AJ59)/AJ23)</f>
        <v>921.245010725755</v>
      </c>
      <c r="AK66" s="27" t="n">
        <f aca="false">IF(AK23=0,0,-(AK57+AK58+AK59)/AK23)</f>
        <v>911.465350507495</v>
      </c>
      <c r="AL66" s="27" t="n">
        <f aca="false">IF(AL23=0,0,-(AL57+AL58+AL59)/AL23)</f>
        <v>901.51903618128</v>
      </c>
      <c r="AM66" s="27" t="n">
        <f aca="false">IF(AM23=0,0,-(AM57+AM58+AM59)/AM23)</f>
        <v>891.40402497103</v>
      </c>
    </row>
    <row r="67" customFormat="false" ht="15" hidden="false" customHeight="false" outlineLevel="0" collapsed="false">
      <c r="A67" s="5" t="s">
        <v>376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</row>
    <row r="68" customFormat="false" ht="15" hidden="false" customHeight="false" outlineLevel="0" collapsed="false">
      <c r="A68" s="8" t="s">
        <v>377</v>
      </c>
      <c r="B68" s="8" t="s">
        <v>50</v>
      </c>
      <c r="C68" s="27" t="n">
        <f aca="false">SUM(D68:AM68)</f>
        <v>-5345000</v>
      </c>
      <c r="D68" s="27" t="n">
        <f aca="false">-IF(D$3&lt;=3,Assumptions!$D$56,IF(D$3&lt;Assumptions!$D$6,Assumptions!$D$57,IF(D$3&lt;=12,Assumptions!$D$58,IF(D$3&lt;=24,Assumptions!$D$59,Assumptions!$D$60))))</f>
        <v>-45000</v>
      </c>
      <c r="E68" s="27" t="n">
        <f aca="false">-IF(E$3&lt;=3,Assumptions!$D$56,IF(E$3&lt;Assumptions!$D$6,Assumptions!$D$57,IF(E$3&lt;=12,Assumptions!$D$58,IF(E$3&lt;=24,Assumptions!$D$59,Assumptions!$D$60))))</f>
        <v>-45000</v>
      </c>
      <c r="F68" s="27" t="n">
        <f aca="false">-IF(F$3&lt;=3,Assumptions!$D$56,IF(F$3&lt;Assumptions!$D$6,Assumptions!$D$57,IF(F$3&lt;=12,Assumptions!$D$58,IF(F$3&lt;=24,Assumptions!$D$59,Assumptions!$D$60))))</f>
        <v>-45000</v>
      </c>
      <c r="G68" s="27" t="n">
        <f aca="false">-IF(G$3&lt;=3,Assumptions!$D$56,IF(G$3&lt;Assumptions!$D$6,Assumptions!$D$57,IF(G$3&lt;=12,Assumptions!$D$58,IF(G$3&lt;=24,Assumptions!$D$59,Assumptions!$D$60))))</f>
        <v>-90000</v>
      </c>
      <c r="H68" s="27" t="n">
        <f aca="false">-IF(H$3&lt;=3,Assumptions!$D$56,IF(H$3&lt;Assumptions!$D$6,Assumptions!$D$57,IF(H$3&lt;=12,Assumptions!$D$58,IF(H$3&lt;=24,Assumptions!$D$59,Assumptions!$D$60))))</f>
        <v>-90000</v>
      </c>
      <c r="I68" s="27" t="n">
        <f aca="false">-IF(I$3&lt;=3,Assumptions!$D$56,IF(I$3&lt;Assumptions!$D$6,Assumptions!$D$57,IF(I$3&lt;=12,Assumptions!$D$58,IF(I$3&lt;=24,Assumptions!$D$59,Assumptions!$D$60))))</f>
        <v>-90000</v>
      </c>
      <c r="J68" s="27" t="n">
        <f aca="false">-IF(J$3&lt;=3,Assumptions!$D$56,IF(J$3&lt;Assumptions!$D$6,Assumptions!$D$57,IF(J$3&lt;=12,Assumptions!$D$58,IF(J$3&lt;=24,Assumptions!$D$59,Assumptions!$D$60))))</f>
        <v>-90000</v>
      </c>
      <c r="K68" s="27" t="n">
        <f aca="false">-IF(K$3&lt;=3,Assumptions!$D$56,IF(K$3&lt;Assumptions!$D$6,Assumptions!$D$57,IF(K$3&lt;=12,Assumptions!$D$58,IF(K$3&lt;=24,Assumptions!$D$59,Assumptions!$D$60))))</f>
        <v>-90000</v>
      </c>
      <c r="L68" s="27" t="n">
        <f aca="false">-IF(L$3&lt;=3,Assumptions!$D$56,IF(L$3&lt;Assumptions!$D$6,Assumptions!$D$57,IF(L$3&lt;=12,Assumptions!$D$58,IF(L$3&lt;=24,Assumptions!$D$59,Assumptions!$D$60))))</f>
        <v>-140000</v>
      </c>
      <c r="M68" s="27" t="n">
        <f aca="false">-IF(M$3&lt;=3,Assumptions!$D$56,IF(M$3&lt;Assumptions!$D$6,Assumptions!$D$57,IF(M$3&lt;=12,Assumptions!$D$58,IF(M$3&lt;=24,Assumptions!$D$59,Assumptions!$D$60))))</f>
        <v>-140000</v>
      </c>
      <c r="N68" s="27" t="n">
        <f aca="false">-IF(N$3&lt;=3,Assumptions!$D$56,IF(N$3&lt;Assumptions!$D$6,Assumptions!$D$57,IF(N$3&lt;=12,Assumptions!$D$58,IF(N$3&lt;=24,Assumptions!$D$59,Assumptions!$D$60))))</f>
        <v>-140000</v>
      </c>
      <c r="O68" s="27" t="n">
        <f aca="false">-IF(O$3&lt;=3,Assumptions!$D$56,IF(O$3&lt;Assumptions!$D$6,Assumptions!$D$57,IF(O$3&lt;=12,Assumptions!$D$58,IF(O$3&lt;=24,Assumptions!$D$59,Assumptions!$D$60))))</f>
        <v>-140000</v>
      </c>
      <c r="P68" s="27" t="n">
        <f aca="false">-IF(P$3&lt;=3,Assumptions!$D$56,IF(P$3&lt;Assumptions!$D$6,Assumptions!$D$57,IF(P$3&lt;=12,Assumptions!$D$58,IF(P$3&lt;=24,Assumptions!$D$59,Assumptions!$D$60))))</f>
        <v>-160000</v>
      </c>
      <c r="Q68" s="27" t="n">
        <f aca="false">-IF(Q$3&lt;=3,Assumptions!$D$56,IF(Q$3&lt;Assumptions!$D$6,Assumptions!$D$57,IF(Q$3&lt;=12,Assumptions!$D$58,IF(Q$3&lt;=24,Assumptions!$D$59,Assumptions!$D$60))))</f>
        <v>-160000</v>
      </c>
      <c r="R68" s="27" t="n">
        <f aca="false">-IF(R$3&lt;=3,Assumptions!$D$56,IF(R$3&lt;Assumptions!$D$6,Assumptions!$D$57,IF(R$3&lt;=12,Assumptions!$D$58,IF(R$3&lt;=24,Assumptions!$D$59,Assumptions!$D$60))))</f>
        <v>-160000</v>
      </c>
      <c r="S68" s="27" t="n">
        <f aca="false">-IF(S$3&lt;=3,Assumptions!$D$56,IF(S$3&lt;Assumptions!$D$6,Assumptions!$D$57,IF(S$3&lt;=12,Assumptions!$D$58,IF(S$3&lt;=24,Assumptions!$D$59,Assumptions!$D$60))))</f>
        <v>-160000</v>
      </c>
      <c r="T68" s="27" t="n">
        <f aca="false">-IF(T$3&lt;=3,Assumptions!$D$56,IF(T$3&lt;Assumptions!$D$6,Assumptions!$D$57,IF(T$3&lt;=12,Assumptions!$D$58,IF(T$3&lt;=24,Assumptions!$D$59,Assumptions!$D$60))))</f>
        <v>-160000</v>
      </c>
      <c r="U68" s="27" t="n">
        <f aca="false">-IF(U$3&lt;=3,Assumptions!$D$56,IF(U$3&lt;Assumptions!$D$6,Assumptions!$D$57,IF(U$3&lt;=12,Assumptions!$D$58,IF(U$3&lt;=24,Assumptions!$D$59,Assumptions!$D$60))))</f>
        <v>-160000</v>
      </c>
      <c r="V68" s="27" t="n">
        <f aca="false">-IF(V$3&lt;=3,Assumptions!$D$56,IF(V$3&lt;Assumptions!$D$6,Assumptions!$D$57,IF(V$3&lt;=12,Assumptions!$D$58,IF(V$3&lt;=24,Assumptions!$D$59,Assumptions!$D$60))))</f>
        <v>-160000</v>
      </c>
      <c r="W68" s="27" t="n">
        <f aca="false">-IF(W$3&lt;=3,Assumptions!$D$56,IF(W$3&lt;Assumptions!$D$6,Assumptions!$D$57,IF(W$3&lt;=12,Assumptions!$D$58,IF(W$3&lt;=24,Assumptions!$D$59,Assumptions!$D$60))))</f>
        <v>-160000</v>
      </c>
      <c r="X68" s="27" t="n">
        <f aca="false">-IF(X$3&lt;=3,Assumptions!$D$56,IF(X$3&lt;Assumptions!$D$6,Assumptions!$D$57,IF(X$3&lt;=12,Assumptions!$D$58,IF(X$3&lt;=24,Assumptions!$D$59,Assumptions!$D$60))))</f>
        <v>-160000</v>
      </c>
      <c r="Y68" s="27" t="n">
        <f aca="false">-IF(Y$3&lt;=3,Assumptions!$D$56,IF(Y$3&lt;Assumptions!$D$6,Assumptions!$D$57,IF(Y$3&lt;=12,Assumptions!$D$58,IF(Y$3&lt;=24,Assumptions!$D$59,Assumptions!$D$60))))</f>
        <v>-160000</v>
      </c>
      <c r="Z68" s="27" t="n">
        <f aca="false">-IF(Z$3&lt;=3,Assumptions!$D$56,IF(Z$3&lt;Assumptions!$D$6,Assumptions!$D$57,IF(Z$3&lt;=12,Assumptions!$D$58,IF(Z$3&lt;=24,Assumptions!$D$59,Assumptions!$D$60))))</f>
        <v>-160000</v>
      </c>
      <c r="AA68" s="27" t="n">
        <f aca="false">-IF(AA$3&lt;=3,Assumptions!$D$56,IF(AA$3&lt;Assumptions!$D$6,Assumptions!$D$57,IF(AA$3&lt;=12,Assumptions!$D$58,IF(AA$3&lt;=24,Assumptions!$D$59,Assumptions!$D$60))))</f>
        <v>-160000</v>
      </c>
      <c r="AB68" s="27" t="n">
        <f aca="false">-IF(AB$3&lt;=3,Assumptions!$D$56,IF(AB$3&lt;Assumptions!$D$6,Assumptions!$D$57,IF(AB$3&lt;=12,Assumptions!$D$58,IF(AB$3&lt;=24,Assumptions!$D$59,Assumptions!$D$60))))</f>
        <v>-190000</v>
      </c>
      <c r="AC68" s="27" t="n">
        <f aca="false">-IF(AC$3&lt;=3,Assumptions!$D$56,IF(AC$3&lt;Assumptions!$D$6,Assumptions!$D$57,IF(AC$3&lt;=12,Assumptions!$D$58,IF(AC$3&lt;=24,Assumptions!$D$59,Assumptions!$D$60))))</f>
        <v>-190000</v>
      </c>
      <c r="AD68" s="27" t="n">
        <f aca="false">-IF(AD$3&lt;=3,Assumptions!$D$56,IF(AD$3&lt;Assumptions!$D$6,Assumptions!$D$57,IF(AD$3&lt;=12,Assumptions!$D$58,IF(AD$3&lt;=24,Assumptions!$D$59,Assumptions!$D$60))))</f>
        <v>-190000</v>
      </c>
      <c r="AE68" s="27" t="n">
        <f aca="false">-IF(AE$3&lt;=3,Assumptions!$D$56,IF(AE$3&lt;Assumptions!$D$6,Assumptions!$D$57,IF(AE$3&lt;=12,Assumptions!$D$58,IF(AE$3&lt;=24,Assumptions!$D$59,Assumptions!$D$60))))</f>
        <v>-190000</v>
      </c>
      <c r="AF68" s="27" t="n">
        <f aca="false">-IF(AF$3&lt;=3,Assumptions!$D$56,IF(AF$3&lt;Assumptions!$D$6,Assumptions!$D$57,IF(AF$3&lt;=12,Assumptions!$D$58,IF(AF$3&lt;=24,Assumptions!$D$59,Assumptions!$D$60))))</f>
        <v>-190000</v>
      </c>
      <c r="AG68" s="27" t="n">
        <f aca="false">-IF(AG$3&lt;=3,Assumptions!$D$56,IF(AG$3&lt;Assumptions!$D$6,Assumptions!$D$57,IF(AG$3&lt;=12,Assumptions!$D$58,IF(AG$3&lt;=24,Assumptions!$D$59,Assumptions!$D$60))))</f>
        <v>-190000</v>
      </c>
      <c r="AH68" s="27" t="n">
        <f aca="false">-IF(AH$3&lt;=3,Assumptions!$D$56,IF(AH$3&lt;Assumptions!$D$6,Assumptions!$D$57,IF(AH$3&lt;=12,Assumptions!$D$58,IF(AH$3&lt;=24,Assumptions!$D$59,Assumptions!$D$60))))</f>
        <v>-190000</v>
      </c>
      <c r="AI68" s="27" t="n">
        <f aca="false">-IF(AI$3&lt;=3,Assumptions!$D$56,IF(AI$3&lt;Assumptions!$D$6,Assumptions!$D$57,IF(AI$3&lt;=12,Assumptions!$D$58,IF(AI$3&lt;=24,Assumptions!$D$59,Assumptions!$D$60))))</f>
        <v>-190000</v>
      </c>
      <c r="AJ68" s="27" t="n">
        <f aca="false">-IF(AJ$3&lt;=3,Assumptions!$D$56,IF(AJ$3&lt;Assumptions!$D$6,Assumptions!$D$57,IF(AJ$3&lt;=12,Assumptions!$D$58,IF(AJ$3&lt;=24,Assumptions!$D$59,Assumptions!$D$60))))</f>
        <v>-190000</v>
      </c>
      <c r="AK68" s="27" t="n">
        <f aca="false">-IF(AK$3&lt;=3,Assumptions!$D$56,IF(AK$3&lt;Assumptions!$D$6,Assumptions!$D$57,IF(AK$3&lt;=12,Assumptions!$D$58,IF(AK$3&lt;=24,Assumptions!$D$59,Assumptions!$D$60))))</f>
        <v>-190000</v>
      </c>
      <c r="AL68" s="27" t="n">
        <f aca="false">-IF(AL$3&lt;=3,Assumptions!$D$56,IF(AL$3&lt;Assumptions!$D$6,Assumptions!$D$57,IF(AL$3&lt;=12,Assumptions!$D$58,IF(AL$3&lt;=24,Assumptions!$D$59,Assumptions!$D$60))))</f>
        <v>-190000</v>
      </c>
      <c r="AM68" s="27" t="n">
        <f aca="false">-IF(AM$3&lt;=3,Assumptions!$D$56,IF(AM$3&lt;Assumptions!$D$6,Assumptions!$D$57,IF(AM$3&lt;=12,Assumptions!$D$58,IF(AM$3&lt;=24,Assumptions!$D$59,Assumptions!$D$60))))</f>
        <v>-190000</v>
      </c>
    </row>
    <row r="69" customFormat="false" ht="15" hidden="false" customHeight="false" outlineLevel="0" collapsed="false">
      <c r="A69" s="8" t="s">
        <v>378</v>
      </c>
      <c r="B69" s="8" t="s">
        <v>50</v>
      </c>
      <c r="C69" s="27" t="n">
        <f aca="false">SUM(D69:AM69)</f>
        <v>-540000</v>
      </c>
      <c r="D69" s="27" t="n">
        <f aca="false">-Assumptions!$D$61</f>
        <v>-15000</v>
      </c>
      <c r="E69" s="27" t="n">
        <f aca="false">-Assumptions!$D$61</f>
        <v>-15000</v>
      </c>
      <c r="F69" s="27" t="n">
        <f aca="false">-Assumptions!$D$61</f>
        <v>-15000</v>
      </c>
      <c r="G69" s="27" t="n">
        <f aca="false">-Assumptions!$D$61</f>
        <v>-15000</v>
      </c>
      <c r="H69" s="27" t="n">
        <f aca="false">-Assumptions!$D$61</f>
        <v>-15000</v>
      </c>
      <c r="I69" s="27" t="n">
        <f aca="false">-Assumptions!$D$61</f>
        <v>-15000</v>
      </c>
      <c r="J69" s="27" t="n">
        <f aca="false">-Assumptions!$D$61</f>
        <v>-15000</v>
      </c>
      <c r="K69" s="27" t="n">
        <f aca="false">-Assumptions!$D$61</f>
        <v>-15000</v>
      </c>
      <c r="L69" s="27" t="n">
        <f aca="false">-Assumptions!$D$61</f>
        <v>-15000</v>
      </c>
      <c r="M69" s="27" t="n">
        <f aca="false">-Assumptions!$D$61</f>
        <v>-15000</v>
      </c>
      <c r="N69" s="27" t="n">
        <f aca="false">-Assumptions!$D$61</f>
        <v>-15000</v>
      </c>
      <c r="O69" s="27" t="n">
        <f aca="false">-Assumptions!$D$61</f>
        <v>-15000</v>
      </c>
      <c r="P69" s="27" t="n">
        <f aca="false">-Assumptions!$D$61</f>
        <v>-15000</v>
      </c>
      <c r="Q69" s="27" t="n">
        <f aca="false">-Assumptions!$D$61</f>
        <v>-15000</v>
      </c>
      <c r="R69" s="27" t="n">
        <f aca="false">-Assumptions!$D$61</f>
        <v>-15000</v>
      </c>
      <c r="S69" s="27" t="n">
        <f aca="false">-Assumptions!$D$61</f>
        <v>-15000</v>
      </c>
      <c r="T69" s="27" t="n">
        <f aca="false">-Assumptions!$D$61</f>
        <v>-15000</v>
      </c>
      <c r="U69" s="27" t="n">
        <f aca="false">-Assumptions!$D$61</f>
        <v>-15000</v>
      </c>
      <c r="V69" s="27" t="n">
        <f aca="false">-Assumptions!$D$61</f>
        <v>-15000</v>
      </c>
      <c r="W69" s="27" t="n">
        <f aca="false">-Assumptions!$D$61</f>
        <v>-15000</v>
      </c>
      <c r="X69" s="27" t="n">
        <f aca="false">-Assumptions!$D$61</f>
        <v>-15000</v>
      </c>
      <c r="Y69" s="27" t="n">
        <f aca="false">-Assumptions!$D$61</f>
        <v>-15000</v>
      </c>
      <c r="Z69" s="27" t="n">
        <f aca="false">-Assumptions!$D$61</f>
        <v>-15000</v>
      </c>
      <c r="AA69" s="27" t="n">
        <f aca="false">-Assumptions!$D$61</f>
        <v>-15000</v>
      </c>
      <c r="AB69" s="27" t="n">
        <f aca="false">-Assumptions!$D$61</f>
        <v>-15000</v>
      </c>
      <c r="AC69" s="27" t="n">
        <f aca="false">-Assumptions!$D$61</f>
        <v>-15000</v>
      </c>
      <c r="AD69" s="27" t="n">
        <f aca="false">-Assumptions!$D$61</f>
        <v>-15000</v>
      </c>
      <c r="AE69" s="27" t="n">
        <f aca="false">-Assumptions!$D$61</f>
        <v>-15000</v>
      </c>
      <c r="AF69" s="27" t="n">
        <f aca="false">-Assumptions!$D$61</f>
        <v>-15000</v>
      </c>
      <c r="AG69" s="27" t="n">
        <f aca="false">-Assumptions!$D$61</f>
        <v>-15000</v>
      </c>
      <c r="AH69" s="27" t="n">
        <f aca="false">-Assumptions!$D$61</f>
        <v>-15000</v>
      </c>
      <c r="AI69" s="27" t="n">
        <f aca="false">-Assumptions!$D$61</f>
        <v>-15000</v>
      </c>
      <c r="AJ69" s="27" t="n">
        <f aca="false">-Assumptions!$D$61</f>
        <v>-15000</v>
      </c>
      <c r="AK69" s="27" t="n">
        <f aca="false">-Assumptions!$D$61</f>
        <v>-15000</v>
      </c>
      <c r="AL69" s="27" t="n">
        <f aca="false">-Assumptions!$D$61</f>
        <v>-15000</v>
      </c>
      <c r="AM69" s="27" t="n">
        <f aca="false">-Assumptions!$D$61</f>
        <v>-15000</v>
      </c>
    </row>
    <row r="70" customFormat="false" ht="15" hidden="false" customHeight="false" outlineLevel="0" collapsed="false">
      <c r="A70" s="8" t="s">
        <v>379</v>
      </c>
      <c r="B70" s="8" t="s">
        <v>50</v>
      </c>
      <c r="C70" s="27" t="n">
        <f aca="false">SUM(D70:AM70)</f>
        <v>-624000</v>
      </c>
      <c r="D70" s="27" t="n">
        <f aca="false">-IF(D9=1,Assumptions!$D$63,Assumptions!$D$62)</f>
        <v>-8000</v>
      </c>
      <c r="E70" s="27" t="n">
        <f aca="false">-IF(E9=1,Assumptions!$D$63,Assumptions!$D$62)</f>
        <v>-8000</v>
      </c>
      <c r="F70" s="27" t="n">
        <f aca="false">-IF(F9=1,Assumptions!$D$63,Assumptions!$D$62)</f>
        <v>-8000</v>
      </c>
      <c r="G70" s="27" t="n">
        <f aca="false">-IF(G9=1,Assumptions!$D$63,Assumptions!$D$62)</f>
        <v>-8000</v>
      </c>
      <c r="H70" s="27" t="n">
        <f aca="false">-IF(H9=1,Assumptions!$D$63,Assumptions!$D$62)</f>
        <v>-8000</v>
      </c>
      <c r="I70" s="27" t="n">
        <f aca="false">-IF(I9=1,Assumptions!$D$63,Assumptions!$D$62)</f>
        <v>-8000</v>
      </c>
      <c r="J70" s="27" t="n">
        <f aca="false">-IF(J9=1,Assumptions!$D$63,Assumptions!$D$62)</f>
        <v>-8000</v>
      </c>
      <c r="K70" s="27" t="n">
        <f aca="false">-IF(K9=1,Assumptions!$D$63,Assumptions!$D$62)</f>
        <v>-8000</v>
      </c>
      <c r="L70" s="27" t="n">
        <f aca="false">-IF(L9=1,Assumptions!$D$63,Assumptions!$D$62)</f>
        <v>-20000</v>
      </c>
      <c r="M70" s="27" t="n">
        <f aca="false">-IF(M9=1,Assumptions!$D$63,Assumptions!$D$62)</f>
        <v>-20000</v>
      </c>
      <c r="N70" s="27" t="n">
        <f aca="false">-IF(N9=1,Assumptions!$D$63,Assumptions!$D$62)</f>
        <v>-20000</v>
      </c>
      <c r="O70" s="27" t="n">
        <f aca="false">-IF(O9=1,Assumptions!$D$63,Assumptions!$D$62)</f>
        <v>-20000</v>
      </c>
      <c r="P70" s="27" t="n">
        <f aca="false">-IF(P9=1,Assumptions!$D$63,Assumptions!$D$62)</f>
        <v>-20000</v>
      </c>
      <c r="Q70" s="27" t="n">
        <f aca="false">-IF(Q9=1,Assumptions!$D$63,Assumptions!$D$62)</f>
        <v>-20000</v>
      </c>
      <c r="R70" s="27" t="n">
        <f aca="false">-IF(R9=1,Assumptions!$D$63,Assumptions!$D$62)</f>
        <v>-20000</v>
      </c>
      <c r="S70" s="27" t="n">
        <f aca="false">-IF(S9=1,Assumptions!$D$63,Assumptions!$D$62)</f>
        <v>-20000</v>
      </c>
      <c r="T70" s="27" t="n">
        <f aca="false">-IF(T9=1,Assumptions!$D$63,Assumptions!$D$62)</f>
        <v>-20000</v>
      </c>
      <c r="U70" s="27" t="n">
        <f aca="false">-IF(U9=1,Assumptions!$D$63,Assumptions!$D$62)</f>
        <v>-20000</v>
      </c>
      <c r="V70" s="27" t="n">
        <f aca="false">-IF(V9=1,Assumptions!$D$63,Assumptions!$D$62)</f>
        <v>-20000</v>
      </c>
      <c r="W70" s="27" t="n">
        <f aca="false">-IF(W9=1,Assumptions!$D$63,Assumptions!$D$62)</f>
        <v>-20000</v>
      </c>
      <c r="X70" s="27" t="n">
        <f aca="false">-IF(X9=1,Assumptions!$D$63,Assumptions!$D$62)</f>
        <v>-20000</v>
      </c>
      <c r="Y70" s="27" t="n">
        <f aca="false">-IF(Y9=1,Assumptions!$D$63,Assumptions!$D$62)</f>
        <v>-20000</v>
      </c>
      <c r="Z70" s="27" t="n">
        <f aca="false">-IF(Z9=1,Assumptions!$D$63,Assumptions!$D$62)</f>
        <v>-20000</v>
      </c>
      <c r="AA70" s="27" t="n">
        <f aca="false">-IF(AA9=1,Assumptions!$D$63,Assumptions!$D$62)</f>
        <v>-20000</v>
      </c>
      <c r="AB70" s="27" t="n">
        <f aca="false">-IF(AB9=1,Assumptions!$D$63,Assumptions!$D$62)</f>
        <v>-20000</v>
      </c>
      <c r="AC70" s="27" t="n">
        <f aca="false">-IF(AC9=1,Assumptions!$D$63,Assumptions!$D$62)</f>
        <v>-20000</v>
      </c>
      <c r="AD70" s="27" t="n">
        <f aca="false">-IF(AD9=1,Assumptions!$D$63,Assumptions!$D$62)</f>
        <v>-20000</v>
      </c>
      <c r="AE70" s="27" t="n">
        <f aca="false">-IF(AE9=1,Assumptions!$D$63,Assumptions!$D$62)</f>
        <v>-20000</v>
      </c>
      <c r="AF70" s="27" t="n">
        <f aca="false">-IF(AF9=1,Assumptions!$D$63,Assumptions!$D$62)</f>
        <v>-20000</v>
      </c>
      <c r="AG70" s="27" t="n">
        <f aca="false">-IF(AG9=1,Assumptions!$D$63,Assumptions!$D$62)</f>
        <v>-20000</v>
      </c>
      <c r="AH70" s="27" t="n">
        <f aca="false">-IF(AH9=1,Assumptions!$D$63,Assumptions!$D$62)</f>
        <v>-20000</v>
      </c>
      <c r="AI70" s="27" t="n">
        <f aca="false">-IF(AI9=1,Assumptions!$D$63,Assumptions!$D$62)</f>
        <v>-20000</v>
      </c>
      <c r="AJ70" s="27" t="n">
        <f aca="false">-IF(AJ9=1,Assumptions!$D$63,Assumptions!$D$62)</f>
        <v>-20000</v>
      </c>
      <c r="AK70" s="27" t="n">
        <f aca="false">-IF(AK9=1,Assumptions!$D$63,Assumptions!$D$62)</f>
        <v>-20000</v>
      </c>
      <c r="AL70" s="27" t="n">
        <f aca="false">-IF(AL9=1,Assumptions!$D$63,Assumptions!$D$62)</f>
        <v>-20000</v>
      </c>
      <c r="AM70" s="27" t="n">
        <f aca="false">-IF(AM9=1,Assumptions!$D$63,Assumptions!$D$62)</f>
        <v>-20000</v>
      </c>
    </row>
    <row r="71" customFormat="false" ht="15" hidden="false" customHeight="false" outlineLevel="0" collapsed="false">
      <c r="A71" s="8" t="s">
        <v>380</v>
      </c>
      <c r="B71" s="8" t="s">
        <v>50</v>
      </c>
      <c r="C71" s="27" t="n">
        <f aca="false">SUM(D71:AM71)</f>
        <v>-160000</v>
      </c>
      <c r="D71" s="27" t="n">
        <f aca="false">-IF(D$3&lt;=4,Assumptions!$D$64,0)</f>
        <v>-40000</v>
      </c>
      <c r="E71" s="27" t="n">
        <f aca="false">-IF(E$3&lt;=4,Assumptions!$D$64,0)</f>
        <v>-40000</v>
      </c>
      <c r="F71" s="27" t="n">
        <f aca="false">-IF(F$3&lt;=4,Assumptions!$D$64,0)</f>
        <v>-40000</v>
      </c>
      <c r="G71" s="27" t="n">
        <f aca="false">-IF(G$3&lt;=4,Assumptions!$D$64,0)</f>
        <v>-40000</v>
      </c>
      <c r="H71" s="27" t="n">
        <f aca="false">-IF(H$3&lt;=4,Assumptions!$D$64,0)</f>
        <v>-0</v>
      </c>
      <c r="I71" s="27" t="n">
        <f aca="false">-IF(I$3&lt;=4,Assumptions!$D$64,0)</f>
        <v>-0</v>
      </c>
      <c r="J71" s="27" t="n">
        <f aca="false">-IF(J$3&lt;=4,Assumptions!$D$64,0)</f>
        <v>-0</v>
      </c>
      <c r="K71" s="27" t="n">
        <f aca="false">-IF(K$3&lt;=4,Assumptions!$D$64,0)</f>
        <v>-0</v>
      </c>
      <c r="L71" s="27" t="n">
        <f aca="false">-IF(L$3&lt;=4,Assumptions!$D$64,0)</f>
        <v>-0</v>
      </c>
      <c r="M71" s="27" t="n">
        <f aca="false">-IF(M$3&lt;=4,Assumptions!$D$64,0)</f>
        <v>-0</v>
      </c>
      <c r="N71" s="27" t="n">
        <f aca="false">-IF(N$3&lt;=4,Assumptions!$D$64,0)</f>
        <v>-0</v>
      </c>
      <c r="O71" s="27" t="n">
        <f aca="false">-IF(O$3&lt;=4,Assumptions!$D$64,0)</f>
        <v>-0</v>
      </c>
      <c r="P71" s="27" t="n">
        <f aca="false">-IF(P$3&lt;=4,Assumptions!$D$64,0)</f>
        <v>-0</v>
      </c>
      <c r="Q71" s="27" t="n">
        <f aca="false">-IF(Q$3&lt;=4,Assumptions!$D$64,0)</f>
        <v>-0</v>
      </c>
      <c r="R71" s="27" t="n">
        <f aca="false">-IF(R$3&lt;=4,Assumptions!$D$64,0)</f>
        <v>-0</v>
      </c>
      <c r="S71" s="27" t="n">
        <f aca="false">-IF(S$3&lt;=4,Assumptions!$D$64,0)</f>
        <v>-0</v>
      </c>
      <c r="T71" s="27" t="n">
        <f aca="false">-IF(T$3&lt;=4,Assumptions!$D$64,0)</f>
        <v>-0</v>
      </c>
      <c r="U71" s="27" t="n">
        <f aca="false">-IF(U$3&lt;=4,Assumptions!$D$64,0)</f>
        <v>-0</v>
      </c>
      <c r="V71" s="27" t="n">
        <f aca="false">-IF(V$3&lt;=4,Assumptions!$D$64,0)</f>
        <v>-0</v>
      </c>
      <c r="W71" s="27" t="n">
        <f aca="false">-IF(W$3&lt;=4,Assumptions!$D$64,0)</f>
        <v>-0</v>
      </c>
      <c r="X71" s="27" t="n">
        <f aca="false">-IF(X$3&lt;=4,Assumptions!$D$64,0)</f>
        <v>-0</v>
      </c>
      <c r="Y71" s="27" t="n">
        <f aca="false">-IF(Y$3&lt;=4,Assumptions!$D$64,0)</f>
        <v>-0</v>
      </c>
      <c r="Z71" s="27" t="n">
        <f aca="false">-IF(Z$3&lt;=4,Assumptions!$D$64,0)</f>
        <v>-0</v>
      </c>
      <c r="AA71" s="27" t="n">
        <f aca="false">-IF(AA$3&lt;=4,Assumptions!$D$64,0)</f>
        <v>-0</v>
      </c>
      <c r="AB71" s="27" t="n">
        <f aca="false">-IF(AB$3&lt;=4,Assumptions!$D$64,0)</f>
        <v>-0</v>
      </c>
      <c r="AC71" s="27" t="n">
        <f aca="false">-IF(AC$3&lt;=4,Assumptions!$D$64,0)</f>
        <v>-0</v>
      </c>
      <c r="AD71" s="27" t="n">
        <f aca="false">-IF(AD$3&lt;=4,Assumptions!$D$64,0)</f>
        <v>-0</v>
      </c>
      <c r="AE71" s="27" t="n">
        <f aca="false">-IF(AE$3&lt;=4,Assumptions!$D$64,0)</f>
        <v>-0</v>
      </c>
      <c r="AF71" s="27" t="n">
        <f aca="false">-IF(AF$3&lt;=4,Assumptions!$D$64,0)</f>
        <v>-0</v>
      </c>
      <c r="AG71" s="27" t="n">
        <f aca="false">-IF(AG$3&lt;=4,Assumptions!$D$64,0)</f>
        <v>-0</v>
      </c>
      <c r="AH71" s="27" t="n">
        <f aca="false">-IF(AH$3&lt;=4,Assumptions!$D$64,0)</f>
        <v>-0</v>
      </c>
      <c r="AI71" s="27" t="n">
        <f aca="false">-IF(AI$3&lt;=4,Assumptions!$D$64,0)</f>
        <v>-0</v>
      </c>
      <c r="AJ71" s="27" t="n">
        <f aca="false">-IF(AJ$3&lt;=4,Assumptions!$D$64,0)</f>
        <v>-0</v>
      </c>
      <c r="AK71" s="27" t="n">
        <f aca="false">-IF(AK$3&lt;=4,Assumptions!$D$64,0)</f>
        <v>-0</v>
      </c>
      <c r="AL71" s="27" t="n">
        <f aca="false">-IF(AL$3&lt;=4,Assumptions!$D$64,0)</f>
        <v>-0</v>
      </c>
      <c r="AM71" s="27" t="n">
        <f aca="false">-IF(AM$3&lt;=4,Assumptions!$D$64,0)</f>
        <v>-0</v>
      </c>
    </row>
    <row r="72" customFormat="false" ht="15" hidden="false" customHeight="false" outlineLevel="0" collapsed="false">
      <c r="A72" s="8" t="s">
        <v>381</v>
      </c>
      <c r="B72" s="8" t="s">
        <v>50</v>
      </c>
      <c r="C72" s="27" t="n">
        <f aca="false">SUM(D72:AM72)</f>
        <v>-615000</v>
      </c>
      <c r="D72" s="27" t="n">
        <f aca="false">-IF(D$3&lt;=3,Assumptions!$D$65,Assumptions!$D$66)</f>
        <v>-40000</v>
      </c>
      <c r="E72" s="27" t="n">
        <f aca="false">-IF(E$3&lt;=3,Assumptions!$D$65,Assumptions!$D$66)</f>
        <v>-40000</v>
      </c>
      <c r="F72" s="27" t="n">
        <f aca="false">-IF(F$3&lt;=3,Assumptions!$D$65,Assumptions!$D$66)</f>
        <v>-40000</v>
      </c>
      <c r="G72" s="27" t="n">
        <f aca="false">-IF(G$3&lt;=3,Assumptions!$D$65,Assumptions!$D$66)</f>
        <v>-15000</v>
      </c>
      <c r="H72" s="27" t="n">
        <f aca="false">-IF(H$3&lt;=3,Assumptions!$D$65,Assumptions!$D$66)</f>
        <v>-15000</v>
      </c>
      <c r="I72" s="27" t="n">
        <f aca="false">-IF(I$3&lt;=3,Assumptions!$D$65,Assumptions!$D$66)</f>
        <v>-15000</v>
      </c>
      <c r="J72" s="27" t="n">
        <f aca="false">-IF(J$3&lt;=3,Assumptions!$D$65,Assumptions!$D$66)</f>
        <v>-15000</v>
      </c>
      <c r="K72" s="27" t="n">
        <f aca="false">-IF(K$3&lt;=3,Assumptions!$D$65,Assumptions!$D$66)</f>
        <v>-15000</v>
      </c>
      <c r="L72" s="27" t="n">
        <f aca="false">-IF(L$3&lt;=3,Assumptions!$D$65,Assumptions!$D$66)</f>
        <v>-15000</v>
      </c>
      <c r="M72" s="27" t="n">
        <f aca="false">-IF(M$3&lt;=3,Assumptions!$D$65,Assumptions!$D$66)</f>
        <v>-15000</v>
      </c>
      <c r="N72" s="27" t="n">
        <f aca="false">-IF(N$3&lt;=3,Assumptions!$D$65,Assumptions!$D$66)</f>
        <v>-15000</v>
      </c>
      <c r="O72" s="27" t="n">
        <f aca="false">-IF(O$3&lt;=3,Assumptions!$D$65,Assumptions!$D$66)</f>
        <v>-15000</v>
      </c>
      <c r="P72" s="27" t="n">
        <f aca="false">-IF(P$3&lt;=3,Assumptions!$D$65,Assumptions!$D$66)</f>
        <v>-15000</v>
      </c>
      <c r="Q72" s="27" t="n">
        <f aca="false">-IF(Q$3&lt;=3,Assumptions!$D$65,Assumptions!$D$66)</f>
        <v>-15000</v>
      </c>
      <c r="R72" s="27" t="n">
        <f aca="false">-IF(R$3&lt;=3,Assumptions!$D$65,Assumptions!$D$66)</f>
        <v>-15000</v>
      </c>
      <c r="S72" s="27" t="n">
        <f aca="false">-IF(S$3&lt;=3,Assumptions!$D$65,Assumptions!$D$66)</f>
        <v>-15000</v>
      </c>
      <c r="T72" s="27" t="n">
        <f aca="false">-IF(T$3&lt;=3,Assumptions!$D$65,Assumptions!$D$66)</f>
        <v>-15000</v>
      </c>
      <c r="U72" s="27" t="n">
        <f aca="false">-IF(U$3&lt;=3,Assumptions!$D$65,Assumptions!$D$66)</f>
        <v>-15000</v>
      </c>
      <c r="V72" s="27" t="n">
        <f aca="false">-IF(V$3&lt;=3,Assumptions!$D$65,Assumptions!$D$66)</f>
        <v>-15000</v>
      </c>
      <c r="W72" s="27" t="n">
        <f aca="false">-IF(W$3&lt;=3,Assumptions!$D$65,Assumptions!$D$66)</f>
        <v>-15000</v>
      </c>
      <c r="X72" s="27" t="n">
        <f aca="false">-IF(X$3&lt;=3,Assumptions!$D$65,Assumptions!$D$66)</f>
        <v>-15000</v>
      </c>
      <c r="Y72" s="27" t="n">
        <f aca="false">-IF(Y$3&lt;=3,Assumptions!$D$65,Assumptions!$D$66)</f>
        <v>-15000</v>
      </c>
      <c r="Z72" s="27" t="n">
        <f aca="false">-IF(Z$3&lt;=3,Assumptions!$D$65,Assumptions!$D$66)</f>
        <v>-15000</v>
      </c>
      <c r="AA72" s="27" t="n">
        <f aca="false">-IF(AA$3&lt;=3,Assumptions!$D$65,Assumptions!$D$66)</f>
        <v>-15000</v>
      </c>
      <c r="AB72" s="27" t="n">
        <f aca="false">-IF(AB$3&lt;=3,Assumptions!$D$65,Assumptions!$D$66)</f>
        <v>-15000</v>
      </c>
      <c r="AC72" s="27" t="n">
        <f aca="false">-IF(AC$3&lt;=3,Assumptions!$D$65,Assumptions!$D$66)</f>
        <v>-15000</v>
      </c>
      <c r="AD72" s="27" t="n">
        <f aca="false">-IF(AD$3&lt;=3,Assumptions!$D$65,Assumptions!$D$66)</f>
        <v>-15000</v>
      </c>
      <c r="AE72" s="27" t="n">
        <f aca="false">-IF(AE$3&lt;=3,Assumptions!$D$65,Assumptions!$D$66)</f>
        <v>-15000</v>
      </c>
      <c r="AF72" s="27" t="n">
        <f aca="false">-IF(AF$3&lt;=3,Assumptions!$D$65,Assumptions!$D$66)</f>
        <v>-15000</v>
      </c>
      <c r="AG72" s="27" t="n">
        <f aca="false">-IF(AG$3&lt;=3,Assumptions!$D$65,Assumptions!$D$66)</f>
        <v>-15000</v>
      </c>
      <c r="AH72" s="27" t="n">
        <f aca="false">-IF(AH$3&lt;=3,Assumptions!$D$65,Assumptions!$D$66)</f>
        <v>-15000</v>
      </c>
      <c r="AI72" s="27" t="n">
        <f aca="false">-IF(AI$3&lt;=3,Assumptions!$D$65,Assumptions!$D$66)</f>
        <v>-15000</v>
      </c>
      <c r="AJ72" s="27" t="n">
        <f aca="false">-IF(AJ$3&lt;=3,Assumptions!$D$65,Assumptions!$D$66)</f>
        <v>-15000</v>
      </c>
      <c r="AK72" s="27" t="n">
        <f aca="false">-IF(AK$3&lt;=3,Assumptions!$D$65,Assumptions!$D$66)</f>
        <v>-15000</v>
      </c>
      <c r="AL72" s="27" t="n">
        <f aca="false">-IF(AL$3&lt;=3,Assumptions!$D$65,Assumptions!$D$66)</f>
        <v>-15000</v>
      </c>
      <c r="AM72" s="27" t="n">
        <f aca="false">-IF(AM$3&lt;=3,Assumptions!$D$65,Assumptions!$D$66)</f>
        <v>-15000</v>
      </c>
    </row>
    <row r="73" customFormat="false" ht="15" hidden="false" customHeight="false" outlineLevel="0" collapsed="false">
      <c r="A73" s="8" t="s">
        <v>382</v>
      </c>
      <c r="B73" s="8" t="s">
        <v>50</v>
      </c>
      <c r="C73" s="27" t="n">
        <f aca="false">SUM(D73:AM73)</f>
        <v>-168000</v>
      </c>
      <c r="D73" s="27" t="n">
        <f aca="false">-IF(D9=1,Assumptions!$D$67,0)</f>
        <v>-0</v>
      </c>
      <c r="E73" s="27" t="n">
        <f aca="false">-IF(E9=1,Assumptions!$D$67,0)</f>
        <v>-0</v>
      </c>
      <c r="F73" s="27" t="n">
        <f aca="false">-IF(F9=1,Assumptions!$D$67,0)</f>
        <v>-0</v>
      </c>
      <c r="G73" s="27" t="n">
        <f aca="false">-IF(G9=1,Assumptions!$D$67,0)</f>
        <v>-0</v>
      </c>
      <c r="H73" s="27" t="n">
        <f aca="false">-IF(H9=1,Assumptions!$D$67,0)</f>
        <v>-0</v>
      </c>
      <c r="I73" s="27" t="n">
        <f aca="false">-IF(I9=1,Assumptions!$D$67,0)</f>
        <v>-0</v>
      </c>
      <c r="J73" s="27" t="n">
        <f aca="false">-IF(J9=1,Assumptions!$D$67,0)</f>
        <v>-0</v>
      </c>
      <c r="K73" s="27" t="n">
        <f aca="false">-IF(K9=1,Assumptions!$D$67,0)</f>
        <v>-0</v>
      </c>
      <c r="L73" s="27" t="n">
        <f aca="false">-IF(L9=1,Assumptions!$D$67,0)</f>
        <v>-6000</v>
      </c>
      <c r="M73" s="27" t="n">
        <f aca="false">-IF(M9=1,Assumptions!$D$67,0)</f>
        <v>-6000</v>
      </c>
      <c r="N73" s="27" t="n">
        <f aca="false">-IF(N9=1,Assumptions!$D$67,0)</f>
        <v>-6000</v>
      </c>
      <c r="O73" s="27" t="n">
        <f aca="false">-IF(O9=1,Assumptions!$D$67,0)</f>
        <v>-6000</v>
      </c>
      <c r="P73" s="27" t="n">
        <f aca="false">-IF(P9=1,Assumptions!$D$67,0)</f>
        <v>-6000</v>
      </c>
      <c r="Q73" s="27" t="n">
        <f aca="false">-IF(Q9=1,Assumptions!$D$67,0)</f>
        <v>-6000</v>
      </c>
      <c r="R73" s="27" t="n">
        <f aca="false">-IF(R9=1,Assumptions!$D$67,0)</f>
        <v>-6000</v>
      </c>
      <c r="S73" s="27" t="n">
        <f aca="false">-IF(S9=1,Assumptions!$D$67,0)</f>
        <v>-6000</v>
      </c>
      <c r="T73" s="27" t="n">
        <f aca="false">-IF(T9=1,Assumptions!$D$67,0)</f>
        <v>-6000</v>
      </c>
      <c r="U73" s="27" t="n">
        <f aca="false">-IF(U9=1,Assumptions!$D$67,0)</f>
        <v>-6000</v>
      </c>
      <c r="V73" s="27" t="n">
        <f aca="false">-IF(V9=1,Assumptions!$D$67,0)</f>
        <v>-6000</v>
      </c>
      <c r="W73" s="27" t="n">
        <f aca="false">-IF(W9=1,Assumptions!$D$67,0)</f>
        <v>-6000</v>
      </c>
      <c r="X73" s="27" t="n">
        <f aca="false">-IF(X9=1,Assumptions!$D$67,0)</f>
        <v>-6000</v>
      </c>
      <c r="Y73" s="27" t="n">
        <f aca="false">-IF(Y9=1,Assumptions!$D$67,0)</f>
        <v>-6000</v>
      </c>
      <c r="Z73" s="27" t="n">
        <f aca="false">-IF(Z9=1,Assumptions!$D$67,0)</f>
        <v>-6000</v>
      </c>
      <c r="AA73" s="27" t="n">
        <f aca="false">-IF(AA9=1,Assumptions!$D$67,0)</f>
        <v>-6000</v>
      </c>
      <c r="AB73" s="27" t="n">
        <f aca="false">-IF(AB9=1,Assumptions!$D$67,0)</f>
        <v>-6000</v>
      </c>
      <c r="AC73" s="27" t="n">
        <f aca="false">-IF(AC9=1,Assumptions!$D$67,0)</f>
        <v>-6000</v>
      </c>
      <c r="AD73" s="27" t="n">
        <f aca="false">-IF(AD9=1,Assumptions!$D$67,0)</f>
        <v>-6000</v>
      </c>
      <c r="AE73" s="27" t="n">
        <f aca="false">-IF(AE9=1,Assumptions!$D$67,0)</f>
        <v>-6000</v>
      </c>
      <c r="AF73" s="27" t="n">
        <f aca="false">-IF(AF9=1,Assumptions!$D$67,0)</f>
        <v>-6000</v>
      </c>
      <c r="AG73" s="27" t="n">
        <f aca="false">-IF(AG9=1,Assumptions!$D$67,0)</f>
        <v>-6000</v>
      </c>
      <c r="AH73" s="27" t="n">
        <f aca="false">-IF(AH9=1,Assumptions!$D$67,0)</f>
        <v>-6000</v>
      </c>
      <c r="AI73" s="27" t="n">
        <f aca="false">-IF(AI9=1,Assumptions!$D$67,0)</f>
        <v>-6000</v>
      </c>
      <c r="AJ73" s="27" t="n">
        <f aca="false">-IF(AJ9=1,Assumptions!$D$67,0)</f>
        <v>-6000</v>
      </c>
      <c r="AK73" s="27" t="n">
        <f aca="false">-IF(AK9=1,Assumptions!$D$67,0)</f>
        <v>-6000</v>
      </c>
      <c r="AL73" s="27" t="n">
        <f aca="false">-IF(AL9=1,Assumptions!$D$67,0)</f>
        <v>-6000</v>
      </c>
      <c r="AM73" s="27" t="n">
        <f aca="false">-IF(AM9=1,Assumptions!$D$67,0)</f>
        <v>-6000</v>
      </c>
    </row>
    <row r="74" customFormat="false" ht="15" hidden="false" customHeight="false" outlineLevel="0" collapsed="false">
      <c r="A74" s="8" t="s">
        <v>383</v>
      </c>
      <c r="B74" s="8" t="s">
        <v>50</v>
      </c>
      <c r="C74" s="27" t="n">
        <f aca="false">SUM(D74:AM74)</f>
        <v>-820000</v>
      </c>
      <c r="D74" s="27" t="n">
        <f aca="false">-IF(D9=1,Assumptions!$D$69,Assumptions!$D$68)</f>
        <v>-15000</v>
      </c>
      <c r="E74" s="27" t="n">
        <f aca="false">-IF(E9=1,Assumptions!$D$69,Assumptions!$D$68)</f>
        <v>-15000</v>
      </c>
      <c r="F74" s="27" t="n">
        <f aca="false">-IF(F9=1,Assumptions!$D$69,Assumptions!$D$68)</f>
        <v>-15000</v>
      </c>
      <c r="G74" s="27" t="n">
        <f aca="false">-IF(G9=1,Assumptions!$D$69,Assumptions!$D$68)</f>
        <v>-15000</v>
      </c>
      <c r="H74" s="27" t="n">
        <f aca="false">-IF(H9=1,Assumptions!$D$69,Assumptions!$D$68)</f>
        <v>-15000</v>
      </c>
      <c r="I74" s="27" t="n">
        <f aca="false">-IF(I9=1,Assumptions!$D$69,Assumptions!$D$68)</f>
        <v>-15000</v>
      </c>
      <c r="J74" s="27" t="n">
        <f aca="false">-IF(J9=1,Assumptions!$D$69,Assumptions!$D$68)</f>
        <v>-15000</v>
      </c>
      <c r="K74" s="27" t="n">
        <f aca="false">-IF(K9=1,Assumptions!$D$69,Assumptions!$D$68)</f>
        <v>-15000</v>
      </c>
      <c r="L74" s="27" t="n">
        <f aca="false">-IF(L9=1,Assumptions!$D$69,Assumptions!$D$68)</f>
        <v>-25000</v>
      </c>
      <c r="M74" s="27" t="n">
        <f aca="false">-IF(M9=1,Assumptions!$D$69,Assumptions!$D$68)</f>
        <v>-25000</v>
      </c>
      <c r="N74" s="27" t="n">
        <f aca="false">-IF(N9=1,Assumptions!$D$69,Assumptions!$D$68)</f>
        <v>-25000</v>
      </c>
      <c r="O74" s="27" t="n">
        <f aca="false">-IF(O9=1,Assumptions!$D$69,Assumptions!$D$68)</f>
        <v>-25000</v>
      </c>
      <c r="P74" s="27" t="n">
        <f aca="false">-IF(P9=1,Assumptions!$D$69,Assumptions!$D$68)</f>
        <v>-25000</v>
      </c>
      <c r="Q74" s="27" t="n">
        <f aca="false">-IF(Q9=1,Assumptions!$D$69,Assumptions!$D$68)</f>
        <v>-25000</v>
      </c>
      <c r="R74" s="27" t="n">
        <f aca="false">-IF(R9=1,Assumptions!$D$69,Assumptions!$D$68)</f>
        <v>-25000</v>
      </c>
      <c r="S74" s="27" t="n">
        <f aca="false">-IF(S9=1,Assumptions!$D$69,Assumptions!$D$68)</f>
        <v>-25000</v>
      </c>
      <c r="T74" s="27" t="n">
        <f aca="false">-IF(T9=1,Assumptions!$D$69,Assumptions!$D$68)</f>
        <v>-25000</v>
      </c>
      <c r="U74" s="27" t="n">
        <f aca="false">-IF(U9=1,Assumptions!$D$69,Assumptions!$D$68)</f>
        <v>-25000</v>
      </c>
      <c r="V74" s="27" t="n">
        <f aca="false">-IF(V9=1,Assumptions!$D$69,Assumptions!$D$68)</f>
        <v>-25000</v>
      </c>
      <c r="W74" s="27" t="n">
        <f aca="false">-IF(W9=1,Assumptions!$D$69,Assumptions!$D$68)</f>
        <v>-25000</v>
      </c>
      <c r="X74" s="27" t="n">
        <f aca="false">-IF(X9=1,Assumptions!$D$69,Assumptions!$D$68)</f>
        <v>-25000</v>
      </c>
      <c r="Y74" s="27" t="n">
        <f aca="false">-IF(Y9=1,Assumptions!$D$69,Assumptions!$D$68)</f>
        <v>-25000</v>
      </c>
      <c r="Z74" s="27" t="n">
        <f aca="false">-IF(Z9=1,Assumptions!$D$69,Assumptions!$D$68)</f>
        <v>-25000</v>
      </c>
      <c r="AA74" s="27" t="n">
        <f aca="false">-IF(AA9=1,Assumptions!$D$69,Assumptions!$D$68)</f>
        <v>-25000</v>
      </c>
      <c r="AB74" s="27" t="n">
        <f aca="false">-IF(AB9=1,Assumptions!$D$69,Assumptions!$D$68)</f>
        <v>-25000</v>
      </c>
      <c r="AC74" s="27" t="n">
        <f aca="false">-IF(AC9=1,Assumptions!$D$69,Assumptions!$D$68)</f>
        <v>-25000</v>
      </c>
      <c r="AD74" s="27" t="n">
        <f aca="false">-IF(AD9=1,Assumptions!$D$69,Assumptions!$D$68)</f>
        <v>-25000</v>
      </c>
      <c r="AE74" s="27" t="n">
        <f aca="false">-IF(AE9=1,Assumptions!$D$69,Assumptions!$D$68)</f>
        <v>-25000</v>
      </c>
      <c r="AF74" s="27" t="n">
        <f aca="false">-IF(AF9=1,Assumptions!$D$69,Assumptions!$D$68)</f>
        <v>-25000</v>
      </c>
      <c r="AG74" s="27" t="n">
        <f aca="false">-IF(AG9=1,Assumptions!$D$69,Assumptions!$D$68)</f>
        <v>-25000</v>
      </c>
      <c r="AH74" s="27" t="n">
        <f aca="false">-IF(AH9=1,Assumptions!$D$69,Assumptions!$D$68)</f>
        <v>-25000</v>
      </c>
      <c r="AI74" s="27" t="n">
        <f aca="false">-IF(AI9=1,Assumptions!$D$69,Assumptions!$D$68)</f>
        <v>-25000</v>
      </c>
      <c r="AJ74" s="27" t="n">
        <f aca="false">-IF(AJ9=1,Assumptions!$D$69,Assumptions!$D$68)</f>
        <v>-25000</v>
      </c>
      <c r="AK74" s="27" t="n">
        <f aca="false">-IF(AK9=1,Assumptions!$D$69,Assumptions!$D$68)</f>
        <v>-25000</v>
      </c>
      <c r="AL74" s="27" t="n">
        <f aca="false">-IF(AL9=1,Assumptions!$D$69,Assumptions!$D$68)</f>
        <v>-25000</v>
      </c>
      <c r="AM74" s="27" t="n">
        <f aca="false">-IF(AM9=1,Assumptions!$D$69,Assumptions!$D$68)</f>
        <v>-25000</v>
      </c>
    </row>
    <row r="75" customFormat="false" ht="15" hidden="false" customHeight="false" outlineLevel="0" collapsed="false">
      <c r="A75" s="29" t="s">
        <v>384</v>
      </c>
      <c r="B75" s="8" t="s">
        <v>50</v>
      </c>
      <c r="C75" s="31" t="n">
        <f aca="false">SUM(D75:AM75)</f>
        <v>-8272000</v>
      </c>
      <c r="D75" s="31" t="n">
        <f aca="false">SUM(D68:D74)</f>
        <v>-163000</v>
      </c>
      <c r="E75" s="31" t="n">
        <f aca="false">SUM(E68:E74)</f>
        <v>-163000</v>
      </c>
      <c r="F75" s="31" t="n">
        <f aca="false">SUM(F68:F74)</f>
        <v>-163000</v>
      </c>
      <c r="G75" s="31" t="n">
        <f aca="false">SUM(G68:G74)</f>
        <v>-183000</v>
      </c>
      <c r="H75" s="31" t="n">
        <f aca="false">SUM(H68:H74)</f>
        <v>-143000</v>
      </c>
      <c r="I75" s="31" t="n">
        <f aca="false">SUM(I68:I74)</f>
        <v>-143000</v>
      </c>
      <c r="J75" s="31" t="n">
        <f aca="false">SUM(J68:J74)</f>
        <v>-143000</v>
      </c>
      <c r="K75" s="31" t="n">
        <f aca="false">SUM(K68:K74)</f>
        <v>-143000</v>
      </c>
      <c r="L75" s="31" t="n">
        <f aca="false">SUM(L68:L74)</f>
        <v>-221000</v>
      </c>
      <c r="M75" s="31" t="n">
        <f aca="false">SUM(M68:M74)</f>
        <v>-221000</v>
      </c>
      <c r="N75" s="31" t="n">
        <f aca="false">SUM(N68:N74)</f>
        <v>-221000</v>
      </c>
      <c r="O75" s="31" t="n">
        <f aca="false">SUM(O68:O74)</f>
        <v>-221000</v>
      </c>
      <c r="P75" s="31" t="n">
        <f aca="false">SUM(P68:P74)</f>
        <v>-241000</v>
      </c>
      <c r="Q75" s="31" t="n">
        <f aca="false">SUM(Q68:Q74)</f>
        <v>-241000</v>
      </c>
      <c r="R75" s="31" t="n">
        <f aca="false">SUM(R68:R74)</f>
        <v>-241000</v>
      </c>
      <c r="S75" s="31" t="n">
        <f aca="false">SUM(S68:S74)</f>
        <v>-241000</v>
      </c>
      <c r="T75" s="31" t="n">
        <f aca="false">SUM(T68:T74)</f>
        <v>-241000</v>
      </c>
      <c r="U75" s="31" t="n">
        <f aca="false">SUM(U68:U74)</f>
        <v>-241000</v>
      </c>
      <c r="V75" s="31" t="n">
        <f aca="false">SUM(V68:V74)</f>
        <v>-241000</v>
      </c>
      <c r="W75" s="31" t="n">
        <f aca="false">SUM(W68:W74)</f>
        <v>-241000</v>
      </c>
      <c r="X75" s="31" t="n">
        <f aca="false">SUM(X68:X74)</f>
        <v>-241000</v>
      </c>
      <c r="Y75" s="31" t="n">
        <f aca="false">SUM(Y68:Y74)</f>
        <v>-241000</v>
      </c>
      <c r="Z75" s="31" t="n">
        <f aca="false">SUM(Z68:Z74)</f>
        <v>-241000</v>
      </c>
      <c r="AA75" s="31" t="n">
        <f aca="false">SUM(AA68:AA74)</f>
        <v>-241000</v>
      </c>
      <c r="AB75" s="31" t="n">
        <f aca="false">SUM(AB68:AB74)</f>
        <v>-271000</v>
      </c>
      <c r="AC75" s="31" t="n">
        <f aca="false">SUM(AC68:AC74)</f>
        <v>-271000</v>
      </c>
      <c r="AD75" s="31" t="n">
        <f aca="false">SUM(AD68:AD74)</f>
        <v>-271000</v>
      </c>
      <c r="AE75" s="31" t="n">
        <f aca="false">SUM(AE68:AE74)</f>
        <v>-271000</v>
      </c>
      <c r="AF75" s="31" t="n">
        <f aca="false">SUM(AF68:AF74)</f>
        <v>-271000</v>
      </c>
      <c r="AG75" s="31" t="n">
        <f aca="false">SUM(AG68:AG74)</f>
        <v>-271000</v>
      </c>
      <c r="AH75" s="31" t="n">
        <f aca="false">SUM(AH68:AH74)</f>
        <v>-271000</v>
      </c>
      <c r="AI75" s="31" t="n">
        <f aca="false">SUM(AI68:AI74)</f>
        <v>-271000</v>
      </c>
      <c r="AJ75" s="31" t="n">
        <f aca="false">SUM(AJ68:AJ74)</f>
        <v>-271000</v>
      </c>
      <c r="AK75" s="31" t="n">
        <f aca="false">SUM(AK68:AK74)</f>
        <v>-271000</v>
      </c>
      <c r="AL75" s="31" t="n">
        <f aca="false">SUM(AL68:AL74)</f>
        <v>-271000</v>
      </c>
      <c r="AM75" s="31" t="n">
        <f aca="false">SUM(AM68:AM74)</f>
        <v>-271000</v>
      </c>
    </row>
    <row r="76" customFormat="false" ht="15" hidden="false" customHeight="false" outlineLevel="0" collapsed="false">
      <c r="A76" s="5" t="s">
        <v>385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</row>
    <row r="77" customFormat="false" ht="15" hidden="false" customHeight="false" outlineLevel="0" collapsed="false">
      <c r="A77" s="29" t="s">
        <v>386</v>
      </c>
      <c r="B77" s="8" t="s">
        <v>50</v>
      </c>
      <c r="C77" s="31" t="n">
        <f aca="false">SUM(D77:AM77)</f>
        <v>-11060321.9421224</v>
      </c>
      <c r="D77" s="31" t="n">
        <f aca="false">D63+D75</f>
        <v>-173000</v>
      </c>
      <c r="E77" s="31" t="n">
        <f aca="false">E63+E75</f>
        <v>-173000</v>
      </c>
      <c r="F77" s="31" t="n">
        <f aca="false">F63+F75</f>
        <v>-173000</v>
      </c>
      <c r="G77" s="31" t="n">
        <f aca="false">G63+G75</f>
        <v>-193000</v>
      </c>
      <c r="H77" s="31" t="n">
        <f aca="false">H63+H75</f>
        <v>-153000</v>
      </c>
      <c r="I77" s="31" t="n">
        <f aca="false">I63+I75</f>
        <v>-204613.734350568</v>
      </c>
      <c r="J77" s="31" t="n">
        <f aca="false">J63+J75</f>
        <v>-203505.834657612</v>
      </c>
      <c r="K77" s="31" t="n">
        <f aca="false">K63+K75</f>
        <v>-202478.973137938</v>
      </c>
      <c r="L77" s="31" t="n">
        <f aca="false">L63+L75</f>
        <v>-497047.274705272</v>
      </c>
      <c r="M77" s="31" t="n">
        <f aca="false">M63+M75</f>
        <v>-339933.127289476</v>
      </c>
      <c r="N77" s="31" t="n">
        <f aca="false">N63+N75</f>
        <v>-337325.16584656</v>
      </c>
      <c r="O77" s="31" t="n">
        <f aca="false">O63+O75</f>
        <v>-334802.310419481</v>
      </c>
      <c r="P77" s="31" t="n">
        <f aca="false">P63+P75</f>
        <v>-352341.921504318</v>
      </c>
      <c r="Q77" s="31" t="n">
        <f aca="false">Q63+Q75</f>
        <v>-349923.418784256</v>
      </c>
      <c r="R77" s="31" t="n">
        <f aca="false">R63+R75</f>
        <v>-347527.979058218</v>
      </c>
      <c r="S77" s="31" t="n">
        <f aca="false">S63+S75</f>
        <v>-345138.269061635</v>
      </c>
      <c r="T77" s="31" t="n">
        <f aca="false">T63+T75</f>
        <v>-342738.208462547</v>
      </c>
      <c r="U77" s="31" t="n">
        <f aca="false">U63+U75</f>
        <v>-340312.758903009</v>
      </c>
      <c r="V77" s="31" t="n">
        <f aca="false">V63+V75</f>
        <v>-337847.735465311</v>
      </c>
      <c r="W77" s="31" t="n">
        <f aca="false">W63+W75</f>
        <v>-335329.637384559</v>
      </c>
      <c r="X77" s="31" t="n">
        <f aca="false">X63+X75</f>
        <v>-332745.495212382</v>
      </c>
      <c r="Y77" s="31" t="n">
        <f aca="false">Y63+Y75</f>
        <v>-330082.731968427</v>
      </c>
      <c r="Z77" s="31" t="n">
        <f aca="false">Z63+Z75</f>
        <v>-327329.036103287</v>
      </c>
      <c r="AA77" s="31" t="n">
        <f aca="false">AA63+AA75</f>
        <v>-324472.244344306</v>
      </c>
      <c r="AB77" s="31" t="n">
        <f aca="false">AB63+AB75</f>
        <v>-351500.232709211</v>
      </c>
      <c r="AC77" s="31" t="n">
        <f aca="false">AC63+AC75</f>
        <v>-348400.814155914</v>
      </c>
      <c r="AD77" s="31" t="n">
        <f aca="false">AD63+AD75</f>
        <v>-345161.641493876</v>
      </c>
      <c r="AE77" s="31" t="n">
        <f aca="false">AE63+AE75</f>
        <v>-341770.114316323</v>
      </c>
      <c r="AF77" s="31" t="n">
        <f aca="false">AF63+AF75</f>
        <v>-338213.28882602</v>
      </c>
      <c r="AG77" s="31" t="n">
        <f aca="false">AG63+AG75</f>
        <v>-335050.466470533</v>
      </c>
      <c r="AH77" s="31" t="n">
        <f aca="false">AH63+AH75</f>
        <v>-332033.960813206</v>
      </c>
      <c r="AI77" s="31" t="n">
        <f aca="false">AI63+AI75</f>
        <v>-329127.624812505</v>
      </c>
      <c r="AJ77" s="31" t="n">
        <f aca="false">AJ63+AJ75</f>
        <v>-326298.831873636</v>
      </c>
      <c r="AK77" s="31" t="n">
        <f aca="false">AK63+AK75</f>
        <v>-323517.936736959</v>
      </c>
      <c r="AL77" s="31" t="n">
        <f aca="false">AL63+AL75</f>
        <v>-320757.800718183</v>
      </c>
      <c r="AM77" s="31" t="n">
        <f aca="false">AM63+AM75</f>
        <v>-317993.372536886</v>
      </c>
    </row>
    <row r="78" customFormat="false" ht="15" hidden="false" customHeight="false" outlineLevel="0" collapsed="false">
      <c r="A78" s="8" t="s">
        <v>387</v>
      </c>
      <c r="B78" s="8" t="s">
        <v>50</v>
      </c>
      <c r="C78" s="27" t="n">
        <f aca="false">SUM(D78:AM78)</f>
        <v>-129078.384413411</v>
      </c>
      <c r="D78" s="27" t="n">
        <f aca="false">-Assumptions!$D$80*ABS(D49)</f>
        <v>-0</v>
      </c>
      <c r="E78" s="27" t="n">
        <f aca="false">-Assumptions!$D$80*(ABS(E49)-ABS(D49))</f>
        <v>-0</v>
      </c>
      <c r="F78" s="27" t="n">
        <f aca="false">-Assumptions!$D$80*(ABS(F49)-ABS(E49))</f>
        <v>-0</v>
      </c>
      <c r="G78" s="27" t="n">
        <f aca="false">-Assumptions!$D$80*(ABS(G49)-ABS(F49))</f>
        <v>-0</v>
      </c>
      <c r="H78" s="27" t="n">
        <f aca="false">-Assumptions!$D$80*(ABS(H49)-ABS(G49))</f>
        <v>-0</v>
      </c>
      <c r="I78" s="27" t="n">
        <f aca="false">-Assumptions!$D$80*(ABS(I49)-ABS(H49))</f>
        <v>-6361.86845990622</v>
      </c>
      <c r="J78" s="27" t="n">
        <f aca="false">-Assumptions!$D$80*(ABS(J49)-ABS(I49))</f>
        <v>-825.276746512616</v>
      </c>
      <c r="K78" s="27" t="n">
        <f aca="false">-Assumptions!$D$80*(ABS(K49)-ABS(J49))</f>
        <v>-837.028727464151</v>
      </c>
      <c r="L78" s="27" t="n">
        <f aca="false">-Assumptions!$D$80*(ABS(L49)-ABS(K49))</f>
        <v>-32001.3273372813</v>
      </c>
      <c r="M78" s="27" t="n">
        <f aca="false">-Assumptions!$D$80*(ABS(M49)-ABS(L49))</f>
        <v>13652.0272952668</v>
      </c>
      <c r="N78" s="27" t="n">
        <f aca="false">-Assumptions!$D$80*(ABS(N49)-ABS(M49))</f>
        <v>-2798.5916636298</v>
      </c>
      <c r="O78" s="27" t="n">
        <f aca="false">-Assumptions!$D$80*(ABS(O49)-ABS(N49))</f>
        <v>-2866.66699312736</v>
      </c>
      <c r="P78" s="27" t="n">
        <f aca="false">-Assumptions!$D$80*(ABS(P49)-ABS(O49))</f>
        <v>-2936.95107395063</v>
      </c>
      <c r="Q78" s="27" t="n">
        <f aca="false">-Assumptions!$D$80*(ABS(Q49)-ABS(P49))</f>
        <v>-3009.5473882576</v>
      </c>
      <c r="R78" s="27" t="n">
        <f aca="false">-Assumptions!$D$80*(ABS(R49)-ABS(Q49))</f>
        <v>-3084.56563934869</v>
      </c>
      <c r="S78" s="27" t="n">
        <f aca="false">-Assumptions!$D$80*(ABS(S49)-ABS(R49))</f>
        <v>-3162.12216669438</v>
      </c>
      <c r="T78" s="27" t="n">
        <f aca="false">-Assumptions!$D$80*(ABS(T49)-ABS(S49))</f>
        <v>-3242.34038960614</v>
      </c>
      <c r="U78" s="27" t="n">
        <f aca="false">-Assumptions!$D$80*(ABS(U49)-ABS(T49))</f>
        <v>-3325.35128154654</v>
      </c>
      <c r="V78" s="27" t="n">
        <f aca="false">-Assumptions!$D$80*(ABS(V49)-ABS(U49))</f>
        <v>-3411.29387721617</v>
      </c>
      <c r="W78" s="27" t="n">
        <f aca="false">-Assumptions!$D$80*(ABS(W49)-ABS(V49))</f>
        <v>-3500.31581470187</v>
      </c>
      <c r="X78" s="27" t="n">
        <f aca="false">-Assumptions!$D$80*(ABS(X49)-ABS(W49))</f>
        <v>-3592.5739151332</v>
      </c>
      <c r="Y78" s="27" t="n">
        <f aca="false">-Assumptions!$D$80*(ABS(Y49)-ABS(X49))</f>
        <v>-3688.23480246276</v>
      </c>
      <c r="Z78" s="27" t="n">
        <f aca="false">-Assumptions!$D$80*(ABS(Z49)-ABS(Y49))</f>
        <v>-3787.47556617078</v>
      </c>
      <c r="AA78" s="27" t="n">
        <f aca="false">-Assumptions!$D$80*(ABS(AA49)-ABS(Z49))</f>
        <v>-3890.48446988911</v>
      </c>
      <c r="AB78" s="27" t="n">
        <f aca="false">-Assumptions!$D$80*(ABS(AB49)-ABS(AA49))</f>
        <v>-3997.46170914941</v>
      </c>
      <c r="AC78" s="27" t="n">
        <f aca="false">-Assumptions!$D$80*(ABS(AC49)-ABS(AB49))</f>
        <v>-4108.6202216853</v>
      </c>
      <c r="AD78" s="27" t="n">
        <f aca="false">-Assumptions!$D$80*(ABS(AD49)-ABS(AC49))</f>
        <v>-4224.18655395665</v>
      </c>
      <c r="AE78" s="27" t="n">
        <f aca="false">-Assumptions!$D$80*(ABS(AE49)-ABS(AD49))</f>
        <v>-4344.401787822</v>
      </c>
      <c r="AF78" s="27" t="n">
        <f aca="false">-Assumptions!$D$80*(ABS(AF49)-ABS(AE49))</f>
        <v>-4469.52253155976</v>
      </c>
      <c r="AG78" s="27" t="n">
        <f aca="false">-Assumptions!$D$80*(ABS(AG49)-ABS(AF49))</f>
        <v>-4599.82197973091</v>
      </c>
      <c r="AH78" s="27" t="n">
        <f aca="false">-Assumptions!$D$80*(ABS(AH49)-ABS(AG49))</f>
        <v>-4735.59104669331</v>
      </c>
      <c r="AI78" s="27" t="n">
        <f aca="false">-Assumptions!$D$80*(ABS(AI49)-ABS(AH49))</f>
        <v>-4877.13957891069</v>
      </c>
      <c r="AJ78" s="27" t="n">
        <f aca="false">-Assumptions!$D$80*(ABS(AJ49)-ABS(AI49))</f>
        <v>-5024.79765156229</v>
      </c>
      <c r="AK78" s="27" t="n">
        <f aca="false">-Assumptions!$D$80*(ABS(AK49)-ABS(AJ49))</f>
        <v>-5178.91695534201</v>
      </c>
      <c r="AL78" s="27" t="n">
        <f aca="false">-Assumptions!$D$80*(ABS(AL49)-ABS(AK49))</f>
        <v>-5339.87227974976</v>
      </c>
      <c r="AM78" s="27" t="n">
        <f aca="false">-Assumptions!$D$80*(ABS(AM49)-ABS(AL49))</f>
        <v>-5508.06309961672</v>
      </c>
    </row>
    <row r="79" customFormat="false" ht="15" hidden="false" customHeight="false" outlineLevel="0" collapsed="false">
      <c r="A79" s="29" t="s">
        <v>388</v>
      </c>
      <c r="B79" s="8" t="s">
        <v>50</v>
      </c>
      <c r="C79" s="31" t="n">
        <f aca="false">SUM(D79:AM79)</f>
        <v>-11189400.3265358</v>
      </c>
      <c r="D79" s="31" t="n">
        <f aca="false">D77+D78</f>
        <v>-173000</v>
      </c>
      <c r="E79" s="31" t="n">
        <f aca="false">E77+E78</f>
        <v>-173000</v>
      </c>
      <c r="F79" s="31" t="n">
        <f aca="false">F77+F78</f>
        <v>-173000</v>
      </c>
      <c r="G79" s="31" t="n">
        <f aca="false">G77+G78</f>
        <v>-193000</v>
      </c>
      <c r="H79" s="31" t="n">
        <f aca="false">H77+H78</f>
        <v>-153000</v>
      </c>
      <c r="I79" s="31" t="n">
        <f aca="false">I77+I78</f>
        <v>-210975.602810475</v>
      </c>
      <c r="J79" s="31" t="n">
        <f aca="false">J77+J78</f>
        <v>-204331.111404124</v>
      </c>
      <c r="K79" s="31" t="n">
        <f aca="false">K77+K78</f>
        <v>-203316.001865402</v>
      </c>
      <c r="L79" s="31" t="n">
        <f aca="false">L77+L78</f>
        <v>-529048.602042553</v>
      </c>
      <c r="M79" s="31" t="n">
        <f aca="false">M77+M78</f>
        <v>-326281.099994209</v>
      </c>
      <c r="N79" s="31" t="n">
        <f aca="false">N77+N78</f>
        <v>-340123.75751019</v>
      </c>
      <c r="O79" s="31" t="n">
        <f aca="false">O77+O78</f>
        <v>-337668.977412608</v>
      </c>
      <c r="P79" s="31" t="n">
        <f aca="false">P77+P78</f>
        <v>-355278.872578268</v>
      </c>
      <c r="Q79" s="31" t="n">
        <f aca="false">Q77+Q78</f>
        <v>-352932.966172514</v>
      </c>
      <c r="R79" s="31" t="n">
        <f aca="false">R77+R78</f>
        <v>-350612.544697566</v>
      </c>
      <c r="S79" s="31" t="n">
        <f aca="false">S77+S78</f>
        <v>-348300.391228329</v>
      </c>
      <c r="T79" s="31" t="n">
        <f aca="false">T77+T78</f>
        <v>-345980.548852153</v>
      </c>
      <c r="U79" s="31" t="n">
        <f aca="false">U77+U78</f>
        <v>-343638.110184555</v>
      </c>
      <c r="V79" s="31" t="n">
        <f aca="false">V77+V78</f>
        <v>-341259.029342527</v>
      </c>
      <c r="W79" s="31" t="n">
        <f aca="false">W77+W78</f>
        <v>-338829.953199261</v>
      </c>
      <c r="X79" s="31" t="n">
        <f aca="false">X77+X78</f>
        <v>-336338.069127515</v>
      </c>
      <c r="Y79" s="31" t="n">
        <f aca="false">Y77+Y78</f>
        <v>-333770.96677089</v>
      </c>
      <c r="Z79" s="31" t="n">
        <f aca="false">Z77+Z78</f>
        <v>-331116.511669458</v>
      </c>
      <c r="AA79" s="31" t="n">
        <f aca="false">AA77+AA78</f>
        <v>-328362.728814195</v>
      </c>
      <c r="AB79" s="31" t="n">
        <f aca="false">AB77+AB78</f>
        <v>-355497.694418361</v>
      </c>
      <c r="AC79" s="31" t="n">
        <f aca="false">AC77+AC78</f>
        <v>-352509.434377599</v>
      </c>
      <c r="AD79" s="31" t="n">
        <f aca="false">AD77+AD78</f>
        <v>-349385.828047833</v>
      </c>
      <c r="AE79" s="31" t="n">
        <f aca="false">AE77+AE78</f>
        <v>-346114.516104145</v>
      </c>
      <c r="AF79" s="31" t="n">
        <f aca="false">AF77+AF78</f>
        <v>-342682.81135758</v>
      </c>
      <c r="AG79" s="31" t="n">
        <f aca="false">AG77+AG78</f>
        <v>-339650.288450264</v>
      </c>
      <c r="AH79" s="31" t="n">
        <f aca="false">AH77+AH78</f>
        <v>-336769.551859899</v>
      </c>
      <c r="AI79" s="31" t="n">
        <f aca="false">AI77+AI78</f>
        <v>-334004.764391416</v>
      </c>
      <c r="AJ79" s="31" t="n">
        <f aca="false">AJ77+AJ78</f>
        <v>-331323.629525199</v>
      </c>
      <c r="AK79" s="31" t="n">
        <f aca="false">AK77+AK78</f>
        <v>-328696.853692301</v>
      </c>
      <c r="AL79" s="31" t="n">
        <f aca="false">AL77+AL78</f>
        <v>-326097.672997933</v>
      </c>
      <c r="AM79" s="31" t="n">
        <f aca="false">AM77+AM78</f>
        <v>-323501.435636503</v>
      </c>
    </row>
    <row r="80" customFormat="false" ht="15" hidden="false" customHeight="false" outlineLevel="0" collapsed="false">
      <c r="A80" s="29" t="s">
        <v>389</v>
      </c>
      <c r="B80" s="8" t="s">
        <v>50</v>
      </c>
      <c r="D80" s="31" t="n">
        <f aca="false">D79</f>
        <v>-173000</v>
      </c>
      <c r="E80" s="31" t="n">
        <f aca="false">D80+E79</f>
        <v>-346000</v>
      </c>
      <c r="F80" s="31" t="n">
        <f aca="false">E80+F79</f>
        <v>-519000</v>
      </c>
      <c r="G80" s="31" t="n">
        <f aca="false">F80+G79</f>
        <v>-712000</v>
      </c>
      <c r="H80" s="31" t="n">
        <f aca="false">G80+H79</f>
        <v>-865000</v>
      </c>
      <c r="I80" s="31" t="n">
        <f aca="false">H80+I79</f>
        <v>-1075975.60281047</v>
      </c>
      <c r="J80" s="31" t="n">
        <f aca="false">I80+J79</f>
        <v>-1280306.7142146</v>
      </c>
      <c r="K80" s="31" t="n">
        <f aca="false">J80+K79</f>
        <v>-1483622.71608</v>
      </c>
      <c r="L80" s="31" t="n">
        <f aca="false">K80+L79</f>
        <v>-2012671.31812255</v>
      </c>
      <c r="M80" s="31" t="n">
        <f aca="false">L80+M79</f>
        <v>-2338952.41811676</v>
      </c>
      <c r="N80" s="31" t="n">
        <f aca="false">M80+N79</f>
        <v>-2679076.17562695</v>
      </c>
      <c r="O80" s="31" t="n">
        <f aca="false">N80+O79</f>
        <v>-3016745.15303956</v>
      </c>
      <c r="P80" s="31" t="n">
        <f aca="false">O80+P79</f>
        <v>-3372024.02561783</v>
      </c>
      <c r="Q80" s="31" t="n">
        <f aca="false">P80+Q79</f>
        <v>-3724956.99179034</v>
      </c>
      <c r="R80" s="31" t="n">
        <f aca="false">Q80+R79</f>
        <v>-4075569.53648791</v>
      </c>
      <c r="S80" s="31" t="n">
        <f aca="false">R80+S79</f>
        <v>-4423869.92771624</v>
      </c>
      <c r="T80" s="31" t="n">
        <f aca="false">S80+T79</f>
        <v>-4769850.47656839</v>
      </c>
      <c r="U80" s="31" t="n">
        <f aca="false">T80+U79</f>
        <v>-5113488.58675295</v>
      </c>
      <c r="V80" s="31" t="n">
        <f aca="false">U80+V79</f>
        <v>-5454747.61609547</v>
      </c>
      <c r="W80" s="31" t="n">
        <f aca="false">V80+W79</f>
        <v>-5793577.56929474</v>
      </c>
      <c r="X80" s="31" t="n">
        <f aca="false">W80+X79</f>
        <v>-6129915.63842225</v>
      </c>
      <c r="Y80" s="31" t="n">
        <f aca="false">X80+Y79</f>
        <v>-6463686.60519314</v>
      </c>
      <c r="Z80" s="31" t="n">
        <f aca="false">Y80+Z79</f>
        <v>-6794803.1168626</v>
      </c>
      <c r="AA80" s="31" t="n">
        <f aca="false">Z80+AA79</f>
        <v>-7123165.84567679</v>
      </c>
      <c r="AB80" s="31" t="n">
        <f aca="false">AA80+AB79</f>
        <v>-7478663.54009515</v>
      </c>
      <c r="AC80" s="31" t="n">
        <f aca="false">AB80+AC79</f>
        <v>-7831172.97447275</v>
      </c>
      <c r="AD80" s="31" t="n">
        <f aca="false">AC80+AD79</f>
        <v>-8180558.80252059</v>
      </c>
      <c r="AE80" s="31" t="n">
        <f aca="false">AD80+AE79</f>
        <v>-8526673.31862473</v>
      </c>
      <c r="AF80" s="31" t="n">
        <f aca="false">AE80+AF79</f>
        <v>-8869356.12998231</v>
      </c>
      <c r="AG80" s="31" t="n">
        <f aca="false">AF80+AG79</f>
        <v>-9209006.41843258</v>
      </c>
      <c r="AH80" s="31" t="n">
        <f aca="false">AG80+AH79</f>
        <v>-9545775.97029248</v>
      </c>
      <c r="AI80" s="31" t="n">
        <f aca="false">AH80+AI79</f>
        <v>-9879780.73468389</v>
      </c>
      <c r="AJ80" s="31" t="n">
        <f aca="false">AI80+AJ79</f>
        <v>-10211104.3642091</v>
      </c>
      <c r="AK80" s="31" t="n">
        <f aca="false">AJ80+AK79</f>
        <v>-10539801.2179014</v>
      </c>
      <c r="AL80" s="31" t="n">
        <f aca="false">AK80+AL79</f>
        <v>-10865898.8908993</v>
      </c>
      <c r="AM80" s="31" t="n">
        <f aca="false">AL80+AM79</f>
        <v>-11189400.3265358</v>
      </c>
    </row>
    <row r="81" customFormat="false" ht="15" hidden="false" customHeight="false" outlineLevel="0" collapsed="false">
      <c r="A81" s="8" t="s">
        <v>390</v>
      </c>
      <c r="B81" s="8" t="s">
        <v>50</v>
      </c>
      <c r="D81" s="27" t="n">
        <f aca="false">Assumptions!$D$81+D80</f>
        <v>-173000</v>
      </c>
      <c r="E81" s="27" t="n">
        <f aca="false">Assumptions!$D$81+E80</f>
        <v>-346000</v>
      </c>
      <c r="F81" s="27" t="n">
        <f aca="false">Assumptions!$D$81+F80</f>
        <v>-519000</v>
      </c>
      <c r="G81" s="27" t="n">
        <f aca="false">Assumptions!$D$81+G80</f>
        <v>-712000</v>
      </c>
      <c r="H81" s="27" t="n">
        <f aca="false">Assumptions!$D$81+H80</f>
        <v>-865000</v>
      </c>
      <c r="I81" s="27" t="n">
        <f aca="false">Assumptions!$D$81+I80</f>
        <v>-1075975.60281047</v>
      </c>
      <c r="J81" s="27" t="n">
        <f aca="false">Assumptions!$D$81+J80</f>
        <v>-1280306.7142146</v>
      </c>
      <c r="K81" s="27" t="n">
        <f aca="false">Assumptions!$D$81+K80</f>
        <v>-1483622.71608</v>
      </c>
      <c r="L81" s="27" t="n">
        <f aca="false">Assumptions!$D$81+L80</f>
        <v>-2012671.31812255</v>
      </c>
      <c r="M81" s="27" t="n">
        <f aca="false">Assumptions!$D$81+M80</f>
        <v>-2338952.41811676</v>
      </c>
      <c r="N81" s="27" t="n">
        <f aca="false">Assumptions!$D$81+N80</f>
        <v>-2679076.17562695</v>
      </c>
      <c r="O81" s="27" t="n">
        <f aca="false">Assumptions!$D$81+O80</f>
        <v>-3016745.15303956</v>
      </c>
      <c r="P81" s="27" t="n">
        <f aca="false">Assumptions!$D$81+P80</f>
        <v>-3372024.02561783</v>
      </c>
      <c r="Q81" s="27" t="n">
        <f aca="false">Assumptions!$D$81+Q80</f>
        <v>-3724956.99179034</v>
      </c>
      <c r="R81" s="27" t="n">
        <f aca="false">Assumptions!$D$81+R80</f>
        <v>-4075569.53648791</v>
      </c>
      <c r="S81" s="27" t="n">
        <f aca="false">Assumptions!$D$81+S80</f>
        <v>-4423869.92771624</v>
      </c>
      <c r="T81" s="27" t="n">
        <f aca="false">Assumptions!$D$81+T80</f>
        <v>-4769850.47656839</v>
      </c>
      <c r="U81" s="27" t="n">
        <f aca="false">Assumptions!$D$81+U80</f>
        <v>-5113488.58675295</v>
      </c>
      <c r="V81" s="27" t="n">
        <f aca="false">Assumptions!$D$81+V80</f>
        <v>-5454747.61609547</v>
      </c>
      <c r="W81" s="27" t="n">
        <f aca="false">Assumptions!$D$81+W80</f>
        <v>-5793577.56929474</v>
      </c>
      <c r="X81" s="27" t="n">
        <f aca="false">Assumptions!$D$81+X80</f>
        <v>-6129915.63842225</v>
      </c>
      <c r="Y81" s="27" t="n">
        <f aca="false">Assumptions!$D$81+Y80</f>
        <v>-6463686.60519314</v>
      </c>
      <c r="Z81" s="27" t="n">
        <f aca="false">Assumptions!$D$81+Z80</f>
        <v>-6794803.1168626</v>
      </c>
      <c r="AA81" s="27" t="n">
        <f aca="false">Assumptions!$D$81+AA80</f>
        <v>-7123165.84567679</v>
      </c>
      <c r="AB81" s="27" t="n">
        <f aca="false">Assumptions!$D$81+AB80</f>
        <v>-7478663.54009515</v>
      </c>
      <c r="AC81" s="27" t="n">
        <f aca="false">Assumptions!$D$81+AC80</f>
        <v>-7831172.97447275</v>
      </c>
      <c r="AD81" s="27" t="n">
        <f aca="false">Assumptions!$D$81+AD80</f>
        <v>-8180558.80252059</v>
      </c>
      <c r="AE81" s="27" t="n">
        <f aca="false">Assumptions!$D$81+AE80</f>
        <v>-8526673.31862473</v>
      </c>
      <c r="AF81" s="27" t="n">
        <f aca="false">Assumptions!$D$81+AF80</f>
        <v>-8869356.12998231</v>
      </c>
      <c r="AG81" s="27" t="n">
        <f aca="false">Assumptions!$D$81+AG80</f>
        <v>-9209006.41843258</v>
      </c>
      <c r="AH81" s="27" t="n">
        <f aca="false">Assumptions!$D$81+AH80</f>
        <v>-9545775.97029248</v>
      </c>
      <c r="AI81" s="27" t="n">
        <f aca="false">Assumptions!$D$81+AI80</f>
        <v>-9879780.73468389</v>
      </c>
      <c r="AJ81" s="27" t="n">
        <f aca="false">Assumptions!$D$81+AJ80</f>
        <v>-10211104.3642091</v>
      </c>
      <c r="AK81" s="27" t="n">
        <f aca="false">Assumptions!$D$81+AK80</f>
        <v>-10539801.2179014</v>
      </c>
      <c r="AL81" s="27" t="n">
        <f aca="false">Assumptions!$D$81+AL80</f>
        <v>-10865898.8908993</v>
      </c>
      <c r="AM81" s="27" t="n">
        <f aca="false">Assumptions!$D$81+AM80</f>
        <v>-11189400.3265358</v>
      </c>
    </row>
    <row r="82" customFormat="false" ht="15" hidden="false" customHeight="false" outlineLevel="0" collapsed="false">
      <c r="A82" s="8" t="s">
        <v>391</v>
      </c>
      <c r="B82" s="8" t="s">
        <v>293</v>
      </c>
      <c r="D82" s="25" t="n">
        <f aca="false">IF(D77&gt;0,D$3,999)</f>
        <v>999</v>
      </c>
      <c r="E82" s="25" t="n">
        <f aca="false">IF(E77&gt;0,E$3,999)</f>
        <v>999</v>
      </c>
      <c r="F82" s="25" t="n">
        <f aca="false">IF(F77&gt;0,F$3,999)</f>
        <v>999</v>
      </c>
      <c r="G82" s="25" t="n">
        <f aca="false">IF(G77&gt;0,G$3,999)</f>
        <v>999</v>
      </c>
      <c r="H82" s="25" t="n">
        <f aca="false">IF(H77&gt;0,H$3,999)</f>
        <v>999</v>
      </c>
      <c r="I82" s="25" t="n">
        <f aca="false">IF(I77&gt;0,I$3,999)</f>
        <v>999</v>
      </c>
      <c r="J82" s="25" t="n">
        <f aca="false">IF(J77&gt;0,J$3,999)</f>
        <v>999</v>
      </c>
      <c r="K82" s="25" t="n">
        <f aca="false">IF(K77&gt;0,K$3,999)</f>
        <v>999</v>
      </c>
      <c r="L82" s="25" t="n">
        <f aca="false">IF(L77&gt;0,L$3,999)</f>
        <v>999</v>
      </c>
      <c r="M82" s="25" t="n">
        <f aca="false">IF(M77&gt;0,M$3,999)</f>
        <v>999</v>
      </c>
      <c r="N82" s="25" t="n">
        <f aca="false">IF(N77&gt;0,N$3,999)</f>
        <v>999</v>
      </c>
      <c r="O82" s="25" t="n">
        <f aca="false">IF(O77&gt;0,O$3,999)</f>
        <v>999</v>
      </c>
      <c r="P82" s="25" t="n">
        <f aca="false">IF(P77&gt;0,P$3,999)</f>
        <v>999</v>
      </c>
      <c r="Q82" s="25" t="n">
        <f aca="false">IF(Q77&gt;0,Q$3,999)</f>
        <v>999</v>
      </c>
      <c r="R82" s="25" t="n">
        <f aca="false">IF(R77&gt;0,R$3,999)</f>
        <v>999</v>
      </c>
      <c r="S82" s="25" t="n">
        <f aca="false">IF(S77&gt;0,S$3,999)</f>
        <v>999</v>
      </c>
      <c r="T82" s="25" t="n">
        <f aca="false">IF(T77&gt;0,T$3,999)</f>
        <v>999</v>
      </c>
      <c r="U82" s="25" t="n">
        <f aca="false">IF(U77&gt;0,U$3,999)</f>
        <v>999</v>
      </c>
      <c r="V82" s="25" t="n">
        <f aca="false">IF(V77&gt;0,V$3,999)</f>
        <v>999</v>
      </c>
      <c r="W82" s="25" t="n">
        <f aca="false">IF(W77&gt;0,W$3,999)</f>
        <v>999</v>
      </c>
      <c r="X82" s="25" t="n">
        <f aca="false">IF(X77&gt;0,X$3,999)</f>
        <v>999</v>
      </c>
      <c r="Y82" s="25" t="n">
        <f aca="false">IF(Y77&gt;0,Y$3,999)</f>
        <v>999</v>
      </c>
      <c r="Z82" s="25" t="n">
        <f aca="false">IF(Z77&gt;0,Z$3,999)</f>
        <v>999</v>
      </c>
      <c r="AA82" s="25" t="n">
        <f aca="false">IF(AA77&gt;0,AA$3,999)</f>
        <v>999</v>
      </c>
      <c r="AB82" s="25" t="n">
        <f aca="false">IF(AB77&gt;0,AB$3,999)</f>
        <v>999</v>
      </c>
      <c r="AC82" s="25" t="n">
        <f aca="false">IF(AC77&gt;0,AC$3,999)</f>
        <v>999</v>
      </c>
      <c r="AD82" s="25" t="n">
        <f aca="false">IF(AD77&gt;0,AD$3,999)</f>
        <v>999</v>
      </c>
      <c r="AE82" s="25" t="n">
        <f aca="false">IF(AE77&gt;0,AE$3,999)</f>
        <v>999</v>
      </c>
      <c r="AF82" s="25" t="n">
        <f aca="false">IF(AF77&gt;0,AF$3,999)</f>
        <v>999</v>
      </c>
      <c r="AG82" s="25" t="n">
        <f aca="false">IF(AG77&gt;0,AG$3,999)</f>
        <v>999</v>
      </c>
      <c r="AH82" s="25" t="n">
        <f aca="false">IF(AH77&gt;0,AH$3,999)</f>
        <v>999</v>
      </c>
      <c r="AI82" s="25" t="n">
        <f aca="false">IF(AI77&gt;0,AI$3,999)</f>
        <v>999</v>
      </c>
      <c r="AJ82" s="25" t="n">
        <f aca="false">IF(AJ77&gt;0,AJ$3,999)</f>
        <v>999</v>
      </c>
      <c r="AK82" s="25" t="n">
        <f aca="false">IF(AK77&gt;0,AK$3,999)</f>
        <v>999</v>
      </c>
      <c r="AL82" s="25" t="n">
        <f aca="false">IF(AL77&gt;0,AL$3,999)</f>
        <v>999</v>
      </c>
      <c r="AM82" s="25" t="n">
        <f aca="false">IF(AM77&gt;0,AM$3,999)</f>
        <v>999</v>
      </c>
    </row>
    <row r="83" customFormat="false" ht="15" hidden="false" customHeight="false" outlineLevel="0" collapsed="false">
      <c r="A83" s="5" t="s">
        <v>392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</row>
    <row r="84" customFormat="false" ht="15" hidden="false" customHeight="false" outlineLevel="0" collapsed="false">
      <c r="A84" s="8" t="s">
        <v>393</v>
      </c>
      <c r="B84" s="8" t="s">
        <v>50</v>
      </c>
      <c r="D84" s="27" t="n">
        <f aca="false">IF(D24=0,0,(D36)/D24)</f>
        <v>0</v>
      </c>
      <c r="E84" s="27" t="n">
        <f aca="false">IF(E24=0,0,(E36)/E24)</f>
        <v>0</v>
      </c>
      <c r="F84" s="27" t="n">
        <f aca="false">IF(F24=0,0,(F36)/F24)</f>
        <v>0</v>
      </c>
      <c r="G84" s="27" t="n">
        <f aca="false">IF(G24=0,0,(G36)/G24)</f>
        <v>0</v>
      </c>
      <c r="H84" s="27" t="n">
        <f aca="false">IF(H24=0,0,(H36)/H24)</f>
        <v>0</v>
      </c>
      <c r="I84" s="27" t="n">
        <f aca="false">IF(I24=0,0,(I36)/I24)</f>
        <v>249</v>
      </c>
      <c r="J84" s="27" t="n">
        <f aca="false">IF(J24=0,0,(J36)/J24)</f>
        <v>249</v>
      </c>
      <c r="K84" s="27" t="n">
        <f aca="false">IF(K24=0,0,(K36)/K24)</f>
        <v>249</v>
      </c>
      <c r="L84" s="27" t="n">
        <f aca="false">IF(L24=0,0,(L36)/L24)</f>
        <v>249</v>
      </c>
      <c r="M84" s="27" t="n">
        <f aca="false">IF(M24=0,0,(M36)/M24)</f>
        <v>249</v>
      </c>
      <c r="N84" s="27" t="n">
        <f aca="false">IF(N24=0,0,(N36)/N24)</f>
        <v>249</v>
      </c>
      <c r="O84" s="27" t="n">
        <f aca="false">IF(O24=0,0,(O36)/O24)</f>
        <v>249</v>
      </c>
      <c r="P84" s="27" t="n">
        <f aca="false">IF(P24=0,0,(P36)/P24)</f>
        <v>249</v>
      </c>
      <c r="Q84" s="27" t="n">
        <f aca="false">IF(Q24=0,0,(Q36)/Q24)</f>
        <v>249</v>
      </c>
      <c r="R84" s="27" t="n">
        <f aca="false">IF(R24=0,0,(R36)/R24)</f>
        <v>249</v>
      </c>
      <c r="S84" s="27" t="n">
        <f aca="false">IF(S24=0,0,(S36)/S24)</f>
        <v>249</v>
      </c>
      <c r="T84" s="27" t="n">
        <f aca="false">IF(T24=0,0,(T36)/T24)</f>
        <v>249</v>
      </c>
      <c r="U84" s="27" t="n">
        <f aca="false">IF(U24=0,0,(U36)/U24)</f>
        <v>249</v>
      </c>
      <c r="V84" s="27" t="n">
        <f aca="false">IF(V24=0,0,(V36)/V24)</f>
        <v>249</v>
      </c>
      <c r="W84" s="27" t="n">
        <f aca="false">IF(W24=0,0,(W36)/W24)</f>
        <v>249</v>
      </c>
      <c r="X84" s="27" t="n">
        <f aca="false">IF(X24=0,0,(X36)/X24)</f>
        <v>249</v>
      </c>
      <c r="Y84" s="27" t="n">
        <f aca="false">IF(Y24=0,0,(Y36)/Y24)</f>
        <v>249</v>
      </c>
      <c r="Z84" s="27" t="n">
        <f aca="false">IF(Z24=0,0,(Z36)/Z24)</f>
        <v>249</v>
      </c>
      <c r="AA84" s="27" t="n">
        <f aca="false">IF(AA24=0,0,(AA36)/AA24)</f>
        <v>249</v>
      </c>
      <c r="AB84" s="27" t="n">
        <f aca="false">IF(AB24=0,0,(AB36)/AB24)</f>
        <v>249</v>
      </c>
      <c r="AC84" s="27" t="n">
        <f aca="false">IF(AC24=0,0,(AC36)/AC24)</f>
        <v>249</v>
      </c>
      <c r="AD84" s="27" t="n">
        <f aca="false">IF(AD24=0,0,(AD36)/AD24)</f>
        <v>249</v>
      </c>
      <c r="AE84" s="27" t="n">
        <f aca="false">IF(AE24=0,0,(AE36)/AE24)</f>
        <v>249</v>
      </c>
      <c r="AF84" s="27" t="n">
        <f aca="false">IF(AF24=0,0,(AF36)/AF24)</f>
        <v>249</v>
      </c>
      <c r="AG84" s="27" t="n">
        <f aca="false">IF(AG24=0,0,(AG36)/AG24)</f>
        <v>249</v>
      </c>
      <c r="AH84" s="27" t="n">
        <f aca="false">IF(AH24=0,0,(AH36)/AH24)</f>
        <v>249</v>
      </c>
      <c r="AI84" s="27" t="n">
        <f aca="false">IF(AI24=0,0,(AI36)/AI24)</f>
        <v>249</v>
      </c>
      <c r="AJ84" s="27" t="n">
        <f aca="false">IF(AJ24=0,0,(AJ36)/AJ24)</f>
        <v>249</v>
      </c>
      <c r="AK84" s="27" t="n">
        <f aca="false">IF(AK24=0,0,(AK36)/AK24)</f>
        <v>249</v>
      </c>
      <c r="AL84" s="27" t="n">
        <f aca="false">IF(AL24=0,0,(AL36)/AL24)</f>
        <v>249</v>
      </c>
      <c r="AM84" s="27" t="n">
        <f aca="false">IF(AM24=0,0,(AM36)/AM24)</f>
        <v>249</v>
      </c>
    </row>
    <row r="85" customFormat="false" ht="15" hidden="false" customHeight="false" outlineLevel="0" collapsed="false">
      <c r="A85" s="8" t="s">
        <v>394</v>
      </c>
      <c r="B85" s="8" t="s">
        <v>50</v>
      </c>
      <c r="D85" s="27" t="n">
        <f aca="false">Assumptions!$D$30*(1-Assumptions!$D$50-Assumptions!$D$49)-Assumptions!$D$44-Assumptions!$D$46-Assumptions!$D$47-Assumptions!$D$51</f>
        <v>84.582</v>
      </c>
      <c r="E85" s="27" t="n">
        <f aca="false">Assumptions!$D$30*(1-Assumptions!$D$50-Assumptions!$D$49)-Assumptions!$D$44-Assumptions!$D$46-Assumptions!$D$47-Assumptions!$D$51</f>
        <v>84.582</v>
      </c>
      <c r="F85" s="27" t="n">
        <f aca="false">Assumptions!$D$30*(1-Assumptions!$D$50-Assumptions!$D$49)-Assumptions!$D$44-Assumptions!$D$46-Assumptions!$D$47-Assumptions!$D$51</f>
        <v>84.582</v>
      </c>
      <c r="G85" s="27" t="n">
        <f aca="false">Assumptions!$D$30*(1-Assumptions!$D$50-Assumptions!$D$49)-Assumptions!$D$44-Assumptions!$D$46-Assumptions!$D$47-Assumptions!$D$51</f>
        <v>84.582</v>
      </c>
      <c r="H85" s="27" t="n">
        <f aca="false">Assumptions!$D$30*(1-Assumptions!$D$50-Assumptions!$D$49)-Assumptions!$D$44-Assumptions!$D$46-Assumptions!$D$47-Assumptions!$D$51</f>
        <v>84.582</v>
      </c>
      <c r="I85" s="27" t="n">
        <f aca="false">Assumptions!$D$30*(1-Assumptions!$D$50-Assumptions!$D$49)-Assumptions!$D$44-Assumptions!$D$46-Assumptions!$D$47-Assumptions!$D$51</f>
        <v>84.582</v>
      </c>
      <c r="J85" s="27" t="n">
        <f aca="false">Assumptions!$D$30*(1-Assumptions!$D$50-Assumptions!$D$49)-Assumptions!$D$44-Assumptions!$D$46-Assumptions!$D$47-Assumptions!$D$51</f>
        <v>84.582</v>
      </c>
      <c r="K85" s="27" t="n">
        <f aca="false">Assumptions!$D$30*(1-Assumptions!$D$50-Assumptions!$D$49)-Assumptions!$D$44-Assumptions!$D$46-Assumptions!$D$47-Assumptions!$D$51</f>
        <v>84.582</v>
      </c>
      <c r="L85" s="27" t="n">
        <f aca="false">Assumptions!$D$30*(1-Assumptions!$D$50-Assumptions!$D$49)-Assumptions!$D$44-Assumptions!$D$46-Assumptions!$D$47-Assumptions!$D$51</f>
        <v>84.582</v>
      </c>
      <c r="M85" s="27" t="n">
        <f aca="false">Assumptions!$D$30*(1-Assumptions!$D$50-Assumptions!$D$49)-Assumptions!$D$44-Assumptions!$D$46-Assumptions!$D$47-Assumptions!$D$51</f>
        <v>84.582</v>
      </c>
      <c r="N85" s="27" t="n">
        <f aca="false">Assumptions!$D$30*(1-Assumptions!$D$50-Assumptions!$D$49)-Assumptions!$D$44-Assumptions!$D$46-Assumptions!$D$47-Assumptions!$D$51</f>
        <v>84.582</v>
      </c>
      <c r="O85" s="27" t="n">
        <f aca="false">Assumptions!$D$30*(1-Assumptions!$D$50-Assumptions!$D$49)-Assumptions!$D$44-Assumptions!$D$46-Assumptions!$D$47-Assumptions!$D$51</f>
        <v>84.582</v>
      </c>
      <c r="P85" s="27" t="n">
        <f aca="false">Assumptions!$D$30*(1-Assumptions!$D$50-Assumptions!$D$49)-Assumptions!$D$44-Assumptions!$D$46-Assumptions!$D$47-Assumptions!$D$51</f>
        <v>84.582</v>
      </c>
      <c r="Q85" s="27" t="n">
        <f aca="false">Assumptions!$D$30*(1-Assumptions!$D$50-Assumptions!$D$49)-Assumptions!$D$44-Assumptions!$D$46-Assumptions!$D$47-Assumptions!$D$51</f>
        <v>84.582</v>
      </c>
      <c r="R85" s="27" t="n">
        <f aca="false">Assumptions!$D$30*(1-Assumptions!$D$50-Assumptions!$D$49)-Assumptions!$D$44-Assumptions!$D$46-Assumptions!$D$47-Assumptions!$D$51</f>
        <v>84.582</v>
      </c>
      <c r="S85" s="27" t="n">
        <f aca="false">Assumptions!$D$30*(1-Assumptions!$D$50-Assumptions!$D$49)-Assumptions!$D$44-Assumptions!$D$46-Assumptions!$D$47-Assumptions!$D$51</f>
        <v>84.582</v>
      </c>
      <c r="T85" s="27" t="n">
        <f aca="false">Assumptions!$D$30*(1-Assumptions!$D$50-Assumptions!$D$49)-Assumptions!$D$44-Assumptions!$D$46-Assumptions!$D$47-Assumptions!$D$51</f>
        <v>84.582</v>
      </c>
      <c r="U85" s="27" t="n">
        <f aca="false">Assumptions!$D$30*(1-Assumptions!$D$50-Assumptions!$D$49)-Assumptions!$D$44-Assumptions!$D$46-Assumptions!$D$47-Assumptions!$D$51</f>
        <v>84.582</v>
      </c>
      <c r="V85" s="27" t="n">
        <f aca="false">Assumptions!$D$30*(1-Assumptions!$D$50-Assumptions!$D$49)-Assumptions!$D$44-Assumptions!$D$46-Assumptions!$D$47-Assumptions!$D$51</f>
        <v>84.582</v>
      </c>
      <c r="W85" s="27" t="n">
        <f aca="false">Assumptions!$D$30*(1-Assumptions!$D$50-Assumptions!$D$49)-Assumptions!$D$44-Assumptions!$D$46-Assumptions!$D$47-Assumptions!$D$51</f>
        <v>84.582</v>
      </c>
      <c r="X85" s="27" t="n">
        <f aca="false">Assumptions!$D$30*(1-Assumptions!$D$50-Assumptions!$D$49)-Assumptions!$D$44-Assumptions!$D$46-Assumptions!$D$47-Assumptions!$D$51</f>
        <v>84.582</v>
      </c>
      <c r="Y85" s="27" t="n">
        <f aca="false">Assumptions!$D$30*(1-Assumptions!$D$50-Assumptions!$D$49)-Assumptions!$D$44-Assumptions!$D$46-Assumptions!$D$47-Assumptions!$D$51</f>
        <v>84.582</v>
      </c>
      <c r="Z85" s="27" t="n">
        <f aca="false">Assumptions!$D$30*(1-Assumptions!$D$50-Assumptions!$D$49)-Assumptions!$D$44-Assumptions!$D$46-Assumptions!$D$47-Assumptions!$D$51</f>
        <v>84.582</v>
      </c>
      <c r="AA85" s="27" t="n">
        <f aca="false">Assumptions!$D$30*(1-Assumptions!$D$50-Assumptions!$D$49)-Assumptions!$D$44-Assumptions!$D$46-Assumptions!$D$47-Assumptions!$D$51</f>
        <v>84.582</v>
      </c>
      <c r="AB85" s="27" t="n">
        <f aca="false">Assumptions!$D$30*(1-Assumptions!$D$50-Assumptions!$D$49)-Assumptions!$D$44-Assumptions!$D$46-Assumptions!$D$47-Assumptions!$D$51</f>
        <v>84.582</v>
      </c>
      <c r="AC85" s="27" t="n">
        <f aca="false">Assumptions!$D$30*(1-Assumptions!$D$50-Assumptions!$D$49)-Assumptions!$D$44-Assumptions!$D$46-Assumptions!$D$47-Assumptions!$D$51</f>
        <v>84.582</v>
      </c>
      <c r="AD85" s="27" t="n">
        <f aca="false">Assumptions!$D$30*(1-Assumptions!$D$50-Assumptions!$D$49)-Assumptions!$D$44-Assumptions!$D$46-Assumptions!$D$47-Assumptions!$D$51</f>
        <v>84.582</v>
      </c>
      <c r="AE85" s="27" t="n">
        <f aca="false">Assumptions!$D$30*(1-Assumptions!$D$50-Assumptions!$D$49)-Assumptions!$D$44-Assumptions!$D$46-Assumptions!$D$47-Assumptions!$D$51</f>
        <v>84.582</v>
      </c>
      <c r="AF85" s="27" t="n">
        <f aca="false">Assumptions!$D$30*(1-Assumptions!$D$50-Assumptions!$D$49)-Assumptions!$D$44-Assumptions!$D$46-Assumptions!$D$47-Assumptions!$D$51</f>
        <v>84.582</v>
      </c>
      <c r="AG85" s="27" t="n">
        <f aca="false">Assumptions!$D$30*(1-Assumptions!$D$50-Assumptions!$D$49)-Assumptions!$D$44-Assumptions!$D$46-Assumptions!$D$47-Assumptions!$D$51</f>
        <v>84.582</v>
      </c>
      <c r="AH85" s="27" t="n">
        <f aca="false">Assumptions!$D$30*(1-Assumptions!$D$50-Assumptions!$D$49)-Assumptions!$D$44-Assumptions!$D$46-Assumptions!$D$47-Assumptions!$D$51</f>
        <v>84.582</v>
      </c>
      <c r="AI85" s="27" t="n">
        <f aca="false">Assumptions!$D$30*(1-Assumptions!$D$50-Assumptions!$D$49)-Assumptions!$D$44-Assumptions!$D$46-Assumptions!$D$47-Assumptions!$D$51</f>
        <v>84.582</v>
      </c>
      <c r="AJ85" s="27" t="n">
        <f aca="false">Assumptions!$D$30*(1-Assumptions!$D$50-Assumptions!$D$49)-Assumptions!$D$44-Assumptions!$D$46-Assumptions!$D$47-Assumptions!$D$51</f>
        <v>84.582</v>
      </c>
      <c r="AK85" s="27" t="n">
        <f aca="false">Assumptions!$D$30*(1-Assumptions!$D$50-Assumptions!$D$49)-Assumptions!$D$44-Assumptions!$D$46-Assumptions!$D$47-Assumptions!$D$51</f>
        <v>84.582</v>
      </c>
      <c r="AL85" s="27" t="n">
        <f aca="false">Assumptions!$D$30*(1-Assumptions!$D$50-Assumptions!$D$49)-Assumptions!$D$44-Assumptions!$D$46-Assumptions!$D$47-Assumptions!$D$51</f>
        <v>84.582</v>
      </c>
      <c r="AM85" s="27" t="n">
        <f aca="false">Assumptions!$D$30*(1-Assumptions!$D$50-Assumptions!$D$49)-Assumptions!$D$44-Assumptions!$D$46-Assumptions!$D$47-Assumptions!$D$51</f>
        <v>84.582</v>
      </c>
    </row>
    <row r="86" customFormat="false" ht="15" hidden="false" customHeight="false" outlineLevel="0" collapsed="false">
      <c r="A86" s="8" t="s">
        <v>395</v>
      </c>
      <c r="B86" s="8" t="s">
        <v>50</v>
      </c>
      <c r="D86" s="27" t="n">
        <f aca="false">D85/Assumptions!$D$41</f>
        <v>650.630769230769</v>
      </c>
      <c r="E86" s="27" t="n">
        <f aca="false">E85/Assumptions!$D$41</f>
        <v>650.630769230769</v>
      </c>
      <c r="F86" s="27" t="n">
        <f aca="false">F85/Assumptions!$D$41</f>
        <v>650.630769230769</v>
      </c>
      <c r="G86" s="27" t="n">
        <f aca="false">G85/Assumptions!$D$41</f>
        <v>650.630769230769</v>
      </c>
      <c r="H86" s="27" t="n">
        <f aca="false">H85/Assumptions!$D$41</f>
        <v>650.630769230769</v>
      </c>
      <c r="I86" s="27" t="n">
        <f aca="false">I85/Assumptions!$D$41</f>
        <v>650.630769230769</v>
      </c>
      <c r="J86" s="27" t="n">
        <f aca="false">J85/Assumptions!$D$41</f>
        <v>650.630769230769</v>
      </c>
      <c r="K86" s="27" t="n">
        <f aca="false">K85/Assumptions!$D$41</f>
        <v>650.630769230769</v>
      </c>
      <c r="L86" s="27" t="n">
        <f aca="false">L85/Assumptions!$D$41</f>
        <v>650.630769230769</v>
      </c>
      <c r="M86" s="27" t="n">
        <f aca="false">M85/Assumptions!$D$41</f>
        <v>650.630769230769</v>
      </c>
      <c r="N86" s="27" t="n">
        <f aca="false">N85/Assumptions!$D$41</f>
        <v>650.630769230769</v>
      </c>
      <c r="O86" s="27" t="n">
        <f aca="false">O85/Assumptions!$D$41</f>
        <v>650.630769230769</v>
      </c>
      <c r="P86" s="27" t="n">
        <f aca="false">P85/Assumptions!$D$41</f>
        <v>650.630769230769</v>
      </c>
      <c r="Q86" s="27" t="n">
        <f aca="false">Q85/Assumptions!$D$41</f>
        <v>650.630769230769</v>
      </c>
      <c r="R86" s="27" t="n">
        <f aca="false">R85/Assumptions!$D$41</f>
        <v>650.630769230769</v>
      </c>
      <c r="S86" s="27" t="n">
        <f aca="false">S85/Assumptions!$D$41</f>
        <v>650.630769230769</v>
      </c>
      <c r="T86" s="27" t="n">
        <f aca="false">T85/Assumptions!$D$41</f>
        <v>650.630769230769</v>
      </c>
      <c r="U86" s="27" t="n">
        <f aca="false">U85/Assumptions!$D$41</f>
        <v>650.630769230769</v>
      </c>
      <c r="V86" s="27" t="n">
        <f aca="false">V85/Assumptions!$D$41</f>
        <v>650.630769230769</v>
      </c>
      <c r="W86" s="27" t="n">
        <f aca="false">W85/Assumptions!$D$41</f>
        <v>650.630769230769</v>
      </c>
      <c r="X86" s="27" t="n">
        <f aca="false">X85/Assumptions!$D$41</f>
        <v>650.630769230769</v>
      </c>
      <c r="Y86" s="27" t="n">
        <f aca="false">Y85/Assumptions!$D$41</f>
        <v>650.630769230769</v>
      </c>
      <c r="Z86" s="27" t="n">
        <f aca="false">Z85/Assumptions!$D$41</f>
        <v>650.630769230769</v>
      </c>
      <c r="AA86" s="27" t="n">
        <f aca="false">AA85/Assumptions!$D$41</f>
        <v>650.630769230769</v>
      </c>
      <c r="AB86" s="27" t="n">
        <f aca="false">AB85/Assumptions!$D$41</f>
        <v>650.630769230769</v>
      </c>
      <c r="AC86" s="27" t="n">
        <f aca="false">AC85/Assumptions!$D$41</f>
        <v>650.630769230769</v>
      </c>
      <c r="AD86" s="27" t="n">
        <f aca="false">AD85/Assumptions!$D$41</f>
        <v>650.630769230769</v>
      </c>
      <c r="AE86" s="27" t="n">
        <f aca="false">AE85/Assumptions!$D$41</f>
        <v>650.630769230769</v>
      </c>
      <c r="AF86" s="27" t="n">
        <f aca="false">AF85/Assumptions!$D$41</f>
        <v>650.630769230769</v>
      </c>
      <c r="AG86" s="27" t="n">
        <f aca="false">AG85/Assumptions!$D$41</f>
        <v>650.630769230769</v>
      </c>
      <c r="AH86" s="27" t="n">
        <f aca="false">AH85/Assumptions!$D$41</f>
        <v>650.630769230769</v>
      </c>
      <c r="AI86" s="27" t="n">
        <f aca="false">AI85/Assumptions!$D$41</f>
        <v>650.630769230769</v>
      </c>
      <c r="AJ86" s="27" t="n">
        <f aca="false">AJ85/Assumptions!$D$41</f>
        <v>650.630769230769</v>
      </c>
      <c r="AK86" s="27" t="n">
        <f aca="false">AK85/Assumptions!$D$41</f>
        <v>650.630769230769</v>
      </c>
      <c r="AL86" s="27" t="n">
        <f aca="false">AL85/Assumptions!$D$41</f>
        <v>650.630769230769</v>
      </c>
      <c r="AM86" s="27" t="n">
        <f aca="false">AM85/Assumptions!$D$41</f>
        <v>650.630769230769</v>
      </c>
    </row>
    <row r="87" customFormat="false" ht="15" hidden="false" customHeight="false" outlineLevel="0" collapsed="false">
      <c r="A87" s="8" t="s">
        <v>396</v>
      </c>
      <c r="B87" s="8" t="s">
        <v>265</v>
      </c>
      <c r="D87" s="32" t="n">
        <f aca="false">IF(D66=0,0,D86/D66)</f>
        <v>0</v>
      </c>
      <c r="E87" s="32" t="n">
        <f aca="false">IF(E66=0,0,E86/E66)</f>
        <v>0</v>
      </c>
      <c r="F87" s="32" t="n">
        <f aca="false">IF(F66=0,0,F86/F66)</f>
        <v>0</v>
      </c>
      <c r="G87" s="32" t="n">
        <f aca="false">IF(G66=0,0,G86/G66)</f>
        <v>0</v>
      </c>
      <c r="H87" s="32" t="n">
        <f aca="false">IF(H66=0,0,H86/H66)</f>
        <v>0</v>
      </c>
      <c r="I87" s="32" t="n">
        <f aca="false">IF(I66=0,0,I86/I66)</f>
        <v>0.133691870010772</v>
      </c>
      <c r="J87" s="32" t="n">
        <f aca="false">IF(J66=0,0,J86/J66)</f>
        <v>0.134991673775924</v>
      </c>
      <c r="K87" s="32" t="n">
        <f aca="false">IF(K66=0,0,K86/K66)</f>
        <v>0.136382463804637</v>
      </c>
      <c r="L87" s="32" t="n">
        <f aca="false">IF(L66=0,0,L86/L66)</f>
        <v>0.226431542686832</v>
      </c>
      <c r="M87" s="32" t="n">
        <f aca="false">IF(M66=0,0,M86/M66)</f>
        <v>0.289317304653719</v>
      </c>
      <c r="N87" s="32" t="n">
        <f aca="false">IF(N66=0,0,N86/N66)</f>
        <v>0.306934081192456</v>
      </c>
      <c r="O87" s="32" t="n">
        <f aca="false">IF(O66=0,0,O86/O66)</f>
        <v>0.324797034250878</v>
      </c>
      <c r="P87" s="32" t="n">
        <f aca="false">IF(P66=0,0,P86/P66)</f>
        <v>0.342915552812052</v>
      </c>
      <c r="Q87" s="32" t="n">
        <f aca="false">IF(Q66=0,0,Q86/Q66)</f>
        <v>0.36129975250411</v>
      </c>
      <c r="R87" s="32" t="n">
        <f aca="false">IF(R66=0,0,R86/R66)</f>
        <v>0.379960518794153</v>
      </c>
      <c r="S87" s="32" t="n">
        <f aca="false">IF(S66=0,0,S86/S66)</f>
        <v>0.398909552610388</v>
      </c>
      <c r="T87" s="32" t="n">
        <f aca="false">IF(T66=0,0,T86/T66)</f>
        <v>0.418159418532139</v>
      </c>
      <c r="U87" s="32" t="n">
        <f aca="false">IF(U66=0,0,U86/U66)</f>
        <v>0.437723595695117</v>
      </c>
      <c r="V87" s="32" t="n">
        <f aca="false">IF(V66=0,0,V86/V66)</f>
        <v>0.457616531567506</v>
      </c>
      <c r="W87" s="32" t="n">
        <f aca="false">IF(W66=0,0,W86/W66)</f>
        <v>0.477853698761018</v>
      </c>
      <c r="X87" s="32" t="n">
        <f aca="false">IF(X66=0,0,X86/X66)</f>
        <v>0.49845165505015</v>
      </c>
      <c r="Y87" s="32" t="n">
        <f aca="false">IF(Y66=0,0,Y86/Y66)</f>
        <v>0.519428106782415</v>
      </c>
      <c r="Z87" s="32" t="n">
        <f aca="false">IF(Z66=0,0,Z86/Z66)</f>
        <v>0.540801975872437</v>
      </c>
      <c r="AA87" s="32" t="n">
        <f aca="false">IF(AA66=0,0,AA86/AA66)</f>
        <v>0.562593470583373</v>
      </c>
      <c r="AB87" s="32" t="n">
        <f aca="false">IF(AB66=0,0,AB86/AB66)</f>
        <v>0.584824160310363</v>
      </c>
      <c r="AC87" s="32" t="n">
        <f aca="false">IF(AC66=0,0,AC86/AC66)</f>
        <v>0.607517054592492</v>
      </c>
      <c r="AD87" s="32" t="n">
        <f aca="false">IF(AD66=0,0,AD86/AD66)</f>
        <v>0.630696686592202</v>
      </c>
      <c r="AE87" s="32" t="n">
        <f aca="false">IF(AE66=0,0,AE86/AE66)</f>
        <v>0.654389201294189</v>
      </c>
      <c r="AF87" s="32" t="n">
        <f aca="false">IF(AF66=0,0,AF86/AF66)</f>
        <v>0.678622448689685</v>
      </c>
      <c r="AG87" s="32" t="n">
        <f aca="false">IF(AG66=0,0,AG86/AG66)</f>
        <v>0.685155274895993</v>
      </c>
      <c r="AH87" s="32" t="n">
        <f aca="false">IF(AH66=0,0,AH86/AH66)</f>
        <v>0.691928793817426</v>
      </c>
      <c r="AI87" s="32" t="n">
        <f aca="false">IF(AI66=0,0,AI86/AI66)</f>
        <v>0.698956267354704</v>
      </c>
      <c r="AJ87" s="32" t="n">
        <f aca="false">IF(AJ66=0,0,AJ86/AJ66)</f>
        <v>0.706251606961978</v>
      </c>
      <c r="AK87" s="32" t="n">
        <f aca="false">IF(AK66=0,0,AK86/AK66)</f>
        <v>0.713829405438731</v>
      </c>
      <c r="AL87" s="32" t="n">
        <f aca="false">IF(AL66=0,0,AL86/AL66)</f>
        <v>0.721704970298529</v>
      </c>
      <c r="AM87" s="32" t="n">
        <f aca="false">IF(AM66=0,0,AM86/AM66)</f>
        <v>0.729894358791923</v>
      </c>
    </row>
    <row r="88" customFormat="false" ht="15" hidden="false" customHeight="false" outlineLevel="0" collapsed="false">
      <c r="A88" s="8" t="s">
        <v>397</v>
      </c>
      <c r="B88" s="8" t="s">
        <v>271</v>
      </c>
      <c r="D88" s="33" t="n">
        <f aca="false">IF(D85&lt;=0,0,D66/D85)</f>
        <v>0</v>
      </c>
      <c r="E88" s="33" t="n">
        <f aca="false">IF(E85&lt;=0,0,E66/E85)</f>
        <v>0</v>
      </c>
      <c r="F88" s="33" t="n">
        <f aca="false">IF(F85&lt;=0,0,F66/F85)</f>
        <v>0</v>
      </c>
      <c r="G88" s="33" t="n">
        <f aca="false">IF(G85&lt;=0,0,G66/G85)</f>
        <v>0</v>
      </c>
      <c r="H88" s="33" t="n">
        <f aca="false">IF(H85&lt;=0,0,H66/H85)</f>
        <v>0</v>
      </c>
      <c r="I88" s="33" t="n">
        <f aca="false">IF(I85&lt;=0,0,I66/I85)</f>
        <v>57.5375876759589</v>
      </c>
      <c r="J88" s="33" t="n">
        <f aca="false">IF(J85&lt;=0,0,J66/J85)</f>
        <v>56.9835714836483</v>
      </c>
      <c r="K88" s="33" t="n">
        <f aca="false">IF(K85&lt;=0,0,K66/K85)</f>
        <v>56.4024690397636</v>
      </c>
      <c r="L88" s="33" t="n">
        <f aca="false">IF(L85&lt;=0,0,L66/L85)</f>
        <v>33.9718910229155</v>
      </c>
      <c r="M88" s="33" t="n">
        <f aca="false">IF(M85&lt;=0,0,M66/M85)</f>
        <v>26.587789836887</v>
      </c>
      <c r="N88" s="33" t="n">
        <f aca="false">IF(N85&lt;=0,0,N66/N85)</f>
        <v>25.0617580896284</v>
      </c>
      <c r="O88" s="33" t="n">
        <f aca="false">IF(O85&lt;=0,0,O66/O85)</f>
        <v>23.6834295918049</v>
      </c>
      <c r="P88" s="33" t="n">
        <f aca="false">IF(P85&lt;=0,0,P66/P85)</f>
        <v>22.4320758543249</v>
      </c>
      <c r="Q88" s="33" t="n">
        <f aca="false">IF(Q85&lt;=0,0,Q66/Q85)</f>
        <v>21.2906530906638</v>
      </c>
      <c r="R88" s="33" t="n">
        <f aca="false">IF(R85&lt;=0,0,R66/R85)</f>
        <v>20.2450183948587</v>
      </c>
      <c r="S88" s="33" t="n">
        <f aca="false">IF(S85&lt;=0,0,S66/S85)</f>
        <v>19.2833378944442</v>
      </c>
      <c r="T88" s="33" t="n">
        <f aca="false">IF(T85&lt;=0,0,T66/T85)</f>
        <v>18.3956341801649</v>
      </c>
      <c r="U88" s="33" t="n">
        <f aca="false">IF(U85&lt;=0,0,U66/U85)</f>
        <v>17.5734362231309</v>
      </c>
      <c r="V88" s="33" t="n">
        <f aca="false">IF(V85&lt;=0,0,V66/V85)</f>
        <v>16.8095056923724</v>
      </c>
      <c r="W88" s="33" t="n">
        <f aca="false">IF(W85&lt;=0,0,W66/W85)</f>
        <v>16.0976209083499</v>
      </c>
      <c r="X88" s="33" t="n">
        <f aca="false">IF(X85&lt;=0,0,X66/X85)</f>
        <v>15.4324047565531</v>
      </c>
      <c r="Y88" s="33" t="n">
        <f aca="false">IF(Y85&lt;=0,0,Y66/Y85)</f>
        <v>14.8091864723253</v>
      </c>
      <c r="Z88" s="33" t="n">
        <f aca="false">IF(Z85&lt;=0,0,Z66/Z85)</f>
        <v>14.2238897701848</v>
      </c>
      <c r="AA88" s="33" t="n">
        <f aca="false">IF(AA85&lt;=0,0,AA66/AA85)</f>
        <v>13.6729416435126</v>
      </c>
      <c r="AB88" s="33" t="n">
        <f aca="false">IF(AB85&lt;=0,0,AB66/AB85)</f>
        <v>13.1531975153445</v>
      </c>
      <c r="AC88" s="33" t="n">
        <f aca="false">IF(AC85&lt;=0,0,AC66/AC85)</f>
        <v>12.6618794224098</v>
      </c>
      <c r="AD88" s="33" t="n">
        <f aca="false">IF(AD85&lt;=0,0,AD66/AD85)</f>
        <v>12.1965246620701</v>
      </c>
      <c r="AE88" s="33" t="n">
        <f aca="false">IF(AE85&lt;=0,0,AE66/AE85)</f>
        <v>11.7549428949845</v>
      </c>
      <c r="AF88" s="33" t="n">
        <f aca="false">IF(AF85&lt;=0,0,AF66/AF85)</f>
        <v>11.3351801243244</v>
      </c>
      <c r="AG88" s="33" t="n">
        <f aca="false">IF(AG85&lt;=0,0,AG66/AG85)</f>
        <v>11.2271013216316</v>
      </c>
      <c r="AH88" s="33" t="n">
        <f aca="false">IF(AH85&lt;=0,0,AH66/AH85)</f>
        <v>11.11719552798</v>
      </c>
      <c r="AI88" s="33" t="n">
        <f aca="false">IF(AI85&lt;=0,0,AI66/AI85)</f>
        <v>11.0054205843526</v>
      </c>
      <c r="AJ88" s="33" t="n">
        <f aca="false">IF(AJ85&lt;=0,0,AJ66/AJ85)</f>
        <v>10.8917383216968</v>
      </c>
      <c r="AK88" s="33" t="n">
        <f aca="false">IF(AK85&lt;=0,0,AK66/AK85)</f>
        <v>10.776114900422</v>
      </c>
      <c r="AL88" s="33" t="n">
        <f aca="false">IF(AL85&lt;=0,0,AL66/AL85)</f>
        <v>10.6585211532156</v>
      </c>
      <c r="AM88" s="33" t="n">
        <f aca="false">IF(AM85&lt;=0,0,AM66/AM85)</f>
        <v>10.5389329286495</v>
      </c>
    </row>
    <row r="89" customFormat="false" ht="15" hidden="false" customHeight="false" outlineLevel="0" collapsed="false">
      <c r="A89" s="8" t="s">
        <v>398</v>
      </c>
      <c r="B89" s="8" t="s">
        <v>50</v>
      </c>
      <c r="D89" s="27" t="n">
        <f aca="false">IF((D24+D29)=0,0,D43/(D24+D29))</f>
        <v>0</v>
      </c>
      <c r="E89" s="27" t="n">
        <f aca="false">IF((E24+E29)=0,0,E43/(E24+E29))</f>
        <v>0</v>
      </c>
      <c r="F89" s="27" t="n">
        <f aca="false">IF((F24+F29)=0,0,F43/(F24+F29))</f>
        <v>0</v>
      </c>
      <c r="G89" s="27" t="n">
        <f aca="false">IF((G24+G29)=0,0,G43/(G24+G29))</f>
        <v>0</v>
      </c>
      <c r="H89" s="27" t="n">
        <f aca="false">IF((H24+H29)=0,0,H43/(H24+H29))</f>
        <v>0</v>
      </c>
      <c r="I89" s="27" t="n">
        <f aca="false">IF((I24+I29)=0,0,I43/(I24+I29))</f>
        <v>243.678990094634</v>
      </c>
      <c r="J89" s="27" t="n">
        <f aca="false">IF((J24+J29)=0,0,J43/(J24+J29))</f>
        <v>162.16439243649</v>
      </c>
      <c r="K89" s="27" t="n">
        <f aca="false">IF((K24+K29)=0,0,K43/(K24+K29))</f>
        <v>135.063317047732</v>
      </c>
      <c r="L89" s="27" t="n">
        <f aca="false">IF((L24+L29)=0,0,L43/(L24+L29))</f>
        <v>245.61502263297</v>
      </c>
      <c r="M89" s="27" t="n">
        <f aca="false">IF((M24+M29)=0,0,M43/(M24+M29))</f>
        <v>159.297061635914</v>
      </c>
      <c r="N89" s="27" t="n">
        <f aca="false">IF((N24+N29)=0,0,N43/(N24+N29))</f>
        <v>153.307926742734</v>
      </c>
      <c r="O89" s="27" t="n">
        <f aca="false">IF((O24+O29)=0,0,O43/(O24+O29))</f>
        <v>150.001344891807</v>
      </c>
      <c r="P89" s="27" t="n">
        <f aca="false">IF((P24+P29)=0,0,P43/(P24+P29))</f>
        <v>148.277840140382</v>
      </c>
      <c r="Q89" s="27" t="n">
        <f aca="false">IF((Q24+Q29)=0,0,Q43/(Q24+Q29))</f>
        <v>147.577285134801</v>
      </c>
      <c r="R89" s="27" t="n">
        <f aca="false">IF((R24+R29)=0,0,R43/(R24+R29))</f>
        <v>147.582990770577</v>
      </c>
      <c r="S89" s="27" t="n">
        <f aca="false">IF((S24+S29)=0,0,S43/(S24+S29))</f>
        <v>148.10137381596</v>
      </c>
      <c r="T89" s="27" t="n">
        <f aca="false">IF((T24+T29)=0,0,T43/(T24+T29))</f>
        <v>149.006606143823</v>
      </c>
      <c r="U89" s="27" t="n">
        <f aca="false">IF((U24+U29)=0,0,U43/(U24+U29))</f>
        <v>150.212692112315</v>
      </c>
      <c r="V89" s="27" t="n">
        <f aca="false">IF((V24+V29)=0,0,V43/(V24+V29))</f>
        <v>151.658331223103</v>
      </c>
      <c r="W89" s="27" t="n">
        <f aca="false">IF((W24+W29)=0,0,W43/(W24+W29))</f>
        <v>153.298223503336</v>
      </c>
      <c r="X89" s="27" t="n">
        <f aca="false">IF((X24+X29)=0,0,X43/(X24+X29))</f>
        <v>155.097832446112</v>
      </c>
      <c r="Y89" s="27" t="n">
        <f aca="false">IF((Y24+Y29)=0,0,Y43/(Y24+Y29))</f>
        <v>157.030102465013</v>
      </c>
      <c r="Z89" s="27" t="n">
        <f aca="false">IF((Z24+Z29)=0,0,Z43/(Z24+Z29))</f>
        <v>159.073330483613</v>
      </c>
      <c r="AA89" s="27" t="n">
        <f aca="false">IF((AA24+AA29)=0,0,AA43/(AA24+AA29))</f>
        <v>161.209744818083</v>
      </c>
      <c r="AB89" s="27" t="n">
        <f aca="false">IF((AB24+AB29)=0,0,AB43/(AB24+AB29))</f>
        <v>163.424531583612</v>
      </c>
      <c r="AC89" s="27" t="n">
        <f aca="false">IF((AC24+AC29)=0,0,AC43/(AC24+AC29))</f>
        <v>165.705152226203</v>
      </c>
      <c r="AD89" s="27" t="n">
        <f aca="false">IF((AD24+AD29)=0,0,AD43/(AD24+AD29))</f>
        <v>168.040855093516</v>
      </c>
      <c r="AE89" s="27" t="n">
        <f aca="false">IF((AE24+AE29)=0,0,AE43/(AE24+AE29))</f>
        <v>170.422319134657</v>
      </c>
      <c r="AF89" s="27" t="n">
        <f aca="false">IF((AF24+AF29)=0,0,AF43/(AF24+AF29))</f>
        <v>172.841389300129</v>
      </c>
      <c r="AG89" s="27" t="n">
        <f aca="false">IF((AG24+AG29)=0,0,AG43/(AG24+AG29))</f>
        <v>174.356972900988</v>
      </c>
      <c r="AH89" s="27" t="n">
        <f aca="false">IF((AH24+AH29)=0,0,AH43/(AH24+AH29))</f>
        <v>175.722315645651</v>
      </c>
      <c r="AI89" s="27" t="n">
        <f aca="false">IF((AI24+AI29)=0,0,AI43/(AI24+AI29))</f>
        <v>176.963758663423</v>
      </c>
      <c r="AJ89" s="27" t="n">
        <f aca="false">IF((AJ24+AJ29)=0,0,AJ43/(AJ24+AJ29))</f>
        <v>178.102007582513</v>
      </c>
      <c r="AK89" s="27" t="n">
        <f aca="false">IF((AK24+AK29)=0,0,AK43/(AK24+AK29))</f>
        <v>179.153481432248</v>
      </c>
      <c r="AL89" s="27" t="n">
        <f aca="false">IF((AL24+AL29)=0,0,AL43/(AL24+AL29))</f>
        <v>180.131296391547</v>
      </c>
      <c r="AM89" s="27" t="n">
        <f aca="false">IF((AM24+AM29)=0,0,AM43/(AM24+AM29))</f>
        <v>181.045995219093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39" min="4" style="0" width="11"/>
  </cols>
  <sheetData>
    <row r="1" customFormat="false" ht="17.35" hidden="false" customHeight="false" outlineLevel="0" collapsed="false">
      <c r="A1" s="1" t="s">
        <v>399</v>
      </c>
    </row>
    <row r="2" customFormat="false" ht="15" hidden="false" customHeight="false" outlineLevel="0" collapsed="false">
      <c r="A2" s="3" t="s">
        <v>312</v>
      </c>
    </row>
    <row r="3" customFormat="false" ht="15" hidden="false" customHeight="false" outlineLevel="0" collapsed="false">
      <c r="A3" s="4" t="s">
        <v>313</v>
      </c>
      <c r="B3" s="4" t="s">
        <v>13</v>
      </c>
      <c r="C3" s="4" t="s">
        <v>314</v>
      </c>
      <c r="D3" s="24" t="n">
        <v>1</v>
      </c>
      <c r="E3" s="24" t="n">
        <v>2</v>
      </c>
      <c r="F3" s="24" t="n">
        <v>3</v>
      </c>
      <c r="G3" s="24" t="n">
        <v>4</v>
      </c>
      <c r="H3" s="24" t="n">
        <v>5</v>
      </c>
      <c r="I3" s="24" t="n">
        <v>6</v>
      </c>
      <c r="J3" s="24" t="n">
        <v>7</v>
      </c>
      <c r="K3" s="24" t="n">
        <v>8</v>
      </c>
      <c r="L3" s="24" t="n">
        <v>9</v>
      </c>
      <c r="M3" s="24" t="n">
        <v>10</v>
      </c>
      <c r="N3" s="24" t="n">
        <v>11</v>
      </c>
      <c r="O3" s="24" t="n">
        <v>12</v>
      </c>
      <c r="P3" s="24" t="n">
        <v>13</v>
      </c>
      <c r="Q3" s="24" t="n">
        <v>14</v>
      </c>
      <c r="R3" s="24" t="n">
        <v>15</v>
      </c>
      <c r="S3" s="24" t="n">
        <v>16</v>
      </c>
      <c r="T3" s="24" t="n">
        <v>17</v>
      </c>
      <c r="U3" s="24" t="n">
        <v>18</v>
      </c>
      <c r="V3" s="24" t="n">
        <v>19</v>
      </c>
      <c r="W3" s="24" t="n">
        <v>20</v>
      </c>
      <c r="X3" s="24" t="n">
        <v>21</v>
      </c>
      <c r="Y3" s="24" t="n">
        <v>22</v>
      </c>
      <c r="Z3" s="24" t="n">
        <v>23</v>
      </c>
      <c r="AA3" s="24" t="n">
        <v>24</v>
      </c>
      <c r="AB3" s="24" t="n">
        <v>25</v>
      </c>
      <c r="AC3" s="24" t="n">
        <v>26</v>
      </c>
      <c r="AD3" s="24" t="n">
        <v>27</v>
      </c>
      <c r="AE3" s="24" t="n">
        <v>28</v>
      </c>
      <c r="AF3" s="24" t="n">
        <v>29</v>
      </c>
      <c r="AG3" s="24" t="n">
        <v>30</v>
      </c>
      <c r="AH3" s="24" t="n">
        <v>31</v>
      </c>
      <c r="AI3" s="24" t="n">
        <v>32</v>
      </c>
      <c r="AJ3" s="24" t="n">
        <v>33</v>
      </c>
      <c r="AK3" s="24" t="n">
        <v>34</v>
      </c>
      <c r="AL3" s="24" t="n">
        <v>35</v>
      </c>
      <c r="AM3" s="24" t="n">
        <v>36</v>
      </c>
    </row>
    <row r="4" customFormat="false" ht="15" hidden="false" customHeight="false" outlineLevel="0" collapsed="false">
      <c r="A4" s="5" t="s">
        <v>315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customFormat="false" ht="15" hidden="false" customHeight="false" outlineLevel="0" collapsed="false">
      <c r="A5" s="8" t="s">
        <v>316</v>
      </c>
      <c r="B5" s="8" t="s">
        <v>293</v>
      </c>
      <c r="D5" s="25" t="n">
        <f aca="false">D$3</f>
        <v>1</v>
      </c>
      <c r="E5" s="25" t="n">
        <f aca="false">E$3</f>
        <v>2</v>
      </c>
      <c r="F5" s="25" t="n">
        <f aca="false">F$3</f>
        <v>3</v>
      </c>
      <c r="G5" s="25" t="n">
        <f aca="false">G$3</f>
        <v>4</v>
      </c>
      <c r="H5" s="25" t="n">
        <f aca="false">H$3</f>
        <v>5</v>
      </c>
      <c r="I5" s="25" t="n">
        <f aca="false">I$3</f>
        <v>6</v>
      </c>
      <c r="J5" s="25" t="n">
        <f aca="false">J$3</f>
        <v>7</v>
      </c>
      <c r="K5" s="25" t="n">
        <f aca="false">K$3</f>
        <v>8</v>
      </c>
      <c r="L5" s="25" t="n">
        <f aca="false">L$3</f>
        <v>9</v>
      </c>
      <c r="M5" s="25" t="n">
        <f aca="false">M$3</f>
        <v>10</v>
      </c>
      <c r="N5" s="25" t="n">
        <f aca="false">N$3</f>
        <v>11</v>
      </c>
      <c r="O5" s="25" t="n">
        <f aca="false">O$3</f>
        <v>12</v>
      </c>
      <c r="P5" s="25" t="n">
        <f aca="false">P$3</f>
        <v>13</v>
      </c>
      <c r="Q5" s="25" t="n">
        <f aca="false">Q$3</f>
        <v>14</v>
      </c>
      <c r="R5" s="25" t="n">
        <f aca="false">R$3</f>
        <v>15</v>
      </c>
      <c r="S5" s="25" t="n">
        <f aca="false">S$3</f>
        <v>16</v>
      </c>
      <c r="T5" s="25" t="n">
        <f aca="false">T$3</f>
        <v>17</v>
      </c>
      <c r="U5" s="25" t="n">
        <f aca="false">U$3</f>
        <v>18</v>
      </c>
      <c r="V5" s="25" t="n">
        <f aca="false">V$3</f>
        <v>19</v>
      </c>
      <c r="W5" s="25" t="n">
        <f aca="false">W$3</f>
        <v>20</v>
      </c>
      <c r="X5" s="25" t="n">
        <f aca="false">X$3</f>
        <v>21</v>
      </c>
      <c r="Y5" s="25" t="n">
        <f aca="false">Y$3</f>
        <v>22</v>
      </c>
      <c r="Z5" s="25" t="n">
        <f aca="false">Z$3</f>
        <v>23</v>
      </c>
      <c r="AA5" s="25" t="n">
        <f aca="false">AA$3</f>
        <v>24</v>
      </c>
      <c r="AB5" s="25" t="n">
        <f aca="false">AB$3</f>
        <v>25</v>
      </c>
      <c r="AC5" s="25" t="n">
        <f aca="false">AC$3</f>
        <v>26</v>
      </c>
      <c r="AD5" s="25" t="n">
        <f aca="false">AD$3</f>
        <v>27</v>
      </c>
      <c r="AE5" s="25" t="n">
        <f aca="false">AE$3</f>
        <v>28</v>
      </c>
      <c r="AF5" s="25" t="n">
        <f aca="false">AF$3</f>
        <v>29</v>
      </c>
      <c r="AG5" s="25" t="n">
        <f aca="false">AG$3</f>
        <v>30</v>
      </c>
      <c r="AH5" s="25" t="n">
        <f aca="false">AH$3</f>
        <v>31</v>
      </c>
      <c r="AI5" s="25" t="n">
        <f aca="false">AI$3</f>
        <v>32</v>
      </c>
      <c r="AJ5" s="25" t="n">
        <f aca="false">AJ$3</f>
        <v>33</v>
      </c>
      <c r="AK5" s="25" t="n">
        <f aca="false">AK$3</f>
        <v>34</v>
      </c>
      <c r="AL5" s="25" t="n">
        <f aca="false">AL$3</f>
        <v>35</v>
      </c>
      <c r="AM5" s="25" t="n">
        <f aca="false">AM$3</f>
        <v>36</v>
      </c>
    </row>
    <row r="6" customFormat="false" ht="15" hidden="false" customHeight="false" outlineLevel="0" collapsed="false">
      <c r="A6" s="8" t="s">
        <v>317</v>
      </c>
      <c r="B6" s="8" t="s">
        <v>249</v>
      </c>
      <c r="D6" s="25" t="n">
        <f aca="false">IF(D$3&lt;Assumptions!$E$7,1,0)</f>
        <v>1</v>
      </c>
      <c r="E6" s="25" t="n">
        <f aca="false">IF(E$3&lt;Assumptions!$E$7,1,0)</f>
        <v>1</v>
      </c>
      <c r="F6" s="25" t="n">
        <f aca="false">IF(F$3&lt;Assumptions!$E$7,1,0)</f>
        <v>1</v>
      </c>
      <c r="G6" s="25" t="n">
        <f aca="false">IF(G$3&lt;Assumptions!$E$7,1,0)</f>
        <v>1</v>
      </c>
      <c r="H6" s="25" t="n">
        <f aca="false">IF(H$3&lt;Assumptions!$E$7,1,0)</f>
        <v>0</v>
      </c>
      <c r="I6" s="25" t="n">
        <f aca="false">IF(I$3&lt;Assumptions!$E$7,1,0)</f>
        <v>0</v>
      </c>
      <c r="J6" s="25" t="n">
        <f aca="false">IF(J$3&lt;Assumptions!$E$7,1,0)</f>
        <v>0</v>
      </c>
      <c r="K6" s="25" t="n">
        <f aca="false">IF(K$3&lt;Assumptions!$E$7,1,0)</f>
        <v>0</v>
      </c>
      <c r="L6" s="25" t="n">
        <f aca="false">IF(L$3&lt;Assumptions!$E$7,1,0)</f>
        <v>0</v>
      </c>
      <c r="M6" s="25" t="n">
        <f aca="false">IF(M$3&lt;Assumptions!$E$7,1,0)</f>
        <v>0</v>
      </c>
      <c r="N6" s="25" t="n">
        <f aca="false">IF(N$3&lt;Assumptions!$E$7,1,0)</f>
        <v>0</v>
      </c>
      <c r="O6" s="25" t="n">
        <f aca="false">IF(O$3&lt;Assumptions!$E$7,1,0)</f>
        <v>0</v>
      </c>
      <c r="P6" s="25" t="n">
        <f aca="false">IF(P$3&lt;Assumptions!$E$7,1,0)</f>
        <v>0</v>
      </c>
      <c r="Q6" s="25" t="n">
        <f aca="false">IF(Q$3&lt;Assumptions!$E$7,1,0)</f>
        <v>0</v>
      </c>
      <c r="R6" s="25" t="n">
        <f aca="false">IF(R$3&lt;Assumptions!$E$7,1,0)</f>
        <v>0</v>
      </c>
      <c r="S6" s="25" t="n">
        <f aca="false">IF(S$3&lt;Assumptions!$E$7,1,0)</f>
        <v>0</v>
      </c>
      <c r="T6" s="25" t="n">
        <f aca="false">IF(T$3&lt;Assumptions!$E$7,1,0)</f>
        <v>0</v>
      </c>
      <c r="U6" s="25" t="n">
        <f aca="false">IF(U$3&lt;Assumptions!$E$7,1,0)</f>
        <v>0</v>
      </c>
      <c r="V6" s="25" t="n">
        <f aca="false">IF(V$3&lt;Assumptions!$E$7,1,0)</f>
        <v>0</v>
      </c>
      <c r="W6" s="25" t="n">
        <f aca="false">IF(W$3&lt;Assumptions!$E$7,1,0)</f>
        <v>0</v>
      </c>
      <c r="X6" s="25" t="n">
        <f aca="false">IF(X$3&lt;Assumptions!$E$7,1,0)</f>
        <v>0</v>
      </c>
      <c r="Y6" s="25" t="n">
        <f aca="false">IF(Y$3&lt;Assumptions!$E$7,1,0)</f>
        <v>0</v>
      </c>
      <c r="Z6" s="25" t="n">
        <f aca="false">IF(Z$3&lt;Assumptions!$E$7,1,0)</f>
        <v>0</v>
      </c>
      <c r="AA6" s="25" t="n">
        <f aca="false">IF(AA$3&lt;Assumptions!$E$7,1,0)</f>
        <v>0</v>
      </c>
      <c r="AB6" s="25" t="n">
        <f aca="false">IF(AB$3&lt;Assumptions!$E$7,1,0)</f>
        <v>0</v>
      </c>
      <c r="AC6" s="25" t="n">
        <f aca="false">IF(AC$3&lt;Assumptions!$E$7,1,0)</f>
        <v>0</v>
      </c>
      <c r="AD6" s="25" t="n">
        <f aca="false">IF(AD$3&lt;Assumptions!$E$7,1,0)</f>
        <v>0</v>
      </c>
      <c r="AE6" s="25" t="n">
        <f aca="false">IF(AE$3&lt;Assumptions!$E$7,1,0)</f>
        <v>0</v>
      </c>
      <c r="AF6" s="25" t="n">
        <f aca="false">IF(AF$3&lt;Assumptions!$E$7,1,0)</f>
        <v>0</v>
      </c>
      <c r="AG6" s="25" t="n">
        <f aca="false">IF(AG$3&lt;Assumptions!$E$7,1,0)</f>
        <v>0</v>
      </c>
      <c r="AH6" s="25" t="n">
        <f aca="false">IF(AH$3&lt;Assumptions!$E$7,1,0)</f>
        <v>0</v>
      </c>
      <c r="AI6" s="25" t="n">
        <f aca="false">IF(AI$3&lt;Assumptions!$E$7,1,0)</f>
        <v>0</v>
      </c>
      <c r="AJ6" s="25" t="n">
        <f aca="false">IF(AJ$3&lt;Assumptions!$E$7,1,0)</f>
        <v>0</v>
      </c>
      <c r="AK6" s="25" t="n">
        <f aca="false">IF(AK$3&lt;Assumptions!$E$7,1,0)</f>
        <v>0</v>
      </c>
      <c r="AL6" s="25" t="n">
        <f aca="false">IF(AL$3&lt;Assumptions!$E$7,1,0)</f>
        <v>0</v>
      </c>
      <c r="AM6" s="25" t="n">
        <f aca="false">IF(AM$3&lt;Assumptions!$E$7,1,0)</f>
        <v>0</v>
      </c>
    </row>
    <row r="7" customFormat="false" ht="15" hidden="false" customHeight="false" outlineLevel="0" collapsed="false">
      <c r="A7" s="8" t="s">
        <v>318</v>
      </c>
      <c r="B7" s="8" t="s">
        <v>249</v>
      </c>
      <c r="D7" s="25" t="n">
        <f aca="false">IF(AND(D$3&gt;=Assumptions!$E$7,D$3&lt;Assumptions!$E$6),1,0)</f>
        <v>0</v>
      </c>
      <c r="E7" s="25" t="n">
        <f aca="false">IF(AND(E$3&gt;=Assumptions!$E$7,E$3&lt;Assumptions!$E$6),1,0)</f>
        <v>0</v>
      </c>
      <c r="F7" s="25" t="n">
        <f aca="false">IF(AND(F$3&gt;=Assumptions!$E$7,F$3&lt;Assumptions!$E$6),1,0)</f>
        <v>0</v>
      </c>
      <c r="G7" s="25" t="n">
        <f aca="false">IF(AND(G$3&gt;=Assumptions!$E$7,G$3&lt;Assumptions!$E$6),1,0)</f>
        <v>0</v>
      </c>
      <c r="H7" s="25" t="n">
        <f aca="false">IF(AND(H$3&gt;=Assumptions!$E$7,H$3&lt;Assumptions!$E$6),1,0)</f>
        <v>1</v>
      </c>
      <c r="I7" s="25" t="n">
        <f aca="false">IF(AND(I$3&gt;=Assumptions!$E$7,I$3&lt;Assumptions!$E$6),1,0)</f>
        <v>1</v>
      </c>
      <c r="J7" s="25" t="n">
        <f aca="false">IF(AND(J$3&gt;=Assumptions!$E$7,J$3&lt;Assumptions!$E$6),1,0)</f>
        <v>1</v>
      </c>
      <c r="K7" s="25" t="n">
        <f aca="false">IF(AND(K$3&gt;=Assumptions!$E$7,K$3&lt;Assumptions!$E$6),1,0)</f>
        <v>0</v>
      </c>
      <c r="L7" s="25" t="n">
        <f aca="false">IF(AND(L$3&gt;=Assumptions!$E$7,L$3&lt;Assumptions!$E$6),1,0)</f>
        <v>0</v>
      </c>
      <c r="M7" s="25" t="n">
        <f aca="false">IF(AND(M$3&gt;=Assumptions!$E$7,M$3&lt;Assumptions!$E$6),1,0)</f>
        <v>0</v>
      </c>
      <c r="N7" s="25" t="n">
        <f aca="false">IF(AND(N$3&gt;=Assumptions!$E$7,N$3&lt;Assumptions!$E$6),1,0)</f>
        <v>0</v>
      </c>
      <c r="O7" s="25" t="n">
        <f aca="false">IF(AND(O$3&gt;=Assumptions!$E$7,O$3&lt;Assumptions!$E$6),1,0)</f>
        <v>0</v>
      </c>
      <c r="P7" s="25" t="n">
        <f aca="false">IF(AND(P$3&gt;=Assumptions!$E$7,P$3&lt;Assumptions!$E$6),1,0)</f>
        <v>0</v>
      </c>
      <c r="Q7" s="25" t="n">
        <f aca="false">IF(AND(Q$3&gt;=Assumptions!$E$7,Q$3&lt;Assumptions!$E$6),1,0)</f>
        <v>0</v>
      </c>
      <c r="R7" s="25" t="n">
        <f aca="false">IF(AND(R$3&gt;=Assumptions!$E$7,R$3&lt;Assumptions!$E$6),1,0)</f>
        <v>0</v>
      </c>
      <c r="S7" s="25" t="n">
        <f aca="false">IF(AND(S$3&gt;=Assumptions!$E$7,S$3&lt;Assumptions!$E$6),1,0)</f>
        <v>0</v>
      </c>
      <c r="T7" s="25" t="n">
        <f aca="false">IF(AND(T$3&gt;=Assumptions!$E$7,T$3&lt;Assumptions!$E$6),1,0)</f>
        <v>0</v>
      </c>
      <c r="U7" s="25" t="n">
        <f aca="false">IF(AND(U$3&gt;=Assumptions!$E$7,U$3&lt;Assumptions!$E$6),1,0)</f>
        <v>0</v>
      </c>
      <c r="V7" s="25" t="n">
        <f aca="false">IF(AND(V$3&gt;=Assumptions!$E$7,V$3&lt;Assumptions!$E$6),1,0)</f>
        <v>0</v>
      </c>
      <c r="W7" s="25" t="n">
        <f aca="false">IF(AND(W$3&gt;=Assumptions!$E$7,W$3&lt;Assumptions!$E$6),1,0)</f>
        <v>0</v>
      </c>
      <c r="X7" s="25" t="n">
        <f aca="false">IF(AND(X$3&gt;=Assumptions!$E$7,X$3&lt;Assumptions!$E$6),1,0)</f>
        <v>0</v>
      </c>
      <c r="Y7" s="25" t="n">
        <f aca="false">IF(AND(Y$3&gt;=Assumptions!$E$7,Y$3&lt;Assumptions!$E$6),1,0)</f>
        <v>0</v>
      </c>
      <c r="Z7" s="25" t="n">
        <f aca="false">IF(AND(Z$3&gt;=Assumptions!$E$7,Z$3&lt;Assumptions!$E$6),1,0)</f>
        <v>0</v>
      </c>
      <c r="AA7" s="25" t="n">
        <f aca="false">IF(AND(AA$3&gt;=Assumptions!$E$7,AA$3&lt;Assumptions!$E$6),1,0)</f>
        <v>0</v>
      </c>
      <c r="AB7" s="25" t="n">
        <f aca="false">IF(AND(AB$3&gt;=Assumptions!$E$7,AB$3&lt;Assumptions!$E$6),1,0)</f>
        <v>0</v>
      </c>
      <c r="AC7" s="25" t="n">
        <f aca="false">IF(AND(AC$3&gt;=Assumptions!$E$7,AC$3&lt;Assumptions!$E$6),1,0)</f>
        <v>0</v>
      </c>
      <c r="AD7" s="25" t="n">
        <f aca="false">IF(AND(AD$3&gt;=Assumptions!$E$7,AD$3&lt;Assumptions!$E$6),1,0)</f>
        <v>0</v>
      </c>
      <c r="AE7" s="25" t="n">
        <f aca="false">IF(AND(AE$3&gt;=Assumptions!$E$7,AE$3&lt;Assumptions!$E$6),1,0)</f>
        <v>0</v>
      </c>
      <c r="AF7" s="25" t="n">
        <f aca="false">IF(AND(AF$3&gt;=Assumptions!$E$7,AF$3&lt;Assumptions!$E$6),1,0)</f>
        <v>0</v>
      </c>
      <c r="AG7" s="25" t="n">
        <f aca="false">IF(AND(AG$3&gt;=Assumptions!$E$7,AG$3&lt;Assumptions!$E$6),1,0)</f>
        <v>0</v>
      </c>
      <c r="AH7" s="25" t="n">
        <f aca="false">IF(AND(AH$3&gt;=Assumptions!$E$7,AH$3&lt;Assumptions!$E$6),1,0)</f>
        <v>0</v>
      </c>
      <c r="AI7" s="25" t="n">
        <f aca="false">IF(AND(AI$3&gt;=Assumptions!$E$7,AI$3&lt;Assumptions!$E$6),1,0)</f>
        <v>0</v>
      </c>
      <c r="AJ7" s="25" t="n">
        <f aca="false">IF(AND(AJ$3&gt;=Assumptions!$E$7,AJ$3&lt;Assumptions!$E$6),1,0)</f>
        <v>0</v>
      </c>
      <c r="AK7" s="25" t="n">
        <f aca="false">IF(AND(AK$3&gt;=Assumptions!$E$7,AK$3&lt;Assumptions!$E$6),1,0)</f>
        <v>0</v>
      </c>
      <c r="AL7" s="25" t="n">
        <f aca="false">IF(AND(AL$3&gt;=Assumptions!$E$7,AL$3&lt;Assumptions!$E$6),1,0)</f>
        <v>0</v>
      </c>
      <c r="AM7" s="25" t="n">
        <f aca="false">IF(AND(AM$3&gt;=Assumptions!$E$7,AM$3&lt;Assumptions!$E$6),1,0)</f>
        <v>0</v>
      </c>
    </row>
    <row r="8" customFormat="false" ht="15" hidden="false" customHeight="false" outlineLevel="0" collapsed="false">
      <c r="A8" s="8" t="s">
        <v>319</v>
      </c>
      <c r="B8" s="8" t="s">
        <v>249</v>
      </c>
      <c r="D8" s="25" t="n">
        <f aca="false">IF(D$3=Assumptions!$E$6,1,0)</f>
        <v>0</v>
      </c>
      <c r="E8" s="25" t="n">
        <f aca="false">IF(E$3=Assumptions!$E$6,1,0)</f>
        <v>0</v>
      </c>
      <c r="F8" s="25" t="n">
        <f aca="false">IF(F$3=Assumptions!$E$6,1,0)</f>
        <v>0</v>
      </c>
      <c r="G8" s="25" t="n">
        <f aca="false">IF(G$3=Assumptions!$E$6,1,0)</f>
        <v>0</v>
      </c>
      <c r="H8" s="25" t="n">
        <f aca="false">IF(H$3=Assumptions!$E$6,1,0)</f>
        <v>0</v>
      </c>
      <c r="I8" s="25" t="n">
        <f aca="false">IF(I$3=Assumptions!$E$6,1,0)</f>
        <v>0</v>
      </c>
      <c r="J8" s="25" t="n">
        <f aca="false">IF(J$3=Assumptions!$E$6,1,0)</f>
        <v>0</v>
      </c>
      <c r="K8" s="25" t="n">
        <f aca="false">IF(K$3=Assumptions!$E$6,1,0)</f>
        <v>1</v>
      </c>
      <c r="L8" s="25" t="n">
        <f aca="false">IF(L$3=Assumptions!$E$6,1,0)</f>
        <v>0</v>
      </c>
      <c r="M8" s="25" t="n">
        <f aca="false">IF(M$3=Assumptions!$E$6,1,0)</f>
        <v>0</v>
      </c>
      <c r="N8" s="25" t="n">
        <f aca="false">IF(N$3=Assumptions!$E$6,1,0)</f>
        <v>0</v>
      </c>
      <c r="O8" s="25" t="n">
        <f aca="false">IF(O$3=Assumptions!$E$6,1,0)</f>
        <v>0</v>
      </c>
      <c r="P8" s="25" t="n">
        <f aca="false">IF(P$3=Assumptions!$E$6,1,0)</f>
        <v>0</v>
      </c>
      <c r="Q8" s="25" t="n">
        <f aca="false">IF(Q$3=Assumptions!$E$6,1,0)</f>
        <v>0</v>
      </c>
      <c r="R8" s="25" t="n">
        <f aca="false">IF(R$3=Assumptions!$E$6,1,0)</f>
        <v>0</v>
      </c>
      <c r="S8" s="25" t="n">
        <f aca="false">IF(S$3=Assumptions!$E$6,1,0)</f>
        <v>0</v>
      </c>
      <c r="T8" s="25" t="n">
        <f aca="false">IF(T$3=Assumptions!$E$6,1,0)</f>
        <v>0</v>
      </c>
      <c r="U8" s="25" t="n">
        <f aca="false">IF(U$3=Assumptions!$E$6,1,0)</f>
        <v>0</v>
      </c>
      <c r="V8" s="25" t="n">
        <f aca="false">IF(V$3=Assumptions!$E$6,1,0)</f>
        <v>0</v>
      </c>
      <c r="W8" s="25" t="n">
        <f aca="false">IF(W$3=Assumptions!$E$6,1,0)</f>
        <v>0</v>
      </c>
      <c r="X8" s="25" t="n">
        <f aca="false">IF(X$3=Assumptions!$E$6,1,0)</f>
        <v>0</v>
      </c>
      <c r="Y8" s="25" t="n">
        <f aca="false">IF(Y$3=Assumptions!$E$6,1,0)</f>
        <v>0</v>
      </c>
      <c r="Z8" s="25" t="n">
        <f aca="false">IF(Z$3=Assumptions!$E$6,1,0)</f>
        <v>0</v>
      </c>
      <c r="AA8" s="25" t="n">
        <f aca="false">IF(AA$3=Assumptions!$E$6,1,0)</f>
        <v>0</v>
      </c>
      <c r="AB8" s="25" t="n">
        <f aca="false">IF(AB$3=Assumptions!$E$6,1,0)</f>
        <v>0</v>
      </c>
      <c r="AC8" s="25" t="n">
        <f aca="false">IF(AC$3=Assumptions!$E$6,1,0)</f>
        <v>0</v>
      </c>
      <c r="AD8" s="25" t="n">
        <f aca="false">IF(AD$3=Assumptions!$E$6,1,0)</f>
        <v>0</v>
      </c>
      <c r="AE8" s="25" t="n">
        <f aca="false">IF(AE$3=Assumptions!$E$6,1,0)</f>
        <v>0</v>
      </c>
      <c r="AF8" s="25" t="n">
        <f aca="false">IF(AF$3=Assumptions!$E$6,1,0)</f>
        <v>0</v>
      </c>
      <c r="AG8" s="25" t="n">
        <f aca="false">IF(AG$3=Assumptions!$E$6,1,0)</f>
        <v>0</v>
      </c>
      <c r="AH8" s="25" t="n">
        <f aca="false">IF(AH$3=Assumptions!$E$6,1,0)</f>
        <v>0</v>
      </c>
      <c r="AI8" s="25" t="n">
        <f aca="false">IF(AI$3=Assumptions!$E$6,1,0)</f>
        <v>0</v>
      </c>
      <c r="AJ8" s="25" t="n">
        <f aca="false">IF(AJ$3=Assumptions!$E$6,1,0)</f>
        <v>0</v>
      </c>
      <c r="AK8" s="25" t="n">
        <f aca="false">IF(AK$3=Assumptions!$E$6,1,0)</f>
        <v>0</v>
      </c>
      <c r="AL8" s="25" t="n">
        <f aca="false">IF(AL$3=Assumptions!$E$6,1,0)</f>
        <v>0</v>
      </c>
      <c r="AM8" s="25" t="n">
        <f aca="false">IF(AM$3=Assumptions!$E$6,1,0)</f>
        <v>0</v>
      </c>
    </row>
    <row r="9" customFormat="false" ht="15" hidden="false" customHeight="false" outlineLevel="0" collapsed="false">
      <c r="A9" s="8" t="s">
        <v>320</v>
      </c>
      <c r="B9" s="8" t="s">
        <v>249</v>
      </c>
      <c r="D9" s="25" t="n">
        <f aca="false">IF(D$3&gt;=Assumptions!$E$6,1,0)</f>
        <v>0</v>
      </c>
      <c r="E9" s="25" t="n">
        <f aca="false">IF(E$3&gt;=Assumptions!$E$6,1,0)</f>
        <v>0</v>
      </c>
      <c r="F9" s="25" t="n">
        <f aca="false">IF(F$3&gt;=Assumptions!$E$6,1,0)</f>
        <v>0</v>
      </c>
      <c r="G9" s="25" t="n">
        <f aca="false">IF(G$3&gt;=Assumptions!$E$6,1,0)</f>
        <v>0</v>
      </c>
      <c r="H9" s="25" t="n">
        <f aca="false">IF(H$3&gt;=Assumptions!$E$6,1,0)</f>
        <v>0</v>
      </c>
      <c r="I9" s="25" t="n">
        <f aca="false">IF(I$3&gt;=Assumptions!$E$6,1,0)</f>
        <v>0</v>
      </c>
      <c r="J9" s="25" t="n">
        <f aca="false">IF(J$3&gt;=Assumptions!$E$6,1,0)</f>
        <v>0</v>
      </c>
      <c r="K9" s="25" t="n">
        <f aca="false">IF(K$3&gt;=Assumptions!$E$6,1,0)</f>
        <v>1</v>
      </c>
      <c r="L9" s="25" t="n">
        <f aca="false">IF(L$3&gt;=Assumptions!$E$6,1,0)</f>
        <v>1</v>
      </c>
      <c r="M9" s="25" t="n">
        <f aca="false">IF(M$3&gt;=Assumptions!$E$6,1,0)</f>
        <v>1</v>
      </c>
      <c r="N9" s="25" t="n">
        <f aca="false">IF(N$3&gt;=Assumptions!$E$6,1,0)</f>
        <v>1</v>
      </c>
      <c r="O9" s="25" t="n">
        <f aca="false">IF(O$3&gt;=Assumptions!$E$6,1,0)</f>
        <v>1</v>
      </c>
      <c r="P9" s="25" t="n">
        <f aca="false">IF(P$3&gt;=Assumptions!$E$6,1,0)</f>
        <v>1</v>
      </c>
      <c r="Q9" s="25" t="n">
        <f aca="false">IF(Q$3&gt;=Assumptions!$E$6,1,0)</f>
        <v>1</v>
      </c>
      <c r="R9" s="25" t="n">
        <f aca="false">IF(R$3&gt;=Assumptions!$E$6,1,0)</f>
        <v>1</v>
      </c>
      <c r="S9" s="25" t="n">
        <f aca="false">IF(S$3&gt;=Assumptions!$E$6,1,0)</f>
        <v>1</v>
      </c>
      <c r="T9" s="25" t="n">
        <f aca="false">IF(T$3&gt;=Assumptions!$E$6,1,0)</f>
        <v>1</v>
      </c>
      <c r="U9" s="25" t="n">
        <f aca="false">IF(U$3&gt;=Assumptions!$E$6,1,0)</f>
        <v>1</v>
      </c>
      <c r="V9" s="25" t="n">
        <f aca="false">IF(V$3&gt;=Assumptions!$E$6,1,0)</f>
        <v>1</v>
      </c>
      <c r="W9" s="25" t="n">
        <f aca="false">IF(W$3&gt;=Assumptions!$E$6,1,0)</f>
        <v>1</v>
      </c>
      <c r="X9" s="25" t="n">
        <f aca="false">IF(X$3&gt;=Assumptions!$E$6,1,0)</f>
        <v>1</v>
      </c>
      <c r="Y9" s="25" t="n">
        <f aca="false">IF(Y$3&gt;=Assumptions!$E$6,1,0)</f>
        <v>1</v>
      </c>
      <c r="Z9" s="25" t="n">
        <f aca="false">IF(Z$3&gt;=Assumptions!$E$6,1,0)</f>
        <v>1</v>
      </c>
      <c r="AA9" s="25" t="n">
        <f aca="false">IF(AA$3&gt;=Assumptions!$E$6,1,0)</f>
        <v>1</v>
      </c>
      <c r="AB9" s="25" t="n">
        <f aca="false">IF(AB$3&gt;=Assumptions!$E$6,1,0)</f>
        <v>1</v>
      </c>
      <c r="AC9" s="25" t="n">
        <f aca="false">IF(AC$3&gt;=Assumptions!$E$6,1,0)</f>
        <v>1</v>
      </c>
      <c r="AD9" s="25" t="n">
        <f aca="false">IF(AD$3&gt;=Assumptions!$E$6,1,0)</f>
        <v>1</v>
      </c>
      <c r="AE9" s="25" t="n">
        <f aca="false">IF(AE$3&gt;=Assumptions!$E$6,1,0)</f>
        <v>1</v>
      </c>
      <c r="AF9" s="25" t="n">
        <f aca="false">IF(AF$3&gt;=Assumptions!$E$6,1,0)</f>
        <v>1</v>
      </c>
      <c r="AG9" s="25" t="n">
        <f aca="false">IF(AG$3&gt;=Assumptions!$E$6,1,0)</f>
        <v>1</v>
      </c>
      <c r="AH9" s="25" t="n">
        <f aca="false">IF(AH$3&gt;=Assumptions!$E$6,1,0)</f>
        <v>1</v>
      </c>
      <c r="AI9" s="25" t="n">
        <f aca="false">IF(AI$3&gt;=Assumptions!$E$6,1,0)</f>
        <v>1</v>
      </c>
      <c r="AJ9" s="25" t="n">
        <f aca="false">IF(AJ$3&gt;=Assumptions!$E$6,1,0)</f>
        <v>1</v>
      </c>
      <c r="AK9" s="25" t="n">
        <f aca="false">IF(AK$3&gt;=Assumptions!$E$6,1,0)</f>
        <v>1</v>
      </c>
      <c r="AL9" s="25" t="n">
        <f aca="false">IF(AL$3&gt;=Assumptions!$E$6,1,0)</f>
        <v>1</v>
      </c>
      <c r="AM9" s="25" t="n">
        <f aca="false">IF(AM$3&gt;=Assumptions!$E$6,1,0)</f>
        <v>1</v>
      </c>
    </row>
    <row r="10" customFormat="false" ht="15" hidden="false" customHeight="false" outlineLevel="0" collapsed="false">
      <c r="A10" s="8" t="s">
        <v>321</v>
      </c>
      <c r="B10" s="8" t="s">
        <v>41</v>
      </c>
      <c r="D10" s="26" t="n">
        <f aca="false">IF(D$3&lt;Assumptions!$E$7,0,IF(D$3&lt;Assumptions!$E$6,Assumptions!$E$22*0.5,MIN(Assumptions!$E$24,Assumptions!$E$22+Assumptions!$E$23*(D$3-Assumptions!$E$6))))</f>
        <v>0</v>
      </c>
      <c r="E10" s="26" t="n">
        <f aca="false">IF(E$3&lt;Assumptions!$E$7,0,IF(E$3&lt;Assumptions!$E$6,Assumptions!$E$22*0.5,MIN(Assumptions!$E$24,Assumptions!$E$22+Assumptions!$E$23*(E$3-Assumptions!$E$6))))</f>
        <v>0</v>
      </c>
      <c r="F10" s="26" t="n">
        <f aca="false">IF(F$3&lt;Assumptions!$E$7,0,IF(F$3&lt;Assumptions!$E$6,Assumptions!$E$22*0.5,MIN(Assumptions!$E$24,Assumptions!$E$22+Assumptions!$E$23*(F$3-Assumptions!$E$6))))</f>
        <v>0</v>
      </c>
      <c r="G10" s="26" t="n">
        <f aca="false">IF(G$3&lt;Assumptions!$E$7,0,IF(G$3&lt;Assumptions!$E$6,Assumptions!$E$22*0.5,MIN(Assumptions!$E$24,Assumptions!$E$22+Assumptions!$E$23*(G$3-Assumptions!$E$6))))</f>
        <v>0</v>
      </c>
      <c r="H10" s="26" t="n">
        <f aca="false">IF(H$3&lt;Assumptions!$E$7,0,IF(H$3&lt;Assumptions!$E$6,Assumptions!$E$22*0.5,MIN(Assumptions!$E$24,Assumptions!$E$22+Assumptions!$E$23*(H$3-Assumptions!$E$6))))</f>
        <v>0.2</v>
      </c>
      <c r="I10" s="26" t="n">
        <f aca="false">IF(I$3&lt;Assumptions!$E$7,0,IF(I$3&lt;Assumptions!$E$6,Assumptions!$E$22*0.5,MIN(Assumptions!$E$24,Assumptions!$E$22+Assumptions!$E$23*(I$3-Assumptions!$E$6))))</f>
        <v>0.2</v>
      </c>
      <c r="J10" s="26" t="n">
        <f aca="false">IF(J$3&lt;Assumptions!$E$7,0,IF(J$3&lt;Assumptions!$E$6,Assumptions!$E$22*0.5,MIN(Assumptions!$E$24,Assumptions!$E$22+Assumptions!$E$23*(J$3-Assumptions!$E$6))))</f>
        <v>0.2</v>
      </c>
      <c r="K10" s="26" t="n">
        <f aca="false">IF(K$3&lt;Assumptions!$E$7,0,IF(K$3&lt;Assumptions!$E$6,Assumptions!$E$22*0.5,MIN(Assumptions!$E$24,Assumptions!$E$22+Assumptions!$E$23*(K$3-Assumptions!$E$6))))</f>
        <v>0.4</v>
      </c>
      <c r="L10" s="26" t="n">
        <f aca="false">IF(L$3&lt;Assumptions!$E$7,0,IF(L$3&lt;Assumptions!$E$6,Assumptions!$E$22*0.5,MIN(Assumptions!$E$24,Assumptions!$E$22+Assumptions!$E$23*(L$3-Assumptions!$E$6))))</f>
        <v>0.43</v>
      </c>
      <c r="M10" s="26" t="n">
        <f aca="false">IF(M$3&lt;Assumptions!$E$7,0,IF(M$3&lt;Assumptions!$E$6,Assumptions!$E$22*0.5,MIN(Assumptions!$E$24,Assumptions!$E$22+Assumptions!$E$23*(M$3-Assumptions!$E$6))))</f>
        <v>0.46</v>
      </c>
      <c r="N10" s="26" t="n">
        <f aca="false">IF(N$3&lt;Assumptions!$E$7,0,IF(N$3&lt;Assumptions!$E$6,Assumptions!$E$22*0.5,MIN(Assumptions!$E$24,Assumptions!$E$22+Assumptions!$E$23*(N$3-Assumptions!$E$6))))</f>
        <v>0.49</v>
      </c>
      <c r="O10" s="26" t="n">
        <f aca="false">IF(O$3&lt;Assumptions!$E$7,0,IF(O$3&lt;Assumptions!$E$6,Assumptions!$E$22*0.5,MIN(Assumptions!$E$24,Assumptions!$E$22+Assumptions!$E$23*(O$3-Assumptions!$E$6))))</f>
        <v>0.52</v>
      </c>
      <c r="P10" s="26" t="n">
        <f aca="false">IF(P$3&lt;Assumptions!$E$7,0,IF(P$3&lt;Assumptions!$E$6,Assumptions!$E$22*0.5,MIN(Assumptions!$E$24,Assumptions!$E$22+Assumptions!$E$23*(P$3-Assumptions!$E$6))))</f>
        <v>0.55</v>
      </c>
      <c r="Q10" s="26" t="n">
        <f aca="false">IF(Q$3&lt;Assumptions!$E$7,0,IF(Q$3&lt;Assumptions!$E$6,Assumptions!$E$22*0.5,MIN(Assumptions!$E$24,Assumptions!$E$22+Assumptions!$E$23*(Q$3-Assumptions!$E$6))))</f>
        <v>0.58</v>
      </c>
      <c r="R10" s="26" t="n">
        <f aca="false">IF(R$3&lt;Assumptions!$E$7,0,IF(R$3&lt;Assumptions!$E$6,Assumptions!$E$22*0.5,MIN(Assumptions!$E$24,Assumptions!$E$22+Assumptions!$E$23*(R$3-Assumptions!$E$6))))</f>
        <v>0.61</v>
      </c>
      <c r="S10" s="26" t="n">
        <f aca="false">IF(S$3&lt;Assumptions!$E$7,0,IF(S$3&lt;Assumptions!$E$6,Assumptions!$E$22*0.5,MIN(Assumptions!$E$24,Assumptions!$E$22+Assumptions!$E$23*(S$3-Assumptions!$E$6))))</f>
        <v>0.64</v>
      </c>
      <c r="T10" s="26" t="n">
        <f aca="false">IF(T$3&lt;Assumptions!$E$7,0,IF(T$3&lt;Assumptions!$E$6,Assumptions!$E$22*0.5,MIN(Assumptions!$E$24,Assumptions!$E$22+Assumptions!$E$23*(T$3-Assumptions!$E$6))))</f>
        <v>0.67</v>
      </c>
      <c r="U10" s="26" t="n">
        <f aca="false">IF(U$3&lt;Assumptions!$E$7,0,IF(U$3&lt;Assumptions!$E$6,Assumptions!$E$22*0.5,MIN(Assumptions!$E$24,Assumptions!$E$22+Assumptions!$E$23*(U$3-Assumptions!$E$6))))</f>
        <v>0.7</v>
      </c>
      <c r="V10" s="26" t="n">
        <f aca="false">IF(V$3&lt;Assumptions!$E$7,0,IF(V$3&lt;Assumptions!$E$6,Assumptions!$E$22*0.5,MIN(Assumptions!$E$24,Assumptions!$E$22+Assumptions!$E$23*(V$3-Assumptions!$E$6))))</f>
        <v>0.73</v>
      </c>
      <c r="W10" s="26" t="n">
        <f aca="false">IF(W$3&lt;Assumptions!$E$7,0,IF(W$3&lt;Assumptions!$E$6,Assumptions!$E$22*0.5,MIN(Assumptions!$E$24,Assumptions!$E$22+Assumptions!$E$23*(W$3-Assumptions!$E$6))))</f>
        <v>0.76</v>
      </c>
      <c r="X10" s="26" t="n">
        <f aca="false">IF(X$3&lt;Assumptions!$E$7,0,IF(X$3&lt;Assumptions!$E$6,Assumptions!$E$22*0.5,MIN(Assumptions!$E$24,Assumptions!$E$22+Assumptions!$E$23*(X$3-Assumptions!$E$6))))</f>
        <v>0.79</v>
      </c>
      <c r="Y10" s="26" t="n">
        <f aca="false">IF(Y$3&lt;Assumptions!$E$7,0,IF(Y$3&lt;Assumptions!$E$6,Assumptions!$E$22*0.5,MIN(Assumptions!$E$24,Assumptions!$E$22+Assumptions!$E$23*(Y$3-Assumptions!$E$6))))</f>
        <v>0.82</v>
      </c>
      <c r="Z10" s="26" t="n">
        <f aca="false">IF(Z$3&lt;Assumptions!$E$7,0,IF(Z$3&lt;Assumptions!$E$6,Assumptions!$E$22*0.5,MIN(Assumptions!$E$24,Assumptions!$E$22+Assumptions!$E$23*(Z$3-Assumptions!$E$6))))</f>
        <v>0.85</v>
      </c>
      <c r="AA10" s="26" t="n">
        <f aca="false">IF(AA$3&lt;Assumptions!$E$7,0,IF(AA$3&lt;Assumptions!$E$6,Assumptions!$E$22*0.5,MIN(Assumptions!$E$24,Assumptions!$E$22+Assumptions!$E$23*(AA$3-Assumptions!$E$6))))</f>
        <v>0.85</v>
      </c>
      <c r="AB10" s="26" t="n">
        <f aca="false">IF(AB$3&lt;Assumptions!$E$7,0,IF(AB$3&lt;Assumptions!$E$6,Assumptions!$E$22*0.5,MIN(Assumptions!$E$24,Assumptions!$E$22+Assumptions!$E$23*(AB$3-Assumptions!$E$6))))</f>
        <v>0.85</v>
      </c>
      <c r="AC10" s="26" t="n">
        <f aca="false">IF(AC$3&lt;Assumptions!$E$7,0,IF(AC$3&lt;Assumptions!$E$6,Assumptions!$E$22*0.5,MIN(Assumptions!$E$24,Assumptions!$E$22+Assumptions!$E$23*(AC$3-Assumptions!$E$6))))</f>
        <v>0.85</v>
      </c>
      <c r="AD10" s="26" t="n">
        <f aca="false">IF(AD$3&lt;Assumptions!$E$7,0,IF(AD$3&lt;Assumptions!$E$6,Assumptions!$E$22*0.5,MIN(Assumptions!$E$24,Assumptions!$E$22+Assumptions!$E$23*(AD$3-Assumptions!$E$6))))</f>
        <v>0.85</v>
      </c>
      <c r="AE10" s="26" t="n">
        <f aca="false">IF(AE$3&lt;Assumptions!$E$7,0,IF(AE$3&lt;Assumptions!$E$6,Assumptions!$E$22*0.5,MIN(Assumptions!$E$24,Assumptions!$E$22+Assumptions!$E$23*(AE$3-Assumptions!$E$6))))</f>
        <v>0.85</v>
      </c>
      <c r="AF10" s="26" t="n">
        <f aca="false">IF(AF$3&lt;Assumptions!$E$7,0,IF(AF$3&lt;Assumptions!$E$6,Assumptions!$E$22*0.5,MIN(Assumptions!$E$24,Assumptions!$E$22+Assumptions!$E$23*(AF$3-Assumptions!$E$6))))</f>
        <v>0.85</v>
      </c>
      <c r="AG10" s="26" t="n">
        <f aca="false">IF(AG$3&lt;Assumptions!$E$7,0,IF(AG$3&lt;Assumptions!$E$6,Assumptions!$E$22*0.5,MIN(Assumptions!$E$24,Assumptions!$E$22+Assumptions!$E$23*(AG$3-Assumptions!$E$6))))</f>
        <v>0.85</v>
      </c>
      <c r="AH10" s="26" t="n">
        <f aca="false">IF(AH$3&lt;Assumptions!$E$7,0,IF(AH$3&lt;Assumptions!$E$6,Assumptions!$E$22*0.5,MIN(Assumptions!$E$24,Assumptions!$E$22+Assumptions!$E$23*(AH$3-Assumptions!$E$6))))</f>
        <v>0.85</v>
      </c>
      <c r="AI10" s="26" t="n">
        <f aca="false">IF(AI$3&lt;Assumptions!$E$7,0,IF(AI$3&lt;Assumptions!$E$6,Assumptions!$E$22*0.5,MIN(Assumptions!$E$24,Assumptions!$E$22+Assumptions!$E$23*(AI$3-Assumptions!$E$6))))</f>
        <v>0.85</v>
      </c>
      <c r="AJ10" s="26" t="n">
        <f aca="false">IF(AJ$3&lt;Assumptions!$E$7,0,IF(AJ$3&lt;Assumptions!$E$6,Assumptions!$E$22*0.5,MIN(Assumptions!$E$24,Assumptions!$E$22+Assumptions!$E$23*(AJ$3-Assumptions!$E$6))))</f>
        <v>0.85</v>
      </c>
      <c r="AK10" s="26" t="n">
        <f aca="false">IF(AK$3&lt;Assumptions!$E$7,0,IF(AK$3&lt;Assumptions!$E$6,Assumptions!$E$22*0.5,MIN(Assumptions!$E$24,Assumptions!$E$22+Assumptions!$E$23*(AK$3-Assumptions!$E$6))))</f>
        <v>0.85</v>
      </c>
      <c r="AL10" s="26" t="n">
        <f aca="false">IF(AL$3&lt;Assumptions!$E$7,0,IF(AL$3&lt;Assumptions!$E$6,Assumptions!$E$22*0.5,MIN(Assumptions!$E$24,Assumptions!$E$22+Assumptions!$E$23*(AL$3-Assumptions!$E$6))))</f>
        <v>0.85</v>
      </c>
      <c r="AM10" s="26" t="n">
        <f aca="false">IF(AM$3&lt;Assumptions!$E$7,0,IF(AM$3&lt;Assumptions!$E$6,Assumptions!$E$22*0.5,MIN(Assumptions!$E$24,Assumptions!$E$22+Assumptions!$E$23*(AM$3-Assumptions!$E$6))))</f>
        <v>0.85</v>
      </c>
    </row>
    <row r="11" customFormat="false" ht="15" hidden="false" customHeight="false" outlineLevel="0" collapsed="false">
      <c r="A11" s="5" t="s">
        <v>33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 customFormat="false" ht="15" hidden="false" customHeight="false" outlineLevel="0" collapsed="false">
      <c r="A12" s="8" t="s">
        <v>322</v>
      </c>
      <c r="B12" s="8" t="s">
        <v>50</v>
      </c>
      <c r="C12" s="27" t="n">
        <f aca="false">SUM(D12:AM12)</f>
        <v>8337566.05442357</v>
      </c>
      <c r="D12" s="27" t="n">
        <f aca="false">IF(D$3&lt;Assumptions!$E$7,Assumptions!$E$13,IF(D$3&lt;Assumptions!$E$6,Assumptions!$E$14,IF(D$3=Assumptions!$E$6,Assumptions!$E$15,Assumptions!$E$16*(1+Assumptions!$E$17)^(D$3-Assumptions!$E$6-1))))</f>
        <v>20000</v>
      </c>
      <c r="E12" s="27" t="n">
        <f aca="false">IF(E$3&lt;Assumptions!$E$7,Assumptions!$E$13,IF(E$3&lt;Assumptions!$E$6,Assumptions!$E$14,IF(E$3=Assumptions!$E$6,Assumptions!$E$15,Assumptions!$E$16*(1+Assumptions!$E$17)^(E$3-Assumptions!$E$6-1))))</f>
        <v>20000</v>
      </c>
      <c r="F12" s="27" t="n">
        <f aca="false">IF(F$3&lt;Assumptions!$E$7,Assumptions!$E$13,IF(F$3&lt;Assumptions!$E$6,Assumptions!$E$14,IF(F$3=Assumptions!$E$6,Assumptions!$E$15,Assumptions!$E$16*(1+Assumptions!$E$17)^(F$3-Assumptions!$E$6-1))))</f>
        <v>20000</v>
      </c>
      <c r="G12" s="27" t="n">
        <f aca="false">IF(G$3&lt;Assumptions!$E$7,Assumptions!$E$13,IF(G$3&lt;Assumptions!$E$6,Assumptions!$E$14,IF(G$3=Assumptions!$E$6,Assumptions!$E$15,Assumptions!$E$16*(1+Assumptions!$E$17)^(G$3-Assumptions!$E$6-1))))</f>
        <v>20000</v>
      </c>
      <c r="H12" s="27" t="n">
        <f aca="false">IF(H$3&lt;Assumptions!$E$7,Assumptions!$E$13,IF(H$3&lt;Assumptions!$E$6,Assumptions!$E$14,IF(H$3=Assumptions!$E$6,Assumptions!$E$15,Assumptions!$E$16*(1+Assumptions!$E$17)^(H$3-Assumptions!$E$6-1))))</f>
        <v>60000</v>
      </c>
      <c r="I12" s="27" t="n">
        <f aca="false">IF(I$3&lt;Assumptions!$E$7,Assumptions!$E$13,IF(I$3&lt;Assumptions!$E$6,Assumptions!$E$14,IF(I$3=Assumptions!$E$6,Assumptions!$E$15,Assumptions!$E$16*(1+Assumptions!$E$17)^(I$3-Assumptions!$E$6-1))))</f>
        <v>60000</v>
      </c>
      <c r="J12" s="27" t="n">
        <f aca="false">IF(J$3&lt;Assumptions!$E$7,Assumptions!$E$13,IF(J$3&lt;Assumptions!$E$6,Assumptions!$E$14,IF(J$3=Assumptions!$E$6,Assumptions!$E$15,Assumptions!$E$16*(1+Assumptions!$E$17)^(J$3-Assumptions!$E$6-1))))</f>
        <v>60000</v>
      </c>
      <c r="K12" s="27" t="n">
        <f aca="false">IF(K$3&lt;Assumptions!$E$7,Assumptions!$E$13,IF(K$3&lt;Assumptions!$E$6,Assumptions!$E$14,IF(K$3=Assumptions!$E$6,Assumptions!$E$15,Assumptions!$E$16*(1+Assumptions!$E$17)^(K$3-Assumptions!$E$6-1))))</f>
        <v>350000</v>
      </c>
      <c r="L12" s="27" t="n">
        <f aca="false">IF(L$3&lt;Assumptions!$E$7,Assumptions!$E$13,IF(L$3&lt;Assumptions!$E$6,Assumptions!$E$14,IF(L$3=Assumptions!$E$6,Assumptions!$E$15,Assumptions!$E$16*(1+Assumptions!$E$17)^(L$3-Assumptions!$E$6-1))))</f>
        <v>180000</v>
      </c>
      <c r="M12" s="27" t="n">
        <f aca="false">IF(M$3&lt;Assumptions!$E$7,Assumptions!$E$13,IF(M$3&lt;Assumptions!$E$6,Assumptions!$E$14,IF(M$3=Assumptions!$E$6,Assumptions!$E$15,Assumptions!$E$16*(1+Assumptions!$E$17)^(M$3-Assumptions!$E$6-1))))</f>
        <v>185400</v>
      </c>
      <c r="N12" s="27" t="n">
        <f aca="false">IF(N$3&lt;Assumptions!$E$7,Assumptions!$E$13,IF(N$3&lt;Assumptions!$E$6,Assumptions!$E$14,IF(N$3=Assumptions!$E$6,Assumptions!$E$15,Assumptions!$E$16*(1+Assumptions!$E$17)^(N$3-Assumptions!$E$6-1))))</f>
        <v>190962</v>
      </c>
      <c r="O12" s="27" t="n">
        <f aca="false">IF(O$3&lt;Assumptions!$E$7,Assumptions!$E$13,IF(O$3&lt;Assumptions!$E$6,Assumptions!$E$14,IF(O$3=Assumptions!$E$6,Assumptions!$E$15,Assumptions!$E$16*(1+Assumptions!$E$17)^(O$3-Assumptions!$E$6-1))))</f>
        <v>196690.86</v>
      </c>
      <c r="P12" s="27" t="n">
        <f aca="false">IF(P$3&lt;Assumptions!$E$7,Assumptions!$E$13,IF(P$3&lt;Assumptions!$E$6,Assumptions!$E$14,IF(P$3=Assumptions!$E$6,Assumptions!$E$15,Assumptions!$E$16*(1+Assumptions!$E$17)^(P$3-Assumptions!$E$6-1))))</f>
        <v>202591.5858</v>
      </c>
      <c r="Q12" s="27" t="n">
        <f aca="false">IF(Q$3&lt;Assumptions!$E$7,Assumptions!$E$13,IF(Q$3&lt;Assumptions!$E$6,Assumptions!$E$14,IF(Q$3=Assumptions!$E$6,Assumptions!$E$15,Assumptions!$E$16*(1+Assumptions!$E$17)^(Q$3-Assumptions!$E$6-1))))</f>
        <v>208669.333374</v>
      </c>
      <c r="R12" s="27" t="n">
        <f aca="false">IF(R$3&lt;Assumptions!$E$7,Assumptions!$E$13,IF(R$3&lt;Assumptions!$E$6,Assumptions!$E$14,IF(R$3=Assumptions!$E$6,Assumptions!$E$15,Assumptions!$E$16*(1+Assumptions!$E$17)^(R$3-Assumptions!$E$6-1))))</f>
        <v>214929.41337522</v>
      </c>
      <c r="S12" s="27" t="n">
        <f aca="false">IF(S$3&lt;Assumptions!$E$7,Assumptions!$E$13,IF(S$3&lt;Assumptions!$E$6,Assumptions!$E$14,IF(S$3=Assumptions!$E$6,Assumptions!$E$15,Assumptions!$E$16*(1+Assumptions!$E$17)^(S$3-Assumptions!$E$6-1))))</f>
        <v>221377.295776477</v>
      </c>
      <c r="T12" s="27" t="n">
        <f aca="false">IF(T$3&lt;Assumptions!$E$7,Assumptions!$E$13,IF(T$3&lt;Assumptions!$E$6,Assumptions!$E$14,IF(T$3=Assumptions!$E$6,Assumptions!$E$15,Assumptions!$E$16*(1+Assumptions!$E$17)^(T$3-Assumptions!$E$6-1))))</f>
        <v>228018.614649771</v>
      </c>
      <c r="U12" s="27" t="n">
        <f aca="false">IF(U$3&lt;Assumptions!$E$7,Assumptions!$E$13,IF(U$3&lt;Assumptions!$E$6,Assumptions!$E$14,IF(U$3=Assumptions!$E$6,Assumptions!$E$15,Assumptions!$E$16*(1+Assumptions!$E$17)^(U$3-Assumptions!$E$6-1))))</f>
        <v>234859.173089264</v>
      </c>
      <c r="V12" s="27" t="n">
        <f aca="false">IF(V$3&lt;Assumptions!$E$7,Assumptions!$E$13,IF(V$3&lt;Assumptions!$E$6,Assumptions!$E$14,IF(V$3=Assumptions!$E$6,Assumptions!$E$15,Assumptions!$E$16*(1+Assumptions!$E$17)^(V$3-Assumptions!$E$6-1))))</f>
        <v>241904.948281942</v>
      </c>
      <c r="W12" s="27" t="n">
        <f aca="false">IF(W$3&lt;Assumptions!$E$7,Assumptions!$E$13,IF(W$3&lt;Assumptions!$E$6,Assumptions!$E$14,IF(W$3=Assumptions!$E$6,Assumptions!$E$15,Assumptions!$E$16*(1+Assumptions!$E$17)^(W$3-Assumptions!$E$6-1))))</f>
        <v>249162.0967304</v>
      </c>
      <c r="X12" s="27" t="n">
        <f aca="false">IF(X$3&lt;Assumptions!$E$7,Assumptions!$E$13,IF(X$3&lt;Assumptions!$E$6,Assumptions!$E$14,IF(X$3=Assumptions!$E$6,Assumptions!$E$15,Assumptions!$E$16*(1+Assumptions!$E$17)^(X$3-Assumptions!$E$6-1))))</f>
        <v>256636.959632312</v>
      </c>
      <c r="Y12" s="27" t="n">
        <f aca="false">IF(Y$3&lt;Assumptions!$E$7,Assumptions!$E$13,IF(Y$3&lt;Assumptions!$E$6,Assumptions!$E$14,IF(Y$3=Assumptions!$E$6,Assumptions!$E$15,Assumptions!$E$16*(1+Assumptions!$E$17)^(Y$3-Assumptions!$E$6-1))))</f>
        <v>264336.068421282</v>
      </c>
      <c r="Z12" s="27" t="n">
        <f aca="false">IF(Z$3&lt;Assumptions!$E$7,Assumptions!$E$13,IF(Z$3&lt;Assumptions!$E$6,Assumptions!$E$14,IF(Z$3=Assumptions!$E$6,Assumptions!$E$15,Assumptions!$E$16*(1+Assumptions!$E$17)^(Z$3-Assumptions!$E$6-1))))</f>
        <v>272266.15047392</v>
      </c>
      <c r="AA12" s="27" t="n">
        <f aca="false">IF(AA$3&lt;Assumptions!$E$7,Assumptions!$E$13,IF(AA$3&lt;Assumptions!$E$6,Assumptions!$E$14,IF(AA$3=Assumptions!$E$6,Assumptions!$E$15,Assumptions!$E$16*(1+Assumptions!$E$17)^(AA$3-Assumptions!$E$6-1))))</f>
        <v>280434.134988138</v>
      </c>
      <c r="AB12" s="27" t="n">
        <f aca="false">IF(AB$3&lt;Assumptions!$E$7,Assumptions!$E$13,IF(AB$3&lt;Assumptions!$E$6,Assumptions!$E$14,IF(AB$3=Assumptions!$E$6,Assumptions!$E$15,Assumptions!$E$16*(1+Assumptions!$E$17)^(AB$3-Assumptions!$E$6-1))))</f>
        <v>288847.159037782</v>
      </c>
      <c r="AC12" s="27" t="n">
        <f aca="false">IF(AC$3&lt;Assumptions!$E$7,Assumptions!$E$13,IF(AC$3&lt;Assumptions!$E$6,Assumptions!$E$14,IF(AC$3=Assumptions!$E$6,Assumptions!$E$15,Assumptions!$E$16*(1+Assumptions!$E$17)^(AC$3-Assumptions!$E$6-1))))</f>
        <v>297512.573808915</v>
      </c>
      <c r="AD12" s="27" t="n">
        <f aca="false">IF(AD$3&lt;Assumptions!$E$7,Assumptions!$E$13,IF(AD$3&lt;Assumptions!$E$6,Assumptions!$E$14,IF(AD$3=Assumptions!$E$6,Assumptions!$E$15,Assumptions!$E$16*(1+Assumptions!$E$17)^(AD$3-Assumptions!$E$6-1))))</f>
        <v>306437.951023183</v>
      </c>
      <c r="AE12" s="27" t="n">
        <f aca="false">IF(AE$3&lt;Assumptions!$E$7,Assumptions!$E$13,IF(AE$3&lt;Assumptions!$E$6,Assumptions!$E$14,IF(AE$3=Assumptions!$E$6,Assumptions!$E$15,Assumptions!$E$16*(1+Assumptions!$E$17)^(AE$3-Assumptions!$E$6-1))))</f>
        <v>315631.089553878</v>
      </c>
      <c r="AF12" s="27" t="n">
        <f aca="false">IF(AF$3&lt;Assumptions!$E$7,Assumptions!$E$13,IF(AF$3&lt;Assumptions!$E$6,Assumptions!$E$14,IF(AF$3=Assumptions!$E$6,Assumptions!$E$15,Assumptions!$E$16*(1+Assumptions!$E$17)^(AF$3-Assumptions!$E$6-1))))</f>
        <v>325100.022240495</v>
      </c>
      <c r="AG12" s="27" t="n">
        <f aca="false">IF(AG$3&lt;Assumptions!$E$7,Assumptions!$E$13,IF(AG$3&lt;Assumptions!$E$6,Assumptions!$E$14,IF(AG$3=Assumptions!$E$6,Assumptions!$E$15,Assumptions!$E$16*(1+Assumptions!$E$17)^(AG$3-Assumptions!$E$6-1))))</f>
        <v>334853.022907709</v>
      </c>
      <c r="AH12" s="27" t="n">
        <f aca="false">IF(AH$3&lt;Assumptions!$E$7,Assumptions!$E$13,IF(AH$3&lt;Assumptions!$E$6,Assumptions!$E$14,IF(AH$3=Assumptions!$E$6,Assumptions!$E$15,Assumptions!$E$16*(1+Assumptions!$E$17)^(AH$3-Assumptions!$E$6-1))))</f>
        <v>344898.613594941</v>
      </c>
      <c r="AI12" s="27" t="n">
        <f aca="false">IF(AI$3&lt;Assumptions!$E$7,Assumptions!$E$13,IF(AI$3&lt;Assumptions!$E$6,Assumptions!$E$14,IF(AI$3=Assumptions!$E$6,Assumptions!$E$15,Assumptions!$E$16*(1+Assumptions!$E$17)^(AI$3-Assumptions!$E$6-1))))</f>
        <v>355245.572002789</v>
      </c>
      <c r="AJ12" s="27" t="n">
        <f aca="false">IF(AJ$3&lt;Assumptions!$E$7,Assumptions!$E$13,IF(AJ$3&lt;Assumptions!$E$6,Assumptions!$E$14,IF(AJ$3=Assumptions!$E$6,Assumptions!$E$15,Assumptions!$E$16*(1+Assumptions!$E$17)^(AJ$3-Assumptions!$E$6-1))))</f>
        <v>365902.939162873</v>
      </c>
      <c r="AK12" s="27" t="n">
        <f aca="false">IF(AK$3&lt;Assumptions!$E$7,Assumptions!$E$13,IF(AK$3&lt;Assumptions!$E$6,Assumptions!$E$14,IF(AK$3=Assumptions!$E$6,Assumptions!$E$15,Assumptions!$E$16*(1+Assumptions!$E$17)^(AK$3-Assumptions!$E$6-1))))</f>
        <v>376880.027337759</v>
      </c>
      <c r="AL12" s="27" t="n">
        <f aca="false">IF(AL$3&lt;Assumptions!$E$7,Assumptions!$E$13,IF(AL$3&lt;Assumptions!$E$6,Assumptions!$E$14,IF(AL$3=Assumptions!$E$6,Assumptions!$E$15,Assumptions!$E$16*(1+Assumptions!$E$17)^(AL$3-Assumptions!$E$6-1))))</f>
        <v>388186.428157892</v>
      </c>
      <c r="AM12" s="27" t="n">
        <f aca="false">IF(AM$3&lt;Assumptions!$E$7,Assumptions!$E$13,IF(AM$3&lt;Assumptions!$E$6,Assumptions!$E$14,IF(AM$3=Assumptions!$E$6,Assumptions!$E$15,Assumptions!$E$16*(1+Assumptions!$E$17)^(AM$3-Assumptions!$E$6-1))))</f>
        <v>399832.021002629</v>
      </c>
    </row>
    <row r="13" customFormat="false" ht="15" hidden="false" customHeight="false" outlineLevel="0" collapsed="false">
      <c r="A13" s="8" t="s">
        <v>323</v>
      </c>
      <c r="B13" s="8" t="s">
        <v>36</v>
      </c>
      <c r="C13" s="28" t="n">
        <f aca="false">SUM(D13:AM13)</f>
        <v>4168783.02721179</v>
      </c>
      <c r="D13" s="28" t="n">
        <f aca="false">D12/Assumptions!$E$12</f>
        <v>10000</v>
      </c>
      <c r="E13" s="28" t="n">
        <f aca="false">E12/Assumptions!$E$12</f>
        <v>10000</v>
      </c>
      <c r="F13" s="28" t="n">
        <f aca="false">F12/Assumptions!$E$12</f>
        <v>10000</v>
      </c>
      <c r="G13" s="28" t="n">
        <f aca="false">G12/Assumptions!$E$12</f>
        <v>10000</v>
      </c>
      <c r="H13" s="28" t="n">
        <f aca="false">H12/Assumptions!$E$12</f>
        <v>30000</v>
      </c>
      <c r="I13" s="28" t="n">
        <f aca="false">I12/Assumptions!$E$12</f>
        <v>30000</v>
      </c>
      <c r="J13" s="28" t="n">
        <f aca="false">J12/Assumptions!$E$12</f>
        <v>30000</v>
      </c>
      <c r="K13" s="28" t="n">
        <f aca="false">K12/Assumptions!$E$12</f>
        <v>175000</v>
      </c>
      <c r="L13" s="28" t="n">
        <f aca="false">L12/Assumptions!$E$12</f>
        <v>90000</v>
      </c>
      <c r="M13" s="28" t="n">
        <f aca="false">M12/Assumptions!$E$12</f>
        <v>92700</v>
      </c>
      <c r="N13" s="28" t="n">
        <f aca="false">N12/Assumptions!$E$12</f>
        <v>95481</v>
      </c>
      <c r="O13" s="28" t="n">
        <f aca="false">O12/Assumptions!$E$12</f>
        <v>98345.43</v>
      </c>
      <c r="P13" s="28" t="n">
        <f aca="false">P12/Assumptions!$E$12</f>
        <v>101295.7929</v>
      </c>
      <c r="Q13" s="28" t="n">
        <f aca="false">Q12/Assumptions!$E$12</f>
        <v>104334.666687</v>
      </c>
      <c r="R13" s="28" t="n">
        <f aca="false">R12/Assumptions!$E$12</f>
        <v>107464.70668761</v>
      </c>
      <c r="S13" s="28" t="n">
        <f aca="false">S12/Assumptions!$E$12</f>
        <v>110688.647888238</v>
      </c>
      <c r="T13" s="28" t="n">
        <f aca="false">T12/Assumptions!$E$12</f>
        <v>114009.307324885</v>
      </c>
      <c r="U13" s="28" t="n">
        <f aca="false">U12/Assumptions!$E$12</f>
        <v>117429.586544632</v>
      </c>
      <c r="V13" s="28" t="n">
        <f aca="false">V12/Assumptions!$E$12</f>
        <v>120952.474140971</v>
      </c>
      <c r="W13" s="28" t="n">
        <f aca="false">W12/Assumptions!$E$12</f>
        <v>124581.0483652</v>
      </c>
      <c r="X13" s="28" t="n">
        <f aca="false">X12/Assumptions!$E$12</f>
        <v>128318.479816156</v>
      </c>
      <c r="Y13" s="28" t="n">
        <f aca="false">Y12/Assumptions!$E$12</f>
        <v>132168.034210641</v>
      </c>
      <c r="Z13" s="28" t="n">
        <f aca="false">Z12/Assumptions!$E$12</f>
        <v>136133.07523696</v>
      </c>
      <c r="AA13" s="28" t="n">
        <f aca="false">AA12/Assumptions!$E$12</f>
        <v>140217.067494069</v>
      </c>
      <c r="AB13" s="28" t="n">
        <f aca="false">AB12/Assumptions!$E$12</f>
        <v>144423.579518891</v>
      </c>
      <c r="AC13" s="28" t="n">
        <f aca="false">AC12/Assumptions!$E$12</f>
        <v>148756.286904458</v>
      </c>
      <c r="AD13" s="28" t="n">
        <f aca="false">AD12/Assumptions!$E$12</f>
        <v>153218.975511591</v>
      </c>
      <c r="AE13" s="28" t="n">
        <f aca="false">AE12/Assumptions!$E$12</f>
        <v>157815.544776939</v>
      </c>
      <c r="AF13" s="28" t="n">
        <f aca="false">AF12/Assumptions!$E$12</f>
        <v>162550.011120247</v>
      </c>
      <c r="AG13" s="28" t="n">
        <f aca="false">AG12/Assumptions!$E$12</f>
        <v>167426.511453855</v>
      </c>
      <c r="AH13" s="28" t="n">
        <f aca="false">AH12/Assumptions!$E$12</f>
        <v>172449.30679747</v>
      </c>
      <c r="AI13" s="28" t="n">
        <f aca="false">AI12/Assumptions!$E$12</f>
        <v>177622.786001395</v>
      </c>
      <c r="AJ13" s="28" t="n">
        <f aca="false">AJ12/Assumptions!$E$12</f>
        <v>182951.469581436</v>
      </c>
      <c r="AK13" s="28" t="n">
        <f aca="false">AK12/Assumptions!$E$12</f>
        <v>188440.013668879</v>
      </c>
      <c r="AL13" s="28" t="n">
        <f aca="false">AL12/Assumptions!$E$12</f>
        <v>194093.214078946</v>
      </c>
      <c r="AM13" s="28" t="n">
        <f aca="false">AM12/Assumptions!$E$12</f>
        <v>199916.010501314</v>
      </c>
    </row>
    <row r="14" customFormat="false" ht="15" hidden="false" customHeight="false" outlineLevel="0" collapsed="false">
      <c r="A14" s="8" t="s">
        <v>324</v>
      </c>
      <c r="B14" s="8" t="s">
        <v>36</v>
      </c>
      <c r="C14" s="28" t="n">
        <f aca="false">SUM(D14:AM14)</f>
        <v>732139.486354843</v>
      </c>
      <c r="D14" s="28" t="n">
        <f aca="false">MIN(Assumptions!$E$11,Assumptions!$E$9*(1+Assumptions!$E$10)^(D$3-1))*IF(AND(D9=1,Assumptions!$E$74=1),Assumptions!$E$78,1)</f>
        <v>2500</v>
      </c>
      <c r="E14" s="28" t="n">
        <f aca="false">MIN(Assumptions!$E$11,Assumptions!$E$9*(1+Assumptions!$E$10)^(E$3-1))*IF(AND(E9=1,Assumptions!$E$74=1),Assumptions!$E$78,1)</f>
        <v>2725</v>
      </c>
      <c r="F14" s="28" t="n">
        <f aca="false">MIN(Assumptions!$E$11,Assumptions!$E$9*(1+Assumptions!$E$10)^(F$3-1))*IF(AND(F9=1,Assumptions!$E$74=1),Assumptions!$E$78,1)</f>
        <v>2970.25</v>
      </c>
      <c r="G14" s="28" t="n">
        <f aca="false">MIN(Assumptions!$E$11,Assumptions!$E$9*(1+Assumptions!$E$10)^(G$3-1))*IF(AND(G9=1,Assumptions!$E$74=1),Assumptions!$E$78,1)</f>
        <v>3237.5725</v>
      </c>
      <c r="H14" s="28" t="n">
        <f aca="false">MIN(Assumptions!$E$11,Assumptions!$E$9*(1+Assumptions!$E$10)^(H$3-1))*IF(AND(H9=1,Assumptions!$E$74=1),Assumptions!$E$78,1)</f>
        <v>3528.954025</v>
      </c>
      <c r="I14" s="28" t="n">
        <f aca="false">MIN(Assumptions!$E$11,Assumptions!$E$9*(1+Assumptions!$E$10)^(I$3-1))*IF(AND(I9=1,Assumptions!$E$74=1),Assumptions!$E$78,1)</f>
        <v>3846.55988725</v>
      </c>
      <c r="J14" s="28" t="n">
        <f aca="false">MIN(Assumptions!$E$11,Assumptions!$E$9*(1+Assumptions!$E$10)^(J$3-1))*IF(AND(J9=1,Assumptions!$E$74=1),Assumptions!$E$78,1)</f>
        <v>4192.7502771025</v>
      </c>
      <c r="K14" s="28" t="n">
        <f aca="false">MIN(Assumptions!$E$11,Assumptions!$E$9*(1+Assumptions!$E$10)^(K$3-1))*IF(AND(K9=1,Assumptions!$E$74=1),Assumptions!$E$78,1)</f>
        <v>5712.62225255216</v>
      </c>
      <c r="L14" s="28" t="n">
        <f aca="false">MIN(Assumptions!$E$11,Assumptions!$E$9*(1+Assumptions!$E$10)^(L$3-1))*IF(AND(L9=1,Assumptions!$E$74=1),Assumptions!$E$78,1)</f>
        <v>6226.75825528186</v>
      </c>
      <c r="M14" s="28" t="n">
        <f aca="false">MIN(Assumptions!$E$11,Assumptions!$E$9*(1+Assumptions!$E$10)^(M$3-1))*IF(AND(M9=1,Assumptions!$E$74=1),Assumptions!$E$78,1)</f>
        <v>6787.16649825722</v>
      </c>
      <c r="N14" s="28" t="n">
        <f aca="false">MIN(Assumptions!$E$11,Assumptions!$E$9*(1+Assumptions!$E$10)^(N$3-1))*IF(AND(N9=1,Assumptions!$E$74=1),Assumptions!$E$78,1)</f>
        <v>7398.01148310037</v>
      </c>
      <c r="O14" s="28" t="n">
        <f aca="false">MIN(Assumptions!$E$11,Assumptions!$E$9*(1+Assumptions!$E$10)^(O$3-1))*IF(AND(O9=1,Assumptions!$E$74=1),Assumptions!$E$78,1)</f>
        <v>8063.83251657941</v>
      </c>
      <c r="P14" s="28" t="n">
        <f aca="false">MIN(Assumptions!$E$11,Assumptions!$E$9*(1+Assumptions!$E$10)^(P$3-1))*IF(AND(P9=1,Assumptions!$E$74=1),Assumptions!$E$78,1)</f>
        <v>8789.57744307155</v>
      </c>
      <c r="Q14" s="28" t="n">
        <f aca="false">MIN(Assumptions!$E$11,Assumptions!$E$9*(1+Assumptions!$E$10)^(Q$3-1))*IF(AND(Q9=1,Assumptions!$E$74=1),Assumptions!$E$78,1)</f>
        <v>9580.63941294799</v>
      </c>
      <c r="R14" s="28" t="n">
        <f aca="false">MIN(Assumptions!$E$11,Assumptions!$E$9*(1+Assumptions!$E$10)^(R$3-1))*IF(AND(R9=1,Assumptions!$E$74=1),Assumptions!$E$78,1)</f>
        <v>10442.8969601133</v>
      </c>
      <c r="S14" s="28" t="n">
        <f aca="false">MIN(Assumptions!$E$11,Assumptions!$E$9*(1+Assumptions!$E$10)^(S$3-1))*IF(AND(S9=1,Assumptions!$E$74=1),Assumptions!$E$78,1)</f>
        <v>11382.7576865235</v>
      </c>
      <c r="T14" s="28" t="n">
        <f aca="false">MIN(Assumptions!$E$11,Assumptions!$E$9*(1+Assumptions!$E$10)^(T$3-1))*IF(AND(T9=1,Assumptions!$E$74=1),Assumptions!$E$78,1)</f>
        <v>12407.2058783106</v>
      </c>
      <c r="U14" s="28" t="n">
        <f aca="false">MIN(Assumptions!$E$11,Assumptions!$E$9*(1+Assumptions!$E$10)^(U$3-1))*IF(AND(U9=1,Assumptions!$E$74=1),Assumptions!$E$78,1)</f>
        <v>13523.8544073586</v>
      </c>
      <c r="V14" s="28" t="n">
        <f aca="false">MIN(Assumptions!$E$11,Assumptions!$E$9*(1+Assumptions!$E$10)^(V$3-1))*IF(AND(V9=1,Assumptions!$E$74=1),Assumptions!$E$78,1)</f>
        <v>14741.0013040209</v>
      </c>
      <c r="W14" s="28" t="n">
        <f aca="false">MIN(Assumptions!$E$11,Assumptions!$E$9*(1+Assumptions!$E$10)^(W$3-1))*IF(AND(W9=1,Assumptions!$E$74=1),Assumptions!$E$78,1)</f>
        <v>16067.6914213827</v>
      </c>
      <c r="X14" s="28" t="n">
        <f aca="false">MIN(Assumptions!$E$11,Assumptions!$E$9*(1+Assumptions!$E$10)^(X$3-1))*IF(AND(X9=1,Assumptions!$E$74=1),Assumptions!$E$78,1)</f>
        <v>17513.7836493072</v>
      </c>
      <c r="Y14" s="28" t="n">
        <f aca="false">MIN(Assumptions!$E$11,Assumptions!$E$9*(1+Assumptions!$E$10)^(Y$3-1))*IF(AND(Y9=1,Assumptions!$E$74=1),Assumptions!$E$78,1)</f>
        <v>19090.0241777448</v>
      </c>
      <c r="Z14" s="28" t="n">
        <f aca="false">MIN(Assumptions!$E$11,Assumptions!$E$9*(1+Assumptions!$E$10)^(Z$3-1))*IF(AND(Z9=1,Assumptions!$E$74=1),Assumptions!$E$78,1)</f>
        <v>20808.1263537419</v>
      </c>
      <c r="AA14" s="28" t="n">
        <f aca="false">MIN(Assumptions!$E$11,Assumptions!$E$9*(1+Assumptions!$E$10)^(AA$3-1))*IF(AND(AA9=1,Assumptions!$E$74=1),Assumptions!$E$78,1)</f>
        <v>22680.8577255786</v>
      </c>
      <c r="AB14" s="28" t="n">
        <f aca="false">MIN(Assumptions!$E$11,Assumptions!$E$9*(1+Assumptions!$E$10)^(AB$3-1))*IF(AND(AB9=1,Assumptions!$E$74=1),Assumptions!$E$78,1)</f>
        <v>24722.1349208807</v>
      </c>
      <c r="AC14" s="28" t="n">
        <f aca="false">MIN(Assumptions!$E$11,Assumptions!$E$9*(1+Assumptions!$E$10)^(AC$3-1))*IF(AND(AC9=1,Assumptions!$E$74=1),Assumptions!$E$78,1)</f>
        <v>26947.12706376</v>
      </c>
      <c r="AD14" s="28" t="n">
        <f aca="false">MIN(Assumptions!$E$11,Assumptions!$E$9*(1+Assumptions!$E$10)^(AD$3-1))*IF(AND(AD9=1,Assumptions!$E$74=1),Assumptions!$E$78,1)</f>
        <v>29372.3684994984</v>
      </c>
      <c r="AE14" s="28" t="n">
        <f aca="false">MIN(Assumptions!$E$11,Assumptions!$E$9*(1+Assumptions!$E$10)^(AE$3-1))*IF(AND(AE9=1,Assumptions!$E$74=1),Assumptions!$E$78,1)</f>
        <v>32015.8816644533</v>
      </c>
      <c r="AF14" s="28" t="n">
        <f aca="false">MIN(Assumptions!$E$11,Assumptions!$E$9*(1+Assumptions!$E$10)^(AF$3-1))*IF(AND(AF9=1,Assumptions!$E$74=1),Assumptions!$E$78,1)</f>
        <v>34897.311014254</v>
      </c>
      <c r="AG14" s="28" t="n">
        <f aca="false">MIN(Assumptions!$E$11,Assumptions!$E$9*(1+Assumptions!$E$10)^(AG$3-1))*IF(AND(AG9=1,Assumptions!$E$74=1),Assumptions!$E$78,1)</f>
        <v>38038.0690055369</v>
      </c>
      <c r="AH14" s="28" t="n">
        <f aca="false">MIN(Assumptions!$E$11,Assumptions!$E$9*(1+Assumptions!$E$10)^(AH$3-1))*IF(AND(AH9=1,Assumptions!$E$74=1),Assumptions!$E$78,1)</f>
        <v>41461.4952160352</v>
      </c>
      <c r="AI14" s="28" t="n">
        <f aca="false">MIN(Assumptions!$E$11,Assumptions!$E$9*(1+Assumptions!$E$10)^(AI$3-1))*IF(AND(AI9=1,Assumptions!$E$74=1),Assumptions!$E$78,1)</f>
        <v>45193.0297854784</v>
      </c>
      <c r="AJ14" s="28" t="n">
        <f aca="false">MIN(Assumptions!$E$11,Assumptions!$E$9*(1+Assumptions!$E$10)^(AJ$3-1))*IF(AND(AJ9=1,Assumptions!$E$74=1),Assumptions!$E$78,1)</f>
        <v>49260.4024661715</v>
      </c>
      <c r="AK14" s="28" t="n">
        <f aca="false">MIN(Assumptions!$E$11,Assumptions!$E$9*(1+Assumptions!$E$10)^(AK$3-1))*IF(AND(AK9=1,Assumptions!$E$74=1),Assumptions!$E$78,1)</f>
        <v>53693.8386881269</v>
      </c>
      <c r="AL14" s="28" t="n">
        <f aca="false">MIN(Assumptions!$E$11,Assumptions!$E$9*(1+Assumptions!$E$10)^(AL$3-1))*IF(AND(AL9=1,Assumptions!$E$74=1),Assumptions!$E$78,1)</f>
        <v>58526.2841700583</v>
      </c>
      <c r="AM14" s="28" t="n">
        <f aca="false">MIN(Assumptions!$E$11,Assumptions!$E$9*(1+Assumptions!$E$10)^(AM$3-1))*IF(AND(AM9=1,Assumptions!$E$74=1),Assumptions!$E$78,1)</f>
        <v>63793.6497453636</v>
      </c>
    </row>
    <row r="15" customFormat="false" ht="15" hidden="false" customHeight="false" outlineLevel="0" collapsed="false">
      <c r="A15" s="29" t="s">
        <v>325</v>
      </c>
      <c r="B15" s="8" t="s">
        <v>36</v>
      </c>
      <c r="C15" s="30" t="n">
        <f aca="false">SUM(D15:AM15)</f>
        <v>4900922.51356663</v>
      </c>
      <c r="D15" s="30" t="n">
        <f aca="false">D13+D14</f>
        <v>12500</v>
      </c>
      <c r="E15" s="30" t="n">
        <f aca="false">E13+E14</f>
        <v>12725</v>
      </c>
      <c r="F15" s="30" t="n">
        <f aca="false">F13+F14</f>
        <v>12970.25</v>
      </c>
      <c r="G15" s="30" t="n">
        <f aca="false">G13+G14</f>
        <v>13237.5725</v>
      </c>
      <c r="H15" s="30" t="n">
        <f aca="false">H13+H14</f>
        <v>33528.954025</v>
      </c>
      <c r="I15" s="30" t="n">
        <f aca="false">I13+I14</f>
        <v>33846.55988725</v>
      </c>
      <c r="J15" s="30" t="n">
        <f aca="false">J13+J14</f>
        <v>34192.7502771025</v>
      </c>
      <c r="K15" s="30" t="n">
        <f aca="false">K13+K14</f>
        <v>180712.622252552</v>
      </c>
      <c r="L15" s="30" t="n">
        <f aca="false">L13+L14</f>
        <v>96226.7582552819</v>
      </c>
      <c r="M15" s="30" t="n">
        <f aca="false">M13+M14</f>
        <v>99487.1664982572</v>
      </c>
      <c r="N15" s="30" t="n">
        <f aca="false">N13+N14</f>
        <v>102879.0114831</v>
      </c>
      <c r="O15" s="30" t="n">
        <f aca="false">O13+O14</f>
        <v>106409.262516579</v>
      </c>
      <c r="P15" s="30" t="n">
        <f aca="false">P13+P14</f>
        <v>110085.370343072</v>
      </c>
      <c r="Q15" s="30" t="n">
        <f aca="false">Q13+Q14</f>
        <v>113915.306099948</v>
      </c>
      <c r="R15" s="30" t="n">
        <f aca="false">R13+R14</f>
        <v>117907.603647723</v>
      </c>
      <c r="S15" s="30" t="n">
        <f aca="false">S13+S14</f>
        <v>122071.405574762</v>
      </c>
      <c r="T15" s="30" t="n">
        <f aca="false">T13+T14</f>
        <v>126416.513203196</v>
      </c>
      <c r="U15" s="30" t="n">
        <f aca="false">U13+U14</f>
        <v>130953.440951991</v>
      </c>
      <c r="V15" s="30" t="n">
        <f aca="false">V13+V14</f>
        <v>135693.475444992</v>
      </c>
      <c r="W15" s="30" t="n">
        <f aca="false">W13+W14</f>
        <v>140648.739786583</v>
      </c>
      <c r="X15" s="30" t="n">
        <f aca="false">X13+X14</f>
        <v>145832.263465463</v>
      </c>
      <c r="Y15" s="30" t="n">
        <f aca="false">Y13+Y14</f>
        <v>151258.058388386</v>
      </c>
      <c r="Z15" s="30" t="n">
        <f aca="false">Z13+Z14</f>
        <v>156941.201590702</v>
      </c>
      <c r="AA15" s="30" t="n">
        <f aca="false">AA13+AA14</f>
        <v>162897.925219648</v>
      </c>
      <c r="AB15" s="30" t="n">
        <f aca="false">AB13+AB14</f>
        <v>169145.714439772</v>
      </c>
      <c r="AC15" s="30" t="n">
        <f aca="false">AC13+AC14</f>
        <v>175703.413968218</v>
      </c>
      <c r="AD15" s="30" t="n">
        <f aca="false">AD13+AD14</f>
        <v>182591.34401109</v>
      </c>
      <c r="AE15" s="30" t="n">
        <f aca="false">AE13+AE14</f>
        <v>189831.426441392</v>
      </c>
      <c r="AF15" s="30" t="n">
        <f aca="false">AF13+AF14</f>
        <v>197447.322134501</v>
      </c>
      <c r="AG15" s="30" t="n">
        <f aca="false">AG13+AG14</f>
        <v>205464.580459392</v>
      </c>
      <c r="AH15" s="30" t="n">
        <f aca="false">AH13+AH14</f>
        <v>213910.802013506</v>
      </c>
      <c r="AI15" s="30" t="n">
        <f aca="false">AI13+AI14</f>
        <v>222815.815786873</v>
      </c>
      <c r="AJ15" s="30" t="n">
        <f aca="false">AJ13+AJ14</f>
        <v>232211.872047608</v>
      </c>
      <c r="AK15" s="30" t="n">
        <f aca="false">AK13+AK14</f>
        <v>242133.852357006</v>
      </c>
      <c r="AL15" s="30" t="n">
        <f aca="false">AL13+AL14</f>
        <v>252619.498249004</v>
      </c>
      <c r="AM15" s="30" t="n">
        <f aca="false">AM13+AM14</f>
        <v>263709.660246678</v>
      </c>
    </row>
    <row r="16" customFormat="false" ht="15" hidden="false" customHeight="false" outlineLevel="0" collapsed="false">
      <c r="A16" s="5" t="s">
        <v>326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customFormat="false" ht="15" hidden="false" customHeight="false" outlineLevel="0" collapsed="false">
      <c r="A17" s="8" t="s">
        <v>327</v>
      </c>
      <c r="B17" s="8" t="s">
        <v>293</v>
      </c>
      <c r="C17" s="28" t="n">
        <f aca="false">SUM(D17:AM17)</f>
        <v>484948.969106663</v>
      </c>
      <c r="D17" s="28" t="n">
        <f aca="false">D15*Assumptions!$E$19*IF(D$3&lt;Assumptions!$E$7,0,1)</f>
        <v>0</v>
      </c>
      <c r="E17" s="28" t="n">
        <f aca="false">E15*Assumptions!$E$19*IF(E$3&lt;Assumptions!$E$7,0,1)</f>
        <v>0</v>
      </c>
      <c r="F17" s="28" t="n">
        <f aca="false">F15*Assumptions!$E$19*IF(F$3&lt;Assumptions!$E$7,0,1)</f>
        <v>0</v>
      </c>
      <c r="G17" s="28" t="n">
        <f aca="false">G15*Assumptions!$E$19*IF(G$3&lt;Assumptions!$E$7,0,1)</f>
        <v>0</v>
      </c>
      <c r="H17" s="28" t="n">
        <f aca="false">H15*Assumptions!$E$19*IF(H$3&lt;Assumptions!$E$7,0,1)</f>
        <v>3352.8954025</v>
      </c>
      <c r="I17" s="28" t="n">
        <f aca="false">I15*Assumptions!$E$19*IF(I$3&lt;Assumptions!$E$7,0,1)</f>
        <v>3384.655988725</v>
      </c>
      <c r="J17" s="28" t="n">
        <f aca="false">J15*Assumptions!$E$19*IF(J$3&lt;Assumptions!$E$7,0,1)</f>
        <v>3419.27502771025</v>
      </c>
      <c r="K17" s="28" t="n">
        <f aca="false">K15*Assumptions!$E$19*IF(K$3&lt;Assumptions!$E$7,0,1)</f>
        <v>18071.2622252552</v>
      </c>
      <c r="L17" s="28" t="n">
        <f aca="false">L15*Assumptions!$E$19*IF(L$3&lt;Assumptions!$E$7,0,1)</f>
        <v>9622.67582552819</v>
      </c>
      <c r="M17" s="28" t="n">
        <f aca="false">M15*Assumptions!$E$19*IF(M$3&lt;Assumptions!$E$7,0,1)</f>
        <v>9948.71664982572</v>
      </c>
      <c r="N17" s="28" t="n">
        <f aca="false">N15*Assumptions!$E$19*IF(N$3&lt;Assumptions!$E$7,0,1)</f>
        <v>10287.90114831</v>
      </c>
      <c r="O17" s="28" t="n">
        <f aca="false">O15*Assumptions!$E$19*IF(O$3&lt;Assumptions!$E$7,0,1)</f>
        <v>10640.9262516579</v>
      </c>
      <c r="P17" s="28" t="n">
        <f aca="false">P15*Assumptions!$E$19*IF(P$3&lt;Assumptions!$E$7,0,1)</f>
        <v>11008.5370343072</v>
      </c>
      <c r="Q17" s="28" t="n">
        <f aca="false">Q15*Assumptions!$E$19*IF(Q$3&lt;Assumptions!$E$7,0,1)</f>
        <v>11391.5306099948</v>
      </c>
      <c r="R17" s="28" t="n">
        <f aca="false">R15*Assumptions!$E$19*IF(R$3&lt;Assumptions!$E$7,0,1)</f>
        <v>11790.7603647723</v>
      </c>
      <c r="S17" s="28" t="n">
        <f aca="false">S15*Assumptions!$E$19*IF(S$3&lt;Assumptions!$E$7,0,1)</f>
        <v>12207.1405574762</v>
      </c>
      <c r="T17" s="28" t="n">
        <f aca="false">T15*Assumptions!$E$19*IF(T$3&lt;Assumptions!$E$7,0,1)</f>
        <v>12641.6513203196</v>
      </c>
      <c r="U17" s="28" t="n">
        <f aca="false">U15*Assumptions!$E$19*IF(U$3&lt;Assumptions!$E$7,0,1)</f>
        <v>13095.3440951991</v>
      </c>
      <c r="V17" s="28" t="n">
        <f aca="false">V15*Assumptions!$E$19*IF(V$3&lt;Assumptions!$E$7,0,1)</f>
        <v>13569.3475444992</v>
      </c>
      <c r="W17" s="28" t="n">
        <f aca="false">W15*Assumptions!$E$19*IF(W$3&lt;Assumptions!$E$7,0,1)</f>
        <v>14064.8739786583</v>
      </c>
      <c r="X17" s="28" t="n">
        <f aca="false">X15*Assumptions!$E$19*IF(X$3&lt;Assumptions!$E$7,0,1)</f>
        <v>14583.2263465463</v>
      </c>
      <c r="Y17" s="28" t="n">
        <f aca="false">Y15*Assumptions!$E$19*IF(Y$3&lt;Assumptions!$E$7,0,1)</f>
        <v>15125.8058388386</v>
      </c>
      <c r="Z17" s="28" t="n">
        <f aca="false">Z15*Assumptions!$E$19*IF(Z$3&lt;Assumptions!$E$7,0,1)</f>
        <v>15694.1201590702</v>
      </c>
      <c r="AA17" s="28" t="n">
        <f aca="false">AA15*Assumptions!$E$19*IF(AA$3&lt;Assumptions!$E$7,0,1)</f>
        <v>16289.7925219648</v>
      </c>
      <c r="AB17" s="28" t="n">
        <f aca="false">AB15*Assumptions!$E$19*IF(AB$3&lt;Assumptions!$E$7,0,1)</f>
        <v>16914.5714439772</v>
      </c>
      <c r="AC17" s="28" t="n">
        <f aca="false">AC15*Assumptions!$E$19*IF(AC$3&lt;Assumptions!$E$7,0,1)</f>
        <v>17570.3413968218</v>
      </c>
      <c r="AD17" s="28" t="n">
        <f aca="false">AD15*Assumptions!$E$19*IF(AD$3&lt;Assumptions!$E$7,0,1)</f>
        <v>18259.134401109</v>
      </c>
      <c r="AE17" s="28" t="n">
        <f aca="false">AE15*Assumptions!$E$19*IF(AE$3&lt;Assumptions!$E$7,0,1)</f>
        <v>18983.1426441392</v>
      </c>
      <c r="AF17" s="28" t="n">
        <f aca="false">AF15*Assumptions!$E$19*IF(AF$3&lt;Assumptions!$E$7,0,1)</f>
        <v>19744.7322134501</v>
      </c>
      <c r="AG17" s="28" t="n">
        <f aca="false">AG15*Assumptions!$E$19*IF(AG$3&lt;Assumptions!$E$7,0,1)</f>
        <v>20546.4580459392</v>
      </c>
      <c r="AH17" s="28" t="n">
        <f aca="false">AH15*Assumptions!$E$19*IF(AH$3&lt;Assumptions!$E$7,0,1)</f>
        <v>21391.0802013506</v>
      </c>
      <c r="AI17" s="28" t="n">
        <f aca="false">AI15*Assumptions!$E$19*IF(AI$3&lt;Assumptions!$E$7,0,1)</f>
        <v>22281.5815786873</v>
      </c>
      <c r="AJ17" s="28" t="n">
        <f aca="false">AJ15*Assumptions!$E$19*IF(AJ$3&lt;Assumptions!$E$7,0,1)</f>
        <v>23221.1872047608</v>
      </c>
      <c r="AK17" s="28" t="n">
        <f aca="false">AK15*Assumptions!$E$19*IF(AK$3&lt;Assumptions!$E$7,0,1)</f>
        <v>24213.3852357006</v>
      </c>
      <c r="AL17" s="28" t="n">
        <f aca="false">AL15*Assumptions!$E$19*IF(AL$3&lt;Assumptions!$E$7,0,1)</f>
        <v>25261.9498249004</v>
      </c>
      <c r="AM17" s="28" t="n">
        <f aca="false">AM15*Assumptions!$E$19*IF(AM$3&lt;Assumptions!$E$7,0,1)</f>
        <v>26370.9660246678</v>
      </c>
    </row>
    <row r="18" customFormat="false" ht="15" hidden="false" customHeight="false" outlineLevel="0" collapsed="false">
      <c r="A18" s="8" t="s">
        <v>328</v>
      </c>
      <c r="B18" s="8" t="s">
        <v>293</v>
      </c>
      <c r="C18" s="28" t="n">
        <f aca="false">SUM(D18:AM18)</f>
        <v>339464.278374664</v>
      </c>
      <c r="D18" s="28" t="n">
        <f aca="false">D17*Assumptions!$E$20</f>
        <v>0</v>
      </c>
      <c r="E18" s="28" t="n">
        <f aca="false">E17*Assumptions!$E$20</f>
        <v>0</v>
      </c>
      <c r="F18" s="28" t="n">
        <f aca="false">F17*Assumptions!$E$20</f>
        <v>0</v>
      </c>
      <c r="G18" s="28" t="n">
        <f aca="false">G17*Assumptions!$E$20</f>
        <v>0</v>
      </c>
      <c r="H18" s="28" t="n">
        <f aca="false">H17*Assumptions!$E$20</f>
        <v>2347.02678175</v>
      </c>
      <c r="I18" s="28" t="n">
        <f aca="false">I17*Assumptions!$E$20</f>
        <v>2369.2591921075</v>
      </c>
      <c r="J18" s="28" t="n">
        <f aca="false">J17*Assumptions!$E$20</f>
        <v>2393.49251939718</v>
      </c>
      <c r="K18" s="28" t="n">
        <f aca="false">K17*Assumptions!$E$20</f>
        <v>12649.8835576787</v>
      </c>
      <c r="L18" s="28" t="n">
        <f aca="false">L17*Assumptions!$E$20</f>
        <v>6735.87307786973</v>
      </c>
      <c r="M18" s="28" t="n">
        <f aca="false">M17*Assumptions!$E$20</f>
        <v>6964.10165487801</v>
      </c>
      <c r="N18" s="28" t="n">
        <f aca="false">N17*Assumptions!$E$20</f>
        <v>7201.53080381703</v>
      </c>
      <c r="O18" s="28" t="n">
        <f aca="false">O17*Assumptions!$E$20</f>
        <v>7448.64837616056</v>
      </c>
      <c r="P18" s="28" t="n">
        <f aca="false">P17*Assumptions!$E$20</f>
        <v>7705.97592401501</v>
      </c>
      <c r="Q18" s="28" t="n">
        <f aca="false">Q17*Assumptions!$E$20</f>
        <v>7974.07142699636</v>
      </c>
      <c r="R18" s="28" t="n">
        <f aca="false">R17*Assumptions!$E$20</f>
        <v>8253.53225534063</v>
      </c>
      <c r="S18" s="28" t="n">
        <f aca="false">S17*Assumptions!$E$20</f>
        <v>8544.99839023333</v>
      </c>
      <c r="T18" s="28" t="n">
        <f aca="false">T17*Assumptions!$E$20</f>
        <v>8849.15592422373</v>
      </c>
      <c r="U18" s="28" t="n">
        <f aca="false">U17*Assumptions!$E$20</f>
        <v>9166.74086663934</v>
      </c>
      <c r="V18" s="28" t="n">
        <f aca="false">V17*Assumptions!$E$20</f>
        <v>9498.54328114943</v>
      </c>
      <c r="W18" s="28" t="n">
        <f aca="false">W17*Assumptions!$E$20</f>
        <v>9845.4117850608</v>
      </c>
      <c r="X18" s="28" t="n">
        <f aca="false">X17*Assumptions!$E$20</f>
        <v>10208.2584425824</v>
      </c>
      <c r="Y18" s="28" t="n">
        <f aca="false">Y17*Assumptions!$E$20</f>
        <v>10588.064087187</v>
      </c>
      <c r="Z18" s="28" t="n">
        <f aca="false">Z17*Assumptions!$E$20</f>
        <v>10985.8841113491</v>
      </c>
      <c r="AA18" s="28" t="n">
        <f aca="false">AA17*Assumptions!$E$20</f>
        <v>11402.8547653753</v>
      </c>
      <c r="AB18" s="28" t="n">
        <f aca="false">AB17*Assumptions!$E$20</f>
        <v>11840.200010784</v>
      </c>
      <c r="AC18" s="28" t="n">
        <f aca="false">AC17*Assumptions!$E$20</f>
        <v>12299.2389777752</v>
      </c>
      <c r="AD18" s="28" t="n">
        <f aca="false">AD17*Assumptions!$E$20</f>
        <v>12781.3940807763</v>
      </c>
      <c r="AE18" s="28" t="n">
        <f aca="false">AE17*Assumptions!$E$20</f>
        <v>13288.1998508975</v>
      </c>
      <c r="AF18" s="28" t="n">
        <f aca="false">AF17*Assumptions!$E$20</f>
        <v>13821.3125494151</v>
      </c>
      <c r="AG18" s="28" t="n">
        <f aca="false">AG17*Assumptions!$E$20</f>
        <v>14382.5206321574</v>
      </c>
      <c r="AH18" s="28" t="n">
        <f aca="false">AH17*Assumptions!$E$20</f>
        <v>14973.7561409454</v>
      </c>
      <c r="AI18" s="28" t="n">
        <f aca="false">AI17*Assumptions!$E$20</f>
        <v>15597.1071050811</v>
      </c>
      <c r="AJ18" s="28" t="n">
        <f aca="false">AJ17*Assumptions!$E$20</f>
        <v>16254.8310433326</v>
      </c>
      <c r="AK18" s="28" t="n">
        <f aca="false">AK17*Assumptions!$E$20</f>
        <v>16949.3696649905</v>
      </c>
      <c r="AL18" s="28" t="n">
        <f aca="false">AL17*Assumptions!$E$20</f>
        <v>17683.3648774303</v>
      </c>
      <c r="AM18" s="28" t="n">
        <f aca="false">AM17*Assumptions!$E$20</f>
        <v>18459.6762172674</v>
      </c>
    </row>
    <row r="19" customFormat="false" ht="15" hidden="false" customHeight="false" outlineLevel="0" collapsed="false">
      <c r="A19" s="8" t="s">
        <v>329</v>
      </c>
      <c r="B19" s="8" t="s">
        <v>293</v>
      </c>
      <c r="C19" s="28" t="n">
        <f aca="false">SUM(D19:AM19)</f>
        <v>152082.697955781</v>
      </c>
      <c r="D19" s="28" t="n">
        <f aca="false">D18*Assumptions!$E$21*D10</f>
        <v>0</v>
      </c>
      <c r="E19" s="28" t="n">
        <f aca="false">E18*Assumptions!$E$21*E10</f>
        <v>0</v>
      </c>
      <c r="F19" s="28" t="n">
        <f aca="false">F18*Assumptions!$E$21*F10</f>
        <v>0</v>
      </c>
      <c r="G19" s="28" t="n">
        <f aca="false">G18*Assumptions!$E$21*G10</f>
        <v>0</v>
      </c>
      <c r="H19" s="28" t="n">
        <f aca="false">H18*Assumptions!$E$21*H10</f>
        <v>281.64321381</v>
      </c>
      <c r="I19" s="28" t="n">
        <f aca="false">I18*Assumptions!$E$21*I10</f>
        <v>284.3111030529</v>
      </c>
      <c r="J19" s="28" t="n">
        <f aca="false">J18*Assumptions!$E$21*J10</f>
        <v>287.219102327661</v>
      </c>
      <c r="K19" s="28" t="n">
        <f aca="false">K18*Assumptions!$E$21*K10</f>
        <v>3035.97205384288</v>
      </c>
      <c r="L19" s="28" t="n">
        <f aca="false">L18*Assumptions!$E$21*L10</f>
        <v>1737.85525409039</v>
      </c>
      <c r="M19" s="28" t="n">
        <f aca="false">M18*Assumptions!$E$21*M10</f>
        <v>1922.09205674633</v>
      </c>
      <c r="N19" s="28" t="n">
        <f aca="false">N18*Assumptions!$E$21*N10</f>
        <v>2117.25005632221</v>
      </c>
      <c r="O19" s="28" t="n">
        <f aca="false">O18*Assumptions!$E$21*O10</f>
        <v>2323.97829336209</v>
      </c>
      <c r="P19" s="28" t="n">
        <f aca="false">P18*Assumptions!$E$21*P10</f>
        <v>2542.97205492495</v>
      </c>
      <c r="Q19" s="28" t="n">
        <f aca="false">Q18*Assumptions!$E$21*Q10</f>
        <v>2774.97685659473</v>
      </c>
      <c r="R19" s="28" t="n">
        <f aca="false">R18*Assumptions!$E$21*R10</f>
        <v>3020.79280545467</v>
      </c>
      <c r="S19" s="28" t="n">
        <f aca="false">S18*Assumptions!$E$21*S10</f>
        <v>3281.2793818496</v>
      </c>
      <c r="T19" s="28" t="n">
        <f aca="false">T18*Assumptions!$E$21*T10</f>
        <v>3557.36068153794</v>
      </c>
      <c r="U19" s="28" t="n">
        <f aca="false">U18*Assumptions!$E$21*U10</f>
        <v>3850.03116398852</v>
      </c>
      <c r="V19" s="28" t="n">
        <f aca="false">V18*Assumptions!$E$21*V10</f>
        <v>4160.36195714345</v>
      </c>
      <c r="W19" s="28" t="n">
        <f aca="false">W18*Assumptions!$E$21*W10</f>
        <v>4489.50777398773</v>
      </c>
      <c r="X19" s="28" t="n">
        <f aca="false">X18*Assumptions!$E$21*X10</f>
        <v>4838.71450178407</v>
      </c>
      <c r="Y19" s="28" t="n">
        <f aca="false">Y18*Assumptions!$E$21*Y10</f>
        <v>5209.327530896</v>
      </c>
      <c r="Z19" s="28" t="n">
        <f aca="false">Z18*Assumptions!$E$21*Z10</f>
        <v>5602.80089678806</v>
      </c>
      <c r="AA19" s="28" t="n">
        <f aca="false">AA18*Assumptions!$E$21*AA10</f>
        <v>5815.45593034142</v>
      </c>
      <c r="AB19" s="28" t="n">
        <f aca="false">AB18*Assumptions!$E$21*AB10</f>
        <v>6038.50200549985</v>
      </c>
      <c r="AC19" s="28" t="n">
        <f aca="false">AC18*Assumptions!$E$21*AC10</f>
        <v>6272.61187866537</v>
      </c>
      <c r="AD19" s="28" t="n">
        <f aca="false">AD18*Assumptions!$E$21*AD10</f>
        <v>6518.51098119591</v>
      </c>
      <c r="AE19" s="28" t="n">
        <f aca="false">AE18*Assumptions!$E$21*AE10</f>
        <v>6776.98192395771</v>
      </c>
      <c r="AF19" s="28" t="n">
        <f aca="false">AF18*Assumptions!$E$21*AF10</f>
        <v>7048.8694002017</v>
      </c>
      <c r="AG19" s="28" t="n">
        <f aca="false">AG18*Assumptions!$E$21*AG10</f>
        <v>7335.08552240028</v>
      </c>
      <c r="AH19" s="28" t="n">
        <f aca="false">AH18*Assumptions!$E$21*AH10</f>
        <v>7636.61563188215</v>
      </c>
      <c r="AI19" s="28" t="n">
        <f aca="false">AI18*Assumptions!$E$21*AI10</f>
        <v>7954.52462359136</v>
      </c>
      <c r="AJ19" s="28" t="n">
        <f aca="false">AJ18*Assumptions!$E$21*AJ10</f>
        <v>8289.9638320996</v>
      </c>
      <c r="AK19" s="28" t="n">
        <f aca="false">AK18*Assumptions!$E$21*AK10</f>
        <v>8644.17852914513</v>
      </c>
      <c r="AL19" s="28" t="n">
        <f aca="false">AL18*Assumptions!$E$21*AL10</f>
        <v>9018.51608748945</v>
      </c>
      <c r="AM19" s="28" t="n">
        <f aca="false">AM18*Assumptions!$E$21*AM10</f>
        <v>9414.4348708064</v>
      </c>
    </row>
    <row r="20" customFormat="false" ht="15" hidden="false" customHeight="false" outlineLevel="0" collapsed="false">
      <c r="A20" s="8" t="s">
        <v>330</v>
      </c>
      <c r="B20" s="8" t="s">
        <v>293</v>
      </c>
      <c r="C20" s="28" t="n">
        <f aca="false">SUM(D20:AM20)</f>
        <v>83645.4838756793</v>
      </c>
      <c r="D20" s="28" t="n">
        <f aca="false">D19*Assumptions!$E$25</f>
        <v>0</v>
      </c>
      <c r="E20" s="28" t="n">
        <f aca="false">E19*Assumptions!$E$25</f>
        <v>0</v>
      </c>
      <c r="F20" s="28" t="n">
        <f aca="false">F19*Assumptions!$E$25</f>
        <v>0</v>
      </c>
      <c r="G20" s="28" t="n">
        <f aca="false">G19*Assumptions!$E$25</f>
        <v>0</v>
      </c>
      <c r="H20" s="28" t="n">
        <f aca="false">H19*Assumptions!$E$25</f>
        <v>154.9037675955</v>
      </c>
      <c r="I20" s="28" t="n">
        <f aca="false">I19*Assumptions!$E$25</f>
        <v>156.371106679095</v>
      </c>
      <c r="J20" s="28" t="n">
        <f aca="false">J19*Assumptions!$E$25</f>
        <v>157.970506280214</v>
      </c>
      <c r="K20" s="28" t="n">
        <f aca="false">K19*Assumptions!$E$25</f>
        <v>1669.78462961358</v>
      </c>
      <c r="L20" s="28" t="n">
        <f aca="false">L19*Assumptions!$E$25</f>
        <v>955.820389749715</v>
      </c>
      <c r="M20" s="28" t="n">
        <f aca="false">M19*Assumptions!$E$25</f>
        <v>1057.15063121048</v>
      </c>
      <c r="N20" s="28" t="n">
        <f aca="false">N19*Assumptions!$E$25</f>
        <v>1164.48753097721</v>
      </c>
      <c r="O20" s="28" t="n">
        <f aca="false">O19*Assumptions!$E$25</f>
        <v>1278.18806134915</v>
      </c>
      <c r="P20" s="28" t="n">
        <f aca="false">P19*Assumptions!$E$25</f>
        <v>1398.63463020872</v>
      </c>
      <c r="Q20" s="28" t="n">
        <f aca="false">Q19*Assumptions!$E$25</f>
        <v>1526.2372711271</v>
      </c>
      <c r="R20" s="28" t="n">
        <f aca="false">R19*Assumptions!$E$25</f>
        <v>1661.43604300007</v>
      </c>
      <c r="S20" s="28" t="n">
        <f aca="false">S19*Assumptions!$E$25</f>
        <v>1804.70366001728</v>
      </c>
      <c r="T20" s="28" t="n">
        <f aca="false">T19*Assumptions!$E$25</f>
        <v>1956.54837484587</v>
      </c>
      <c r="U20" s="28" t="n">
        <f aca="false">U19*Assumptions!$E$25</f>
        <v>2117.51714019369</v>
      </c>
      <c r="V20" s="28" t="n">
        <f aca="false">V19*Assumptions!$E$25</f>
        <v>2288.1990764289</v>
      </c>
      <c r="W20" s="28" t="n">
        <f aca="false">W19*Assumptions!$E$25</f>
        <v>2469.22927569325</v>
      </c>
      <c r="X20" s="28" t="n">
        <f aca="false">X19*Assumptions!$E$25</f>
        <v>2661.29297598124</v>
      </c>
      <c r="Y20" s="28" t="n">
        <f aca="false">Y19*Assumptions!$E$25</f>
        <v>2865.1301419928</v>
      </c>
      <c r="Z20" s="28" t="n">
        <f aca="false">Z19*Assumptions!$E$25</f>
        <v>3081.54049323343</v>
      </c>
      <c r="AA20" s="28" t="n">
        <f aca="false">AA19*Assumptions!$E$25</f>
        <v>3198.50076168778</v>
      </c>
      <c r="AB20" s="28" t="n">
        <f aca="false">AB19*Assumptions!$E$25</f>
        <v>3321.17610302492</v>
      </c>
      <c r="AC20" s="28" t="n">
        <f aca="false">AC19*Assumptions!$E$25</f>
        <v>3449.93653326595</v>
      </c>
      <c r="AD20" s="28" t="n">
        <f aca="false">AD19*Assumptions!$E$25</f>
        <v>3585.18103965775</v>
      </c>
      <c r="AE20" s="28" t="n">
        <f aca="false">AE19*Assumptions!$E$25</f>
        <v>3727.34005817674</v>
      </c>
      <c r="AF20" s="28" t="n">
        <f aca="false">AF19*Assumptions!$E$25</f>
        <v>3876.87817011093</v>
      </c>
      <c r="AG20" s="28" t="n">
        <f aca="false">AG19*Assumptions!$E$25</f>
        <v>4034.29703732015</v>
      </c>
      <c r="AH20" s="28" t="n">
        <f aca="false">AH19*Assumptions!$E$25</f>
        <v>4200.13859753518</v>
      </c>
      <c r="AI20" s="28" t="n">
        <f aca="false">AI19*Assumptions!$E$25</f>
        <v>4374.98854297525</v>
      </c>
      <c r="AJ20" s="28" t="n">
        <f aca="false">AJ19*Assumptions!$E$25</f>
        <v>4559.48010765478</v>
      </c>
      <c r="AK20" s="28" t="n">
        <f aca="false">AK19*Assumptions!$E$25</f>
        <v>4754.29819102982</v>
      </c>
      <c r="AL20" s="28" t="n">
        <f aca="false">AL19*Assumptions!$E$25</f>
        <v>4960.1838481192</v>
      </c>
      <c r="AM20" s="28" t="n">
        <f aca="false">AM19*Assumptions!$E$25</f>
        <v>5177.93917894352</v>
      </c>
    </row>
    <row r="21" customFormat="false" ht="15" hidden="false" customHeight="false" outlineLevel="0" collapsed="false">
      <c r="A21" s="8" t="s">
        <v>331</v>
      </c>
      <c r="B21" s="8" t="s">
        <v>293</v>
      </c>
      <c r="C21" s="28" t="n">
        <f aca="false">SUM(D21:AM21)</f>
        <v>68589.296778057</v>
      </c>
      <c r="D21" s="28" t="n">
        <f aca="false">D20*Assumptions!$E$26</f>
        <v>0</v>
      </c>
      <c r="E21" s="28" t="n">
        <f aca="false">E20*Assumptions!$E$26</f>
        <v>0</v>
      </c>
      <c r="F21" s="28" t="n">
        <f aca="false">F20*Assumptions!$E$26</f>
        <v>0</v>
      </c>
      <c r="G21" s="28" t="n">
        <f aca="false">G20*Assumptions!$E$26</f>
        <v>0</v>
      </c>
      <c r="H21" s="28" t="n">
        <f aca="false">H20*Assumptions!$E$26</f>
        <v>127.02108942831</v>
      </c>
      <c r="I21" s="28" t="n">
        <f aca="false">I20*Assumptions!$E$26</f>
        <v>128.224307476858</v>
      </c>
      <c r="J21" s="28" t="n">
        <f aca="false">J20*Assumptions!$E$26</f>
        <v>129.535815149775</v>
      </c>
      <c r="K21" s="28" t="n">
        <f aca="false">K20*Assumptions!$E$26</f>
        <v>1369.22339628314</v>
      </c>
      <c r="L21" s="28" t="n">
        <f aca="false">L20*Assumptions!$E$26</f>
        <v>783.772719594766</v>
      </c>
      <c r="M21" s="28" t="n">
        <f aca="false">M20*Assumptions!$E$26</f>
        <v>866.863517592595</v>
      </c>
      <c r="N21" s="28" t="n">
        <f aca="false">N20*Assumptions!$E$26</f>
        <v>954.879775401315</v>
      </c>
      <c r="O21" s="28" t="n">
        <f aca="false">O20*Assumptions!$E$26</f>
        <v>1048.1142103063</v>
      </c>
      <c r="P21" s="28" t="n">
        <f aca="false">P20*Assumptions!$E$26</f>
        <v>1146.88039677115</v>
      </c>
      <c r="Q21" s="28" t="n">
        <f aca="false">Q20*Assumptions!$E$26</f>
        <v>1251.51456232422</v>
      </c>
      <c r="R21" s="28" t="n">
        <f aca="false">R20*Assumptions!$E$26</f>
        <v>1362.37755526006</v>
      </c>
      <c r="S21" s="28" t="n">
        <f aca="false">S20*Assumptions!$E$26</f>
        <v>1479.85700121417</v>
      </c>
      <c r="T21" s="28" t="n">
        <f aca="false">T20*Assumptions!$E$26</f>
        <v>1604.36966737361</v>
      </c>
      <c r="U21" s="28" t="n">
        <f aca="false">U20*Assumptions!$E$26</f>
        <v>1736.36405495882</v>
      </c>
      <c r="V21" s="28" t="n">
        <f aca="false">V20*Assumptions!$E$26</f>
        <v>1876.3232426717</v>
      </c>
      <c r="W21" s="28" t="n">
        <f aca="false">W20*Assumptions!$E$26</f>
        <v>2024.76800606846</v>
      </c>
      <c r="X21" s="28" t="n">
        <f aca="false">X20*Assumptions!$E$26</f>
        <v>2182.26024030462</v>
      </c>
      <c r="Y21" s="28" t="n">
        <f aca="false">Y20*Assumptions!$E$26</f>
        <v>2349.4067164341</v>
      </c>
      <c r="Z21" s="28" t="n">
        <f aca="false">Z20*Assumptions!$E$26</f>
        <v>2526.86320445141</v>
      </c>
      <c r="AA21" s="28" t="n">
        <f aca="false">AA20*Assumptions!$E$26</f>
        <v>2622.77062458398</v>
      </c>
      <c r="AB21" s="28" t="n">
        <f aca="false">AB20*Assumptions!$E$26</f>
        <v>2723.36440448043</v>
      </c>
      <c r="AC21" s="28" t="n">
        <f aca="false">AC20*Assumptions!$E$26</f>
        <v>2828.94795727808</v>
      </c>
      <c r="AD21" s="28" t="n">
        <f aca="false">AD20*Assumptions!$E$26</f>
        <v>2939.84845251935</v>
      </c>
      <c r="AE21" s="28" t="n">
        <f aca="false">AE20*Assumptions!$E$26</f>
        <v>3056.41884770493</v>
      </c>
      <c r="AF21" s="28" t="n">
        <f aca="false">AF20*Assumptions!$E$26</f>
        <v>3179.04009949097</v>
      </c>
      <c r="AG21" s="28" t="n">
        <f aca="false">AG20*Assumptions!$E$26</f>
        <v>3308.12357060253</v>
      </c>
      <c r="AH21" s="28" t="n">
        <f aca="false">AH20*Assumptions!$E$26</f>
        <v>3444.11364997885</v>
      </c>
      <c r="AI21" s="28" t="n">
        <f aca="false">AI20*Assumptions!$E$26</f>
        <v>3587.49060523971</v>
      </c>
      <c r="AJ21" s="28" t="n">
        <f aca="false">AJ20*Assumptions!$E$26</f>
        <v>3738.77368827692</v>
      </c>
      <c r="AK21" s="28" t="n">
        <f aca="false">AK20*Assumptions!$E$26</f>
        <v>3898.52451664445</v>
      </c>
      <c r="AL21" s="28" t="n">
        <f aca="false">AL20*Assumptions!$E$26</f>
        <v>4067.35075545774</v>
      </c>
      <c r="AM21" s="28" t="n">
        <f aca="false">AM20*Assumptions!$E$26</f>
        <v>4245.91012673369</v>
      </c>
    </row>
    <row r="22" customFormat="false" ht="15" hidden="false" customHeight="false" outlineLevel="0" collapsed="false">
      <c r="A22" s="8" t="s">
        <v>332</v>
      </c>
      <c r="B22" s="8" t="s">
        <v>293</v>
      </c>
      <c r="C22" s="28" t="n">
        <f aca="false">SUM(D22:AM22)</f>
        <v>42525.3640023954</v>
      </c>
      <c r="D22" s="28" t="n">
        <f aca="false">D21*Assumptions!$E$27</f>
        <v>0</v>
      </c>
      <c r="E22" s="28" t="n">
        <f aca="false">E21*Assumptions!$E$27</f>
        <v>0</v>
      </c>
      <c r="F22" s="28" t="n">
        <f aca="false">F21*Assumptions!$E$27</f>
        <v>0</v>
      </c>
      <c r="G22" s="28" t="n">
        <f aca="false">G21*Assumptions!$E$27</f>
        <v>0</v>
      </c>
      <c r="H22" s="28" t="n">
        <f aca="false">H21*Assumptions!$E$27</f>
        <v>78.7530754455522</v>
      </c>
      <c r="I22" s="28" t="n">
        <f aca="false">I21*Assumptions!$E$27</f>
        <v>79.4990706356519</v>
      </c>
      <c r="J22" s="28" t="n">
        <f aca="false">J21*Assumptions!$E$27</f>
        <v>80.3122053928606</v>
      </c>
      <c r="K22" s="28" t="n">
        <f aca="false">K21*Assumptions!$E$27</f>
        <v>848.918505695545</v>
      </c>
      <c r="L22" s="28" t="n">
        <f aca="false">L21*Assumptions!$E$27</f>
        <v>485.939086148755</v>
      </c>
      <c r="M22" s="28" t="n">
        <f aca="false">M21*Assumptions!$E$27</f>
        <v>537.455380907409</v>
      </c>
      <c r="N22" s="28" t="n">
        <f aca="false">N21*Assumptions!$E$27</f>
        <v>592.025460748815</v>
      </c>
      <c r="O22" s="28" t="n">
        <f aca="false">O21*Assumptions!$E$27</f>
        <v>649.830810389909</v>
      </c>
      <c r="P22" s="28" t="n">
        <f aca="false">P21*Assumptions!$E$27</f>
        <v>711.065845998115</v>
      </c>
      <c r="Q22" s="28" t="n">
        <f aca="false">Q21*Assumptions!$E$27</f>
        <v>775.939028641019</v>
      </c>
      <c r="R22" s="28" t="n">
        <f aca="false">R21*Assumptions!$E$27</f>
        <v>844.674084261235</v>
      </c>
      <c r="S22" s="28" t="n">
        <f aca="false">S21*Assumptions!$E$27</f>
        <v>917.511340752785</v>
      </c>
      <c r="T22" s="28" t="n">
        <f aca="false">T21*Assumptions!$E$27</f>
        <v>994.709193771638</v>
      </c>
      <c r="U22" s="28" t="n">
        <f aca="false">U21*Assumptions!$E$27</f>
        <v>1076.54571407447</v>
      </c>
      <c r="V22" s="28" t="n">
        <f aca="false">V21*Assumptions!$E$27</f>
        <v>1163.32041045645</v>
      </c>
      <c r="W22" s="28" t="n">
        <f aca="false">W21*Assumptions!$E$27</f>
        <v>1255.35616376245</v>
      </c>
      <c r="X22" s="28" t="n">
        <f aca="false">X21*Assumptions!$E$27</f>
        <v>1353.00134898886</v>
      </c>
      <c r="Y22" s="28" t="n">
        <f aca="false">Y21*Assumptions!$E$27</f>
        <v>1456.63216418914</v>
      </c>
      <c r="Z22" s="28" t="n">
        <f aca="false">Z21*Assumptions!$E$27</f>
        <v>1566.65518675988</v>
      </c>
      <c r="AA22" s="28" t="n">
        <f aca="false">AA21*Assumptions!$E$27</f>
        <v>1626.11778724207</v>
      </c>
      <c r="AB22" s="28" t="n">
        <f aca="false">AB21*Assumptions!$E$27</f>
        <v>1688.48593077787</v>
      </c>
      <c r="AC22" s="28" t="n">
        <f aca="false">AC21*Assumptions!$E$27</f>
        <v>1753.94773351241</v>
      </c>
      <c r="AD22" s="28" t="n">
        <f aca="false">AD21*Assumptions!$E$27</f>
        <v>1822.706040562</v>
      </c>
      <c r="AE22" s="28" t="n">
        <f aca="false">AE21*Assumptions!$E$27</f>
        <v>1894.97968557705</v>
      </c>
      <c r="AF22" s="28" t="n">
        <f aca="false">AF21*Assumptions!$E$27</f>
        <v>1971.0048616844</v>
      </c>
      <c r="AG22" s="28" t="n">
        <f aca="false">AG21*Assumptions!$E$27</f>
        <v>2051.03661377357</v>
      </c>
      <c r="AH22" s="28" t="n">
        <f aca="false">AH21*Assumptions!$E$27</f>
        <v>2135.35046298689</v>
      </c>
      <c r="AI22" s="28" t="n">
        <f aca="false">AI21*Assumptions!$E$27</f>
        <v>2224.24417524862</v>
      </c>
      <c r="AJ22" s="28" t="n">
        <f aca="false">AJ21*Assumptions!$E$27</f>
        <v>2318.03968673169</v>
      </c>
      <c r="AK22" s="28" t="n">
        <f aca="false">AK21*Assumptions!$E$27</f>
        <v>2417.08520031956</v>
      </c>
      <c r="AL22" s="28" t="n">
        <f aca="false">AL21*Assumptions!$E$27</f>
        <v>2521.7574683838</v>
      </c>
      <c r="AM22" s="28" t="n">
        <f aca="false">AM21*Assumptions!$E$27</f>
        <v>2632.46427857488</v>
      </c>
    </row>
    <row r="23" customFormat="false" ht="15" hidden="false" customHeight="false" outlineLevel="0" collapsed="false">
      <c r="A23" s="29" t="s">
        <v>333</v>
      </c>
      <c r="B23" s="8" t="s">
        <v>293</v>
      </c>
      <c r="C23" s="30" t="n">
        <f aca="false">SUM(D23:AM23)</f>
        <v>27641.486601557</v>
      </c>
      <c r="D23" s="30" t="n">
        <f aca="false">D22*Assumptions!$E$28</f>
        <v>0</v>
      </c>
      <c r="E23" s="30" t="n">
        <f aca="false">E22*Assumptions!$E$28</f>
        <v>0</v>
      </c>
      <c r="F23" s="30" t="n">
        <f aca="false">F22*Assumptions!$E$28</f>
        <v>0</v>
      </c>
      <c r="G23" s="30" t="n">
        <f aca="false">G22*Assumptions!$E$28</f>
        <v>0</v>
      </c>
      <c r="H23" s="30" t="n">
        <f aca="false">H22*Assumptions!$E$28</f>
        <v>51.1894990396089</v>
      </c>
      <c r="I23" s="30" t="n">
        <f aca="false">I22*Assumptions!$E$28</f>
        <v>51.6743959131737</v>
      </c>
      <c r="J23" s="30" t="n">
        <f aca="false">J22*Assumptions!$E$28</f>
        <v>52.2029335053594</v>
      </c>
      <c r="K23" s="30" t="n">
        <f aca="false">K22*Assumptions!$E$28</f>
        <v>551.797028702104</v>
      </c>
      <c r="L23" s="30" t="n">
        <f aca="false">L22*Assumptions!$E$28</f>
        <v>315.860405996691</v>
      </c>
      <c r="M23" s="30" t="n">
        <f aca="false">M22*Assumptions!$E$28</f>
        <v>349.345997589816</v>
      </c>
      <c r="N23" s="30" t="n">
        <f aca="false">N22*Assumptions!$E$28</f>
        <v>384.81654948673</v>
      </c>
      <c r="O23" s="30" t="n">
        <f aca="false">O22*Assumptions!$E$28</f>
        <v>422.390026753441</v>
      </c>
      <c r="P23" s="30" t="n">
        <f aca="false">P22*Assumptions!$E$28</f>
        <v>462.192799898775</v>
      </c>
      <c r="Q23" s="30" t="n">
        <f aca="false">Q22*Assumptions!$E$28</f>
        <v>504.360368616663</v>
      </c>
      <c r="R23" s="30" t="n">
        <f aca="false">R22*Assumptions!$E$28</f>
        <v>549.038154769803</v>
      </c>
      <c r="S23" s="30" t="n">
        <f aca="false">S22*Assumptions!$E$28</f>
        <v>596.38237148931</v>
      </c>
      <c r="T23" s="30" t="n">
        <f aca="false">T22*Assumptions!$E$28</f>
        <v>646.560975951565</v>
      </c>
      <c r="U23" s="30" t="n">
        <f aca="false">U22*Assumptions!$E$28</f>
        <v>699.754714148406</v>
      </c>
      <c r="V23" s="30" t="n">
        <f aca="false">V22*Assumptions!$E$28</f>
        <v>756.158266796693</v>
      </c>
      <c r="W23" s="30" t="n">
        <f aca="false">W22*Assumptions!$E$28</f>
        <v>815.981506445591</v>
      </c>
      <c r="X23" s="30" t="n">
        <f aca="false">X22*Assumptions!$E$28</f>
        <v>879.450876842761</v>
      </c>
      <c r="Y23" s="30" t="n">
        <f aca="false">Y22*Assumptions!$E$28</f>
        <v>946.810906722941</v>
      </c>
      <c r="Z23" s="30" t="n">
        <f aca="false">Z22*Assumptions!$E$28</f>
        <v>1018.32587139392</v>
      </c>
      <c r="AA23" s="30" t="n">
        <f aca="false">AA22*Assumptions!$E$28</f>
        <v>1056.97656170734</v>
      </c>
      <c r="AB23" s="30" t="n">
        <f aca="false">AB22*Assumptions!$E$28</f>
        <v>1097.51585500561</v>
      </c>
      <c r="AC23" s="30" t="n">
        <f aca="false">AC22*Assumptions!$E$28</f>
        <v>1140.06602678307</v>
      </c>
      <c r="AD23" s="30" t="n">
        <f aca="false">AD22*Assumptions!$E$28</f>
        <v>1184.7589263653</v>
      </c>
      <c r="AE23" s="30" t="n">
        <f aca="false">AE22*Assumptions!$E$28</f>
        <v>1231.73679562509</v>
      </c>
      <c r="AF23" s="30" t="n">
        <f aca="false">AF22*Assumptions!$E$28</f>
        <v>1281.15316009486</v>
      </c>
      <c r="AG23" s="30" t="n">
        <f aca="false">AG22*Assumptions!$E$28</f>
        <v>1333.17379895282</v>
      </c>
      <c r="AH23" s="30" t="n">
        <f aca="false">AH22*Assumptions!$E$28</f>
        <v>1387.97780094148</v>
      </c>
      <c r="AI23" s="30" t="n">
        <f aca="false">AI22*Assumptions!$E$28</f>
        <v>1445.7587139116</v>
      </c>
      <c r="AJ23" s="30" t="n">
        <f aca="false">AJ22*Assumptions!$E$28</f>
        <v>1506.7257963756</v>
      </c>
      <c r="AK23" s="30" t="n">
        <f aca="false">AK22*Assumptions!$E$28</f>
        <v>1571.10538020771</v>
      </c>
      <c r="AL23" s="30" t="n">
        <f aca="false">AL22*Assumptions!$E$28</f>
        <v>1639.14235444947</v>
      </c>
      <c r="AM23" s="30" t="n">
        <f aca="false">AM22*Assumptions!$E$28</f>
        <v>1711.10178107367</v>
      </c>
    </row>
    <row r="24" customFormat="false" ht="15" hidden="false" customHeight="false" outlineLevel="0" collapsed="false">
      <c r="A24" s="29" t="s">
        <v>334</v>
      </c>
      <c r="B24" s="8" t="s">
        <v>293</v>
      </c>
      <c r="D24" s="30" t="n">
        <f aca="false">D23</f>
        <v>0</v>
      </c>
      <c r="E24" s="30" t="n">
        <f aca="false">D24*(1-Assumptions!$E$41)+E23</f>
        <v>0</v>
      </c>
      <c r="F24" s="30" t="n">
        <f aca="false">E24*(1-Assumptions!$E$41)+F23</f>
        <v>0</v>
      </c>
      <c r="G24" s="30" t="n">
        <f aca="false">F24*(1-Assumptions!$E$41)+G23</f>
        <v>0</v>
      </c>
      <c r="H24" s="30" t="n">
        <f aca="false">G24*(1-Assumptions!$E$41)+H23</f>
        <v>51.1894990396089</v>
      </c>
      <c r="I24" s="30" t="n">
        <f aca="false">H24*(1-Assumptions!$E$41)+I23</f>
        <v>97.2330500584257</v>
      </c>
      <c r="J24" s="30" t="n">
        <f aca="false">I24*(1-Assumptions!$E$41)+J23</f>
        <v>138.740348057358</v>
      </c>
      <c r="K24" s="30" t="n">
        <f aca="false">J24*(1-Assumptions!$E$41)+K23</f>
        <v>675.275938473153</v>
      </c>
      <c r="L24" s="30" t="n">
        <f aca="false">K24*(1-Assumptions!$E$41)+L23</f>
        <v>916.855991237797</v>
      </c>
      <c r="M24" s="30" t="n">
        <f aca="false">L24*(1-Assumptions!$E$41)+M23</f>
        <v>1165.34782979146</v>
      </c>
      <c r="N24" s="30" t="n">
        <f aca="false">M24*(1-Assumptions!$E$41)+N23</f>
        <v>1421.97611800112</v>
      </c>
      <c r="O24" s="30" t="n">
        <f aca="false">N24*(1-Assumptions!$E$41)+O23</f>
        <v>1687.94877177444</v>
      </c>
      <c r="P24" s="30" t="n">
        <f aca="false">O24*(1-Assumptions!$E$41)+P23</f>
        <v>1964.46720677803</v>
      </c>
      <c r="Q24" s="30" t="n">
        <f aca="false">P24*(1-Assumptions!$E$41)+Q23</f>
        <v>2252.73618264911</v>
      </c>
      <c r="R24" s="30" t="n">
        <f aca="false">Q24*(1-Assumptions!$E$41)+R23</f>
        <v>2553.97335732751</v>
      </c>
      <c r="S24" s="30" t="n">
        <f aca="false">R24*(1-Assumptions!$E$41)+S23</f>
        <v>2869.41865951079</v>
      </c>
      <c r="T24" s="30" t="n">
        <f aca="false">S24*(1-Assumptions!$E$41)+T23</f>
        <v>3200.34358291617</v>
      </c>
      <c r="U24" s="30" t="n">
        <f aca="false">T24*(1-Assumptions!$E$41)+U23</f>
        <v>3548.0605029438</v>
      </c>
      <c r="V24" s="30" t="n">
        <f aca="false">U24*(1-Assumptions!$E$41)+V23</f>
        <v>3913.93211441667</v>
      </c>
      <c r="W24" s="30" t="n">
        <f aca="false">V24*(1-Assumptions!$E$41)+W23</f>
        <v>4299.38108827643</v>
      </c>
      <c r="X24" s="30" t="n">
        <f aca="false">W24*(1-Assumptions!$E$41)+X23</f>
        <v>4705.90004540878</v>
      </c>
      <c r="Y24" s="30" t="n">
        <f aca="false">X24*(1-Assumptions!$E$41)+Y23</f>
        <v>5135.06194713676</v>
      </c>
      <c r="Z24" s="30" t="n">
        <f aca="false">Y24*(1-Assumptions!$E$41)+Z23</f>
        <v>5588.53100434564</v>
      </c>
      <c r="AA24" s="30" t="n">
        <f aca="false">Z24*(1-Assumptions!$E$41)+AA23</f>
        <v>6030.76915557496</v>
      </c>
      <c r="AB24" s="30" t="n">
        <f aca="false">AA24*(1-Assumptions!$E$41)+AB23</f>
        <v>6464.90040346733</v>
      </c>
      <c r="AC24" s="30" t="n">
        <f aca="false">AB24*(1-Assumptions!$E$41)+AC23</f>
        <v>6893.82738586899</v>
      </c>
      <c r="AD24" s="30" t="n">
        <f aca="false">AC24*(1-Assumptions!$E$41)+AD23</f>
        <v>7320.2652997887</v>
      </c>
      <c r="AE24" s="30" t="n">
        <f aca="false">AD24*(1-Assumptions!$E$41)+AE23</f>
        <v>7746.77291243703</v>
      </c>
      <c r="AF24" s="30" t="n">
        <f aca="false">AE24*(1-Assumptions!$E$41)+AF23</f>
        <v>8175.78105216381</v>
      </c>
      <c r="AG24" s="30" t="n">
        <f aca="false">AF24*(1-Assumptions!$E$41)+AG23</f>
        <v>8609.61893537861</v>
      </c>
      <c r="AH24" s="30" t="n">
        <f aca="false">AG24*(1-Assumptions!$E$41)+AH23</f>
        <v>9050.53865342844</v>
      </c>
      <c r="AI24" s="30" t="n">
        <f aca="false">AH24*(1-Assumptions!$E$41)+AI23</f>
        <v>9500.73811546292</v>
      </c>
      <c r="AJ24" s="30" t="n">
        <f aca="false">AI24*(1-Assumptions!$E$41)+AJ23</f>
        <v>9962.3827191376</v>
      </c>
      <c r="AK24" s="30" t="n">
        <f aca="false">AJ24*(1-Assumptions!$E$41)+AK23</f>
        <v>10437.6260002402</v>
      </c>
      <c r="AL24" s="30" t="n">
        <f aca="false">AK24*(1-Assumptions!$E$41)+AL23</f>
        <v>10928.6294946632</v>
      </c>
      <c r="AM24" s="30" t="n">
        <f aca="false">AL24*(1-Assumptions!$E$41)+AM23</f>
        <v>11437.5820313239</v>
      </c>
    </row>
    <row r="25" customFormat="false" ht="15" hidden="false" customHeight="false" outlineLevel="0" collapsed="false">
      <c r="A25" s="8" t="s">
        <v>335</v>
      </c>
      <c r="B25" s="8" t="s">
        <v>293</v>
      </c>
      <c r="C25" s="28" t="n">
        <f aca="false">SUM(D25:AM25)</f>
        <v>16203.904570233</v>
      </c>
      <c r="D25" s="28" t="n">
        <f aca="false">0</f>
        <v>0</v>
      </c>
      <c r="E25" s="28" t="n">
        <f aca="false">D24*Assumptions!$E$41</f>
        <v>0</v>
      </c>
      <c r="F25" s="28" t="n">
        <f aca="false">E24*Assumptions!$E$41</f>
        <v>0</v>
      </c>
      <c r="G25" s="28" t="n">
        <f aca="false">F24*Assumptions!$E$41</f>
        <v>0</v>
      </c>
      <c r="H25" s="28" t="n">
        <f aca="false">G24*Assumptions!$E$41</f>
        <v>0</v>
      </c>
      <c r="I25" s="28" t="n">
        <f aca="false">H24*Assumptions!$E$41</f>
        <v>5.63084489435698</v>
      </c>
      <c r="J25" s="28" t="n">
        <f aca="false">I24*Assumptions!$E$41</f>
        <v>10.6956355064268</v>
      </c>
      <c r="K25" s="28" t="n">
        <f aca="false">J24*Assumptions!$E$41</f>
        <v>15.2614382863094</v>
      </c>
      <c r="L25" s="28" t="n">
        <f aca="false">K24*Assumptions!$E$41</f>
        <v>74.2803532320469</v>
      </c>
      <c r="M25" s="28" t="n">
        <f aca="false">L24*Assumptions!$E$41</f>
        <v>100.854159036158</v>
      </c>
      <c r="N25" s="28" t="n">
        <f aca="false">M24*Assumptions!$E$41</f>
        <v>128.18826127706</v>
      </c>
      <c r="O25" s="28" t="n">
        <f aca="false">N24*Assumptions!$E$41</f>
        <v>156.417372980124</v>
      </c>
      <c r="P25" s="28" t="n">
        <f aca="false">O24*Assumptions!$E$41</f>
        <v>185.674364895189</v>
      </c>
      <c r="Q25" s="28" t="n">
        <f aca="false">P24*Assumptions!$E$41</f>
        <v>216.091392745583</v>
      </c>
      <c r="R25" s="28" t="n">
        <f aca="false">Q24*Assumptions!$E$41</f>
        <v>247.800980091402</v>
      </c>
      <c r="S25" s="28" t="n">
        <f aca="false">R24*Assumptions!$E$41</f>
        <v>280.937069306026</v>
      </c>
      <c r="T25" s="28" t="n">
        <f aca="false">S24*Assumptions!$E$41</f>
        <v>315.636052546187</v>
      </c>
      <c r="U25" s="28" t="n">
        <f aca="false">T24*Assumptions!$E$41</f>
        <v>352.037794120779</v>
      </c>
      <c r="V25" s="28" t="n">
        <f aca="false">U24*Assumptions!$E$41</f>
        <v>390.286655323818</v>
      </c>
      <c r="W25" s="28" t="n">
        <f aca="false">V24*Assumptions!$E$41</f>
        <v>430.532532585834</v>
      </c>
      <c r="X25" s="28" t="n">
        <f aca="false">W24*Assumptions!$E$41</f>
        <v>472.931919710407</v>
      </c>
      <c r="Y25" s="28" t="n">
        <f aca="false">X24*Assumptions!$E$41</f>
        <v>517.649004994966</v>
      </c>
      <c r="Z25" s="28" t="n">
        <f aca="false">Y24*Assumptions!$E$41</f>
        <v>564.856814185044</v>
      </c>
      <c r="AA25" s="28" t="n">
        <f aca="false">Z24*Assumptions!$E$41</f>
        <v>614.73841047802</v>
      </c>
      <c r="AB25" s="28" t="n">
        <f aca="false">AA24*Assumptions!$E$41</f>
        <v>663.384607113246</v>
      </c>
      <c r="AC25" s="28" t="n">
        <f aca="false">AB24*Assumptions!$E$41</f>
        <v>711.139044381406</v>
      </c>
      <c r="AD25" s="28" t="n">
        <f aca="false">AC24*Assumptions!$E$41</f>
        <v>758.321012445589</v>
      </c>
      <c r="AE25" s="28" t="n">
        <f aca="false">AD24*Assumptions!$E$41</f>
        <v>805.229182976757</v>
      </c>
      <c r="AF25" s="28" t="n">
        <f aca="false">AE24*Assumptions!$E$41</f>
        <v>852.145020368073</v>
      </c>
      <c r="AG25" s="28" t="n">
        <f aca="false">AF24*Assumptions!$E$41</f>
        <v>899.33591573802</v>
      </c>
      <c r="AH25" s="28" t="n">
        <f aca="false">AG24*Assumptions!$E$41</f>
        <v>947.058082891648</v>
      </c>
      <c r="AI25" s="28" t="n">
        <f aca="false">AH24*Assumptions!$E$41</f>
        <v>995.559251877129</v>
      </c>
      <c r="AJ25" s="28" t="n">
        <f aca="false">AI24*Assumptions!$E$41</f>
        <v>1045.08119270092</v>
      </c>
      <c r="AK25" s="28" t="n">
        <f aca="false">AJ24*Assumptions!$E$41</f>
        <v>1095.86209910514</v>
      </c>
      <c r="AL25" s="28" t="n">
        <f aca="false">AK24*Assumptions!$E$41</f>
        <v>1148.13886002642</v>
      </c>
      <c r="AM25" s="28" t="n">
        <f aca="false">AL24*Assumptions!$E$41</f>
        <v>1202.14924441295</v>
      </c>
    </row>
    <row r="26" customFormat="false" ht="15" hidden="false" customHeight="false" outlineLevel="0" collapsed="false">
      <c r="A26" s="8" t="s">
        <v>336</v>
      </c>
      <c r="B26" s="8" t="s">
        <v>293</v>
      </c>
      <c r="C26" s="28" t="n">
        <f aca="false">SUM(D26:AM26)</f>
        <v>41822.7419378396</v>
      </c>
      <c r="D26" s="28" t="n">
        <f aca="false">D20*Assumptions!$E$32</f>
        <v>0</v>
      </c>
      <c r="E26" s="28" t="n">
        <f aca="false">E20*Assumptions!$E$32</f>
        <v>0</v>
      </c>
      <c r="F26" s="28" t="n">
        <f aca="false">F20*Assumptions!$E$32</f>
        <v>0</v>
      </c>
      <c r="G26" s="28" t="n">
        <f aca="false">G20*Assumptions!$E$32</f>
        <v>0</v>
      </c>
      <c r="H26" s="28" t="n">
        <f aca="false">H20*Assumptions!$E$32</f>
        <v>77.45188379775</v>
      </c>
      <c r="I26" s="28" t="n">
        <f aca="false">I20*Assumptions!$E$32</f>
        <v>78.1855533395475</v>
      </c>
      <c r="J26" s="28" t="n">
        <f aca="false">J20*Assumptions!$E$32</f>
        <v>78.9852531401068</v>
      </c>
      <c r="K26" s="28" t="n">
        <f aca="false">K20*Assumptions!$E$32</f>
        <v>834.892314806791</v>
      </c>
      <c r="L26" s="28" t="n">
        <f aca="false">L20*Assumptions!$E$32</f>
        <v>477.910194874857</v>
      </c>
      <c r="M26" s="28" t="n">
        <f aca="false">M20*Assumptions!$E$32</f>
        <v>528.575315605241</v>
      </c>
      <c r="N26" s="28" t="n">
        <f aca="false">N20*Assumptions!$E$32</f>
        <v>582.243765488607</v>
      </c>
      <c r="O26" s="28" t="n">
        <f aca="false">O20*Assumptions!$E$32</f>
        <v>639.094030674576</v>
      </c>
      <c r="P26" s="28" t="n">
        <f aca="false">P20*Assumptions!$E$32</f>
        <v>699.317315104362</v>
      </c>
      <c r="Q26" s="28" t="n">
        <f aca="false">Q20*Assumptions!$E$32</f>
        <v>763.118635563552</v>
      </c>
      <c r="R26" s="28" t="n">
        <f aca="false">R20*Assumptions!$E$32</f>
        <v>830.718021500035</v>
      </c>
      <c r="S26" s="28" t="n">
        <f aca="false">S20*Assumptions!$E$32</f>
        <v>902.35183000864</v>
      </c>
      <c r="T26" s="28" t="n">
        <f aca="false">T20*Assumptions!$E$32</f>
        <v>978.274187422933</v>
      </c>
      <c r="U26" s="28" t="n">
        <f aca="false">U20*Assumptions!$E$32</f>
        <v>1058.75857009684</v>
      </c>
      <c r="V26" s="28" t="n">
        <f aca="false">V20*Assumptions!$E$32</f>
        <v>1144.09953821445</v>
      </c>
      <c r="W26" s="28" t="n">
        <f aca="false">W20*Assumptions!$E$32</f>
        <v>1234.61463784662</v>
      </c>
      <c r="X26" s="28" t="n">
        <f aca="false">X20*Assumptions!$E$32</f>
        <v>1330.64648799062</v>
      </c>
      <c r="Y26" s="28" t="n">
        <f aca="false">Y20*Assumptions!$E$32</f>
        <v>1432.5650709964</v>
      </c>
      <c r="Z26" s="28" t="n">
        <f aca="false">Z20*Assumptions!$E$32</f>
        <v>1540.77024661672</v>
      </c>
      <c r="AA26" s="28" t="n">
        <f aca="false">AA20*Assumptions!$E$32</f>
        <v>1599.25038084389</v>
      </c>
      <c r="AB26" s="28" t="n">
        <f aca="false">AB20*Assumptions!$E$32</f>
        <v>1660.58805151246</v>
      </c>
      <c r="AC26" s="28" t="n">
        <f aca="false">AC20*Assumptions!$E$32</f>
        <v>1724.96826663298</v>
      </c>
      <c r="AD26" s="28" t="n">
        <f aca="false">AD20*Assumptions!$E$32</f>
        <v>1792.59051982887</v>
      </c>
      <c r="AE26" s="28" t="n">
        <f aca="false">AE20*Assumptions!$E$32</f>
        <v>1863.67002908837</v>
      </c>
      <c r="AF26" s="28" t="n">
        <f aca="false">AF20*Assumptions!$E$32</f>
        <v>1938.43908505547</v>
      </c>
      <c r="AG26" s="28" t="n">
        <f aca="false">AG20*Assumptions!$E$32</f>
        <v>2017.14851866008</v>
      </c>
      <c r="AH26" s="28" t="n">
        <f aca="false">AH20*Assumptions!$E$32</f>
        <v>2100.06929876759</v>
      </c>
      <c r="AI26" s="28" t="n">
        <f aca="false">AI20*Assumptions!$E$32</f>
        <v>2187.49427148763</v>
      </c>
      <c r="AJ26" s="28" t="n">
        <f aca="false">AJ20*Assumptions!$E$32</f>
        <v>2279.74005382739</v>
      </c>
      <c r="AK26" s="28" t="n">
        <f aca="false">AK20*Assumptions!$E$32</f>
        <v>2377.14909551491</v>
      </c>
      <c r="AL26" s="28" t="n">
        <f aca="false">AL20*Assumptions!$E$32</f>
        <v>2480.0919240596</v>
      </c>
      <c r="AM26" s="28" t="n">
        <f aca="false">AM20*Assumptions!$E$32</f>
        <v>2588.96958947176</v>
      </c>
    </row>
    <row r="27" customFormat="false" ht="15" hidden="false" customHeight="false" outlineLevel="0" collapsed="false">
      <c r="A27" s="5" t="s">
        <v>337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 customFormat="false" ht="15" hidden="false" customHeight="false" outlineLevel="0" collapsed="false">
      <c r="A28" s="8" t="s">
        <v>338</v>
      </c>
      <c r="B28" s="8" t="s">
        <v>293</v>
      </c>
      <c r="C28" s="28" t="n">
        <f aca="false">SUM(D28:AM28)</f>
        <v>16092.3845161996</v>
      </c>
      <c r="D28" s="28" t="n">
        <f aca="false">(D18-D19)*Assumptions!$E$35+D15*Assumptions!$E$36*IF(D$3&lt;Assumptions!$E$7,0,1)</f>
        <v>0</v>
      </c>
      <c r="E28" s="28" t="n">
        <f aca="false">(E18-E19)*Assumptions!$E$35+E15*Assumptions!$E$36*IF(E$3&lt;Assumptions!$E$7,0,1)</f>
        <v>0</v>
      </c>
      <c r="F28" s="28" t="n">
        <f aca="false">(F18-F19)*Assumptions!$E$35+F15*Assumptions!$E$36*IF(F$3&lt;Assumptions!$E$7,0,1)</f>
        <v>0</v>
      </c>
      <c r="G28" s="28" t="n">
        <f aca="false">(G18-G19)*Assumptions!$E$35+G15*Assumptions!$E$36*IF(G$3&lt;Assumptions!$E$7,0,1)</f>
        <v>0</v>
      </c>
      <c r="H28" s="28" t="n">
        <f aca="false">(H18-H19)*Assumptions!$E$35+H15*Assumptions!$E$36*IF(H$3&lt;Assumptions!$E$7,0,1)</f>
        <v>157.4519681014</v>
      </c>
      <c r="I28" s="28" t="n">
        <f aca="false">(I18-I19)*Assumptions!$E$35+I15*Assumptions!$E$36*IF(I$3&lt;Assumptions!$E$7,0,1)</f>
        <v>158.943445230526</v>
      </c>
      <c r="J28" s="28" t="n">
        <f aca="false">(J18-J19)*Assumptions!$E$35+J15*Assumptions!$E$36*IF(J$3&lt;Assumptions!$E$7,0,1)</f>
        <v>160.569155301273</v>
      </c>
      <c r="K28" s="28" t="n">
        <f aca="false">(K18-K19)*Assumptions!$E$35+K15*Assumptions!$E$36*IF(K$3&lt;Assumptions!$E$7,0,1)</f>
        <v>757.547312482699</v>
      </c>
      <c r="L28" s="28" t="n">
        <f aca="false">(L18-L19)*Assumptions!$E$35+L15*Assumptions!$E$36*IF(L$3&lt;Assumptions!$E$7,0,1)</f>
        <v>396.107827682042</v>
      </c>
      <c r="M28" s="28" t="n">
        <f aca="false">(M18-M19)*Assumptions!$E$35+M15*Assumptions!$E$36*IF(M$3&lt;Assumptions!$E$7,0,1)</f>
        <v>402.007742386158</v>
      </c>
      <c r="N28" s="28" t="n">
        <f aca="false">(N18-N19)*Assumptions!$E$35+N15*Assumptions!$E$36*IF(N$3&lt;Assumptions!$E$7,0,1)</f>
        <v>407.93585633279</v>
      </c>
      <c r="O28" s="28" t="n">
        <f aca="false">(O18-O19)*Assumptions!$E$35+O15*Assumptions!$E$36*IF(O$3&lt;Assumptions!$E$7,0,1)</f>
        <v>413.889467484487</v>
      </c>
      <c r="P28" s="28" t="n">
        <f aca="false">(P18-P19)*Assumptions!$E$35+P15*Assumptions!$E$36*IF(P$3&lt;Assumptions!$E$7,0,1)</f>
        <v>419.865602488475</v>
      </c>
      <c r="Q28" s="28" t="n">
        <f aca="false">(Q18-Q19)*Assumptions!$E$35+Q15*Assumptions!$E$36*IF(Q$3&lt;Assumptions!$E$7,0,1)</f>
        <v>425.860980324046</v>
      </c>
      <c r="R28" s="28" t="n">
        <f aca="false">(R18-R19)*Assumptions!$E$35+R15*Assumptions!$E$36*IF(R$3&lt;Assumptions!$E$7,0,1)</f>
        <v>431.871970640881</v>
      </c>
      <c r="S28" s="28" t="n">
        <f aca="false">(S18-S19)*Assumptions!$E$35+S15*Assumptions!$E$36*IF(S$3&lt;Assumptions!$E$7,0,1)</f>
        <v>437.894546077786</v>
      </c>
      <c r="T28" s="28" t="n">
        <f aca="false">(T18-T19)*Assumptions!$E$35+T15*Assumptions!$E$36*IF(T$3&lt;Assumptions!$E$7,0,1)</f>
        <v>443.924227764343</v>
      </c>
      <c r="U28" s="28" t="n">
        <f aca="false">(U18-U19)*Assumptions!$E$35+U15*Assumptions!$E$36*IF(U$3&lt;Assumptions!$E$7,0,1)</f>
        <v>449.95602311104</v>
      </c>
      <c r="V28" s="28" t="n">
        <f aca="false">(V18-V19)*Assumptions!$E$35+V15*Assumptions!$E$36*IF(V$3&lt;Assumptions!$E$7,0,1)</f>
        <v>455.984354885351</v>
      </c>
      <c r="W28" s="28" t="n">
        <f aca="false">(W18-W19)*Assumptions!$E$35+W15*Assumptions!$E$36*IF(W$3&lt;Assumptions!$E$7,0,1)</f>
        <v>462.002980450967</v>
      </c>
      <c r="X28" s="28" t="n">
        <f aca="false">(X18-X19)*Assumptions!$E$35+X15*Assumptions!$E$36*IF(X$3&lt;Assumptions!$E$7,0,1)</f>
        <v>468.004899913365</v>
      </c>
      <c r="Y28" s="28" t="n">
        <f aca="false">(Y18-Y19)*Assumptions!$E$35+Y15*Assumptions!$E$36*IF(Y$3&lt;Assumptions!$E$7,0,1)</f>
        <v>473.982251765845</v>
      </c>
      <c r="Z28" s="28" t="n">
        <f aca="false">(Z18-Z19)*Assumptions!$E$35+Z15*Assumptions!$E$36*IF(Z$3&lt;Assumptions!$E$7,0,1)</f>
        <v>479.926194464367</v>
      </c>
      <c r="AA28" s="28" t="n">
        <f aca="false">(AA18-AA19)*Assumptions!$E$35+AA15*Assumptions!$E$36*IF(AA$3&lt;Assumptions!$E$7,0,1)</f>
        <v>498.141855321682</v>
      </c>
      <c r="AB28" s="28" t="n">
        <f aca="false">(AB18-AB19)*Assumptions!$E$35+AB15*Assumptions!$E$36*IF(AB$3&lt;Assumptions!$E$7,0,1)</f>
        <v>517.247594756822</v>
      </c>
      <c r="AC28" s="28" t="n">
        <f aca="false">(AC18-AC19)*Assumptions!$E$35+AC15*Assumptions!$E$36*IF(AC$3&lt;Assumptions!$E$7,0,1)</f>
        <v>537.30103991481</v>
      </c>
      <c r="AD28" s="28" t="n">
        <f aca="false">(AD18-AD19)*Assumptions!$E$35+AD15*Assumptions!$E$36*IF(AD$3&lt;Assumptions!$E$7,0,1)</f>
        <v>558.364329985913</v>
      </c>
      <c r="AE28" s="28" t="n">
        <f aca="false">(AE18-AE19)*Assumptions!$E$35+AE15*Assumptions!$E$36*IF(AE$3&lt;Assumptions!$E$7,0,1)</f>
        <v>580.504502057778</v>
      </c>
      <c r="AF28" s="28" t="n">
        <f aca="false">(AF18-AF19)*Assumptions!$E$35+AF15*Assumptions!$E$36*IF(AF$3&lt;Assumptions!$E$7,0,1)</f>
        <v>603.793911087305</v>
      </c>
      <c r="AG28" s="28" t="n">
        <f aca="false">(AG18-AG19)*Assumptions!$E$35+AG15*Assumptions!$E$36*IF(AG$3&lt;Assumptions!$E$7,0,1)</f>
        <v>628.31068704482</v>
      </c>
      <c r="AH28" s="28" t="n">
        <f aca="false">(AH18-AH19)*Assumptions!$E$35+AH15*Assumptions!$E$36*IF(AH$3&lt;Assumptions!$E$7,0,1)</f>
        <v>654.1392325573</v>
      </c>
      <c r="AI28" s="28" t="n">
        <f aca="false">(AI18-AI19)*Assumptions!$E$35+AI15*Assumptions!$E$36*IF(AI$3&lt;Assumptions!$E$7,0,1)</f>
        <v>681.370764676258</v>
      </c>
      <c r="AJ28" s="28" t="n">
        <f aca="false">(AJ18-AJ19)*Assumptions!$E$35+AJ15*Assumptions!$E$36*IF(AJ$3&lt;Assumptions!$E$7,0,1)</f>
        <v>710.103904721585</v>
      </c>
      <c r="AK28" s="28" t="n">
        <f aca="false">(AK18-AK19)*Assumptions!$E$35+AK15*Assumptions!$E$36*IF(AK$3&lt;Assumptions!$E$7,0,1)</f>
        <v>740.445320507726</v>
      </c>
      <c r="AL28" s="28" t="n">
        <f aca="false">(AL18-AL19)*Assumptions!$E$35+AL15*Assumptions!$E$36*IF(AL$3&lt;Assumptions!$E$7,0,1)</f>
        <v>772.510425645455</v>
      </c>
      <c r="AM28" s="28" t="n">
        <f aca="false">(AM18-AM19)*Assumptions!$E$35+AM15*Assumptions!$E$36*IF(AM$3&lt;Assumptions!$E$7,0,1)</f>
        <v>806.424141034341</v>
      </c>
    </row>
    <row r="29" customFormat="false" ht="15" hidden="false" customHeight="false" outlineLevel="0" collapsed="false">
      <c r="A29" s="29" t="s">
        <v>339</v>
      </c>
      <c r="B29" s="8" t="s">
        <v>293</v>
      </c>
      <c r="D29" s="30" t="n">
        <f aca="false">D28</f>
        <v>0</v>
      </c>
      <c r="E29" s="30" t="n">
        <f aca="false">D29*(1-Assumptions!$E$42)+E28</f>
        <v>0</v>
      </c>
      <c r="F29" s="30" t="n">
        <f aca="false">E29*(1-Assumptions!$E$42)+F28</f>
        <v>0</v>
      </c>
      <c r="G29" s="30" t="n">
        <f aca="false">F29*(1-Assumptions!$E$42)+G28</f>
        <v>0</v>
      </c>
      <c r="H29" s="30" t="n">
        <f aca="false">G29*(1-Assumptions!$E$42)+H28</f>
        <v>157.4519681014</v>
      </c>
      <c r="I29" s="30" t="n">
        <f aca="false">H29*(1-Assumptions!$E$42)+I28</f>
        <v>306.948295245842</v>
      </c>
      <c r="J29" s="30" t="n">
        <f aca="false">I29*(1-Assumptions!$E$42)+J28</f>
        <v>449.100552832365</v>
      </c>
      <c r="K29" s="30" t="n">
        <f aca="false">J29*(1-Assumptions!$E$42)+K28</f>
        <v>1179.70183214512</v>
      </c>
      <c r="L29" s="30" t="n">
        <f aca="false">K29*(1-Assumptions!$E$42)+L28</f>
        <v>1505.02754989846</v>
      </c>
      <c r="M29" s="30" t="n">
        <f aca="false">L29*(1-Assumptions!$E$42)+M28</f>
        <v>1816.73363929071</v>
      </c>
      <c r="N29" s="30" t="n">
        <f aca="false">M29*(1-Assumptions!$E$42)+N28</f>
        <v>2115.66547726605</v>
      </c>
      <c r="O29" s="30" t="n">
        <f aca="false">N29*(1-Assumptions!$E$42)+O28</f>
        <v>2402.61501611458</v>
      </c>
      <c r="P29" s="30" t="n">
        <f aca="false">O29*(1-Assumptions!$E$42)+P28</f>
        <v>2678.32371763618</v>
      </c>
      <c r="Q29" s="30" t="n">
        <f aca="false">P29*(1-Assumptions!$E$42)+Q28</f>
        <v>2943.48527490205</v>
      </c>
      <c r="R29" s="30" t="n">
        <f aca="false">Q29*(1-Assumptions!$E$42)+R28</f>
        <v>3198.74812904881</v>
      </c>
      <c r="S29" s="30" t="n">
        <f aca="false">R29*(1-Assumptions!$E$42)+S28</f>
        <v>3444.71778738367</v>
      </c>
      <c r="T29" s="30" t="n">
        <f aca="false">S29*(1-Assumptions!$E$42)+T28</f>
        <v>3681.95894790499</v>
      </c>
      <c r="U29" s="30" t="n">
        <f aca="false">T29*(1-Assumptions!$E$42)+U28</f>
        <v>3910.99743414173</v>
      </c>
      <c r="V29" s="30" t="n">
        <f aca="false">U29*(1-Assumptions!$E$42)+V28</f>
        <v>4132.32194297858</v>
      </c>
      <c r="W29" s="30" t="n">
        <f aca="false">V29*(1-Assumptions!$E$42)+W28</f>
        <v>4346.38560685083</v>
      </c>
      <c r="X29" s="30" t="n">
        <f aca="false">W29*(1-Assumptions!$E$42)+X28</f>
        <v>4553.60737035315</v>
      </c>
      <c r="Y29" s="30" t="n">
        <f aca="false">X29*(1-Assumptions!$E$42)+Y28</f>
        <v>4754.3731798978</v>
      </c>
      <c r="Z29" s="30" t="n">
        <f aca="false">Y29*(1-Assumptions!$E$42)+Z28</f>
        <v>4949.0369835683</v>
      </c>
      <c r="AA29" s="30" t="n">
        <f aca="false">Z29*(1-Assumptions!$E$42)+AA28</f>
        <v>5150.23661987588</v>
      </c>
      <c r="AB29" s="30" t="n">
        <f aca="false">AA29*(1-Assumptions!$E$42)+AB28</f>
        <v>5358.47001744015</v>
      </c>
      <c r="AC29" s="30" t="n">
        <f aca="false">AB29*(1-Assumptions!$E$42)+AC28</f>
        <v>5574.26285630855</v>
      </c>
      <c r="AD29" s="30" t="n">
        <f aca="false">AC29*(1-Assumptions!$E$42)+AD28</f>
        <v>5798.17141491595</v>
      </c>
      <c r="AE29" s="30" t="n">
        <f aca="false">AD29*(1-Assumptions!$E$42)+AE28</f>
        <v>6030.78563207877</v>
      </c>
      <c r="AF29" s="30" t="n">
        <f aca="false">AE29*(1-Assumptions!$E$42)+AF28</f>
        <v>6272.73240524135</v>
      </c>
      <c r="AG29" s="30" t="n">
        <f aca="false">AF29*(1-Assumptions!$E$42)+AG28</f>
        <v>6524.67914797169</v>
      </c>
      <c r="AH29" s="30" t="n">
        <f aca="false">AG29*(1-Assumptions!$E$42)+AH28</f>
        <v>6787.33763165069</v>
      </c>
      <c r="AI29" s="30" t="n">
        <f aca="false">AH29*(1-Assumptions!$E$42)+AI28</f>
        <v>7061.4681384279</v>
      </c>
      <c r="AJ29" s="30" t="n">
        <f aca="false">AI29*(1-Assumptions!$E$42)+AJ28</f>
        <v>7347.88395484381</v>
      </c>
      <c r="AK29" s="30" t="n">
        <f aca="false">AJ29*(1-Assumptions!$E$42)+AK28</f>
        <v>7647.45623806091</v>
      </c>
      <c r="AL29" s="30" t="n">
        <f aca="false">AK29*(1-Assumptions!$E$42)+AL28</f>
        <v>7961.11928942271</v>
      </c>
      <c r="AM29" s="30" t="n">
        <f aca="false">AL29*(1-Assumptions!$E$42)+AM28</f>
        <v>8289.87627309169</v>
      </c>
    </row>
    <row r="30" customFormat="false" ht="15" hidden="false" customHeight="false" outlineLevel="0" collapsed="false">
      <c r="A30" s="8" t="s">
        <v>340</v>
      </c>
      <c r="B30" s="8" t="s">
        <v>293</v>
      </c>
      <c r="C30" s="28" t="n">
        <f aca="false">SUM(D30:AM30)</f>
        <v>7802.50824310794</v>
      </c>
      <c r="D30" s="28" t="n">
        <f aca="false">0</f>
        <v>0</v>
      </c>
      <c r="E30" s="28" t="n">
        <f aca="false">D29*Assumptions!$E$42</f>
        <v>0</v>
      </c>
      <c r="F30" s="28" t="n">
        <f aca="false">E29*Assumptions!$E$42</f>
        <v>0</v>
      </c>
      <c r="G30" s="28" t="n">
        <f aca="false">F29*Assumptions!$E$42</f>
        <v>0</v>
      </c>
      <c r="H30" s="28" t="n">
        <f aca="false">G29*Assumptions!$E$42</f>
        <v>0</v>
      </c>
      <c r="I30" s="28" t="n">
        <f aca="false">H29*Assumptions!$E$42</f>
        <v>9.447118086084</v>
      </c>
      <c r="J30" s="28" t="n">
        <f aca="false">I29*Assumptions!$E$42</f>
        <v>18.4168977147505</v>
      </c>
      <c r="K30" s="28" t="n">
        <f aca="false">J29*Assumptions!$E$42</f>
        <v>26.9460331699419</v>
      </c>
      <c r="L30" s="28" t="n">
        <f aca="false">K29*Assumptions!$E$42</f>
        <v>70.7821099287073</v>
      </c>
      <c r="M30" s="28" t="n">
        <f aca="false">L29*Assumptions!$E$42</f>
        <v>90.3016529939074</v>
      </c>
      <c r="N30" s="28" t="n">
        <f aca="false">M29*Assumptions!$E$42</f>
        <v>109.004018357442</v>
      </c>
      <c r="O30" s="28" t="n">
        <f aca="false">N29*Assumptions!$E$42</f>
        <v>126.939928635963</v>
      </c>
      <c r="P30" s="28" t="n">
        <f aca="false">O29*Assumptions!$E$42</f>
        <v>144.156900966875</v>
      </c>
      <c r="Q30" s="28" t="n">
        <f aca="false">P29*Assumptions!$E$42</f>
        <v>160.699423058171</v>
      </c>
      <c r="R30" s="28" t="n">
        <f aca="false">Q29*Assumptions!$E$42</f>
        <v>176.609116494123</v>
      </c>
      <c r="S30" s="28" t="n">
        <f aca="false">R29*Assumptions!$E$42</f>
        <v>191.924887742929</v>
      </c>
      <c r="T30" s="28" t="n">
        <f aca="false">S29*Assumptions!$E$42</f>
        <v>206.68306724302</v>
      </c>
      <c r="U30" s="28" t="n">
        <f aca="false">T29*Assumptions!$E$42</f>
        <v>220.917536874299</v>
      </c>
      <c r="V30" s="28" t="n">
        <f aca="false">U29*Assumptions!$E$42</f>
        <v>234.659846048504</v>
      </c>
      <c r="W30" s="28" t="n">
        <f aca="false">V29*Assumptions!$E$42</f>
        <v>247.939316578715</v>
      </c>
      <c r="X30" s="28" t="n">
        <f aca="false">W29*Assumptions!$E$42</f>
        <v>260.78313641105</v>
      </c>
      <c r="Y30" s="28" t="n">
        <f aca="false">X29*Assumptions!$E$42</f>
        <v>273.216442221189</v>
      </c>
      <c r="Z30" s="28" t="n">
        <f aca="false">Y29*Assumptions!$E$42</f>
        <v>285.262390793868</v>
      </c>
      <c r="AA30" s="28" t="n">
        <f aca="false">Z29*Assumptions!$E$42</f>
        <v>296.942219014098</v>
      </c>
      <c r="AB30" s="28" t="n">
        <f aca="false">AA29*Assumptions!$E$42</f>
        <v>309.014197192553</v>
      </c>
      <c r="AC30" s="28" t="n">
        <f aca="false">AB29*Assumptions!$E$42</f>
        <v>321.508201046409</v>
      </c>
      <c r="AD30" s="28" t="n">
        <f aca="false">AC29*Assumptions!$E$42</f>
        <v>334.455771378513</v>
      </c>
      <c r="AE30" s="28" t="n">
        <f aca="false">AD29*Assumptions!$E$42</f>
        <v>347.890284894957</v>
      </c>
      <c r="AF30" s="28" t="n">
        <f aca="false">AE29*Assumptions!$E$42</f>
        <v>361.847137924726</v>
      </c>
      <c r="AG30" s="28" t="n">
        <f aca="false">AF29*Assumptions!$E$42</f>
        <v>376.363944314481</v>
      </c>
      <c r="AH30" s="28" t="n">
        <f aca="false">AG29*Assumptions!$E$42</f>
        <v>391.480748878301</v>
      </c>
      <c r="AI30" s="28" t="n">
        <f aca="false">AH29*Assumptions!$E$42</f>
        <v>407.240257899041</v>
      </c>
      <c r="AJ30" s="28" t="n">
        <f aca="false">AI29*Assumptions!$E$42</f>
        <v>423.688088305674</v>
      </c>
      <c r="AK30" s="28" t="n">
        <f aca="false">AJ29*Assumptions!$E$42</f>
        <v>440.873037290629</v>
      </c>
      <c r="AL30" s="28" t="n">
        <f aca="false">AK29*Assumptions!$E$42</f>
        <v>458.847374283655</v>
      </c>
      <c r="AM30" s="28" t="n">
        <f aca="false">AL29*Assumptions!$E$42</f>
        <v>477.667157365363</v>
      </c>
    </row>
    <row r="31" customFormat="false" ht="15" hidden="false" customHeight="false" outlineLevel="0" collapsed="false">
      <c r="A31" s="8" t="s">
        <v>341</v>
      </c>
      <c r="B31" s="8" t="s">
        <v>293</v>
      </c>
      <c r="C31" s="28" t="n">
        <f aca="false">SUM(D31:AM31)</f>
        <v>43645.4072195997</v>
      </c>
      <c r="D31" s="28" t="n">
        <f aca="false">D15*Assumptions!$E$37*IF(D$3&lt;Assumptions!$E$7,0,1)</f>
        <v>0</v>
      </c>
      <c r="E31" s="28" t="n">
        <f aca="false">E15*Assumptions!$E$37*IF(E$3&lt;Assumptions!$E$7,0,1)</f>
        <v>0</v>
      </c>
      <c r="F31" s="28" t="n">
        <f aca="false">F15*Assumptions!$E$37*IF(F$3&lt;Assumptions!$E$7,0,1)</f>
        <v>0</v>
      </c>
      <c r="G31" s="28" t="n">
        <f aca="false">G15*Assumptions!$E$37*IF(G$3&lt;Assumptions!$E$7,0,1)</f>
        <v>0</v>
      </c>
      <c r="H31" s="28" t="n">
        <f aca="false">H15*Assumptions!$E$37*IF(H$3&lt;Assumptions!$E$7,0,1)</f>
        <v>301.760586225</v>
      </c>
      <c r="I31" s="28" t="n">
        <f aca="false">I15*Assumptions!$E$37*IF(I$3&lt;Assumptions!$E$7,0,1)</f>
        <v>304.61903898525</v>
      </c>
      <c r="J31" s="28" t="n">
        <f aca="false">J15*Assumptions!$E$37*IF(J$3&lt;Assumptions!$E$7,0,1)</f>
        <v>307.734752493923</v>
      </c>
      <c r="K31" s="28" t="n">
        <f aca="false">K15*Assumptions!$E$37*IF(K$3&lt;Assumptions!$E$7,0,1)</f>
        <v>1626.41360027297</v>
      </c>
      <c r="L31" s="28" t="n">
        <f aca="false">L15*Assumptions!$E$37*IF(L$3&lt;Assumptions!$E$7,0,1)</f>
        <v>866.040824297537</v>
      </c>
      <c r="M31" s="28" t="n">
        <f aca="false">M15*Assumptions!$E$37*IF(M$3&lt;Assumptions!$E$7,0,1)</f>
        <v>895.384498484315</v>
      </c>
      <c r="N31" s="28" t="n">
        <f aca="false">N15*Assumptions!$E$37*IF(N$3&lt;Assumptions!$E$7,0,1)</f>
        <v>925.911103347903</v>
      </c>
      <c r="O31" s="28" t="n">
        <f aca="false">O15*Assumptions!$E$37*IF(O$3&lt;Assumptions!$E$7,0,1)</f>
        <v>957.683362649215</v>
      </c>
      <c r="P31" s="28" t="n">
        <f aca="false">P15*Assumptions!$E$37*IF(P$3&lt;Assumptions!$E$7,0,1)</f>
        <v>990.768333087644</v>
      </c>
      <c r="Q31" s="28" t="n">
        <f aca="false">Q15*Assumptions!$E$37*IF(Q$3&lt;Assumptions!$E$7,0,1)</f>
        <v>1025.23775489953</v>
      </c>
      <c r="R31" s="28" t="n">
        <f aca="false">R15*Assumptions!$E$37*IF(R$3&lt;Assumptions!$E$7,0,1)</f>
        <v>1061.16843282951</v>
      </c>
      <c r="S31" s="28" t="n">
        <f aca="false">S15*Assumptions!$E$37*IF(S$3&lt;Assumptions!$E$7,0,1)</f>
        <v>1098.64265017286</v>
      </c>
      <c r="T31" s="28" t="n">
        <f aca="false">T15*Assumptions!$E$37*IF(T$3&lt;Assumptions!$E$7,0,1)</f>
        <v>1137.74861882876</v>
      </c>
      <c r="U31" s="28" t="n">
        <f aca="false">U15*Assumptions!$E$37*IF(U$3&lt;Assumptions!$E$7,0,1)</f>
        <v>1178.58096856792</v>
      </c>
      <c r="V31" s="28" t="n">
        <f aca="false">V15*Assumptions!$E$37*IF(V$3&lt;Assumptions!$E$7,0,1)</f>
        <v>1221.24127900493</v>
      </c>
      <c r="W31" s="28" t="n">
        <f aca="false">W15*Assumptions!$E$37*IF(W$3&lt;Assumptions!$E$7,0,1)</f>
        <v>1265.83865807925</v>
      </c>
      <c r="X31" s="28" t="n">
        <f aca="false">X15*Assumptions!$E$37*IF(X$3&lt;Assumptions!$E$7,0,1)</f>
        <v>1312.49037118917</v>
      </c>
      <c r="Y31" s="28" t="n">
        <f aca="false">Y15*Assumptions!$E$37*IF(Y$3&lt;Assumptions!$E$7,0,1)</f>
        <v>1361.32252549547</v>
      </c>
      <c r="Z31" s="28" t="n">
        <f aca="false">Z15*Assumptions!$E$37*IF(Z$3&lt;Assumptions!$E$7,0,1)</f>
        <v>1412.47081431632</v>
      </c>
      <c r="AA31" s="28" t="n">
        <f aca="false">AA15*Assumptions!$E$37*IF(AA$3&lt;Assumptions!$E$7,0,1)</f>
        <v>1466.08132697683</v>
      </c>
      <c r="AB31" s="28" t="n">
        <f aca="false">AB15*Assumptions!$E$37*IF(AB$3&lt;Assumptions!$E$7,0,1)</f>
        <v>1522.31142995795</v>
      </c>
      <c r="AC31" s="28" t="n">
        <f aca="false">AC15*Assumptions!$E$37*IF(AC$3&lt;Assumptions!$E$7,0,1)</f>
        <v>1581.33072571396</v>
      </c>
      <c r="AD31" s="28" t="n">
        <f aca="false">AD15*Assumptions!$E$37*IF(AD$3&lt;Assumptions!$E$7,0,1)</f>
        <v>1643.32209609981</v>
      </c>
      <c r="AE31" s="28" t="n">
        <f aca="false">AE15*Assumptions!$E$37*IF(AE$3&lt;Assumptions!$E$7,0,1)</f>
        <v>1708.48283797253</v>
      </c>
      <c r="AF31" s="28" t="n">
        <f aca="false">AF15*Assumptions!$E$37*IF(AF$3&lt;Assumptions!$E$7,0,1)</f>
        <v>1777.02589921051</v>
      </c>
      <c r="AG31" s="28" t="n">
        <f aca="false">AG15*Assumptions!$E$37*IF(AG$3&lt;Assumptions!$E$7,0,1)</f>
        <v>1849.18122413452</v>
      </c>
      <c r="AH31" s="28" t="n">
        <f aca="false">AH15*Assumptions!$E$37*IF(AH$3&lt;Assumptions!$E$7,0,1)</f>
        <v>1925.19721812155</v>
      </c>
      <c r="AI31" s="28" t="n">
        <f aca="false">AI15*Assumptions!$E$37*IF(AI$3&lt;Assumptions!$E$7,0,1)</f>
        <v>2005.34234208186</v>
      </c>
      <c r="AJ31" s="28" t="n">
        <f aca="false">AJ15*Assumptions!$E$37*IF(AJ$3&lt;Assumptions!$E$7,0,1)</f>
        <v>2089.90684842847</v>
      </c>
      <c r="AK31" s="28" t="n">
        <f aca="false">AK15*Assumptions!$E$37*IF(AK$3&lt;Assumptions!$E$7,0,1)</f>
        <v>2179.20467121306</v>
      </c>
      <c r="AL31" s="28" t="n">
        <f aca="false">AL15*Assumptions!$E$37*IF(AL$3&lt;Assumptions!$E$7,0,1)</f>
        <v>2273.57548424104</v>
      </c>
      <c r="AM31" s="28" t="n">
        <f aca="false">AM15*Assumptions!$E$37*IF(AM$3&lt;Assumptions!$E$7,0,1)</f>
        <v>2373.3869422201</v>
      </c>
    </row>
    <row r="32" customFormat="false" ht="15" hidden="false" customHeight="false" outlineLevel="0" collapsed="false">
      <c r="A32" s="8" t="s">
        <v>342</v>
      </c>
      <c r="B32" s="8" t="s">
        <v>293</v>
      </c>
      <c r="D32" s="28" t="n">
        <f aca="false">D31</f>
        <v>0</v>
      </c>
      <c r="E32" s="28" t="n">
        <f aca="false">D32+E31</f>
        <v>0</v>
      </c>
      <c r="F32" s="28" t="n">
        <f aca="false">E32+F31</f>
        <v>0</v>
      </c>
      <c r="G32" s="28" t="n">
        <f aca="false">F32+G31</f>
        <v>0</v>
      </c>
      <c r="H32" s="28" t="n">
        <f aca="false">G32+H31</f>
        <v>301.760586225</v>
      </c>
      <c r="I32" s="28" t="n">
        <f aca="false">H32+I31</f>
        <v>606.37962521025</v>
      </c>
      <c r="J32" s="28" t="n">
        <f aca="false">I32+J31</f>
        <v>914.114377704173</v>
      </c>
      <c r="K32" s="28" t="n">
        <f aca="false">J32+K31</f>
        <v>2540.52797797714</v>
      </c>
      <c r="L32" s="28" t="n">
        <f aca="false">K32+L31</f>
        <v>3406.56880227468</v>
      </c>
      <c r="M32" s="28" t="n">
        <f aca="false">L32+M31</f>
        <v>4301.95330075899</v>
      </c>
      <c r="N32" s="28" t="n">
        <f aca="false">M32+N31</f>
        <v>5227.8644041069</v>
      </c>
      <c r="O32" s="28" t="n">
        <f aca="false">N32+O31</f>
        <v>6185.54776675611</v>
      </c>
      <c r="P32" s="28" t="n">
        <f aca="false">O32+P31</f>
        <v>7176.31609984375</v>
      </c>
      <c r="Q32" s="28" t="n">
        <f aca="false">P32+Q31</f>
        <v>8201.55385474329</v>
      </c>
      <c r="R32" s="28" t="n">
        <f aca="false">Q32+R31</f>
        <v>9262.7222875728</v>
      </c>
      <c r="S32" s="28" t="n">
        <f aca="false">R32+S31</f>
        <v>10361.3649377457</v>
      </c>
      <c r="T32" s="28" t="n">
        <f aca="false">S32+T31</f>
        <v>11499.1135565744</v>
      </c>
      <c r="U32" s="28" t="n">
        <f aca="false">T32+U31</f>
        <v>12677.6945251423</v>
      </c>
      <c r="V32" s="28" t="n">
        <f aca="false">U32+V31</f>
        <v>13898.9358041473</v>
      </c>
      <c r="W32" s="28" t="n">
        <f aca="false">V32+W31</f>
        <v>15164.7744622265</v>
      </c>
      <c r="X32" s="28" t="n">
        <f aca="false">W32+X31</f>
        <v>16477.2648334157</v>
      </c>
      <c r="Y32" s="28" t="n">
        <f aca="false">X32+Y31</f>
        <v>17838.5873589112</v>
      </c>
      <c r="Z32" s="28" t="n">
        <f aca="false">Y32+Z31</f>
        <v>19251.0581732275</v>
      </c>
      <c r="AA32" s="28" t="n">
        <f aca="false">Z32+AA31</f>
        <v>20717.1395002043</v>
      </c>
      <c r="AB32" s="28" t="n">
        <f aca="false">AA32+AB31</f>
        <v>22239.4509301622</v>
      </c>
      <c r="AC32" s="28" t="n">
        <f aca="false">AB32+AC31</f>
        <v>23820.7816558762</v>
      </c>
      <c r="AD32" s="28" t="n">
        <f aca="false">AC32+AD31</f>
        <v>25464.103751976</v>
      </c>
      <c r="AE32" s="28" t="n">
        <f aca="false">AD32+AE31</f>
        <v>27172.5865899485</v>
      </c>
      <c r="AF32" s="28" t="n">
        <f aca="false">AE32+AF31</f>
        <v>28949.612489159</v>
      </c>
      <c r="AG32" s="28" t="n">
        <f aca="false">AF32+AG31</f>
        <v>30798.7937132936</v>
      </c>
      <c r="AH32" s="28" t="n">
        <f aca="false">AG32+AH31</f>
        <v>32723.9909314151</v>
      </c>
      <c r="AI32" s="28" t="n">
        <f aca="false">AH32+AI31</f>
        <v>34729.333273497</v>
      </c>
      <c r="AJ32" s="28" t="n">
        <f aca="false">AI32+AJ31</f>
        <v>36819.2401219255</v>
      </c>
      <c r="AK32" s="28" t="n">
        <f aca="false">AJ32+AK31</f>
        <v>38998.4447931385</v>
      </c>
      <c r="AL32" s="28" t="n">
        <f aca="false">AK32+AL31</f>
        <v>41272.0202773795</v>
      </c>
      <c r="AM32" s="28" t="n">
        <f aca="false">AL32+AM31</f>
        <v>43645.4072195997</v>
      </c>
    </row>
    <row r="33" customFormat="false" ht="15" hidden="false" customHeight="false" outlineLevel="0" collapsed="false">
      <c r="A33" s="8" t="s">
        <v>343</v>
      </c>
      <c r="B33" s="8" t="s">
        <v>293</v>
      </c>
      <c r="C33" s="28" t="n">
        <f aca="false">SUM(D33:AM33)</f>
        <v>79349.9401143809</v>
      </c>
      <c r="D33" s="28" t="n">
        <f aca="false">0</f>
        <v>0</v>
      </c>
      <c r="E33" s="28" t="n">
        <f aca="false">D32*Assumptions!$E$39</f>
        <v>0</v>
      </c>
      <c r="F33" s="28" t="n">
        <f aca="false">E32*Assumptions!$E$39</f>
        <v>0</v>
      </c>
      <c r="G33" s="28" t="n">
        <f aca="false">F32*Assumptions!$E$39</f>
        <v>0</v>
      </c>
      <c r="H33" s="28" t="n">
        <f aca="false">G32*Assumptions!$E$39</f>
        <v>0</v>
      </c>
      <c r="I33" s="28" t="n">
        <f aca="false">H32*Assumptions!$E$39</f>
        <v>45.26408793375</v>
      </c>
      <c r="J33" s="28" t="n">
        <f aca="false">I32*Assumptions!$E$39</f>
        <v>90.9569437815375</v>
      </c>
      <c r="K33" s="28" t="n">
        <f aca="false">J32*Assumptions!$E$39</f>
        <v>137.117156655626</v>
      </c>
      <c r="L33" s="28" t="n">
        <f aca="false">K32*Assumptions!$E$39</f>
        <v>381.079196696571</v>
      </c>
      <c r="M33" s="28" t="n">
        <f aca="false">L32*Assumptions!$E$39</f>
        <v>510.985320341202</v>
      </c>
      <c r="N33" s="28" t="n">
        <f aca="false">M32*Assumptions!$E$39</f>
        <v>645.292995113849</v>
      </c>
      <c r="O33" s="28" t="n">
        <f aca="false">N32*Assumptions!$E$39</f>
        <v>784.179660616034</v>
      </c>
      <c r="P33" s="28" t="n">
        <f aca="false">O32*Assumptions!$E$39</f>
        <v>927.832165013416</v>
      </c>
      <c r="Q33" s="28" t="n">
        <f aca="false">P32*Assumptions!$E$39</f>
        <v>1076.44741497656</v>
      </c>
      <c r="R33" s="28" t="n">
        <f aca="false">Q32*Assumptions!$E$39</f>
        <v>1230.23307821149</v>
      </c>
      <c r="S33" s="28" t="n">
        <f aca="false">R32*Assumptions!$E$39</f>
        <v>1389.40834313592</v>
      </c>
      <c r="T33" s="28" t="n">
        <f aca="false">S32*Assumptions!$E$39</f>
        <v>1554.20474066185</v>
      </c>
      <c r="U33" s="28" t="n">
        <f aca="false">T32*Assumptions!$E$39</f>
        <v>1724.86703348616</v>
      </c>
      <c r="V33" s="28" t="n">
        <f aca="false">U32*Assumptions!$E$39</f>
        <v>1901.65417877135</v>
      </c>
      <c r="W33" s="28" t="n">
        <f aca="false">V32*Assumptions!$E$39</f>
        <v>2084.84037062209</v>
      </c>
      <c r="X33" s="28" t="n">
        <f aca="false">W32*Assumptions!$E$39</f>
        <v>2274.71616933398</v>
      </c>
      <c r="Y33" s="28" t="n">
        <f aca="false">X32*Assumptions!$E$39</f>
        <v>2471.58972501235</v>
      </c>
      <c r="Z33" s="28" t="n">
        <f aca="false">Y32*Assumptions!$E$39</f>
        <v>2675.78810383667</v>
      </c>
      <c r="AA33" s="28" t="n">
        <f aca="false">Z32*Assumptions!$E$39</f>
        <v>2887.65872598412</v>
      </c>
      <c r="AB33" s="28" t="n">
        <f aca="false">AA32*Assumptions!$E$39</f>
        <v>3107.57092503064</v>
      </c>
      <c r="AC33" s="28" t="n">
        <f aca="false">AB32*Assumptions!$E$39</f>
        <v>3335.91763952434</v>
      </c>
      <c r="AD33" s="28" t="n">
        <f aca="false">AC32*Assumptions!$E$39</f>
        <v>3573.11724838143</v>
      </c>
      <c r="AE33" s="28" t="n">
        <f aca="false">AD32*Assumptions!$E$39</f>
        <v>3819.6155627964</v>
      </c>
      <c r="AF33" s="28" t="n">
        <f aca="false">AE32*Assumptions!$E$39</f>
        <v>4075.88798849228</v>
      </c>
      <c r="AG33" s="28" t="n">
        <f aca="false">AF32*Assumptions!$E$39</f>
        <v>4342.44187337386</v>
      </c>
      <c r="AH33" s="28" t="n">
        <f aca="false">AG32*Assumptions!$E$39</f>
        <v>4619.81905699404</v>
      </c>
      <c r="AI33" s="28" t="n">
        <f aca="false">AH32*Assumptions!$E$39</f>
        <v>4908.59863971227</v>
      </c>
      <c r="AJ33" s="28" t="n">
        <f aca="false">AI32*Assumptions!$E$39</f>
        <v>5209.39999102455</v>
      </c>
      <c r="AK33" s="28" t="n">
        <f aca="false">AJ32*Assumptions!$E$39</f>
        <v>5522.88601828882</v>
      </c>
      <c r="AL33" s="28" t="n">
        <f aca="false">AK32*Assumptions!$E$39</f>
        <v>5849.76671897078</v>
      </c>
      <c r="AM33" s="28" t="n">
        <f aca="false">AL32*Assumptions!$E$39</f>
        <v>6190.80304160693</v>
      </c>
    </row>
    <row r="34" customFormat="false" ht="15" hidden="false" customHeight="false" outlineLevel="0" collapsed="false">
      <c r="A34" s="8" t="s">
        <v>344</v>
      </c>
      <c r="B34" s="8" t="s">
        <v>293</v>
      </c>
      <c r="C34" s="28" t="n">
        <f aca="false">SUM(D34:AM34)</f>
        <v>122995.347333981</v>
      </c>
      <c r="D34" s="28" t="n">
        <f aca="false">D31+D33</f>
        <v>0</v>
      </c>
      <c r="E34" s="28" t="n">
        <f aca="false">E31+E33</f>
        <v>0</v>
      </c>
      <c r="F34" s="28" t="n">
        <f aca="false">F31+F33</f>
        <v>0</v>
      </c>
      <c r="G34" s="28" t="n">
        <f aca="false">G31+G33</f>
        <v>0</v>
      </c>
      <c r="H34" s="28" t="n">
        <f aca="false">H31+H33</f>
        <v>301.760586225</v>
      </c>
      <c r="I34" s="28" t="n">
        <f aca="false">I31+I33</f>
        <v>349.883126919</v>
      </c>
      <c r="J34" s="28" t="n">
        <f aca="false">J31+J33</f>
        <v>398.69169627546</v>
      </c>
      <c r="K34" s="28" t="n">
        <f aca="false">K31+K33</f>
        <v>1763.5307569286</v>
      </c>
      <c r="L34" s="28" t="n">
        <f aca="false">L31+L33</f>
        <v>1247.12002099411</v>
      </c>
      <c r="M34" s="28" t="n">
        <f aca="false">M31+M33</f>
        <v>1406.36981882552</v>
      </c>
      <c r="N34" s="28" t="n">
        <f aca="false">N31+N33</f>
        <v>1571.20409846175</v>
      </c>
      <c r="O34" s="28" t="n">
        <f aca="false">O31+O33</f>
        <v>1741.86302326525</v>
      </c>
      <c r="P34" s="28" t="n">
        <f aca="false">P31+P33</f>
        <v>1918.60049810106</v>
      </c>
      <c r="Q34" s="28" t="n">
        <f aca="false">Q31+Q33</f>
        <v>2101.68516987609</v>
      </c>
      <c r="R34" s="28" t="n">
        <f aca="false">R31+R33</f>
        <v>2291.401511041</v>
      </c>
      <c r="S34" s="28" t="n">
        <f aca="false">S31+S33</f>
        <v>2488.05099330878</v>
      </c>
      <c r="T34" s="28" t="n">
        <f aca="false">T31+T33</f>
        <v>2691.95335949061</v>
      </c>
      <c r="U34" s="28" t="n">
        <f aca="false">U31+U33</f>
        <v>2903.44800205408</v>
      </c>
      <c r="V34" s="28" t="n">
        <f aca="false">V31+V33</f>
        <v>3122.89545777628</v>
      </c>
      <c r="W34" s="28" t="n">
        <f aca="false">W31+W33</f>
        <v>3350.67902870134</v>
      </c>
      <c r="X34" s="28" t="n">
        <f aca="false">X31+X33</f>
        <v>3587.20654052315</v>
      </c>
      <c r="Y34" s="28" t="n">
        <f aca="false">Y31+Y33</f>
        <v>3832.91225050782</v>
      </c>
      <c r="Z34" s="28" t="n">
        <f aca="false">Z31+Z33</f>
        <v>4088.25891815299</v>
      </c>
      <c r="AA34" s="28" t="n">
        <f aca="false">AA31+AA33</f>
        <v>4353.74005296095</v>
      </c>
      <c r="AB34" s="28" t="n">
        <f aca="false">AB31+AB33</f>
        <v>4629.88235498859</v>
      </c>
      <c r="AC34" s="28" t="n">
        <f aca="false">AC31+AC33</f>
        <v>4917.24836523829</v>
      </c>
      <c r="AD34" s="28" t="n">
        <f aca="false">AD31+AD33</f>
        <v>5216.43934448124</v>
      </c>
      <c r="AE34" s="28" t="n">
        <f aca="false">AE31+AE33</f>
        <v>5528.09840076893</v>
      </c>
      <c r="AF34" s="28" t="n">
        <f aca="false">AF31+AF33</f>
        <v>5852.91388770279</v>
      </c>
      <c r="AG34" s="28" t="n">
        <f aca="false">AG31+AG33</f>
        <v>6191.62309750838</v>
      </c>
      <c r="AH34" s="28" t="n">
        <f aca="false">AH31+AH33</f>
        <v>6545.01627511559</v>
      </c>
      <c r="AI34" s="28" t="n">
        <f aca="false">AI31+AI33</f>
        <v>6913.94098179412</v>
      </c>
      <c r="AJ34" s="28" t="n">
        <f aca="false">AJ31+AJ33</f>
        <v>7299.30683945302</v>
      </c>
      <c r="AK34" s="28" t="n">
        <f aca="false">AK31+AK33</f>
        <v>7702.09068950187</v>
      </c>
      <c r="AL34" s="28" t="n">
        <f aca="false">AL31+AL33</f>
        <v>8123.34220321181</v>
      </c>
      <c r="AM34" s="28" t="n">
        <f aca="false">AM31+AM33</f>
        <v>8564.18998382703</v>
      </c>
    </row>
    <row r="35" customFormat="false" ht="15" hidden="false" customHeight="false" outlineLevel="0" collapsed="false">
      <c r="A35" s="5" t="s">
        <v>345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</row>
    <row r="36" customFormat="false" ht="15" hidden="false" customHeight="false" outlineLevel="0" collapsed="false">
      <c r="A36" s="8" t="s">
        <v>346</v>
      </c>
      <c r="B36" s="8" t="s">
        <v>50</v>
      </c>
      <c r="C36" s="27" t="n">
        <f aca="false">SUM(D36:AM36)</f>
        <v>43655096.4841967</v>
      </c>
      <c r="D36" s="27" t="n">
        <f aca="false">D24*Assumptions!$E$30</f>
        <v>0</v>
      </c>
      <c r="E36" s="27" t="n">
        <f aca="false">E24*Assumptions!$E$30</f>
        <v>0</v>
      </c>
      <c r="F36" s="27" t="n">
        <f aca="false">F24*Assumptions!$E$30</f>
        <v>0</v>
      </c>
      <c r="G36" s="27" t="n">
        <f aca="false">G24*Assumptions!$E$30</f>
        <v>0</v>
      </c>
      <c r="H36" s="27" t="n">
        <f aca="false">H24*Assumptions!$E$30</f>
        <v>14077.1122358925</v>
      </c>
      <c r="I36" s="27" t="n">
        <f aca="false">I24*Assumptions!$E$30</f>
        <v>26739.0887660671</v>
      </c>
      <c r="J36" s="27" t="n">
        <f aca="false">J24*Assumptions!$E$30</f>
        <v>38153.5957157735</v>
      </c>
      <c r="K36" s="27" t="n">
        <f aca="false">K24*Assumptions!$E$30</f>
        <v>185700.883080117</v>
      </c>
      <c r="L36" s="27" t="n">
        <f aca="false">L24*Assumptions!$E$30</f>
        <v>252135.397590394</v>
      </c>
      <c r="M36" s="27" t="n">
        <f aca="false">M24*Assumptions!$E$30</f>
        <v>320470.65319265</v>
      </c>
      <c r="N36" s="27" t="n">
        <f aca="false">N24*Assumptions!$E$30</f>
        <v>391043.432450309</v>
      </c>
      <c r="O36" s="27" t="n">
        <f aca="false">O24*Assumptions!$E$30</f>
        <v>464185.912237972</v>
      </c>
      <c r="P36" s="27" t="n">
        <f aca="false">P24*Assumptions!$E$30</f>
        <v>540228.481863958</v>
      </c>
      <c r="Q36" s="27" t="n">
        <f aca="false">Q24*Assumptions!$E$30</f>
        <v>619502.450228505</v>
      </c>
      <c r="R36" s="27" t="n">
        <f aca="false">R24*Assumptions!$E$30</f>
        <v>702342.673265065</v>
      </c>
      <c r="S36" s="27" t="n">
        <f aca="false">S24*Assumptions!$E$30</f>
        <v>789090.131365468</v>
      </c>
      <c r="T36" s="27" t="n">
        <f aca="false">T24*Assumptions!$E$30</f>
        <v>880094.485301947</v>
      </c>
      <c r="U36" s="27" t="n">
        <f aca="false">U24*Assumptions!$E$30</f>
        <v>975716.638309545</v>
      </c>
      <c r="V36" s="27" t="n">
        <f aca="false">V24*Assumptions!$E$30</f>
        <v>1076331.33146459</v>
      </c>
      <c r="W36" s="27" t="n">
        <f aca="false">W24*Assumptions!$E$30</f>
        <v>1182329.79927602</v>
      </c>
      <c r="X36" s="27" t="n">
        <f aca="false">X24*Assumptions!$E$30</f>
        <v>1294122.51248742</v>
      </c>
      <c r="Y36" s="27" t="n">
        <f aca="false">Y24*Assumptions!$E$30</f>
        <v>1412142.03546261</v>
      </c>
      <c r="Z36" s="27" t="n">
        <f aca="false">Z24*Assumptions!$E$30</f>
        <v>1536846.02619505</v>
      </c>
      <c r="AA36" s="27" t="n">
        <f aca="false">AA24*Assumptions!$E$30</f>
        <v>1658461.51778311</v>
      </c>
      <c r="AB36" s="27" t="n">
        <f aca="false">AB24*Assumptions!$E$30</f>
        <v>1777847.61095352</v>
      </c>
      <c r="AC36" s="27" t="n">
        <f aca="false">AC24*Assumptions!$E$30</f>
        <v>1895802.53111397</v>
      </c>
      <c r="AD36" s="27" t="n">
        <f aca="false">AD24*Assumptions!$E$30</f>
        <v>2013072.95744189</v>
      </c>
      <c r="AE36" s="27" t="n">
        <f aca="false">AE24*Assumptions!$E$30</f>
        <v>2130362.55092018</v>
      </c>
      <c r="AF36" s="27" t="n">
        <f aca="false">AF24*Assumptions!$E$30</f>
        <v>2248339.78934505</v>
      </c>
      <c r="AG36" s="27" t="n">
        <f aca="false">AG24*Assumptions!$E$30</f>
        <v>2367645.20722912</v>
      </c>
      <c r="AH36" s="27" t="n">
        <f aca="false">AH24*Assumptions!$E$30</f>
        <v>2488898.12969282</v>
      </c>
      <c r="AI36" s="27" t="n">
        <f aca="false">AI24*Assumptions!$E$30</f>
        <v>2612702.9817523</v>
      </c>
      <c r="AJ36" s="27" t="n">
        <f aca="false">AJ24*Assumptions!$E$30</f>
        <v>2739655.24776284</v>
      </c>
      <c r="AK36" s="27" t="n">
        <f aca="false">AK24*Assumptions!$E$30</f>
        <v>2870347.15006605</v>
      </c>
      <c r="AL36" s="27" t="n">
        <f aca="false">AL24*Assumptions!$E$30</f>
        <v>3005373.11103239</v>
      </c>
      <c r="AM36" s="27" t="n">
        <f aca="false">AM24*Assumptions!$E$30</f>
        <v>3145335.05861409</v>
      </c>
    </row>
    <row r="37" customFormat="false" ht="15" hidden="false" customHeight="false" outlineLevel="0" collapsed="false">
      <c r="A37" s="8" t="s">
        <v>347</v>
      </c>
      <c r="B37" s="8" t="s">
        <v>50</v>
      </c>
      <c r="C37" s="27" t="n">
        <f aca="false">SUM(D37:AM37)</f>
        <v>6607993.22617866</v>
      </c>
      <c r="D37" s="27" t="n">
        <f aca="false">D20*Assumptions!$E$31</f>
        <v>0</v>
      </c>
      <c r="E37" s="27" t="n">
        <f aca="false">E20*Assumptions!$E$31</f>
        <v>0</v>
      </c>
      <c r="F37" s="27" t="n">
        <f aca="false">F20*Assumptions!$E$31</f>
        <v>0</v>
      </c>
      <c r="G37" s="27" t="n">
        <f aca="false">G20*Assumptions!$E$31</f>
        <v>0</v>
      </c>
      <c r="H37" s="27" t="n">
        <f aca="false">H20*Assumptions!$E$31</f>
        <v>12237.3976400445</v>
      </c>
      <c r="I37" s="27" t="n">
        <f aca="false">I20*Assumptions!$E$31</f>
        <v>12353.3174276485</v>
      </c>
      <c r="J37" s="27" t="n">
        <f aca="false">J20*Assumptions!$E$31</f>
        <v>12479.6699961369</v>
      </c>
      <c r="K37" s="27" t="n">
        <f aca="false">K20*Assumptions!$E$31</f>
        <v>131912.985739473</v>
      </c>
      <c r="L37" s="27" t="n">
        <f aca="false">L20*Assumptions!$E$31</f>
        <v>75509.8107902275</v>
      </c>
      <c r="M37" s="27" t="n">
        <f aca="false">M20*Assumptions!$E$31</f>
        <v>83514.899865628</v>
      </c>
      <c r="N37" s="27" t="n">
        <f aca="false">N20*Assumptions!$E$31</f>
        <v>91994.5149471998</v>
      </c>
      <c r="O37" s="27" t="n">
        <f aca="false">O20*Assumptions!$E$31</f>
        <v>100976.856846583</v>
      </c>
      <c r="P37" s="27" t="n">
        <f aca="false">P20*Assumptions!$E$31</f>
        <v>110492.135786489</v>
      </c>
      <c r="Q37" s="27" t="n">
        <f aca="false">Q20*Assumptions!$E$31</f>
        <v>120572.744419041</v>
      </c>
      <c r="R37" s="27" t="n">
        <f aca="false">R20*Assumptions!$E$31</f>
        <v>131253.447397005</v>
      </c>
      <c r="S37" s="27" t="n">
        <f aca="false">S20*Assumptions!$E$31</f>
        <v>142571.589141365</v>
      </c>
      <c r="T37" s="27" t="n">
        <f aca="false">T20*Assumptions!$E$31</f>
        <v>154567.321612823</v>
      </c>
      <c r="U37" s="27" t="n">
        <f aca="false">U20*Assumptions!$E$31</f>
        <v>167283.854075301</v>
      </c>
      <c r="V37" s="27" t="n">
        <f aca="false">V20*Assumptions!$E$31</f>
        <v>180767.727037883</v>
      </c>
      <c r="W37" s="27" t="n">
        <f aca="false">W20*Assumptions!$E$31</f>
        <v>195069.112779767</v>
      </c>
      <c r="X37" s="27" t="n">
        <f aca="false">X20*Assumptions!$E$31</f>
        <v>210242.145102518</v>
      </c>
      <c r="Y37" s="27" t="n">
        <f aca="false">Y20*Assumptions!$E$31</f>
        <v>226345.281217431</v>
      </c>
      <c r="Z37" s="27" t="n">
        <f aca="false">Z20*Assumptions!$E$31</f>
        <v>243441.698965441</v>
      </c>
      <c r="AA37" s="27" t="n">
        <f aca="false">AA20*Assumptions!$E$31</f>
        <v>252681.560173335</v>
      </c>
      <c r="AB37" s="27" t="n">
        <f aca="false">AB20*Assumptions!$E$31</f>
        <v>262372.912138968</v>
      </c>
      <c r="AC37" s="27" t="n">
        <f aca="false">AC20*Assumptions!$E$31</f>
        <v>272544.98612801</v>
      </c>
      <c r="AD37" s="27" t="n">
        <f aca="false">AD20*Assumptions!$E$31</f>
        <v>283229.302132962</v>
      </c>
      <c r="AE37" s="27" t="n">
        <f aca="false">AE20*Assumptions!$E$31</f>
        <v>294459.864595962</v>
      </c>
      <c r="AF37" s="27" t="n">
        <f aca="false">AF20*Assumptions!$E$31</f>
        <v>306273.375438764</v>
      </c>
      <c r="AG37" s="27" t="n">
        <f aca="false">AG20*Assumptions!$E$31</f>
        <v>318709.465948292</v>
      </c>
      <c r="AH37" s="27" t="n">
        <f aca="false">AH20*Assumptions!$E$31</f>
        <v>331810.949205279</v>
      </c>
      <c r="AI37" s="27" t="n">
        <f aca="false">AI20*Assumptions!$E$31</f>
        <v>345624.094895045</v>
      </c>
      <c r="AJ37" s="27" t="n">
        <f aca="false">AJ20*Assumptions!$E$31</f>
        <v>360198.928504728</v>
      </c>
      <c r="AK37" s="27" t="n">
        <f aca="false">AK20*Assumptions!$E$31</f>
        <v>375589.557091356</v>
      </c>
      <c r="AL37" s="27" t="n">
        <f aca="false">AL20*Assumptions!$E$31</f>
        <v>391854.524001417</v>
      </c>
      <c r="AM37" s="27" t="n">
        <f aca="false">AM20*Assumptions!$E$31</f>
        <v>409057.195136538</v>
      </c>
    </row>
    <row r="38" customFormat="false" ht="15" hidden="false" customHeight="false" outlineLevel="0" collapsed="false">
      <c r="A38" s="8" t="s">
        <v>348</v>
      </c>
      <c r="B38" s="8" t="s">
        <v>50</v>
      </c>
      <c r="C38" s="27" t="n">
        <f aca="false">SUM(D38:AM38)</f>
        <v>4976906.29060292</v>
      </c>
      <c r="D38" s="27" t="n">
        <f aca="false">D26*Assumptions!$E$33</f>
        <v>0</v>
      </c>
      <c r="E38" s="27" t="n">
        <f aca="false">E26*Assumptions!$E$33</f>
        <v>0</v>
      </c>
      <c r="F38" s="27" t="n">
        <f aca="false">F26*Assumptions!$E$33</f>
        <v>0</v>
      </c>
      <c r="G38" s="27" t="n">
        <f aca="false">G26*Assumptions!$E$33</f>
        <v>0</v>
      </c>
      <c r="H38" s="27" t="n">
        <f aca="false">H26*Assumptions!$E$33</f>
        <v>9216.77417193225</v>
      </c>
      <c r="I38" s="27" t="n">
        <f aca="false">I26*Assumptions!$E$33</f>
        <v>9304.08084740615</v>
      </c>
      <c r="J38" s="27" t="n">
        <f aca="false">J26*Assumptions!$E$33</f>
        <v>9399.24512367271</v>
      </c>
      <c r="K38" s="27" t="n">
        <f aca="false">K26*Assumptions!$E$33</f>
        <v>99352.1854620081</v>
      </c>
      <c r="L38" s="27" t="n">
        <f aca="false">L26*Assumptions!$E$33</f>
        <v>56871.313190108</v>
      </c>
      <c r="M38" s="27" t="n">
        <f aca="false">M26*Assumptions!$E$33</f>
        <v>62900.4625570236</v>
      </c>
      <c r="N38" s="27" t="n">
        <f aca="false">N26*Assumptions!$E$33</f>
        <v>69287.0080931442</v>
      </c>
      <c r="O38" s="27" t="n">
        <f aca="false">O26*Assumptions!$E$33</f>
        <v>76052.1896502746</v>
      </c>
      <c r="P38" s="27" t="n">
        <f aca="false">P26*Assumptions!$E$33</f>
        <v>83218.7604974191</v>
      </c>
      <c r="Q38" s="27" t="n">
        <f aca="false">Q26*Assumptions!$E$33</f>
        <v>90811.1176320627</v>
      </c>
      <c r="R38" s="27" t="n">
        <f aca="false">R26*Assumptions!$E$33</f>
        <v>98855.4445585041</v>
      </c>
      <c r="S38" s="27" t="n">
        <f aca="false">S26*Assumptions!$E$33</f>
        <v>107379.867771028</v>
      </c>
      <c r="T38" s="27" t="n">
        <f aca="false">T26*Assumptions!$E$33</f>
        <v>116414.628303329</v>
      </c>
      <c r="U38" s="27" t="n">
        <f aca="false">U26*Assumptions!$E$33</f>
        <v>125992.269841524</v>
      </c>
      <c r="V38" s="27" t="n">
        <f aca="false">V26*Assumptions!$E$33</f>
        <v>136147.845047519</v>
      </c>
      <c r="W38" s="27" t="n">
        <f aca="false">W26*Assumptions!$E$33</f>
        <v>146919.141903748</v>
      </c>
      <c r="X38" s="27" t="n">
        <f aca="false">X26*Assumptions!$E$33</f>
        <v>158346.932070884</v>
      </c>
      <c r="Y38" s="27" t="n">
        <f aca="false">Y26*Assumptions!$E$33</f>
        <v>170475.243448572</v>
      </c>
      <c r="Z38" s="27" t="n">
        <f aca="false">Z26*Assumptions!$E$33</f>
        <v>183351.659347389</v>
      </c>
      <c r="AA38" s="27" t="n">
        <f aca="false">AA26*Assumptions!$E$33</f>
        <v>190310.795320423</v>
      </c>
      <c r="AB38" s="27" t="n">
        <f aca="false">AB26*Assumptions!$E$33</f>
        <v>197609.978129983</v>
      </c>
      <c r="AC38" s="27" t="n">
        <f aca="false">AC26*Assumptions!$E$33</f>
        <v>205271.223729324</v>
      </c>
      <c r="AD38" s="27" t="n">
        <f aca="false">AD26*Assumptions!$E$33</f>
        <v>213318.271859636</v>
      </c>
      <c r="AE38" s="27" t="n">
        <f aca="false">AE26*Assumptions!$E$33</f>
        <v>221776.733461516</v>
      </c>
      <c r="AF38" s="27" t="n">
        <f aca="false">AF26*Assumptions!$E$33</f>
        <v>230674.251121601</v>
      </c>
      <c r="AG38" s="27" t="n">
        <f aca="false">AG26*Assumptions!$E$33</f>
        <v>240040.673720549</v>
      </c>
      <c r="AH38" s="27" t="n">
        <f aca="false">AH26*Assumptions!$E$33</f>
        <v>249908.246553343</v>
      </c>
      <c r="AI38" s="27" t="n">
        <f aca="false">AI26*Assumptions!$E$33</f>
        <v>260311.818307027</v>
      </c>
      <c r="AJ38" s="27" t="n">
        <f aca="false">AJ26*Assumptions!$E$33</f>
        <v>271289.066405459</v>
      </c>
      <c r="AK38" s="27" t="n">
        <f aca="false">AK26*Assumptions!$E$33</f>
        <v>282880.742366274</v>
      </c>
      <c r="AL38" s="27" t="n">
        <f aca="false">AL26*Assumptions!$E$33</f>
        <v>295130.938963092</v>
      </c>
      <c r="AM38" s="27" t="n">
        <f aca="false">AM26*Assumptions!$E$33</f>
        <v>308087.381147139</v>
      </c>
    </row>
    <row r="39" customFormat="false" ht="15" hidden="false" customHeight="false" outlineLevel="0" collapsed="false">
      <c r="A39" s="8" t="s">
        <v>349</v>
      </c>
      <c r="B39" s="8" t="s">
        <v>50</v>
      </c>
      <c r="C39" s="27" t="n">
        <f aca="false">SUM(D39:AM39)</f>
        <v>4011618.72942183</v>
      </c>
      <c r="D39" s="27" t="n">
        <f aca="false">D29*Assumptions!$E$34</f>
        <v>0</v>
      </c>
      <c r="E39" s="27" t="n">
        <f aca="false">E29*Assumptions!$E$34</f>
        <v>0</v>
      </c>
      <c r="F39" s="27" t="n">
        <f aca="false">F29*Assumptions!$E$34</f>
        <v>0</v>
      </c>
      <c r="G39" s="27" t="n">
        <f aca="false">G29*Assumptions!$E$34</f>
        <v>0</v>
      </c>
      <c r="H39" s="27" t="n">
        <f aca="false">H29*Assumptions!$E$34</f>
        <v>4566.1070749406</v>
      </c>
      <c r="I39" s="27" t="n">
        <f aca="false">I29*Assumptions!$E$34</f>
        <v>8901.50056212942</v>
      </c>
      <c r="J39" s="27" t="n">
        <f aca="false">J29*Assumptions!$E$34</f>
        <v>13023.9160321386</v>
      </c>
      <c r="K39" s="27" t="n">
        <f aca="false">K29*Assumptions!$E$34</f>
        <v>34211.3531322085</v>
      </c>
      <c r="L39" s="27" t="n">
        <f aca="false">L29*Assumptions!$E$34</f>
        <v>43645.7989470552</v>
      </c>
      <c r="M39" s="27" t="n">
        <f aca="false">M29*Assumptions!$E$34</f>
        <v>52685.2755394305</v>
      </c>
      <c r="N39" s="27" t="n">
        <f aca="false">N29*Assumptions!$E$34</f>
        <v>61354.2988407156</v>
      </c>
      <c r="O39" s="27" t="n">
        <f aca="false">O29*Assumptions!$E$34</f>
        <v>69675.8354673227</v>
      </c>
      <c r="P39" s="27" t="n">
        <f aca="false">P29*Assumptions!$E$34</f>
        <v>77671.3878114492</v>
      </c>
      <c r="Q39" s="27" t="n">
        <f aca="false">Q29*Assumptions!$E$34</f>
        <v>85361.0729721595</v>
      </c>
      <c r="R39" s="27" t="n">
        <f aca="false">R29*Assumptions!$E$34</f>
        <v>92763.6957424155</v>
      </c>
      <c r="S39" s="27" t="n">
        <f aca="false">S29*Assumptions!$E$34</f>
        <v>99896.8158341264</v>
      </c>
      <c r="T39" s="27" t="n">
        <f aca="false">T29*Assumptions!$E$34</f>
        <v>106776.809489245</v>
      </c>
      <c r="U39" s="27" t="n">
        <f aca="false">U29*Assumptions!$E$34</f>
        <v>113418.92559011</v>
      </c>
      <c r="V39" s="27" t="n">
        <f aca="false">V29*Assumptions!$E$34</f>
        <v>119837.336346379</v>
      </c>
      <c r="W39" s="27" t="n">
        <f aca="false">W29*Assumptions!$E$34</f>
        <v>126045.182598674</v>
      </c>
      <c r="X39" s="27" t="n">
        <f aca="false">X29*Assumptions!$E$34</f>
        <v>132054.613740241</v>
      </c>
      <c r="Y39" s="27" t="n">
        <f aca="false">Y29*Assumptions!$E$34</f>
        <v>137876.822217036</v>
      </c>
      <c r="Z39" s="27" t="n">
        <f aca="false">Z29*Assumptions!$E$34</f>
        <v>143522.072523481</v>
      </c>
      <c r="AA39" s="27" t="n">
        <f aca="false">AA29*Assumptions!$E$34</f>
        <v>149356.861976401</v>
      </c>
      <c r="AB39" s="27" t="n">
        <f aca="false">AB29*Assumptions!$E$34</f>
        <v>155395.630505764</v>
      </c>
      <c r="AC39" s="27" t="n">
        <f aca="false">AC29*Assumptions!$E$34</f>
        <v>161653.622832948</v>
      </c>
      <c r="AD39" s="27" t="n">
        <f aca="false">AD29*Assumptions!$E$34</f>
        <v>168146.971032563</v>
      </c>
      <c r="AE39" s="27" t="n">
        <f aca="false">AE29*Assumptions!$E$34</f>
        <v>174892.783330284</v>
      </c>
      <c r="AF39" s="27" t="n">
        <f aca="false">AF29*Assumptions!$E$34</f>
        <v>181909.239751999</v>
      </c>
      <c r="AG39" s="27" t="n">
        <f aca="false">AG29*Assumptions!$E$34</f>
        <v>189215.695291179</v>
      </c>
      <c r="AH39" s="27" t="n">
        <f aca="false">AH29*Assumptions!$E$34</f>
        <v>196832.79131787</v>
      </c>
      <c r="AI39" s="27" t="n">
        <f aca="false">AI29*Assumptions!$E$34</f>
        <v>204782.576014409</v>
      </c>
      <c r="AJ39" s="27" t="n">
        <f aca="false">AJ29*Assumptions!$E$34</f>
        <v>213088.634690471</v>
      </c>
      <c r="AK39" s="27" t="n">
        <f aca="false">AK29*Assumptions!$E$34</f>
        <v>221776.230903766</v>
      </c>
      <c r="AL39" s="27" t="n">
        <f aca="false">AL29*Assumptions!$E$34</f>
        <v>230872.459393259</v>
      </c>
      <c r="AM39" s="27" t="n">
        <f aca="false">AM29*Assumptions!$E$34</f>
        <v>240406.411919659</v>
      </c>
    </row>
    <row r="40" customFormat="false" ht="15" hidden="false" customHeight="false" outlineLevel="0" collapsed="false">
      <c r="A40" s="8" t="s">
        <v>350</v>
      </c>
      <c r="B40" s="8" t="s">
        <v>50</v>
      </c>
      <c r="C40" s="27" t="n">
        <f aca="false">SUM(D40:AM40)</f>
        <v>9224651.05004854</v>
      </c>
      <c r="D40" s="27" t="n">
        <f aca="false">D34*Assumptions!$E$38</f>
        <v>0</v>
      </c>
      <c r="E40" s="27" t="n">
        <f aca="false">E34*Assumptions!$E$38</f>
        <v>0</v>
      </c>
      <c r="F40" s="27" t="n">
        <f aca="false">F34*Assumptions!$E$38</f>
        <v>0</v>
      </c>
      <c r="G40" s="27" t="n">
        <f aca="false">G34*Assumptions!$E$38</f>
        <v>0</v>
      </c>
      <c r="H40" s="27" t="n">
        <f aca="false">H34*Assumptions!$E$38</f>
        <v>22632.043966875</v>
      </c>
      <c r="I40" s="27" t="n">
        <f aca="false">I34*Assumptions!$E$38</f>
        <v>26241.234518925</v>
      </c>
      <c r="J40" s="27" t="n">
        <f aca="false">J34*Assumptions!$E$38</f>
        <v>29901.8772206595</v>
      </c>
      <c r="K40" s="27" t="n">
        <f aca="false">K34*Assumptions!$E$38</f>
        <v>132264.806769645</v>
      </c>
      <c r="L40" s="27" t="n">
        <f aca="false">L34*Assumptions!$E$38</f>
        <v>93534.0015745581</v>
      </c>
      <c r="M40" s="27" t="n">
        <f aca="false">M34*Assumptions!$E$38</f>
        <v>105477.736411914</v>
      </c>
      <c r="N40" s="27" t="n">
        <f aca="false">N34*Assumptions!$E$38</f>
        <v>117840.307384631</v>
      </c>
      <c r="O40" s="27" t="n">
        <f aca="false">O34*Assumptions!$E$38</f>
        <v>130639.726744894</v>
      </c>
      <c r="P40" s="27" t="n">
        <f aca="false">P34*Assumptions!$E$38</f>
        <v>143895.03735758</v>
      </c>
      <c r="Q40" s="27" t="n">
        <f aca="false">Q34*Assumptions!$E$38</f>
        <v>157626.387740707</v>
      </c>
      <c r="R40" s="27" t="n">
        <f aca="false">R34*Assumptions!$E$38</f>
        <v>171855.113328075</v>
      </c>
      <c r="S40" s="27" t="n">
        <f aca="false">S34*Assumptions!$E$38</f>
        <v>186603.824498158</v>
      </c>
      <c r="T40" s="27" t="n">
        <f aca="false">T34*Assumptions!$E$38</f>
        <v>201896.501961796</v>
      </c>
      <c r="U40" s="27" t="n">
        <f aca="false">U34*Assumptions!$E$38</f>
        <v>217758.600154056</v>
      </c>
      <c r="V40" s="27" t="n">
        <f aca="false">V34*Assumptions!$E$38</f>
        <v>234217.159333221</v>
      </c>
      <c r="W40" s="27" t="n">
        <f aca="false">W34*Assumptions!$E$38</f>
        <v>251300.9271526</v>
      </c>
      <c r="X40" s="27" t="n">
        <f aca="false">X34*Assumptions!$E$38</f>
        <v>269040.490539236</v>
      </c>
      <c r="Y40" s="27" t="n">
        <f aca="false">Y34*Assumptions!$E$38</f>
        <v>287468.418788087</v>
      </c>
      <c r="Z40" s="27" t="n">
        <f aca="false">Z34*Assumptions!$E$38</f>
        <v>306619.418861474</v>
      </c>
      <c r="AA40" s="27" t="n">
        <f aca="false">AA34*Assumptions!$E$38</f>
        <v>326530.503972071</v>
      </c>
      <c r="AB40" s="27" t="n">
        <f aca="false">AB34*Assumptions!$E$38</f>
        <v>347241.176624144</v>
      </c>
      <c r="AC40" s="27" t="n">
        <f aca="false">AC34*Assumptions!$E$38</f>
        <v>368793.627392872</v>
      </c>
      <c r="AD40" s="27" t="n">
        <f aca="false">AD34*Assumptions!$E$38</f>
        <v>391232.950836093</v>
      </c>
      <c r="AE40" s="27" t="n">
        <f aca="false">AE34*Assumptions!$E$38</f>
        <v>414607.38005767</v>
      </c>
      <c r="AF40" s="27" t="n">
        <f aca="false">AF34*Assumptions!$E$38</f>
        <v>438968.541577709</v>
      </c>
      <c r="AG40" s="27" t="n">
        <f aca="false">AG34*Assumptions!$E$38</f>
        <v>464371.732313129</v>
      </c>
      <c r="AH40" s="27" t="n">
        <f aca="false">AH34*Assumptions!$E$38</f>
        <v>490876.220633669</v>
      </c>
      <c r="AI40" s="27" t="n">
        <f aca="false">AI34*Assumptions!$E$38</f>
        <v>518545.573634559</v>
      </c>
      <c r="AJ40" s="27" t="n">
        <f aca="false">AJ34*Assumptions!$E$38</f>
        <v>547448.012958976</v>
      </c>
      <c r="AK40" s="27" t="n">
        <f aca="false">AK34*Assumptions!$E$38</f>
        <v>577656.801712641</v>
      </c>
      <c r="AL40" s="27" t="n">
        <f aca="false">AL34*Assumptions!$E$38</f>
        <v>609250.665240886</v>
      </c>
      <c r="AM40" s="27" t="n">
        <f aca="false">AM34*Assumptions!$E$38</f>
        <v>642314.248787027</v>
      </c>
    </row>
    <row r="41" customFormat="false" ht="15" hidden="false" customHeight="false" outlineLevel="0" collapsed="false">
      <c r="A41" s="29" t="s">
        <v>351</v>
      </c>
      <c r="B41" s="8" t="s">
        <v>50</v>
      </c>
      <c r="C41" s="31" t="n">
        <f aca="false">SUM(D41:AM41)</f>
        <v>68476265.7804486</v>
      </c>
      <c r="D41" s="31" t="n">
        <f aca="false">D36+D37+D38+D39+D40</f>
        <v>0</v>
      </c>
      <c r="E41" s="31" t="n">
        <f aca="false">E36+E37+E38+E39+E40</f>
        <v>0</v>
      </c>
      <c r="F41" s="31" t="n">
        <f aca="false">F36+F37+F38+F39+F40</f>
        <v>0</v>
      </c>
      <c r="G41" s="31" t="n">
        <f aca="false">G36+G37+G38+G39+G40</f>
        <v>0</v>
      </c>
      <c r="H41" s="31" t="n">
        <f aca="false">H36+H37+H38+H39+H40</f>
        <v>62729.4350896848</v>
      </c>
      <c r="I41" s="31" t="n">
        <f aca="false">I36+I37+I38+I39+I40</f>
        <v>83539.2221221761</v>
      </c>
      <c r="J41" s="31" t="n">
        <f aca="false">J36+J37+J38+J39+J40</f>
        <v>102958.304088381</v>
      </c>
      <c r="K41" s="31" t="n">
        <f aca="false">K36+K37+K38+K39+K40</f>
        <v>583442.214183452</v>
      </c>
      <c r="L41" s="31" t="n">
        <f aca="false">L36+L37+L38+L39+L40</f>
        <v>521696.322092343</v>
      </c>
      <c r="M41" s="31" t="n">
        <f aca="false">M36+M37+M38+M39+M40</f>
        <v>625049.027566646</v>
      </c>
      <c r="N41" s="31" t="n">
        <f aca="false">N36+N37+N38+N39+N40</f>
        <v>731519.561716</v>
      </c>
      <c r="O41" s="31" t="n">
        <f aca="false">O36+O37+O38+O39+O40</f>
        <v>841530.520947046</v>
      </c>
      <c r="P41" s="31" t="n">
        <f aca="false">P36+P37+P38+P39+P40</f>
        <v>955505.803316895</v>
      </c>
      <c r="Q41" s="31" t="n">
        <f aca="false">Q36+Q37+Q38+Q39+Q40</f>
        <v>1073873.77299248</v>
      </c>
      <c r="R41" s="31" t="n">
        <f aca="false">R36+R37+R38+R39+R40</f>
        <v>1197070.37429107</v>
      </c>
      <c r="S41" s="31" t="n">
        <f aca="false">S36+S37+S38+S39+S40</f>
        <v>1325542.22861015</v>
      </c>
      <c r="T41" s="31" t="n">
        <f aca="false">T36+T37+T38+T39+T40</f>
        <v>1459749.74666914</v>
      </c>
      <c r="U41" s="31" t="n">
        <f aca="false">U36+U37+U38+U39+U40</f>
        <v>1600170.28797054</v>
      </c>
      <c r="V41" s="31" t="n">
        <f aca="false">V36+V37+V38+V39+V40</f>
        <v>1747301.39922959</v>
      </c>
      <c r="W41" s="31" t="n">
        <f aca="false">W36+W37+W38+W39+W40</f>
        <v>1901664.16371081</v>
      </c>
      <c r="X41" s="31" t="n">
        <f aca="false">X36+X37+X38+X39+X40</f>
        <v>2063806.69394029</v>
      </c>
      <c r="Y41" s="31" t="n">
        <f aca="false">Y36+Y37+Y38+Y39+Y40</f>
        <v>2234307.80113374</v>
      </c>
      <c r="Z41" s="31" t="n">
        <f aca="false">Z36+Z37+Z38+Z39+Z40</f>
        <v>2413780.87589284</v>
      </c>
      <c r="AA41" s="31" t="n">
        <f aca="false">AA36+AA37+AA38+AA39+AA40</f>
        <v>2577341.23922534</v>
      </c>
      <c r="AB41" s="31" t="n">
        <f aca="false">AB36+AB37+AB38+AB39+AB40</f>
        <v>2740467.30835237</v>
      </c>
      <c r="AC41" s="31" t="n">
        <f aca="false">AC36+AC37+AC38+AC39+AC40</f>
        <v>2904065.99119713</v>
      </c>
      <c r="AD41" s="31" t="n">
        <f aca="false">AD36+AD37+AD38+AD39+AD40</f>
        <v>3069000.45330315</v>
      </c>
      <c r="AE41" s="31" t="n">
        <f aca="false">AE36+AE37+AE38+AE39+AE40</f>
        <v>3236099.31236562</v>
      </c>
      <c r="AF41" s="31" t="n">
        <f aca="false">AF36+AF37+AF38+AF39+AF40</f>
        <v>3406165.19723512</v>
      </c>
      <c r="AG41" s="31" t="n">
        <f aca="false">AG36+AG37+AG38+AG39+AG40</f>
        <v>3579982.77450227</v>
      </c>
      <c r="AH41" s="31" t="n">
        <f aca="false">AH36+AH37+AH38+AH39+AH40</f>
        <v>3758326.33740298</v>
      </c>
      <c r="AI41" s="31" t="n">
        <f aca="false">AI36+AI37+AI38+AI39+AI40</f>
        <v>3941967.04460334</v>
      </c>
      <c r="AJ41" s="31" t="n">
        <f aca="false">AJ36+AJ37+AJ38+AJ39+AJ40</f>
        <v>4131679.89032247</v>
      </c>
      <c r="AK41" s="31" t="n">
        <f aca="false">AK36+AK37+AK38+AK39+AK40</f>
        <v>4328250.48214009</v>
      </c>
      <c r="AL41" s="31" t="n">
        <f aca="false">AL36+AL37+AL38+AL39+AL40</f>
        <v>4532481.69863104</v>
      </c>
      <c r="AM41" s="31" t="n">
        <f aca="false">AM36+AM37+AM38+AM39+AM40</f>
        <v>4745200.29560445</v>
      </c>
    </row>
    <row r="42" customFormat="false" ht="15" hidden="false" customHeight="false" outlineLevel="0" collapsed="false">
      <c r="A42" s="8" t="s">
        <v>352</v>
      </c>
      <c r="B42" s="8" t="s">
        <v>50</v>
      </c>
      <c r="C42" s="27" t="n">
        <f aca="false">SUM(D42:AM42)</f>
        <v>-2396669.3023157</v>
      </c>
      <c r="D42" s="27" t="n">
        <f aca="false">-D41*Assumptions!$E$50</f>
        <v>-0</v>
      </c>
      <c r="E42" s="27" t="n">
        <f aca="false">-E41*Assumptions!$E$50</f>
        <v>-0</v>
      </c>
      <c r="F42" s="27" t="n">
        <f aca="false">-F41*Assumptions!$E$50</f>
        <v>-0</v>
      </c>
      <c r="G42" s="27" t="n">
        <f aca="false">-G41*Assumptions!$E$50</f>
        <v>-0</v>
      </c>
      <c r="H42" s="27" t="n">
        <f aca="false">-H41*Assumptions!$E$50</f>
        <v>-2195.53022813897</v>
      </c>
      <c r="I42" s="27" t="n">
        <f aca="false">-I41*Assumptions!$E$50</f>
        <v>-2923.87277427617</v>
      </c>
      <c r="J42" s="27" t="n">
        <f aca="false">-J41*Assumptions!$E$50</f>
        <v>-3603.54064309334</v>
      </c>
      <c r="K42" s="27" t="n">
        <f aca="false">-K41*Assumptions!$E$50</f>
        <v>-20420.4774964208</v>
      </c>
      <c r="L42" s="27" t="n">
        <f aca="false">-L41*Assumptions!$E$50</f>
        <v>-18259.371273232</v>
      </c>
      <c r="M42" s="27" t="n">
        <f aca="false">-M41*Assumptions!$E$50</f>
        <v>-21876.7159648326</v>
      </c>
      <c r="N42" s="27" t="n">
        <f aca="false">-N41*Assumptions!$E$50</f>
        <v>-25603.18466006</v>
      </c>
      <c r="O42" s="27" t="n">
        <f aca="false">-O41*Assumptions!$E$50</f>
        <v>-29453.5682331466</v>
      </c>
      <c r="P42" s="27" t="n">
        <f aca="false">-P41*Assumptions!$E$50</f>
        <v>-33442.7031160913</v>
      </c>
      <c r="Q42" s="27" t="n">
        <f aca="false">-Q41*Assumptions!$E$50</f>
        <v>-37585.5820547366</v>
      </c>
      <c r="R42" s="27" t="n">
        <f aca="false">-R41*Assumptions!$E$50</f>
        <v>-41897.4631001873</v>
      </c>
      <c r="S42" s="27" t="n">
        <f aca="false">-S41*Assumptions!$E$50</f>
        <v>-46393.9780013551</v>
      </c>
      <c r="T42" s="27" t="n">
        <f aca="false">-T41*Assumptions!$E$50</f>
        <v>-51091.2411334199</v>
      </c>
      <c r="U42" s="27" t="n">
        <f aca="false">-U41*Assumptions!$E$50</f>
        <v>-56005.9600789688</v>
      </c>
      <c r="V42" s="27" t="n">
        <f aca="false">-V41*Assumptions!$E$50</f>
        <v>-61155.5489730356</v>
      </c>
      <c r="W42" s="27" t="n">
        <f aca="false">-W41*Assumptions!$E$50</f>
        <v>-66558.2457298783</v>
      </c>
      <c r="X42" s="27" t="n">
        <f aca="false">-X41*Assumptions!$E$50</f>
        <v>-72233.2342879103</v>
      </c>
      <c r="Y42" s="27" t="n">
        <f aca="false">-Y41*Assumptions!$E$50</f>
        <v>-78200.7730396807</v>
      </c>
      <c r="Z42" s="27" t="n">
        <f aca="false">-Z41*Assumptions!$E$50</f>
        <v>-84482.3306562492</v>
      </c>
      <c r="AA42" s="27" t="n">
        <f aca="false">-AA41*Assumptions!$E$50</f>
        <v>-90206.943372887</v>
      </c>
      <c r="AB42" s="27" t="n">
        <f aca="false">-AB41*Assumptions!$E$50</f>
        <v>-95916.3557923331</v>
      </c>
      <c r="AC42" s="27" t="n">
        <f aca="false">-AC41*Assumptions!$E$50</f>
        <v>-101642.309691899</v>
      </c>
      <c r="AD42" s="27" t="n">
        <f aca="false">-AD41*Assumptions!$E$50</f>
        <v>-107415.01586561</v>
      </c>
      <c r="AE42" s="27" t="n">
        <f aca="false">-AE41*Assumptions!$E$50</f>
        <v>-113263.475932797</v>
      </c>
      <c r="AF42" s="27" t="n">
        <f aca="false">-AF41*Assumptions!$E$50</f>
        <v>-119215.781903229</v>
      </c>
      <c r="AG42" s="27" t="n">
        <f aca="false">-AG41*Assumptions!$E$50</f>
        <v>-125299.397107579</v>
      </c>
      <c r="AH42" s="27" t="n">
        <f aca="false">-AH41*Assumptions!$E$50</f>
        <v>-131541.421809104</v>
      </c>
      <c r="AI42" s="27" t="n">
        <f aca="false">-AI41*Assumptions!$E$50</f>
        <v>-137968.846561117</v>
      </c>
      <c r="AJ42" s="27" t="n">
        <f aca="false">-AJ41*Assumptions!$E$50</f>
        <v>-144608.796161287</v>
      </c>
      <c r="AK42" s="27" t="n">
        <f aca="false">-AK41*Assumptions!$E$50</f>
        <v>-151488.766874903</v>
      </c>
      <c r="AL42" s="27" t="n">
        <f aca="false">-AL41*Assumptions!$E$50</f>
        <v>-158636.859452086</v>
      </c>
      <c r="AM42" s="27" t="n">
        <f aca="false">-AM41*Assumptions!$E$50</f>
        <v>-166082.010346156</v>
      </c>
    </row>
    <row r="43" customFormat="false" ht="15" hidden="false" customHeight="false" outlineLevel="0" collapsed="false">
      <c r="A43" s="29" t="s">
        <v>353</v>
      </c>
      <c r="B43" s="8" t="s">
        <v>50</v>
      </c>
      <c r="C43" s="31" t="n">
        <f aca="false">SUM(D43:AM43)</f>
        <v>66079596.4781329</v>
      </c>
      <c r="D43" s="31" t="n">
        <f aca="false">D41+D42</f>
        <v>0</v>
      </c>
      <c r="E43" s="31" t="n">
        <f aca="false">E41+E42</f>
        <v>0</v>
      </c>
      <c r="F43" s="31" t="n">
        <f aca="false">F41+F42</f>
        <v>0</v>
      </c>
      <c r="G43" s="31" t="n">
        <f aca="false">G41+G42</f>
        <v>0</v>
      </c>
      <c r="H43" s="31" t="n">
        <f aca="false">H41+H42</f>
        <v>60533.9048615458</v>
      </c>
      <c r="I43" s="31" t="n">
        <f aca="false">I41+I42</f>
        <v>80615.3493479</v>
      </c>
      <c r="J43" s="31" t="n">
        <f aca="false">J41+J42</f>
        <v>99354.7634452878</v>
      </c>
      <c r="K43" s="31" t="n">
        <f aca="false">K41+K42</f>
        <v>563021.736687031</v>
      </c>
      <c r="L43" s="31" t="n">
        <f aca="false">L41+L42</f>
        <v>503436.950819111</v>
      </c>
      <c r="M43" s="31" t="n">
        <f aca="false">M41+M42</f>
        <v>603172.311601813</v>
      </c>
      <c r="N43" s="31" t="n">
        <f aca="false">N41+N42</f>
        <v>705916.37705594</v>
      </c>
      <c r="O43" s="31" t="n">
        <f aca="false">O41+O42</f>
        <v>812076.952713899</v>
      </c>
      <c r="P43" s="31" t="n">
        <f aca="false">P41+P42</f>
        <v>922063.100200804</v>
      </c>
      <c r="Q43" s="31" t="n">
        <f aca="false">Q41+Q42</f>
        <v>1036288.19093774</v>
      </c>
      <c r="R43" s="31" t="n">
        <f aca="false">R41+R42</f>
        <v>1155172.91119088</v>
      </c>
      <c r="S43" s="31" t="n">
        <f aca="false">S41+S42</f>
        <v>1279148.25060879</v>
      </c>
      <c r="T43" s="31" t="n">
        <f aca="false">T41+T42</f>
        <v>1408658.50553572</v>
      </c>
      <c r="U43" s="31" t="n">
        <f aca="false">U41+U42</f>
        <v>1544164.32789157</v>
      </c>
      <c r="V43" s="31" t="n">
        <f aca="false">V41+V42</f>
        <v>1686145.85025655</v>
      </c>
      <c r="W43" s="31" t="n">
        <f aca="false">W41+W42</f>
        <v>1835105.91798093</v>
      </c>
      <c r="X43" s="31" t="n">
        <f aca="false">X41+X42</f>
        <v>1991573.45965238</v>
      </c>
      <c r="Y43" s="31" t="n">
        <f aca="false">Y41+Y42</f>
        <v>2156107.02809405</v>
      </c>
      <c r="Z43" s="31" t="n">
        <f aca="false">Z41+Z42</f>
        <v>2329298.54523659</v>
      </c>
      <c r="AA43" s="31" t="n">
        <f aca="false">AA41+AA42</f>
        <v>2487134.29585246</v>
      </c>
      <c r="AB43" s="31" t="n">
        <f aca="false">AB41+AB42</f>
        <v>2644550.95256004</v>
      </c>
      <c r="AC43" s="31" t="n">
        <f aca="false">AC41+AC42</f>
        <v>2802423.68150523</v>
      </c>
      <c r="AD43" s="31" t="n">
        <f aca="false">AD41+AD42</f>
        <v>2961585.43743754</v>
      </c>
      <c r="AE43" s="31" t="n">
        <f aca="false">AE41+AE42</f>
        <v>3122835.83643282</v>
      </c>
      <c r="AF43" s="31" t="n">
        <f aca="false">AF41+AF42</f>
        <v>3286949.41533189</v>
      </c>
      <c r="AG43" s="31" t="n">
        <f aca="false">AG41+AG42</f>
        <v>3454683.37739469</v>
      </c>
      <c r="AH43" s="31" t="n">
        <f aca="false">AH41+AH42</f>
        <v>3626784.91559388</v>
      </c>
      <c r="AI43" s="31" t="n">
        <f aca="false">AI41+AI42</f>
        <v>3803998.19804223</v>
      </c>
      <c r="AJ43" s="31" t="n">
        <f aca="false">AJ41+AJ42</f>
        <v>3987071.09416119</v>
      </c>
      <c r="AK43" s="31" t="n">
        <f aca="false">AK41+AK42</f>
        <v>4176761.71526518</v>
      </c>
      <c r="AL43" s="31" t="n">
        <f aca="false">AL41+AL42</f>
        <v>4373844.83917895</v>
      </c>
      <c r="AM43" s="31" t="n">
        <f aca="false">AM41+AM42</f>
        <v>4579118.28525829</v>
      </c>
    </row>
    <row r="44" customFormat="false" ht="15" hidden="false" customHeight="false" outlineLevel="0" collapsed="false">
      <c r="A44" s="5" t="s">
        <v>149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</row>
    <row r="45" customFormat="false" ht="15" hidden="false" customHeight="false" outlineLevel="0" collapsed="false">
      <c r="A45" s="8" t="s">
        <v>354</v>
      </c>
      <c r="B45" s="8" t="s">
        <v>50</v>
      </c>
      <c r="C45" s="27" t="n">
        <f aca="false">SUM(D45:AM45)</f>
        <v>-15080851.5127225</v>
      </c>
      <c r="D45" s="27" t="n">
        <f aca="false">-D24*Assumptions!$E$44</f>
        <v>-0</v>
      </c>
      <c r="E45" s="27" t="n">
        <f aca="false">-E24*Assumptions!$E$44</f>
        <v>-0</v>
      </c>
      <c r="F45" s="27" t="n">
        <f aca="false">-F24*Assumptions!$E$44</f>
        <v>-0</v>
      </c>
      <c r="G45" s="27" t="n">
        <f aca="false">-G24*Assumptions!$E$44</f>
        <v>-0</v>
      </c>
      <c r="H45" s="27" t="n">
        <f aca="false">-H24*Assumptions!$E$44</f>
        <v>-4863.00240876285</v>
      </c>
      <c r="I45" s="27" t="n">
        <f aca="false">-I24*Assumptions!$E$44</f>
        <v>-9237.13975555044</v>
      </c>
      <c r="J45" s="27" t="n">
        <f aca="false">-J24*Assumptions!$E$44</f>
        <v>-13180.333065449</v>
      </c>
      <c r="K45" s="27" t="n">
        <f aca="false">-K24*Assumptions!$E$44</f>
        <v>-64151.2141549496</v>
      </c>
      <c r="L45" s="27" t="n">
        <f aca="false">-L24*Assumptions!$E$44</f>
        <v>-87101.3191675907</v>
      </c>
      <c r="M45" s="27" t="n">
        <f aca="false">-M24*Assumptions!$E$44</f>
        <v>-110708.043830188</v>
      </c>
      <c r="N45" s="27" t="n">
        <f aca="false">-N24*Assumptions!$E$44</f>
        <v>-135087.731210107</v>
      </c>
      <c r="O45" s="27" t="n">
        <f aca="false">-O24*Assumptions!$E$44</f>
        <v>-160355.133318572</v>
      </c>
      <c r="P45" s="27" t="n">
        <f aca="false">-P24*Assumptions!$E$44</f>
        <v>-186624.384643913</v>
      </c>
      <c r="Q45" s="27" t="n">
        <f aca="false">-Q24*Assumptions!$E$44</f>
        <v>-214009.937351665</v>
      </c>
      <c r="R45" s="27" t="n">
        <f aca="false">-R24*Assumptions!$E$44</f>
        <v>-242627.468946113</v>
      </c>
      <c r="S45" s="27" t="n">
        <f aca="false">-S24*Assumptions!$E$44</f>
        <v>-272594.772653525</v>
      </c>
      <c r="T45" s="27" t="n">
        <f aca="false">-T24*Assumptions!$E$44</f>
        <v>-304032.640377036</v>
      </c>
      <c r="U45" s="27" t="n">
        <f aca="false">-U24*Assumptions!$E$44</f>
        <v>-337065.747779661</v>
      </c>
      <c r="V45" s="27" t="n">
        <f aca="false">-V24*Assumptions!$E$44</f>
        <v>-371823.550869584</v>
      </c>
      <c r="W45" s="27" t="n">
        <f aca="false">-W24*Assumptions!$E$44</f>
        <v>-408441.203386261</v>
      </c>
      <c r="X45" s="27" t="n">
        <f aca="false">-X24*Assumptions!$E$44</f>
        <v>-447060.504313835</v>
      </c>
      <c r="Y45" s="27" t="n">
        <f aca="false">-Y24*Assumptions!$E$44</f>
        <v>-487830.884977992</v>
      </c>
      <c r="Z45" s="27" t="n">
        <f aca="false">-Z24*Assumptions!$E$44</f>
        <v>-530910.445412835</v>
      </c>
      <c r="AA45" s="27" t="n">
        <f aca="false">-AA24*Assumptions!$E$44</f>
        <v>-572923.069779621</v>
      </c>
      <c r="AB45" s="27" t="n">
        <f aca="false">-AB24*Assumptions!$E$44</f>
        <v>-614165.538329396</v>
      </c>
      <c r="AC45" s="27" t="n">
        <f aca="false">-AC24*Assumptions!$E$44</f>
        <v>-654913.601657554</v>
      </c>
      <c r="AD45" s="27" t="n">
        <f aca="false">-AD24*Assumptions!$E$44</f>
        <v>-695425.203479927</v>
      </c>
      <c r="AE45" s="27" t="n">
        <f aca="false">-AE24*Assumptions!$E$44</f>
        <v>-735943.426681518</v>
      </c>
      <c r="AF45" s="27" t="n">
        <f aca="false">-AF24*Assumptions!$E$44</f>
        <v>-776699.199955562</v>
      </c>
      <c r="AG45" s="27" t="n">
        <f aca="false">-AG24*Assumptions!$E$44</f>
        <v>-817913.798860968</v>
      </c>
      <c r="AH45" s="27" t="n">
        <f aca="false">-AH24*Assumptions!$E$44</f>
        <v>-859801.172075702</v>
      </c>
      <c r="AI45" s="27" t="n">
        <f aca="false">-AI24*Assumptions!$E$44</f>
        <v>-902570.120968977</v>
      </c>
      <c r="AJ45" s="27" t="n">
        <f aca="false">-AJ24*Assumptions!$E$44</f>
        <v>-946426.358318072</v>
      </c>
      <c r="AK45" s="27" t="n">
        <f aca="false">-AK24*Assumptions!$E$44</f>
        <v>-991574.470022817</v>
      </c>
      <c r="AL45" s="27" t="n">
        <f aca="false">-AL24*Assumptions!$E$44</f>
        <v>-1038219.80199301</v>
      </c>
      <c r="AM45" s="27" t="n">
        <f aca="false">-AM24*Assumptions!$E$44</f>
        <v>-1086570.29297577</v>
      </c>
    </row>
    <row r="46" customFormat="false" ht="15" hidden="false" customHeight="false" outlineLevel="0" collapsed="false">
      <c r="A46" s="8" t="s">
        <v>355</v>
      </c>
      <c r="B46" s="8" t="s">
        <v>50</v>
      </c>
      <c r="C46" s="27" t="n">
        <f aca="false">SUM(D46:AM46)</f>
        <v>-4013538.31429891</v>
      </c>
      <c r="D46" s="27" t="n">
        <f aca="false">-(D21*Assumptions!$E$45+D24*Assumptions!$E$46)</f>
        <v>-0</v>
      </c>
      <c r="E46" s="27" t="n">
        <f aca="false">-(E21*Assumptions!$E$45+E24*Assumptions!$E$46)</f>
        <v>-0</v>
      </c>
      <c r="F46" s="27" t="n">
        <f aca="false">-(F21*Assumptions!$E$45+F24*Assumptions!$E$46)</f>
        <v>-0</v>
      </c>
      <c r="G46" s="27" t="n">
        <f aca="false">-(G21*Assumptions!$E$45+G24*Assumptions!$E$46)</f>
        <v>-0</v>
      </c>
      <c r="H46" s="27" t="n">
        <f aca="false">-(H21*Assumptions!$E$45+H24*Assumptions!$E$46)</f>
        <v>-5490.35956944927</v>
      </c>
      <c r="I46" s="27" t="n">
        <f aca="false">-(I21*Assumptions!$E$45+I24*Assumptions!$E$46)</f>
        <v>-5906.83669954172</v>
      </c>
      <c r="J46" s="27" t="n">
        <f aca="false">-(J21*Assumptions!$E$45+J24*Assumptions!$E$46)</f>
        <v>-6291.35539044987</v>
      </c>
      <c r="K46" s="27" t="n">
        <f aca="false">-(K21*Assumptions!$E$45+K24*Assumptions!$E$46)</f>
        <v>-60171.1433591107</v>
      </c>
      <c r="L46" s="27" t="n">
        <f aca="false">-(L21*Assumptions!$E$45+L24*Assumptions!$E$46)</f>
        <v>-38685.756713693</v>
      </c>
      <c r="M46" s="27" t="n">
        <f aca="false">-(M21*Assumptions!$E$45+M24*Assumptions!$E$46)</f>
        <v>-43997.3233420354</v>
      </c>
      <c r="N46" s="27" t="n">
        <f aca="false">-(N21*Assumptions!$E$45+N24*Assumptions!$E$46)</f>
        <v>-49570.9999600616</v>
      </c>
      <c r="O46" s="27" t="n">
        <f aca="false">-(O21*Assumptions!$E$45+O24*Assumptions!$E$46)</f>
        <v>-55428.1585864477</v>
      </c>
      <c r="P46" s="27" t="n">
        <f aca="false">-(P21*Assumptions!$E$45+P24*Assumptions!$E$46)</f>
        <v>-61590.9535250704</v>
      </c>
      <c r="Q46" s="27" t="n">
        <f aca="false">-(Q21*Assumptions!$E$45+Q24*Assumptions!$E$46)</f>
        <v>-68082.4719541619</v>
      </c>
      <c r="R46" s="27" t="n">
        <f aca="false">-(R21*Assumptions!$E$45+R24*Assumptions!$E$46)</f>
        <v>-74926.8890690224</v>
      </c>
      <c r="S46" s="27" t="n">
        <f aca="false">-(S21*Assumptions!$E$45+S24*Assumptions!$E$46)</f>
        <v>-82149.6293246531</v>
      </c>
      <c r="T46" s="27" t="n">
        <f aca="false">-(T21*Assumptions!$E$45+T24*Assumptions!$E$46)</f>
        <v>-89777.5353582738</v>
      </c>
      <c r="U46" s="27" t="n">
        <f aca="false">-(U21*Assumptions!$E$45+U24*Assumptions!$E$46)</f>
        <v>-97839.0462219034</v>
      </c>
      <c r="V46" s="27" t="n">
        <f aca="false">-(V21*Assumptions!$E$45+V24*Assumptions!$E$46)</f>
        <v>-106364.386622201</v>
      </c>
      <c r="W46" s="27" t="n">
        <f aca="false">-(W21*Assumptions!$E$45+W24*Assumptions!$E$46)</f>
        <v>-115385.76894895</v>
      </c>
      <c r="X46" s="27" t="n">
        <f aca="false">-(X21*Assumptions!$E$45+X24*Assumptions!$E$46)</f>
        <v>-124937.609975455</v>
      </c>
      <c r="Y46" s="27" t="n">
        <f aca="false">-(Y21*Assumptions!$E$45+Y24*Assumptions!$E$46)</f>
        <v>-135056.764234458</v>
      </c>
      <c r="Z46" s="27" t="n">
        <f aca="false">-(Z21*Assumptions!$E$45+Z24*Assumptions!$E$46)</f>
        <v>-145782.776212822</v>
      </c>
      <c r="AA46" s="27" t="n">
        <f aca="false">-(AA21*Assumptions!$E$45+AA24*Assumptions!$E$46)</f>
        <v>-153156.978227959</v>
      </c>
      <c r="AB46" s="27" t="n">
        <f aca="false">-(AB21*Assumptions!$E$45+AB24*Assumptions!$E$46)</f>
        <v>-160653.779406956</v>
      </c>
      <c r="AC46" s="27" t="n">
        <f aca="false">-(AC21*Assumptions!$E$45+AC24*Assumptions!$E$46)</f>
        <v>-168308.537378075</v>
      </c>
      <c r="AD46" s="27" t="n">
        <f aca="false">-(AD21*Assumptions!$E$45+AD24*Assumptions!$E$46)</f>
        <v>-176156.060499084</v>
      </c>
      <c r="AE46" s="27" t="n">
        <f aca="false">-(AE21*Assumptions!$E$45+AE24*Assumptions!$E$46)</f>
        <v>-184230.937207693</v>
      </c>
      <c r="AF46" s="27" t="n">
        <f aca="false">-(AF21*Assumptions!$E$45+AF24*Assumptions!$E$46)</f>
        <v>-192567.852396949</v>
      </c>
      <c r="AG46" s="27" t="n">
        <f aca="false">-(AG21*Assumptions!$E$45+AG24*Assumptions!$E$46)</f>
        <v>-201201.89430713</v>
      </c>
      <c r="AH46" s="27" t="n">
        <f aca="false">-(AH21*Assumptions!$E$45+AH24*Assumptions!$E$46)</f>
        <v>-210168.855226582</v>
      </c>
      <c r="AI46" s="27" t="n">
        <f aca="false">-(AI21*Assumptions!$E$45+AI24*Assumptions!$E$46)</f>
        <v>-219505.529133292</v>
      </c>
      <c r="AJ46" s="27" t="n">
        <f aca="false">-(AJ21*Assumptions!$E$45+AJ24*Assumptions!$E$46)</f>
        <v>-229250.009284178</v>
      </c>
      <c r="AK46" s="27" t="n">
        <f aca="false">-(AK21*Assumptions!$E$45+AK24*Assumptions!$E$46)</f>
        <v>-239441.9886677</v>
      </c>
      <c r="AL46" s="27" t="n">
        <f aca="false">-(AL21*Assumptions!$E$45+AL24*Assumptions!$E$46)</f>
        <v>-250123.066175615</v>
      </c>
      <c r="AM46" s="27" t="n">
        <f aca="false">-(AM21*Assumptions!$E$45+AM24*Assumptions!$E$46)</f>
        <v>-261337.061319939</v>
      </c>
    </row>
    <row r="47" customFormat="false" ht="15" hidden="false" customHeight="false" outlineLevel="0" collapsed="false">
      <c r="A47" s="8" t="s">
        <v>356</v>
      </c>
      <c r="B47" s="8" t="s">
        <v>50</v>
      </c>
      <c r="C47" s="27" t="n">
        <f aca="false">SUM(D47:AM47)</f>
        <v>-3345819.35502717</v>
      </c>
      <c r="D47" s="27" t="n">
        <f aca="false">-D26*Assumptions!$E$48</f>
        <v>-0</v>
      </c>
      <c r="E47" s="27" t="n">
        <f aca="false">-E26*Assumptions!$E$48</f>
        <v>-0</v>
      </c>
      <c r="F47" s="27" t="n">
        <f aca="false">-F26*Assumptions!$E$48</f>
        <v>-0</v>
      </c>
      <c r="G47" s="27" t="n">
        <f aca="false">-G26*Assumptions!$E$48</f>
        <v>-0</v>
      </c>
      <c r="H47" s="27" t="n">
        <f aca="false">-H26*Assumptions!$E$48</f>
        <v>-6196.15070382</v>
      </c>
      <c r="I47" s="27" t="n">
        <f aca="false">-I26*Assumptions!$E$48</f>
        <v>-6254.8442671638</v>
      </c>
      <c r="J47" s="27" t="n">
        <f aca="false">-J26*Assumptions!$E$48</f>
        <v>-6318.82025120854</v>
      </c>
      <c r="K47" s="27" t="n">
        <f aca="false">-K26*Assumptions!$E$48</f>
        <v>-66791.3851845433</v>
      </c>
      <c r="L47" s="27" t="n">
        <f aca="false">-L26*Assumptions!$E$48</f>
        <v>-38232.8155899886</v>
      </c>
      <c r="M47" s="27" t="n">
        <f aca="false">-M26*Assumptions!$E$48</f>
        <v>-42286.0252484192</v>
      </c>
      <c r="N47" s="27" t="n">
        <f aca="false">-N26*Assumptions!$E$48</f>
        <v>-46579.5012390885</v>
      </c>
      <c r="O47" s="27" t="n">
        <f aca="false">-O26*Assumptions!$E$48</f>
        <v>-51127.5224539661</v>
      </c>
      <c r="P47" s="27" t="n">
        <f aca="false">-P26*Assumptions!$E$48</f>
        <v>-55945.385208349</v>
      </c>
      <c r="Q47" s="27" t="n">
        <f aca="false">-Q26*Assumptions!$E$48</f>
        <v>-61049.4908450841</v>
      </c>
      <c r="R47" s="27" t="n">
        <f aca="false">-R26*Assumptions!$E$48</f>
        <v>-66457.4417200028</v>
      </c>
      <c r="S47" s="27" t="n">
        <f aca="false">-S26*Assumptions!$E$48</f>
        <v>-72188.1464006912</v>
      </c>
      <c r="T47" s="27" t="n">
        <f aca="false">-T26*Assumptions!$E$48</f>
        <v>-78261.9349938347</v>
      </c>
      <c r="U47" s="27" t="n">
        <f aca="false">-U26*Assumptions!$E$48</f>
        <v>-84700.6856077475</v>
      </c>
      <c r="V47" s="27" t="n">
        <f aca="false">-V26*Assumptions!$E$48</f>
        <v>-91527.9630571559</v>
      </c>
      <c r="W47" s="27" t="n">
        <f aca="false">-W26*Assumptions!$E$48</f>
        <v>-98769.17102773</v>
      </c>
      <c r="X47" s="27" t="n">
        <f aca="false">-X26*Assumptions!$E$48</f>
        <v>-106451.71903925</v>
      </c>
      <c r="Y47" s="27" t="n">
        <f aca="false">-Y26*Assumptions!$E$48</f>
        <v>-114605.205679712</v>
      </c>
      <c r="Z47" s="27" t="n">
        <f aca="false">-Z26*Assumptions!$E$48</f>
        <v>-123261.619729337</v>
      </c>
      <c r="AA47" s="27" t="n">
        <f aca="false">-AA26*Assumptions!$E$48</f>
        <v>-127940.030467511</v>
      </c>
      <c r="AB47" s="27" t="n">
        <f aca="false">-AB26*Assumptions!$E$48</f>
        <v>-132847.044120997</v>
      </c>
      <c r="AC47" s="27" t="n">
        <f aca="false">-AC26*Assumptions!$E$48</f>
        <v>-137997.461330638</v>
      </c>
      <c r="AD47" s="27" t="n">
        <f aca="false">-AD26*Assumptions!$E$48</f>
        <v>-143407.24158631</v>
      </c>
      <c r="AE47" s="27" t="n">
        <f aca="false">-AE26*Assumptions!$E$48</f>
        <v>-149093.60232707</v>
      </c>
      <c r="AF47" s="27" t="n">
        <f aca="false">-AF26*Assumptions!$E$48</f>
        <v>-155075.126804437</v>
      </c>
      <c r="AG47" s="27" t="n">
        <f aca="false">-AG26*Assumptions!$E$48</f>
        <v>-161371.881492806</v>
      </c>
      <c r="AH47" s="27" t="n">
        <f aca="false">-AH26*Assumptions!$E$48</f>
        <v>-168005.543901407</v>
      </c>
      <c r="AI47" s="27" t="n">
        <f aca="false">-AI26*Assumptions!$E$48</f>
        <v>-174999.54171901</v>
      </c>
      <c r="AJ47" s="27" t="n">
        <f aca="false">-AJ26*Assumptions!$E$48</f>
        <v>-182379.204306191</v>
      </c>
      <c r="AK47" s="27" t="n">
        <f aca="false">-AK26*Assumptions!$E$48</f>
        <v>-190171.927641193</v>
      </c>
      <c r="AL47" s="27" t="n">
        <f aca="false">-AL26*Assumptions!$E$48</f>
        <v>-198407.353924768</v>
      </c>
      <c r="AM47" s="27" t="n">
        <f aca="false">-AM26*Assumptions!$E$48</f>
        <v>-207117.567157741</v>
      </c>
    </row>
    <row r="48" customFormat="false" ht="15" hidden="false" customHeight="false" outlineLevel="0" collapsed="false">
      <c r="A48" s="8" t="s">
        <v>357</v>
      </c>
      <c r="B48" s="8" t="s">
        <v>50</v>
      </c>
      <c r="C48" s="27" t="n">
        <f aca="false">SUM(D48:AM48)</f>
        <v>-2381187.08095618</v>
      </c>
      <c r="D48" s="27" t="n">
        <f aca="false">-D24*Assumptions!$E$47</f>
        <v>-0</v>
      </c>
      <c r="E48" s="27" t="n">
        <f aca="false">-E24*Assumptions!$E$47</f>
        <v>-0</v>
      </c>
      <c r="F48" s="27" t="n">
        <f aca="false">-F24*Assumptions!$E$47</f>
        <v>-0</v>
      </c>
      <c r="G48" s="27" t="n">
        <f aca="false">-G24*Assumptions!$E$47</f>
        <v>-0</v>
      </c>
      <c r="H48" s="27" t="n">
        <f aca="false">-H24*Assumptions!$E$47</f>
        <v>-767.842485594134</v>
      </c>
      <c r="I48" s="27" t="n">
        <f aca="false">-I24*Assumptions!$E$47</f>
        <v>-1458.49575087639</v>
      </c>
      <c r="J48" s="27" t="n">
        <f aca="false">-J24*Assumptions!$E$47</f>
        <v>-2081.10522086037</v>
      </c>
      <c r="K48" s="27" t="n">
        <f aca="false">-K24*Assumptions!$E$47</f>
        <v>-10129.1390770973</v>
      </c>
      <c r="L48" s="27" t="n">
        <f aca="false">-L24*Assumptions!$E$47</f>
        <v>-13752.839868567</v>
      </c>
      <c r="M48" s="27" t="n">
        <f aca="false">-M24*Assumptions!$E$47</f>
        <v>-17480.2174468718</v>
      </c>
      <c r="N48" s="27" t="n">
        <f aca="false">-N24*Assumptions!$E$47</f>
        <v>-21329.6417700169</v>
      </c>
      <c r="O48" s="27" t="n">
        <f aca="false">-O24*Assumptions!$E$47</f>
        <v>-25319.2315766166</v>
      </c>
      <c r="P48" s="27" t="n">
        <f aca="false">-P24*Assumptions!$E$47</f>
        <v>-29467.0081016704</v>
      </c>
      <c r="Q48" s="27" t="n">
        <f aca="false">-Q24*Assumptions!$E$47</f>
        <v>-33791.0427397366</v>
      </c>
      <c r="R48" s="27" t="n">
        <f aca="false">-R24*Assumptions!$E$47</f>
        <v>-38309.6003599126</v>
      </c>
      <c r="S48" s="27" t="n">
        <f aca="false">-S24*Assumptions!$E$47</f>
        <v>-43041.2798926619</v>
      </c>
      <c r="T48" s="27" t="n">
        <f aca="false">-T24*Assumptions!$E$47</f>
        <v>-48005.1537437426</v>
      </c>
      <c r="U48" s="27" t="n">
        <f aca="false">-U24*Assumptions!$E$47</f>
        <v>-53220.907544157</v>
      </c>
      <c r="V48" s="27" t="n">
        <f aca="false">-V24*Assumptions!$E$47</f>
        <v>-58708.9817162501</v>
      </c>
      <c r="W48" s="27" t="n">
        <f aca="false">-W24*Assumptions!$E$47</f>
        <v>-64490.7163241465</v>
      </c>
      <c r="X48" s="27" t="n">
        <f aca="false">-X24*Assumptions!$E$47</f>
        <v>-70588.5006811318</v>
      </c>
      <c r="Y48" s="27" t="n">
        <f aca="false">-Y24*Assumptions!$E$47</f>
        <v>-77025.9292070514</v>
      </c>
      <c r="Z48" s="27" t="n">
        <f aca="false">-Z24*Assumptions!$E$47</f>
        <v>-83827.9650651845</v>
      </c>
      <c r="AA48" s="27" t="n">
        <f aca="false">-AA24*Assumptions!$E$47</f>
        <v>-90461.5373336244</v>
      </c>
      <c r="AB48" s="27" t="n">
        <f aca="false">-AB24*Assumptions!$E$47</f>
        <v>-96973.5060520099</v>
      </c>
      <c r="AC48" s="27" t="n">
        <f aca="false">-AC24*Assumptions!$E$47</f>
        <v>-103407.410788035</v>
      </c>
      <c r="AD48" s="27" t="n">
        <f aca="false">-AD24*Assumptions!$E$47</f>
        <v>-109803.97949683</v>
      </c>
      <c r="AE48" s="27" t="n">
        <f aca="false">-AE24*Assumptions!$E$47</f>
        <v>-116201.593686555</v>
      </c>
      <c r="AF48" s="27" t="n">
        <f aca="false">-AF24*Assumptions!$E$47</f>
        <v>-122636.715782457</v>
      </c>
      <c r="AG48" s="27" t="n">
        <f aca="false">-AG24*Assumptions!$E$47</f>
        <v>-129144.284030679</v>
      </c>
      <c r="AH48" s="27" t="n">
        <f aca="false">-AH24*Assumptions!$E$47</f>
        <v>-135758.079801427</v>
      </c>
      <c r="AI48" s="27" t="n">
        <f aca="false">-AI24*Assumptions!$E$47</f>
        <v>-142511.071731944</v>
      </c>
      <c r="AJ48" s="27" t="n">
        <f aca="false">-AJ24*Assumptions!$E$47</f>
        <v>-149435.740787064</v>
      </c>
      <c r="AK48" s="27" t="n">
        <f aca="false">-AK24*Assumptions!$E$47</f>
        <v>-156564.390003603</v>
      </c>
      <c r="AL48" s="27" t="n">
        <f aca="false">-AL24*Assumptions!$E$47</f>
        <v>-163929.442419948</v>
      </c>
      <c r="AM48" s="27" t="n">
        <f aca="false">-AM24*Assumptions!$E$47</f>
        <v>-171563.730469859</v>
      </c>
    </row>
    <row r="49" customFormat="false" ht="15" hidden="false" customHeight="false" outlineLevel="0" collapsed="false">
      <c r="A49" s="8" t="s">
        <v>358</v>
      </c>
      <c r="B49" s="8" t="s">
        <v>50</v>
      </c>
      <c r="C49" s="27" t="n">
        <f aca="false">SUM(D49:AM49)</f>
        <v>-4212590.64618883</v>
      </c>
      <c r="D49" s="27" t="n">
        <f aca="false">-(D40*Assumptions!$E$52+D34*Assumptions!$E$53)</f>
        <v>-0</v>
      </c>
      <c r="E49" s="27" t="n">
        <f aca="false">-(E40*Assumptions!$E$52+E34*Assumptions!$E$53)</f>
        <v>-0</v>
      </c>
      <c r="F49" s="27" t="n">
        <f aca="false">-(F40*Assumptions!$E$52+F34*Assumptions!$E$53)</f>
        <v>-0</v>
      </c>
      <c r="G49" s="27" t="n">
        <f aca="false">-(G40*Assumptions!$E$52+G34*Assumptions!$E$53)</f>
        <v>-0</v>
      </c>
      <c r="H49" s="27" t="n">
        <f aca="false">-(H40*Assumptions!$E$52+H34*Assumptions!$E$53)</f>
        <v>-10335.3000782063</v>
      </c>
      <c r="I49" s="27" t="n">
        <f aca="false">-(I40*Assumptions!$E$52+I34*Assumptions!$E$53)</f>
        <v>-11983.4970969757</v>
      </c>
      <c r="J49" s="27" t="n">
        <f aca="false">-(J40*Assumptions!$E$52+J34*Assumptions!$E$53)</f>
        <v>-13655.1905974345</v>
      </c>
      <c r="K49" s="27" t="n">
        <f aca="false">-(K40*Assumptions!$E$52+K34*Assumptions!$E$53)</f>
        <v>-60400.9284248044</v>
      </c>
      <c r="L49" s="27" t="n">
        <f aca="false">-(L40*Assumptions!$E$52+L34*Assumptions!$E$53)</f>
        <v>-42713.8607190482</v>
      </c>
      <c r="M49" s="27" t="n">
        <f aca="false">-(M40*Assumptions!$E$52+M34*Assumptions!$E$53)</f>
        <v>-48168.1662947739</v>
      </c>
      <c r="N49" s="27" t="n">
        <f aca="false">-(N40*Assumptions!$E$52+N34*Assumptions!$E$53)</f>
        <v>-53813.740372315</v>
      </c>
      <c r="O49" s="27" t="n">
        <f aca="false">-(O40*Assumptions!$E$52+O34*Assumptions!$E$53)</f>
        <v>-59658.8085468348</v>
      </c>
      <c r="P49" s="27" t="n">
        <f aca="false">-(P40*Assumptions!$E$52+P34*Assumptions!$E$53)</f>
        <v>-65712.0670599613</v>
      </c>
      <c r="Q49" s="27" t="n">
        <f aca="false">-(Q40*Assumptions!$E$52+Q34*Assumptions!$E$53)</f>
        <v>-71982.7170682562</v>
      </c>
      <c r="R49" s="27" t="n">
        <f aca="false">-(R40*Assumptions!$E$52+R34*Assumptions!$E$53)</f>
        <v>-78480.5017531543</v>
      </c>
      <c r="S49" s="27" t="n">
        <f aca="false">-(S40*Assumptions!$E$52+S34*Assumptions!$E$53)</f>
        <v>-85215.7465208256</v>
      </c>
      <c r="T49" s="27" t="n">
        <f aca="false">-(T40*Assumptions!$E$52+T34*Assumptions!$E$53)</f>
        <v>-92199.4025625535</v>
      </c>
      <c r="U49" s="27" t="n">
        <f aca="false">-(U40*Assumptions!$E$52+U34*Assumptions!$E$53)</f>
        <v>-99443.0940703522</v>
      </c>
      <c r="V49" s="27" t="n">
        <f aca="false">-(V40*Assumptions!$E$52+V34*Assumptions!$E$53)</f>
        <v>-106959.169428837</v>
      </c>
      <c r="W49" s="27" t="n">
        <f aca="false">-(W40*Assumptions!$E$52+W34*Assumptions!$E$53)</f>
        <v>-114760.756733021</v>
      </c>
      <c r="X49" s="27" t="n">
        <f aca="false">-(X40*Assumptions!$E$52+X34*Assumptions!$E$53)</f>
        <v>-122861.824012918</v>
      </c>
      <c r="Y49" s="27" t="n">
        <f aca="false">-(Y40*Assumptions!$E$52+Y34*Assumptions!$E$53)</f>
        <v>-131277.244579893</v>
      </c>
      <c r="Z49" s="27" t="n">
        <f aca="false">-(Z40*Assumptions!$E$52+Z34*Assumptions!$E$53)</f>
        <v>-140022.86794674</v>
      </c>
      <c r="AA49" s="27" t="n">
        <f aca="false">-(AA40*Assumptions!$E$52+AA34*Assumptions!$E$53)</f>
        <v>-149115.596813912</v>
      </c>
      <c r="AB49" s="27" t="n">
        <f aca="false">-(AB40*Assumptions!$E$52+AB34*Assumptions!$E$53)</f>
        <v>-158573.470658359</v>
      </c>
      <c r="AC49" s="27" t="n">
        <f aca="false">-(AC40*Assumptions!$E$52+AC34*Assumptions!$E$53)</f>
        <v>-168415.756509412</v>
      </c>
      <c r="AD49" s="27" t="n">
        <f aca="false">-(AD40*Assumptions!$E$52+AD34*Assumptions!$E$53)</f>
        <v>-178663.047548482</v>
      </c>
      <c r="AE49" s="27" t="n">
        <f aca="false">-(AE40*Assumptions!$E$52+AE34*Assumptions!$E$53)</f>
        <v>-189337.370226336</v>
      </c>
      <c r="AF49" s="27" t="n">
        <f aca="false">-(AF40*Assumptions!$E$52+AF34*Assumptions!$E$53)</f>
        <v>-200462.300653821</v>
      </c>
      <c r="AG49" s="27" t="n">
        <f aca="false">-(AG40*Assumptions!$E$52+AG34*Assumptions!$E$53)</f>
        <v>-212063.091089662</v>
      </c>
      <c r="AH49" s="27" t="n">
        <f aca="false">-(AH40*Assumptions!$E$52+AH34*Assumptions!$E$53)</f>
        <v>-224166.807422709</v>
      </c>
      <c r="AI49" s="27" t="n">
        <f aca="false">-(AI40*Assumptions!$E$52+AI34*Assumptions!$E$53)</f>
        <v>-236802.478626449</v>
      </c>
      <c r="AJ49" s="27" t="n">
        <f aca="false">-(AJ40*Assumptions!$E$52+AJ34*Assumptions!$E$53)</f>
        <v>-250001.259251266</v>
      </c>
      <c r="AK49" s="27" t="n">
        <f aca="false">-(AK40*Assumptions!$E$52+AK34*Assumptions!$E$53)</f>
        <v>-263796.606115439</v>
      </c>
      <c r="AL49" s="27" t="n">
        <f aca="false">-(AL40*Assumptions!$E$52+AL34*Assumptions!$E$53)</f>
        <v>-278224.470460005</v>
      </c>
      <c r="AM49" s="27" t="n">
        <f aca="false">-(AM40*Assumptions!$E$52+AM34*Assumptions!$E$53)</f>
        <v>-293323.506946076</v>
      </c>
    </row>
    <row r="50" customFormat="false" ht="15" hidden="false" customHeight="false" outlineLevel="0" collapsed="false">
      <c r="A50" s="8" t="s">
        <v>359</v>
      </c>
      <c r="B50" s="8" t="s">
        <v>50</v>
      </c>
      <c r="C50" s="27" t="n">
        <f aca="false">SUM(D50:AM50)</f>
        <v>-276663.360649781</v>
      </c>
      <c r="D50" s="27" t="n">
        <f aca="false">-D29*Assumptions!$E$54</f>
        <v>-0</v>
      </c>
      <c r="E50" s="27" t="n">
        <f aca="false">-E29*Assumptions!$E$54</f>
        <v>-0</v>
      </c>
      <c r="F50" s="27" t="n">
        <f aca="false">-F29*Assumptions!$E$54</f>
        <v>-0</v>
      </c>
      <c r="G50" s="27" t="n">
        <f aca="false">-G29*Assumptions!$E$54</f>
        <v>-0</v>
      </c>
      <c r="H50" s="27" t="n">
        <f aca="false">-H29*Assumptions!$E$54</f>
        <v>-314.9039362028</v>
      </c>
      <c r="I50" s="27" t="n">
        <f aca="false">-I29*Assumptions!$E$54</f>
        <v>-613.896590491684</v>
      </c>
      <c r="J50" s="27" t="n">
        <f aca="false">-J29*Assumptions!$E$54</f>
        <v>-898.20110566473</v>
      </c>
      <c r="K50" s="27" t="n">
        <f aca="false">-K29*Assumptions!$E$54</f>
        <v>-2359.40366429024</v>
      </c>
      <c r="L50" s="27" t="n">
        <f aca="false">-L29*Assumptions!$E$54</f>
        <v>-3010.05509979691</v>
      </c>
      <c r="M50" s="27" t="n">
        <f aca="false">-M29*Assumptions!$E$54</f>
        <v>-3633.46727858141</v>
      </c>
      <c r="N50" s="27" t="n">
        <f aca="false">-N29*Assumptions!$E$54</f>
        <v>-4231.33095453211</v>
      </c>
      <c r="O50" s="27" t="n">
        <f aca="false">-O29*Assumptions!$E$54</f>
        <v>-4805.23003222916</v>
      </c>
      <c r="P50" s="27" t="n">
        <f aca="false">-P29*Assumptions!$E$54</f>
        <v>-5356.64743527236</v>
      </c>
      <c r="Q50" s="27" t="n">
        <f aca="false">-Q29*Assumptions!$E$54</f>
        <v>-5886.97054980411</v>
      </c>
      <c r="R50" s="27" t="n">
        <f aca="false">-R29*Assumptions!$E$54</f>
        <v>-6397.49625809762</v>
      </c>
      <c r="S50" s="27" t="n">
        <f aca="false">-S29*Assumptions!$E$54</f>
        <v>-6889.43557476733</v>
      </c>
      <c r="T50" s="27" t="n">
        <f aca="false">-T29*Assumptions!$E$54</f>
        <v>-7363.91789580998</v>
      </c>
      <c r="U50" s="27" t="n">
        <f aca="false">-U29*Assumptions!$E$54</f>
        <v>-7821.99486828346</v>
      </c>
      <c r="V50" s="27" t="n">
        <f aca="false">-V29*Assumptions!$E$54</f>
        <v>-8264.64388595716</v>
      </c>
      <c r="W50" s="27" t="n">
        <f aca="false">-W29*Assumptions!$E$54</f>
        <v>-8692.77121370166</v>
      </c>
      <c r="X50" s="27" t="n">
        <f aca="false">-X29*Assumptions!$E$54</f>
        <v>-9107.21474070629</v>
      </c>
      <c r="Y50" s="27" t="n">
        <f aca="false">-Y29*Assumptions!$E$54</f>
        <v>-9508.7463597956</v>
      </c>
      <c r="Z50" s="27" t="n">
        <f aca="false">-Z29*Assumptions!$E$54</f>
        <v>-9898.0739671366</v>
      </c>
      <c r="AA50" s="27" t="n">
        <f aca="false">-AA29*Assumptions!$E$54</f>
        <v>-10300.4732397518</v>
      </c>
      <c r="AB50" s="27" t="n">
        <f aca="false">-AB29*Assumptions!$E$54</f>
        <v>-10716.9400348803</v>
      </c>
      <c r="AC50" s="27" t="n">
        <f aca="false">-AC29*Assumptions!$E$54</f>
        <v>-11148.5257126171</v>
      </c>
      <c r="AD50" s="27" t="n">
        <f aca="false">-AD29*Assumptions!$E$54</f>
        <v>-11596.3428298319</v>
      </c>
      <c r="AE50" s="27" t="n">
        <f aca="false">-AE29*Assumptions!$E$54</f>
        <v>-12061.5712641575</v>
      </c>
      <c r="AF50" s="27" t="n">
        <f aca="false">-AF29*Assumptions!$E$54</f>
        <v>-12545.4648104827</v>
      </c>
      <c r="AG50" s="27" t="n">
        <f aca="false">-AG29*Assumptions!$E$54</f>
        <v>-13049.3582959434</v>
      </c>
      <c r="AH50" s="27" t="n">
        <f aca="false">-AH29*Assumptions!$E$54</f>
        <v>-13574.6752633014</v>
      </c>
      <c r="AI50" s="27" t="n">
        <f aca="false">-AI29*Assumptions!$E$54</f>
        <v>-14122.9362768558</v>
      </c>
      <c r="AJ50" s="27" t="n">
        <f aca="false">-AJ29*Assumptions!$E$54</f>
        <v>-14695.7679096876</v>
      </c>
      <c r="AK50" s="27" t="n">
        <f aca="false">-AK29*Assumptions!$E$54</f>
        <v>-15294.9124761218</v>
      </c>
      <c r="AL50" s="27" t="n">
        <f aca="false">-AL29*Assumptions!$E$54</f>
        <v>-15922.2385788454</v>
      </c>
      <c r="AM50" s="27" t="n">
        <f aca="false">-AM29*Assumptions!$E$54</f>
        <v>-16579.7525461834</v>
      </c>
    </row>
    <row r="51" customFormat="false" ht="15" hidden="false" customHeight="false" outlineLevel="0" collapsed="false">
      <c r="A51" s="8" t="s">
        <v>360</v>
      </c>
      <c r="B51" s="8" t="s">
        <v>50</v>
      </c>
      <c r="C51" s="27" t="n">
        <f aca="false">SUM(D51:AM51)</f>
        <v>-1985811.70763301</v>
      </c>
      <c r="D51" s="27" t="n">
        <f aca="false">-D41*Assumptions!$E$49</f>
        <v>-0</v>
      </c>
      <c r="E51" s="27" t="n">
        <f aca="false">-E41*Assumptions!$E$49</f>
        <v>-0</v>
      </c>
      <c r="F51" s="27" t="n">
        <f aca="false">-F41*Assumptions!$E$49</f>
        <v>-0</v>
      </c>
      <c r="G51" s="27" t="n">
        <f aca="false">-G41*Assumptions!$E$49</f>
        <v>-0</v>
      </c>
      <c r="H51" s="27" t="n">
        <f aca="false">-H41*Assumptions!$E$49</f>
        <v>-1819.15361760086</v>
      </c>
      <c r="I51" s="27" t="n">
        <f aca="false">-I41*Assumptions!$E$49</f>
        <v>-2422.63744154311</v>
      </c>
      <c r="J51" s="27" t="n">
        <f aca="false">-J41*Assumptions!$E$49</f>
        <v>-2985.79081856305</v>
      </c>
      <c r="K51" s="27" t="n">
        <f aca="false">-K41*Assumptions!$E$49</f>
        <v>-16919.8242113201</v>
      </c>
      <c r="L51" s="27" t="n">
        <f aca="false">-L41*Assumptions!$E$49</f>
        <v>-15129.1933406779</v>
      </c>
      <c r="M51" s="27" t="n">
        <f aca="false">-M41*Assumptions!$E$49</f>
        <v>-18126.4217994327</v>
      </c>
      <c r="N51" s="27" t="n">
        <f aca="false">-N41*Assumptions!$E$49</f>
        <v>-21214.067289764</v>
      </c>
      <c r="O51" s="27" t="n">
        <f aca="false">-O41*Assumptions!$E$49</f>
        <v>-24404.3851074643</v>
      </c>
      <c r="P51" s="27" t="n">
        <f aca="false">-P41*Assumptions!$E$49</f>
        <v>-27709.66829619</v>
      </c>
      <c r="Q51" s="27" t="n">
        <f aca="false">-Q41*Assumptions!$E$49</f>
        <v>-31142.3394167818</v>
      </c>
      <c r="R51" s="27" t="n">
        <f aca="false">-R41*Assumptions!$E$49</f>
        <v>-34715.0408544409</v>
      </c>
      <c r="S51" s="27" t="n">
        <f aca="false">-S41*Assumptions!$E$49</f>
        <v>-38440.7246296942</v>
      </c>
      <c r="T51" s="27" t="n">
        <f aca="false">-T41*Assumptions!$E$49</f>
        <v>-42332.7426534051</v>
      </c>
      <c r="U51" s="27" t="n">
        <f aca="false">-U41*Assumptions!$E$49</f>
        <v>-46404.9383511456</v>
      </c>
      <c r="V51" s="27" t="n">
        <f aca="false">-V41*Assumptions!$E$49</f>
        <v>-50671.740577658</v>
      </c>
      <c r="W51" s="27" t="n">
        <f aca="false">-W41*Assumptions!$E$49</f>
        <v>-55148.2607476134</v>
      </c>
      <c r="X51" s="27" t="n">
        <f aca="false">-X41*Assumptions!$E$49</f>
        <v>-59850.3941242685</v>
      </c>
      <c r="Y51" s="27" t="n">
        <f aca="false">-Y41*Assumptions!$E$49</f>
        <v>-64794.9262328783</v>
      </c>
      <c r="Z51" s="27" t="n">
        <f aca="false">-Z41*Assumptions!$E$49</f>
        <v>-69999.6454008922</v>
      </c>
      <c r="AA51" s="27" t="n">
        <f aca="false">-AA41*Assumptions!$E$49</f>
        <v>-74742.895937535</v>
      </c>
      <c r="AB51" s="27" t="n">
        <f aca="false">-AB41*Assumptions!$E$49</f>
        <v>-79473.5519422189</v>
      </c>
      <c r="AC51" s="27" t="n">
        <f aca="false">-AC41*Assumptions!$E$49</f>
        <v>-84217.9137447167</v>
      </c>
      <c r="AD51" s="27" t="n">
        <f aca="false">-AD41*Assumptions!$E$49</f>
        <v>-89001.0131457913</v>
      </c>
      <c r="AE51" s="27" t="n">
        <f aca="false">-AE41*Assumptions!$E$49</f>
        <v>-93846.8800586029</v>
      </c>
      <c r="AF51" s="27" t="n">
        <f aca="false">-AF41*Assumptions!$E$49</f>
        <v>-98778.7907198185</v>
      </c>
      <c r="AG51" s="27" t="n">
        <f aca="false">-AG41*Assumptions!$E$49</f>
        <v>-103819.500460566</v>
      </c>
      <c r="AH51" s="27" t="n">
        <f aca="false">-AH41*Assumptions!$E$49</f>
        <v>-108991.463784687</v>
      </c>
      <c r="AI51" s="27" t="n">
        <f aca="false">-AI41*Assumptions!$E$49</f>
        <v>-114317.044293497</v>
      </c>
      <c r="AJ51" s="27" t="n">
        <f aca="false">-AJ41*Assumptions!$E$49</f>
        <v>-119818.716819352</v>
      </c>
      <c r="AK51" s="27" t="n">
        <f aca="false">-AK41*Assumptions!$E$49</f>
        <v>-125519.263982062</v>
      </c>
      <c r="AL51" s="27" t="n">
        <f aca="false">-AL41*Assumptions!$E$49</f>
        <v>-131441.9692603</v>
      </c>
      <c r="AM51" s="27" t="n">
        <f aca="false">-AM41*Assumptions!$E$49</f>
        <v>-137610.808572529</v>
      </c>
    </row>
    <row r="52" customFormat="false" ht="15" hidden="false" customHeight="false" outlineLevel="0" collapsed="false">
      <c r="A52" s="8" t="s">
        <v>361</v>
      </c>
      <c r="B52" s="8" t="s">
        <v>50</v>
      </c>
      <c r="C52" s="27" t="n">
        <f aca="false">SUM(D52:AM52)</f>
        <v>-1485387.42860985</v>
      </c>
      <c r="D52" s="27" t="n">
        <f aca="false">-(D24+D29)*Assumptions!$E$51</f>
        <v>-0</v>
      </c>
      <c r="E52" s="27" t="n">
        <f aca="false">-(E24+E29)*Assumptions!$E$51</f>
        <v>-0</v>
      </c>
      <c r="F52" s="27" t="n">
        <f aca="false">-(F24+F29)*Assumptions!$E$51</f>
        <v>-0</v>
      </c>
      <c r="G52" s="27" t="n">
        <f aca="false">-(G24+G29)*Assumptions!$E$51</f>
        <v>-0</v>
      </c>
      <c r="H52" s="27" t="n">
        <f aca="false">-(H24+H29)*Assumptions!$E$51</f>
        <v>-1043.20733570504</v>
      </c>
      <c r="I52" s="27" t="n">
        <f aca="false">-(I24+I29)*Assumptions!$E$51</f>
        <v>-2020.90672652134</v>
      </c>
      <c r="J52" s="27" t="n">
        <f aca="false">-(J24+J29)*Assumptions!$E$51</f>
        <v>-2939.20450444862</v>
      </c>
      <c r="K52" s="27" t="n">
        <f aca="false">-(K24+K29)*Assumptions!$E$51</f>
        <v>-9274.88885309137</v>
      </c>
      <c r="L52" s="27" t="n">
        <f aca="false">-(L24+L29)*Assumptions!$E$51</f>
        <v>-12109.4177056813</v>
      </c>
      <c r="M52" s="27" t="n">
        <f aca="false">-(M24+M29)*Assumptions!$E$51</f>
        <v>-14910.4073454108</v>
      </c>
      <c r="N52" s="27" t="n">
        <f aca="false">-(N24+N29)*Assumptions!$E$51</f>
        <v>-17688.2079763359</v>
      </c>
      <c r="O52" s="27" t="n">
        <f aca="false">-(O24+O29)*Assumptions!$E$51</f>
        <v>-20452.8189394451</v>
      </c>
      <c r="P52" s="27" t="n">
        <f aca="false">-(P24+P29)*Assumptions!$E$51</f>
        <v>-23213.954622071</v>
      </c>
      <c r="Q52" s="27" t="n">
        <f aca="false">-(Q24+Q29)*Assumptions!$E$51</f>
        <v>-25981.1072877558</v>
      </c>
      <c r="R52" s="27" t="n">
        <f aca="false">-(R24+R29)*Assumptions!$E$51</f>
        <v>-28763.6074318816</v>
      </c>
      <c r="S52" s="27" t="n">
        <f aca="false">-(S24+S29)*Assumptions!$E$51</f>
        <v>-31570.6822344723</v>
      </c>
      <c r="T52" s="27" t="n">
        <f aca="false">-(T24+T29)*Assumptions!$E$51</f>
        <v>-34411.5126541058</v>
      </c>
      <c r="U52" s="27" t="n">
        <f aca="false">-(U24+U29)*Assumptions!$E$51</f>
        <v>-37295.2896854277</v>
      </c>
      <c r="V52" s="27" t="n">
        <f aca="false">-(V24+V29)*Assumptions!$E$51</f>
        <v>-40231.2702869763</v>
      </c>
      <c r="W52" s="27" t="n">
        <f aca="false">-(W24+W29)*Assumptions!$E$51</f>
        <v>-43228.8334756363</v>
      </c>
      <c r="X52" s="27" t="n">
        <f aca="false">-(X24+X29)*Assumptions!$E$51</f>
        <v>-46297.5370788097</v>
      </c>
      <c r="Y52" s="27" t="n">
        <f aca="false">-(Y24+Y29)*Assumptions!$E$51</f>
        <v>-49447.1756351728</v>
      </c>
      <c r="Z52" s="27" t="n">
        <f aca="false">-(Z24+Z29)*Assumptions!$E$51</f>
        <v>-52687.8399395697</v>
      </c>
      <c r="AA52" s="27" t="n">
        <f aca="false">-(AA24+AA29)*Assumptions!$E$51</f>
        <v>-55905.0288772542</v>
      </c>
      <c r="AB52" s="27" t="n">
        <f aca="false">-(AB24+AB29)*Assumptions!$E$51</f>
        <v>-59116.8521045374</v>
      </c>
      <c r="AC52" s="27" t="n">
        <f aca="false">-(AC24+AC29)*Assumptions!$E$51</f>
        <v>-62340.4512108877</v>
      </c>
      <c r="AD52" s="27" t="n">
        <f aca="false">-(AD24+AD29)*Assumptions!$E$51</f>
        <v>-65592.1835735233</v>
      </c>
      <c r="AE52" s="27" t="n">
        <f aca="false">-(AE24+AE29)*Assumptions!$E$51</f>
        <v>-68887.792722579</v>
      </c>
      <c r="AF52" s="27" t="n">
        <f aca="false">-(AF24+AF29)*Assumptions!$E$51</f>
        <v>-72242.5672870258</v>
      </c>
      <c r="AG52" s="27" t="n">
        <f aca="false">-(AG24+AG29)*Assumptions!$E$51</f>
        <v>-75671.4904167515</v>
      </c>
      <c r="AH52" s="27" t="n">
        <f aca="false">-(AH24+AH29)*Assumptions!$E$51</f>
        <v>-79189.3814253957</v>
      </c>
      <c r="AI52" s="27" t="n">
        <f aca="false">-(AI24+AI29)*Assumptions!$E$51</f>
        <v>-82811.0312694541</v>
      </c>
      <c r="AJ52" s="27" t="n">
        <f aca="false">-(AJ24+AJ29)*Assumptions!$E$51</f>
        <v>-86551.3333699071</v>
      </c>
      <c r="AK52" s="27" t="n">
        <f aca="false">-(AK24+AK29)*Assumptions!$E$51</f>
        <v>-90425.4111915054</v>
      </c>
      <c r="AL52" s="27" t="n">
        <f aca="false">-(AL24+AL29)*Assumptions!$E$51</f>
        <v>-94448.7439204297</v>
      </c>
      <c r="AM52" s="27" t="n">
        <f aca="false">-(AM24+AM29)*Assumptions!$E$51</f>
        <v>-98637.2915220782</v>
      </c>
    </row>
    <row r="53" customFormat="false" ht="15" hidden="false" customHeight="false" outlineLevel="0" collapsed="false">
      <c r="A53" s="29" t="s">
        <v>362</v>
      </c>
      <c r="B53" s="8" t="s">
        <v>50</v>
      </c>
      <c r="C53" s="31" t="n">
        <f aca="false">SUM(D53:AM53)</f>
        <v>-32781849.4060862</v>
      </c>
      <c r="D53" s="31" t="n">
        <f aca="false">SUM(D45:D52)</f>
        <v>0</v>
      </c>
      <c r="E53" s="31" t="n">
        <f aca="false">SUM(E45:E52)</f>
        <v>0</v>
      </c>
      <c r="F53" s="31" t="n">
        <f aca="false">SUM(F45:F52)</f>
        <v>0</v>
      </c>
      <c r="G53" s="31" t="n">
        <f aca="false">SUM(G45:G52)</f>
        <v>0</v>
      </c>
      <c r="H53" s="31" t="n">
        <f aca="false">SUM(H45:H52)</f>
        <v>-30829.9201353412</v>
      </c>
      <c r="I53" s="31" t="n">
        <f aca="false">SUM(I45:I52)</f>
        <v>-39898.2543286642</v>
      </c>
      <c r="J53" s="31" t="n">
        <f aca="false">SUM(J45:J52)</f>
        <v>-48350.0009540787</v>
      </c>
      <c r="K53" s="31" t="n">
        <f aca="false">SUM(K45:K52)</f>
        <v>-290197.926929207</v>
      </c>
      <c r="L53" s="31" t="n">
        <f aca="false">SUM(L45:L52)</f>
        <v>-250735.258205044</v>
      </c>
      <c r="M53" s="31" t="n">
        <f aca="false">SUM(M45:M52)</f>
        <v>-299310.072585714</v>
      </c>
      <c r="N53" s="31" t="n">
        <f aca="false">SUM(N45:N52)</f>
        <v>-349515.220772221</v>
      </c>
      <c r="O53" s="31" t="n">
        <f aca="false">SUM(O45:O52)</f>
        <v>-401551.288561576</v>
      </c>
      <c r="P53" s="31" t="n">
        <f aca="false">SUM(P45:P52)</f>
        <v>-455620.068892497</v>
      </c>
      <c r="Q53" s="31" t="n">
        <f aca="false">SUM(Q45:Q52)</f>
        <v>-511926.077213246</v>
      </c>
      <c r="R53" s="31" t="n">
        <f aca="false">SUM(R45:R52)</f>
        <v>-570678.046392626</v>
      </c>
      <c r="S53" s="31" t="n">
        <f aca="false">SUM(S45:S52)</f>
        <v>-632090.417231291</v>
      </c>
      <c r="T53" s="31" t="n">
        <f aca="false">SUM(T45:T52)</f>
        <v>-696384.840238762</v>
      </c>
      <c r="U53" s="31" t="n">
        <f aca="false">SUM(U45:U52)</f>
        <v>-763791.704128678</v>
      </c>
      <c r="V53" s="31" t="n">
        <f aca="false">SUM(V45:V52)</f>
        <v>-834551.70644462</v>
      </c>
      <c r="W53" s="31" t="n">
        <f aca="false">SUM(W45:W52)</f>
        <v>-908917.48185706</v>
      </c>
      <c r="X53" s="31" t="n">
        <f aca="false">SUM(X45:X52)</f>
        <v>-987155.303966373</v>
      </c>
      <c r="Y53" s="31" t="n">
        <f aca="false">SUM(Y45:Y52)</f>
        <v>-1069546.87690695</v>
      </c>
      <c r="Z53" s="31" t="n">
        <f aca="false">SUM(Z45:Z52)</f>
        <v>-1156391.23367452</v>
      </c>
      <c r="AA53" s="31" t="n">
        <f aca="false">SUM(AA45:AA52)</f>
        <v>-1234545.61067717</v>
      </c>
      <c r="AB53" s="31" t="n">
        <f aca="false">SUM(AB45:AB52)</f>
        <v>-1312520.68264935</v>
      </c>
      <c r="AC53" s="31" t="n">
        <f aca="false">SUM(AC45:AC52)</f>
        <v>-1390749.65833194</v>
      </c>
      <c r="AD53" s="31" t="n">
        <f aca="false">SUM(AD45:AD52)</f>
        <v>-1469645.07215978</v>
      </c>
      <c r="AE53" s="31" t="n">
        <f aca="false">SUM(AE45:AE52)</f>
        <v>-1549603.17417451</v>
      </c>
      <c r="AF53" s="31" t="n">
        <f aca="false">SUM(AF45:AF52)</f>
        <v>-1631008.01841055</v>
      </c>
      <c r="AG53" s="31" t="n">
        <f aca="false">SUM(AG45:AG52)</f>
        <v>-1714235.29895451</v>
      </c>
      <c r="AH53" s="31" t="n">
        <f aca="false">SUM(AH45:AH52)</f>
        <v>-1799655.97890121</v>
      </c>
      <c r="AI53" s="31" t="n">
        <f aca="false">SUM(AI45:AI52)</f>
        <v>-1887639.75401948</v>
      </c>
      <c r="AJ53" s="31" t="n">
        <f aca="false">SUM(AJ45:AJ52)</f>
        <v>-1978558.39004572</v>
      </c>
      <c r="AK53" s="31" t="n">
        <f aca="false">SUM(AK45:AK52)</f>
        <v>-2072788.97010044</v>
      </c>
      <c r="AL53" s="31" t="n">
        <f aca="false">SUM(AL45:AL52)</f>
        <v>-2170717.08673292</v>
      </c>
      <c r="AM53" s="31" t="n">
        <f aca="false">SUM(AM45:AM52)</f>
        <v>-2272740.01151018</v>
      </c>
    </row>
    <row r="54" customFormat="false" ht="15" hidden="false" customHeight="false" outlineLevel="0" collapsed="false">
      <c r="A54" s="29" t="s">
        <v>363</v>
      </c>
      <c r="B54" s="8" t="s">
        <v>50</v>
      </c>
      <c r="C54" s="31" t="n">
        <f aca="false">SUM(D54:AM54)</f>
        <v>33297747.0720467</v>
      </c>
      <c r="D54" s="31" t="n">
        <f aca="false">D43+D53</f>
        <v>0</v>
      </c>
      <c r="E54" s="31" t="n">
        <f aca="false">E43+E53</f>
        <v>0</v>
      </c>
      <c r="F54" s="31" t="n">
        <f aca="false">F43+F53</f>
        <v>0</v>
      </c>
      <c r="G54" s="31" t="n">
        <f aca="false">G43+G53</f>
        <v>0</v>
      </c>
      <c r="H54" s="31" t="n">
        <f aca="false">H43+H53</f>
        <v>29703.9847262046</v>
      </c>
      <c r="I54" s="31" t="n">
        <f aca="false">I43+I53</f>
        <v>40717.0950192358</v>
      </c>
      <c r="J54" s="31" t="n">
        <f aca="false">J43+J53</f>
        <v>51004.7624912091</v>
      </c>
      <c r="K54" s="31" t="n">
        <f aca="false">K43+K53</f>
        <v>272823.809757824</v>
      </c>
      <c r="L54" s="31" t="n">
        <f aca="false">L43+L53</f>
        <v>252701.692614067</v>
      </c>
      <c r="M54" s="31" t="n">
        <f aca="false">M43+M53</f>
        <v>303862.2390161</v>
      </c>
      <c r="N54" s="31" t="n">
        <f aca="false">N43+N53</f>
        <v>356401.156283719</v>
      </c>
      <c r="O54" s="31" t="n">
        <f aca="false">O43+O53</f>
        <v>410525.664152323</v>
      </c>
      <c r="P54" s="31" t="n">
        <f aca="false">P43+P53</f>
        <v>466443.031308306</v>
      </c>
      <c r="Q54" s="31" t="n">
        <f aca="false">Q43+Q53</f>
        <v>524362.113724493</v>
      </c>
      <c r="R54" s="31" t="n">
        <f aca="false">R43+R53</f>
        <v>584494.864798253</v>
      </c>
      <c r="S54" s="31" t="n">
        <f aca="false">S43+S53</f>
        <v>647057.8333775</v>
      </c>
      <c r="T54" s="31" t="n">
        <f aca="false">T43+T53</f>
        <v>712273.665296959</v>
      </c>
      <c r="U54" s="31" t="n">
        <f aca="false">U43+U53</f>
        <v>780372.62376289</v>
      </c>
      <c r="V54" s="31" t="n">
        <f aca="false">V43+V53</f>
        <v>851594.143811931</v>
      </c>
      <c r="W54" s="31" t="n">
        <f aca="false">W43+W53</f>
        <v>926188.43612387</v>
      </c>
      <c r="X54" s="31" t="n">
        <f aca="false">X43+X53</f>
        <v>1004418.15568601</v>
      </c>
      <c r="Y54" s="31" t="n">
        <f aca="false">Y43+Y53</f>
        <v>1086560.1511871</v>
      </c>
      <c r="Z54" s="31" t="n">
        <f aca="false">Z43+Z53</f>
        <v>1172907.31156207</v>
      </c>
      <c r="AA54" s="31" t="n">
        <f aca="false">AA43+AA53</f>
        <v>1252588.68517529</v>
      </c>
      <c r="AB54" s="31" t="n">
        <f aca="false">AB43+AB53</f>
        <v>1332030.26991069</v>
      </c>
      <c r="AC54" s="31" t="n">
        <f aca="false">AC43+AC53</f>
        <v>1411674.02317329</v>
      </c>
      <c r="AD54" s="31" t="n">
        <f aca="false">AD43+AD53</f>
        <v>1491940.36527776</v>
      </c>
      <c r="AE54" s="31" t="n">
        <f aca="false">AE43+AE53</f>
        <v>1573232.66225831</v>
      </c>
      <c r="AF54" s="31" t="n">
        <f aca="false">AF43+AF53</f>
        <v>1655941.39692134</v>
      </c>
      <c r="AG54" s="31" t="n">
        <f aca="false">AG43+AG53</f>
        <v>1740448.07844018</v>
      </c>
      <c r="AH54" s="31" t="n">
        <f aca="false">AH43+AH53</f>
        <v>1827128.93669267</v>
      </c>
      <c r="AI54" s="31" t="n">
        <f aca="false">AI43+AI53</f>
        <v>1916358.44402275</v>
      </c>
      <c r="AJ54" s="31" t="n">
        <f aca="false">AJ43+AJ53</f>
        <v>2008512.70411547</v>
      </c>
      <c r="AK54" s="31" t="n">
        <f aca="false">AK43+AK53</f>
        <v>2103972.74516474</v>
      </c>
      <c r="AL54" s="31" t="n">
        <f aca="false">AL43+AL53</f>
        <v>2203127.75244604</v>
      </c>
      <c r="AM54" s="31" t="n">
        <f aca="false">AM43+AM53</f>
        <v>2306378.27374811</v>
      </c>
    </row>
    <row r="55" customFormat="false" ht="15" hidden="false" customHeight="false" outlineLevel="0" collapsed="false">
      <c r="A55" s="8" t="s">
        <v>364</v>
      </c>
      <c r="B55" s="8" t="s">
        <v>41</v>
      </c>
      <c r="D55" s="26" t="n">
        <f aca="false">IF(D43=0,0,D54/D43)</f>
        <v>0</v>
      </c>
      <c r="E55" s="26" t="n">
        <f aca="false">IF(E43=0,0,E54/E43)</f>
        <v>0</v>
      </c>
      <c r="F55" s="26" t="n">
        <f aca="false">IF(F43=0,0,F54/F43)</f>
        <v>0</v>
      </c>
      <c r="G55" s="26" t="n">
        <f aca="false">IF(G43=0,0,G54/G43)</f>
        <v>0</v>
      </c>
      <c r="H55" s="26" t="n">
        <f aca="false">IF(H43=0,0,H54/H43)</f>
        <v>0.490699960528634</v>
      </c>
      <c r="I55" s="26" t="n">
        <f aca="false">IF(I43=0,0,I54/I43)</f>
        <v>0.505078689711049</v>
      </c>
      <c r="J55" s="26" t="n">
        <f aca="false">IF(J43=0,0,J54/J43)</f>
        <v>0.513360011362678</v>
      </c>
      <c r="K55" s="26" t="n">
        <f aca="false">IF(K43=0,0,K54/K43)</f>
        <v>0.484570651504845</v>
      </c>
      <c r="L55" s="26" t="n">
        <f aca="false">IF(L43=0,0,L54/L43)</f>
        <v>0.501953009613045</v>
      </c>
      <c r="M55" s="26" t="n">
        <f aca="false">IF(M43=0,0,M54/M43)</f>
        <v>0.503773520719392</v>
      </c>
      <c r="N55" s="26" t="n">
        <f aca="false">IF(N43=0,0,N54/N43)</f>
        <v>0.50487730256395</v>
      </c>
      <c r="O55" s="26" t="n">
        <f aca="false">IF(O43=0,0,O54/O43)</f>
        <v>0.505525569689397</v>
      </c>
      <c r="P55" s="26" t="n">
        <f aca="false">IF(P43=0,0,P54/P43)</f>
        <v>0.505868883817958</v>
      </c>
      <c r="Q55" s="26" t="n">
        <f aca="false">IF(Q43=0,0,Q54/Q43)</f>
        <v>0.506000278986096</v>
      </c>
      <c r="R55" s="26" t="n">
        <f aca="false">IF(R43=0,0,R54/R43)</f>
        <v>0.5059804113617</v>
      </c>
      <c r="S55" s="26" t="n">
        <f aca="false">IF(S43=0,0,S54/S43)</f>
        <v>0.505850540052369</v>
      </c>
      <c r="T55" s="26" t="n">
        <f aca="false">IF(T43=0,0,T54/T43)</f>
        <v>0.505639700820234</v>
      </c>
      <c r="U55" s="26" t="n">
        <f aca="false">IF(U43=0,0,U54/U43)</f>
        <v>0.505368897381813</v>
      </c>
      <c r="V55" s="26" t="n">
        <f aca="false">IF(V43=0,0,V54/V43)</f>
        <v>0.505053666432449</v>
      </c>
      <c r="W55" s="26" t="n">
        <f aca="false">IF(W43=0,0,W54/W43)</f>
        <v>0.504705710470874</v>
      </c>
      <c r="X55" s="26" t="n">
        <f aca="false">IF(X43=0,0,X54/X43)</f>
        <v>0.504333973129631</v>
      </c>
      <c r="Y55" s="26" t="n">
        <f aca="false">IF(Y43=0,0,Y54/Y43)</f>
        <v>0.503945368680326</v>
      </c>
      <c r="Z55" s="26" t="n">
        <f aca="false">IF(Z43=0,0,Z54/Z43)</f>
        <v>0.503545290044792</v>
      </c>
      <c r="AA55" s="26" t="n">
        <f aca="false">IF(AA43=0,0,AA54/AA43)</f>
        <v>0.50362728191401</v>
      </c>
      <c r="AB55" s="26" t="n">
        <f aca="false">IF(AB43=0,0,AB54/AB43)</f>
        <v>0.503688638943116</v>
      </c>
      <c r="AC55" s="26" t="n">
        <f aca="false">IF(AC43=0,0,AC54/AC43)</f>
        <v>0.503733262207897</v>
      </c>
      <c r="AD55" s="26" t="n">
        <f aca="false">IF(AD43=0,0,AD54/AD43)</f>
        <v>0.503764080690724</v>
      </c>
      <c r="AE55" s="26" t="n">
        <f aca="false">IF(AE43=0,0,AE54/AE43)</f>
        <v>0.503783338177454</v>
      </c>
      <c r="AF55" s="26" t="n">
        <f aca="false">IF(AF43=0,0,AF54/AF43)</f>
        <v>0.503792784031675</v>
      </c>
      <c r="AG55" s="26" t="n">
        <f aca="false">IF(AG43=0,0,AG54/AG43)</f>
        <v>0.503793803457821</v>
      </c>
      <c r="AH55" s="26" t="n">
        <f aca="false">IF(AH43=0,0,AH54/AH43)</f>
        <v>0.503787508555213</v>
      </c>
      <c r="AI55" s="26" t="n">
        <f aca="false">IF(AI43=0,0,AI54/AI43)</f>
        <v>0.503774803313268</v>
      </c>
      <c r="AJ55" s="26" t="n">
        <f aca="false">IF(AJ43=0,0,AJ54/AJ43)</f>
        <v>0.503756430894049</v>
      </c>
      <c r="AK55" s="26" t="n">
        <f aca="false">IF(AK43=0,0,AK54/AK43)</f>
        <v>0.503733008630865</v>
      </c>
      <c r="AL55" s="26" t="n">
        <f aca="false">IF(AL43=0,0,AL54/AL43)</f>
        <v>0.503705054352043</v>
      </c>
      <c r="AM55" s="26" t="n">
        <f aca="false">IF(AM43=0,0,AM54/AM43)</f>
        <v>0.503673006476621</v>
      </c>
    </row>
    <row r="56" customFormat="false" ht="15" hidden="false" customHeight="false" outlineLevel="0" collapsed="false">
      <c r="A56" s="5" t="s">
        <v>365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</row>
    <row r="57" customFormat="false" ht="15" hidden="false" customHeight="false" outlineLevel="0" collapsed="false">
      <c r="A57" s="8" t="s">
        <v>366</v>
      </c>
      <c r="B57" s="8" t="s">
        <v>50</v>
      </c>
      <c r="C57" s="27" t="n">
        <f aca="false">SUM(D57:AM57)</f>
        <v>-8337566.05442357</v>
      </c>
      <c r="D57" s="27" t="n">
        <f aca="false">-D12</f>
        <v>-20000</v>
      </c>
      <c r="E57" s="27" t="n">
        <f aca="false">-E12</f>
        <v>-20000</v>
      </c>
      <c r="F57" s="27" t="n">
        <f aca="false">-F12</f>
        <v>-20000</v>
      </c>
      <c r="G57" s="27" t="n">
        <f aca="false">-G12</f>
        <v>-20000</v>
      </c>
      <c r="H57" s="27" t="n">
        <f aca="false">-H12</f>
        <v>-60000</v>
      </c>
      <c r="I57" s="27" t="n">
        <f aca="false">-I12</f>
        <v>-60000</v>
      </c>
      <c r="J57" s="27" t="n">
        <f aca="false">-J12</f>
        <v>-60000</v>
      </c>
      <c r="K57" s="27" t="n">
        <f aca="false">-K12</f>
        <v>-350000</v>
      </c>
      <c r="L57" s="27" t="n">
        <f aca="false">-L12</f>
        <v>-180000</v>
      </c>
      <c r="M57" s="27" t="n">
        <f aca="false">-M12</f>
        <v>-185400</v>
      </c>
      <c r="N57" s="27" t="n">
        <f aca="false">-N12</f>
        <v>-190962</v>
      </c>
      <c r="O57" s="27" t="n">
        <f aca="false">-O12</f>
        <v>-196690.86</v>
      </c>
      <c r="P57" s="27" t="n">
        <f aca="false">-P12</f>
        <v>-202591.5858</v>
      </c>
      <c r="Q57" s="27" t="n">
        <f aca="false">-Q12</f>
        <v>-208669.333374</v>
      </c>
      <c r="R57" s="27" t="n">
        <f aca="false">-R12</f>
        <v>-214929.41337522</v>
      </c>
      <c r="S57" s="27" t="n">
        <f aca="false">-S12</f>
        <v>-221377.295776477</v>
      </c>
      <c r="T57" s="27" t="n">
        <f aca="false">-T12</f>
        <v>-228018.614649771</v>
      </c>
      <c r="U57" s="27" t="n">
        <f aca="false">-U12</f>
        <v>-234859.173089264</v>
      </c>
      <c r="V57" s="27" t="n">
        <f aca="false">-V12</f>
        <v>-241904.948281942</v>
      </c>
      <c r="W57" s="27" t="n">
        <f aca="false">-W12</f>
        <v>-249162.0967304</v>
      </c>
      <c r="X57" s="27" t="n">
        <f aca="false">-X12</f>
        <v>-256636.959632312</v>
      </c>
      <c r="Y57" s="27" t="n">
        <f aca="false">-Y12</f>
        <v>-264336.068421282</v>
      </c>
      <c r="Z57" s="27" t="n">
        <f aca="false">-Z12</f>
        <v>-272266.15047392</v>
      </c>
      <c r="AA57" s="27" t="n">
        <f aca="false">-AA12</f>
        <v>-280434.134988138</v>
      </c>
      <c r="AB57" s="27" t="n">
        <f aca="false">-AB12</f>
        <v>-288847.159037782</v>
      </c>
      <c r="AC57" s="27" t="n">
        <f aca="false">-AC12</f>
        <v>-297512.573808915</v>
      </c>
      <c r="AD57" s="27" t="n">
        <f aca="false">-AD12</f>
        <v>-306437.951023183</v>
      </c>
      <c r="AE57" s="27" t="n">
        <f aca="false">-AE12</f>
        <v>-315631.089553878</v>
      </c>
      <c r="AF57" s="27" t="n">
        <f aca="false">-AF12</f>
        <v>-325100.022240495</v>
      </c>
      <c r="AG57" s="27" t="n">
        <f aca="false">-AG12</f>
        <v>-334853.022907709</v>
      </c>
      <c r="AH57" s="27" t="n">
        <f aca="false">-AH12</f>
        <v>-344898.613594941</v>
      </c>
      <c r="AI57" s="27" t="n">
        <f aca="false">-AI12</f>
        <v>-355245.572002789</v>
      </c>
      <c r="AJ57" s="27" t="n">
        <f aca="false">-AJ12</f>
        <v>-365902.939162873</v>
      </c>
      <c r="AK57" s="27" t="n">
        <f aca="false">-AK12</f>
        <v>-376880.027337759</v>
      </c>
      <c r="AL57" s="27" t="n">
        <f aca="false">-AL12</f>
        <v>-388186.428157892</v>
      </c>
      <c r="AM57" s="27" t="n">
        <f aca="false">-AM12</f>
        <v>-399832.021002629</v>
      </c>
    </row>
    <row r="58" customFormat="false" ht="15" hidden="false" customHeight="false" outlineLevel="0" collapsed="false">
      <c r="A58" s="8" t="s">
        <v>367</v>
      </c>
      <c r="B58" s="8" t="s">
        <v>50</v>
      </c>
      <c r="C58" s="27" t="n">
        <f aca="false">SUM(D58:AM58)</f>
        <v>-1525000</v>
      </c>
      <c r="D58" s="27" t="n">
        <f aca="false">-IF(D$3&lt;Assumptions!$E$7,0,IF(D$3&lt;Assumptions!$E$6,Assumptions!$E$71,Assumptions!$E$72))</f>
        <v>-0</v>
      </c>
      <c r="E58" s="27" t="n">
        <f aca="false">-IF(E$3&lt;Assumptions!$E$7,0,IF(E$3&lt;Assumptions!$E$6,Assumptions!$E$71,Assumptions!$E$72))</f>
        <v>-0</v>
      </c>
      <c r="F58" s="27" t="n">
        <f aca="false">-IF(F$3&lt;Assumptions!$E$7,0,IF(F$3&lt;Assumptions!$E$6,Assumptions!$E$71,Assumptions!$E$72))</f>
        <v>-0</v>
      </c>
      <c r="G58" s="27" t="n">
        <f aca="false">-IF(G$3&lt;Assumptions!$E$7,0,IF(G$3&lt;Assumptions!$E$6,Assumptions!$E$71,Assumptions!$E$72))</f>
        <v>-0</v>
      </c>
      <c r="H58" s="27" t="n">
        <f aca="false">-IF(H$3&lt;Assumptions!$E$7,0,IF(H$3&lt;Assumptions!$E$6,Assumptions!$E$71,Assumptions!$E$72))</f>
        <v>-25000</v>
      </c>
      <c r="I58" s="27" t="n">
        <f aca="false">-IF(I$3&lt;Assumptions!$E$7,0,IF(I$3&lt;Assumptions!$E$6,Assumptions!$E$71,Assumptions!$E$72))</f>
        <v>-25000</v>
      </c>
      <c r="J58" s="27" t="n">
        <f aca="false">-IF(J$3&lt;Assumptions!$E$7,0,IF(J$3&lt;Assumptions!$E$6,Assumptions!$E$71,Assumptions!$E$72))</f>
        <v>-25000</v>
      </c>
      <c r="K58" s="27" t="n">
        <f aca="false">-IF(K$3&lt;Assumptions!$E$7,0,IF(K$3&lt;Assumptions!$E$6,Assumptions!$E$71,Assumptions!$E$72))</f>
        <v>-50000</v>
      </c>
      <c r="L58" s="27" t="n">
        <f aca="false">-IF(L$3&lt;Assumptions!$E$7,0,IF(L$3&lt;Assumptions!$E$6,Assumptions!$E$71,Assumptions!$E$72))</f>
        <v>-50000</v>
      </c>
      <c r="M58" s="27" t="n">
        <f aca="false">-IF(M$3&lt;Assumptions!$E$7,0,IF(M$3&lt;Assumptions!$E$6,Assumptions!$E$71,Assumptions!$E$72))</f>
        <v>-50000</v>
      </c>
      <c r="N58" s="27" t="n">
        <f aca="false">-IF(N$3&lt;Assumptions!$E$7,0,IF(N$3&lt;Assumptions!$E$6,Assumptions!$E$71,Assumptions!$E$72))</f>
        <v>-50000</v>
      </c>
      <c r="O58" s="27" t="n">
        <f aca="false">-IF(O$3&lt;Assumptions!$E$7,0,IF(O$3&lt;Assumptions!$E$6,Assumptions!$E$71,Assumptions!$E$72))</f>
        <v>-50000</v>
      </c>
      <c r="P58" s="27" t="n">
        <f aca="false">-IF(P$3&lt;Assumptions!$E$7,0,IF(P$3&lt;Assumptions!$E$6,Assumptions!$E$71,Assumptions!$E$72))</f>
        <v>-50000</v>
      </c>
      <c r="Q58" s="27" t="n">
        <f aca="false">-IF(Q$3&lt;Assumptions!$E$7,0,IF(Q$3&lt;Assumptions!$E$6,Assumptions!$E$71,Assumptions!$E$72))</f>
        <v>-50000</v>
      </c>
      <c r="R58" s="27" t="n">
        <f aca="false">-IF(R$3&lt;Assumptions!$E$7,0,IF(R$3&lt;Assumptions!$E$6,Assumptions!$E$71,Assumptions!$E$72))</f>
        <v>-50000</v>
      </c>
      <c r="S58" s="27" t="n">
        <f aca="false">-IF(S$3&lt;Assumptions!$E$7,0,IF(S$3&lt;Assumptions!$E$6,Assumptions!$E$71,Assumptions!$E$72))</f>
        <v>-50000</v>
      </c>
      <c r="T58" s="27" t="n">
        <f aca="false">-IF(T$3&lt;Assumptions!$E$7,0,IF(T$3&lt;Assumptions!$E$6,Assumptions!$E$71,Assumptions!$E$72))</f>
        <v>-50000</v>
      </c>
      <c r="U58" s="27" t="n">
        <f aca="false">-IF(U$3&lt;Assumptions!$E$7,0,IF(U$3&lt;Assumptions!$E$6,Assumptions!$E$71,Assumptions!$E$72))</f>
        <v>-50000</v>
      </c>
      <c r="V58" s="27" t="n">
        <f aca="false">-IF(V$3&lt;Assumptions!$E$7,0,IF(V$3&lt;Assumptions!$E$6,Assumptions!$E$71,Assumptions!$E$72))</f>
        <v>-50000</v>
      </c>
      <c r="W58" s="27" t="n">
        <f aca="false">-IF(W$3&lt;Assumptions!$E$7,0,IF(W$3&lt;Assumptions!$E$6,Assumptions!$E$71,Assumptions!$E$72))</f>
        <v>-50000</v>
      </c>
      <c r="X58" s="27" t="n">
        <f aca="false">-IF(X$3&lt;Assumptions!$E$7,0,IF(X$3&lt;Assumptions!$E$6,Assumptions!$E$71,Assumptions!$E$72))</f>
        <v>-50000</v>
      </c>
      <c r="Y58" s="27" t="n">
        <f aca="false">-IF(Y$3&lt;Assumptions!$E$7,0,IF(Y$3&lt;Assumptions!$E$6,Assumptions!$E$71,Assumptions!$E$72))</f>
        <v>-50000</v>
      </c>
      <c r="Z58" s="27" t="n">
        <f aca="false">-IF(Z$3&lt;Assumptions!$E$7,0,IF(Z$3&lt;Assumptions!$E$6,Assumptions!$E$71,Assumptions!$E$72))</f>
        <v>-50000</v>
      </c>
      <c r="AA58" s="27" t="n">
        <f aca="false">-IF(AA$3&lt;Assumptions!$E$7,0,IF(AA$3&lt;Assumptions!$E$6,Assumptions!$E$71,Assumptions!$E$72))</f>
        <v>-50000</v>
      </c>
      <c r="AB58" s="27" t="n">
        <f aca="false">-IF(AB$3&lt;Assumptions!$E$7,0,IF(AB$3&lt;Assumptions!$E$6,Assumptions!$E$71,Assumptions!$E$72))</f>
        <v>-50000</v>
      </c>
      <c r="AC58" s="27" t="n">
        <f aca="false">-IF(AC$3&lt;Assumptions!$E$7,0,IF(AC$3&lt;Assumptions!$E$6,Assumptions!$E$71,Assumptions!$E$72))</f>
        <v>-50000</v>
      </c>
      <c r="AD58" s="27" t="n">
        <f aca="false">-IF(AD$3&lt;Assumptions!$E$7,0,IF(AD$3&lt;Assumptions!$E$6,Assumptions!$E$71,Assumptions!$E$72))</f>
        <v>-50000</v>
      </c>
      <c r="AE58" s="27" t="n">
        <f aca="false">-IF(AE$3&lt;Assumptions!$E$7,0,IF(AE$3&lt;Assumptions!$E$6,Assumptions!$E$71,Assumptions!$E$72))</f>
        <v>-50000</v>
      </c>
      <c r="AF58" s="27" t="n">
        <f aca="false">-IF(AF$3&lt;Assumptions!$E$7,0,IF(AF$3&lt;Assumptions!$E$6,Assumptions!$E$71,Assumptions!$E$72))</f>
        <v>-50000</v>
      </c>
      <c r="AG58" s="27" t="n">
        <f aca="false">-IF(AG$3&lt;Assumptions!$E$7,0,IF(AG$3&lt;Assumptions!$E$6,Assumptions!$E$71,Assumptions!$E$72))</f>
        <v>-50000</v>
      </c>
      <c r="AH58" s="27" t="n">
        <f aca="false">-IF(AH$3&lt;Assumptions!$E$7,0,IF(AH$3&lt;Assumptions!$E$6,Assumptions!$E$71,Assumptions!$E$72))</f>
        <v>-50000</v>
      </c>
      <c r="AI58" s="27" t="n">
        <f aca="false">-IF(AI$3&lt;Assumptions!$E$7,0,IF(AI$3&lt;Assumptions!$E$6,Assumptions!$E$71,Assumptions!$E$72))</f>
        <v>-50000</v>
      </c>
      <c r="AJ58" s="27" t="n">
        <f aca="false">-IF(AJ$3&lt;Assumptions!$E$7,0,IF(AJ$3&lt;Assumptions!$E$6,Assumptions!$E$71,Assumptions!$E$72))</f>
        <v>-50000</v>
      </c>
      <c r="AK58" s="27" t="n">
        <f aca="false">-IF(AK$3&lt;Assumptions!$E$7,0,IF(AK$3&lt;Assumptions!$E$6,Assumptions!$E$71,Assumptions!$E$72))</f>
        <v>-50000</v>
      </c>
      <c r="AL58" s="27" t="n">
        <f aca="false">-IF(AL$3&lt;Assumptions!$E$7,0,IF(AL$3&lt;Assumptions!$E$6,Assumptions!$E$71,Assumptions!$E$72))</f>
        <v>-50000</v>
      </c>
      <c r="AM58" s="27" t="n">
        <f aca="false">-IF(AM$3&lt;Assumptions!$E$7,0,IF(AM$3&lt;Assumptions!$E$6,Assumptions!$E$71,Assumptions!$E$72))</f>
        <v>-50000</v>
      </c>
    </row>
    <row r="59" customFormat="false" ht="15" hidden="false" customHeight="false" outlineLevel="0" collapsed="false">
      <c r="A59" s="8" t="s">
        <v>368</v>
      </c>
      <c r="B59" s="8" t="s">
        <v>50</v>
      </c>
      <c r="C59" s="27" t="n">
        <f aca="false">SUM(D59:AM59)</f>
        <v>-90000</v>
      </c>
      <c r="D59" s="27" t="n">
        <f aca="false">-D8*Assumptions!$E$70</f>
        <v>-0</v>
      </c>
      <c r="E59" s="27" t="n">
        <f aca="false">-E8*Assumptions!$E$70</f>
        <v>-0</v>
      </c>
      <c r="F59" s="27" t="n">
        <f aca="false">-F8*Assumptions!$E$70</f>
        <v>-0</v>
      </c>
      <c r="G59" s="27" t="n">
        <f aca="false">-G8*Assumptions!$E$70</f>
        <v>-0</v>
      </c>
      <c r="H59" s="27" t="n">
        <f aca="false">-H8*Assumptions!$E$70</f>
        <v>-0</v>
      </c>
      <c r="I59" s="27" t="n">
        <f aca="false">-I8*Assumptions!$E$70</f>
        <v>-0</v>
      </c>
      <c r="J59" s="27" t="n">
        <f aca="false">-J8*Assumptions!$E$70</f>
        <v>-0</v>
      </c>
      <c r="K59" s="27" t="n">
        <f aca="false">-K8*Assumptions!$E$70</f>
        <v>-90000</v>
      </c>
      <c r="L59" s="27" t="n">
        <f aca="false">-L8*Assumptions!$E$70</f>
        <v>-0</v>
      </c>
      <c r="M59" s="27" t="n">
        <f aca="false">-M8*Assumptions!$E$70</f>
        <v>-0</v>
      </c>
      <c r="N59" s="27" t="n">
        <f aca="false">-N8*Assumptions!$E$70</f>
        <v>-0</v>
      </c>
      <c r="O59" s="27" t="n">
        <f aca="false">-O8*Assumptions!$E$70</f>
        <v>-0</v>
      </c>
      <c r="P59" s="27" t="n">
        <f aca="false">-P8*Assumptions!$E$70</f>
        <v>-0</v>
      </c>
      <c r="Q59" s="27" t="n">
        <f aca="false">-Q8*Assumptions!$E$70</f>
        <v>-0</v>
      </c>
      <c r="R59" s="27" t="n">
        <f aca="false">-R8*Assumptions!$E$70</f>
        <v>-0</v>
      </c>
      <c r="S59" s="27" t="n">
        <f aca="false">-S8*Assumptions!$E$70</f>
        <v>-0</v>
      </c>
      <c r="T59" s="27" t="n">
        <f aca="false">-T8*Assumptions!$E$70</f>
        <v>-0</v>
      </c>
      <c r="U59" s="27" t="n">
        <f aca="false">-U8*Assumptions!$E$70</f>
        <v>-0</v>
      </c>
      <c r="V59" s="27" t="n">
        <f aca="false">-V8*Assumptions!$E$70</f>
        <v>-0</v>
      </c>
      <c r="W59" s="27" t="n">
        <f aca="false">-W8*Assumptions!$E$70</f>
        <v>-0</v>
      </c>
      <c r="X59" s="27" t="n">
        <f aca="false">-X8*Assumptions!$E$70</f>
        <v>-0</v>
      </c>
      <c r="Y59" s="27" t="n">
        <f aca="false">-Y8*Assumptions!$E$70</f>
        <v>-0</v>
      </c>
      <c r="Z59" s="27" t="n">
        <f aca="false">-Z8*Assumptions!$E$70</f>
        <v>-0</v>
      </c>
      <c r="AA59" s="27" t="n">
        <f aca="false">-AA8*Assumptions!$E$70</f>
        <v>-0</v>
      </c>
      <c r="AB59" s="27" t="n">
        <f aca="false">-AB8*Assumptions!$E$70</f>
        <v>-0</v>
      </c>
      <c r="AC59" s="27" t="n">
        <f aca="false">-AC8*Assumptions!$E$70</f>
        <v>-0</v>
      </c>
      <c r="AD59" s="27" t="n">
        <f aca="false">-AD8*Assumptions!$E$70</f>
        <v>-0</v>
      </c>
      <c r="AE59" s="27" t="n">
        <f aca="false">-AE8*Assumptions!$E$70</f>
        <v>-0</v>
      </c>
      <c r="AF59" s="27" t="n">
        <f aca="false">-AF8*Assumptions!$E$70</f>
        <v>-0</v>
      </c>
      <c r="AG59" s="27" t="n">
        <f aca="false">-AG8*Assumptions!$E$70</f>
        <v>-0</v>
      </c>
      <c r="AH59" s="27" t="n">
        <f aca="false">-AH8*Assumptions!$E$70</f>
        <v>-0</v>
      </c>
      <c r="AI59" s="27" t="n">
        <f aca="false">-AI8*Assumptions!$E$70</f>
        <v>-0</v>
      </c>
      <c r="AJ59" s="27" t="n">
        <f aca="false">-AJ8*Assumptions!$E$70</f>
        <v>-0</v>
      </c>
      <c r="AK59" s="27" t="n">
        <f aca="false">-AK8*Assumptions!$E$70</f>
        <v>-0</v>
      </c>
      <c r="AL59" s="27" t="n">
        <f aca="false">-AL8*Assumptions!$E$70</f>
        <v>-0</v>
      </c>
      <c r="AM59" s="27" t="n">
        <f aca="false">-AM8*Assumptions!$E$70</f>
        <v>-0</v>
      </c>
    </row>
    <row r="60" customFormat="false" ht="15" hidden="false" customHeight="false" outlineLevel="0" collapsed="false">
      <c r="A60" s="8" t="s">
        <v>369</v>
      </c>
      <c r="B60" s="8" t="s">
        <v>50</v>
      </c>
      <c r="C60" s="27" t="n">
        <f aca="false">SUM(D60:AM60)</f>
        <v>-960000</v>
      </c>
      <c r="D60" s="27" t="n">
        <f aca="false">-Assumptions!$E$74*IF(D$3&lt;Assumptions!$E$7,0,Assumptions!$E$75)</f>
        <v>-0</v>
      </c>
      <c r="E60" s="27" t="n">
        <f aca="false">-Assumptions!$E$74*IF(E$3&lt;Assumptions!$E$7,0,Assumptions!$E$75)</f>
        <v>-0</v>
      </c>
      <c r="F60" s="27" t="n">
        <f aca="false">-Assumptions!$E$74*IF(F$3&lt;Assumptions!$E$7,0,Assumptions!$E$75)</f>
        <v>-0</v>
      </c>
      <c r="G60" s="27" t="n">
        <f aca="false">-Assumptions!$E$74*IF(G$3&lt;Assumptions!$E$7,0,Assumptions!$E$75)</f>
        <v>-0</v>
      </c>
      <c r="H60" s="27" t="n">
        <f aca="false">-Assumptions!$E$74*IF(H$3&lt;Assumptions!$E$7,0,Assumptions!$E$75)</f>
        <v>-30000</v>
      </c>
      <c r="I60" s="27" t="n">
        <f aca="false">-Assumptions!$E$74*IF(I$3&lt;Assumptions!$E$7,0,Assumptions!$E$75)</f>
        <v>-30000</v>
      </c>
      <c r="J60" s="27" t="n">
        <f aca="false">-Assumptions!$E$74*IF(J$3&lt;Assumptions!$E$7,0,Assumptions!$E$75)</f>
        <v>-30000</v>
      </c>
      <c r="K60" s="27" t="n">
        <f aca="false">-Assumptions!$E$74*IF(K$3&lt;Assumptions!$E$7,0,Assumptions!$E$75)</f>
        <v>-30000</v>
      </c>
      <c r="L60" s="27" t="n">
        <f aca="false">-Assumptions!$E$74*IF(L$3&lt;Assumptions!$E$7,0,Assumptions!$E$75)</f>
        <v>-30000</v>
      </c>
      <c r="M60" s="27" t="n">
        <f aca="false">-Assumptions!$E$74*IF(M$3&lt;Assumptions!$E$7,0,Assumptions!$E$75)</f>
        <v>-30000</v>
      </c>
      <c r="N60" s="27" t="n">
        <f aca="false">-Assumptions!$E$74*IF(N$3&lt;Assumptions!$E$7,0,Assumptions!$E$75)</f>
        <v>-30000</v>
      </c>
      <c r="O60" s="27" t="n">
        <f aca="false">-Assumptions!$E$74*IF(O$3&lt;Assumptions!$E$7,0,Assumptions!$E$75)</f>
        <v>-30000</v>
      </c>
      <c r="P60" s="27" t="n">
        <f aca="false">-Assumptions!$E$74*IF(P$3&lt;Assumptions!$E$7,0,Assumptions!$E$75)</f>
        <v>-30000</v>
      </c>
      <c r="Q60" s="27" t="n">
        <f aca="false">-Assumptions!$E$74*IF(Q$3&lt;Assumptions!$E$7,0,Assumptions!$E$75)</f>
        <v>-30000</v>
      </c>
      <c r="R60" s="27" t="n">
        <f aca="false">-Assumptions!$E$74*IF(R$3&lt;Assumptions!$E$7,0,Assumptions!$E$75)</f>
        <v>-30000</v>
      </c>
      <c r="S60" s="27" t="n">
        <f aca="false">-Assumptions!$E$74*IF(S$3&lt;Assumptions!$E$7,0,Assumptions!$E$75)</f>
        <v>-30000</v>
      </c>
      <c r="T60" s="27" t="n">
        <f aca="false">-Assumptions!$E$74*IF(T$3&lt;Assumptions!$E$7,0,Assumptions!$E$75)</f>
        <v>-30000</v>
      </c>
      <c r="U60" s="27" t="n">
        <f aca="false">-Assumptions!$E$74*IF(U$3&lt;Assumptions!$E$7,0,Assumptions!$E$75)</f>
        <v>-30000</v>
      </c>
      <c r="V60" s="27" t="n">
        <f aca="false">-Assumptions!$E$74*IF(V$3&lt;Assumptions!$E$7,0,Assumptions!$E$75)</f>
        <v>-30000</v>
      </c>
      <c r="W60" s="27" t="n">
        <f aca="false">-Assumptions!$E$74*IF(W$3&lt;Assumptions!$E$7,0,Assumptions!$E$75)</f>
        <v>-30000</v>
      </c>
      <c r="X60" s="27" t="n">
        <f aca="false">-Assumptions!$E$74*IF(X$3&lt;Assumptions!$E$7,0,Assumptions!$E$75)</f>
        <v>-30000</v>
      </c>
      <c r="Y60" s="27" t="n">
        <f aca="false">-Assumptions!$E$74*IF(Y$3&lt;Assumptions!$E$7,0,Assumptions!$E$75)</f>
        <v>-30000</v>
      </c>
      <c r="Z60" s="27" t="n">
        <f aca="false">-Assumptions!$E$74*IF(Z$3&lt;Assumptions!$E$7,0,Assumptions!$E$75)</f>
        <v>-30000</v>
      </c>
      <c r="AA60" s="27" t="n">
        <f aca="false">-Assumptions!$E$74*IF(AA$3&lt;Assumptions!$E$7,0,Assumptions!$E$75)</f>
        <v>-30000</v>
      </c>
      <c r="AB60" s="27" t="n">
        <f aca="false">-Assumptions!$E$74*IF(AB$3&lt;Assumptions!$E$7,0,Assumptions!$E$75)</f>
        <v>-30000</v>
      </c>
      <c r="AC60" s="27" t="n">
        <f aca="false">-Assumptions!$E$74*IF(AC$3&lt;Assumptions!$E$7,0,Assumptions!$E$75)</f>
        <v>-30000</v>
      </c>
      <c r="AD60" s="27" t="n">
        <f aca="false">-Assumptions!$E$74*IF(AD$3&lt;Assumptions!$E$7,0,Assumptions!$E$75)</f>
        <v>-30000</v>
      </c>
      <c r="AE60" s="27" t="n">
        <f aca="false">-Assumptions!$E$74*IF(AE$3&lt;Assumptions!$E$7,0,Assumptions!$E$75)</f>
        <v>-30000</v>
      </c>
      <c r="AF60" s="27" t="n">
        <f aca="false">-Assumptions!$E$74*IF(AF$3&lt;Assumptions!$E$7,0,Assumptions!$E$75)</f>
        <v>-30000</v>
      </c>
      <c r="AG60" s="27" t="n">
        <f aca="false">-Assumptions!$E$74*IF(AG$3&lt;Assumptions!$E$7,0,Assumptions!$E$75)</f>
        <v>-30000</v>
      </c>
      <c r="AH60" s="27" t="n">
        <f aca="false">-Assumptions!$E$74*IF(AH$3&lt;Assumptions!$E$7,0,Assumptions!$E$75)</f>
        <v>-30000</v>
      </c>
      <c r="AI60" s="27" t="n">
        <f aca="false">-Assumptions!$E$74*IF(AI$3&lt;Assumptions!$E$7,0,Assumptions!$E$75)</f>
        <v>-30000</v>
      </c>
      <c r="AJ60" s="27" t="n">
        <f aca="false">-Assumptions!$E$74*IF(AJ$3&lt;Assumptions!$E$7,0,Assumptions!$E$75)</f>
        <v>-30000</v>
      </c>
      <c r="AK60" s="27" t="n">
        <f aca="false">-Assumptions!$E$74*IF(AK$3&lt;Assumptions!$E$7,0,Assumptions!$E$75)</f>
        <v>-30000</v>
      </c>
      <c r="AL60" s="27" t="n">
        <f aca="false">-Assumptions!$E$74*IF(AL$3&lt;Assumptions!$E$7,0,Assumptions!$E$75)</f>
        <v>-30000</v>
      </c>
      <c r="AM60" s="27" t="n">
        <f aca="false">-Assumptions!$E$74*IF(AM$3&lt;Assumptions!$E$7,0,Assumptions!$E$75)</f>
        <v>-30000</v>
      </c>
    </row>
    <row r="61" customFormat="false" ht="15" hidden="false" customHeight="false" outlineLevel="0" collapsed="false">
      <c r="A61" s="8" t="s">
        <v>370</v>
      </c>
      <c r="B61" s="8" t="s">
        <v>50</v>
      </c>
      <c r="C61" s="27" t="n">
        <f aca="false">SUM(D61:AM61)</f>
        <v>-1982387.89434399</v>
      </c>
      <c r="D61" s="27" t="n">
        <f aca="false">-Assumptions!$E$74*D43*Assumptions!$E$76</f>
        <v>-0</v>
      </c>
      <c r="E61" s="27" t="n">
        <f aca="false">-Assumptions!$E$74*E43*Assumptions!$E$76</f>
        <v>-0</v>
      </c>
      <c r="F61" s="27" t="n">
        <f aca="false">-Assumptions!$E$74*F43*Assumptions!$E$76</f>
        <v>-0</v>
      </c>
      <c r="G61" s="27" t="n">
        <f aca="false">-Assumptions!$E$74*G43*Assumptions!$E$76</f>
        <v>-0</v>
      </c>
      <c r="H61" s="27" t="n">
        <f aca="false">-Assumptions!$E$74*H43*Assumptions!$E$76</f>
        <v>-1816.01714584638</v>
      </c>
      <c r="I61" s="27" t="n">
        <f aca="false">-Assumptions!$E$74*I43*Assumptions!$E$76</f>
        <v>-2418.460480437</v>
      </c>
      <c r="J61" s="27" t="n">
        <f aca="false">-Assumptions!$E$74*J43*Assumptions!$E$76</f>
        <v>-2980.64290335864</v>
      </c>
      <c r="K61" s="27" t="n">
        <f aca="false">-Assumptions!$E$74*K43*Assumptions!$E$76</f>
        <v>-16890.6521006109</v>
      </c>
      <c r="L61" s="27" t="n">
        <f aca="false">-Assumptions!$E$74*L43*Assumptions!$E$76</f>
        <v>-15103.1085245733</v>
      </c>
      <c r="M61" s="27" t="n">
        <f aca="false">-Assumptions!$E$74*M43*Assumptions!$E$76</f>
        <v>-18095.1693480544</v>
      </c>
      <c r="N61" s="27" t="n">
        <f aca="false">-Assumptions!$E$74*N43*Assumptions!$E$76</f>
        <v>-21177.4913116782</v>
      </c>
      <c r="O61" s="27" t="n">
        <f aca="false">-Assumptions!$E$74*O43*Assumptions!$E$76</f>
        <v>-24362.308581417</v>
      </c>
      <c r="P61" s="27" t="n">
        <f aca="false">-Assumptions!$E$74*P43*Assumptions!$E$76</f>
        <v>-27661.8930060241</v>
      </c>
      <c r="Q61" s="27" t="n">
        <f aca="false">-Assumptions!$E$74*Q43*Assumptions!$E$76</f>
        <v>-31088.6457281322</v>
      </c>
      <c r="R61" s="27" t="n">
        <f aca="false">-Assumptions!$E$74*R43*Assumptions!$E$76</f>
        <v>-34655.1873357263</v>
      </c>
      <c r="S61" s="27" t="n">
        <f aca="false">-Assumptions!$E$74*S43*Assumptions!$E$76</f>
        <v>-38374.4475182637</v>
      </c>
      <c r="T61" s="27" t="n">
        <f aca="false">-Assumptions!$E$74*T43*Assumptions!$E$76</f>
        <v>-42259.7551660716</v>
      </c>
      <c r="U61" s="27" t="n">
        <f aca="false">-Assumptions!$E$74*U43*Assumptions!$E$76</f>
        <v>-46324.929836747</v>
      </c>
      <c r="V61" s="27" t="n">
        <f aca="false">-Assumptions!$E$74*V43*Assumptions!$E$76</f>
        <v>-50584.3755076965</v>
      </c>
      <c r="W61" s="27" t="n">
        <f aca="false">-Assumptions!$E$74*W43*Assumptions!$E$76</f>
        <v>-55053.1775394279</v>
      </c>
      <c r="X61" s="27" t="n">
        <f aca="false">-Assumptions!$E$74*X43*Assumptions!$E$76</f>
        <v>-59747.2037895715</v>
      </c>
      <c r="Y61" s="27" t="n">
        <f aca="false">-Assumptions!$E$74*Y43*Assumptions!$E$76</f>
        <v>-64683.2108428216</v>
      </c>
      <c r="Z61" s="27" t="n">
        <f aca="false">-Assumptions!$E$74*Z43*Assumptions!$E$76</f>
        <v>-69878.9563570976</v>
      </c>
      <c r="AA61" s="27" t="n">
        <f aca="false">-Assumptions!$E$74*AA43*Assumptions!$E$76</f>
        <v>-74614.0288755737</v>
      </c>
      <c r="AB61" s="27" t="n">
        <f aca="false">-Assumptions!$E$74*AB43*Assumptions!$E$76</f>
        <v>-79336.5285768012</v>
      </c>
      <c r="AC61" s="27" t="n">
        <f aca="false">-Assumptions!$E$74*AC43*Assumptions!$E$76</f>
        <v>-84072.7104451568</v>
      </c>
      <c r="AD61" s="27" t="n">
        <f aca="false">-Assumptions!$E$74*AD43*Assumptions!$E$76</f>
        <v>-88847.5631231261</v>
      </c>
      <c r="AE61" s="27" t="n">
        <f aca="false">-Assumptions!$E$74*AE43*Assumptions!$E$76</f>
        <v>-93685.0750929846</v>
      </c>
      <c r="AF61" s="27" t="n">
        <f aca="false">-Assumptions!$E$74*AF43*Assumptions!$E$76</f>
        <v>-98608.4824599568</v>
      </c>
      <c r="AG61" s="27" t="n">
        <f aca="false">-Assumptions!$E$74*AG43*Assumptions!$E$76</f>
        <v>-103640.501321841</v>
      </c>
      <c r="AH61" s="27" t="n">
        <f aca="false">-Assumptions!$E$74*AH43*Assumptions!$E$76</f>
        <v>-108803.547467816</v>
      </c>
      <c r="AI61" s="27" t="n">
        <f aca="false">-Assumptions!$E$74*AI43*Assumptions!$E$76</f>
        <v>-114119.945941267</v>
      </c>
      <c r="AJ61" s="27" t="n">
        <f aca="false">-Assumptions!$E$74*AJ43*Assumptions!$E$76</f>
        <v>-119612.132824836</v>
      </c>
      <c r="AK61" s="27" t="n">
        <f aca="false">-Assumptions!$E$74*AK43*Assumptions!$E$76</f>
        <v>-125302.851457955</v>
      </c>
      <c r="AL61" s="27" t="n">
        <f aca="false">-Assumptions!$E$74*AL43*Assumptions!$E$76</f>
        <v>-131215.345175369</v>
      </c>
      <c r="AM61" s="27" t="n">
        <f aca="false">-Assumptions!$E$74*AM43*Assumptions!$E$76</f>
        <v>-137373.548557749</v>
      </c>
    </row>
    <row r="62" customFormat="false" ht="15" hidden="false" customHeight="false" outlineLevel="0" collapsed="false">
      <c r="A62" s="29" t="s">
        <v>371</v>
      </c>
      <c r="B62" s="8" t="s">
        <v>50</v>
      </c>
      <c r="C62" s="31" t="n">
        <f aca="false">SUM(D62:AM62)</f>
        <v>-12894953.9487676</v>
      </c>
      <c r="D62" s="31" t="n">
        <f aca="false">SUM(D57:D61)</f>
        <v>-20000</v>
      </c>
      <c r="E62" s="31" t="n">
        <f aca="false">SUM(E57:E61)</f>
        <v>-20000</v>
      </c>
      <c r="F62" s="31" t="n">
        <f aca="false">SUM(F57:F61)</f>
        <v>-20000</v>
      </c>
      <c r="G62" s="31" t="n">
        <f aca="false">SUM(G57:G61)</f>
        <v>-20000</v>
      </c>
      <c r="H62" s="31" t="n">
        <f aca="false">SUM(H57:H61)</f>
        <v>-116816.017145846</v>
      </c>
      <c r="I62" s="31" t="n">
        <f aca="false">SUM(I57:I61)</f>
        <v>-117418.460480437</v>
      </c>
      <c r="J62" s="31" t="n">
        <f aca="false">SUM(J57:J61)</f>
        <v>-117980.642903359</v>
      </c>
      <c r="K62" s="31" t="n">
        <f aca="false">SUM(K57:K61)</f>
        <v>-536890.652100611</v>
      </c>
      <c r="L62" s="31" t="n">
        <f aca="false">SUM(L57:L61)</f>
        <v>-275103.108524573</v>
      </c>
      <c r="M62" s="31" t="n">
        <f aca="false">SUM(M57:M61)</f>
        <v>-283495.169348054</v>
      </c>
      <c r="N62" s="31" t="n">
        <f aca="false">SUM(N57:N61)</f>
        <v>-292139.491311678</v>
      </c>
      <c r="O62" s="31" t="n">
        <f aca="false">SUM(O57:O61)</f>
        <v>-301053.168581417</v>
      </c>
      <c r="P62" s="31" t="n">
        <f aca="false">SUM(P57:P61)</f>
        <v>-310253.478806024</v>
      </c>
      <c r="Q62" s="31" t="n">
        <f aca="false">SUM(Q57:Q61)</f>
        <v>-319757.979102132</v>
      </c>
      <c r="R62" s="31" t="n">
        <f aca="false">SUM(R57:R61)</f>
        <v>-329584.600710946</v>
      </c>
      <c r="S62" s="31" t="n">
        <f aca="false">SUM(S57:S61)</f>
        <v>-339751.74329474</v>
      </c>
      <c r="T62" s="31" t="n">
        <f aca="false">SUM(T57:T61)</f>
        <v>-350278.369815843</v>
      </c>
      <c r="U62" s="31" t="n">
        <f aca="false">SUM(U57:U61)</f>
        <v>-361184.102926011</v>
      </c>
      <c r="V62" s="31" t="n">
        <f aca="false">SUM(V57:V61)</f>
        <v>-372489.323789639</v>
      </c>
      <c r="W62" s="31" t="n">
        <f aca="false">SUM(W57:W61)</f>
        <v>-384215.274269828</v>
      </c>
      <c r="X62" s="31" t="n">
        <f aca="false">SUM(X57:X61)</f>
        <v>-396384.163421884</v>
      </c>
      <c r="Y62" s="31" t="n">
        <f aca="false">SUM(Y57:Y61)</f>
        <v>-409019.279264103</v>
      </c>
      <c r="Z62" s="31" t="n">
        <f aca="false">SUM(Z57:Z61)</f>
        <v>-422145.106831018</v>
      </c>
      <c r="AA62" s="31" t="n">
        <f aca="false">SUM(AA57:AA61)</f>
        <v>-435048.163863711</v>
      </c>
      <c r="AB62" s="31" t="n">
        <f aca="false">SUM(AB57:AB61)</f>
        <v>-448183.687614583</v>
      </c>
      <c r="AC62" s="31" t="n">
        <f aca="false">SUM(AC57:AC61)</f>
        <v>-461585.284254072</v>
      </c>
      <c r="AD62" s="31" t="n">
        <f aca="false">SUM(AD57:AD61)</f>
        <v>-475285.514146309</v>
      </c>
      <c r="AE62" s="31" t="n">
        <f aca="false">SUM(AE57:AE61)</f>
        <v>-489316.164646863</v>
      </c>
      <c r="AF62" s="31" t="n">
        <f aca="false">SUM(AF57:AF61)</f>
        <v>-503708.504700451</v>
      </c>
      <c r="AG62" s="31" t="n">
        <f aca="false">SUM(AG57:AG61)</f>
        <v>-518493.52422955</v>
      </c>
      <c r="AH62" s="31" t="n">
        <f aca="false">SUM(AH57:AH61)</f>
        <v>-533702.161062757</v>
      </c>
      <c r="AI62" s="31" t="n">
        <f aca="false">SUM(AI57:AI61)</f>
        <v>-549365.517944056</v>
      </c>
      <c r="AJ62" s="31" t="n">
        <f aca="false">SUM(AJ57:AJ61)</f>
        <v>-565515.071987708</v>
      </c>
      <c r="AK62" s="31" t="n">
        <f aca="false">SUM(AK57:AK61)</f>
        <v>-582182.878795714</v>
      </c>
      <c r="AL62" s="31" t="n">
        <f aca="false">SUM(AL57:AL61)</f>
        <v>-599401.77333326</v>
      </c>
      <c r="AM62" s="31" t="n">
        <f aca="false">SUM(AM57:AM61)</f>
        <v>-617205.569560377</v>
      </c>
    </row>
    <row r="63" customFormat="false" ht="15" hidden="false" customHeight="false" outlineLevel="0" collapsed="false">
      <c r="A63" s="29" t="s">
        <v>372</v>
      </c>
      <c r="B63" s="8" t="s">
        <v>50</v>
      </c>
      <c r="C63" s="31" t="n">
        <f aca="false">SUM(D63:AM63)</f>
        <v>20402793.1232791</v>
      </c>
      <c r="D63" s="31" t="n">
        <f aca="false">D54+D62</f>
        <v>-20000</v>
      </c>
      <c r="E63" s="31" t="n">
        <f aca="false">E54+E62</f>
        <v>-20000</v>
      </c>
      <c r="F63" s="31" t="n">
        <f aca="false">F54+F62</f>
        <v>-20000</v>
      </c>
      <c r="G63" s="31" t="n">
        <f aca="false">G54+G62</f>
        <v>-20000</v>
      </c>
      <c r="H63" s="31" t="n">
        <f aca="false">H54+H62</f>
        <v>-87112.0324196417</v>
      </c>
      <c r="I63" s="31" t="n">
        <f aca="false">I54+I62</f>
        <v>-76701.3654612013</v>
      </c>
      <c r="J63" s="31" t="n">
        <f aca="false">J54+J62</f>
        <v>-66975.8804121495</v>
      </c>
      <c r="K63" s="31" t="n">
        <f aca="false">K54+K62</f>
        <v>-264066.842342787</v>
      </c>
      <c r="L63" s="31" t="n">
        <f aca="false">L54+L62</f>
        <v>-22401.4159105059</v>
      </c>
      <c r="M63" s="31" t="n">
        <f aca="false">M54+M62</f>
        <v>20367.0696680454</v>
      </c>
      <c r="N63" s="31" t="n">
        <f aca="false">N54+N62</f>
        <v>64261.6649720413</v>
      </c>
      <c r="O63" s="31" t="n">
        <f aca="false">O54+O62</f>
        <v>109472.495570906</v>
      </c>
      <c r="P63" s="31" t="n">
        <f aca="false">P54+P62</f>
        <v>156189.552502282</v>
      </c>
      <c r="Q63" s="31" t="n">
        <f aca="false">Q54+Q62</f>
        <v>204604.13462236</v>
      </c>
      <c r="R63" s="31" t="n">
        <f aca="false">R54+R62</f>
        <v>254910.264087306</v>
      </c>
      <c r="S63" s="31" t="n">
        <f aca="false">S54+S62</f>
        <v>307306.090082759</v>
      </c>
      <c r="T63" s="31" t="n">
        <f aca="false">T54+T62</f>
        <v>361995.295481116</v>
      </c>
      <c r="U63" s="31" t="n">
        <f aca="false">U54+U62</f>
        <v>419188.520836879</v>
      </c>
      <c r="V63" s="31" t="n">
        <f aca="false">V54+V62</f>
        <v>479104.820022293</v>
      </c>
      <c r="W63" s="31" t="n">
        <f aca="false">W54+W62</f>
        <v>541973.161854042</v>
      </c>
      <c r="X63" s="31" t="n">
        <f aca="false">X54+X62</f>
        <v>608033.992264127</v>
      </c>
      <c r="Y63" s="31" t="n">
        <f aca="false">Y54+Y62</f>
        <v>677540.871922998</v>
      </c>
      <c r="Z63" s="31" t="n">
        <f aca="false">Z54+Z62</f>
        <v>750762.204731051</v>
      </c>
      <c r="AA63" s="31" t="n">
        <f aca="false">AA54+AA62</f>
        <v>817540.521311576</v>
      </c>
      <c r="AB63" s="31" t="n">
        <f aca="false">AB54+AB62</f>
        <v>883846.582296104</v>
      </c>
      <c r="AC63" s="31" t="n">
        <f aca="false">AC54+AC62</f>
        <v>950088.738919219</v>
      </c>
      <c r="AD63" s="31" t="n">
        <f aca="false">AD54+AD62</f>
        <v>1016654.85113145</v>
      </c>
      <c r="AE63" s="31" t="n">
        <f aca="false">AE54+AE62</f>
        <v>1083916.49761144</v>
      </c>
      <c r="AF63" s="31" t="n">
        <f aca="false">AF54+AF62</f>
        <v>1152232.89222089</v>
      </c>
      <c r="AG63" s="31" t="n">
        <f aca="false">AG54+AG62</f>
        <v>1221954.55421063</v>
      </c>
      <c r="AH63" s="31" t="n">
        <f aca="false">AH54+AH62</f>
        <v>1293426.77562991</v>
      </c>
      <c r="AI63" s="31" t="n">
        <f aca="false">AI54+AI62</f>
        <v>1366992.92607869</v>
      </c>
      <c r="AJ63" s="31" t="n">
        <f aca="false">AJ54+AJ62</f>
        <v>1442997.63212776</v>
      </c>
      <c r="AK63" s="31" t="n">
        <f aca="false">AK54+AK62</f>
        <v>1521789.86636903</v>
      </c>
      <c r="AL63" s="31" t="n">
        <f aca="false">AL54+AL62</f>
        <v>1603725.97911278</v>
      </c>
      <c r="AM63" s="31" t="n">
        <f aca="false">AM54+AM62</f>
        <v>1689172.70418774</v>
      </c>
    </row>
    <row r="64" customFormat="false" ht="15" hidden="false" customHeight="false" outlineLevel="0" collapsed="false">
      <c r="A64" s="8" t="s">
        <v>373</v>
      </c>
      <c r="B64" s="8" t="s">
        <v>293</v>
      </c>
      <c r="C64" s="28" t="n">
        <f aca="false">SUM(D64:AM64)</f>
        <v>87379.2783373562</v>
      </c>
      <c r="D64" s="28" t="n">
        <f aca="false">D23+D28+D31</f>
        <v>0</v>
      </c>
      <c r="E64" s="28" t="n">
        <f aca="false">E23+E28+E31</f>
        <v>0</v>
      </c>
      <c r="F64" s="28" t="n">
        <f aca="false">F23+F28+F31</f>
        <v>0</v>
      </c>
      <c r="G64" s="28" t="n">
        <f aca="false">G23+G28+G31</f>
        <v>0</v>
      </c>
      <c r="H64" s="28" t="n">
        <f aca="false">H23+H28+H31</f>
        <v>510.402053366009</v>
      </c>
      <c r="I64" s="28" t="n">
        <f aca="false">I23+I28+I31</f>
        <v>515.23688012895</v>
      </c>
      <c r="J64" s="28" t="n">
        <f aca="false">J23+J28+J31</f>
        <v>520.506841300555</v>
      </c>
      <c r="K64" s="28" t="n">
        <f aca="false">K23+K28+K31</f>
        <v>2935.75794145777</v>
      </c>
      <c r="L64" s="28" t="n">
        <f aca="false">L23+L28+L31</f>
        <v>1578.00905797627</v>
      </c>
      <c r="M64" s="28" t="n">
        <f aca="false">M23+M28+M31</f>
        <v>1646.73823846029</v>
      </c>
      <c r="N64" s="28" t="n">
        <f aca="false">N23+N28+N31</f>
        <v>1718.66350916742</v>
      </c>
      <c r="O64" s="28" t="n">
        <f aca="false">O23+O28+O31</f>
        <v>1793.96285688714</v>
      </c>
      <c r="P64" s="28" t="n">
        <f aca="false">P23+P28+P31</f>
        <v>1872.82673547489</v>
      </c>
      <c r="Q64" s="28" t="n">
        <f aca="false">Q23+Q28+Q31</f>
        <v>1955.45910384024</v>
      </c>
      <c r="R64" s="28" t="n">
        <f aca="false">R23+R28+R31</f>
        <v>2042.07855824019</v>
      </c>
      <c r="S64" s="28" t="n">
        <f aca="false">S23+S28+S31</f>
        <v>2132.91956773995</v>
      </c>
      <c r="T64" s="28" t="n">
        <f aca="false">T23+T28+T31</f>
        <v>2228.23382254467</v>
      </c>
      <c r="U64" s="28" t="n">
        <f aca="false">U23+U28+U31</f>
        <v>2328.29170582736</v>
      </c>
      <c r="V64" s="28" t="n">
        <f aca="false">V23+V28+V31</f>
        <v>2433.38390068697</v>
      </c>
      <c r="W64" s="28" t="n">
        <f aca="false">W23+W28+W31</f>
        <v>2543.8231449758</v>
      </c>
      <c r="X64" s="28" t="n">
        <f aca="false">X23+X28+X31</f>
        <v>2659.9461479453</v>
      </c>
      <c r="Y64" s="28" t="n">
        <f aca="false">Y23+Y28+Y31</f>
        <v>2782.11568398426</v>
      </c>
      <c r="Z64" s="28" t="n">
        <f aca="false">Z23+Z28+Z31</f>
        <v>2910.7228801746</v>
      </c>
      <c r="AA64" s="28" t="n">
        <f aca="false">AA23+AA28+AA31</f>
        <v>3021.19974400585</v>
      </c>
      <c r="AB64" s="28" t="n">
        <f aca="false">AB23+AB28+AB31</f>
        <v>3137.07487972038</v>
      </c>
      <c r="AC64" s="28" t="n">
        <f aca="false">AC23+AC28+AC31</f>
        <v>3258.69779241183</v>
      </c>
      <c r="AD64" s="28" t="n">
        <f aca="false">AD23+AD28+AD31</f>
        <v>3386.44535245102</v>
      </c>
      <c r="AE64" s="28" t="n">
        <f aca="false">AE23+AE28+AE31</f>
        <v>3520.72413565539</v>
      </c>
      <c r="AF64" s="28" t="n">
        <f aca="false">AF23+AF28+AF31</f>
        <v>3661.97297039268</v>
      </c>
      <c r="AG64" s="28" t="n">
        <f aca="false">AG23+AG28+AG31</f>
        <v>3810.66571013216</v>
      </c>
      <c r="AH64" s="28" t="n">
        <f aca="false">AH23+AH28+AH31</f>
        <v>3967.31425162033</v>
      </c>
      <c r="AI64" s="28" t="n">
        <f aca="false">AI23+AI28+AI31</f>
        <v>4132.47182066971</v>
      </c>
      <c r="AJ64" s="28" t="n">
        <f aca="false">AJ23+AJ28+AJ31</f>
        <v>4306.73654952565</v>
      </c>
      <c r="AK64" s="28" t="n">
        <f aca="false">AK23+AK28+AK31</f>
        <v>4490.7553719285</v>
      </c>
      <c r="AL64" s="28" t="n">
        <f aca="false">AL23+AL28+AL31</f>
        <v>4685.22826433596</v>
      </c>
      <c r="AM64" s="28" t="n">
        <f aca="false">AM23+AM28+AM31</f>
        <v>4890.91286432812</v>
      </c>
    </row>
    <row r="65" customFormat="false" ht="15" hidden="false" customHeight="false" outlineLevel="0" collapsed="false">
      <c r="A65" s="8" t="s">
        <v>374</v>
      </c>
      <c r="B65" s="8" t="s">
        <v>50</v>
      </c>
      <c r="D65" s="27" t="n">
        <f aca="false">IF(D64=0,0,-(D57+D58+D59)/D64)</f>
        <v>0</v>
      </c>
      <c r="E65" s="27" t="n">
        <f aca="false">IF(E64=0,0,-(E57+E58+E59)/E64)</f>
        <v>0</v>
      </c>
      <c r="F65" s="27" t="n">
        <f aca="false">IF(F64=0,0,-(F57+F58+F59)/F64)</f>
        <v>0</v>
      </c>
      <c r="G65" s="27" t="n">
        <f aca="false">IF(G64=0,0,-(G57+G58+G59)/G64)</f>
        <v>0</v>
      </c>
      <c r="H65" s="27" t="n">
        <f aca="false">IF(H64=0,0,-(H57+H58+H59)/H64)</f>
        <v>166.535380176158</v>
      </c>
      <c r="I65" s="27" t="n">
        <f aca="false">IF(I64=0,0,-(I57+I58+I59)/I64)</f>
        <v>164.972662629909</v>
      </c>
      <c r="J65" s="27" t="n">
        <f aca="false">IF(J64=0,0,-(J57+J58+J59)/J64)</f>
        <v>163.302368490712</v>
      </c>
      <c r="K65" s="27" t="n">
        <f aca="false">IF(K64=0,0,-(K57+K58+K59)/K64)</f>
        <v>166.907493659606</v>
      </c>
      <c r="L65" s="27" t="n">
        <f aca="false">IF(L64=0,0,-(L57+L58+L59)/L64)</f>
        <v>145.753282490638</v>
      </c>
      <c r="M65" s="27" t="n">
        <f aca="false">IF(M64=0,0,-(M57+M58+M59)/M64)</f>
        <v>142.949252347538</v>
      </c>
      <c r="N65" s="27" t="n">
        <f aca="false">IF(N64=0,0,-(N57+N58+N59)/N64)</f>
        <v>140.203128020522</v>
      </c>
      <c r="O65" s="27" t="n">
        <f aca="false">IF(O64=0,0,-(O57+O58+O59)/O64)</f>
        <v>137.511687632181</v>
      </c>
      <c r="P65" s="27" t="n">
        <f aca="false">IF(P64=0,0,-(P57+P58+P59)/P64)</f>
        <v>134.871838924251</v>
      </c>
      <c r="Q65" s="27" t="n">
        <f aca="false">IF(Q64=0,0,-(Q57+Q58+Q59)/Q64)</f>
        <v>132.280615261148</v>
      </c>
      <c r="R65" s="27" t="n">
        <f aca="false">IF(R64=0,0,-(R57+R58+R59)/R64)</f>
        <v>129.735172188248</v>
      </c>
      <c r="S65" s="27" t="n">
        <f aca="false">IF(S64=0,0,-(S57+S58+S59)/S64)</f>
        <v>127.232784527374</v>
      </c>
      <c r="T65" s="27" t="n">
        <f aca="false">IF(T64=0,0,-(T57+T58+T59)/T64)</f>
        <v>124.770843991709</v>
      </c>
      <c r="U65" s="27" t="n">
        <f aca="false">IF(U64=0,0,-(U57+U58+U59)/U64)</f>
        <v>122.346857301559</v>
      </c>
      <c r="V65" s="27" t="n">
        <f aca="false">IF(V64=0,0,-(V57+V58+V59)/V64)</f>
        <v>119.958444781168</v>
      </c>
      <c r="W65" s="27" t="n">
        <f aca="false">IF(W64=0,0,-(W57+W58+W59)/W64)</f>
        <v>117.603339415031</v>
      </c>
      <c r="X65" s="27" t="n">
        <f aca="false">IF(X64=0,0,-(X57+X58+X59)/X64)</f>
        <v>115.279386339899</v>
      </c>
      <c r="Y65" s="27" t="n">
        <f aca="false">IF(Y64=0,0,-(Y57+Y58+Y59)/Y64)</f>
        <v>112.984542745944</v>
      </c>
      <c r="Z65" s="27" t="n">
        <f aca="false">IF(Z64=0,0,-(Z57+Z58+Z59)/Z64)</f>
        <v>110.716878157287</v>
      </c>
      <c r="AA65" s="27" t="n">
        <f aca="false">IF(AA64=0,0,-(AA57+AA58+AA59)/AA64)</f>
        <v>109.371826753173</v>
      </c>
      <c r="AB65" s="27" t="n">
        <f aca="false">IF(AB64=0,0,-(AB57+AB58+AB59)/AB64)</f>
        <v>108.013729996775</v>
      </c>
      <c r="AC65" s="27" t="n">
        <f aca="false">IF(AC64=0,0,-(AC57+AC58+AC59)/AC64)</f>
        <v>106.641547006331</v>
      </c>
      <c r="AD65" s="27" t="n">
        <f aca="false">IF(AD64=0,0,-(AD57+AD58+AD59)/AD64)</f>
        <v>105.254304713703</v>
      </c>
      <c r="AE65" s="27" t="n">
        <f aca="false">IF(AE64=0,0,-(AE57+AE58+AE59)/AE64)</f>
        <v>103.851104337039</v>
      </c>
      <c r="AF65" s="27" t="n">
        <f aca="false">IF(AF64=0,0,-(AF57+AF58+AF59)/AF64)</f>
        <v>102.431128048515</v>
      </c>
      <c r="AG65" s="27" t="n">
        <f aca="false">IF(AG64=0,0,-(AG57+AG58+AG59)/AG64)</f>
        <v>100.993645778066</v>
      </c>
      <c r="AH65" s="27" t="n">
        <f aca="false">IF(AH64=0,0,-(AH57+AH58+AH59)/AH64)</f>
        <v>99.5380220847533</v>
      </c>
      <c r="AI65" s="27" t="n">
        <f aca="false">IF(AI64=0,0,-(AI57+AI58+AI59)/AI64)</f>
        <v>98.0637230182284</v>
      </c>
      <c r="AJ65" s="27" t="n">
        <f aca="false">IF(AJ64=0,0,-(AJ57+AJ58+AJ59)/AJ64)</f>
        <v>96.5703228837345</v>
      </c>
      <c r="AK65" s="27" t="n">
        <f aca="false">IF(AK64=0,0,-(AK57+AK58+AK59)/AK64)</f>
        <v>95.0575108157007</v>
      </c>
      <c r="AL65" s="27" t="n">
        <f aca="false">IF(AL64=0,0,-(AL57+AL58+AL59)/AL64)</f>
        <v>93.5250970573567</v>
      </c>
      <c r="AM65" s="27" t="n">
        <f aca="false">IF(AM64=0,0,-(AM57+AM58+AM59)/AM64)</f>
        <v>91.973018837338</v>
      </c>
    </row>
    <row r="66" customFormat="false" ht="15" hidden="false" customHeight="false" outlineLevel="0" collapsed="false">
      <c r="A66" s="8" t="s">
        <v>375</v>
      </c>
      <c r="B66" s="8" t="s">
        <v>50</v>
      </c>
      <c r="D66" s="27" t="n">
        <f aca="false">IF(D23=0,0,-(D57+D58+D59)/D23)</f>
        <v>0</v>
      </c>
      <c r="E66" s="27" t="n">
        <f aca="false">IF(E23=0,0,-(E57+E58+E59)/E23)</f>
        <v>0</v>
      </c>
      <c r="F66" s="27" t="n">
        <f aca="false">IF(F23=0,0,-(F57+F58+F59)/F23)</f>
        <v>0</v>
      </c>
      <c r="G66" s="27" t="n">
        <f aca="false">IF(G23=0,0,-(G57+G58+G59)/G23)</f>
        <v>0</v>
      </c>
      <c r="H66" s="27" t="n">
        <f aca="false">IF(H23=0,0,-(H57+H58+H59)/H23)</f>
        <v>1660.49681271992</v>
      </c>
      <c r="I66" s="27" t="n">
        <f aca="false">IF(I23=0,0,-(I57+I58+I59)/I23)</f>
        <v>1644.91521377089</v>
      </c>
      <c r="J66" s="27" t="n">
        <f aca="false">IF(J23=0,0,-(J57+J58+J59)/J23)</f>
        <v>1628.26098635383</v>
      </c>
      <c r="K66" s="27" t="n">
        <f aca="false">IF(K23=0,0,-(K57+K58+K59)/K23)</f>
        <v>888.007681289153</v>
      </c>
      <c r="L66" s="27" t="n">
        <f aca="false">IF(L23=0,0,-(L57+L58+L59)/L23)</f>
        <v>728.169772574818</v>
      </c>
      <c r="M66" s="27" t="n">
        <f aca="false">IF(M23=0,0,-(M57+M58+M59)/M23)</f>
        <v>673.830533694549</v>
      </c>
      <c r="N66" s="27" t="n">
        <f aca="false">IF(N23=0,0,-(N57+N58+N59)/N23)</f>
        <v>626.173693208871</v>
      </c>
      <c r="O66" s="27" t="n">
        <f aca="false">IF(O23=0,0,-(O57+O58+O59)/O23)</f>
        <v>584.035711960594</v>
      </c>
      <c r="P66" s="27" t="n">
        <f aca="false">IF(P23=0,0,-(P57+P58+P59)/P23)</f>
        <v>546.506968207467</v>
      </c>
      <c r="Q66" s="27" t="n">
        <f aca="false">IF(Q23=0,0,-(Q57+Q58+Q59)/Q23)</f>
        <v>512.866096286405</v>
      </c>
      <c r="R66" s="27" t="n">
        <f aca="false">IF(R23=0,0,-(R57+R58+R59)/R23)</f>
        <v>482.533702027135</v>
      </c>
      <c r="S66" s="27" t="n">
        <f aca="false">IF(S23=0,0,-(S57+S58+S59)/S23)</f>
        <v>455.039096978642</v>
      </c>
      <c r="T66" s="27" t="n">
        <f aca="false">IF(T23=0,0,-(T57+T58+T59)/T23)</f>
        <v>429.995970976445</v>
      </c>
      <c r="U66" s="27" t="n">
        <f aca="false">IF(U23=0,0,-(U57+U58+U59)/U23)</f>
        <v>407.08432159108</v>
      </c>
      <c r="V66" s="27" t="n">
        <f aca="false">IF(V23=0,0,-(V57+V58+V59)/V23)</f>
        <v>386.036840565847</v>
      </c>
      <c r="W66" s="27" t="n">
        <f aca="false">IF(W23=0,0,-(W57+W58+W59)/W23)</f>
        <v>366.628525729153</v>
      </c>
      <c r="X66" s="27" t="n">
        <f aca="false">IF(X23=0,0,-(X57+X58+X59)/X23)</f>
        <v>348.668660986663</v>
      </c>
      <c r="Y66" s="27" t="n">
        <f aca="false">IF(Y23=0,0,-(Y57+Y58+Y59)/Y23)</f>
        <v>331.994557930524</v>
      </c>
      <c r="Z66" s="27" t="n">
        <f aca="false">IF(Z23=0,0,-(Z57+Z58+Z59)/Z23)</f>
        <v>316.466623825231</v>
      </c>
      <c r="AA66" s="27" t="n">
        <f aca="false">IF(AA23=0,0,-(AA57+AA58+AA59)/AA23)</f>
        <v>312.622007865893</v>
      </c>
      <c r="AB66" s="27" t="n">
        <f aca="false">IF(AB23=0,0,-(AB57+AB58+AB59)/AB23)</f>
        <v>308.740103837542</v>
      </c>
      <c r="AC66" s="27" t="n">
        <f aca="false">IF(AC23=0,0,-(AC57+AC58+AC59)/AC23)</f>
        <v>304.817936544863</v>
      </c>
      <c r="AD66" s="27" t="n">
        <f aca="false">IF(AD23=0,0,-(AD57+AD58+AD59)/AD23)</f>
        <v>300.85272462702</v>
      </c>
      <c r="AE66" s="27" t="n">
        <f aca="false">IF(AE23=0,0,-(AE57+AE58+AE59)/AE23)</f>
        <v>296.841899058741</v>
      </c>
      <c r="AF66" s="27" t="n">
        <f aca="false">IF(AF23=0,0,-(AF57+AF58+AF59)/AF23)</f>
        <v>292.783122208996</v>
      </c>
      <c r="AG66" s="27" t="n">
        <f aca="false">IF(AG23=0,0,-(AG57+AG58+AG59)/AG23)</f>
        <v>288.67430728837</v>
      </c>
      <c r="AH66" s="27" t="n">
        <f aca="false">IF(AH23=0,0,-(AH57+AH58+AH59)/AH23)</f>
        <v>284.513637989799</v>
      </c>
      <c r="AI66" s="27" t="n">
        <f aca="false">IF(AI23=0,0,-(AI57+AI58+AI59)/AI23)</f>
        <v>280.299588100956</v>
      </c>
      <c r="AJ66" s="27" t="n">
        <f aca="false">IF(AJ23=0,0,-(AJ57+AJ58+AJ59)/AJ23)</f>
        <v>276.030940840941</v>
      </c>
      <c r="AK66" s="27" t="n">
        <f aca="false">IF(AK23=0,0,-(AK57+AK58+AK59)/AK23)</f>
        <v>271.706807649861</v>
      </c>
      <c r="AL66" s="27" t="n">
        <f aca="false">IF(AL23=0,0,-(AL57+AL58+AL59)/AL23)</f>
        <v>267.326646138104</v>
      </c>
      <c r="AM66" s="27" t="n">
        <f aca="false">IF(AM23=0,0,-(AM57+AM58+AM59)/AM23)</f>
        <v>262.890276883687</v>
      </c>
    </row>
    <row r="67" customFormat="false" ht="15" hidden="false" customHeight="false" outlineLevel="0" collapsed="false">
      <c r="A67" s="5" t="s">
        <v>376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</row>
    <row r="68" customFormat="false" ht="15" hidden="false" customHeight="false" outlineLevel="0" collapsed="false">
      <c r="A68" s="8" t="s">
        <v>377</v>
      </c>
      <c r="B68" s="8" t="s">
        <v>50</v>
      </c>
      <c r="C68" s="27" t="n">
        <f aca="false">SUM(D68:AM68)</f>
        <v>-8760000</v>
      </c>
      <c r="D68" s="27" t="n">
        <f aca="false">-IF(D$3&lt;=3,Assumptions!$E$56,IF(D$3&lt;Assumptions!$E$6,Assumptions!$E$57,IF(D$3&lt;=12,Assumptions!$E$58,IF(D$3&lt;=24,Assumptions!$E$59,Assumptions!$E$60))))</f>
        <v>-60000</v>
      </c>
      <c r="E68" s="27" t="n">
        <f aca="false">-IF(E$3&lt;=3,Assumptions!$E$56,IF(E$3&lt;Assumptions!$E$6,Assumptions!$E$57,IF(E$3&lt;=12,Assumptions!$E$58,IF(E$3&lt;=24,Assumptions!$E$59,Assumptions!$E$60))))</f>
        <v>-60000</v>
      </c>
      <c r="F68" s="27" t="n">
        <f aca="false">-IF(F$3&lt;=3,Assumptions!$E$56,IF(F$3&lt;Assumptions!$E$6,Assumptions!$E$57,IF(F$3&lt;=12,Assumptions!$E$58,IF(F$3&lt;=24,Assumptions!$E$59,Assumptions!$E$60))))</f>
        <v>-60000</v>
      </c>
      <c r="G68" s="27" t="n">
        <f aca="false">-IF(G$3&lt;=3,Assumptions!$E$56,IF(G$3&lt;Assumptions!$E$6,Assumptions!$E$57,IF(G$3&lt;=12,Assumptions!$E$58,IF(G$3&lt;=24,Assumptions!$E$59,Assumptions!$E$60))))</f>
        <v>-120000</v>
      </c>
      <c r="H68" s="27" t="n">
        <f aca="false">-IF(H$3&lt;=3,Assumptions!$E$56,IF(H$3&lt;Assumptions!$E$6,Assumptions!$E$57,IF(H$3&lt;=12,Assumptions!$E$58,IF(H$3&lt;=24,Assumptions!$E$59,Assumptions!$E$60))))</f>
        <v>-120000</v>
      </c>
      <c r="I68" s="27" t="n">
        <f aca="false">-IF(I$3&lt;=3,Assumptions!$E$56,IF(I$3&lt;Assumptions!$E$6,Assumptions!$E$57,IF(I$3&lt;=12,Assumptions!$E$58,IF(I$3&lt;=24,Assumptions!$E$59,Assumptions!$E$60))))</f>
        <v>-120000</v>
      </c>
      <c r="J68" s="27" t="n">
        <f aca="false">-IF(J$3&lt;=3,Assumptions!$E$56,IF(J$3&lt;Assumptions!$E$6,Assumptions!$E$57,IF(J$3&lt;=12,Assumptions!$E$58,IF(J$3&lt;=24,Assumptions!$E$59,Assumptions!$E$60))))</f>
        <v>-120000</v>
      </c>
      <c r="K68" s="27" t="n">
        <f aca="false">-IF(K$3&lt;=3,Assumptions!$E$56,IF(K$3&lt;Assumptions!$E$6,Assumptions!$E$57,IF(K$3&lt;=12,Assumptions!$E$58,IF(K$3&lt;=24,Assumptions!$E$59,Assumptions!$E$60))))</f>
        <v>-180000</v>
      </c>
      <c r="L68" s="27" t="n">
        <f aca="false">-IF(L$3&lt;=3,Assumptions!$E$56,IF(L$3&lt;Assumptions!$E$6,Assumptions!$E$57,IF(L$3&lt;=12,Assumptions!$E$58,IF(L$3&lt;=24,Assumptions!$E$59,Assumptions!$E$60))))</f>
        <v>-180000</v>
      </c>
      <c r="M68" s="27" t="n">
        <f aca="false">-IF(M$3&lt;=3,Assumptions!$E$56,IF(M$3&lt;Assumptions!$E$6,Assumptions!$E$57,IF(M$3&lt;=12,Assumptions!$E$58,IF(M$3&lt;=24,Assumptions!$E$59,Assumptions!$E$60))))</f>
        <v>-180000</v>
      </c>
      <c r="N68" s="27" t="n">
        <f aca="false">-IF(N$3&lt;=3,Assumptions!$E$56,IF(N$3&lt;Assumptions!$E$6,Assumptions!$E$57,IF(N$3&lt;=12,Assumptions!$E$58,IF(N$3&lt;=24,Assumptions!$E$59,Assumptions!$E$60))))</f>
        <v>-180000</v>
      </c>
      <c r="O68" s="27" t="n">
        <f aca="false">-IF(O$3&lt;=3,Assumptions!$E$56,IF(O$3&lt;Assumptions!$E$6,Assumptions!$E$57,IF(O$3&lt;=12,Assumptions!$E$58,IF(O$3&lt;=24,Assumptions!$E$59,Assumptions!$E$60))))</f>
        <v>-180000</v>
      </c>
      <c r="P68" s="27" t="n">
        <f aca="false">-IF(P$3&lt;=3,Assumptions!$E$56,IF(P$3&lt;Assumptions!$E$6,Assumptions!$E$57,IF(P$3&lt;=12,Assumptions!$E$58,IF(P$3&lt;=24,Assumptions!$E$59,Assumptions!$E$60))))</f>
        <v>-260000</v>
      </c>
      <c r="Q68" s="27" t="n">
        <f aca="false">-IF(Q$3&lt;=3,Assumptions!$E$56,IF(Q$3&lt;Assumptions!$E$6,Assumptions!$E$57,IF(Q$3&lt;=12,Assumptions!$E$58,IF(Q$3&lt;=24,Assumptions!$E$59,Assumptions!$E$60))))</f>
        <v>-260000</v>
      </c>
      <c r="R68" s="27" t="n">
        <f aca="false">-IF(R$3&lt;=3,Assumptions!$E$56,IF(R$3&lt;Assumptions!$E$6,Assumptions!$E$57,IF(R$3&lt;=12,Assumptions!$E$58,IF(R$3&lt;=24,Assumptions!$E$59,Assumptions!$E$60))))</f>
        <v>-260000</v>
      </c>
      <c r="S68" s="27" t="n">
        <f aca="false">-IF(S$3&lt;=3,Assumptions!$E$56,IF(S$3&lt;Assumptions!$E$6,Assumptions!$E$57,IF(S$3&lt;=12,Assumptions!$E$58,IF(S$3&lt;=24,Assumptions!$E$59,Assumptions!$E$60))))</f>
        <v>-260000</v>
      </c>
      <c r="T68" s="27" t="n">
        <f aca="false">-IF(T$3&lt;=3,Assumptions!$E$56,IF(T$3&lt;Assumptions!$E$6,Assumptions!$E$57,IF(T$3&lt;=12,Assumptions!$E$58,IF(T$3&lt;=24,Assumptions!$E$59,Assumptions!$E$60))))</f>
        <v>-260000</v>
      </c>
      <c r="U68" s="27" t="n">
        <f aca="false">-IF(U$3&lt;=3,Assumptions!$E$56,IF(U$3&lt;Assumptions!$E$6,Assumptions!$E$57,IF(U$3&lt;=12,Assumptions!$E$58,IF(U$3&lt;=24,Assumptions!$E$59,Assumptions!$E$60))))</f>
        <v>-260000</v>
      </c>
      <c r="V68" s="27" t="n">
        <f aca="false">-IF(V$3&lt;=3,Assumptions!$E$56,IF(V$3&lt;Assumptions!$E$6,Assumptions!$E$57,IF(V$3&lt;=12,Assumptions!$E$58,IF(V$3&lt;=24,Assumptions!$E$59,Assumptions!$E$60))))</f>
        <v>-260000</v>
      </c>
      <c r="W68" s="27" t="n">
        <f aca="false">-IF(W$3&lt;=3,Assumptions!$E$56,IF(W$3&lt;Assumptions!$E$6,Assumptions!$E$57,IF(W$3&lt;=12,Assumptions!$E$58,IF(W$3&lt;=24,Assumptions!$E$59,Assumptions!$E$60))))</f>
        <v>-260000</v>
      </c>
      <c r="X68" s="27" t="n">
        <f aca="false">-IF(X$3&lt;=3,Assumptions!$E$56,IF(X$3&lt;Assumptions!$E$6,Assumptions!$E$57,IF(X$3&lt;=12,Assumptions!$E$58,IF(X$3&lt;=24,Assumptions!$E$59,Assumptions!$E$60))))</f>
        <v>-260000</v>
      </c>
      <c r="Y68" s="27" t="n">
        <f aca="false">-IF(Y$3&lt;=3,Assumptions!$E$56,IF(Y$3&lt;Assumptions!$E$6,Assumptions!$E$57,IF(Y$3&lt;=12,Assumptions!$E$58,IF(Y$3&lt;=24,Assumptions!$E$59,Assumptions!$E$60))))</f>
        <v>-260000</v>
      </c>
      <c r="Z68" s="27" t="n">
        <f aca="false">-IF(Z$3&lt;=3,Assumptions!$E$56,IF(Z$3&lt;Assumptions!$E$6,Assumptions!$E$57,IF(Z$3&lt;=12,Assumptions!$E$58,IF(Z$3&lt;=24,Assumptions!$E$59,Assumptions!$E$60))))</f>
        <v>-260000</v>
      </c>
      <c r="AA68" s="27" t="n">
        <f aca="false">-IF(AA$3&lt;=3,Assumptions!$E$56,IF(AA$3&lt;Assumptions!$E$6,Assumptions!$E$57,IF(AA$3&lt;=12,Assumptions!$E$58,IF(AA$3&lt;=24,Assumptions!$E$59,Assumptions!$E$60))))</f>
        <v>-260000</v>
      </c>
      <c r="AB68" s="27" t="n">
        <f aca="false">-IF(AB$3&lt;=3,Assumptions!$E$56,IF(AB$3&lt;Assumptions!$E$6,Assumptions!$E$57,IF(AB$3&lt;=12,Assumptions!$E$58,IF(AB$3&lt;=24,Assumptions!$E$59,Assumptions!$E$60))))</f>
        <v>-340000</v>
      </c>
      <c r="AC68" s="27" t="n">
        <f aca="false">-IF(AC$3&lt;=3,Assumptions!$E$56,IF(AC$3&lt;Assumptions!$E$6,Assumptions!$E$57,IF(AC$3&lt;=12,Assumptions!$E$58,IF(AC$3&lt;=24,Assumptions!$E$59,Assumptions!$E$60))))</f>
        <v>-340000</v>
      </c>
      <c r="AD68" s="27" t="n">
        <f aca="false">-IF(AD$3&lt;=3,Assumptions!$E$56,IF(AD$3&lt;Assumptions!$E$6,Assumptions!$E$57,IF(AD$3&lt;=12,Assumptions!$E$58,IF(AD$3&lt;=24,Assumptions!$E$59,Assumptions!$E$60))))</f>
        <v>-340000</v>
      </c>
      <c r="AE68" s="27" t="n">
        <f aca="false">-IF(AE$3&lt;=3,Assumptions!$E$56,IF(AE$3&lt;Assumptions!$E$6,Assumptions!$E$57,IF(AE$3&lt;=12,Assumptions!$E$58,IF(AE$3&lt;=24,Assumptions!$E$59,Assumptions!$E$60))))</f>
        <v>-340000</v>
      </c>
      <c r="AF68" s="27" t="n">
        <f aca="false">-IF(AF$3&lt;=3,Assumptions!$E$56,IF(AF$3&lt;Assumptions!$E$6,Assumptions!$E$57,IF(AF$3&lt;=12,Assumptions!$E$58,IF(AF$3&lt;=24,Assumptions!$E$59,Assumptions!$E$60))))</f>
        <v>-340000</v>
      </c>
      <c r="AG68" s="27" t="n">
        <f aca="false">-IF(AG$3&lt;=3,Assumptions!$E$56,IF(AG$3&lt;Assumptions!$E$6,Assumptions!$E$57,IF(AG$3&lt;=12,Assumptions!$E$58,IF(AG$3&lt;=24,Assumptions!$E$59,Assumptions!$E$60))))</f>
        <v>-340000</v>
      </c>
      <c r="AH68" s="27" t="n">
        <f aca="false">-IF(AH$3&lt;=3,Assumptions!$E$56,IF(AH$3&lt;Assumptions!$E$6,Assumptions!$E$57,IF(AH$3&lt;=12,Assumptions!$E$58,IF(AH$3&lt;=24,Assumptions!$E$59,Assumptions!$E$60))))</f>
        <v>-340000</v>
      </c>
      <c r="AI68" s="27" t="n">
        <f aca="false">-IF(AI$3&lt;=3,Assumptions!$E$56,IF(AI$3&lt;Assumptions!$E$6,Assumptions!$E$57,IF(AI$3&lt;=12,Assumptions!$E$58,IF(AI$3&lt;=24,Assumptions!$E$59,Assumptions!$E$60))))</f>
        <v>-340000</v>
      </c>
      <c r="AJ68" s="27" t="n">
        <f aca="false">-IF(AJ$3&lt;=3,Assumptions!$E$56,IF(AJ$3&lt;Assumptions!$E$6,Assumptions!$E$57,IF(AJ$3&lt;=12,Assumptions!$E$58,IF(AJ$3&lt;=24,Assumptions!$E$59,Assumptions!$E$60))))</f>
        <v>-340000</v>
      </c>
      <c r="AK68" s="27" t="n">
        <f aca="false">-IF(AK$3&lt;=3,Assumptions!$E$56,IF(AK$3&lt;Assumptions!$E$6,Assumptions!$E$57,IF(AK$3&lt;=12,Assumptions!$E$58,IF(AK$3&lt;=24,Assumptions!$E$59,Assumptions!$E$60))))</f>
        <v>-340000</v>
      </c>
      <c r="AL68" s="27" t="n">
        <f aca="false">-IF(AL$3&lt;=3,Assumptions!$E$56,IF(AL$3&lt;Assumptions!$E$6,Assumptions!$E$57,IF(AL$3&lt;=12,Assumptions!$E$58,IF(AL$3&lt;=24,Assumptions!$E$59,Assumptions!$E$60))))</f>
        <v>-340000</v>
      </c>
      <c r="AM68" s="27" t="n">
        <f aca="false">-IF(AM$3&lt;=3,Assumptions!$E$56,IF(AM$3&lt;Assumptions!$E$6,Assumptions!$E$57,IF(AM$3&lt;=12,Assumptions!$E$58,IF(AM$3&lt;=24,Assumptions!$E$59,Assumptions!$E$60))))</f>
        <v>-340000</v>
      </c>
    </row>
    <row r="69" customFormat="false" ht="15" hidden="false" customHeight="false" outlineLevel="0" collapsed="false">
      <c r="A69" s="8" t="s">
        <v>378</v>
      </c>
      <c r="B69" s="8" t="s">
        <v>50</v>
      </c>
      <c r="C69" s="27" t="n">
        <f aca="false">SUM(D69:AM69)</f>
        <v>-720000</v>
      </c>
      <c r="D69" s="27" t="n">
        <f aca="false">-Assumptions!$E$61</f>
        <v>-20000</v>
      </c>
      <c r="E69" s="27" t="n">
        <f aca="false">-Assumptions!$E$61</f>
        <v>-20000</v>
      </c>
      <c r="F69" s="27" t="n">
        <f aca="false">-Assumptions!$E$61</f>
        <v>-20000</v>
      </c>
      <c r="G69" s="27" t="n">
        <f aca="false">-Assumptions!$E$61</f>
        <v>-20000</v>
      </c>
      <c r="H69" s="27" t="n">
        <f aca="false">-Assumptions!$E$61</f>
        <v>-20000</v>
      </c>
      <c r="I69" s="27" t="n">
        <f aca="false">-Assumptions!$E$61</f>
        <v>-20000</v>
      </c>
      <c r="J69" s="27" t="n">
        <f aca="false">-Assumptions!$E$61</f>
        <v>-20000</v>
      </c>
      <c r="K69" s="27" t="n">
        <f aca="false">-Assumptions!$E$61</f>
        <v>-20000</v>
      </c>
      <c r="L69" s="27" t="n">
        <f aca="false">-Assumptions!$E$61</f>
        <v>-20000</v>
      </c>
      <c r="M69" s="27" t="n">
        <f aca="false">-Assumptions!$E$61</f>
        <v>-20000</v>
      </c>
      <c r="N69" s="27" t="n">
        <f aca="false">-Assumptions!$E$61</f>
        <v>-20000</v>
      </c>
      <c r="O69" s="27" t="n">
        <f aca="false">-Assumptions!$E$61</f>
        <v>-20000</v>
      </c>
      <c r="P69" s="27" t="n">
        <f aca="false">-Assumptions!$E$61</f>
        <v>-20000</v>
      </c>
      <c r="Q69" s="27" t="n">
        <f aca="false">-Assumptions!$E$61</f>
        <v>-20000</v>
      </c>
      <c r="R69" s="27" t="n">
        <f aca="false">-Assumptions!$E$61</f>
        <v>-20000</v>
      </c>
      <c r="S69" s="27" t="n">
        <f aca="false">-Assumptions!$E$61</f>
        <v>-20000</v>
      </c>
      <c r="T69" s="27" t="n">
        <f aca="false">-Assumptions!$E$61</f>
        <v>-20000</v>
      </c>
      <c r="U69" s="27" t="n">
        <f aca="false">-Assumptions!$E$61</f>
        <v>-20000</v>
      </c>
      <c r="V69" s="27" t="n">
        <f aca="false">-Assumptions!$E$61</f>
        <v>-20000</v>
      </c>
      <c r="W69" s="27" t="n">
        <f aca="false">-Assumptions!$E$61</f>
        <v>-20000</v>
      </c>
      <c r="X69" s="27" t="n">
        <f aca="false">-Assumptions!$E$61</f>
        <v>-20000</v>
      </c>
      <c r="Y69" s="27" t="n">
        <f aca="false">-Assumptions!$E$61</f>
        <v>-20000</v>
      </c>
      <c r="Z69" s="27" t="n">
        <f aca="false">-Assumptions!$E$61</f>
        <v>-20000</v>
      </c>
      <c r="AA69" s="27" t="n">
        <f aca="false">-Assumptions!$E$61</f>
        <v>-20000</v>
      </c>
      <c r="AB69" s="27" t="n">
        <f aca="false">-Assumptions!$E$61</f>
        <v>-20000</v>
      </c>
      <c r="AC69" s="27" t="n">
        <f aca="false">-Assumptions!$E$61</f>
        <v>-20000</v>
      </c>
      <c r="AD69" s="27" t="n">
        <f aca="false">-Assumptions!$E$61</f>
        <v>-20000</v>
      </c>
      <c r="AE69" s="27" t="n">
        <f aca="false">-Assumptions!$E$61</f>
        <v>-20000</v>
      </c>
      <c r="AF69" s="27" t="n">
        <f aca="false">-Assumptions!$E$61</f>
        <v>-20000</v>
      </c>
      <c r="AG69" s="27" t="n">
        <f aca="false">-Assumptions!$E$61</f>
        <v>-20000</v>
      </c>
      <c r="AH69" s="27" t="n">
        <f aca="false">-Assumptions!$E$61</f>
        <v>-20000</v>
      </c>
      <c r="AI69" s="27" t="n">
        <f aca="false">-Assumptions!$E$61</f>
        <v>-20000</v>
      </c>
      <c r="AJ69" s="27" t="n">
        <f aca="false">-Assumptions!$E$61</f>
        <v>-20000</v>
      </c>
      <c r="AK69" s="27" t="n">
        <f aca="false">-Assumptions!$E$61</f>
        <v>-20000</v>
      </c>
      <c r="AL69" s="27" t="n">
        <f aca="false">-Assumptions!$E$61</f>
        <v>-20000</v>
      </c>
      <c r="AM69" s="27" t="n">
        <f aca="false">-Assumptions!$E$61</f>
        <v>-20000</v>
      </c>
    </row>
    <row r="70" customFormat="false" ht="15" hidden="false" customHeight="false" outlineLevel="0" collapsed="false">
      <c r="A70" s="8" t="s">
        <v>379</v>
      </c>
      <c r="B70" s="8" t="s">
        <v>50</v>
      </c>
      <c r="C70" s="27" t="n">
        <f aca="false">SUM(D70:AM70)</f>
        <v>-954000</v>
      </c>
      <c r="D70" s="27" t="n">
        <f aca="false">-IF(D9=1,Assumptions!$E$63,Assumptions!$E$62)</f>
        <v>-12000</v>
      </c>
      <c r="E70" s="27" t="n">
        <f aca="false">-IF(E9=1,Assumptions!$E$63,Assumptions!$E$62)</f>
        <v>-12000</v>
      </c>
      <c r="F70" s="27" t="n">
        <f aca="false">-IF(F9=1,Assumptions!$E$63,Assumptions!$E$62)</f>
        <v>-12000</v>
      </c>
      <c r="G70" s="27" t="n">
        <f aca="false">-IF(G9=1,Assumptions!$E$63,Assumptions!$E$62)</f>
        <v>-12000</v>
      </c>
      <c r="H70" s="27" t="n">
        <f aca="false">-IF(H9=1,Assumptions!$E$63,Assumptions!$E$62)</f>
        <v>-12000</v>
      </c>
      <c r="I70" s="27" t="n">
        <f aca="false">-IF(I9=1,Assumptions!$E$63,Assumptions!$E$62)</f>
        <v>-12000</v>
      </c>
      <c r="J70" s="27" t="n">
        <f aca="false">-IF(J9=1,Assumptions!$E$63,Assumptions!$E$62)</f>
        <v>-12000</v>
      </c>
      <c r="K70" s="27" t="n">
        <f aca="false">-IF(K9=1,Assumptions!$E$63,Assumptions!$E$62)</f>
        <v>-30000</v>
      </c>
      <c r="L70" s="27" t="n">
        <f aca="false">-IF(L9=1,Assumptions!$E$63,Assumptions!$E$62)</f>
        <v>-30000</v>
      </c>
      <c r="M70" s="27" t="n">
        <f aca="false">-IF(M9=1,Assumptions!$E$63,Assumptions!$E$62)</f>
        <v>-30000</v>
      </c>
      <c r="N70" s="27" t="n">
        <f aca="false">-IF(N9=1,Assumptions!$E$63,Assumptions!$E$62)</f>
        <v>-30000</v>
      </c>
      <c r="O70" s="27" t="n">
        <f aca="false">-IF(O9=1,Assumptions!$E$63,Assumptions!$E$62)</f>
        <v>-30000</v>
      </c>
      <c r="P70" s="27" t="n">
        <f aca="false">-IF(P9=1,Assumptions!$E$63,Assumptions!$E$62)</f>
        <v>-30000</v>
      </c>
      <c r="Q70" s="27" t="n">
        <f aca="false">-IF(Q9=1,Assumptions!$E$63,Assumptions!$E$62)</f>
        <v>-30000</v>
      </c>
      <c r="R70" s="27" t="n">
        <f aca="false">-IF(R9=1,Assumptions!$E$63,Assumptions!$E$62)</f>
        <v>-30000</v>
      </c>
      <c r="S70" s="27" t="n">
        <f aca="false">-IF(S9=1,Assumptions!$E$63,Assumptions!$E$62)</f>
        <v>-30000</v>
      </c>
      <c r="T70" s="27" t="n">
        <f aca="false">-IF(T9=1,Assumptions!$E$63,Assumptions!$E$62)</f>
        <v>-30000</v>
      </c>
      <c r="U70" s="27" t="n">
        <f aca="false">-IF(U9=1,Assumptions!$E$63,Assumptions!$E$62)</f>
        <v>-30000</v>
      </c>
      <c r="V70" s="27" t="n">
        <f aca="false">-IF(V9=1,Assumptions!$E$63,Assumptions!$E$62)</f>
        <v>-30000</v>
      </c>
      <c r="W70" s="27" t="n">
        <f aca="false">-IF(W9=1,Assumptions!$E$63,Assumptions!$E$62)</f>
        <v>-30000</v>
      </c>
      <c r="X70" s="27" t="n">
        <f aca="false">-IF(X9=1,Assumptions!$E$63,Assumptions!$E$62)</f>
        <v>-30000</v>
      </c>
      <c r="Y70" s="27" t="n">
        <f aca="false">-IF(Y9=1,Assumptions!$E$63,Assumptions!$E$62)</f>
        <v>-30000</v>
      </c>
      <c r="Z70" s="27" t="n">
        <f aca="false">-IF(Z9=1,Assumptions!$E$63,Assumptions!$E$62)</f>
        <v>-30000</v>
      </c>
      <c r="AA70" s="27" t="n">
        <f aca="false">-IF(AA9=1,Assumptions!$E$63,Assumptions!$E$62)</f>
        <v>-30000</v>
      </c>
      <c r="AB70" s="27" t="n">
        <f aca="false">-IF(AB9=1,Assumptions!$E$63,Assumptions!$E$62)</f>
        <v>-30000</v>
      </c>
      <c r="AC70" s="27" t="n">
        <f aca="false">-IF(AC9=1,Assumptions!$E$63,Assumptions!$E$62)</f>
        <v>-30000</v>
      </c>
      <c r="AD70" s="27" t="n">
        <f aca="false">-IF(AD9=1,Assumptions!$E$63,Assumptions!$E$62)</f>
        <v>-30000</v>
      </c>
      <c r="AE70" s="27" t="n">
        <f aca="false">-IF(AE9=1,Assumptions!$E$63,Assumptions!$E$62)</f>
        <v>-30000</v>
      </c>
      <c r="AF70" s="27" t="n">
        <f aca="false">-IF(AF9=1,Assumptions!$E$63,Assumptions!$E$62)</f>
        <v>-30000</v>
      </c>
      <c r="AG70" s="27" t="n">
        <f aca="false">-IF(AG9=1,Assumptions!$E$63,Assumptions!$E$62)</f>
        <v>-30000</v>
      </c>
      <c r="AH70" s="27" t="n">
        <f aca="false">-IF(AH9=1,Assumptions!$E$63,Assumptions!$E$62)</f>
        <v>-30000</v>
      </c>
      <c r="AI70" s="27" t="n">
        <f aca="false">-IF(AI9=1,Assumptions!$E$63,Assumptions!$E$62)</f>
        <v>-30000</v>
      </c>
      <c r="AJ70" s="27" t="n">
        <f aca="false">-IF(AJ9=1,Assumptions!$E$63,Assumptions!$E$62)</f>
        <v>-30000</v>
      </c>
      <c r="AK70" s="27" t="n">
        <f aca="false">-IF(AK9=1,Assumptions!$E$63,Assumptions!$E$62)</f>
        <v>-30000</v>
      </c>
      <c r="AL70" s="27" t="n">
        <f aca="false">-IF(AL9=1,Assumptions!$E$63,Assumptions!$E$62)</f>
        <v>-30000</v>
      </c>
      <c r="AM70" s="27" t="n">
        <f aca="false">-IF(AM9=1,Assumptions!$E$63,Assumptions!$E$62)</f>
        <v>-30000</v>
      </c>
    </row>
    <row r="71" customFormat="false" ht="15" hidden="false" customHeight="false" outlineLevel="0" collapsed="false">
      <c r="A71" s="8" t="s">
        <v>380</v>
      </c>
      <c r="B71" s="8" t="s">
        <v>50</v>
      </c>
      <c r="C71" s="27" t="n">
        <f aca="false">SUM(D71:AM71)</f>
        <v>-240000</v>
      </c>
      <c r="D71" s="27" t="n">
        <f aca="false">-IF(D$3&lt;=4,Assumptions!$E$64,0)</f>
        <v>-60000</v>
      </c>
      <c r="E71" s="27" t="n">
        <f aca="false">-IF(E$3&lt;=4,Assumptions!$E$64,0)</f>
        <v>-60000</v>
      </c>
      <c r="F71" s="27" t="n">
        <f aca="false">-IF(F$3&lt;=4,Assumptions!$E$64,0)</f>
        <v>-60000</v>
      </c>
      <c r="G71" s="27" t="n">
        <f aca="false">-IF(G$3&lt;=4,Assumptions!$E$64,0)</f>
        <v>-60000</v>
      </c>
      <c r="H71" s="27" t="n">
        <f aca="false">-IF(H$3&lt;=4,Assumptions!$E$64,0)</f>
        <v>-0</v>
      </c>
      <c r="I71" s="27" t="n">
        <f aca="false">-IF(I$3&lt;=4,Assumptions!$E$64,0)</f>
        <v>-0</v>
      </c>
      <c r="J71" s="27" t="n">
        <f aca="false">-IF(J$3&lt;=4,Assumptions!$E$64,0)</f>
        <v>-0</v>
      </c>
      <c r="K71" s="27" t="n">
        <f aca="false">-IF(K$3&lt;=4,Assumptions!$E$64,0)</f>
        <v>-0</v>
      </c>
      <c r="L71" s="27" t="n">
        <f aca="false">-IF(L$3&lt;=4,Assumptions!$E$64,0)</f>
        <v>-0</v>
      </c>
      <c r="M71" s="27" t="n">
        <f aca="false">-IF(M$3&lt;=4,Assumptions!$E$64,0)</f>
        <v>-0</v>
      </c>
      <c r="N71" s="27" t="n">
        <f aca="false">-IF(N$3&lt;=4,Assumptions!$E$64,0)</f>
        <v>-0</v>
      </c>
      <c r="O71" s="27" t="n">
        <f aca="false">-IF(O$3&lt;=4,Assumptions!$E$64,0)</f>
        <v>-0</v>
      </c>
      <c r="P71" s="27" t="n">
        <f aca="false">-IF(P$3&lt;=4,Assumptions!$E$64,0)</f>
        <v>-0</v>
      </c>
      <c r="Q71" s="27" t="n">
        <f aca="false">-IF(Q$3&lt;=4,Assumptions!$E$64,0)</f>
        <v>-0</v>
      </c>
      <c r="R71" s="27" t="n">
        <f aca="false">-IF(R$3&lt;=4,Assumptions!$E$64,0)</f>
        <v>-0</v>
      </c>
      <c r="S71" s="27" t="n">
        <f aca="false">-IF(S$3&lt;=4,Assumptions!$E$64,0)</f>
        <v>-0</v>
      </c>
      <c r="T71" s="27" t="n">
        <f aca="false">-IF(T$3&lt;=4,Assumptions!$E$64,0)</f>
        <v>-0</v>
      </c>
      <c r="U71" s="27" t="n">
        <f aca="false">-IF(U$3&lt;=4,Assumptions!$E$64,0)</f>
        <v>-0</v>
      </c>
      <c r="V71" s="27" t="n">
        <f aca="false">-IF(V$3&lt;=4,Assumptions!$E$64,0)</f>
        <v>-0</v>
      </c>
      <c r="W71" s="27" t="n">
        <f aca="false">-IF(W$3&lt;=4,Assumptions!$E$64,0)</f>
        <v>-0</v>
      </c>
      <c r="X71" s="27" t="n">
        <f aca="false">-IF(X$3&lt;=4,Assumptions!$E$64,0)</f>
        <v>-0</v>
      </c>
      <c r="Y71" s="27" t="n">
        <f aca="false">-IF(Y$3&lt;=4,Assumptions!$E$64,0)</f>
        <v>-0</v>
      </c>
      <c r="Z71" s="27" t="n">
        <f aca="false">-IF(Z$3&lt;=4,Assumptions!$E$64,0)</f>
        <v>-0</v>
      </c>
      <c r="AA71" s="27" t="n">
        <f aca="false">-IF(AA$3&lt;=4,Assumptions!$E$64,0)</f>
        <v>-0</v>
      </c>
      <c r="AB71" s="27" t="n">
        <f aca="false">-IF(AB$3&lt;=4,Assumptions!$E$64,0)</f>
        <v>-0</v>
      </c>
      <c r="AC71" s="27" t="n">
        <f aca="false">-IF(AC$3&lt;=4,Assumptions!$E$64,0)</f>
        <v>-0</v>
      </c>
      <c r="AD71" s="27" t="n">
        <f aca="false">-IF(AD$3&lt;=4,Assumptions!$E$64,0)</f>
        <v>-0</v>
      </c>
      <c r="AE71" s="27" t="n">
        <f aca="false">-IF(AE$3&lt;=4,Assumptions!$E$64,0)</f>
        <v>-0</v>
      </c>
      <c r="AF71" s="27" t="n">
        <f aca="false">-IF(AF$3&lt;=4,Assumptions!$E$64,0)</f>
        <v>-0</v>
      </c>
      <c r="AG71" s="27" t="n">
        <f aca="false">-IF(AG$3&lt;=4,Assumptions!$E$64,0)</f>
        <v>-0</v>
      </c>
      <c r="AH71" s="27" t="n">
        <f aca="false">-IF(AH$3&lt;=4,Assumptions!$E$64,0)</f>
        <v>-0</v>
      </c>
      <c r="AI71" s="27" t="n">
        <f aca="false">-IF(AI$3&lt;=4,Assumptions!$E$64,0)</f>
        <v>-0</v>
      </c>
      <c r="AJ71" s="27" t="n">
        <f aca="false">-IF(AJ$3&lt;=4,Assumptions!$E$64,0)</f>
        <v>-0</v>
      </c>
      <c r="AK71" s="27" t="n">
        <f aca="false">-IF(AK$3&lt;=4,Assumptions!$E$64,0)</f>
        <v>-0</v>
      </c>
      <c r="AL71" s="27" t="n">
        <f aca="false">-IF(AL$3&lt;=4,Assumptions!$E$64,0)</f>
        <v>-0</v>
      </c>
      <c r="AM71" s="27" t="n">
        <f aca="false">-IF(AM$3&lt;=4,Assumptions!$E$64,0)</f>
        <v>-0</v>
      </c>
    </row>
    <row r="72" customFormat="false" ht="15" hidden="false" customHeight="false" outlineLevel="0" collapsed="false">
      <c r="A72" s="8" t="s">
        <v>381</v>
      </c>
      <c r="B72" s="8" t="s">
        <v>50</v>
      </c>
      <c r="C72" s="27" t="n">
        <f aca="false">SUM(D72:AM72)</f>
        <v>-810000</v>
      </c>
      <c r="D72" s="27" t="n">
        <f aca="false">-IF(D$3&lt;=3,Assumptions!$E$65,Assumptions!$E$66)</f>
        <v>-50000</v>
      </c>
      <c r="E72" s="27" t="n">
        <f aca="false">-IF(E$3&lt;=3,Assumptions!$E$65,Assumptions!$E$66)</f>
        <v>-50000</v>
      </c>
      <c r="F72" s="27" t="n">
        <f aca="false">-IF(F$3&lt;=3,Assumptions!$E$65,Assumptions!$E$66)</f>
        <v>-50000</v>
      </c>
      <c r="G72" s="27" t="n">
        <f aca="false">-IF(G$3&lt;=3,Assumptions!$E$65,Assumptions!$E$66)</f>
        <v>-20000</v>
      </c>
      <c r="H72" s="27" t="n">
        <f aca="false">-IF(H$3&lt;=3,Assumptions!$E$65,Assumptions!$E$66)</f>
        <v>-20000</v>
      </c>
      <c r="I72" s="27" t="n">
        <f aca="false">-IF(I$3&lt;=3,Assumptions!$E$65,Assumptions!$E$66)</f>
        <v>-20000</v>
      </c>
      <c r="J72" s="27" t="n">
        <f aca="false">-IF(J$3&lt;=3,Assumptions!$E$65,Assumptions!$E$66)</f>
        <v>-20000</v>
      </c>
      <c r="K72" s="27" t="n">
        <f aca="false">-IF(K$3&lt;=3,Assumptions!$E$65,Assumptions!$E$66)</f>
        <v>-20000</v>
      </c>
      <c r="L72" s="27" t="n">
        <f aca="false">-IF(L$3&lt;=3,Assumptions!$E$65,Assumptions!$E$66)</f>
        <v>-20000</v>
      </c>
      <c r="M72" s="27" t="n">
        <f aca="false">-IF(M$3&lt;=3,Assumptions!$E$65,Assumptions!$E$66)</f>
        <v>-20000</v>
      </c>
      <c r="N72" s="27" t="n">
        <f aca="false">-IF(N$3&lt;=3,Assumptions!$E$65,Assumptions!$E$66)</f>
        <v>-20000</v>
      </c>
      <c r="O72" s="27" t="n">
        <f aca="false">-IF(O$3&lt;=3,Assumptions!$E$65,Assumptions!$E$66)</f>
        <v>-20000</v>
      </c>
      <c r="P72" s="27" t="n">
        <f aca="false">-IF(P$3&lt;=3,Assumptions!$E$65,Assumptions!$E$66)</f>
        <v>-20000</v>
      </c>
      <c r="Q72" s="27" t="n">
        <f aca="false">-IF(Q$3&lt;=3,Assumptions!$E$65,Assumptions!$E$66)</f>
        <v>-20000</v>
      </c>
      <c r="R72" s="27" t="n">
        <f aca="false">-IF(R$3&lt;=3,Assumptions!$E$65,Assumptions!$E$66)</f>
        <v>-20000</v>
      </c>
      <c r="S72" s="27" t="n">
        <f aca="false">-IF(S$3&lt;=3,Assumptions!$E$65,Assumptions!$E$66)</f>
        <v>-20000</v>
      </c>
      <c r="T72" s="27" t="n">
        <f aca="false">-IF(T$3&lt;=3,Assumptions!$E$65,Assumptions!$E$66)</f>
        <v>-20000</v>
      </c>
      <c r="U72" s="27" t="n">
        <f aca="false">-IF(U$3&lt;=3,Assumptions!$E$65,Assumptions!$E$66)</f>
        <v>-20000</v>
      </c>
      <c r="V72" s="27" t="n">
        <f aca="false">-IF(V$3&lt;=3,Assumptions!$E$65,Assumptions!$E$66)</f>
        <v>-20000</v>
      </c>
      <c r="W72" s="27" t="n">
        <f aca="false">-IF(W$3&lt;=3,Assumptions!$E$65,Assumptions!$E$66)</f>
        <v>-20000</v>
      </c>
      <c r="X72" s="27" t="n">
        <f aca="false">-IF(X$3&lt;=3,Assumptions!$E$65,Assumptions!$E$66)</f>
        <v>-20000</v>
      </c>
      <c r="Y72" s="27" t="n">
        <f aca="false">-IF(Y$3&lt;=3,Assumptions!$E$65,Assumptions!$E$66)</f>
        <v>-20000</v>
      </c>
      <c r="Z72" s="27" t="n">
        <f aca="false">-IF(Z$3&lt;=3,Assumptions!$E$65,Assumptions!$E$66)</f>
        <v>-20000</v>
      </c>
      <c r="AA72" s="27" t="n">
        <f aca="false">-IF(AA$3&lt;=3,Assumptions!$E$65,Assumptions!$E$66)</f>
        <v>-20000</v>
      </c>
      <c r="AB72" s="27" t="n">
        <f aca="false">-IF(AB$3&lt;=3,Assumptions!$E$65,Assumptions!$E$66)</f>
        <v>-20000</v>
      </c>
      <c r="AC72" s="27" t="n">
        <f aca="false">-IF(AC$3&lt;=3,Assumptions!$E$65,Assumptions!$E$66)</f>
        <v>-20000</v>
      </c>
      <c r="AD72" s="27" t="n">
        <f aca="false">-IF(AD$3&lt;=3,Assumptions!$E$65,Assumptions!$E$66)</f>
        <v>-20000</v>
      </c>
      <c r="AE72" s="27" t="n">
        <f aca="false">-IF(AE$3&lt;=3,Assumptions!$E$65,Assumptions!$E$66)</f>
        <v>-20000</v>
      </c>
      <c r="AF72" s="27" t="n">
        <f aca="false">-IF(AF$3&lt;=3,Assumptions!$E$65,Assumptions!$E$66)</f>
        <v>-20000</v>
      </c>
      <c r="AG72" s="27" t="n">
        <f aca="false">-IF(AG$3&lt;=3,Assumptions!$E$65,Assumptions!$E$66)</f>
        <v>-20000</v>
      </c>
      <c r="AH72" s="27" t="n">
        <f aca="false">-IF(AH$3&lt;=3,Assumptions!$E$65,Assumptions!$E$66)</f>
        <v>-20000</v>
      </c>
      <c r="AI72" s="27" t="n">
        <f aca="false">-IF(AI$3&lt;=3,Assumptions!$E$65,Assumptions!$E$66)</f>
        <v>-20000</v>
      </c>
      <c r="AJ72" s="27" t="n">
        <f aca="false">-IF(AJ$3&lt;=3,Assumptions!$E$65,Assumptions!$E$66)</f>
        <v>-20000</v>
      </c>
      <c r="AK72" s="27" t="n">
        <f aca="false">-IF(AK$3&lt;=3,Assumptions!$E$65,Assumptions!$E$66)</f>
        <v>-20000</v>
      </c>
      <c r="AL72" s="27" t="n">
        <f aca="false">-IF(AL$3&lt;=3,Assumptions!$E$65,Assumptions!$E$66)</f>
        <v>-20000</v>
      </c>
      <c r="AM72" s="27" t="n">
        <f aca="false">-IF(AM$3&lt;=3,Assumptions!$E$65,Assumptions!$E$66)</f>
        <v>-20000</v>
      </c>
    </row>
    <row r="73" customFormat="false" ht="15" hidden="false" customHeight="false" outlineLevel="0" collapsed="false">
      <c r="A73" s="8" t="s">
        <v>382</v>
      </c>
      <c r="B73" s="8" t="s">
        <v>50</v>
      </c>
      <c r="C73" s="27" t="n">
        <f aca="false">SUM(D73:AM73)</f>
        <v>-232000</v>
      </c>
      <c r="D73" s="27" t="n">
        <f aca="false">-IF(D9=1,Assumptions!$E$67,0)</f>
        <v>-0</v>
      </c>
      <c r="E73" s="27" t="n">
        <f aca="false">-IF(E9=1,Assumptions!$E$67,0)</f>
        <v>-0</v>
      </c>
      <c r="F73" s="27" t="n">
        <f aca="false">-IF(F9=1,Assumptions!$E$67,0)</f>
        <v>-0</v>
      </c>
      <c r="G73" s="27" t="n">
        <f aca="false">-IF(G9=1,Assumptions!$E$67,0)</f>
        <v>-0</v>
      </c>
      <c r="H73" s="27" t="n">
        <f aca="false">-IF(H9=1,Assumptions!$E$67,0)</f>
        <v>-0</v>
      </c>
      <c r="I73" s="27" t="n">
        <f aca="false">-IF(I9=1,Assumptions!$E$67,0)</f>
        <v>-0</v>
      </c>
      <c r="J73" s="27" t="n">
        <f aca="false">-IF(J9=1,Assumptions!$E$67,0)</f>
        <v>-0</v>
      </c>
      <c r="K73" s="27" t="n">
        <f aca="false">-IF(K9=1,Assumptions!$E$67,0)</f>
        <v>-8000</v>
      </c>
      <c r="L73" s="27" t="n">
        <f aca="false">-IF(L9=1,Assumptions!$E$67,0)</f>
        <v>-8000</v>
      </c>
      <c r="M73" s="27" t="n">
        <f aca="false">-IF(M9=1,Assumptions!$E$67,0)</f>
        <v>-8000</v>
      </c>
      <c r="N73" s="27" t="n">
        <f aca="false">-IF(N9=1,Assumptions!$E$67,0)</f>
        <v>-8000</v>
      </c>
      <c r="O73" s="27" t="n">
        <f aca="false">-IF(O9=1,Assumptions!$E$67,0)</f>
        <v>-8000</v>
      </c>
      <c r="P73" s="27" t="n">
        <f aca="false">-IF(P9=1,Assumptions!$E$67,0)</f>
        <v>-8000</v>
      </c>
      <c r="Q73" s="27" t="n">
        <f aca="false">-IF(Q9=1,Assumptions!$E$67,0)</f>
        <v>-8000</v>
      </c>
      <c r="R73" s="27" t="n">
        <f aca="false">-IF(R9=1,Assumptions!$E$67,0)</f>
        <v>-8000</v>
      </c>
      <c r="S73" s="27" t="n">
        <f aca="false">-IF(S9=1,Assumptions!$E$67,0)</f>
        <v>-8000</v>
      </c>
      <c r="T73" s="27" t="n">
        <f aca="false">-IF(T9=1,Assumptions!$E$67,0)</f>
        <v>-8000</v>
      </c>
      <c r="U73" s="27" t="n">
        <f aca="false">-IF(U9=1,Assumptions!$E$67,0)</f>
        <v>-8000</v>
      </c>
      <c r="V73" s="27" t="n">
        <f aca="false">-IF(V9=1,Assumptions!$E$67,0)</f>
        <v>-8000</v>
      </c>
      <c r="W73" s="27" t="n">
        <f aca="false">-IF(W9=1,Assumptions!$E$67,0)</f>
        <v>-8000</v>
      </c>
      <c r="X73" s="27" t="n">
        <f aca="false">-IF(X9=1,Assumptions!$E$67,0)</f>
        <v>-8000</v>
      </c>
      <c r="Y73" s="27" t="n">
        <f aca="false">-IF(Y9=1,Assumptions!$E$67,0)</f>
        <v>-8000</v>
      </c>
      <c r="Z73" s="27" t="n">
        <f aca="false">-IF(Z9=1,Assumptions!$E$67,0)</f>
        <v>-8000</v>
      </c>
      <c r="AA73" s="27" t="n">
        <f aca="false">-IF(AA9=1,Assumptions!$E$67,0)</f>
        <v>-8000</v>
      </c>
      <c r="AB73" s="27" t="n">
        <f aca="false">-IF(AB9=1,Assumptions!$E$67,0)</f>
        <v>-8000</v>
      </c>
      <c r="AC73" s="27" t="n">
        <f aca="false">-IF(AC9=1,Assumptions!$E$67,0)</f>
        <v>-8000</v>
      </c>
      <c r="AD73" s="27" t="n">
        <f aca="false">-IF(AD9=1,Assumptions!$E$67,0)</f>
        <v>-8000</v>
      </c>
      <c r="AE73" s="27" t="n">
        <f aca="false">-IF(AE9=1,Assumptions!$E$67,0)</f>
        <v>-8000</v>
      </c>
      <c r="AF73" s="27" t="n">
        <f aca="false">-IF(AF9=1,Assumptions!$E$67,0)</f>
        <v>-8000</v>
      </c>
      <c r="AG73" s="27" t="n">
        <f aca="false">-IF(AG9=1,Assumptions!$E$67,0)</f>
        <v>-8000</v>
      </c>
      <c r="AH73" s="27" t="n">
        <f aca="false">-IF(AH9=1,Assumptions!$E$67,0)</f>
        <v>-8000</v>
      </c>
      <c r="AI73" s="27" t="n">
        <f aca="false">-IF(AI9=1,Assumptions!$E$67,0)</f>
        <v>-8000</v>
      </c>
      <c r="AJ73" s="27" t="n">
        <f aca="false">-IF(AJ9=1,Assumptions!$E$67,0)</f>
        <v>-8000</v>
      </c>
      <c r="AK73" s="27" t="n">
        <f aca="false">-IF(AK9=1,Assumptions!$E$67,0)</f>
        <v>-8000</v>
      </c>
      <c r="AL73" s="27" t="n">
        <f aca="false">-IF(AL9=1,Assumptions!$E$67,0)</f>
        <v>-8000</v>
      </c>
      <c r="AM73" s="27" t="n">
        <f aca="false">-IF(AM9=1,Assumptions!$E$67,0)</f>
        <v>-8000</v>
      </c>
    </row>
    <row r="74" customFormat="false" ht="15" hidden="false" customHeight="false" outlineLevel="0" collapsed="false">
      <c r="A74" s="8" t="s">
        <v>383</v>
      </c>
      <c r="B74" s="8" t="s">
        <v>50</v>
      </c>
      <c r="C74" s="27" t="n">
        <f aca="false">SUM(D74:AM74)</f>
        <v>-1335000</v>
      </c>
      <c r="D74" s="27" t="n">
        <f aca="false">-IF(D9=1,Assumptions!$E$69,Assumptions!$E$68)</f>
        <v>-25000</v>
      </c>
      <c r="E74" s="27" t="n">
        <f aca="false">-IF(E9=1,Assumptions!$E$69,Assumptions!$E$68)</f>
        <v>-25000</v>
      </c>
      <c r="F74" s="27" t="n">
        <f aca="false">-IF(F9=1,Assumptions!$E$69,Assumptions!$E$68)</f>
        <v>-25000</v>
      </c>
      <c r="G74" s="27" t="n">
        <f aca="false">-IF(G9=1,Assumptions!$E$69,Assumptions!$E$68)</f>
        <v>-25000</v>
      </c>
      <c r="H74" s="27" t="n">
        <f aca="false">-IF(H9=1,Assumptions!$E$69,Assumptions!$E$68)</f>
        <v>-25000</v>
      </c>
      <c r="I74" s="27" t="n">
        <f aca="false">-IF(I9=1,Assumptions!$E$69,Assumptions!$E$68)</f>
        <v>-25000</v>
      </c>
      <c r="J74" s="27" t="n">
        <f aca="false">-IF(J9=1,Assumptions!$E$69,Assumptions!$E$68)</f>
        <v>-25000</v>
      </c>
      <c r="K74" s="27" t="n">
        <f aca="false">-IF(K9=1,Assumptions!$E$69,Assumptions!$E$68)</f>
        <v>-40000</v>
      </c>
      <c r="L74" s="27" t="n">
        <f aca="false">-IF(L9=1,Assumptions!$E$69,Assumptions!$E$68)</f>
        <v>-40000</v>
      </c>
      <c r="M74" s="27" t="n">
        <f aca="false">-IF(M9=1,Assumptions!$E$69,Assumptions!$E$68)</f>
        <v>-40000</v>
      </c>
      <c r="N74" s="27" t="n">
        <f aca="false">-IF(N9=1,Assumptions!$E$69,Assumptions!$E$68)</f>
        <v>-40000</v>
      </c>
      <c r="O74" s="27" t="n">
        <f aca="false">-IF(O9=1,Assumptions!$E$69,Assumptions!$E$68)</f>
        <v>-40000</v>
      </c>
      <c r="P74" s="27" t="n">
        <f aca="false">-IF(P9=1,Assumptions!$E$69,Assumptions!$E$68)</f>
        <v>-40000</v>
      </c>
      <c r="Q74" s="27" t="n">
        <f aca="false">-IF(Q9=1,Assumptions!$E$69,Assumptions!$E$68)</f>
        <v>-40000</v>
      </c>
      <c r="R74" s="27" t="n">
        <f aca="false">-IF(R9=1,Assumptions!$E$69,Assumptions!$E$68)</f>
        <v>-40000</v>
      </c>
      <c r="S74" s="27" t="n">
        <f aca="false">-IF(S9=1,Assumptions!$E$69,Assumptions!$E$68)</f>
        <v>-40000</v>
      </c>
      <c r="T74" s="27" t="n">
        <f aca="false">-IF(T9=1,Assumptions!$E$69,Assumptions!$E$68)</f>
        <v>-40000</v>
      </c>
      <c r="U74" s="27" t="n">
        <f aca="false">-IF(U9=1,Assumptions!$E$69,Assumptions!$E$68)</f>
        <v>-40000</v>
      </c>
      <c r="V74" s="27" t="n">
        <f aca="false">-IF(V9=1,Assumptions!$E$69,Assumptions!$E$68)</f>
        <v>-40000</v>
      </c>
      <c r="W74" s="27" t="n">
        <f aca="false">-IF(W9=1,Assumptions!$E$69,Assumptions!$E$68)</f>
        <v>-40000</v>
      </c>
      <c r="X74" s="27" t="n">
        <f aca="false">-IF(X9=1,Assumptions!$E$69,Assumptions!$E$68)</f>
        <v>-40000</v>
      </c>
      <c r="Y74" s="27" t="n">
        <f aca="false">-IF(Y9=1,Assumptions!$E$69,Assumptions!$E$68)</f>
        <v>-40000</v>
      </c>
      <c r="Z74" s="27" t="n">
        <f aca="false">-IF(Z9=1,Assumptions!$E$69,Assumptions!$E$68)</f>
        <v>-40000</v>
      </c>
      <c r="AA74" s="27" t="n">
        <f aca="false">-IF(AA9=1,Assumptions!$E$69,Assumptions!$E$68)</f>
        <v>-40000</v>
      </c>
      <c r="AB74" s="27" t="n">
        <f aca="false">-IF(AB9=1,Assumptions!$E$69,Assumptions!$E$68)</f>
        <v>-40000</v>
      </c>
      <c r="AC74" s="27" t="n">
        <f aca="false">-IF(AC9=1,Assumptions!$E$69,Assumptions!$E$68)</f>
        <v>-40000</v>
      </c>
      <c r="AD74" s="27" t="n">
        <f aca="false">-IF(AD9=1,Assumptions!$E$69,Assumptions!$E$68)</f>
        <v>-40000</v>
      </c>
      <c r="AE74" s="27" t="n">
        <f aca="false">-IF(AE9=1,Assumptions!$E$69,Assumptions!$E$68)</f>
        <v>-40000</v>
      </c>
      <c r="AF74" s="27" t="n">
        <f aca="false">-IF(AF9=1,Assumptions!$E$69,Assumptions!$E$68)</f>
        <v>-40000</v>
      </c>
      <c r="AG74" s="27" t="n">
        <f aca="false">-IF(AG9=1,Assumptions!$E$69,Assumptions!$E$68)</f>
        <v>-40000</v>
      </c>
      <c r="AH74" s="27" t="n">
        <f aca="false">-IF(AH9=1,Assumptions!$E$69,Assumptions!$E$68)</f>
        <v>-40000</v>
      </c>
      <c r="AI74" s="27" t="n">
        <f aca="false">-IF(AI9=1,Assumptions!$E$69,Assumptions!$E$68)</f>
        <v>-40000</v>
      </c>
      <c r="AJ74" s="27" t="n">
        <f aca="false">-IF(AJ9=1,Assumptions!$E$69,Assumptions!$E$68)</f>
        <v>-40000</v>
      </c>
      <c r="AK74" s="27" t="n">
        <f aca="false">-IF(AK9=1,Assumptions!$E$69,Assumptions!$E$68)</f>
        <v>-40000</v>
      </c>
      <c r="AL74" s="27" t="n">
        <f aca="false">-IF(AL9=1,Assumptions!$E$69,Assumptions!$E$68)</f>
        <v>-40000</v>
      </c>
      <c r="AM74" s="27" t="n">
        <f aca="false">-IF(AM9=1,Assumptions!$E$69,Assumptions!$E$68)</f>
        <v>-40000</v>
      </c>
    </row>
    <row r="75" customFormat="false" ht="15" hidden="false" customHeight="false" outlineLevel="0" collapsed="false">
      <c r="A75" s="29" t="s">
        <v>384</v>
      </c>
      <c r="B75" s="8" t="s">
        <v>50</v>
      </c>
      <c r="C75" s="31" t="n">
        <f aca="false">SUM(D75:AM75)</f>
        <v>-13051000</v>
      </c>
      <c r="D75" s="31" t="n">
        <f aca="false">SUM(D68:D74)</f>
        <v>-227000</v>
      </c>
      <c r="E75" s="31" t="n">
        <f aca="false">SUM(E68:E74)</f>
        <v>-227000</v>
      </c>
      <c r="F75" s="31" t="n">
        <f aca="false">SUM(F68:F74)</f>
        <v>-227000</v>
      </c>
      <c r="G75" s="31" t="n">
        <f aca="false">SUM(G68:G74)</f>
        <v>-257000</v>
      </c>
      <c r="H75" s="31" t="n">
        <f aca="false">SUM(H68:H74)</f>
        <v>-197000</v>
      </c>
      <c r="I75" s="31" t="n">
        <f aca="false">SUM(I68:I74)</f>
        <v>-197000</v>
      </c>
      <c r="J75" s="31" t="n">
        <f aca="false">SUM(J68:J74)</f>
        <v>-197000</v>
      </c>
      <c r="K75" s="31" t="n">
        <f aca="false">SUM(K68:K74)</f>
        <v>-298000</v>
      </c>
      <c r="L75" s="31" t="n">
        <f aca="false">SUM(L68:L74)</f>
        <v>-298000</v>
      </c>
      <c r="M75" s="31" t="n">
        <f aca="false">SUM(M68:M74)</f>
        <v>-298000</v>
      </c>
      <c r="N75" s="31" t="n">
        <f aca="false">SUM(N68:N74)</f>
        <v>-298000</v>
      </c>
      <c r="O75" s="31" t="n">
        <f aca="false">SUM(O68:O74)</f>
        <v>-298000</v>
      </c>
      <c r="P75" s="31" t="n">
        <f aca="false">SUM(P68:P74)</f>
        <v>-378000</v>
      </c>
      <c r="Q75" s="31" t="n">
        <f aca="false">SUM(Q68:Q74)</f>
        <v>-378000</v>
      </c>
      <c r="R75" s="31" t="n">
        <f aca="false">SUM(R68:R74)</f>
        <v>-378000</v>
      </c>
      <c r="S75" s="31" t="n">
        <f aca="false">SUM(S68:S74)</f>
        <v>-378000</v>
      </c>
      <c r="T75" s="31" t="n">
        <f aca="false">SUM(T68:T74)</f>
        <v>-378000</v>
      </c>
      <c r="U75" s="31" t="n">
        <f aca="false">SUM(U68:U74)</f>
        <v>-378000</v>
      </c>
      <c r="V75" s="31" t="n">
        <f aca="false">SUM(V68:V74)</f>
        <v>-378000</v>
      </c>
      <c r="W75" s="31" t="n">
        <f aca="false">SUM(W68:W74)</f>
        <v>-378000</v>
      </c>
      <c r="X75" s="31" t="n">
        <f aca="false">SUM(X68:X74)</f>
        <v>-378000</v>
      </c>
      <c r="Y75" s="31" t="n">
        <f aca="false">SUM(Y68:Y74)</f>
        <v>-378000</v>
      </c>
      <c r="Z75" s="31" t="n">
        <f aca="false">SUM(Z68:Z74)</f>
        <v>-378000</v>
      </c>
      <c r="AA75" s="31" t="n">
        <f aca="false">SUM(AA68:AA74)</f>
        <v>-378000</v>
      </c>
      <c r="AB75" s="31" t="n">
        <f aca="false">SUM(AB68:AB74)</f>
        <v>-458000</v>
      </c>
      <c r="AC75" s="31" t="n">
        <f aca="false">SUM(AC68:AC74)</f>
        <v>-458000</v>
      </c>
      <c r="AD75" s="31" t="n">
        <f aca="false">SUM(AD68:AD74)</f>
        <v>-458000</v>
      </c>
      <c r="AE75" s="31" t="n">
        <f aca="false">SUM(AE68:AE74)</f>
        <v>-458000</v>
      </c>
      <c r="AF75" s="31" t="n">
        <f aca="false">SUM(AF68:AF74)</f>
        <v>-458000</v>
      </c>
      <c r="AG75" s="31" t="n">
        <f aca="false">SUM(AG68:AG74)</f>
        <v>-458000</v>
      </c>
      <c r="AH75" s="31" t="n">
        <f aca="false">SUM(AH68:AH74)</f>
        <v>-458000</v>
      </c>
      <c r="AI75" s="31" t="n">
        <f aca="false">SUM(AI68:AI74)</f>
        <v>-458000</v>
      </c>
      <c r="AJ75" s="31" t="n">
        <f aca="false">SUM(AJ68:AJ74)</f>
        <v>-458000</v>
      </c>
      <c r="AK75" s="31" t="n">
        <f aca="false">SUM(AK68:AK74)</f>
        <v>-458000</v>
      </c>
      <c r="AL75" s="31" t="n">
        <f aca="false">SUM(AL68:AL74)</f>
        <v>-458000</v>
      </c>
      <c r="AM75" s="31" t="n">
        <f aca="false">SUM(AM68:AM74)</f>
        <v>-458000</v>
      </c>
    </row>
    <row r="76" customFormat="false" ht="15" hidden="false" customHeight="false" outlineLevel="0" collapsed="false">
      <c r="A76" s="5" t="s">
        <v>385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</row>
    <row r="77" customFormat="false" ht="15" hidden="false" customHeight="false" outlineLevel="0" collapsed="false">
      <c r="A77" s="29" t="s">
        <v>386</v>
      </c>
      <c r="B77" s="8" t="s">
        <v>50</v>
      </c>
      <c r="C77" s="31" t="n">
        <f aca="false">SUM(D77:AM77)</f>
        <v>7351793.12327914</v>
      </c>
      <c r="D77" s="31" t="n">
        <f aca="false">D63+D75</f>
        <v>-247000</v>
      </c>
      <c r="E77" s="31" t="n">
        <f aca="false">E63+E75</f>
        <v>-247000</v>
      </c>
      <c r="F77" s="31" t="n">
        <f aca="false">F63+F75</f>
        <v>-247000</v>
      </c>
      <c r="G77" s="31" t="n">
        <f aca="false">G63+G75</f>
        <v>-277000</v>
      </c>
      <c r="H77" s="31" t="n">
        <f aca="false">H63+H75</f>
        <v>-284112.032419642</v>
      </c>
      <c r="I77" s="31" t="n">
        <f aca="false">I63+I75</f>
        <v>-273701.365461201</v>
      </c>
      <c r="J77" s="31" t="n">
        <f aca="false">J63+J75</f>
        <v>-263975.88041215</v>
      </c>
      <c r="K77" s="31" t="n">
        <f aca="false">K63+K75</f>
        <v>-562066.842342787</v>
      </c>
      <c r="L77" s="31" t="n">
        <f aca="false">L63+L75</f>
        <v>-320401.415910506</v>
      </c>
      <c r="M77" s="31" t="n">
        <f aca="false">M63+M75</f>
        <v>-277632.930331955</v>
      </c>
      <c r="N77" s="31" t="n">
        <f aca="false">N63+N75</f>
        <v>-233738.335027959</v>
      </c>
      <c r="O77" s="31" t="n">
        <f aca="false">O63+O75</f>
        <v>-188527.504429094</v>
      </c>
      <c r="P77" s="31" t="n">
        <f aca="false">P63+P75</f>
        <v>-221810.447497718</v>
      </c>
      <c r="Q77" s="31" t="n">
        <f aca="false">Q63+Q75</f>
        <v>-173395.86537764</v>
      </c>
      <c r="R77" s="31" t="n">
        <f aca="false">R63+R75</f>
        <v>-123089.735912694</v>
      </c>
      <c r="S77" s="31" t="n">
        <f aca="false">S63+S75</f>
        <v>-70693.9099172406</v>
      </c>
      <c r="T77" s="31" t="n">
        <f aca="false">T63+T75</f>
        <v>-16004.7045188837</v>
      </c>
      <c r="U77" s="31" t="n">
        <f aca="false">U63+U75</f>
        <v>41188.520836879</v>
      </c>
      <c r="V77" s="31" t="n">
        <f aca="false">V63+V75</f>
        <v>101104.820022293</v>
      </c>
      <c r="W77" s="31" t="n">
        <f aca="false">W63+W75</f>
        <v>163973.161854042</v>
      </c>
      <c r="X77" s="31" t="n">
        <f aca="false">X63+X75</f>
        <v>230033.992264127</v>
      </c>
      <c r="Y77" s="31" t="n">
        <f aca="false">Y63+Y75</f>
        <v>299540.871922998</v>
      </c>
      <c r="Z77" s="31" t="n">
        <f aca="false">Z63+Z75</f>
        <v>372762.204731051</v>
      </c>
      <c r="AA77" s="31" t="n">
        <f aca="false">AA63+AA75</f>
        <v>439540.521311576</v>
      </c>
      <c r="AB77" s="31" t="n">
        <f aca="false">AB63+AB75</f>
        <v>425846.582296104</v>
      </c>
      <c r="AC77" s="31" t="n">
        <f aca="false">AC63+AC75</f>
        <v>492088.738919219</v>
      </c>
      <c r="AD77" s="31" t="n">
        <f aca="false">AD63+AD75</f>
        <v>558654.851131448</v>
      </c>
      <c r="AE77" s="31" t="n">
        <f aca="false">AE63+AE75</f>
        <v>625916.497611444</v>
      </c>
      <c r="AF77" s="31" t="n">
        <f aca="false">AF63+AF75</f>
        <v>694232.892220888</v>
      </c>
      <c r="AG77" s="31" t="n">
        <f aca="false">AG63+AG75</f>
        <v>763954.554210632</v>
      </c>
      <c r="AH77" s="31" t="n">
        <f aca="false">AH63+AH75</f>
        <v>835426.775629912</v>
      </c>
      <c r="AI77" s="31" t="n">
        <f aca="false">AI63+AI75</f>
        <v>908992.926078692</v>
      </c>
      <c r="AJ77" s="31" t="n">
        <f aca="false">AJ63+AJ75</f>
        <v>984997.632127761</v>
      </c>
      <c r="AK77" s="31" t="n">
        <f aca="false">AK63+AK75</f>
        <v>1063789.86636903</v>
      </c>
      <c r="AL77" s="31" t="n">
        <f aca="false">AL63+AL75</f>
        <v>1145725.97911278</v>
      </c>
      <c r="AM77" s="31" t="n">
        <f aca="false">AM63+AM75</f>
        <v>1231172.70418774</v>
      </c>
    </row>
    <row r="78" customFormat="false" ht="15" hidden="false" customHeight="false" outlineLevel="0" collapsed="false">
      <c r="A78" s="8" t="s">
        <v>387</v>
      </c>
      <c r="B78" s="8" t="s">
        <v>50</v>
      </c>
      <c r="C78" s="27" t="n">
        <f aca="false">SUM(D78:AM78)</f>
        <v>-439985.260419114</v>
      </c>
      <c r="D78" s="27" t="n">
        <f aca="false">-Assumptions!$E$80*ABS(D49)</f>
        <v>-0</v>
      </c>
      <c r="E78" s="27" t="n">
        <f aca="false">-Assumptions!$E$80*(ABS(E49)-ABS(D49))</f>
        <v>-0</v>
      </c>
      <c r="F78" s="27" t="n">
        <f aca="false">-Assumptions!$E$80*(ABS(F49)-ABS(E49))</f>
        <v>-0</v>
      </c>
      <c r="G78" s="27" t="n">
        <f aca="false">-Assumptions!$E$80*(ABS(G49)-ABS(F49))</f>
        <v>-0</v>
      </c>
      <c r="H78" s="27" t="n">
        <f aca="false">-Assumptions!$E$80*(ABS(H49)-ABS(G49))</f>
        <v>-15502.9501173094</v>
      </c>
      <c r="I78" s="27" t="n">
        <f aca="false">-Assumptions!$E$80*(ABS(I49)-ABS(H49))</f>
        <v>-2472.29552815425</v>
      </c>
      <c r="J78" s="27" t="n">
        <f aca="false">-Assumptions!$E$80*(ABS(J49)-ABS(I49))</f>
        <v>-2507.54025068813</v>
      </c>
      <c r="K78" s="27" t="n">
        <f aca="false">-Assumptions!$E$80*(ABS(K49)-ABS(J49))</f>
        <v>-70118.6067410548</v>
      </c>
      <c r="L78" s="27" t="n">
        <f aca="false">-Assumptions!$E$80*(ABS(L49)-ABS(K49))</f>
        <v>26530.6015586343</v>
      </c>
      <c r="M78" s="27" t="n">
        <f aca="false">-Assumptions!$E$80*(ABS(M49)-ABS(L49))</f>
        <v>-8181.45836358863</v>
      </c>
      <c r="N78" s="27" t="n">
        <f aca="false">-Assumptions!$E$80*(ABS(N49)-ABS(M49))</f>
        <v>-8468.3611163116</v>
      </c>
      <c r="O78" s="27" t="n">
        <f aca="false">-Assumptions!$E$80*(ABS(O49)-ABS(N49))</f>
        <v>-8767.60226177964</v>
      </c>
      <c r="P78" s="27" t="n">
        <f aca="false">-Assumptions!$E$80*(ABS(P49)-ABS(O49))</f>
        <v>-9079.88776968983</v>
      </c>
      <c r="Q78" s="27" t="n">
        <f aca="false">-Assumptions!$E$80*(ABS(Q49)-ABS(P49))</f>
        <v>-9405.97501244238</v>
      </c>
      <c r="R78" s="27" t="n">
        <f aca="false">-Assumptions!$E$80*(ABS(R49)-ABS(Q49))</f>
        <v>-9746.67702734715</v>
      </c>
      <c r="S78" s="27" t="n">
        <f aca="false">-Assumptions!$E$80*(ABS(S49)-ABS(R49))</f>
        <v>-10102.8671515068</v>
      </c>
      <c r="T78" s="27" t="n">
        <f aca="false">-Assumptions!$E$80*(ABS(T49)-ABS(S49))</f>
        <v>-10475.4840625918</v>
      </c>
      <c r="U78" s="27" t="n">
        <f aca="false">-Assumptions!$E$80*(ABS(U49)-ABS(T49))</f>
        <v>-10865.5372616981</v>
      </c>
      <c r="V78" s="27" t="n">
        <f aca="false">-Assumptions!$E$80*(ABS(V49)-ABS(U49))</f>
        <v>-11274.113037728</v>
      </c>
      <c r="W78" s="27" t="n">
        <f aca="false">-Assumptions!$E$80*(ABS(W49)-ABS(V49))</f>
        <v>-11702.3809562749</v>
      </c>
      <c r="X78" s="27" t="n">
        <f aca="false">-Assumptions!$E$80*(ABS(X49)-ABS(W49))</f>
        <v>-12151.6009198455</v>
      </c>
      <c r="Y78" s="27" t="n">
        <f aca="false">-Assumptions!$E$80*(ABS(Y49)-ABS(X49))</f>
        <v>-12623.1308504628</v>
      </c>
      <c r="Z78" s="27" t="n">
        <f aca="false">-Assumptions!$E$80*(ABS(Z49)-ABS(Y49))</f>
        <v>-13118.4350502704</v>
      </c>
      <c r="AA78" s="27" t="n">
        <f aca="false">-Assumptions!$E$80*(ABS(AA49)-ABS(Z49))</f>
        <v>-13639.0933007588</v>
      </c>
      <c r="AB78" s="27" t="n">
        <f aca="false">-Assumptions!$E$80*(ABS(AB49)-ABS(AA49))</f>
        <v>-14186.8107666701</v>
      </c>
      <c r="AC78" s="27" t="n">
        <f aca="false">-Assumptions!$E$80*(ABS(AC49)-ABS(AB49))</f>
        <v>-14763.4287765786</v>
      </c>
      <c r="AD78" s="27" t="n">
        <f aca="false">-Assumptions!$E$80*(ABS(AD49)-ABS(AC49))</f>
        <v>-15370.9365586062</v>
      </c>
      <c r="AE78" s="27" t="n">
        <f aca="false">-Assumptions!$E$80*(ABS(AE49)-ABS(AD49))</f>
        <v>-16011.4840167803</v>
      </c>
      <c r="AF78" s="27" t="n">
        <f aca="false">-Assumptions!$E$80*(ABS(AF49)-ABS(AE49))</f>
        <v>-16687.3956412271</v>
      </c>
      <c r="AG78" s="27" t="n">
        <f aca="false">-Assumptions!$E$80*(ABS(AG49)-ABS(AF49))</f>
        <v>-17401.1856537622</v>
      </c>
      <c r="AH78" s="27" t="n">
        <f aca="false">-Assumptions!$E$80*(ABS(AH49)-ABS(AG49))</f>
        <v>-18155.5744995701</v>
      </c>
      <c r="AI78" s="27" t="n">
        <f aca="false">-Assumptions!$E$80*(ABS(AI49)-ABS(AH49))</f>
        <v>-18953.5068056098</v>
      </c>
      <c r="AJ78" s="27" t="n">
        <f aca="false">-Assumptions!$E$80*(ABS(AJ49)-ABS(AI49))</f>
        <v>-19798.1709372256</v>
      </c>
      <c r="AK78" s="27" t="n">
        <f aca="false">-Assumptions!$E$80*(ABS(AK49)-ABS(AJ49))</f>
        <v>-20693.0202962601</v>
      </c>
      <c r="AL78" s="27" t="n">
        <f aca="false">-Assumptions!$E$80*(ABS(AL49)-ABS(AK49))</f>
        <v>-21641.7965168481</v>
      </c>
      <c r="AM78" s="27" t="n">
        <f aca="false">-Assumptions!$E$80*(ABS(AM49)-ABS(AL49))</f>
        <v>-22648.5547291068</v>
      </c>
    </row>
    <row r="79" customFormat="false" ht="15" hidden="false" customHeight="false" outlineLevel="0" collapsed="false">
      <c r="A79" s="29" t="s">
        <v>388</v>
      </c>
      <c r="B79" s="8" t="s">
        <v>50</v>
      </c>
      <c r="C79" s="31" t="n">
        <f aca="false">SUM(D79:AM79)</f>
        <v>6911807.86286002</v>
      </c>
      <c r="D79" s="31" t="n">
        <f aca="false">D77+D78</f>
        <v>-247000</v>
      </c>
      <c r="E79" s="31" t="n">
        <f aca="false">E77+E78</f>
        <v>-247000</v>
      </c>
      <c r="F79" s="31" t="n">
        <f aca="false">F77+F78</f>
        <v>-247000</v>
      </c>
      <c r="G79" s="31" t="n">
        <f aca="false">G77+G78</f>
        <v>-277000</v>
      </c>
      <c r="H79" s="31" t="n">
        <f aca="false">H77+H78</f>
        <v>-299614.982536951</v>
      </c>
      <c r="I79" s="31" t="n">
        <f aca="false">I77+I78</f>
        <v>-276173.660989356</v>
      </c>
      <c r="J79" s="31" t="n">
        <f aca="false">J77+J78</f>
        <v>-266483.420662838</v>
      </c>
      <c r="K79" s="31" t="n">
        <f aca="false">K77+K78</f>
        <v>-632185.449083842</v>
      </c>
      <c r="L79" s="31" t="n">
        <f aca="false">L77+L78</f>
        <v>-293870.814351872</v>
      </c>
      <c r="M79" s="31" t="n">
        <f aca="false">M77+M78</f>
        <v>-285814.388695543</v>
      </c>
      <c r="N79" s="31" t="n">
        <f aca="false">N77+N78</f>
        <v>-242206.69614427</v>
      </c>
      <c r="O79" s="31" t="n">
        <f aca="false">O77+O78</f>
        <v>-197295.106690873</v>
      </c>
      <c r="P79" s="31" t="n">
        <f aca="false">P77+P78</f>
        <v>-230890.335267408</v>
      </c>
      <c r="Q79" s="31" t="n">
        <f aca="false">Q77+Q78</f>
        <v>-182801.840390082</v>
      </c>
      <c r="R79" s="31" t="n">
        <f aca="false">R77+R78</f>
        <v>-132836.412940041</v>
      </c>
      <c r="S79" s="31" t="n">
        <f aca="false">S77+S78</f>
        <v>-80796.7770687475</v>
      </c>
      <c r="T79" s="31" t="n">
        <f aca="false">T77+T78</f>
        <v>-26480.1885814756</v>
      </c>
      <c r="U79" s="31" t="n">
        <f aca="false">U77+U78</f>
        <v>30322.983575181</v>
      </c>
      <c r="V79" s="31" t="n">
        <f aca="false">V77+V78</f>
        <v>89830.7069845648</v>
      </c>
      <c r="W79" s="31" t="n">
        <f aca="false">W77+W78</f>
        <v>152270.780897767</v>
      </c>
      <c r="X79" s="31" t="n">
        <f aca="false">X77+X78</f>
        <v>217882.391344282</v>
      </c>
      <c r="Y79" s="31" t="n">
        <f aca="false">Y77+Y78</f>
        <v>286917.741072535</v>
      </c>
      <c r="Z79" s="31" t="n">
        <f aca="false">Z77+Z78</f>
        <v>359643.769680781</v>
      </c>
      <c r="AA79" s="31" t="n">
        <f aca="false">AA77+AA78</f>
        <v>425901.428010817</v>
      </c>
      <c r="AB79" s="31" t="n">
        <f aca="false">AB77+AB78</f>
        <v>411659.771529434</v>
      </c>
      <c r="AC79" s="31" t="n">
        <f aca="false">AC77+AC78</f>
        <v>477325.310142641</v>
      </c>
      <c r="AD79" s="31" t="n">
        <f aca="false">AD77+AD78</f>
        <v>543283.914572842</v>
      </c>
      <c r="AE79" s="31" t="n">
        <f aca="false">AE77+AE78</f>
        <v>609905.013594664</v>
      </c>
      <c r="AF79" s="31" t="n">
        <f aca="false">AF77+AF78</f>
        <v>677545.496579661</v>
      </c>
      <c r="AG79" s="31" t="n">
        <f aca="false">AG77+AG78</f>
        <v>746553.36855687</v>
      </c>
      <c r="AH79" s="31" t="n">
        <f aca="false">AH77+AH78</f>
        <v>817271.201130342</v>
      </c>
      <c r="AI79" s="31" t="n">
        <f aca="false">AI77+AI78</f>
        <v>890039.419273082</v>
      </c>
      <c r="AJ79" s="31" t="n">
        <f aca="false">AJ77+AJ78</f>
        <v>965199.461190535</v>
      </c>
      <c r="AK79" s="31" t="n">
        <f aca="false">AK77+AK78</f>
        <v>1043096.84607277</v>
      </c>
      <c r="AL79" s="31" t="n">
        <f aca="false">AL77+AL78</f>
        <v>1124084.18259593</v>
      </c>
      <c r="AM79" s="31" t="n">
        <f aca="false">AM77+AM78</f>
        <v>1208524.14945863</v>
      </c>
    </row>
    <row r="80" customFormat="false" ht="15" hidden="false" customHeight="false" outlineLevel="0" collapsed="false">
      <c r="A80" s="29" t="s">
        <v>389</v>
      </c>
      <c r="B80" s="8" t="s">
        <v>50</v>
      </c>
      <c r="D80" s="31" t="n">
        <f aca="false">D79</f>
        <v>-247000</v>
      </c>
      <c r="E80" s="31" t="n">
        <f aca="false">D80+E79</f>
        <v>-494000</v>
      </c>
      <c r="F80" s="31" t="n">
        <f aca="false">E80+F79</f>
        <v>-741000</v>
      </c>
      <c r="G80" s="31" t="n">
        <f aca="false">F80+G79</f>
        <v>-1018000</v>
      </c>
      <c r="H80" s="31" t="n">
        <f aca="false">G80+H79</f>
        <v>-1317614.98253695</v>
      </c>
      <c r="I80" s="31" t="n">
        <f aca="false">H80+I79</f>
        <v>-1593788.64352631</v>
      </c>
      <c r="J80" s="31" t="n">
        <f aca="false">I80+J79</f>
        <v>-1860272.06418914</v>
      </c>
      <c r="K80" s="31" t="n">
        <f aca="false">J80+K79</f>
        <v>-2492457.51327299</v>
      </c>
      <c r="L80" s="31" t="n">
        <f aca="false">K80+L79</f>
        <v>-2786328.32762486</v>
      </c>
      <c r="M80" s="31" t="n">
        <f aca="false">L80+M79</f>
        <v>-3072142.7163204</v>
      </c>
      <c r="N80" s="31" t="n">
        <f aca="false">M80+N79</f>
        <v>-3314349.41246467</v>
      </c>
      <c r="O80" s="31" t="n">
        <f aca="false">N80+O79</f>
        <v>-3511644.51915554</v>
      </c>
      <c r="P80" s="31" t="n">
        <f aca="false">O80+P79</f>
        <v>-3742534.85442295</v>
      </c>
      <c r="Q80" s="31" t="n">
        <f aca="false">P80+Q79</f>
        <v>-3925336.69481303</v>
      </c>
      <c r="R80" s="31" t="n">
        <f aca="false">Q80+R79</f>
        <v>-4058173.10775307</v>
      </c>
      <c r="S80" s="31" t="n">
        <f aca="false">R80+S79</f>
        <v>-4138969.88482182</v>
      </c>
      <c r="T80" s="31" t="n">
        <f aca="false">S80+T79</f>
        <v>-4165450.0734033</v>
      </c>
      <c r="U80" s="31" t="n">
        <f aca="false">T80+U79</f>
        <v>-4135127.08982812</v>
      </c>
      <c r="V80" s="31" t="n">
        <f aca="false">U80+V79</f>
        <v>-4045296.38284355</v>
      </c>
      <c r="W80" s="31" t="n">
        <f aca="false">V80+W79</f>
        <v>-3893025.60194579</v>
      </c>
      <c r="X80" s="31" t="n">
        <f aca="false">W80+X79</f>
        <v>-3675143.2106015</v>
      </c>
      <c r="Y80" s="31" t="n">
        <f aca="false">X80+Y79</f>
        <v>-3388225.46952897</v>
      </c>
      <c r="Z80" s="31" t="n">
        <f aca="false">Y80+Z79</f>
        <v>-3028581.69984819</v>
      </c>
      <c r="AA80" s="31" t="n">
        <f aca="false">Z80+AA79</f>
        <v>-2602680.27183737</v>
      </c>
      <c r="AB80" s="31" t="n">
        <f aca="false">AA80+AB79</f>
        <v>-2191020.50030794</v>
      </c>
      <c r="AC80" s="31" t="n">
        <f aca="false">AB80+AC79</f>
        <v>-1713695.1901653</v>
      </c>
      <c r="AD80" s="31" t="n">
        <f aca="false">AC80+AD79</f>
        <v>-1170411.27559246</v>
      </c>
      <c r="AE80" s="31" t="n">
        <f aca="false">AD80+AE79</f>
        <v>-560506.261997792</v>
      </c>
      <c r="AF80" s="31" t="n">
        <f aca="false">AE80+AF79</f>
        <v>117039.234581869</v>
      </c>
      <c r="AG80" s="31" t="n">
        <f aca="false">AF80+AG79</f>
        <v>863592.603138739</v>
      </c>
      <c r="AH80" s="31" t="n">
        <f aca="false">AG80+AH79</f>
        <v>1680863.80426908</v>
      </c>
      <c r="AI80" s="31" t="n">
        <f aca="false">AH80+AI79</f>
        <v>2570903.22354216</v>
      </c>
      <c r="AJ80" s="31" t="n">
        <f aca="false">AI80+AJ79</f>
        <v>3536102.6847327</v>
      </c>
      <c r="AK80" s="31" t="n">
        <f aca="false">AJ80+AK79</f>
        <v>4579199.53080547</v>
      </c>
      <c r="AL80" s="31" t="n">
        <f aca="false">AK80+AL79</f>
        <v>5703283.71340139</v>
      </c>
      <c r="AM80" s="31" t="n">
        <f aca="false">AL80+AM79</f>
        <v>6911807.86286002</v>
      </c>
    </row>
    <row r="81" customFormat="false" ht="15" hidden="false" customHeight="false" outlineLevel="0" collapsed="false">
      <c r="A81" s="8" t="s">
        <v>390</v>
      </c>
      <c r="B81" s="8" t="s">
        <v>50</v>
      </c>
      <c r="D81" s="27" t="n">
        <f aca="false">Assumptions!$E$81+D80</f>
        <v>-247000</v>
      </c>
      <c r="E81" s="27" t="n">
        <f aca="false">Assumptions!$E$81+E80</f>
        <v>-494000</v>
      </c>
      <c r="F81" s="27" t="n">
        <f aca="false">Assumptions!$E$81+F80</f>
        <v>-741000</v>
      </c>
      <c r="G81" s="27" t="n">
        <f aca="false">Assumptions!$E$81+G80</f>
        <v>-1018000</v>
      </c>
      <c r="H81" s="27" t="n">
        <f aca="false">Assumptions!$E$81+H80</f>
        <v>-1317614.98253695</v>
      </c>
      <c r="I81" s="27" t="n">
        <f aca="false">Assumptions!$E$81+I80</f>
        <v>-1593788.64352631</v>
      </c>
      <c r="J81" s="27" t="n">
        <f aca="false">Assumptions!$E$81+J80</f>
        <v>-1860272.06418914</v>
      </c>
      <c r="K81" s="27" t="n">
        <f aca="false">Assumptions!$E$81+K80</f>
        <v>-2492457.51327299</v>
      </c>
      <c r="L81" s="27" t="n">
        <f aca="false">Assumptions!$E$81+L80</f>
        <v>-2786328.32762486</v>
      </c>
      <c r="M81" s="27" t="n">
        <f aca="false">Assumptions!$E$81+M80</f>
        <v>-3072142.7163204</v>
      </c>
      <c r="N81" s="27" t="n">
        <f aca="false">Assumptions!$E$81+N80</f>
        <v>-3314349.41246467</v>
      </c>
      <c r="O81" s="27" t="n">
        <f aca="false">Assumptions!$E$81+O80</f>
        <v>-3511644.51915554</v>
      </c>
      <c r="P81" s="27" t="n">
        <f aca="false">Assumptions!$E$81+P80</f>
        <v>-3742534.85442295</v>
      </c>
      <c r="Q81" s="27" t="n">
        <f aca="false">Assumptions!$E$81+Q80</f>
        <v>-3925336.69481303</v>
      </c>
      <c r="R81" s="27" t="n">
        <f aca="false">Assumptions!$E$81+R80</f>
        <v>-4058173.10775307</v>
      </c>
      <c r="S81" s="27" t="n">
        <f aca="false">Assumptions!$E$81+S80</f>
        <v>-4138969.88482182</v>
      </c>
      <c r="T81" s="27" t="n">
        <f aca="false">Assumptions!$E$81+T80</f>
        <v>-4165450.0734033</v>
      </c>
      <c r="U81" s="27" t="n">
        <f aca="false">Assumptions!$E$81+U80</f>
        <v>-4135127.08982812</v>
      </c>
      <c r="V81" s="27" t="n">
        <f aca="false">Assumptions!$E$81+V80</f>
        <v>-4045296.38284355</v>
      </c>
      <c r="W81" s="27" t="n">
        <f aca="false">Assumptions!$E$81+W80</f>
        <v>-3893025.60194579</v>
      </c>
      <c r="X81" s="27" t="n">
        <f aca="false">Assumptions!$E$81+X80</f>
        <v>-3675143.2106015</v>
      </c>
      <c r="Y81" s="27" t="n">
        <f aca="false">Assumptions!$E$81+Y80</f>
        <v>-3388225.46952897</v>
      </c>
      <c r="Z81" s="27" t="n">
        <f aca="false">Assumptions!$E$81+Z80</f>
        <v>-3028581.69984819</v>
      </c>
      <c r="AA81" s="27" t="n">
        <f aca="false">Assumptions!$E$81+AA80</f>
        <v>-2602680.27183737</v>
      </c>
      <c r="AB81" s="27" t="n">
        <f aca="false">Assumptions!$E$81+AB80</f>
        <v>-2191020.50030794</v>
      </c>
      <c r="AC81" s="27" t="n">
        <f aca="false">Assumptions!$E$81+AC80</f>
        <v>-1713695.1901653</v>
      </c>
      <c r="AD81" s="27" t="n">
        <f aca="false">Assumptions!$E$81+AD80</f>
        <v>-1170411.27559246</v>
      </c>
      <c r="AE81" s="27" t="n">
        <f aca="false">Assumptions!$E$81+AE80</f>
        <v>-560506.261997792</v>
      </c>
      <c r="AF81" s="27" t="n">
        <f aca="false">Assumptions!$E$81+AF80</f>
        <v>117039.234581869</v>
      </c>
      <c r="AG81" s="27" t="n">
        <f aca="false">Assumptions!$E$81+AG80</f>
        <v>863592.603138739</v>
      </c>
      <c r="AH81" s="27" t="n">
        <f aca="false">Assumptions!$E$81+AH80</f>
        <v>1680863.80426908</v>
      </c>
      <c r="AI81" s="27" t="n">
        <f aca="false">Assumptions!$E$81+AI80</f>
        <v>2570903.22354216</v>
      </c>
      <c r="AJ81" s="27" t="n">
        <f aca="false">Assumptions!$E$81+AJ80</f>
        <v>3536102.6847327</v>
      </c>
      <c r="AK81" s="27" t="n">
        <f aca="false">Assumptions!$E$81+AK80</f>
        <v>4579199.53080547</v>
      </c>
      <c r="AL81" s="27" t="n">
        <f aca="false">Assumptions!$E$81+AL80</f>
        <v>5703283.71340139</v>
      </c>
      <c r="AM81" s="27" t="n">
        <f aca="false">Assumptions!$E$81+AM80</f>
        <v>6911807.86286002</v>
      </c>
    </row>
    <row r="82" customFormat="false" ht="15" hidden="false" customHeight="false" outlineLevel="0" collapsed="false">
      <c r="A82" s="8" t="s">
        <v>391</v>
      </c>
      <c r="B82" s="8" t="s">
        <v>293</v>
      </c>
      <c r="D82" s="25" t="n">
        <f aca="false">IF(D77&gt;0,D$3,999)</f>
        <v>999</v>
      </c>
      <c r="E82" s="25" t="n">
        <f aca="false">IF(E77&gt;0,E$3,999)</f>
        <v>999</v>
      </c>
      <c r="F82" s="25" t="n">
        <f aca="false">IF(F77&gt;0,F$3,999)</f>
        <v>999</v>
      </c>
      <c r="G82" s="25" t="n">
        <f aca="false">IF(G77&gt;0,G$3,999)</f>
        <v>999</v>
      </c>
      <c r="H82" s="25" t="n">
        <f aca="false">IF(H77&gt;0,H$3,999)</f>
        <v>999</v>
      </c>
      <c r="I82" s="25" t="n">
        <f aca="false">IF(I77&gt;0,I$3,999)</f>
        <v>999</v>
      </c>
      <c r="J82" s="25" t="n">
        <f aca="false">IF(J77&gt;0,J$3,999)</f>
        <v>999</v>
      </c>
      <c r="K82" s="25" t="n">
        <f aca="false">IF(K77&gt;0,K$3,999)</f>
        <v>999</v>
      </c>
      <c r="L82" s="25" t="n">
        <f aca="false">IF(L77&gt;0,L$3,999)</f>
        <v>999</v>
      </c>
      <c r="M82" s="25" t="n">
        <f aca="false">IF(M77&gt;0,M$3,999)</f>
        <v>999</v>
      </c>
      <c r="N82" s="25" t="n">
        <f aca="false">IF(N77&gt;0,N$3,999)</f>
        <v>999</v>
      </c>
      <c r="O82" s="25" t="n">
        <f aca="false">IF(O77&gt;0,O$3,999)</f>
        <v>999</v>
      </c>
      <c r="P82" s="25" t="n">
        <f aca="false">IF(P77&gt;0,P$3,999)</f>
        <v>999</v>
      </c>
      <c r="Q82" s="25" t="n">
        <f aca="false">IF(Q77&gt;0,Q$3,999)</f>
        <v>999</v>
      </c>
      <c r="R82" s="25" t="n">
        <f aca="false">IF(R77&gt;0,R$3,999)</f>
        <v>999</v>
      </c>
      <c r="S82" s="25" t="n">
        <f aca="false">IF(S77&gt;0,S$3,999)</f>
        <v>999</v>
      </c>
      <c r="T82" s="25" t="n">
        <f aca="false">IF(T77&gt;0,T$3,999)</f>
        <v>999</v>
      </c>
      <c r="U82" s="25" t="n">
        <f aca="false">IF(U77&gt;0,U$3,999)</f>
        <v>18</v>
      </c>
      <c r="V82" s="25" t="n">
        <f aca="false">IF(V77&gt;0,V$3,999)</f>
        <v>19</v>
      </c>
      <c r="W82" s="25" t="n">
        <f aca="false">IF(W77&gt;0,W$3,999)</f>
        <v>20</v>
      </c>
      <c r="X82" s="25" t="n">
        <f aca="false">IF(X77&gt;0,X$3,999)</f>
        <v>21</v>
      </c>
      <c r="Y82" s="25" t="n">
        <f aca="false">IF(Y77&gt;0,Y$3,999)</f>
        <v>22</v>
      </c>
      <c r="Z82" s="25" t="n">
        <f aca="false">IF(Z77&gt;0,Z$3,999)</f>
        <v>23</v>
      </c>
      <c r="AA82" s="25" t="n">
        <f aca="false">IF(AA77&gt;0,AA$3,999)</f>
        <v>24</v>
      </c>
      <c r="AB82" s="25" t="n">
        <f aca="false">IF(AB77&gt;0,AB$3,999)</f>
        <v>25</v>
      </c>
      <c r="AC82" s="25" t="n">
        <f aca="false">IF(AC77&gt;0,AC$3,999)</f>
        <v>26</v>
      </c>
      <c r="AD82" s="25" t="n">
        <f aca="false">IF(AD77&gt;0,AD$3,999)</f>
        <v>27</v>
      </c>
      <c r="AE82" s="25" t="n">
        <f aca="false">IF(AE77&gt;0,AE$3,999)</f>
        <v>28</v>
      </c>
      <c r="AF82" s="25" t="n">
        <f aca="false">IF(AF77&gt;0,AF$3,999)</f>
        <v>29</v>
      </c>
      <c r="AG82" s="25" t="n">
        <f aca="false">IF(AG77&gt;0,AG$3,999)</f>
        <v>30</v>
      </c>
      <c r="AH82" s="25" t="n">
        <f aca="false">IF(AH77&gt;0,AH$3,999)</f>
        <v>31</v>
      </c>
      <c r="AI82" s="25" t="n">
        <f aca="false">IF(AI77&gt;0,AI$3,999)</f>
        <v>32</v>
      </c>
      <c r="AJ82" s="25" t="n">
        <f aca="false">IF(AJ77&gt;0,AJ$3,999)</f>
        <v>33</v>
      </c>
      <c r="AK82" s="25" t="n">
        <f aca="false">IF(AK77&gt;0,AK$3,999)</f>
        <v>34</v>
      </c>
      <c r="AL82" s="25" t="n">
        <f aca="false">IF(AL77&gt;0,AL$3,999)</f>
        <v>35</v>
      </c>
      <c r="AM82" s="25" t="n">
        <f aca="false">IF(AM77&gt;0,AM$3,999)</f>
        <v>36</v>
      </c>
    </row>
    <row r="83" customFormat="false" ht="15" hidden="false" customHeight="false" outlineLevel="0" collapsed="false">
      <c r="A83" s="5" t="s">
        <v>392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</row>
    <row r="84" customFormat="false" ht="15" hidden="false" customHeight="false" outlineLevel="0" collapsed="false">
      <c r="A84" s="8" t="s">
        <v>393</v>
      </c>
      <c r="B84" s="8" t="s">
        <v>50</v>
      </c>
      <c r="D84" s="27" t="n">
        <f aca="false">IF(D24=0,0,(D36)/D24)</f>
        <v>0</v>
      </c>
      <c r="E84" s="27" t="n">
        <f aca="false">IF(E24=0,0,(E36)/E24)</f>
        <v>0</v>
      </c>
      <c r="F84" s="27" t="n">
        <f aca="false">IF(F24=0,0,(F36)/F24)</f>
        <v>0</v>
      </c>
      <c r="G84" s="27" t="n">
        <f aca="false">IF(G24=0,0,(G36)/G24)</f>
        <v>0</v>
      </c>
      <c r="H84" s="27" t="n">
        <f aca="false">IF(H24=0,0,(H36)/H24)</f>
        <v>275</v>
      </c>
      <c r="I84" s="27" t="n">
        <f aca="false">IF(I24=0,0,(I36)/I24)</f>
        <v>275</v>
      </c>
      <c r="J84" s="27" t="n">
        <f aca="false">IF(J24=0,0,(J36)/J24)</f>
        <v>275</v>
      </c>
      <c r="K84" s="27" t="n">
        <f aca="false">IF(K24=0,0,(K36)/K24)</f>
        <v>275</v>
      </c>
      <c r="L84" s="27" t="n">
        <f aca="false">IF(L24=0,0,(L36)/L24)</f>
        <v>275</v>
      </c>
      <c r="M84" s="27" t="n">
        <f aca="false">IF(M24=0,0,(M36)/M24)</f>
        <v>275</v>
      </c>
      <c r="N84" s="27" t="n">
        <f aca="false">IF(N24=0,0,(N36)/N24)</f>
        <v>275</v>
      </c>
      <c r="O84" s="27" t="n">
        <f aca="false">IF(O24=0,0,(O36)/O24)</f>
        <v>275</v>
      </c>
      <c r="P84" s="27" t="n">
        <f aca="false">IF(P24=0,0,(P36)/P24)</f>
        <v>275</v>
      </c>
      <c r="Q84" s="27" t="n">
        <f aca="false">IF(Q24=0,0,(Q36)/Q24)</f>
        <v>275</v>
      </c>
      <c r="R84" s="27" t="n">
        <f aca="false">IF(R24=0,0,(R36)/R24)</f>
        <v>275</v>
      </c>
      <c r="S84" s="27" t="n">
        <f aca="false">IF(S24=0,0,(S36)/S24)</f>
        <v>275</v>
      </c>
      <c r="T84" s="27" t="n">
        <f aca="false">IF(T24=0,0,(T36)/T24)</f>
        <v>275</v>
      </c>
      <c r="U84" s="27" t="n">
        <f aca="false">IF(U24=0,0,(U36)/U24)</f>
        <v>275</v>
      </c>
      <c r="V84" s="27" t="n">
        <f aca="false">IF(V24=0,0,(V36)/V24)</f>
        <v>275</v>
      </c>
      <c r="W84" s="27" t="n">
        <f aca="false">IF(W24=0,0,(W36)/W24)</f>
        <v>275</v>
      </c>
      <c r="X84" s="27" t="n">
        <f aca="false">IF(X24=0,0,(X36)/X24)</f>
        <v>275</v>
      </c>
      <c r="Y84" s="27" t="n">
        <f aca="false">IF(Y24=0,0,(Y36)/Y24)</f>
        <v>275</v>
      </c>
      <c r="Z84" s="27" t="n">
        <f aca="false">IF(Z24=0,0,(Z36)/Z24)</f>
        <v>275</v>
      </c>
      <c r="AA84" s="27" t="n">
        <f aca="false">IF(AA24=0,0,(AA36)/AA24)</f>
        <v>275</v>
      </c>
      <c r="AB84" s="27" t="n">
        <f aca="false">IF(AB24=0,0,(AB36)/AB24)</f>
        <v>275</v>
      </c>
      <c r="AC84" s="27" t="n">
        <f aca="false">IF(AC24=0,0,(AC36)/AC24)</f>
        <v>275</v>
      </c>
      <c r="AD84" s="27" t="n">
        <f aca="false">IF(AD24=0,0,(AD36)/AD24)</f>
        <v>275</v>
      </c>
      <c r="AE84" s="27" t="n">
        <f aca="false">IF(AE24=0,0,(AE36)/AE24)</f>
        <v>275</v>
      </c>
      <c r="AF84" s="27" t="n">
        <f aca="false">IF(AF24=0,0,(AF36)/AF24)</f>
        <v>275</v>
      </c>
      <c r="AG84" s="27" t="n">
        <f aca="false">IF(AG24=0,0,(AG36)/AG24)</f>
        <v>275</v>
      </c>
      <c r="AH84" s="27" t="n">
        <f aca="false">IF(AH24=0,0,(AH36)/AH24)</f>
        <v>275</v>
      </c>
      <c r="AI84" s="27" t="n">
        <f aca="false">IF(AI24=0,0,(AI36)/AI24)</f>
        <v>275</v>
      </c>
      <c r="AJ84" s="27" t="n">
        <f aca="false">IF(AJ24=0,0,(AJ36)/AJ24)</f>
        <v>275</v>
      </c>
      <c r="AK84" s="27" t="n">
        <f aca="false">IF(AK24=0,0,(AK36)/AK24)</f>
        <v>275</v>
      </c>
      <c r="AL84" s="27" t="n">
        <f aca="false">IF(AL24=0,0,(AL36)/AL24)</f>
        <v>275</v>
      </c>
      <c r="AM84" s="27" t="n">
        <f aca="false">IF(AM24=0,0,(AM36)/AM24)</f>
        <v>275</v>
      </c>
    </row>
    <row r="85" customFormat="false" ht="15" hidden="false" customHeight="false" outlineLevel="0" collapsed="false">
      <c r="A85" s="8" t="s">
        <v>394</v>
      </c>
      <c r="B85" s="8" t="s">
        <v>50</v>
      </c>
      <c r="D85" s="27" t="n">
        <f aca="false">Assumptions!$E$30*(1-Assumptions!$E$50-Assumptions!$E$49)-Assumptions!$E$44-Assumptions!$E$46-Assumptions!$E$47-Assumptions!$E$51</f>
        <v>134.4</v>
      </c>
      <c r="E85" s="27" t="n">
        <f aca="false">Assumptions!$E$30*(1-Assumptions!$E$50-Assumptions!$E$49)-Assumptions!$E$44-Assumptions!$E$46-Assumptions!$E$47-Assumptions!$E$51</f>
        <v>134.4</v>
      </c>
      <c r="F85" s="27" t="n">
        <f aca="false">Assumptions!$E$30*(1-Assumptions!$E$50-Assumptions!$E$49)-Assumptions!$E$44-Assumptions!$E$46-Assumptions!$E$47-Assumptions!$E$51</f>
        <v>134.4</v>
      </c>
      <c r="G85" s="27" t="n">
        <f aca="false">Assumptions!$E$30*(1-Assumptions!$E$50-Assumptions!$E$49)-Assumptions!$E$44-Assumptions!$E$46-Assumptions!$E$47-Assumptions!$E$51</f>
        <v>134.4</v>
      </c>
      <c r="H85" s="27" t="n">
        <f aca="false">Assumptions!$E$30*(1-Assumptions!$E$50-Assumptions!$E$49)-Assumptions!$E$44-Assumptions!$E$46-Assumptions!$E$47-Assumptions!$E$51</f>
        <v>134.4</v>
      </c>
      <c r="I85" s="27" t="n">
        <f aca="false">Assumptions!$E$30*(1-Assumptions!$E$50-Assumptions!$E$49)-Assumptions!$E$44-Assumptions!$E$46-Assumptions!$E$47-Assumptions!$E$51</f>
        <v>134.4</v>
      </c>
      <c r="J85" s="27" t="n">
        <f aca="false">Assumptions!$E$30*(1-Assumptions!$E$50-Assumptions!$E$49)-Assumptions!$E$44-Assumptions!$E$46-Assumptions!$E$47-Assumptions!$E$51</f>
        <v>134.4</v>
      </c>
      <c r="K85" s="27" t="n">
        <f aca="false">Assumptions!$E$30*(1-Assumptions!$E$50-Assumptions!$E$49)-Assumptions!$E$44-Assumptions!$E$46-Assumptions!$E$47-Assumptions!$E$51</f>
        <v>134.4</v>
      </c>
      <c r="L85" s="27" t="n">
        <f aca="false">Assumptions!$E$30*(1-Assumptions!$E$50-Assumptions!$E$49)-Assumptions!$E$44-Assumptions!$E$46-Assumptions!$E$47-Assumptions!$E$51</f>
        <v>134.4</v>
      </c>
      <c r="M85" s="27" t="n">
        <f aca="false">Assumptions!$E$30*(1-Assumptions!$E$50-Assumptions!$E$49)-Assumptions!$E$44-Assumptions!$E$46-Assumptions!$E$47-Assumptions!$E$51</f>
        <v>134.4</v>
      </c>
      <c r="N85" s="27" t="n">
        <f aca="false">Assumptions!$E$30*(1-Assumptions!$E$50-Assumptions!$E$49)-Assumptions!$E$44-Assumptions!$E$46-Assumptions!$E$47-Assumptions!$E$51</f>
        <v>134.4</v>
      </c>
      <c r="O85" s="27" t="n">
        <f aca="false">Assumptions!$E$30*(1-Assumptions!$E$50-Assumptions!$E$49)-Assumptions!$E$44-Assumptions!$E$46-Assumptions!$E$47-Assumptions!$E$51</f>
        <v>134.4</v>
      </c>
      <c r="P85" s="27" t="n">
        <f aca="false">Assumptions!$E$30*(1-Assumptions!$E$50-Assumptions!$E$49)-Assumptions!$E$44-Assumptions!$E$46-Assumptions!$E$47-Assumptions!$E$51</f>
        <v>134.4</v>
      </c>
      <c r="Q85" s="27" t="n">
        <f aca="false">Assumptions!$E$30*(1-Assumptions!$E$50-Assumptions!$E$49)-Assumptions!$E$44-Assumptions!$E$46-Assumptions!$E$47-Assumptions!$E$51</f>
        <v>134.4</v>
      </c>
      <c r="R85" s="27" t="n">
        <f aca="false">Assumptions!$E$30*(1-Assumptions!$E$50-Assumptions!$E$49)-Assumptions!$E$44-Assumptions!$E$46-Assumptions!$E$47-Assumptions!$E$51</f>
        <v>134.4</v>
      </c>
      <c r="S85" s="27" t="n">
        <f aca="false">Assumptions!$E$30*(1-Assumptions!$E$50-Assumptions!$E$49)-Assumptions!$E$44-Assumptions!$E$46-Assumptions!$E$47-Assumptions!$E$51</f>
        <v>134.4</v>
      </c>
      <c r="T85" s="27" t="n">
        <f aca="false">Assumptions!$E$30*(1-Assumptions!$E$50-Assumptions!$E$49)-Assumptions!$E$44-Assumptions!$E$46-Assumptions!$E$47-Assumptions!$E$51</f>
        <v>134.4</v>
      </c>
      <c r="U85" s="27" t="n">
        <f aca="false">Assumptions!$E$30*(1-Assumptions!$E$50-Assumptions!$E$49)-Assumptions!$E$44-Assumptions!$E$46-Assumptions!$E$47-Assumptions!$E$51</f>
        <v>134.4</v>
      </c>
      <c r="V85" s="27" t="n">
        <f aca="false">Assumptions!$E$30*(1-Assumptions!$E$50-Assumptions!$E$49)-Assumptions!$E$44-Assumptions!$E$46-Assumptions!$E$47-Assumptions!$E$51</f>
        <v>134.4</v>
      </c>
      <c r="W85" s="27" t="n">
        <f aca="false">Assumptions!$E$30*(1-Assumptions!$E$50-Assumptions!$E$49)-Assumptions!$E$44-Assumptions!$E$46-Assumptions!$E$47-Assumptions!$E$51</f>
        <v>134.4</v>
      </c>
      <c r="X85" s="27" t="n">
        <f aca="false">Assumptions!$E$30*(1-Assumptions!$E$50-Assumptions!$E$49)-Assumptions!$E$44-Assumptions!$E$46-Assumptions!$E$47-Assumptions!$E$51</f>
        <v>134.4</v>
      </c>
      <c r="Y85" s="27" t="n">
        <f aca="false">Assumptions!$E$30*(1-Assumptions!$E$50-Assumptions!$E$49)-Assumptions!$E$44-Assumptions!$E$46-Assumptions!$E$47-Assumptions!$E$51</f>
        <v>134.4</v>
      </c>
      <c r="Z85" s="27" t="n">
        <f aca="false">Assumptions!$E$30*(1-Assumptions!$E$50-Assumptions!$E$49)-Assumptions!$E$44-Assumptions!$E$46-Assumptions!$E$47-Assumptions!$E$51</f>
        <v>134.4</v>
      </c>
      <c r="AA85" s="27" t="n">
        <f aca="false">Assumptions!$E$30*(1-Assumptions!$E$50-Assumptions!$E$49)-Assumptions!$E$44-Assumptions!$E$46-Assumptions!$E$47-Assumptions!$E$51</f>
        <v>134.4</v>
      </c>
      <c r="AB85" s="27" t="n">
        <f aca="false">Assumptions!$E$30*(1-Assumptions!$E$50-Assumptions!$E$49)-Assumptions!$E$44-Assumptions!$E$46-Assumptions!$E$47-Assumptions!$E$51</f>
        <v>134.4</v>
      </c>
      <c r="AC85" s="27" t="n">
        <f aca="false">Assumptions!$E$30*(1-Assumptions!$E$50-Assumptions!$E$49)-Assumptions!$E$44-Assumptions!$E$46-Assumptions!$E$47-Assumptions!$E$51</f>
        <v>134.4</v>
      </c>
      <c r="AD85" s="27" t="n">
        <f aca="false">Assumptions!$E$30*(1-Assumptions!$E$50-Assumptions!$E$49)-Assumptions!$E$44-Assumptions!$E$46-Assumptions!$E$47-Assumptions!$E$51</f>
        <v>134.4</v>
      </c>
      <c r="AE85" s="27" t="n">
        <f aca="false">Assumptions!$E$30*(1-Assumptions!$E$50-Assumptions!$E$49)-Assumptions!$E$44-Assumptions!$E$46-Assumptions!$E$47-Assumptions!$E$51</f>
        <v>134.4</v>
      </c>
      <c r="AF85" s="27" t="n">
        <f aca="false">Assumptions!$E$30*(1-Assumptions!$E$50-Assumptions!$E$49)-Assumptions!$E$44-Assumptions!$E$46-Assumptions!$E$47-Assumptions!$E$51</f>
        <v>134.4</v>
      </c>
      <c r="AG85" s="27" t="n">
        <f aca="false">Assumptions!$E$30*(1-Assumptions!$E$50-Assumptions!$E$49)-Assumptions!$E$44-Assumptions!$E$46-Assumptions!$E$47-Assumptions!$E$51</f>
        <v>134.4</v>
      </c>
      <c r="AH85" s="27" t="n">
        <f aca="false">Assumptions!$E$30*(1-Assumptions!$E$50-Assumptions!$E$49)-Assumptions!$E$44-Assumptions!$E$46-Assumptions!$E$47-Assumptions!$E$51</f>
        <v>134.4</v>
      </c>
      <c r="AI85" s="27" t="n">
        <f aca="false">Assumptions!$E$30*(1-Assumptions!$E$50-Assumptions!$E$49)-Assumptions!$E$44-Assumptions!$E$46-Assumptions!$E$47-Assumptions!$E$51</f>
        <v>134.4</v>
      </c>
      <c r="AJ85" s="27" t="n">
        <f aca="false">Assumptions!$E$30*(1-Assumptions!$E$50-Assumptions!$E$49)-Assumptions!$E$44-Assumptions!$E$46-Assumptions!$E$47-Assumptions!$E$51</f>
        <v>134.4</v>
      </c>
      <c r="AK85" s="27" t="n">
        <f aca="false">Assumptions!$E$30*(1-Assumptions!$E$50-Assumptions!$E$49)-Assumptions!$E$44-Assumptions!$E$46-Assumptions!$E$47-Assumptions!$E$51</f>
        <v>134.4</v>
      </c>
      <c r="AL85" s="27" t="n">
        <f aca="false">Assumptions!$E$30*(1-Assumptions!$E$50-Assumptions!$E$49)-Assumptions!$E$44-Assumptions!$E$46-Assumptions!$E$47-Assumptions!$E$51</f>
        <v>134.4</v>
      </c>
      <c r="AM85" s="27" t="n">
        <f aca="false">Assumptions!$E$30*(1-Assumptions!$E$50-Assumptions!$E$49)-Assumptions!$E$44-Assumptions!$E$46-Assumptions!$E$47-Assumptions!$E$51</f>
        <v>134.4</v>
      </c>
    </row>
    <row r="86" customFormat="false" ht="15" hidden="false" customHeight="false" outlineLevel="0" collapsed="false">
      <c r="A86" s="8" t="s">
        <v>395</v>
      </c>
      <c r="B86" s="8" t="s">
        <v>50</v>
      </c>
      <c r="D86" s="27" t="n">
        <f aca="false">D85/Assumptions!$E$41</f>
        <v>1221.81818181818</v>
      </c>
      <c r="E86" s="27" t="n">
        <f aca="false">E85/Assumptions!$E$41</f>
        <v>1221.81818181818</v>
      </c>
      <c r="F86" s="27" t="n">
        <f aca="false">F85/Assumptions!$E$41</f>
        <v>1221.81818181818</v>
      </c>
      <c r="G86" s="27" t="n">
        <f aca="false">G85/Assumptions!$E$41</f>
        <v>1221.81818181818</v>
      </c>
      <c r="H86" s="27" t="n">
        <f aca="false">H85/Assumptions!$E$41</f>
        <v>1221.81818181818</v>
      </c>
      <c r="I86" s="27" t="n">
        <f aca="false">I85/Assumptions!$E$41</f>
        <v>1221.81818181818</v>
      </c>
      <c r="J86" s="27" t="n">
        <f aca="false">J85/Assumptions!$E$41</f>
        <v>1221.81818181818</v>
      </c>
      <c r="K86" s="27" t="n">
        <f aca="false">K85/Assumptions!$E$41</f>
        <v>1221.81818181818</v>
      </c>
      <c r="L86" s="27" t="n">
        <f aca="false">L85/Assumptions!$E$41</f>
        <v>1221.81818181818</v>
      </c>
      <c r="M86" s="27" t="n">
        <f aca="false">M85/Assumptions!$E$41</f>
        <v>1221.81818181818</v>
      </c>
      <c r="N86" s="27" t="n">
        <f aca="false">N85/Assumptions!$E$41</f>
        <v>1221.81818181818</v>
      </c>
      <c r="O86" s="27" t="n">
        <f aca="false">O85/Assumptions!$E$41</f>
        <v>1221.81818181818</v>
      </c>
      <c r="P86" s="27" t="n">
        <f aca="false">P85/Assumptions!$E$41</f>
        <v>1221.81818181818</v>
      </c>
      <c r="Q86" s="27" t="n">
        <f aca="false">Q85/Assumptions!$E$41</f>
        <v>1221.81818181818</v>
      </c>
      <c r="R86" s="27" t="n">
        <f aca="false">R85/Assumptions!$E$41</f>
        <v>1221.81818181818</v>
      </c>
      <c r="S86" s="27" t="n">
        <f aca="false">S85/Assumptions!$E$41</f>
        <v>1221.81818181818</v>
      </c>
      <c r="T86" s="27" t="n">
        <f aca="false">T85/Assumptions!$E$41</f>
        <v>1221.81818181818</v>
      </c>
      <c r="U86" s="27" t="n">
        <f aca="false">U85/Assumptions!$E$41</f>
        <v>1221.81818181818</v>
      </c>
      <c r="V86" s="27" t="n">
        <f aca="false">V85/Assumptions!$E$41</f>
        <v>1221.81818181818</v>
      </c>
      <c r="W86" s="27" t="n">
        <f aca="false">W85/Assumptions!$E$41</f>
        <v>1221.81818181818</v>
      </c>
      <c r="X86" s="27" t="n">
        <f aca="false">X85/Assumptions!$E$41</f>
        <v>1221.81818181818</v>
      </c>
      <c r="Y86" s="27" t="n">
        <f aca="false">Y85/Assumptions!$E$41</f>
        <v>1221.81818181818</v>
      </c>
      <c r="Z86" s="27" t="n">
        <f aca="false">Z85/Assumptions!$E$41</f>
        <v>1221.81818181818</v>
      </c>
      <c r="AA86" s="27" t="n">
        <f aca="false">AA85/Assumptions!$E$41</f>
        <v>1221.81818181818</v>
      </c>
      <c r="AB86" s="27" t="n">
        <f aca="false">AB85/Assumptions!$E$41</f>
        <v>1221.81818181818</v>
      </c>
      <c r="AC86" s="27" t="n">
        <f aca="false">AC85/Assumptions!$E$41</f>
        <v>1221.81818181818</v>
      </c>
      <c r="AD86" s="27" t="n">
        <f aca="false">AD85/Assumptions!$E$41</f>
        <v>1221.81818181818</v>
      </c>
      <c r="AE86" s="27" t="n">
        <f aca="false">AE85/Assumptions!$E$41</f>
        <v>1221.81818181818</v>
      </c>
      <c r="AF86" s="27" t="n">
        <f aca="false">AF85/Assumptions!$E$41</f>
        <v>1221.81818181818</v>
      </c>
      <c r="AG86" s="27" t="n">
        <f aca="false">AG85/Assumptions!$E$41</f>
        <v>1221.81818181818</v>
      </c>
      <c r="AH86" s="27" t="n">
        <f aca="false">AH85/Assumptions!$E$41</f>
        <v>1221.81818181818</v>
      </c>
      <c r="AI86" s="27" t="n">
        <f aca="false">AI85/Assumptions!$E$41</f>
        <v>1221.81818181818</v>
      </c>
      <c r="AJ86" s="27" t="n">
        <f aca="false">AJ85/Assumptions!$E$41</f>
        <v>1221.81818181818</v>
      </c>
      <c r="AK86" s="27" t="n">
        <f aca="false">AK85/Assumptions!$E$41</f>
        <v>1221.81818181818</v>
      </c>
      <c r="AL86" s="27" t="n">
        <f aca="false">AL85/Assumptions!$E$41</f>
        <v>1221.81818181818</v>
      </c>
      <c r="AM86" s="27" t="n">
        <f aca="false">AM85/Assumptions!$E$41</f>
        <v>1221.81818181818</v>
      </c>
    </row>
    <row r="87" customFormat="false" ht="15" hidden="false" customHeight="false" outlineLevel="0" collapsed="false">
      <c r="A87" s="8" t="s">
        <v>396</v>
      </c>
      <c r="B87" s="8" t="s">
        <v>265</v>
      </c>
      <c r="D87" s="32" t="n">
        <f aca="false">IF(D66=0,0,D86/D66)</f>
        <v>0</v>
      </c>
      <c r="E87" s="32" t="n">
        <f aca="false">IF(E66=0,0,E86/E66)</f>
        <v>0</v>
      </c>
      <c r="F87" s="32" t="n">
        <f aca="false">IF(F66=0,0,F86/F66)</f>
        <v>0</v>
      </c>
      <c r="G87" s="32" t="n">
        <f aca="false">IF(G66=0,0,G86/G66)</f>
        <v>0</v>
      </c>
      <c r="H87" s="32" t="n">
        <f aca="false">IF(H66=0,0,H86/H66)</f>
        <v>0.735814831114806</v>
      </c>
      <c r="I87" s="32" t="n">
        <f aca="false">IF(I66=0,0,I86/I66)</f>
        <v>0.742784899543374</v>
      </c>
      <c r="J87" s="32" t="n">
        <f aca="false">IF(J66=0,0,J86/J66)</f>
        <v>0.750382274130513</v>
      </c>
      <c r="K87" s="32" t="n">
        <f aca="false">IF(K66=0,0,K86/K66)</f>
        <v>1.37590947416629</v>
      </c>
      <c r="L87" s="32" t="n">
        <f aca="false">IF(L66=0,0,L86/L66)</f>
        <v>1.677930378101</v>
      </c>
      <c r="M87" s="32" t="n">
        <f aca="false">IF(M66=0,0,M86/M66)</f>
        <v>1.81324253016418</v>
      </c>
      <c r="N87" s="32" t="n">
        <f aca="false">IF(N66=0,0,N86/N66)</f>
        <v>1.951244830419</v>
      </c>
      <c r="O87" s="32" t="n">
        <f aca="false">IF(O66=0,0,O86/O66)</f>
        <v>2.09202649220981</v>
      </c>
      <c r="P87" s="32" t="n">
        <f aca="false">IF(P66=0,0,P86/P66)</f>
        <v>2.23568637345233</v>
      </c>
      <c r="Q87" s="32" t="n">
        <f aca="false">IF(Q66=0,0,Q86/Q66)</f>
        <v>2.3823336942434</v>
      </c>
      <c r="R87" s="32" t="n">
        <f aca="false">IF(R66=0,0,R86/R66)</f>
        <v>2.53208879853427</v>
      </c>
      <c r="S87" s="32" t="n">
        <f aca="false">IF(S66=0,0,S86/S66)</f>
        <v>2.68508396296226</v>
      </c>
      <c r="T87" s="32" t="n">
        <f aca="false">IF(T66=0,0,T86/T66)</f>
        <v>2.84146425615023</v>
      </c>
      <c r="U87" s="32" t="n">
        <f aca="false">IF(U66=0,0,U86/U66)</f>
        <v>3.00138845201096</v>
      </c>
      <c r="V87" s="32" t="n">
        <f aca="false">IF(V66=0,0,V86/V66)</f>
        <v>3.16503000083427</v>
      </c>
      <c r="W87" s="32" t="n">
        <f aca="false">IF(W66=0,0,W86/W66)</f>
        <v>3.3325780621904</v>
      </c>
      <c r="X87" s="32" t="n">
        <f aca="false">IF(X66=0,0,X86/X66)</f>
        <v>3.50423860395333</v>
      </c>
      <c r="Y87" s="32" t="n">
        <f aca="false">IF(Y66=0,0,Y86/Y66)</f>
        <v>3.6802355720357</v>
      </c>
      <c r="Z87" s="32" t="n">
        <f aca="false">IF(Z66=0,0,Z86/Z66)</f>
        <v>3.86081213573072</v>
      </c>
      <c r="AA87" s="32" t="n">
        <f aca="false">IF(AA66=0,0,AA86/AA66)</f>
        <v>3.9082922861346</v>
      </c>
      <c r="AB87" s="32" t="n">
        <f aca="false">IF(AB66=0,0,AB86/AB66)</f>
        <v>3.95743269705285</v>
      </c>
      <c r="AC87" s="32" t="n">
        <f aca="false">IF(AC66=0,0,AC86/AC66)</f>
        <v>4.00835395602894</v>
      </c>
      <c r="AD87" s="32" t="n">
        <f aca="false">IF(AD66=0,0,AD86/AD66)</f>
        <v>4.06118370153677</v>
      </c>
      <c r="AE87" s="32" t="n">
        <f aca="false">IF(AE66=0,0,AE86/AE66)</f>
        <v>4.11605701786863</v>
      </c>
      <c r="AF87" s="32" t="n">
        <f aca="false">IF(AF66=0,0,AF86/AF66)</f>
        <v>4.17311685386706</v>
      </c>
      <c r="AG87" s="32" t="n">
        <f aca="false">IF(AG66=0,0,AG86/AG66)</f>
        <v>4.23251446689245</v>
      </c>
      <c r="AH87" s="32" t="n">
        <f aca="false">IF(AH66=0,0,AH86/AH66)</f>
        <v>4.29440989349688</v>
      </c>
      <c r="AI87" s="32" t="n">
        <f aca="false">IF(AI66=0,0,AI86/AI66)</f>
        <v>4.35897244835807</v>
      </c>
      <c r="AJ87" s="32" t="n">
        <f aca="false">IF(AJ66=0,0,AJ86/AJ66)</f>
        <v>4.42638125311552</v>
      </c>
      <c r="AK87" s="32" t="n">
        <f aca="false">IF(AK66=0,0,AK86/AK66)</f>
        <v>4.49682579684458</v>
      </c>
      <c r="AL87" s="32" t="n">
        <f aca="false">IF(AL66=0,0,AL86/AL66)</f>
        <v>4.57050653000366</v>
      </c>
      <c r="AM87" s="32" t="n">
        <f aca="false">IF(AM66=0,0,AM86/AM66)</f>
        <v>4.64763549379486</v>
      </c>
    </row>
    <row r="88" customFormat="false" ht="15" hidden="false" customHeight="false" outlineLevel="0" collapsed="false">
      <c r="A88" s="8" t="s">
        <v>397</v>
      </c>
      <c r="B88" s="8" t="s">
        <v>271</v>
      </c>
      <c r="D88" s="33" t="n">
        <f aca="false">IF(D85&lt;=0,0,D66/D85)</f>
        <v>0</v>
      </c>
      <c r="E88" s="33" t="n">
        <f aca="false">IF(E85&lt;=0,0,E66/E85)</f>
        <v>0</v>
      </c>
      <c r="F88" s="33" t="n">
        <f aca="false">IF(F85&lt;=0,0,F66/F85)</f>
        <v>0</v>
      </c>
      <c r="G88" s="33" t="n">
        <f aca="false">IF(G85&lt;=0,0,G66/G85)</f>
        <v>0</v>
      </c>
      <c r="H88" s="33" t="n">
        <f aca="false">IF(H85&lt;=0,0,H66/H85)</f>
        <v>12.3548869994042</v>
      </c>
      <c r="I88" s="33" t="n">
        <f aca="false">IF(I85&lt;=0,0,I66/I85)</f>
        <v>12.2389524834144</v>
      </c>
      <c r="J88" s="33" t="n">
        <f aca="false">IF(J85&lt;=0,0,J66/J85)</f>
        <v>12.115037100847</v>
      </c>
      <c r="K88" s="33" t="n">
        <f aca="false">IF(K85&lt;=0,0,K66/K85)</f>
        <v>6.60720000959191</v>
      </c>
      <c r="L88" s="33" t="n">
        <f aca="false">IF(L85&lt;=0,0,L66/L85)</f>
        <v>5.4179298554674</v>
      </c>
      <c r="M88" s="33" t="n">
        <f aca="false">IF(M85&lt;=0,0,M66/M85)</f>
        <v>5.01362004237016</v>
      </c>
      <c r="N88" s="33" t="n">
        <f aca="false">IF(N85&lt;=0,0,N66/N85)</f>
        <v>4.65903045542315</v>
      </c>
      <c r="O88" s="33" t="n">
        <f aca="false">IF(O85&lt;=0,0,O66/O85)</f>
        <v>4.34550380923061</v>
      </c>
      <c r="P88" s="33" t="n">
        <f aca="false">IF(P85&lt;=0,0,P66/P85)</f>
        <v>4.06627208487699</v>
      </c>
      <c r="Q88" s="33" t="n">
        <f aca="false">IF(Q85&lt;=0,0,Q66/Q85)</f>
        <v>3.81596797832147</v>
      </c>
      <c r="R88" s="33" t="n">
        <f aca="false">IF(R85&lt;=0,0,R66/R85)</f>
        <v>3.59028052103523</v>
      </c>
      <c r="S88" s="33" t="n">
        <f aca="false">IF(S85&lt;=0,0,S66/S85)</f>
        <v>3.38570756680537</v>
      </c>
      <c r="T88" s="33" t="n">
        <f aca="false">IF(T85&lt;=0,0,T66/T85)</f>
        <v>3.19937478405093</v>
      </c>
      <c r="U88" s="33" t="n">
        <f aca="false">IF(U85&lt;=0,0,U66/U85)</f>
        <v>3.02890120231458</v>
      </c>
      <c r="V88" s="33" t="n">
        <f aca="false">IF(V85&lt;=0,0,V66/V85)</f>
        <v>2.87229792087684</v>
      </c>
      <c r="W88" s="33" t="n">
        <f aca="false">IF(W85&lt;=0,0,W66/W85)</f>
        <v>2.72789081643715</v>
      </c>
      <c r="X88" s="33" t="n">
        <f aca="false">IF(X85&lt;=0,0,X66/X85)</f>
        <v>2.59426087043648</v>
      </c>
      <c r="Y88" s="33" t="n">
        <f aca="false">IF(Y85&lt;=0,0,Y66/Y85)</f>
        <v>2.47019760364973</v>
      </c>
      <c r="Z88" s="33" t="n">
        <f aca="false">IF(Z85&lt;=0,0,Z66/Z85)</f>
        <v>2.35466237965202</v>
      </c>
      <c r="AA88" s="33" t="n">
        <f aca="false">IF(AA85&lt;=0,0,AA66/AA85)</f>
        <v>2.32605660614504</v>
      </c>
      <c r="AB88" s="33" t="n">
        <f aca="false">IF(AB85&lt;=0,0,AB66/AB85)</f>
        <v>2.29717339164838</v>
      </c>
      <c r="AC88" s="33" t="n">
        <f aca="false">IF(AC85&lt;=0,0,AC66/AC85)</f>
        <v>2.26799059929214</v>
      </c>
      <c r="AD88" s="33" t="n">
        <f aca="false">IF(AD85&lt;=0,0,AD66/AD85)</f>
        <v>2.23848753442723</v>
      </c>
      <c r="AE88" s="33" t="n">
        <f aca="false">IF(AE85&lt;=0,0,AE66/AE85)</f>
        <v>2.2086450822823</v>
      </c>
      <c r="AF88" s="33" t="n">
        <f aca="false">IF(AF85&lt;=0,0,AF66/AF85)</f>
        <v>2.17844584976932</v>
      </c>
      <c r="AG88" s="33" t="n">
        <f aca="false">IF(AG85&lt;=0,0,AG66/AG85)</f>
        <v>2.14787431018133</v>
      </c>
      <c r="AH88" s="33" t="n">
        <f aca="false">IF(AH85&lt;=0,0,AH66/AH85)</f>
        <v>2.11691694932886</v>
      </c>
      <c r="AI88" s="33" t="n">
        <f aca="false">IF(AI85&lt;=0,0,AI66/AI85)</f>
        <v>2.08556241146544</v>
      </c>
      <c r="AJ88" s="33" t="n">
        <f aca="false">IF(AJ85&lt;=0,0,AJ66/AJ85)</f>
        <v>2.05380164316176</v>
      </c>
      <c r="AK88" s="33" t="n">
        <f aca="false">IF(AK85&lt;=0,0,AK66/AK85)</f>
        <v>2.02162803310908</v>
      </c>
      <c r="AL88" s="33" t="n">
        <f aca="false">IF(AL85&lt;=0,0,AL66/AL85)</f>
        <v>1.98903754567042</v>
      </c>
      <c r="AM88" s="33" t="n">
        <f aca="false">IF(AM85&lt;=0,0,AM66/AM85)</f>
        <v>1.95602884586077</v>
      </c>
    </row>
    <row r="89" customFormat="false" ht="15" hidden="false" customHeight="false" outlineLevel="0" collapsed="false">
      <c r="A89" s="8" t="s">
        <v>398</v>
      </c>
      <c r="B89" s="8" t="s">
        <v>50</v>
      </c>
      <c r="D89" s="27" t="n">
        <f aca="false">IF((D24+D29)=0,0,D43/(D24+D29))</f>
        <v>0</v>
      </c>
      <c r="E89" s="27" t="n">
        <f aca="false">IF((E24+E29)=0,0,E43/(E24+E29))</f>
        <v>0</v>
      </c>
      <c r="F89" s="27" t="n">
        <f aca="false">IF((F24+F29)=0,0,F43/(F24+F29))</f>
        <v>0</v>
      </c>
      <c r="G89" s="27" t="n">
        <f aca="false">IF((G24+G29)=0,0,G43/(G24+G29))</f>
        <v>0</v>
      </c>
      <c r="H89" s="27" t="n">
        <f aca="false">IF((H24+H29)=0,0,H43/(H24+H29))</f>
        <v>290.133623440418</v>
      </c>
      <c r="I89" s="27" t="n">
        <f aca="false">IF((I24+I29)=0,0,I43/(I24+I29))</f>
        <v>199.4534143757</v>
      </c>
      <c r="J89" s="27" t="n">
        <f aca="false">IF((J24+J29)=0,0,J43/(J24+J29))</f>
        <v>169.01641803915</v>
      </c>
      <c r="K89" s="27" t="n">
        <f aca="false">IF((K24+K29)=0,0,K43/(K24+K29))</f>
        <v>303.519398240213</v>
      </c>
      <c r="L89" s="27" t="n">
        <f aca="false">IF((L24+L29)=0,0,L43/(L24+L29))</f>
        <v>207.870007895969</v>
      </c>
      <c r="M89" s="27" t="n">
        <f aca="false">IF((M24+M29)=0,0,M43/(M24+M29))</f>
        <v>202.265537630486</v>
      </c>
      <c r="N89" s="27" t="n">
        <f aca="false">IF((N24+N29)=0,0,N43/(N24+N29))</f>
        <v>199.544345588979</v>
      </c>
      <c r="O89" s="27" t="n">
        <f aca="false">IF((O24+O29)=0,0,O43/(O24+O29))</f>
        <v>198.524456486469</v>
      </c>
      <c r="P89" s="27" t="n">
        <f aca="false">IF((P24+P29)=0,0,P43/(P24+P29))</f>
        <v>198.601038731276</v>
      </c>
      <c r="Q89" s="27" t="n">
        <f aca="false">IF((Q24+Q29)=0,0,Q43/(Q24+Q29))</f>
        <v>199.431105737767</v>
      </c>
      <c r="R89" s="27" t="n">
        <f aca="false">IF((R24+R29)=0,0,R43/(R24+R29))</f>
        <v>200.8045955165</v>
      </c>
      <c r="S89" s="27" t="n">
        <f aca="false">IF((S24+S29)=0,0,S43/(S24+S29))</f>
        <v>202.584828719995</v>
      </c>
      <c r="T89" s="27" t="n">
        <f aca="false">IF((T24+T29)=0,0,T43/(T24+T29))</f>
        <v>204.678376056167</v>
      </c>
      <c r="U89" s="27" t="n">
        <f aca="false">IF((U24+U29)=0,0,U43/(U24+U29))</f>
        <v>207.018679961469</v>
      </c>
      <c r="V89" s="27" t="n">
        <f aca="false">IF((V24+V29)=0,0,V43/(V24+V29))</f>
        <v>209.55662575765</v>
      </c>
      <c r="W89" s="27" t="n">
        <f aca="false">IF((W24+W29)=0,0,W43/(W24+W29))</f>
        <v>212.254850575044</v>
      </c>
      <c r="X89" s="27" t="n">
        <f aca="false">IF((X24+X29)=0,0,X43/(X24+X29))</f>
        <v>215.084169192655</v>
      </c>
      <c r="Y89" s="27" t="n">
        <f aca="false">IF((Y24+Y29)=0,0,Y43/(Y24+Y29))</f>
        <v>218.02125201266</v>
      </c>
      <c r="Z89" s="27" t="n">
        <f aca="false">IF((Z24+Z29)=0,0,Z43/(Z24+Z29))</f>
        <v>221.047071573647</v>
      </c>
      <c r="AA89" s="27" t="n">
        <f aca="false">IF((AA24+AA29)=0,0,AA43/(AA24+AA29))</f>
        <v>222.442805754849</v>
      </c>
      <c r="AB89" s="27" t="n">
        <f aca="false">IF((AB24+AB29)=0,0,AB43/(AB24+AB29))</f>
        <v>223.671496232888</v>
      </c>
      <c r="AC89" s="27" t="n">
        <f aca="false">IF((AC24+AC29)=0,0,AC43/(AC24+AC29))</f>
        <v>224.767677091803</v>
      </c>
      <c r="AD89" s="27" t="n">
        <f aca="false">IF((AD24+AD29)=0,0,AD43/(AD24+AD29))</f>
        <v>225.757497013181</v>
      </c>
      <c r="AE89" s="27" t="n">
        <f aca="false">IF((AE24+AE29)=0,0,AE43/(AE24+AE29))</f>
        <v>226.661046392423</v>
      </c>
      <c r="AF89" s="27" t="n">
        <f aca="false">IF((AF24+AF29)=0,0,AF43/(AF24+AF29))</f>
        <v>227.493951195876</v>
      </c>
      <c r="AG89" s="27" t="n">
        <f aca="false">IF((AG24+AG29)=0,0,AG43/(AG24+AG29))</f>
        <v>228.268490442599</v>
      </c>
      <c r="AH89" s="27" t="n">
        <f aca="false">IF((AH24+AH29)=0,0,AH43/(AH24+AH29))</f>
        <v>228.994396111723</v>
      </c>
      <c r="AI89" s="27" t="n">
        <f aca="false">IF((AI24+AI29)=0,0,AI43/(AI24+AI29))</f>
        <v>229.679436406522</v>
      </c>
      <c r="AJ89" s="27" t="n">
        <f aca="false">IF((AJ24+AJ29)=0,0,AJ43/(AJ24+AJ29))</f>
        <v>230.329848133076</v>
      </c>
      <c r="AK89" s="27" t="n">
        <f aca="false">IF((AK24+AK29)=0,0,AK43/(AK24+AK29))</f>
        <v>230.950662000282</v>
      </c>
      <c r="AL89" s="27" t="n">
        <f aca="false">IF((AL24+AL29)=0,0,AL43/(AL24+AL29))</f>
        <v>231.545950619724</v>
      </c>
      <c r="AM89" s="27" t="n">
        <f aca="false">IF((AM24+AM29)=0,0,AM43/(AM24+AM29))</f>
        <v>232.119019824938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39" min="4" style="0" width="11"/>
  </cols>
  <sheetData>
    <row r="1" customFormat="false" ht="17.35" hidden="false" customHeight="false" outlineLevel="0" collapsed="false">
      <c r="A1" s="1" t="s">
        <v>400</v>
      </c>
    </row>
    <row r="2" customFormat="false" ht="15" hidden="false" customHeight="false" outlineLevel="0" collapsed="false">
      <c r="A2" s="3" t="s">
        <v>312</v>
      </c>
    </row>
    <row r="3" customFormat="false" ht="15" hidden="false" customHeight="false" outlineLevel="0" collapsed="false">
      <c r="A3" s="4" t="s">
        <v>313</v>
      </c>
      <c r="B3" s="4" t="s">
        <v>13</v>
      </c>
      <c r="C3" s="4" t="s">
        <v>314</v>
      </c>
      <c r="D3" s="24" t="n">
        <v>1</v>
      </c>
      <c r="E3" s="24" t="n">
        <v>2</v>
      </c>
      <c r="F3" s="24" t="n">
        <v>3</v>
      </c>
      <c r="G3" s="24" t="n">
        <v>4</v>
      </c>
      <c r="H3" s="24" t="n">
        <v>5</v>
      </c>
      <c r="I3" s="24" t="n">
        <v>6</v>
      </c>
      <c r="J3" s="24" t="n">
        <v>7</v>
      </c>
      <c r="K3" s="24" t="n">
        <v>8</v>
      </c>
      <c r="L3" s="24" t="n">
        <v>9</v>
      </c>
      <c r="M3" s="24" t="n">
        <v>10</v>
      </c>
      <c r="N3" s="24" t="n">
        <v>11</v>
      </c>
      <c r="O3" s="24" t="n">
        <v>12</v>
      </c>
      <c r="P3" s="24" t="n">
        <v>13</v>
      </c>
      <c r="Q3" s="24" t="n">
        <v>14</v>
      </c>
      <c r="R3" s="24" t="n">
        <v>15</v>
      </c>
      <c r="S3" s="24" t="n">
        <v>16</v>
      </c>
      <c r="T3" s="24" t="n">
        <v>17</v>
      </c>
      <c r="U3" s="24" t="n">
        <v>18</v>
      </c>
      <c r="V3" s="24" t="n">
        <v>19</v>
      </c>
      <c r="W3" s="24" t="n">
        <v>20</v>
      </c>
      <c r="X3" s="24" t="n">
        <v>21</v>
      </c>
      <c r="Y3" s="24" t="n">
        <v>22</v>
      </c>
      <c r="Z3" s="24" t="n">
        <v>23</v>
      </c>
      <c r="AA3" s="24" t="n">
        <v>24</v>
      </c>
      <c r="AB3" s="24" t="n">
        <v>25</v>
      </c>
      <c r="AC3" s="24" t="n">
        <v>26</v>
      </c>
      <c r="AD3" s="24" t="n">
        <v>27</v>
      </c>
      <c r="AE3" s="24" t="n">
        <v>28</v>
      </c>
      <c r="AF3" s="24" t="n">
        <v>29</v>
      </c>
      <c r="AG3" s="24" t="n">
        <v>30</v>
      </c>
      <c r="AH3" s="24" t="n">
        <v>31</v>
      </c>
      <c r="AI3" s="24" t="n">
        <v>32</v>
      </c>
      <c r="AJ3" s="24" t="n">
        <v>33</v>
      </c>
      <c r="AK3" s="24" t="n">
        <v>34</v>
      </c>
      <c r="AL3" s="24" t="n">
        <v>35</v>
      </c>
      <c r="AM3" s="24" t="n">
        <v>36</v>
      </c>
    </row>
    <row r="4" customFormat="false" ht="15" hidden="false" customHeight="false" outlineLevel="0" collapsed="false">
      <c r="A4" s="5" t="s">
        <v>315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customFormat="false" ht="15" hidden="false" customHeight="false" outlineLevel="0" collapsed="false">
      <c r="A5" s="8" t="s">
        <v>316</v>
      </c>
      <c r="B5" s="8" t="s">
        <v>293</v>
      </c>
      <c r="D5" s="25" t="n">
        <f aca="false">D$3</f>
        <v>1</v>
      </c>
      <c r="E5" s="25" t="n">
        <f aca="false">E$3</f>
        <v>2</v>
      </c>
      <c r="F5" s="25" t="n">
        <f aca="false">F$3</f>
        <v>3</v>
      </c>
      <c r="G5" s="25" t="n">
        <f aca="false">G$3</f>
        <v>4</v>
      </c>
      <c r="H5" s="25" t="n">
        <f aca="false">H$3</f>
        <v>5</v>
      </c>
      <c r="I5" s="25" t="n">
        <f aca="false">I$3</f>
        <v>6</v>
      </c>
      <c r="J5" s="25" t="n">
        <f aca="false">J$3</f>
        <v>7</v>
      </c>
      <c r="K5" s="25" t="n">
        <f aca="false">K$3</f>
        <v>8</v>
      </c>
      <c r="L5" s="25" t="n">
        <f aca="false">L$3</f>
        <v>9</v>
      </c>
      <c r="M5" s="25" t="n">
        <f aca="false">M$3</f>
        <v>10</v>
      </c>
      <c r="N5" s="25" t="n">
        <f aca="false">N$3</f>
        <v>11</v>
      </c>
      <c r="O5" s="25" t="n">
        <f aca="false">O$3</f>
        <v>12</v>
      </c>
      <c r="P5" s="25" t="n">
        <f aca="false">P$3</f>
        <v>13</v>
      </c>
      <c r="Q5" s="25" t="n">
        <f aca="false">Q$3</f>
        <v>14</v>
      </c>
      <c r="R5" s="25" t="n">
        <f aca="false">R$3</f>
        <v>15</v>
      </c>
      <c r="S5" s="25" t="n">
        <f aca="false">S$3</f>
        <v>16</v>
      </c>
      <c r="T5" s="25" t="n">
        <f aca="false">T$3</f>
        <v>17</v>
      </c>
      <c r="U5" s="25" t="n">
        <f aca="false">U$3</f>
        <v>18</v>
      </c>
      <c r="V5" s="25" t="n">
        <f aca="false">V$3</f>
        <v>19</v>
      </c>
      <c r="W5" s="25" t="n">
        <f aca="false">W$3</f>
        <v>20</v>
      </c>
      <c r="X5" s="25" t="n">
        <f aca="false">X$3</f>
        <v>21</v>
      </c>
      <c r="Y5" s="25" t="n">
        <f aca="false">Y$3</f>
        <v>22</v>
      </c>
      <c r="Z5" s="25" t="n">
        <f aca="false">Z$3</f>
        <v>23</v>
      </c>
      <c r="AA5" s="25" t="n">
        <f aca="false">AA$3</f>
        <v>24</v>
      </c>
      <c r="AB5" s="25" t="n">
        <f aca="false">AB$3</f>
        <v>25</v>
      </c>
      <c r="AC5" s="25" t="n">
        <f aca="false">AC$3</f>
        <v>26</v>
      </c>
      <c r="AD5" s="25" t="n">
        <f aca="false">AD$3</f>
        <v>27</v>
      </c>
      <c r="AE5" s="25" t="n">
        <f aca="false">AE$3</f>
        <v>28</v>
      </c>
      <c r="AF5" s="25" t="n">
        <f aca="false">AF$3</f>
        <v>29</v>
      </c>
      <c r="AG5" s="25" t="n">
        <f aca="false">AG$3</f>
        <v>30</v>
      </c>
      <c r="AH5" s="25" t="n">
        <f aca="false">AH$3</f>
        <v>31</v>
      </c>
      <c r="AI5" s="25" t="n">
        <f aca="false">AI$3</f>
        <v>32</v>
      </c>
      <c r="AJ5" s="25" t="n">
        <f aca="false">AJ$3</f>
        <v>33</v>
      </c>
      <c r="AK5" s="25" t="n">
        <f aca="false">AK$3</f>
        <v>34</v>
      </c>
      <c r="AL5" s="25" t="n">
        <f aca="false">AL$3</f>
        <v>35</v>
      </c>
      <c r="AM5" s="25" t="n">
        <f aca="false">AM$3</f>
        <v>36</v>
      </c>
    </row>
    <row r="6" customFormat="false" ht="15" hidden="false" customHeight="false" outlineLevel="0" collapsed="false">
      <c r="A6" s="8" t="s">
        <v>317</v>
      </c>
      <c r="B6" s="8" t="s">
        <v>249</v>
      </c>
      <c r="D6" s="25" t="n">
        <f aca="false">IF(D$3&lt;Assumptions!$F$7,1,0)</f>
        <v>1</v>
      </c>
      <c r="E6" s="25" t="n">
        <f aca="false">IF(E$3&lt;Assumptions!$F$7,1,0)</f>
        <v>1</v>
      </c>
      <c r="F6" s="25" t="n">
        <f aca="false">IF(F$3&lt;Assumptions!$F$7,1,0)</f>
        <v>1</v>
      </c>
      <c r="G6" s="25" t="n">
        <f aca="false">IF(G$3&lt;Assumptions!$F$7,1,0)</f>
        <v>1</v>
      </c>
      <c r="H6" s="25" t="n">
        <f aca="false">IF(H$3&lt;Assumptions!$F$7,1,0)</f>
        <v>0</v>
      </c>
      <c r="I6" s="25" t="n">
        <f aca="false">IF(I$3&lt;Assumptions!$F$7,1,0)</f>
        <v>0</v>
      </c>
      <c r="J6" s="25" t="n">
        <f aca="false">IF(J$3&lt;Assumptions!$F$7,1,0)</f>
        <v>0</v>
      </c>
      <c r="K6" s="25" t="n">
        <f aca="false">IF(K$3&lt;Assumptions!$F$7,1,0)</f>
        <v>0</v>
      </c>
      <c r="L6" s="25" t="n">
        <f aca="false">IF(L$3&lt;Assumptions!$F$7,1,0)</f>
        <v>0</v>
      </c>
      <c r="M6" s="25" t="n">
        <f aca="false">IF(M$3&lt;Assumptions!$F$7,1,0)</f>
        <v>0</v>
      </c>
      <c r="N6" s="25" t="n">
        <f aca="false">IF(N$3&lt;Assumptions!$F$7,1,0)</f>
        <v>0</v>
      </c>
      <c r="O6" s="25" t="n">
        <f aca="false">IF(O$3&lt;Assumptions!$F$7,1,0)</f>
        <v>0</v>
      </c>
      <c r="P6" s="25" t="n">
        <f aca="false">IF(P$3&lt;Assumptions!$F$7,1,0)</f>
        <v>0</v>
      </c>
      <c r="Q6" s="25" t="n">
        <f aca="false">IF(Q$3&lt;Assumptions!$F$7,1,0)</f>
        <v>0</v>
      </c>
      <c r="R6" s="25" t="n">
        <f aca="false">IF(R$3&lt;Assumptions!$F$7,1,0)</f>
        <v>0</v>
      </c>
      <c r="S6" s="25" t="n">
        <f aca="false">IF(S$3&lt;Assumptions!$F$7,1,0)</f>
        <v>0</v>
      </c>
      <c r="T6" s="25" t="n">
        <f aca="false">IF(T$3&lt;Assumptions!$F$7,1,0)</f>
        <v>0</v>
      </c>
      <c r="U6" s="25" t="n">
        <f aca="false">IF(U$3&lt;Assumptions!$F$7,1,0)</f>
        <v>0</v>
      </c>
      <c r="V6" s="25" t="n">
        <f aca="false">IF(V$3&lt;Assumptions!$F$7,1,0)</f>
        <v>0</v>
      </c>
      <c r="W6" s="25" t="n">
        <f aca="false">IF(W$3&lt;Assumptions!$F$7,1,0)</f>
        <v>0</v>
      </c>
      <c r="X6" s="25" t="n">
        <f aca="false">IF(X$3&lt;Assumptions!$F$7,1,0)</f>
        <v>0</v>
      </c>
      <c r="Y6" s="25" t="n">
        <f aca="false">IF(Y$3&lt;Assumptions!$F$7,1,0)</f>
        <v>0</v>
      </c>
      <c r="Z6" s="25" t="n">
        <f aca="false">IF(Z$3&lt;Assumptions!$F$7,1,0)</f>
        <v>0</v>
      </c>
      <c r="AA6" s="25" t="n">
        <f aca="false">IF(AA$3&lt;Assumptions!$F$7,1,0)</f>
        <v>0</v>
      </c>
      <c r="AB6" s="25" t="n">
        <f aca="false">IF(AB$3&lt;Assumptions!$F$7,1,0)</f>
        <v>0</v>
      </c>
      <c r="AC6" s="25" t="n">
        <f aca="false">IF(AC$3&lt;Assumptions!$F$7,1,0)</f>
        <v>0</v>
      </c>
      <c r="AD6" s="25" t="n">
        <f aca="false">IF(AD$3&lt;Assumptions!$F$7,1,0)</f>
        <v>0</v>
      </c>
      <c r="AE6" s="25" t="n">
        <f aca="false">IF(AE$3&lt;Assumptions!$F$7,1,0)</f>
        <v>0</v>
      </c>
      <c r="AF6" s="25" t="n">
        <f aca="false">IF(AF$3&lt;Assumptions!$F$7,1,0)</f>
        <v>0</v>
      </c>
      <c r="AG6" s="25" t="n">
        <f aca="false">IF(AG$3&lt;Assumptions!$F$7,1,0)</f>
        <v>0</v>
      </c>
      <c r="AH6" s="25" t="n">
        <f aca="false">IF(AH$3&lt;Assumptions!$F$7,1,0)</f>
        <v>0</v>
      </c>
      <c r="AI6" s="25" t="n">
        <f aca="false">IF(AI$3&lt;Assumptions!$F$7,1,0)</f>
        <v>0</v>
      </c>
      <c r="AJ6" s="25" t="n">
        <f aca="false">IF(AJ$3&lt;Assumptions!$F$7,1,0)</f>
        <v>0</v>
      </c>
      <c r="AK6" s="25" t="n">
        <f aca="false">IF(AK$3&lt;Assumptions!$F$7,1,0)</f>
        <v>0</v>
      </c>
      <c r="AL6" s="25" t="n">
        <f aca="false">IF(AL$3&lt;Assumptions!$F$7,1,0)</f>
        <v>0</v>
      </c>
      <c r="AM6" s="25" t="n">
        <f aca="false">IF(AM$3&lt;Assumptions!$F$7,1,0)</f>
        <v>0</v>
      </c>
    </row>
    <row r="7" customFormat="false" ht="15" hidden="false" customHeight="false" outlineLevel="0" collapsed="false">
      <c r="A7" s="8" t="s">
        <v>318</v>
      </c>
      <c r="B7" s="8" t="s">
        <v>249</v>
      </c>
      <c r="D7" s="25" t="n">
        <f aca="false">IF(AND(D$3&gt;=Assumptions!$F$7,D$3&lt;Assumptions!$F$6),1,0)</f>
        <v>0</v>
      </c>
      <c r="E7" s="25" t="n">
        <f aca="false">IF(AND(E$3&gt;=Assumptions!$F$7,E$3&lt;Assumptions!$F$6),1,0)</f>
        <v>0</v>
      </c>
      <c r="F7" s="25" t="n">
        <f aca="false">IF(AND(F$3&gt;=Assumptions!$F$7,F$3&lt;Assumptions!$F$6),1,0)</f>
        <v>0</v>
      </c>
      <c r="G7" s="25" t="n">
        <f aca="false">IF(AND(G$3&gt;=Assumptions!$F$7,G$3&lt;Assumptions!$F$6),1,0)</f>
        <v>0</v>
      </c>
      <c r="H7" s="25" t="n">
        <f aca="false">IF(AND(H$3&gt;=Assumptions!$F$7,H$3&lt;Assumptions!$F$6),1,0)</f>
        <v>1</v>
      </c>
      <c r="I7" s="25" t="n">
        <f aca="false">IF(AND(I$3&gt;=Assumptions!$F$7,I$3&lt;Assumptions!$F$6),1,0)</f>
        <v>1</v>
      </c>
      <c r="J7" s="25" t="n">
        <f aca="false">IF(AND(J$3&gt;=Assumptions!$F$7,J$3&lt;Assumptions!$F$6),1,0)</f>
        <v>0</v>
      </c>
      <c r="K7" s="25" t="n">
        <f aca="false">IF(AND(K$3&gt;=Assumptions!$F$7,K$3&lt;Assumptions!$F$6),1,0)</f>
        <v>0</v>
      </c>
      <c r="L7" s="25" t="n">
        <f aca="false">IF(AND(L$3&gt;=Assumptions!$F$7,L$3&lt;Assumptions!$F$6),1,0)</f>
        <v>0</v>
      </c>
      <c r="M7" s="25" t="n">
        <f aca="false">IF(AND(M$3&gt;=Assumptions!$F$7,M$3&lt;Assumptions!$F$6),1,0)</f>
        <v>0</v>
      </c>
      <c r="N7" s="25" t="n">
        <f aca="false">IF(AND(N$3&gt;=Assumptions!$F$7,N$3&lt;Assumptions!$F$6),1,0)</f>
        <v>0</v>
      </c>
      <c r="O7" s="25" t="n">
        <f aca="false">IF(AND(O$3&gt;=Assumptions!$F$7,O$3&lt;Assumptions!$F$6),1,0)</f>
        <v>0</v>
      </c>
      <c r="P7" s="25" t="n">
        <f aca="false">IF(AND(P$3&gt;=Assumptions!$F$7,P$3&lt;Assumptions!$F$6),1,0)</f>
        <v>0</v>
      </c>
      <c r="Q7" s="25" t="n">
        <f aca="false">IF(AND(Q$3&gt;=Assumptions!$F$7,Q$3&lt;Assumptions!$F$6),1,0)</f>
        <v>0</v>
      </c>
      <c r="R7" s="25" t="n">
        <f aca="false">IF(AND(R$3&gt;=Assumptions!$F$7,R$3&lt;Assumptions!$F$6),1,0)</f>
        <v>0</v>
      </c>
      <c r="S7" s="25" t="n">
        <f aca="false">IF(AND(S$3&gt;=Assumptions!$F$7,S$3&lt;Assumptions!$F$6),1,0)</f>
        <v>0</v>
      </c>
      <c r="T7" s="25" t="n">
        <f aca="false">IF(AND(T$3&gt;=Assumptions!$F$7,T$3&lt;Assumptions!$F$6),1,0)</f>
        <v>0</v>
      </c>
      <c r="U7" s="25" t="n">
        <f aca="false">IF(AND(U$3&gt;=Assumptions!$F$7,U$3&lt;Assumptions!$F$6),1,0)</f>
        <v>0</v>
      </c>
      <c r="V7" s="25" t="n">
        <f aca="false">IF(AND(V$3&gt;=Assumptions!$F$7,V$3&lt;Assumptions!$F$6),1,0)</f>
        <v>0</v>
      </c>
      <c r="W7" s="25" t="n">
        <f aca="false">IF(AND(W$3&gt;=Assumptions!$F$7,W$3&lt;Assumptions!$F$6),1,0)</f>
        <v>0</v>
      </c>
      <c r="X7" s="25" t="n">
        <f aca="false">IF(AND(X$3&gt;=Assumptions!$F$7,X$3&lt;Assumptions!$F$6),1,0)</f>
        <v>0</v>
      </c>
      <c r="Y7" s="25" t="n">
        <f aca="false">IF(AND(Y$3&gt;=Assumptions!$F$7,Y$3&lt;Assumptions!$F$6),1,0)</f>
        <v>0</v>
      </c>
      <c r="Z7" s="25" t="n">
        <f aca="false">IF(AND(Z$3&gt;=Assumptions!$F$7,Z$3&lt;Assumptions!$F$6),1,0)</f>
        <v>0</v>
      </c>
      <c r="AA7" s="25" t="n">
        <f aca="false">IF(AND(AA$3&gt;=Assumptions!$F$7,AA$3&lt;Assumptions!$F$6),1,0)</f>
        <v>0</v>
      </c>
      <c r="AB7" s="25" t="n">
        <f aca="false">IF(AND(AB$3&gt;=Assumptions!$F$7,AB$3&lt;Assumptions!$F$6),1,0)</f>
        <v>0</v>
      </c>
      <c r="AC7" s="25" t="n">
        <f aca="false">IF(AND(AC$3&gt;=Assumptions!$F$7,AC$3&lt;Assumptions!$F$6),1,0)</f>
        <v>0</v>
      </c>
      <c r="AD7" s="25" t="n">
        <f aca="false">IF(AND(AD$3&gt;=Assumptions!$F$7,AD$3&lt;Assumptions!$F$6),1,0)</f>
        <v>0</v>
      </c>
      <c r="AE7" s="25" t="n">
        <f aca="false">IF(AND(AE$3&gt;=Assumptions!$F$7,AE$3&lt;Assumptions!$F$6),1,0)</f>
        <v>0</v>
      </c>
      <c r="AF7" s="25" t="n">
        <f aca="false">IF(AND(AF$3&gt;=Assumptions!$F$7,AF$3&lt;Assumptions!$F$6),1,0)</f>
        <v>0</v>
      </c>
      <c r="AG7" s="25" t="n">
        <f aca="false">IF(AND(AG$3&gt;=Assumptions!$F$7,AG$3&lt;Assumptions!$F$6),1,0)</f>
        <v>0</v>
      </c>
      <c r="AH7" s="25" t="n">
        <f aca="false">IF(AND(AH$3&gt;=Assumptions!$F$7,AH$3&lt;Assumptions!$F$6),1,0)</f>
        <v>0</v>
      </c>
      <c r="AI7" s="25" t="n">
        <f aca="false">IF(AND(AI$3&gt;=Assumptions!$F$7,AI$3&lt;Assumptions!$F$6),1,0)</f>
        <v>0</v>
      </c>
      <c r="AJ7" s="25" t="n">
        <f aca="false">IF(AND(AJ$3&gt;=Assumptions!$F$7,AJ$3&lt;Assumptions!$F$6),1,0)</f>
        <v>0</v>
      </c>
      <c r="AK7" s="25" t="n">
        <f aca="false">IF(AND(AK$3&gt;=Assumptions!$F$7,AK$3&lt;Assumptions!$F$6),1,0)</f>
        <v>0</v>
      </c>
      <c r="AL7" s="25" t="n">
        <f aca="false">IF(AND(AL$3&gt;=Assumptions!$F$7,AL$3&lt;Assumptions!$F$6),1,0)</f>
        <v>0</v>
      </c>
      <c r="AM7" s="25" t="n">
        <f aca="false">IF(AND(AM$3&gt;=Assumptions!$F$7,AM$3&lt;Assumptions!$F$6),1,0)</f>
        <v>0</v>
      </c>
    </row>
    <row r="8" customFormat="false" ht="15" hidden="false" customHeight="false" outlineLevel="0" collapsed="false">
      <c r="A8" s="8" t="s">
        <v>319</v>
      </c>
      <c r="B8" s="8" t="s">
        <v>249</v>
      </c>
      <c r="D8" s="25" t="n">
        <f aca="false">IF(D$3=Assumptions!$F$6,1,0)</f>
        <v>0</v>
      </c>
      <c r="E8" s="25" t="n">
        <f aca="false">IF(E$3=Assumptions!$F$6,1,0)</f>
        <v>0</v>
      </c>
      <c r="F8" s="25" t="n">
        <f aca="false">IF(F$3=Assumptions!$F$6,1,0)</f>
        <v>0</v>
      </c>
      <c r="G8" s="25" t="n">
        <f aca="false">IF(G$3=Assumptions!$F$6,1,0)</f>
        <v>0</v>
      </c>
      <c r="H8" s="25" t="n">
        <f aca="false">IF(H$3=Assumptions!$F$6,1,0)</f>
        <v>0</v>
      </c>
      <c r="I8" s="25" t="n">
        <f aca="false">IF(I$3=Assumptions!$F$6,1,0)</f>
        <v>0</v>
      </c>
      <c r="J8" s="25" t="n">
        <f aca="false">IF(J$3=Assumptions!$F$6,1,0)</f>
        <v>1</v>
      </c>
      <c r="K8" s="25" t="n">
        <f aca="false">IF(K$3=Assumptions!$F$6,1,0)</f>
        <v>0</v>
      </c>
      <c r="L8" s="25" t="n">
        <f aca="false">IF(L$3=Assumptions!$F$6,1,0)</f>
        <v>0</v>
      </c>
      <c r="M8" s="25" t="n">
        <f aca="false">IF(M$3=Assumptions!$F$6,1,0)</f>
        <v>0</v>
      </c>
      <c r="N8" s="25" t="n">
        <f aca="false">IF(N$3=Assumptions!$F$6,1,0)</f>
        <v>0</v>
      </c>
      <c r="O8" s="25" t="n">
        <f aca="false">IF(O$3=Assumptions!$F$6,1,0)</f>
        <v>0</v>
      </c>
      <c r="P8" s="25" t="n">
        <f aca="false">IF(P$3=Assumptions!$F$6,1,0)</f>
        <v>0</v>
      </c>
      <c r="Q8" s="25" t="n">
        <f aca="false">IF(Q$3=Assumptions!$F$6,1,0)</f>
        <v>0</v>
      </c>
      <c r="R8" s="25" t="n">
        <f aca="false">IF(R$3=Assumptions!$F$6,1,0)</f>
        <v>0</v>
      </c>
      <c r="S8" s="25" t="n">
        <f aca="false">IF(S$3=Assumptions!$F$6,1,0)</f>
        <v>0</v>
      </c>
      <c r="T8" s="25" t="n">
        <f aca="false">IF(T$3=Assumptions!$F$6,1,0)</f>
        <v>0</v>
      </c>
      <c r="U8" s="25" t="n">
        <f aca="false">IF(U$3=Assumptions!$F$6,1,0)</f>
        <v>0</v>
      </c>
      <c r="V8" s="25" t="n">
        <f aca="false">IF(V$3=Assumptions!$F$6,1,0)</f>
        <v>0</v>
      </c>
      <c r="W8" s="25" t="n">
        <f aca="false">IF(W$3=Assumptions!$F$6,1,0)</f>
        <v>0</v>
      </c>
      <c r="X8" s="25" t="n">
        <f aca="false">IF(X$3=Assumptions!$F$6,1,0)</f>
        <v>0</v>
      </c>
      <c r="Y8" s="25" t="n">
        <f aca="false">IF(Y$3=Assumptions!$F$6,1,0)</f>
        <v>0</v>
      </c>
      <c r="Z8" s="25" t="n">
        <f aca="false">IF(Z$3=Assumptions!$F$6,1,0)</f>
        <v>0</v>
      </c>
      <c r="AA8" s="25" t="n">
        <f aca="false">IF(AA$3=Assumptions!$F$6,1,0)</f>
        <v>0</v>
      </c>
      <c r="AB8" s="25" t="n">
        <f aca="false">IF(AB$3=Assumptions!$F$6,1,0)</f>
        <v>0</v>
      </c>
      <c r="AC8" s="25" t="n">
        <f aca="false">IF(AC$3=Assumptions!$F$6,1,0)</f>
        <v>0</v>
      </c>
      <c r="AD8" s="25" t="n">
        <f aca="false">IF(AD$3=Assumptions!$F$6,1,0)</f>
        <v>0</v>
      </c>
      <c r="AE8" s="25" t="n">
        <f aca="false">IF(AE$3=Assumptions!$F$6,1,0)</f>
        <v>0</v>
      </c>
      <c r="AF8" s="25" t="n">
        <f aca="false">IF(AF$3=Assumptions!$F$6,1,0)</f>
        <v>0</v>
      </c>
      <c r="AG8" s="25" t="n">
        <f aca="false">IF(AG$3=Assumptions!$F$6,1,0)</f>
        <v>0</v>
      </c>
      <c r="AH8" s="25" t="n">
        <f aca="false">IF(AH$3=Assumptions!$F$6,1,0)</f>
        <v>0</v>
      </c>
      <c r="AI8" s="25" t="n">
        <f aca="false">IF(AI$3=Assumptions!$F$6,1,0)</f>
        <v>0</v>
      </c>
      <c r="AJ8" s="25" t="n">
        <f aca="false">IF(AJ$3=Assumptions!$F$6,1,0)</f>
        <v>0</v>
      </c>
      <c r="AK8" s="25" t="n">
        <f aca="false">IF(AK$3=Assumptions!$F$6,1,0)</f>
        <v>0</v>
      </c>
      <c r="AL8" s="25" t="n">
        <f aca="false">IF(AL$3=Assumptions!$F$6,1,0)</f>
        <v>0</v>
      </c>
      <c r="AM8" s="25" t="n">
        <f aca="false">IF(AM$3=Assumptions!$F$6,1,0)</f>
        <v>0</v>
      </c>
    </row>
    <row r="9" customFormat="false" ht="15" hidden="false" customHeight="false" outlineLevel="0" collapsed="false">
      <c r="A9" s="8" t="s">
        <v>320</v>
      </c>
      <c r="B9" s="8" t="s">
        <v>249</v>
      </c>
      <c r="D9" s="25" t="n">
        <f aca="false">IF(D$3&gt;=Assumptions!$F$6,1,0)</f>
        <v>0</v>
      </c>
      <c r="E9" s="25" t="n">
        <f aca="false">IF(E$3&gt;=Assumptions!$F$6,1,0)</f>
        <v>0</v>
      </c>
      <c r="F9" s="25" t="n">
        <f aca="false">IF(F$3&gt;=Assumptions!$F$6,1,0)</f>
        <v>0</v>
      </c>
      <c r="G9" s="25" t="n">
        <f aca="false">IF(G$3&gt;=Assumptions!$F$6,1,0)</f>
        <v>0</v>
      </c>
      <c r="H9" s="25" t="n">
        <f aca="false">IF(H$3&gt;=Assumptions!$F$6,1,0)</f>
        <v>0</v>
      </c>
      <c r="I9" s="25" t="n">
        <f aca="false">IF(I$3&gt;=Assumptions!$F$6,1,0)</f>
        <v>0</v>
      </c>
      <c r="J9" s="25" t="n">
        <f aca="false">IF(J$3&gt;=Assumptions!$F$6,1,0)</f>
        <v>1</v>
      </c>
      <c r="K9" s="25" t="n">
        <f aca="false">IF(K$3&gt;=Assumptions!$F$6,1,0)</f>
        <v>1</v>
      </c>
      <c r="L9" s="25" t="n">
        <f aca="false">IF(L$3&gt;=Assumptions!$F$6,1,0)</f>
        <v>1</v>
      </c>
      <c r="M9" s="25" t="n">
        <f aca="false">IF(M$3&gt;=Assumptions!$F$6,1,0)</f>
        <v>1</v>
      </c>
      <c r="N9" s="25" t="n">
        <f aca="false">IF(N$3&gt;=Assumptions!$F$6,1,0)</f>
        <v>1</v>
      </c>
      <c r="O9" s="25" t="n">
        <f aca="false">IF(O$3&gt;=Assumptions!$F$6,1,0)</f>
        <v>1</v>
      </c>
      <c r="P9" s="25" t="n">
        <f aca="false">IF(P$3&gt;=Assumptions!$F$6,1,0)</f>
        <v>1</v>
      </c>
      <c r="Q9" s="25" t="n">
        <f aca="false">IF(Q$3&gt;=Assumptions!$F$6,1,0)</f>
        <v>1</v>
      </c>
      <c r="R9" s="25" t="n">
        <f aca="false">IF(R$3&gt;=Assumptions!$F$6,1,0)</f>
        <v>1</v>
      </c>
      <c r="S9" s="25" t="n">
        <f aca="false">IF(S$3&gt;=Assumptions!$F$6,1,0)</f>
        <v>1</v>
      </c>
      <c r="T9" s="25" t="n">
        <f aca="false">IF(T$3&gt;=Assumptions!$F$6,1,0)</f>
        <v>1</v>
      </c>
      <c r="U9" s="25" t="n">
        <f aca="false">IF(U$3&gt;=Assumptions!$F$6,1,0)</f>
        <v>1</v>
      </c>
      <c r="V9" s="25" t="n">
        <f aca="false">IF(V$3&gt;=Assumptions!$F$6,1,0)</f>
        <v>1</v>
      </c>
      <c r="W9" s="25" t="n">
        <f aca="false">IF(W$3&gt;=Assumptions!$F$6,1,0)</f>
        <v>1</v>
      </c>
      <c r="X9" s="25" t="n">
        <f aca="false">IF(X$3&gt;=Assumptions!$F$6,1,0)</f>
        <v>1</v>
      </c>
      <c r="Y9" s="25" t="n">
        <f aca="false">IF(Y$3&gt;=Assumptions!$F$6,1,0)</f>
        <v>1</v>
      </c>
      <c r="Z9" s="25" t="n">
        <f aca="false">IF(Z$3&gt;=Assumptions!$F$6,1,0)</f>
        <v>1</v>
      </c>
      <c r="AA9" s="25" t="n">
        <f aca="false">IF(AA$3&gt;=Assumptions!$F$6,1,0)</f>
        <v>1</v>
      </c>
      <c r="AB9" s="25" t="n">
        <f aca="false">IF(AB$3&gt;=Assumptions!$F$6,1,0)</f>
        <v>1</v>
      </c>
      <c r="AC9" s="25" t="n">
        <f aca="false">IF(AC$3&gt;=Assumptions!$F$6,1,0)</f>
        <v>1</v>
      </c>
      <c r="AD9" s="25" t="n">
        <f aca="false">IF(AD$3&gt;=Assumptions!$F$6,1,0)</f>
        <v>1</v>
      </c>
      <c r="AE9" s="25" t="n">
        <f aca="false">IF(AE$3&gt;=Assumptions!$F$6,1,0)</f>
        <v>1</v>
      </c>
      <c r="AF9" s="25" t="n">
        <f aca="false">IF(AF$3&gt;=Assumptions!$F$6,1,0)</f>
        <v>1</v>
      </c>
      <c r="AG9" s="25" t="n">
        <f aca="false">IF(AG$3&gt;=Assumptions!$F$6,1,0)</f>
        <v>1</v>
      </c>
      <c r="AH9" s="25" t="n">
        <f aca="false">IF(AH$3&gt;=Assumptions!$F$6,1,0)</f>
        <v>1</v>
      </c>
      <c r="AI9" s="25" t="n">
        <f aca="false">IF(AI$3&gt;=Assumptions!$F$6,1,0)</f>
        <v>1</v>
      </c>
      <c r="AJ9" s="25" t="n">
        <f aca="false">IF(AJ$3&gt;=Assumptions!$F$6,1,0)</f>
        <v>1</v>
      </c>
      <c r="AK9" s="25" t="n">
        <f aca="false">IF(AK$3&gt;=Assumptions!$F$6,1,0)</f>
        <v>1</v>
      </c>
      <c r="AL9" s="25" t="n">
        <f aca="false">IF(AL$3&gt;=Assumptions!$F$6,1,0)</f>
        <v>1</v>
      </c>
      <c r="AM9" s="25" t="n">
        <f aca="false">IF(AM$3&gt;=Assumptions!$F$6,1,0)</f>
        <v>1</v>
      </c>
    </row>
    <row r="10" customFormat="false" ht="15" hidden="false" customHeight="false" outlineLevel="0" collapsed="false">
      <c r="A10" s="8" t="s">
        <v>321</v>
      </c>
      <c r="B10" s="8" t="s">
        <v>41</v>
      </c>
      <c r="D10" s="26" t="n">
        <f aca="false">IF(D$3&lt;Assumptions!$F$7,0,IF(D$3&lt;Assumptions!$F$6,Assumptions!$F$22*0.5,MIN(Assumptions!$F$24,Assumptions!$F$22+Assumptions!$F$23*(D$3-Assumptions!$F$6))))</f>
        <v>0</v>
      </c>
      <c r="E10" s="26" t="n">
        <f aca="false">IF(E$3&lt;Assumptions!$F$7,0,IF(E$3&lt;Assumptions!$F$6,Assumptions!$F$22*0.5,MIN(Assumptions!$F$24,Assumptions!$F$22+Assumptions!$F$23*(E$3-Assumptions!$F$6))))</f>
        <v>0</v>
      </c>
      <c r="F10" s="26" t="n">
        <f aca="false">IF(F$3&lt;Assumptions!$F$7,0,IF(F$3&lt;Assumptions!$F$6,Assumptions!$F$22*0.5,MIN(Assumptions!$F$24,Assumptions!$F$22+Assumptions!$F$23*(F$3-Assumptions!$F$6))))</f>
        <v>0</v>
      </c>
      <c r="G10" s="26" t="n">
        <f aca="false">IF(G$3&lt;Assumptions!$F$7,0,IF(G$3&lt;Assumptions!$F$6,Assumptions!$F$22*0.5,MIN(Assumptions!$F$24,Assumptions!$F$22+Assumptions!$F$23*(G$3-Assumptions!$F$6))))</f>
        <v>0</v>
      </c>
      <c r="H10" s="26" t="n">
        <f aca="false">IF(H$3&lt;Assumptions!$F$7,0,IF(H$3&lt;Assumptions!$F$6,Assumptions!$F$22*0.5,MIN(Assumptions!$F$24,Assumptions!$F$22+Assumptions!$F$23*(H$3-Assumptions!$F$6))))</f>
        <v>0.225</v>
      </c>
      <c r="I10" s="26" t="n">
        <f aca="false">IF(I$3&lt;Assumptions!$F$7,0,IF(I$3&lt;Assumptions!$F$6,Assumptions!$F$22*0.5,MIN(Assumptions!$F$24,Assumptions!$F$22+Assumptions!$F$23*(I$3-Assumptions!$F$6))))</f>
        <v>0.225</v>
      </c>
      <c r="J10" s="26" t="n">
        <f aca="false">IF(J$3&lt;Assumptions!$F$7,0,IF(J$3&lt;Assumptions!$F$6,Assumptions!$F$22*0.5,MIN(Assumptions!$F$24,Assumptions!$F$22+Assumptions!$F$23*(J$3-Assumptions!$F$6))))</f>
        <v>0.45</v>
      </c>
      <c r="K10" s="26" t="n">
        <f aca="false">IF(K$3&lt;Assumptions!$F$7,0,IF(K$3&lt;Assumptions!$F$6,Assumptions!$F$22*0.5,MIN(Assumptions!$F$24,Assumptions!$F$22+Assumptions!$F$23*(K$3-Assumptions!$F$6))))</f>
        <v>0.485</v>
      </c>
      <c r="L10" s="26" t="n">
        <f aca="false">IF(L$3&lt;Assumptions!$F$7,0,IF(L$3&lt;Assumptions!$F$6,Assumptions!$F$22*0.5,MIN(Assumptions!$F$24,Assumptions!$F$22+Assumptions!$F$23*(L$3-Assumptions!$F$6))))</f>
        <v>0.52</v>
      </c>
      <c r="M10" s="26" t="n">
        <f aca="false">IF(M$3&lt;Assumptions!$F$7,0,IF(M$3&lt;Assumptions!$F$6,Assumptions!$F$22*0.5,MIN(Assumptions!$F$24,Assumptions!$F$22+Assumptions!$F$23*(M$3-Assumptions!$F$6))))</f>
        <v>0.555</v>
      </c>
      <c r="N10" s="26" t="n">
        <f aca="false">IF(N$3&lt;Assumptions!$F$7,0,IF(N$3&lt;Assumptions!$F$6,Assumptions!$F$22*0.5,MIN(Assumptions!$F$24,Assumptions!$F$22+Assumptions!$F$23*(N$3-Assumptions!$F$6))))</f>
        <v>0.59</v>
      </c>
      <c r="O10" s="26" t="n">
        <f aca="false">IF(O$3&lt;Assumptions!$F$7,0,IF(O$3&lt;Assumptions!$F$6,Assumptions!$F$22*0.5,MIN(Assumptions!$F$24,Assumptions!$F$22+Assumptions!$F$23*(O$3-Assumptions!$F$6))))</f>
        <v>0.625</v>
      </c>
      <c r="P10" s="26" t="n">
        <f aca="false">IF(P$3&lt;Assumptions!$F$7,0,IF(P$3&lt;Assumptions!$F$6,Assumptions!$F$22*0.5,MIN(Assumptions!$F$24,Assumptions!$F$22+Assumptions!$F$23*(P$3-Assumptions!$F$6))))</f>
        <v>0.66</v>
      </c>
      <c r="Q10" s="26" t="n">
        <f aca="false">IF(Q$3&lt;Assumptions!$F$7,0,IF(Q$3&lt;Assumptions!$F$6,Assumptions!$F$22*0.5,MIN(Assumptions!$F$24,Assumptions!$F$22+Assumptions!$F$23*(Q$3-Assumptions!$F$6))))</f>
        <v>0.695</v>
      </c>
      <c r="R10" s="26" t="n">
        <f aca="false">IF(R$3&lt;Assumptions!$F$7,0,IF(R$3&lt;Assumptions!$F$6,Assumptions!$F$22*0.5,MIN(Assumptions!$F$24,Assumptions!$F$22+Assumptions!$F$23*(R$3-Assumptions!$F$6))))</f>
        <v>0.73</v>
      </c>
      <c r="S10" s="26" t="n">
        <f aca="false">IF(S$3&lt;Assumptions!$F$7,0,IF(S$3&lt;Assumptions!$F$6,Assumptions!$F$22*0.5,MIN(Assumptions!$F$24,Assumptions!$F$22+Assumptions!$F$23*(S$3-Assumptions!$F$6))))</f>
        <v>0.765</v>
      </c>
      <c r="T10" s="26" t="n">
        <f aca="false">IF(T$3&lt;Assumptions!$F$7,0,IF(T$3&lt;Assumptions!$F$6,Assumptions!$F$22*0.5,MIN(Assumptions!$F$24,Assumptions!$F$22+Assumptions!$F$23*(T$3-Assumptions!$F$6))))</f>
        <v>0.8</v>
      </c>
      <c r="U10" s="26" t="n">
        <f aca="false">IF(U$3&lt;Assumptions!$F$7,0,IF(U$3&lt;Assumptions!$F$6,Assumptions!$F$22*0.5,MIN(Assumptions!$F$24,Assumptions!$F$22+Assumptions!$F$23*(U$3-Assumptions!$F$6))))</f>
        <v>0.835</v>
      </c>
      <c r="V10" s="26" t="n">
        <f aca="false">IF(V$3&lt;Assumptions!$F$7,0,IF(V$3&lt;Assumptions!$F$6,Assumptions!$F$22*0.5,MIN(Assumptions!$F$24,Assumptions!$F$22+Assumptions!$F$23*(V$3-Assumptions!$F$6))))</f>
        <v>0.87</v>
      </c>
      <c r="W10" s="26" t="n">
        <f aca="false">IF(W$3&lt;Assumptions!$F$7,0,IF(W$3&lt;Assumptions!$F$6,Assumptions!$F$22*0.5,MIN(Assumptions!$F$24,Assumptions!$F$22+Assumptions!$F$23*(W$3-Assumptions!$F$6))))</f>
        <v>0.9</v>
      </c>
      <c r="X10" s="26" t="n">
        <f aca="false">IF(X$3&lt;Assumptions!$F$7,0,IF(X$3&lt;Assumptions!$F$6,Assumptions!$F$22*0.5,MIN(Assumptions!$F$24,Assumptions!$F$22+Assumptions!$F$23*(X$3-Assumptions!$F$6))))</f>
        <v>0.9</v>
      </c>
      <c r="Y10" s="26" t="n">
        <f aca="false">IF(Y$3&lt;Assumptions!$F$7,0,IF(Y$3&lt;Assumptions!$F$6,Assumptions!$F$22*0.5,MIN(Assumptions!$F$24,Assumptions!$F$22+Assumptions!$F$23*(Y$3-Assumptions!$F$6))))</f>
        <v>0.9</v>
      </c>
      <c r="Z10" s="26" t="n">
        <f aca="false">IF(Z$3&lt;Assumptions!$F$7,0,IF(Z$3&lt;Assumptions!$F$6,Assumptions!$F$22*0.5,MIN(Assumptions!$F$24,Assumptions!$F$22+Assumptions!$F$23*(Z$3-Assumptions!$F$6))))</f>
        <v>0.9</v>
      </c>
      <c r="AA10" s="26" t="n">
        <f aca="false">IF(AA$3&lt;Assumptions!$F$7,0,IF(AA$3&lt;Assumptions!$F$6,Assumptions!$F$22*0.5,MIN(Assumptions!$F$24,Assumptions!$F$22+Assumptions!$F$23*(AA$3-Assumptions!$F$6))))</f>
        <v>0.9</v>
      </c>
      <c r="AB10" s="26" t="n">
        <f aca="false">IF(AB$3&lt;Assumptions!$F$7,0,IF(AB$3&lt;Assumptions!$F$6,Assumptions!$F$22*0.5,MIN(Assumptions!$F$24,Assumptions!$F$22+Assumptions!$F$23*(AB$3-Assumptions!$F$6))))</f>
        <v>0.9</v>
      </c>
      <c r="AC10" s="26" t="n">
        <f aca="false">IF(AC$3&lt;Assumptions!$F$7,0,IF(AC$3&lt;Assumptions!$F$6,Assumptions!$F$22*0.5,MIN(Assumptions!$F$24,Assumptions!$F$22+Assumptions!$F$23*(AC$3-Assumptions!$F$6))))</f>
        <v>0.9</v>
      </c>
      <c r="AD10" s="26" t="n">
        <f aca="false">IF(AD$3&lt;Assumptions!$F$7,0,IF(AD$3&lt;Assumptions!$F$6,Assumptions!$F$22*0.5,MIN(Assumptions!$F$24,Assumptions!$F$22+Assumptions!$F$23*(AD$3-Assumptions!$F$6))))</f>
        <v>0.9</v>
      </c>
      <c r="AE10" s="26" t="n">
        <f aca="false">IF(AE$3&lt;Assumptions!$F$7,0,IF(AE$3&lt;Assumptions!$F$6,Assumptions!$F$22*0.5,MIN(Assumptions!$F$24,Assumptions!$F$22+Assumptions!$F$23*(AE$3-Assumptions!$F$6))))</f>
        <v>0.9</v>
      </c>
      <c r="AF10" s="26" t="n">
        <f aca="false">IF(AF$3&lt;Assumptions!$F$7,0,IF(AF$3&lt;Assumptions!$F$6,Assumptions!$F$22*0.5,MIN(Assumptions!$F$24,Assumptions!$F$22+Assumptions!$F$23*(AF$3-Assumptions!$F$6))))</f>
        <v>0.9</v>
      </c>
      <c r="AG10" s="26" t="n">
        <f aca="false">IF(AG$3&lt;Assumptions!$F$7,0,IF(AG$3&lt;Assumptions!$F$6,Assumptions!$F$22*0.5,MIN(Assumptions!$F$24,Assumptions!$F$22+Assumptions!$F$23*(AG$3-Assumptions!$F$6))))</f>
        <v>0.9</v>
      </c>
      <c r="AH10" s="26" t="n">
        <f aca="false">IF(AH$3&lt;Assumptions!$F$7,0,IF(AH$3&lt;Assumptions!$F$6,Assumptions!$F$22*0.5,MIN(Assumptions!$F$24,Assumptions!$F$22+Assumptions!$F$23*(AH$3-Assumptions!$F$6))))</f>
        <v>0.9</v>
      </c>
      <c r="AI10" s="26" t="n">
        <f aca="false">IF(AI$3&lt;Assumptions!$F$7,0,IF(AI$3&lt;Assumptions!$F$6,Assumptions!$F$22*0.5,MIN(Assumptions!$F$24,Assumptions!$F$22+Assumptions!$F$23*(AI$3-Assumptions!$F$6))))</f>
        <v>0.9</v>
      </c>
      <c r="AJ10" s="26" t="n">
        <f aca="false">IF(AJ$3&lt;Assumptions!$F$7,0,IF(AJ$3&lt;Assumptions!$F$6,Assumptions!$F$22*0.5,MIN(Assumptions!$F$24,Assumptions!$F$22+Assumptions!$F$23*(AJ$3-Assumptions!$F$6))))</f>
        <v>0.9</v>
      </c>
      <c r="AK10" s="26" t="n">
        <f aca="false">IF(AK$3&lt;Assumptions!$F$7,0,IF(AK$3&lt;Assumptions!$F$6,Assumptions!$F$22*0.5,MIN(Assumptions!$F$24,Assumptions!$F$22+Assumptions!$F$23*(AK$3-Assumptions!$F$6))))</f>
        <v>0.9</v>
      </c>
      <c r="AL10" s="26" t="n">
        <f aca="false">IF(AL$3&lt;Assumptions!$F$7,0,IF(AL$3&lt;Assumptions!$F$6,Assumptions!$F$22*0.5,MIN(Assumptions!$F$24,Assumptions!$F$22+Assumptions!$F$23*(AL$3-Assumptions!$F$6))))</f>
        <v>0.9</v>
      </c>
      <c r="AM10" s="26" t="n">
        <f aca="false">IF(AM$3&lt;Assumptions!$F$7,0,IF(AM$3&lt;Assumptions!$F$6,Assumptions!$F$22*0.5,MIN(Assumptions!$F$24,Assumptions!$F$22+Assumptions!$F$23*(AM$3-Assumptions!$F$6))))</f>
        <v>0.9</v>
      </c>
    </row>
    <row r="11" customFormat="false" ht="15" hidden="false" customHeight="false" outlineLevel="0" collapsed="false">
      <c r="A11" s="5" t="s">
        <v>33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 customFormat="false" ht="15" hidden="false" customHeight="false" outlineLevel="0" collapsed="false">
      <c r="A12" s="8" t="s">
        <v>322</v>
      </c>
      <c r="B12" s="8" t="s">
        <v>50</v>
      </c>
      <c r="C12" s="27" t="n">
        <f aca="false">SUM(D12:AM12)</f>
        <v>14061571.5746847</v>
      </c>
      <c r="D12" s="27" t="n">
        <f aca="false">IF(D$3&lt;Assumptions!$F$7,Assumptions!$F$13,IF(D$3&lt;Assumptions!$F$6,Assumptions!$F$14,IF(D$3=Assumptions!$F$6,Assumptions!$F$15,Assumptions!$F$16*(1+Assumptions!$F$17)^(D$3-Assumptions!$F$6-1))))</f>
        <v>30000</v>
      </c>
      <c r="E12" s="27" t="n">
        <f aca="false">IF(E$3&lt;Assumptions!$F$7,Assumptions!$F$13,IF(E$3&lt;Assumptions!$F$6,Assumptions!$F$14,IF(E$3=Assumptions!$F$6,Assumptions!$F$15,Assumptions!$F$16*(1+Assumptions!$F$17)^(E$3-Assumptions!$F$6-1))))</f>
        <v>30000</v>
      </c>
      <c r="F12" s="27" t="n">
        <f aca="false">IF(F$3&lt;Assumptions!$F$7,Assumptions!$F$13,IF(F$3&lt;Assumptions!$F$6,Assumptions!$F$14,IF(F$3=Assumptions!$F$6,Assumptions!$F$15,Assumptions!$F$16*(1+Assumptions!$F$17)^(F$3-Assumptions!$F$6-1))))</f>
        <v>30000</v>
      </c>
      <c r="G12" s="27" t="n">
        <f aca="false">IF(G$3&lt;Assumptions!$F$7,Assumptions!$F$13,IF(G$3&lt;Assumptions!$F$6,Assumptions!$F$14,IF(G$3=Assumptions!$F$6,Assumptions!$F$15,Assumptions!$F$16*(1+Assumptions!$F$17)^(G$3-Assumptions!$F$6-1))))</f>
        <v>30000</v>
      </c>
      <c r="H12" s="27" t="n">
        <f aca="false">IF(H$3&lt;Assumptions!$F$7,Assumptions!$F$13,IF(H$3&lt;Assumptions!$F$6,Assumptions!$F$14,IF(H$3=Assumptions!$F$6,Assumptions!$F$15,Assumptions!$F$16*(1+Assumptions!$F$17)^(H$3-Assumptions!$F$6-1))))</f>
        <v>100000</v>
      </c>
      <c r="I12" s="27" t="n">
        <f aca="false">IF(I$3&lt;Assumptions!$F$7,Assumptions!$F$13,IF(I$3&lt;Assumptions!$F$6,Assumptions!$F$14,IF(I$3=Assumptions!$F$6,Assumptions!$F$15,Assumptions!$F$16*(1+Assumptions!$F$17)^(I$3-Assumptions!$F$6-1))))</f>
        <v>100000</v>
      </c>
      <c r="J12" s="27" t="n">
        <f aca="false">IF(J$3&lt;Assumptions!$F$7,Assumptions!$F$13,IF(J$3&lt;Assumptions!$F$6,Assumptions!$F$14,IF(J$3=Assumptions!$F$6,Assumptions!$F$15,Assumptions!$F$16*(1+Assumptions!$F$17)^(J$3-Assumptions!$F$6-1))))</f>
        <v>500000</v>
      </c>
      <c r="K12" s="27" t="n">
        <f aca="false">IF(K$3&lt;Assumptions!$F$7,Assumptions!$F$13,IF(K$3&lt;Assumptions!$F$6,Assumptions!$F$14,IF(K$3=Assumptions!$F$6,Assumptions!$F$15,Assumptions!$F$16*(1+Assumptions!$F$17)^(K$3-Assumptions!$F$6-1))))</f>
        <v>250000</v>
      </c>
      <c r="L12" s="27" t="n">
        <f aca="false">IF(L$3&lt;Assumptions!$F$7,Assumptions!$F$13,IF(L$3&lt;Assumptions!$F$6,Assumptions!$F$14,IF(L$3=Assumptions!$F$6,Assumptions!$F$15,Assumptions!$F$16*(1+Assumptions!$F$17)^(L$3-Assumptions!$F$6-1))))</f>
        <v>260000</v>
      </c>
      <c r="M12" s="27" t="n">
        <f aca="false">IF(M$3&lt;Assumptions!$F$7,Assumptions!$F$13,IF(M$3&lt;Assumptions!$F$6,Assumptions!$F$14,IF(M$3=Assumptions!$F$6,Assumptions!$F$15,Assumptions!$F$16*(1+Assumptions!$F$17)^(M$3-Assumptions!$F$6-1))))</f>
        <v>270400</v>
      </c>
      <c r="N12" s="27" t="n">
        <f aca="false">IF(N$3&lt;Assumptions!$F$7,Assumptions!$F$13,IF(N$3&lt;Assumptions!$F$6,Assumptions!$F$14,IF(N$3=Assumptions!$F$6,Assumptions!$F$15,Assumptions!$F$16*(1+Assumptions!$F$17)^(N$3-Assumptions!$F$6-1))))</f>
        <v>281216</v>
      </c>
      <c r="O12" s="27" t="n">
        <f aca="false">IF(O$3&lt;Assumptions!$F$7,Assumptions!$F$13,IF(O$3&lt;Assumptions!$F$6,Assumptions!$F$14,IF(O$3=Assumptions!$F$6,Assumptions!$F$15,Assumptions!$F$16*(1+Assumptions!$F$17)^(O$3-Assumptions!$F$6-1))))</f>
        <v>292464.64</v>
      </c>
      <c r="P12" s="27" t="n">
        <f aca="false">IF(P$3&lt;Assumptions!$F$7,Assumptions!$F$13,IF(P$3&lt;Assumptions!$F$6,Assumptions!$F$14,IF(P$3=Assumptions!$F$6,Assumptions!$F$15,Assumptions!$F$16*(1+Assumptions!$F$17)^(P$3-Assumptions!$F$6-1))))</f>
        <v>304163.2256</v>
      </c>
      <c r="Q12" s="27" t="n">
        <f aca="false">IF(Q$3&lt;Assumptions!$F$7,Assumptions!$F$13,IF(Q$3&lt;Assumptions!$F$6,Assumptions!$F$14,IF(Q$3=Assumptions!$F$6,Assumptions!$F$15,Assumptions!$F$16*(1+Assumptions!$F$17)^(Q$3-Assumptions!$F$6-1))))</f>
        <v>316329.754624</v>
      </c>
      <c r="R12" s="27" t="n">
        <f aca="false">IF(R$3&lt;Assumptions!$F$7,Assumptions!$F$13,IF(R$3&lt;Assumptions!$F$6,Assumptions!$F$14,IF(R$3=Assumptions!$F$6,Assumptions!$F$15,Assumptions!$F$16*(1+Assumptions!$F$17)^(R$3-Assumptions!$F$6-1))))</f>
        <v>328982.94480896</v>
      </c>
      <c r="S12" s="27" t="n">
        <f aca="false">IF(S$3&lt;Assumptions!$F$7,Assumptions!$F$13,IF(S$3&lt;Assumptions!$F$6,Assumptions!$F$14,IF(S$3=Assumptions!$F$6,Assumptions!$F$15,Assumptions!$F$16*(1+Assumptions!$F$17)^(S$3-Assumptions!$F$6-1))))</f>
        <v>342142.262601319</v>
      </c>
      <c r="T12" s="27" t="n">
        <f aca="false">IF(T$3&lt;Assumptions!$F$7,Assumptions!$F$13,IF(T$3&lt;Assumptions!$F$6,Assumptions!$F$14,IF(T$3=Assumptions!$F$6,Assumptions!$F$15,Assumptions!$F$16*(1+Assumptions!$F$17)^(T$3-Assumptions!$F$6-1))))</f>
        <v>355827.953105371</v>
      </c>
      <c r="U12" s="27" t="n">
        <f aca="false">IF(U$3&lt;Assumptions!$F$7,Assumptions!$F$13,IF(U$3&lt;Assumptions!$F$6,Assumptions!$F$14,IF(U$3=Assumptions!$F$6,Assumptions!$F$15,Assumptions!$F$16*(1+Assumptions!$F$17)^(U$3-Assumptions!$F$6-1))))</f>
        <v>370061.071229586</v>
      </c>
      <c r="V12" s="27" t="n">
        <f aca="false">IF(V$3&lt;Assumptions!$F$7,Assumptions!$F$13,IF(V$3&lt;Assumptions!$F$6,Assumptions!$F$14,IF(V$3=Assumptions!$F$6,Assumptions!$F$15,Assumptions!$F$16*(1+Assumptions!$F$17)^(V$3-Assumptions!$F$6-1))))</f>
        <v>384863.51407877</v>
      </c>
      <c r="W12" s="27" t="n">
        <f aca="false">IF(W$3&lt;Assumptions!$F$7,Assumptions!$F$13,IF(W$3&lt;Assumptions!$F$6,Assumptions!$F$14,IF(W$3=Assumptions!$F$6,Assumptions!$F$15,Assumptions!$F$16*(1+Assumptions!$F$17)^(W$3-Assumptions!$F$6-1))))</f>
        <v>400258.05464192</v>
      </c>
      <c r="X12" s="27" t="n">
        <f aca="false">IF(X$3&lt;Assumptions!$F$7,Assumptions!$F$13,IF(X$3&lt;Assumptions!$F$6,Assumptions!$F$14,IF(X$3=Assumptions!$F$6,Assumptions!$F$15,Assumptions!$F$16*(1+Assumptions!$F$17)^(X$3-Assumptions!$F$6-1))))</f>
        <v>416268.376827597</v>
      </c>
      <c r="Y12" s="27" t="n">
        <f aca="false">IF(Y$3&lt;Assumptions!$F$7,Assumptions!$F$13,IF(Y$3&lt;Assumptions!$F$6,Assumptions!$F$14,IF(Y$3=Assumptions!$F$6,Assumptions!$F$15,Assumptions!$F$16*(1+Assumptions!$F$17)^(Y$3-Assumptions!$F$6-1))))</f>
        <v>432919.111900701</v>
      </c>
      <c r="Z12" s="27" t="n">
        <f aca="false">IF(Z$3&lt;Assumptions!$F$7,Assumptions!$F$13,IF(Z$3&lt;Assumptions!$F$6,Assumptions!$F$14,IF(Z$3=Assumptions!$F$6,Assumptions!$F$15,Assumptions!$F$16*(1+Assumptions!$F$17)^(Z$3-Assumptions!$F$6-1))))</f>
        <v>450235.876376729</v>
      </c>
      <c r="AA12" s="27" t="n">
        <f aca="false">IF(AA$3&lt;Assumptions!$F$7,Assumptions!$F$13,IF(AA$3&lt;Assumptions!$F$6,Assumptions!$F$14,IF(AA$3=Assumptions!$F$6,Assumptions!$F$15,Assumptions!$F$16*(1+Assumptions!$F$17)^(AA$3-Assumptions!$F$6-1))))</f>
        <v>468245.311431798</v>
      </c>
      <c r="AB12" s="27" t="n">
        <f aca="false">IF(AB$3&lt;Assumptions!$F$7,Assumptions!$F$13,IF(AB$3&lt;Assumptions!$F$6,Assumptions!$F$14,IF(AB$3=Assumptions!$F$6,Assumptions!$F$15,Assumptions!$F$16*(1+Assumptions!$F$17)^(AB$3-Assumptions!$F$6-1))))</f>
        <v>486975.12388907</v>
      </c>
      <c r="AC12" s="27" t="n">
        <f aca="false">IF(AC$3&lt;Assumptions!$F$7,Assumptions!$F$13,IF(AC$3&lt;Assumptions!$F$6,Assumptions!$F$14,IF(AC$3=Assumptions!$F$6,Assumptions!$F$15,Assumptions!$F$16*(1+Assumptions!$F$17)^(AC$3-Assumptions!$F$6-1))))</f>
        <v>506454.128844633</v>
      </c>
      <c r="AD12" s="27" t="n">
        <f aca="false">IF(AD$3&lt;Assumptions!$F$7,Assumptions!$F$13,IF(AD$3&lt;Assumptions!$F$6,Assumptions!$F$14,IF(AD$3=Assumptions!$F$6,Assumptions!$F$15,Assumptions!$F$16*(1+Assumptions!$F$17)^(AD$3-Assumptions!$F$6-1))))</f>
        <v>526712.293998419</v>
      </c>
      <c r="AE12" s="27" t="n">
        <f aca="false">IF(AE$3&lt;Assumptions!$F$7,Assumptions!$F$13,IF(AE$3&lt;Assumptions!$F$6,Assumptions!$F$14,IF(AE$3=Assumptions!$F$6,Assumptions!$F$15,Assumptions!$F$16*(1+Assumptions!$F$17)^(AE$3-Assumptions!$F$6-1))))</f>
        <v>547780.785758355</v>
      </c>
      <c r="AF12" s="27" t="n">
        <f aca="false">IF(AF$3&lt;Assumptions!$F$7,Assumptions!$F$13,IF(AF$3&lt;Assumptions!$F$6,Assumptions!$F$14,IF(AF$3=Assumptions!$F$6,Assumptions!$F$15,Assumptions!$F$16*(1+Assumptions!$F$17)^(AF$3-Assumptions!$F$6-1))))</f>
        <v>569692.017188689</v>
      </c>
      <c r="AG12" s="27" t="n">
        <f aca="false">IF(AG$3&lt;Assumptions!$F$7,Assumptions!$F$13,IF(AG$3&lt;Assumptions!$F$6,Assumptions!$F$14,IF(AG$3=Assumptions!$F$6,Assumptions!$F$15,Assumptions!$F$16*(1+Assumptions!$F$17)^(AG$3-Assumptions!$F$6-1))))</f>
        <v>592479.697876237</v>
      </c>
      <c r="AH12" s="27" t="n">
        <f aca="false">IF(AH$3&lt;Assumptions!$F$7,Assumptions!$F$13,IF(AH$3&lt;Assumptions!$F$6,Assumptions!$F$14,IF(AH$3=Assumptions!$F$6,Assumptions!$F$15,Assumptions!$F$16*(1+Assumptions!$F$17)^(AH$3-Assumptions!$F$6-1))))</f>
        <v>616178.885791287</v>
      </c>
      <c r="AI12" s="27" t="n">
        <f aca="false">IF(AI$3&lt;Assumptions!$F$7,Assumptions!$F$13,IF(AI$3&lt;Assumptions!$F$6,Assumptions!$F$14,IF(AI$3=Assumptions!$F$6,Assumptions!$F$15,Assumptions!$F$16*(1+Assumptions!$F$17)^(AI$3-Assumptions!$F$6-1))))</f>
        <v>640826.041222938</v>
      </c>
      <c r="AJ12" s="27" t="n">
        <f aca="false">IF(AJ$3&lt;Assumptions!$F$7,Assumptions!$F$13,IF(AJ$3&lt;Assumptions!$F$6,Assumptions!$F$14,IF(AJ$3=Assumptions!$F$6,Assumptions!$F$15,Assumptions!$F$16*(1+Assumptions!$F$17)^(AJ$3-Assumptions!$F$6-1))))</f>
        <v>666459.082871856</v>
      </c>
      <c r="AK12" s="27" t="n">
        <f aca="false">IF(AK$3&lt;Assumptions!$F$7,Assumptions!$F$13,IF(AK$3&lt;Assumptions!$F$6,Assumptions!$F$14,IF(AK$3=Assumptions!$F$6,Assumptions!$F$15,Assumptions!$F$16*(1+Assumptions!$F$17)^(AK$3-Assumptions!$F$6-1))))</f>
        <v>693117.44618673</v>
      </c>
      <c r="AL12" s="27" t="n">
        <f aca="false">IF(AL$3&lt;Assumptions!$F$7,Assumptions!$F$13,IF(AL$3&lt;Assumptions!$F$6,Assumptions!$F$14,IF(AL$3=Assumptions!$F$6,Assumptions!$F$15,Assumptions!$F$16*(1+Assumptions!$F$17)^(AL$3-Assumptions!$F$6-1))))</f>
        <v>720842.144034199</v>
      </c>
      <c r="AM12" s="27" t="n">
        <f aca="false">IF(AM$3&lt;Assumptions!$F$7,Assumptions!$F$13,IF(AM$3&lt;Assumptions!$F$6,Assumptions!$F$14,IF(AM$3=Assumptions!$F$6,Assumptions!$F$15,Assumptions!$F$16*(1+Assumptions!$F$17)^(AM$3-Assumptions!$F$6-1))))</f>
        <v>749675.829795567</v>
      </c>
    </row>
    <row r="13" customFormat="false" ht="15" hidden="false" customHeight="false" outlineLevel="0" collapsed="false">
      <c r="A13" s="8" t="s">
        <v>323</v>
      </c>
      <c r="B13" s="8" t="s">
        <v>36</v>
      </c>
      <c r="C13" s="28" t="n">
        <f aca="false">SUM(D13:AM13)</f>
        <v>7811984.20815818</v>
      </c>
      <c r="D13" s="28" t="n">
        <f aca="false">D12/Assumptions!$F$12</f>
        <v>16666.6666666667</v>
      </c>
      <c r="E13" s="28" t="n">
        <f aca="false">E12/Assumptions!$F$12</f>
        <v>16666.6666666667</v>
      </c>
      <c r="F13" s="28" t="n">
        <f aca="false">F12/Assumptions!$F$12</f>
        <v>16666.6666666667</v>
      </c>
      <c r="G13" s="28" t="n">
        <f aca="false">G12/Assumptions!$F$12</f>
        <v>16666.6666666667</v>
      </c>
      <c r="H13" s="28" t="n">
        <f aca="false">H12/Assumptions!$F$12</f>
        <v>55555.5555555556</v>
      </c>
      <c r="I13" s="28" t="n">
        <f aca="false">I12/Assumptions!$F$12</f>
        <v>55555.5555555556</v>
      </c>
      <c r="J13" s="28" t="n">
        <f aca="false">J12/Assumptions!$F$12</f>
        <v>277777.777777778</v>
      </c>
      <c r="K13" s="28" t="n">
        <f aca="false">K12/Assumptions!$F$12</f>
        <v>138888.888888889</v>
      </c>
      <c r="L13" s="28" t="n">
        <f aca="false">L12/Assumptions!$F$12</f>
        <v>144444.444444444</v>
      </c>
      <c r="M13" s="28" t="n">
        <f aca="false">M12/Assumptions!$F$12</f>
        <v>150222.222222222</v>
      </c>
      <c r="N13" s="28" t="n">
        <f aca="false">N12/Assumptions!$F$12</f>
        <v>156231.111111111</v>
      </c>
      <c r="O13" s="28" t="n">
        <f aca="false">O12/Assumptions!$F$12</f>
        <v>162480.355555556</v>
      </c>
      <c r="P13" s="28" t="n">
        <f aca="false">P12/Assumptions!$F$12</f>
        <v>168979.569777778</v>
      </c>
      <c r="Q13" s="28" t="n">
        <f aca="false">Q12/Assumptions!$F$12</f>
        <v>175738.752568889</v>
      </c>
      <c r="R13" s="28" t="n">
        <f aca="false">R12/Assumptions!$F$12</f>
        <v>182768.302671645</v>
      </c>
      <c r="S13" s="28" t="n">
        <f aca="false">S12/Assumptions!$F$12</f>
        <v>190079.03477851</v>
      </c>
      <c r="T13" s="28" t="n">
        <f aca="false">T12/Assumptions!$F$12</f>
        <v>197682.196169651</v>
      </c>
      <c r="U13" s="28" t="n">
        <f aca="false">U12/Assumptions!$F$12</f>
        <v>205589.484016437</v>
      </c>
      <c r="V13" s="28" t="n">
        <f aca="false">V12/Assumptions!$F$12</f>
        <v>213813.063377094</v>
      </c>
      <c r="W13" s="28" t="n">
        <f aca="false">W12/Assumptions!$F$12</f>
        <v>222365.585912178</v>
      </c>
      <c r="X13" s="28" t="n">
        <f aca="false">X12/Assumptions!$F$12</f>
        <v>231260.209348665</v>
      </c>
      <c r="Y13" s="28" t="n">
        <f aca="false">Y12/Assumptions!$F$12</f>
        <v>240510.617722612</v>
      </c>
      <c r="Z13" s="28" t="n">
        <f aca="false">Z12/Assumptions!$F$12</f>
        <v>250131.042431516</v>
      </c>
      <c r="AA13" s="28" t="n">
        <f aca="false">AA12/Assumptions!$F$12</f>
        <v>260136.284128777</v>
      </c>
      <c r="AB13" s="28" t="n">
        <f aca="false">AB12/Assumptions!$F$12</f>
        <v>270541.735493928</v>
      </c>
      <c r="AC13" s="28" t="n">
        <f aca="false">AC12/Assumptions!$F$12</f>
        <v>281363.404913685</v>
      </c>
      <c r="AD13" s="28" t="n">
        <f aca="false">AD12/Assumptions!$F$12</f>
        <v>292617.941110233</v>
      </c>
      <c r="AE13" s="28" t="n">
        <f aca="false">AE12/Assumptions!$F$12</f>
        <v>304322.658754642</v>
      </c>
      <c r="AF13" s="28" t="n">
        <f aca="false">AF12/Assumptions!$F$12</f>
        <v>316495.565104827</v>
      </c>
      <c r="AG13" s="28" t="n">
        <f aca="false">AG12/Assumptions!$F$12</f>
        <v>329155.387709021</v>
      </c>
      <c r="AH13" s="28" t="n">
        <f aca="false">AH12/Assumptions!$F$12</f>
        <v>342321.603217381</v>
      </c>
      <c r="AI13" s="28" t="n">
        <f aca="false">AI12/Assumptions!$F$12</f>
        <v>356014.467346077</v>
      </c>
      <c r="AJ13" s="28" t="n">
        <f aca="false">AJ12/Assumptions!$F$12</f>
        <v>370255.04603992</v>
      </c>
      <c r="AK13" s="28" t="n">
        <f aca="false">AK12/Assumptions!$F$12</f>
        <v>385065.247881517</v>
      </c>
      <c r="AL13" s="28" t="n">
        <f aca="false">AL12/Assumptions!$F$12</f>
        <v>400467.857796777</v>
      </c>
      <c r="AM13" s="28" t="n">
        <f aca="false">AM12/Assumptions!$F$12</f>
        <v>416486.572108648</v>
      </c>
    </row>
    <row r="14" customFormat="false" ht="15" hidden="false" customHeight="false" outlineLevel="0" collapsed="false">
      <c r="A14" s="8" t="s">
        <v>324</v>
      </c>
      <c r="B14" s="8" t="s">
        <v>36</v>
      </c>
      <c r="C14" s="28" t="n">
        <f aca="false">SUM(D14:AM14)</f>
        <v>1967359.47879952</v>
      </c>
      <c r="D14" s="28" t="n">
        <f aca="false">MIN(Assumptions!$F$11,Assumptions!$F$9*(1+Assumptions!$F$10)^(D$3-1))*IF(AND(D9=1,Assumptions!$F$74=1),Assumptions!$F$78,1)</f>
        <v>4000</v>
      </c>
      <c r="E14" s="28" t="n">
        <f aca="false">MIN(Assumptions!$F$11,Assumptions!$F$9*(1+Assumptions!$F$10)^(E$3-1))*IF(AND(E9=1,Assumptions!$F$74=1),Assumptions!$F$78,1)</f>
        <v>4440</v>
      </c>
      <c r="F14" s="28" t="n">
        <f aca="false">MIN(Assumptions!$F$11,Assumptions!$F$9*(1+Assumptions!$F$10)^(F$3-1))*IF(AND(F9=1,Assumptions!$F$74=1),Assumptions!$F$78,1)</f>
        <v>4928.4</v>
      </c>
      <c r="G14" s="28" t="n">
        <f aca="false">MIN(Assumptions!$F$11,Assumptions!$F$9*(1+Assumptions!$F$10)^(G$3-1))*IF(AND(G9=1,Assumptions!$F$74=1),Assumptions!$F$78,1)</f>
        <v>5470.524</v>
      </c>
      <c r="H14" s="28" t="n">
        <f aca="false">MIN(Assumptions!$F$11,Assumptions!$F$9*(1+Assumptions!$F$10)^(H$3-1))*IF(AND(H9=1,Assumptions!$F$74=1),Assumptions!$F$78,1)</f>
        <v>6072.28164</v>
      </c>
      <c r="I14" s="28" t="n">
        <f aca="false">MIN(Assumptions!$F$11,Assumptions!$F$9*(1+Assumptions!$F$10)^(I$3-1))*IF(AND(I9=1,Assumptions!$F$74=1),Assumptions!$F$78,1)</f>
        <v>6740.2326204</v>
      </c>
      <c r="J14" s="28" t="n">
        <f aca="false">MIN(Assumptions!$F$11,Assumptions!$F$9*(1+Assumptions!$F$10)^(J$3-1))*IF(AND(J9=1,Assumptions!$F$74=1),Assumptions!$F$78,1)</f>
        <v>9726.15567123721</v>
      </c>
      <c r="K14" s="28" t="n">
        <f aca="false">MIN(Assumptions!$F$11,Assumptions!$F$9*(1+Assumptions!$F$10)^(K$3-1))*IF(AND(K9=1,Assumptions!$F$74=1),Assumptions!$F$78,1)</f>
        <v>10796.0327950733</v>
      </c>
      <c r="L14" s="28" t="n">
        <f aca="false">MIN(Assumptions!$F$11,Assumptions!$F$9*(1+Assumptions!$F$10)^(L$3-1))*IF(AND(L9=1,Assumptions!$F$74=1),Assumptions!$F$78,1)</f>
        <v>11983.5964025314</v>
      </c>
      <c r="M14" s="28" t="n">
        <f aca="false">MIN(Assumptions!$F$11,Assumptions!$F$9*(1+Assumptions!$F$10)^(M$3-1))*IF(AND(M9=1,Assumptions!$F$74=1),Assumptions!$F$78,1)</f>
        <v>13301.7920068098</v>
      </c>
      <c r="N14" s="28" t="n">
        <f aca="false">MIN(Assumptions!$F$11,Assumptions!$F$9*(1+Assumptions!$F$10)^(N$3-1))*IF(AND(N9=1,Assumptions!$F$74=1),Assumptions!$F$78,1)</f>
        <v>14764.9891275589</v>
      </c>
      <c r="O14" s="28" t="n">
        <f aca="false">MIN(Assumptions!$F$11,Assumptions!$F$9*(1+Assumptions!$F$10)^(O$3-1))*IF(AND(O9=1,Assumptions!$F$74=1),Assumptions!$F$78,1)</f>
        <v>16389.1379315904</v>
      </c>
      <c r="P14" s="28" t="n">
        <f aca="false">MIN(Assumptions!$F$11,Assumptions!$F$9*(1+Assumptions!$F$10)^(P$3-1))*IF(AND(P9=1,Assumptions!$F$74=1),Assumptions!$F$78,1)</f>
        <v>18191.9431040653</v>
      </c>
      <c r="Q14" s="28" t="n">
        <f aca="false">MIN(Assumptions!$F$11,Assumptions!$F$9*(1+Assumptions!$F$10)^(Q$3-1))*IF(AND(Q9=1,Assumptions!$F$74=1),Assumptions!$F$78,1)</f>
        <v>20193.0568455125</v>
      </c>
      <c r="R14" s="28" t="n">
        <f aca="false">MIN(Assumptions!$F$11,Assumptions!$F$9*(1+Assumptions!$F$10)^(R$3-1))*IF(AND(R9=1,Assumptions!$F$74=1),Assumptions!$F$78,1)</f>
        <v>22414.2930985189</v>
      </c>
      <c r="S14" s="28" t="n">
        <f aca="false">MIN(Assumptions!$F$11,Assumptions!$F$9*(1+Assumptions!$F$10)^(S$3-1))*IF(AND(S9=1,Assumptions!$F$74=1),Assumptions!$F$78,1)</f>
        <v>24879.865339356</v>
      </c>
      <c r="T14" s="28" t="n">
        <f aca="false">MIN(Assumptions!$F$11,Assumptions!$F$9*(1+Assumptions!$F$10)^(T$3-1))*IF(AND(T9=1,Assumptions!$F$74=1),Assumptions!$F$78,1)</f>
        <v>27616.6505266851</v>
      </c>
      <c r="U14" s="28" t="n">
        <f aca="false">MIN(Assumptions!$F$11,Assumptions!$F$9*(1+Assumptions!$F$10)^(U$3-1))*IF(AND(U9=1,Assumptions!$F$74=1),Assumptions!$F$78,1)</f>
        <v>30654.4820846205</v>
      </c>
      <c r="V14" s="28" t="n">
        <f aca="false">MIN(Assumptions!$F$11,Assumptions!$F$9*(1+Assumptions!$F$10)^(V$3-1))*IF(AND(V9=1,Assumptions!$F$74=1),Assumptions!$F$78,1)</f>
        <v>34026.4751139287</v>
      </c>
      <c r="W14" s="28" t="n">
        <f aca="false">MIN(Assumptions!$F$11,Assumptions!$F$9*(1+Assumptions!$F$10)^(W$3-1))*IF(AND(W9=1,Assumptions!$F$74=1),Assumptions!$F$78,1)</f>
        <v>37769.3873764609</v>
      </c>
      <c r="X14" s="28" t="n">
        <f aca="false">MIN(Assumptions!$F$11,Assumptions!$F$9*(1+Assumptions!$F$10)^(X$3-1))*IF(AND(X9=1,Assumptions!$F$74=1),Assumptions!$F$78,1)</f>
        <v>41924.0199878716</v>
      </c>
      <c r="Y14" s="28" t="n">
        <f aca="false">MIN(Assumptions!$F$11,Assumptions!$F$9*(1+Assumptions!$F$10)^(Y$3-1))*IF(AND(Y9=1,Assumptions!$F$74=1),Assumptions!$F$78,1)</f>
        <v>46535.6621865375</v>
      </c>
      <c r="Z14" s="28" t="n">
        <f aca="false">MIN(Assumptions!$F$11,Assumptions!$F$9*(1+Assumptions!$F$10)^(Z$3-1))*IF(AND(Z9=1,Assumptions!$F$74=1),Assumptions!$F$78,1)</f>
        <v>51654.5850270566</v>
      </c>
      <c r="AA14" s="28" t="n">
        <f aca="false">MIN(Assumptions!$F$11,Assumptions!$F$9*(1+Assumptions!$F$10)^(AA$3-1))*IF(AND(AA9=1,Assumptions!$F$74=1),Assumptions!$F$78,1)</f>
        <v>57336.5893800329</v>
      </c>
      <c r="AB14" s="28" t="n">
        <f aca="false">MIN(Assumptions!$F$11,Assumptions!$F$9*(1+Assumptions!$F$10)^(AB$3-1))*IF(AND(AB9=1,Assumptions!$F$74=1),Assumptions!$F$78,1)</f>
        <v>63643.6142118365</v>
      </c>
      <c r="AC14" s="28" t="n">
        <f aca="false">MIN(Assumptions!$F$11,Assumptions!$F$9*(1+Assumptions!$F$10)^(AC$3-1))*IF(AND(AC9=1,Assumptions!$F$74=1),Assumptions!$F$78,1)</f>
        <v>70644.4117751385</v>
      </c>
      <c r="AD14" s="28" t="n">
        <f aca="false">MIN(Assumptions!$F$11,Assumptions!$F$9*(1+Assumptions!$F$10)^(AD$3-1))*IF(AND(AD9=1,Assumptions!$F$74=1),Assumptions!$F$78,1)</f>
        <v>78415.2970704037</v>
      </c>
      <c r="AE14" s="28" t="n">
        <f aca="false">MIN(Assumptions!$F$11,Assumptions!$F$9*(1+Assumptions!$F$10)^(AE$3-1))*IF(AND(AE9=1,Assumptions!$F$74=1),Assumptions!$F$78,1)</f>
        <v>87040.9797481482</v>
      </c>
      <c r="AF14" s="28" t="n">
        <f aca="false">MIN(Assumptions!$F$11,Assumptions!$F$9*(1+Assumptions!$F$10)^(AF$3-1))*IF(AND(AF9=1,Assumptions!$F$74=1),Assumptions!$F$78,1)</f>
        <v>96615.4875204445</v>
      </c>
      <c r="AG14" s="28" t="n">
        <f aca="false">MIN(Assumptions!$F$11,Assumptions!$F$9*(1+Assumptions!$F$10)^(AG$3-1))*IF(AND(AG9=1,Assumptions!$F$74=1),Assumptions!$F$78,1)</f>
        <v>107243.191147693</v>
      </c>
      <c r="AH14" s="28" t="n">
        <f aca="false">MIN(Assumptions!$F$11,Assumptions!$F$9*(1+Assumptions!$F$10)^(AH$3-1))*IF(AND(AH9=1,Assumptions!$F$74=1),Assumptions!$F$78,1)</f>
        <v>119039.94217394</v>
      </c>
      <c r="AI14" s="28" t="n">
        <f aca="false">MIN(Assumptions!$F$11,Assumptions!$F$9*(1+Assumptions!$F$10)^(AI$3-1))*IF(AND(AI9=1,Assumptions!$F$74=1),Assumptions!$F$78,1)</f>
        <v>132134.335813073</v>
      </c>
      <c r="AJ14" s="28" t="n">
        <f aca="false">MIN(Assumptions!$F$11,Assumptions!$F$9*(1+Assumptions!$F$10)^(AJ$3-1))*IF(AND(AJ9=1,Assumptions!$F$74=1),Assumptions!$F$78,1)</f>
        <v>146669.112752511</v>
      </c>
      <c r="AK14" s="28" t="n">
        <f aca="false">MIN(Assumptions!$F$11,Assumptions!$F$9*(1+Assumptions!$F$10)^(AK$3-1))*IF(AND(AK9=1,Assumptions!$F$74=1),Assumptions!$F$78,1)</f>
        <v>162802.715155287</v>
      </c>
      <c r="AL14" s="28" t="n">
        <f aca="false">MIN(Assumptions!$F$11,Assumptions!$F$9*(1+Assumptions!$F$10)^(AL$3-1))*IF(AND(AL9=1,Assumptions!$F$74=1),Assumptions!$F$78,1)</f>
        <v>180711.013822369</v>
      </c>
      <c r="AM14" s="28" t="n">
        <f aca="false">MIN(Assumptions!$F$11,Assumptions!$F$9*(1+Assumptions!$F$10)^(AM$3-1))*IF(AND(AM9=1,Assumptions!$F$74=1),Assumptions!$F$78,1)</f>
        <v>200589.225342829</v>
      </c>
    </row>
    <row r="15" customFormat="false" ht="15" hidden="false" customHeight="false" outlineLevel="0" collapsed="false">
      <c r="A15" s="29" t="s">
        <v>325</v>
      </c>
      <c r="B15" s="8" t="s">
        <v>36</v>
      </c>
      <c r="C15" s="30" t="n">
        <f aca="false">SUM(D15:AM15)</f>
        <v>9779343.68695771</v>
      </c>
      <c r="D15" s="30" t="n">
        <f aca="false">D13+D14</f>
        <v>20666.6666666667</v>
      </c>
      <c r="E15" s="30" t="n">
        <f aca="false">E13+E14</f>
        <v>21106.6666666667</v>
      </c>
      <c r="F15" s="30" t="n">
        <f aca="false">F13+F14</f>
        <v>21595.0666666667</v>
      </c>
      <c r="G15" s="30" t="n">
        <f aca="false">G13+G14</f>
        <v>22137.1906666667</v>
      </c>
      <c r="H15" s="30" t="n">
        <f aca="false">H13+H14</f>
        <v>61627.8371955556</v>
      </c>
      <c r="I15" s="30" t="n">
        <f aca="false">I13+I14</f>
        <v>62295.7881759556</v>
      </c>
      <c r="J15" s="30" t="n">
        <f aca="false">J13+J14</f>
        <v>287503.933449015</v>
      </c>
      <c r="K15" s="30" t="n">
        <f aca="false">K13+K14</f>
        <v>149684.921683962</v>
      </c>
      <c r="L15" s="30" t="n">
        <f aca="false">L13+L14</f>
        <v>156428.040846976</v>
      </c>
      <c r="M15" s="30" t="n">
        <f aca="false">M13+M14</f>
        <v>163524.014229032</v>
      </c>
      <c r="N15" s="30" t="n">
        <f aca="false">N13+N14</f>
        <v>170996.10023867</v>
      </c>
      <c r="O15" s="30" t="n">
        <f aca="false">O13+O14</f>
        <v>178869.493487146</v>
      </c>
      <c r="P15" s="30" t="n">
        <f aca="false">P13+P14</f>
        <v>187171.512881843</v>
      </c>
      <c r="Q15" s="30" t="n">
        <f aca="false">Q13+Q14</f>
        <v>195931.809414401</v>
      </c>
      <c r="R15" s="30" t="n">
        <f aca="false">R13+R14</f>
        <v>205182.595770163</v>
      </c>
      <c r="S15" s="30" t="n">
        <f aca="false">S13+S14</f>
        <v>214958.900117866</v>
      </c>
      <c r="T15" s="30" t="n">
        <f aca="false">T13+T14</f>
        <v>225298.846696336</v>
      </c>
      <c r="U15" s="30" t="n">
        <f aca="false">U13+U14</f>
        <v>236243.966101057</v>
      </c>
      <c r="V15" s="30" t="n">
        <f aca="false">V13+V14</f>
        <v>247839.538491023</v>
      </c>
      <c r="W15" s="30" t="n">
        <f aca="false">W13+W14</f>
        <v>260134.973288639</v>
      </c>
      <c r="X15" s="30" t="n">
        <f aca="false">X13+X14</f>
        <v>273184.229336537</v>
      </c>
      <c r="Y15" s="30" t="n">
        <f aca="false">Y13+Y14</f>
        <v>287046.279909149</v>
      </c>
      <c r="Z15" s="30" t="n">
        <f aca="false">Z13+Z14</f>
        <v>301785.627458573</v>
      </c>
      <c r="AA15" s="30" t="n">
        <f aca="false">AA13+AA14</f>
        <v>317472.87350881</v>
      </c>
      <c r="AB15" s="30" t="n">
        <f aca="false">AB13+AB14</f>
        <v>334185.349705764</v>
      </c>
      <c r="AC15" s="30" t="n">
        <f aca="false">AC13+AC14</f>
        <v>352007.816688824</v>
      </c>
      <c r="AD15" s="30" t="n">
        <f aca="false">AD13+AD14</f>
        <v>371033.238180636</v>
      </c>
      <c r="AE15" s="30" t="n">
        <f aca="false">AE13+AE14</f>
        <v>391363.63850279</v>
      </c>
      <c r="AF15" s="30" t="n">
        <f aca="false">AF13+AF14</f>
        <v>413111.052625272</v>
      </c>
      <c r="AG15" s="30" t="n">
        <f aca="false">AG13+AG14</f>
        <v>436398.578856714</v>
      </c>
      <c r="AH15" s="30" t="n">
        <f aca="false">AH13+AH14</f>
        <v>461361.545391321</v>
      </c>
      <c r="AI15" s="30" t="n">
        <f aca="false">AI13+AI14</f>
        <v>488148.80315915</v>
      </c>
      <c r="AJ15" s="30" t="n">
        <f aca="false">AJ13+AJ14</f>
        <v>516924.158792431</v>
      </c>
      <c r="AK15" s="30" t="n">
        <f aca="false">AK13+AK14</f>
        <v>547867.963036804</v>
      </c>
      <c r="AL15" s="30" t="n">
        <f aca="false">AL13+AL14</f>
        <v>581178.871619146</v>
      </c>
      <c r="AM15" s="30" t="n">
        <f aca="false">AM13+AM14</f>
        <v>617075.797451478</v>
      </c>
    </row>
    <row r="16" customFormat="false" ht="15" hidden="false" customHeight="false" outlineLevel="0" collapsed="false">
      <c r="A16" s="5" t="s">
        <v>326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customFormat="false" ht="15" hidden="false" customHeight="false" outlineLevel="0" collapsed="false">
      <c r="A17" s="8" t="s">
        <v>327</v>
      </c>
      <c r="B17" s="8" t="s">
        <v>293</v>
      </c>
      <c r="C17" s="28" t="n">
        <f aca="false">SUM(D17:AM17)</f>
        <v>1163260.57155492</v>
      </c>
      <c r="D17" s="28" t="n">
        <f aca="false">D15*Assumptions!$F$19*IF(D$3&lt;Assumptions!$F$7,0,1)</f>
        <v>0</v>
      </c>
      <c r="E17" s="28" t="n">
        <f aca="false">E15*Assumptions!$F$19*IF(E$3&lt;Assumptions!$F$7,0,1)</f>
        <v>0</v>
      </c>
      <c r="F17" s="28" t="n">
        <f aca="false">F15*Assumptions!$F$19*IF(F$3&lt;Assumptions!$F$7,0,1)</f>
        <v>0</v>
      </c>
      <c r="G17" s="28" t="n">
        <f aca="false">G15*Assumptions!$F$19*IF(G$3&lt;Assumptions!$F$7,0,1)</f>
        <v>0</v>
      </c>
      <c r="H17" s="28" t="n">
        <f aca="false">H15*Assumptions!$F$19*IF(H$3&lt;Assumptions!$F$7,0,1)</f>
        <v>7395.34046346667</v>
      </c>
      <c r="I17" s="28" t="n">
        <f aca="false">I15*Assumptions!$F$19*IF(I$3&lt;Assumptions!$F$7,0,1)</f>
        <v>7475.49458111467</v>
      </c>
      <c r="J17" s="28" t="n">
        <f aca="false">J15*Assumptions!$F$19*IF(J$3&lt;Assumptions!$F$7,0,1)</f>
        <v>34500.4720138818</v>
      </c>
      <c r="K17" s="28" t="n">
        <f aca="false">K15*Assumptions!$F$19*IF(K$3&lt;Assumptions!$F$7,0,1)</f>
        <v>17962.1906020755</v>
      </c>
      <c r="L17" s="28" t="n">
        <f aca="false">L15*Assumptions!$F$19*IF(L$3&lt;Assumptions!$F$7,0,1)</f>
        <v>18771.3649016371</v>
      </c>
      <c r="M17" s="28" t="n">
        <f aca="false">M15*Assumptions!$F$19*IF(M$3&lt;Assumptions!$F$7,0,1)</f>
        <v>19622.8817074838</v>
      </c>
      <c r="N17" s="28" t="n">
        <f aca="false">N15*Assumptions!$F$19*IF(N$3&lt;Assumptions!$F$7,0,1)</f>
        <v>20519.5320286404</v>
      </c>
      <c r="O17" s="28" t="n">
        <f aca="false">O15*Assumptions!$F$19*IF(O$3&lt;Assumptions!$F$7,0,1)</f>
        <v>21464.3392184575</v>
      </c>
      <c r="P17" s="28" t="n">
        <f aca="false">P15*Assumptions!$F$19*IF(P$3&lt;Assumptions!$F$7,0,1)</f>
        <v>22460.5815458212</v>
      </c>
      <c r="Q17" s="28" t="n">
        <f aca="false">Q15*Assumptions!$F$19*IF(Q$3&lt;Assumptions!$F$7,0,1)</f>
        <v>23511.8171297282</v>
      </c>
      <c r="R17" s="28" t="n">
        <f aca="false">R15*Assumptions!$F$19*IF(R$3&lt;Assumptions!$F$7,0,1)</f>
        <v>24621.9114924196</v>
      </c>
      <c r="S17" s="28" t="n">
        <f aca="false">S15*Assumptions!$F$19*IF(S$3&lt;Assumptions!$F$7,0,1)</f>
        <v>25795.0680141439</v>
      </c>
      <c r="T17" s="28" t="n">
        <f aca="false">T15*Assumptions!$F$19*IF(T$3&lt;Assumptions!$F$7,0,1)</f>
        <v>27035.8616035603</v>
      </c>
      <c r="U17" s="28" t="n">
        <f aca="false">U15*Assumptions!$F$19*IF(U$3&lt;Assumptions!$F$7,0,1)</f>
        <v>28349.2759321269</v>
      </c>
      <c r="V17" s="28" t="n">
        <f aca="false">V15*Assumptions!$F$19*IF(V$3&lt;Assumptions!$F$7,0,1)</f>
        <v>29740.7446189228</v>
      </c>
      <c r="W17" s="28" t="n">
        <f aca="false">W15*Assumptions!$F$19*IF(W$3&lt;Assumptions!$F$7,0,1)</f>
        <v>31216.1967946367</v>
      </c>
      <c r="X17" s="28" t="n">
        <f aca="false">X15*Assumptions!$F$19*IF(X$3&lt;Assumptions!$F$7,0,1)</f>
        <v>32782.1075203844</v>
      </c>
      <c r="Y17" s="28" t="n">
        <f aca="false">Y15*Assumptions!$F$19*IF(Y$3&lt;Assumptions!$F$7,0,1)</f>
        <v>34445.5535890979</v>
      </c>
      <c r="Z17" s="28" t="n">
        <f aca="false">Z15*Assumptions!$F$19*IF(Z$3&lt;Assumptions!$F$7,0,1)</f>
        <v>36214.2752950287</v>
      </c>
      <c r="AA17" s="28" t="n">
        <f aca="false">AA15*Assumptions!$F$19*IF(AA$3&lt;Assumptions!$F$7,0,1)</f>
        <v>38096.7448210572</v>
      </c>
      <c r="AB17" s="28" t="n">
        <f aca="false">AB15*Assumptions!$F$19*IF(AB$3&lt;Assumptions!$F$7,0,1)</f>
        <v>40102.2419646917</v>
      </c>
      <c r="AC17" s="28" t="n">
        <f aca="false">AC15*Assumptions!$F$19*IF(AC$3&lt;Assumptions!$F$7,0,1)</f>
        <v>42240.9380026588</v>
      </c>
      <c r="AD17" s="28" t="n">
        <f aca="false">AD15*Assumptions!$F$19*IF(AD$3&lt;Assumptions!$F$7,0,1)</f>
        <v>44523.9885816764</v>
      </c>
      <c r="AE17" s="28" t="n">
        <f aca="false">AE15*Assumptions!$F$19*IF(AE$3&lt;Assumptions!$F$7,0,1)</f>
        <v>46963.6366203348</v>
      </c>
      <c r="AF17" s="28" t="n">
        <f aca="false">AF15*Assumptions!$F$19*IF(AF$3&lt;Assumptions!$F$7,0,1)</f>
        <v>49573.3263150326</v>
      </c>
      <c r="AG17" s="28" t="n">
        <f aca="false">AG15*Assumptions!$F$19*IF(AG$3&lt;Assumptions!$F$7,0,1)</f>
        <v>52367.8294628057</v>
      </c>
      <c r="AH17" s="28" t="n">
        <f aca="false">AH15*Assumptions!$F$19*IF(AH$3&lt;Assumptions!$F$7,0,1)</f>
        <v>55363.3854469585</v>
      </c>
      <c r="AI17" s="28" t="n">
        <f aca="false">AI15*Assumptions!$F$19*IF(AI$3&lt;Assumptions!$F$7,0,1)</f>
        <v>58577.856379098</v>
      </c>
      <c r="AJ17" s="28" t="n">
        <f aca="false">AJ15*Assumptions!$F$19*IF(AJ$3&lt;Assumptions!$F$7,0,1)</f>
        <v>62030.8990550917</v>
      </c>
      <c r="AK17" s="28" t="n">
        <f aca="false">AK15*Assumptions!$F$19*IF(AK$3&lt;Assumptions!$F$7,0,1)</f>
        <v>65744.1555644165</v>
      </c>
      <c r="AL17" s="28" t="n">
        <f aca="false">AL15*Assumptions!$F$19*IF(AL$3&lt;Assumptions!$F$7,0,1)</f>
        <v>69741.4645942975</v>
      </c>
      <c r="AM17" s="28" t="n">
        <f aca="false">AM15*Assumptions!$F$19*IF(AM$3&lt;Assumptions!$F$7,0,1)</f>
        <v>74049.0956941773</v>
      </c>
    </row>
    <row r="18" customFormat="false" ht="15" hidden="false" customHeight="false" outlineLevel="0" collapsed="false">
      <c r="A18" s="8" t="s">
        <v>328</v>
      </c>
      <c r="B18" s="8" t="s">
        <v>293</v>
      </c>
      <c r="C18" s="28" t="n">
        <f aca="false">SUM(D18:AM18)</f>
        <v>872445.428666194</v>
      </c>
      <c r="D18" s="28" t="n">
        <f aca="false">D17*Assumptions!$F$20</f>
        <v>0</v>
      </c>
      <c r="E18" s="28" t="n">
        <f aca="false">E17*Assumptions!$F$20</f>
        <v>0</v>
      </c>
      <c r="F18" s="28" t="n">
        <f aca="false">F17*Assumptions!$F$20</f>
        <v>0</v>
      </c>
      <c r="G18" s="28" t="n">
        <f aca="false">G17*Assumptions!$F$20</f>
        <v>0</v>
      </c>
      <c r="H18" s="28" t="n">
        <f aca="false">H17*Assumptions!$F$20</f>
        <v>5546.5053476</v>
      </c>
      <c r="I18" s="28" t="n">
        <f aca="false">I17*Assumptions!$F$20</f>
        <v>5606.620935836</v>
      </c>
      <c r="J18" s="28" t="n">
        <f aca="false">J17*Assumptions!$F$20</f>
        <v>25875.3540104113</v>
      </c>
      <c r="K18" s="28" t="n">
        <f aca="false">K17*Assumptions!$F$20</f>
        <v>13471.6429515566</v>
      </c>
      <c r="L18" s="28" t="n">
        <f aca="false">L17*Assumptions!$F$20</f>
        <v>14078.5236762278</v>
      </c>
      <c r="M18" s="28" t="n">
        <f aca="false">M17*Assumptions!$F$20</f>
        <v>14717.1612806129</v>
      </c>
      <c r="N18" s="28" t="n">
        <f aca="false">N17*Assumptions!$F$20</f>
        <v>15389.6490214803</v>
      </c>
      <c r="O18" s="28" t="n">
        <f aca="false">O17*Assumptions!$F$20</f>
        <v>16098.2544138431</v>
      </c>
      <c r="P18" s="28" t="n">
        <f aca="false">P17*Assumptions!$F$20</f>
        <v>16845.4361593659</v>
      </c>
      <c r="Q18" s="28" t="n">
        <f aca="false">Q17*Assumptions!$F$20</f>
        <v>17633.8628472961</v>
      </c>
      <c r="R18" s="28" t="n">
        <f aca="false">R17*Assumptions!$F$20</f>
        <v>18466.4336193147</v>
      </c>
      <c r="S18" s="28" t="n">
        <f aca="false">S17*Assumptions!$F$20</f>
        <v>19346.301010608</v>
      </c>
      <c r="T18" s="28" t="n">
        <f aca="false">T17*Assumptions!$F$20</f>
        <v>20276.8962026702</v>
      </c>
      <c r="U18" s="28" t="n">
        <f aca="false">U17*Assumptions!$F$20</f>
        <v>21261.9569490951</v>
      </c>
      <c r="V18" s="28" t="n">
        <f aca="false">V17*Assumptions!$F$20</f>
        <v>22305.5584641921</v>
      </c>
      <c r="W18" s="28" t="n">
        <f aca="false">W17*Assumptions!$F$20</f>
        <v>23412.1475959775</v>
      </c>
      <c r="X18" s="28" t="n">
        <f aca="false">X17*Assumptions!$F$20</f>
        <v>24586.5806402883</v>
      </c>
      <c r="Y18" s="28" t="n">
        <f aca="false">Y17*Assumptions!$F$20</f>
        <v>25834.1651918234</v>
      </c>
      <c r="Z18" s="28" t="n">
        <f aca="false">Z17*Assumptions!$F$20</f>
        <v>27160.7064712716</v>
      </c>
      <c r="AA18" s="28" t="n">
        <f aca="false">AA17*Assumptions!$F$20</f>
        <v>28572.5586157929</v>
      </c>
      <c r="AB18" s="28" t="n">
        <f aca="false">AB17*Assumptions!$F$20</f>
        <v>30076.6814735188</v>
      </c>
      <c r="AC18" s="28" t="n">
        <f aca="false">AC17*Assumptions!$F$20</f>
        <v>31680.7035019941</v>
      </c>
      <c r="AD18" s="28" t="n">
        <f aca="false">AD17*Assumptions!$F$20</f>
        <v>33392.9914362573</v>
      </c>
      <c r="AE18" s="28" t="n">
        <f aca="false">AE17*Assumptions!$F$20</f>
        <v>35222.7274652511</v>
      </c>
      <c r="AF18" s="28" t="n">
        <f aca="false">AF17*Assumptions!$F$20</f>
        <v>37179.9947362745</v>
      </c>
      <c r="AG18" s="28" t="n">
        <f aca="false">AG17*Assumptions!$F$20</f>
        <v>39275.8720971043</v>
      </c>
      <c r="AH18" s="28" t="n">
        <f aca="false">AH17*Assumptions!$F$20</f>
        <v>41522.5390852189</v>
      </c>
      <c r="AI18" s="28" t="n">
        <f aca="false">AI17*Assumptions!$F$20</f>
        <v>43933.3922843235</v>
      </c>
      <c r="AJ18" s="28" t="n">
        <f aca="false">AJ17*Assumptions!$F$20</f>
        <v>46523.1742913188</v>
      </c>
      <c r="AK18" s="28" t="n">
        <f aca="false">AK17*Assumptions!$F$20</f>
        <v>49308.1166733124</v>
      </c>
      <c r="AL18" s="28" t="n">
        <f aca="false">AL17*Assumptions!$F$20</f>
        <v>52306.0984457232</v>
      </c>
      <c r="AM18" s="28" t="n">
        <f aca="false">AM17*Assumptions!$F$20</f>
        <v>55536.821770633</v>
      </c>
    </row>
    <row r="19" customFormat="false" ht="15" hidden="false" customHeight="false" outlineLevel="0" collapsed="false">
      <c r="A19" s="8" t="s">
        <v>329</v>
      </c>
      <c r="B19" s="8" t="s">
        <v>293</v>
      </c>
      <c r="C19" s="28" t="n">
        <f aca="false">SUM(D19:AM19)</f>
        <v>470161.275440927</v>
      </c>
      <c r="D19" s="28" t="n">
        <f aca="false">D18*Assumptions!$F$21*D10</f>
        <v>0</v>
      </c>
      <c r="E19" s="28" t="n">
        <f aca="false">E18*Assumptions!$F$21*E10</f>
        <v>0</v>
      </c>
      <c r="F19" s="28" t="n">
        <f aca="false">F18*Assumptions!$F$21*F10</f>
        <v>0</v>
      </c>
      <c r="G19" s="28" t="n">
        <f aca="false">G18*Assumptions!$F$21*G10</f>
        <v>0</v>
      </c>
      <c r="H19" s="28" t="n">
        <f aca="false">H18*Assumptions!$F$21*H10</f>
        <v>811.1764070865</v>
      </c>
      <c r="I19" s="28" t="n">
        <f aca="false">I18*Assumptions!$F$21*I10</f>
        <v>819.968311866015</v>
      </c>
      <c r="J19" s="28" t="n">
        <f aca="false">J18*Assumptions!$F$21*J10</f>
        <v>7568.54104804532</v>
      </c>
      <c r="K19" s="28" t="n">
        <f aca="false">K18*Assumptions!$F$21*K10</f>
        <v>4246.93544047822</v>
      </c>
      <c r="L19" s="28" t="n">
        <f aca="false">L18*Assumptions!$F$21*L10</f>
        <v>4758.541002565</v>
      </c>
      <c r="M19" s="28" t="n">
        <f aca="false">M18*Assumptions!$F$21*M10</f>
        <v>5309.2159319811</v>
      </c>
      <c r="N19" s="28" t="n">
        <f aca="false">N18*Assumptions!$F$21*N10</f>
        <v>5901.9303997377</v>
      </c>
      <c r="O19" s="28" t="n">
        <f aca="false">O18*Assumptions!$F$21*O10</f>
        <v>6539.91585562377</v>
      </c>
      <c r="P19" s="28" t="n">
        <f aca="false">P18*Assumptions!$F$21*P10</f>
        <v>7226.69211236796</v>
      </c>
      <c r="Q19" s="28" t="n">
        <f aca="false">Q18*Assumptions!$F$21*Q10</f>
        <v>7966.09754126603</v>
      </c>
      <c r="R19" s="28" t="n">
        <f aca="false">R18*Assumptions!$F$21*R10</f>
        <v>8762.32275236483</v>
      </c>
      <c r="S19" s="28" t="n">
        <f aca="false">S18*Assumptions!$F$21*S10</f>
        <v>9619.94817752481</v>
      </c>
      <c r="T19" s="28" t="n">
        <f aca="false">T18*Assumptions!$F$21*T10</f>
        <v>10543.9860253885</v>
      </c>
      <c r="U19" s="28" t="n">
        <f aca="false">U18*Assumptions!$F$21*U10</f>
        <v>11539.9271341214</v>
      </c>
      <c r="V19" s="28" t="n">
        <f aca="false">V18*Assumptions!$F$21*V10</f>
        <v>12613.7933115006</v>
      </c>
      <c r="W19" s="28" t="n">
        <f aca="false">W18*Assumptions!$F$21*W10</f>
        <v>13696.1063436468</v>
      </c>
      <c r="X19" s="28" t="n">
        <f aca="false">X18*Assumptions!$F$21*X10</f>
        <v>14383.1496745687</v>
      </c>
      <c r="Y19" s="28" t="n">
        <f aca="false">Y18*Assumptions!$F$21*Y10</f>
        <v>15112.9866372167</v>
      </c>
      <c r="Z19" s="28" t="n">
        <f aca="false">Z18*Assumptions!$F$21*Z10</f>
        <v>15889.0132856939</v>
      </c>
      <c r="AA19" s="28" t="n">
        <f aca="false">AA18*Assumptions!$F$21*AA10</f>
        <v>16714.9467902388</v>
      </c>
      <c r="AB19" s="28" t="n">
        <f aca="false">AB18*Assumptions!$F$21*AB10</f>
        <v>17594.8586620085</v>
      </c>
      <c r="AC19" s="28" t="n">
        <f aca="false">AC18*Assumptions!$F$21*AC10</f>
        <v>18533.2115486666</v>
      </c>
      <c r="AD19" s="28" t="n">
        <f aca="false">AD18*Assumptions!$F$21*AD10</f>
        <v>19534.8999902105</v>
      </c>
      <c r="AE19" s="28" t="n">
        <f aca="false">AE18*Assumptions!$F$21*AE10</f>
        <v>20605.2955671719</v>
      </c>
      <c r="AF19" s="28" t="n">
        <f aca="false">AF18*Assumptions!$F$21*AF10</f>
        <v>21750.2969207206</v>
      </c>
      <c r="AG19" s="28" t="n">
        <f aca="false">AG18*Assumptions!$F$21*AG10</f>
        <v>22976.385176806</v>
      </c>
      <c r="AH19" s="28" t="n">
        <f aca="false">AH18*Assumptions!$F$21*AH10</f>
        <v>24290.6853648531</v>
      </c>
      <c r="AI19" s="28" t="n">
        <f aca="false">AI18*Assumptions!$F$21*AI10</f>
        <v>25701.0344863292</v>
      </c>
      <c r="AJ19" s="28" t="n">
        <f aca="false">AJ18*Assumptions!$F$21*AJ10</f>
        <v>27216.0569604215</v>
      </c>
      <c r="AK19" s="28" t="n">
        <f aca="false">AK18*Assumptions!$F$21*AK10</f>
        <v>28845.2482538877</v>
      </c>
      <c r="AL19" s="28" t="n">
        <f aca="false">AL18*Assumptions!$F$21*AL10</f>
        <v>30599.0675907481</v>
      </c>
      <c r="AM19" s="28" t="n">
        <f aca="false">AM18*Assumptions!$F$21*AM10</f>
        <v>32489.0407358203</v>
      </c>
    </row>
    <row r="20" customFormat="false" ht="15" hidden="false" customHeight="false" outlineLevel="0" collapsed="false">
      <c r="A20" s="8" t="s">
        <v>330</v>
      </c>
      <c r="B20" s="8" t="s">
        <v>293</v>
      </c>
      <c r="C20" s="28" t="n">
        <f aca="false">SUM(D20:AM20)</f>
        <v>282096.765264556</v>
      </c>
      <c r="D20" s="28" t="n">
        <f aca="false">D19*Assumptions!$F$25</f>
        <v>0</v>
      </c>
      <c r="E20" s="28" t="n">
        <f aca="false">E19*Assumptions!$F$25</f>
        <v>0</v>
      </c>
      <c r="F20" s="28" t="n">
        <f aca="false">F19*Assumptions!$F$25</f>
        <v>0</v>
      </c>
      <c r="G20" s="28" t="n">
        <f aca="false">G19*Assumptions!$F$25</f>
        <v>0</v>
      </c>
      <c r="H20" s="28" t="n">
        <f aca="false">H19*Assumptions!$F$25</f>
        <v>486.7058442519</v>
      </c>
      <c r="I20" s="28" t="n">
        <f aca="false">I19*Assumptions!$F$25</f>
        <v>491.980987119609</v>
      </c>
      <c r="J20" s="28" t="n">
        <f aca="false">J19*Assumptions!$F$25</f>
        <v>4541.12462882719</v>
      </c>
      <c r="K20" s="28" t="n">
        <f aca="false">K19*Assumptions!$F$25</f>
        <v>2548.16126428693</v>
      </c>
      <c r="L20" s="28" t="n">
        <f aca="false">L19*Assumptions!$F$25</f>
        <v>2855.124601539</v>
      </c>
      <c r="M20" s="28" t="n">
        <f aca="false">M19*Assumptions!$F$25</f>
        <v>3185.52955918866</v>
      </c>
      <c r="N20" s="28" t="n">
        <f aca="false">N19*Assumptions!$F$25</f>
        <v>3541.15823984262</v>
      </c>
      <c r="O20" s="28" t="n">
        <f aca="false">O19*Assumptions!$F$25</f>
        <v>3923.94951337426</v>
      </c>
      <c r="P20" s="28" t="n">
        <f aca="false">P19*Assumptions!$F$25</f>
        <v>4336.01526742078</v>
      </c>
      <c r="Q20" s="28" t="n">
        <f aca="false">Q19*Assumptions!$F$25</f>
        <v>4779.65852475962</v>
      </c>
      <c r="R20" s="28" t="n">
        <f aca="false">R19*Assumptions!$F$25</f>
        <v>5257.3936514189</v>
      </c>
      <c r="S20" s="28" t="n">
        <f aca="false">S19*Assumptions!$F$25</f>
        <v>5771.96890651489</v>
      </c>
      <c r="T20" s="28" t="n">
        <f aca="false">T19*Assumptions!$F$25</f>
        <v>6326.39161523311</v>
      </c>
      <c r="U20" s="28" t="n">
        <f aca="false">U19*Assumptions!$F$25</f>
        <v>6923.95628047283</v>
      </c>
      <c r="V20" s="28" t="n">
        <f aca="false">V19*Assumptions!$F$25</f>
        <v>7568.27598690037</v>
      </c>
      <c r="W20" s="28" t="n">
        <f aca="false">W19*Assumptions!$F$25</f>
        <v>8217.6638061881</v>
      </c>
      <c r="X20" s="28" t="n">
        <f aca="false">X19*Assumptions!$F$25</f>
        <v>8629.8898047412</v>
      </c>
      <c r="Y20" s="28" t="n">
        <f aca="false">Y19*Assumptions!$F$25</f>
        <v>9067.79198233002</v>
      </c>
      <c r="Z20" s="28" t="n">
        <f aca="false">Z19*Assumptions!$F$25</f>
        <v>9533.40797141631</v>
      </c>
      <c r="AA20" s="28" t="n">
        <f aca="false">AA19*Assumptions!$F$25</f>
        <v>10028.9680741433</v>
      </c>
      <c r="AB20" s="28" t="n">
        <f aca="false">AB19*Assumptions!$F$25</f>
        <v>10556.9151972051</v>
      </c>
      <c r="AC20" s="28" t="n">
        <f aca="false">AC19*Assumptions!$F$25</f>
        <v>11119.9269291999</v>
      </c>
      <c r="AD20" s="28" t="n">
        <f aca="false">AD19*Assumptions!$F$25</f>
        <v>11720.9399941263</v>
      </c>
      <c r="AE20" s="28" t="n">
        <f aca="false">AE19*Assumptions!$F$25</f>
        <v>12363.1773403031</v>
      </c>
      <c r="AF20" s="28" t="n">
        <f aca="false">AF19*Assumptions!$F$25</f>
        <v>13050.1781524323</v>
      </c>
      <c r="AG20" s="28" t="n">
        <f aca="false">AG19*Assumptions!$F$25</f>
        <v>13785.8311060836</v>
      </c>
      <c r="AH20" s="28" t="n">
        <f aca="false">AH19*Assumptions!$F$25</f>
        <v>14574.4112189118</v>
      </c>
      <c r="AI20" s="28" t="n">
        <f aca="false">AI19*Assumptions!$F$25</f>
        <v>15420.6206917975</v>
      </c>
      <c r="AJ20" s="28" t="n">
        <f aca="false">AJ19*Assumptions!$F$25</f>
        <v>16329.6341762529</v>
      </c>
      <c r="AK20" s="28" t="n">
        <f aca="false">AK19*Assumptions!$F$25</f>
        <v>17307.1489523326</v>
      </c>
      <c r="AL20" s="28" t="n">
        <f aca="false">AL19*Assumptions!$F$25</f>
        <v>18359.4405544488</v>
      </c>
      <c r="AM20" s="28" t="n">
        <f aca="false">AM19*Assumptions!$F$25</f>
        <v>19493.4244414922</v>
      </c>
    </row>
    <row r="21" customFormat="false" ht="15" hidden="false" customHeight="false" outlineLevel="0" collapsed="false">
      <c r="A21" s="8" t="s">
        <v>331</v>
      </c>
      <c r="B21" s="8" t="s">
        <v>293</v>
      </c>
      <c r="C21" s="28" t="n">
        <f aca="false">SUM(D21:AM21)</f>
        <v>248245.153432809</v>
      </c>
      <c r="D21" s="28" t="n">
        <f aca="false">D20*Assumptions!$F$26</f>
        <v>0</v>
      </c>
      <c r="E21" s="28" t="n">
        <f aca="false">E20*Assumptions!$F$26</f>
        <v>0</v>
      </c>
      <c r="F21" s="28" t="n">
        <f aca="false">F20*Assumptions!$F$26</f>
        <v>0</v>
      </c>
      <c r="G21" s="28" t="n">
        <f aca="false">G20*Assumptions!$F$26</f>
        <v>0</v>
      </c>
      <c r="H21" s="28" t="n">
        <f aca="false">H20*Assumptions!$F$26</f>
        <v>428.301142941672</v>
      </c>
      <c r="I21" s="28" t="n">
        <f aca="false">I20*Assumptions!$F$26</f>
        <v>432.943268665256</v>
      </c>
      <c r="J21" s="28" t="n">
        <f aca="false">J20*Assumptions!$F$26</f>
        <v>3996.18967336793</v>
      </c>
      <c r="K21" s="28" t="n">
        <f aca="false">K20*Assumptions!$F$26</f>
        <v>2242.3819125725</v>
      </c>
      <c r="L21" s="28" t="n">
        <f aca="false">L20*Assumptions!$F$26</f>
        <v>2512.50964935432</v>
      </c>
      <c r="M21" s="28" t="n">
        <f aca="false">M20*Assumptions!$F$26</f>
        <v>2803.26601208602</v>
      </c>
      <c r="N21" s="28" t="n">
        <f aca="false">N20*Assumptions!$F$26</f>
        <v>3116.2192510615</v>
      </c>
      <c r="O21" s="28" t="n">
        <f aca="false">O20*Assumptions!$F$26</f>
        <v>3453.07557176935</v>
      </c>
      <c r="P21" s="28" t="n">
        <f aca="false">P20*Assumptions!$F$26</f>
        <v>3815.69343533028</v>
      </c>
      <c r="Q21" s="28" t="n">
        <f aca="false">Q20*Assumptions!$F$26</f>
        <v>4206.09950178846</v>
      </c>
      <c r="R21" s="28" t="n">
        <f aca="false">R20*Assumptions!$F$26</f>
        <v>4626.50641324863</v>
      </c>
      <c r="S21" s="28" t="n">
        <f aca="false">S20*Assumptions!$F$26</f>
        <v>5079.3326377331</v>
      </c>
      <c r="T21" s="28" t="n">
        <f aca="false">T20*Assumptions!$F$26</f>
        <v>5567.22462140514</v>
      </c>
      <c r="U21" s="28" t="n">
        <f aca="false">U20*Assumptions!$F$26</f>
        <v>6093.08152681609</v>
      </c>
      <c r="V21" s="28" t="n">
        <f aca="false">V20*Assumptions!$F$26</f>
        <v>6660.08286847233</v>
      </c>
      <c r="W21" s="28" t="n">
        <f aca="false">W20*Assumptions!$F$26</f>
        <v>7231.54414944553</v>
      </c>
      <c r="X21" s="28" t="n">
        <f aca="false">X20*Assumptions!$F$26</f>
        <v>7594.30302817225</v>
      </c>
      <c r="Y21" s="28" t="n">
        <f aca="false">Y20*Assumptions!$F$26</f>
        <v>7979.65694445042</v>
      </c>
      <c r="Z21" s="28" t="n">
        <f aca="false">Z20*Assumptions!$F$26</f>
        <v>8389.39901484636</v>
      </c>
      <c r="AA21" s="28" t="n">
        <f aca="false">AA20*Assumptions!$F$26</f>
        <v>8825.49190524611</v>
      </c>
      <c r="AB21" s="28" t="n">
        <f aca="false">AB20*Assumptions!$F$26</f>
        <v>9290.08537354049</v>
      </c>
      <c r="AC21" s="28" t="n">
        <f aca="false">AC20*Assumptions!$F$26</f>
        <v>9785.53569769594</v>
      </c>
      <c r="AD21" s="28" t="n">
        <f aca="false">AD20*Assumptions!$F$26</f>
        <v>10314.4271948311</v>
      </c>
      <c r="AE21" s="28" t="n">
        <f aca="false">AE20*Assumptions!$F$26</f>
        <v>10879.5960594668</v>
      </c>
      <c r="AF21" s="28" t="n">
        <f aca="false">AF20*Assumptions!$F$26</f>
        <v>11484.1567741405</v>
      </c>
      <c r="AG21" s="28" t="n">
        <f aca="false">AG20*Assumptions!$F$26</f>
        <v>12131.5313733536</v>
      </c>
      <c r="AH21" s="28" t="n">
        <f aca="false">AH20*Assumptions!$F$26</f>
        <v>12825.4818726424</v>
      </c>
      <c r="AI21" s="28" t="n">
        <f aca="false">AI20*Assumptions!$F$26</f>
        <v>13570.1462087818</v>
      </c>
      <c r="AJ21" s="28" t="n">
        <f aca="false">AJ20*Assumptions!$F$26</f>
        <v>14370.0780751025</v>
      </c>
      <c r="AK21" s="28" t="n">
        <f aca="false">AK20*Assumptions!$F$26</f>
        <v>15230.2910780527</v>
      </c>
      <c r="AL21" s="28" t="n">
        <f aca="false">AL20*Assumptions!$F$26</f>
        <v>16156.307687915</v>
      </c>
      <c r="AM21" s="28" t="n">
        <f aca="false">AM20*Assumptions!$F$26</f>
        <v>17154.2135085131</v>
      </c>
    </row>
    <row r="22" customFormat="false" ht="15" hidden="false" customHeight="false" outlineLevel="0" collapsed="false">
      <c r="A22" s="8" t="s">
        <v>332</v>
      </c>
      <c r="B22" s="8" t="s">
        <v>293</v>
      </c>
      <c r="C22" s="28" t="n">
        <f aca="false">SUM(D22:AM22)</f>
        <v>168806.70433431</v>
      </c>
      <c r="D22" s="28" t="n">
        <f aca="false">D21*Assumptions!$F$27</f>
        <v>0</v>
      </c>
      <c r="E22" s="28" t="n">
        <f aca="false">E21*Assumptions!$F$27</f>
        <v>0</v>
      </c>
      <c r="F22" s="28" t="n">
        <f aca="false">F21*Assumptions!$F$27</f>
        <v>0</v>
      </c>
      <c r="G22" s="28" t="n">
        <f aca="false">G21*Assumptions!$F$27</f>
        <v>0</v>
      </c>
      <c r="H22" s="28" t="n">
        <f aca="false">H21*Assumptions!$F$27</f>
        <v>291.244777200337</v>
      </c>
      <c r="I22" s="28" t="n">
        <f aca="false">I21*Assumptions!$F$27</f>
        <v>294.401422692374</v>
      </c>
      <c r="J22" s="28" t="n">
        <f aca="false">J21*Assumptions!$F$27</f>
        <v>2717.40897789019</v>
      </c>
      <c r="K22" s="28" t="n">
        <f aca="false">K21*Assumptions!$F$27</f>
        <v>1524.8197005493</v>
      </c>
      <c r="L22" s="28" t="n">
        <f aca="false">L21*Assumptions!$F$27</f>
        <v>1708.50656156094</v>
      </c>
      <c r="M22" s="28" t="n">
        <f aca="false">M21*Assumptions!$F$27</f>
        <v>1906.22088821849</v>
      </c>
      <c r="N22" s="28" t="n">
        <f aca="false">N21*Assumptions!$F$27</f>
        <v>2119.02909072182</v>
      </c>
      <c r="O22" s="28" t="n">
        <f aca="false">O21*Assumptions!$F$27</f>
        <v>2348.09138880316</v>
      </c>
      <c r="P22" s="28" t="n">
        <f aca="false">P21*Assumptions!$F$27</f>
        <v>2594.67153602459</v>
      </c>
      <c r="Q22" s="28" t="n">
        <f aca="false">Q21*Assumptions!$F$27</f>
        <v>2860.14766121615</v>
      </c>
      <c r="R22" s="28" t="n">
        <f aca="false">R21*Assumptions!$F$27</f>
        <v>3146.02436100907</v>
      </c>
      <c r="S22" s="28" t="n">
        <f aca="false">S21*Assumptions!$F$27</f>
        <v>3453.94619365851</v>
      </c>
      <c r="T22" s="28" t="n">
        <f aca="false">T21*Assumptions!$F$27</f>
        <v>3785.71274255549</v>
      </c>
      <c r="U22" s="28" t="n">
        <f aca="false">U21*Assumptions!$F$27</f>
        <v>4143.29543823494</v>
      </c>
      <c r="V22" s="28" t="n">
        <f aca="false">V21*Assumptions!$F$27</f>
        <v>4528.85635056118</v>
      </c>
      <c r="W22" s="28" t="n">
        <f aca="false">W21*Assumptions!$F$27</f>
        <v>4917.45002162296</v>
      </c>
      <c r="X22" s="28" t="n">
        <f aca="false">X21*Assumptions!$F$27</f>
        <v>5164.12605915713</v>
      </c>
      <c r="Y22" s="28" t="n">
        <f aca="false">Y21*Assumptions!$F$27</f>
        <v>5426.16672222629</v>
      </c>
      <c r="Z22" s="28" t="n">
        <f aca="false">Z21*Assumptions!$F$27</f>
        <v>5704.79133009552</v>
      </c>
      <c r="AA22" s="28" t="n">
        <f aca="false">AA21*Assumptions!$F$27</f>
        <v>6001.33449556735</v>
      </c>
      <c r="AB22" s="28" t="n">
        <f aca="false">AB21*Assumptions!$F$27</f>
        <v>6317.25805400753</v>
      </c>
      <c r="AC22" s="28" t="n">
        <f aca="false">AC21*Assumptions!$F$27</f>
        <v>6654.16427443324</v>
      </c>
      <c r="AD22" s="28" t="n">
        <f aca="false">AD21*Assumptions!$F$27</f>
        <v>7013.81049248518</v>
      </c>
      <c r="AE22" s="28" t="n">
        <f aca="false">AE21*Assumptions!$F$27</f>
        <v>7398.1253204374</v>
      </c>
      <c r="AF22" s="28" t="n">
        <f aca="false">AF21*Assumptions!$F$27</f>
        <v>7809.22660641551</v>
      </c>
      <c r="AG22" s="28" t="n">
        <f aca="false">AG21*Assumptions!$F$27</f>
        <v>8249.44133388042</v>
      </c>
      <c r="AH22" s="28" t="n">
        <f aca="false">AH21*Assumptions!$F$27</f>
        <v>8721.32767339684</v>
      </c>
      <c r="AI22" s="28" t="n">
        <f aca="false">AI21*Assumptions!$F$27</f>
        <v>9227.69942197165</v>
      </c>
      <c r="AJ22" s="28" t="n">
        <f aca="false">AJ21*Assumptions!$F$27</f>
        <v>9771.65309106973</v>
      </c>
      <c r="AK22" s="28" t="n">
        <f aca="false">AK21*Assumptions!$F$27</f>
        <v>10356.5979330759</v>
      </c>
      <c r="AL22" s="28" t="n">
        <f aca="false">AL21*Assumptions!$F$27</f>
        <v>10986.2892277822</v>
      </c>
      <c r="AM22" s="28" t="n">
        <f aca="false">AM21*Assumptions!$F$27</f>
        <v>11664.8651857889</v>
      </c>
    </row>
    <row r="23" customFormat="false" ht="15" hidden="false" customHeight="false" outlineLevel="0" collapsed="false">
      <c r="A23" s="29" t="s">
        <v>333</v>
      </c>
      <c r="B23" s="8" t="s">
        <v>293</v>
      </c>
      <c r="C23" s="30" t="n">
        <f aca="false">SUM(D23:AM23)</f>
        <v>114788.558947331</v>
      </c>
      <c r="D23" s="30" t="n">
        <f aca="false">D22*Assumptions!$F$28</f>
        <v>0</v>
      </c>
      <c r="E23" s="30" t="n">
        <f aca="false">E22*Assumptions!$F$28</f>
        <v>0</v>
      </c>
      <c r="F23" s="30" t="n">
        <f aca="false">F22*Assumptions!$F$28</f>
        <v>0</v>
      </c>
      <c r="G23" s="30" t="n">
        <f aca="false">G22*Assumptions!$F$28</f>
        <v>0</v>
      </c>
      <c r="H23" s="30" t="n">
        <f aca="false">H22*Assumptions!$F$28</f>
        <v>198.046448496229</v>
      </c>
      <c r="I23" s="30" t="n">
        <f aca="false">I22*Assumptions!$F$28</f>
        <v>200.192967430814</v>
      </c>
      <c r="J23" s="30" t="n">
        <f aca="false">J22*Assumptions!$F$28</f>
        <v>1847.83810496533</v>
      </c>
      <c r="K23" s="30" t="n">
        <f aca="false">K22*Assumptions!$F$28</f>
        <v>1036.87739637352</v>
      </c>
      <c r="L23" s="30" t="n">
        <f aca="false">L22*Assumptions!$F$28</f>
        <v>1161.78446186144</v>
      </c>
      <c r="M23" s="30" t="n">
        <f aca="false">M22*Assumptions!$F$28</f>
        <v>1296.23020398858</v>
      </c>
      <c r="N23" s="30" t="n">
        <f aca="false">N22*Assumptions!$F$28</f>
        <v>1440.93978169084</v>
      </c>
      <c r="O23" s="30" t="n">
        <f aca="false">O22*Assumptions!$F$28</f>
        <v>1596.70214438615</v>
      </c>
      <c r="P23" s="30" t="n">
        <f aca="false">P22*Assumptions!$F$28</f>
        <v>1764.37664449672</v>
      </c>
      <c r="Q23" s="30" t="n">
        <f aca="false">Q22*Assumptions!$F$28</f>
        <v>1944.90040962699</v>
      </c>
      <c r="R23" s="30" t="n">
        <f aca="false">R22*Assumptions!$F$28</f>
        <v>2139.29656548617</v>
      </c>
      <c r="S23" s="30" t="n">
        <f aca="false">S22*Assumptions!$F$28</f>
        <v>2348.68341168779</v>
      </c>
      <c r="T23" s="30" t="n">
        <f aca="false">T22*Assumptions!$F$28</f>
        <v>2574.28466493774</v>
      </c>
      <c r="U23" s="30" t="n">
        <f aca="false">U22*Assumptions!$F$28</f>
        <v>2817.44089799976</v>
      </c>
      <c r="V23" s="30" t="n">
        <f aca="false">V22*Assumptions!$F$28</f>
        <v>3079.6223183816</v>
      </c>
      <c r="W23" s="30" t="n">
        <f aca="false">W22*Assumptions!$F$28</f>
        <v>3343.86601470361</v>
      </c>
      <c r="X23" s="30" t="n">
        <f aca="false">X22*Assumptions!$F$28</f>
        <v>3511.60572022685</v>
      </c>
      <c r="Y23" s="30" t="n">
        <f aca="false">Y22*Assumptions!$F$28</f>
        <v>3689.79337111388</v>
      </c>
      <c r="Z23" s="30" t="n">
        <f aca="false">Z22*Assumptions!$F$28</f>
        <v>3879.25810446496</v>
      </c>
      <c r="AA23" s="30" t="n">
        <f aca="false">AA22*Assumptions!$F$28</f>
        <v>4080.9074569858</v>
      </c>
      <c r="AB23" s="30" t="n">
        <f aca="false">AB22*Assumptions!$F$28</f>
        <v>4295.73547672512</v>
      </c>
      <c r="AC23" s="30" t="n">
        <f aca="false">AC22*Assumptions!$F$28</f>
        <v>4524.83170661461</v>
      </c>
      <c r="AD23" s="30" t="n">
        <f aca="false">AD22*Assumptions!$F$28</f>
        <v>4769.39113488992</v>
      </c>
      <c r="AE23" s="30" t="n">
        <f aca="false">AE22*Assumptions!$F$28</f>
        <v>5030.72521789743</v>
      </c>
      <c r="AF23" s="30" t="n">
        <f aca="false">AF22*Assumptions!$F$28</f>
        <v>5310.27409236255</v>
      </c>
      <c r="AG23" s="30" t="n">
        <f aca="false">AG22*Assumptions!$F$28</f>
        <v>5609.62010703869</v>
      </c>
      <c r="AH23" s="30" t="n">
        <f aca="false">AH22*Assumptions!$F$28</f>
        <v>5930.50281790985</v>
      </c>
      <c r="AI23" s="30" t="n">
        <f aca="false">AI22*Assumptions!$F$28</f>
        <v>6274.83560694072</v>
      </c>
      <c r="AJ23" s="30" t="n">
        <f aca="false">AJ22*Assumptions!$F$28</f>
        <v>6644.72410192742</v>
      </c>
      <c r="AK23" s="30" t="n">
        <f aca="false">AK22*Assumptions!$F$28</f>
        <v>7042.48659449158</v>
      </c>
      <c r="AL23" s="30" t="n">
        <f aca="false">AL22*Assumptions!$F$28</f>
        <v>7470.67667489188</v>
      </c>
      <c r="AM23" s="30" t="n">
        <f aca="false">AM22*Assumptions!$F$28</f>
        <v>7932.10832633647</v>
      </c>
    </row>
    <row r="24" customFormat="false" ht="15" hidden="false" customHeight="false" outlineLevel="0" collapsed="false">
      <c r="A24" s="29" t="s">
        <v>334</v>
      </c>
      <c r="B24" s="8" t="s">
        <v>293</v>
      </c>
      <c r="D24" s="30" t="n">
        <f aca="false">D23</f>
        <v>0</v>
      </c>
      <c r="E24" s="30" t="n">
        <f aca="false">D24*(1-Assumptions!$F$41)+E23</f>
        <v>0</v>
      </c>
      <c r="F24" s="30" t="n">
        <f aca="false">E24*(1-Assumptions!$F$41)+F23</f>
        <v>0</v>
      </c>
      <c r="G24" s="30" t="n">
        <f aca="false">F24*(1-Assumptions!$F$41)+G23</f>
        <v>0</v>
      </c>
      <c r="H24" s="30" t="n">
        <f aca="false">G24*(1-Assumptions!$F$41)+H23</f>
        <v>198.046448496229</v>
      </c>
      <c r="I24" s="30" t="n">
        <f aca="false">H24*(1-Assumptions!$F$41)+I23</f>
        <v>378.434771077421</v>
      </c>
      <c r="J24" s="30" t="n">
        <f aca="false">I24*(1-Assumptions!$F$41)+J23</f>
        <v>2188.42939893501</v>
      </c>
      <c r="K24" s="30" t="n">
        <f aca="false">J24*(1-Assumptions!$F$41)+K23</f>
        <v>3006.46385541503</v>
      </c>
      <c r="L24" s="30" t="n">
        <f aca="false">K24*(1-Assumptions!$F$41)+L23</f>
        <v>3867.60193173497</v>
      </c>
      <c r="M24" s="30" t="n">
        <f aca="false">L24*(1-Assumptions!$F$41)+M23</f>
        <v>4777.07194255005</v>
      </c>
      <c r="N24" s="30" t="n">
        <f aca="false">M24*(1-Assumptions!$F$41)+N23</f>
        <v>5740.30452998588</v>
      </c>
      <c r="O24" s="30" t="n">
        <f aca="false">N24*(1-Assumptions!$F$41)+O23</f>
        <v>6762.97622137344</v>
      </c>
      <c r="P24" s="30" t="n">
        <f aca="false">O24*(1-Assumptions!$F$41)+P23</f>
        <v>7851.05524373282</v>
      </c>
      <c r="Q24" s="30" t="n">
        <f aca="false">P24*(1-Assumptions!$F$41)+Q23</f>
        <v>9010.85012898652</v>
      </c>
      <c r="R24" s="30" t="n">
        <f aca="false">Q24*(1-Assumptions!$F$41)+R23</f>
        <v>10249.061681574</v>
      </c>
      <c r="S24" s="30" t="n">
        <f aca="false">R24*(1-Assumptions!$F$41)+S23</f>
        <v>11572.8389251044</v>
      </c>
      <c r="T24" s="30" t="n">
        <f aca="false">S24*(1-Assumptions!$F$41)+T23</f>
        <v>12989.8396975317</v>
      </c>
      <c r="U24" s="30" t="n">
        <f aca="false">T24*(1-Assumptions!$F$41)+U23</f>
        <v>14508.2966257783</v>
      </c>
      <c r="V24" s="30" t="n">
        <f aca="false">U24*(1-Assumptions!$F$41)+V23</f>
        <v>16137.0892815821</v>
      </c>
      <c r="W24" s="30" t="n">
        <f aca="false">V24*(1-Assumptions!$F$41)+W23</f>
        <v>17867.2463681275</v>
      </c>
      <c r="X24" s="30" t="n">
        <f aca="false">W24*(1-Assumptions!$F$41)+X23</f>
        <v>19592.1274515416</v>
      </c>
      <c r="Y24" s="30" t="n">
        <f aca="false">X24*(1-Assumptions!$F$41)+Y23</f>
        <v>21322.7080775013</v>
      </c>
      <c r="Z24" s="30" t="n">
        <f aca="false">Y24*(1-Assumptions!$F$41)+Z23</f>
        <v>23069.6953742161</v>
      </c>
      <c r="AA24" s="30" t="n">
        <f aca="false">Z24*(1-Assumptions!$F$41)+AA23</f>
        <v>24843.6332937803</v>
      </c>
      <c r="AB24" s="30" t="n">
        <f aca="false">AA24*(1-Assumptions!$F$41)+AB23</f>
        <v>26655.0054411274</v>
      </c>
      <c r="AC24" s="30" t="n">
        <f aca="false">AB24*(1-Assumptions!$F$41)+AC23</f>
        <v>28514.3366036293</v>
      </c>
      <c r="AD24" s="30" t="n">
        <f aca="false">AC24*(1-Assumptions!$F$41)+AD23</f>
        <v>30432.2940781563</v>
      </c>
      <c r="AE24" s="30" t="n">
        <f aca="false">AD24*(1-Assumptions!$F$41)+AE23</f>
        <v>32419.7898882381</v>
      </c>
      <c r="AF24" s="30" t="n">
        <f aca="false">AE24*(1-Assumptions!$F$41)+AF23</f>
        <v>34488.0849917768</v>
      </c>
      <c r="AG24" s="30" t="n">
        <f aca="false">AF24*(1-Assumptions!$F$41)+AG23</f>
        <v>36648.8965996378</v>
      </c>
      <c r="AH24" s="30" t="n">
        <f aca="false">AG24*(1-Assumptions!$F$41)+AH23</f>
        <v>38914.5097575839</v>
      </c>
      <c r="AI24" s="30" t="n">
        <f aca="false">AH24*(1-Assumptions!$F$41)+AI23</f>
        <v>41297.8943887662</v>
      </c>
      <c r="AJ24" s="30" t="n">
        <f aca="false">AI24*(1-Assumptions!$F$41)+AJ23</f>
        <v>43812.829051817</v>
      </c>
      <c r="AK24" s="30" t="n">
        <f aca="false">AJ24*(1-Assumptions!$F$41)+AK23</f>
        <v>46474.0327411269</v>
      </c>
      <c r="AL24" s="30" t="n">
        <f aca="false">AK24*(1-Assumptions!$F$41)+AL23</f>
        <v>49297.3061419061</v>
      </c>
      <c r="AM24" s="30" t="n">
        <f aca="false">AL24*(1-Assumptions!$F$41)+AM23</f>
        <v>52299.6838540519</v>
      </c>
    </row>
    <row r="25" customFormat="false" ht="15" hidden="false" customHeight="false" outlineLevel="0" collapsed="false">
      <c r="A25" s="8" t="s">
        <v>335</v>
      </c>
      <c r="B25" s="8" t="s">
        <v>293</v>
      </c>
      <c r="C25" s="28" t="n">
        <f aca="false">SUM(D25:AM25)</f>
        <v>62488.8750932791</v>
      </c>
      <c r="D25" s="28" t="n">
        <f aca="false">0</f>
        <v>0</v>
      </c>
      <c r="E25" s="28" t="n">
        <f aca="false">D24*Assumptions!$F$41</f>
        <v>0</v>
      </c>
      <c r="F25" s="28" t="n">
        <f aca="false">E24*Assumptions!$F$41</f>
        <v>0</v>
      </c>
      <c r="G25" s="28" t="n">
        <f aca="false">F24*Assumptions!$F$41</f>
        <v>0</v>
      </c>
      <c r="H25" s="28" t="n">
        <f aca="false">G24*Assumptions!$F$41</f>
        <v>0</v>
      </c>
      <c r="I25" s="28" t="n">
        <f aca="false">H24*Assumptions!$F$41</f>
        <v>19.8046448496229</v>
      </c>
      <c r="J25" s="28" t="n">
        <f aca="false">I24*Assumptions!$F$41</f>
        <v>37.8434771077421</v>
      </c>
      <c r="K25" s="28" t="n">
        <f aca="false">J24*Assumptions!$F$41</f>
        <v>218.842939893501</v>
      </c>
      <c r="L25" s="28" t="n">
        <f aca="false">K24*Assumptions!$F$41</f>
        <v>300.646385541503</v>
      </c>
      <c r="M25" s="28" t="n">
        <f aca="false">L24*Assumptions!$F$41</f>
        <v>386.760193173497</v>
      </c>
      <c r="N25" s="28" t="n">
        <f aca="false">M24*Assumptions!$F$41</f>
        <v>477.707194255005</v>
      </c>
      <c r="O25" s="28" t="n">
        <f aca="false">N24*Assumptions!$F$41</f>
        <v>574.030452998588</v>
      </c>
      <c r="P25" s="28" t="n">
        <f aca="false">O24*Assumptions!$F$41</f>
        <v>676.297622137344</v>
      </c>
      <c r="Q25" s="28" t="n">
        <f aca="false">P24*Assumptions!$F$41</f>
        <v>785.105524373282</v>
      </c>
      <c r="R25" s="28" t="n">
        <f aca="false">Q24*Assumptions!$F$41</f>
        <v>901.085012898652</v>
      </c>
      <c r="S25" s="28" t="n">
        <f aca="false">R24*Assumptions!$F$41</f>
        <v>1024.9061681574</v>
      </c>
      <c r="T25" s="28" t="n">
        <f aca="false">S24*Assumptions!$F$41</f>
        <v>1157.28389251044</v>
      </c>
      <c r="U25" s="28" t="n">
        <f aca="false">T24*Assumptions!$F$41</f>
        <v>1298.98396975317</v>
      </c>
      <c r="V25" s="28" t="n">
        <f aca="false">U24*Assumptions!$F$41</f>
        <v>1450.82966257783</v>
      </c>
      <c r="W25" s="28" t="n">
        <f aca="false">V24*Assumptions!$F$41</f>
        <v>1613.70892815821</v>
      </c>
      <c r="X25" s="28" t="n">
        <f aca="false">W24*Assumptions!$F$41</f>
        <v>1786.72463681275</v>
      </c>
      <c r="Y25" s="28" t="n">
        <f aca="false">X24*Assumptions!$F$41</f>
        <v>1959.21274515416</v>
      </c>
      <c r="Z25" s="28" t="n">
        <f aca="false">Y24*Assumptions!$F$41</f>
        <v>2132.27080775013</v>
      </c>
      <c r="AA25" s="28" t="n">
        <f aca="false">Z24*Assumptions!$F$41</f>
        <v>2306.96953742161</v>
      </c>
      <c r="AB25" s="28" t="n">
        <f aca="false">AA24*Assumptions!$F$41</f>
        <v>2484.36332937803</v>
      </c>
      <c r="AC25" s="28" t="n">
        <f aca="false">AB24*Assumptions!$F$41</f>
        <v>2665.50054411274</v>
      </c>
      <c r="AD25" s="28" t="n">
        <f aca="false">AC24*Assumptions!$F$41</f>
        <v>2851.43366036293</v>
      </c>
      <c r="AE25" s="28" t="n">
        <f aca="false">AD24*Assumptions!$F$41</f>
        <v>3043.22940781563</v>
      </c>
      <c r="AF25" s="28" t="n">
        <f aca="false">AE24*Assumptions!$F$41</f>
        <v>3241.97898882381</v>
      </c>
      <c r="AG25" s="28" t="n">
        <f aca="false">AF24*Assumptions!$F$41</f>
        <v>3448.80849917768</v>
      </c>
      <c r="AH25" s="28" t="n">
        <f aca="false">AG24*Assumptions!$F$41</f>
        <v>3664.88965996378</v>
      </c>
      <c r="AI25" s="28" t="n">
        <f aca="false">AH24*Assumptions!$F$41</f>
        <v>3891.45097575839</v>
      </c>
      <c r="AJ25" s="28" t="n">
        <f aca="false">AI24*Assumptions!$F$41</f>
        <v>4129.78943887662</v>
      </c>
      <c r="AK25" s="28" t="n">
        <f aca="false">AJ24*Assumptions!$F$41</f>
        <v>4381.2829051817</v>
      </c>
      <c r="AL25" s="28" t="n">
        <f aca="false">AK24*Assumptions!$F$41</f>
        <v>4647.40327411269</v>
      </c>
      <c r="AM25" s="28" t="n">
        <f aca="false">AL24*Assumptions!$F$41</f>
        <v>4929.73061419061</v>
      </c>
    </row>
    <row r="26" customFormat="false" ht="15" hidden="false" customHeight="false" outlineLevel="0" collapsed="false">
      <c r="A26" s="8" t="s">
        <v>336</v>
      </c>
      <c r="B26" s="8" t="s">
        <v>293</v>
      </c>
      <c r="C26" s="28" t="n">
        <f aca="false">SUM(D26:AM26)</f>
        <v>169258.059158734</v>
      </c>
      <c r="D26" s="28" t="n">
        <f aca="false">D20*Assumptions!$F$32</f>
        <v>0</v>
      </c>
      <c r="E26" s="28" t="n">
        <f aca="false">E20*Assumptions!$F$32</f>
        <v>0</v>
      </c>
      <c r="F26" s="28" t="n">
        <f aca="false">F20*Assumptions!$F$32</f>
        <v>0</v>
      </c>
      <c r="G26" s="28" t="n">
        <f aca="false">G20*Assumptions!$F$32</f>
        <v>0</v>
      </c>
      <c r="H26" s="28" t="n">
        <f aca="false">H20*Assumptions!$F$32</f>
        <v>292.02350655114</v>
      </c>
      <c r="I26" s="28" t="n">
        <f aca="false">I20*Assumptions!$F$32</f>
        <v>295.188592271765</v>
      </c>
      <c r="J26" s="28" t="n">
        <f aca="false">J20*Assumptions!$F$32</f>
        <v>2724.67477729632</v>
      </c>
      <c r="K26" s="28" t="n">
        <f aca="false">K20*Assumptions!$F$32</f>
        <v>1528.89675857216</v>
      </c>
      <c r="L26" s="28" t="n">
        <f aca="false">L20*Assumptions!$F$32</f>
        <v>1713.0747609234</v>
      </c>
      <c r="M26" s="28" t="n">
        <f aca="false">M20*Assumptions!$F$32</f>
        <v>1911.3177355132</v>
      </c>
      <c r="N26" s="28" t="n">
        <f aca="false">N20*Assumptions!$F$32</f>
        <v>2124.69494390557</v>
      </c>
      <c r="O26" s="28" t="n">
        <f aca="false">O20*Assumptions!$F$32</f>
        <v>2354.36970802456</v>
      </c>
      <c r="P26" s="28" t="n">
        <f aca="false">P20*Assumptions!$F$32</f>
        <v>2601.60916045247</v>
      </c>
      <c r="Q26" s="28" t="n">
        <f aca="false">Q20*Assumptions!$F$32</f>
        <v>2867.79511485577</v>
      </c>
      <c r="R26" s="28" t="n">
        <f aca="false">R20*Assumptions!$F$32</f>
        <v>3154.43619085134</v>
      </c>
      <c r="S26" s="28" t="n">
        <f aca="false">S20*Assumptions!$F$32</f>
        <v>3463.18134390893</v>
      </c>
      <c r="T26" s="28" t="n">
        <f aca="false">T20*Assumptions!$F$32</f>
        <v>3795.83496913987</v>
      </c>
      <c r="U26" s="28" t="n">
        <f aca="false">U20*Assumptions!$F$32</f>
        <v>4154.3737682837</v>
      </c>
      <c r="V26" s="28" t="n">
        <f aca="false">V20*Assumptions!$F$32</f>
        <v>4540.96559214022</v>
      </c>
      <c r="W26" s="28" t="n">
        <f aca="false">W20*Assumptions!$F$32</f>
        <v>4930.59828371286</v>
      </c>
      <c r="X26" s="28" t="n">
        <f aca="false">X20*Assumptions!$F$32</f>
        <v>5177.93388284472</v>
      </c>
      <c r="Y26" s="28" t="n">
        <f aca="false">Y20*Assumptions!$F$32</f>
        <v>5440.67518939801</v>
      </c>
      <c r="Z26" s="28" t="n">
        <f aca="false">Z20*Assumptions!$F$32</f>
        <v>5720.04478284979</v>
      </c>
      <c r="AA26" s="28" t="n">
        <f aca="false">AA20*Assumptions!$F$32</f>
        <v>6017.38084448598</v>
      </c>
      <c r="AB26" s="28" t="n">
        <f aca="false">AB20*Assumptions!$F$32</f>
        <v>6334.14911832306</v>
      </c>
      <c r="AC26" s="28" t="n">
        <f aca="false">AC20*Assumptions!$F$32</f>
        <v>6671.95615751996</v>
      </c>
      <c r="AD26" s="28" t="n">
        <f aca="false">AD20*Assumptions!$F$32</f>
        <v>7032.56399647578</v>
      </c>
      <c r="AE26" s="28" t="n">
        <f aca="false">AE20*Assumptions!$F$32</f>
        <v>7417.90640418188</v>
      </c>
      <c r="AF26" s="28" t="n">
        <f aca="false">AF20*Assumptions!$F$32</f>
        <v>7830.1068914594</v>
      </c>
      <c r="AG26" s="28" t="n">
        <f aca="false">AG20*Assumptions!$F$32</f>
        <v>8271.49866365015</v>
      </c>
      <c r="AH26" s="28" t="n">
        <f aca="false">AH20*Assumptions!$F$32</f>
        <v>8744.6467313471</v>
      </c>
      <c r="AI26" s="28" t="n">
        <f aca="false">AI20*Assumptions!$F$32</f>
        <v>9252.37241507852</v>
      </c>
      <c r="AJ26" s="28" t="n">
        <f aca="false">AJ20*Assumptions!$F$32</f>
        <v>9797.78050575173</v>
      </c>
      <c r="AK26" s="28" t="n">
        <f aca="false">AK20*Assumptions!$F$32</f>
        <v>10384.2893713996</v>
      </c>
      <c r="AL26" s="28" t="n">
        <f aca="false">AL20*Assumptions!$F$32</f>
        <v>11015.6643326693</v>
      </c>
      <c r="AM26" s="28" t="n">
        <f aca="false">AM20*Assumptions!$F$32</f>
        <v>11696.0546648953</v>
      </c>
    </row>
    <row r="27" customFormat="false" ht="15" hidden="false" customHeight="false" outlineLevel="0" collapsed="false">
      <c r="A27" s="5" t="s">
        <v>337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 customFormat="false" ht="15" hidden="false" customHeight="false" outlineLevel="0" collapsed="false">
      <c r="A28" s="8" t="s">
        <v>338</v>
      </c>
      <c r="B28" s="8" t="s">
        <v>293</v>
      </c>
      <c r="C28" s="28" t="n">
        <f aca="false">SUM(D28:AM28)</f>
        <v>46723.4894024579</v>
      </c>
      <c r="D28" s="28" t="n">
        <f aca="false">(D18-D19)*Assumptions!$F$35+D15*Assumptions!$F$36*IF(D$3&lt;Assumptions!$F$7,0,1)</f>
        <v>0</v>
      </c>
      <c r="E28" s="28" t="n">
        <f aca="false">(E18-E19)*Assumptions!$F$35+E15*Assumptions!$F$36*IF(E$3&lt;Assumptions!$F$7,0,1)</f>
        <v>0</v>
      </c>
      <c r="F28" s="28" t="n">
        <f aca="false">(F18-F19)*Assumptions!$F$35+F15*Assumptions!$F$36*IF(F$3&lt;Assumptions!$F$7,0,1)</f>
        <v>0</v>
      </c>
      <c r="G28" s="28" t="n">
        <f aca="false">(G18-G19)*Assumptions!$F$35+G15*Assumptions!$F$36*IF(G$3&lt;Assumptions!$F$7,0,1)</f>
        <v>0</v>
      </c>
      <c r="H28" s="28" t="n">
        <f aca="false">(H18-H19)*Assumptions!$F$35+H15*Assumptions!$F$36*IF(H$3&lt;Assumptions!$F$7,0,1)</f>
        <v>471.268071034413</v>
      </c>
      <c r="I28" s="28" t="n">
        <f aca="false">(I18-I19)*Assumptions!$F$35+I15*Assumptions!$F$36*IF(I$3&lt;Assumptions!$F$7,0,1)</f>
        <v>476.375892181532</v>
      </c>
      <c r="J28" s="28" t="n">
        <f aca="false">(J18-J19)*Assumptions!$F$35+J15*Assumptions!$F$36*IF(J$3&lt;Assumptions!$F$7,0,1)</f>
        <v>1895.8009371628</v>
      </c>
      <c r="K28" s="28" t="n">
        <f aca="false">(K18-K19)*Assumptions!$F$35+K15*Assumptions!$F$36*IF(K$3&lt;Assumptions!$F$7,0,1)</f>
        <v>962.503983412213</v>
      </c>
      <c r="L28" s="28" t="n">
        <f aca="false">(L18-L19)*Assumptions!$F$35+L15*Assumptions!$F$36*IF(L$3&lt;Assumptions!$F$7,0,1)</f>
        <v>980.240675163489</v>
      </c>
      <c r="M28" s="28" t="n">
        <f aca="false">(M18-M19)*Assumptions!$F$35+M15*Assumptions!$F$36*IF(M$3&lt;Assumptions!$F$7,0,1)</f>
        <v>997.921649234091</v>
      </c>
      <c r="N28" s="28" t="n">
        <f aca="false">(N18-N19)*Assumptions!$F$35+N15*Assumptions!$F$36*IF(N$3&lt;Assumptions!$F$7,0,1)</f>
        <v>1015.51164009741</v>
      </c>
      <c r="O28" s="28" t="n">
        <f aca="false">(O18-O19)*Assumptions!$F$35+O15*Assumptions!$F$36*IF(O$3&lt;Assumptions!$F$7,0,1)</f>
        <v>1032.97132488827</v>
      </c>
      <c r="P28" s="28" t="n">
        <f aca="false">(P18-P19)*Assumptions!$F$35+P15*Assumptions!$F$36*IF(P$3&lt;Assumptions!$F$7,0,1)</f>
        <v>1050.2567930826</v>
      </c>
      <c r="Q28" s="28" t="n">
        <f aca="false">(Q18-Q19)*Assumptions!$F$35+Q15*Assumptions!$F$36*IF(Q$3&lt;Assumptions!$F$7,0,1)</f>
        <v>1067.31893860401</v>
      </c>
      <c r="R28" s="28" t="n">
        <f aca="false">(R18-R19)*Assumptions!$F$35+R15*Assumptions!$F$36*IF(R$3&lt;Assumptions!$F$7,0,1)</f>
        <v>1084.10276301124</v>
      </c>
      <c r="S28" s="28" t="n">
        <f aca="false">(S18-S19)*Assumptions!$F$35+S15*Assumptions!$F$36*IF(S$3&lt;Assumptions!$F$7,0,1)</f>
        <v>1100.54657682345</v>
      </c>
      <c r="T28" s="28" t="n">
        <f aca="false">(T18-T19)*Assumptions!$F$35+T15*Assumptions!$F$36*IF(T$3&lt;Assumptions!$F$7,0,1)</f>
        <v>1116.58108422704</v>
      </c>
      <c r="U28" s="28" t="n">
        <f aca="false">(U18-U19)*Assumptions!$F$35+U15*Assumptions!$F$36*IF(U$3&lt;Assumptions!$F$7,0,1)</f>
        <v>1132.12833434949</v>
      </c>
      <c r="V28" s="28" t="n">
        <f aca="false">(V18-V19)*Assumptions!$F$35+V15*Assumptions!$F$36*IF(V$3&lt;Assumptions!$F$7,0,1)</f>
        <v>1147.10051995185</v>
      </c>
      <c r="W28" s="28" t="n">
        <f aca="false">(W18-W19)*Assumptions!$F$35+W15*Assumptions!$F$36*IF(W$3&lt;Assumptions!$F$7,0,1)</f>
        <v>1167.48576011941</v>
      </c>
      <c r="X28" s="28" t="n">
        <f aca="false">(X18-X19)*Assumptions!$F$35+X15*Assumptions!$F$36*IF(X$3&lt;Assumptions!$F$7,0,1)</f>
        <v>1226.05082126238</v>
      </c>
      <c r="Y28" s="28" t="n">
        <f aca="false">(Y18-Y19)*Assumptions!$F$35+Y15*Assumptions!$F$36*IF(Y$3&lt;Assumptions!$F$7,0,1)</f>
        <v>1288.26370423226</v>
      </c>
      <c r="Z28" s="28" t="n">
        <f aca="false">(Z18-Z19)*Assumptions!$F$35+Z15*Assumptions!$F$36*IF(Z$3&lt;Assumptions!$F$7,0,1)</f>
        <v>1354.41389603407</v>
      </c>
      <c r="AA28" s="28" t="n">
        <f aca="false">(AA18-AA19)*Assumptions!$F$35+AA15*Assumptions!$F$36*IF(AA$3&lt;Assumptions!$F$7,0,1)</f>
        <v>1424.81825630754</v>
      </c>
      <c r="AB28" s="28" t="n">
        <f aca="false">(AB18-AB19)*Assumptions!$F$35+AB15*Assumptions!$F$36*IF(AB$3&lt;Assumptions!$F$7,0,1)</f>
        <v>1499.82384947947</v>
      </c>
      <c r="AC28" s="28" t="n">
        <f aca="false">(AC18-AC19)*Assumptions!$F$35+AC15*Assumptions!$F$36*IF(AC$3&lt;Assumptions!$F$7,0,1)</f>
        <v>1579.81108129944</v>
      </c>
      <c r="AD28" s="28" t="n">
        <f aca="false">(AD18-AD19)*Assumptions!$F$35+AD15*Assumptions!$F$36*IF(AD$3&lt;Assumptions!$F$7,0,1)</f>
        <v>1665.1971729547</v>
      </c>
      <c r="AE28" s="28" t="n">
        <f aca="false">(AE18-AE19)*Assumptions!$F$35+AE15*Assumptions!$F$36*IF(AE$3&lt;Assumptions!$F$7,0,1)</f>
        <v>1756.44000960052</v>
      </c>
      <c r="AF28" s="28" t="n">
        <f aca="false">(AF18-AF19)*Assumptions!$F$35+AF15*Assumptions!$F$36*IF(AF$3&lt;Assumptions!$F$7,0,1)</f>
        <v>1854.04240418222</v>
      </c>
      <c r="AG28" s="28" t="n">
        <f aca="false">(AG18-AG19)*Assumptions!$F$35+AG15*Assumptions!$F$36*IF(AG$3&lt;Assumptions!$F$7,0,1)</f>
        <v>1958.55682190893</v>
      </c>
      <c r="AH28" s="28" t="n">
        <f aca="false">(AH18-AH19)*Assumptions!$F$35+AH15*Assumptions!$F$36*IF(AH$3&lt;Assumptions!$F$7,0,1)</f>
        <v>2070.59061571625</v>
      </c>
      <c r="AI28" s="28" t="n">
        <f aca="false">(AI18-AI19)*Assumptions!$F$35+AI15*Assumptions!$F$36*IF(AI$3&lt;Assumptions!$F$7,0,1)</f>
        <v>2190.81182857826</v>
      </c>
      <c r="AJ28" s="28" t="n">
        <f aca="false">(AJ18-AJ19)*Assumptions!$F$35+AJ15*Assumptions!$F$36*IF(AJ$3&lt;Assumptions!$F$7,0,1)</f>
        <v>2319.95562466043</v>
      </c>
      <c r="AK28" s="28" t="n">
        <f aca="false">(AK18-AK19)*Assumptions!$F$35+AK15*Assumptions!$F$36*IF(AK$3&lt;Assumptions!$F$7,0,1)</f>
        <v>2458.83141810918</v>
      </c>
      <c r="AL28" s="28" t="n">
        <f aca="false">(AL18-AL19)*Assumptions!$F$35+AL15*Assumptions!$F$36*IF(AL$3&lt;Assumptions!$F$7,0,1)</f>
        <v>2608.33077582673</v>
      </c>
      <c r="AM28" s="28" t="n">
        <f aca="false">(AM18-AM19)*Assumptions!$F$35+AM15*Assumptions!$F$36*IF(AM$3&lt;Assumptions!$F$7,0,1)</f>
        <v>2769.43617896223</v>
      </c>
    </row>
    <row r="29" customFormat="false" ht="15" hidden="false" customHeight="false" outlineLevel="0" collapsed="false">
      <c r="A29" s="29" t="s">
        <v>339</v>
      </c>
      <c r="B29" s="8" t="s">
        <v>293</v>
      </c>
      <c r="D29" s="30" t="n">
        <f aca="false">D28</f>
        <v>0</v>
      </c>
      <c r="E29" s="30" t="n">
        <f aca="false">D29*(1-Assumptions!$F$42)+E28</f>
        <v>0</v>
      </c>
      <c r="F29" s="30" t="n">
        <f aca="false">E29*(1-Assumptions!$F$42)+F28</f>
        <v>0</v>
      </c>
      <c r="G29" s="30" t="n">
        <f aca="false">F29*(1-Assumptions!$F$42)+G28</f>
        <v>0</v>
      </c>
      <c r="H29" s="30" t="n">
        <f aca="false">G29*(1-Assumptions!$F$42)+H28</f>
        <v>471.268071034413</v>
      </c>
      <c r="I29" s="30" t="n">
        <f aca="false">H29*(1-Assumptions!$F$42)+I28</f>
        <v>924.080559664225</v>
      </c>
      <c r="J29" s="30" t="n">
        <f aca="false">I29*(1-Assumptions!$F$42)+J28</f>
        <v>2773.67746884382</v>
      </c>
      <c r="K29" s="30" t="n">
        <f aca="false">J29*(1-Assumptions!$F$42)+K28</f>
        <v>3597.49757881384</v>
      </c>
      <c r="L29" s="30" t="n">
        <f aca="false">K29*(1-Assumptions!$F$42)+L28</f>
        <v>4397.86337503664</v>
      </c>
      <c r="M29" s="30" t="n">
        <f aca="false">L29*(1-Assumptions!$F$42)+M28</f>
        <v>5175.8918555189</v>
      </c>
      <c r="N29" s="30" t="n">
        <f aca="false">M29*(1-Assumptions!$F$42)+N28</f>
        <v>5932.60890284037</v>
      </c>
      <c r="O29" s="30" t="n">
        <f aca="false">N29*(1-Assumptions!$F$42)+O28</f>
        <v>6668.94978258662</v>
      </c>
      <c r="P29" s="30" t="n">
        <f aca="false">O29*(1-Assumptions!$F$42)+P28</f>
        <v>7385.75908653988</v>
      </c>
      <c r="Q29" s="30" t="n">
        <f aca="false">P29*(1-Assumptions!$F$42)+Q28</f>
        <v>8083.7900708169</v>
      </c>
      <c r="R29" s="30" t="n">
        <f aca="false">Q29*(1-Assumptions!$F$42)+R28</f>
        <v>8763.70333028729</v>
      </c>
      <c r="S29" s="30" t="n">
        <f aca="false">R29*(1-Assumptions!$F$42)+S28</f>
        <v>9426.06474059638</v>
      </c>
      <c r="T29" s="30" t="n">
        <f aca="false">S29*(1-Assumptions!$F$42)+T28</f>
        <v>10071.3425877936</v>
      </c>
      <c r="U29" s="30" t="n">
        <f aca="false">T29*(1-Assumptions!$F$42)+U28</f>
        <v>10699.9037927534</v>
      </c>
      <c r="V29" s="30" t="n">
        <f aca="false">U29*(1-Assumptions!$F$42)+V28</f>
        <v>11312.0091230676</v>
      </c>
      <c r="W29" s="30" t="n">
        <f aca="false">V29*(1-Assumptions!$F$42)+W28</f>
        <v>11913.8944270336</v>
      </c>
      <c r="X29" s="30" t="n">
        <f aca="false">W29*(1-Assumptions!$F$42)+X28</f>
        <v>12544.2505269443</v>
      </c>
      <c r="Y29" s="30" t="n">
        <f aca="false">X29*(1-Assumptions!$F$42)+Y28</f>
        <v>13205.3017048294</v>
      </c>
      <c r="Z29" s="30" t="n">
        <f aca="false">Y29*(1-Assumptions!$F$42)+Z28</f>
        <v>13899.450515622</v>
      </c>
      <c r="AA29" s="30" t="n">
        <f aca="false">Z29*(1-Assumptions!$F$42)+AA28</f>
        <v>14629.2962461484</v>
      </c>
      <c r="AB29" s="30" t="n">
        <f aca="false">AA29*(1-Assumptions!$F$42)+AB28</f>
        <v>15397.6552833205</v>
      </c>
      <c r="AC29" s="30" t="n">
        <f aca="false">AB29*(1-Assumptions!$F$42)+AC28</f>
        <v>16207.5836004539</v>
      </c>
      <c r="AD29" s="30" t="n">
        <f aca="false">AC29*(1-Assumptions!$F$42)+AD28</f>
        <v>17062.4015933859</v>
      </c>
      <c r="AE29" s="30" t="n">
        <f aca="false">AD29*(1-Assumptions!$F$42)+AE28</f>
        <v>17965.7215233171</v>
      </c>
      <c r="AF29" s="30" t="n">
        <f aca="false">AE29*(1-Assumptions!$F$42)+AF28</f>
        <v>18921.4778513335</v>
      </c>
      <c r="AG29" s="30" t="n">
        <f aca="false">AF29*(1-Assumptions!$F$42)+AG28</f>
        <v>19933.9607806757</v>
      </c>
      <c r="AH29" s="30" t="n">
        <f aca="false">AG29*(1-Assumptions!$F$42)+AH28</f>
        <v>21007.8533573582</v>
      </c>
      <c r="AI29" s="30" t="n">
        <f aca="false">AH29*(1-Assumptions!$F$42)+AI28</f>
        <v>22148.2725180685</v>
      </c>
      <c r="AJ29" s="30" t="n">
        <f aca="false">AI29*(1-Assumptions!$F$42)+AJ28</f>
        <v>23360.8145168255</v>
      </c>
      <c r="AK29" s="30" t="n">
        <f aca="false">AJ29*(1-Assumptions!$F$42)+AK28</f>
        <v>24651.6052090934</v>
      </c>
      <c r="AL29" s="30" t="n">
        <f aca="false">AK29*(1-Assumptions!$F$42)+AL28</f>
        <v>26027.3557244655</v>
      </c>
      <c r="AM29" s="30" t="n">
        <f aca="false">AL29*(1-Assumptions!$F$42)+AM28</f>
        <v>27495.4241172045</v>
      </c>
    </row>
    <row r="30" customFormat="false" ht="15" hidden="false" customHeight="false" outlineLevel="0" collapsed="false">
      <c r="A30" s="8" t="s">
        <v>340</v>
      </c>
      <c r="B30" s="8" t="s">
        <v>293</v>
      </c>
      <c r="C30" s="28" t="n">
        <f aca="false">SUM(D30:AM30)</f>
        <v>19228.0652852535</v>
      </c>
      <c r="D30" s="28" t="n">
        <f aca="false">0</f>
        <v>0</v>
      </c>
      <c r="E30" s="28" t="n">
        <f aca="false">D29*Assumptions!$F$42</f>
        <v>0</v>
      </c>
      <c r="F30" s="28" t="n">
        <f aca="false">E29*Assumptions!$F$42</f>
        <v>0</v>
      </c>
      <c r="G30" s="28" t="n">
        <f aca="false">F29*Assumptions!$F$42</f>
        <v>0</v>
      </c>
      <c r="H30" s="28" t="n">
        <f aca="false">G29*Assumptions!$F$42</f>
        <v>0</v>
      </c>
      <c r="I30" s="28" t="n">
        <f aca="false">H29*Assumptions!$F$42</f>
        <v>23.5634035517207</v>
      </c>
      <c r="J30" s="28" t="n">
        <f aca="false">I29*Assumptions!$F$42</f>
        <v>46.2040279832113</v>
      </c>
      <c r="K30" s="28" t="n">
        <f aca="false">J29*Assumptions!$F$42</f>
        <v>138.683873442191</v>
      </c>
      <c r="L30" s="28" t="n">
        <f aca="false">K29*Assumptions!$F$42</f>
        <v>179.874878940692</v>
      </c>
      <c r="M30" s="28" t="n">
        <f aca="false">L29*Assumptions!$F$42</f>
        <v>219.893168751832</v>
      </c>
      <c r="N30" s="28" t="n">
        <f aca="false">M29*Assumptions!$F$42</f>
        <v>258.794592775945</v>
      </c>
      <c r="O30" s="28" t="n">
        <f aca="false">N29*Assumptions!$F$42</f>
        <v>296.630445142018</v>
      </c>
      <c r="P30" s="28" t="n">
        <f aca="false">O29*Assumptions!$F$42</f>
        <v>333.447489129331</v>
      </c>
      <c r="Q30" s="28" t="n">
        <f aca="false">P29*Assumptions!$F$42</f>
        <v>369.287954326994</v>
      </c>
      <c r="R30" s="28" t="n">
        <f aca="false">Q29*Assumptions!$F$42</f>
        <v>404.189503540845</v>
      </c>
      <c r="S30" s="28" t="n">
        <f aca="false">R29*Assumptions!$F$42</f>
        <v>438.185166514364</v>
      </c>
      <c r="T30" s="28" t="n">
        <f aca="false">S29*Assumptions!$F$42</f>
        <v>471.303237029819</v>
      </c>
      <c r="U30" s="28" t="n">
        <f aca="false">T29*Assumptions!$F$42</f>
        <v>503.56712938968</v>
      </c>
      <c r="V30" s="28" t="n">
        <f aca="false">U29*Assumptions!$F$42</f>
        <v>534.99518963767</v>
      </c>
      <c r="W30" s="28" t="n">
        <f aca="false">V29*Assumptions!$F$42</f>
        <v>565.600456153379</v>
      </c>
      <c r="X30" s="28" t="n">
        <f aca="false">W29*Assumptions!$F$42</f>
        <v>595.694721351681</v>
      </c>
      <c r="Y30" s="28" t="n">
        <f aca="false">X29*Assumptions!$F$42</f>
        <v>627.212526347216</v>
      </c>
      <c r="Z30" s="28" t="n">
        <f aca="false">Y29*Assumptions!$F$42</f>
        <v>660.265085241468</v>
      </c>
      <c r="AA30" s="28" t="n">
        <f aca="false">Z29*Assumptions!$F$42</f>
        <v>694.972525781098</v>
      </c>
      <c r="AB30" s="28" t="n">
        <f aca="false">AA29*Assumptions!$F$42</f>
        <v>731.46481230742</v>
      </c>
      <c r="AC30" s="28" t="n">
        <f aca="false">AB29*Assumptions!$F$42</f>
        <v>769.882764166023</v>
      </c>
      <c r="AD30" s="28" t="n">
        <f aca="false">AC29*Assumptions!$F$42</f>
        <v>810.379180022694</v>
      </c>
      <c r="AE30" s="28" t="n">
        <f aca="false">AD29*Assumptions!$F$42</f>
        <v>853.120079669294</v>
      </c>
      <c r="AF30" s="28" t="n">
        <f aca="false">AE29*Assumptions!$F$42</f>
        <v>898.286076165855</v>
      </c>
      <c r="AG30" s="28" t="n">
        <f aca="false">AF29*Assumptions!$F$42</f>
        <v>946.073892566673</v>
      </c>
      <c r="AH30" s="28" t="n">
        <f aca="false">AG29*Assumptions!$F$42</f>
        <v>996.698039033786</v>
      </c>
      <c r="AI30" s="28" t="n">
        <f aca="false">AH29*Assumptions!$F$42</f>
        <v>1050.39266786791</v>
      </c>
      <c r="AJ30" s="28" t="n">
        <f aca="false">AI29*Assumptions!$F$42</f>
        <v>1107.41362590343</v>
      </c>
      <c r="AK30" s="28" t="n">
        <f aca="false">AJ29*Assumptions!$F$42</f>
        <v>1168.04072584128</v>
      </c>
      <c r="AL30" s="28" t="n">
        <f aca="false">AK29*Assumptions!$F$42</f>
        <v>1232.58026045467</v>
      </c>
      <c r="AM30" s="28" t="n">
        <f aca="false">AL29*Assumptions!$F$42</f>
        <v>1301.36778622327</v>
      </c>
    </row>
    <row r="31" customFormat="false" ht="15" hidden="false" customHeight="false" outlineLevel="0" collapsed="false">
      <c r="A31" s="8" t="s">
        <v>341</v>
      </c>
      <c r="B31" s="8" t="s">
        <v>293</v>
      </c>
      <c r="C31" s="28" t="n">
        <f aca="false">SUM(D31:AM31)</f>
        <v>116326.057155492</v>
      </c>
      <c r="D31" s="28" t="n">
        <f aca="false">D15*Assumptions!$F$37*IF(D$3&lt;Assumptions!$F$7,0,1)</f>
        <v>0</v>
      </c>
      <c r="E31" s="28" t="n">
        <f aca="false">E15*Assumptions!$F$37*IF(E$3&lt;Assumptions!$F$7,0,1)</f>
        <v>0</v>
      </c>
      <c r="F31" s="28" t="n">
        <f aca="false">F15*Assumptions!$F$37*IF(F$3&lt;Assumptions!$F$7,0,1)</f>
        <v>0</v>
      </c>
      <c r="G31" s="28" t="n">
        <f aca="false">G15*Assumptions!$F$37*IF(G$3&lt;Assumptions!$F$7,0,1)</f>
        <v>0</v>
      </c>
      <c r="H31" s="28" t="n">
        <f aca="false">H15*Assumptions!$F$37*IF(H$3&lt;Assumptions!$F$7,0,1)</f>
        <v>739.534046346667</v>
      </c>
      <c r="I31" s="28" t="n">
        <f aca="false">I15*Assumptions!$F$37*IF(I$3&lt;Assumptions!$F$7,0,1)</f>
        <v>747.549458111467</v>
      </c>
      <c r="J31" s="28" t="n">
        <f aca="false">J15*Assumptions!$F$37*IF(J$3&lt;Assumptions!$F$7,0,1)</f>
        <v>3450.04720138818</v>
      </c>
      <c r="K31" s="28" t="n">
        <f aca="false">K15*Assumptions!$F$37*IF(K$3&lt;Assumptions!$F$7,0,1)</f>
        <v>1796.21906020755</v>
      </c>
      <c r="L31" s="28" t="n">
        <f aca="false">L15*Assumptions!$F$37*IF(L$3&lt;Assumptions!$F$7,0,1)</f>
        <v>1877.13649016371</v>
      </c>
      <c r="M31" s="28" t="n">
        <f aca="false">M15*Assumptions!$F$37*IF(M$3&lt;Assumptions!$F$7,0,1)</f>
        <v>1962.28817074838</v>
      </c>
      <c r="N31" s="28" t="n">
        <f aca="false">N15*Assumptions!$F$37*IF(N$3&lt;Assumptions!$F$7,0,1)</f>
        <v>2051.95320286404</v>
      </c>
      <c r="O31" s="28" t="n">
        <f aca="false">O15*Assumptions!$F$37*IF(O$3&lt;Assumptions!$F$7,0,1)</f>
        <v>2146.43392184575</v>
      </c>
      <c r="P31" s="28" t="n">
        <f aca="false">P15*Assumptions!$F$37*IF(P$3&lt;Assumptions!$F$7,0,1)</f>
        <v>2246.05815458212</v>
      </c>
      <c r="Q31" s="28" t="n">
        <f aca="false">Q15*Assumptions!$F$37*IF(Q$3&lt;Assumptions!$F$7,0,1)</f>
        <v>2351.18171297282</v>
      </c>
      <c r="R31" s="28" t="n">
        <f aca="false">R15*Assumptions!$F$37*IF(R$3&lt;Assumptions!$F$7,0,1)</f>
        <v>2462.19114924196</v>
      </c>
      <c r="S31" s="28" t="n">
        <f aca="false">S15*Assumptions!$F$37*IF(S$3&lt;Assumptions!$F$7,0,1)</f>
        <v>2579.50680141439</v>
      </c>
      <c r="T31" s="28" t="n">
        <f aca="false">T15*Assumptions!$F$37*IF(T$3&lt;Assumptions!$F$7,0,1)</f>
        <v>2703.58616035603</v>
      </c>
      <c r="U31" s="28" t="n">
        <f aca="false">U15*Assumptions!$F$37*IF(U$3&lt;Assumptions!$F$7,0,1)</f>
        <v>2834.92759321269</v>
      </c>
      <c r="V31" s="28" t="n">
        <f aca="false">V15*Assumptions!$F$37*IF(V$3&lt;Assumptions!$F$7,0,1)</f>
        <v>2974.07446189228</v>
      </c>
      <c r="W31" s="28" t="n">
        <f aca="false">W15*Assumptions!$F$37*IF(W$3&lt;Assumptions!$F$7,0,1)</f>
        <v>3121.61967946367</v>
      </c>
      <c r="X31" s="28" t="n">
        <f aca="false">X15*Assumptions!$F$37*IF(X$3&lt;Assumptions!$F$7,0,1)</f>
        <v>3278.21075203844</v>
      </c>
      <c r="Y31" s="28" t="n">
        <f aca="false">Y15*Assumptions!$F$37*IF(Y$3&lt;Assumptions!$F$7,0,1)</f>
        <v>3444.55535890979</v>
      </c>
      <c r="Z31" s="28" t="n">
        <f aca="false">Z15*Assumptions!$F$37*IF(Z$3&lt;Assumptions!$F$7,0,1)</f>
        <v>3621.42752950287</v>
      </c>
      <c r="AA31" s="28" t="n">
        <f aca="false">AA15*Assumptions!$F$37*IF(AA$3&lt;Assumptions!$F$7,0,1)</f>
        <v>3809.67448210572</v>
      </c>
      <c r="AB31" s="28" t="n">
        <f aca="false">AB15*Assumptions!$F$37*IF(AB$3&lt;Assumptions!$F$7,0,1)</f>
        <v>4010.22419646917</v>
      </c>
      <c r="AC31" s="28" t="n">
        <f aca="false">AC15*Assumptions!$F$37*IF(AC$3&lt;Assumptions!$F$7,0,1)</f>
        <v>4224.09380026588</v>
      </c>
      <c r="AD31" s="28" t="n">
        <f aca="false">AD15*Assumptions!$F$37*IF(AD$3&lt;Assumptions!$F$7,0,1)</f>
        <v>4452.39885816764</v>
      </c>
      <c r="AE31" s="28" t="n">
        <f aca="false">AE15*Assumptions!$F$37*IF(AE$3&lt;Assumptions!$F$7,0,1)</f>
        <v>4696.36366203348</v>
      </c>
      <c r="AF31" s="28" t="n">
        <f aca="false">AF15*Assumptions!$F$37*IF(AF$3&lt;Assumptions!$F$7,0,1)</f>
        <v>4957.33263150326</v>
      </c>
      <c r="AG31" s="28" t="n">
        <f aca="false">AG15*Assumptions!$F$37*IF(AG$3&lt;Assumptions!$F$7,0,1)</f>
        <v>5236.78294628057</v>
      </c>
      <c r="AH31" s="28" t="n">
        <f aca="false">AH15*Assumptions!$F$37*IF(AH$3&lt;Assumptions!$F$7,0,1)</f>
        <v>5536.33854469585</v>
      </c>
      <c r="AI31" s="28" t="n">
        <f aca="false">AI15*Assumptions!$F$37*IF(AI$3&lt;Assumptions!$F$7,0,1)</f>
        <v>5857.7856379098</v>
      </c>
      <c r="AJ31" s="28" t="n">
        <f aca="false">AJ15*Assumptions!$F$37*IF(AJ$3&lt;Assumptions!$F$7,0,1)</f>
        <v>6203.08990550917</v>
      </c>
      <c r="AK31" s="28" t="n">
        <f aca="false">AK15*Assumptions!$F$37*IF(AK$3&lt;Assumptions!$F$7,0,1)</f>
        <v>6574.41555644165</v>
      </c>
      <c r="AL31" s="28" t="n">
        <f aca="false">AL15*Assumptions!$F$37*IF(AL$3&lt;Assumptions!$F$7,0,1)</f>
        <v>6974.14645942975</v>
      </c>
      <c r="AM31" s="28" t="n">
        <f aca="false">AM15*Assumptions!$F$37*IF(AM$3&lt;Assumptions!$F$7,0,1)</f>
        <v>7404.90956941773</v>
      </c>
    </row>
    <row r="32" customFormat="false" ht="15" hidden="false" customHeight="false" outlineLevel="0" collapsed="false">
      <c r="A32" s="8" t="s">
        <v>342</v>
      </c>
      <c r="B32" s="8" t="s">
        <v>293</v>
      </c>
      <c r="D32" s="28" t="n">
        <f aca="false">D31</f>
        <v>0</v>
      </c>
      <c r="E32" s="28" t="n">
        <f aca="false">D32+E31</f>
        <v>0</v>
      </c>
      <c r="F32" s="28" t="n">
        <f aca="false">E32+F31</f>
        <v>0</v>
      </c>
      <c r="G32" s="28" t="n">
        <f aca="false">F32+G31</f>
        <v>0</v>
      </c>
      <c r="H32" s="28" t="n">
        <f aca="false">G32+H31</f>
        <v>739.534046346667</v>
      </c>
      <c r="I32" s="28" t="n">
        <f aca="false">H32+I31</f>
        <v>1487.08350445813</v>
      </c>
      <c r="J32" s="28" t="n">
        <f aca="false">I32+J31</f>
        <v>4937.13070584631</v>
      </c>
      <c r="K32" s="28" t="n">
        <f aca="false">J32+K31</f>
        <v>6733.34976605386</v>
      </c>
      <c r="L32" s="28" t="n">
        <f aca="false">K32+L31</f>
        <v>8610.48625621757</v>
      </c>
      <c r="M32" s="28" t="n">
        <f aca="false">L32+M31</f>
        <v>10572.774426966</v>
      </c>
      <c r="N32" s="28" t="n">
        <f aca="false">M32+N31</f>
        <v>12624.72762983</v>
      </c>
      <c r="O32" s="28" t="n">
        <f aca="false">N32+O31</f>
        <v>14771.1615516757</v>
      </c>
      <c r="P32" s="28" t="n">
        <f aca="false">O32+P31</f>
        <v>17017.2197062579</v>
      </c>
      <c r="Q32" s="28" t="n">
        <f aca="false">P32+Q31</f>
        <v>19368.4014192307</v>
      </c>
      <c r="R32" s="28" t="n">
        <f aca="false">Q32+R31</f>
        <v>21830.5925684726</v>
      </c>
      <c r="S32" s="28" t="n">
        <f aca="false">R32+S31</f>
        <v>24410.099369887</v>
      </c>
      <c r="T32" s="28" t="n">
        <f aca="false">S32+T31</f>
        <v>27113.6855302431</v>
      </c>
      <c r="U32" s="28" t="n">
        <f aca="false">T32+U31</f>
        <v>29948.6131234558</v>
      </c>
      <c r="V32" s="28" t="n">
        <f aca="false">U32+V31</f>
        <v>32922.687585348</v>
      </c>
      <c r="W32" s="28" t="n">
        <f aca="false">V32+W31</f>
        <v>36044.3072648117</v>
      </c>
      <c r="X32" s="28" t="n">
        <f aca="false">W32+X31</f>
        <v>39322.5180168501</v>
      </c>
      <c r="Y32" s="28" t="n">
        <f aca="false">X32+Y31</f>
        <v>42767.0733757599</v>
      </c>
      <c r="Z32" s="28" t="n">
        <f aca="false">Y32+Z31</f>
        <v>46388.5009052628</v>
      </c>
      <c r="AA32" s="28" t="n">
        <f aca="false">Z32+AA31</f>
        <v>50198.1753873685</v>
      </c>
      <c r="AB32" s="28" t="n">
        <f aca="false">AA32+AB31</f>
        <v>54208.3995838377</v>
      </c>
      <c r="AC32" s="28" t="n">
        <f aca="false">AB32+AC31</f>
        <v>58432.4933841036</v>
      </c>
      <c r="AD32" s="28" t="n">
        <f aca="false">AC32+AD31</f>
        <v>62884.8922422712</v>
      </c>
      <c r="AE32" s="28" t="n">
        <f aca="false">AD32+AE31</f>
        <v>67581.2559043047</v>
      </c>
      <c r="AF32" s="28" t="n">
        <f aca="false">AE32+AF31</f>
        <v>72538.5885358079</v>
      </c>
      <c r="AG32" s="28" t="n">
        <f aca="false">AF32+AG31</f>
        <v>77775.3714820885</v>
      </c>
      <c r="AH32" s="28" t="n">
        <f aca="false">AG32+AH31</f>
        <v>83311.7100267844</v>
      </c>
      <c r="AI32" s="28" t="n">
        <f aca="false">AH32+AI31</f>
        <v>89169.4956646941</v>
      </c>
      <c r="AJ32" s="28" t="n">
        <f aca="false">AI32+AJ31</f>
        <v>95372.5855702033</v>
      </c>
      <c r="AK32" s="28" t="n">
        <f aca="false">AJ32+AK31</f>
        <v>101947.001126645</v>
      </c>
      <c r="AL32" s="28" t="n">
        <f aca="false">AK32+AL31</f>
        <v>108921.147586075</v>
      </c>
      <c r="AM32" s="28" t="n">
        <f aca="false">AL32+AM31</f>
        <v>116326.057155492</v>
      </c>
    </row>
    <row r="33" customFormat="false" ht="15" hidden="false" customHeight="false" outlineLevel="0" collapsed="false">
      <c r="A33" s="8" t="s">
        <v>343</v>
      </c>
      <c r="B33" s="8" t="s">
        <v>293</v>
      </c>
      <c r="C33" s="28" t="n">
        <f aca="false">SUM(D33:AM33)</f>
        <v>237591.191384488</v>
      </c>
      <c r="D33" s="28" t="n">
        <f aca="false">0</f>
        <v>0</v>
      </c>
      <c r="E33" s="28" t="n">
        <f aca="false">D32*Assumptions!$F$39</f>
        <v>0</v>
      </c>
      <c r="F33" s="28" t="n">
        <f aca="false">E32*Assumptions!$F$39</f>
        <v>0</v>
      </c>
      <c r="G33" s="28" t="n">
        <f aca="false">F32*Assumptions!$F$39</f>
        <v>0</v>
      </c>
      <c r="H33" s="28" t="n">
        <f aca="false">G32*Assumptions!$F$39</f>
        <v>0</v>
      </c>
      <c r="I33" s="28" t="n">
        <f aca="false">H32*Assumptions!$F$39</f>
        <v>133.1161283424</v>
      </c>
      <c r="J33" s="28" t="n">
        <f aca="false">I32*Assumptions!$F$39</f>
        <v>267.675030802464</v>
      </c>
      <c r="K33" s="28" t="n">
        <f aca="false">J32*Assumptions!$F$39</f>
        <v>888.683527052336</v>
      </c>
      <c r="L33" s="28" t="n">
        <f aca="false">K32*Assumptions!$F$39</f>
        <v>1212.00295788969</v>
      </c>
      <c r="M33" s="28" t="n">
        <f aca="false">L32*Assumptions!$F$39</f>
        <v>1549.88752611916</v>
      </c>
      <c r="N33" s="28" t="n">
        <f aca="false">M32*Assumptions!$F$39</f>
        <v>1903.09939685387</v>
      </c>
      <c r="O33" s="28" t="n">
        <f aca="false">N32*Assumptions!$F$39</f>
        <v>2272.4509733694</v>
      </c>
      <c r="P33" s="28" t="n">
        <f aca="false">O32*Assumptions!$F$39</f>
        <v>2658.80907930163</v>
      </c>
      <c r="Q33" s="28" t="n">
        <f aca="false">P32*Assumptions!$F$39</f>
        <v>3063.09954712642</v>
      </c>
      <c r="R33" s="28" t="n">
        <f aca="false">Q32*Assumptions!$F$39</f>
        <v>3486.31225546152</v>
      </c>
      <c r="S33" s="28" t="n">
        <f aca="false">R32*Assumptions!$F$39</f>
        <v>3929.50666232508</v>
      </c>
      <c r="T33" s="28" t="n">
        <f aca="false">S32*Assumptions!$F$39</f>
        <v>4393.81788657967</v>
      </c>
      <c r="U33" s="28" t="n">
        <f aca="false">T32*Assumptions!$F$39</f>
        <v>4880.46339544375</v>
      </c>
      <c r="V33" s="28" t="n">
        <f aca="false">U32*Assumptions!$F$39</f>
        <v>5390.75036222204</v>
      </c>
      <c r="W33" s="28" t="n">
        <f aca="false">V32*Assumptions!$F$39</f>
        <v>5926.08376536265</v>
      </c>
      <c r="X33" s="28" t="n">
        <f aca="false">W32*Assumptions!$F$39</f>
        <v>6487.9753076661</v>
      </c>
      <c r="Y33" s="28" t="n">
        <f aca="false">X32*Assumptions!$F$39</f>
        <v>7078.05324303302</v>
      </c>
      <c r="Z33" s="28" t="n">
        <f aca="false">Y32*Assumptions!$F$39</f>
        <v>7698.07320763679</v>
      </c>
      <c r="AA33" s="28" t="n">
        <f aca="false">Z32*Assumptions!$F$39</f>
        <v>8349.9301629473</v>
      </c>
      <c r="AB33" s="28" t="n">
        <f aca="false">AA32*Assumptions!$F$39</f>
        <v>9035.67156972633</v>
      </c>
      <c r="AC33" s="28" t="n">
        <f aca="false">AB32*Assumptions!$F$39</f>
        <v>9757.51192509078</v>
      </c>
      <c r="AD33" s="28" t="n">
        <f aca="false">AC32*Assumptions!$F$39</f>
        <v>10517.8488091386</v>
      </c>
      <c r="AE33" s="28" t="n">
        <f aca="false">AD32*Assumptions!$F$39</f>
        <v>11319.2806036088</v>
      </c>
      <c r="AF33" s="28" t="n">
        <f aca="false">AE32*Assumptions!$F$39</f>
        <v>12164.6260627748</v>
      </c>
      <c r="AG33" s="28" t="n">
        <f aca="false">AF32*Assumptions!$F$39</f>
        <v>13056.9459364454</v>
      </c>
      <c r="AH33" s="28" t="n">
        <f aca="false">AG32*Assumptions!$F$39</f>
        <v>13999.5668667759</v>
      </c>
      <c r="AI33" s="28" t="n">
        <f aca="false">AH32*Assumptions!$F$39</f>
        <v>14996.1078048212</v>
      </c>
      <c r="AJ33" s="28" t="n">
        <f aca="false">AI32*Assumptions!$F$39</f>
        <v>16050.5092196449</v>
      </c>
      <c r="AK33" s="28" t="n">
        <f aca="false">AJ32*Assumptions!$F$39</f>
        <v>17167.0654026366</v>
      </c>
      <c r="AL33" s="28" t="n">
        <f aca="false">AK32*Assumptions!$F$39</f>
        <v>18350.4602027961</v>
      </c>
      <c r="AM33" s="28" t="n">
        <f aca="false">AL32*Assumptions!$F$39</f>
        <v>19605.8065654934</v>
      </c>
    </row>
    <row r="34" customFormat="false" ht="15" hidden="false" customHeight="false" outlineLevel="0" collapsed="false">
      <c r="A34" s="8" t="s">
        <v>344</v>
      </c>
      <c r="B34" s="8" t="s">
        <v>293</v>
      </c>
      <c r="C34" s="28" t="n">
        <f aca="false">SUM(D34:AM34)</f>
        <v>353917.248539981</v>
      </c>
      <c r="D34" s="28" t="n">
        <f aca="false">D31+D33</f>
        <v>0</v>
      </c>
      <c r="E34" s="28" t="n">
        <f aca="false">E31+E33</f>
        <v>0</v>
      </c>
      <c r="F34" s="28" t="n">
        <f aca="false">F31+F33</f>
        <v>0</v>
      </c>
      <c r="G34" s="28" t="n">
        <f aca="false">G31+G33</f>
        <v>0</v>
      </c>
      <c r="H34" s="28" t="n">
        <f aca="false">H31+H33</f>
        <v>739.534046346667</v>
      </c>
      <c r="I34" s="28" t="n">
        <f aca="false">I31+I33</f>
        <v>880.665586453867</v>
      </c>
      <c r="J34" s="28" t="n">
        <f aca="false">J31+J33</f>
        <v>3717.72223219064</v>
      </c>
      <c r="K34" s="28" t="n">
        <f aca="false">K31+K33</f>
        <v>2684.90258725988</v>
      </c>
      <c r="L34" s="28" t="n">
        <f aca="false">L31+L33</f>
        <v>3089.1394480534</v>
      </c>
      <c r="M34" s="28" t="n">
        <f aca="false">M31+M33</f>
        <v>3512.17569686755</v>
      </c>
      <c r="N34" s="28" t="n">
        <f aca="false">N31+N33</f>
        <v>3955.05259971791</v>
      </c>
      <c r="O34" s="28" t="n">
        <f aca="false">O31+O33</f>
        <v>4418.88489521515</v>
      </c>
      <c r="P34" s="28" t="n">
        <f aca="false">P31+P33</f>
        <v>4904.86723388375</v>
      </c>
      <c r="Q34" s="28" t="n">
        <f aca="false">Q31+Q33</f>
        <v>5414.28126009923</v>
      </c>
      <c r="R34" s="28" t="n">
        <f aca="false">R31+R33</f>
        <v>5948.50340470348</v>
      </c>
      <c r="S34" s="28" t="n">
        <f aca="false">S31+S33</f>
        <v>6509.01346373947</v>
      </c>
      <c r="T34" s="28" t="n">
        <f aca="false">T31+T33</f>
        <v>7097.4040469357</v>
      </c>
      <c r="U34" s="28" t="n">
        <f aca="false">U31+U33</f>
        <v>7715.39098865644</v>
      </c>
      <c r="V34" s="28" t="n">
        <f aca="false">V31+V33</f>
        <v>8364.82482411431</v>
      </c>
      <c r="W34" s="28" t="n">
        <f aca="false">W31+W33</f>
        <v>9047.70344482631</v>
      </c>
      <c r="X34" s="28" t="n">
        <f aca="false">X31+X33</f>
        <v>9766.18605970455</v>
      </c>
      <c r="Y34" s="28" t="n">
        <f aca="false">Y31+Y33</f>
        <v>10522.6086019428</v>
      </c>
      <c r="Z34" s="28" t="n">
        <f aca="false">Z31+Z33</f>
        <v>11319.5007371397</v>
      </c>
      <c r="AA34" s="28" t="n">
        <f aca="false">AA31+AA33</f>
        <v>12159.604645053</v>
      </c>
      <c r="AB34" s="28" t="n">
        <f aca="false">AB31+AB33</f>
        <v>13045.8957661955</v>
      </c>
      <c r="AC34" s="28" t="n">
        <f aca="false">AC31+AC33</f>
        <v>13981.6057253567</v>
      </c>
      <c r="AD34" s="28" t="n">
        <f aca="false">AD31+AD33</f>
        <v>14970.2476673063</v>
      </c>
      <c r="AE34" s="28" t="n">
        <f aca="false">AE31+AE33</f>
        <v>16015.6442656423</v>
      </c>
      <c r="AF34" s="28" t="n">
        <f aca="false">AF31+AF33</f>
        <v>17121.9586942781</v>
      </c>
      <c r="AG34" s="28" t="n">
        <f aca="false">AG31+AG33</f>
        <v>18293.728882726</v>
      </c>
      <c r="AH34" s="28" t="n">
        <f aca="false">AH31+AH33</f>
        <v>19535.9054114718</v>
      </c>
      <c r="AI34" s="28" t="n">
        <f aca="false">AI31+AI33</f>
        <v>20853.893442731</v>
      </c>
      <c r="AJ34" s="28" t="n">
        <f aca="false">AJ31+AJ33</f>
        <v>22253.5991251541</v>
      </c>
      <c r="AK34" s="28" t="n">
        <f aca="false">AK31+AK33</f>
        <v>23741.4809590782</v>
      </c>
      <c r="AL34" s="28" t="n">
        <f aca="false">AL31+AL33</f>
        <v>25324.6066622258</v>
      </c>
      <c r="AM34" s="28" t="n">
        <f aca="false">AM31+AM33</f>
        <v>27010.7161349112</v>
      </c>
    </row>
    <row r="35" customFormat="false" ht="15" hidden="false" customHeight="false" outlineLevel="0" collapsed="false">
      <c r="A35" s="5" t="s">
        <v>345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</row>
    <row r="36" customFormat="false" ht="15" hidden="false" customHeight="false" outlineLevel="0" collapsed="false">
      <c r="A36" s="8" t="s">
        <v>346</v>
      </c>
      <c r="B36" s="8" t="s">
        <v>50</v>
      </c>
      <c r="C36" s="27" t="n">
        <f aca="false">SUM(D36:AM36)</f>
        <v>202479342.001266</v>
      </c>
      <c r="D36" s="27" t="n">
        <f aca="false">D24*Assumptions!$F$30</f>
        <v>0</v>
      </c>
      <c r="E36" s="27" t="n">
        <f aca="false">E24*Assumptions!$F$30</f>
        <v>0</v>
      </c>
      <c r="F36" s="27" t="n">
        <f aca="false">F24*Assumptions!$F$30</f>
        <v>0</v>
      </c>
      <c r="G36" s="27" t="n">
        <f aca="false">G24*Assumptions!$F$30</f>
        <v>0</v>
      </c>
      <c r="H36" s="27" t="n">
        <f aca="false">H24*Assumptions!$F$30</f>
        <v>59215.8881003725</v>
      </c>
      <c r="I36" s="27" t="n">
        <f aca="false">I24*Assumptions!$F$30</f>
        <v>113151.996552149</v>
      </c>
      <c r="J36" s="27" t="n">
        <f aca="false">J24*Assumptions!$F$30</f>
        <v>654340.390281568</v>
      </c>
      <c r="K36" s="27" t="n">
        <f aca="false">K24*Assumptions!$F$30</f>
        <v>898932.692769094</v>
      </c>
      <c r="L36" s="27" t="n">
        <f aca="false">L24*Assumptions!$F$30</f>
        <v>1156412.97758876</v>
      </c>
      <c r="M36" s="27" t="n">
        <f aca="false">M24*Assumptions!$F$30</f>
        <v>1428344.51082246</v>
      </c>
      <c r="N36" s="27" t="n">
        <f aca="false">N24*Assumptions!$F$30</f>
        <v>1716351.05446578</v>
      </c>
      <c r="O36" s="27" t="n">
        <f aca="false">O24*Assumptions!$F$30</f>
        <v>2022129.89019066</v>
      </c>
      <c r="P36" s="27" t="n">
        <f aca="false">P24*Assumptions!$F$30</f>
        <v>2347465.51787611</v>
      </c>
      <c r="Q36" s="27" t="n">
        <f aca="false">Q24*Assumptions!$F$30</f>
        <v>2694244.18856697</v>
      </c>
      <c r="R36" s="27" t="n">
        <f aca="false">R24*Assumptions!$F$30</f>
        <v>3064469.44279064</v>
      </c>
      <c r="S36" s="27" t="n">
        <f aca="false">S24*Assumptions!$F$30</f>
        <v>3460278.83860622</v>
      </c>
      <c r="T36" s="27" t="n">
        <f aca="false">T24*Assumptions!$F$30</f>
        <v>3883962.06956198</v>
      </c>
      <c r="U36" s="27" t="n">
        <f aca="false">U24*Assumptions!$F$30</f>
        <v>4337980.69110771</v>
      </c>
      <c r="V36" s="27" t="n">
        <f aca="false">V24*Assumptions!$F$30</f>
        <v>4824989.69519304</v>
      </c>
      <c r="W36" s="27" t="n">
        <f aca="false">W24*Assumptions!$F$30</f>
        <v>5342306.66407012</v>
      </c>
      <c r="X36" s="27" t="n">
        <f aca="false">X24*Assumptions!$F$30</f>
        <v>5858046.10801094</v>
      </c>
      <c r="Y36" s="27" t="n">
        <f aca="false">Y24*Assumptions!$F$30</f>
        <v>6375489.71517289</v>
      </c>
      <c r="Z36" s="27" t="n">
        <f aca="false">Z24*Assumptions!$F$30</f>
        <v>6897838.91689062</v>
      </c>
      <c r="AA36" s="27" t="n">
        <f aca="false">AA24*Assumptions!$F$30</f>
        <v>7428246.35484032</v>
      </c>
      <c r="AB36" s="27" t="n">
        <f aca="false">AB24*Assumptions!$F$30</f>
        <v>7969846.6268971</v>
      </c>
      <c r="AC36" s="27" t="n">
        <f aca="false">AC24*Assumptions!$F$30</f>
        <v>8525786.64448515</v>
      </c>
      <c r="AD36" s="27" t="n">
        <f aca="false">AD24*Assumptions!$F$30</f>
        <v>9099255.92936873</v>
      </c>
      <c r="AE36" s="27" t="n">
        <f aca="false">AE24*Assumptions!$F$30</f>
        <v>9693517.17658318</v>
      </c>
      <c r="AF36" s="27" t="n">
        <f aca="false">AF24*Assumptions!$F$30</f>
        <v>10311937.4125413</v>
      </c>
      <c r="AG36" s="27" t="n">
        <f aca="false">AG24*Assumptions!$F$30</f>
        <v>10958020.0832917</v>
      </c>
      <c r="AH36" s="27" t="n">
        <f aca="false">AH24*Assumptions!$F$30</f>
        <v>11635438.4175176</v>
      </c>
      <c r="AI36" s="27" t="n">
        <f aca="false">AI24*Assumptions!$F$30</f>
        <v>12348070.4222411</v>
      </c>
      <c r="AJ36" s="27" t="n">
        <f aca="false">AJ24*Assumptions!$F$30</f>
        <v>13100035.8864933</v>
      </c>
      <c r="AK36" s="27" t="n">
        <f aca="false">AK24*Assumptions!$F$30</f>
        <v>13895735.7895969</v>
      </c>
      <c r="AL36" s="27" t="n">
        <f aca="false">AL24*Assumptions!$F$30</f>
        <v>14739894.5364299</v>
      </c>
      <c r="AM36" s="27" t="n">
        <f aca="false">AM24*Assumptions!$F$30</f>
        <v>15637605.4723615</v>
      </c>
    </row>
    <row r="37" customFormat="false" ht="15" hidden="false" customHeight="false" outlineLevel="0" collapsed="false">
      <c r="A37" s="8" t="s">
        <v>347</v>
      </c>
      <c r="B37" s="8" t="s">
        <v>50</v>
      </c>
      <c r="C37" s="27" t="n">
        <f aca="false">SUM(D37:AM37)</f>
        <v>27927579.761191</v>
      </c>
      <c r="D37" s="27" t="n">
        <f aca="false">D20*Assumptions!$F$31</f>
        <v>0</v>
      </c>
      <c r="E37" s="27" t="n">
        <f aca="false">E20*Assumptions!$F$31</f>
        <v>0</v>
      </c>
      <c r="F37" s="27" t="n">
        <f aca="false">F20*Assumptions!$F$31</f>
        <v>0</v>
      </c>
      <c r="G37" s="27" t="n">
        <f aca="false">G20*Assumptions!$F$31</f>
        <v>0</v>
      </c>
      <c r="H37" s="27" t="n">
        <f aca="false">H20*Assumptions!$F$31</f>
        <v>48183.8785809381</v>
      </c>
      <c r="I37" s="27" t="n">
        <f aca="false">I20*Assumptions!$F$31</f>
        <v>48706.1177248413</v>
      </c>
      <c r="J37" s="27" t="n">
        <f aca="false">J20*Assumptions!$F$31</f>
        <v>449571.338253892</v>
      </c>
      <c r="K37" s="27" t="n">
        <f aca="false">K20*Assumptions!$F$31</f>
        <v>252267.965164406</v>
      </c>
      <c r="L37" s="27" t="n">
        <f aca="false">L20*Assumptions!$F$31</f>
        <v>282657.335552361</v>
      </c>
      <c r="M37" s="27" t="n">
        <f aca="false">M20*Assumptions!$F$31</f>
        <v>315367.426359677</v>
      </c>
      <c r="N37" s="27" t="n">
        <f aca="false">N20*Assumptions!$F$31</f>
        <v>350574.665744419</v>
      </c>
      <c r="O37" s="27" t="n">
        <f aca="false">O20*Assumptions!$F$31</f>
        <v>388471.001824052</v>
      </c>
      <c r="P37" s="27" t="n">
        <f aca="false">P20*Assumptions!$F$31</f>
        <v>429265.511474657</v>
      </c>
      <c r="Q37" s="27" t="n">
        <f aca="false">Q20*Assumptions!$F$31</f>
        <v>473186.193951202</v>
      </c>
      <c r="R37" s="27" t="n">
        <f aca="false">R20*Assumptions!$F$31</f>
        <v>520481.971490471</v>
      </c>
      <c r="S37" s="27" t="n">
        <f aca="false">S20*Assumptions!$F$31</f>
        <v>571424.921744974</v>
      </c>
      <c r="T37" s="27" t="n">
        <f aca="false">T20*Assumptions!$F$31</f>
        <v>626312.769908078</v>
      </c>
      <c r="U37" s="27" t="n">
        <f aca="false">U20*Assumptions!$F$31</f>
        <v>685471.671766811</v>
      </c>
      <c r="V37" s="27" t="n">
        <f aca="false">V20*Assumptions!$F$31</f>
        <v>749259.322703137</v>
      </c>
      <c r="W37" s="27" t="n">
        <f aca="false">W20*Assumptions!$F$31</f>
        <v>813548.716812622</v>
      </c>
      <c r="X37" s="27" t="n">
        <f aca="false">X20*Assumptions!$F$31</f>
        <v>854359.090669378</v>
      </c>
      <c r="Y37" s="27" t="n">
        <f aca="false">Y20*Assumptions!$F$31</f>
        <v>897711.406250672</v>
      </c>
      <c r="Z37" s="27" t="n">
        <f aca="false">Z20*Assumptions!$F$31</f>
        <v>943807.389170215</v>
      </c>
      <c r="AA37" s="27" t="n">
        <f aca="false">AA20*Assumptions!$F$31</f>
        <v>992867.839340187</v>
      </c>
      <c r="AB37" s="27" t="n">
        <f aca="false">AB20*Assumptions!$F$31</f>
        <v>1045134.60452331</v>
      </c>
      <c r="AC37" s="27" t="n">
        <f aca="false">AC20*Assumptions!$F$31</f>
        <v>1100872.76599079</v>
      </c>
      <c r="AD37" s="27" t="n">
        <f aca="false">AD20*Assumptions!$F$31</f>
        <v>1160373.0594185</v>
      </c>
      <c r="AE37" s="27" t="n">
        <f aca="false">AE20*Assumptions!$F$31</f>
        <v>1223954.55669001</v>
      </c>
      <c r="AF37" s="27" t="n">
        <f aca="false">AF20*Assumptions!$F$31</f>
        <v>1291967.6370908</v>
      </c>
      <c r="AG37" s="27" t="n">
        <f aca="false">AG20*Assumptions!$F$31</f>
        <v>1364797.27950228</v>
      </c>
      <c r="AH37" s="27" t="n">
        <f aca="false">AH20*Assumptions!$F$31</f>
        <v>1442866.71067227</v>
      </c>
      <c r="AI37" s="27" t="n">
        <f aca="false">AI20*Assumptions!$F$31</f>
        <v>1526641.44848796</v>
      </c>
      <c r="AJ37" s="27" t="n">
        <f aca="false">AJ20*Assumptions!$F$31</f>
        <v>1616633.78344904</v>
      </c>
      <c r="AK37" s="27" t="n">
        <f aca="false">AK20*Assumptions!$F$31</f>
        <v>1713407.74628093</v>
      </c>
      <c r="AL37" s="27" t="n">
        <f aca="false">AL20*Assumptions!$F$31</f>
        <v>1817584.61489043</v>
      </c>
      <c r="AM37" s="27" t="n">
        <f aca="false">AM20*Assumptions!$F$31</f>
        <v>1929849.01970773</v>
      </c>
    </row>
    <row r="38" customFormat="false" ht="15" hidden="false" customHeight="false" outlineLevel="0" collapsed="false">
      <c r="A38" s="8" t="s">
        <v>348</v>
      </c>
      <c r="B38" s="8" t="s">
        <v>50</v>
      </c>
      <c r="C38" s="27" t="n">
        <f aca="false">SUM(D38:AM38)</f>
        <v>23526870.223064</v>
      </c>
      <c r="D38" s="27" t="n">
        <f aca="false">D26*Assumptions!$F$33</f>
        <v>0</v>
      </c>
      <c r="E38" s="27" t="n">
        <f aca="false">E26*Assumptions!$F$33</f>
        <v>0</v>
      </c>
      <c r="F38" s="27" t="n">
        <f aca="false">F26*Assumptions!$F$33</f>
        <v>0</v>
      </c>
      <c r="G38" s="27" t="n">
        <f aca="false">G26*Assumptions!$F$33</f>
        <v>0</v>
      </c>
      <c r="H38" s="27" t="n">
        <f aca="false">H26*Assumptions!$F$33</f>
        <v>40591.2674106085</v>
      </c>
      <c r="I38" s="27" t="n">
        <f aca="false">I26*Assumptions!$F$33</f>
        <v>41031.2143257754</v>
      </c>
      <c r="J38" s="27" t="n">
        <f aca="false">J26*Assumptions!$F$33</f>
        <v>378729.794044188</v>
      </c>
      <c r="K38" s="27" t="n">
        <f aca="false">K26*Assumptions!$F$33</f>
        <v>212516.64944153</v>
      </c>
      <c r="L38" s="27" t="n">
        <f aca="false">L26*Assumptions!$F$33</f>
        <v>238117.391768353</v>
      </c>
      <c r="M38" s="27" t="n">
        <f aca="false">M26*Assumptions!$F$33</f>
        <v>265673.165236334</v>
      </c>
      <c r="N38" s="27" t="n">
        <f aca="false">N26*Assumptions!$F$33</f>
        <v>295332.597202874</v>
      </c>
      <c r="O38" s="27" t="n">
        <f aca="false">O26*Assumptions!$F$33</f>
        <v>327257.389415414</v>
      </c>
      <c r="P38" s="27" t="n">
        <f aca="false">P26*Assumptions!$F$33</f>
        <v>361623.673302893</v>
      </c>
      <c r="Q38" s="27" t="n">
        <f aca="false">Q26*Assumptions!$F$33</f>
        <v>398623.520964952</v>
      </c>
      <c r="R38" s="27" t="n">
        <f aca="false">R26*Assumptions!$F$33</f>
        <v>438466.630528336</v>
      </c>
      <c r="S38" s="27" t="n">
        <f aca="false">S26*Assumptions!$F$33</f>
        <v>481382.206803342</v>
      </c>
      <c r="T38" s="27" t="n">
        <f aca="false">T26*Assumptions!$F$33</f>
        <v>527621.060710441</v>
      </c>
      <c r="U38" s="27" t="n">
        <f aca="false">U26*Assumptions!$F$33</f>
        <v>577457.953791434</v>
      </c>
      <c r="V38" s="27" t="n">
        <f aca="false">V26*Assumptions!$F$33</f>
        <v>631194.217307491</v>
      </c>
      <c r="W38" s="27" t="n">
        <f aca="false">W26*Assumptions!$F$33</f>
        <v>685353.161436088</v>
      </c>
      <c r="X38" s="27" t="n">
        <f aca="false">X26*Assumptions!$F$33</f>
        <v>719732.809715416</v>
      </c>
      <c r="Y38" s="27" t="n">
        <f aca="false">Y26*Assumptions!$F$33</f>
        <v>756253.851326324</v>
      </c>
      <c r="Z38" s="27" t="n">
        <f aca="false">Z26*Assumptions!$F$33</f>
        <v>795086.224816121</v>
      </c>
      <c r="AA38" s="27" t="n">
        <f aca="false">AA26*Assumptions!$F$33</f>
        <v>836415.937383551</v>
      </c>
      <c r="AB38" s="27" t="n">
        <f aca="false">AB26*Assumptions!$F$33</f>
        <v>880446.727446905</v>
      </c>
      <c r="AC38" s="27" t="n">
        <f aca="false">AC26*Assumptions!$F$33</f>
        <v>927401.905895275</v>
      </c>
      <c r="AD38" s="27" t="n">
        <f aca="false">AD26*Assumptions!$F$33</f>
        <v>977526.395510133</v>
      </c>
      <c r="AE38" s="27" t="n">
        <f aca="false">AE26*Assumptions!$F$33</f>
        <v>1031088.99018128</v>
      </c>
      <c r="AF38" s="27" t="n">
        <f aca="false">AF26*Assumptions!$F$33</f>
        <v>1088384.85791286</v>
      </c>
      <c r="AG38" s="27" t="n">
        <f aca="false">AG26*Assumptions!$F$33</f>
        <v>1149738.31424737</v>
      </c>
      <c r="AH38" s="27" t="n">
        <f aca="false">AH26*Assumptions!$F$33</f>
        <v>1215505.89565725</v>
      </c>
      <c r="AI38" s="27" t="n">
        <f aca="false">AI26*Assumptions!$F$33</f>
        <v>1286079.76569591</v>
      </c>
      <c r="AJ38" s="27" t="n">
        <f aca="false">AJ26*Assumptions!$F$33</f>
        <v>1361891.49029949</v>
      </c>
      <c r="AK38" s="27" t="n">
        <f aca="false">AK26*Assumptions!$F$33</f>
        <v>1443416.22262454</v>
      </c>
      <c r="AL38" s="27" t="n">
        <f aca="false">AL26*Assumptions!$F$33</f>
        <v>1531177.34224103</v>
      </c>
      <c r="AM38" s="27" t="n">
        <f aca="false">AM26*Assumptions!$F$33</f>
        <v>1625751.59842045</v>
      </c>
    </row>
    <row r="39" customFormat="false" ht="15" hidden="false" customHeight="false" outlineLevel="0" collapsed="false">
      <c r="A39" s="8" t="s">
        <v>349</v>
      </c>
      <c r="B39" s="8" t="s">
        <v>50</v>
      </c>
      <c r="C39" s="27" t="n">
        <f aca="false">SUM(D39:AM39)</f>
        <v>16070212.4630687</v>
      </c>
      <c r="D39" s="27" t="n">
        <f aca="false">D29*Assumptions!$F$34</f>
        <v>0</v>
      </c>
      <c r="E39" s="27" t="n">
        <f aca="false">E29*Assumptions!$F$34</f>
        <v>0</v>
      </c>
      <c r="F39" s="27" t="n">
        <f aca="false">F29*Assumptions!$F$34</f>
        <v>0</v>
      </c>
      <c r="G39" s="27" t="n">
        <f aca="false">G29*Assumptions!$F$34</f>
        <v>0</v>
      </c>
      <c r="H39" s="27" t="n">
        <f aca="false">H29*Assumptions!$F$34</f>
        <v>18379.4547703421</v>
      </c>
      <c r="I39" s="27" t="n">
        <f aca="false">I29*Assumptions!$F$34</f>
        <v>36039.1418269048</v>
      </c>
      <c r="J39" s="27" t="n">
        <f aca="false">J29*Assumptions!$F$34</f>
        <v>108173.421284909</v>
      </c>
      <c r="K39" s="27" t="n">
        <f aca="false">K29*Assumptions!$F$34</f>
        <v>140302.40557374</v>
      </c>
      <c r="L39" s="27" t="n">
        <f aca="false">L29*Assumptions!$F$34</f>
        <v>171516.671626429</v>
      </c>
      <c r="M39" s="27" t="n">
        <f aca="false">M29*Assumptions!$F$34</f>
        <v>201859.782365237</v>
      </c>
      <c r="N39" s="27" t="n">
        <f aca="false">N29*Assumptions!$F$34</f>
        <v>231371.747210774</v>
      </c>
      <c r="O39" s="27" t="n">
        <f aca="false">O29*Assumptions!$F$34</f>
        <v>260089.041520878</v>
      </c>
      <c r="P39" s="27" t="n">
        <f aca="false">P29*Assumptions!$F$34</f>
        <v>288044.604375055</v>
      </c>
      <c r="Q39" s="27" t="n">
        <f aca="false">Q29*Assumptions!$F$34</f>
        <v>315267.812761859</v>
      </c>
      <c r="R39" s="27" t="n">
        <f aca="false">R29*Assumptions!$F$34</f>
        <v>341784.429881204</v>
      </c>
      <c r="S39" s="27" t="n">
        <f aca="false">S29*Assumptions!$F$34</f>
        <v>367616.524883259</v>
      </c>
      <c r="T39" s="27" t="n">
        <f aca="false">T29*Assumptions!$F$34</f>
        <v>392782.36092395</v>
      </c>
      <c r="U39" s="27" t="n">
        <f aca="false">U29*Assumptions!$F$34</f>
        <v>417296.247917383</v>
      </c>
      <c r="V39" s="27" t="n">
        <f aca="false">V29*Assumptions!$F$34</f>
        <v>441168.355799636</v>
      </c>
      <c r="W39" s="27" t="n">
        <f aca="false">W29*Assumptions!$F$34</f>
        <v>464641.882654311</v>
      </c>
      <c r="X39" s="27" t="n">
        <f aca="false">X29*Assumptions!$F$34</f>
        <v>489225.770550828</v>
      </c>
      <c r="Y39" s="27" t="n">
        <f aca="false">Y29*Assumptions!$F$34</f>
        <v>515006.766488345</v>
      </c>
      <c r="Z39" s="27" t="n">
        <f aca="false">Z29*Assumptions!$F$34</f>
        <v>542078.570109257</v>
      </c>
      <c r="AA39" s="27" t="n">
        <f aca="false">AA29*Assumptions!$F$34</f>
        <v>570542.553599788</v>
      </c>
      <c r="AB39" s="27" t="n">
        <f aca="false">AB29*Assumptions!$F$34</f>
        <v>600508.556049498</v>
      </c>
      <c r="AC39" s="27" t="n">
        <f aca="false">AC29*Assumptions!$F$34</f>
        <v>632095.760417701</v>
      </c>
      <c r="AD39" s="27" t="n">
        <f aca="false">AD29*Assumptions!$F$34</f>
        <v>665433.662142049</v>
      </c>
      <c r="AE39" s="27" t="n">
        <f aca="false">AE29*Assumptions!$F$34</f>
        <v>700663.139409367</v>
      </c>
      <c r="AF39" s="27" t="n">
        <f aca="false">AF29*Assumptions!$F$34</f>
        <v>737937.636202005</v>
      </c>
      <c r="AG39" s="27" t="n">
        <f aca="false">AG29*Assumptions!$F$34</f>
        <v>777424.470446353</v>
      </c>
      <c r="AH39" s="27" t="n">
        <f aca="false">AH29*Assumptions!$F$34</f>
        <v>819306.280936969</v>
      </c>
      <c r="AI39" s="27" t="n">
        <f aca="false">AI29*Assumptions!$F$34</f>
        <v>863782.628204673</v>
      </c>
      <c r="AJ39" s="27" t="n">
        <f aca="false">AJ29*Assumptions!$F$34</f>
        <v>911071.766156196</v>
      </c>
      <c r="AK39" s="27" t="n">
        <f aca="false">AK29*Assumptions!$F$34</f>
        <v>961412.603154644</v>
      </c>
      <c r="AL39" s="27" t="n">
        <f aca="false">AL29*Assumptions!$F$34</f>
        <v>1015066.87325415</v>
      </c>
      <c r="AM39" s="27" t="n">
        <f aca="false">AM29*Assumptions!$F$34</f>
        <v>1072321.54057097</v>
      </c>
    </row>
    <row r="40" customFormat="false" ht="15" hidden="false" customHeight="false" outlineLevel="0" collapsed="false">
      <c r="A40" s="8" t="s">
        <v>350</v>
      </c>
      <c r="B40" s="8" t="s">
        <v>50</v>
      </c>
      <c r="C40" s="27" t="n">
        <f aca="false">SUM(D40:AM40)</f>
        <v>30082966.1258984</v>
      </c>
      <c r="D40" s="27" t="n">
        <f aca="false">D34*Assumptions!$F$38</f>
        <v>0</v>
      </c>
      <c r="E40" s="27" t="n">
        <f aca="false">E34*Assumptions!$F$38</f>
        <v>0</v>
      </c>
      <c r="F40" s="27" t="n">
        <f aca="false">F34*Assumptions!$F$38</f>
        <v>0</v>
      </c>
      <c r="G40" s="27" t="n">
        <f aca="false">G34*Assumptions!$F$38</f>
        <v>0</v>
      </c>
      <c r="H40" s="27" t="n">
        <f aca="false">H34*Assumptions!$F$38</f>
        <v>62860.3939394667</v>
      </c>
      <c r="I40" s="27" t="n">
        <f aca="false">I34*Assumptions!$F$38</f>
        <v>74856.5748485787</v>
      </c>
      <c r="J40" s="27" t="n">
        <f aca="false">J34*Assumptions!$F$38</f>
        <v>316006.389736205</v>
      </c>
      <c r="K40" s="27" t="n">
        <f aca="false">K34*Assumptions!$F$38</f>
        <v>228216.71991709</v>
      </c>
      <c r="L40" s="27" t="n">
        <f aca="false">L34*Assumptions!$F$38</f>
        <v>262576.853084539</v>
      </c>
      <c r="M40" s="27" t="n">
        <f aca="false">M34*Assumptions!$F$38</f>
        <v>298534.934233742</v>
      </c>
      <c r="N40" s="27" t="n">
        <f aca="false">N34*Assumptions!$F$38</f>
        <v>336179.470976022</v>
      </c>
      <c r="O40" s="27" t="n">
        <f aca="false">O34*Assumptions!$F$38</f>
        <v>375605.216093288</v>
      </c>
      <c r="P40" s="27" t="n">
        <f aca="false">P34*Assumptions!$F$38</f>
        <v>416913.714880119</v>
      </c>
      <c r="Q40" s="27" t="n">
        <f aca="false">Q34*Assumptions!$F$38</f>
        <v>460213.907108435</v>
      </c>
      <c r="R40" s="27" t="n">
        <f aca="false">R34*Assumptions!$F$38</f>
        <v>505622.789399796</v>
      </c>
      <c r="S40" s="27" t="n">
        <f aca="false">S34*Assumptions!$F$38</f>
        <v>553266.144417855</v>
      </c>
      <c r="T40" s="27" t="n">
        <f aca="false">T34*Assumptions!$F$38</f>
        <v>603279.343989534</v>
      </c>
      <c r="U40" s="27" t="n">
        <f aca="false">U34*Assumptions!$F$38</f>
        <v>655808.234035797</v>
      </c>
      <c r="V40" s="27" t="n">
        <f aca="false">V34*Assumptions!$F$38</f>
        <v>711010.110049717</v>
      </c>
      <c r="W40" s="27" t="n">
        <f aca="false">W34*Assumptions!$F$38</f>
        <v>769054.792810237</v>
      </c>
      <c r="X40" s="27" t="n">
        <f aca="false">X34*Assumptions!$F$38</f>
        <v>830125.815074886</v>
      </c>
      <c r="Y40" s="27" t="n">
        <f aca="false">Y34*Assumptions!$F$38</f>
        <v>894421.731165139</v>
      </c>
      <c r="Z40" s="27" t="n">
        <f aca="false">Z34*Assumptions!$F$38</f>
        <v>962157.562656871</v>
      </c>
      <c r="AA40" s="27" t="n">
        <f aca="false">AA34*Assumptions!$F$38</f>
        <v>1033566.39482951</v>
      </c>
      <c r="AB40" s="27" t="n">
        <f aca="false">AB34*Assumptions!$F$38</f>
        <v>1108901.14012662</v>
      </c>
      <c r="AC40" s="27" t="n">
        <f aca="false">AC34*Assumptions!$F$38</f>
        <v>1188436.48665532</v>
      </c>
      <c r="AD40" s="27" t="n">
        <f aca="false">AD34*Assumptions!$F$38</f>
        <v>1272471.05172103</v>
      </c>
      <c r="AE40" s="27" t="n">
        <f aca="false">AE34*Assumptions!$F$38</f>
        <v>1361329.76257959</v>
      </c>
      <c r="AF40" s="27" t="n">
        <f aca="false">AF34*Assumptions!$F$38</f>
        <v>1455366.48901364</v>
      </c>
      <c r="AG40" s="27" t="n">
        <f aca="false">AG34*Assumptions!$F$38</f>
        <v>1554966.95503171</v>
      </c>
      <c r="AH40" s="27" t="n">
        <f aca="false">AH34*Assumptions!$F$38</f>
        <v>1660551.9599751</v>
      </c>
      <c r="AI40" s="27" t="n">
        <f aca="false">AI34*Assumptions!$F$38</f>
        <v>1772580.94263213</v>
      </c>
      <c r="AJ40" s="27" t="n">
        <f aca="false">AJ34*Assumptions!$F$38</f>
        <v>1891555.9256381</v>
      </c>
      <c r="AK40" s="27" t="n">
        <f aca="false">AK34*Assumptions!$F$38</f>
        <v>2018025.88152165</v>
      </c>
      <c r="AL40" s="27" t="n">
        <f aca="false">AL34*Assumptions!$F$38</f>
        <v>2152591.5662892</v>
      </c>
      <c r="AM40" s="27" t="n">
        <f aca="false">AM34*Assumptions!$F$38</f>
        <v>2295910.87146745</v>
      </c>
    </row>
    <row r="41" customFormat="false" ht="15" hidden="false" customHeight="false" outlineLevel="0" collapsed="false">
      <c r="A41" s="29" t="s">
        <v>351</v>
      </c>
      <c r="B41" s="8" t="s">
        <v>50</v>
      </c>
      <c r="C41" s="31" t="n">
        <f aca="false">SUM(D41:AM41)</f>
        <v>300086970.574488</v>
      </c>
      <c r="D41" s="31" t="n">
        <f aca="false">D36+D37+D38+D39+D40</f>
        <v>0</v>
      </c>
      <c r="E41" s="31" t="n">
        <f aca="false">E36+E37+E38+E39+E40</f>
        <v>0</v>
      </c>
      <c r="F41" s="31" t="n">
        <f aca="false">F36+F37+F38+F39+F40</f>
        <v>0</v>
      </c>
      <c r="G41" s="31" t="n">
        <f aca="false">G36+G37+G38+G39+G40</f>
        <v>0</v>
      </c>
      <c r="H41" s="31" t="n">
        <f aca="false">H36+H37+H38+H39+H40</f>
        <v>229230.882801728</v>
      </c>
      <c r="I41" s="31" t="n">
        <f aca="false">I36+I37+I38+I39+I40</f>
        <v>313785.045278249</v>
      </c>
      <c r="J41" s="31" t="n">
        <f aca="false">J36+J37+J38+J39+J40</f>
        <v>1906821.33360076</v>
      </c>
      <c r="K41" s="31" t="n">
        <f aca="false">K36+K37+K38+K39+K40</f>
        <v>1732236.43286586</v>
      </c>
      <c r="L41" s="31" t="n">
        <f aca="false">L36+L37+L38+L39+L40</f>
        <v>2111281.22962044</v>
      </c>
      <c r="M41" s="31" t="n">
        <f aca="false">M36+M37+M38+M39+M40</f>
        <v>2509779.81901745</v>
      </c>
      <c r="N41" s="31" t="n">
        <f aca="false">N36+N37+N38+N39+N40</f>
        <v>2929809.53559987</v>
      </c>
      <c r="O41" s="31" t="n">
        <f aca="false">O36+O37+O38+O39+O40</f>
        <v>3373552.53904429</v>
      </c>
      <c r="P41" s="31" t="n">
        <f aca="false">P36+P37+P38+P39+P40</f>
        <v>3843313.02190884</v>
      </c>
      <c r="Q41" s="31" t="n">
        <f aca="false">Q36+Q37+Q38+Q39+Q40</f>
        <v>4341535.62335342</v>
      </c>
      <c r="R41" s="31" t="n">
        <f aca="false">R36+R37+R38+R39+R40</f>
        <v>4870825.26409044</v>
      </c>
      <c r="S41" s="31" t="n">
        <f aca="false">S36+S37+S38+S39+S40</f>
        <v>5433968.63645565</v>
      </c>
      <c r="T41" s="31" t="n">
        <f aca="false">T36+T37+T38+T39+T40</f>
        <v>6033957.60509399</v>
      </c>
      <c r="U41" s="31" t="n">
        <f aca="false">U36+U37+U38+U39+U40</f>
        <v>6674014.79861914</v>
      </c>
      <c r="V41" s="31" t="n">
        <f aca="false">V36+V37+V38+V39+V40</f>
        <v>7357621.70105302</v>
      </c>
      <c r="W41" s="31" t="n">
        <f aca="false">W36+W37+W38+W39+W40</f>
        <v>8074905.21778338</v>
      </c>
      <c r="X41" s="31" t="n">
        <f aca="false">X36+X37+X38+X39+X40</f>
        <v>8751489.59402144</v>
      </c>
      <c r="Y41" s="31" t="n">
        <f aca="false">Y36+Y37+Y38+Y39+Y40</f>
        <v>9438883.47040337</v>
      </c>
      <c r="Z41" s="31" t="n">
        <f aca="false">Z36+Z37+Z38+Z39+Z40</f>
        <v>10140968.6636431</v>
      </c>
      <c r="AA41" s="31" t="n">
        <f aca="false">AA36+AA37+AA38+AA39+AA40</f>
        <v>10861639.0799933</v>
      </c>
      <c r="AB41" s="31" t="n">
        <f aca="false">AB36+AB37+AB38+AB39+AB40</f>
        <v>11604837.6550434</v>
      </c>
      <c r="AC41" s="31" t="n">
        <f aca="false">AC36+AC37+AC38+AC39+AC40</f>
        <v>12374593.5634442</v>
      </c>
      <c r="AD41" s="31" t="n">
        <f aca="false">AD36+AD37+AD38+AD39+AD40</f>
        <v>13175060.0981604</v>
      </c>
      <c r="AE41" s="31" t="n">
        <f aca="false">AE36+AE37+AE38+AE39+AE40</f>
        <v>14010553.6254434</v>
      </c>
      <c r="AF41" s="31" t="n">
        <f aca="false">AF36+AF37+AF38+AF39+AF40</f>
        <v>14885594.0327606</v>
      </c>
      <c r="AG41" s="31" t="n">
        <f aca="false">AG36+AG37+AG38+AG39+AG40</f>
        <v>15804947.1025194</v>
      </c>
      <c r="AH41" s="31" t="n">
        <f aca="false">AH36+AH37+AH38+AH39+AH40</f>
        <v>16773669.2647592</v>
      </c>
      <c r="AI41" s="31" t="n">
        <f aca="false">AI36+AI37+AI38+AI39+AI40</f>
        <v>17797155.2072618</v>
      </c>
      <c r="AJ41" s="31" t="n">
        <f aca="false">AJ36+AJ37+AJ38+AJ39+AJ40</f>
        <v>18881188.8520361</v>
      </c>
      <c r="AK41" s="31" t="n">
        <f aca="false">AK36+AK37+AK38+AK39+AK40</f>
        <v>20031998.2431787</v>
      </c>
      <c r="AL41" s="31" t="n">
        <f aca="false">AL36+AL37+AL38+AL39+AL40</f>
        <v>21256314.9331047</v>
      </c>
      <c r="AM41" s="31" t="n">
        <f aca="false">AM36+AM37+AM38+AM39+AM40</f>
        <v>22561438.5025281</v>
      </c>
    </row>
    <row r="42" customFormat="false" ht="15" hidden="false" customHeight="false" outlineLevel="0" collapsed="false">
      <c r="A42" s="8" t="s">
        <v>352</v>
      </c>
      <c r="B42" s="8" t="s">
        <v>50</v>
      </c>
      <c r="C42" s="27" t="n">
        <f aca="false">SUM(D42:AM42)</f>
        <v>-7502174.2643622</v>
      </c>
      <c r="D42" s="27" t="n">
        <f aca="false">-D41*Assumptions!$F$50</f>
        <v>-0</v>
      </c>
      <c r="E42" s="27" t="n">
        <f aca="false">-E41*Assumptions!$F$50</f>
        <v>-0</v>
      </c>
      <c r="F42" s="27" t="n">
        <f aca="false">-F41*Assumptions!$F$50</f>
        <v>-0</v>
      </c>
      <c r="G42" s="27" t="n">
        <f aca="false">-G41*Assumptions!$F$50</f>
        <v>-0</v>
      </c>
      <c r="H42" s="27" t="n">
        <f aca="false">-H41*Assumptions!$F$50</f>
        <v>-5730.7720700432</v>
      </c>
      <c r="I42" s="27" t="n">
        <f aca="false">-I41*Assumptions!$F$50</f>
        <v>-7844.62613195622</v>
      </c>
      <c r="J42" s="27" t="n">
        <f aca="false">-J41*Assumptions!$F$50</f>
        <v>-47670.533340019</v>
      </c>
      <c r="K42" s="27" t="n">
        <f aca="false">-K41*Assumptions!$F$50</f>
        <v>-43305.9108216465</v>
      </c>
      <c r="L42" s="27" t="n">
        <f aca="false">-L41*Assumptions!$F$50</f>
        <v>-52782.0307405109</v>
      </c>
      <c r="M42" s="27" t="n">
        <f aca="false">-M41*Assumptions!$F$50</f>
        <v>-62744.4954754363</v>
      </c>
      <c r="N42" s="27" t="n">
        <f aca="false">-N41*Assumptions!$F$50</f>
        <v>-73245.2383899967</v>
      </c>
      <c r="O42" s="27" t="n">
        <f aca="false">-O41*Assumptions!$F$50</f>
        <v>-84338.8134761073</v>
      </c>
      <c r="P42" s="27" t="n">
        <f aca="false">-P41*Assumptions!$F$50</f>
        <v>-96082.825547721</v>
      </c>
      <c r="Q42" s="27" t="n">
        <f aca="false">-Q41*Assumptions!$F$50</f>
        <v>-108538.390583835</v>
      </c>
      <c r="R42" s="27" t="n">
        <f aca="false">-R41*Assumptions!$F$50</f>
        <v>-121770.631602261</v>
      </c>
      <c r="S42" s="27" t="n">
        <f aca="false">-S41*Assumptions!$F$50</f>
        <v>-135849.215911391</v>
      </c>
      <c r="T42" s="27" t="n">
        <f aca="false">-T41*Assumptions!$F$50</f>
        <v>-150848.94012735</v>
      </c>
      <c r="U42" s="27" t="n">
        <f aca="false">-U41*Assumptions!$F$50</f>
        <v>-166850.369965478</v>
      </c>
      <c r="V42" s="27" t="n">
        <f aca="false">-V41*Assumptions!$F$50</f>
        <v>-183940.542526326</v>
      </c>
      <c r="W42" s="27" t="n">
        <f aca="false">-W41*Assumptions!$F$50</f>
        <v>-201872.630444584</v>
      </c>
      <c r="X42" s="27" t="n">
        <f aca="false">-X41*Assumptions!$F$50</f>
        <v>-218787.239850536</v>
      </c>
      <c r="Y42" s="27" t="n">
        <f aca="false">-Y41*Assumptions!$F$50</f>
        <v>-235972.086760084</v>
      </c>
      <c r="Z42" s="27" t="n">
        <f aca="false">-Z41*Assumptions!$F$50</f>
        <v>-253524.216591077</v>
      </c>
      <c r="AA42" s="27" t="n">
        <f aca="false">-AA41*Assumptions!$F$50</f>
        <v>-271540.976999834</v>
      </c>
      <c r="AB42" s="27" t="n">
        <f aca="false">-AB41*Assumptions!$F$50</f>
        <v>-290120.941376086</v>
      </c>
      <c r="AC42" s="27" t="n">
        <f aca="false">-AC41*Assumptions!$F$50</f>
        <v>-309364.839086106</v>
      </c>
      <c r="AD42" s="27" t="n">
        <f aca="false">-AD41*Assumptions!$F$50</f>
        <v>-329376.502454011</v>
      </c>
      <c r="AE42" s="27" t="n">
        <f aca="false">-AE41*Assumptions!$F$50</f>
        <v>-350263.840636086</v>
      </c>
      <c r="AF42" s="27" t="n">
        <f aca="false">-AF41*Assumptions!$F$50</f>
        <v>-372139.850819014</v>
      </c>
      <c r="AG42" s="27" t="n">
        <f aca="false">-AG41*Assumptions!$F$50</f>
        <v>-395123.677562986</v>
      </c>
      <c r="AH42" s="27" t="n">
        <f aca="false">-AH41*Assumptions!$F$50</f>
        <v>-419341.731618979</v>
      </c>
      <c r="AI42" s="27" t="n">
        <f aca="false">-AI41*Assumptions!$F$50</f>
        <v>-444928.880181544</v>
      </c>
      <c r="AJ42" s="27" t="n">
        <f aca="false">-AJ41*Assumptions!$F$50</f>
        <v>-472029.721300903</v>
      </c>
      <c r="AK42" s="27" t="n">
        <f aca="false">-AK41*Assumptions!$F$50</f>
        <v>-500799.956079468</v>
      </c>
      <c r="AL42" s="27" t="n">
        <f aca="false">-AL41*Assumptions!$F$50</f>
        <v>-531407.873327619</v>
      </c>
      <c r="AM42" s="27" t="n">
        <f aca="false">-AM41*Assumptions!$F$50</f>
        <v>-564035.962563203</v>
      </c>
    </row>
    <row r="43" customFormat="false" ht="15" hidden="false" customHeight="false" outlineLevel="0" collapsed="false">
      <c r="A43" s="29" t="s">
        <v>353</v>
      </c>
      <c r="B43" s="8" t="s">
        <v>50</v>
      </c>
      <c r="C43" s="31" t="n">
        <f aca="false">SUM(D43:AM43)</f>
        <v>292584796.310126</v>
      </c>
      <c r="D43" s="31" t="n">
        <f aca="false">D41+D42</f>
        <v>0</v>
      </c>
      <c r="E43" s="31" t="n">
        <f aca="false">E41+E42</f>
        <v>0</v>
      </c>
      <c r="F43" s="31" t="n">
        <f aca="false">F41+F42</f>
        <v>0</v>
      </c>
      <c r="G43" s="31" t="n">
        <f aca="false">G41+G42</f>
        <v>0</v>
      </c>
      <c r="H43" s="31" t="n">
        <f aca="false">H41+H42</f>
        <v>223500.110731685</v>
      </c>
      <c r="I43" s="31" t="n">
        <f aca="false">I41+I42</f>
        <v>305940.419146293</v>
      </c>
      <c r="J43" s="31" t="n">
        <f aca="false">J41+J42</f>
        <v>1859150.80026074</v>
      </c>
      <c r="K43" s="31" t="n">
        <f aca="false">K41+K42</f>
        <v>1688930.52204421</v>
      </c>
      <c r="L43" s="31" t="n">
        <f aca="false">L41+L42</f>
        <v>2058499.19887993</v>
      </c>
      <c r="M43" s="31" t="n">
        <f aca="false">M41+M42</f>
        <v>2447035.32354202</v>
      </c>
      <c r="N43" s="31" t="n">
        <f aca="false">N41+N42</f>
        <v>2856564.29720987</v>
      </c>
      <c r="O43" s="31" t="n">
        <f aca="false">O41+O42</f>
        <v>3289213.72556818</v>
      </c>
      <c r="P43" s="31" t="n">
        <f aca="false">P41+P42</f>
        <v>3747230.19636112</v>
      </c>
      <c r="Q43" s="31" t="n">
        <f aca="false">Q41+Q42</f>
        <v>4232997.23276958</v>
      </c>
      <c r="R43" s="31" t="n">
        <f aca="false">R41+R42</f>
        <v>4749054.63248818</v>
      </c>
      <c r="S43" s="31" t="n">
        <f aca="false">S41+S42</f>
        <v>5298119.42054426</v>
      </c>
      <c r="T43" s="31" t="n">
        <f aca="false">T41+T42</f>
        <v>5883108.66496664</v>
      </c>
      <c r="U43" s="31" t="n">
        <f aca="false">U41+U42</f>
        <v>6507164.42865366</v>
      </c>
      <c r="V43" s="31" t="n">
        <f aca="false">V41+V42</f>
        <v>7173681.1585267</v>
      </c>
      <c r="W43" s="31" t="n">
        <f aca="false">W41+W42</f>
        <v>7873032.58733879</v>
      </c>
      <c r="X43" s="31" t="n">
        <f aca="false">X41+X42</f>
        <v>8532702.35417091</v>
      </c>
      <c r="Y43" s="31" t="n">
        <f aca="false">Y41+Y42</f>
        <v>9202911.38364329</v>
      </c>
      <c r="Z43" s="31" t="n">
        <f aca="false">Z41+Z42</f>
        <v>9887444.44705201</v>
      </c>
      <c r="AA43" s="31" t="n">
        <f aca="false">AA41+AA42</f>
        <v>10590098.1029935</v>
      </c>
      <c r="AB43" s="31" t="n">
        <f aca="false">AB41+AB42</f>
        <v>11314716.7136673</v>
      </c>
      <c r="AC43" s="31" t="n">
        <f aca="false">AC41+AC42</f>
        <v>12065228.7243581</v>
      </c>
      <c r="AD43" s="31" t="n">
        <f aca="false">AD41+AD42</f>
        <v>12845683.5957064</v>
      </c>
      <c r="AE43" s="31" t="n">
        <f aca="false">AE41+AE42</f>
        <v>13660289.7848074</v>
      </c>
      <c r="AF43" s="31" t="n">
        <f aca="false">AF41+AF42</f>
        <v>14513454.1819416</v>
      </c>
      <c r="AG43" s="31" t="n">
        <f aca="false">AG41+AG42</f>
        <v>15409823.4249564</v>
      </c>
      <c r="AH43" s="31" t="n">
        <f aca="false">AH41+AH42</f>
        <v>16354327.5331402</v>
      </c>
      <c r="AI43" s="31" t="n">
        <f aca="false">AI41+AI42</f>
        <v>17352226.3270802</v>
      </c>
      <c r="AJ43" s="31" t="n">
        <f aca="false">AJ41+AJ42</f>
        <v>18409159.1307352</v>
      </c>
      <c r="AK43" s="31" t="n">
        <f aca="false">AK41+AK42</f>
        <v>19531198.2870992</v>
      </c>
      <c r="AL43" s="31" t="n">
        <f aca="false">AL41+AL42</f>
        <v>20724907.0597771</v>
      </c>
      <c r="AM43" s="31" t="n">
        <f aca="false">AM41+AM42</f>
        <v>21997402.5399649</v>
      </c>
    </row>
    <row r="44" customFormat="false" ht="15" hidden="false" customHeight="false" outlineLevel="0" collapsed="false">
      <c r="A44" s="5" t="s">
        <v>149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</row>
    <row r="45" customFormat="false" ht="15" hidden="false" customHeight="false" outlineLevel="0" collapsed="false">
      <c r="A45" s="8" t="s">
        <v>354</v>
      </c>
      <c r="B45" s="8" t="s">
        <v>50</v>
      </c>
      <c r="C45" s="27" t="n">
        <f aca="false">SUM(D45:AM45)</f>
        <v>-57561016.9568816</v>
      </c>
      <c r="D45" s="27" t="n">
        <f aca="false">-D24*Assumptions!$F$44</f>
        <v>-0</v>
      </c>
      <c r="E45" s="27" t="n">
        <f aca="false">-E24*Assumptions!$F$44</f>
        <v>-0</v>
      </c>
      <c r="F45" s="27" t="n">
        <f aca="false">-F24*Assumptions!$F$44</f>
        <v>-0</v>
      </c>
      <c r="G45" s="27" t="n">
        <f aca="false">-G24*Assumptions!$F$44</f>
        <v>-0</v>
      </c>
      <c r="H45" s="27" t="n">
        <f aca="false">-H24*Assumptions!$F$44</f>
        <v>-16833.9481221795</v>
      </c>
      <c r="I45" s="27" t="n">
        <f aca="false">-I24*Assumptions!$F$44</f>
        <v>-32166.9555415808</v>
      </c>
      <c r="J45" s="27" t="n">
        <f aca="false">-J24*Assumptions!$F$44</f>
        <v>-186016.498909476</v>
      </c>
      <c r="K45" s="27" t="n">
        <f aca="false">-K24*Assumptions!$F$44</f>
        <v>-255549.427710278</v>
      </c>
      <c r="L45" s="27" t="n">
        <f aca="false">-L24*Assumptions!$F$44</f>
        <v>-328746.164197472</v>
      </c>
      <c r="M45" s="27" t="n">
        <f aca="false">-M24*Assumptions!$F$44</f>
        <v>-406051.115116754</v>
      </c>
      <c r="N45" s="27" t="n">
        <f aca="false">-N24*Assumptions!$F$44</f>
        <v>-487925.8850488</v>
      </c>
      <c r="O45" s="27" t="n">
        <f aca="false">-O24*Assumptions!$F$44</f>
        <v>-574852.978816743</v>
      </c>
      <c r="P45" s="27" t="n">
        <f aca="false">-P24*Assumptions!$F$44</f>
        <v>-667339.69571729</v>
      </c>
      <c r="Q45" s="27" t="n">
        <f aca="false">-Q24*Assumptions!$F$44</f>
        <v>-765922.260963855</v>
      </c>
      <c r="R45" s="27" t="n">
        <f aca="false">-R24*Assumptions!$F$44</f>
        <v>-871170.242933793</v>
      </c>
      <c r="S45" s="27" t="n">
        <f aca="false">-S24*Assumptions!$F$44</f>
        <v>-983691.308633876</v>
      </c>
      <c r="T45" s="27" t="n">
        <f aca="false">-T24*Assumptions!$F$44</f>
        <v>-1104136.3742902</v>
      </c>
      <c r="U45" s="27" t="n">
        <f aca="false">-U24*Assumptions!$F$44</f>
        <v>-1233205.21319116</v>
      </c>
      <c r="V45" s="27" t="n">
        <f aca="false">-V24*Assumptions!$F$44</f>
        <v>-1371652.58893448</v>
      </c>
      <c r="W45" s="27" t="n">
        <f aca="false">-W24*Assumptions!$F$44</f>
        <v>-1518715.94129084</v>
      </c>
      <c r="X45" s="27" t="n">
        <f aca="false">-X24*Assumptions!$F$44</f>
        <v>-1665330.83338104</v>
      </c>
      <c r="Y45" s="27" t="n">
        <f aca="false">-Y24*Assumptions!$F$44</f>
        <v>-1812430.18658761</v>
      </c>
      <c r="Z45" s="27" t="n">
        <f aca="false">-Z24*Assumptions!$F$44</f>
        <v>-1960924.10680837</v>
      </c>
      <c r="AA45" s="27" t="n">
        <f aca="false">-AA24*Assumptions!$F$44</f>
        <v>-2111708.82997133</v>
      </c>
      <c r="AB45" s="27" t="n">
        <f aca="false">-AB24*Assumptions!$F$44</f>
        <v>-2265675.46249583</v>
      </c>
      <c r="AC45" s="27" t="n">
        <f aca="false">-AC24*Assumptions!$F$44</f>
        <v>-2423718.61130849</v>
      </c>
      <c r="AD45" s="27" t="n">
        <f aca="false">-AD24*Assumptions!$F$44</f>
        <v>-2586744.99664328</v>
      </c>
      <c r="AE45" s="27" t="n">
        <f aca="false">-AE24*Assumptions!$F$44</f>
        <v>-2755682.14050024</v>
      </c>
      <c r="AF45" s="27" t="n">
        <f aca="false">-AF24*Assumptions!$F$44</f>
        <v>-2931487.22430103</v>
      </c>
      <c r="AG45" s="27" t="n">
        <f aca="false">-AG24*Assumptions!$F$44</f>
        <v>-3115156.21096921</v>
      </c>
      <c r="AH45" s="27" t="n">
        <f aca="false">-AH24*Assumptions!$F$44</f>
        <v>-3307733.32939463</v>
      </c>
      <c r="AI45" s="27" t="n">
        <f aca="false">-AI24*Assumptions!$F$44</f>
        <v>-3510321.02304513</v>
      </c>
      <c r="AJ45" s="27" t="n">
        <f aca="false">-AJ24*Assumptions!$F$44</f>
        <v>-3724090.46940445</v>
      </c>
      <c r="AK45" s="27" t="n">
        <f aca="false">-AK24*Assumptions!$F$44</f>
        <v>-3950292.78299579</v>
      </c>
      <c r="AL45" s="27" t="n">
        <f aca="false">-AL24*Assumptions!$F$44</f>
        <v>-4190271.02206202</v>
      </c>
      <c r="AM45" s="27" t="n">
        <f aca="false">-AM24*Assumptions!$F$44</f>
        <v>-4445473.12759442</v>
      </c>
    </row>
    <row r="46" customFormat="false" ht="15" hidden="false" customHeight="false" outlineLevel="0" collapsed="false">
      <c r="A46" s="8" t="s">
        <v>355</v>
      </c>
      <c r="B46" s="8" t="s">
        <v>50</v>
      </c>
      <c r="C46" s="27" t="n">
        <f aca="false">SUM(D46:AM46)</f>
        <v>-13428899.4136562</v>
      </c>
      <c r="D46" s="27" t="n">
        <f aca="false">-(D21*Assumptions!$F$45+D24*Assumptions!$F$46)</f>
        <v>-0</v>
      </c>
      <c r="E46" s="27" t="n">
        <f aca="false">-(E21*Assumptions!$F$45+E24*Assumptions!$F$46)</f>
        <v>-0</v>
      </c>
      <c r="F46" s="27" t="n">
        <f aca="false">-(F21*Assumptions!$F$45+F24*Assumptions!$F$46)</f>
        <v>-0</v>
      </c>
      <c r="G46" s="27" t="n">
        <f aca="false">-(G21*Assumptions!$F$45+G24*Assumptions!$F$46)</f>
        <v>-0</v>
      </c>
      <c r="H46" s="27" t="n">
        <f aca="false">-(H21*Assumptions!$F$45+H24*Assumptions!$F$46)</f>
        <v>-16376.8651424321</v>
      </c>
      <c r="I46" s="27" t="n">
        <f aca="false">-(I21*Assumptions!$F$45+I24*Assumptions!$F$46)</f>
        <v>-17802.0578008259</v>
      </c>
      <c r="J46" s="27" t="n">
        <f aca="false">-(J21*Assumptions!$F$45+J24*Assumptions!$F$46)</f>
        <v>-155185.644360423</v>
      </c>
      <c r="K46" s="27" t="n">
        <f aca="false">-(K21*Assumptions!$F$45+K24*Assumptions!$F$46)</f>
        <v>-99528.6139279427</v>
      </c>
      <c r="L46" s="27" t="n">
        <f aca="false">-(L21*Assumptions!$F$45+L24*Assumptions!$F$46)</f>
        <v>-115011.051249546</v>
      </c>
      <c r="M46" s="27" t="n">
        <f aca="false">-(M21*Assumptions!$F$45+M24*Assumptions!$F$46)</f>
        <v>-131553.814020861</v>
      </c>
      <c r="N46" s="27" t="n">
        <f aca="false">-(N21*Assumptions!$F$45+N24*Assumptions!$F$46)</f>
        <v>-149249.805497054</v>
      </c>
      <c r="O46" s="27" t="n">
        <f aca="false">-(O21*Assumptions!$F$45+O24*Assumptions!$F$46)</f>
        <v>-168198.478561541</v>
      </c>
      <c r="P46" s="27" t="n">
        <f aca="false">-(P21*Assumptions!$F$45+P24*Assumptions!$F$46)</f>
        <v>-188506.65694269</v>
      </c>
      <c r="Q46" s="27" t="n">
        <f aca="false">-(Q21*Assumptions!$F$45+Q24*Assumptions!$F$46)</f>
        <v>-210289.433465502</v>
      </c>
      <c r="R46" s="27" t="n">
        <f aca="false">-(R21*Assumptions!$F$45+R24*Assumptions!$F$46)</f>
        <v>-233671.15623472</v>
      </c>
      <c r="S46" s="27" t="n">
        <f aca="false">-(S21*Assumptions!$F$45+S24*Assumptions!$F$46)</f>
        <v>-258786.514796389</v>
      </c>
      <c r="T46" s="27" t="n">
        <f aca="false">-(T21*Assumptions!$F$45+T24*Assumptions!$F$46)</f>
        <v>-285781.739631902</v>
      </c>
      <c r="U46" s="27" t="n">
        <f aca="false">-(U21*Assumptions!$F$45+U24*Assumptions!$F$46)</f>
        <v>-314815.929819011</v>
      </c>
      <c r="V46" s="27" t="n">
        <f aca="false">-(V21*Assumptions!$F$45+V24*Assumptions!$F$46)</f>
        <v>-346062.525367606</v>
      </c>
      <c r="W46" s="27" t="n">
        <f aca="false">-(W21*Assumptions!$F$45+W24*Assumptions!$F$46)</f>
        <v>-378174.769807486</v>
      </c>
      <c r="X46" s="27" t="n">
        <f aca="false">-(X21*Assumptions!$F$45+X24*Assumptions!$F$46)</f>
        <v>-402945.49814682</v>
      </c>
      <c r="Y46" s="27" t="n">
        <f aca="false">-(Y21*Assumptions!$F$45+Y24*Assumptions!$F$46)</f>
        <v>-428546.949598274</v>
      </c>
      <c r="Z46" s="27" t="n">
        <f aca="false">-(Z21*Assumptions!$F$45+Z24*Assumptions!$F$46)</f>
        <v>-455116.833139135</v>
      </c>
      <c r="AA46" s="27" t="n">
        <f aca="false">-(AA21*Assumptions!$F$45+AA24*Assumptions!$F$46)</f>
        <v>-482797.649740076</v>
      </c>
      <c r="AB46" s="27" t="n">
        <f aca="false">-(AB21*Assumptions!$F$45+AB24*Assumptions!$F$46)</f>
        <v>-511738.026161809</v>
      </c>
      <c r="AC46" s="27" t="n">
        <f aca="false">-(AC21*Assumptions!$F$45+AC24*Assumptions!$F$46)</f>
        <v>-542094.105644763</v>
      </c>
      <c r="AD46" s="27" t="n">
        <f aca="false">-(AD21*Assumptions!$F$45+AD24*Assumptions!$F$46)</f>
        <v>-574031.010366184</v>
      </c>
      <c r="AE46" s="27" t="n">
        <f aca="false">-(AE21*Assumptions!$F$45+AE24*Assumptions!$F$46)</f>
        <v>-607724.391299003</v>
      </c>
      <c r="AF46" s="27" t="n">
        <f aca="false">-(AF21*Assumptions!$F$45+AF24*Assumptions!$F$46)</f>
        <v>-643362.082037354</v>
      </c>
      <c r="AG46" s="27" t="n">
        <f aca="false">-(AG21*Assumptions!$F$45+AG24*Assumptions!$F$46)</f>
        <v>-681145.874264839</v>
      </c>
      <c r="AH46" s="27" t="n">
        <f aca="false">-(AH21*Assumptions!$F$45+AH24*Assumptions!$F$46)</f>
        <v>-721293.433845572</v>
      </c>
      <c r="AI46" s="27" t="n">
        <f aca="false">-(AI21*Assumptions!$F$45+AI24*Assumptions!$F$46)</f>
        <v>-764040.378028728</v>
      </c>
      <c r="AJ46" s="27" t="n">
        <f aca="false">-(AJ21*Assumptions!$F$45+AJ24*Assumptions!$F$46)</f>
        <v>-809642.535991308</v>
      </c>
      <c r="AK46" s="27" t="n">
        <f aca="false">-(AK21*Assumptions!$F$45+AK24*Assumptions!$F$46)</f>
        <v>-858378.416919733</v>
      </c>
      <c r="AL46" s="27" t="n">
        <f aca="false">-(AL21*Assumptions!$F$45+AL24*Assumptions!$F$46)</f>
        <v>-910551.912070367</v>
      </c>
      <c r="AM46" s="27" t="n">
        <f aca="false">-(AM21*Assumptions!$F$45+AM24*Assumptions!$F$46)</f>
        <v>-966495.259776323</v>
      </c>
    </row>
    <row r="47" customFormat="false" ht="15" hidden="false" customHeight="false" outlineLevel="0" collapsed="false">
      <c r="A47" s="8" t="s">
        <v>356</v>
      </c>
      <c r="B47" s="8" t="s">
        <v>50</v>
      </c>
      <c r="C47" s="27" t="n">
        <f aca="false">SUM(D47:AM47)</f>
        <v>-12694354.436905</v>
      </c>
      <c r="D47" s="27" t="n">
        <f aca="false">-D26*Assumptions!$F$48</f>
        <v>-0</v>
      </c>
      <c r="E47" s="27" t="n">
        <f aca="false">-E26*Assumptions!$F$48</f>
        <v>-0</v>
      </c>
      <c r="F47" s="27" t="n">
        <f aca="false">-F26*Assumptions!$F$48</f>
        <v>-0</v>
      </c>
      <c r="G47" s="27" t="n">
        <f aca="false">-G26*Assumptions!$F$48</f>
        <v>-0</v>
      </c>
      <c r="H47" s="27" t="n">
        <f aca="false">-H26*Assumptions!$F$48</f>
        <v>-21901.7629913355</v>
      </c>
      <c r="I47" s="27" t="n">
        <f aca="false">-I26*Assumptions!$F$48</f>
        <v>-22139.1444203824</v>
      </c>
      <c r="J47" s="27" t="n">
        <f aca="false">-J26*Assumptions!$F$48</f>
        <v>-204350.608297224</v>
      </c>
      <c r="K47" s="27" t="n">
        <f aca="false">-K26*Assumptions!$F$48</f>
        <v>-114667.256892912</v>
      </c>
      <c r="L47" s="27" t="n">
        <f aca="false">-L26*Assumptions!$F$48</f>
        <v>-128480.607069255</v>
      </c>
      <c r="M47" s="27" t="n">
        <f aca="false">-M26*Assumptions!$F$48</f>
        <v>-143348.83016349</v>
      </c>
      <c r="N47" s="27" t="n">
        <f aca="false">-N26*Assumptions!$F$48</f>
        <v>-159352.120792918</v>
      </c>
      <c r="O47" s="27" t="n">
        <f aca="false">-O26*Assumptions!$F$48</f>
        <v>-176577.728101842</v>
      </c>
      <c r="P47" s="27" t="n">
        <f aca="false">-P26*Assumptions!$F$48</f>
        <v>-195120.687033935</v>
      </c>
      <c r="Q47" s="27" t="n">
        <f aca="false">-Q26*Assumptions!$F$48</f>
        <v>-215084.633614183</v>
      </c>
      <c r="R47" s="27" t="n">
        <f aca="false">-R26*Assumptions!$F$48</f>
        <v>-236582.71431385</v>
      </c>
      <c r="S47" s="27" t="n">
        <f aca="false">-S26*Assumptions!$F$48</f>
        <v>-259738.60079317</v>
      </c>
      <c r="T47" s="27" t="n">
        <f aca="false">-T26*Assumptions!$F$48</f>
        <v>-284687.62268549</v>
      </c>
      <c r="U47" s="27" t="n">
        <f aca="false">-U26*Assumptions!$F$48</f>
        <v>-311578.032621278</v>
      </c>
      <c r="V47" s="27" t="n">
        <f aca="false">-V26*Assumptions!$F$48</f>
        <v>-340572.419410517</v>
      </c>
      <c r="W47" s="27" t="n">
        <f aca="false">-W26*Assumptions!$F$48</f>
        <v>-369794.871278465</v>
      </c>
      <c r="X47" s="27" t="n">
        <f aca="false">-X26*Assumptions!$F$48</f>
        <v>-388345.041213354</v>
      </c>
      <c r="Y47" s="27" t="n">
        <f aca="false">-Y26*Assumptions!$F$48</f>
        <v>-408050.639204851</v>
      </c>
      <c r="Z47" s="27" t="n">
        <f aca="false">-Z26*Assumptions!$F$48</f>
        <v>-429003.358713734</v>
      </c>
      <c r="AA47" s="27" t="n">
        <f aca="false">-AA26*Assumptions!$F$48</f>
        <v>-451303.563336448</v>
      </c>
      <c r="AB47" s="27" t="n">
        <f aca="false">-AB26*Assumptions!$F$48</f>
        <v>-475061.18387423</v>
      </c>
      <c r="AC47" s="27" t="n">
        <f aca="false">-AC26*Assumptions!$F$48</f>
        <v>-500396.711813997</v>
      </c>
      <c r="AD47" s="27" t="n">
        <f aca="false">-AD26*Assumptions!$F$48</f>
        <v>-527442.299735683</v>
      </c>
      <c r="AE47" s="27" t="n">
        <f aca="false">-AE26*Assumptions!$F$48</f>
        <v>-556342.980313641</v>
      </c>
      <c r="AF47" s="27" t="n">
        <f aca="false">-AF26*Assumptions!$F$48</f>
        <v>-587258.016859455</v>
      </c>
      <c r="AG47" s="27" t="n">
        <f aca="false">-AG26*Assumptions!$F$48</f>
        <v>-620362.399773762</v>
      </c>
      <c r="AH47" s="27" t="n">
        <f aca="false">-AH26*Assumptions!$F$48</f>
        <v>-655848.504851033</v>
      </c>
      <c r="AI47" s="27" t="n">
        <f aca="false">-AI26*Assumptions!$F$48</f>
        <v>-693927.931130889</v>
      </c>
      <c r="AJ47" s="27" t="n">
        <f aca="false">-AJ26*Assumptions!$F$48</f>
        <v>-734833.53793138</v>
      </c>
      <c r="AK47" s="27" t="n">
        <f aca="false">-AK26*Assumptions!$F$48</f>
        <v>-778821.702854969</v>
      </c>
      <c r="AL47" s="27" t="n">
        <f aca="false">-AL26*Assumptions!$F$48</f>
        <v>-826174.824950197</v>
      </c>
      <c r="AM47" s="27" t="n">
        <f aca="false">-AM26*Assumptions!$F$48</f>
        <v>-877204.099867148</v>
      </c>
    </row>
    <row r="48" customFormat="false" ht="15" hidden="false" customHeight="false" outlineLevel="0" collapsed="false">
      <c r="A48" s="8" t="s">
        <v>357</v>
      </c>
      <c r="B48" s="8" t="s">
        <v>50</v>
      </c>
      <c r="C48" s="27" t="n">
        <f aca="false">SUM(D48:AM48)</f>
        <v>-8803449.65222895</v>
      </c>
      <c r="D48" s="27" t="n">
        <f aca="false">-D24*Assumptions!$F$47</f>
        <v>-0</v>
      </c>
      <c r="E48" s="27" t="n">
        <f aca="false">-E24*Assumptions!$F$47</f>
        <v>-0</v>
      </c>
      <c r="F48" s="27" t="n">
        <f aca="false">-F24*Assumptions!$F$47</f>
        <v>-0</v>
      </c>
      <c r="G48" s="27" t="n">
        <f aca="false">-G24*Assumptions!$F$47</f>
        <v>-0</v>
      </c>
      <c r="H48" s="27" t="n">
        <f aca="false">-H24*Assumptions!$F$47</f>
        <v>-2574.60383045098</v>
      </c>
      <c r="I48" s="27" t="n">
        <f aca="false">-I24*Assumptions!$F$47</f>
        <v>-4919.65202400647</v>
      </c>
      <c r="J48" s="27" t="n">
        <f aca="false">-J24*Assumptions!$F$47</f>
        <v>-28449.5821861551</v>
      </c>
      <c r="K48" s="27" t="n">
        <f aca="false">-K24*Assumptions!$F$47</f>
        <v>-39084.0301203954</v>
      </c>
      <c r="L48" s="27" t="n">
        <f aca="false">-L24*Assumptions!$F$47</f>
        <v>-50278.8251125546</v>
      </c>
      <c r="M48" s="27" t="n">
        <f aca="false">-M24*Assumptions!$F$47</f>
        <v>-62101.9352531506</v>
      </c>
      <c r="N48" s="27" t="n">
        <f aca="false">-N24*Assumptions!$F$47</f>
        <v>-74623.9588898165</v>
      </c>
      <c r="O48" s="27" t="n">
        <f aca="false">-O24*Assumptions!$F$47</f>
        <v>-87918.6908778547</v>
      </c>
      <c r="P48" s="27" t="n">
        <f aca="false">-P24*Assumptions!$F$47</f>
        <v>-102063.718168527</v>
      </c>
      <c r="Q48" s="27" t="n">
        <f aca="false">-Q24*Assumptions!$F$47</f>
        <v>-117141.051676825</v>
      </c>
      <c r="R48" s="27" t="n">
        <f aca="false">-R24*Assumptions!$F$47</f>
        <v>-133237.801860462</v>
      </c>
      <c r="S48" s="27" t="n">
        <f aca="false">-S24*Assumptions!$F$47</f>
        <v>-150446.906026357</v>
      </c>
      <c r="T48" s="27" t="n">
        <f aca="false">-T24*Assumptions!$F$47</f>
        <v>-168867.916067912</v>
      </c>
      <c r="U48" s="27" t="n">
        <f aca="false">-U24*Assumptions!$F$47</f>
        <v>-188607.856135118</v>
      </c>
      <c r="V48" s="27" t="n">
        <f aca="false">-V24*Assumptions!$F$47</f>
        <v>-209782.160660567</v>
      </c>
      <c r="W48" s="27" t="n">
        <f aca="false">-W24*Assumptions!$F$47</f>
        <v>-232274.202785657</v>
      </c>
      <c r="X48" s="27" t="n">
        <f aca="false">-X24*Assumptions!$F$47</f>
        <v>-254697.656870041</v>
      </c>
      <c r="Y48" s="27" t="n">
        <f aca="false">-Y24*Assumptions!$F$47</f>
        <v>-277195.205007517</v>
      </c>
      <c r="Z48" s="27" t="n">
        <f aca="false">-Z24*Assumptions!$F$47</f>
        <v>-299906.03986481</v>
      </c>
      <c r="AA48" s="27" t="n">
        <f aca="false">-AA24*Assumptions!$F$47</f>
        <v>-322967.232819144</v>
      </c>
      <c r="AB48" s="27" t="n">
        <f aca="false">-AB24*Assumptions!$F$47</f>
        <v>-346515.070734656</v>
      </c>
      <c r="AC48" s="27" t="n">
        <f aca="false">-AC24*Assumptions!$F$47</f>
        <v>-370686.375847181</v>
      </c>
      <c r="AD48" s="27" t="n">
        <f aca="false">-AD24*Assumptions!$F$47</f>
        <v>-395619.823016031</v>
      </c>
      <c r="AE48" s="27" t="n">
        <f aca="false">-AE24*Assumptions!$F$47</f>
        <v>-421457.268547095</v>
      </c>
      <c r="AF48" s="27" t="n">
        <f aca="false">-AF24*Assumptions!$F$47</f>
        <v>-448345.104893099</v>
      </c>
      <c r="AG48" s="27" t="n">
        <f aca="false">-AG24*Assumptions!$F$47</f>
        <v>-476435.655795292</v>
      </c>
      <c r="AH48" s="27" t="n">
        <f aca="false">-AH24*Assumptions!$F$47</f>
        <v>-505888.626848591</v>
      </c>
      <c r="AI48" s="27" t="n">
        <f aca="false">-AI24*Assumptions!$F$47</f>
        <v>-536872.627053961</v>
      </c>
      <c r="AJ48" s="27" t="n">
        <f aca="false">-AJ24*Assumptions!$F$47</f>
        <v>-569566.777673621</v>
      </c>
      <c r="AK48" s="27" t="n">
        <f aca="false">-AK24*Assumptions!$F$47</f>
        <v>-604162.42563465</v>
      </c>
      <c r="AL48" s="27" t="n">
        <f aca="false">-AL24*Assumptions!$F$47</f>
        <v>-640864.979844779</v>
      </c>
      <c r="AM48" s="27" t="n">
        <f aca="false">-AM24*Assumptions!$F$47</f>
        <v>-679895.890102675</v>
      </c>
    </row>
    <row r="49" customFormat="false" ht="15" hidden="false" customHeight="false" outlineLevel="0" collapsed="false">
      <c r="A49" s="8" t="s">
        <v>358</v>
      </c>
      <c r="B49" s="8" t="s">
        <v>50</v>
      </c>
      <c r="C49" s="27" t="n">
        <f aca="false">SUM(D49:AM49)</f>
        <v>-12103969.9000673</v>
      </c>
      <c r="D49" s="27" t="n">
        <f aca="false">-(D40*Assumptions!$F$52+D34*Assumptions!$F$53)</f>
        <v>-0</v>
      </c>
      <c r="E49" s="27" t="n">
        <f aca="false">-(E40*Assumptions!$F$52+E34*Assumptions!$F$53)</f>
        <v>-0</v>
      </c>
      <c r="F49" s="27" t="n">
        <f aca="false">-(F40*Assumptions!$F$52+F34*Assumptions!$F$53)</f>
        <v>-0</v>
      </c>
      <c r="G49" s="27" t="n">
        <f aca="false">-(G40*Assumptions!$F$52+G34*Assumptions!$F$53)</f>
        <v>-0</v>
      </c>
      <c r="H49" s="27" t="n">
        <f aca="false">-(H40*Assumptions!$F$52+H34*Assumptions!$F$53)</f>
        <v>-25292.064385056</v>
      </c>
      <c r="I49" s="27" t="n">
        <f aca="false">-(I40*Assumptions!$F$52+I34*Assumptions!$F$53)</f>
        <v>-30118.7630567222</v>
      </c>
      <c r="J49" s="27" t="n">
        <f aca="false">-(J40*Assumptions!$F$52+J34*Assumptions!$F$53)</f>
        <v>-127146.10034092</v>
      </c>
      <c r="K49" s="27" t="n">
        <f aca="false">-(K40*Assumptions!$F$52+K34*Assumptions!$F$53)</f>
        <v>-91823.668484288</v>
      </c>
      <c r="L49" s="27" t="n">
        <f aca="false">-(L40*Assumptions!$F$52+L34*Assumptions!$F$53)</f>
        <v>-105648.569123426</v>
      </c>
      <c r="M49" s="27" t="n">
        <f aca="false">-(M40*Assumptions!$F$52+M34*Assumptions!$F$53)</f>
        <v>-120116.40883287</v>
      </c>
      <c r="N49" s="27" t="n">
        <f aca="false">-(N40*Assumptions!$F$52+N34*Assumptions!$F$53)</f>
        <v>-135262.798910353</v>
      </c>
      <c r="O49" s="27" t="n">
        <f aca="false">-(O40*Assumptions!$F$52+O34*Assumptions!$F$53)</f>
        <v>-151125.863416358</v>
      </c>
      <c r="P49" s="27" t="n">
        <f aca="false">-(P40*Assumptions!$F$52+P34*Assumptions!$F$53)</f>
        <v>-167746.459398824</v>
      </c>
      <c r="Q49" s="27" t="n">
        <f aca="false">-(Q40*Assumptions!$F$52+Q34*Assumptions!$F$53)</f>
        <v>-185168.419095394</v>
      </c>
      <c r="R49" s="27" t="n">
        <f aca="false">-(R40*Assumptions!$F$52+R34*Assumptions!$F$53)</f>
        <v>-203438.816440859</v>
      </c>
      <c r="S49" s="27" t="n">
        <f aca="false">-(S40*Assumptions!$F$52+S34*Assumptions!$F$53)</f>
        <v>-222608.26045989</v>
      </c>
      <c r="T49" s="27" t="n">
        <f aca="false">-(T40*Assumptions!$F$52+T34*Assumptions!$F$53)</f>
        <v>-242731.218405201</v>
      </c>
      <c r="U49" s="27" t="n">
        <f aca="false">-(U40*Assumptions!$F$52+U34*Assumptions!$F$53)</f>
        <v>-263866.37181205</v>
      </c>
      <c r="V49" s="27" t="n">
        <f aca="false">-(V40*Assumptions!$F$52+V34*Assumptions!$F$53)</f>
        <v>-286077.00898471</v>
      </c>
      <c r="W49" s="27" t="n">
        <f aca="false">-(W40*Assumptions!$F$52+W34*Assumptions!$F$53)</f>
        <v>-309431.45781306</v>
      </c>
      <c r="X49" s="27" t="n">
        <f aca="false">-(X40*Assumptions!$F$52+X34*Assumptions!$F$53)</f>
        <v>-334003.563241895</v>
      </c>
      <c r="Y49" s="27" t="n">
        <f aca="false">-(Y40*Assumptions!$F$52+Y34*Assumptions!$F$53)</f>
        <v>-359873.214186444</v>
      </c>
      <c r="Z49" s="27" t="n">
        <f aca="false">-(Z40*Assumptions!$F$52+Z34*Assumptions!$F$53)</f>
        <v>-387126.925210176</v>
      </c>
      <c r="AA49" s="27" t="n">
        <f aca="false">-(AA40*Assumptions!$F$52+AA34*Assumptions!$F$53)</f>
        <v>-415858.478860813</v>
      </c>
      <c r="AB49" s="27" t="n">
        <f aca="false">-(AB40*Assumptions!$F$52+AB34*Assumptions!$F$53)</f>
        <v>-446169.635203886</v>
      </c>
      <c r="AC49" s="27" t="n">
        <f aca="false">-(AC40*Assumptions!$F$52+AC34*Assumptions!$F$53)</f>
        <v>-478170.915807198</v>
      </c>
      <c r="AD49" s="27" t="n">
        <f aca="false">-(AD40*Assumptions!$F$52+AD34*Assumptions!$F$53)</f>
        <v>-511982.470221875</v>
      </c>
      <c r="AE49" s="27" t="n">
        <f aca="false">-(AE40*Assumptions!$F$52+AE34*Assumptions!$F$53)</f>
        <v>-547735.033884966</v>
      </c>
      <c r="AF49" s="27" t="n">
        <f aca="false">-(AF40*Assumptions!$F$52+AF34*Assumptions!$F$53)</f>
        <v>-585570.987344311</v>
      </c>
      <c r="AG49" s="27" t="n">
        <f aca="false">-(AG40*Assumptions!$F$52+AG34*Assumptions!$F$53)</f>
        <v>-625645.527789229</v>
      </c>
      <c r="AH49" s="27" t="n">
        <f aca="false">-(AH40*Assumptions!$F$52+AH34*Assumptions!$F$53)</f>
        <v>-668127.965072335</v>
      </c>
      <c r="AI49" s="27" t="n">
        <f aca="false">-(AI40*Assumptions!$F$52+AI34*Assumptions!$F$53)</f>
        <v>-713203.1557414</v>
      </c>
      <c r="AJ49" s="27" t="n">
        <f aca="false">-(AJ40*Assumptions!$F$52+AJ34*Assumptions!$F$53)</f>
        <v>-761073.090080271</v>
      </c>
      <c r="AK49" s="27" t="n">
        <f aca="false">-(AK40*Assumptions!$F$52+AK34*Assumptions!$F$53)</f>
        <v>-811958.648800476</v>
      </c>
      <c r="AL49" s="27" t="n">
        <f aca="false">-(AL40*Assumptions!$F$52+AL34*Assumptions!$F$53)</f>
        <v>-866101.547848124</v>
      </c>
      <c r="AM49" s="27" t="n">
        <f aca="false">-(AM40*Assumptions!$F$52+AM34*Assumptions!$F$53)</f>
        <v>-923766.491813962</v>
      </c>
    </row>
    <row r="50" customFormat="false" ht="15" hidden="false" customHeight="false" outlineLevel="0" collapsed="false">
      <c r="A50" s="8" t="s">
        <v>359</v>
      </c>
      <c r="B50" s="8" t="s">
        <v>50</v>
      </c>
      <c r="C50" s="27" t="n">
        <f aca="false">SUM(D50:AM50)</f>
        <v>-824113.459644547</v>
      </c>
      <c r="D50" s="27" t="n">
        <f aca="false">-D29*Assumptions!$F$54</f>
        <v>-0</v>
      </c>
      <c r="E50" s="27" t="n">
        <f aca="false">-E29*Assumptions!$F$54</f>
        <v>-0</v>
      </c>
      <c r="F50" s="27" t="n">
        <f aca="false">-F29*Assumptions!$F$54</f>
        <v>-0</v>
      </c>
      <c r="G50" s="27" t="n">
        <f aca="false">-G29*Assumptions!$F$54</f>
        <v>-0</v>
      </c>
      <c r="H50" s="27" t="n">
        <f aca="false">-H29*Assumptions!$F$54</f>
        <v>-942.536142068827</v>
      </c>
      <c r="I50" s="27" t="n">
        <f aca="false">-I29*Assumptions!$F$54</f>
        <v>-1848.16111932845</v>
      </c>
      <c r="J50" s="27" t="n">
        <f aca="false">-J29*Assumptions!$F$54</f>
        <v>-5547.35493768764</v>
      </c>
      <c r="K50" s="27" t="n">
        <f aca="false">-K29*Assumptions!$F$54</f>
        <v>-7194.99515762768</v>
      </c>
      <c r="L50" s="27" t="n">
        <f aca="false">-L29*Assumptions!$F$54</f>
        <v>-8795.72675007328</v>
      </c>
      <c r="M50" s="27" t="n">
        <f aca="false">-M29*Assumptions!$F$54</f>
        <v>-10351.7837110378</v>
      </c>
      <c r="N50" s="27" t="n">
        <f aca="false">-N29*Assumptions!$F$54</f>
        <v>-11865.2178056807</v>
      </c>
      <c r="O50" s="27" t="n">
        <f aca="false">-O29*Assumptions!$F$54</f>
        <v>-13337.8995651732</v>
      </c>
      <c r="P50" s="27" t="n">
        <f aca="false">-P29*Assumptions!$F$54</f>
        <v>-14771.5181730798</v>
      </c>
      <c r="Q50" s="27" t="n">
        <f aca="false">-Q29*Assumptions!$F$54</f>
        <v>-16167.5801416338</v>
      </c>
      <c r="R50" s="27" t="n">
        <f aca="false">-R29*Assumptions!$F$54</f>
        <v>-17527.4066605746</v>
      </c>
      <c r="S50" s="27" t="n">
        <f aca="false">-S29*Assumptions!$F$54</f>
        <v>-18852.1294811928</v>
      </c>
      <c r="T50" s="27" t="n">
        <f aca="false">-T29*Assumptions!$F$54</f>
        <v>-20142.6851755872</v>
      </c>
      <c r="U50" s="27" t="n">
        <f aca="false">-U29*Assumptions!$F$54</f>
        <v>-21399.8075855068</v>
      </c>
      <c r="V50" s="27" t="n">
        <f aca="false">-V29*Assumptions!$F$54</f>
        <v>-22624.0182461352</v>
      </c>
      <c r="W50" s="27" t="n">
        <f aca="false">-W29*Assumptions!$F$54</f>
        <v>-23827.7888540672</v>
      </c>
      <c r="X50" s="27" t="n">
        <f aca="false">-X29*Assumptions!$F$54</f>
        <v>-25088.5010538886</v>
      </c>
      <c r="Y50" s="27" t="n">
        <f aca="false">-Y29*Assumptions!$F$54</f>
        <v>-26410.6034096587</v>
      </c>
      <c r="Z50" s="27" t="n">
        <f aca="false">-Z29*Assumptions!$F$54</f>
        <v>-27798.9010312439</v>
      </c>
      <c r="AA50" s="27" t="n">
        <f aca="false">-AA29*Assumptions!$F$54</f>
        <v>-29258.5924922968</v>
      </c>
      <c r="AB50" s="27" t="n">
        <f aca="false">-AB29*Assumptions!$F$54</f>
        <v>-30795.3105666409</v>
      </c>
      <c r="AC50" s="27" t="n">
        <f aca="false">-AC29*Assumptions!$F$54</f>
        <v>-32415.1672009077</v>
      </c>
      <c r="AD50" s="27" t="n">
        <f aca="false">-AD29*Assumptions!$F$54</f>
        <v>-34124.8031867717</v>
      </c>
      <c r="AE50" s="27" t="n">
        <f aca="false">-AE29*Assumptions!$F$54</f>
        <v>-35931.4430466342</v>
      </c>
      <c r="AF50" s="27" t="n">
        <f aca="false">-AF29*Assumptions!$F$54</f>
        <v>-37842.9557026669</v>
      </c>
      <c r="AG50" s="27" t="n">
        <f aca="false">-AG29*Assumptions!$F$54</f>
        <v>-39867.9215613514</v>
      </c>
      <c r="AH50" s="27" t="n">
        <f aca="false">-AH29*Assumptions!$F$54</f>
        <v>-42015.7067147164</v>
      </c>
      <c r="AI50" s="27" t="n">
        <f aca="false">-AI29*Assumptions!$F$54</f>
        <v>-44296.5450361371</v>
      </c>
      <c r="AJ50" s="27" t="n">
        <f aca="false">-AJ29*Assumptions!$F$54</f>
        <v>-46721.6290336511</v>
      </c>
      <c r="AK50" s="27" t="n">
        <f aca="false">-AK29*Assumptions!$F$54</f>
        <v>-49303.2104181869</v>
      </c>
      <c r="AL50" s="27" t="n">
        <f aca="false">-AL29*Assumptions!$F$54</f>
        <v>-52054.711448931</v>
      </c>
      <c r="AM50" s="27" t="n">
        <f aca="false">-AM29*Assumptions!$F$54</f>
        <v>-54990.8482344089</v>
      </c>
    </row>
    <row r="51" customFormat="false" ht="15" hidden="false" customHeight="false" outlineLevel="0" collapsed="false">
      <c r="A51" s="8" t="s">
        <v>360</v>
      </c>
      <c r="B51" s="8" t="s">
        <v>50</v>
      </c>
      <c r="C51" s="27" t="n">
        <f aca="false">SUM(D51:AM51)</f>
        <v>-8102348.20551117</v>
      </c>
      <c r="D51" s="27" t="n">
        <f aca="false">-D41*Assumptions!$F$49</f>
        <v>-0</v>
      </c>
      <c r="E51" s="27" t="n">
        <f aca="false">-E41*Assumptions!$F$49</f>
        <v>-0</v>
      </c>
      <c r="F51" s="27" t="n">
        <f aca="false">-F41*Assumptions!$F$49</f>
        <v>-0</v>
      </c>
      <c r="G51" s="27" t="n">
        <f aca="false">-G41*Assumptions!$F$49</f>
        <v>-0</v>
      </c>
      <c r="H51" s="27" t="n">
        <f aca="false">-H41*Assumptions!$F$49</f>
        <v>-6189.23383564665</v>
      </c>
      <c r="I51" s="27" t="n">
        <f aca="false">-I41*Assumptions!$F$49</f>
        <v>-8472.19622251272</v>
      </c>
      <c r="J51" s="27" t="n">
        <f aca="false">-J41*Assumptions!$F$49</f>
        <v>-51484.1760072205</v>
      </c>
      <c r="K51" s="27" t="n">
        <f aca="false">-K41*Assumptions!$F$49</f>
        <v>-46770.3836873782</v>
      </c>
      <c r="L51" s="27" t="n">
        <f aca="false">-L41*Assumptions!$F$49</f>
        <v>-57004.5931997518</v>
      </c>
      <c r="M51" s="27" t="n">
        <f aca="false">-M41*Assumptions!$F$49</f>
        <v>-67764.0551134712</v>
      </c>
      <c r="N51" s="27" t="n">
        <f aca="false">-N41*Assumptions!$F$49</f>
        <v>-79104.8574611964</v>
      </c>
      <c r="O51" s="27" t="n">
        <f aca="false">-O41*Assumptions!$F$49</f>
        <v>-91085.9185541958</v>
      </c>
      <c r="P51" s="27" t="n">
        <f aca="false">-P41*Assumptions!$F$49</f>
        <v>-103769.451591539</v>
      </c>
      <c r="Q51" s="27" t="n">
        <f aca="false">-Q41*Assumptions!$F$49</f>
        <v>-117221.461830542</v>
      </c>
      <c r="R51" s="27" t="n">
        <f aca="false">-R41*Assumptions!$F$49</f>
        <v>-131512.282130442</v>
      </c>
      <c r="S51" s="27" t="n">
        <f aca="false">-S41*Assumptions!$F$49</f>
        <v>-146717.153184303</v>
      </c>
      <c r="T51" s="27" t="n">
        <f aca="false">-T41*Assumptions!$F$49</f>
        <v>-162916.855337538</v>
      </c>
      <c r="U51" s="27" t="n">
        <f aca="false">-U41*Assumptions!$F$49</f>
        <v>-180198.399562717</v>
      </c>
      <c r="V51" s="27" t="n">
        <f aca="false">-V41*Assumptions!$F$49</f>
        <v>-198655.785928432</v>
      </c>
      <c r="W51" s="27" t="n">
        <f aca="false">-W41*Assumptions!$F$49</f>
        <v>-218022.440880151</v>
      </c>
      <c r="X51" s="27" t="n">
        <f aca="false">-X41*Assumptions!$F$49</f>
        <v>-236290.219038579</v>
      </c>
      <c r="Y51" s="27" t="n">
        <f aca="false">-Y41*Assumptions!$F$49</f>
        <v>-254849.853700891</v>
      </c>
      <c r="Z51" s="27" t="n">
        <f aca="false">-Z41*Assumptions!$F$49</f>
        <v>-273806.153918363</v>
      </c>
      <c r="AA51" s="27" t="n">
        <f aca="false">-AA41*Assumptions!$F$49</f>
        <v>-293264.25515982</v>
      </c>
      <c r="AB51" s="27" t="n">
        <f aca="false">-AB41*Assumptions!$F$49</f>
        <v>-313330.616686172</v>
      </c>
      <c r="AC51" s="27" t="n">
        <f aca="false">-AC41*Assumptions!$F$49</f>
        <v>-334114.026212995</v>
      </c>
      <c r="AD51" s="27" t="n">
        <f aca="false">-AD41*Assumptions!$F$49</f>
        <v>-355726.622650332</v>
      </c>
      <c r="AE51" s="27" t="n">
        <f aca="false">-AE41*Assumptions!$F$49</f>
        <v>-378284.947886973</v>
      </c>
      <c r="AF51" s="27" t="n">
        <f aca="false">-AF41*Assumptions!$F$49</f>
        <v>-401911.038884535</v>
      </c>
      <c r="AG51" s="27" t="n">
        <f aca="false">-AG41*Assumptions!$F$49</f>
        <v>-426733.571768024</v>
      </c>
      <c r="AH51" s="27" t="n">
        <f aca="false">-AH41*Assumptions!$F$49</f>
        <v>-452889.070148498</v>
      </c>
      <c r="AI51" s="27" t="n">
        <f aca="false">-AI41*Assumptions!$F$49</f>
        <v>-480523.190596068</v>
      </c>
      <c r="AJ51" s="27" t="n">
        <f aca="false">-AJ41*Assumptions!$F$49</f>
        <v>-509792.099004975</v>
      </c>
      <c r="AK51" s="27" t="n">
        <f aca="false">-AK41*Assumptions!$F$49</f>
        <v>-540863.952565825</v>
      </c>
      <c r="AL51" s="27" t="n">
        <f aca="false">-AL41*Assumptions!$F$49</f>
        <v>-573920.503193828</v>
      </c>
      <c r="AM51" s="27" t="n">
        <f aca="false">-AM41*Assumptions!$F$49</f>
        <v>-609158.839568259</v>
      </c>
    </row>
    <row r="52" customFormat="false" ht="15" hidden="false" customHeight="false" outlineLevel="0" collapsed="false">
      <c r="A52" s="8" t="s">
        <v>361</v>
      </c>
      <c r="B52" s="8" t="s">
        <v>50</v>
      </c>
      <c r="C52" s="27" t="n">
        <f aca="false">SUM(D52:AM52)</f>
        <v>-4356980.65843646</v>
      </c>
      <c r="D52" s="27" t="n">
        <f aca="false">-(D24+D29)*Assumptions!$F$51</f>
        <v>-0</v>
      </c>
      <c r="E52" s="27" t="n">
        <f aca="false">-(E24+E29)*Assumptions!$F$51</f>
        <v>-0</v>
      </c>
      <c r="F52" s="27" t="n">
        <f aca="false">-(F24+F29)*Assumptions!$F$51</f>
        <v>-0</v>
      </c>
      <c r="G52" s="27" t="n">
        <f aca="false">-(G24+G29)*Assumptions!$F$51</f>
        <v>-0</v>
      </c>
      <c r="H52" s="27" t="n">
        <f aca="false">-(H24+H29)*Assumptions!$F$51</f>
        <v>-2677.25807812257</v>
      </c>
      <c r="I52" s="27" t="n">
        <f aca="false">-(I24+I29)*Assumptions!$F$51</f>
        <v>-5210.06132296658</v>
      </c>
      <c r="J52" s="27" t="n">
        <f aca="false">-(J24+J29)*Assumptions!$F$51</f>
        <v>-19848.4274711153</v>
      </c>
      <c r="K52" s="27" t="n">
        <f aca="false">-(K24+K29)*Assumptions!$F$51</f>
        <v>-26415.8457369155</v>
      </c>
      <c r="L52" s="27" t="n">
        <f aca="false">-(L24+L29)*Assumptions!$F$51</f>
        <v>-33061.8612270864</v>
      </c>
      <c r="M52" s="27" t="n">
        <f aca="false">-(M24+M29)*Assumptions!$F$51</f>
        <v>-39811.8551922758</v>
      </c>
      <c r="N52" s="27" t="n">
        <f aca="false">-(N24+N29)*Assumptions!$F$51</f>
        <v>-46691.653731305</v>
      </c>
      <c r="O52" s="27" t="n">
        <f aca="false">-(O24+O29)*Assumptions!$F$51</f>
        <v>-53727.7040158402</v>
      </c>
      <c r="P52" s="27" t="n">
        <f aca="false">-(P24+P29)*Assumptions!$F$51</f>
        <v>-60947.2573210908</v>
      </c>
      <c r="Q52" s="27" t="n">
        <f aca="false">-(Q24+Q29)*Assumptions!$F$51</f>
        <v>-68378.5607992137</v>
      </c>
      <c r="R52" s="27" t="n">
        <f aca="false">-(R24+R29)*Assumptions!$F$51</f>
        <v>-76051.0600474453</v>
      </c>
      <c r="S52" s="27" t="n">
        <f aca="false">-(S24+S29)*Assumptions!$F$51</f>
        <v>-83995.6146628032</v>
      </c>
      <c r="T52" s="27" t="n">
        <f aca="false">-(T24+T29)*Assumptions!$F$51</f>
        <v>-92244.7291413012</v>
      </c>
      <c r="U52" s="27" t="n">
        <f aca="false">-(U24+U29)*Assumptions!$F$51</f>
        <v>-100832.801674127</v>
      </c>
      <c r="V52" s="27" t="n">
        <f aca="false">-(V24+V29)*Assumptions!$F$51</f>
        <v>-109796.393618599</v>
      </c>
      <c r="W52" s="27" t="n">
        <f aca="false">-(W24+W29)*Assumptions!$F$51</f>
        <v>-119124.563180644</v>
      </c>
      <c r="X52" s="27" t="n">
        <f aca="false">-(X24+X29)*Assumptions!$F$51</f>
        <v>-128545.511913944</v>
      </c>
      <c r="Y52" s="27" t="n">
        <f aca="false">-(Y24+Y29)*Assumptions!$F$51</f>
        <v>-138112.039129323</v>
      </c>
      <c r="Z52" s="27" t="n">
        <f aca="false">-(Z24+Z29)*Assumptions!$F$51</f>
        <v>-147876.583559352</v>
      </c>
      <c r="AA52" s="27" t="n">
        <f aca="false">-(AA24+AA29)*Assumptions!$F$51</f>
        <v>-157891.718159715</v>
      </c>
      <c r="AB52" s="27" t="n">
        <f aca="false">-(AB24+AB29)*Assumptions!$F$51</f>
        <v>-168210.642897791</v>
      </c>
      <c r="AC52" s="27" t="n">
        <f aca="false">-(AC24+AC29)*Assumptions!$F$51</f>
        <v>-178887.680816333</v>
      </c>
      <c r="AD52" s="27" t="n">
        <f aca="false">-(AD24+AD29)*Assumptions!$F$51</f>
        <v>-189978.782686169</v>
      </c>
      <c r="AE52" s="27" t="n">
        <f aca="false">-(AE24+AE29)*Assumptions!$F$51</f>
        <v>-201542.045646221</v>
      </c>
      <c r="AF52" s="27" t="n">
        <f aca="false">-(AF24+AF29)*Assumptions!$F$51</f>
        <v>-213638.251372441</v>
      </c>
      <c r="AG52" s="27" t="n">
        <f aca="false">-(AG24+AG29)*Assumptions!$F$51</f>
        <v>-226331.429521254</v>
      </c>
      <c r="AH52" s="27" t="n">
        <f aca="false">-(AH24+AH29)*Assumptions!$F$51</f>
        <v>-239689.452459768</v>
      </c>
      <c r="AI52" s="27" t="n">
        <f aca="false">-(AI24+AI29)*Assumptions!$F$51</f>
        <v>-253784.667627339</v>
      </c>
      <c r="AJ52" s="27" t="n">
        <f aca="false">-(AJ24+AJ29)*Assumptions!$F$51</f>
        <v>-268694.57427457</v>
      </c>
      <c r="AK52" s="27" t="n">
        <f aca="false">-(AK24+AK29)*Assumptions!$F$51</f>
        <v>-284502.551800881</v>
      </c>
      <c r="AL52" s="27" t="n">
        <f aca="false">-(AL24+AL29)*Assumptions!$F$51</f>
        <v>-301298.647465486</v>
      </c>
      <c r="AM52" s="27" t="n">
        <f aca="false">-(AM24+AM29)*Assumptions!$F$51</f>
        <v>-319180.431885026</v>
      </c>
    </row>
    <row r="53" customFormat="false" ht="15" hidden="false" customHeight="false" outlineLevel="0" collapsed="false">
      <c r="A53" s="29" t="s">
        <v>362</v>
      </c>
      <c r="B53" s="8" t="s">
        <v>50</v>
      </c>
      <c r="C53" s="31" t="n">
        <f aca="false">SUM(D53:AM53)</f>
        <v>-117875132.683331</v>
      </c>
      <c r="D53" s="31" t="n">
        <f aca="false">SUM(D45:D52)</f>
        <v>0</v>
      </c>
      <c r="E53" s="31" t="n">
        <f aca="false">SUM(E45:E52)</f>
        <v>0</v>
      </c>
      <c r="F53" s="31" t="n">
        <f aca="false">SUM(F45:F52)</f>
        <v>0</v>
      </c>
      <c r="G53" s="31" t="n">
        <f aca="false">SUM(G45:G52)</f>
        <v>0</v>
      </c>
      <c r="H53" s="31" t="n">
        <f aca="false">SUM(H45:H52)</f>
        <v>-92788.2725272921</v>
      </c>
      <c r="I53" s="31" t="n">
        <f aca="false">SUM(I45:I52)</f>
        <v>-122676.991508326</v>
      </c>
      <c r="J53" s="31" t="n">
        <f aca="false">SUM(J45:J52)</f>
        <v>-778028.39251022</v>
      </c>
      <c r="K53" s="31" t="n">
        <f aca="false">SUM(K45:K52)</f>
        <v>-681034.221717737</v>
      </c>
      <c r="L53" s="31" t="n">
        <f aca="false">SUM(L45:L52)</f>
        <v>-827027.397929166</v>
      </c>
      <c r="M53" s="31" t="n">
        <f aca="false">SUM(M45:M52)</f>
        <v>-981099.79740391</v>
      </c>
      <c r="N53" s="31" t="n">
        <f aca="false">SUM(N45:N52)</f>
        <v>-1144076.29813712</v>
      </c>
      <c r="O53" s="31" t="n">
        <f aca="false">SUM(O45:O52)</f>
        <v>-1316825.26190955</v>
      </c>
      <c r="P53" s="31" t="n">
        <f aca="false">SUM(P45:P52)</f>
        <v>-1500265.44434697</v>
      </c>
      <c r="Q53" s="31" t="n">
        <f aca="false">SUM(Q45:Q52)</f>
        <v>-1695373.40158715</v>
      </c>
      <c r="R53" s="31" t="n">
        <f aca="false">SUM(R45:R52)</f>
        <v>-1903191.48062215</v>
      </c>
      <c r="S53" s="31" t="n">
        <f aca="false">SUM(S45:S52)</f>
        <v>-2124836.48803798</v>
      </c>
      <c r="T53" s="31" t="n">
        <f aca="false">SUM(T45:T52)</f>
        <v>-2361509.14073513</v>
      </c>
      <c r="U53" s="31" t="n">
        <f aca="false">SUM(U45:U52)</f>
        <v>-2614504.41240096</v>
      </c>
      <c r="V53" s="31" t="n">
        <f aca="false">SUM(V45:V52)</f>
        <v>-2885222.90115104</v>
      </c>
      <c r="W53" s="31" t="n">
        <f aca="false">SUM(W45:W52)</f>
        <v>-3169366.03589037</v>
      </c>
      <c r="X53" s="31" t="n">
        <f aca="false">SUM(X45:X52)</f>
        <v>-3435246.82485956</v>
      </c>
      <c r="Y53" s="31" t="n">
        <f aca="false">SUM(Y45:Y52)</f>
        <v>-3705468.69082457</v>
      </c>
      <c r="Z53" s="31" t="n">
        <f aca="false">SUM(Z45:Z52)</f>
        <v>-3981558.90224519</v>
      </c>
      <c r="AA53" s="31" t="n">
        <f aca="false">SUM(AA45:AA52)</f>
        <v>-4265050.32053964</v>
      </c>
      <c r="AB53" s="31" t="n">
        <f aca="false">SUM(AB45:AB52)</f>
        <v>-4557495.94862102</v>
      </c>
      <c r="AC53" s="31" t="n">
        <f aca="false">SUM(AC45:AC52)</f>
        <v>-4860483.59465186</v>
      </c>
      <c r="AD53" s="31" t="n">
        <f aca="false">SUM(AD45:AD52)</f>
        <v>-5175650.80850633</v>
      </c>
      <c r="AE53" s="31" t="n">
        <f aca="false">SUM(AE45:AE52)</f>
        <v>-5504700.25112477</v>
      </c>
      <c r="AF53" s="31" t="n">
        <f aca="false">SUM(AF45:AF52)</f>
        <v>-5849415.66139489</v>
      </c>
      <c r="AG53" s="31" t="n">
        <f aca="false">SUM(AG45:AG52)</f>
        <v>-6211678.59144297</v>
      </c>
      <c r="AH53" s="31" t="n">
        <f aca="false">SUM(AH45:AH52)</f>
        <v>-6593486.08933514</v>
      </c>
      <c r="AI53" s="31" t="n">
        <f aca="false">SUM(AI45:AI52)</f>
        <v>-6996969.51825965</v>
      </c>
      <c r="AJ53" s="31" t="n">
        <f aca="false">SUM(AJ45:AJ52)</f>
        <v>-7424414.71339422</v>
      </c>
      <c r="AK53" s="31" t="n">
        <f aca="false">SUM(AK45:AK52)</f>
        <v>-7878283.69199051</v>
      </c>
      <c r="AL53" s="31" t="n">
        <f aca="false">SUM(AL45:AL52)</f>
        <v>-8361238.14888373</v>
      </c>
      <c r="AM53" s="31" t="n">
        <f aca="false">SUM(AM45:AM52)</f>
        <v>-8876164.98884222</v>
      </c>
    </row>
    <row r="54" customFormat="false" ht="15" hidden="false" customHeight="false" outlineLevel="0" collapsed="false">
      <c r="A54" s="29" t="s">
        <v>363</v>
      </c>
      <c r="B54" s="8" t="s">
        <v>50</v>
      </c>
      <c r="C54" s="31" t="n">
        <f aca="false">SUM(D54:AM54)</f>
        <v>174709663.626794</v>
      </c>
      <c r="D54" s="31" t="n">
        <f aca="false">D43+D53</f>
        <v>0</v>
      </c>
      <c r="E54" s="31" t="n">
        <f aca="false">E43+E53</f>
        <v>0</v>
      </c>
      <c r="F54" s="31" t="n">
        <f aca="false">F43+F53</f>
        <v>0</v>
      </c>
      <c r="G54" s="31" t="n">
        <f aca="false">G43+G53</f>
        <v>0</v>
      </c>
      <c r="H54" s="31" t="n">
        <f aca="false">H43+H53</f>
        <v>130711.838204393</v>
      </c>
      <c r="I54" s="31" t="n">
        <f aca="false">I43+I53</f>
        <v>183263.427637967</v>
      </c>
      <c r="J54" s="31" t="n">
        <f aca="false">J43+J53</f>
        <v>1081122.40775052</v>
      </c>
      <c r="K54" s="31" t="n">
        <f aca="false">K43+K53</f>
        <v>1007896.30032648</v>
      </c>
      <c r="L54" s="31" t="n">
        <f aca="false">L43+L53</f>
        <v>1231471.80095076</v>
      </c>
      <c r="M54" s="31" t="n">
        <f aca="false">M43+M53</f>
        <v>1465935.52613811</v>
      </c>
      <c r="N54" s="31" t="n">
        <f aca="false">N43+N53</f>
        <v>1712487.99907275</v>
      </c>
      <c r="O54" s="31" t="n">
        <f aca="false">O43+O53</f>
        <v>1972388.46365864</v>
      </c>
      <c r="P54" s="31" t="n">
        <f aca="false">P43+P53</f>
        <v>2246964.75201414</v>
      </c>
      <c r="Q54" s="31" t="n">
        <f aca="false">Q43+Q53</f>
        <v>2537623.83118244</v>
      </c>
      <c r="R54" s="31" t="n">
        <f aca="false">R43+R53</f>
        <v>2845863.15186604</v>
      </c>
      <c r="S54" s="31" t="n">
        <f aca="false">S43+S53</f>
        <v>3173282.93250628</v>
      </c>
      <c r="T54" s="31" t="n">
        <f aca="false">T43+T53</f>
        <v>3521599.52423151</v>
      </c>
      <c r="U54" s="31" t="n">
        <f aca="false">U43+U53</f>
        <v>3892660.0162527</v>
      </c>
      <c r="V54" s="31" t="n">
        <f aca="false">V43+V53</f>
        <v>4288458.25737566</v>
      </c>
      <c r="W54" s="31" t="n">
        <f aca="false">W43+W53</f>
        <v>4703666.55144842</v>
      </c>
      <c r="X54" s="31" t="n">
        <f aca="false">X43+X53</f>
        <v>5097455.52931135</v>
      </c>
      <c r="Y54" s="31" t="n">
        <f aca="false">Y43+Y53</f>
        <v>5497442.69281872</v>
      </c>
      <c r="Z54" s="31" t="n">
        <f aca="false">Z43+Z53</f>
        <v>5905885.54480683</v>
      </c>
      <c r="AA54" s="31" t="n">
        <f aca="false">AA43+AA53</f>
        <v>6325047.78245387</v>
      </c>
      <c r="AB54" s="31" t="n">
        <f aca="false">AB43+AB53</f>
        <v>6757220.76504632</v>
      </c>
      <c r="AC54" s="31" t="n">
        <f aca="false">AC43+AC53</f>
        <v>7204745.12970627</v>
      </c>
      <c r="AD54" s="31" t="n">
        <f aca="false">AD43+AD53</f>
        <v>7670032.7872001</v>
      </c>
      <c r="AE54" s="31" t="n">
        <f aca="false">AE43+AE53</f>
        <v>8155589.53368258</v>
      </c>
      <c r="AF54" s="31" t="n">
        <f aca="false">AF43+AF53</f>
        <v>8664038.52054667</v>
      </c>
      <c r="AG54" s="31" t="n">
        <f aca="false">AG43+AG53</f>
        <v>9198144.83351347</v>
      </c>
      <c r="AH54" s="31" t="n">
        <f aca="false">AH43+AH53</f>
        <v>9760841.44380505</v>
      </c>
      <c r="AI54" s="31" t="n">
        <f aca="false">AI43+AI53</f>
        <v>10355256.8088206</v>
      </c>
      <c r="AJ54" s="31" t="n">
        <f aca="false">AJ43+AJ53</f>
        <v>10984744.417341</v>
      </c>
      <c r="AK54" s="31" t="n">
        <f aca="false">AK43+AK53</f>
        <v>11652914.5951087</v>
      </c>
      <c r="AL54" s="31" t="n">
        <f aca="false">AL43+AL53</f>
        <v>12363668.9108934</v>
      </c>
      <c r="AM54" s="31" t="n">
        <f aca="false">AM43+AM53</f>
        <v>13121237.5511227</v>
      </c>
    </row>
    <row r="55" customFormat="false" ht="15" hidden="false" customHeight="false" outlineLevel="0" collapsed="false">
      <c r="A55" s="8" t="s">
        <v>364</v>
      </c>
      <c r="B55" s="8" t="s">
        <v>41</v>
      </c>
      <c r="D55" s="26" t="n">
        <f aca="false">IF(D43=0,0,D54/D43)</f>
        <v>0</v>
      </c>
      <c r="E55" s="26" t="n">
        <f aca="false">IF(E43=0,0,E54/E43)</f>
        <v>0</v>
      </c>
      <c r="F55" s="26" t="n">
        <f aca="false">IF(F43=0,0,F54/F43)</f>
        <v>0</v>
      </c>
      <c r="G55" s="26" t="n">
        <f aca="false">IF(G43=0,0,G54/G43)</f>
        <v>0</v>
      </c>
      <c r="H55" s="26" t="n">
        <f aca="false">IF(H43=0,0,H54/H43)</f>
        <v>0.584840149637841</v>
      </c>
      <c r="I55" s="26" t="n">
        <f aca="false">IF(I43=0,0,I54/I43)</f>
        <v>0.599016724071151</v>
      </c>
      <c r="J55" s="26" t="n">
        <f aca="false">IF(J43=0,0,J54/J43)</f>
        <v>0.581514101814063</v>
      </c>
      <c r="K55" s="26" t="n">
        <f aca="false">IF(K43=0,0,K54/K43)</f>
        <v>0.596765993136627</v>
      </c>
      <c r="L55" s="26" t="n">
        <f aca="false">IF(L43=0,0,L54/L43)</f>
        <v>0.598237687739121</v>
      </c>
      <c r="M55" s="26" t="n">
        <f aca="false">IF(M43=0,0,M54/M43)</f>
        <v>0.599065944015964</v>
      </c>
      <c r="N55" s="26" t="n">
        <f aca="false">IF(N43=0,0,N54/N43)</f>
        <v>0.599492194432805</v>
      </c>
      <c r="O55" s="26" t="n">
        <f aca="false">IF(O43=0,0,O54/O43)</f>
        <v>0.599653482024164</v>
      </c>
      <c r="P55" s="26" t="n">
        <f aca="false">IF(P43=0,0,P54/P43)</f>
        <v>0.599633498416014</v>
      </c>
      <c r="Q55" s="26" t="n">
        <f aca="false">IF(Q43=0,0,Q54/Q43)</f>
        <v>0.599486295794743</v>
      </c>
      <c r="R55" s="26" t="n">
        <f aca="false">IF(R43=0,0,R54/R43)</f>
        <v>0.599248349849999</v>
      </c>
      <c r="S55" s="26" t="n">
        <f aca="false">IF(S43=0,0,S54/S43)</f>
        <v>0.598945150273773</v>
      </c>
      <c r="T55" s="26" t="n">
        <f aca="false">IF(T43=0,0,T54/T43)</f>
        <v>0.598595015795358</v>
      </c>
      <c r="U55" s="26" t="n">
        <f aca="false">IF(U43=0,0,U54/U43)</f>
        <v>0.598211411273357</v>
      </c>
      <c r="V55" s="26" t="n">
        <f aca="false">IF(V43=0,0,V54/V43)</f>
        <v>0.597804413467465</v>
      </c>
      <c r="W55" s="26" t="n">
        <f aca="false">IF(W43=0,0,W54/W43)</f>
        <v>0.597440249264653</v>
      </c>
      <c r="X55" s="26" t="n">
        <f aca="false">IF(X43=0,0,X54/X43)</f>
        <v>0.597402243477958</v>
      </c>
      <c r="Y55" s="26" t="n">
        <f aca="false">IF(Y43=0,0,Y54/Y43)</f>
        <v>0.597359081669476</v>
      </c>
      <c r="Z55" s="26" t="n">
        <f aca="false">IF(Z43=0,0,Z54/Z43)</f>
        <v>0.597311628543986</v>
      </c>
      <c r="AA55" s="26" t="n">
        <f aca="false">IF(AA43=0,0,AA54/AA43)</f>
        <v>0.597260546686151</v>
      </c>
      <c r="AB55" s="26" t="n">
        <f aca="false">IF(AB43=0,0,AB54/AB43)</f>
        <v>0.597206358413207</v>
      </c>
      <c r="AC55" s="26" t="n">
        <f aca="false">IF(AC43=0,0,AC54/AC43)</f>
        <v>0.597149485874298</v>
      </c>
      <c r="AD55" s="26" t="n">
        <f aca="false">IF(AD43=0,0,AD54/AD43)</f>
        <v>0.597090277839612</v>
      </c>
      <c r="AE55" s="26" t="n">
        <f aca="false">IF(AE43=0,0,AE54/AE43)</f>
        <v>0.597029028092291</v>
      </c>
      <c r="AF55" s="26" t="n">
        <f aca="false">IF(AF43=0,0,AF54/AF43)</f>
        <v>0.596965988381108</v>
      </c>
      <c r="AG55" s="26" t="n">
        <f aca="false">IF(AG43=0,0,AG54/AG43)</f>
        <v>0.5969013777677</v>
      </c>
      <c r="AH55" s="26" t="n">
        <f aca="false">IF(AH43=0,0,AH54/AH43)</f>
        <v>0.596835389533798</v>
      </c>
      <c r="AI55" s="26" t="n">
        <f aca="false">IF(AI43=0,0,AI54/AI43)</f>
        <v>0.596768196404859</v>
      </c>
      <c r="AJ55" s="26" t="n">
        <f aca="false">IF(AJ43=0,0,AJ54/AJ43)</f>
        <v>0.596699954589522</v>
      </c>
      <c r="AK55" s="26" t="n">
        <f aca="false">IF(AK43=0,0,AK54/AK43)</f>
        <v>0.596630806969264</v>
      </c>
      <c r="AL55" s="26" t="n">
        <f aca="false">IF(AL43=0,0,AL54/AL43)</f>
        <v>0.596560885664418</v>
      </c>
      <c r="AM55" s="26" t="n">
        <f aca="false">IF(AM43=0,0,AM54/AM43)</f>
        <v>0.59649031413068</v>
      </c>
    </row>
    <row r="56" customFormat="false" ht="15" hidden="false" customHeight="false" outlineLevel="0" collapsed="false">
      <c r="A56" s="5" t="s">
        <v>365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</row>
    <row r="57" customFormat="false" ht="15" hidden="false" customHeight="false" outlineLevel="0" collapsed="false">
      <c r="A57" s="8" t="s">
        <v>366</v>
      </c>
      <c r="B57" s="8" t="s">
        <v>50</v>
      </c>
      <c r="C57" s="27" t="n">
        <f aca="false">SUM(D57:AM57)</f>
        <v>-14061571.5746847</v>
      </c>
      <c r="D57" s="27" t="n">
        <f aca="false">-D12</f>
        <v>-30000</v>
      </c>
      <c r="E57" s="27" t="n">
        <f aca="false">-E12</f>
        <v>-30000</v>
      </c>
      <c r="F57" s="27" t="n">
        <f aca="false">-F12</f>
        <v>-30000</v>
      </c>
      <c r="G57" s="27" t="n">
        <f aca="false">-G12</f>
        <v>-30000</v>
      </c>
      <c r="H57" s="27" t="n">
        <f aca="false">-H12</f>
        <v>-100000</v>
      </c>
      <c r="I57" s="27" t="n">
        <f aca="false">-I12</f>
        <v>-100000</v>
      </c>
      <c r="J57" s="27" t="n">
        <f aca="false">-J12</f>
        <v>-500000</v>
      </c>
      <c r="K57" s="27" t="n">
        <f aca="false">-K12</f>
        <v>-250000</v>
      </c>
      <c r="L57" s="27" t="n">
        <f aca="false">-L12</f>
        <v>-260000</v>
      </c>
      <c r="M57" s="27" t="n">
        <f aca="false">-M12</f>
        <v>-270400</v>
      </c>
      <c r="N57" s="27" t="n">
        <f aca="false">-N12</f>
        <v>-281216</v>
      </c>
      <c r="O57" s="27" t="n">
        <f aca="false">-O12</f>
        <v>-292464.64</v>
      </c>
      <c r="P57" s="27" t="n">
        <f aca="false">-P12</f>
        <v>-304163.2256</v>
      </c>
      <c r="Q57" s="27" t="n">
        <f aca="false">-Q12</f>
        <v>-316329.754624</v>
      </c>
      <c r="R57" s="27" t="n">
        <f aca="false">-R12</f>
        <v>-328982.94480896</v>
      </c>
      <c r="S57" s="27" t="n">
        <f aca="false">-S12</f>
        <v>-342142.262601319</v>
      </c>
      <c r="T57" s="27" t="n">
        <f aca="false">-T12</f>
        <v>-355827.953105371</v>
      </c>
      <c r="U57" s="27" t="n">
        <f aca="false">-U12</f>
        <v>-370061.071229586</v>
      </c>
      <c r="V57" s="27" t="n">
        <f aca="false">-V12</f>
        <v>-384863.51407877</v>
      </c>
      <c r="W57" s="27" t="n">
        <f aca="false">-W12</f>
        <v>-400258.05464192</v>
      </c>
      <c r="X57" s="27" t="n">
        <f aca="false">-X12</f>
        <v>-416268.376827597</v>
      </c>
      <c r="Y57" s="27" t="n">
        <f aca="false">-Y12</f>
        <v>-432919.111900701</v>
      </c>
      <c r="Z57" s="27" t="n">
        <f aca="false">-Z12</f>
        <v>-450235.876376729</v>
      </c>
      <c r="AA57" s="27" t="n">
        <f aca="false">-AA12</f>
        <v>-468245.311431798</v>
      </c>
      <c r="AB57" s="27" t="n">
        <f aca="false">-AB12</f>
        <v>-486975.12388907</v>
      </c>
      <c r="AC57" s="27" t="n">
        <f aca="false">-AC12</f>
        <v>-506454.128844633</v>
      </c>
      <c r="AD57" s="27" t="n">
        <f aca="false">-AD12</f>
        <v>-526712.293998419</v>
      </c>
      <c r="AE57" s="27" t="n">
        <f aca="false">-AE12</f>
        <v>-547780.785758355</v>
      </c>
      <c r="AF57" s="27" t="n">
        <f aca="false">-AF12</f>
        <v>-569692.017188689</v>
      </c>
      <c r="AG57" s="27" t="n">
        <f aca="false">-AG12</f>
        <v>-592479.697876237</v>
      </c>
      <c r="AH57" s="27" t="n">
        <f aca="false">-AH12</f>
        <v>-616178.885791287</v>
      </c>
      <c r="AI57" s="27" t="n">
        <f aca="false">-AI12</f>
        <v>-640826.041222938</v>
      </c>
      <c r="AJ57" s="27" t="n">
        <f aca="false">-AJ12</f>
        <v>-666459.082871856</v>
      </c>
      <c r="AK57" s="27" t="n">
        <f aca="false">-AK12</f>
        <v>-693117.44618673</v>
      </c>
      <c r="AL57" s="27" t="n">
        <f aca="false">-AL12</f>
        <v>-720842.144034199</v>
      </c>
      <c r="AM57" s="27" t="n">
        <f aca="false">-AM12</f>
        <v>-749675.829795567</v>
      </c>
    </row>
    <row r="58" customFormat="false" ht="15" hidden="false" customHeight="false" outlineLevel="0" collapsed="false">
      <c r="A58" s="8" t="s">
        <v>367</v>
      </c>
      <c r="B58" s="8" t="s">
        <v>50</v>
      </c>
      <c r="C58" s="27" t="n">
        <f aca="false">SUM(D58:AM58)</f>
        <v>-3100000</v>
      </c>
      <c r="D58" s="27" t="n">
        <f aca="false">-IF(D$3&lt;Assumptions!$F$7,0,IF(D$3&lt;Assumptions!$F$6,Assumptions!$F$71,Assumptions!$F$72))</f>
        <v>-0</v>
      </c>
      <c r="E58" s="27" t="n">
        <f aca="false">-IF(E$3&lt;Assumptions!$F$7,0,IF(E$3&lt;Assumptions!$F$6,Assumptions!$F$71,Assumptions!$F$72))</f>
        <v>-0</v>
      </c>
      <c r="F58" s="27" t="n">
        <f aca="false">-IF(F$3&lt;Assumptions!$F$7,0,IF(F$3&lt;Assumptions!$F$6,Assumptions!$F$71,Assumptions!$F$72))</f>
        <v>-0</v>
      </c>
      <c r="G58" s="27" t="n">
        <f aca="false">-IF(G$3&lt;Assumptions!$F$7,0,IF(G$3&lt;Assumptions!$F$6,Assumptions!$F$71,Assumptions!$F$72))</f>
        <v>-0</v>
      </c>
      <c r="H58" s="27" t="n">
        <f aca="false">-IF(H$3&lt;Assumptions!$F$7,0,IF(H$3&lt;Assumptions!$F$6,Assumptions!$F$71,Assumptions!$F$72))</f>
        <v>-50000</v>
      </c>
      <c r="I58" s="27" t="n">
        <f aca="false">-IF(I$3&lt;Assumptions!$F$7,0,IF(I$3&lt;Assumptions!$F$6,Assumptions!$F$71,Assumptions!$F$72))</f>
        <v>-50000</v>
      </c>
      <c r="J58" s="27" t="n">
        <f aca="false">-IF(J$3&lt;Assumptions!$F$7,0,IF(J$3&lt;Assumptions!$F$6,Assumptions!$F$71,Assumptions!$F$72))</f>
        <v>-100000</v>
      </c>
      <c r="K58" s="27" t="n">
        <f aca="false">-IF(K$3&lt;Assumptions!$F$7,0,IF(K$3&lt;Assumptions!$F$6,Assumptions!$F$71,Assumptions!$F$72))</f>
        <v>-100000</v>
      </c>
      <c r="L58" s="27" t="n">
        <f aca="false">-IF(L$3&lt;Assumptions!$F$7,0,IF(L$3&lt;Assumptions!$F$6,Assumptions!$F$71,Assumptions!$F$72))</f>
        <v>-100000</v>
      </c>
      <c r="M58" s="27" t="n">
        <f aca="false">-IF(M$3&lt;Assumptions!$F$7,0,IF(M$3&lt;Assumptions!$F$6,Assumptions!$F$71,Assumptions!$F$72))</f>
        <v>-100000</v>
      </c>
      <c r="N58" s="27" t="n">
        <f aca="false">-IF(N$3&lt;Assumptions!$F$7,0,IF(N$3&lt;Assumptions!$F$6,Assumptions!$F$71,Assumptions!$F$72))</f>
        <v>-100000</v>
      </c>
      <c r="O58" s="27" t="n">
        <f aca="false">-IF(O$3&lt;Assumptions!$F$7,0,IF(O$3&lt;Assumptions!$F$6,Assumptions!$F$71,Assumptions!$F$72))</f>
        <v>-100000</v>
      </c>
      <c r="P58" s="27" t="n">
        <f aca="false">-IF(P$3&lt;Assumptions!$F$7,0,IF(P$3&lt;Assumptions!$F$6,Assumptions!$F$71,Assumptions!$F$72))</f>
        <v>-100000</v>
      </c>
      <c r="Q58" s="27" t="n">
        <f aca="false">-IF(Q$3&lt;Assumptions!$F$7,0,IF(Q$3&lt;Assumptions!$F$6,Assumptions!$F$71,Assumptions!$F$72))</f>
        <v>-100000</v>
      </c>
      <c r="R58" s="27" t="n">
        <f aca="false">-IF(R$3&lt;Assumptions!$F$7,0,IF(R$3&lt;Assumptions!$F$6,Assumptions!$F$71,Assumptions!$F$72))</f>
        <v>-100000</v>
      </c>
      <c r="S58" s="27" t="n">
        <f aca="false">-IF(S$3&lt;Assumptions!$F$7,0,IF(S$3&lt;Assumptions!$F$6,Assumptions!$F$71,Assumptions!$F$72))</f>
        <v>-100000</v>
      </c>
      <c r="T58" s="27" t="n">
        <f aca="false">-IF(T$3&lt;Assumptions!$F$7,0,IF(T$3&lt;Assumptions!$F$6,Assumptions!$F$71,Assumptions!$F$72))</f>
        <v>-100000</v>
      </c>
      <c r="U58" s="27" t="n">
        <f aca="false">-IF(U$3&lt;Assumptions!$F$7,0,IF(U$3&lt;Assumptions!$F$6,Assumptions!$F$71,Assumptions!$F$72))</f>
        <v>-100000</v>
      </c>
      <c r="V58" s="27" t="n">
        <f aca="false">-IF(V$3&lt;Assumptions!$F$7,0,IF(V$3&lt;Assumptions!$F$6,Assumptions!$F$71,Assumptions!$F$72))</f>
        <v>-100000</v>
      </c>
      <c r="W58" s="27" t="n">
        <f aca="false">-IF(W$3&lt;Assumptions!$F$7,0,IF(W$3&lt;Assumptions!$F$6,Assumptions!$F$71,Assumptions!$F$72))</f>
        <v>-100000</v>
      </c>
      <c r="X58" s="27" t="n">
        <f aca="false">-IF(X$3&lt;Assumptions!$F$7,0,IF(X$3&lt;Assumptions!$F$6,Assumptions!$F$71,Assumptions!$F$72))</f>
        <v>-100000</v>
      </c>
      <c r="Y58" s="27" t="n">
        <f aca="false">-IF(Y$3&lt;Assumptions!$F$7,0,IF(Y$3&lt;Assumptions!$F$6,Assumptions!$F$71,Assumptions!$F$72))</f>
        <v>-100000</v>
      </c>
      <c r="Z58" s="27" t="n">
        <f aca="false">-IF(Z$3&lt;Assumptions!$F$7,0,IF(Z$3&lt;Assumptions!$F$6,Assumptions!$F$71,Assumptions!$F$72))</f>
        <v>-100000</v>
      </c>
      <c r="AA58" s="27" t="n">
        <f aca="false">-IF(AA$3&lt;Assumptions!$F$7,0,IF(AA$3&lt;Assumptions!$F$6,Assumptions!$F$71,Assumptions!$F$72))</f>
        <v>-100000</v>
      </c>
      <c r="AB58" s="27" t="n">
        <f aca="false">-IF(AB$3&lt;Assumptions!$F$7,0,IF(AB$3&lt;Assumptions!$F$6,Assumptions!$F$71,Assumptions!$F$72))</f>
        <v>-100000</v>
      </c>
      <c r="AC58" s="27" t="n">
        <f aca="false">-IF(AC$3&lt;Assumptions!$F$7,0,IF(AC$3&lt;Assumptions!$F$6,Assumptions!$F$71,Assumptions!$F$72))</f>
        <v>-100000</v>
      </c>
      <c r="AD58" s="27" t="n">
        <f aca="false">-IF(AD$3&lt;Assumptions!$F$7,0,IF(AD$3&lt;Assumptions!$F$6,Assumptions!$F$71,Assumptions!$F$72))</f>
        <v>-100000</v>
      </c>
      <c r="AE58" s="27" t="n">
        <f aca="false">-IF(AE$3&lt;Assumptions!$F$7,0,IF(AE$3&lt;Assumptions!$F$6,Assumptions!$F$71,Assumptions!$F$72))</f>
        <v>-100000</v>
      </c>
      <c r="AF58" s="27" t="n">
        <f aca="false">-IF(AF$3&lt;Assumptions!$F$7,0,IF(AF$3&lt;Assumptions!$F$6,Assumptions!$F$71,Assumptions!$F$72))</f>
        <v>-100000</v>
      </c>
      <c r="AG58" s="27" t="n">
        <f aca="false">-IF(AG$3&lt;Assumptions!$F$7,0,IF(AG$3&lt;Assumptions!$F$6,Assumptions!$F$71,Assumptions!$F$72))</f>
        <v>-100000</v>
      </c>
      <c r="AH58" s="27" t="n">
        <f aca="false">-IF(AH$3&lt;Assumptions!$F$7,0,IF(AH$3&lt;Assumptions!$F$6,Assumptions!$F$71,Assumptions!$F$72))</f>
        <v>-100000</v>
      </c>
      <c r="AI58" s="27" t="n">
        <f aca="false">-IF(AI$3&lt;Assumptions!$F$7,0,IF(AI$3&lt;Assumptions!$F$6,Assumptions!$F$71,Assumptions!$F$72))</f>
        <v>-100000</v>
      </c>
      <c r="AJ58" s="27" t="n">
        <f aca="false">-IF(AJ$3&lt;Assumptions!$F$7,0,IF(AJ$3&lt;Assumptions!$F$6,Assumptions!$F$71,Assumptions!$F$72))</f>
        <v>-100000</v>
      </c>
      <c r="AK58" s="27" t="n">
        <f aca="false">-IF(AK$3&lt;Assumptions!$F$7,0,IF(AK$3&lt;Assumptions!$F$6,Assumptions!$F$71,Assumptions!$F$72))</f>
        <v>-100000</v>
      </c>
      <c r="AL58" s="27" t="n">
        <f aca="false">-IF(AL$3&lt;Assumptions!$F$7,0,IF(AL$3&lt;Assumptions!$F$6,Assumptions!$F$71,Assumptions!$F$72))</f>
        <v>-100000</v>
      </c>
      <c r="AM58" s="27" t="n">
        <f aca="false">-IF(AM$3&lt;Assumptions!$F$7,0,IF(AM$3&lt;Assumptions!$F$6,Assumptions!$F$71,Assumptions!$F$72))</f>
        <v>-100000</v>
      </c>
    </row>
    <row r="59" customFormat="false" ht="15" hidden="false" customHeight="false" outlineLevel="0" collapsed="false">
      <c r="A59" s="8" t="s">
        <v>368</v>
      </c>
      <c r="B59" s="8" t="s">
        <v>50</v>
      </c>
      <c r="C59" s="27" t="n">
        <f aca="false">SUM(D59:AM59)</f>
        <v>-120000</v>
      </c>
      <c r="D59" s="27" t="n">
        <f aca="false">-D8*Assumptions!$F$70</f>
        <v>-0</v>
      </c>
      <c r="E59" s="27" t="n">
        <f aca="false">-E8*Assumptions!$F$70</f>
        <v>-0</v>
      </c>
      <c r="F59" s="27" t="n">
        <f aca="false">-F8*Assumptions!$F$70</f>
        <v>-0</v>
      </c>
      <c r="G59" s="27" t="n">
        <f aca="false">-G8*Assumptions!$F$70</f>
        <v>-0</v>
      </c>
      <c r="H59" s="27" t="n">
        <f aca="false">-H8*Assumptions!$F$70</f>
        <v>-0</v>
      </c>
      <c r="I59" s="27" t="n">
        <f aca="false">-I8*Assumptions!$F$70</f>
        <v>-0</v>
      </c>
      <c r="J59" s="27" t="n">
        <f aca="false">-J8*Assumptions!$F$70</f>
        <v>-120000</v>
      </c>
      <c r="K59" s="27" t="n">
        <f aca="false">-K8*Assumptions!$F$70</f>
        <v>-0</v>
      </c>
      <c r="L59" s="27" t="n">
        <f aca="false">-L8*Assumptions!$F$70</f>
        <v>-0</v>
      </c>
      <c r="M59" s="27" t="n">
        <f aca="false">-M8*Assumptions!$F$70</f>
        <v>-0</v>
      </c>
      <c r="N59" s="27" t="n">
        <f aca="false">-N8*Assumptions!$F$70</f>
        <v>-0</v>
      </c>
      <c r="O59" s="27" t="n">
        <f aca="false">-O8*Assumptions!$F$70</f>
        <v>-0</v>
      </c>
      <c r="P59" s="27" t="n">
        <f aca="false">-P8*Assumptions!$F$70</f>
        <v>-0</v>
      </c>
      <c r="Q59" s="27" t="n">
        <f aca="false">-Q8*Assumptions!$F$70</f>
        <v>-0</v>
      </c>
      <c r="R59" s="27" t="n">
        <f aca="false">-R8*Assumptions!$F$70</f>
        <v>-0</v>
      </c>
      <c r="S59" s="27" t="n">
        <f aca="false">-S8*Assumptions!$F$70</f>
        <v>-0</v>
      </c>
      <c r="T59" s="27" t="n">
        <f aca="false">-T8*Assumptions!$F$70</f>
        <v>-0</v>
      </c>
      <c r="U59" s="27" t="n">
        <f aca="false">-U8*Assumptions!$F$70</f>
        <v>-0</v>
      </c>
      <c r="V59" s="27" t="n">
        <f aca="false">-V8*Assumptions!$F$70</f>
        <v>-0</v>
      </c>
      <c r="W59" s="27" t="n">
        <f aca="false">-W8*Assumptions!$F$70</f>
        <v>-0</v>
      </c>
      <c r="X59" s="27" t="n">
        <f aca="false">-X8*Assumptions!$F$70</f>
        <v>-0</v>
      </c>
      <c r="Y59" s="27" t="n">
        <f aca="false">-Y8*Assumptions!$F$70</f>
        <v>-0</v>
      </c>
      <c r="Z59" s="27" t="n">
        <f aca="false">-Z8*Assumptions!$F$70</f>
        <v>-0</v>
      </c>
      <c r="AA59" s="27" t="n">
        <f aca="false">-AA8*Assumptions!$F$70</f>
        <v>-0</v>
      </c>
      <c r="AB59" s="27" t="n">
        <f aca="false">-AB8*Assumptions!$F$70</f>
        <v>-0</v>
      </c>
      <c r="AC59" s="27" t="n">
        <f aca="false">-AC8*Assumptions!$F$70</f>
        <v>-0</v>
      </c>
      <c r="AD59" s="27" t="n">
        <f aca="false">-AD8*Assumptions!$F$70</f>
        <v>-0</v>
      </c>
      <c r="AE59" s="27" t="n">
        <f aca="false">-AE8*Assumptions!$F$70</f>
        <v>-0</v>
      </c>
      <c r="AF59" s="27" t="n">
        <f aca="false">-AF8*Assumptions!$F$70</f>
        <v>-0</v>
      </c>
      <c r="AG59" s="27" t="n">
        <f aca="false">-AG8*Assumptions!$F$70</f>
        <v>-0</v>
      </c>
      <c r="AH59" s="27" t="n">
        <f aca="false">-AH8*Assumptions!$F$70</f>
        <v>-0</v>
      </c>
      <c r="AI59" s="27" t="n">
        <f aca="false">-AI8*Assumptions!$F$70</f>
        <v>-0</v>
      </c>
      <c r="AJ59" s="27" t="n">
        <f aca="false">-AJ8*Assumptions!$F$70</f>
        <v>-0</v>
      </c>
      <c r="AK59" s="27" t="n">
        <f aca="false">-AK8*Assumptions!$F$70</f>
        <v>-0</v>
      </c>
      <c r="AL59" s="27" t="n">
        <f aca="false">-AL8*Assumptions!$F$70</f>
        <v>-0</v>
      </c>
      <c r="AM59" s="27" t="n">
        <f aca="false">-AM8*Assumptions!$F$70</f>
        <v>-0</v>
      </c>
    </row>
    <row r="60" customFormat="false" ht="15" hidden="false" customHeight="false" outlineLevel="0" collapsed="false">
      <c r="A60" s="8" t="s">
        <v>369</v>
      </c>
      <c r="B60" s="8" t="s">
        <v>50</v>
      </c>
      <c r="C60" s="27" t="n">
        <f aca="false">SUM(D60:AM60)</f>
        <v>-1280000</v>
      </c>
      <c r="D60" s="27" t="n">
        <f aca="false">-Assumptions!$F$74*IF(D$3&lt;Assumptions!$F$7,0,Assumptions!$F$75)</f>
        <v>-0</v>
      </c>
      <c r="E60" s="27" t="n">
        <f aca="false">-Assumptions!$F$74*IF(E$3&lt;Assumptions!$F$7,0,Assumptions!$F$75)</f>
        <v>-0</v>
      </c>
      <c r="F60" s="27" t="n">
        <f aca="false">-Assumptions!$F$74*IF(F$3&lt;Assumptions!$F$7,0,Assumptions!$F$75)</f>
        <v>-0</v>
      </c>
      <c r="G60" s="27" t="n">
        <f aca="false">-Assumptions!$F$74*IF(G$3&lt;Assumptions!$F$7,0,Assumptions!$F$75)</f>
        <v>-0</v>
      </c>
      <c r="H60" s="27" t="n">
        <f aca="false">-Assumptions!$F$74*IF(H$3&lt;Assumptions!$F$7,0,Assumptions!$F$75)</f>
        <v>-40000</v>
      </c>
      <c r="I60" s="27" t="n">
        <f aca="false">-Assumptions!$F$74*IF(I$3&lt;Assumptions!$F$7,0,Assumptions!$F$75)</f>
        <v>-40000</v>
      </c>
      <c r="J60" s="27" t="n">
        <f aca="false">-Assumptions!$F$74*IF(J$3&lt;Assumptions!$F$7,0,Assumptions!$F$75)</f>
        <v>-40000</v>
      </c>
      <c r="K60" s="27" t="n">
        <f aca="false">-Assumptions!$F$74*IF(K$3&lt;Assumptions!$F$7,0,Assumptions!$F$75)</f>
        <v>-40000</v>
      </c>
      <c r="L60" s="27" t="n">
        <f aca="false">-Assumptions!$F$74*IF(L$3&lt;Assumptions!$F$7,0,Assumptions!$F$75)</f>
        <v>-40000</v>
      </c>
      <c r="M60" s="27" t="n">
        <f aca="false">-Assumptions!$F$74*IF(M$3&lt;Assumptions!$F$7,0,Assumptions!$F$75)</f>
        <v>-40000</v>
      </c>
      <c r="N60" s="27" t="n">
        <f aca="false">-Assumptions!$F$74*IF(N$3&lt;Assumptions!$F$7,0,Assumptions!$F$75)</f>
        <v>-40000</v>
      </c>
      <c r="O60" s="27" t="n">
        <f aca="false">-Assumptions!$F$74*IF(O$3&lt;Assumptions!$F$7,0,Assumptions!$F$75)</f>
        <v>-40000</v>
      </c>
      <c r="P60" s="27" t="n">
        <f aca="false">-Assumptions!$F$74*IF(P$3&lt;Assumptions!$F$7,0,Assumptions!$F$75)</f>
        <v>-40000</v>
      </c>
      <c r="Q60" s="27" t="n">
        <f aca="false">-Assumptions!$F$74*IF(Q$3&lt;Assumptions!$F$7,0,Assumptions!$F$75)</f>
        <v>-40000</v>
      </c>
      <c r="R60" s="27" t="n">
        <f aca="false">-Assumptions!$F$74*IF(R$3&lt;Assumptions!$F$7,0,Assumptions!$F$75)</f>
        <v>-40000</v>
      </c>
      <c r="S60" s="27" t="n">
        <f aca="false">-Assumptions!$F$74*IF(S$3&lt;Assumptions!$F$7,0,Assumptions!$F$75)</f>
        <v>-40000</v>
      </c>
      <c r="T60" s="27" t="n">
        <f aca="false">-Assumptions!$F$74*IF(T$3&lt;Assumptions!$F$7,0,Assumptions!$F$75)</f>
        <v>-40000</v>
      </c>
      <c r="U60" s="27" t="n">
        <f aca="false">-Assumptions!$F$74*IF(U$3&lt;Assumptions!$F$7,0,Assumptions!$F$75)</f>
        <v>-40000</v>
      </c>
      <c r="V60" s="27" t="n">
        <f aca="false">-Assumptions!$F$74*IF(V$3&lt;Assumptions!$F$7,0,Assumptions!$F$75)</f>
        <v>-40000</v>
      </c>
      <c r="W60" s="27" t="n">
        <f aca="false">-Assumptions!$F$74*IF(W$3&lt;Assumptions!$F$7,0,Assumptions!$F$75)</f>
        <v>-40000</v>
      </c>
      <c r="X60" s="27" t="n">
        <f aca="false">-Assumptions!$F$74*IF(X$3&lt;Assumptions!$F$7,0,Assumptions!$F$75)</f>
        <v>-40000</v>
      </c>
      <c r="Y60" s="27" t="n">
        <f aca="false">-Assumptions!$F$74*IF(Y$3&lt;Assumptions!$F$7,0,Assumptions!$F$75)</f>
        <v>-40000</v>
      </c>
      <c r="Z60" s="27" t="n">
        <f aca="false">-Assumptions!$F$74*IF(Z$3&lt;Assumptions!$F$7,0,Assumptions!$F$75)</f>
        <v>-40000</v>
      </c>
      <c r="AA60" s="27" t="n">
        <f aca="false">-Assumptions!$F$74*IF(AA$3&lt;Assumptions!$F$7,0,Assumptions!$F$75)</f>
        <v>-40000</v>
      </c>
      <c r="AB60" s="27" t="n">
        <f aca="false">-Assumptions!$F$74*IF(AB$3&lt;Assumptions!$F$7,0,Assumptions!$F$75)</f>
        <v>-40000</v>
      </c>
      <c r="AC60" s="27" t="n">
        <f aca="false">-Assumptions!$F$74*IF(AC$3&lt;Assumptions!$F$7,0,Assumptions!$F$75)</f>
        <v>-40000</v>
      </c>
      <c r="AD60" s="27" t="n">
        <f aca="false">-Assumptions!$F$74*IF(AD$3&lt;Assumptions!$F$7,0,Assumptions!$F$75)</f>
        <v>-40000</v>
      </c>
      <c r="AE60" s="27" t="n">
        <f aca="false">-Assumptions!$F$74*IF(AE$3&lt;Assumptions!$F$7,0,Assumptions!$F$75)</f>
        <v>-40000</v>
      </c>
      <c r="AF60" s="27" t="n">
        <f aca="false">-Assumptions!$F$74*IF(AF$3&lt;Assumptions!$F$7,0,Assumptions!$F$75)</f>
        <v>-40000</v>
      </c>
      <c r="AG60" s="27" t="n">
        <f aca="false">-Assumptions!$F$74*IF(AG$3&lt;Assumptions!$F$7,0,Assumptions!$F$75)</f>
        <v>-40000</v>
      </c>
      <c r="AH60" s="27" t="n">
        <f aca="false">-Assumptions!$F$74*IF(AH$3&lt;Assumptions!$F$7,0,Assumptions!$F$75)</f>
        <v>-40000</v>
      </c>
      <c r="AI60" s="27" t="n">
        <f aca="false">-Assumptions!$F$74*IF(AI$3&lt;Assumptions!$F$7,0,Assumptions!$F$75)</f>
        <v>-40000</v>
      </c>
      <c r="AJ60" s="27" t="n">
        <f aca="false">-Assumptions!$F$74*IF(AJ$3&lt;Assumptions!$F$7,0,Assumptions!$F$75)</f>
        <v>-40000</v>
      </c>
      <c r="AK60" s="27" t="n">
        <f aca="false">-Assumptions!$F$74*IF(AK$3&lt;Assumptions!$F$7,0,Assumptions!$F$75)</f>
        <v>-40000</v>
      </c>
      <c r="AL60" s="27" t="n">
        <f aca="false">-Assumptions!$F$74*IF(AL$3&lt;Assumptions!$F$7,0,Assumptions!$F$75)</f>
        <v>-40000</v>
      </c>
      <c r="AM60" s="27" t="n">
        <f aca="false">-Assumptions!$F$74*IF(AM$3&lt;Assumptions!$F$7,0,Assumptions!$F$75)</f>
        <v>-40000</v>
      </c>
    </row>
    <row r="61" customFormat="false" ht="15" hidden="false" customHeight="false" outlineLevel="0" collapsed="false">
      <c r="A61" s="8" t="s">
        <v>370</v>
      </c>
      <c r="B61" s="8" t="s">
        <v>50</v>
      </c>
      <c r="C61" s="27" t="n">
        <f aca="false">SUM(D61:AM61)</f>
        <v>-8777543.88930377</v>
      </c>
      <c r="D61" s="27" t="n">
        <f aca="false">-Assumptions!$F$74*D43*Assumptions!$F$76</f>
        <v>-0</v>
      </c>
      <c r="E61" s="27" t="n">
        <f aca="false">-Assumptions!$F$74*E43*Assumptions!$F$76</f>
        <v>-0</v>
      </c>
      <c r="F61" s="27" t="n">
        <f aca="false">-Assumptions!$F$74*F43*Assumptions!$F$76</f>
        <v>-0</v>
      </c>
      <c r="G61" s="27" t="n">
        <f aca="false">-Assumptions!$F$74*G43*Assumptions!$F$76</f>
        <v>-0</v>
      </c>
      <c r="H61" s="27" t="n">
        <f aca="false">-Assumptions!$F$74*H43*Assumptions!$F$76</f>
        <v>-6705.00332195054</v>
      </c>
      <c r="I61" s="27" t="n">
        <f aca="false">-Assumptions!$F$74*I43*Assumptions!$F$76</f>
        <v>-9178.21257438878</v>
      </c>
      <c r="J61" s="27" t="n">
        <f aca="false">-Assumptions!$F$74*J43*Assumptions!$F$76</f>
        <v>-55774.5240078223</v>
      </c>
      <c r="K61" s="27" t="n">
        <f aca="false">-Assumptions!$F$74*K43*Assumptions!$F$76</f>
        <v>-50667.9156613264</v>
      </c>
      <c r="L61" s="27" t="n">
        <f aca="false">-Assumptions!$F$74*L43*Assumptions!$F$76</f>
        <v>-61754.9759663978</v>
      </c>
      <c r="M61" s="27" t="n">
        <f aca="false">-Assumptions!$F$74*M43*Assumptions!$F$76</f>
        <v>-73411.0597062605</v>
      </c>
      <c r="N61" s="27" t="n">
        <f aca="false">-Assumptions!$F$74*N43*Assumptions!$F$76</f>
        <v>-85696.9289162961</v>
      </c>
      <c r="O61" s="27" t="n">
        <f aca="false">-Assumptions!$F$74*O43*Assumptions!$F$76</f>
        <v>-98676.4117670455</v>
      </c>
      <c r="P61" s="27" t="n">
        <f aca="false">-Assumptions!$F$74*P43*Assumptions!$F$76</f>
        <v>-112416.905890834</v>
      </c>
      <c r="Q61" s="27" t="n">
        <f aca="false">-Assumptions!$F$74*Q43*Assumptions!$F$76</f>
        <v>-126989.916983087</v>
      </c>
      <c r="R61" s="27" t="n">
        <f aca="false">-Assumptions!$F$74*R43*Assumptions!$F$76</f>
        <v>-142471.638974645</v>
      </c>
      <c r="S61" s="27" t="n">
        <f aca="false">-Assumptions!$F$74*S43*Assumptions!$F$76</f>
        <v>-158943.582616328</v>
      </c>
      <c r="T61" s="27" t="n">
        <f aca="false">-Assumptions!$F$74*T43*Assumptions!$F$76</f>
        <v>-176493.259948999</v>
      </c>
      <c r="U61" s="27" t="n">
        <f aca="false">-Assumptions!$F$74*U43*Assumptions!$F$76</f>
        <v>-195214.93285961</v>
      </c>
      <c r="V61" s="27" t="n">
        <f aca="false">-Assumptions!$F$74*V43*Assumptions!$F$76</f>
        <v>-215210.434755801</v>
      </c>
      <c r="W61" s="27" t="n">
        <f aca="false">-Assumptions!$F$74*W43*Assumptions!$F$76</f>
        <v>-236190.977620164</v>
      </c>
      <c r="X61" s="27" t="n">
        <f aca="false">-Assumptions!$F$74*X43*Assumptions!$F$76</f>
        <v>-255981.070625127</v>
      </c>
      <c r="Y61" s="27" t="n">
        <f aca="false">-Assumptions!$F$74*Y43*Assumptions!$F$76</f>
        <v>-276087.341509299</v>
      </c>
      <c r="Z61" s="27" t="n">
        <f aca="false">-Assumptions!$F$74*Z43*Assumptions!$F$76</f>
        <v>-296623.33341156</v>
      </c>
      <c r="AA61" s="27" t="n">
        <f aca="false">-Assumptions!$F$74*AA43*Assumptions!$F$76</f>
        <v>-317702.943089805</v>
      </c>
      <c r="AB61" s="27" t="n">
        <f aca="false">-Assumptions!$F$74*AB43*Assumptions!$F$76</f>
        <v>-339441.50141002</v>
      </c>
      <c r="AC61" s="27" t="n">
        <f aca="false">-Assumptions!$F$74*AC43*Assumptions!$F$76</f>
        <v>-361956.861730744</v>
      </c>
      <c r="AD61" s="27" t="n">
        <f aca="false">-Assumptions!$F$74*AD43*Assumptions!$F$76</f>
        <v>-385370.507871193</v>
      </c>
      <c r="AE61" s="27" t="n">
        <f aca="false">-Assumptions!$F$74*AE43*Assumptions!$F$76</f>
        <v>-409808.69354422</v>
      </c>
      <c r="AF61" s="27" t="n">
        <f aca="false">-Assumptions!$F$74*AF43*Assumptions!$F$76</f>
        <v>-435403.625458247</v>
      </c>
      <c r="AG61" s="27" t="n">
        <f aca="false">-Assumptions!$F$74*AG43*Assumptions!$F$76</f>
        <v>-462294.702748693</v>
      </c>
      <c r="AH61" s="27" t="n">
        <f aca="false">-Assumptions!$F$74*AH43*Assumptions!$F$76</f>
        <v>-490629.825994206</v>
      </c>
      <c r="AI61" s="27" t="n">
        <f aca="false">-Assumptions!$F$74*AI43*Assumptions!$F$76</f>
        <v>-520566.789812407</v>
      </c>
      <c r="AJ61" s="27" t="n">
        <f aca="false">-Assumptions!$F$74*AJ43*Assumptions!$F$76</f>
        <v>-552274.773922056</v>
      </c>
      <c r="AK61" s="27" t="n">
        <f aca="false">-Assumptions!$F$74*AK43*Assumptions!$F$76</f>
        <v>-585935.948612977</v>
      </c>
      <c r="AL61" s="27" t="n">
        <f aca="false">-Assumptions!$F$74*AL43*Assumptions!$F$76</f>
        <v>-621747.211793314</v>
      </c>
      <c r="AM61" s="27" t="n">
        <f aca="false">-Assumptions!$F$74*AM43*Assumptions!$F$76</f>
        <v>-659922.076198948</v>
      </c>
    </row>
    <row r="62" customFormat="false" ht="15" hidden="false" customHeight="false" outlineLevel="0" collapsed="false">
      <c r="A62" s="29" t="s">
        <v>371</v>
      </c>
      <c r="B62" s="8" t="s">
        <v>50</v>
      </c>
      <c r="C62" s="31" t="n">
        <f aca="false">SUM(D62:AM62)</f>
        <v>-27339115.4639885</v>
      </c>
      <c r="D62" s="31" t="n">
        <f aca="false">SUM(D57:D61)</f>
        <v>-30000</v>
      </c>
      <c r="E62" s="31" t="n">
        <f aca="false">SUM(E57:E61)</f>
        <v>-30000</v>
      </c>
      <c r="F62" s="31" t="n">
        <f aca="false">SUM(F57:F61)</f>
        <v>-30000</v>
      </c>
      <c r="G62" s="31" t="n">
        <f aca="false">SUM(G57:G61)</f>
        <v>-30000</v>
      </c>
      <c r="H62" s="31" t="n">
        <f aca="false">SUM(H57:H61)</f>
        <v>-196705.003321951</v>
      </c>
      <c r="I62" s="31" t="n">
        <f aca="false">SUM(I57:I61)</f>
        <v>-199178.212574389</v>
      </c>
      <c r="J62" s="31" t="n">
        <f aca="false">SUM(J57:J61)</f>
        <v>-815774.524007822</v>
      </c>
      <c r="K62" s="31" t="n">
        <f aca="false">SUM(K57:K61)</f>
        <v>-440667.915661326</v>
      </c>
      <c r="L62" s="31" t="n">
        <f aca="false">SUM(L57:L61)</f>
        <v>-461754.975966398</v>
      </c>
      <c r="M62" s="31" t="n">
        <f aca="false">SUM(M57:M61)</f>
        <v>-483811.059706261</v>
      </c>
      <c r="N62" s="31" t="n">
        <f aca="false">SUM(N57:N61)</f>
        <v>-506912.928916296</v>
      </c>
      <c r="O62" s="31" t="n">
        <f aca="false">SUM(O57:O61)</f>
        <v>-531141.051767046</v>
      </c>
      <c r="P62" s="31" t="n">
        <f aca="false">SUM(P57:P61)</f>
        <v>-556580.131490834</v>
      </c>
      <c r="Q62" s="31" t="n">
        <f aca="false">SUM(Q57:Q61)</f>
        <v>-583319.671607088</v>
      </c>
      <c r="R62" s="31" t="n">
        <f aca="false">SUM(R57:R61)</f>
        <v>-611454.583783606</v>
      </c>
      <c r="S62" s="31" t="n">
        <f aca="false">SUM(S57:S61)</f>
        <v>-641085.845217646</v>
      </c>
      <c r="T62" s="31" t="n">
        <f aca="false">SUM(T57:T61)</f>
        <v>-672321.21305437</v>
      </c>
      <c r="U62" s="31" t="n">
        <f aca="false">SUM(U57:U61)</f>
        <v>-705276.004089196</v>
      </c>
      <c r="V62" s="31" t="n">
        <f aca="false">SUM(V57:V61)</f>
        <v>-740073.948834571</v>
      </c>
      <c r="W62" s="31" t="n">
        <f aca="false">SUM(W57:W61)</f>
        <v>-776449.032262084</v>
      </c>
      <c r="X62" s="31" t="n">
        <f aca="false">SUM(X57:X61)</f>
        <v>-812249.447452724</v>
      </c>
      <c r="Y62" s="31" t="n">
        <f aca="false">SUM(Y57:Y61)</f>
        <v>-849006.45341</v>
      </c>
      <c r="Z62" s="31" t="n">
        <f aca="false">SUM(Z57:Z61)</f>
        <v>-886859.209788289</v>
      </c>
      <c r="AA62" s="31" t="n">
        <f aca="false">SUM(AA57:AA61)</f>
        <v>-925948.254521604</v>
      </c>
      <c r="AB62" s="31" t="n">
        <f aca="false">SUM(AB57:AB61)</f>
        <v>-966416.62529909</v>
      </c>
      <c r="AC62" s="31" t="n">
        <f aca="false">SUM(AC57:AC61)</f>
        <v>-1008410.99057538</v>
      </c>
      <c r="AD62" s="31" t="n">
        <f aca="false">SUM(AD57:AD61)</f>
        <v>-1052082.80186961</v>
      </c>
      <c r="AE62" s="31" t="n">
        <f aca="false">SUM(AE57:AE61)</f>
        <v>-1097589.47930258</v>
      </c>
      <c r="AF62" s="31" t="n">
        <f aca="false">SUM(AF57:AF61)</f>
        <v>-1145095.64264694</v>
      </c>
      <c r="AG62" s="31" t="n">
        <f aca="false">SUM(AG57:AG61)</f>
        <v>-1194774.40062493</v>
      </c>
      <c r="AH62" s="31" t="n">
        <f aca="false">SUM(AH57:AH61)</f>
        <v>-1246808.71178549</v>
      </c>
      <c r="AI62" s="31" t="n">
        <f aca="false">SUM(AI57:AI61)</f>
        <v>-1301392.83103535</v>
      </c>
      <c r="AJ62" s="31" t="n">
        <f aca="false">SUM(AJ57:AJ61)</f>
        <v>-1358733.85679391</v>
      </c>
      <c r="AK62" s="31" t="n">
        <f aca="false">SUM(AK57:AK61)</f>
        <v>-1419053.39479971</v>
      </c>
      <c r="AL62" s="31" t="n">
        <f aca="false">SUM(AL57:AL61)</f>
        <v>-1482589.35582751</v>
      </c>
      <c r="AM62" s="31" t="n">
        <f aca="false">SUM(AM57:AM61)</f>
        <v>-1549597.90599451</v>
      </c>
    </row>
    <row r="63" customFormat="false" ht="15" hidden="false" customHeight="false" outlineLevel="0" collapsed="false">
      <c r="A63" s="29" t="s">
        <v>372</v>
      </c>
      <c r="B63" s="8" t="s">
        <v>50</v>
      </c>
      <c r="C63" s="31" t="n">
        <f aca="false">SUM(D63:AM63)</f>
        <v>147370548.162806</v>
      </c>
      <c r="D63" s="31" t="n">
        <f aca="false">D54+D62</f>
        <v>-30000</v>
      </c>
      <c r="E63" s="31" t="n">
        <f aca="false">E54+E62</f>
        <v>-30000</v>
      </c>
      <c r="F63" s="31" t="n">
        <f aca="false">F54+F62</f>
        <v>-30000</v>
      </c>
      <c r="G63" s="31" t="n">
        <f aca="false">G54+G62</f>
        <v>-30000</v>
      </c>
      <c r="H63" s="31" t="n">
        <f aca="false">H54+H62</f>
        <v>-65993.165117558</v>
      </c>
      <c r="I63" s="31" t="n">
        <f aca="false">I54+I62</f>
        <v>-15914.7849364216</v>
      </c>
      <c r="J63" s="31" t="n">
        <f aca="false">J54+J62</f>
        <v>265347.883742699</v>
      </c>
      <c r="K63" s="31" t="n">
        <f aca="false">K54+K62</f>
        <v>567228.384665151</v>
      </c>
      <c r="L63" s="31" t="n">
        <f aca="false">L54+L62</f>
        <v>769716.824984363</v>
      </c>
      <c r="M63" s="31" t="n">
        <f aca="false">M54+M62</f>
        <v>982124.466431847</v>
      </c>
      <c r="N63" s="31" t="n">
        <f aca="false">N54+N62</f>
        <v>1205575.07015645</v>
      </c>
      <c r="O63" s="31" t="n">
        <f aca="false">O54+O62</f>
        <v>1441247.41189159</v>
      </c>
      <c r="P63" s="31" t="n">
        <f aca="false">P54+P62</f>
        <v>1690384.62052331</v>
      </c>
      <c r="Q63" s="31" t="n">
        <f aca="false">Q54+Q62</f>
        <v>1954304.15957535</v>
      </c>
      <c r="R63" s="31" t="n">
        <f aca="false">R54+R62</f>
        <v>2234408.56808243</v>
      </c>
      <c r="S63" s="31" t="n">
        <f aca="false">S54+S62</f>
        <v>2532197.08728863</v>
      </c>
      <c r="T63" s="31" t="n">
        <f aca="false">T54+T62</f>
        <v>2849278.31117714</v>
      </c>
      <c r="U63" s="31" t="n">
        <f aca="false">U54+U62</f>
        <v>3187384.0121635</v>
      </c>
      <c r="V63" s="31" t="n">
        <f aca="false">V54+V62</f>
        <v>3548384.30854108</v>
      </c>
      <c r="W63" s="31" t="n">
        <f aca="false">W54+W62</f>
        <v>3927217.51918634</v>
      </c>
      <c r="X63" s="31" t="n">
        <f aca="false">X54+X62</f>
        <v>4285206.08185863</v>
      </c>
      <c r="Y63" s="31" t="n">
        <f aca="false">Y54+Y62</f>
        <v>4648436.23940872</v>
      </c>
      <c r="Z63" s="31" t="n">
        <f aca="false">Z54+Z62</f>
        <v>5019026.33501854</v>
      </c>
      <c r="AA63" s="31" t="n">
        <f aca="false">AA54+AA62</f>
        <v>5399099.52793227</v>
      </c>
      <c r="AB63" s="31" t="n">
        <f aca="false">AB54+AB62</f>
        <v>5790804.13974723</v>
      </c>
      <c r="AC63" s="31" t="n">
        <f aca="false">AC54+AC62</f>
        <v>6196334.1391309</v>
      </c>
      <c r="AD63" s="31" t="n">
        <f aca="false">AD54+AD62</f>
        <v>6617949.98533049</v>
      </c>
      <c r="AE63" s="31" t="n">
        <f aca="false">AE54+AE62</f>
        <v>7058000.05438001</v>
      </c>
      <c r="AF63" s="31" t="n">
        <f aca="false">AF54+AF62</f>
        <v>7518942.87789973</v>
      </c>
      <c r="AG63" s="31" t="n">
        <f aca="false">AG54+AG62</f>
        <v>8003370.43288854</v>
      </c>
      <c r="AH63" s="31" t="n">
        <f aca="false">AH54+AH62</f>
        <v>8514032.73201956</v>
      </c>
      <c r="AI63" s="31" t="n">
        <f aca="false">AI54+AI62</f>
        <v>9053863.97778524</v>
      </c>
      <c r="AJ63" s="31" t="n">
        <f aca="false">AJ54+AJ62</f>
        <v>9626010.56054707</v>
      </c>
      <c r="AK63" s="31" t="n">
        <f aca="false">AK54+AK62</f>
        <v>10233861.200309</v>
      </c>
      <c r="AL63" s="31" t="n">
        <f aca="false">AL54+AL62</f>
        <v>10881079.5550659</v>
      </c>
      <c r="AM63" s="31" t="n">
        <f aca="false">AM54+AM62</f>
        <v>11571639.6451282</v>
      </c>
    </row>
    <row r="64" customFormat="false" ht="15" hidden="false" customHeight="false" outlineLevel="0" collapsed="false">
      <c r="A64" s="8" t="s">
        <v>373</v>
      </c>
      <c r="B64" s="8" t="s">
        <v>293</v>
      </c>
      <c r="C64" s="28" t="n">
        <f aca="false">SUM(D64:AM64)</f>
        <v>277838.105505281</v>
      </c>
      <c r="D64" s="28" t="n">
        <f aca="false">D23+D28+D31</f>
        <v>0</v>
      </c>
      <c r="E64" s="28" t="n">
        <f aca="false">E23+E28+E31</f>
        <v>0</v>
      </c>
      <c r="F64" s="28" t="n">
        <f aca="false">F23+F28+F31</f>
        <v>0</v>
      </c>
      <c r="G64" s="28" t="n">
        <f aca="false">G23+G28+G31</f>
        <v>0</v>
      </c>
      <c r="H64" s="28" t="n">
        <f aca="false">H23+H28+H31</f>
        <v>1408.84856587731</v>
      </c>
      <c r="I64" s="28" t="n">
        <f aca="false">I23+I28+I31</f>
        <v>1424.11831772381</v>
      </c>
      <c r="J64" s="28" t="n">
        <f aca="false">J23+J28+J31</f>
        <v>7193.68624351632</v>
      </c>
      <c r="K64" s="28" t="n">
        <f aca="false">K23+K28+K31</f>
        <v>3795.60043999328</v>
      </c>
      <c r="L64" s="28" t="n">
        <f aca="false">L23+L28+L31</f>
        <v>4019.16162718864</v>
      </c>
      <c r="M64" s="28" t="n">
        <f aca="false">M23+M28+M31</f>
        <v>4256.44002397105</v>
      </c>
      <c r="N64" s="28" t="n">
        <f aca="false">N23+N28+N31</f>
        <v>4508.40462465229</v>
      </c>
      <c r="O64" s="28" t="n">
        <f aca="false">O23+O28+O31</f>
        <v>4776.10739112017</v>
      </c>
      <c r="P64" s="28" t="n">
        <f aca="false">P23+P28+P31</f>
        <v>5060.69159216144</v>
      </c>
      <c r="Q64" s="28" t="n">
        <f aca="false">Q23+Q28+Q31</f>
        <v>5363.40106120381</v>
      </c>
      <c r="R64" s="28" t="n">
        <f aca="false">R23+R28+R31</f>
        <v>5685.59047773936</v>
      </c>
      <c r="S64" s="28" t="n">
        <f aca="false">S23+S28+S31</f>
        <v>6028.73678992563</v>
      </c>
      <c r="T64" s="28" t="n">
        <f aca="false">T23+T28+T31</f>
        <v>6394.45190952081</v>
      </c>
      <c r="U64" s="28" t="n">
        <f aca="false">U23+U28+U31</f>
        <v>6784.49682556194</v>
      </c>
      <c r="V64" s="28" t="n">
        <f aca="false">V23+V28+V31</f>
        <v>7200.79730022573</v>
      </c>
      <c r="W64" s="28" t="n">
        <f aca="false">W23+W28+W31</f>
        <v>7632.97145428669</v>
      </c>
      <c r="X64" s="28" t="n">
        <f aca="false">X23+X28+X31</f>
        <v>8015.86729352767</v>
      </c>
      <c r="Y64" s="28" t="n">
        <f aca="false">Y23+Y28+Y31</f>
        <v>8422.61243425593</v>
      </c>
      <c r="Z64" s="28" t="n">
        <f aca="false">Z23+Z28+Z31</f>
        <v>8855.0995300019</v>
      </c>
      <c r="AA64" s="28" t="n">
        <f aca="false">AA23+AA28+AA31</f>
        <v>9315.40019539905</v>
      </c>
      <c r="AB64" s="28" t="n">
        <f aca="false">AB23+AB28+AB31</f>
        <v>9805.78352267377</v>
      </c>
      <c r="AC64" s="28" t="n">
        <f aca="false">AC23+AC28+AC31</f>
        <v>10328.7365881799</v>
      </c>
      <c r="AD64" s="28" t="n">
        <f aca="false">AD23+AD28+AD31</f>
        <v>10886.9871660123</v>
      </c>
      <c r="AE64" s="28" t="n">
        <f aca="false">AE23+AE28+AE31</f>
        <v>11483.5288895314</v>
      </c>
      <c r="AF64" s="28" t="n">
        <f aca="false">AF23+AF28+AF31</f>
        <v>12121.649128048</v>
      </c>
      <c r="AG64" s="28" t="n">
        <f aca="false">AG23+AG28+AG31</f>
        <v>12804.9598752282</v>
      </c>
      <c r="AH64" s="28" t="n">
        <f aca="false">AH23+AH28+AH31</f>
        <v>13537.431978322</v>
      </c>
      <c r="AI64" s="28" t="n">
        <f aca="false">AI23+AI28+AI31</f>
        <v>14323.4330734288</v>
      </c>
      <c r="AJ64" s="28" t="n">
        <f aca="false">AJ23+AJ28+AJ31</f>
        <v>15167.769632097</v>
      </c>
      <c r="AK64" s="28" t="n">
        <f aca="false">AK23+AK28+AK31</f>
        <v>16075.7335690424</v>
      </c>
      <c r="AL64" s="28" t="n">
        <f aca="false">AL23+AL28+AL31</f>
        <v>17053.1539101484</v>
      </c>
      <c r="AM64" s="28" t="n">
        <f aca="false">AM23+AM28+AM31</f>
        <v>18106.4540747164</v>
      </c>
    </row>
    <row r="65" customFormat="false" ht="15" hidden="false" customHeight="false" outlineLevel="0" collapsed="false">
      <c r="A65" s="8" t="s">
        <v>374</v>
      </c>
      <c r="B65" s="8" t="s">
        <v>50</v>
      </c>
      <c r="D65" s="27" t="n">
        <f aca="false">IF(D64=0,0,-(D57+D58+D59)/D64)</f>
        <v>0</v>
      </c>
      <c r="E65" s="27" t="n">
        <f aca="false">IF(E64=0,0,-(E57+E58+E59)/E64)</f>
        <v>0</v>
      </c>
      <c r="F65" s="27" t="n">
        <f aca="false">IF(F64=0,0,-(F57+F58+F59)/F64)</f>
        <v>0</v>
      </c>
      <c r="G65" s="27" t="n">
        <f aca="false">IF(G64=0,0,-(G57+G58+G59)/G64)</f>
        <v>0</v>
      </c>
      <c r="H65" s="27" t="n">
        <f aca="false">IF(H64=0,0,-(H57+H58+H59)/H64)</f>
        <v>106.469924187056</v>
      </c>
      <c r="I65" s="27" t="n">
        <f aca="false">IF(I64=0,0,-(I57+I58+I59)/I64)</f>
        <v>105.328327101183</v>
      </c>
      <c r="J65" s="27" t="n">
        <f aca="false">IF(J64=0,0,-(J57+J58+J59)/J64)</f>
        <v>100.087768026989</v>
      </c>
      <c r="K65" s="27" t="n">
        <f aca="false">IF(K64=0,0,-(K57+K58+K59)/K64)</f>
        <v>92.2120242984848</v>
      </c>
      <c r="L65" s="27" t="n">
        <f aca="false">IF(L64=0,0,-(L57+L58+L59)/L64)</f>
        <v>89.5709188614583</v>
      </c>
      <c r="M65" s="27" t="n">
        <f aca="false">IF(M64=0,0,-(M57+M58+M59)/M64)</f>
        <v>87.0210781578063</v>
      </c>
      <c r="N65" s="27" t="n">
        <f aca="false">IF(N64=0,0,-(N57+N58+N59)/N64)</f>
        <v>84.5567405186931</v>
      </c>
      <c r="O65" s="27" t="n">
        <f aca="false">IF(O64=0,0,-(O57+O58+O59)/O64)</f>
        <v>82.1724906625169</v>
      </c>
      <c r="P65" s="27" t="n">
        <f aca="false">IF(P64=0,0,-(P57+P58+P59)/P64)</f>
        <v>79.8632396856613</v>
      </c>
      <c r="Q65" s="27" t="n">
        <f aca="false">IF(Q64=0,0,-(Q57+Q58+Q59)/Q64)</f>
        <v>77.6242070792586</v>
      </c>
      <c r="R65" s="27" t="n">
        <f aca="false">IF(R64=0,0,-(R57+R58+R59)/R64)</f>
        <v>75.4509046137856</v>
      </c>
      <c r="S65" s="27" t="n">
        <f aca="false">IF(S64=0,0,-(S57+S58+S59)/S64)</f>
        <v>73.3391219434499</v>
      </c>
      <c r="T65" s="27" t="n">
        <f aca="false">IF(T64=0,0,-(T57+T58+T59)/T64)</f>
        <v>71.2849137901376</v>
      </c>
      <c r="U65" s="27" t="n">
        <f aca="false">IF(U64=0,0,-(U57+U58+U59)/U64)</f>
        <v>69.2845885723666</v>
      </c>
      <c r="V65" s="27" t="n">
        <f aca="false">IF(V64=0,0,-(V57+V58+V59)/V64)</f>
        <v>67.3346983484135</v>
      </c>
      <c r="W65" s="27" t="n">
        <f aca="false">IF(W64=0,0,-(W57+W58+W59)/W64)</f>
        <v>65.5390967512363</v>
      </c>
      <c r="X65" s="27" t="n">
        <f aca="false">IF(X64=0,0,-(X57+X58+X59)/X64)</f>
        <v>64.4058038790703</v>
      </c>
      <c r="Y65" s="27" t="n">
        <f aca="false">IF(Y64=0,0,-(Y57+Y58+Y59)/Y64)</f>
        <v>63.2724248041196</v>
      </c>
      <c r="Z65" s="27" t="n">
        <f aca="false">IF(Z64=0,0,-(Z57+Z58+Z59)/Z64)</f>
        <v>62.1377404638399</v>
      </c>
      <c r="AA65" s="27" t="n">
        <f aca="false">IF(AA64=0,0,-(AA57+AA58+AA59)/AA64)</f>
        <v>61.0006333074621</v>
      </c>
      <c r="AB65" s="27" t="n">
        <f aca="false">IF(AB64=0,0,-(AB57+AB58+AB59)/AB64)</f>
        <v>59.8600940487638</v>
      </c>
      <c r="AC65" s="27" t="n">
        <f aca="false">IF(AC64=0,0,-(AC57+AC58+AC59)/AC64)</f>
        <v>58.7152284954823</v>
      </c>
      <c r="AD65" s="27" t="n">
        <f aca="false">IF(AD64=0,0,-(AD57+AD58+AD59)/AD64)</f>
        <v>57.5652643327194</v>
      </c>
      <c r="AE65" s="27" t="n">
        <f aca="false">IF(AE64=0,0,-(AE57+AE58+AE59)/AE64)</f>
        <v>56.4095577230517</v>
      </c>
      <c r="AF65" s="27" t="n">
        <f aca="false">IF(AF64=0,0,-(AF57+AF58+AF59)/AF64)</f>
        <v>55.2475995728257</v>
      </c>
      <c r="AG65" s="27" t="n">
        <f aca="false">IF(AG64=0,0,-(AG57+AG58+AG59)/AG64)</f>
        <v>54.0790213029775</v>
      </c>
      <c r="AH65" s="27" t="n">
        <f aca="false">IF(AH64=0,0,-(AH57+AH58+AH59)/AH64)</f>
        <v>52.9035999544177</v>
      </c>
      <c r="AI65" s="27" t="n">
        <f aca="false">IF(AI64=0,0,-(AI57+AI58+AI59)/AI64)</f>
        <v>51.7212624532896</v>
      </c>
      <c r="AJ65" s="27" t="n">
        <f aca="false">IF(AJ64=0,0,-(AJ57+AJ58+AJ59)/AJ64)</f>
        <v>50.5320888609705</v>
      </c>
      <c r="AK65" s="27" t="n">
        <f aca="false">IF(AK64=0,0,-(AK57+AK58+AK59)/AK64)</f>
        <v>49.336314438183</v>
      </c>
      <c r="AL65" s="27" t="n">
        <f aca="false">IF(AL64=0,0,-(AL57+AL58+AL59)/AL64)</f>
        <v>48.1343303625328</v>
      </c>
      <c r="AM65" s="27" t="n">
        <f aca="false">IF(AM64=0,0,-(AM57+AM58+AM59)/AM64)</f>
        <v>46.9266829545626</v>
      </c>
    </row>
    <row r="66" customFormat="false" ht="15" hidden="false" customHeight="false" outlineLevel="0" collapsed="false">
      <c r="A66" s="8" t="s">
        <v>375</v>
      </c>
      <c r="B66" s="8" t="s">
        <v>50</v>
      </c>
      <c r="D66" s="27" t="n">
        <f aca="false">IF(D23=0,0,-(D57+D58+D59)/D23)</f>
        <v>0</v>
      </c>
      <c r="E66" s="27" t="n">
        <f aca="false">IF(E23=0,0,-(E57+E58+E59)/E23)</f>
        <v>0</v>
      </c>
      <c r="F66" s="27" t="n">
        <f aca="false">IF(F23=0,0,-(F57+F58+F59)/F23)</f>
        <v>0</v>
      </c>
      <c r="G66" s="27" t="n">
        <f aca="false">IF(G23=0,0,-(G57+G58+G59)/G23)</f>
        <v>0</v>
      </c>
      <c r="H66" s="27" t="n">
        <f aca="false">IF(H23=0,0,-(H57+H58+H59)/H23)</f>
        <v>757.398080798485</v>
      </c>
      <c r="I66" s="27" t="n">
        <f aca="false">IF(I23=0,0,-(I57+I58+I59)/I23)</f>
        <v>749.277069644513</v>
      </c>
      <c r="J66" s="27" t="n">
        <f aca="false">IF(J23=0,0,-(J57+J58+J59)/J23)</f>
        <v>389.644524628692</v>
      </c>
      <c r="K66" s="27" t="n">
        <f aca="false">IF(K23=0,0,-(K57+K58+K59)/K23)</f>
        <v>337.551962482859</v>
      </c>
      <c r="L66" s="27" t="n">
        <f aca="false">IF(L23=0,0,-(L57+L58+L59)/L23)</f>
        <v>309.868148368243</v>
      </c>
      <c r="M66" s="27" t="n">
        <f aca="false">IF(M23=0,0,-(M57+M58+M59)/M23)</f>
        <v>285.751712049494</v>
      </c>
      <c r="N66" s="27" t="n">
        <f aca="false">IF(N23=0,0,-(N57+N58+N59)/N23)</f>
        <v>264.560674112745</v>
      </c>
      <c r="O66" s="27" t="n">
        <f aca="false">IF(O23=0,0,-(O57+O58+O59)/O23)</f>
        <v>245.797026940728</v>
      </c>
      <c r="P66" s="27" t="n">
        <f aca="false">IF(P23=0,0,-(P57+P58+P59)/P23)</f>
        <v>229.068564731135</v>
      </c>
      <c r="Q66" s="27" t="n">
        <f aca="false">IF(Q23=0,0,-(Q57+Q58+Q59)/Q23)</f>
        <v>214.06224841294</v>
      </c>
      <c r="R66" s="27" t="n">
        <f aca="false">IF(R23=0,0,-(R57+R58+R59)/R23)</f>
        <v>200.525234196069</v>
      </c>
      <c r="S66" s="27" t="n">
        <f aca="false">IF(S23=0,0,-(S57+S58+S59)/S23)</f>
        <v>188.251111410367</v>
      </c>
      <c r="T66" s="27" t="n">
        <f aca="false">IF(T23=0,0,-(T57+T58+T59)/T23)</f>
        <v>177.06975429479</v>
      </c>
      <c r="U66" s="27" t="n">
        <f aca="false">IF(U23=0,0,-(U57+U58+U59)/U23)</f>
        <v>166.839727343812</v>
      </c>
      <c r="V66" s="27" t="n">
        <f aca="false">IF(V23=0,0,-(V57+V58+V59)/V23)</f>
        <v>157.442525073521</v>
      </c>
      <c r="W66" s="27" t="n">
        <f aca="false">IF(W23=0,0,-(W57+W58+W59)/W23)</f>
        <v>149.604694817971</v>
      </c>
      <c r="X66" s="27" t="n">
        <f aca="false">IF(X23=0,0,-(X57+X58+X59)/X23)</f>
        <v>147.017751410385</v>
      </c>
      <c r="Y66" s="27" t="n">
        <f aca="false">IF(Y23=0,0,-(Y57+Y58+Y59)/Y23)</f>
        <v>144.430611229545</v>
      </c>
      <c r="Z66" s="27" t="n">
        <f aca="false">IF(Z23=0,0,-(Z57+Z58+Z59)/Z23)</f>
        <v>141.840491547448</v>
      </c>
      <c r="AA66" s="27" t="n">
        <f aca="false">IF(AA23=0,0,-(AA57+AA58+AA59)/AA23)</f>
        <v>139.244841354847</v>
      </c>
      <c r="AB66" s="27" t="n">
        <f aca="false">IF(AB23=0,0,-(AB57+AB58+AB59)/AB23)</f>
        <v>136.641356775663</v>
      </c>
      <c r="AC66" s="27" t="n">
        <f aca="false">IF(AC23=0,0,-(AC57+AC58+AC59)/AC23)</f>
        <v>134.027996656338</v>
      </c>
      <c r="AD66" s="27" t="n">
        <f aca="false">IF(AD23=0,0,-(AD57+AD58+AD59)/AD23)</f>
        <v>131.402998050166</v>
      </c>
      <c r="AE66" s="27" t="n">
        <f aca="false">IF(AE23=0,0,-(AE57+AE58+AE59)/AE23)</f>
        <v>128.764891283228</v>
      </c>
      <c r="AF66" s="27" t="n">
        <f aca="false">IF(AF23=0,0,-(AF57+AF58+AF59)/AF23)</f>
        <v>126.112514258326</v>
      </c>
      <c r="AG66" s="27" t="n">
        <f aca="false">IF(AG23=0,0,-(AG57+AG58+AG59)/AG23)</f>
        <v>123.445025627911</v>
      </c>
      <c r="AH66" s="27" t="n">
        <f aca="false">IF(AH23=0,0,-(AH57+AH58+AH59)/AH23)</f>
        <v>120.761916448039</v>
      </c>
      <c r="AI66" s="27" t="n">
        <f aca="false">IF(AI23=0,0,-(AI57+AI58+AI59)/AI23)</f>
        <v>118.063019914577</v>
      </c>
      <c r="AJ66" s="27" t="n">
        <f aca="false">IF(AJ23=0,0,-(AJ57+AJ58+AJ59)/AJ23)</f>
        <v>115.348518781921</v>
      </c>
      <c r="AK66" s="27" t="n">
        <f aca="false">IF(AK23=0,0,-(AK57+AK58+AK59)/AK23)</f>
        <v>112.618950074691</v>
      </c>
      <c r="AL66" s="27" t="n">
        <f aca="false">IF(AL23=0,0,-(AL57+AL58+AL59)/AL23)</f>
        <v>109.875206725645</v>
      </c>
      <c r="AM66" s="27" t="n">
        <f aca="false">IF(AM23=0,0,-(AM57+AM58+AM59)/AM23)</f>
        <v>107.118535809003</v>
      </c>
    </row>
    <row r="67" customFormat="false" ht="15" hidden="false" customHeight="false" outlineLevel="0" collapsed="false">
      <c r="A67" s="5" t="s">
        <v>376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</row>
    <row r="68" customFormat="false" ht="15" hidden="false" customHeight="false" outlineLevel="0" collapsed="false">
      <c r="A68" s="8" t="s">
        <v>377</v>
      </c>
      <c r="B68" s="8" t="s">
        <v>50</v>
      </c>
      <c r="C68" s="27" t="n">
        <f aca="false">SUM(D68:AM68)</f>
        <v>-11640000</v>
      </c>
      <c r="D68" s="27" t="n">
        <f aca="false">-IF(D$3&lt;=3,Assumptions!$F$56,IF(D$3&lt;Assumptions!$F$6,Assumptions!$F$57,IF(D$3&lt;=12,Assumptions!$F$58,IF(D$3&lt;=24,Assumptions!$F$59,Assumptions!$F$60))))</f>
        <v>-80000</v>
      </c>
      <c r="E68" s="27" t="n">
        <f aca="false">-IF(E$3&lt;=3,Assumptions!$F$56,IF(E$3&lt;Assumptions!$F$6,Assumptions!$F$57,IF(E$3&lt;=12,Assumptions!$F$58,IF(E$3&lt;=24,Assumptions!$F$59,Assumptions!$F$60))))</f>
        <v>-80000</v>
      </c>
      <c r="F68" s="27" t="n">
        <f aca="false">-IF(F$3&lt;=3,Assumptions!$F$56,IF(F$3&lt;Assumptions!$F$6,Assumptions!$F$57,IF(F$3&lt;=12,Assumptions!$F$58,IF(F$3&lt;=24,Assumptions!$F$59,Assumptions!$F$60))))</f>
        <v>-80000</v>
      </c>
      <c r="G68" s="27" t="n">
        <f aca="false">-IF(G$3&lt;=3,Assumptions!$F$56,IF(G$3&lt;Assumptions!$F$6,Assumptions!$F$57,IF(G$3&lt;=12,Assumptions!$F$58,IF(G$3&lt;=24,Assumptions!$F$59,Assumptions!$F$60))))</f>
        <v>-160000</v>
      </c>
      <c r="H68" s="27" t="n">
        <f aca="false">-IF(H$3&lt;=3,Assumptions!$F$56,IF(H$3&lt;Assumptions!$F$6,Assumptions!$F$57,IF(H$3&lt;=12,Assumptions!$F$58,IF(H$3&lt;=24,Assumptions!$F$59,Assumptions!$F$60))))</f>
        <v>-160000</v>
      </c>
      <c r="I68" s="27" t="n">
        <f aca="false">-IF(I$3&lt;=3,Assumptions!$F$56,IF(I$3&lt;Assumptions!$F$6,Assumptions!$F$57,IF(I$3&lt;=12,Assumptions!$F$58,IF(I$3&lt;=24,Assumptions!$F$59,Assumptions!$F$60))))</f>
        <v>-160000</v>
      </c>
      <c r="J68" s="27" t="n">
        <f aca="false">-IF(J$3&lt;=3,Assumptions!$F$56,IF(J$3&lt;Assumptions!$F$6,Assumptions!$F$57,IF(J$3&lt;=12,Assumptions!$F$58,IF(J$3&lt;=24,Assumptions!$F$59,Assumptions!$F$60))))</f>
        <v>-240000</v>
      </c>
      <c r="K68" s="27" t="n">
        <f aca="false">-IF(K$3&lt;=3,Assumptions!$F$56,IF(K$3&lt;Assumptions!$F$6,Assumptions!$F$57,IF(K$3&lt;=12,Assumptions!$F$58,IF(K$3&lt;=24,Assumptions!$F$59,Assumptions!$F$60))))</f>
        <v>-240000</v>
      </c>
      <c r="L68" s="27" t="n">
        <f aca="false">-IF(L$3&lt;=3,Assumptions!$F$56,IF(L$3&lt;Assumptions!$F$6,Assumptions!$F$57,IF(L$3&lt;=12,Assumptions!$F$58,IF(L$3&lt;=24,Assumptions!$F$59,Assumptions!$F$60))))</f>
        <v>-240000</v>
      </c>
      <c r="M68" s="27" t="n">
        <f aca="false">-IF(M$3&lt;=3,Assumptions!$F$56,IF(M$3&lt;Assumptions!$F$6,Assumptions!$F$57,IF(M$3&lt;=12,Assumptions!$F$58,IF(M$3&lt;=24,Assumptions!$F$59,Assumptions!$F$60))))</f>
        <v>-240000</v>
      </c>
      <c r="N68" s="27" t="n">
        <f aca="false">-IF(N$3&lt;=3,Assumptions!$F$56,IF(N$3&lt;Assumptions!$F$6,Assumptions!$F$57,IF(N$3&lt;=12,Assumptions!$F$58,IF(N$3&lt;=24,Assumptions!$F$59,Assumptions!$F$60))))</f>
        <v>-240000</v>
      </c>
      <c r="O68" s="27" t="n">
        <f aca="false">-IF(O$3&lt;=3,Assumptions!$F$56,IF(O$3&lt;Assumptions!$F$6,Assumptions!$F$57,IF(O$3&lt;=12,Assumptions!$F$58,IF(O$3&lt;=24,Assumptions!$F$59,Assumptions!$F$60))))</f>
        <v>-240000</v>
      </c>
      <c r="P68" s="27" t="n">
        <f aca="false">-IF(P$3&lt;=3,Assumptions!$F$56,IF(P$3&lt;Assumptions!$F$6,Assumptions!$F$57,IF(P$3&lt;=12,Assumptions!$F$58,IF(P$3&lt;=24,Assumptions!$F$59,Assumptions!$F$60))))</f>
        <v>-340000</v>
      </c>
      <c r="Q68" s="27" t="n">
        <f aca="false">-IF(Q$3&lt;=3,Assumptions!$F$56,IF(Q$3&lt;Assumptions!$F$6,Assumptions!$F$57,IF(Q$3&lt;=12,Assumptions!$F$58,IF(Q$3&lt;=24,Assumptions!$F$59,Assumptions!$F$60))))</f>
        <v>-340000</v>
      </c>
      <c r="R68" s="27" t="n">
        <f aca="false">-IF(R$3&lt;=3,Assumptions!$F$56,IF(R$3&lt;Assumptions!$F$6,Assumptions!$F$57,IF(R$3&lt;=12,Assumptions!$F$58,IF(R$3&lt;=24,Assumptions!$F$59,Assumptions!$F$60))))</f>
        <v>-340000</v>
      </c>
      <c r="S68" s="27" t="n">
        <f aca="false">-IF(S$3&lt;=3,Assumptions!$F$56,IF(S$3&lt;Assumptions!$F$6,Assumptions!$F$57,IF(S$3&lt;=12,Assumptions!$F$58,IF(S$3&lt;=24,Assumptions!$F$59,Assumptions!$F$60))))</f>
        <v>-340000</v>
      </c>
      <c r="T68" s="27" t="n">
        <f aca="false">-IF(T$3&lt;=3,Assumptions!$F$56,IF(T$3&lt;Assumptions!$F$6,Assumptions!$F$57,IF(T$3&lt;=12,Assumptions!$F$58,IF(T$3&lt;=24,Assumptions!$F$59,Assumptions!$F$60))))</f>
        <v>-340000</v>
      </c>
      <c r="U68" s="27" t="n">
        <f aca="false">-IF(U$3&lt;=3,Assumptions!$F$56,IF(U$3&lt;Assumptions!$F$6,Assumptions!$F$57,IF(U$3&lt;=12,Assumptions!$F$58,IF(U$3&lt;=24,Assumptions!$F$59,Assumptions!$F$60))))</f>
        <v>-340000</v>
      </c>
      <c r="V68" s="27" t="n">
        <f aca="false">-IF(V$3&lt;=3,Assumptions!$F$56,IF(V$3&lt;Assumptions!$F$6,Assumptions!$F$57,IF(V$3&lt;=12,Assumptions!$F$58,IF(V$3&lt;=24,Assumptions!$F$59,Assumptions!$F$60))))</f>
        <v>-340000</v>
      </c>
      <c r="W68" s="27" t="n">
        <f aca="false">-IF(W$3&lt;=3,Assumptions!$F$56,IF(W$3&lt;Assumptions!$F$6,Assumptions!$F$57,IF(W$3&lt;=12,Assumptions!$F$58,IF(W$3&lt;=24,Assumptions!$F$59,Assumptions!$F$60))))</f>
        <v>-340000</v>
      </c>
      <c r="X68" s="27" t="n">
        <f aca="false">-IF(X$3&lt;=3,Assumptions!$F$56,IF(X$3&lt;Assumptions!$F$6,Assumptions!$F$57,IF(X$3&lt;=12,Assumptions!$F$58,IF(X$3&lt;=24,Assumptions!$F$59,Assumptions!$F$60))))</f>
        <v>-340000</v>
      </c>
      <c r="Y68" s="27" t="n">
        <f aca="false">-IF(Y$3&lt;=3,Assumptions!$F$56,IF(Y$3&lt;Assumptions!$F$6,Assumptions!$F$57,IF(Y$3&lt;=12,Assumptions!$F$58,IF(Y$3&lt;=24,Assumptions!$F$59,Assumptions!$F$60))))</f>
        <v>-340000</v>
      </c>
      <c r="Z68" s="27" t="n">
        <f aca="false">-IF(Z$3&lt;=3,Assumptions!$F$56,IF(Z$3&lt;Assumptions!$F$6,Assumptions!$F$57,IF(Z$3&lt;=12,Assumptions!$F$58,IF(Z$3&lt;=24,Assumptions!$F$59,Assumptions!$F$60))))</f>
        <v>-340000</v>
      </c>
      <c r="AA68" s="27" t="n">
        <f aca="false">-IF(AA$3&lt;=3,Assumptions!$F$56,IF(AA$3&lt;Assumptions!$F$6,Assumptions!$F$57,IF(AA$3&lt;=12,Assumptions!$F$58,IF(AA$3&lt;=24,Assumptions!$F$59,Assumptions!$F$60))))</f>
        <v>-340000</v>
      </c>
      <c r="AB68" s="27" t="n">
        <f aca="false">-IF(AB$3&lt;=3,Assumptions!$F$56,IF(AB$3&lt;Assumptions!$F$6,Assumptions!$F$57,IF(AB$3&lt;=12,Assumptions!$F$58,IF(AB$3&lt;=24,Assumptions!$F$59,Assumptions!$F$60))))</f>
        <v>-450000</v>
      </c>
      <c r="AC68" s="27" t="n">
        <f aca="false">-IF(AC$3&lt;=3,Assumptions!$F$56,IF(AC$3&lt;Assumptions!$F$6,Assumptions!$F$57,IF(AC$3&lt;=12,Assumptions!$F$58,IF(AC$3&lt;=24,Assumptions!$F$59,Assumptions!$F$60))))</f>
        <v>-450000</v>
      </c>
      <c r="AD68" s="27" t="n">
        <f aca="false">-IF(AD$3&lt;=3,Assumptions!$F$56,IF(AD$3&lt;Assumptions!$F$6,Assumptions!$F$57,IF(AD$3&lt;=12,Assumptions!$F$58,IF(AD$3&lt;=24,Assumptions!$F$59,Assumptions!$F$60))))</f>
        <v>-450000</v>
      </c>
      <c r="AE68" s="27" t="n">
        <f aca="false">-IF(AE$3&lt;=3,Assumptions!$F$56,IF(AE$3&lt;Assumptions!$F$6,Assumptions!$F$57,IF(AE$3&lt;=12,Assumptions!$F$58,IF(AE$3&lt;=24,Assumptions!$F$59,Assumptions!$F$60))))</f>
        <v>-450000</v>
      </c>
      <c r="AF68" s="27" t="n">
        <f aca="false">-IF(AF$3&lt;=3,Assumptions!$F$56,IF(AF$3&lt;Assumptions!$F$6,Assumptions!$F$57,IF(AF$3&lt;=12,Assumptions!$F$58,IF(AF$3&lt;=24,Assumptions!$F$59,Assumptions!$F$60))))</f>
        <v>-450000</v>
      </c>
      <c r="AG68" s="27" t="n">
        <f aca="false">-IF(AG$3&lt;=3,Assumptions!$F$56,IF(AG$3&lt;Assumptions!$F$6,Assumptions!$F$57,IF(AG$3&lt;=12,Assumptions!$F$58,IF(AG$3&lt;=24,Assumptions!$F$59,Assumptions!$F$60))))</f>
        <v>-450000</v>
      </c>
      <c r="AH68" s="27" t="n">
        <f aca="false">-IF(AH$3&lt;=3,Assumptions!$F$56,IF(AH$3&lt;Assumptions!$F$6,Assumptions!$F$57,IF(AH$3&lt;=12,Assumptions!$F$58,IF(AH$3&lt;=24,Assumptions!$F$59,Assumptions!$F$60))))</f>
        <v>-450000</v>
      </c>
      <c r="AI68" s="27" t="n">
        <f aca="false">-IF(AI$3&lt;=3,Assumptions!$F$56,IF(AI$3&lt;Assumptions!$F$6,Assumptions!$F$57,IF(AI$3&lt;=12,Assumptions!$F$58,IF(AI$3&lt;=24,Assumptions!$F$59,Assumptions!$F$60))))</f>
        <v>-450000</v>
      </c>
      <c r="AJ68" s="27" t="n">
        <f aca="false">-IF(AJ$3&lt;=3,Assumptions!$F$56,IF(AJ$3&lt;Assumptions!$F$6,Assumptions!$F$57,IF(AJ$3&lt;=12,Assumptions!$F$58,IF(AJ$3&lt;=24,Assumptions!$F$59,Assumptions!$F$60))))</f>
        <v>-450000</v>
      </c>
      <c r="AK68" s="27" t="n">
        <f aca="false">-IF(AK$3&lt;=3,Assumptions!$F$56,IF(AK$3&lt;Assumptions!$F$6,Assumptions!$F$57,IF(AK$3&lt;=12,Assumptions!$F$58,IF(AK$3&lt;=24,Assumptions!$F$59,Assumptions!$F$60))))</f>
        <v>-450000</v>
      </c>
      <c r="AL68" s="27" t="n">
        <f aca="false">-IF(AL$3&lt;=3,Assumptions!$F$56,IF(AL$3&lt;Assumptions!$F$6,Assumptions!$F$57,IF(AL$3&lt;=12,Assumptions!$F$58,IF(AL$3&lt;=24,Assumptions!$F$59,Assumptions!$F$60))))</f>
        <v>-450000</v>
      </c>
      <c r="AM68" s="27" t="n">
        <f aca="false">-IF(AM$3&lt;=3,Assumptions!$F$56,IF(AM$3&lt;Assumptions!$F$6,Assumptions!$F$57,IF(AM$3&lt;=12,Assumptions!$F$58,IF(AM$3&lt;=24,Assumptions!$F$59,Assumptions!$F$60))))</f>
        <v>-450000</v>
      </c>
    </row>
    <row r="69" customFormat="false" ht="15" hidden="false" customHeight="false" outlineLevel="0" collapsed="false">
      <c r="A69" s="8" t="s">
        <v>378</v>
      </c>
      <c r="B69" s="8" t="s">
        <v>50</v>
      </c>
      <c r="C69" s="27" t="n">
        <f aca="false">SUM(D69:AM69)</f>
        <v>-900000</v>
      </c>
      <c r="D69" s="27" t="n">
        <f aca="false">-Assumptions!$F$61</f>
        <v>-25000</v>
      </c>
      <c r="E69" s="27" t="n">
        <f aca="false">-Assumptions!$F$61</f>
        <v>-25000</v>
      </c>
      <c r="F69" s="27" t="n">
        <f aca="false">-Assumptions!$F$61</f>
        <v>-25000</v>
      </c>
      <c r="G69" s="27" t="n">
        <f aca="false">-Assumptions!$F$61</f>
        <v>-25000</v>
      </c>
      <c r="H69" s="27" t="n">
        <f aca="false">-Assumptions!$F$61</f>
        <v>-25000</v>
      </c>
      <c r="I69" s="27" t="n">
        <f aca="false">-Assumptions!$F$61</f>
        <v>-25000</v>
      </c>
      <c r="J69" s="27" t="n">
        <f aca="false">-Assumptions!$F$61</f>
        <v>-25000</v>
      </c>
      <c r="K69" s="27" t="n">
        <f aca="false">-Assumptions!$F$61</f>
        <v>-25000</v>
      </c>
      <c r="L69" s="27" t="n">
        <f aca="false">-Assumptions!$F$61</f>
        <v>-25000</v>
      </c>
      <c r="M69" s="27" t="n">
        <f aca="false">-Assumptions!$F$61</f>
        <v>-25000</v>
      </c>
      <c r="N69" s="27" t="n">
        <f aca="false">-Assumptions!$F$61</f>
        <v>-25000</v>
      </c>
      <c r="O69" s="27" t="n">
        <f aca="false">-Assumptions!$F$61</f>
        <v>-25000</v>
      </c>
      <c r="P69" s="27" t="n">
        <f aca="false">-Assumptions!$F$61</f>
        <v>-25000</v>
      </c>
      <c r="Q69" s="27" t="n">
        <f aca="false">-Assumptions!$F$61</f>
        <v>-25000</v>
      </c>
      <c r="R69" s="27" t="n">
        <f aca="false">-Assumptions!$F$61</f>
        <v>-25000</v>
      </c>
      <c r="S69" s="27" t="n">
        <f aca="false">-Assumptions!$F$61</f>
        <v>-25000</v>
      </c>
      <c r="T69" s="27" t="n">
        <f aca="false">-Assumptions!$F$61</f>
        <v>-25000</v>
      </c>
      <c r="U69" s="27" t="n">
        <f aca="false">-Assumptions!$F$61</f>
        <v>-25000</v>
      </c>
      <c r="V69" s="27" t="n">
        <f aca="false">-Assumptions!$F$61</f>
        <v>-25000</v>
      </c>
      <c r="W69" s="27" t="n">
        <f aca="false">-Assumptions!$F$61</f>
        <v>-25000</v>
      </c>
      <c r="X69" s="27" t="n">
        <f aca="false">-Assumptions!$F$61</f>
        <v>-25000</v>
      </c>
      <c r="Y69" s="27" t="n">
        <f aca="false">-Assumptions!$F$61</f>
        <v>-25000</v>
      </c>
      <c r="Z69" s="27" t="n">
        <f aca="false">-Assumptions!$F$61</f>
        <v>-25000</v>
      </c>
      <c r="AA69" s="27" t="n">
        <f aca="false">-Assumptions!$F$61</f>
        <v>-25000</v>
      </c>
      <c r="AB69" s="27" t="n">
        <f aca="false">-Assumptions!$F$61</f>
        <v>-25000</v>
      </c>
      <c r="AC69" s="27" t="n">
        <f aca="false">-Assumptions!$F$61</f>
        <v>-25000</v>
      </c>
      <c r="AD69" s="27" t="n">
        <f aca="false">-Assumptions!$F$61</f>
        <v>-25000</v>
      </c>
      <c r="AE69" s="27" t="n">
        <f aca="false">-Assumptions!$F$61</f>
        <v>-25000</v>
      </c>
      <c r="AF69" s="27" t="n">
        <f aca="false">-Assumptions!$F$61</f>
        <v>-25000</v>
      </c>
      <c r="AG69" s="27" t="n">
        <f aca="false">-Assumptions!$F$61</f>
        <v>-25000</v>
      </c>
      <c r="AH69" s="27" t="n">
        <f aca="false">-Assumptions!$F$61</f>
        <v>-25000</v>
      </c>
      <c r="AI69" s="27" t="n">
        <f aca="false">-Assumptions!$F$61</f>
        <v>-25000</v>
      </c>
      <c r="AJ69" s="27" t="n">
        <f aca="false">-Assumptions!$F$61</f>
        <v>-25000</v>
      </c>
      <c r="AK69" s="27" t="n">
        <f aca="false">-Assumptions!$F$61</f>
        <v>-25000</v>
      </c>
      <c r="AL69" s="27" t="n">
        <f aca="false">-Assumptions!$F$61</f>
        <v>-25000</v>
      </c>
      <c r="AM69" s="27" t="n">
        <f aca="false">-Assumptions!$F$61</f>
        <v>-25000</v>
      </c>
    </row>
    <row r="70" customFormat="false" ht="15" hidden="false" customHeight="false" outlineLevel="0" collapsed="false">
      <c r="A70" s="8" t="s">
        <v>379</v>
      </c>
      <c r="B70" s="8" t="s">
        <v>50</v>
      </c>
      <c r="C70" s="27" t="n">
        <f aca="false">SUM(D70:AM70)</f>
        <v>-1458000</v>
      </c>
      <c r="D70" s="27" t="n">
        <f aca="false">-IF(D9=1,Assumptions!$F$63,Assumptions!$F$62)</f>
        <v>-18000</v>
      </c>
      <c r="E70" s="27" t="n">
        <f aca="false">-IF(E9=1,Assumptions!$F$63,Assumptions!$F$62)</f>
        <v>-18000</v>
      </c>
      <c r="F70" s="27" t="n">
        <f aca="false">-IF(F9=1,Assumptions!$F$63,Assumptions!$F$62)</f>
        <v>-18000</v>
      </c>
      <c r="G70" s="27" t="n">
        <f aca="false">-IF(G9=1,Assumptions!$F$63,Assumptions!$F$62)</f>
        <v>-18000</v>
      </c>
      <c r="H70" s="27" t="n">
        <f aca="false">-IF(H9=1,Assumptions!$F$63,Assumptions!$F$62)</f>
        <v>-18000</v>
      </c>
      <c r="I70" s="27" t="n">
        <f aca="false">-IF(I9=1,Assumptions!$F$63,Assumptions!$F$62)</f>
        <v>-18000</v>
      </c>
      <c r="J70" s="27" t="n">
        <f aca="false">-IF(J9=1,Assumptions!$F$63,Assumptions!$F$62)</f>
        <v>-45000</v>
      </c>
      <c r="K70" s="27" t="n">
        <f aca="false">-IF(K9=1,Assumptions!$F$63,Assumptions!$F$62)</f>
        <v>-45000</v>
      </c>
      <c r="L70" s="27" t="n">
        <f aca="false">-IF(L9=1,Assumptions!$F$63,Assumptions!$F$62)</f>
        <v>-45000</v>
      </c>
      <c r="M70" s="27" t="n">
        <f aca="false">-IF(M9=1,Assumptions!$F$63,Assumptions!$F$62)</f>
        <v>-45000</v>
      </c>
      <c r="N70" s="27" t="n">
        <f aca="false">-IF(N9=1,Assumptions!$F$63,Assumptions!$F$62)</f>
        <v>-45000</v>
      </c>
      <c r="O70" s="27" t="n">
        <f aca="false">-IF(O9=1,Assumptions!$F$63,Assumptions!$F$62)</f>
        <v>-45000</v>
      </c>
      <c r="P70" s="27" t="n">
        <f aca="false">-IF(P9=1,Assumptions!$F$63,Assumptions!$F$62)</f>
        <v>-45000</v>
      </c>
      <c r="Q70" s="27" t="n">
        <f aca="false">-IF(Q9=1,Assumptions!$F$63,Assumptions!$F$62)</f>
        <v>-45000</v>
      </c>
      <c r="R70" s="27" t="n">
        <f aca="false">-IF(R9=1,Assumptions!$F$63,Assumptions!$F$62)</f>
        <v>-45000</v>
      </c>
      <c r="S70" s="27" t="n">
        <f aca="false">-IF(S9=1,Assumptions!$F$63,Assumptions!$F$62)</f>
        <v>-45000</v>
      </c>
      <c r="T70" s="27" t="n">
        <f aca="false">-IF(T9=1,Assumptions!$F$63,Assumptions!$F$62)</f>
        <v>-45000</v>
      </c>
      <c r="U70" s="27" t="n">
        <f aca="false">-IF(U9=1,Assumptions!$F$63,Assumptions!$F$62)</f>
        <v>-45000</v>
      </c>
      <c r="V70" s="27" t="n">
        <f aca="false">-IF(V9=1,Assumptions!$F$63,Assumptions!$F$62)</f>
        <v>-45000</v>
      </c>
      <c r="W70" s="27" t="n">
        <f aca="false">-IF(W9=1,Assumptions!$F$63,Assumptions!$F$62)</f>
        <v>-45000</v>
      </c>
      <c r="X70" s="27" t="n">
        <f aca="false">-IF(X9=1,Assumptions!$F$63,Assumptions!$F$62)</f>
        <v>-45000</v>
      </c>
      <c r="Y70" s="27" t="n">
        <f aca="false">-IF(Y9=1,Assumptions!$F$63,Assumptions!$F$62)</f>
        <v>-45000</v>
      </c>
      <c r="Z70" s="27" t="n">
        <f aca="false">-IF(Z9=1,Assumptions!$F$63,Assumptions!$F$62)</f>
        <v>-45000</v>
      </c>
      <c r="AA70" s="27" t="n">
        <f aca="false">-IF(AA9=1,Assumptions!$F$63,Assumptions!$F$62)</f>
        <v>-45000</v>
      </c>
      <c r="AB70" s="27" t="n">
        <f aca="false">-IF(AB9=1,Assumptions!$F$63,Assumptions!$F$62)</f>
        <v>-45000</v>
      </c>
      <c r="AC70" s="27" t="n">
        <f aca="false">-IF(AC9=1,Assumptions!$F$63,Assumptions!$F$62)</f>
        <v>-45000</v>
      </c>
      <c r="AD70" s="27" t="n">
        <f aca="false">-IF(AD9=1,Assumptions!$F$63,Assumptions!$F$62)</f>
        <v>-45000</v>
      </c>
      <c r="AE70" s="27" t="n">
        <f aca="false">-IF(AE9=1,Assumptions!$F$63,Assumptions!$F$62)</f>
        <v>-45000</v>
      </c>
      <c r="AF70" s="27" t="n">
        <f aca="false">-IF(AF9=1,Assumptions!$F$63,Assumptions!$F$62)</f>
        <v>-45000</v>
      </c>
      <c r="AG70" s="27" t="n">
        <f aca="false">-IF(AG9=1,Assumptions!$F$63,Assumptions!$F$62)</f>
        <v>-45000</v>
      </c>
      <c r="AH70" s="27" t="n">
        <f aca="false">-IF(AH9=1,Assumptions!$F$63,Assumptions!$F$62)</f>
        <v>-45000</v>
      </c>
      <c r="AI70" s="27" t="n">
        <f aca="false">-IF(AI9=1,Assumptions!$F$63,Assumptions!$F$62)</f>
        <v>-45000</v>
      </c>
      <c r="AJ70" s="27" t="n">
        <f aca="false">-IF(AJ9=1,Assumptions!$F$63,Assumptions!$F$62)</f>
        <v>-45000</v>
      </c>
      <c r="AK70" s="27" t="n">
        <f aca="false">-IF(AK9=1,Assumptions!$F$63,Assumptions!$F$62)</f>
        <v>-45000</v>
      </c>
      <c r="AL70" s="27" t="n">
        <f aca="false">-IF(AL9=1,Assumptions!$F$63,Assumptions!$F$62)</f>
        <v>-45000</v>
      </c>
      <c r="AM70" s="27" t="n">
        <f aca="false">-IF(AM9=1,Assumptions!$F$63,Assumptions!$F$62)</f>
        <v>-45000</v>
      </c>
    </row>
    <row r="71" customFormat="false" ht="15" hidden="false" customHeight="false" outlineLevel="0" collapsed="false">
      <c r="A71" s="8" t="s">
        <v>380</v>
      </c>
      <c r="B71" s="8" t="s">
        <v>50</v>
      </c>
      <c r="C71" s="27" t="n">
        <f aca="false">SUM(D71:AM71)</f>
        <v>-320000</v>
      </c>
      <c r="D71" s="27" t="n">
        <f aca="false">-IF(D$3&lt;=4,Assumptions!$F$64,0)</f>
        <v>-80000</v>
      </c>
      <c r="E71" s="27" t="n">
        <f aca="false">-IF(E$3&lt;=4,Assumptions!$F$64,0)</f>
        <v>-80000</v>
      </c>
      <c r="F71" s="27" t="n">
        <f aca="false">-IF(F$3&lt;=4,Assumptions!$F$64,0)</f>
        <v>-80000</v>
      </c>
      <c r="G71" s="27" t="n">
        <f aca="false">-IF(G$3&lt;=4,Assumptions!$F$64,0)</f>
        <v>-80000</v>
      </c>
      <c r="H71" s="27" t="n">
        <f aca="false">-IF(H$3&lt;=4,Assumptions!$F$64,0)</f>
        <v>-0</v>
      </c>
      <c r="I71" s="27" t="n">
        <f aca="false">-IF(I$3&lt;=4,Assumptions!$F$64,0)</f>
        <v>-0</v>
      </c>
      <c r="J71" s="27" t="n">
        <f aca="false">-IF(J$3&lt;=4,Assumptions!$F$64,0)</f>
        <v>-0</v>
      </c>
      <c r="K71" s="27" t="n">
        <f aca="false">-IF(K$3&lt;=4,Assumptions!$F$64,0)</f>
        <v>-0</v>
      </c>
      <c r="L71" s="27" t="n">
        <f aca="false">-IF(L$3&lt;=4,Assumptions!$F$64,0)</f>
        <v>-0</v>
      </c>
      <c r="M71" s="27" t="n">
        <f aca="false">-IF(M$3&lt;=4,Assumptions!$F$64,0)</f>
        <v>-0</v>
      </c>
      <c r="N71" s="27" t="n">
        <f aca="false">-IF(N$3&lt;=4,Assumptions!$F$64,0)</f>
        <v>-0</v>
      </c>
      <c r="O71" s="27" t="n">
        <f aca="false">-IF(O$3&lt;=4,Assumptions!$F$64,0)</f>
        <v>-0</v>
      </c>
      <c r="P71" s="27" t="n">
        <f aca="false">-IF(P$3&lt;=4,Assumptions!$F$64,0)</f>
        <v>-0</v>
      </c>
      <c r="Q71" s="27" t="n">
        <f aca="false">-IF(Q$3&lt;=4,Assumptions!$F$64,0)</f>
        <v>-0</v>
      </c>
      <c r="R71" s="27" t="n">
        <f aca="false">-IF(R$3&lt;=4,Assumptions!$F$64,0)</f>
        <v>-0</v>
      </c>
      <c r="S71" s="27" t="n">
        <f aca="false">-IF(S$3&lt;=4,Assumptions!$F$64,0)</f>
        <v>-0</v>
      </c>
      <c r="T71" s="27" t="n">
        <f aca="false">-IF(T$3&lt;=4,Assumptions!$F$64,0)</f>
        <v>-0</v>
      </c>
      <c r="U71" s="27" t="n">
        <f aca="false">-IF(U$3&lt;=4,Assumptions!$F$64,0)</f>
        <v>-0</v>
      </c>
      <c r="V71" s="27" t="n">
        <f aca="false">-IF(V$3&lt;=4,Assumptions!$F$64,0)</f>
        <v>-0</v>
      </c>
      <c r="W71" s="27" t="n">
        <f aca="false">-IF(W$3&lt;=4,Assumptions!$F$64,0)</f>
        <v>-0</v>
      </c>
      <c r="X71" s="27" t="n">
        <f aca="false">-IF(X$3&lt;=4,Assumptions!$F$64,0)</f>
        <v>-0</v>
      </c>
      <c r="Y71" s="27" t="n">
        <f aca="false">-IF(Y$3&lt;=4,Assumptions!$F$64,0)</f>
        <v>-0</v>
      </c>
      <c r="Z71" s="27" t="n">
        <f aca="false">-IF(Z$3&lt;=4,Assumptions!$F$64,0)</f>
        <v>-0</v>
      </c>
      <c r="AA71" s="27" t="n">
        <f aca="false">-IF(AA$3&lt;=4,Assumptions!$F$64,0)</f>
        <v>-0</v>
      </c>
      <c r="AB71" s="27" t="n">
        <f aca="false">-IF(AB$3&lt;=4,Assumptions!$F$64,0)</f>
        <v>-0</v>
      </c>
      <c r="AC71" s="27" t="n">
        <f aca="false">-IF(AC$3&lt;=4,Assumptions!$F$64,0)</f>
        <v>-0</v>
      </c>
      <c r="AD71" s="27" t="n">
        <f aca="false">-IF(AD$3&lt;=4,Assumptions!$F$64,0)</f>
        <v>-0</v>
      </c>
      <c r="AE71" s="27" t="n">
        <f aca="false">-IF(AE$3&lt;=4,Assumptions!$F$64,0)</f>
        <v>-0</v>
      </c>
      <c r="AF71" s="27" t="n">
        <f aca="false">-IF(AF$3&lt;=4,Assumptions!$F$64,0)</f>
        <v>-0</v>
      </c>
      <c r="AG71" s="27" t="n">
        <f aca="false">-IF(AG$3&lt;=4,Assumptions!$F$64,0)</f>
        <v>-0</v>
      </c>
      <c r="AH71" s="27" t="n">
        <f aca="false">-IF(AH$3&lt;=4,Assumptions!$F$64,0)</f>
        <v>-0</v>
      </c>
      <c r="AI71" s="27" t="n">
        <f aca="false">-IF(AI$3&lt;=4,Assumptions!$F$64,0)</f>
        <v>-0</v>
      </c>
      <c r="AJ71" s="27" t="n">
        <f aca="false">-IF(AJ$3&lt;=4,Assumptions!$F$64,0)</f>
        <v>-0</v>
      </c>
      <c r="AK71" s="27" t="n">
        <f aca="false">-IF(AK$3&lt;=4,Assumptions!$F$64,0)</f>
        <v>-0</v>
      </c>
      <c r="AL71" s="27" t="n">
        <f aca="false">-IF(AL$3&lt;=4,Assumptions!$F$64,0)</f>
        <v>-0</v>
      </c>
      <c r="AM71" s="27" t="n">
        <f aca="false">-IF(AM$3&lt;=4,Assumptions!$F$64,0)</f>
        <v>-0</v>
      </c>
    </row>
    <row r="72" customFormat="false" ht="15" hidden="false" customHeight="false" outlineLevel="0" collapsed="false">
      <c r="A72" s="8" t="s">
        <v>381</v>
      </c>
      <c r="B72" s="8" t="s">
        <v>50</v>
      </c>
      <c r="C72" s="27" t="n">
        <f aca="false">SUM(D72:AM72)</f>
        <v>-1005000</v>
      </c>
      <c r="D72" s="27" t="n">
        <f aca="false">-IF(D$3&lt;=3,Assumptions!$F$65,Assumptions!$F$66)</f>
        <v>-60000</v>
      </c>
      <c r="E72" s="27" t="n">
        <f aca="false">-IF(E$3&lt;=3,Assumptions!$F$65,Assumptions!$F$66)</f>
        <v>-60000</v>
      </c>
      <c r="F72" s="27" t="n">
        <f aca="false">-IF(F$3&lt;=3,Assumptions!$F$65,Assumptions!$F$66)</f>
        <v>-60000</v>
      </c>
      <c r="G72" s="27" t="n">
        <f aca="false">-IF(G$3&lt;=3,Assumptions!$F$65,Assumptions!$F$66)</f>
        <v>-25000</v>
      </c>
      <c r="H72" s="27" t="n">
        <f aca="false">-IF(H$3&lt;=3,Assumptions!$F$65,Assumptions!$F$66)</f>
        <v>-25000</v>
      </c>
      <c r="I72" s="27" t="n">
        <f aca="false">-IF(I$3&lt;=3,Assumptions!$F$65,Assumptions!$F$66)</f>
        <v>-25000</v>
      </c>
      <c r="J72" s="27" t="n">
        <f aca="false">-IF(J$3&lt;=3,Assumptions!$F$65,Assumptions!$F$66)</f>
        <v>-25000</v>
      </c>
      <c r="K72" s="27" t="n">
        <f aca="false">-IF(K$3&lt;=3,Assumptions!$F$65,Assumptions!$F$66)</f>
        <v>-25000</v>
      </c>
      <c r="L72" s="27" t="n">
        <f aca="false">-IF(L$3&lt;=3,Assumptions!$F$65,Assumptions!$F$66)</f>
        <v>-25000</v>
      </c>
      <c r="M72" s="27" t="n">
        <f aca="false">-IF(M$3&lt;=3,Assumptions!$F$65,Assumptions!$F$66)</f>
        <v>-25000</v>
      </c>
      <c r="N72" s="27" t="n">
        <f aca="false">-IF(N$3&lt;=3,Assumptions!$F$65,Assumptions!$F$66)</f>
        <v>-25000</v>
      </c>
      <c r="O72" s="27" t="n">
        <f aca="false">-IF(O$3&lt;=3,Assumptions!$F$65,Assumptions!$F$66)</f>
        <v>-25000</v>
      </c>
      <c r="P72" s="27" t="n">
        <f aca="false">-IF(P$3&lt;=3,Assumptions!$F$65,Assumptions!$F$66)</f>
        <v>-25000</v>
      </c>
      <c r="Q72" s="27" t="n">
        <f aca="false">-IF(Q$3&lt;=3,Assumptions!$F$65,Assumptions!$F$66)</f>
        <v>-25000</v>
      </c>
      <c r="R72" s="27" t="n">
        <f aca="false">-IF(R$3&lt;=3,Assumptions!$F$65,Assumptions!$F$66)</f>
        <v>-25000</v>
      </c>
      <c r="S72" s="27" t="n">
        <f aca="false">-IF(S$3&lt;=3,Assumptions!$F$65,Assumptions!$F$66)</f>
        <v>-25000</v>
      </c>
      <c r="T72" s="27" t="n">
        <f aca="false">-IF(T$3&lt;=3,Assumptions!$F$65,Assumptions!$F$66)</f>
        <v>-25000</v>
      </c>
      <c r="U72" s="27" t="n">
        <f aca="false">-IF(U$3&lt;=3,Assumptions!$F$65,Assumptions!$F$66)</f>
        <v>-25000</v>
      </c>
      <c r="V72" s="27" t="n">
        <f aca="false">-IF(V$3&lt;=3,Assumptions!$F$65,Assumptions!$F$66)</f>
        <v>-25000</v>
      </c>
      <c r="W72" s="27" t="n">
        <f aca="false">-IF(W$3&lt;=3,Assumptions!$F$65,Assumptions!$F$66)</f>
        <v>-25000</v>
      </c>
      <c r="X72" s="27" t="n">
        <f aca="false">-IF(X$3&lt;=3,Assumptions!$F$65,Assumptions!$F$66)</f>
        <v>-25000</v>
      </c>
      <c r="Y72" s="27" t="n">
        <f aca="false">-IF(Y$3&lt;=3,Assumptions!$F$65,Assumptions!$F$66)</f>
        <v>-25000</v>
      </c>
      <c r="Z72" s="27" t="n">
        <f aca="false">-IF(Z$3&lt;=3,Assumptions!$F$65,Assumptions!$F$66)</f>
        <v>-25000</v>
      </c>
      <c r="AA72" s="27" t="n">
        <f aca="false">-IF(AA$3&lt;=3,Assumptions!$F$65,Assumptions!$F$66)</f>
        <v>-25000</v>
      </c>
      <c r="AB72" s="27" t="n">
        <f aca="false">-IF(AB$3&lt;=3,Assumptions!$F$65,Assumptions!$F$66)</f>
        <v>-25000</v>
      </c>
      <c r="AC72" s="27" t="n">
        <f aca="false">-IF(AC$3&lt;=3,Assumptions!$F$65,Assumptions!$F$66)</f>
        <v>-25000</v>
      </c>
      <c r="AD72" s="27" t="n">
        <f aca="false">-IF(AD$3&lt;=3,Assumptions!$F$65,Assumptions!$F$66)</f>
        <v>-25000</v>
      </c>
      <c r="AE72" s="27" t="n">
        <f aca="false">-IF(AE$3&lt;=3,Assumptions!$F$65,Assumptions!$F$66)</f>
        <v>-25000</v>
      </c>
      <c r="AF72" s="27" t="n">
        <f aca="false">-IF(AF$3&lt;=3,Assumptions!$F$65,Assumptions!$F$66)</f>
        <v>-25000</v>
      </c>
      <c r="AG72" s="27" t="n">
        <f aca="false">-IF(AG$3&lt;=3,Assumptions!$F$65,Assumptions!$F$66)</f>
        <v>-25000</v>
      </c>
      <c r="AH72" s="27" t="n">
        <f aca="false">-IF(AH$3&lt;=3,Assumptions!$F$65,Assumptions!$F$66)</f>
        <v>-25000</v>
      </c>
      <c r="AI72" s="27" t="n">
        <f aca="false">-IF(AI$3&lt;=3,Assumptions!$F$65,Assumptions!$F$66)</f>
        <v>-25000</v>
      </c>
      <c r="AJ72" s="27" t="n">
        <f aca="false">-IF(AJ$3&lt;=3,Assumptions!$F$65,Assumptions!$F$66)</f>
        <v>-25000</v>
      </c>
      <c r="AK72" s="27" t="n">
        <f aca="false">-IF(AK$3&lt;=3,Assumptions!$F$65,Assumptions!$F$66)</f>
        <v>-25000</v>
      </c>
      <c r="AL72" s="27" t="n">
        <f aca="false">-IF(AL$3&lt;=3,Assumptions!$F$65,Assumptions!$F$66)</f>
        <v>-25000</v>
      </c>
      <c r="AM72" s="27" t="n">
        <f aca="false">-IF(AM$3&lt;=3,Assumptions!$F$65,Assumptions!$F$66)</f>
        <v>-25000</v>
      </c>
    </row>
    <row r="73" customFormat="false" ht="15" hidden="false" customHeight="false" outlineLevel="0" collapsed="false">
      <c r="A73" s="8" t="s">
        <v>382</v>
      </c>
      <c r="B73" s="8" t="s">
        <v>50</v>
      </c>
      <c r="C73" s="27" t="n">
        <f aca="false">SUM(D73:AM73)</f>
        <v>-300000</v>
      </c>
      <c r="D73" s="27" t="n">
        <f aca="false">-IF(D9=1,Assumptions!$F$67,0)</f>
        <v>-0</v>
      </c>
      <c r="E73" s="27" t="n">
        <f aca="false">-IF(E9=1,Assumptions!$F$67,0)</f>
        <v>-0</v>
      </c>
      <c r="F73" s="27" t="n">
        <f aca="false">-IF(F9=1,Assumptions!$F$67,0)</f>
        <v>-0</v>
      </c>
      <c r="G73" s="27" t="n">
        <f aca="false">-IF(G9=1,Assumptions!$F$67,0)</f>
        <v>-0</v>
      </c>
      <c r="H73" s="27" t="n">
        <f aca="false">-IF(H9=1,Assumptions!$F$67,0)</f>
        <v>-0</v>
      </c>
      <c r="I73" s="27" t="n">
        <f aca="false">-IF(I9=1,Assumptions!$F$67,0)</f>
        <v>-0</v>
      </c>
      <c r="J73" s="27" t="n">
        <f aca="false">-IF(J9=1,Assumptions!$F$67,0)</f>
        <v>-10000</v>
      </c>
      <c r="K73" s="27" t="n">
        <f aca="false">-IF(K9=1,Assumptions!$F$67,0)</f>
        <v>-10000</v>
      </c>
      <c r="L73" s="27" t="n">
        <f aca="false">-IF(L9=1,Assumptions!$F$67,0)</f>
        <v>-10000</v>
      </c>
      <c r="M73" s="27" t="n">
        <f aca="false">-IF(M9=1,Assumptions!$F$67,0)</f>
        <v>-10000</v>
      </c>
      <c r="N73" s="27" t="n">
        <f aca="false">-IF(N9=1,Assumptions!$F$67,0)</f>
        <v>-10000</v>
      </c>
      <c r="O73" s="27" t="n">
        <f aca="false">-IF(O9=1,Assumptions!$F$67,0)</f>
        <v>-10000</v>
      </c>
      <c r="P73" s="27" t="n">
        <f aca="false">-IF(P9=1,Assumptions!$F$67,0)</f>
        <v>-10000</v>
      </c>
      <c r="Q73" s="27" t="n">
        <f aca="false">-IF(Q9=1,Assumptions!$F$67,0)</f>
        <v>-10000</v>
      </c>
      <c r="R73" s="27" t="n">
        <f aca="false">-IF(R9=1,Assumptions!$F$67,0)</f>
        <v>-10000</v>
      </c>
      <c r="S73" s="27" t="n">
        <f aca="false">-IF(S9=1,Assumptions!$F$67,0)</f>
        <v>-10000</v>
      </c>
      <c r="T73" s="27" t="n">
        <f aca="false">-IF(T9=1,Assumptions!$F$67,0)</f>
        <v>-10000</v>
      </c>
      <c r="U73" s="27" t="n">
        <f aca="false">-IF(U9=1,Assumptions!$F$67,0)</f>
        <v>-10000</v>
      </c>
      <c r="V73" s="27" t="n">
        <f aca="false">-IF(V9=1,Assumptions!$F$67,0)</f>
        <v>-10000</v>
      </c>
      <c r="W73" s="27" t="n">
        <f aca="false">-IF(W9=1,Assumptions!$F$67,0)</f>
        <v>-10000</v>
      </c>
      <c r="X73" s="27" t="n">
        <f aca="false">-IF(X9=1,Assumptions!$F$67,0)</f>
        <v>-10000</v>
      </c>
      <c r="Y73" s="27" t="n">
        <f aca="false">-IF(Y9=1,Assumptions!$F$67,0)</f>
        <v>-10000</v>
      </c>
      <c r="Z73" s="27" t="n">
        <f aca="false">-IF(Z9=1,Assumptions!$F$67,0)</f>
        <v>-10000</v>
      </c>
      <c r="AA73" s="27" t="n">
        <f aca="false">-IF(AA9=1,Assumptions!$F$67,0)</f>
        <v>-10000</v>
      </c>
      <c r="AB73" s="27" t="n">
        <f aca="false">-IF(AB9=1,Assumptions!$F$67,0)</f>
        <v>-10000</v>
      </c>
      <c r="AC73" s="27" t="n">
        <f aca="false">-IF(AC9=1,Assumptions!$F$67,0)</f>
        <v>-10000</v>
      </c>
      <c r="AD73" s="27" t="n">
        <f aca="false">-IF(AD9=1,Assumptions!$F$67,0)</f>
        <v>-10000</v>
      </c>
      <c r="AE73" s="27" t="n">
        <f aca="false">-IF(AE9=1,Assumptions!$F$67,0)</f>
        <v>-10000</v>
      </c>
      <c r="AF73" s="27" t="n">
        <f aca="false">-IF(AF9=1,Assumptions!$F$67,0)</f>
        <v>-10000</v>
      </c>
      <c r="AG73" s="27" t="n">
        <f aca="false">-IF(AG9=1,Assumptions!$F$67,0)</f>
        <v>-10000</v>
      </c>
      <c r="AH73" s="27" t="n">
        <f aca="false">-IF(AH9=1,Assumptions!$F$67,0)</f>
        <v>-10000</v>
      </c>
      <c r="AI73" s="27" t="n">
        <f aca="false">-IF(AI9=1,Assumptions!$F$67,0)</f>
        <v>-10000</v>
      </c>
      <c r="AJ73" s="27" t="n">
        <f aca="false">-IF(AJ9=1,Assumptions!$F$67,0)</f>
        <v>-10000</v>
      </c>
      <c r="AK73" s="27" t="n">
        <f aca="false">-IF(AK9=1,Assumptions!$F$67,0)</f>
        <v>-10000</v>
      </c>
      <c r="AL73" s="27" t="n">
        <f aca="false">-IF(AL9=1,Assumptions!$F$67,0)</f>
        <v>-10000</v>
      </c>
      <c r="AM73" s="27" t="n">
        <f aca="false">-IF(AM9=1,Assumptions!$F$67,0)</f>
        <v>-10000</v>
      </c>
    </row>
    <row r="74" customFormat="false" ht="15" hidden="false" customHeight="false" outlineLevel="0" collapsed="false">
      <c r="A74" s="8" t="s">
        <v>383</v>
      </c>
      <c r="B74" s="8" t="s">
        <v>50</v>
      </c>
      <c r="C74" s="27" t="n">
        <f aca="false">SUM(D74:AM74)</f>
        <v>-2040000</v>
      </c>
      <c r="D74" s="27" t="n">
        <f aca="false">-IF(D9=1,Assumptions!$F$69,Assumptions!$F$68)</f>
        <v>-40000</v>
      </c>
      <c r="E74" s="27" t="n">
        <f aca="false">-IF(E9=1,Assumptions!$F$69,Assumptions!$F$68)</f>
        <v>-40000</v>
      </c>
      <c r="F74" s="27" t="n">
        <f aca="false">-IF(F9=1,Assumptions!$F$69,Assumptions!$F$68)</f>
        <v>-40000</v>
      </c>
      <c r="G74" s="27" t="n">
        <f aca="false">-IF(G9=1,Assumptions!$F$69,Assumptions!$F$68)</f>
        <v>-40000</v>
      </c>
      <c r="H74" s="27" t="n">
        <f aca="false">-IF(H9=1,Assumptions!$F$69,Assumptions!$F$68)</f>
        <v>-40000</v>
      </c>
      <c r="I74" s="27" t="n">
        <f aca="false">-IF(I9=1,Assumptions!$F$69,Assumptions!$F$68)</f>
        <v>-40000</v>
      </c>
      <c r="J74" s="27" t="n">
        <f aca="false">-IF(J9=1,Assumptions!$F$69,Assumptions!$F$68)</f>
        <v>-60000</v>
      </c>
      <c r="K74" s="27" t="n">
        <f aca="false">-IF(K9=1,Assumptions!$F$69,Assumptions!$F$68)</f>
        <v>-60000</v>
      </c>
      <c r="L74" s="27" t="n">
        <f aca="false">-IF(L9=1,Assumptions!$F$69,Assumptions!$F$68)</f>
        <v>-60000</v>
      </c>
      <c r="M74" s="27" t="n">
        <f aca="false">-IF(M9=1,Assumptions!$F$69,Assumptions!$F$68)</f>
        <v>-60000</v>
      </c>
      <c r="N74" s="27" t="n">
        <f aca="false">-IF(N9=1,Assumptions!$F$69,Assumptions!$F$68)</f>
        <v>-60000</v>
      </c>
      <c r="O74" s="27" t="n">
        <f aca="false">-IF(O9=1,Assumptions!$F$69,Assumptions!$F$68)</f>
        <v>-60000</v>
      </c>
      <c r="P74" s="27" t="n">
        <f aca="false">-IF(P9=1,Assumptions!$F$69,Assumptions!$F$68)</f>
        <v>-60000</v>
      </c>
      <c r="Q74" s="27" t="n">
        <f aca="false">-IF(Q9=1,Assumptions!$F$69,Assumptions!$F$68)</f>
        <v>-60000</v>
      </c>
      <c r="R74" s="27" t="n">
        <f aca="false">-IF(R9=1,Assumptions!$F$69,Assumptions!$F$68)</f>
        <v>-60000</v>
      </c>
      <c r="S74" s="27" t="n">
        <f aca="false">-IF(S9=1,Assumptions!$F$69,Assumptions!$F$68)</f>
        <v>-60000</v>
      </c>
      <c r="T74" s="27" t="n">
        <f aca="false">-IF(T9=1,Assumptions!$F$69,Assumptions!$F$68)</f>
        <v>-60000</v>
      </c>
      <c r="U74" s="27" t="n">
        <f aca="false">-IF(U9=1,Assumptions!$F$69,Assumptions!$F$68)</f>
        <v>-60000</v>
      </c>
      <c r="V74" s="27" t="n">
        <f aca="false">-IF(V9=1,Assumptions!$F$69,Assumptions!$F$68)</f>
        <v>-60000</v>
      </c>
      <c r="W74" s="27" t="n">
        <f aca="false">-IF(W9=1,Assumptions!$F$69,Assumptions!$F$68)</f>
        <v>-60000</v>
      </c>
      <c r="X74" s="27" t="n">
        <f aca="false">-IF(X9=1,Assumptions!$F$69,Assumptions!$F$68)</f>
        <v>-60000</v>
      </c>
      <c r="Y74" s="27" t="n">
        <f aca="false">-IF(Y9=1,Assumptions!$F$69,Assumptions!$F$68)</f>
        <v>-60000</v>
      </c>
      <c r="Z74" s="27" t="n">
        <f aca="false">-IF(Z9=1,Assumptions!$F$69,Assumptions!$F$68)</f>
        <v>-60000</v>
      </c>
      <c r="AA74" s="27" t="n">
        <f aca="false">-IF(AA9=1,Assumptions!$F$69,Assumptions!$F$68)</f>
        <v>-60000</v>
      </c>
      <c r="AB74" s="27" t="n">
        <f aca="false">-IF(AB9=1,Assumptions!$F$69,Assumptions!$F$68)</f>
        <v>-60000</v>
      </c>
      <c r="AC74" s="27" t="n">
        <f aca="false">-IF(AC9=1,Assumptions!$F$69,Assumptions!$F$68)</f>
        <v>-60000</v>
      </c>
      <c r="AD74" s="27" t="n">
        <f aca="false">-IF(AD9=1,Assumptions!$F$69,Assumptions!$F$68)</f>
        <v>-60000</v>
      </c>
      <c r="AE74" s="27" t="n">
        <f aca="false">-IF(AE9=1,Assumptions!$F$69,Assumptions!$F$68)</f>
        <v>-60000</v>
      </c>
      <c r="AF74" s="27" t="n">
        <f aca="false">-IF(AF9=1,Assumptions!$F$69,Assumptions!$F$68)</f>
        <v>-60000</v>
      </c>
      <c r="AG74" s="27" t="n">
        <f aca="false">-IF(AG9=1,Assumptions!$F$69,Assumptions!$F$68)</f>
        <v>-60000</v>
      </c>
      <c r="AH74" s="27" t="n">
        <f aca="false">-IF(AH9=1,Assumptions!$F$69,Assumptions!$F$68)</f>
        <v>-60000</v>
      </c>
      <c r="AI74" s="27" t="n">
        <f aca="false">-IF(AI9=1,Assumptions!$F$69,Assumptions!$F$68)</f>
        <v>-60000</v>
      </c>
      <c r="AJ74" s="27" t="n">
        <f aca="false">-IF(AJ9=1,Assumptions!$F$69,Assumptions!$F$68)</f>
        <v>-60000</v>
      </c>
      <c r="AK74" s="27" t="n">
        <f aca="false">-IF(AK9=1,Assumptions!$F$69,Assumptions!$F$68)</f>
        <v>-60000</v>
      </c>
      <c r="AL74" s="27" t="n">
        <f aca="false">-IF(AL9=1,Assumptions!$F$69,Assumptions!$F$68)</f>
        <v>-60000</v>
      </c>
      <c r="AM74" s="27" t="n">
        <f aca="false">-IF(AM9=1,Assumptions!$F$69,Assumptions!$F$68)</f>
        <v>-60000</v>
      </c>
    </row>
    <row r="75" customFormat="false" ht="15" hidden="false" customHeight="false" outlineLevel="0" collapsed="false">
      <c r="A75" s="29" t="s">
        <v>384</v>
      </c>
      <c r="B75" s="8" t="s">
        <v>50</v>
      </c>
      <c r="C75" s="31" t="n">
        <f aca="false">SUM(D75:AM75)</f>
        <v>-17663000</v>
      </c>
      <c r="D75" s="31" t="n">
        <f aca="false">SUM(D68:D74)</f>
        <v>-303000</v>
      </c>
      <c r="E75" s="31" t="n">
        <f aca="false">SUM(E68:E74)</f>
        <v>-303000</v>
      </c>
      <c r="F75" s="31" t="n">
        <f aca="false">SUM(F68:F74)</f>
        <v>-303000</v>
      </c>
      <c r="G75" s="31" t="n">
        <f aca="false">SUM(G68:G74)</f>
        <v>-348000</v>
      </c>
      <c r="H75" s="31" t="n">
        <f aca="false">SUM(H68:H74)</f>
        <v>-268000</v>
      </c>
      <c r="I75" s="31" t="n">
        <f aca="false">SUM(I68:I74)</f>
        <v>-268000</v>
      </c>
      <c r="J75" s="31" t="n">
        <f aca="false">SUM(J68:J74)</f>
        <v>-405000</v>
      </c>
      <c r="K75" s="31" t="n">
        <f aca="false">SUM(K68:K74)</f>
        <v>-405000</v>
      </c>
      <c r="L75" s="31" t="n">
        <f aca="false">SUM(L68:L74)</f>
        <v>-405000</v>
      </c>
      <c r="M75" s="31" t="n">
        <f aca="false">SUM(M68:M74)</f>
        <v>-405000</v>
      </c>
      <c r="N75" s="31" t="n">
        <f aca="false">SUM(N68:N74)</f>
        <v>-405000</v>
      </c>
      <c r="O75" s="31" t="n">
        <f aca="false">SUM(O68:O74)</f>
        <v>-405000</v>
      </c>
      <c r="P75" s="31" t="n">
        <f aca="false">SUM(P68:P74)</f>
        <v>-505000</v>
      </c>
      <c r="Q75" s="31" t="n">
        <f aca="false">SUM(Q68:Q74)</f>
        <v>-505000</v>
      </c>
      <c r="R75" s="31" t="n">
        <f aca="false">SUM(R68:R74)</f>
        <v>-505000</v>
      </c>
      <c r="S75" s="31" t="n">
        <f aca="false">SUM(S68:S74)</f>
        <v>-505000</v>
      </c>
      <c r="T75" s="31" t="n">
        <f aca="false">SUM(T68:T74)</f>
        <v>-505000</v>
      </c>
      <c r="U75" s="31" t="n">
        <f aca="false">SUM(U68:U74)</f>
        <v>-505000</v>
      </c>
      <c r="V75" s="31" t="n">
        <f aca="false">SUM(V68:V74)</f>
        <v>-505000</v>
      </c>
      <c r="W75" s="31" t="n">
        <f aca="false">SUM(W68:W74)</f>
        <v>-505000</v>
      </c>
      <c r="X75" s="31" t="n">
        <f aca="false">SUM(X68:X74)</f>
        <v>-505000</v>
      </c>
      <c r="Y75" s="31" t="n">
        <f aca="false">SUM(Y68:Y74)</f>
        <v>-505000</v>
      </c>
      <c r="Z75" s="31" t="n">
        <f aca="false">SUM(Z68:Z74)</f>
        <v>-505000</v>
      </c>
      <c r="AA75" s="31" t="n">
        <f aca="false">SUM(AA68:AA74)</f>
        <v>-505000</v>
      </c>
      <c r="AB75" s="31" t="n">
        <f aca="false">SUM(AB68:AB74)</f>
        <v>-615000</v>
      </c>
      <c r="AC75" s="31" t="n">
        <f aca="false">SUM(AC68:AC74)</f>
        <v>-615000</v>
      </c>
      <c r="AD75" s="31" t="n">
        <f aca="false">SUM(AD68:AD74)</f>
        <v>-615000</v>
      </c>
      <c r="AE75" s="31" t="n">
        <f aca="false">SUM(AE68:AE74)</f>
        <v>-615000</v>
      </c>
      <c r="AF75" s="31" t="n">
        <f aca="false">SUM(AF68:AF74)</f>
        <v>-615000</v>
      </c>
      <c r="AG75" s="31" t="n">
        <f aca="false">SUM(AG68:AG74)</f>
        <v>-615000</v>
      </c>
      <c r="AH75" s="31" t="n">
        <f aca="false">SUM(AH68:AH74)</f>
        <v>-615000</v>
      </c>
      <c r="AI75" s="31" t="n">
        <f aca="false">SUM(AI68:AI74)</f>
        <v>-615000</v>
      </c>
      <c r="AJ75" s="31" t="n">
        <f aca="false">SUM(AJ68:AJ74)</f>
        <v>-615000</v>
      </c>
      <c r="AK75" s="31" t="n">
        <f aca="false">SUM(AK68:AK74)</f>
        <v>-615000</v>
      </c>
      <c r="AL75" s="31" t="n">
        <f aca="false">SUM(AL68:AL74)</f>
        <v>-615000</v>
      </c>
      <c r="AM75" s="31" t="n">
        <f aca="false">SUM(AM68:AM74)</f>
        <v>-615000</v>
      </c>
    </row>
    <row r="76" customFormat="false" ht="15" hidden="false" customHeight="false" outlineLevel="0" collapsed="false">
      <c r="A76" s="5" t="s">
        <v>385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</row>
    <row r="77" customFormat="false" ht="15" hidden="false" customHeight="false" outlineLevel="0" collapsed="false">
      <c r="A77" s="29" t="s">
        <v>386</v>
      </c>
      <c r="B77" s="8" t="s">
        <v>50</v>
      </c>
      <c r="C77" s="31" t="n">
        <f aca="false">SUM(D77:AM77)</f>
        <v>129707548.162806</v>
      </c>
      <c r="D77" s="31" t="n">
        <f aca="false">D63+D75</f>
        <v>-333000</v>
      </c>
      <c r="E77" s="31" t="n">
        <f aca="false">E63+E75</f>
        <v>-333000</v>
      </c>
      <c r="F77" s="31" t="n">
        <f aca="false">F63+F75</f>
        <v>-333000</v>
      </c>
      <c r="G77" s="31" t="n">
        <f aca="false">G63+G75</f>
        <v>-378000</v>
      </c>
      <c r="H77" s="31" t="n">
        <f aca="false">H63+H75</f>
        <v>-333993.165117558</v>
      </c>
      <c r="I77" s="31" t="n">
        <f aca="false">I63+I75</f>
        <v>-283914.784936422</v>
      </c>
      <c r="J77" s="31" t="n">
        <f aca="false">J63+J75</f>
        <v>-139652.116257301</v>
      </c>
      <c r="K77" s="31" t="n">
        <f aca="false">K63+K75</f>
        <v>162228.384665151</v>
      </c>
      <c r="L77" s="31" t="n">
        <f aca="false">L63+L75</f>
        <v>364716.824984363</v>
      </c>
      <c r="M77" s="31" t="n">
        <f aca="false">M63+M75</f>
        <v>577124.466431847</v>
      </c>
      <c r="N77" s="31" t="n">
        <f aca="false">N63+N75</f>
        <v>800575.070156453</v>
      </c>
      <c r="O77" s="31" t="n">
        <f aca="false">O63+O75</f>
        <v>1036247.41189159</v>
      </c>
      <c r="P77" s="31" t="n">
        <f aca="false">P63+P75</f>
        <v>1185384.62052331</v>
      </c>
      <c r="Q77" s="31" t="n">
        <f aca="false">Q63+Q75</f>
        <v>1449304.15957535</v>
      </c>
      <c r="R77" s="31" t="n">
        <f aca="false">R63+R75</f>
        <v>1729408.56808243</v>
      </c>
      <c r="S77" s="31" t="n">
        <f aca="false">S63+S75</f>
        <v>2027197.08728863</v>
      </c>
      <c r="T77" s="31" t="n">
        <f aca="false">T63+T75</f>
        <v>2344278.31117714</v>
      </c>
      <c r="U77" s="31" t="n">
        <f aca="false">U63+U75</f>
        <v>2682384.0121635</v>
      </c>
      <c r="V77" s="31" t="n">
        <f aca="false">V63+V75</f>
        <v>3043384.30854108</v>
      </c>
      <c r="W77" s="31" t="n">
        <f aca="false">W63+W75</f>
        <v>3422217.51918634</v>
      </c>
      <c r="X77" s="31" t="n">
        <f aca="false">X63+X75</f>
        <v>3780206.08185863</v>
      </c>
      <c r="Y77" s="31" t="n">
        <f aca="false">Y63+Y75</f>
        <v>4143436.23940872</v>
      </c>
      <c r="Z77" s="31" t="n">
        <f aca="false">Z63+Z75</f>
        <v>4514026.33501854</v>
      </c>
      <c r="AA77" s="31" t="n">
        <f aca="false">AA63+AA75</f>
        <v>4894099.52793227</v>
      </c>
      <c r="AB77" s="31" t="n">
        <f aca="false">AB63+AB75</f>
        <v>5175804.13974723</v>
      </c>
      <c r="AC77" s="31" t="n">
        <f aca="false">AC63+AC75</f>
        <v>5581334.1391309</v>
      </c>
      <c r="AD77" s="31" t="n">
        <f aca="false">AD63+AD75</f>
        <v>6002949.98533049</v>
      </c>
      <c r="AE77" s="31" t="n">
        <f aca="false">AE63+AE75</f>
        <v>6443000.05438001</v>
      </c>
      <c r="AF77" s="31" t="n">
        <f aca="false">AF63+AF75</f>
        <v>6903942.87789973</v>
      </c>
      <c r="AG77" s="31" t="n">
        <f aca="false">AG63+AG75</f>
        <v>7388370.43288854</v>
      </c>
      <c r="AH77" s="31" t="n">
        <f aca="false">AH63+AH75</f>
        <v>7899032.73201956</v>
      </c>
      <c r="AI77" s="31" t="n">
        <f aca="false">AI63+AI75</f>
        <v>8438863.97778524</v>
      </c>
      <c r="AJ77" s="31" t="n">
        <f aca="false">AJ63+AJ75</f>
        <v>9011010.56054707</v>
      </c>
      <c r="AK77" s="31" t="n">
        <f aca="false">AK63+AK75</f>
        <v>9618861.20030903</v>
      </c>
      <c r="AL77" s="31" t="n">
        <f aca="false">AL63+AL75</f>
        <v>10266079.5550659</v>
      </c>
      <c r="AM77" s="31" t="n">
        <f aca="false">AM63+AM75</f>
        <v>10956639.6451282</v>
      </c>
    </row>
    <row r="78" customFormat="false" ht="15" hidden="false" customHeight="false" outlineLevel="0" collapsed="false">
      <c r="A78" s="8" t="s">
        <v>387</v>
      </c>
      <c r="B78" s="8" t="s">
        <v>50</v>
      </c>
      <c r="C78" s="27" t="n">
        <f aca="false">SUM(D78:AM78)</f>
        <v>-1385649.73772094</v>
      </c>
      <c r="D78" s="27" t="n">
        <f aca="false">-Assumptions!$F$80*ABS(D49)</f>
        <v>-0</v>
      </c>
      <c r="E78" s="27" t="n">
        <f aca="false">-Assumptions!$F$80*(ABS(E49)-ABS(D49))</f>
        <v>-0</v>
      </c>
      <c r="F78" s="27" t="n">
        <f aca="false">-Assumptions!$F$80*(ABS(F49)-ABS(E49))</f>
        <v>-0</v>
      </c>
      <c r="G78" s="27" t="n">
        <f aca="false">-Assumptions!$F$80*(ABS(G49)-ABS(F49))</f>
        <v>-0</v>
      </c>
      <c r="H78" s="27" t="n">
        <f aca="false">-Assumptions!$F$80*(ABS(H49)-ABS(G49))</f>
        <v>-37938.096577584</v>
      </c>
      <c r="I78" s="27" t="n">
        <f aca="false">-Assumptions!$F$80*(ABS(I49)-ABS(H49))</f>
        <v>-7240.04800749936</v>
      </c>
      <c r="J78" s="27" t="n">
        <f aca="false">-Assumptions!$F$80*(ABS(J49)-ABS(I49))</f>
        <v>-145541.005926297</v>
      </c>
      <c r="K78" s="27" t="n">
        <f aca="false">-Assumptions!$F$80*(ABS(K49)-ABS(J49))</f>
        <v>52983.647784948</v>
      </c>
      <c r="L78" s="27" t="n">
        <f aca="false">-Assumptions!$F$80*(ABS(L49)-ABS(K49))</f>
        <v>-20737.3509587077</v>
      </c>
      <c r="M78" s="27" t="n">
        <f aca="false">-Assumptions!$F$80*(ABS(M49)-ABS(L49))</f>
        <v>-21701.7595641655</v>
      </c>
      <c r="N78" s="27" t="n">
        <f aca="false">-Assumptions!$F$80*(ABS(N49)-ABS(M49))</f>
        <v>-22719.5851162237</v>
      </c>
      <c r="O78" s="27" t="n">
        <f aca="false">-Assumptions!$F$80*(ABS(O49)-ABS(N49))</f>
        <v>-23794.5967590085</v>
      </c>
      <c r="P78" s="27" t="n">
        <f aca="false">-Assumptions!$F$80*(ABS(P49)-ABS(O49))</f>
        <v>-24930.8939736991</v>
      </c>
      <c r="Q78" s="27" t="n">
        <f aca="false">-Assumptions!$F$80*(ABS(Q49)-ABS(P49))</f>
        <v>-26132.9395448542</v>
      </c>
      <c r="R78" s="27" t="n">
        <f aca="false">-Assumptions!$F$80*(ABS(R49)-ABS(Q49))</f>
        <v>-27405.596018198</v>
      </c>
      <c r="S78" s="27" t="n">
        <f aca="false">-Assumptions!$F$80*(ABS(S49)-ABS(R49))</f>
        <v>-28754.1660285462</v>
      </c>
      <c r="T78" s="27" t="n">
        <f aca="false">-Assumptions!$F$80*(ABS(T49)-ABS(S49))</f>
        <v>-30184.4369179664</v>
      </c>
      <c r="U78" s="27" t="n">
        <f aca="false">-Assumptions!$F$80*(ABS(U49)-ABS(T49))</f>
        <v>-31702.730110274</v>
      </c>
      <c r="V78" s="27" t="n">
        <f aca="false">-Assumptions!$F$80*(ABS(V49)-ABS(U49))</f>
        <v>-33315.955758989</v>
      </c>
      <c r="W78" s="27" t="n">
        <f aca="false">-Assumptions!$F$80*(ABS(W49)-ABS(V49))</f>
        <v>-35031.6732425255</v>
      </c>
      <c r="X78" s="27" t="n">
        <f aca="false">-Assumptions!$F$80*(ABS(X49)-ABS(W49))</f>
        <v>-36858.1581432533</v>
      </c>
      <c r="Y78" s="27" t="n">
        <f aca="false">-Assumptions!$F$80*(ABS(Y49)-ABS(X49))</f>
        <v>-38804.4764168232</v>
      </c>
      <c r="Z78" s="27" t="n">
        <f aca="false">-Assumptions!$F$80*(ABS(Z49)-ABS(Y49))</f>
        <v>-40880.5665355983</v>
      </c>
      <c r="AA78" s="27" t="n">
        <f aca="false">-Assumptions!$F$80*(ABS(AA49)-ABS(Z49))</f>
        <v>-43097.3304759554</v>
      </c>
      <c r="AB78" s="27" t="n">
        <f aca="false">-Assumptions!$F$80*(ABS(AB49)-ABS(AA49))</f>
        <v>-45466.7345146093</v>
      </c>
      <c r="AC78" s="27" t="n">
        <f aca="false">-Assumptions!$F$80*(ABS(AC49)-ABS(AB49))</f>
        <v>-48001.9209049676</v>
      </c>
      <c r="AD78" s="27" t="n">
        <f aca="false">-Assumptions!$F$80*(ABS(AD49)-ABS(AC49))</f>
        <v>-50717.3316220151</v>
      </c>
      <c r="AE78" s="27" t="n">
        <f aca="false">-Assumptions!$F$80*(ABS(AE49)-ABS(AD49))</f>
        <v>-53628.8454946376</v>
      </c>
      <c r="AF78" s="27" t="n">
        <f aca="false">-Assumptions!$F$80*(ABS(AF49)-ABS(AE49))</f>
        <v>-56753.930189017</v>
      </c>
      <c r="AG78" s="27" t="n">
        <f aca="false">-Assumptions!$F$80*(ABS(AG49)-ABS(AF49))</f>
        <v>-60111.8106673766</v>
      </c>
      <c r="AH78" s="27" t="n">
        <f aca="false">-Assumptions!$F$80*(ABS(AH49)-ABS(AG49))</f>
        <v>-63723.6559246591</v>
      </c>
      <c r="AI78" s="27" t="n">
        <f aca="false">-Assumptions!$F$80*(ABS(AI49)-ABS(AH49))</f>
        <v>-67612.7860035971</v>
      </c>
      <c r="AJ78" s="27" t="n">
        <f aca="false">-Assumptions!$F$80*(ABS(AJ49)-ABS(AI49))</f>
        <v>-71804.9015083067</v>
      </c>
      <c r="AK78" s="27" t="n">
        <f aca="false">-Assumptions!$F$80*(ABS(AK49)-ABS(AJ49))</f>
        <v>-76328.3380803078</v>
      </c>
      <c r="AL78" s="27" t="n">
        <f aca="false">-Assumptions!$F$80*(ABS(AL49)-ABS(AK49))</f>
        <v>-81214.3485714718</v>
      </c>
      <c r="AM78" s="27" t="n">
        <f aca="false">-Assumptions!$F$80*(ABS(AM49)-ABS(AL49))</f>
        <v>-86497.4159487578</v>
      </c>
    </row>
    <row r="79" customFormat="false" ht="15" hidden="false" customHeight="false" outlineLevel="0" collapsed="false">
      <c r="A79" s="29" t="s">
        <v>388</v>
      </c>
      <c r="B79" s="8" t="s">
        <v>50</v>
      </c>
      <c r="C79" s="31" t="n">
        <f aca="false">SUM(D79:AM79)</f>
        <v>128321898.425085</v>
      </c>
      <c r="D79" s="31" t="n">
        <f aca="false">D77+D78</f>
        <v>-333000</v>
      </c>
      <c r="E79" s="31" t="n">
        <f aca="false">E77+E78</f>
        <v>-333000</v>
      </c>
      <c r="F79" s="31" t="n">
        <f aca="false">F77+F78</f>
        <v>-333000</v>
      </c>
      <c r="G79" s="31" t="n">
        <f aca="false">G77+G78</f>
        <v>-378000</v>
      </c>
      <c r="H79" s="31" t="n">
        <f aca="false">H77+H78</f>
        <v>-371931.261695142</v>
      </c>
      <c r="I79" s="31" t="n">
        <f aca="false">I77+I78</f>
        <v>-291154.832943921</v>
      </c>
      <c r="J79" s="31" t="n">
        <f aca="false">J77+J78</f>
        <v>-285193.122183597</v>
      </c>
      <c r="K79" s="31" t="n">
        <f aca="false">K77+K78</f>
        <v>215212.032450099</v>
      </c>
      <c r="L79" s="31" t="n">
        <f aca="false">L77+L78</f>
        <v>343979.474025656</v>
      </c>
      <c r="M79" s="31" t="n">
        <f aca="false">M77+M78</f>
        <v>555422.706867681</v>
      </c>
      <c r="N79" s="31" t="n">
        <f aca="false">N77+N78</f>
        <v>777855.485040229</v>
      </c>
      <c r="O79" s="31" t="n">
        <f aca="false">O77+O78</f>
        <v>1012452.81513258</v>
      </c>
      <c r="P79" s="31" t="n">
        <f aca="false">P77+P78</f>
        <v>1160453.72654961</v>
      </c>
      <c r="Q79" s="31" t="n">
        <f aca="false">Q77+Q78</f>
        <v>1423171.22003049</v>
      </c>
      <c r="R79" s="31" t="n">
        <f aca="false">R77+R78</f>
        <v>1702002.97206423</v>
      </c>
      <c r="S79" s="31" t="n">
        <f aca="false">S77+S78</f>
        <v>1998442.92126009</v>
      </c>
      <c r="T79" s="31" t="n">
        <f aca="false">T77+T78</f>
        <v>2314093.87425917</v>
      </c>
      <c r="U79" s="31" t="n">
        <f aca="false">U77+U78</f>
        <v>2650681.28205323</v>
      </c>
      <c r="V79" s="31" t="n">
        <f aca="false">V77+V78</f>
        <v>3010068.3527821</v>
      </c>
      <c r="W79" s="31" t="n">
        <f aca="false">W77+W78</f>
        <v>3387185.84594381</v>
      </c>
      <c r="X79" s="31" t="n">
        <f aca="false">X77+X78</f>
        <v>3743347.92371537</v>
      </c>
      <c r="Y79" s="31" t="n">
        <f aca="false">Y77+Y78</f>
        <v>4104631.76299189</v>
      </c>
      <c r="Z79" s="31" t="n">
        <f aca="false">Z77+Z78</f>
        <v>4473145.76848294</v>
      </c>
      <c r="AA79" s="31" t="n">
        <f aca="false">AA77+AA78</f>
        <v>4851002.19745631</v>
      </c>
      <c r="AB79" s="31" t="n">
        <f aca="false">AB77+AB78</f>
        <v>5130337.40523262</v>
      </c>
      <c r="AC79" s="31" t="n">
        <f aca="false">AC77+AC78</f>
        <v>5533332.21822593</v>
      </c>
      <c r="AD79" s="31" t="n">
        <f aca="false">AD77+AD78</f>
        <v>5952232.65370848</v>
      </c>
      <c r="AE79" s="31" t="n">
        <f aca="false">AE77+AE78</f>
        <v>6389371.20888537</v>
      </c>
      <c r="AF79" s="31" t="n">
        <f aca="false">AF77+AF78</f>
        <v>6847188.94771071</v>
      </c>
      <c r="AG79" s="31" t="n">
        <f aca="false">AG77+AG78</f>
        <v>7328258.62222116</v>
      </c>
      <c r="AH79" s="31" t="n">
        <f aca="false">AH77+AH78</f>
        <v>7835309.0760949</v>
      </c>
      <c r="AI79" s="31" t="n">
        <f aca="false">AI77+AI78</f>
        <v>8371251.19178164</v>
      </c>
      <c r="AJ79" s="31" t="n">
        <f aca="false">AJ77+AJ78</f>
        <v>8939205.65903876</v>
      </c>
      <c r="AK79" s="31" t="n">
        <f aca="false">AK77+AK78</f>
        <v>9542532.86222872</v>
      </c>
      <c r="AL79" s="31" t="n">
        <f aca="false">AL77+AL78</f>
        <v>10184865.2064944</v>
      </c>
      <c r="AM79" s="31" t="n">
        <f aca="false">AM77+AM78</f>
        <v>10870142.2291794</v>
      </c>
    </row>
    <row r="80" customFormat="false" ht="15" hidden="false" customHeight="false" outlineLevel="0" collapsed="false">
      <c r="A80" s="29" t="s">
        <v>389</v>
      </c>
      <c r="B80" s="8" t="s">
        <v>50</v>
      </c>
      <c r="D80" s="31" t="n">
        <f aca="false">D79</f>
        <v>-333000</v>
      </c>
      <c r="E80" s="31" t="n">
        <f aca="false">D80+E79</f>
        <v>-666000</v>
      </c>
      <c r="F80" s="31" t="n">
        <f aca="false">E80+F79</f>
        <v>-999000</v>
      </c>
      <c r="G80" s="31" t="n">
        <f aca="false">F80+G79</f>
        <v>-1377000</v>
      </c>
      <c r="H80" s="31" t="n">
        <f aca="false">G80+H79</f>
        <v>-1748931.26169514</v>
      </c>
      <c r="I80" s="31" t="n">
        <f aca="false">H80+I79</f>
        <v>-2040086.09463906</v>
      </c>
      <c r="J80" s="31" t="n">
        <f aca="false">I80+J79</f>
        <v>-2325279.21682266</v>
      </c>
      <c r="K80" s="31" t="n">
        <f aca="false">J80+K79</f>
        <v>-2110067.18437256</v>
      </c>
      <c r="L80" s="31" t="n">
        <f aca="false">K80+L79</f>
        <v>-1766087.71034691</v>
      </c>
      <c r="M80" s="31" t="n">
        <f aca="false">L80+M79</f>
        <v>-1210665.00347923</v>
      </c>
      <c r="N80" s="31" t="n">
        <f aca="false">M80+N79</f>
        <v>-432809.518438996</v>
      </c>
      <c r="O80" s="31" t="n">
        <f aca="false">N80+O79</f>
        <v>579643.296693585</v>
      </c>
      <c r="P80" s="31" t="n">
        <f aca="false">O80+P79</f>
        <v>1740097.02324319</v>
      </c>
      <c r="Q80" s="31" t="n">
        <f aca="false">P80+Q79</f>
        <v>3163268.24327369</v>
      </c>
      <c r="R80" s="31" t="n">
        <f aca="false">Q80+R79</f>
        <v>4865271.21533792</v>
      </c>
      <c r="S80" s="31" t="n">
        <f aca="false">R80+S79</f>
        <v>6863714.13659801</v>
      </c>
      <c r="T80" s="31" t="n">
        <f aca="false">S80+T79</f>
        <v>9177808.01085718</v>
      </c>
      <c r="U80" s="31" t="n">
        <f aca="false">T80+U79</f>
        <v>11828489.2929104</v>
      </c>
      <c r="V80" s="31" t="n">
        <f aca="false">U80+V79</f>
        <v>14838557.6456925</v>
      </c>
      <c r="W80" s="31" t="n">
        <f aca="false">V80+W79</f>
        <v>18225743.4916363</v>
      </c>
      <c r="X80" s="31" t="n">
        <f aca="false">W80+X79</f>
        <v>21969091.4153517</v>
      </c>
      <c r="Y80" s="31" t="n">
        <f aca="false">X80+Y79</f>
        <v>26073723.1783436</v>
      </c>
      <c r="Z80" s="31" t="n">
        <f aca="false">Y80+Z79</f>
        <v>30546868.9468265</v>
      </c>
      <c r="AA80" s="31" t="n">
        <f aca="false">Z80+AA79</f>
        <v>35397871.1442828</v>
      </c>
      <c r="AB80" s="31" t="n">
        <f aca="false">AA80+AB79</f>
        <v>40528208.5495155</v>
      </c>
      <c r="AC80" s="31" t="n">
        <f aca="false">AB80+AC79</f>
        <v>46061540.7677414</v>
      </c>
      <c r="AD80" s="31" t="n">
        <f aca="false">AC80+AD79</f>
        <v>52013773.4214499</v>
      </c>
      <c r="AE80" s="31" t="n">
        <f aca="false">AD80+AE79</f>
        <v>58403144.6303352</v>
      </c>
      <c r="AF80" s="31" t="n">
        <f aca="false">AE80+AF79</f>
        <v>65250333.5780459</v>
      </c>
      <c r="AG80" s="31" t="n">
        <f aca="false">AF80+AG79</f>
        <v>72578592.2002671</v>
      </c>
      <c r="AH80" s="31" t="n">
        <f aca="false">AG80+AH79</f>
        <v>80413901.276362</v>
      </c>
      <c r="AI80" s="31" t="n">
        <f aca="false">AH80+AI79</f>
        <v>88785152.4681436</v>
      </c>
      <c r="AJ80" s="31" t="n">
        <f aca="false">AI80+AJ79</f>
        <v>97724358.1271824</v>
      </c>
      <c r="AK80" s="31" t="n">
        <f aca="false">AJ80+AK79</f>
        <v>107266890.989411</v>
      </c>
      <c r="AL80" s="31" t="n">
        <f aca="false">AK80+AL79</f>
        <v>117451756.195906</v>
      </c>
      <c r="AM80" s="31" t="n">
        <f aca="false">AL80+AM79</f>
        <v>128321898.425085</v>
      </c>
    </row>
    <row r="81" customFormat="false" ht="15" hidden="false" customHeight="false" outlineLevel="0" collapsed="false">
      <c r="A81" s="8" t="s">
        <v>390</v>
      </c>
      <c r="B81" s="8" t="s">
        <v>50</v>
      </c>
      <c r="D81" s="27" t="n">
        <f aca="false">Assumptions!$F$81+D80</f>
        <v>-333000</v>
      </c>
      <c r="E81" s="27" t="n">
        <f aca="false">Assumptions!$F$81+E80</f>
        <v>-666000</v>
      </c>
      <c r="F81" s="27" t="n">
        <f aca="false">Assumptions!$F$81+F80</f>
        <v>-999000</v>
      </c>
      <c r="G81" s="27" t="n">
        <f aca="false">Assumptions!$F$81+G80</f>
        <v>-1377000</v>
      </c>
      <c r="H81" s="27" t="n">
        <f aca="false">Assumptions!$F$81+H80</f>
        <v>-1748931.26169514</v>
      </c>
      <c r="I81" s="27" t="n">
        <f aca="false">Assumptions!$F$81+I80</f>
        <v>-2040086.09463906</v>
      </c>
      <c r="J81" s="27" t="n">
        <f aca="false">Assumptions!$F$81+J80</f>
        <v>-2325279.21682266</v>
      </c>
      <c r="K81" s="27" t="n">
        <f aca="false">Assumptions!$F$81+K80</f>
        <v>-2110067.18437256</v>
      </c>
      <c r="L81" s="27" t="n">
        <f aca="false">Assumptions!$F$81+L80</f>
        <v>-1766087.71034691</v>
      </c>
      <c r="M81" s="27" t="n">
        <f aca="false">Assumptions!$F$81+M80</f>
        <v>-1210665.00347923</v>
      </c>
      <c r="N81" s="27" t="n">
        <f aca="false">Assumptions!$F$81+N80</f>
        <v>-432809.518438996</v>
      </c>
      <c r="O81" s="27" t="n">
        <f aca="false">Assumptions!$F$81+O80</f>
        <v>579643.296693585</v>
      </c>
      <c r="P81" s="27" t="n">
        <f aca="false">Assumptions!$F$81+P80</f>
        <v>1740097.02324319</v>
      </c>
      <c r="Q81" s="27" t="n">
        <f aca="false">Assumptions!$F$81+Q80</f>
        <v>3163268.24327369</v>
      </c>
      <c r="R81" s="27" t="n">
        <f aca="false">Assumptions!$F$81+R80</f>
        <v>4865271.21533792</v>
      </c>
      <c r="S81" s="27" t="n">
        <f aca="false">Assumptions!$F$81+S80</f>
        <v>6863714.13659801</v>
      </c>
      <c r="T81" s="27" t="n">
        <f aca="false">Assumptions!$F$81+T80</f>
        <v>9177808.01085718</v>
      </c>
      <c r="U81" s="27" t="n">
        <f aca="false">Assumptions!$F$81+U80</f>
        <v>11828489.2929104</v>
      </c>
      <c r="V81" s="27" t="n">
        <f aca="false">Assumptions!$F$81+V80</f>
        <v>14838557.6456925</v>
      </c>
      <c r="W81" s="27" t="n">
        <f aca="false">Assumptions!$F$81+W80</f>
        <v>18225743.4916363</v>
      </c>
      <c r="X81" s="27" t="n">
        <f aca="false">Assumptions!$F$81+X80</f>
        <v>21969091.4153517</v>
      </c>
      <c r="Y81" s="27" t="n">
        <f aca="false">Assumptions!$F$81+Y80</f>
        <v>26073723.1783436</v>
      </c>
      <c r="Z81" s="27" t="n">
        <f aca="false">Assumptions!$F$81+Z80</f>
        <v>30546868.9468265</v>
      </c>
      <c r="AA81" s="27" t="n">
        <f aca="false">Assumptions!$F$81+AA80</f>
        <v>35397871.1442828</v>
      </c>
      <c r="AB81" s="27" t="n">
        <f aca="false">Assumptions!$F$81+AB80</f>
        <v>40528208.5495155</v>
      </c>
      <c r="AC81" s="27" t="n">
        <f aca="false">Assumptions!$F$81+AC80</f>
        <v>46061540.7677414</v>
      </c>
      <c r="AD81" s="27" t="n">
        <f aca="false">Assumptions!$F$81+AD80</f>
        <v>52013773.4214499</v>
      </c>
      <c r="AE81" s="27" t="n">
        <f aca="false">Assumptions!$F$81+AE80</f>
        <v>58403144.6303352</v>
      </c>
      <c r="AF81" s="27" t="n">
        <f aca="false">Assumptions!$F$81+AF80</f>
        <v>65250333.5780459</v>
      </c>
      <c r="AG81" s="27" t="n">
        <f aca="false">Assumptions!$F$81+AG80</f>
        <v>72578592.2002671</v>
      </c>
      <c r="AH81" s="27" t="n">
        <f aca="false">Assumptions!$F$81+AH80</f>
        <v>80413901.276362</v>
      </c>
      <c r="AI81" s="27" t="n">
        <f aca="false">Assumptions!$F$81+AI80</f>
        <v>88785152.4681436</v>
      </c>
      <c r="AJ81" s="27" t="n">
        <f aca="false">Assumptions!$F$81+AJ80</f>
        <v>97724358.1271824</v>
      </c>
      <c r="AK81" s="27" t="n">
        <f aca="false">Assumptions!$F$81+AK80</f>
        <v>107266890.989411</v>
      </c>
      <c r="AL81" s="27" t="n">
        <f aca="false">Assumptions!$F$81+AL80</f>
        <v>117451756.195906</v>
      </c>
      <c r="AM81" s="27" t="n">
        <f aca="false">Assumptions!$F$81+AM80</f>
        <v>128321898.425085</v>
      </c>
    </row>
    <row r="82" customFormat="false" ht="15" hidden="false" customHeight="false" outlineLevel="0" collapsed="false">
      <c r="A82" s="8" t="s">
        <v>391</v>
      </c>
      <c r="B82" s="8" t="s">
        <v>293</v>
      </c>
      <c r="D82" s="25" t="n">
        <f aca="false">IF(D77&gt;0,D$3,999)</f>
        <v>999</v>
      </c>
      <c r="E82" s="25" t="n">
        <f aca="false">IF(E77&gt;0,E$3,999)</f>
        <v>999</v>
      </c>
      <c r="F82" s="25" t="n">
        <f aca="false">IF(F77&gt;0,F$3,999)</f>
        <v>999</v>
      </c>
      <c r="G82" s="25" t="n">
        <f aca="false">IF(G77&gt;0,G$3,999)</f>
        <v>999</v>
      </c>
      <c r="H82" s="25" t="n">
        <f aca="false">IF(H77&gt;0,H$3,999)</f>
        <v>999</v>
      </c>
      <c r="I82" s="25" t="n">
        <f aca="false">IF(I77&gt;0,I$3,999)</f>
        <v>999</v>
      </c>
      <c r="J82" s="25" t="n">
        <f aca="false">IF(J77&gt;0,J$3,999)</f>
        <v>999</v>
      </c>
      <c r="K82" s="25" t="n">
        <f aca="false">IF(K77&gt;0,K$3,999)</f>
        <v>8</v>
      </c>
      <c r="L82" s="25" t="n">
        <f aca="false">IF(L77&gt;0,L$3,999)</f>
        <v>9</v>
      </c>
      <c r="M82" s="25" t="n">
        <f aca="false">IF(M77&gt;0,M$3,999)</f>
        <v>10</v>
      </c>
      <c r="N82" s="25" t="n">
        <f aca="false">IF(N77&gt;0,N$3,999)</f>
        <v>11</v>
      </c>
      <c r="O82" s="25" t="n">
        <f aca="false">IF(O77&gt;0,O$3,999)</f>
        <v>12</v>
      </c>
      <c r="P82" s="25" t="n">
        <f aca="false">IF(P77&gt;0,P$3,999)</f>
        <v>13</v>
      </c>
      <c r="Q82" s="25" t="n">
        <f aca="false">IF(Q77&gt;0,Q$3,999)</f>
        <v>14</v>
      </c>
      <c r="R82" s="25" t="n">
        <f aca="false">IF(R77&gt;0,R$3,999)</f>
        <v>15</v>
      </c>
      <c r="S82" s="25" t="n">
        <f aca="false">IF(S77&gt;0,S$3,999)</f>
        <v>16</v>
      </c>
      <c r="T82" s="25" t="n">
        <f aca="false">IF(T77&gt;0,T$3,999)</f>
        <v>17</v>
      </c>
      <c r="U82" s="25" t="n">
        <f aca="false">IF(U77&gt;0,U$3,999)</f>
        <v>18</v>
      </c>
      <c r="V82" s="25" t="n">
        <f aca="false">IF(V77&gt;0,V$3,999)</f>
        <v>19</v>
      </c>
      <c r="W82" s="25" t="n">
        <f aca="false">IF(W77&gt;0,W$3,999)</f>
        <v>20</v>
      </c>
      <c r="X82" s="25" t="n">
        <f aca="false">IF(X77&gt;0,X$3,999)</f>
        <v>21</v>
      </c>
      <c r="Y82" s="25" t="n">
        <f aca="false">IF(Y77&gt;0,Y$3,999)</f>
        <v>22</v>
      </c>
      <c r="Z82" s="25" t="n">
        <f aca="false">IF(Z77&gt;0,Z$3,999)</f>
        <v>23</v>
      </c>
      <c r="AA82" s="25" t="n">
        <f aca="false">IF(AA77&gt;0,AA$3,999)</f>
        <v>24</v>
      </c>
      <c r="AB82" s="25" t="n">
        <f aca="false">IF(AB77&gt;0,AB$3,999)</f>
        <v>25</v>
      </c>
      <c r="AC82" s="25" t="n">
        <f aca="false">IF(AC77&gt;0,AC$3,999)</f>
        <v>26</v>
      </c>
      <c r="AD82" s="25" t="n">
        <f aca="false">IF(AD77&gt;0,AD$3,999)</f>
        <v>27</v>
      </c>
      <c r="AE82" s="25" t="n">
        <f aca="false">IF(AE77&gt;0,AE$3,999)</f>
        <v>28</v>
      </c>
      <c r="AF82" s="25" t="n">
        <f aca="false">IF(AF77&gt;0,AF$3,999)</f>
        <v>29</v>
      </c>
      <c r="AG82" s="25" t="n">
        <f aca="false">IF(AG77&gt;0,AG$3,999)</f>
        <v>30</v>
      </c>
      <c r="AH82" s="25" t="n">
        <f aca="false">IF(AH77&gt;0,AH$3,999)</f>
        <v>31</v>
      </c>
      <c r="AI82" s="25" t="n">
        <f aca="false">IF(AI77&gt;0,AI$3,999)</f>
        <v>32</v>
      </c>
      <c r="AJ82" s="25" t="n">
        <f aca="false">IF(AJ77&gt;0,AJ$3,999)</f>
        <v>33</v>
      </c>
      <c r="AK82" s="25" t="n">
        <f aca="false">IF(AK77&gt;0,AK$3,999)</f>
        <v>34</v>
      </c>
      <c r="AL82" s="25" t="n">
        <f aca="false">IF(AL77&gt;0,AL$3,999)</f>
        <v>35</v>
      </c>
      <c r="AM82" s="25" t="n">
        <f aca="false">IF(AM77&gt;0,AM$3,999)</f>
        <v>36</v>
      </c>
    </row>
    <row r="83" customFormat="false" ht="15" hidden="false" customHeight="false" outlineLevel="0" collapsed="false">
      <c r="A83" s="5" t="s">
        <v>392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</row>
    <row r="84" customFormat="false" ht="15" hidden="false" customHeight="false" outlineLevel="0" collapsed="false">
      <c r="A84" s="8" t="s">
        <v>393</v>
      </c>
      <c r="B84" s="8" t="s">
        <v>50</v>
      </c>
      <c r="D84" s="27" t="n">
        <f aca="false">IF(D24=0,0,(D36)/D24)</f>
        <v>0</v>
      </c>
      <c r="E84" s="27" t="n">
        <f aca="false">IF(E24=0,0,(E36)/E24)</f>
        <v>0</v>
      </c>
      <c r="F84" s="27" t="n">
        <f aca="false">IF(F24=0,0,(F36)/F24)</f>
        <v>0</v>
      </c>
      <c r="G84" s="27" t="n">
        <f aca="false">IF(G24=0,0,(G36)/G24)</f>
        <v>0</v>
      </c>
      <c r="H84" s="27" t="n">
        <f aca="false">IF(H24=0,0,(H36)/H24)</f>
        <v>299</v>
      </c>
      <c r="I84" s="27" t="n">
        <f aca="false">IF(I24=0,0,(I36)/I24)</f>
        <v>299</v>
      </c>
      <c r="J84" s="27" t="n">
        <f aca="false">IF(J24=0,0,(J36)/J24)</f>
        <v>299</v>
      </c>
      <c r="K84" s="27" t="n">
        <f aca="false">IF(K24=0,0,(K36)/K24)</f>
        <v>299</v>
      </c>
      <c r="L84" s="27" t="n">
        <f aca="false">IF(L24=0,0,(L36)/L24)</f>
        <v>299</v>
      </c>
      <c r="M84" s="27" t="n">
        <f aca="false">IF(M24=0,0,(M36)/M24)</f>
        <v>299</v>
      </c>
      <c r="N84" s="27" t="n">
        <f aca="false">IF(N24=0,0,(N36)/N24)</f>
        <v>299</v>
      </c>
      <c r="O84" s="27" t="n">
        <f aca="false">IF(O24=0,0,(O36)/O24)</f>
        <v>299</v>
      </c>
      <c r="P84" s="27" t="n">
        <f aca="false">IF(P24=0,0,(P36)/P24)</f>
        <v>299</v>
      </c>
      <c r="Q84" s="27" t="n">
        <f aca="false">IF(Q24=0,0,(Q36)/Q24)</f>
        <v>299</v>
      </c>
      <c r="R84" s="27" t="n">
        <f aca="false">IF(R24=0,0,(R36)/R24)</f>
        <v>299</v>
      </c>
      <c r="S84" s="27" t="n">
        <f aca="false">IF(S24=0,0,(S36)/S24)</f>
        <v>299</v>
      </c>
      <c r="T84" s="27" t="n">
        <f aca="false">IF(T24=0,0,(T36)/T24)</f>
        <v>299</v>
      </c>
      <c r="U84" s="27" t="n">
        <f aca="false">IF(U24=0,0,(U36)/U24)</f>
        <v>299</v>
      </c>
      <c r="V84" s="27" t="n">
        <f aca="false">IF(V24=0,0,(V36)/V24)</f>
        <v>299</v>
      </c>
      <c r="W84" s="27" t="n">
        <f aca="false">IF(W24=0,0,(W36)/W24)</f>
        <v>299</v>
      </c>
      <c r="X84" s="27" t="n">
        <f aca="false">IF(X24=0,0,(X36)/X24)</f>
        <v>299</v>
      </c>
      <c r="Y84" s="27" t="n">
        <f aca="false">IF(Y24=0,0,(Y36)/Y24)</f>
        <v>299</v>
      </c>
      <c r="Z84" s="27" t="n">
        <f aca="false">IF(Z24=0,0,(Z36)/Z24)</f>
        <v>299</v>
      </c>
      <c r="AA84" s="27" t="n">
        <f aca="false">IF(AA24=0,0,(AA36)/AA24)</f>
        <v>299</v>
      </c>
      <c r="AB84" s="27" t="n">
        <f aca="false">IF(AB24=0,0,(AB36)/AB24)</f>
        <v>299</v>
      </c>
      <c r="AC84" s="27" t="n">
        <f aca="false">IF(AC24=0,0,(AC36)/AC24)</f>
        <v>299</v>
      </c>
      <c r="AD84" s="27" t="n">
        <f aca="false">IF(AD24=0,0,(AD36)/AD24)</f>
        <v>299</v>
      </c>
      <c r="AE84" s="27" t="n">
        <f aca="false">IF(AE24=0,0,(AE36)/AE24)</f>
        <v>299</v>
      </c>
      <c r="AF84" s="27" t="n">
        <f aca="false">IF(AF24=0,0,(AF36)/AF24)</f>
        <v>299</v>
      </c>
      <c r="AG84" s="27" t="n">
        <f aca="false">IF(AG24=0,0,(AG36)/AG24)</f>
        <v>299</v>
      </c>
      <c r="AH84" s="27" t="n">
        <f aca="false">IF(AH24=0,0,(AH36)/AH24)</f>
        <v>299</v>
      </c>
      <c r="AI84" s="27" t="n">
        <f aca="false">IF(AI24=0,0,(AI36)/AI24)</f>
        <v>299</v>
      </c>
      <c r="AJ84" s="27" t="n">
        <f aca="false">IF(AJ24=0,0,(AJ36)/AJ24)</f>
        <v>299</v>
      </c>
      <c r="AK84" s="27" t="n">
        <f aca="false">IF(AK24=0,0,(AK36)/AK24)</f>
        <v>299</v>
      </c>
      <c r="AL84" s="27" t="n">
        <f aca="false">IF(AL24=0,0,(AL36)/AL24)</f>
        <v>299</v>
      </c>
      <c r="AM84" s="27" t="n">
        <f aca="false">IF(AM24=0,0,(AM36)/AM24)</f>
        <v>299</v>
      </c>
    </row>
    <row r="85" customFormat="false" ht="15" hidden="false" customHeight="false" outlineLevel="0" collapsed="false">
      <c r="A85" s="8" t="s">
        <v>394</v>
      </c>
      <c r="B85" s="8" t="s">
        <v>50</v>
      </c>
      <c r="D85" s="27" t="n">
        <f aca="false">Assumptions!$F$30*(1-Assumptions!$F$50-Assumptions!$F$49)-Assumptions!$F$44-Assumptions!$F$46-Assumptions!$F$47-Assumptions!$F$51</f>
        <v>174.452</v>
      </c>
      <c r="E85" s="27" t="n">
        <f aca="false">Assumptions!$F$30*(1-Assumptions!$F$50-Assumptions!$F$49)-Assumptions!$F$44-Assumptions!$F$46-Assumptions!$F$47-Assumptions!$F$51</f>
        <v>174.452</v>
      </c>
      <c r="F85" s="27" t="n">
        <f aca="false">Assumptions!$F$30*(1-Assumptions!$F$50-Assumptions!$F$49)-Assumptions!$F$44-Assumptions!$F$46-Assumptions!$F$47-Assumptions!$F$51</f>
        <v>174.452</v>
      </c>
      <c r="G85" s="27" t="n">
        <f aca="false">Assumptions!$F$30*(1-Assumptions!$F$50-Assumptions!$F$49)-Assumptions!$F$44-Assumptions!$F$46-Assumptions!$F$47-Assumptions!$F$51</f>
        <v>174.452</v>
      </c>
      <c r="H85" s="27" t="n">
        <f aca="false">Assumptions!$F$30*(1-Assumptions!$F$50-Assumptions!$F$49)-Assumptions!$F$44-Assumptions!$F$46-Assumptions!$F$47-Assumptions!$F$51</f>
        <v>174.452</v>
      </c>
      <c r="I85" s="27" t="n">
        <f aca="false">Assumptions!$F$30*(1-Assumptions!$F$50-Assumptions!$F$49)-Assumptions!$F$44-Assumptions!$F$46-Assumptions!$F$47-Assumptions!$F$51</f>
        <v>174.452</v>
      </c>
      <c r="J85" s="27" t="n">
        <f aca="false">Assumptions!$F$30*(1-Assumptions!$F$50-Assumptions!$F$49)-Assumptions!$F$44-Assumptions!$F$46-Assumptions!$F$47-Assumptions!$F$51</f>
        <v>174.452</v>
      </c>
      <c r="K85" s="27" t="n">
        <f aca="false">Assumptions!$F$30*(1-Assumptions!$F$50-Assumptions!$F$49)-Assumptions!$F$44-Assumptions!$F$46-Assumptions!$F$47-Assumptions!$F$51</f>
        <v>174.452</v>
      </c>
      <c r="L85" s="27" t="n">
        <f aca="false">Assumptions!$F$30*(1-Assumptions!$F$50-Assumptions!$F$49)-Assumptions!$F$44-Assumptions!$F$46-Assumptions!$F$47-Assumptions!$F$51</f>
        <v>174.452</v>
      </c>
      <c r="M85" s="27" t="n">
        <f aca="false">Assumptions!$F$30*(1-Assumptions!$F$50-Assumptions!$F$49)-Assumptions!$F$44-Assumptions!$F$46-Assumptions!$F$47-Assumptions!$F$51</f>
        <v>174.452</v>
      </c>
      <c r="N85" s="27" t="n">
        <f aca="false">Assumptions!$F$30*(1-Assumptions!$F$50-Assumptions!$F$49)-Assumptions!$F$44-Assumptions!$F$46-Assumptions!$F$47-Assumptions!$F$51</f>
        <v>174.452</v>
      </c>
      <c r="O85" s="27" t="n">
        <f aca="false">Assumptions!$F$30*(1-Assumptions!$F$50-Assumptions!$F$49)-Assumptions!$F$44-Assumptions!$F$46-Assumptions!$F$47-Assumptions!$F$51</f>
        <v>174.452</v>
      </c>
      <c r="P85" s="27" t="n">
        <f aca="false">Assumptions!$F$30*(1-Assumptions!$F$50-Assumptions!$F$49)-Assumptions!$F$44-Assumptions!$F$46-Assumptions!$F$47-Assumptions!$F$51</f>
        <v>174.452</v>
      </c>
      <c r="Q85" s="27" t="n">
        <f aca="false">Assumptions!$F$30*(1-Assumptions!$F$50-Assumptions!$F$49)-Assumptions!$F$44-Assumptions!$F$46-Assumptions!$F$47-Assumptions!$F$51</f>
        <v>174.452</v>
      </c>
      <c r="R85" s="27" t="n">
        <f aca="false">Assumptions!$F$30*(1-Assumptions!$F$50-Assumptions!$F$49)-Assumptions!$F$44-Assumptions!$F$46-Assumptions!$F$47-Assumptions!$F$51</f>
        <v>174.452</v>
      </c>
      <c r="S85" s="27" t="n">
        <f aca="false">Assumptions!$F$30*(1-Assumptions!$F$50-Assumptions!$F$49)-Assumptions!$F$44-Assumptions!$F$46-Assumptions!$F$47-Assumptions!$F$51</f>
        <v>174.452</v>
      </c>
      <c r="T85" s="27" t="n">
        <f aca="false">Assumptions!$F$30*(1-Assumptions!$F$50-Assumptions!$F$49)-Assumptions!$F$44-Assumptions!$F$46-Assumptions!$F$47-Assumptions!$F$51</f>
        <v>174.452</v>
      </c>
      <c r="U85" s="27" t="n">
        <f aca="false">Assumptions!$F$30*(1-Assumptions!$F$50-Assumptions!$F$49)-Assumptions!$F$44-Assumptions!$F$46-Assumptions!$F$47-Assumptions!$F$51</f>
        <v>174.452</v>
      </c>
      <c r="V85" s="27" t="n">
        <f aca="false">Assumptions!$F$30*(1-Assumptions!$F$50-Assumptions!$F$49)-Assumptions!$F$44-Assumptions!$F$46-Assumptions!$F$47-Assumptions!$F$51</f>
        <v>174.452</v>
      </c>
      <c r="W85" s="27" t="n">
        <f aca="false">Assumptions!$F$30*(1-Assumptions!$F$50-Assumptions!$F$49)-Assumptions!$F$44-Assumptions!$F$46-Assumptions!$F$47-Assumptions!$F$51</f>
        <v>174.452</v>
      </c>
      <c r="X85" s="27" t="n">
        <f aca="false">Assumptions!$F$30*(1-Assumptions!$F$50-Assumptions!$F$49)-Assumptions!$F$44-Assumptions!$F$46-Assumptions!$F$47-Assumptions!$F$51</f>
        <v>174.452</v>
      </c>
      <c r="Y85" s="27" t="n">
        <f aca="false">Assumptions!$F$30*(1-Assumptions!$F$50-Assumptions!$F$49)-Assumptions!$F$44-Assumptions!$F$46-Assumptions!$F$47-Assumptions!$F$51</f>
        <v>174.452</v>
      </c>
      <c r="Z85" s="27" t="n">
        <f aca="false">Assumptions!$F$30*(1-Assumptions!$F$50-Assumptions!$F$49)-Assumptions!$F$44-Assumptions!$F$46-Assumptions!$F$47-Assumptions!$F$51</f>
        <v>174.452</v>
      </c>
      <c r="AA85" s="27" t="n">
        <f aca="false">Assumptions!$F$30*(1-Assumptions!$F$50-Assumptions!$F$49)-Assumptions!$F$44-Assumptions!$F$46-Assumptions!$F$47-Assumptions!$F$51</f>
        <v>174.452</v>
      </c>
      <c r="AB85" s="27" t="n">
        <f aca="false">Assumptions!$F$30*(1-Assumptions!$F$50-Assumptions!$F$49)-Assumptions!$F$44-Assumptions!$F$46-Assumptions!$F$47-Assumptions!$F$51</f>
        <v>174.452</v>
      </c>
      <c r="AC85" s="27" t="n">
        <f aca="false">Assumptions!$F$30*(1-Assumptions!$F$50-Assumptions!$F$49)-Assumptions!$F$44-Assumptions!$F$46-Assumptions!$F$47-Assumptions!$F$51</f>
        <v>174.452</v>
      </c>
      <c r="AD85" s="27" t="n">
        <f aca="false">Assumptions!$F$30*(1-Assumptions!$F$50-Assumptions!$F$49)-Assumptions!$F$44-Assumptions!$F$46-Assumptions!$F$47-Assumptions!$F$51</f>
        <v>174.452</v>
      </c>
      <c r="AE85" s="27" t="n">
        <f aca="false">Assumptions!$F$30*(1-Assumptions!$F$50-Assumptions!$F$49)-Assumptions!$F$44-Assumptions!$F$46-Assumptions!$F$47-Assumptions!$F$51</f>
        <v>174.452</v>
      </c>
      <c r="AF85" s="27" t="n">
        <f aca="false">Assumptions!$F$30*(1-Assumptions!$F$50-Assumptions!$F$49)-Assumptions!$F$44-Assumptions!$F$46-Assumptions!$F$47-Assumptions!$F$51</f>
        <v>174.452</v>
      </c>
      <c r="AG85" s="27" t="n">
        <f aca="false">Assumptions!$F$30*(1-Assumptions!$F$50-Assumptions!$F$49)-Assumptions!$F$44-Assumptions!$F$46-Assumptions!$F$47-Assumptions!$F$51</f>
        <v>174.452</v>
      </c>
      <c r="AH85" s="27" t="n">
        <f aca="false">Assumptions!$F$30*(1-Assumptions!$F$50-Assumptions!$F$49)-Assumptions!$F$44-Assumptions!$F$46-Assumptions!$F$47-Assumptions!$F$51</f>
        <v>174.452</v>
      </c>
      <c r="AI85" s="27" t="n">
        <f aca="false">Assumptions!$F$30*(1-Assumptions!$F$50-Assumptions!$F$49)-Assumptions!$F$44-Assumptions!$F$46-Assumptions!$F$47-Assumptions!$F$51</f>
        <v>174.452</v>
      </c>
      <c r="AJ85" s="27" t="n">
        <f aca="false">Assumptions!$F$30*(1-Assumptions!$F$50-Assumptions!$F$49)-Assumptions!$F$44-Assumptions!$F$46-Assumptions!$F$47-Assumptions!$F$51</f>
        <v>174.452</v>
      </c>
      <c r="AK85" s="27" t="n">
        <f aca="false">Assumptions!$F$30*(1-Assumptions!$F$50-Assumptions!$F$49)-Assumptions!$F$44-Assumptions!$F$46-Assumptions!$F$47-Assumptions!$F$51</f>
        <v>174.452</v>
      </c>
      <c r="AL85" s="27" t="n">
        <f aca="false">Assumptions!$F$30*(1-Assumptions!$F$50-Assumptions!$F$49)-Assumptions!$F$44-Assumptions!$F$46-Assumptions!$F$47-Assumptions!$F$51</f>
        <v>174.452</v>
      </c>
      <c r="AM85" s="27" t="n">
        <f aca="false">Assumptions!$F$30*(1-Assumptions!$F$50-Assumptions!$F$49)-Assumptions!$F$44-Assumptions!$F$46-Assumptions!$F$47-Assumptions!$F$51</f>
        <v>174.452</v>
      </c>
    </row>
    <row r="86" customFormat="false" ht="15" hidden="false" customHeight="false" outlineLevel="0" collapsed="false">
      <c r="A86" s="8" t="s">
        <v>395</v>
      </c>
      <c r="B86" s="8" t="s">
        <v>50</v>
      </c>
      <c r="D86" s="27" t="n">
        <f aca="false">D85/Assumptions!$F$41</f>
        <v>1744.52</v>
      </c>
      <c r="E86" s="27" t="n">
        <f aca="false">E85/Assumptions!$F$41</f>
        <v>1744.52</v>
      </c>
      <c r="F86" s="27" t="n">
        <f aca="false">F85/Assumptions!$F$41</f>
        <v>1744.52</v>
      </c>
      <c r="G86" s="27" t="n">
        <f aca="false">G85/Assumptions!$F$41</f>
        <v>1744.52</v>
      </c>
      <c r="H86" s="27" t="n">
        <f aca="false">H85/Assumptions!$F$41</f>
        <v>1744.52</v>
      </c>
      <c r="I86" s="27" t="n">
        <f aca="false">I85/Assumptions!$F$41</f>
        <v>1744.52</v>
      </c>
      <c r="J86" s="27" t="n">
        <f aca="false">J85/Assumptions!$F$41</f>
        <v>1744.52</v>
      </c>
      <c r="K86" s="27" t="n">
        <f aca="false">K85/Assumptions!$F$41</f>
        <v>1744.52</v>
      </c>
      <c r="L86" s="27" t="n">
        <f aca="false">L85/Assumptions!$F$41</f>
        <v>1744.52</v>
      </c>
      <c r="M86" s="27" t="n">
        <f aca="false">M85/Assumptions!$F$41</f>
        <v>1744.52</v>
      </c>
      <c r="N86" s="27" t="n">
        <f aca="false">N85/Assumptions!$F$41</f>
        <v>1744.52</v>
      </c>
      <c r="O86" s="27" t="n">
        <f aca="false">O85/Assumptions!$F$41</f>
        <v>1744.52</v>
      </c>
      <c r="P86" s="27" t="n">
        <f aca="false">P85/Assumptions!$F$41</f>
        <v>1744.52</v>
      </c>
      <c r="Q86" s="27" t="n">
        <f aca="false">Q85/Assumptions!$F$41</f>
        <v>1744.52</v>
      </c>
      <c r="R86" s="27" t="n">
        <f aca="false">R85/Assumptions!$F$41</f>
        <v>1744.52</v>
      </c>
      <c r="S86" s="27" t="n">
        <f aca="false">S85/Assumptions!$F$41</f>
        <v>1744.52</v>
      </c>
      <c r="T86" s="27" t="n">
        <f aca="false">T85/Assumptions!$F$41</f>
        <v>1744.52</v>
      </c>
      <c r="U86" s="27" t="n">
        <f aca="false">U85/Assumptions!$F$41</f>
        <v>1744.52</v>
      </c>
      <c r="V86" s="27" t="n">
        <f aca="false">V85/Assumptions!$F$41</f>
        <v>1744.52</v>
      </c>
      <c r="W86" s="27" t="n">
        <f aca="false">W85/Assumptions!$F$41</f>
        <v>1744.52</v>
      </c>
      <c r="X86" s="27" t="n">
        <f aca="false">X85/Assumptions!$F$41</f>
        <v>1744.52</v>
      </c>
      <c r="Y86" s="27" t="n">
        <f aca="false">Y85/Assumptions!$F$41</f>
        <v>1744.52</v>
      </c>
      <c r="Z86" s="27" t="n">
        <f aca="false">Z85/Assumptions!$F$41</f>
        <v>1744.52</v>
      </c>
      <c r="AA86" s="27" t="n">
        <f aca="false">AA85/Assumptions!$F$41</f>
        <v>1744.52</v>
      </c>
      <c r="AB86" s="27" t="n">
        <f aca="false">AB85/Assumptions!$F$41</f>
        <v>1744.52</v>
      </c>
      <c r="AC86" s="27" t="n">
        <f aca="false">AC85/Assumptions!$F$41</f>
        <v>1744.52</v>
      </c>
      <c r="AD86" s="27" t="n">
        <f aca="false">AD85/Assumptions!$F$41</f>
        <v>1744.52</v>
      </c>
      <c r="AE86" s="27" t="n">
        <f aca="false">AE85/Assumptions!$F$41</f>
        <v>1744.52</v>
      </c>
      <c r="AF86" s="27" t="n">
        <f aca="false">AF85/Assumptions!$F$41</f>
        <v>1744.52</v>
      </c>
      <c r="AG86" s="27" t="n">
        <f aca="false">AG85/Assumptions!$F$41</f>
        <v>1744.52</v>
      </c>
      <c r="AH86" s="27" t="n">
        <f aca="false">AH85/Assumptions!$F$41</f>
        <v>1744.52</v>
      </c>
      <c r="AI86" s="27" t="n">
        <f aca="false">AI85/Assumptions!$F$41</f>
        <v>1744.52</v>
      </c>
      <c r="AJ86" s="27" t="n">
        <f aca="false">AJ85/Assumptions!$F$41</f>
        <v>1744.52</v>
      </c>
      <c r="AK86" s="27" t="n">
        <f aca="false">AK85/Assumptions!$F$41</f>
        <v>1744.52</v>
      </c>
      <c r="AL86" s="27" t="n">
        <f aca="false">AL85/Assumptions!$F$41</f>
        <v>1744.52</v>
      </c>
      <c r="AM86" s="27" t="n">
        <f aca="false">AM85/Assumptions!$F$41</f>
        <v>1744.52</v>
      </c>
    </row>
    <row r="87" customFormat="false" ht="15" hidden="false" customHeight="false" outlineLevel="0" collapsed="false">
      <c r="A87" s="8" t="s">
        <v>396</v>
      </c>
      <c r="B87" s="8" t="s">
        <v>265</v>
      </c>
      <c r="D87" s="32" t="n">
        <f aca="false">IF(D66=0,0,D86/D66)</f>
        <v>0</v>
      </c>
      <c r="E87" s="32" t="n">
        <f aca="false">IF(E66=0,0,E86/E66)</f>
        <v>0</v>
      </c>
      <c r="F87" s="32" t="n">
        <f aca="false">IF(F66=0,0,F86/F66)</f>
        <v>0</v>
      </c>
      <c r="G87" s="32" t="n">
        <f aca="false">IF(G66=0,0,G86/G66)</f>
        <v>0</v>
      </c>
      <c r="H87" s="32" t="n">
        <f aca="false">IF(H66=0,0,H86/H66)</f>
        <v>2.30330660220428</v>
      </c>
      <c r="I87" s="32" t="n">
        <f aca="false">IF(I66=0,0,I86/I66)</f>
        <v>2.32827090361603</v>
      </c>
      <c r="J87" s="32" t="n">
        <f aca="false">IF(J66=0,0,J86/J66)</f>
        <v>4.4772090706585</v>
      </c>
      <c r="K87" s="32" t="n">
        <f aca="false">IF(K66=0,0,K86/K66)</f>
        <v>5.16815244434725</v>
      </c>
      <c r="L87" s="32" t="n">
        <f aca="false">IF(L66=0,0,L86/L66)</f>
        <v>5.6298784150181</v>
      </c>
      <c r="M87" s="32" t="n">
        <f aca="false">IF(M66=0,0,M86/M66)</f>
        <v>6.1050202901246</v>
      </c>
      <c r="N87" s="32" t="n">
        <f aca="false">IF(N66=0,0,N86/N66)</f>
        <v>6.59402613729566</v>
      </c>
      <c r="O87" s="32" t="n">
        <f aca="false">IF(O66=0,0,O86/O66)</f>
        <v>7.09740073634283</v>
      </c>
      <c r="P87" s="32" t="n">
        <f aca="false">IF(P66=0,0,P86/P66)</f>
        <v>7.61571105161287</v>
      </c>
      <c r="Q87" s="32" t="n">
        <f aca="false">IF(Q66=0,0,Q86/Q66)</f>
        <v>8.14959205994468</v>
      </c>
      <c r="R87" s="32" t="n">
        <f aca="false">IF(R66=0,0,R86/R66)</f>
        <v>8.69975296123702</v>
      </c>
      <c r="S87" s="32" t="n">
        <f aca="false">IF(S66=0,0,S86/S66)</f>
        <v>9.26698380121185</v>
      </c>
      <c r="T87" s="32" t="n">
        <f aca="false">IF(T66=0,0,T86/T66)</f>
        <v>9.85216253870031</v>
      </c>
      <c r="U87" s="32" t="n">
        <f aca="false">IF(U66=0,0,U86/U66)</f>
        <v>10.4562625926918</v>
      </c>
      <c r="V87" s="32" t="n">
        <f aca="false">IF(V66=0,0,V86/V66)</f>
        <v>11.0803609074827</v>
      </c>
      <c r="W87" s="32" t="n">
        <f aca="false">IF(W66=0,0,W86/W66)</f>
        <v>11.6608639997736</v>
      </c>
      <c r="X87" s="32" t="n">
        <f aca="false">IF(X66=0,0,X86/X66)</f>
        <v>11.8660500739829</v>
      </c>
      <c r="Y87" s="32" t="n">
        <f aca="false">IF(Y66=0,0,Y86/Y66)</f>
        <v>12.0786029024513</v>
      </c>
      <c r="Z87" s="32" t="n">
        <f aca="false">IF(Z66=0,0,Z86/Z66)</f>
        <v>12.2991677550443</v>
      </c>
      <c r="AA87" s="32" t="n">
        <f aca="false">IF(AA66=0,0,AA86/AA66)</f>
        <v>12.5284354021728</v>
      </c>
      <c r="AB87" s="32" t="n">
        <f aca="false">IF(AB66=0,0,AB86/AB66)</f>
        <v>12.7671448905776</v>
      </c>
      <c r="AC87" s="32" t="n">
        <f aca="false">IF(AC66=0,0,AC86/AC66)</f>
        <v>13.0160865156639</v>
      </c>
      <c r="AD87" s="32" t="n">
        <f aca="false">IF(AD66=0,0,AD86/AD66)</f>
        <v>13.276105004347</v>
      </c>
      <c r="AE87" s="32" t="n">
        <f aca="false">IF(AE66=0,0,AE86/AE66)</f>
        <v>13.5481029232013</v>
      </c>
      <c r="AF87" s="32" t="n">
        <f aca="false">IF(AF66=0,0,AF86/AF66)</f>
        <v>13.833044327596</v>
      </c>
      <c r="AG87" s="32" t="n">
        <f aca="false">IF(AG66=0,0,AG86/AG66)</f>
        <v>14.1319586684549</v>
      </c>
      <c r="AH87" s="32" t="n">
        <f aca="false">IF(AH66=0,0,AH86/AH66)</f>
        <v>14.4459449743051</v>
      </c>
      <c r="AI87" s="32" t="n">
        <f aca="false">IF(AI66=0,0,AI86/AI66)</f>
        <v>14.7761763273735</v>
      </c>
      <c r="AJ87" s="32" t="n">
        <f aca="false">IF(AJ66=0,0,AJ86/AJ66)</f>
        <v>15.1239046536715</v>
      </c>
      <c r="AK87" s="32" t="n">
        <f aca="false">IF(AK66=0,0,AK86/AK66)</f>
        <v>15.4904658482697</v>
      </c>
      <c r="AL87" s="32" t="n">
        <f aca="false">IF(AL66=0,0,AL86/AL66)</f>
        <v>15.8772852583205</v>
      </c>
      <c r="AM87" s="32" t="n">
        <f aca="false">IF(AM66=0,0,AM86/AM66)</f>
        <v>16.2858835478348</v>
      </c>
    </row>
    <row r="88" customFormat="false" ht="15" hidden="false" customHeight="false" outlineLevel="0" collapsed="false">
      <c r="A88" s="8" t="s">
        <v>397</v>
      </c>
      <c r="B88" s="8" t="s">
        <v>271</v>
      </c>
      <c r="D88" s="33" t="n">
        <f aca="false">IF(D85&lt;=0,0,D66/D85)</f>
        <v>0</v>
      </c>
      <c r="E88" s="33" t="n">
        <f aca="false">IF(E85&lt;=0,0,E66/E85)</f>
        <v>0</v>
      </c>
      <c r="F88" s="33" t="n">
        <f aca="false">IF(F85&lt;=0,0,F66/F85)</f>
        <v>0</v>
      </c>
      <c r="G88" s="33" t="n">
        <f aca="false">IF(G85&lt;=0,0,G66/G85)</f>
        <v>0</v>
      </c>
      <c r="H88" s="33" t="n">
        <f aca="false">IF(H85&lt;=0,0,H66/H85)</f>
        <v>4.34158439455257</v>
      </c>
      <c r="I88" s="33" t="n">
        <f aca="false">IF(I85&lt;=0,0,I66/I85)</f>
        <v>4.29503284367341</v>
      </c>
      <c r="J88" s="33" t="n">
        <f aca="false">IF(J85&lt;=0,0,J66/J85)</f>
        <v>2.23353429383838</v>
      </c>
      <c r="K88" s="33" t="n">
        <f aca="false">IF(K85&lt;=0,0,K66/K85)</f>
        <v>1.93492744412709</v>
      </c>
      <c r="L88" s="33" t="n">
        <f aca="false">IF(L85&lt;=0,0,L66/L85)</f>
        <v>1.77623729374409</v>
      </c>
      <c r="M88" s="33" t="n">
        <f aca="false">IF(M85&lt;=0,0,M66/M85)</f>
        <v>1.63799619407914</v>
      </c>
      <c r="N88" s="33" t="n">
        <f aca="false">IF(N85&lt;=0,0,N66/N85)</f>
        <v>1.51652416775242</v>
      </c>
      <c r="O88" s="33" t="n">
        <f aca="false">IF(O85&lt;=0,0,O66/O85)</f>
        <v>1.40896651767092</v>
      </c>
      <c r="P88" s="33" t="n">
        <f aca="false">IF(P85&lt;=0,0,P66/P85)</f>
        <v>1.3130750276932</v>
      </c>
      <c r="Q88" s="33" t="n">
        <f aca="false">IF(Q85&lt;=0,0,Q66/Q85)</f>
        <v>1.22705528404914</v>
      </c>
      <c r="R88" s="33" t="n">
        <f aca="false">IF(R85&lt;=0,0,R66/R85)</f>
        <v>1.14945792651313</v>
      </c>
      <c r="S88" s="33" t="n">
        <f aca="false">IF(S85&lt;=0,0,S66/S85)</f>
        <v>1.07909976045197</v>
      </c>
      <c r="T88" s="33" t="n">
        <f aca="false">IF(T85&lt;=0,0,T66/T85)</f>
        <v>1.01500558488748</v>
      </c>
      <c r="U88" s="33" t="n">
        <f aca="false">IF(U85&lt;=0,0,U66/U85)</f>
        <v>0.95636465815131</v>
      </c>
      <c r="V88" s="33" t="n">
        <f aca="false">IF(V85&lt;=0,0,V66/V85)</f>
        <v>0.902497678865939</v>
      </c>
      <c r="W88" s="33" t="n">
        <f aca="false">IF(W85&lt;=0,0,W66/W85)</f>
        <v>0.857569387670943</v>
      </c>
      <c r="X88" s="33" t="n">
        <f aca="false">IF(X85&lt;=0,0,X66/X85)</f>
        <v>0.842740418054164</v>
      </c>
      <c r="Y88" s="33" t="n">
        <f aca="false">IF(Y85&lt;=0,0,Y66/Y85)</f>
        <v>0.827910320486697</v>
      </c>
      <c r="Z88" s="33" t="n">
        <f aca="false">IF(Z85&lt;=0,0,Z66/Z85)</f>
        <v>0.813063143715449</v>
      </c>
      <c r="AA88" s="33" t="n">
        <f aca="false">IF(AA85&lt;=0,0,AA66/AA85)</f>
        <v>0.798184264753896</v>
      </c>
      <c r="AB88" s="33" t="n">
        <f aca="false">IF(AB85&lt;=0,0,AB66/AB85)</f>
        <v>0.783260477241092</v>
      </c>
      <c r="AC88" s="33" t="n">
        <f aca="false">IF(AC85&lt;=0,0,AC66/AC85)</f>
        <v>0.768280080803532</v>
      </c>
      <c r="AD88" s="33" t="n">
        <f aca="false">IF(AD85&lt;=0,0,AD66/AD85)</f>
        <v>0.753232969814997</v>
      </c>
      <c r="AE88" s="33" t="n">
        <f aca="false">IF(AE85&lt;=0,0,AE66/AE85)</f>
        <v>0.73811071975803</v>
      </c>
      <c r="AF88" s="33" t="n">
        <f aca="false">IF(AF85&lt;=0,0,AF66/AF85)</f>
        <v>0.722906669217468</v>
      </c>
      <c r="AG88" s="33" t="n">
        <f aca="false">IF(AG85&lt;=0,0,AG66/AG85)</f>
        <v>0.707615995390774</v>
      </c>
      <c r="AH88" s="33" t="n">
        <f aca="false">IF(AH85&lt;=0,0,AH66/AH85)</f>
        <v>0.69223578089124</v>
      </c>
      <c r="AI88" s="33" t="n">
        <f aca="false">IF(AI85&lt;=0,0,AI66/AI85)</f>
        <v>0.676765069558256</v>
      </c>
      <c r="AJ88" s="33" t="n">
        <f aca="false">IF(AJ85&lt;=0,0,AJ66/AJ85)</f>
        <v>0.661204908983105</v>
      </c>
      <c r="AK88" s="33" t="n">
        <f aca="false">IF(AK85&lt;=0,0,AK66/AK85)</f>
        <v>0.645558377517548</v>
      </c>
      <c r="AL88" s="33" t="n">
        <f aca="false">IF(AL85&lt;=0,0,AL66/AL85)</f>
        <v>0.629830593662697</v>
      </c>
      <c r="AM88" s="33" t="n">
        <f aca="false">IF(AM85&lt;=0,0,AM66/AM85)</f>
        <v>0.614028705942055</v>
      </c>
    </row>
    <row r="89" customFormat="false" ht="15" hidden="false" customHeight="false" outlineLevel="0" collapsed="false">
      <c r="A89" s="8" t="s">
        <v>398</v>
      </c>
      <c r="B89" s="8" t="s">
        <v>50</v>
      </c>
      <c r="D89" s="27" t="n">
        <f aca="false">IF((D24+D29)=0,0,D43/(D24+D29))</f>
        <v>0</v>
      </c>
      <c r="E89" s="27" t="n">
        <f aca="false">IF((E24+E29)=0,0,E43/(E24+E29))</f>
        <v>0</v>
      </c>
      <c r="F89" s="27" t="n">
        <f aca="false">IF((F24+F29)=0,0,F43/(F24+F29))</f>
        <v>0</v>
      </c>
      <c r="G89" s="27" t="n">
        <f aca="false">IF((G24+G29)=0,0,G43/(G24+G29))</f>
        <v>0</v>
      </c>
      <c r="H89" s="27" t="n">
        <f aca="false">IF((H24+H29)=0,0,H43/(H24+H29))</f>
        <v>333.923894088559</v>
      </c>
      <c r="I89" s="27" t="n">
        <f aca="false">IF((I24+I29)=0,0,I43/(I24+I29))</f>
        <v>234.88431339391</v>
      </c>
      <c r="J89" s="27" t="n">
        <f aca="false">IF((J24+J29)=0,0,J43/(J24+J29))</f>
        <v>374.669641303584</v>
      </c>
      <c r="K89" s="27" t="n">
        <f aca="false">IF((K24+K29)=0,0,K43/(K24+K29))</f>
        <v>255.745061333997</v>
      </c>
      <c r="L89" s="27" t="n">
        <f aca="false">IF((L24+L29)=0,0,L43/(L24+L29))</f>
        <v>249.048192990838</v>
      </c>
      <c r="M89" s="27" t="n">
        <f aca="false">IF((M24+M29)=0,0,M43/(M24+M29))</f>
        <v>245.859964246709</v>
      </c>
      <c r="N89" s="27" t="n">
        <f aca="false">IF((N24+N29)=0,0,N43/(N24+N29))</f>
        <v>244.717337590864</v>
      </c>
      <c r="O89" s="27" t="n">
        <f aca="false">IF((O24+O29)=0,0,O43/(O24+O29))</f>
        <v>244.880274399847</v>
      </c>
      <c r="P89" s="27" t="n">
        <f aca="false">IF((P24+P29)=0,0,P43/(P24+P29))</f>
        <v>245.932654630835</v>
      </c>
      <c r="Q89" s="27" t="n">
        <f aca="false">IF((Q24+Q29)=0,0,Q43/(Q24+Q29))</f>
        <v>247.621311902093</v>
      </c>
      <c r="R89" s="27" t="n">
        <f aca="false">IF((R24+R29)=0,0,R43/(R24+R29))</f>
        <v>249.782429306071</v>
      </c>
      <c r="S89" s="27" t="n">
        <f aca="false">IF((S24+S29)=0,0,S43/(S24+S29))</f>
        <v>252.304572890541</v>
      </c>
      <c r="T89" s="27" t="n">
        <f aca="false">IF((T24+T29)=0,0,T43/(T24+T29))</f>
        <v>255.10871871952</v>
      </c>
      <c r="U89" s="27" t="n">
        <f aca="false">IF((U24+U29)=0,0,U43/(U24+U29))</f>
        <v>258.136809475299</v>
      </c>
      <c r="V89" s="27" t="n">
        <f aca="false">IF((V24+V29)=0,0,V43/(V24+V29))</f>
        <v>261.344873801448</v>
      </c>
      <c r="W89" s="27" t="n">
        <f aca="false">IF((W24+W29)=0,0,W43/(W24+W29))</f>
        <v>264.3630289884</v>
      </c>
      <c r="X89" s="27" t="n">
        <f aca="false">IF((X24+X29)=0,0,X43/(X24+X29))</f>
        <v>265.515372014956</v>
      </c>
      <c r="Y89" s="27" t="n">
        <f aca="false">IF((Y24+Y29)=0,0,Y43/(Y24+Y29))</f>
        <v>266.534661037798</v>
      </c>
      <c r="Z89" s="27" t="n">
        <f aca="false">IF((Z24+Z29)=0,0,Z43/(Z24+Z29))</f>
        <v>267.451254527626</v>
      </c>
      <c r="AA89" s="27" t="n">
        <f aca="false">IF((AA24+AA29)=0,0,AA43/(AA24+AA29))</f>
        <v>268.287614484786</v>
      </c>
      <c r="AB89" s="27" t="n">
        <f aca="false">IF((AB24+AB29)=0,0,AB43/(AB24+AB29))</f>
        <v>269.060661531207</v>
      </c>
      <c r="AC89" s="27" t="n">
        <f aca="false">IF((AC24+AC29)=0,0,AC43/(AC24+AC29))</f>
        <v>269.78333374998</v>
      </c>
      <c r="AD89" s="27" t="n">
        <f aca="false">IF((AD24+AD29)=0,0,AD43/(AD24+AD29))</f>
        <v>270.465647038629</v>
      </c>
      <c r="AE89" s="27" t="n">
        <f aca="false">IF((AE24+AE29)=0,0,AE43/(AE24+AE29))</f>
        <v>271.115433824386</v>
      </c>
      <c r="AF89" s="27" t="n">
        <f aca="false">IF((AF24+AF29)=0,0,AF43/(AF24+AF29))</f>
        <v>271.738868647448</v>
      </c>
      <c r="AG89" s="27" t="n">
        <f aca="false">IF((AG24+AG29)=0,0,AG43/(AG24+AG29))</f>
        <v>272.340849126468</v>
      </c>
      <c r="AH89" s="27" t="n">
        <f aca="false">IF((AH24+AH29)=0,0,AH43/(AH24+AH29))</f>
        <v>272.925276691268</v>
      </c>
      <c r="AI89" s="27" t="n">
        <f aca="false">IF((AI24+AI29)=0,0,AI43/(AI24+AI29))</f>
        <v>273.495266507754</v>
      </c>
      <c r="AJ89" s="27" t="n">
        <f aca="false">IF((AJ24+AJ29)=0,0,AJ43/(AJ24+AJ29))</f>
        <v>274.05330651632</v>
      </c>
      <c r="AK89" s="27" t="n">
        <f aca="false">IF((AK24+AK29)=0,0,AK43/(AK24+AK29))</f>
        <v>274.60137933341</v>
      </c>
      <c r="AL89" s="27" t="n">
        <f aca="false">IF((AL24+AL29)=0,0,AL43/(AL24+AL29))</f>
        <v>275.141056677344</v>
      </c>
      <c r="AM89" s="27" t="n">
        <f aca="false">IF((AM24+AM29)=0,0,AM43/(AM24+AM29))</f>
        <v>275.673573220664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9" min="2" style="0" width="13"/>
  </cols>
  <sheetData>
    <row r="1" customFormat="false" ht="17.35" hidden="false" customHeight="false" outlineLevel="0" collapsed="false">
      <c r="A1" s="1" t="s">
        <v>401</v>
      </c>
    </row>
    <row r="2" customFormat="false" ht="15" hidden="false" customHeight="false" outlineLevel="0" collapsed="false">
      <c r="A2" s="3" t="s">
        <v>402</v>
      </c>
    </row>
    <row r="4" customFormat="false" ht="15" hidden="false" customHeight="false" outlineLevel="0" collapsed="false">
      <c r="A4" s="29" t="s">
        <v>403</v>
      </c>
    </row>
    <row r="5" customFormat="false" ht="15" hidden="false" customHeight="false" outlineLevel="0" collapsed="false">
      <c r="A5" s="29" t="s">
        <v>404</v>
      </c>
      <c r="B5" s="14" t="n">
        <v>150</v>
      </c>
      <c r="C5" s="14" t="n">
        <v>200</v>
      </c>
      <c r="D5" s="14" t="n">
        <v>250</v>
      </c>
      <c r="E5" s="14" t="n">
        <v>300</v>
      </c>
      <c r="F5" s="14" t="n">
        <v>350</v>
      </c>
      <c r="G5" s="14" t="n">
        <v>400</v>
      </c>
      <c r="H5" s="14" t="n">
        <v>500</v>
      </c>
    </row>
    <row r="6" customFormat="false" ht="15" hidden="false" customHeight="false" outlineLevel="0" collapsed="false">
      <c r="A6" s="15" t="n">
        <v>0.06</v>
      </c>
      <c r="B6" s="32" t="n">
        <f aca="false">((Assumptions!$E$30*(1-Assumptions!$E$50-Assumptions!$E$49)-Assumptions!$E$44-Assumptions!$E$46-Assumptions!$E$47-Assumptions!$E$51)/$A6)/B$5</f>
        <v>14.9333333333333</v>
      </c>
      <c r="C6" s="32" t="n">
        <f aca="false">((Assumptions!$E$30*(1-Assumptions!$E$50-Assumptions!$E$49)-Assumptions!$E$44-Assumptions!$E$46-Assumptions!$E$47-Assumptions!$E$51)/$A6)/C$5</f>
        <v>11.2</v>
      </c>
      <c r="D6" s="32" t="n">
        <f aca="false">((Assumptions!$E$30*(1-Assumptions!$E$50-Assumptions!$E$49)-Assumptions!$E$44-Assumptions!$E$46-Assumptions!$E$47-Assumptions!$E$51)/$A6)/D$5</f>
        <v>8.96</v>
      </c>
      <c r="E6" s="32" t="n">
        <f aca="false">((Assumptions!$E$30*(1-Assumptions!$E$50-Assumptions!$E$49)-Assumptions!$E$44-Assumptions!$E$46-Assumptions!$E$47-Assumptions!$E$51)/$A6)/E$5</f>
        <v>7.46666666666667</v>
      </c>
      <c r="F6" s="32" t="n">
        <f aca="false">((Assumptions!$E$30*(1-Assumptions!$E$50-Assumptions!$E$49)-Assumptions!$E$44-Assumptions!$E$46-Assumptions!$E$47-Assumptions!$E$51)/$A6)/F$5</f>
        <v>6.4</v>
      </c>
      <c r="G6" s="32" t="n">
        <f aca="false">((Assumptions!$E$30*(1-Assumptions!$E$50-Assumptions!$E$49)-Assumptions!$E$44-Assumptions!$E$46-Assumptions!$E$47-Assumptions!$E$51)/$A6)/G$5</f>
        <v>5.6</v>
      </c>
      <c r="H6" s="32" t="n">
        <f aca="false">((Assumptions!$E$30*(1-Assumptions!$E$50-Assumptions!$E$49)-Assumptions!$E$44-Assumptions!$E$46-Assumptions!$E$47-Assumptions!$E$51)/$A6)/H$5</f>
        <v>4.48</v>
      </c>
    </row>
    <row r="7" customFormat="false" ht="15" hidden="false" customHeight="false" outlineLevel="0" collapsed="false">
      <c r="A7" s="15" t="n">
        <v>0.08</v>
      </c>
      <c r="B7" s="32" t="n">
        <f aca="false">((Assumptions!$E$30*(1-Assumptions!$E$50-Assumptions!$E$49)-Assumptions!$E$44-Assumptions!$E$46-Assumptions!$E$47-Assumptions!$E$51)/$A7)/B$5</f>
        <v>11.2</v>
      </c>
      <c r="C7" s="32" t="n">
        <f aca="false">((Assumptions!$E$30*(1-Assumptions!$E$50-Assumptions!$E$49)-Assumptions!$E$44-Assumptions!$E$46-Assumptions!$E$47-Assumptions!$E$51)/$A7)/C$5</f>
        <v>8.4</v>
      </c>
      <c r="D7" s="32" t="n">
        <f aca="false">((Assumptions!$E$30*(1-Assumptions!$E$50-Assumptions!$E$49)-Assumptions!$E$44-Assumptions!$E$46-Assumptions!$E$47-Assumptions!$E$51)/$A7)/D$5</f>
        <v>6.72</v>
      </c>
      <c r="E7" s="32" t="n">
        <f aca="false">((Assumptions!$E$30*(1-Assumptions!$E$50-Assumptions!$E$49)-Assumptions!$E$44-Assumptions!$E$46-Assumptions!$E$47-Assumptions!$E$51)/$A7)/E$5</f>
        <v>5.6</v>
      </c>
      <c r="F7" s="32" t="n">
        <f aca="false">((Assumptions!$E$30*(1-Assumptions!$E$50-Assumptions!$E$49)-Assumptions!$E$44-Assumptions!$E$46-Assumptions!$E$47-Assumptions!$E$51)/$A7)/F$5</f>
        <v>4.8</v>
      </c>
      <c r="G7" s="32" t="n">
        <f aca="false">((Assumptions!$E$30*(1-Assumptions!$E$50-Assumptions!$E$49)-Assumptions!$E$44-Assumptions!$E$46-Assumptions!$E$47-Assumptions!$E$51)/$A7)/G$5</f>
        <v>4.2</v>
      </c>
      <c r="H7" s="32" t="n">
        <f aca="false">((Assumptions!$E$30*(1-Assumptions!$E$50-Assumptions!$E$49)-Assumptions!$E$44-Assumptions!$E$46-Assumptions!$E$47-Assumptions!$E$51)/$A7)/H$5</f>
        <v>3.36</v>
      </c>
    </row>
    <row r="8" customFormat="false" ht="15" hidden="false" customHeight="false" outlineLevel="0" collapsed="false">
      <c r="A8" s="15" t="n">
        <v>0.1</v>
      </c>
      <c r="B8" s="32" t="n">
        <f aca="false">((Assumptions!$E$30*(1-Assumptions!$E$50-Assumptions!$E$49)-Assumptions!$E$44-Assumptions!$E$46-Assumptions!$E$47-Assumptions!$E$51)/$A8)/B$5</f>
        <v>8.96</v>
      </c>
      <c r="C8" s="32" t="n">
        <f aca="false">((Assumptions!$E$30*(1-Assumptions!$E$50-Assumptions!$E$49)-Assumptions!$E$44-Assumptions!$E$46-Assumptions!$E$47-Assumptions!$E$51)/$A8)/C$5</f>
        <v>6.72</v>
      </c>
      <c r="D8" s="32" t="n">
        <f aca="false">((Assumptions!$E$30*(1-Assumptions!$E$50-Assumptions!$E$49)-Assumptions!$E$44-Assumptions!$E$46-Assumptions!$E$47-Assumptions!$E$51)/$A8)/D$5</f>
        <v>5.376</v>
      </c>
      <c r="E8" s="32" t="n">
        <f aca="false">((Assumptions!$E$30*(1-Assumptions!$E$50-Assumptions!$E$49)-Assumptions!$E$44-Assumptions!$E$46-Assumptions!$E$47-Assumptions!$E$51)/$A8)/E$5</f>
        <v>4.48</v>
      </c>
      <c r="F8" s="32" t="n">
        <f aca="false">((Assumptions!$E$30*(1-Assumptions!$E$50-Assumptions!$E$49)-Assumptions!$E$44-Assumptions!$E$46-Assumptions!$E$47-Assumptions!$E$51)/$A8)/F$5</f>
        <v>3.84</v>
      </c>
      <c r="G8" s="32" t="n">
        <f aca="false">((Assumptions!$E$30*(1-Assumptions!$E$50-Assumptions!$E$49)-Assumptions!$E$44-Assumptions!$E$46-Assumptions!$E$47-Assumptions!$E$51)/$A8)/G$5</f>
        <v>3.36</v>
      </c>
      <c r="H8" s="32" t="n">
        <f aca="false">((Assumptions!$E$30*(1-Assumptions!$E$50-Assumptions!$E$49)-Assumptions!$E$44-Assumptions!$E$46-Assumptions!$E$47-Assumptions!$E$51)/$A8)/H$5</f>
        <v>2.688</v>
      </c>
    </row>
    <row r="9" customFormat="false" ht="15" hidden="false" customHeight="false" outlineLevel="0" collapsed="false">
      <c r="A9" s="15" t="n">
        <v>0.11</v>
      </c>
      <c r="B9" s="32" t="n">
        <f aca="false">((Assumptions!$E$30*(1-Assumptions!$E$50-Assumptions!$E$49)-Assumptions!$E$44-Assumptions!$E$46-Assumptions!$E$47-Assumptions!$E$51)/$A9)/B$5</f>
        <v>8.14545454545454</v>
      </c>
      <c r="C9" s="32" t="n">
        <f aca="false">((Assumptions!$E$30*(1-Assumptions!$E$50-Assumptions!$E$49)-Assumptions!$E$44-Assumptions!$E$46-Assumptions!$E$47-Assumptions!$E$51)/$A9)/C$5</f>
        <v>6.10909090909091</v>
      </c>
      <c r="D9" s="32" t="n">
        <f aca="false">((Assumptions!$E$30*(1-Assumptions!$E$50-Assumptions!$E$49)-Assumptions!$E$44-Assumptions!$E$46-Assumptions!$E$47-Assumptions!$E$51)/$A9)/D$5</f>
        <v>4.88727272727273</v>
      </c>
      <c r="E9" s="32" t="n">
        <f aca="false">((Assumptions!$E$30*(1-Assumptions!$E$50-Assumptions!$E$49)-Assumptions!$E$44-Assumptions!$E$46-Assumptions!$E$47-Assumptions!$E$51)/$A9)/E$5</f>
        <v>4.07272727272727</v>
      </c>
      <c r="F9" s="32" t="n">
        <f aca="false">((Assumptions!$E$30*(1-Assumptions!$E$50-Assumptions!$E$49)-Assumptions!$E$44-Assumptions!$E$46-Assumptions!$E$47-Assumptions!$E$51)/$A9)/F$5</f>
        <v>3.49090909090909</v>
      </c>
      <c r="G9" s="32" t="n">
        <f aca="false">((Assumptions!$E$30*(1-Assumptions!$E$50-Assumptions!$E$49)-Assumptions!$E$44-Assumptions!$E$46-Assumptions!$E$47-Assumptions!$E$51)/$A9)/G$5</f>
        <v>3.05454545454545</v>
      </c>
      <c r="H9" s="32" t="n">
        <f aca="false">((Assumptions!$E$30*(1-Assumptions!$E$50-Assumptions!$E$49)-Assumptions!$E$44-Assumptions!$E$46-Assumptions!$E$47-Assumptions!$E$51)/$A9)/H$5</f>
        <v>2.44363636363636</v>
      </c>
    </row>
    <row r="10" customFormat="false" ht="15" hidden="false" customHeight="false" outlineLevel="0" collapsed="false">
      <c r="A10" s="15" t="n">
        <v>0.12</v>
      </c>
      <c r="B10" s="32" t="n">
        <f aca="false">((Assumptions!$E$30*(1-Assumptions!$E$50-Assumptions!$E$49)-Assumptions!$E$44-Assumptions!$E$46-Assumptions!$E$47-Assumptions!$E$51)/$A10)/B$5</f>
        <v>7.46666666666667</v>
      </c>
      <c r="C10" s="32" t="n">
        <f aca="false">((Assumptions!$E$30*(1-Assumptions!$E$50-Assumptions!$E$49)-Assumptions!$E$44-Assumptions!$E$46-Assumptions!$E$47-Assumptions!$E$51)/$A10)/C$5</f>
        <v>5.6</v>
      </c>
      <c r="D10" s="32" t="n">
        <f aca="false">((Assumptions!$E$30*(1-Assumptions!$E$50-Assumptions!$E$49)-Assumptions!$E$44-Assumptions!$E$46-Assumptions!$E$47-Assumptions!$E$51)/$A10)/D$5</f>
        <v>4.48</v>
      </c>
      <c r="E10" s="32" t="n">
        <f aca="false">((Assumptions!$E$30*(1-Assumptions!$E$50-Assumptions!$E$49)-Assumptions!$E$44-Assumptions!$E$46-Assumptions!$E$47-Assumptions!$E$51)/$A10)/E$5</f>
        <v>3.73333333333333</v>
      </c>
      <c r="F10" s="32" t="n">
        <f aca="false">((Assumptions!$E$30*(1-Assumptions!$E$50-Assumptions!$E$49)-Assumptions!$E$44-Assumptions!$E$46-Assumptions!$E$47-Assumptions!$E$51)/$A10)/F$5</f>
        <v>3.2</v>
      </c>
      <c r="G10" s="32" t="n">
        <f aca="false">((Assumptions!$E$30*(1-Assumptions!$E$50-Assumptions!$E$49)-Assumptions!$E$44-Assumptions!$E$46-Assumptions!$E$47-Assumptions!$E$51)/$A10)/G$5</f>
        <v>2.8</v>
      </c>
      <c r="H10" s="32" t="n">
        <f aca="false">((Assumptions!$E$30*(1-Assumptions!$E$50-Assumptions!$E$49)-Assumptions!$E$44-Assumptions!$E$46-Assumptions!$E$47-Assumptions!$E$51)/$A10)/H$5</f>
        <v>2.24</v>
      </c>
    </row>
    <row r="11" customFormat="false" ht="15" hidden="false" customHeight="false" outlineLevel="0" collapsed="false">
      <c r="A11" s="15" t="n">
        <v>0.14</v>
      </c>
      <c r="B11" s="32" t="n">
        <f aca="false">((Assumptions!$E$30*(1-Assumptions!$E$50-Assumptions!$E$49)-Assumptions!$E$44-Assumptions!$E$46-Assumptions!$E$47-Assumptions!$E$51)/$A11)/B$5</f>
        <v>6.4</v>
      </c>
      <c r="C11" s="32" t="n">
        <f aca="false">((Assumptions!$E$30*(1-Assumptions!$E$50-Assumptions!$E$49)-Assumptions!$E$44-Assumptions!$E$46-Assumptions!$E$47-Assumptions!$E$51)/$A11)/C$5</f>
        <v>4.8</v>
      </c>
      <c r="D11" s="32" t="n">
        <f aca="false">((Assumptions!$E$30*(1-Assumptions!$E$50-Assumptions!$E$49)-Assumptions!$E$44-Assumptions!$E$46-Assumptions!$E$47-Assumptions!$E$51)/$A11)/D$5</f>
        <v>3.84</v>
      </c>
      <c r="E11" s="32" t="n">
        <f aca="false">((Assumptions!$E$30*(1-Assumptions!$E$50-Assumptions!$E$49)-Assumptions!$E$44-Assumptions!$E$46-Assumptions!$E$47-Assumptions!$E$51)/$A11)/E$5</f>
        <v>3.2</v>
      </c>
      <c r="F11" s="32" t="n">
        <f aca="false">((Assumptions!$E$30*(1-Assumptions!$E$50-Assumptions!$E$49)-Assumptions!$E$44-Assumptions!$E$46-Assumptions!$E$47-Assumptions!$E$51)/$A11)/F$5</f>
        <v>2.74285714285714</v>
      </c>
      <c r="G11" s="32" t="n">
        <f aca="false">((Assumptions!$E$30*(1-Assumptions!$E$50-Assumptions!$E$49)-Assumptions!$E$44-Assumptions!$E$46-Assumptions!$E$47-Assumptions!$E$51)/$A11)/G$5</f>
        <v>2.4</v>
      </c>
      <c r="H11" s="32" t="n">
        <f aca="false">((Assumptions!$E$30*(1-Assumptions!$E$50-Assumptions!$E$49)-Assumptions!$E$44-Assumptions!$E$46-Assumptions!$E$47-Assumptions!$E$51)/$A11)/H$5</f>
        <v>1.92</v>
      </c>
    </row>
    <row r="12" customFormat="false" ht="15" hidden="false" customHeight="false" outlineLevel="0" collapsed="false">
      <c r="A12" s="15" t="n">
        <v>0.16</v>
      </c>
      <c r="B12" s="32" t="n">
        <f aca="false">((Assumptions!$E$30*(1-Assumptions!$E$50-Assumptions!$E$49)-Assumptions!$E$44-Assumptions!$E$46-Assumptions!$E$47-Assumptions!$E$51)/$A12)/B$5</f>
        <v>5.6</v>
      </c>
      <c r="C12" s="32" t="n">
        <f aca="false">((Assumptions!$E$30*(1-Assumptions!$E$50-Assumptions!$E$49)-Assumptions!$E$44-Assumptions!$E$46-Assumptions!$E$47-Assumptions!$E$51)/$A12)/C$5</f>
        <v>4.2</v>
      </c>
      <c r="D12" s="32" t="n">
        <f aca="false">((Assumptions!$E$30*(1-Assumptions!$E$50-Assumptions!$E$49)-Assumptions!$E$44-Assumptions!$E$46-Assumptions!$E$47-Assumptions!$E$51)/$A12)/D$5</f>
        <v>3.36</v>
      </c>
      <c r="E12" s="32" t="n">
        <f aca="false">((Assumptions!$E$30*(1-Assumptions!$E$50-Assumptions!$E$49)-Assumptions!$E$44-Assumptions!$E$46-Assumptions!$E$47-Assumptions!$E$51)/$A12)/E$5</f>
        <v>2.8</v>
      </c>
      <c r="F12" s="32" t="n">
        <f aca="false">((Assumptions!$E$30*(1-Assumptions!$E$50-Assumptions!$E$49)-Assumptions!$E$44-Assumptions!$E$46-Assumptions!$E$47-Assumptions!$E$51)/$A12)/F$5</f>
        <v>2.4</v>
      </c>
      <c r="G12" s="32" t="n">
        <f aca="false">((Assumptions!$E$30*(1-Assumptions!$E$50-Assumptions!$E$49)-Assumptions!$E$44-Assumptions!$E$46-Assumptions!$E$47-Assumptions!$E$51)/$A12)/G$5</f>
        <v>2.1</v>
      </c>
      <c r="H12" s="32" t="n">
        <f aca="false">((Assumptions!$E$30*(1-Assumptions!$E$50-Assumptions!$E$49)-Assumptions!$E$44-Assumptions!$E$46-Assumptions!$E$47-Assumptions!$E$51)/$A12)/H$5</f>
        <v>1.68</v>
      </c>
    </row>
    <row r="15" customFormat="false" ht="15" hidden="false" customHeight="false" outlineLevel="0" collapsed="false">
      <c r="A15" s="29" t="s">
        <v>405</v>
      </c>
    </row>
    <row r="16" customFormat="false" ht="15" hidden="false" customHeight="false" outlineLevel="0" collapsed="false">
      <c r="A16" s="29" t="s">
        <v>404</v>
      </c>
      <c r="B16" s="14" t="n">
        <v>150</v>
      </c>
      <c r="C16" s="14" t="n">
        <v>200</v>
      </c>
      <c r="D16" s="14" t="n">
        <v>250</v>
      </c>
      <c r="E16" s="14" t="n">
        <v>300</v>
      </c>
      <c r="F16" s="14" t="n">
        <v>350</v>
      </c>
      <c r="G16" s="14" t="n">
        <v>400</v>
      </c>
      <c r="H16" s="14" t="n">
        <v>500</v>
      </c>
    </row>
    <row r="17" customFormat="false" ht="15" hidden="false" customHeight="false" outlineLevel="0" collapsed="false">
      <c r="A17" s="15" t="n">
        <v>0.06</v>
      </c>
      <c r="B17" s="33" t="n">
        <f aca="false">B$16/(Assumptions!$E$30*(1-Assumptions!$E$50-Assumptions!$E$49)-Assumptions!$E$44-Assumptions!$E$46-Assumptions!$E$47-Assumptions!$E$51)</f>
        <v>1.11607142857143</v>
      </c>
      <c r="C17" s="33" t="n">
        <f aca="false">C$16/(Assumptions!$E$30*(1-Assumptions!$E$50-Assumptions!$E$49)-Assumptions!$E$44-Assumptions!$E$46-Assumptions!$E$47-Assumptions!$E$51)</f>
        <v>1.48809523809524</v>
      </c>
      <c r="D17" s="33" t="n">
        <f aca="false">D$16/(Assumptions!$E$30*(1-Assumptions!$E$50-Assumptions!$E$49)-Assumptions!$E$44-Assumptions!$E$46-Assumptions!$E$47-Assumptions!$E$51)</f>
        <v>1.86011904761905</v>
      </c>
      <c r="E17" s="33" t="n">
        <f aca="false">E$16/(Assumptions!$E$30*(1-Assumptions!$E$50-Assumptions!$E$49)-Assumptions!$E$44-Assumptions!$E$46-Assumptions!$E$47-Assumptions!$E$51)</f>
        <v>2.23214285714286</v>
      </c>
      <c r="F17" s="33" t="n">
        <f aca="false">F$16/(Assumptions!$E$30*(1-Assumptions!$E$50-Assumptions!$E$49)-Assumptions!$E$44-Assumptions!$E$46-Assumptions!$E$47-Assumptions!$E$51)</f>
        <v>2.60416666666667</v>
      </c>
      <c r="G17" s="33" t="n">
        <f aca="false">G$16/(Assumptions!$E$30*(1-Assumptions!$E$50-Assumptions!$E$49)-Assumptions!$E$44-Assumptions!$E$46-Assumptions!$E$47-Assumptions!$E$51)</f>
        <v>2.97619047619048</v>
      </c>
      <c r="H17" s="33" t="n">
        <f aca="false">H$16/(Assumptions!$E$30*(1-Assumptions!$E$50-Assumptions!$E$49)-Assumptions!$E$44-Assumptions!$E$46-Assumptions!$E$47-Assumptions!$E$51)</f>
        <v>3.7202380952381</v>
      </c>
    </row>
    <row r="18" customFormat="false" ht="15" hidden="false" customHeight="false" outlineLevel="0" collapsed="false">
      <c r="A18" s="15" t="n">
        <v>0.08</v>
      </c>
      <c r="B18" s="33" t="n">
        <f aca="false">B$16/(Assumptions!$E$30*(1-Assumptions!$E$50-Assumptions!$E$49)-Assumptions!$E$44-Assumptions!$E$46-Assumptions!$E$47-Assumptions!$E$51)</f>
        <v>1.11607142857143</v>
      </c>
      <c r="C18" s="33" t="n">
        <f aca="false">C$16/(Assumptions!$E$30*(1-Assumptions!$E$50-Assumptions!$E$49)-Assumptions!$E$44-Assumptions!$E$46-Assumptions!$E$47-Assumptions!$E$51)</f>
        <v>1.48809523809524</v>
      </c>
      <c r="D18" s="33" t="n">
        <f aca="false">D$16/(Assumptions!$E$30*(1-Assumptions!$E$50-Assumptions!$E$49)-Assumptions!$E$44-Assumptions!$E$46-Assumptions!$E$47-Assumptions!$E$51)</f>
        <v>1.86011904761905</v>
      </c>
      <c r="E18" s="33" t="n">
        <f aca="false">E$16/(Assumptions!$E$30*(1-Assumptions!$E$50-Assumptions!$E$49)-Assumptions!$E$44-Assumptions!$E$46-Assumptions!$E$47-Assumptions!$E$51)</f>
        <v>2.23214285714286</v>
      </c>
      <c r="F18" s="33" t="n">
        <f aca="false">F$16/(Assumptions!$E$30*(1-Assumptions!$E$50-Assumptions!$E$49)-Assumptions!$E$44-Assumptions!$E$46-Assumptions!$E$47-Assumptions!$E$51)</f>
        <v>2.60416666666667</v>
      </c>
      <c r="G18" s="33" t="n">
        <f aca="false">G$16/(Assumptions!$E$30*(1-Assumptions!$E$50-Assumptions!$E$49)-Assumptions!$E$44-Assumptions!$E$46-Assumptions!$E$47-Assumptions!$E$51)</f>
        <v>2.97619047619048</v>
      </c>
      <c r="H18" s="33" t="n">
        <f aca="false">H$16/(Assumptions!$E$30*(1-Assumptions!$E$50-Assumptions!$E$49)-Assumptions!$E$44-Assumptions!$E$46-Assumptions!$E$47-Assumptions!$E$51)</f>
        <v>3.7202380952381</v>
      </c>
    </row>
    <row r="19" customFormat="false" ht="15" hidden="false" customHeight="false" outlineLevel="0" collapsed="false">
      <c r="A19" s="15" t="n">
        <v>0.1</v>
      </c>
      <c r="B19" s="33" t="n">
        <f aca="false">B$16/(Assumptions!$E$30*(1-Assumptions!$E$50-Assumptions!$E$49)-Assumptions!$E$44-Assumptions!$E$46-Assumptions!$E$47-Assumptions!$E$51)</f>
        <v>1.11607142857143</v>
      </c>
      <c r="C19" s="33" t="n">
        <f aca="false">C$16/(Assumptions!$E$30*(1-Assumptions!$E$50-Assumptions!$E$49)-Assumptions!$E$44-Assumptions!$E$46-Assumptions!$E$47-Assumptions!$E$51)</f>
        <v>1.48809523809524</v>
      </c>
      <c r="D19" s="33" t="n">
        <f aca="false">D$16/(Assumptions!$E$30*(1-Assumptions!$E$50-Assumptions!$E$49)-Assumptions!$E$44-Assumptions!$E$46-Assumptions!$E$47-Assumptions!$E$51)</f>
        <v>1.86011904761905</v>
      </c>
      <c r="E19" s="33" t="n">
        <f aca="false">E$16/(Assumptions!$E$30*(1-Assumptions!$E$50-Assumptions!$E$49)-Assumptions!$E$44-Assumptions!$E$46-Assumptions!$E$47-Assumptions!$E$51)</f>
        <v>2.23214285714286</v>
      </c>
      <c r="F19" s="33" t="n">
        <f aca="false">F$16/(Assumptions!$E$30*(1-Assumptions!$E$50-Assumptions!$E$49)-Assumptions!$E$44-Assumptions!$E$46-Assumptions!$E$47-Assumptions!$E$51)</f>
        <v>2.60416666666667</v>
      </c>
      <c r="G19" s="33" t="n">
        <f aca="false">G$16/(Assumptions!$E$30*(1-Assumptions!$E$50-Assumptions!$E$49)-Assumptions!$E$44-Assumptions!$E$46-Assumptions!$E$47-Assumptions!$E$51)</f>
        <v>2.97619047619048</v>
      </c>
      <c r="H19" s="33" t="n">
        <f aca="false">H$16/(Assumptions!$E$30*(1-Assumptions!$E$50-Assumptions!$E$49)-Assumptions!$E$44-Assumptions!$E$46-Assumptions!$E$47-Assumptions!$E$51)</f>
        <v>3.7202380952381</v>
      </c>
    </row>
    <row r="20" customFormat="false" ht="15" hidden="false" customHeight="false" outlineLevel="0" collapsed="false">
      <c r="A20" s="15" t="n">
        <v>0.11</v>
      </c>
      <c r="B20" s="33" t="n">
        <f aca="false">B$16/(Assumptions!$E$30*(1-Assumptions!$E$50-Assumptions!$E$49)-Assumptions!$E$44-Assumptions!$E$46-Assumptions!$E$47-Assumptions!$E$51)</f>
        <v>1.11607142857143</v>
      </c>
      <c r="C20" s="33" t="n">
        <f aca="false">C$16/(Assumptions!$E$30*(1-Assumptions!$E$50-Assumptions!$E$49)-Assumptions!$E$44-Assumptions!$E$46-Assumptions!$E$47-Assumptions!$E$51)</f>
        <v>1.48809523809524</v>
      </c>
      <c r="D20" s="33" t="n">
        <f aca="false">D$16/(Assumptions!$E$30*(1-Assumptions!$E$50-Assumptions!$E$49)-Assumptions!$E$44-Assumptions!$E$46-Assumptions!$E$47-Assumptions!$E$51)</f>
        <v>1.86011904761905</v>
      </c>
      <c r="E20" s="33" t="n">
        <f aca="false">E$16/(Assumptions!$E$30*(1-Assumptions!$E$50-Assumptions!$E$49)-Assumptions!$E$44-Assumptions!$E$46-Assumptions!$E$47-Assumptions!$E$51)</f>
        <v>2.23214285714286</v>
      </c>
      <c r="F20" s="33" t="n">
        <f aca="false">F$16/(Assumptions!$E$30*(1-Assumptions!$E$50-Assumptions!$E$49)-Assumptions!$E$44-Assumptions!$E$46-Assumptions!$E$47-Assumptions!$E$51)</f>
        <v>2.60416666666667</v>
      </c>
      <c r="G20" s="33" t="n">
        <f aca="false">G$16/(Assumptions!$E$30*(1-Assumptions!$E$50-Assumptions!$E$49)-Assumptions!$E$44-Assumptions!$E$46-Assumptions!$E$47-Assumptions!$E$51)</f>
        <v>2.97619047619048</v>
      </c>
      <c r="H20" s="33" t="n">
        <f aca="false">H$16/(Assumptions!$E$30*(1-Assumptions!$E$50-Assumptions!$E$49)-Assumptions!$E$44-Assumptions!$E$46-Assumptions!$E$47-Assumptions!$E$51)</f>
        <v>3.7202380952381</v>
      </c>
    </row>
    <row r="21" customFormat="false" ht="15" hidden="false" customHeight="false" outlineLevel="0" collapsed="false">
      <c r="A21" s="15" t="n">
        <v>0.12</v>
      </c>
      <c r="B21" s="33" t="n">
        <f aca="false">B$16/(Assumptions!$E$30*(1-Assumptions!$E$50-Assumptions!$E$49)-Assumptions!$E$44-Assumptions!$E$46-Assumptions!$E$47-Assumptions!$E$51)</f>
        <v>1.11607142857143</v>
      </c>
      <c r="C21" s="33" t="n">
        <f aca="false">C$16/(Assumptions!$E$30*(1-Assumptions!$E$50-Assumptions!$E$49)-Assumptions!$E$44-Assumptions!$E$46-Assumptions!$E$47-Assumptions!$E$51)</f>
        <v>1.48809523809524</v>
      </c>
      <c r="D21" s="33" t="n">
        <f aca="false">D$16/(Assumptions!$E$30*(1-Assumptions!$E$50-Assumptions!$E$49)-Assumptions!$E$44-Assumptions!$E$46-Assumptions!$E$47-Assumptions!$E$51)</f>
        <v>1.86011904761905</v>
      </c>
      <c r="E21" s="33" t="n">
        <f aca="false">E$16/(Assumptions!$E$30*(1-Assumptions!$E$50-Assumptions!$E$49)-Assumptions!$E$44-Assumptions!$E$46-Assumptions!$E$47-Assumptions!$E$51)</f>
        <v>2.23214285714286</v>
      </c>
      <c r="F21" s="33" t="n">
        <f aca="false">F$16/(Assumptions!$E$30*(1-Assumptions!$E$50-Assumptions!$E$49)-Assumptions!$E$44-Assumptions!$E$46-Assumptions!$E$47-Assumptions!$E$51)</f>
        <v>2.60416666666667</v>
      </c>
      <c r="G21" s="33" t="n">
        <f aca="false">G$16/(Assumptions!$E$30*(1-Assumptions!$E$50-Assumptions!$E$49)-Assumptions!$E$44-Assumptions!$E$46-Assumptions!$E$47-Assumptions!$E$51)</f>
        <v>2.97619047619048</v>
      </c>
      <c r="H21" s="33" t="n">
        <f aca="false">H$16/(Assumptions!$E$30*(1-Assumptions!$E$50-Assumptions!$E$49)-Assumptions!$E$44-Assumptions!$E$46-Assumptions!$E$47-Assumptions!$E$51)</f>
        <v>3.7202380952381</v>
      </c>
    </row>
    <row r="22" customFormat="false" ht="15" hidden="false" customHeight="false" outlineLevel="0" collapsed="false">
      <c r="A22" s="15" t="n">
        <v>0.14</v>
      </c>
      <c r="B22" s="33" t="n">
        <f aca="false">B$16/(Assumptions!$E$30*(1-Assumptions!$E$50-Assumptions!$E$49)-Assumptions!$E$44-Assumptions!$E$46-Assumptions!$E$47-Assumptions!$E$51)</f>
        <v>1.11607142857143</v>
      </c>
      <c r="C22" s="33" t="n">
        <f aca="false">C$16/(Assumptions!$E$30*(1-Assumptions!$E$50-Assumptions!$E$49)-Assumptions!$E$44-Assumptions!$E$46-Assumptions!$E$47-Assumptions!$E$51)</f>
        <v>1.48809523809524</v>
      </c>
      <c r="D22" s="33" t="n">
        <f aca="false">D$16/(Assumptions!$E$30*(1-Assumptions!$E$50-Assumptions!$E$49)-Assumptions!$E$44-Assumptions!$E$46-Assumptions!$E$47-Assumptions!$E$51)</f>
        <v>1.86011904761905</v>
      </c>
      <c r="E22" s="33" t="n">
        <f aca="false">E$16/(Assumptions!$E$30*(1-Assumptions!$E$50-Assumptions!$E$49)-Assumptions!$E$44-Assumptions!$E$46-Assumptions!$E$47-Assumptions!$E$51)</f>
        <v>2.23214285714286</v>
      </c>
      <c r="F22" s="33" t="n">
        <f aca="false">F$16/(Assumptions!$E$30*(1-Assumptions!$E$50-Assumptions!$E$49)-Assumptions!$E$44-Assumptions!$E$46-Assumptions!$E$47-Assumptions!$E$51)</f>
        <v>2.60416666666667</v>
      </c>
      <c r="G22" s="33" t="n">
        <f aca="false">G$16/(Assumptions!$E$30*(1-Assumptions!$E$50-Assumptions!$E$49)-Assumptions!$E$44-Assumptions!$E$46-Assumptions!$E$47-Assumptions!$E$51)</f>
        <v>2.97619047619048</v>
      </c>
      <c r="H22" s="33" t="n">
        <f aca="false">H$16/(Assumptions!$E$30*(1-Assumptions!$E$50-Assumptions!$E$49)-Assumptions!$E$44-Assumptions!$E$46-Assumptions!$E$47-Assumptions!$E$51)</f>
        <v>3.7202380952381</v>
      </c>
    </row>
    <row r="23" customFormat="false" ht="15" hidden="false" customHeight="false" outlineLevel="0" collapsed="false">
      <c r="A23" s="15" t="n">
        <v>0.16</v>
      </c>
      <c r="B23" s="33" t="n">
        <f aca="false">B$16/(Assumptions!$E$30*(1-Assumptions!$E$50-Assumptions!$E$49)-Assumptions!$E$44-Assumptions!$E$46-Assumptions!$E$47-Assumptions!$E$51)</f>
        <v>1.11607142857143</v>
      </c>
      <c r="C23" s="33" t="n">
        <f aca="false">C$16/(Assumptions!$E$30*(1-Assumptions!$E$50-Assumptions!$E$49)-Assumptions!$E$44-Assumptions!$E$46-Assumptions!$E$47-Assumptions!$E$51)</f>
        <v>1.48809523809524</v>
      </c>
      <c r="D23" s="33" t="n">
        <f aca="false">D$16/(Assumptions!$E$30*(1-Assumptions!$E$50-Assumptions!$E$49)-Assumptions!$E$44-Assumptions!$E$46-Assumptions!$E$47-Assumptions!$E$51)</f>
        <v>1.86011904761905</v>
      </c>
      <c r="E23" s="33" t="n">
        <f aca="false">E$16/(Assumptions!$E$30*(1-Assumptions!$E$50-Assumptions!$E$49)-Assumptions!$E$44-Assumptions!$E$46-Assumptions!$E$47-Assumptions!$E$51)</f>
        <v>2.23214285714286</v>
      </c>
      <c r="F23" s="33" t="n">
        <f aca="false">F$16/(Assumptions!$E$30*(1-Assumptions!$E$50-Assumptions!$E$49)-Assumptions!$E$44-Assumptions!$E$46-Assumptions!$E$47-Assumptions!$E$51)</f>
        <v>2.60416666666667</v>
      </c>
      <c r="G23" s="33" t="n">
        <f aca="false">G$16/(Assumptions!$E$30*(1-Assumptions!$E$50-Assumptions!$E$49)-Assumptions!$E$44-Assumptions!$E$46-Assumptions!$E$47-Assumptions!$E$51)</f>
        <v>2.97619047619048</v>
      </c>
      <c r="H23" s="33" t="n">
        <f aca="false">H$16/(Assumptions!$E$30*(1-Assumptions!$E$50-Assumptions!$E$49)-Assumptions!$E$44-Assumptions!$E$46-Assumptions!$E$47-Assumptions!$E$51)</f>
        <v>3.7202380952381</v>
      </c>
    </row>
    <row r="26" customFormat="false" ht="15" hidden="false" customHeight="false" outlineLevel="0" collapsed="false">
      <c r="A26" s="29" t="s">
        <v>406</v>
      </c>
    </row>
    <row r="27" customFormat="false" ht="15" hidden="false" customHeight="false" outlineLevel="0" collapsed="false">
      <c r="A27" s="29" t="s">
        <v>407</v>
      </c>
      <c r="B27" s="14" t="n">
        <v>199</v>
      </c>
      <c r="C27" s="14" t="n">
        <v>225</v>
      </c>
      <c r="D27" s="14" t="n">
        <v>249</v>
      </c>
      <c r="E27" s="14" t="n">
        <v>275</v>
      </c>
      <c r="F27" s="14" t="n">
        <v>299</v>
      </c>
      <c r="G27" s="14" t="n">
        <v>325</v>
      </c>
      <c r="H27" s="14" t="n">
        <v>349</v>
      </c>
    </row>
    <row r="28" customFormat="false" ht="15" hidden="false" customHeight="false" outlineLevel="0" collapsed="false">
      <c r="A28" s="15" t="n">
        <v>0.06</v>
      </c>
      <c r="B28" s="27" t="n">
        <f aca="false">(Model_Base!AM23/$A28)*B$27*12</f>
        <v>68101850.8867323</v>
      </c>
      <c r="C28" s="27" t="n">
        <f aca="false">(Model_Base!AM23/$A28)*C$27*12</f>
        <v>76999580.1483154</v>
      </c>
      <c r="D28" s="27" t="n">
        <f aca="false">(Model_Base!AM23/$A28)*D$27*12</f>
        <v>85212868.697469</v>
      </c>
      <c r="E28" s="27" t="n">
        <f aca="false">(Model_Base!AM23/$A28)*E$27*12</f>
        <v>94110597.9590521</v>
      </c>
      <c r="F28" s="27" t="n">
        <f aca="false">(Model_Base!AM23/$A28)*F$27*12</f>
        <v>102323886.508206</v>
      </c>
      <c r="G28" s="27" t="n">
        <f aca="false">(Model_Base!AM23/$A28)*G$27*12</f>
        <v>111221615.769789</v>
      </c>
      <c r="H28" s="27" t="n">
        <f aca="false">(Model_Base!AM23/$A28)*H$27*12</f>
        <v>119434904.318943</v>
      </c>
    </row>
    <row r="29" customFormat="false" ht="15" hidden="false" customHeight="false" outlineLevel="0" collapsed="false">
      <c r="A29" s="15" t="n">
        <v>0.08</v>
      </c>
      <c r="B29" s="27" t="n">
        <f aca="false">(Model_Base!AM23/$A29)*B$27*12</f>
        <v>51076388.1650492</v>
      </c>
      <c r="C29" s="27" t="n">
        <f aca="false">(Model_Base!AM23/$A29)*C$27*12</f>
        <v>57749685.1112365</v>
      </c>
      <c r="D29" s="27" t="n">
        <f aca="false">(Model_Base!AM23/$A29)*D$27*12</f>
        <v>63909651.5231018</v>
      </c>
      <c r="E29" s="27" t="n">
        <f aca="false">(Model_Base!AM23/$A29)*E$27*12</f>
        <v>70582948.4692891</v>
      </c>
      <c r="F29" s="27" t="n">
        <f aca="false">(Model_Base!AM23/$A29)*F$27*12</f>
        <v>76742914.8811543</v>
      </c>
      <c r="G29" s="27" t="n">
        <f aca="false">(Model_Base!AM23/$A29)*G$27*12</f>
        <v>83416211.8273417</v>
      </c>
      <c r="H29" s="27" t="n">
        <f aca="false">(Model_Base!AM23/$A29)*H$27*12</f>
        <v>89576178.2392069</v>
      </c>
    </row>
    <row r="30" customFormat="false" ht="15" hidden="false" customHeight="false" outlineLevel="0" collapsed="false">
      <c r="A30" s="15" t="n">
        <v>0.1</v>
      </c>
      <c r="B30" s="27" t="n">
        <f aca="false">(Model_Base!AM23/$A30)*B$27*12</f>
        <v>40861110.5320393</v>
      </c>
      <c r="C30" s="27" t="n">
        <f aca="false">(Model_Base!AM23/$A30)*C$27*12</f>
        <v>46199748.0889892</v>
      </c>
      <c r="D30" s="27" t="n">
        <f aca="false">(Model_Base!AM23/$A30)*D$27*12</f>
        <v>51127721.2184814</v>
      </c>
      <c r="E30" s="27" t="n">
        <f aca="false">(Model_Base!AM23/$A30)*E$27*12</f>
        <v>56466358.7754313</v>
      </c>
      <c r="F30" s="27" t="n">
        <f aca="false">(Model_Base!AM23/$A30)*F$27*12</f>
        <v>61394331.9049234</v>
      </c>
      <c r="G30" s="27" t="n">
        <f aca="false">(Model_Base!AM23/$A30)*G$27*12</f>
        <v>66732969.4618733</v>
      </c>
      <c r="H30" s="27" t="n">
        <f aca="false">(Model_Base!AM23/$A30)*H$27*12</f>
        <v>71660942.5913655</v>
      </c>
    </row>
    <row r="31" customFormat="false" ht="15" hidden="false" customHeight="false" outlineLevel="0" collapsed="false">
      <c r="A31" s="15" t="n">
        <v>0.11</v>
      </c>
      <c r="B31" s="27" t="n">
        <f aca="false">(Model_Base!AM23/$A31)*B$27*12</f>
        <v>37146464.1200358</v>
      </c>
      <c r="C31" s="27" t="n">
        <f aca="false">(Model_Base!AM23/$A31)*C$27*12</f>
        <v>41999770.9899902</v>
      </c>
      <c r="D31" s="27" t="n">
        <f aca="false">(Model_Base!AM23/$A31)*D$27*12</f>
        <v>46479746.5622558</v>
      </c>
      <c r="E31" s="27" t="n">
        <f aca="false">(Model_Base!AM23/$A31)*E$27*12</f>
        <v>51333053.4322103</v>
      </c>
      <c r="F31" s="27" t="n">
        <f aca="false">(Model_Base!AM23/$A31)*F$27*12</f>
        <v>55813029.0044759</v>
      </c>
      <c r="G31" s="27" t="n">
        <f aca="false">(Model_Base!AM23/$A31)*G$27*12</f>
        <v>60666335.8744303</v>
      </c>
      <c r="H31" s="27" t="n">
        <f aca="false">(Model_Base!AM23/$A31)*H$27*12</f>
        <v>65146311.4466959</v>
      </c>
    </row>
    <row r="32" customFormat="false" ht="15" hidden="false" customHeight="false" outlineLevel="0" collapsed="false">
      <c r="A32" s="15" t="n">
        <v>0.12</v>
      </c>
      <c r="B32" s="27" t="n">
        <f aca="false">(Model_Base!AM23/$A32)*B$27*12</f>
        <v>34050925.4433661</v>
      </c>
      <c r="C32" s="27" t="n">
        <f aca="false">(Model_Base!AM23/$A32)*C$27*12</f>
        <v>38499790.0741577</v>
      </c>
      <c r="D32" s="27" t="n">
        <f aca="false">(Model_Base!AM23/$A32)*D$27*12</f>
        <v>42606434.3487345</v>
      </c>
      <c r="E32" s="27" t="n">
        <f aca="false">(Model_Base!AM23/$A32)*E$27*12</f>
        <v>47055298.9795261</v>
      </c>
      <c r="F32" s="27" t="n">
        <f aca="false">(Model_Base!AM23/$A32)*F$27*12</f>
        <v>51161943.2541029</v>
      </c>
      <c r="G32" s="27" t="n">
        <f aca="false">(Model_Base!AM23/$A32)*G$27*12</f>
        <v>55610807.8848944</v>
      </c>
      <c r="H32" s="27" t="n">
        <f aca="false">(Model_Base!AM23/$A32)*H$27*12</f>
        <v>59717452.1594713</v>
      </c>
    </row>
    <row r="33" customFormat="false" ht="15" hidden="false" customHeight="false" outlineLevel="0" collapsed="false">
      <c r="A33" s="15" t="n">
        <v>0.14</v>
      </c>
      <c r="B33" s="27" t="n">
        <f aca="false">(Model_Base!AM23/$A33)*B$27*12</f>
        <v>29186507.5228853</v>
      </c>
      <c r="C33" s="27" t="n">
        <f aca="false">(Model_Base!AM23/$A33)*C$27*12</f>
        <v>32999820.0635637</v>
      </c>
      <c r="D33" s="27" t="n">
        <f aca="false">(Model_Base!AM23/$A33)*D$27*12</f>
        <v>36519800.8703439</v>
      </c>
      <c r="E33" s="27" t="n">
        <f aca="false">(Model_Base!AM23/$A33)*E$27*12</f>
        <v>40333113.4110223</v>
      </c>
      <c r="F33" s="27" t="n">
        <f aca="false">(Model_Base!AM23/$A33)*F$27*12</f>
        <v>43853094.2178025</v>
      </c>
      <c r="G33" s="27" t="n">
        <f aca="false">(Model_Base!AM23/$A33)*G$27*12</f>
        <v>47666406.7584809</v>
      </c>
      <c r="H33" s="27" t="n">
        <f aca="false">(Model_Base!AM23/$A33)*H$27*12</f>
        <v>51186387.5652611</v>
      </c>
    </row>
    <row r="34" customFormat="false" ht="15" hidden="false" customHeight="false" outlineLevel="0" collapsed="false">
      <c r="A34" s="15" t="n">
        <v>0.16</v>
      </c>
      <c r="B34" s="27" t="n">
        <f aca="false">(Model_Base!AM23/$A34)*B$27*12</f>
        <v>25538194.0825246</v>
      </c>
      <c r="C34" s="27" t="n">
        <f aca="false">(Model_Base!AM23/$A34)*C$27*12</f>
        <v>28874842.5556183</v>
      </c>
      <c r="D34" s="27" t="n">
        <f aca="false">(Model_Base!AM23/$A34)*D$27*12</f>
        <v>31954825.7615509</v>
      </c>
      <c r="E34" s="27" t="n">
        <f aca="false">(Model_Base!AM23/$A34)*E$27*12</f>
        <v>35291474.2346446</v>
      </c>
      <c r="F34" s="27" t="n">
        <f aca="false">(Model_Base!AM23/$A34)*F$27*12</f>
        <v>38371457.4405772</v>
      </c>
      <c r="G34" s="27" t="n">
        <f aca="false">(Model_Base!AM23/$A34)*G$27*12</f>
        <v>41708105.9136708</v>
      </c>
      <c r="H34" s="27" t="n">
        <f aca="false">(Model_Base!AM23/$A34)*H$27*12</f>
        <v>44788089.1196034</v>
      </c>
    </row>
    <row r="37" customFormat="false" ht="15" hidden="false" customHeight="false" outlineLevel="0" collapsed="false">
      <c r="A37" s="29" t="s">
        <v>408</v>
      </c>
    </row>
    <row r="38" customFormat="false" ht="15" hidden="false" customHeight="false" outlineLevel="0" collapsed="false">
      <c r="A38" s="8" t="s">
        <v>409</v>
      </c>
      <c r="B38" s="18" t="n">
        <f aca="false">Model_Base!AA66</f>
        <v>312.622007865893</v>
      </c>
    </row>
    <row r="39" customFormat="false" ht="15" hidden="false" customHeight="false" outlineLevel="0" collapsed="false">
      <c r="A39" s="8" t="s">
        <v>410</v>
      </c>
      <c r="B39" s="34" t="n">
        <f aca="false">3*Model_Base!AA66*Assumptions!$E$41</f>
        <v>103.165262595745</v>
      </c>
    </row>
    <row r="40" customFormat="false" ht="15" hidden="false" customHeight="false" outlineLevel="0" collapsed="false">
      <c r="A40" s="8" t="s">
        <v>411</v>
      </c>
      <c r="B40" s="34" t="n">
        <f aca="false">(Assumptions!$E$30*(1-Assumptions!$E$50-Assumptions!$E$49)-Assumptions!$E$44-Assumptions!$E$46-Assumptions!$E$47-Assumptions!$E$51)</f>
        <v>134.4</v>
      </c>
    </row>
    <row r="41" customFormat="false" ht="15" hidden="false" customHeight="false" outlineLevel="0" collapsed="false">
      <c r="A41" s="8" t="s">
        <v>412</v>
      </c>
      <c r="B41" s="35" t="n">
        <f aca="false">IF(Model_Base!AA66=0,0,(Assumptions!$E$30*(1-Assumptions!$E$50-Assumptions!$E$49)-Assumptions!$E$44-Assumptions!$E$46-Assumptions!$E$47-Assumptions!$E$51)/(3*Model_Base!AA66))</f>
        <v>0.143304050491602</v>
      </c>
    </row>
    <row r="42" customFormat="false" ht="15" hidden="false" customHeight="false" outlineLevel="0" collapsed="false">
      <c r="A42" s="8" t="s">
        <v>413</v>
      </c>
      <c r="B42" s="34" t="n">
        <f aca="false">(Assumptions!$E$30*(1-Assumptions!$E$50-Assumptions!$E$49)-Assumptions!$E$44-Assumptions!$E$46-Assumptions!$E$47-Assumptions!$E$51)/Assumptions!$E$41/3</f>
        <v>407.272727272727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8" min="2" style="0" width="20"/>
  </cols>
  <sheetData>
    <row r="1" customFormat="false" ht="17.35" hidden="false" customHeight="false" outlineLevel="0" collapsed="false">
      <c r="A1" s="1" t="s">
        <v>414</v>
      </c>
    </row>
    <row r="2" customFormat="false" ht="15" hidden="false" customHeight="false" outlineLevel="0" collapsed="false">
      <c r="A2" s="3" t="s">
        <v>415</v>
      </c>
    </row>
    <row r="4" customFormat="false" ht="15" hidden="false" customHeight="false" outlineLevel="0" collapsed="false">
      <c r="A4" s="29" t="s">
        <v>416</v>
      </c>
    </row>
    <row r="5" customFormat="false" ht="15" hidden="false" customHeight="false" outlineLevel="0" collapsed="false">
      <c r="A5" s="8" t="s">
        <v>417</v>
      </c>
      <c r="B5" s="18" t="n">
        <f aca="false">SUM(Model_Base!D43:O43)</f>
        <v>3428128.34653253</v>
      </c>
    </row>
    <row r="6" customFormat="false" ht="15" hidden="false" customHeight="false" outlineLevel="0" collapsed="false">
      <c r="A6" s="8" t="s">
        <v>418</v>
      </c>
      <c r="B6" s="18" t="n">
        <f aca="false">SUM(Model_Base!P43:AA43)</f>
        <v>19830860.3834385</v>
      </c>
    </row>
    <row r="7" customFormat="false" ht="15" hidden="false" customHeight="false" outlineLevel="0" collapsed="false">
      <c r="A7" s="8" t="s">
        <v>419</v>
      </c>
      <c r="B7" s="18" t="n">
        <f aca="false">SUM(Model_Base!AB43:AM43)</f>
        <v>42820607.7481619</v>
      </c>
    </row>
    <row r="8" customFormat="false" ht="15" hidden="false" customHeight="false" outlineLevel="0" collapsed="false">
      <c r="A8" s="8" t="s">
        <v>420</v>
      </c>
      <c r="B8" s="36" t="n">
        <v>3</v>
      </c>
    </row>
    <row r="9" customFormat="false" ht="15" hidden="false" customHeight="false" outlineLevel="0" collapsed="false">
      <c r="A9" s="8" t="s">
        <v>421</v>
      </c>
      <c r="B9" s="14" t="n">
        <v>600000</v>
      </c>
    </row>
    <row r="10" customFormat="false" ht="15" hidden="false" customHeight="false" outlineLevel="0" collapsed="false">
      <c r="A10" s="8" t="s">
        <v>422</v>
      </c>
      <c r="B10" s="15" t="n">
        <v>0.1</v>
      </c>
    </row>
    <row r="11" customFormat="false" ht="15" hidden="false" customHeight="false" outlineLevel="0" collapsed="false">
      <c r="A11" s="8" t="s">
        <v>423</v>
      </c>
      <c r="B11" s="15" t="n">
        <v>0.06</v>
      </c>
    </row>
    <row r="12" customFormat="false" ht="15" hidden="false" customHeight="false" outlineLevel="0" collapsed="false">
      <c r="A12" s="8" t="s">
        <v>424</v>
      </c>
      <c r="B12" s="14" t="n">
        <v>360000</v>
      </c>
    </row>
    <row r="13" customFormat="false" ht="15" hidden="false" customHeight="false" outlineLevel="0" collapsed="false">
      <c r="A13" s="8" t="s">
        <v>425</v>
      </c>
      <c r="B13" s="15" t="n">
        <v>0.03</v>
      </c>
    </row>
    <row r="14" customFormat="false" ht="15" hidden="false" customHeight="false" outlineLevel="0" collapsed="false">
      <c r="A14" s="8" t="s">
        <v>426</v>
      </c>
      <c r="B14" s="15" t="n">
        <v>0.05</v>
      </c>
    </row>
    <row r="15" customFormat="false" ht="15" hidden="false" customHeight="false" outlineLevel="0" collapsed="false">
      <c r="A15" s="8" t="s">
        <v>427</v>
      </c>
      <c r="B15" s="15" t="n">
        <v>0.08</v>
      </c>
    </row>
    <row r="16" customFormat="false" ht="15" hidden="false" customHeight="false" outlineLevel="0" collapsed="false">
      <c r="A16" s="8" t="s">
        <v>428</v>
      </c>
      <c r="B16" s="14" t="n">
        <v>5000000</v>
      </c>
    </row>
    <row r="19" customFormat="false" ht="15" hidden="false" customHeight="false" outlineLevel="0" collapsed="false">
      <c r="A19" s="29" t="s">
        <v>429</v>
      </c>
    </row>
    <row r="20" customFormat="false" ht="15" hidden="false" customHeight="false" outlineLevel="0" collapsed="false">
      <c r="A20" s="4" t="s">
        <v>430</v>
      </c>
      <c r="B20" s="4" t="s">
        <v>431</v>
      </c>
      <c r="C20" s="4" t="s">
        <v>432</v>
      </c>
      <c r="D20" s="4" t="s">
        <v>433</v>
      </c>
      <c r="E20" s="4" t="s">
        <v>434</v>
      </c>
      <c r="F20" s="4" t="s">
        <v>435</v>
      </c>
      <c r="G20" s="4" t="s">
        <v>436</v>
      </c>
      <c r="H20" s="4" t="s">
        <v>437</v>
      </c>
    </row>
    <row r="21" customFormat="false" ht="15" hidden="false" customHeight="false" outlineLevel="0" collapsed="false">
      <c r="A21" s="8" t="s">
        <v>438</v>
      </c>
      <c r="B21" s="27" t="n">
        <f aca="false">$B$9</f>
        <v>600000</v>
      </c>
      <c r="C21" s="27" t="n">
        <f aca="false">$B$9</f>
        <v>600000</v>
      </c>
      <c r="D21" s="27" t="n">
        <f aca="false">$B$9</f>
        <v>600000</v>
      </c>
      <c r="E21" s="27" t="n">
        <f aca="false">SUM(B21:D21)</f>
        <v>1800000</v>
      </c>
      <c r="F21" s="27" t="n">
        <f aca="false">0</f>
        <v>0</v>
      </c>
      <c r="G21" s="27" t="n">
        <f aca="false">E21+F21</f>
        <v>1800000</v>
      </c>
      <c r="H21" s="26" t="n">
        <f aca="false">IF(SUM($B$5,$B$6,$B$7)=0,0,E21/SUM($B$5,$B$6,$B$7))</f>
        <v>0.0272398757851927</v>
      </c>
    </row>
    <row r="22" customFormat="false" ht="15" hidden="false" customHeight="false" outlineLevel="0" collapsed="false">
      <c r="A22" s="8" t="s">
        <v>439</v>
      </c>
      <c r="B22" s="27" t="n">
        <f aca="false">0</f>
        <v>0</v>
      </c>
      <c r="C22" s="27" t="n">
        <f aca="false">0</f>
        <v>0</v>
      </c>
      <c r="D22" s="27" t="n">
        <f aca="false">0</f>
        <v>0</v>
      </c>
      <c r="E22" s="27" t="n">
        <f aca="false">SUM(B22:D22)</f>
        <v>0</v>
      </c>
      <c r="F22" s="27" t="n">
        <f aca="false">$B$10*$B$7*$B$8</f>
        <v>12846182.3244486</v>
      </c>
      <c r="G22" s="27" t="n">
        <f aca="false">E22+F22</f>
        <v>12846182.3244486</v>
      </c>
      <c r="H22" s="26" t="n">
        <f aca="false">IF(SUM($B$5,$B$6,$B$7)=0,0,E22/SUM($B$5,$B$6,$B$7))</f>
        <v>0</v>
      </c>
    </row>
    <row r="23" customFormat="false" ht="15" hidden="false" customHeight="false" outlineLevel="0" collapsed="false">
      <c r="A23" s="8" t="s">
        <v>440</v>
      </c>
      <c r="B23" s="27" t="n">
        <f aca="false">$B$11*$B$5</f>
        <v>205687.700791952</v>
      </c>
      <c r="C23" s="27" t="n">
        <f aca="false">$B$11*$B$6</f>
        <v>1189851.62300631</v>
      </c>
      <c r="D23" s="27" t="n">
        <f aca="false">$B$11*$B$7</f>
        <v>2569236.46488972</v>
      </c>
      <c r="E23" s="27" t="n">
        <f aca="false">SUM(B23:D23)</f>
        <v>3964775.78868797</v>
      </c>
      <c r="F23" s="27" t="n">
        <f aca="false">0</f>
        <v>0</v>
      </c>
      <c r="G23" s="27" t="n">
        <f aca="false">E23+F23</f>
        <v>3964775.78868797</v>
      </c>
      <c r="H23" s="26" t="n">
        <f aca="false">IF(SUM($B$5,$B$6,$B$7)=0,0,E23/SUM($B$5,$B$6,$B$7))</f>
        <v>0.06</v>
      </c>
    </row>
    <row r="24" customFormat="false" ht="15" hidden="false" customHeight="false" outlineLevel="0" collapsed="false">
      <c r="A24" s="8" t="s">
        <v>441</v>
      </c>
      <c r="B24" s="27" t="n">
        <f aca="false">$B$12+$B$13*$B$5</f>
        <v>462843.850395976</v>
      </c>
      <c r="C24" s="27" t="n">
        <f aca="false">$B$12+$B$13*$B$6</f>
        <v>954925.811503154</v>
      </c>
      <c r="D24" s="27" t="n">
        <f aca="false">$B$12+$B$13*$B$7</f>
        <v>1644618.23244486</v>
      </c>
      <c r="E24" s="27" t="n">
        <f aca="false">SUM(B24:D24)</f>
        <v>3062387.89434399</v>
      </c>
      <c r="F24" s="27" t="n">
        <f aca="false">$B$14*$B$7*$B$8</f>
        <v>6423091.16222429</v>
      </c>
      <c r="G24" s="27" t="n">
        <f aca="false">E24+F24</f>
        <v>9485479.05656828</v>
      </c>
      <c r="H24" s="26" t="n">
        <f aca="false">IF(SUM($B$5,$B$6,$B$7)=0,0,E24/SUM($B$5,$B$6,$B$7))</f>
        <v>0.0463439254711156</v>
      </c>
    </row>
    <row r="25" customFormat="false" ht="15" hidden="false" customHeight="false" outlineLevel="0" collapsed="false">
      <c r="A25" s="8" t="s">
        <v>442</v>
      </c>
      <c r="B25" s="27" t="n">
        <f aca="false">$B$15*MAX(0,$B$5-$B$16)</f>
        <v>0</v>
      </c>
      <c r="C25" s="27" t="n">
        <f aca="false">$B$15*MAX(0,$B$6-$B$16)</f>
        <v>1186468.83067508</v>
      </c>
      <c r="D25" s="27" t="n">
        <f aca="false">$B$15*MAX(0,$B$7-$B$16)</f>
        <v>3025648.61985295</v>
      </c>
      <c r="E25" s="27" t="n">
        <f aca="false">SUM(B25:D25)</f>
        <v>4212117.45052803</v>
      </c>
      <c r="F25" s="27" t="n">
        <f aca="false">0</f>
        <v>0</v>
      </c>
      <c r="G25" s="27" t="n">
        <f aca="false">E25+F25</f>
        <v>4212117.45052803</v>
      </c>
      <c r="H25" s="26" t="n">
        <f aca="false">IF(SUM($B$5,$B$6,$B$7)=0,0,E25/SUM($B$5,$B$6,$B$7))</f>
        <v>0.0637430867472368</v>
      </c>
    </row>
    <row r="27" customFormat="false" ht="15" hidden="false" customHeight="false" outlineLevel="0" collapsed="false">
      <c r="A27" s="3" t="s"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80"/>
    <col collapsed="false" customWidth="true" hidden="false" outlineLevel="0" max="6" min="5" style="0" width="11"/>
    <col collapsed="false" customWidth="true" hidden="false" outlineLevel="0" max="7" min="7" style="0" width="26"/>
  </cols>
  <sheetData>
    <row r="1" customFormat="false" ht="17.35" hidden="false" customHeight="false" outlineLevel="0" collapsed="false">
      <c r="A1" s="1" t="s">
        <v>444</v>
      </c>
    </row>
    <row r="3" customFormat="false" ht="15" hidden="false" customHeight="false" outlineLevel="0" collapsed="false">
      <c r="A3" s="4" t="s">
        <v>12</v>
      </c>
      <c r="B3" s="4" t="s">
        <v>13</v>
      </c>
      <c r="C3" s="4" t="s">
        <v>445</v>
      </c>
      <c r="D3" s="4" t="s">
        <v>17</v>
      </c>
      <c r="E3" s="4" t="s">
        <v>18</v>
      </c>
      <c r="F3" s="4" t="s">
        <v>19</v>
      </c>
      <c r="G3" s="4" t="s">
        <v>20</v>
      </c>
    </row>
    <row r="4" customFormat="false" ht="15" hidden="false" customHeight="false" outlineLevel="0" collapsed="false">
      <c r="A4" s="8" t="s">
        <v>23</v>
      </c>
      <c r="B4" s="8" t="s">
        <v>24</v>
      </c>
      <c r="C4" s="37" t="n">
        <f aca="false">Assumptions!$E$6</f>
        <v>8</v>
      </c>
      <c r="D4" s="10" t="s">
        <v>25</v>
      </c>
      <c r="E4" s="8" t="s">
        <v>26</v>
      </c>
      <c r="F4" s="8" t="s">
        <v>27</v>
      </c>
      <c r="G4" s="10" t="s">
        <v>28</v>
      </c>
    </row>
    <row r="5" customFormat="false" ht="15" hidden="false" customHeight="false" outlineLevel="0" collapsed="false">
      <c r="A5" s="8" t="s">
        <v>30</v>
      </c>
      <c r="B5" s="8" t="s">
        <v>24</v>
      </c>
      <c r="C5" s="37" t="n">
        <f aca="false">Assumptions!$E$7</f>
        <v>5</v>
      </c>
      <c r="D5" s="10" t="s">
        <v>31</v>
      </c>
      <c r="E5" s="8" t="s">
        <v>26</v>
      </c>
      <c r="F5" s="8" t="s">
        <v>32</v>
      </c>
      <c r="G5" s="10" t="s">
        <v>28</v>
      </c>
    </row>
    <row r="6" customFormat="false" ht="15" hidden="false" customHeight="false" outlineLevel="0" collapsed="false">
      <c r="A6" s="8" t="s">
        <v>35</v>
      </c>
      <c r="B6" s="8" t="s">
        <v>36</v>
      </c>
      <c r="C6" s="37" t="n">
        <f aca="false">Assumptions!$E$9</f>
        <v>2500</v>
      </c>
      <c r="D6" s="10" t="s">
        <v>37</v>
      </c>
      <c r="E6" s="8" t="s">
        <v>32</v>
      </c>
      <c r="F6" s="8" t="s">
        <v>26</v>
      </c>
      <c r="G6" s="10" t="s">
        <v>38</v>
      </c>
    </row>
    <row r="7" customFormat="false" ht="15" hidden="false" customHeight="false" outlineLevel="0" collapsed="false">
      <c r="A7" s="8" t="s">
        <v>40</v>
      </c>
      <c r="B7" s="8" t="s">
        <v>41</v>
      </c>
      <c r="C7" s="19" t="n">
        <f aca="false">Assumptions!$E$10</f>
        <v>0.09</v>
      </c>
      <c r="D7" s="10" t="s">
        <v>42</v>
      </c>
      <c r="E7" s="8" t="s">
        <v>32</v>
      </c>
      <c r="F7" s="8" t="s">
        <v>27</v>
      </c>
      <c r="G7" s="10" t="s">
        <v>43</v>
      </c>
    </row>
    <row r="8" customFormat="false" ht="15" hidden="false" customHeight="false" outlineLevel="0" collapsed="false">
      <c r="A8" s="8" t="s">
        <v>45</v>
      </c>
      <c r="B8" s="8" t="s">
        <v>36</v>
      </c>
      <c r="C8" s="37" t="n">
        <f aca="false">Assumptions!$E$11</f>
        <v>300000</v>
      </c>
      <c r="D8" s="10" t="s">
        <v>46</v>
      </c>
      <c r="E8" s="8" t="s">
        <v>32</v>
      </c>
      <c r="F8" s="8" t="s">
        <v>26</v>
      </c>
      <c r="G8" s="10" t="s">
        <v>47</v>
      </c>
    </row>
    <row r="9" customFormat="false" ht="15" hidden="false" customHeight="false" outlineLevel="0" collapsed="false">
      <c r="A9" s="8" t="s">
        <v>49</v>
      </c>
      <c r="B9" s="8" t="s">
        <v>50</v>
      </c>
      <c r="C9" s="18" t="n">
        <f aca="false">Assumptions!$E$12</f>
        <v>2</v>
      </c>
      <c r="D9" s="10" t="s">
        <v>51</v>
      </c>
      <c r="E9" s="8" t="s">
        <v>26</v>
      </c>
      <c r="F9" s="8" t="s">
        <v>27</v>
      </c>
      <c r="G9" s="10" t="s">
        <v>52</v>
      </c>
    </row>
    <row r="10" customFormat="false" ht="15" hidden="false" customHeight="false" outlineLevel="0" collapsed="false">
      <c r="A10" s="8" t="s">
        <v>54</v>
      </c>
      <c r="B10" s="8" t="s">
        <v>50</v>
      </c>
      <c r="C10" s="18" t="n">
        <f aca="false">Assumptions!$E$13</f>
        <v>20000</v>
      </c>
      <c r="D10" s="10" t="s">
        <v>55</v>
      </c>
      <c r="E10" s="8" t="s">
        <v>26</v>
      </c>
      <c r="F10" s="8" t="s">
        <v>32</v>
      </c>
      <c r="G10" s="10" t="s">
        <v>56</v>
      </c>
    </row>
    <row r="11" customFormat="false" ht="15" hidden="false" customHeight="false" outlineLevel="0" collapsed="false">
      <c r="A11" s="8" t="s">
        <v>58</v>
      </c>
      <c r="B11" s="8" t="s">
        <v>50</v>
      </c>
      <c r="C11" s="18" t="n">
        <f aca="false">Assumptions!$E$14</f>
        <v>60000</v>
      </c>
      <c r="D11" s="10" t="s">
        <v>59</v>
      </c>
      <c r="E11" s="8" t="s">
        <v>26</v>
      </c>
      <c r="F11" s="8" t="s">
        <v>26</v>
      </c>
      <c r="G11" s="10" t="s">
        <v>56</v>
      </c>
    </row>
    <row r="12" customFormat="false" ht="15" hidden="false" customHeight="false" outlineLevel="0" collapsed="false">
      <c r="A12" s="8" t="s">
        <v>61</v>
      </c>
      <c r="B12" s="8" t="s">
        <v>50</v>
      </c>
      <c r="C12" s="18" t="n">
        <f aca="false">Assumptions!$E$15</f>
        <v>350000</v>
      </c>
      <c r="D12" s="10" t="s">
        <v>62</v>
      </c>
      <c r="E12" s="8" t="s">
        <v>26</v>
      </c>
      <c r="F12" s="8" t="s">
        <v>26</v>
      </c>
      <c r="G12" s="10" t="s">
        <v>56</v>
      </c>
    </row>
    <row r="13" customFormat="false" ht="15" hidden="false" customHeight="false" outlineLevel="0" collapsed="false">
      <c r="A13" s="8" t="s">
        <v>64</v>
      </c>
      <c r="B13" s="8" t="s">
        <v>50</v>
      </c>
      <c r="C13" s="18" t="n">
        <f aca="false">Assumptions!$E$16</f>
        <v>180000</v>
      </c>
      <c r="D13" s="10" t="s">
        <v>65</v>
      </c>
      <c r="E13" s="8" t="s">
        <v>26</v>
      </c>
      <c r="F13" s="8" t="s">
        <v>27</v>
      </c>
      <c r="G13" s="10" t="s">
        <v>66</v>
      </c>
    </row>
    <row r="14" customFormat="false" ht="15" hidden="false" customHeight="false" outlineLevel="0" collapsed="false">
      <c r="A14" s="8" t="s">
        <v>68</v>
      </c>
      <c r="B14" s="8" t="s">
        <v>41</v>
      </c>
      <c r="C14" s="19" t="n">
        <f aca="false">Assumptions!$E$17</f>
        <v>0.03</v>
      </c>
      <c r="D14" s="10" t="s">
        <v>69</v>
      </c>
      <c r="E14" s="8" t="s">
        <v>26</v>
      </c>
      <c r="F14" s="8" t="s">
        <v>26</v>
      </c>
      <c r="G14" s="10" t="s">
        <v>70</v>
      </c>
    </row>
    <row r="15" customFormat="false" ht="15" hidden="false" customHeight="false" outlineLevel="0" collapsed="false">
      <c r="A15" s="8" t="s">
        <v>73</v>
      </c>
      <c r="B15" s="8" t="s">
        <v>41</v>
      </c>
      <c r="C15" s="19" t="n">
        <f aca="false">Assumptions!$E$19</f>
        <v>0.1</v>
      </c>
      <c r="D15" s="10" t="s">
        <v>74</v>
      </c>
      <c r="E15" s="8" t="s">
        <v>26</v>
      </c>
      <c r="F15" s="8" t="s">
        <v>27</v>
      </c>
      <c r="G15" s="10" t="s">
        <v>75</v>
      </c>
    </row>
    <row r="16" customFormat="false" ht="15" hidden="false" customHeight="false" outlineLevel="0" collapsed="false">
      <c r="A16" s="8" t="s">
        <v>77</v>
      </c>
      <c r="B16" s="8" t="s">
        <v>41</v>
      </c>
      <c r="C16" s="19" t="n">
        <f aca="false">Assumptions!$E$20</f>
        <v>0.7</v>
      </c>
      <c r="D16" s="10" t="s">
        <v>78</v>
      </c>
      <c r="E16" s="8" t="s">
        <v>26</v>
      </c>
      <c r="F16" s="8" t="s">
        <v>26</v>
      </c>
      <c r="G16" s="10" t="s">
        <v>75</v>
      </c>
    </row>
    <row r="17" customFormat="false" ht="15" hidden="false" customHeight="false" outlineLevel="0" collapsed="false">
      <c r="A17" s="8" t="s">
        <v>80</v>
      </c>
      <c r="B17" s="8" t="s">
        <v>41</v>
      </c>
      <c r="C17" s="19" t="n">
        <f aca="false">Assumptions!$E$21</f>
        <v>0.6</v>
      </c>
      <c r="D17" s="10" t="s">
        <v>81</v>
      </c>
      <c r="E17" s="8" t="s">
        <v>26</v>
      </c>
      <c r="F17" s="8" t="s">
        <v>26</v>
      </c>
      <c r="G17" s="10" t="s">
        <v>75</v>
      </c>
    </row>
    <row r="18" customFormat="false" ht="15" hidden="false" customHeight="false" outlineLevel="0" collapsed="false">
      <c r="A18" s="8" t="s">
        <v>83</v>
      </c>
      <c r="B18" s="8" t="s">
        <v>41</v>
      </c>
      <c r="C18" s="19" t="n">
        <f aca="false">Assumptions!$E$22</f>
        <v>0.4</v>
      </c>
      <c r="D18" s="10" t="s">
        <v>84</v>
      </c>
      <c r="E18" s="8" t="s">
        <v>26</v>
      </c>
      <c r="F18" s="8" t="s">
        <v>27</v>
      </c>
      <c r="G18" s="10" t="s">
        <v>85</v>
      </c>
    </row>
    <row r="19" customFormat="false" ht="15" hidden="false" customHeight="false" outlineLevel="0" collapsed="false">
      <c r="A19" s="8" t="s">
        <v>87</v>
      </c>
      <c r="B19" s="8" t="s">
        <v>41</v>
      </c>
      <c r="C19" s="19" t="n">
        <f aca="false">Assumptions!$E$23</f>
        <v>0.03</v>
      </c>
      <c r="D19" s="10" t="s">
        <v>88</v>
      </c>
      <c r="E19" s="8" t="s">
        <v>26</v>
      </c>
      <c r="F19" s="8" t="s">
        <v>26</v>
      </c>
      <c r="G19" s="10" t="s">
        <v>85</v>
      </c>
    </row>
    <row r="20" customFormat="false" ht="15" hidden="false" customHeight="false" outlineLevel="0" collapsed="false">
      <c r="A20" s="8" t="s">
        <v>90</v>
      </c>
      <c r="B20" s="8" t="s">
        <v>41</v>
      </c>
      <c r="C20" s="19" t="n">
        <f aca="false">Assumptions!$E$24</f>
        <v>0.85</v>
      </c>
      <c r="D20" s="10" t="s">
        <v>91</v>
      </c>
      <c r="E20" s="8" t="s">
        <v>26</v>
      </c>
      <c r="F20" s="8" t="s">
        <v>32</v>
      </c>
      <c r="G20" s="10" t="s">
        <v>92</v>
      </c>
    </row>
    <row r="21" customFormat="false" ht="15" hidden="false" customHeight="false" outlineLevel="0" collapsed="false">
      <c r="A21" s="8" t="s">
        <v>94</v>
      </c>
      <c r="B21" s="8" t="s">
        <v>41</v>
      </c>
      <c r="C21" s="19" t="n">
        <f aca="false">Assumptions!$E$25</f>
        <v>0.55</v>
      </c>
      <c r="D21" s="10" t="s">
        <v>95</v>
      </c>
      <c r="E21" s="8" t="s">
        <v>26</v>
      </c>
      <c r="F21" s="8" t="s">
        <v>27</v>
      </c>
      <c r="G21" s="10" t="s">
        <v>75</v>
      </c>
    </row>
    <row r="22" customFormat="false" ht="15" hidden="false" customHeight="false" outlineLevel="0" collapsed="false">
      <c r="A22" s="8" t="s">
        <v>97</v>
      </c>
      <c r="B22" s="8" t="s">
        <v>41</v>
      </c>
      <c r="C22" s="19" t="n">
        <f aca="false">Assumptions!$E$26</f>
        <v>0.82</v>
      </c>
      <c r="D22" s="10" t="s">
        <v>98</v>
      </c>
      <c r="E22" s="8" t="s">
        <v>26</v>
      </c>
      <c r="F22" s="8" t="s">
        <v>26</v>
      </c>
      <c r="G22" s="10" t="s">
        <v>99</v>
      </c>
    </row>
    <row r="23" customFormat="false" ht="15" hidden="false" customHeight="false" outlineLevel="0" collapsed="false">
      <c r="A23" s="8" t="s">
        <v>101</v>
      </c>
      <c r="B23" s="8" t="s">
        <v>41</v>
      </c>
      <c r="C23" s="19" t="n">
        <f aca="false">Assumptions!$E$27</f>
        <v>0.62</v>
      </c>
      <c r="D23" s="10" t="s">
        <v>102</v>
      </c>
      <c r="E23" s="8" t="s">
        <v>32</v>
      </c>
      <c r="F23" s="8" t="s">
        <v>27</v>
      </c>
      <c r="G23" s="10" t="s">
        <v>103</v>
      </c>
    </row>
    <row r="24" customFormat="false" ht="15" hidden="false" customHeight="false" outlineLevel="0" collapsed="false">
      <c r="A24" s="8" t="s">
        <v>105</v>
      </c>
      <c r="B24" s="8" t="s">
        <v>41</v>
      </c>
      <c r="C24" s="19" t="n">
        <f aca="false">Assumptions!$E$28</f>
        <v>0.65</v>
      </c>
      <c r="D24" s="10" t="s">
        <v>106</v>
      </c>
      <c r="E24" s="8" t="s">
        <v>26</v>
      </c>
      <c r="F24" s="8" t="s">
        <v>27</v>
      </c>
      <c r="G24" s="10" t="s">
        <v>75</v>
      </c>
    </row>
    <row r="25" customFormat="false" ht="15" hidden="false" customHeight="false" outlineLevel="0" collapsed="false">
      <c r="A25" s="8" t="s">
        <v>109</v>
      </c>
      <c r="B25" s="8" t="s">
        <v>50</v>
      </c>
      <c r="C25" s="18" t="n">
        <f aca="false">Assumptions!$E$30</f>
        <v>275</v>
      </c>
      <c r="D25" s="10" t="s">
        <v>110</v>
      </c>
      <c r="E25" s="8" t="s">
        <v>26</v>
      </c>
      <c r="F25" s="8" t="s">
        <v>27</v>
      </c>
      <c r="G25" s="10" t="s">
        <v>111</v>
      </c>
    </row>
    <row r="26" customFormat="false" ht="15" hidden="false" customHeight="false" outlineLevel="0" collapsed="false">
      <c r="A26" s="8" t="s">
        <v>113</v>
      </c>
      <c r="B26" s="8" t="s">
        <v>50</v>
      </c>
      <c r="C26" s="18" t="n">
        <f aca="false">Assumptions!$E$31</f>
        <v>79</v>
      </c>
      <c r="D26" s="10" t="s">
        <v>114</v>
      </c>
      <c r="E26" s="8" t="s">
        <v>26</v>
      </c>
      <c r="F26" s="8" t="s">
        <v>26</v>
      </c>
      <c r="G26" s="10" t="s">
        <v>115</v>
      </c>
    </row>
    <row r="27" customFormat="false" ht="15" hidden="false" customHeight="false" outlineLevel="0" collapsed="false">
      <c r="A27" s="8" t="s">
        <v>117</v>
      </c>
      <c r="B27" s="8" t="s">
        <v>41</v>
      </c>
      <c r="C27" s="19" t="n">
        <f aca="false">Assumptions!$E$32</f>
        <v>0.5</v>
      </c>
      <c r="D27" s="10" t="s">
        <v>118</v>
      </c>
      <c r="E27" s="8" t="s">
        <v>26</v>
      </c>
      <c r="F27" s="8" t="s">
        <v>26</v>
      </c>
      <c r="G27" s="10" t="s">
        <v>99</v>
      </c>
    </row>
    <row r="28" customFormat="false" ht="15" hidden="false" customHeight="false" outlineLevel="0" collapsed="false">
      <c r="A28" s="8" t="s">
        <v>120</v>
      </c>
      <c r="B28" s="8" t="s">
        <v>50</v>
      </c>
      <c r="C28" s="18" t="n">
        <f aca="false">Assumptions!$E$33</f>
        <v>119</v>
      </c>
      <c r="D28" s="10" t="s">
        <v>121</v>
      </c>
      <c r="E28" s="8" t="s">
        <v>26</v>
      </c>
      <c r="F28" s="8" t="s">
        <v>32</v>
      </c>
      <c r="G28" s="10" t="s">
        <v>122</v>
      </c>
    </row>
    <row r="29" customFormat="false" ht="15" hidden="false" customHeight="false" outlineLevel="0" collapsed="false">
      <c r="A29" s="8" t="s">
        <v>124</v>
      </c>
      <c r="B29" s="8" t="s">
        <v>50</v>
      </c>
      <c r="C29" s="18" t="n">
        <f aca="false">Assumptions!$E$34</f>
        <v>29</v>
      </c>
      <c r="D29" s="10" t="s">
        <v>125</v>
      </c>
      <c r="E29" s="8" t="s">
        <v>26</v>
      </c>
      <c r="F29" s="8" t="s">
        <v>26</v>
      </c>
      <c r="G29" s="10" t="s">
        <v>115</v>
      </c>
    </row>
    <row r="30" customFormat="false" ht="15" hidden="false" customHeight="false" outlineLevel="0" collapsed="false">
      <c r="A30" s="8" t="s">
        <v>127</v>
      </c>
      <c r="B30" s="8" t="s">
        <v>41</v>
      </c>
      <c r="C30" s="19" t="n">
        <f aca="false">Assumptions!$E$35</f>
        <v>0.06</v>
      </c>
      <c r="D30" s="10" t="s">
        <v>128</v>
      </c>
      <c r="E30" s="8" t="s">
        <v>32</v>
      </c>
      <c r="F30" s="8" t="s">
        <v>26</v>
      </c>
      <c r="G30" s="10" t="s">
        <v>75</v>
      </c>
    </row>
    <row r="31" customFormat="false" ht="15" hidden="false" customHeight="false" outlineLevel="0" collapsed="false">
      <c r="A31" s="8" t="s">
        <v>130</v>
      </c>
      <c r="B31" s="8" t="s">
        <v>41</v>
      </c>
      <c r="C31" s="19" t="n">
        <f aca="false">Assumptions!$E$36</f>
        <v>0.001</v>
      </c>
      <c r="D31" s="10" t="s">
        <v>128</v>
      </c>
      <c r="E31" s="8" t="s">
        <v>32</v>
      </c>
      <c r="F31" s="8" t="s">
        <v>32</v>
      </c>
      <c r="G31" s="10" t="s">
        <v>75</v>
      </c>
    </row>
    <row r="32" customFormat="false" ht="15" hidden="false" customHeight="false" outlineLevel="0" collapsed="false">
      <c r="A32" s="8" t="s">
        <v>132</v>
      </c>
      <c r="B32" s="8" t="s">
        <v>41</v>
      </c>
      <c r="C32" s="19" t="n">
        <f aca="false">Assumptions!$E$37</f>
        <v>0.009</v>
      </c>
      <c r="D32" s="10" t="s">
        <v>133</v>
      </c>
      <c r="E32" s="8" t="s">
        <v>26</v>
      </c>
      <c r="F32" s="8" t="s">
        <v>26</v>
      </c>
      <c r="G32" s="10" t="s">
        <v>134</v>
      </c>
    </row>
    <row r="33" customFormat="false" ht="15" hidden="false" customHeight="false" outlineLevel="0" collapsed="false">
      <c r="A33" s="8" t="s">
        <v>136</v>
      </c>
      <c r="B33" s="8" t="s">
        <v>50</v>
      </c>
      <c r="C33" s="18" t="n">
        <f aca="false">Assumptions!$E$38</f>
        <v>75</v>
      </c>
      <c r="D33" s="10" t="s">
        <v>137</v>
      </c>
      <c r="E33" s="8" t="s">
        <v>26</v>
      </c>
      <c r="F33" s="8" t="s">
        <v>32</v>
      </c>
      <c r="G33" s="10" t="s">
        <v>134</v>
      </c>
    </row>
    <row r="34" customFormat="false" ht="15" hidden="false" customHeight="false" outlineLevel="0" collapsed="false">
      <c r="A34" s="8" t="s">
        <v>139</v>
      </c>
      <c r="B34" s="8" t="s">
        <v>41</v>
      </c>
      <c r="C34" s="19" t="n">
        <f aca="false">Assumptions!$E$39</f>
        <v>0.15</v>
      </c>
      <c r="D34" s="10" t="s">
        <v>140</v>
      </c>
      <c r="E34" s="8" t="s">
        <v>32</v>
      </c>
      <c r="F34" s="8" t="s">
        <v>26</v>
      </c>
      <c r="G34" s="10" t="s">
        <v>134</v>
      </c>
    </row>
    <row r="35" customFormat="false" ht="15" hidden="false" customHeight="false" outlineLevel="0" collapsed="false">
      <c r="A35" s="8" t="s">
        <v>143</v>
      </c>
      <c r="B35" s="8" t="s">
        <v>41</v>
      </c>
      <c r="C35" s="19" t="n">
        <f aca="false">Assumptions!$E$41</f>
        <v>0.11</v>
      </c>
      <c r="D35" s="10" t="s">
        <v>144</v>
      </c>
      <c r="E35" s="8" t="s">
        <v>32</v>
      </c>
      <c r="F35" s="8" t="s">
        <v>27</v>
      </c>
      <c r="G35" s="10" t="s">
        <v>145</v>
      </c>
    </row>
    <row r="36" customFormat="false" ht="15" hidden="false" customHeight="false" outlineLevel="0" collapsed="false">
      <c r="A36" s="8" t="s">
        <v>147</v>
      </c>
      <c r="B36" s="8" t="s">
        <v>41</v>
      </c>
      <c r="C36" s="19" t="n">
        <f aca="false">Assumptions!$E$42</f>
        <v>0.06</v>
      </c>
      <c r="D36" s="10" t="s">
        <v>148</v>
      </c>
      <c r="E36" s="8" t="s">
        <v>32</v>
      </c>
      <c r="F36" s="8" t="s">
        <v>26</v>
      </c>
      <c r="G36" s="10" t="s">
        <v>145</v>
      </c>
    </row>
    <row r="37" customFormat="false" ht="15" hidden="false" customHeight="false" outlineLevel="0" collapsed="false">
      <c r="A37" s="8" t="s">
        <v>151</v>
      </c>
      <c r="B37" s="8" t="s">
        <v>50</v>
      </c>
      <c r="C37" s="18" t="n">
        <f aca="false">Assumptions!$E$44</f>
        <v>95</v>
      </c>
      <c r="D37" s="10" t="s">
        <v>152</v>
      </c>
      <c r="E37" s="8" t="s">
        <v>32</v>
      </c>
      <c r="F37" s="8" t="s">
        <v>27</v>
      </c>
      <c r="G37" s="10" t="s">
        <v>153</v>
      </c>
    </row>
    <row r="38" customFormat="false" ht="15" hidden="false" customHeight="false" outlineLevel="0" collapsed="false">
      <c r="A38" s="8" t="s">
        <v>155</v>
      </c>
      <c r="B38" s="8" t="s">
        <v>50</v>
      </c>
      <c r="C38" s="18" t="n">
        <f aca="false">Assumptions!$E$45</f>
        <v>40</v>
      </c>
      <c r="D38" s="10" t="s">
        <v>156</v>
      </c>
      <c r="E38" s="8" t="s">
        <v>26</v>
      </c>
      <c r="F38" s="8" t="s">
        <v>26</v>
      </c>
      <c r="G38" s="10" t="s">
        <v>157</v>
      </c>
    </row>
    <row r="39" customFormat="false" ht="15" hidden="false" customHeight="false" outlineLevel="0" collapsed="false">
      <c r="A39" s="8" t="s">
        <v>159</v>
      </c>
      <c r="B39" s="8" t="s">
        <v>50</v>
      </c>
      <c r="C39" s="18" t="n">
        <f aca="false">Assumptions!$E$46</f>
        <v>8</v>
      </c>
      <c r="D39" s="10" t="s">
        <v>160</v>
      </c>
      <c r="E39" s="8" t="s">
        <v>26</v>
      </c>
      <c r="F39" s="8" t="s">
        <v>26</v>
      </c>
      <c r="G39" s="10" t="s">
        <v>157</v>
      </c>
    </row>
    <row r="40" customFormat="false" ht="15" hidden="false" customHeight="false" outlineLevel="0" collapsed="false">
      <c r="A40" s="8" t="s">
        <v>162</v>
      </c>
      <c r="B40" s="8" t="s">
        <v>50</v>
      </c>
      <c r="C40" s="18" t="n">
        <f aca="false">Assumptions!$E$47</f>
        <v>15</v>
      </c>
      <c r="D40" s="10" t="s">
        <v>163</v>
      </c>
      <c r="E40" s="8" t="s">
        <v>26</v>
      </c>
      <c r="F40" s="8" t="s">
        <v>32</v>
      </c>
      <c r="G40" s="10" t="s">
        <v>153</v>
      </c>
    </row>
    <row r="41" customFormat="false" ht="15" hidden="false" customHeight="false" outlineLevel="0" collapsed="false">
      <c r="A41" s="8" t="s">
        <v>165</v>
      </c>
      <c r="B41" s="8" t="s">
        <v>50</v>
      </c>
      <c r="C41" s="18" t="n">
        <f aca="false">Assumptions!$E$48</f>
        <v>80</v>
      </c>
      <c r="D41" s="10" t="s">
        <v>166</v>
      </c>
      <c r="E41" s="8" t="s">
        <v>26</v>
      </c>
      <c r="F41" s="8" t="s">
        <v>32</v>
      </c>
      <c r="G41" s="10" t="s">
        <v>122</v>
      </c>
    </row>
    <row r="42" customFormat="false" ht="15" hidden="false" customHeight="false" outlineLevel="0" collapsed="false">
      <c r="A42" s="8" t="s">
        <v>168</v>
      </c>
      <c r="B42" s="8" t="s">
        <v>41</v>
      </c>
      <c r="C42" s="19" t="n">
        <f aca="false">Assumptions!$E$49</f>
        <v>0.029</v>
      </c>
      <c r="D42" s="10" t="s">
        <v>169</v>
      </c>
      <c r="E42" s="8" t="s">
        <v>27</v>
      </c>
      <c r="F42" s="8" t="s">
        <v>32</v>
      </c>
      <c r="G42" s="10" t="s">
        <v>170</v>
      </c>
    </row>
    <row r="43" customFormat="false" ht="15" hidden="false" customHeight="false" outlineLevel="0" collapsed="false">
      <c r="A43" s="8" t="s">
        <v>172</v>
      </c>
      <c r="B43" s="8" t="s">
        <v>41</v>
      </c>
      <c r="C43" s="19" t="n">
        <f aca="false">Assumptions!$E$50</f>
        <v>0.035</v>
      </c>
      <c r="D43" s="10" t="s">
        <v>173</v>
      </c>
      <c r="E43" s="8" t="s">
        <v>26</v>
      </c>
      <c r="F43" s="8" t="s">
        <v>26</v>
      </c>
      <c r="G43" s="10" t="s">
        <v>174</v>
      </c>
    </row>
    <row r="44" customFormat="false" ht="15" hidden="false" customHeight="false" outlineLevel="0" collapsed="false">
      <c r="A44" s="8" t="s">
        <v>176</v>
      </c>
      <c r="B44" s="8" t="s">
        <v>50</v>
      </c>
      <c r="C44" s="18" t="n">
        <f aca="false">Assumptions!$E$51</f>
        <v>5</v>
      </c>
      <c r="D44" s="10" t="s">
        <v>177</v>
      </c>
      <c r="E44" s="8" t="s">
        <v>26</v>
      </c>
      <c r="F44" s="8" t="s">
        <v>32</v>
      </c>
      <c r="G44" s="10" t="s">
        <v>178</v>
      </c>
    </row>
    <row r="45" customFormat="false" ht="15" hidden="false" customHeight="false" outlineLevel="0" collapsed="false">
      <c r="A45" s="8" t="s">
        <v>180</v>
      </c>
      <c r="B45" s="8" t="s">
        <v>41</v>
      </c>
      <c r="C45" s="19" t="n">
        <f aca="false">Assumptions!$E$52</f>
        <v>0.35</v>
      </c>
      <c r="D45" s="10" t="s">
        <v>181</v>
      </c>
      <c r="E45" s="8" t="s">
        <v>26</v>
      </c>
      <c r="F45" s="8" t="s">
        <v>32</v>
      </c>
      <c r="G45" s="10" t="s">
        <v>182</v>
      </c>
    </row>
    <row r="46" customFormat="false" ht="15" hidden="false" customHeight="false" outlineLevel="0" collapsed="false">
      <c r="A46" s="8" t="s">
        <v>184</v>
      </c>
      <c r="B46" s="8" t="s">
        <v>50</v>
      </c>
      <c r="C46" s="18" t="n">
        <f aca="false">Assumptions!$E$53</f>
        <v>8</v>
      </c>
      <c r="D46" s="10" t="s">
        <v>185</v>
      </c>
      <c r="E46" s="8" t="s">
        <v>26</v>
      </c>
      <c r="F46" s="8" t="s">
        <v>32</v>
      </c>
      <c r="G46" s="10" t="s">
        <v>186</v>
      </c>
    </row>
    <row r="47" customFormat="false" ht="15" hidden="false" customHeight="false" outlineLevel="0" collapsed="false">
      <c r="A47" s="8" t="s">
        <v>188</v>
      </c>
      <c r="B47" s="8" t="s">
        <v>50</v>
      </c>
      <c r="C47" s="18" t="n">
        <f aca="false">Assumptions!$E$54</f>
        <v>2</v>
      </c>
      <c r="D47" s="10" t="s">
        <v>189</v>
      </c>
      <c r="E47" s="8" t="s">
        <v>26</v>
      </c>
      <c r="F47" s="8" t="s">
        <v>32</v>
      </c>
      <c r="G47" s="10" t="s">
        <v>190</v>
      </c>
    </row>
    <row r="48" customFormat="false" ht="15" hidden="false" customHeight="false" outlineLevel="0" collapsed="false">
      <c r="A48" s="8" t="s">
        <v>193</v>
      </c>
      <c r="B48" s="8" t="s">
        <v>50</v>
      </c>
      <c r="C48" s="18" t="n">
        <f aca="false">Assumptions!$E$56</f>
        <v>60000</v>
      </c>
      <c r="D48" s="10" t="s">
        <v>194</v>
      </c>
      <c r="E48" s="8" t="s">
        <v>26</v>
      </c>
      <c r="F48" s="8" t="s">
        <v>26</v>
      </c>
      <c r="G48" s="10" t="s">
        <v>195</v>
      </c>
    </row>
    <row r="49" customFormat="false" ht="15" hidden="false" customHeight="false" outlineLevel="0" collapsed="false">
      <c r="A49" s="8" t="s">
        <v>197</v>
      </c>
      <c r="B49" s="8" t="s">
        <v>50</v>
      </c>
      <c r="C49" s="18" t="n">
        <f aca="false">Assumptions!$E$57</f>
        <v>120000</v>
      </c>
      <c r="D49" s="10" t="s">
        <v>198</v>
      </c>
      <c r="E49" s="8" t="s">
        <v>26</v>
      </c>
      <c r="F49" s="8" t="s">
        <v>26</v>
      </c>
      <c r="G49" s="10" t="s">
        <v>195</v>
      </c>
    </row>
    <row r="50" customFormat="false" ht="15" hidden="false" customHeight="false" outlineLevel="0" collapsed="false">
      <c r="A50" s="8" t="s">
        <v>200</v>
      </c>
      <c r="B50" s="8" t="s">
        <v>50</v>
      </c>
      <c r="C50" s="18" t="n">
        <f aca="false">Assumptions!$E$58</f>
        <v>180000</v>
      </c>
      <c r="D50" s="10" t="s">
        <v>201</v>
      </c>
      <c r="E50" s="8" t="s">
        <v>26</v>
      </c>
      <c r="F50" s="8" t="s">
        <v>26</v>
      </c>
      <c r="G50" s="10" t="s">
        <v>195</v>
      </c>
    </row>
    <row r="51" customFormat="false" ht="15" hidden="false" customHeight="false" outlineLevel="0" collapsed="false">
      <c r="A51" s="8" t="s">
        <v>203</v>
      </c>
      <c r="B51" s="8" t="s">
        <v>50</v>
      </c>
      <c r="C51" s="18" t="n">
        <f aca="false">Assumptions!$E$59</f>
        <v>260000</v>
      </c>
      <c r="D51" s="10"/>
      <c r="E51" s="8" t="s">
        <v>32</v>
      </c>
      <c r="F51" s="8" t="s">
        <v>26</v>
      </c>
      <c r="G51" s="10" t="s">
        <v>195</v>
      </c>
    </row>
    <row r="52" customFormat="false" ht="15" hidden="false" customHeight="false" outlineLevel="0" collapsed="false">
      <c r="A52" s="8" t="s">
        <v>205</v>
      </c>
      <c r="B52" s="8" t="s">
        <v>50</v>
      </c>
      <c r="C52" s="18" t="n">
        <f aca="false">Assumptions!$E$60</f>
        <v>340000</v>
      </c>
      <c r="D52" s="10"/>
      <c r="E52" s="8" t="s">
        <v>32</v>
      </c>
      <c r="F52" s="8" t="s">
        <v>26</v>
      </c>
      <c r="G52" s="10" t="s">
        <v>195</v>
      </c>
    </row>
    <row r="53" customFormat="false" ht="15" hidden="false" customHeight="false" outlineLevel="0" collapsed="false">
      <c r="A53" s="8" t="s">
        <v>207</v>
      </c>
      <c r="B53" s="8" t="s">
        <v>50</v>
      </c>
      <c r="C53" s="18" t="n">
        <f aca="false">Assumptions!$E$61</f>
        <v>20000</v>
      </c>
      <c r="D53" s="10" t="s">
        <v>208</v>
      </c>
      <c r="E53" s="8" t="s">
        <v>26</v>
      </c>
      <c r="F53" s="8" t="s">
        <v>32</v>
      </c>
      <c r="G53" s="10" t="s">
        <v>209</v>
      </c>
    </row>
    <row r="54" customFormat="false" ht="15" hidden="false" customHeight="false" outlineLevel="0" collapsed="false">
      <c r="A54" s="8" t="s">
        <v>211</v>
      </c>
      <c r="B54" s="8" t="s">
        <v>50</v>
      </c>
      <c r="C54" s="18" t="n">
        <f aca="false">Assumptions!$E$62</f>
        <v>12000</v>
      </c>
      <c r="D54" s="10" t="s">
        <v>212</v>
      </c>
      <c r="E54" s="8" t="s">
        <v>26</v>
      </c>
      <c r="F54" s="8" t="s">
        <v>32</v>
      </c>
      <c r="G54" s="10" t="s">
        <v>122</v>
      </c>
    </row>
    <row r="55" customFormat="false" ht="15" hidden="false" customHeight="false" outlineLevel="0" collapsed="false">
      <c r="A55" s="8" t="s">
        <v>214</v>
      </c>
      <c r="B55" s="8" t="s">
        <v>50</v>
      </c>
      <c r="C55" s="18" t="n">
        <f aca="false">Assumptions!$E$63</f>
        <v>30000</v>
      </c>
      <c r="D55" s="10" t="s">
        <v>215</v>
      </c>
      <c r="E55" s="8" t="s">
        <v>26</v>
      </c>
      <c r="F55" s="8" t="s">
        <v>26</v>
      </c>
      <c r="G55" s="10" t="s">
        <v>122</v>
      </c>
    </row>
    <row r="56" customFormat="false" ht="15" hidden="false" customHeight="false" outlineLevel="0" collapsed="false">
      <c r="A56" s="8" t="s">
        <v>217</v>
      </c>
      <c r="B56" s="8" t="s">
        <v>50</v>
      </c>
      <c r="C56" s="18" t="n">
        <f aca="false">Assumptions!$E$64</f>
        <v>60000</v>
      </c>
      <c r="D56" s="10" t="s">
        <v>218</v>
      </c>
      <c r="E56" s="8" t="s">
        <v>26</v>
      </c>
      <c r="F56" s="8" t="s">
        <v>32</v>
      </c>
      <c r="G56" s="10" t="s">
        <v>219</v>
      </c>
    </row>
    <row r="57" customFormat="false" ht="15" hidden="false" customHeight="false" outlineLevel="0" collapsed="false">
      <c r="A57" s="8" t="s">
        <v>221</v>
      </c>
      <c r="B57" s="8" t="s">
        <v>50</v>
      </c>
      <c r="C57" s="18" t="n">
        <f aca="false">Assumptions!$E$65</f>
        <v>50000</v>
      </c>
      <c r="D57" s="10" t="s">
        <v>222</v>
      </c>
      <c r="E57" s="8" t="s">
        <v>26</v>
      </c>
      <c r="F57" s="8" t="s">
        <v>32</v>
      </c>
      <c r="G57" s="10" t="s">
        <v>223</v>
      </c>
    </row>
    <row r="58" customFormat="false" ht="15" hidden="false" customHeight="false" outlineLevel="0" collapsed="false">
      <c r="A58" s="8" t="s">
        <v>225</v>
      </c>
      <c r="B58" s="8" t="s">
        <v>50</v>
      </c>
      <c r="C58" s="18" t="n">
        <f aca="false">Assumptions!$E$66</f>
        <v>20000</v>
      </c>
      <c r="D58" s="10" t="s">
        <v>226</v>
      </c>
      <c r="E58" s="8" t="s">
        <v>26</v>
      </c>
      <c r="F58" s="8" t="s">
        <v>32</v>
      </c>
      <c r="G58" s="10" t="s">
        <v>223</v>
      </c>
    </row>
    <row r="59" customFormat="false" ht="15" hidden="false" customHeight="false" outlineLevel="0" collapsed="false">
      <c r="A59" s="8" t="s">
        <v>228</v>
      </c>
      <c r="B59" s="8" t="s">
        <v>50</v>
      </c>
      <c r="C59" s="18" t="n">
        <f aca="false">Assumptions!$E$67</f>
        <v>8000</v>
      </c>
      <c r="D59" s="10" t="s">
        <v>229</v>
      </c>
      <c r="E59" s="8" t="s">
        <v>26</v>
      </c>
      <c r="F59" s="8" t="s">
        <v>32</v>
      </c>
      <c r="G59" s="10" t="s">
        <v>230</v>
      </c>
    </row>
    <row r="60" customFormat="false" ht="15" hidden="false" customHeight="false" outlineLevel="0" collapsed="false">
      <c r="A60" s="8" t="s">
        <v>232</v>
      </c>
      <c r="B60" s="8" t="s">
        <v>50</v>
      </c>
      <c r="C60" s="18" t="n">
        <f aca="false">Assumptions!$E$68</f>
        <v>25000</v>
      </c>
      <c r="D60" s="10" t="s">
        <v>233</v>
      </c>
      <c r="E60" s="8" t="s">
        <v>26</v>
      </c>
      <c r="F60" s="8" t="s">
        <v>32</v>
      </c>
      <c r="G60" s="10" t="s">
        <v>234</v>
      </c>
    </row>
    <row r="61" customFormat="false" ht="15" hidden="false" customHeight="false" outlineLevel="0" collapsed="false">
      <c r="A61" s="8" t="s">
        <v>236</v>
      </c>
      <c r="B61" s="8" t="s">
        <v>50</v>
      </c>
      <c r="C61" s="18" t="n">
        <f aca="false">Assumptions!$E$69</f>
        <v>40000</v>
      </c>
      <c r="D61" s="10"/>
      <c r="E61" s="8" t="s">
        <v>26</v>
      </c>
      <c r="F61" s="8" t="s">
        <v>32</v>
      </c>
      <c r="G61" s="10" t="s">
        <v>234</v>
      </c>
    </row>
    <row r="62" customFormat="false" ht="15" hidden="false" customHeight="false" outlineLevel="0" collapsed="false">
      <c r="A62" s="8" t="s">
        <v>238</v>
      </c>
      <c r="B62" s="8" t="s">
        <v>50</v>
      </c>
      <c r="C62" s="18" t="n">
        <f aca="false">Assumptions!$E$70</f>
        <v>90000</v>
      </c>
      <c r="D62" s="10" t="s">
        <v>239</v>
      </c>
      <c r="E62" s="8" t="s">
        <v>26</v>
      </c>
      <c r="F62" s="8" t="s">
        <v>32</v>
      </c>
      <c r="G62" s="10" t="s">
        <v>234</v>
      </c>
    </row>
    <row r="63" customFormat="false" ht="15" hidden="false" customHeight="false" outlineLevel="0" collapsed="false">
      <c r="A63" s="8" t="s">
        <v>241</v>
      </c>
      <c r="B63" s="8" t="s">
        <v>50</v>
      </c>
      <c r="C63" s="18" t="n">
        <f aca="false">Assumptions!$E$71</f>
        <v>25000</v>
      </c>
      <c r="D63" s="10" t="s">
        <v>242</v>
      </c>
      <c r="E63" s="8" t="s">
        <v>26</v>
      </c>
      <c r="F63" s="8" t="s">
        <v>26</v>
      </c>
      <c r="G63" s="10" t="s">
        <v>243</v>
      </c>
    </row>
    <row r="64" customFormat="false" ht="15" hidden="false" customHeight="false" outlineLevel="0" collapsed="false">
      <c r="A64" s="8" t="s">
        <v>245</v>
      </c>
      <c r="B64" s="8" t="s">
        <v>50</v>
      </c>
      <c r="C64" s="18" t="n">
        <f aca="false">Assumptions!$E$72</f>
        <v>50000</v>
      </c>
      <c r="D64" s="10"/>
      <c r="E64" s="8" t="s">
        <v>26</v>
      </c>
      <c r="F64" s="8" t="s">
        <v>26</v>
      </c>
      <c r="G64" s="10" t="s">
        <v>243</v>
      </c>
    </row>
    <row r="65" customFormat="false" ht="15" hidden="false" customHeight="false" outlineLevel="0" collapsed="false">
      <c r="A65" s="8" t="s">
        <v>248</v>
      </c>
      <c r="B65" s="8" t="s">
        <v>249</v>
      </c>
      <c r="C65" s="37" t="n">
        <f aca="false">Assumptions!$E$74</f>
        <v>1</v>
      </c>
      <c r="D65" s="10" t="s">
        <v>250</v>
      </c>
      <c r="E65" s="8" t="s">
        <v>251</v>
      </c>
      <c r="F65" s="8" t="s">
        <v>27</v>
      </c>
      <c r="G65" s="10" t="s">
        <v>252</v>
      </c>
    </row>
    <row r="66" customFormat="false" ht="15" hidden="false" customHeight="false" outlineLevel="0" collapsed="false">
      <c r="A66" s="8" t="s">
        <v>254</v>
      </c>
      <c r="B66" s="8" t="s">
        <v>50</v>
      </c>
      <c r="C66" s="18" t="n">
        <f aca="false">Assumptions!$E$75</f>
        <v>30000</v>
      </c>
      <c r="D66" s="10" t="s">
        <v>255</v>
      </c>
      <c r="E66" s="8" t="s">
        <v>32</v>
      </c>
      <c r="F66" s="8" t="s">
        <v>27</v>
      </c>
      <c r="G66" s="10" t="s">
        <v>256</v>
      </c>
    </row>
    <row r="67" customFormat="false" ht="15" hidden="false" customHeight="false" outlineLevel="0" collapsed="false">
      <c r="A67" s="8" t="s">
        <v>258</v>
      </c>
      <c r="B67" s="8" t="s">
        <v>41</v>
      </c>
      <c r="C67" s="19" t="n">
        <f aca="false">Assumptions!$E$76</f>
        <v>0.03</v>
      </c>
      <c r="D67" s="10" t="s">
        <v>259</v>
      </c>
      <c r="E67" s="8" t="s">
        <v>32</v>
      </c>
      <c r="F67" s="8" t="s">
        <v>27</v>
      </c>
      <c r="G67" s="10" t="s">
        <v>256</v>
      </c>
    </row>
    <row r="68" customFormat="false" ht="15" hidden="false" customHeight="false" outlineLevel="0" collapsed="false">
      <c r="A68" s="8" t="s">
        <v>261</v>
      </c>
      <c r="B68" s="8" t="s">
        <v>41</v>
      </c>
      <c r="C68" s="19" t="n">
        <f aca="false">Assumptions!$E$77</f>
        <v>0.08</v>
      </c>
      <c r="D68" s="10" t="s">
        <v>262</v>
      </c>
      <c r="E68" s="8" t="s">
        <v>32</v>
      </c>
      <c r="F68" s="8" t="s">
        <v>251</v>
      </c>
      <c r="G68" s="10" t="s">
        <v>256</v>
      </c>
    </row>
    <row r="69" customFormat="false" ht="15" hidden="false" customHeight="false" outlineLevel="0" collapsed="false">
      <c r="A69" s="8" t="s">
        <v>264</v>
      </c>
      <c r="B69" s="8" t="s">
        <v>265</v>
      </c>
      <c r="C69" s="37" t="n">
        <f aca="false">Assumptions!$E$78</f>
        <v>1.25</v>
      </c>
      <c r="D69" s="10" t="s">
        <v>266</v>
      </c>
      <c r="E69" s="8" t="s">
        <v>32</v>
      </c>
      <c r="F69" s="8" t="s">
        <v>27</v>
      </c>
      <c r="G69" s="10" t="s">
        <v>267</v>
      </c>
    </row>
    <row r="70" customFormat="false" ht="15" hidden="false" customHeight="false" outlineLevel="0" collapsed="false">
      <c r="A70" s="8" t="s">
        <v>270</v>
      </c>
      <c r="B70" s="8" t="s">
        <v>271</v>
      </c>
      <c r="C70" s="37" t="n">
        <f aca="false">Assumptions!$E$80</f>
        <v>1.5</v>
      </c>
      <c r="D70" s="10" t="s">
        <v>272</v>
      </c>
      <c r="E70" s="8" t="s">
        <v>26</v>
      </c>
      <c r="F70" s="8" t="s">
        <v>32</v>
      </c>
      <c r="G70" s="10" t="s">
        <v>273</v>
      </c>
    </row>
    <row r="71" customFormat="false" ht="15" hidden="false" customHeight="false" outlineLevel="0" collapsed="false">
      <c r="A71" s="8" t="s">
        <v>275</v>
      </c>
      <c r="B71" s="8" t="s">
        <v>50</v>
      </c>
      <c r="C71" s="18" t="n">
        <f aca="false">Assumptions!$E$81</f>
        <v>0</v>
      </c>
      <c r="D71" s="10" t="s">
        <v>276</v>
      </c>
      <c r="E71" s="8" t="s">
        <v>251</v>
      </c>
      <c r="F71" s="8" t="s">
        <v>251</v>
      </c>
      <c r="G71" s="10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2026-09-02T08:42:10Z</dcterms:created>
  <dc:creator>openpyxl</dc:creator>
  <dc:description/>
  <dc:language>en-US</dc:language>
  <cp:lastModifiedBy/>
  <dcterms:modified xsi:type="dcterms:W3CDTF">2026-09-02T08:42:10Z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