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_Me" sheetId="1" state="visible" r:id="rId3"/>
    <sheet name="Assumptions" sheetId="2" state="visible" r:id="rId4"/>
    <sheet name="Summary" sheetId="3" state="visible" r:id="rId5"/>
    <sheet name="Unit_Economics" sheetId="4" state="visible" r:id="rId6"/>
    <sheet name="Sensitivity" sheetId="5" state="visible" r:id="rId7"/>
    <sheet name="Partner_Economics" sheetId="6" state="visible" r:id="rId8"/>
    <sheet name="Provider_Diligence" sheetId="7" state="visible" r:id="rId9"/>
    <sheet name="Benchmarks" sheetId="8" state="visible" r:id="rId10"/>
    <sheet name="Paid_Media" sheetId="9" state="visible" r:id="rId11"/>
    <sheet name="Model_Conservative" sheetId="10" state="visible" r:id="rId12"/>
    <sheet name="Model_Baseline" sheetId="11" state="visible" r:id="rId13"/>
    <sheet name="Model_Aggressive" sheetId="12" state="visible" r:id="rId14"/>
    <sheet name="Model_No_Partner" sheetId="13" state="visible" r:id="rId15"/>
    <sheet name="Model_Weak_Audience" sheetId="14" state="visible" r:id="rId16"/>
    <sheet name="Model_Weak_Retention"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<sst xmlns="http://schemas.openxmlformats.org/spreadsheetml/2006/main" count="2456" uniqueCount="843">
  <si>
    <t xml:space="preserve">Reserve Clinic - Margin and Growth Model</t>
  </si>
  <si>
    <t xml:space="preserve">What this is</t>
  </si>
  <si>
    <t xml:space="preserve">A driver-based 36-month model of a two-line peptide and supplement business: a non-prescription supplement line that can trade in all fifty states, and a prescription telehealth line fulfilled by 503A and 503B pharmacies whose state footprint expands over time. It is built for the specific operating structure the project owner described, including a turnkey compliance-and-fulfilment provider at a flat $600 per month. Paid media is modelled as three separately-priced tiers rather than one blended number, because that is the mechanism by which a brand partner's audience lowers acquisition cost. Four columns: Conservative, Baseline, Aggressive, and Baseline with no brand partner at all.</t>
  </si>
  <si>
    <t xml:space="preserve">What it is not</t>
  </si>
  <si>
    <t xml:space="preserve">Not a forecast, not a valuation, and not legal, medical, tax or investment advice. The outputs follow arithmetically from the drivers on the Assumptions sheet. Change a driver and the answer changes. Several of the most consequential drivers rest on analyst assumptions rather than measurements, and those are labelled Low confidence with a stated validation method.</t>
  </si>
  <si>
    <t xml:space="preserve">Status of the people named</t>
  </si>
  <si>
    <t xml:space="preserve">The proposed brand partner and the proposed medical co-founder are treated strictly as proposed. No public evidence connects either to this venture, no agreement exists, and nothing in this workbook is an offer or implies endorsement, ownership or authorisation. Partner compensation figures are illustrative arithmetic, not terms.</t>
  </si>
  <si>
    <t xml:space="preserve">Colour key</t>
  </si>
  <si>
    <t xml:space="preserve">Blue = editable input, on the Assumptions sheet only; bold blue in the last column marks a driver the no-partner case overrides. Black = formula. Green = link to another sheet. Yellow fill = high-sensitivity driver: get these wrong and the answer changes materially. Grey fill = the no-partner comparison column. Peach fill = a caution the reader should not skip.</t>
  </si>
  <si>
    <t xml:space="preserve">Sheet order</t>
  </si>
  <si>
    <t xml:space="preserve">Summary reads the four columns side by side. Unit_Economics shows where margin comes from per order and per member-month. Paid_Media explains the three ad tiers and what the structure does and does not claim. Sensitivity holds four grids: prescription LTV:CAC by churn and CAC, partner-driven sessions by reach and click-through, blended gross margin by COGS and pharmacy cost, and paid CAC by spend level with and without the partner. Partner_Economics is illustrative deal arithmetic. Provider_Diligence is the twenty questions to answer in writing before signing. Benchmarks is the evidence. Assumptions holds every input. The four Model_ sheets are the monthly grids.</t>
  </si>
  <si>
    <t xml:space="preserve">What the fourth column is for</t>
  </si>
  <si>
    <t xml:space="preserve">Model_No_Partner is the same business with no brand partner. Organic search, pricing, cost structure, the provider, the team plan and the whole operating base are held identical; only the four things the partnership actually supplies differ, namely the partner's own social traffic, the branded-search and engagement-retargeting inventory that traffic creates, the creative lift on cold prospecting, and the partner's compensation. It exists so that the partnership's contribution is a number rather than an assertion. Holding organic and press identical understates rather than flatters the partnership.</t>
  </si>
  <si>
    <t xml:space="preserve">On the claim that a celebrity buys a better CAC</t>
  </si>
  <si>
    <t xml:space="preserve">The model does not assume it. It derives it, through three mechanisms with explicit ceilings, and then applies an incrementality haircut to the two warm tiers because the evidence demands one: holdout tests show only 25-30% of retargeting conversions are incremental. Sensitivity grid 4 is the like-for-like answer, holding everything else equal. Two results matter. Blended CAC RISES with spend in every scenario, because of the auction; any model where it falls with scale has no competition in it. And the partnership's advantage is largest on the first tranche of spend and narrows as budget grows, which is an argument for spending into it early rather than trickling it.</t>
  </si>
  <si>
    <t xml:space="preserve">The four things most likely to be wrong</t>
  </si>
  <si>
    <t xml:space="preserve">1. Audience conversion. Reach per post and click-through are multiplied together and neither is measured; Sensitivity grid 2 shows the spread. 2. The partner-creative cost discount. No study quantifying celebrity or recognisable-face advertising lift was retrievable (B20); the supporting evidence is only general. A creative A/B test with and without the partner in month one is how this stops being an assumption. 3. Prescription retention. Benchmark B17 puts real-world discontinuation near 65% at twelve months; Sensitivity grid 1 shows that above roughly 15% monthly churn the prescription line does not pay for its own acquisition at any plausible CAC. 4. The provider's scope. A $600 flat fee is roughly one fifth of the low end of published market pricing for comparable turnkey telehealth infrastructure, so the model assumes it covers software and administration only and carries every variable cost separately.</t>
  </si>
  <si>
    <t xml:space="preserve">Structural limits the model encodes deliberately</t>
  </si>
  <si>
    <t xml:space="preserve">Fifty-state coverage applies to the non-prescription line only. The prescription line ramps from 26-45% of the US population at launch to a 70-88% ceiling, because asynchronous-prescribing rules, corporate-practice-of-medicine limits and the section 503A(b)(3) five percent interstate distribution cap all constrain it. FDA's compounding memorandum-of-understanding index currently lists three MOUs, all suspended, and FDA has repeatedly deferred enforcement of the five percent limit pending rulemaking. Deferred enforcement is discretionary and revocable. Every one of these areas needs qualified counsel: FDA and pharmacy regulatory, corporate practice of medicine, healthcare privacy, advertising and endorsement, consumer protection and auto-renewal, and intellectual property.</t>
  </si>
  <si>
    <t xml:space="preserve">Prepared</t>
  </si>
  <si>
    <t xml:space="preserve">2026-09-18. Rebuild with: python3 build/build_margin_model.py outputs/09_ReserveClinic_Margin_and_Growth_Model.xlsx, then recalculate with LibreOffice, then python3 build/extract_margin_values.py and python3 build/build_margin_proposal.py.</t>
  </si>
  <si>
    <t xml:space="preserve">Reserve Clinic - Margin and Growth Model: Assumptions</t>
  </si>
  <si>
    <t xml:space="preserve">Blue cells are the only inputs. Six scenario columns drive the six Model_ sheets. Columns G, H and I each equal Baseline on every driver except the ones shown in bold: G removes the brand partnership, H moves only the audience drivers to their Conservative values, and I moves only the churn drivers. G measures what the partnership contributes; H and I test whether any single factor can sink the business on its own. Yellow fill marks high-sensitivity drivers. Prepared 2026-09-18. Proposed concept: the brand partner's and the medical co-founder's participation is unverified and subject to definitive agreements. Not legal, medical, tax or investment advice.</t>
  </si>
  <si>
    <t xml:space="preserve">Key</t>
  </si>
  <si>
    <t xml:space="preserve">Driver</t>
  </si>
  <si>
    <t xml:space="preserve">Unit</t>
  </si>
  <si>
    <t xml:space="preserve">Conservative</t>
  </si>
  <si>
    <t xml:space="preserve">Baseline</t>
  </si>
  <si>
    <t xml:space="preserve">Aggressive</t>
  </si>
  <si>
    <t xml:space="preserve">Baseline, no partner</t>
  </si>
  <si>
    <t xml:space="preserve">Baseline, weak audience</t>
  </si>
  <si>
    <t xml:space="preserve">Baseline, weak retention</t>
  </si>
  <si>
    <t xml:space="preserve">Rationale / source</t>
  </si>
  <si>
    <t xml:space="preserve">Confidence</t>
  </si>
  <si>
    <t xml:space="preserve">Sensitivity</t>
  </si>
  <si>
    <t xml:space="preserve">Validation method</t>
  </si>
  <si>
    <t xml:space="preserve">Timing and sequencing</t>
  </si>
  <si>
    <t xml:space="preserve">nonrx_launch</t>
  </si>
  <si>
    <t xml:space="preserve">Non-prescription line goes live (model month)</t>
  </si>
  <si>
    <t xml:space="preserve">month</t>
  </si>
  <si>
    <t xml:space="preserve">Supplement line needs only manufacturing, label/claims review and a storefront. Conservative allows one month of slippage on label review.</t>
  </si>
  <si>
    <t xml:space="preserve">High</t>
  </si>
  <si>
    <t xml:space="preserve">Medium</t>
  </si>
  <si>
    <t xml:space="preserve">Phase exit checklist</t>
  </si>
  <si>
    <t xml:space="preserve">rx_launch</t>
  </si>
  <si>
    <t xml:space="preserve">Prescription telehealth line goes live (model month)</t>
  </si>
  <si>
    <t xml:space="preserve">Requires the provider agreement, physician entity, pharmacy contracts, LegitScript certification and a state-by-state licensure map. Benchmark B10, B11.</t>
  </si>
  <si>
    <t xml:space="preserve">Counsel and provider go-live sign-off</t>
  </si>
  <si>
    <t xml:space="preserve">Audience engine (the proposed brand partner's reach)</t>
  </si>
  <si>
    <t xml:space="preserve">followers</t>
  </si>
  <si>
    <t xml:space="preserve">Proposed brand partner Instagram followers</t>
  </si>
  <si>
    <t xml:space="preserve">#</t>
  </si>
  <si>
    <t xml:space="preserve">Third-party trackers report 27,410,219 as of June 2026 (range 27.0M-28.3M). Benchmark B16. Held constant across scenarios because it is measured, not chosen. NOT an audited or first-party figure.</t>
  </si>
  <si>
    <t xml:space="preserve">First-party creator analytics export</t>
  </si>
  <si>
    <t xml:space="preserve">posts_per_month</t>
  </si>
  <si>
    <t xml:space="preserve">Brand posts per month by the partner (feed plus reels)</t>
  </si>
  <si>
    <t xml:space="preserve">A contract deliverable, not a market variable. Set to whatever the agreement actually obliges.</t>
  </si>
  <si>
    <t xml:space="preserve">n/a</t>
  </si>
  <si>
    <t xml:space="preserve">Signed content schedule</t>
  </si>
  <si>
    <t xml:space="preserve">reach_pct</t>
  </si>
  <si>
    <t xml:space="preserve">Reach per brand post as a share of followers</t>
  </si>
  <si>
    <t xml:space="preserve">%</t>
  </si>
  <si>
    <t xml:space="preserve">Analyst assumption bounded by benchmark B15: the 10M-plus tier averages ~1.77% ENGAGEMENT; reach exceeds engagement but organic reach at this tier is heavily throttled and branded content more so. Reels reach higher than static.</t>
  </si>
  <si>
    <t xml:space="preserve">Low</t>
  </si>
  <si>
    <t xml:space="preserve">Creator-account reach data, first 60 days</t>
  </si>
  <si>
    <t xml:space="preserve">ctr_reach</t>
  </si>
  <si>
    <t xml:space="preserve">Click-through to site per reached impression</t>
  </si>
  <si>
    <t xml:space="preserve">Analyst assumption. No tier-level link-click benchmark was retrievable (benchmark B15 notes this gap). This is the single least-evidenced driver in the model.</t>
  </si>
  <si>
    <t xml:space="preserve">UTM-tagged link data, first 30 days</t>
  </si>
  <si>
    <t xml:space="preserve">attn_decay</t>
  </si>
  <si>
    <t xml:space="preserve">Monthly decay of partner-driven traffic toward a floor</t>
  </si>
  <si>
    <t xml:space="preserve">Analyst assumption. Celebrity launch demand spikes then settles; benchmark B14 notes IM8's founders deliberately did not rely on fame for durability.</t>
  </si>
  <si>
    <t xml:space="preserve">Cohort traffic by source, monthly</t>
  </si>
  <si>
    <t xml:space="preserve">attn_floor</t>
  </si>
  <si>
    <t xml:space="preserve">Floor for partner-driven traffic as a share of the launch peak</t>
  </si>
  <si>
    <t xml:space="preserve">Analyst assumption. Represents the durable follower demand that persists after novelty.</t>
  </si>
  <si>
    <t xml:space="preserve">launch_spike</t>
  </si>
  <si>
    <t xml:space="preserve">Launch-month multiplier on partner-driven traffic</t>
  </si>
  <si>
    <t xml:space="preserve">x</t>
  </si>
  <si>
    <t xml:space="preserve">Announcement window concentrates attention. Analyst assumption.</t>
  </si>
  <si>
    <t xml:space="preserve">Launch-week analytics</t>
  </si>
  <si>
    <t xml:space="preserve">Other traffic</t>
  </si>
  <si>
    <t xml:space="preserve">organic_m1</t>
  </si>
  <si>
    <t xml:space="preserve">Organic and direct sessions, month 1</t>
  </si>
  <si>
    <t xml:space="preserve">sessions</t>
  </si>
  <si>
    <t xml:space="preserve">New domain with an editorial library. Analyst assumption.</t>
  </si>
  <si>
    <t xml:space="preserve">GA4 after month 1</t>
  </si>
  <si>
    <t xml:space="preserve">organic_growth</t>
  </si>
  <si>
    <t xml:space="preserve">Organic monthly growth rate</t>
  </si>
  <si>
    <t xml:space="preserve">Content-led SEO compounding from a small base. Analyst inference.</t>
  </si>
  <si>
    <t xml:space="preserve">Search Console trend</t>
  </si>
  <si>
    <t xml:space="preserve">organic_cap</t>
  </si>
  <si>
    <t xml:space="preserve">Organic and direct sessions ceiling</t>
  </si>
  <si>
    <t xml:space="preserve">Caps compounding; category search demand is finite. Analyst inference.</t>
  </si>
  <si>
    <t xml:space="preserve">Search Console</t>
  </si>
  <si>
    <t xml:space="preserve">paid_pre</t>
  </si>
  <si>
    <t xml:space="preserve">Paid media per month before the non-Rx launch</t>
  </si>
  <si>
    <t xml:space="preserve">$</t>
  </si>
  <si>
    <t xml:space="preserve">Waitlist and audience building only.</t>
  </si>
  <si>
    <t xml:space="preserve">Budget actuals</t>
  </si>
  <si>
    <t xml:space="preserve">paid_floor</t>
  </si>
  <si>
    <t xml:space="preserve">Minimum paid media per month after launch</t>
  </si>
  <si>
    <t xml:space="preserve">Keeps a spend floor while revenue is small.</t>
  </si>
  <si>
    <t xml:space="preserve">paid_pct</t>
  </si>
  <si>
    <t xml:space="preserve">Paid media as a share of prior-month net revenue</t>
  </si>
  <si>
    <t xml:space="preserve">Benchmark B02: the closest listed telehealth comparable ran marketing at 35-40% of revenue. A celebrity-led brand should sit WELL below that, because the point of the partnership is that owned audience substitutes for bought audience; if this driver has to rise toward 35% the partnership is not working. Prior-month basis avoids a circular reference.</t>
  </si>
  <si>
    <t xml:space="preserve">Monthly payback review</t>
  </si>
  <si>
    <t xml:space="preserve">launch_push</t>
  </si>
  <si>
    <t xml:space="preserve">One-time launch marketing and PR, non-Rx launch month</t>
  </si>
  <si>
    <t xml:space="preserve">Announcement window spend. Deliberately modest: the point of a founder with a large audience is that the launch does not have to be bought. A brand spending heavily here is paying twice for the same attention.</t>
  </si>
  <si>
    <t xml:space="preserve">Agency scopes</t>
  </si>
  <si>
    <t xml:space="preserve">paid_cap</t>
  </si>
  <si>
    <t xml:space="preserve">Maximum paid media per month</t>
  </si>
  <si>
    <t xml:space="preserve">A budget ceiling and a backstop. Diminishing returns and the fulfilment capacity ramp now do most of the work of bounding growth, so this is set high enough that the percent-of-revenue rule governs rather than the cap. At the Aggressive ceiling it is roughly 27% of revenue at scale, in line with benchmark B02.</t>
  </si>
  <si>
    <t xml:space="preserve">Board-approved budget</t>
  </si>
  <si>
    <t xml:space="preserve">paid_elast</t>
  </si>
  <si>
    <t xml:space="preserve">Paid response elasticity (sessions per marginal dollar)</t>
  </si>
  <si>
    <t xml:space="preserve">Diminishing returns on the cold prospecting tier. Sessions scale as (spend / reference spend) raised to this power, so at ten times the reference the effective cost per session rises about 1.8x at 0.74. Below 1.0 is the whole point: auction competition and audience exhaustion mean the second million never buys what the first did. Analyst assumption, standard media-mix practice.</t>
  </si>
  <si>
    <t xml:space="preserve">Marginal CAC by spend decile</t>
  </si>
  <si>
    <t xml:space="preserve">Targeted paid media, tier 1: branded and intent search (harvests demand the partner creates)</t>
  </si>
  <si>
    <t xml:space="preserve">bsearch_per_reach</t>
  </si>
  <si>
    <t xml:space="preserve">Branded searches generated per reached impression</t>
  </si>
  <si>
    <t xml:space="preserve">Each brand post sends some viewers to a search engine rather than to the link. Analyst assumption; no tier-level benchmark was retrievable. This is the mechanism by which celebrity promotion creates cheap paid inventory rather than just free traffic.</t>
  </si>
  <si>
    <t xml:space="preserve">Branded-query volume in Search Console and Google Ads</t>
  </si>
  <si>
    <t xml:space="preserve">bsearch_organic_factor</t>
  </si>
  <si>
    <t xml:space="preserve">Branded and intent searches per organic session</t>
  </si>
  <si>
    <t xml:space="preserve">Baseline brand-name and category-intent search that exists independently of the partner. Analyst assumption.</t>
  </si>
  <si>
    <t xml:space="preserve">bsearch_capture</t>
  </si>
  <si>
    <t xml:space="preserve">Share of available branded and intent search bought</t>
  </si>
  <si>
    <t xml:space="preserve">You cannot buy every query, and you should not: some arrive free through organic listings. Analyst assumption.</t>
  </si>
  <si>
    <t xml:space="preserve">Impression share in Google Ads</t>
  </si>
  <si>
    <t xml:space="preserve">cps_search</t>
  </si>
  <si>
    <t xml:space="preserve">Cost per session, branded and intent search</t>
  </si>
  <si>
    <t xml:space="preserve">Branded queries are the cheapest paid inventory a brand owns because it faces little auction competition on its own name. Analyst assumption anchored to health-category CPC proxies.</t>
  </si>
  <si>
    <t xml:space="preserve">Google Ads cost per click</t>
  </si>
  <si>
    <t xml:space="preserve">conv_mult_search</t>
  </si>
  <si>
    <t xml:space="preserve">Conversion multiplier, branded and intent search</t>
  </si>
  <si>
    <t xml:space="preserve">High-intent traffic converts well above the site average. Analyst assumption; no branded-search multiplier benchmark was retrievable (B19 notes the gap).</t>
  </si>
  <si>
    <t xml:space="preserve">Conversion rate by channel</t>
  </si>
  <si>
    <t xml:space="preserve">search_increment</t>
  </si>
  <si>
    <t xml:space="preserve">Share of branded-search conversions that are incremental</t>
  </si>
  <si>
    <t xml:space="preserve">THE HONEST HAIRCUT. Paying for a query you would rank for organically buys a click you already had. Benchmark B19 makes the same point about retargeting. Without this factor the model would double-count the partner's organic traffic and the paid search that harvests it.</t>
  </si>
  <si>
    <t xml:space="preserve">Paid-search holdout or geo test</t>
  </si>
  <si>
    <t xml:space="preserve">Targeted paid media, tier 2: retargeting site visitors and the partner's engagers</t>
  </si>
  <si>
    <t xml:space="preserve">retarget_pool_sessions</t>
  </si>
  <si>
    <t xml:space="preserve">Share of prior-month sessions addressable for retargeting</t>
  </si>
  <si>
    <t xml:space="preserve">Cookie and consent loss, app-tracking opt-outs and platform matching all shrink the pool. Analyst assumption.</t>
  </si>
  <si>
    <t xml:space="preserve">Custom-audience sizes in the ad platforms</t>
  </si>
  <si>
    <t xml:space="preserve">retarget_pool_engagers</t>
  </si>
  <si>
    <t xml:space="preserve">Partner-post engagers addressable per reached impression</t>
  </si>
  <si>
    <t xml:space="preserve">People who engaged with a brand post can be retargeted from the platform's engagement audience. This is the second mechanism by which the partnership creates cheap, warm ad inventory. Analyst assumption bounded by benchmark B15: the 10M-plus tier averages about 1.77% engagement.</t>
  </si>
  <si>
    <t xml:space="preserve">Engagement-audience size in Meta</t>
  </si>
  <si>
    <t xml:space="preserve">retarget_freq</t>
  </si>
  <si>
    <t xml:space="preserve">Sessions bought per addressable pool member per month</t>
  </si>
  <si>
    <t xml:space="preserve">How hard the warm pool is worked before fatigue. Analyst assumption.</t>
  </si>
  <si>
    <t xml:space="preserve">Frequency and pool-decay reports</t>
  </si>
  <si>
    <t xml:space="preserve">cps_retarget</t>
  </si>
  <si>
    <t xml:space="preserve">Cost per session, retargeting</t>
  </si>
  <si>
    <t xml:space="preserve">Warm audiences cost less per click than cold. Benchmark B19: retargeting CPA runs 40-70% below cold acquisition.</t>
  </si>
  <si>
    <t xml:space="preserve">Ad platform reports</t>
  </si>
  <si>
    <t xml:space="preserve">conv_mult_retarget</t>
  </si>
  <si>
    <t xml:space="preserve">Conversion multiplier, retargeting</t>
  </si>
  <si>
    <t xml:space="preserve">Benchmark B19: retargeting ROAS averages about 4.2x against 1.5-3x for cold prospecting, roughly 71% higher.</t>
  </si>
  <si>
    <t xml:space="preserve">retarget_increment</t>
  </si>
  <si>
    <t xml:space="preserve">Share of retargeting conversions that are incremental</t>
  </si>
  <si>
    <t xml:space="preserve">THE SECOND HONEST HAIRCUT, and the one most often ignored. Benchmark B19: holdout tests show true incremental lift of 25-30%, meaning up to 75% of retargeting conversions would have happened anyway. Retargeting mostly harvests demand that the partner's organic posts and the prospecting tier already created.</t>
  </si>
  <si>
    <t xml:space="preserve">Retargeting holdout test, month 2 onward</t>
  </si>
  <si>
    <t xml:space="preserve">Targeted paid media, tier 3: cold prospecting with partner creative</t>
  </si>
  <si>
    <t xml:space="preserve">cps_prospect</t>
  </si>
  <si>
    <t xml:space="preserve">Cost per session, cold prospecting, generic creative</t>
  </si>
  <si>
    <t xml:space="preserve">Health and wellness CPC proxies; restricted-category ad review raises cost. LegitScript certification is a precondition for scaled healthcare advertising (benchmark B10). Instagram feed ad click-through commonly 0.22-0.88% (B20).</t>
  </si>
  <si>
    <t xml:space="preserve">creative_disc</t>
  </si>
  <si>
    <t xml:space="preserve">Cost-per-session discount from partner creative</t>
  </si>
  <si>
    <t xml:space="preserve">A recognisable face and partner-voiced video should raise click-through and so lower cost per session. NO celebrity-specific benchmark was retrievable; the supporting evidence is only general (video creative 30-50% higher click-through, faces in visuals recommended) per B20. Treat as an analyst assumption, and note that using the partner's likeness in PAID media needs broader licensing than organic posting and faces additional health-category ad review.</t>
  </si>
  <si>
    <t xml:space="preserve">Creative A/B test with and without the partner, month 1</t>
  </si>
  <si>
    <t xml:space="preserve">conv_mult_prospect</t>
  </si>
  <si>
    <t xml:space="preserve">Conversion multiplier, cold prospecting</t>
  </si>
  <si>
    <t xml:space="preserve">The reference tier. Held at 1.0 by definition so the other multipliers are read relative to cold traffic.</t>
  </si>
  <si>
    <t xml:space="preserve">conv_mult_partner_organic</t>
  </si>
  <si>
    <t xml:space="preserve">Conversion multiplier, the partner's own organic traffic</t>
  </si>
  <si>
    <t xml:space="preserve">Followers arriving from a brand post are warmer than cold prospects but colder than someone searching the brand by name. Analyst assumption.</t>
  </si>
  <si>
    <t xml:space="preserve">rx_celeb_factor</t>
  </si>
  <si>
    <t xml:space="preserve">Prescription-intent factor on partner-driven and cold-prospecting traffic</t>
  </si>
  <si>
    <t xml:space="preserve">A follower who clicks a supplement post is much less likely to start a prescription consult than someone who searched for peptide therapy. The partner also cannot promote compounded prescription products, so prescription intent has to come from search, organic content and on-site cross-sell rather than from partner creative. Analyst assumption.</t>
  </si>
  <si>
    <t xml:space="preserve">Quiz-start rate by traffic source</t>
  </si>
  <si>
    <t xml:space="preserve">Non-prescription line: funnel and pricing</t>
  </si>
  <si>
    <t xml:space="preserve">cap_m1</t>
  </si>
  <si>
    <t xml:space="preserve">Orders the wholesaler can ship in the first live month</t>
  </si>
  <si>
    <t xml:space="preserve">Now the wholesaler's stock position rather than a manufacturing run, so it is far higher than an owned-inventory launch would allow. It is NOT unlimited: a wholesaler sized for ordinary DTC volumes can be cleared out by a single post to a 27-million-follower audience, and demand above the ceiling is treated as LOST rather than backlogged. Analyst assumption; replace with a committed stock allocation in writing.</t>
  </si>
  <si>
    <t xml:space="preserve">Committed stock allocation from the wholesaler</t>
  </si>
  <si>
    <t xml:space="preserve">cap_growth</t>
  </si>
  <si>
    <t xml:space="preserve">Monthly growth in shippable capacity</t>
  </si>
  <si>
    <t xml:space="preserve">How fast the wholesaler can scale allocation. Binds only in the opening months of the Aggressive case now. Analyst assumption.</t>
  </si>
  <si>
    <t xml:space="preserve">Wholesaler capacity commitment</t>
  </si>
  <si>
    <t xml:space="preserve">shop_conv</t>
  </si>
  <si>
    <t xml:space="preserve">Order conversion rate, all sessions</t>
  </si>
  <si>
    <t xml:space="preserve">DTC supplement conversion commonly 0.5-1.5%; a warm follower audience should sit at the top of or above that band, but benchmark B15 warns mega-tier audiences convert worse than their reach implies.</t>
  </si>
  <si>
    <t xml:space="preserve">Shopify analytics</t>
  </si>
  <si>
    <t xml:space="preserve">nonrx_aov</t>
  </si>
  <si>
    <t xml:space="preserve">Average order value</t>
  </si>
  <si>
    <t xml:space="preserve">Above the $30-65 monthly band in benchmark B06, reflecting a premium multi-product basket. Requires validation.</t>
  </si>
  <si>
    <t xml:space="preserve">sub_attach</t>
  </si>
  <si>
    <t xml:space="preserve">Share of new customers taking a subscription</t>
  </si>
  <si>
    <t xml:space="preserve">Subscribe-and-save attach on consumables. Analyst assumption.</t>
  </si>
  <si>
    <t xml:space="preserve">Subscription app data</t>
  </si>
  <si>
    <t xml:space="preserve">sub_churn</t>
  </si>
  <si>
    <t xml:space="preserve">Monthly subscription churn</t>
  </si>
  <si>
    <t xml:space="preserve">Benchmark B05: 4-7% monthly well run, 8-12% category average, 12-20% churning in month one alone.</t>
  </si>
  <si>
    <t xml:space="preserve">Cohort analysis</t>
  </si>
  <si>
    <t xml:space="preserve">onetime_repeat</t>
  </si>
  <si>
    <t xml:space="preserve">Monthly reorder rate of one-time buyers</t>
  </si>
  <si>
    <t xml:space="preserve">Approximation: applied to the prior month's one-time cohort only, which understates a long tail and is deliberately conservative.</t>
  </si>
  <si>
    <t xml:space="preserve">Non-prescription line: cost of revenue</t>
  </si>
  <si>
    <t xml:space="preserve">nonrx_cogs_pct</t>
  </si>
  <si>
    <t xml:space="preserve">All-in wholesale cost of goods as a share of retail (includes the wholesaler's pick, pack and ship)</t>
  </si>
  <si>
    <t xml:space="preserve">The arrangement described: wholesale unit pricing from a wholesaler who holds the stock and ships to the customer. Benchmark B21. This is ALL-IN, so the separate fulfilment driver below is zero. Compare like for like: owning runs at the benchmark 26% landed COGS plus $7.50 of separate fulfilment is about 36% of retail on a $78 order, so this arrangement is close to margin-neutral and hands back the working capital. Replace the range with the wholesaler's actual price schedule.</t>
  </si>
  <si>
    <t xml:space="preserve">Wholesaler price schedule, by volume tier</t>
  </si>
  <si>
    <t xml:space="preserve">nonrx_fulfil</t>
  </si>
  <si>
    <t xml:space="preserve">Additional per-order shipping billed to the brand</t>
  </si>
  <si>
    <t xml:space="preserve">Zero because the wholesale dropship price is all-in. Set this above zero if the wholesaler bills shipping separately, or if the brand subsidises expedited delivery. Kept as a live driver precisely so that can be tested.</t>
  </si>
  <si>
    <t xml:space="preserve">Wholesaler fee schedule</t>
  </si>
  <si>
    <t xml:space="preserve">Prescription line: funnel</t>
  </si>
  <si>
    <t xml:space="preserve">rx_intent</t>
  </si>
  <si>
    <t xml:space="preserve">Eligibility-quiz start rate, all sessions</t>
  </si>
  <si>
    <t xml:space="preserve">Analyst assumption. Prescription intent is a small slice of brand traffic.</t>
  </si>
  <si>
    <t xml:space="preserve">Analytics</t>
  </si>
  <si>
    <t xml:space="preserve">quiz_complete</t>
  </si>
  <si>
    <t xml:space="preserve">Quiz completion rate</t>
  </si>
  <si>
    <t xml:space="preserve">One-question-per-screen intake typically 55-75%.</t>
  </si>
  <si>
    <t xml:space="preserve">eligible_rate</t>
  </si>
  <si>
    <t xml:space="preserve">Share of completions with a clinically eligible outcome</t>
  </si>
  <si>
    <t xml:space="preserve">Red-flag screening removes a material share. Never a target; a safety control.</t>
  </si>
  <si>
    <t xml:space="preserve">Medical director audit</t>
  </si>
  <si>
    <t xml:space="preserve">state_cov_launch</t>
  </si>
  <si>
    <t xml:space="preserve">US population covered by served states at Rx launch</t>
  </si>
  <si>
    <t xml:space="preserve">Licensure, asynchronous-prescribing rules and corporate-practice-of-medicine limits gate this. Fifty-state prescription coverage is NOT available on day one.</t>
  </si>
  <si>
    <t xml:space="preserve">State readiness tracker</t>
  </si>
  <si>
    <t xml:space="preserve">state_cov_step</t>
  </si>
  <si>
    <t xml:space="preserve">Monthly increase in covered population</t>
  </si>
  <si>
    <t xml:space="preserve">Tranche-based state expansion.</t>
  </si>
  <si>
    <t xml:space="preserve">state_cov_cap</t>
  </si>
  <si>
    <t xml:space="preserve">Maximum covered population</t>
  </si>
  <si>
    <t xml:space="preserve">Some states stay excluded on asynchronous or CPOM grounds.</t>
  </si>
  <si>
    <t xml:space="preserve">Counsel memo</t>
  </si>
  <si>
    <t xml:space="preserve">intake_submit</t>
  </si>
  <si>
    <t xml:space="preserve">Intake submission rate, eligible to intake</t>
  </si>
  <si>
    <t xml:space="preserve">Identity verification and consent friction.</t>
  </si>
  <si>
    <t xml:space="preserve">consult_complete</t>
  </si>
  <si>
    <t xml:space="preserve">Consult completion rate</t>
  </si>
  <si>
    <t xml:space="preserve">Asynchronous review completes above video.</t>
  </si>
  <si>
    <t xml:space="preserve">EHR data</t>
  </si>
  <si>
    <t xml:space="preserve">rx_rate</t>
  </si>
  <si>
    <t xml:space="preserve">Clinician prescribing rate</t>
  </si>
  <si>
    <t xml:space="preserve">A clinical decision, never a target. Observed telehealth ranges 50-70%. Monitored solely for safety and for evidence of undue influence.</t>
  </si>
  <si>
    <t xml:space="preserve">Independent medical audit</t>
  </si>
  <si>
    <t xml:space="preserve">enroll_rate</t>
  </si>
  <si>
    <t xml:space="preserve">Paid enrolment rate after a prescription is issued</t>
  </si>
  <si>
    <t xml:space="preserve">Price friction at the plan step; all-in pricing shown before intake improves this.</t>
  </si>
  <si>
    <t xml:space="preserve">rx_churn</t>
  </si>
  <si>
    <t xml:space="preserve">Monthly churn, prescription programmes</t>
  </si>
  <si>
    <t xml:space="preserve">Benchmark B17: ~65% discontinuation within 12 months in the comparable telehealth population, 84.4% by 24 months. THE most damaging driver if wrong.</t>
  </si>
  <si>
    <t xml:space="preserve">Cohort analysis, monthly</t>
  </si>
  <si>
    <t xml:space="preserve">Prescription line: pricing</t>
  </si>
  <si>
    <t xml:space="preserve">rx_price</t>
  </si>
  <si>
    <t xml:space="preserve">Programme price per member-month, blended</t>
  </si>
  <si>
    <t xml:space="preserve">Benchmark B07: sermorelin $96-199 telehealth, tissue protocols $100-300, stacks $80-180, combinations $350-600.</t>
  </si>
  <si>
    <t xml:space="preserve">Van Westendorp plus live price tests</t>
  </si>
  <si>
    <t xml:space="preserve">consult_fee</t>
  </si>
  <si>
    <t xml:space="preserve">Consultation fee charged at intake</t>
  </si>
  <si>
    <t xml:space="preserve">Benchmark B08: asynchronous visits price at $15-40 commonly, up to $60 for longer reviews. Charged whether or not a prescription follows; refunded if screened ineligible.</t>
  </si>
  <si>
    <t xml:space="preserve">Pricing test</t>
  </si>
  <si>
    <t xml:space="preserve">Prescription line: cost of revenue</t>
  </si>
  <si>
    <t xml:space="preserve">pharm_cost</t>
  </si>
  <si>
    <t xml:space="preserve">Pharmacy medication cost per member-month</t>
  </si>
  <si>
    <t xml:space="preserve">503A compounded peptide cost to a telehealth sponsor, volume-tiered. Not independently verified; obtain a written tiered schedule.</t>
  </si>
  <si>
    <t xml:space="preserve">Pharmacy contract schedule</t>
  </si>
  <si>
    <t xml:space="preserve">consult_cost</t>
  </si>
  <si>
    <t xml:space="preserve">Clinician cost per completed consult</t>
  </si>
  <si>
    <t xml:space="preserve">Benchmark B08 cites provider time around $30 per programme plus platform and support. One-time at enrolment.</t>
  </si>
  <si>
    <t xml:space="preserve">Provider network contract</t>
  </si>
  <si>
    <t xml:space="preserve">refill_cost</t>
  </si>
  <si>
    <t xml:space="preserve">Clinician cost per active member-month (monitoring and refill review)</t>
  </si>
  <si>
    <t xml:space="preserve">Recurring clinical review. Must be paid per unit of clinical work, never as a share of revenue.</t>
  </si>
  <si>
    <t xml:space="preserve">coldchain_ship</t>
  </si>
  <si>
    <t xml:space="preserve">Cold-chain fulfilment and shipping per fill</t>
  </si>
  <si>
    <t xml:space="preserve">Benchmark B09: $1.95 base pack rate plus cold storage, insulated mailers, gel packs and a 2-day temperature-controlled lane. The pack rate alone is NOT the landed cost.</t>
  </si>
  <si>
    <t xml:space="preserve">Pharmacy and carrier quotes</t>
  </si>
  <si>
    <t xml:space="preserve">rx_support</t>
  </si>
  <si>
    <t xml:space="preserve">Non-clinical support cost per active member-month</t>
  </si>
  <si>
    <t xml:space="preserve">Tooling plus staffed support per member.</t>
  </si>
  <si>
    <t xml:space="preserve">Support actuals</t>
  </si>
  <si>
    <t xml:space="preserve">Shared cost of revenue</t>
  </si>
  <si>
    <t xml:space="preserve">pay_fee</t>
  </si>
  <si>
    <t xml:space="preserve">Payment processing</t>
  </si>
  <si>
    <t xml:space="preserve">Card fees 2.7-3.2%. Healthcare and supplement merchants are frequently underwritten as elevated risk, which raises the rate and makes LegitScript certification close to a prerequisite (benchmark B10).</t>
  </si>
  <si>
    <t xml:space="preserve">Processor statements</t>
  </si>
  <si>
    <t xml:space="preserve">refund_pct</t>
  </si>
  <si>
    <t xml:space="preserve">Refunds and chargebacks</t>
  </si>
  <si>
    <t xml:space="preserve">2-5% typical. Auto-renewal programmes attract chargebacks; ROSCA-compliant cancellation reduces them.</t>
  </si>
  <si>
    <t xml:space="preserve">Finance actuals</t>
  </si>
  <si>
    <t xml:space="preserve">Operating expenses</t>
  </si>
  <si>
    <t xml:space="preserve">provider_fee</t>
  </si>
  <si>
    <t xml:space="preserve">Turnkey compliance and fulfilment provider, flat fee</t>
  </si>
  <si>
    <t xml:space="preserve">As specified by the project owner. Modelled as a PLATFORM fee only. Published market pricing for comparable turnkey telehealth infrastructure is $3,000-6,000/month plus $5,000-10,000 onboarding plus per-consult fees (benchmark B11), so a $600 fee is very unlikely to absorb medication, per-consult, cold-chain or processing costs. Those are carried separately above. See the Provider_Diligence sheet.</t>
  </si>
  <si>
    <t xml:space="preserve">Executed agreement and fee schedule</t>
  </si>
  <si>
    <t xml:space="preserve">cert_cost</t>
  </si>
  <si>
    <t xml:space="preserve">Certification and registrations per month</t>
  </si>
  <si>
    <t xml:space="preserve">Benchmark B10: ~$3,125 year one and ~$2,150/yr thereafter per site for LegitScript, plus state registrations and renewals; amortised monthly.</t>
  </si>
  <si>
    <t xml:space="preserve">Live fee schedule</t>
  </si>
  <si>
    <t xml:space="preserve">team_pre</t>
  </si>
  <si>
    <t xml:space="preserve">Team per month before the non-Rx launch</t>
  </si>
  <si>
    <t xml:space="preserve">Founder or GM plus fractional operations and contract creative. Small because the provider carries clinical and fulfilment operations. The Conservative column is deliberately a LEAN operator, not a normal operator with weak demand, so that the Conservative outcome reflects demand risk rather than an arbitrary spending choice.</t>
  </si>
  <si>
    <t xml:space="preserve">Hiring plan</t>
  </si>
  <si>
    <t xml:space="preserve">team_p1</t>
  </si>
  <si>
    <t xml:space="preserve">Team per month, non-Rx launch through month 12</t>
  </si>
  <si>
    <t xml:space="preserve">A founder or general manager, one capable performance-media buyer, and part-time support. Deliberately small: the provider carries clinical operations, fulfilment and compliance administration, and the brand partner supplies much of the creative. A team larger than this is rebuilding in-house what the $600 fee already covers.</t>
  </si>
  <si>
    <t xml:space="preserve">team_p2</t>
  </si>
  <si>
    <t xml:space="preserve">Team per month, months 13-24</t>
  </si>
  <si>
    <t xml:space="preserve">Scales with order volume and state count, but stays small relative to revenue because the provider carries clinical operations and fulfilment. A brand at this revenue running team above roughly 15% of net revenue has rebuilt in-house what it is already paying the provider for.</t>
  </si>
  <si>
    <t xml:space="preserve">team_p3</t>
  </si>
  <si>
    <t xml:space="preserve">Team per month, months 25-36</t>
  </si>
  <si>
    <t xml:space="preserve">team_pct_floor</t>
  </si>
  <si>
    <t xml:space="preserve">Team cost floor as a share of net revenue</t>
  </si>
  <si>
    <t xml:space="preserve">Flat headcount steps are the classic way a model overstates profitability at scale: a brand doing tens of millions a month cannot be run by the team that ran it at one million. Team cost is therefore the GREATER of the step above and this share of revenue. It does not bind at Conservative or Baseline volumes; it binds hard in the Aggressive case, which is the point.</t>
  </si>
  <si>
    <t xml:space="preserve">Headcount plan against revenue per employee</t>
  </si>
  <si>
    <t xml:space="preserve">creative_pct_floor</t>
  </si>
  <si>
    <t xml:space="preserve">Creative and content floor as a share of net revenue</t>
  </si>
  <si>
    <t xml:space="preserve">Same correction applied to production. Creative volume has to grow with spend or the ads fatigue; 2-3% of revenue is a modest allowance for a brand whose whole acquisition model is creative-led.</t>
  </si>
  <si>
    <t xml:space="preserve">Agency scopes against spend</t>
  </si>
  <si>
    <t xml:space="preserve">tech_pct_floor</t>
  </si>
  <si>
    <t xml:space="preserve">Technology floor as a share of net revenue</t>
  </si>
  <si>
    <t xml:space="preserve">Storefront, subscription, support, data and consent tooling all price on volume. Flat SaaS line items stop being flat.</t>
  </si>
  <si>
    <t xml:space="preserve">Vendor invoices against order volume</t>
  </si>
  <si>
    <t xml:space="preserve">med_lead</t>
  </si>
  <si>
    <t xml:space="preserve">Medical director and clinical oversight per month</t>
  </si>
  <si>
    <t xml:space="preserve">Fractional medical director retainer. Compensation must never vary with prescription volume or revenue.</t>
  </si>
  <si>
    <t xml:space="preserve">Executed agreement</t>
  </si>
  <si>
    <t xml:space="preserve">tech</t>
  </si>
  <si>
    <t xml:space="preserve">Technology and software per month</t>
  </si>
  <si>
    <t xml:space="preserve">Storefront, subscription management, analytics, consent management, CRM, helpdesk. Separate from the provider fee.</t>
  </si>
  <si>
    <t xml:space="preserve">Vendor invoices</t>
  </si>
  <si>
    <t xml:space="preserve">legal_p0</t>
  </si>
  <si>
    <t xml:space="preserve">Legal and regulatory per month, months 1-3</t>
  </si>
  <si>
    <t xml:space="preserve">Entity structure and MSO or friendly-PC review, provider agreement review, formulary eligibility opinion, claims and label review, endorsement and disclosure protocol, trademark, privacy. Front-loaded deliberately.</t>
  </si>
  <si>
    <t xml:space="preserve">Counsel estimates</t>
  </si>
  <si>
    <t xml:space="preserve">legal_ongoing</t>
  </si>
  <si>
    <t xml:space="preserve">Legal and compliance per month thereafter</t>
  </si>
  <si>
    <t xml:space="preserve">Ongoing claims review, state expansion opinions, FDA list monitoring, contract maintenance.</t>
  </si>
  <si>
    <t xml:space="preserve">insurance</t>
  </si>
  <si>
    <t xml:space="preserve">Insurance per month from the non-Rx launch</t>
  </si>
  <si>
    <t xml:space="preserve">Product liability, professional, cyber and D&amp;O. A vendor contract does not transfer the brand's own liability.</t>
  </si>
  <si>
    <t xml:space="preserve">Broker quotes</t>
  </si>
  <si>
    <t xml:space="preserve">creative</t>
  </si>
  <si>
    <t xml:space="preserve">Creative, content and organic social per month</t>
  </si>
  <si>
    <t xml:space="preserve">Production the brand controls, distinct from paid media and from partner compensation. Materially lower than a comparable brand would spend, because a founder-partner posting several times a month supplies usable creative as a by-product. That saving is one of the concrete economic benefits of the partnership.</t>
  </si>
  <si>
    <t xml:space="preserve">Agency quotes</t>
  </si>
  <si>
    <t xml:space="preserve">Proposed brand-partner economics (hypothetical; no terms offered or accepted)</t>
  </si>
  <si>
    <t xml:space="preserve">partner_cash</t>
  </si>
  <si>
    <t xml:space="preserve">Partner cash retainer per month from the non-Rx launch</t>
  </si>
  <si>
    <t xml:space="preserve">Illustrative only. Structure, amount and mix are entirely unnegotiated. Conservative case models an equity-only deal with no cash retainer.</t>
  </si>
  <si>
    <t xml:space="preserve">Negotiation</t>
  </si>
  <si>
    <t xml:space="preserve">partner_royalty</t>
  </si>
  <si>
    <t xml:space="preserve">Partner royalty on net revenue</t>
  </si>
  <si>
    <t xml:space="preserve">Illustrative. Consumer-brand licensing royalties commonly 3-10%. Held flat across scenarios so the scenarios isolate business performance rather than deal terms.</t>
  </si>
  <si>
    <t xml:space="preserve">partner_equity</t>
  </si>
  <si>
    <t xml:space="preserve">Partner equity, fully diluted (reference only)</t>
  </si>
  <si>
    <t xml:space="preserve">Illustrative. Non-cash; shown on the Partner_Economics sheet for reference and NOT charged to EBITDA.</t>
  </si>
  <si>
    <t xml:space="preserve">Working capital</t>
  </si>
  <si>
    <t xml:space="preserve">inv_months</t>
  </si>
  <si>
    <t xml:space="preserve">Non-Rx inventory held, in months of COGS</t>
  </si>
  <si>
    <t xml:space="preserve">months</t>
  </si>
  <si>
    <t xml:space="preserve">Zero: the wholesaler holds the stock and ships on order, so the brand never pays for inventory. This removes what was previously the largest single item in the cash trough. Set this above zero only if the brand later brings stock in-house, which is what a volume-tier manufacturing deal would require. The Rx line likewise carries no inventory; the pharmacy holds it.</t>
  </si>
  <si>
    <t xml:space="preserve">Wholesaler agreement</t>
  </si>
  <si>
    <t xml:space="preserve">Reserve Clinic - Margin and Growth Summary</t>
  </si>
  <si>
    <t xml:space="preserve">All figures are model outputs, not forecasts. They follow arithmetically from the drivers on Assumptions. Read them as a band produced by a stated set of assumptions, each of which is listed with its confidence and its validation method. Proposed concept; partner participation unverified.</t>
  </si>
  <si>
    <t xml:space="preserve">Metric</t>
  </si>
  <si>
    <t xml:space="preserve">Baseline,
no partner</t>
  </si>
  <si>
    <t xml:space="preserve">Baseline,
weak audience</t>
  </si>
  <si>
    <t xml:space="preserve">Baseline,
weak retention</t>
  </si>
  <si>
    <t xml:space="preserve">Net revenue, year 1</t>
  </si>
  <si>
    <t xml:space="preserve">Net revenue, year 2</t>
  </si>
  <si>
    <t xml:space="preserve">Net revenue, year 3</t>
  </si>
  <si>
    <t xml:space="preserve">Net revenue, 36-month total</t>
  </si>
  <si>
    <t xml:space="preserve">Gross profit, year 3</t>
  </si>
  <si>
    <t xml:space="preserve">Blended gross margin, year 1</t>
  </si>
  <si>
    <t xml:space="preserve">Blended gross margin, year 3</t>
  </si>
  <si>
    <t xml:space="preserve">Non-Rx gross margin, year 3</t>
  </si>
  <si>
    <t xml:space="preserve">Rx gross margin, year 3</t>
  </si>
  <si>
    <t xml:space="preserve">EBITDA, year 1</t>
  </si>
  <si>
    <t xml:space="preserve">EBITDA, year 2</t>
  </si>
  <si>
    <t xml:space="preserve">EBITDA, year 3</t>
  </si>
  <si>
    <t xml:space="preserve">EBITDA margin, year 3</t>
  </si>
  <si>
    <t xml:space="preserve">EBITDA, 36-month total</t>
  </si>
  <si>
    <t xml:space="preserve">First EBITDA-positive month</t>
  </si>
  <si>
    <t xml:space="preserve">Peak cumulative cash deficit</t>
  </si>
  <si>
    <t xml:space="preserve">Capital required (deficit plus 30% buffer)</t>
  </si>
  <si>
    <t xml:space="preserve">Cumulative cash at month 36</t>
  </si>
  <si>
    <t xml:space="preserve">Active subscribers at month 36 (non-Rx)</t>
  </si>
  <si>
    <t xml:space="preserve">Active programme members at month 36 (Rx)</t>
  </si>
  <si>
    <t xml:space="preserve">Non-Rx share of year-3 net revenue</t>
  </si>
  <si>
    <t xml:space="preserve">Rx contribution per member-month</t>
  </si>
  <si>
    <t xml:space="preserve">Rx gross LTV</t>
  </si>
  <si>
    <t xml:space="preserve">Non-Rx contribution per order</t>
  </si>
  <si>
    <t xml:space="preserve">Non-Rx subscriber gross LTV</t>
  </si>
  <si>
    <t xml:space="preserve">Blended CAC, year 3 average</t>
  </si>
  <si>
    <t xml:space="preserve">Non-Rx LTV:CAC, year 3</t>
  </si>
  <si>
    <t xml:space="preserve">Unit economics: where the margin actually comes from</t>
  </si>
  <si>
    <t xml:space="preserve">Two separate businesses with very different shapes. The non-prescription line is a high-margin consumer product that can trade in all fifty states. The prescription line carries medication, clinician and cold-chain cost on every single fill, so its margin is structurally lower and its retention risk structurally higher.</t>
  </si>
  <si>
    <t xml:space="preserve">A. Non-prescription order (one shipment)</t>
  </si>
  <si>
    <t xml:space="preserve">Line item</t>
  </si>
  <si>
    <t xml:space="preserve">less refunds and chargebacks</t>
  </si>
  <si>
    <t xml:space="preserve">Net revenue per order</t>
  </si>
  <si>
    <t xml:space="preserve">less landed product COGS</t>
  </si>
  <si>
    <t xml:space="preserve">less pick, pack and ship</t>
  </si>
  <si>
    <t xml:space="preserve">less payment processing</t>
  </si>
  <si>
    <t xml:space="preserve">Contribution per order</t>
  </si>
  <si>
    <t xml:space="preserve">Contribution margin</t>
  </si>
  <si>
    <t xml:space="preserve">Implied subscriber life</t>
  </si>
  <si>
    <t xml:space="preserve">Subscriber gross LTV</t>
  </si>
  <si>
    <t xml:space="preserve">B. Prescription programme member (steady-state month)</t>
  </si>
  <si>
    <t xml:space="preserve">Programme price per member-month</t>
  </si>
  <si>
    <t xml:space="preserve">Net revenue per member-month</t>
  </si>
  <si>
    <t xml:space="preserve">less pharmacy medication cost</t>
  </si>
  <si>
    <t xml:space="preserve">less clinician monitoring and refill review</t>
  </si>
  <si>
    <t xml:space="preserve">less cold-chain fulfilment and shipping</t>
  </si>
  <si>
    <t xml:space="preserve">less non-clinical support</t>
  </si>
  <si>
    <t xml:space="preserve">Contribution per member-month</t>
  </si>
  <si>
    <t xml:space="preserve">Monthly churn</t>
  </si>
  <si>
    <t xml:space="preserve">Implied member life, months</t>
  </si>
  <si>
    <t xml:space="preserve">Member gross LTV</t>
  </si>
  <si>
    <t xml:space="preserve">C. Prescription enrolment (one-time, at intake)</t>
  </si>
  <si>
    <t xml:space="preserve">Consultation fee charged</t>
  </si>
  <si>
    <t xml:space="preserve">less clinician cost per completed consult</t>
  </si>
  <si>
    <t xml:space="preserve">Net on the consultation step</t>
  </si>
  <si>
    <t xml:space="preserve">Consults per enrolled member (1 / enrolment rate)</t>
  </si>
  <si>
    <t xml:space="preserve">Consultation-step cost carried per enrolled member</t>
  </si>
  <si>
    <t xml:space="preserve">D. What the flat $600/month provider fee changes, and what it does not</t>
  </si>
  <si>
    <t xml:space="preserve">The flat fee removes most FIXED operating cost from the model. It does not remove VARIABLE cost. Medication, per-consult clinician time, cold-chain shipping and card processing all scale with every order and every fill, and they are carried as separate drivers above.</t>
  </si>
  <si>
    <t xml:space="preserve">Published pricing for comparable turnkey telehealth infrastructure is $3,000-6,000 per month by tier, plus $5,000-10,000 onboarding, plus per-consult fees (benchmark B11). A $600 flat fee sits at roughly one fifth of the low end of that range.</t>
  </si>
  <si>
    <t xml:space="preserve">Read that two ways. Either the fee genuinely covers only software and compliance administration, which is the assumption used here and is the safe way to model it, or the scope is narrower than expected. Both readings lead to the same action: get the fee schedule in writing and confirm line by line what is and is not included.</t>
  </si>
  <si>
    <t xml:space="preserve">A vendor contract does not transfer the brand's own legal exposure. The brand remains responsible for its own advertising claims, its own endorsement disclosures, its own auto-renewal terms and its own privacy practices, whoever operates the platform.</t>
  </si>
  <si>
    <t xml:space="preserve">At $600 per month the provider has no economic stake in volume. That is good for margin and bad for alignment: nothing in the fee structure funds the provider's scaling, so capacity, turnaround time and service levels need to be contractual rather than assumed.</t>
  </si>
  <si>
    <t xml:space="preserve">Sensitivity: which assumptions actually decide the outcome</t>
  </si>
  <si>
    <t xml:space="preserve">Closed-form grids computed from the Baseline column of Assumptions, so they recalculate with the rest of the workbook rather than needing a what-if table. Change the Baseline inputs and these move.</t>
  </si>
  <si>
    <t xml:space="preserve">Grid 1. Prescription LTV:CAC by monthly churn and blended CAC</t>
  </si>
  <si>
    <t xml:space="preserve">Rx contribution per member-month (Baseline drivers)</t>
  </si>
  <si>
    <t xml:space="preserve">Below 3.0x the programme does not pay for its own acquisition. Cells at or above 3.0x are viable.</t>
  </si>
  <si>
    <t xml:space="preserve">Monthly churn \ CAC</t>
  </si>
  <si>
    <t xml:space="preserve">Baseline churn is 11.0%. Benchmark B17 puts real-world discontinuation near 65% at 12 months, which is roughly 8.4% monthly, and 84.4% at 24 months, roughly 7.4% monthly. Churn worse than about 15% monthly makes the prescription line unviable at any plausible CAC.</t>
  </si>
  <si>
    <t xml:space="preserve">Grid 2. Month-12 partner-driven sessions by reach per post and click-through</t>
  </si>
  <si>
    <t xml:space="preserve">These two drivers are the least evidenced in the model and they multiply, so the band they produce is wide by construction.</t>
  </si>
  <si>
    <t xml:space="preserve">Reach % \ CTR</t>
  </si>
  <si>
    <t xml:space="preserve">Grid 3. Year-3 blended gross margin by non-Rx COGS share and pharmacy cost per member-month</t>
  </si>
  <si>
    <t xml:space="preserve">Approximated at the Baseline year-3 revenue mix so the grid is readable. Non-Rx share of year-3 net revenue is taken from the Summary sheet.</t>
  </si>
  <si>
    <t xml:space="preserve">Non-Rx share of year-3 net revenue (Baseline)</t>
  </si>
  <si>
    <t xml:space="preserve">Non-Rx COGS % \ pharmacy $/mm</t>
  </si>
  <si>
    <t xml:space="preserve">Grid 4. Paid CAC by monthly spend, with and without the brand partner</t>
  </si>
  <si>
    <t xml:space="preserve">The like-for-like answer to whether the partnership buys a better CAC. Both columns use identical Baseline drivers, identical prices and identical conversion rates. They differ only in the audience conditions of month 24: partner impressions, and the warm pools those impressions create. Read down: CAC rises with spend in both cases, because of the auction. Read across: at every spend level the partner column is cheaper, and the gap is what the partnership is actually buying.</t>
  </si>
  <si>
    <t xml:space="preserve">Monthly paid spend</t>
  </si>
  <si>
    <t xml:space="preserve">Paid CAC, with partner</t>
  </si>
  <si>
    <t xml:space="preserve">Paid CAC, no partner</t>
  </si>
  <si>
    <t xml:space="preserve">CAC advantage</t>
  </si>
  <si>
    <t xml:space="preserve">Advantage %</t>
  </si>
  <si>
    <t xml:space="preserve">Note the shape. The advantage is largest at low spend, where the partner's cheap warm inventory is a big share of a small budget, and it narrows as budget grows and cold prospecting dominates. That is the correct reading of a celebrity partnership: it is a strong subsidy on the first tranche of spend, not a permanent discount on all of it.</t>
  </si>
  <si>
    <t xml:space="preserve">Proposed brand-partner economics - illustrative only</t>
  </si>
  <si>
    <t xml:space="preserve">No terms have been offered, negotiated or accepted. Nothing on this sheet is an offer. The structure below exists so the conversation can start from arithmetic instead of adjectives. The equity figures use an illustrative revenue multiple and are NOT a valuation; a valuation requires an actual process.</t>
  </si>
  <si>
    <t xml:space="preserve">Illustrative revenue multiple on year-3 net revenue</t>
  </si>
  <si>
    <t xml:space="preserve">Editable. DTC and telehealth multiples move with growth, margin and rate cycles; 2-5x net revenue is a commonly quoted range for profitable consumer health at scale. Not a valuation.</t>
  </si>
  <si>
    <t xml:space="preserve">Item</t>
  </si>
  <si>
    <t xml:space="preserve">Cash retainer over 36 months</t>
  </si>
  <si>
    <t xml:space="preserve">Royalty over 36 months</t>
  </si>
  <si>
    <t xml:space="preserve">Total cash to partner over 36 months</t>
  </si>
  <si>
    <t xml:space="preserve">Royalty in year 3 alone</t>
  </si>
  <si>
    <t xml:space="preserve">Partner equity, fully diluted</t>
  </si>
  <si>
    <t xml:space="preserve">Illustrative equity value at year-3 revenue multiple</t>
  </si>
  <si>
    <t xml:space="preserve">Total illustrative 36-month partner value</t>
  </si>
  <si>
    <t xml:space="preserve">Partner cash as a share of 36-month net revenue</t>
  </si>
  <si>
    <t xml:space="preserve">Constraints that shape any deal here</t>
  </si>
  <si>
    <t xml:space="preserve">The partner can promote the brand and the non-prescription line. The partner should not promote specific compounded prescription drugs. 503A compounders operate under advertising and promotion limits, prescription-drug advertising carries its own disclosure requirements, and celebrity promotion of a prescription product invites exactly the scrutiny a new brand cannot absorb. Separating what is promotable from what is prescribable is a design requirement, not a preference.</t>
  </si>
  <si>
    <t xml:space="preserve">Every paid or equity-holding endorsement needs a clear and conspicuous disclosure of the material connection, on every post and in every format, under the FTC Endorsement Guides. A founder's equity stake is a material connection. Earlier research in this project found the proposed partner named on the FTC's September 2017 list of influencers sent warning letters about undisclosed endorsements, which makes disclosure discipline a specific and personal risk here rather than a generic one.</t>
  </si>
  <si>
    <t xml:space="preserve">Compensation to the medical entity and to clinicians must never vary with prescription volume, programme enrolments or revenue. Partner compensation may be tied to revenue; clinical compensation may not. Keeping those two facts in separate contracts is the point of the structure.</t>
  </si>
  <si>
    <t xml:space="preserve">A prior or concurrent promotion of a competing weight-management or GLP-1 product may create a category-exclusivity conflict. Earlier research in this project flagged a possible prior GLP-1-adjacent promotion; brand and paid status were not verified. Resolve it in diligence before any announcement.</t>
  </si>
  <si>
    <t xml:space="preserve">Nothing here is an offer, and nothing here should be shared as though terms exist. Until definitive agreements are signed the brand is a proposed concept and the partner's role is proposed.</t>
  </si>
  <si>
    <t xml:space="preserve">Turnkey provider at $600/month - what to confirm before signing</t>
  </si>
  <si>
    <t xml:space="preserve">The whole model rests on this vendor. At this fee the vendor carries no volume risk, so scope has to be contractual. Every row is a question to put in writing; the Why column says what breaks in the model if the answer is not what you expect.</t>
  </si>
  <si>
    <t xml:space="preserve">Question to put in writing</t>
  </si>
  <si>
    <t xml:space="preserve">Why it matters to the model</t>
  </si>
  <si>
    <t xml:space="preserve">Status</t>
  </si>
  <si>
    <t xml:space="preserve">Does the $600 include per-consult clinician fees, or are those billed separately per visit?</t>
  </si>
  <si>
    <t xml:space="preserve">The model assumes separately, at $32-45 per completed consult. If included, Rx gross margin improves by roughly the consult cost divided by enrolments. If excluded and higher than assumed, enrolment economics compress.</t>
  </si>
  <si>
    <t xml:space="preserve">Open</t>
  </si>
  <si>
    <t xml:space="preserve">Does the $600 include medication cost, or does the pharmacy bill per fill?</t>
  </si>
  <si>
    <t xml:space="preserve">The model assumes the pharmacy bills per fill at $75-105 per member-month. This is the largest single variable cost in the Rx line; a written tiered schedule is essential.</t>
  </si>
  <si>
    <t xml:space="preserve">Does the $600 include cold-chain shipping and packaging, or is that billed per shipment?</t>
  </si>
  <si>
    <t xml:space="preserve">The model assumes per shipment at $15-22. Benchmark B09 shows a $1.95 pack rate is only the pack step, not the landed temperature-controlled cost.</t>
  </si>
  <si>
    <t xml:space="preserve">Is payment processing inside the fee, and at what rate and risk classification?</t>
  </si>
  <si>
    <t xml:space="preserve">The model carries 2.7-3.2% separately. Healthcare and supplement merchants are frequently underwritten as elevated risk.</t>
  </si>
  <si>
    <t xml:space="preserve">Which specific pharmacies fulfil, under which licences, and in which states?</t>
  </si>
  <si>
    <t xml:space="preserve">Drives the state-coverage ramp, which is the gate on the whole Rx funnel. Name the pharmacies; do not accept a count.</t>
  </si>
  <si>
    <t xml:space="preserve">For each pharmacy: 503A, 503B, or both, and which is used for which product?</t>
  </si>
  <si>
    <t xml:space="preserve">503A compounds pursuant to individual patient prescriptions. 503B outsourcing facilities are built for non-patient-specific office stock. They are not interchangeable for a consumer-direct model, and assuming they are is a common and expensive error.</t>
  </si>
  <si>
    <t xml:space="preserve">How does the arrangement handle interstate distribution limits for 503A pharmacies?</t>
  </si>
  <si>
    <t xml:space="preserve">Section 503A(b)(3) caps interstate distribution of compounded drugs at 5% of total prescription orders unless the pharmacy's state has signed the FDA memorandum of understanding. FDA's compounding MOU index currently lists only three MOUs, all suspended, and FDA has repeatedly deferred enforcement of the 5% limit pending rulemaking. Deferred enforcement is discretionary and revocable, so a national single-pharmacy Rx model is a policy bet, not a settled structure.</t>
  </si>
  <si>
    <t xml:space="preserve">Which peptides are on the current FDA 503A Category 1 bulks list, as of the signing date?</t>
  </si>
  <si>
    <t xml:space="preserve">Determines the formulary. Benchmark B18: FDA removed 12 peptides from Category 2 in April 2026, the PCAC met in July 2026 on three more and will meet again before the end of February 2027 on five others. The list moves; the contract should require the provider to track it.</t>
  </si>
  <si>
    <t xml:space="preserve">Is any product 'essentially a copy' of an approved drug?</t>
  </si>
  <si>
    <t xml:space="preserve">Section 503A limits compounding of drugs that are essentially copies of commercially available products. This is where compounded-GLP-1 programmes have drawn enforcement.</t>
  </si>
  <si>
    <t xml:space="preserve">Who holds the LegitScript healthcare merchant certification, and for which website?</t>
  </si>
  <si>
    <t xml:space="preserve">Certification is site-specific and gates healthcare advertising across Google, Meta, Microsoft and TikTok. If it is the provider's certification on the provider's domain, the brand's own site may not be covered. No certification means no scaled paid acquisition, which removes most of the paid-traffic line from the model.</t>
  </si>
  <si>
    <t xml:space="preserve">What is the legal structure: MSO and friendly-PC, and who owns the physician entity?</t>
  </si>
  <si>
    <t xml:space="preserve">Corporate-practice-of-medicine rules in many states bar a non-physician company from owning a medical practice or splitting professional fees. Get the structure opinion, not a reassurance.</t>
  </si>
  <si>
    <t xml:space="preserve">How are clinicians compensated, and does any element vary with prescribing or revenue?</t>
  </si>
  <si>
    <t xml:space="preserve">Any volume- or revenue-linked clinical compensation is a fee-splitting and kickback problem and undermines the clinical-independence position the whole model depends on.</t>
  </si>
  <si>
    <t xml:space="preserve">Who owns the patient relationship, the medical records and the customer data on exit?</t>
  </si>
  <si>
    <t xml:space="preserve">Determines whether the brand has an asset or a rental. Ask for the data-portability and records-transfer terms in the termination clause.</t>
  </si>
  <si>
    <t xml:space="preserve">Who is the named party on advertising claims, and who indemnifies whom?</t>
  </si>
  <si>
    <t xml:space="preserve">A vendor contract does not transfer the brand's own advertising liability. Read the indemnity in both directions and check the cap against the insurance limits.</t>
  </si>
  <si>
    <t xml:space="preserve">What are the service levels: consult turnaround, fill turnaround, ship-by, support response?</t>
  </si>
  <si>
    <t xml:space="preserve">At a flat fee the provider has no economic incentive to scale with you. Without contractual service levels, growth degrades the customer experience exactly when volume arrives.</t>
  </si>
  <si>
    <t xml:space="preserve">What are the capacity ceilings, and what happens when the brand exceeds them?</t>
  </si>
  <si>
    <t xml:space="preserve">The aggressive scenario implies order volumes that a $600/month arrangement is unlikely to have been sized for. Get the ceiling in writing and the repricing mechanism with it.</t>
  </si>
  <si>
    <t xml:space="preserve">What are the termination terms, notice period and post-termination continuity of care?</t>
  </si>
  <si>
    <t xml:space="preserve">Members on active prescription programmes cannot simply be dropped. Continuity-of-care obligations survive the contract and belong in the plan.</t>
  </si>
  <si>
    <t xml:space="preserve">What insurance does the provider carry, at what limits, and is the brand an additional insured?</t>
  </si>
  <si>
    <t xml:space="preserve">Determines the real gap the brand's own product-liability, professional and cyber cover has to fill.</t>
  </si>
  <si>
    <t xml:space="preserve">Has the provider or any affiliated pharmacy or clinician been subject to FDA, DEA, state board or FTC action?</t>
  </si>
  <si>
    <t xml:space="preserve">Basic counterparty diligence. A provider's enforcement history becomes the brand's reputational problem on day one.</t>
  </si>
  <si>
    <t xml:space="preserve">Auto-renewal mechanics: consent capture, renewal reminders, cancellation path, and who is liable?</t>
  </si>
  <si>
    <t xml:space="preserve">ROSCA and state auto-renewal laws are the most common source of consumer-protection claims in subscription health. The cancellation path must be as easy as the sign-up path, and the brand is liable for it whoever built it.</t>
  </si>
  <si>
    <t xml:space="preserve">Benchmarks behind the drivers</t>
  </si>
  <si>
    <t xml:space="preserve">Third-party unless marked as an analyst assumption. Figures were taken from search-result summaries during a session in which direct page loads were restricted; load-bearing figures were corroborated across two independent queries. Ranges are ranges, not measurements.</t>
  </si>
  <si>
    <t xml:space="preserve">ID</t>
  </si>
  <si>
    <t xml:space="preserve">Topic</t>
  </si>
  <si>
    <t xml:space="preserve">Finding</t>
  </si>
  <si>
    <t xml:space="preserve">How it is used</t>
  </si>
  <si>
    <t xml:space="preserve">Sources</t>
  </si>
  <si>
    <t xml:space="preserve">B01</t>
  </si>
  <si>
    <t xml:space="preserve">Public telehealth gross margin (closest listed comparable)</t>
  </si>
  <si>
    <t xml:space="preserve">Hims &amp; Hers gross margin 74% FY2025 vs 79% FY2024; 65% in Q1 2026 and 63.8% in Q2 2026. Decline attributed to weight-loss offerings with shorter shipping cadences and higher fulfilment costs, plus international mix.</t>
  </si>
  <si>
    <t xml:space="preserve">Ceiling reference for a telehealth blended gross margin. Reserve Clinic's Rx line is modelled well below this because it carries cold-chain shipping on every fill.</t>
  </si>
  <si>
    <t xml:space="preserve">High (company-reported)</t>
  </si>
  <si>
    <t xml:space="preserve">https://investors.hims.com/news/news-details/2026/Hims--Hers-Health-Inc--Reports-Fourth-Quarter-and-Full-Year-2025-Financial-Results/default.aspx
https://www.sec.gov/Archives/edgar/data/1773751/000177375126000022/hims-20251231.htm</t>
  </si>
  <si>
    <t xml:space="preserve">B02</t>
  </si>
  <si>
    <t xml:space="preserve">Telehealth marketing intensity</t>
  </si>
  <si>
    <t xml:space="preserve">Hims &amp; Hers marketing expense was ~40% of revenue in Q2 2025 (down from ~46% a year earlier) and ~34.8% of revenue in Q2 2026 ($262.2M on $753.2M).</t>
  </si>
  <si>
    <t xml:space="preserve">Anchors the paid-media-as-percent-of-revenue driver (25-32% by scenario). A celebrity-led brand should sit below this, not above, or the audience is not doing any work.</t>
  </si>
  <si>
    <t xml:space="preserve">https://www.sec.gov/Archives/edgar/data/0001773751/000177375126000161/hims-20260630x8xkearningsr.htm
https://finance.yahoo.com/markets/stocks/articles/hims-hers-stock-plunges-post-171900613.html</t>
  </si>
  <si>
    <t xml:space="preserve">B03</t>
  </si>
  <si>
    <t xml:space="preserve">DTC supplement gross margin and landed COGS</t>
  </si>
  <si>
    <t xml:space="preserve">Landed COGS (materials, packaging, manufacturing, inbound freight, duties) typically 20-30% of retail for a DTC supplement, producing 70-80% gross margin. Target range cited as 60-80%. Public DTC median gross margin ~57% for non-food categories. Per-unit COGS $3-15 depending on dosage form and volume.</t>
  </si>
  <si>
    <t xml:space="preserve">Non-Rx line COGS driver set at 22-30% of retail.</t>
  </si>
  <si>
    <t xml:space="preserve">Medium (aggregator/advisory sources, not audited)</t>
  </si>
  <si>
    <t xml:space="preserve">https://eightx.co/blog/supplements-brand-unit-economics
https://commercecatalyst.ai/benchmarks/supplements/
https://eightx.co/blog/average-dtc-gross-margin-public-companies
https://inventoryready.com/guides/supplement-pricing-strategy</t>
  </si>
  <si>
    <t xml:space="preserve">B04</t>
  </si>
  <si>
    <t xml:space="preserve">DTC supplement CAC</t>
  </si>
  <si>
    <t xml:space="preserve">CAC $45-80 for supplements per triangulated industry estimates; $53-91 across ecommerce categories generally.</t>
  </si>
  <si>
    <t xml:space="preserve">Sanity band for the computed blended CAC output. The model derives CAC rather than assuming it.</t>
  </si>
  <si>
    <t xml:space="preserve">https://commercecatalyst.ai/benchmarks/supplements/
https://foundrycro.com/blog/dtc-supplements-marketing-benchmarks-2026/</t>
  </si>
  <si>
    <t xml:space="preserve">B05</t>
  </si>
  <si>
    <t xml:space="preserve">Supplement subscription churn</t>
  </si>
  <si>
    <t xml:space="preserve">4-7% monthly when well run; 8-12% at health-and-wellness category average; 12-20% of subscribers churn in month 1 alone. Below 5% strong, below 4% top-tier, sustained above 10% a retention emergency.</t>
  </si>
  <si>
    <t xml:space="preserve">Non-Rx subscription churn driver 5.5-9% monthly by scenario.</t>
  </si>
  <si>
    <t xml:space="preserve">https://eightx.co/blog/supplement-subscription-churn-rate-benchmark
https://eightx.co/blog/average-subscription-churn-rate-by-category
https://eightx.co/blog/supplements-subscription-economics</t>
  </si>
  <si>
    <t xml:space="preserve">B06</t>
  </si>
  <si>
    <t xml:space="preserve">Supplement AOV, LTV and LTV:CAC</t>
  </si>
  <si>
    <t xml:space="preserve">AOV $30-65 monthly with 12-month LTV $300-600 (Recharge benchmarks cited). At 8% monthly churn a $40 subscriber at 55% margin returns ~$275 LTV. Healthy LTV:CAC 3.5:1 to 6:1, with 3:1 the floor.</t>
  </si>
  <si>
    <t xml:space="preserve">Non-Rx AOV driver $68-88 (premium positioning above the cited band) and the 3.0x LTV:CAC gate.</t>
  </si>
  <si>
    <t xml:space="preserve">https://eightx.co/blog/supplements-subscription-economics
https://www.retentionlab.ai/blog/good-ltv-dtc-benchmarks-2026
https://commercecatalyst.ai/benchmarks/supplements/</t>
  </si>
  <si>
    <t xml:space="preserve">B07</t>
  </si>
  <si>
    <t xml:space="preserve">Compounded peptide programme pricing, US, 2026</t>
  </si>
  <si>
    <t xml:space="preserve">Sermorelin $96-199/mo via telehealth, $200-400/mo in-clinic. BPC-157 or TB-500 tissue protocols $100-300/mo. CJC-1295/ipamorelin stack $80-180/mo. Sermorelin plus CJC-1295 combination protocols $350-600/mo.</t>
  </si>
  <si>
    <t xml:space="preserve">Rx programme price driver $199-299 per member-month, blended across protocols.</t>
  </si>
  <si>
    <t xml:space="preserve">Medium (marketing pages and category guides, not a price survey)</t>
  </si>
  <si>
    <t xml:space="preserve">https://healingmaps.com/sermorelin-cost-guide/
https://peptidenewsdigest.org/pricing/peptides/
https://www.peptidemark.com/news/peptide-therapy-cost-breakdown-2026
https://healingmaps.com/peptide-telehealth/</t>
  </si>
  <si>
    <t xml:space="preserve">B08</t>
  </si>
  <si>
    <t xml:space="preserve">Asynchronous consult cost and price</t>
  </si>
  <si>
    <t xml:space="preserve">Asynchronous e-visits price at roughly $15-40 to the patient; raw median prices $20 (5-10 min) to $60 (21+ min). From the operator side a cited COGS breakdown is provider time $30, platform $10, support $10 per ongoing-care programme. Synchronous video $50-100.</t>
  </si>
  <si>
    <t xml:space="preserve">Clinician cost per completed consult driver $32-45, and consult fee charged $49-79.</t>
  </si>
  <si>
    <t xml:space="preserve">https://bask.health/blog/pricing-for-telemedicine-services
https://www.ncbi.nlm.nih.gov/books/NBK459384/
https://openmypro.com/cost/telehealth-visit-cost</t>
  </si>
  <si>
    <t xml:space="preserve">B09</t>
  </si>
  <si>
    <t xml:space="preserve">Cold-chain fulfilment cost for peptides</t>
  </si>
  <si>
    <t xml:space="preserve">Quoted base pack rate $1.95 per order plus $350/month cold storage for refrigerated peptide inventory; FedEx 2-Day temperature-controlled is the standard lane. Additional cost for insulated mailers, gel packs, refrigerated carrier surcharges. Most peptides require 2-8 C.</t>
  </si>
  <si>
    <t xml:space="preserve">Cold-chain shipping driver $15-22 per Rx fill, which is the pack rate plus the expedited insulated lane, not the pack rate alone.</t>
  </si>
  <si>
    <t xml:space="preserve">Medium (vendor marketing pages)</t>
  </si>
  <si>
    <t xml:space="preserve">https://rapidfulfillment.com/blogs/news/peptide-fulfillment-pricing
https://3plguys.com/articles/peptide-shipping-guide
https://amzprep.com/peptide-fulfilment-services/</t>
  </si>
  <si>
    <t xml:space="preserve">B10</t>
  </si>
  <si>
    <t xml:space="preserve">LegitScript healthcare merchant certification cost</t>
  </si>
  <si>
    <t xml:space="preserve">2025-2026 schedule cited as $975 application plus $2,150 annual per website; ~$3,125 year one for a single-site brand, ~$2,150/yr ongoing; expedited review ~$2,500 extra. It gates healthcare advertising on Google, Meta, Microsoft, TikTok, LinkedIn and Nextdoor, and is close to a prerequisite for card-not-present acceptance.</t>
  </si>
  <si>
    <t xml:space="preserve">Certification line in opex. Also a gating dependency for the paid-media plan: no certification, no paid healthcare advertising at scale.</t>
  </si>
  <si>
    <t xml:space="preserve">Medium (third-party summaries of a schedule that changes; confirm live)</t>
  </si>
  <si>
    <t xml:space="preserve">https://myorbithealth.com/blog/legitscript-certification-telehealth-guide
https://www.legitscript.com/certification/healthcare-certification/
https://www.2accept.net/blog/legitscript-certification-cost</t>
  </si>
  <si>
    <t xml:space="preserve">B11</t>
  </si>
  <si>
    <t xml:space="preserve">Market rate for turnkey white-label telehealth infrastructure</t>
  </si>
  <si>
    <t xml:space="preserve">One vendor's published pricing is $3,000-6,000 per month by plan tier plus a $5,000-10,000 one-time onboarding fee and separate per-consult fees, as of mid-2026. Other vendors advertise a flat monthly fee with zero revenue share including LegitScript and multi-pharmacy access; most gate pricing behind a demo. The category supplies licensed providers, HIPAA intake and EMR, e-prescribing, pharmacy fulfilment and the MSO / friendly-PC legal structure while the brand owns the customer.</t>
  </si>
  <si>
    <t xml:space="preserve">Directly relevant to the stated $600/month flat fee. The model treats $600 as a platform/SaaS fee only and carries per-consult, medication, shipping and processing costs separately, because a fee at one fifth of the low end of published market pricing is very unlikely to absorb per-unit variable costs.</t>
  </si>
  <si>
    <t xml:space="preserve">https://myorbithealth.com/blog/best-white-label-telehealth-platforms
https://cuvo.co/blog/best-white-label-telehealth-platforms
https://pharmabro.co/
https://thepharmacyhub.com/telehealth/
https://whitelabelmd.com/</t>
  </si>
  <si>
    <t xml:space="preserve">B12</t>
  </si>
  <si>
    <t xml:space="preserve">Category growth: peptide therapeutics (global)</t>
  </si>
  <si>
    <t xml:space="preserve">Global peptide therapeutics estimated ~$58B in 2026 (estimates range $54.6B to $164B depending on scope), reaching ~$83.6B by 2030 at a cited 11.2% CAGR; most firms project 5-8% CAGR, some 10.8% to 2036.</t>
  </si>
  <si>
    <t xml:space="preserve">Context only. This market is pharmaceutical-dominated and is NOT the addressable market for a cash-pay DTC brand. Shown in the proposal as context and labelled as such.</t>
  </si>
  <si>
    <t xml:space="preserve">Low (vendor market reports, wide disagreement)</t>
  </si>
  <si>
    <t xml:space="preserve">https://www.thebusinessresearchcompany.com/report/peptide-therapeutics-global-market-report
https://www.grandviewresearch.com/industry-analysis/peptide-therapeutics-market
https://www.precedenceresearch.com/peptide-therapeutics-market</t>
  </si>
  <si>
    <t xml:space="preserve">B13</t>
  </si>
  <si>
    <t xml:space="preserve">Category growth: dietary supplements</t>
  </si>
  <si>
    <t xml:space="preserve">Dietary supplements projected from ~$228.2B in 2026; nutritional supplements to ~$635.6B by 2030 at a cited 7.2% CAGR; dietary supplements cited at 7.2-9.5% CAGR depending on firm.</t>
  </si>
  <si>
    <t xml:space="preserve">Growth context for the non-Rx line, which is the line that can operate in all fifty states.</t>
  </si>
  <si>
    <t xml:space="preserve">Low (vendor market reports)</t>
  </si>
  <si>
    <t xml:space="preserve">https://www.grandviewresearch.com/industry-analysis/dietary-supplements-market-report
https://www.thebusinessresearchcompany.com/report/nutritional-supplements-global-market-report
https://www.fortunebusinessinsights.com/dietary-supplements-market-102082</t>
  </si>
  <si>
    <t xml:space="preserve">B14</t>
  </si>
  <si>
    <t xml:space="preserve">Celebrity-founded supplement brand outcomes (existence proof for the upside case)</t>
  </si>
  <si>
    <t xml:space="preserve">IM8, co-founded by David Beckham (~88M Instagram followers), reported $100M in 11 months and ~$120M ARR within the first year; its founders stated they deliberately did not lean on the fame but on product efficacy. Gruns reached profitability 14 months in with nine-figure ARR and a reported $500M valuation. For contrast, SHREDZ did $90k in its first year (2012) and $5M in 2013.</t>
  </si>
  <si>
    <t xml:space="preserve">Calibrates the aggressive scenario. It establishes the outcome is achievable but the spread between SHREDZ and IM8 is roughly three orders of magnitude, which is why the scenario band is wide.</t>
  </si>
  <si>
    <t xml:space="preserve">Medium (press reporting, self-reported revenue)</t>
  </si>
  <si>
    <t xml:space="preserve">https://www.entrepreneur.com/building-a-business/david-beckhams-supplement-brand-is-doing-10-million-a-month
https://www.inc.com/jennifer-conrad/gruns-follow-the-money/91181108
https://tnge.substack.com/p/the-supplement-brand-that-grows-faster-than-anyone-else</t>
  </si>
  <si>
    <t xml:space="preserve">B15</t>
  </si>
  <si>
    <t xml:space="preserve">Instagram performance at the 10M-plus follower tier</t>
  </si>
  <si>
    <t xml:space="preserve">Accounts above 10M followers average ~1.77% engagement, the lowest of any tier; accounts above 5M average ~1.97%, down ~24% year over year. Reels engagement averages ~3.8% and runs 3-5x static posts. Multiple sources note smaller creators convert to sales better than mega accounts despite lower reach.</t>
  </si>
  <si>
    <t xml:space="preserve">Constrains the audience-conversion drivers. Engagement is not reach and reach is not purchase; the model steps followers to impressions to sessions to orders with a separate, explicit rate at each step and a decay curve on attention.</t>
  </si>
  <si>
    <t xml:space="preserve">https://creatorflow.so/blog/instagram-engagement-rate/
https://nowadays.media/blog/influencer-engagement-rate-benchmarks-2026-by-platform-niche-follower-tier/
https://www.upgrow.com/blog/instagram-engagement-rate-statistics-2026-industry-follower-size</t>
  </si>
  <si>
    <t xml:space="preserve">B16</t>
  </si>
  <si>
    <t xml:space="preserve">Proposed brand partner audience size</t>
  </si>
  <si>
    <t xml:space="preserve">Scott Disick (@letthelordbewithyou) reported at 27,410,219 followers as of June 2026; other trackers report 27M to 28.3M. Counts vary by refresh time.</t>
  </si>
  <si>
    <t xml:space="preserve">Model input set to 27,400,000 and held constant across all three scenarios, because it is a measured quantity rather than a scenario choice. Audience quality, US share and health-category receptivity are NOT known and are handled by the reach and click-through drivers.</t>
  </si>
  <si>
    <t xml:space="preserve">Medium (third-party trackers; not an audited or first-party figure)</t>
  </si>
  <si>
    <t xml:space="preserve">https://hypeauditor.com/instagram/letthelordbewithyou/
https://socialblade.com/instagram/user/letthelordbewithyou
https://www.instagram.com/letthelordbewithyou/</t>
  </si>
  <si>
    <t xml:space="preserve">B17</t>
  </si>
  <si>
    <t xml:space="preserve">Prescription-programme retention reality check</t>
  </si>
  <si>
    <t xml:space="preserve">For the non-diabetic weight-loss population, discontinuation approaches 65% within the first year and 84.4% by 24 months. A real-world telehealth obesity provider reported programme retention of 78%, 63% and 58% at 3, 6 and 9 months. Commentary describes a 2026 'retention cliff' as the category's central problem.</t>
  </si>
  <si>
    <t xml:space="preserve">Rx churn driver 9.5-13% monthly. This is the single most damaging assumption if wrong, and it is flagged as such in the sensitivity analysis.</t>
  </si>
  <si>
    <t xml:space="preserve">Medium-High (peer-reviewed real-world evidence plus trade commentary)</t>
  </si>
  <si>
    <t xml:space="preserve">https://pmc.ncbi.nlm.nih.gov/articles/PMC11589532/
https://glp-1.reviews/glp-1-industry-secrets-revealed-what-2026-data-shows-about-telehealth-success-rates/</t>
  </si>
  <si>
    <t xml:space="preserve">B18</t>
  </si>
  <si>
    <t xml:space="preserve">503A bulk substances list movement on peptides, 2026</t>
  </si>
  <si>
    <t xml:space="preserve">On 15 April 2026 FDA removed 12 peptides from Category 2 of the 503A bulk drug substances list. First-batch substances under review include BPC-157, KPV, MOTS-c, Emideltide (DSIP), Epitalon, Semax and TB-500. The Pharmacy Compounding Advisory Committee met 23-24 July 2026 on Emideltide, Semax and Epitalon related substances, and FDA announced a further meeting before the end of February 2027 covering GHK-Cu, Melanotan II, Cathelicidin (LL-37), Dihexa acetate and PEG-MGF. Gonadorelin acetate has been added to Category 1. One category guide states CJC-1295 and ipamorelin 'returned to Category 1 in 2026'.</t>
  </si>
  <si>
    <t xml:space="preserve">Not a financial driver but the gate on which products the Rx line may legally carry. The formulary must be re-verified against the live FDA list before launch and re-verified on each PCAC action; the CJC-1295/ipamorelin claim in particular rests on a single secondary source and is NOT treated as established.</t>
  </si>
  <si>
    <t xml:space="preserve">Medium for the FDA actions, Low for the CJC-1295/ipamorelin Category 1 claim</t>
  </si>
  <si>
    <t xml:space="preserve">https://www.fda.gov/advisory-committees/advisory-committee-calendar/july-23-24-2026-meeting-pharmacy-compounding-advisory-committee-07232026
https://www.thefdalawblog.com/2026/04/fdas-peptide-rally-what-compounders-and-industry-need-to-know-post-1-of-2/
https://www.fagronacademy.us/blog/industry-update-503a-and-503b-bulks-lists-new-revisions</t>
  </si>
  <si>
    <t xml:space="preserve">B19</t>
  </si>
  <si>
    <t xml:space="preserve">Retargeting versus cold prospecting economics, and the incrementality problem</t>
  </si>
  <si>
    <t xml:space="preserve">Retargeting ROAS averages about 4.2x in 2026, roughly 71% above prospecting; benchmark ranges given as 3-5x for prospecting and 5-10x for retargeting, with cold Meta prospecting typically 1.5-3x and retargeting often clearing 5x. Cost per acquisition drops 40-70% on retargeting audiences versus cold, and retargeting campaigns are described as costing 60-70% less than prospecting. Returning customers show a 3-4x conversion multiplier. CRITICALLY, the same sources warn that retargeting looks efficient mainly because it harvests demand prospecting already created, that cutting prospecting starves it weeks later, and that up to 75% of retargeting conversions may be non-incremental, with holdout tests showing true incremental lift of only 25-30%.</t>
  </si>
  <si>
    <t xml:space="preserve">Sets cost per session and the conversion multiplier for the retargeting tier, AND sets the incrementality haircut driver (25-40% by scenario) applied to that tier's conversions. The haircut is the reason the model does not simply assume a better CAC: at the baseline 30% incrementality, retargeting's incremental CAC comes out roughly level with cold prospecting despite a much cheaper nominal CPA. The same logic sets a 35-55% incrementality haircut on paid branded search, which otherwise double-counts the partner's organic traffic.</t>
  </si>
  <si>
    <t xml:space="preserve">Medium for the nominal efficiency figures, Medium-High for the incrementality warning (holdout-test based)</t>
  </si>
  <si>
    <t xml:space="preserve">https://www.admetrics.io/post/retargeting-advertising-dtc-ecommerce-99811
https://mhigrowthengine.com/blog/prospecting-vs-retargeting-spend-ratio/
https://parahgroup.com/blogs/retargeting-vs-prospecting-which-brings-better-conversion-rates/
https://www.webtonic.io/blog/retargeting</t>
  </si>
  <si>
    <t xml:space="preserve">B20</t>
  </si>
  <si>
    <t xml:space="preserve">Paid social creative performance, and the absence of a celebrity-specific benchmark</t>
  </si>
  <si>
    <t xml:space="preserve">Facebook traffic campaigns average about 1.71% click-through across industries and lead campaigns about 2.59%; roughly 1% or better is a practical 2026 target for paid social. Instagram feed ads run 0.22-0.88% click-through and Stories ads 0.33-0.54%. On creative: video content is cited at 30-50% higher click-through, including faces in visuals is a recommended practice, and social proof is credited with 15-25% higher conversion. NO study focused specifically on celebrity or recognisable-face ad performance lift was retrievable.</t>
  </si>
  <si>
    <t xml:space="preserve">Sets cost per session on the cold prospecting tier. Also bounds the partner-creative cost-per-session discount driver (0.72-0.88), which is labelled a LOW-confidence analyst assumption precisely because no celebrity-specific lift benchmark exists. The model's validation method for it is a creative A/B test with and without the partner in month one.</t>
  </si>
  <si>
    <t xml:space="preserve">Medium for the general paid-social figures, None for celebrity-specific lift (no source found)</t>
  </si>
  <si>
    <t xml:space="preserve">https://www.theedigital.com/blog/facebook-ads-benchmarks
https://focus-digital.co/social-media-ads-ctr-benchmarks-2025/
https://www.adstellar.ai/blog/ad-creative-benchmarks-2026
https://www.triplewhale.com/blog/facebook-ads-benchmarks</t>
  </si>
  <si>
    <t xml:space="preserve">B21</t>
  </si>
  <si>
    <t xml:space="preserve">Wholesale-priced dropship fulfilment versus owning manufacturing runs</t>
  </si>
  <si>
    <t xml:space="preserve">Private-label supplements are cited at 40-60% gross margins, with a typical all-in per-unit COGS of $5-15 at a 500-unit minimum order and around $4 at 5,000 units (ingredients $2-7, dose form $0.50-2, bottle and packaging $0.75-3). Dropshipping is cited at 30-50% gross margins, with branded stores at 25-45% against 10-20% for generic dropshipping; one source states the per-unit cost in dropshipping is 'astronomically high, leaving you with virtually zero margin to reinvest in customer acquisition.' Named trade-offs are lower margins, limited product control and potential shipping delays. US manufacturing carries 2-3x the COGS of overseas with lower minimums and faster shipping.</t>
  </si>
  <si>
    <t xml:space="preserve">Replaces the owned-inventory cost structure with the arrangement the project owner described: wholesale unit pricing from a wholesaler who holds the stock and ships to the customer. The non-prescription cost-of-goods driver is now an ALL-IN wholesale cost including the wholesaler's pick, pack and ship, set at 32-44% of retail by scenario, and the separate per-order fulfilment driver is zeroed because it is bundled. Inventory months are set to zero, removing the working-capital draw entirely. The important arithmetic: owning runs at the benchmark 26% landed COGS plus $7.50 of separate fulfilment is about 36% of retail all-in on a $78 order, so wholesale dropship at the 37% baseline is close to MARGIN-NEUTRAL and hands back the cash. The cost is not margin today, it is the absent improvement curve: an owned run drops to roughly $4 per unit at 5,000 units, while a wholesale price does not fall that way, so bringing manufacturing in-house becomes a real and quantifiable margin lever once volume justifies it.</t>
  </si>
  <si>
    <t xml:space="preserve">Medium. The per-unit manufacturing figures are reasonably consistent across sources; the cited dropship margin bands mix generic reselling with private-label and wholesale arrangements and should not be applied directly. A wholesale price schedule from the named wholesaler replaces this entire range.</t>
  </si>
  <si>
    <t xml:space="preserve">https://inventoryready.com/guides/what-it-costs-to-launch-your-first-private-label-supplement
https://inventoryready.com/guides/private-label-vs-custom-formulation
https://build-your-own-brand.com/private-label-vs-white-label
https://dropshippingchampions.com/blog/private-label-dropshipping-suppliers
https://www.fforder.com/post/private-label-supplements</t>
  </si>
  <si>
    <t xml:space="preserve">B22</t>
  </si>
  <si>
    <t xml:space="preserve">Own-label distributor liability: a dropship arrangement does not transfer FDA or FTC responsibility</t>
  </si>
  <si>
    <t xml:space="preserve">FDA states that an own-label distributor is 'ultimately responsible' for the quality of the dietary supplement products it places into interstate commerce. FDA has stated that a firm has 'ultimate responsibility to ensure that all phases of the production of those products are in compliance with cGMP requirements' and that 'although your firm may contract out certain manufacturing operations, it cannot contract out its ultimate responsibility to ensure that the dietary supplement is not adulterated for failure to comply with dietary supplement cGMP requirements.' A firm that packages, labels or distributes a supplement manufactured by another firm is subject to the dietary supplement cGMP rule for the operations it performs. Commentary notes that a supplier's claim to be 'GMP certified' does not shift liability, that FDA and FTC hold the brand owner responsible for label and marketing claims, and that supplier contracts frequently state the brand alone is accountable for label claims.</t>
  </si>
  <si>
    <t xml:space="preserve">Not a financial driver. It is the reason the dropship structure does not reduce the brand's legal exposure, and the reason the legal and quality line items are NOT cut alongside the inventory line. It also raises the specific stakes here: the product carries a named public figure, so a quality or claims failure by a third-party manufacturer becomes that person's reputational problem and the brand's legal one.</t>
  </si>
  <si>
    <t xml:space="preserve">High (FDA guidance and FDA compliance programme, corroborated by independent legal and laboratory commentary)</t>
  </si>
  <si>
    <t xml:space="preserve">https://www.fda.gov/regulatory-information/search-fda-guidance-documents/small-entity-compliance-guide-current-good-manufacturing-practice-manufacturing-packaging-labeling
https://www.supplysidesj.com/labeling/cgmps-with-tlc-own-label-distributor-responsibilities
https://certified-laboratories.com/blog/own-label-distribution/
https://www.blueoceanregulatory.com/blog/is-dropshipping-supplements-legal-risks-amp-solutions
https://www.fda.gov/media/116340/download</t>
  </si>
  <si>
    <t xml:space="preserve">Not retrievable in this environment</t>
  </si>
  <si>
    <t xml:space="preserve">First-party analytics for any competitor (sessions, conversion rate, CAC, churn) — no traffic tool or ad library was reachable.</t>
  </si>
  <si>
    <t xml:space="preserve">Audited financials for any private peptide or celebrity supplement brand. IM8 and Gruns revenue figures are self-reported via press.</t>
  </si>
  <si>
    <t xml:space="preserve">Scott Disick's audience composition (US share, age, gender, health-category affinity) and any historical conversion performance on a paid endorsement.</t>
  </si>
  <si>
    <t xml:space="preserve">The identity, licences, contract terms, insurance, pharmacy network and LegitScript status of the $600/month provider — no provider was named.</t>
  </si>
  <si>
    <t xml:space="preserve">Any study quantifying the advertising performance lift from celebrity or recognisable-face creative. The creative-discount driver is an analyst assumption supported only by general findings on video and faces in visuals.</t>
  </si>
  <si>
    <t xml:space="preserve">A branded-search conversion-rate multiplier benchmark, and any benchmark for branded-search volume generated per unit of social reach. Both are analyst assumptions.</t>
  </si>
  <si>
    <t xml:space="preserve">Whether the proposed partner's likeness rights extend to paid media. Organic posting rights and paid-usage rights are separately licensed, and health-category ad review plus LegitScript certification gate the paid use regardless.</t>
  </si>
  <si>
    <t xml:space="preserve">The named dropship partner's unit price schedule, stock allocation, cGMP certification, third-party testing regime, certificates of analysis, shipping service levels and indemnity terms. No partner was named, so the cost of goods is a benchmark range rather than a quote.</t>
  </si>
  <si>
    <t xml:space="preserve">Whether the dropship partner can absorb a celebrity-launch demand spike without a stockout. Capacity in the model is an analyst assumption; a committed stock allocation in writing is the only way to replace it.</t>
  </si>
  <si>
    <t xml:space="preserve">Targeted paid media: three tiers, allocated cheapest first</t>
  </si>
  <si>
    <t xml:space="preserve">The brand partnership does not lower the cost of advertising by magic. It works through three specific, measurable mechanisms, and each one is a separate tier below with its own volume ceiling, its own cost per session, its own conversion rate and its own incrementality haircut. The budget is set as a share of the prior month's net revenue, then filled from the cheapest tier upward: search first, retargeting second, cold prospecting takes whatever is left.</t>
  </si>
  <si>
    <t xml:space="preserve">Tier</t>
  </si>
  <si>
    <t xml:space="preserve">What it is</t>
  </si>
  <si>
    <t xml:space="preserve">How the partnership creates it</t>
  </si>
  <si>
    <t xml:space="preserve">Volume ceiling</t>
  </si>
  <si>
    <t xml:space="preserve">Incrementality haircut</t>
  </si>
  <si>
    <t xml:space="preserve">1. Branded and intent search</t>
  </si>
  <si>
    <t xml:space="preserve">Paid search against the brand name and against category-intent queries. The cheapest inventory a brand owns, because it faces little auction competition on its own name.</t>
  </si>
  <si>
    <t xml:space="preserve">Every brand post sends some viewers to a search engine instead of to the link. That converts partner reach into cheap, high-intent paid inventory. Without the partner this tier is almost empty.</t>
  </si>
  <si>
    <t xml:space="preserve">Capped by the queries that actually exist: partner impressions times the branded-search rate, plus a baseline from organic, times the share you choose to buy.</t>
  </si>
  <si>
    <t xml:space="preserve">35-55% incremental. Paying for a query you would rank for organically buys a click you already had. Without this haircut the model would count the partner's organic traffic twice.</t>
  </si>
  <si>
    <t xml:space="preserve">2. Retargeting</t>
  </si>
  <si>
    <t xml:space="preserve">Site visitors plus the partner's post engagers, reached again through platform custom and engagement audiences.</t>
  </si>
  <si>
    <t xml:space="preserve">Anyone who engaged with a brand post enters the platform's engagement audience. The partner's reach therefore builds a large warm pool at no media cost.</t>
  </si>
  <si>
    <t xml:space="preserve">Capped by the pool: addressable share of prior-month sessions, plus engagers generated per partner impression, times how hard the pool can be worked before fatigue.</t>
  </si>
  <si>
    <t xml:space="preserve">25-40% incremental, and this is the number that matters most. Benchmark B19: holdout tests show true incremental lift of only 25-30%, so up to 75% of retargeting conversions would have happened anyway.</t>
  </si>
  <si>
    <t xml:space="preserve">3. Cold prospecting with partner creative</t>
  </si>
  <si>
    <t xml:space="preserve">Lookalike and broad audiences, run on creative featuring the partner.</t>
  </si>
  <si>
    <t xml:space="preserve">A recognisable face and partner-voiced video should raise click-through and so lower cost per session. This is the only tier where the partnership improves efficiency rather than creating volume.</t>
  </si>
  <si>
    <t xml:space="preserve">Effectively unlimited volume, but subject to diminishing returns: sessions scale as spend raised to the elasticity, so effective cost per session rises as spend grows.</t>
  </si>
  <si>
    <t xml:space="preserve">100%. Cold prospecting creates the demand the other two tiers harvest, which is exactly why it cannot be starved.</t>
  </si>
  <si>
    <t xml:space="preserve">What this structure does and does not claim</t>
  </si>
  <si>
    <t xml:space="preserve">IT DOES claim the partnership lowers blended acquisition cost AT A GIVEN LEVEL OF SPEND, because it shifts the mix toward cheap high-intent inventory and discounts the cold tier through better creative. The grid on the Sensitivity sheet measures exactly that, holding everything else equal.</t>
  </si>
  <si>
    <t xml:space="preserve">IT DOES NOT claim blended CAC falls as the business grows. It rises, in every scenario, because scale pushes spend further out on the diminishing-returns curve. A model showing CAC falling with scale is a model with no auction in it. The partnership's real benefit is that it raises the spend level at which CAC stays acceptable.</t>
  </si>
  <si>
    <t xml:space="preserve">IT DOES NOT take the widely quoted 40-70% retargeting CPA advantage at face value. After the incrementality haircut, retargeting's INCREMENTAL cost per customer comes out roughly level with cold prospecting at Baseline drivers. Run a holdout test in month two: if incrementality lands at the low end of the band, that budget belongs in prospecting instead.</t>
  </si>
  <si>
    <t xml:space="preserve">IT ASSUMES the partner's likeness can be used in paid media. Organic posting rights and paid-usage rights are licensed separately, and paid healthcare creative additionally faces platform ad review and needs LegitScript certification. Confirm both before building the paid plan around partner creative.</t>
  </si>
  <si>
    <t xml:space="preserve">IT EXCLUDES the prescription line from partner creative entirely. Compounded prescription products are not promoted by the partner, so prescription intent is weighted down on partner-driven and cold-prospecting traffic and comes instead from search, editorial content and on-site cross-sell.</t>
  </si>
  <si>
    <t xml:space="preserve">Reserve Clinic - Conservative scenario, months 1-36</t>
  </si>
  <si>
    <t xml:space="preserve">Every cell is a formula. Inputs live on Assumptions only. Green = link to Assumptions.</t>
  </si>
  <si>
    <t xml:space="preserve">Line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</si>
  <si>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</si>
  <si>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</si>
  <si>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</si>
  <si>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</si>
  <si>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</si>
  <si>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</si>
  <si>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</si>
  <si>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</si>
  <si>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</si>
  <si>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</si>
  <si>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</si>
  <si>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</si>
  <si>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</si>
  <si>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</si>
  <si>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</si>
  <si>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</si>
  <si>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</si>
  <si>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</si>
  <si>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</si>
  <si>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</si>
  <si>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</si>
  <si>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</si>
  <si>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</si>
  <si>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</si>
  <si>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</si>
  <si>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</si>
  <si>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</si>
  <si>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</si>
  <si>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</si>
  <si>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</si>
  <si>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</si>
  <si>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</si>
  <si>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</si>
  <si>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</si>
  <si>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</si>
  <si>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</si>
  <si>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Total / final</t>
  </si>
  <si>
    <t xml:space="preserve">Month index</t>
  </si>
  <si>
    <t xml:space="preserve">Year</t>
  </si>
  <si>
    <t xml:space="preserve">Non-Rx line live (1/0)</t>
  </si>
  <si>
    <t xml:space="preserve">flag</t>
  </si>
  <si>
    <t xml:space="preserve">Rx line live (1/0)</t>
  </si>
  <si>
    <t xml:space="preserve">Months since non-Rx launch</t>
  </si>
  <si>
    <t xml:space="preserve">Partner-driven sessions at launch peak</t>
  </si>
  <si>
    <t xml:space="preserve">Attention index (decay toward floor)</t>
  </si>
  <si>
    <t xml:space="preserve">Partner-driven sessions</t>
  </si>
  <si>
    <t xml:space="preserve">Partner-post impressions reached</t>
  </si>
  <si>
    <t xml:space="preserve">impressions</t>
  </si>
  <si>
    <t xml:space="preserve">Organic and direct sessions</t>
  </si>
  <si>
    <t xml:space="preserve">Paid media budget</t>
  </si>
  <si>
    <t xml:space="preserve">Branded and intent sessions available to buy</t>
  </si>
  <si>
    <t xml:space="preserve">Spend, branded and intent search</t>
  </si>
  <si>
    <t xml:space="preserve">Sessions, branded and intent search</t>
  </si>
  <si>
    <t xml:space="preserve">Addressable retargeting pool</t>
  </si>
  <si>
    <t xml:space="preserve">Retargeting sessions available to buy</t>
  </si>
  <si>
    <t xml:space="preserve">Spend, retargeting</t>
  </si>
  <si>
    <t xml:space="preserve">Sessions, retargeting</t>
  </si>
  <si>
    <t xml:space="preserve">Spend, cold prospecting</t>
  </si>
  <si>
    <t xml:space="preserve">Sessions, cold prospecting (diminishing returns and creative lift applied)</t>
  </si>
  <si>
    <t xml:space="preserve">Paid media spend, all tiers</t>
  </si>
  <si>
    <t xml:space="preserve">Paid sessions, all tiers</t>
  </si>
  <si>
    <t xml:space="preserve">Blended effective cost per paid session</t>
  </si>
  <si>
    <t xml:space="preserve">Total sessions</t>
  </si>
  <si>
    <t xml:space="preserve">Shippable new-order capacity</t>
  </si>
  <si>
    <t xml:space="preserve">New non-Rx customer demand (conversion-weighted by source)</t>
  </si>
  <si>
    <t xml:space="preserve">New non-Rx customers served</t>
  </si>
  <si>
    <t xml:space="preserve">Demand lost to capacity</t>
  </si>
  <si>
    <t xml:space="preserve">New subscribers</t>
  </si>
  <si>
    <t xml:space="preserve">New one-time buyers</t>
  </si>
  <si>
    <t xml:space="preserve">Active subscribers (end of month)</t>
  </si>
  <si>
    <t xml:space="preserve">Subscribers churned</t>
  </si>
  <si>
    <t xml:space="preserve">Repeat orders from one-time buyers</t>
  </si>
  <si>
    <t xml:space="preserve">Non-Rx orders shipped</t>
  </si>
  <si>
    <t xml:space="preserve">Non-Rx gross revenue</t>
  </si>
  <si>
    <t xml:space="preserve">Non-Rx refunds and chargebacks</t>
  </si>
  <si>
    <t xml:space="preserve">Non-Rx net revenue</t>
  </si>
  <si>
    <t xml:space="preserve">Non-Rx product COGS</t>
  </si>
  <si>
    <t xml:space="preserve">Non-Rx pick, pack and ship</t>
  </si>
  <si>
    <t xml:space="preserve">Non-Rx payment processing</t>
  </si>
  <si>
    <t xml:space="preserve">Non-Rx gross profit</t>
  </si>
  <si>
    <t xml:space="preserve">Non-Rx gross margin</t>
  </si>
  <si>
    <t xml:space="preserve">US population covered by served states</t>
  </si>
  <si>
    <t xml:space="preserve">Prescription-intent-weighted sessions</t>
  </si>
  <si>
    <t xml:space="preserve">Eligibility quiz starts</t>
  </si>
  <si>
    <t xml:space="preserve">Quiz completions</t>
  </si>
  <si>
    <t xml:space="preserve">Eligible outcomes (clinical screen and state)</t>
  </si>
  <si>
    <t xml:space="preserve">Intakes submitted (consult fee charged)</t>
  </si>
  <si>
    <t xml:space="preserve">Consults completed</t>
  </si>
  <si>
    <t xml:space="preserve">Prescriptions issued (clinician decision)</t>
  </si>
  <si>
    <t xml:space="preserve">New paying programme members</t>
  </si>
  <si>
    <t xml:space="preserve">Active programme members (end of month)</t>
  </si>
  <si>
    <t xml:space="preserve">Programme members churned</t>
  </si>
  <si>
    <t xml:space="preserve">Programme subscription revenue</t>
  </si>
  <si>
    <t xml:space="preserve">Consultation fee revenue</t>
  </si>
  <si>
    <t xml:space="preserve">Rx gross revenue</t>
  </si>
  <si>
    <t xml:space="preserve">Rx refunds and chargebacks</t>
  </si>
  <si>
    <t xml:space="preserve">Rx net revenue</t>
  </si>
  <si>
    <t xml:space="preserve">Pharmacy medication cost</t>
  </si>
  <si>
    <t xml:space="preserve">Clinician cost, new consults</t>
  </si>
  <si>
    <t xml:space="preserve">Clinician cost, monitoring and refills</t>
  </si>
  <si>
    <t xml:space="preserve">Cold-chain fulfilment and shipping</t>
  </si>
  <si>
    <t xml:space="preserve">Rx support cost</t>
  </si>
  <si>
    <t xml:space="preserve">Rx payment processing</t>
  </si>
  <si>
    <t xml:space="preserve">Rx gross profit</t>
  </si>
  <si>
    <t xml:space="preserve">Rx gross margin</t>
  </si>
  <si>
    <t xml:space="preserve">TOTAL NET REVENUE</t>
  </si>
  <si>
    <t xml:space="preserve">TOTAL GROSS PROFIT</t>
  </si>
  <si>
    <t xml:space="preserve">Blended gross margin</t>
  </si>
  <si>
    <t xml:space="preserve">Provider flat fee</t>
  </si>
  <si>
    <t xml:space="preserve">Certification and registrations</t>
  </si>
  <si>
    <t xml:space="preserve">Team</t>
  </si>
  <si>
    <t xml:space="preserve">Medical director and clinical oversight</t>
  </si>
  <si>
    <t xml:space="preserve">Technology and software</t>
  </si>
  <si>
    <t xml:space="preserve">Legal, regulatory and compliance</t>
  </si>
  <si>
    <t xml:space="preserve">Insurance</t>
  </si>
  <si>
    <t xml:space="preserve">Creative and content</t>
  </si>
  <si>
    <t xml:space="preserve">Paid media</t>
  </si>
  <si>
    <t xml:space="preserve">One-time launch marketing and PR</t>
  </si>
  <si>
    <t xml:space="preserve">Partner cash retainer</t>
  </si>
  <si>
    <t xml:space="preserve">TOTAL OPERATING EXPENSE</t>
  </si>
  <si>
    <t xml:space="preserve">EBITDA</t>
  </si>
  <si>
    <t xml:space="preserve">EBITDA margin</t>
  </si>
  <si>
    <t xml:space="preserve">Non-Rx inventory balance (zero under the wholesale dropship arrangement)</t>
  </si>
  <si>
    <t xml:space="preserve">Inventory investment (increase in stock)</t>
  </si>
  <si>
    <t xml:space="preserve">Net cash flow</t>
  </si>
  <si>
    <t xml:space="preserve">Cumulative cash flow</t>
  </si>
  <si>
    <t xml:space="preserve">Break-even helper (month if EBITDA positive, else 999)</t>
  </si>
  <si>
    <t xml:space="preserve">New customers, both lines</t>
  </si>
  <si>
    <t xml:space="preserve">Blended CAC (paid media plus creative)</t>
  </si>
  <si>
    <t xml:space="preserve">CAC, branded and intent search (incremental)</t>
  </si>
  <si>
    <t xml:space="preserve">CAC, retargeting (incremental)</t>
  </si>
  <si>
    <t xml:space="preserve">CAC, cold prospecting</t>
  </si>
  <si>
    <t xml:space="preserve">CAC, all paid tiers, non-Rx</t>
  </si>
  <si>
    <t xml:space="preserve">Months for a non-Rx subscriber to repay paid CAC</t>
  </si>
  <si>
    <t xml:space="preserve">Rx contribution per member-month, steady state</t>
  </si>
  <si>
    <t xml:space="preserve">Rx gross LTV (contribution / churn)</t>
  </si>
  <si>
    <t xml:space="preserve">Reserve Clinic - Baseline scenario, months 1-36</t>
  </si>
  <si>
    <t xml:space="preserve">Reserve Clinic - Aggressive scenario, months 1-36</t>
  </si>
  <si>
    <t xml:space="preserve">Reserve Clinic - No_Partner scenario, months 1-36</t>
  </si>
  <si>
    <t xml:space="preserve">Reserve Clinic - Weak_Audience scenario, months 1-36</t>
  </si>
  <si>
    <t xml:space="preserve">Reserve Clinic - Weak_Retention scenario, months 1-36</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</si>
</sst>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00"/>
    <numFmt numFmtId="169" formatCode="\$#,##0;&quot;($&quot;#,##0\);\-"/>
    <numFmt numFmtId="170" formatCode="\$#,##0.00;&quot;($&quot;#,##0.00\);\-"/>
    <numFmt numFmtId="171" formatCode="0.0"/>
    <numFmt numFmtId="172" formatCode="0"/>
  </numFmts>
  <fonts count="1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1"/>
      <name val="Arial"/>
      <family val="0"/>
      <charset val="1"/>
    </font>
    <font>
      <sz val="10"/>
      <name val="Arial"/>
      <family val="0"/>
      <charset val="1"/>
    </font>
    <font>
      <b val="true"/>
      <sz val="14"/>
      <name val="Arial"/>
      <family val="0"/>
      <charset val="1"/>
    </font>
    <font>
      <i val="true"/>
      <sz val="9"/>
      <name val="Arial"/>
      <family val="0"/>
      <charset val="1"/>
    </font>
    <font>
      <b val="true"/>
      <sz val="11"/>
      <color rgb="FFFFFFFF"/>
      <name val="Arial"/>
      <family val="0"/>
      <charset val="1"/>
    </font>
    <font>
      <b val="true"/>
      <sz val="10"/>
      <name val="Arial"/>
      <family val="0"/>
      <charset val="1"/>
    </font>
    <font>
      <sz val="8"/>
      <color rgb="FF777777"/>
      <name val="Arial"/>
      <family val="0"/>
      <charset val="1"/>
    </font>
    <font>
      <sz val="10"/>
      <color rgb="FF000000"/>
      <name val="Arial"/>
      <family val="0"/>
      <charset val="1"/>
    </font>
    <font>
      <sz val="10"/>
      <color rgb="FF0000FF"/>
      <name val="Arial"/>
      <family val="0"/>
      <charset val="1"/>
    </font>
    <font>
      <sz val="9"/>
      <name val="Arial"/>
      <family val="0"/>
      <charset val="1"/>
    </font>
    <font>
      <b val="true"/>
      <sz val="10"/>
      <color rgb="FF0000FF"/>
      <name val="Arial"/>
      <family val="0"/>
      <charset val="1"/>
    </font>
    <font>
      <sz val="10"/>
      <color rgb="FF008000"/>
      <name val="Arial"/>
      <family val="0"/>
      <charset val="1"/>
    </font>
    <font>
      <sz val="7"/>
      <name val="Arial"/>
      <family val="0"/>
      <charset val="1"/>
    </font>
  </fonts>
  <fills count="7">
    <fill>
      <patternFill patternType="none"/>
    </fill>
    <fill>
      <patternFill patternType="gray125"/>
    </fill>
    <fill>
      <patternFill patternType="solid">
        <fgColor rgb="FF1F3D33"/>
        <bgColor rgb="FF333300"/>
      </patternFill>
    </fill>
    <fill>
      <patternFill patternType="solid">
        <fgColor rgb="FFE8EFEA"/>
        <bgColor rgb="FFEDEDEA"/>
      </patternFill>
    </fill>
    <fill>
      <patternFill patternType="solid">
        <fgColor rgb="FFEDEDEA"/>
        <bgColor rgb="FFE8EFEA"/>
      </patternFill>
    </fill>
    <fill>
      <patternFill patternType="solid">
        <fgColor rgb="FFFFFF00"/>
        <bgColor rgb="FFFFFF00"/>
      </patternFill>
    </fill>
    <fill>
      <patternFill patternType="solid">
        <fgColor rgb="FFFDEBE7"/>
        <bgColor rgb="FFEDED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5" fontId="15" fillId="4"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6" fontId="13" fillId="4" borderId="0" xfId="0" applyFont="true" applyBorder="false" applyAlignment="false" applyProtection="false">
      <alignment horizontal="general" vertical="bottom" textRotation="0" wrapText="false" indent="0" shrinkToFit="false"/>
      <protection locked="true" hidden="false"/>
    </xf>
    <xf numFmtId="166" fontId="15" fillId="4"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7" fontId="13" fillId="4" borderId="0" xfId="0" applyFont="true" applyBorder="false" applyAlignment="false" applyProtection="false">
      <alignment horizontal="general" vertical="bottom" textRotation="0" wrapText="false" indent="0" shrinkToFit="false"/>
      <protection locked="true" hidden="false"/>
    </xf>
    <xf numFmtId="167" fontId="15" fillId="4"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8" fontId="15" fillId="4" borderId="0" xfId="0" applyFont="true" applyBorder="false" applyAlignment="false" applyProtection="false">
      <alignment horizontal="general" vertical="bottom" textRotation="0" wrapText="false" indent="0" shrinkToFit="false"/>
      <protection locked="true" hidden="false"/>
    </xf>
    <xf numFmtId="168" fontId="13" fillId="4"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3" fillId="4" borderId="0" xfId="0" applyFont="true" applyBorder="false" applyAlignment="false" applyProtection="false">
      <alignment horizontal="general" vertical="bottom" textRotation="0" wrapText="false" indent="0" shrinkToFit="false"/>
      <protection locked="true" hidden="false"/>
    </xf>
    <xf numFmtId="169" fontId="15" fillId="4" borderId="0" xfId="0" applyFont="true" applyBorder="false" applyAlignment="false" applyProtection="false">
      <alignment horizontal="general" vertical="bottom" textRotation="0" wrapText="false" indent="0" shrinkToFit="false"/>
      <protection locked="true" hidden="false"/>
    </xf>
    <xf numFmtId="168" fontId="13" fillId="5" borderId="0" xfId="0" applyFont="true" applyBorder="false" applyAlignment="false" applyProtection="false">
      <alignment horizontal="general" vertical="bottom" textRotation="0" wrapText="false" indent="0" shrinkToFit="false"/>
      <protection locked="true" hidden="false"/>
    </xf>
    <xf numFmtId="170" fontId="13" fillId="5" borderId="0" xfId="0" applyFont="true" applyBorder="false" applyAlignment="false" applyProtection="false">
      <alignment horizontal="general" vertical="bottom" textRotation="0" wrapText="false" indent="0" shrinkToFit="false"/>
      <protection locked="true" hidden="false"/>
    </xf>
    <xf numFmtId="170" fontId="13" fillId="4" borderId="0" xfId="0" applyFont="true" applyBorder="false" applyAlignment="false" applyProtection="false">
      <alignment horizontal="general" vertical="bottom" textRotation="0" wrapText="false" indent="0" shrinkToFit="false"/>
      <protection locked="true" hidden="false"/>
    </xf>
    <xf numFmtId="169" fontId="13" fillId="5"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1" fontId="13"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69" fontId="16" fillId="4"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6" fontId="16" fillId="4" borderId="0" xfId="0" applyFont="true" applyBorder="false" applyAlignment="false" applyProtection="false">
      <alignment horizontal="general" vertical="bottom" textRotation="0" wrapText="false" indent="0" shrinkToFit="false"/>
      <protection locked="true" hidden="false"/>
    </xf>
    <xf numFmtId="172" fontId="16" fillId="0" borderId="0" xfId="0" applyFont="true" applyBorder="false" applyAlignment="false" applyProtection="false">
      <alignment horizontal="general" vertical="bottom" textRotation="0" wrapText="false" indent="0" shrinkToFit="false"/>
      <protection locked="true" hidden="false"/>
    </xf>
    <xf numFmtId="172" fontId="16" fillId="4"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6" fillId="4"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70" fontId="16" fillId="4" borderId="0" xfId="0" applyFont="true" applyBorder="false" applyAlignment="false" applyProtection="false">
      <alignment horizontal="general" vertical="bottom" textRotation="0" wrapText="false" indent="0" shrinkToFit="false"/>
      <protection locked="true" hidden="false"/>
    </xf>
    <xf numFmtId="168" fontId="16" fillId="0" borderId="0" xfId="0" applyFont="true" applyBorder="false" applyAlignment="false" applyProtection="false">
      <alignment horizontal="general" vertical="bottom" textRotation="0" wrapText="false" indent="0" shrinkToFit="false"/>
      <protection locked="true" hidden="false"/>
    </xf>
    <xf numFmtId="168" fontId="16" fillId="4"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2"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7" fontId="9" fillId="2"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77777"/>
      <rgbColor rgb="FF9999FF"/>
      <rgbColor rgb="FF993366"/>
      <rgbColor rgb="FFFDEBE7"/>
      <rgbColor rgb="FFE8EF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A"/>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D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22"/>
  </cols>
  <sheetData>
    <row r="1" customFormat="false" ht="19.7" hidden="false" customHeight="false" outlineLevel="0" collapsed="false">
      <c r="A1" s="1" t="s">
        <v>0</v>
      </c>
    </row>
    <row r="3" customFormat="false" ht="15" hidden="false" customHeight="false" outlineLevel="0" collapsed="false">
      <c r="A3" s="2" t="s">
        <v>1</v>
      </c>
    </row>
    <row r="4" customFormat="false" ht="78" hidden="false" customHeight="true" outlineLevel="0" collapsed="false">
      <c r="A4" s="3" t="s">
        <v>2</v>
      </c>
      <c r="B4" s="3"/>
      <c r="C4" s="3"/>
      <c r="D4" s="3"/>
      <c r="E4" s="3"/>
      <c r="F4" s="3"/>
    </row>
    <row r="6" customFormat="false" ht="15" hidden="false" customHeight="false" outlineLevel="0" collapsed="false">
      <c r="A6" s="2" t="s">
        <v>3</v>
      </c>
    </row>
    <row r="7" customFormat="false" ht="51.75" hidden="false" customHeight="true" outlineLevel="0" collapsed="false">
      <c r="A7" s="3" t="s">
        <v>4</v>
      </c>
      <c r="B7" s="3"/>
      <c r="C7" s="3"/>
      <c r="D7" s="3"/>
      <c r="E7" s="3"/>
      <c r="F7" s="3"/>
    </row>
    <row r="9" customFormat="false" ht="15" hidden="false" customHeight="false" outlineLevel="0" collapsed="false">
      <c r="A9" s="2" t="s">
        <v>5</v>
      </c>
    </row>
    <row r="10" customFormat="false" ht="39" hidden="false" customHeight="true" outlineLevel="0" collapsed="false">
      <c r="A10" s="3" t="s">
        <v>6</v>
      </c>
      <c r="B10" s="3"/>
      <c r="C10" s="3"/>
      <c r="D10" s="3"/>
      <c r="E10" s="3"/>
      <c r="F10" s="3"/>
    </row>
    <row r="12" customFormat="false" ht="15" hidden="false" customHeight="false" outlineLevel="0" collapsed="false">
      <c r="A12" s="2" t="s">
        <v>7</v>
      </c>
    </row>
    <row r="13" customFormat="false" ht="51.75" hidden="false" customHeight="true" outlineLevel="0" collapsed="false">
      <c r="A13" s="3" t="s">
        <v>8</v>
      </c>
      <c r="B13" s="3"/>
      <c r="C13" s="3"/>
      <c r="D13" s="3"/>
      <c r="E13" s="3"/>
      <c r="F13" s="3"/>
    </row>
    <row r="15" customFormat="false" ht="15" hidden="false" customHeight="false" outlineLevel="0" collapsed="false">
      <c r="A15" s="2" t="s">
        <v>9</v>
      </c>
    </row>
    <row r="16" customFormat="false" ht="78" hidden="false" customHeight="true" outlineLevel="0" collapsed="false">
      <c r="A16" s="3" t="s">
        <v>10</v>
      </c>
      <c r="B16" s="3"/>
      <c r="C16" s="3"/>
      <c r="D16" s="3"/>
      <c r="E16" s="3"/>
      <c r="F16" s="3"/>
    </row>
    <row r="18" customFormat="false" ht="15" hidden="false" customHeight="false" outlineLevel="0" collapsed="false">
      <c r="A18" s="2" t="s">
        <v>11</v>
      </c>
    </row>
    <row r="19" customFormat="false" ht="78" hidden="false" customHeight="true" outlineLevel="0" collapsed="false">
      <c r="A19" s="3" t="s">
        <v>12</v>
      </c>
      <c r="B19" s="3"/>
      <c r="C19" s="3"/>
      <c r="D19" s="3"/>
      <c r="E19" s="3"/>
      <c r="F19" s="3"/>
    </row>
    <row r="21" customFormat="false" ht="15" hidden="false" customHeight="false" outlineLevel="0" collapsed="false">
      <c r="A21" s="2" t="s">
        <v>13</v>
      </c>
    </row>
    <row r="22" customFormat="false" ht="78" hidden="false" customHeight="true" outlineLevel="0" collapsed="false">
      <c r="A22" s="3" t="s">
        <v>14</v>
      </c>
      <c r="B22" s="3"/>
      <c r="C22" s="3"/>
      <c r="D22" s="3"/>
      <c r="E22" s="3"/>
      <c r="F22" s="3"/>
    </row>
    <row r="24" customFormat="false" ht="15" hidden="false" customHeight="false" outlineLevel="0" collapsed="false">
      <c r="A24" s="2" t="s">
        <v>15</v>
      </c>
    </row>
    <row r="25" customFormat="false" ht="103.5" hidden="false" customHeight="true" outlineLevel="0" collapsed="false">
      <c r="A25" s="3" t="s">
        <v>16</v>
      </c>
      <c r="B25" s="3"/>
      <c r="C25" s="3"/>
      <c r="D25" s="3"/>
      <c r="E25" s="3"/>
      <c r="F25" s="3"/>
    </row>
    <row r="27" customFormat="false" ht="15" hidden="false" customHeight="false" outlineLevel="0" collapsed="false">
      <c r="A27" s="2" t="s">
        <v>17</v>
      </c>
    </row>
    <row r="28" customFormat="false" ht="90.75" hidden="false" customHeight="true" outlineLevel="0" collapsed="false">
      <c r="A28" s="3" t="s">
        <v>18</v>
      </c>
      <c r="B28" s="3"/>
      <c r="C28" s="3"/>
      <c r="D28" s="3"/>
      <c r="E28" s="3"/>
      <c r="F28" s="3"/>
    </row>
    <row r="30" customFormat="false" ht="15" hidden="false" customHeight="false" outlineLevel="0" collapsed="false">
      <c r="A30" s="2" t="s">
        <v>19</v>
      </c>
    </row>
    <row r="31" customFormat="false" ht="39" hidden="false" customHeight="true" outlineLevel="0" collapsed="false">
      <c r="A31" s="3" t="s">
        <v>20</v>
      </c>
      <c r="B31" s="3"/>
      <c r="C31" s="3"/>
      <c r="D31" s="3"/>
      <c r="E31" s="3"/>
      <c r="F31" s="3"/>
    </row>
  </sheetData>
  <mergeCells count="10">
    <mergeCell ref="A4:F4"/>
    <mergeCell ref="A7:F7"/>
    <mergeCell ref="A10:F10"/>
    <mergeCell ref="A13:F13"/>
    <mergeCell ref="A16:F16"/>
    <mergeCell ref="A19:F19"/>
    <mergeCell ref="A22:F22"/>
    <mergeCell ref="A25:F25"/>
    <mergeCell ref="A28:F28"/>
    <mergeCell ref="A31:F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52"/>
    <col collapsed="false" customWidth="true" hidden="false" outlineLevel="0" max="3" min="3" style="0" width="10"/>
    <col collapsed="false" customWidth="true" hidden="false" outlineLevel="0" max="6" min="4" style="0" width="12"/>
    <col collapsed="false" customWidth="true" hidden="false" outlineLevel="0" max="9" min="7" style="0" width="14"/>
    <col collapsed="false" customWidth="true" hidden="false" outlineLevel="0" max="10" min="10" style="0" width="70"/>
    <col collapsed="false" customWidth="true" hidden="false" outlineLevel="0" max="12" min="11" style="0" width="11"/>
    <col collapsed="false" customWidth="true" hidden="false" outlineLevel="0" max="13" min="13" style="0" width="26"/>
  </cols>
  <sheetData>
    <row r="1" customFormat="false" ht="17.35" hidden="false" customHeight="false" outlineLevel="0" collapsed="false">
      <c r="A1" s="4" t="s">
        <v>21</v>
      </c>
    </row>
    <row r="2" customFormat="false" ht="57.75" hidden="false" customHeight="true" outlineLevel="0" collapsed="false">
      <c r="A2" s="5" t="s">
        <v>22</v>
      </c>
      <c r="B2" s="5"/>
      <c r="C2" s="5"/>
      <c r="D2" s="5"/>
      <c r="E2" s="5"/>
      <c r="F2" s="5"/>
      <c r="G2" s="5"/>
      <c r="H2" s="5"/>
      <c r="I2" s="5"/>
      <c r="J2" s="5"/>
      <c r="K2" s="5"/>
      <c r="L2" s="5"/>
      <c r="M2" s="5"/>
    </row>
    <row r="4" customFormat="false" ht="26.85" hidden="false" customHeight="false" outlineLevel="0" collapsed="false">
      <c r="A4" s="6" t="s">
        <v>23</v>
      </c>
      <c r="B4" s="6" t="s">
        <v>24</v>
      </c>
      <c r="C4" s="6" t="s">
        <v>25</v>
      </c>
      <c r="D4" s="6" t="s">
        <v>26</v>
      </c>
      <c r="E4" s="6" t="s">
        <v>27</v>
      </c>
      <c r="F4" s="6" t="s">
        <v>28</v>
      </c>
      <c r="G4" s="6" t="s">
        <v>29</v>
      </c>
      <c r="H4" s="6" t="s">
        <v>30</v>
      </c>
      <c r="I4" s="6" t="s">
        <v>31</v>
      </c>
      <c r="J4" s="6" t="s">
        <v>32</v>
      </c>
      <c r="K4" s="6" t="s">
        <v>33</v>
      </c>
      <c r="L4" s="6" t="s">
        <v>34</v>
      </c>
      <c r="M4" s="6" t="s">
        <v>35</v>
      </c>
    </row>
    <row r="5" customFormat="false" ht="15" hidden="false" customHeight="false" outlineLevel="0" collapsed="false">
      <c r="A5" s="7" t="s">
        <v>36</v>
      </c>
      <c r="B5" s="8"/>
      <c r="C5" s="8"/>
      <c r="D5" s="8"/>
      <c r="E5" s="8"/>
      <c r="F5" s="8"/>
      <c r="G5" s="8"/>
      <c r="H5" s="8"/>
      <c r="I5" s="8"/>
      <c r="J5" s="8"/>
      <c r="K5" s="8"/>
      <c r="L5" s="8"/>
      <c r="M5" s="8"/>
    </row>
    <row r="6" customFormat="false" ht="22.35" hidden="false" customHeight="false" outlineLevel="0" collapsed="false">
      <c r="A6" s="9" t="s">
        <v>37</v>
      </c>
      <c r="B6" s="10" t="s">
        <v>38</v>
      </c>
      <c r="C6" s="10" t="s">
        <v>39</v>
      </c>
      <c r="D6" s="11" t="n">
        <v>3</v>
      </c>
      <c r="E6" s="11" t="n">
        <v>2</v>
      </c>
      <c r="F6" s="11" t="n">
        <v>2</v>
      </c>
      <c r="G6" s="12" t="n">
        <v>2</v>
      </c>
      <c r="H6" s="12" t="n">
        <v>2</v>
      </c>
      <c r="I6" s="12" t="n">
        <v>2</v>
      </c>
      <c r="J6" s="13" t="s">
        <v>40</v>
      </c>
      <c r="K6" s="10" t="s">
        <v>41</v>
      </c>
      <c r="L6" s="10" t="s">
        <v>42</v>
      </c>
      <c r="M6" s="13" t="s">
        <v>43</v>
      </c>
    </row>
    <row r="7" customFormat="false" ht="22.35" hidden="false" customHeight="false" outlineLevel="0" collapsed="false">
      <c r="A7" s="9" t="s">
        <v>44</v>
      </c>
      <c r="B7" s="10" t="s">
        <v>45</v>
      </c>
      <c r="C7" s="10" t="s">
        <v>39</v>
      </c>
      <c r="D7" s="14" t="n">
        <v>9</v>
      </c>
      <c r="E7" s="14" t="n">
        <v>7</v>
      </c>
      <c r="F7" s="14" t="n">
        <v>5</v>
      </c>
      <c r="G7" s="12" t="n">
        <v>7</v>
      </c>
      <c r="H7" s="12" t="n">
        <v>7</v>
      </c>
      <c r="I7" s="12" t="n">
        <v>7</v>
      </c>
      <c r="J7" s="13" t="s">
        <v>46</v>
      </c>
      <c r="K7" s="10" t="s">
        <v>42</v>
      </c>
      <c r="L7" s="10" t="s">
        <v>41</v>
      </c>
      <c r="M7" s="13" t="s">
        <v>47</v>
      </c>
    </row>
    <row r="8" customFormat="false" ht="15" hidden="false" customHeight="false" outlineLevel="0" collapsed="false">
      <c r="A8" s="7" t="s">
        <v>48</v>
      </c>
      <c r="B8" s="8"/>
      <c r="C8" s="8"/>
      <c r="D8" s="8"/>
      <c r="E8" s="8"/>
      <c r="F8" s="8"/>
      <c r="G8" s="8"/>
      <c r="H8" s="8"/>
      <c r="I8" s="8"/>
      <c r="J8" s="8"/>
      <c r="K8" s="8"/>
      <c r="L8" s="8"/>
      <c r="M8" s="8"/>
    </row>
    <row r="9" customFormat="false" ht="22.35" hidden="false" customHeight="false" outlineLevel="0" collapsed="false">
      <c r="A9" s="9" t="s">
        <v>49</v>
      </c>
      <c r="B9" s="10" t="s">
        <v>50</v>
      </c>
      <c r="C9" s="10" t="s">
        <v>51</v>
      </c>
      <c r="D9" s="14" t="n">
        <v>27400000</v>
      </c>
      <c r="E9" s="14" t="n">
        <v>27400000</v>
      </c>
      <c r="F9" s="14" t="n">
        <v>27400000</v>
      </c>
      <c r="G9" s="15" t="n">
        <v>0</v>
      </c>
      <c r="H9" s="12" t="n">
        <v>27400000</v>
      </c>
      <c r="I9" s="12" t="n">
        <v>27400000</v>
      </c>
      <c r="J9" s="13" t="s">
        <v>52</v>
      </c>
      <c r="K9" s="10" t="s">
        <v>42</v>
      </c>
      <c r="L9" s="10" t="s">
        <v>41</v>
      </c>
      <c r="M9" s="13" t="s">
        <v>53</v>
      </c>
    </row>
    <row r="10" customFormat="false" ht="15" hidden="false" customHeight="false" outlineLevel="0" collapsed="false">
      <c r="A10" s="9" t="s">
        <v>54</v>
      </c>
      <c r="B10" s="10" t="s">
        <v>55</v>
      </c>
      <c r="C10" s="10" t="s">
        <v>51</v>
      </c>
      <c r="D10" s="14" t="n">
        <v>3</v>
      </c>
      <c r="E10" s="14" t="n">
        <v>5</v>
      </c>
      <c r="F10" s="14" t="n">
        <v>7</v>
      </c>
      <c r="G10" s="15" t="n">
        <v>0</v>
      </c>
      <c r="H10" s="15" t="n">
        <v>3</v>
      </c>
      <c r="I10" s="12" t="n">
        <v>5</v>
      </c>
      <c r="J10" s="13" t="s">
        <v>56</v>
      </c>
      <c r="K10" s="10" t="s">
        <v>57</v>
      </c>
      <c r="L10" s="10" t="s">
        <v>41</v>
      </c>
      <c r="M10" s="13" t="s">
        <v>58</v>
      </c>
    </row>
    <row r="11" customFormat="false" ht="32.8" hidden="false" customHeight="false" outlineLevel="0" collapsed="false">
      <c r="A11" s="9" t="s">
        <v>59</v>
      </c>
      <c r="B11" s="10" t="s">
        <v>60</v>
      </c>
      <c r="C11" s="10" t="s">
        <v>61</v>
      </c>
      <c r="D11" s="16" t="n">
        <v>0.055</v>
      </c>
      <c r="E11" s="16" t="n">
        <v>0.08</v>
      </c>
      <c r="F11" s="16" t="n">
        <v>0.105</v>
      </c>
      <c r="G11" s="17" t="n">
        <v>0.08</v>
      </c>
      <c r="H11" s="18" t="n">
        <v>0.055</v>
      </c>
      <c r="I11" s="17" t="n">
        <v>0.08</v>
      </c>
      <c r="J11" s="13" t="s">
        <v>62</v>
      </c>
      <c r="K11" s="10" t="s">
        <v>63</v>
      </c>
      <c r="L11" s="10" t="s">
        <v>41</v>
      </c>
      <c r="M11" s="13" t="s">
        <v>64</v>
      </c>
    </row>
    <row r="12" customFormat="false" ht="22.35" hidden="false" customHeight="false" outlineLevel="0" collapsed="false">
      <c r="A12" s="9" t="s">
        <v>65</v>
      </c>
      <c r="B12" s="10" t="s">
        <v>66</v>
      </c>
      <c r="C12" s="10" t="s">
        <v>61</v>
      </c>
      <c r="D12" s="19" t="n">
        <v>0.005</v>
      </c>
      <c r="E12" s="19" t="n">
        <v>0.007</v>
      </c>
      <c r="F12" s="19" t="n">
        <v>0.0095</v>
      </c>
      <c r="G12" s="20" t="n">
        <v>0.007</v>
      </c>
      <c r="H12" s="21" t="n">
        <v>0.005</v>
      </c>
      <c r="I12" s="20" t="n">
        <v>0.007</v>
      </c>
      <c r="J12" s="13" t="s">
        <v>67</v>
      </c>
      <c r="K12" s="10" t="s">
        <v>63</v>
      </c>
      <c r="L12" s="10" t="s">
        <v>41</v>
      </c>
      <c r="M12" s="13" t="s">
        <v>68</v>
      </c>
    </row>
    <row r="13" customFormat="false" ht="22.35" hidden="false" customHeight="false" outlineLevel="0" collapsed="false">
      <c r="A13" s="9" t="s">
        <v>69</v>
      </c>
      <c r="B13" s="10" t="s">
        <v>70</v>
      </c>
      <c r="C13" s="10" t="s">
        <v>61</v>
      </c>
      <c r="D13" s="16" t="n">
        <v>0.72</v>
      </c>
      <c r="E13" s="16" t="n">
        <v>0.8</v>
      </c>
      <c r="F13" s="16" t="n">
        <v>0.86</v>
      </c>
      <c r="G13" s="17" t="n">
        <v>0.8</v>
      </c>
      <c r="H13" s="17" t="n">
        <v>0.8</v>
      </c>
      <c r="I13" s="17" t="n">
        <v>0.8</v>
      </c>
      <c r="J13" s="13" t="s">
        <v>71</v>
      </c>
      <c r="K13" s="10" t="s">
        <v>63</v>
      </c>
      <c r="L13" s="10" t="s">
        <v>41</v>
      </c>
      <c r="M13" s="13" t="s">
        <v>72</v>
      </c>
    </row>
    <row r="14" customFormat="false" ht="15" hidden="false" customHeight="false" outlineLevel="0" collapsed="false">
      <c r="A14" s="9" t="s">
        <v>73</v>
      </c>
      <c r="B14" s="10" t="s">
        <v>74</v>
      </c>
      <c r="C14" s="10" t="s">
        <v>61</v>
      </c>
      <c r="D14" s="16" t="n">
        <v>0.32</v>
      </c>
      <c r="E14" s="16" t="n">
        <v>0.38</v>
      </c>
      <c r="F14" s="16" t="n">
        <v>0.44</v>
      </c>
      <c r="G14" s="17" t="n">
        <v>0.38</v>
      </c>
      <c r="H14" s="18" t="n">
        <v>0.32</v>
      </c>
      <c r="I14" s="17" t="n">
        <v>0.38</v>
      </c>
      <c r="J14" s="13" t="s">
        <v>75</v>
      </c>
      <c r="K14" s="10" t="s">
        <v>63</v>
      </c>
      <c r="L14" s="10" t="s">
        <v>41</v>
      </c>
      <c r="M14" s="13" t="s">
        <v>72</v>
      </c>
    </row>
    <row r="15" customFormat="false" ht="15" hidden="false" customHeight="false" outlineLevel="0" collapsed="false">
      <c r="A15" s="9" t="s">
        <v>76</v>
      </c>
      <c r="B15" s="10" t="s">
        <v>77</v>
      </c>
      <c r="C15" s="10" t="s">
        <v>78</v>
      </c>
      <c r="D15" s="22" t="n">
        <v>1.8</v>
      </c>
      <c r="E15" s="22" t="n">
        <v>2.3</v>
      </c>
      <c r="F15" s="22" t="n">
        <v>2.8</v>
      </c>
      <c r="G15" s="23" t="n">
        <v>1</v>
      </c>
      <c r="H15" s="23" t="n">
        <v>1.8</v>
      </c>
      <c r="I15" s="24" t="n">
        <v>2.3</v>
      </c>
      <c r="J15" s="13" t="s">
        <v>79</v>
      </c>
      <c r="K15" s="10" t="s">
        <v>63</v>
      </c>
      <c r="L15" s="10" t="s">
        <v>42</v>
      </c>
      <c r="M15" s="13" t="s">
        <v>80</v>
      </c>
    </row>
    <row r="16" customFormat="false" ht="15" hidden="false" customHeight="false" outlineLevel="0" collapsed="false">
      <c r="A16" s="7" t="s">
        <v>81</v>
      </c>
      <c r="B16" s="8"/>
      <c r="C16" s="8"/>
      <c r="D16" s="8"/>
      <c r="E16" s="8"/>
      <c r="F16" s="8"/>
      <c r="G16" s="8"/>
      <c r="H16" s="8"/>
      <c r="I16" s="8"/>
      <c r="J16" s="8"/>
      <c r="K16" s="8"/>
      <c r="L16" s="8"/>
      <c r="M16" s="8"/>
    </row>
    <row r="17" customFormat="false" ht="15" hidden="false" customHeight="false" outlineLevel="0" collapsed="false">
      <c r="A17" s="9" t="s">
        <v>82</v>
      </c>
      <c r="B17" s="10" t="s">
        <v>83</v>
      </c>
      <c r="C17" s="10" t="s">
        <v>84</v>
      </c>
      <c r="D17" s="11" t="n">
        <v>1200</v>
      </c>
      <c r="E17" s="11" t="n">
        <v>2200</v>
      </c>
      <c r="F17" s="11" t="n">
        <v>3500</v>
      </c>
      <c r="G17" s="12" t="n">
        <v>2200</v>
      </c>
      <c r="H17" s="12" t="n">
        <v>2200</v>
      </c>
      <c r="I17" s="12" t="n">
        <v>2200</v>
      </c>
      <c r="J17" s="13" t="s">
        <v>85</v>
      </c>
      <c r="K17" s="10" t="s">
        <v>63</v>
      </c>
      <c r="L17" s="10" t="s">
        <v>63</v>
      </c>
      <c r="M17" s="13" t="s">
        <v>86</v>
      </c>
    </row>
    <row r="18" customFormat="false" ht="15" hidden="false" customHeight="false" outlineLevel="0" collapsed="false">
      <c r="A18" s="9" t="s">
        <v>87</v>
      </c>
      <c r="B18" s="10" t="s">
        <v>88</v>
      </c>
      <c r="C18" s="10" t="s">
        <v>61</v>
      </c>
      <c r="D18" s="25" t="n">
        <v>0.06</v>
      </c>
      <c r="E18" s="25" t="n">
        <v>0.09</v>
      </c>
      <c r="F18" s="25" t="n">
        <v>0.12</v>
      </c>
      <c r="G18" s="17" t="n">
        <v>0.09</v>
      </c>
      <c r="H18" s="17" t="n">
        <v>0.09</v>
      </c>
      <c r="I18" s="17" t="n">
        <v>0.09</v>
      </c>
      <c r="J18" s="13" t="s">
        <v>89</v>
      </c>
      <c r="K18" s="10" t="s">
        <v>63</v>
      </c>
      <c r="L18" s="10" t="s">
        <v>42</v>
      </c>
      <c r="M18" s="13" t="s">
        <v>90</v>
      </c>
    </row>
    <row r="19" customFormat="false" ht="15" hidden="false" customHeight="false" outlineLevel="0" collapsed="false">
      <c r="A19" s="9" t="s">
        <v>91</v>
      </c>
      <c r="B19" s="10" t="s">
        <v>92</v>
      </c>
      <c r="C19" s="10" t="s">
        <v>84</v>
      </c>
      <c r="D19" s="11" t="n">
        <v>90000</v>
      </c>
      <c r="E19" s="11" t="n">
        <v>180000</v>
      </c>
      <c r="F19" s="11" t="n">
        <v>280000</v>
      </c>
      <c r="G19" s="12" t="n">
        <v>180000</v>
      </c>
      <c r="H19" s="12" t="n">
        <v>180000</v>
      </c>
      <c r="I19" s="12" t="n">
        <v>180000</v>
      </c>
      <c r="J19" s="13" t="s">
        <v>93</v>
      </c>
      <c r="K19" s="10" t="s">
        <v>63</v>
      </c>
      <c r="L19" s="10" t="s">
        <v>42</v>
      </c>
      <c r="M19" s="13" t="s">
        <v>94</v>
      </c>
    </row>
    <row r="20" customFormat="false" ht="15" hidden="false" customHeight="false" outlineLevel="0" collapsed="false">
      <c r="A20" s="9" t="s">
        <v>95</v>
      </c>
      <c r="B20" s="10" t="s">
        <v>96</v>
      </c>
      <c r="C20" s="10" t="s">
        <v>97</v>
      </c>
      <c r="D20" s="26" t="n">
        <v>4000</v>
      </c>
      <c r="E20" s="26" t="n">
        <v>8000</v>
      </c>
      <c r="F20" s="26" t="n">
        <v>15000</v>
      </c>
      <c r="G20" s="27" t="n">
        <v>8000</v>
      </c>
      <c r="H20" s="27" t="n">
        <v>8000</v>
      </c>
      <c r="I20" s="27" t="n">
        <v>8000</v>
      </c>
      <c r="J20" s="13" t="s">
        <v>98</v>
      </c>
      <c r="K20" s="10" t="s">
        <v>42</v>
      </c>
      <c r="L20" s="10" t="s">
        <v>63</v>
      </c>
      <c r="M20" s="13" t="s">
        <v>99</v>
      </c>
    </row>
    <row r="21" customFormat="false" ht="15" hidden="false" customHeight="false" outlineLevel="0" collapsed="false">
      <c r="A21" s="9" t="s">
        <v>100</v>
      </c>
      <c r="B21" s="10" t="s">
        <v>101</v>
      </c>
      <c r="C21" s="10" t="s">
        <v>97</v>
      </c>
      <c r="D21" s="26" t="n">
        <v>10000</v>
      </c>
      <c r="E21" s="26" t="n">
        <v>30000</v>
      </c>
      <c r="F21" s="26" t="n">
        <v>60000</v>
      </c>
      <c r="G21" s="27" t="n">
        <v>30000</v>
      </c>
      <c r="H21" s="27" t="n">
        <v>30000</v>
      </c>
      <c r="I21" s="27" t="n">
        <v>30000</v>
      </c>
      <c r="J21" s="13" t="s">
        <v>102</v>
      </c>
      <c r="K21" s="10" t="s">
        <v>42</v>
      </c>
      <c r="L21" s="10" t="s">
        <v>42</v>
      </c>
      <c r="M21" s="13" t="s">
        <v>99</v>
      </c>
    </row>
    <row r="22" customFormat="false" ht="43.25" hidden="false" customHeight="false" outlineLevel="0" collapsed="false">
      <c r="A22" s="9" t="s">
        <v>103</v>
      </c>
      <c r="B22" s="10" t="s">
        <v>104</v>
      </c>
      <c r="C22" s="10" t="s">
        <v>61</v>
      </c>
      <c r="D22" s="16" t="n">
        <v>0.3</v>
      </c>
      <c r="E22" s="16" t="n">
        <v>0.24</v>
      </c>
      <c r="F22" s="16" t="n">
        <v>0.2</v>
      </c>
      <c r="G22" s="17" t="n">
        <v>0.24</v>
      </c>
      <c r="H22" s="17" t="n">
        <v>0.24</v>
      </c>
      <c r="I22" s="17" t="n">
        <v>0.24</v>
      </c>
      <c r="J22" s="13" t="s">
        <v>105</v>
      </c>
      <c r="K22" s="10" t="s">
        <v>42</v>
      </c>
      <c r="L22" s="10" t="s">
        <v>41</v>
      </c>
      <c r="M22" s="13" t="s">
        <v>106</v>
      </c>
    </row>
    <row r="23" customFormat="false" ht="22.35" hidden="false" customHeight="false" outlineLevel="0" collapsed="false">
      <c r="A23" s="9" t="s">
        <v>107</v>
      </c>
      <c r="B23" s="10" t="s">
        <v>108</v>
      </c>
      <c r="C23" s="10" t="s">
        <v>97</v>
      </c>
      <c r="D23" s="26" t="n">
        <v>20000</v>
      </c>
      <c r="E23" s="26" t="n">
        <v>60000</v>
      </c>
      <c r="F23" s="26" t="n">
        <v>150000</v>
      </c>
      <c r="G23" s="28" t="n">
        <v>20000</v>
      </c>
      <c r="H23" s="27" t="n">
        <v>60000</v>
      </c>
      <c r="I23" s="27" t="n">
        <v>60000</v>
      </c>
      <c r="J23" s="13" t="s">
        <v>109</v>
      </c>
      <c r="K23" s="10" t="s">
        <v>42</v>
      </c>
      <c r="L23" s="10" t="s">
        <v>42</v>
      </c>
      <c r="M23" s="13" t="s">
        <v>110</v>
      </c>
    </row>
    <row r="24" customFormat="false" ht="32.8" hidden="false" customHeight="false" outlineLevel="0" collapsed="false">
      <c r="A24" s="9" t="s">
        <v>111</v>
      </c>
      <c r="B24" s="10" t="s">
        <v>112</v>
      </c>
      <c r="C24" s="10" t="s">
        <v>97</v>
      </c>
      <c r="D24" s="26" t="n">
        <v>300000</v>
      </c>
      <c r="E24" s="26" t="n">
        <v>1500000</v>
      </c>
      <c r="F24" s="26" t="n">
        <v>4000000</v>
      </c>
      <c r="G24" s="27" t="n">
        <v>1500000</v>
      </c>
      <c r="H24" s="27" t="n">
        <v>1500000</v>
      </c>
      <c r="I24" s="27" t="n">
        <v>1500000</v>
      </c>
      <c r="J24" s="13" t="s">
        <v>113</v>
      </c>
      <c r="K24" s="10" t="s">
        <v>42</v>
      </c>
      <c r="L24" s="10" t="s">
        <v>42</v>
      </c>
      <c r="M24" s="13" t="s">
        <v>114</v>
      </c>
    </row>
    <row r="25" customFormat="false" ht="43.25" hidden="false" customHeight="false" outlineLevel="0" collapsed="false">
      <c r="A25" s="9" t="s">
        <v>115</v>
      </c>
      <c r="B25" s="10" t="s">
        <v>116</v>
      </c>
      <c r="C25" s="10" t="s">
        <v>78</v>
      </c>
      <c r="D25" s="29" t="n">
        <v>0.7</v>
      </c>
      <c r="E25" s="29" t="n">
        <v>0.74</v>
      </c>
      <c r="F25" s="29" t="n">
        <v>0.78</v>
      </c>
      <c r="G25" s="24" t="n">
        <v>0.74</v>
      </c>
      <c r="H25" s="24" t="n">
        <v>0.74</v>
      </c>
      <c r="I25" s="24" t="n">
        <v>0.74</v>
      </c>
      <c r="J25" s="13" t="s">
        <v>117</v>
      </c>
      <c r="K25" s="10" t="s">
        <v>63</v>
      </c>
      <c r="L25" s="10" t="s">
        <v>41</v>
      </c>
      <c r="M25" s="13" t="s">
        <v>118</v>
      </c>
    </row>
    <row r="26" customFormat="false" ht="15" hidden="false" customHeight="false" outlineLevel="0" collapsed="false">
      <c r="A26" s="7" t="s">
        <v>119</v>
      </c>
      <c r="B26" s="8"/>
      <c r="C26" s="8"/>
      <c r="D26" s="8"/>
      <c r="E26" s="8"/>
      <c r="F26" s="8"/>
      <c r="G26" s="8"/>
      <c r="H26" s="8"/>
      <c r="I26" s="8"/>
      <c r="J26" s="8"/>
      <c r="K26" s="8"/>
      <c r="L26" s="8"/>
      <c r="M26" s="8"/>
    </row>
    <row r="27" customFormat="false" ht="32.8" hidden="false" customHeight="false" outlineLevel="0" collapsed="false">
      <c r="A27" s="9" t="s">
        <v>120</v>
      </c>
      <c r="B27" s="10" t="s">
        <v>121</v>
      </c>
      <c r="C27" s="10" t="s">
        <v>61</v>
      </c>
      <c r="D27" s="19" t="n">
        <v>0.0008</v>
      </c>
      <c r="E27" s="19" t="n">
        <v>0.0015</v>
      </c>
      <c r="F27" s="19" t="n">
        <v>0.0025</v>
      </c>
      <c r="G27" s="21" t="n">
        <v>0</v>
      </c>
      <c r="H27" s="20" t="n">
        <v>0.0015</v>
      </c>
      <c r="I27" s="20" t="n">
        <v>0.0015</v>
      </c>
      <c r="J27" s="13" t="s">
        <v>122</v>
      </c>
      <c r="K27" s="10" t="s">
        <v>63</v>
      </c>
      <c r="L27" s="10" t="s">
        <v>41</v>
      </c>
      <c r="M27" s="13" t="s">
        <v>123</v>
      </c>
    </row>
    <row r="28" customFormat="false" ht="15" hidden="false" customHeight="false" outlineLevel="0" collapsed="false">
      <c r="A28" s="9" t="s">
        <v>124</v>
      </c>
      <c r="B28" s="10" t="s">
        <v>125</v>
      </c>
      <c r="C28" s="10" t="s">
        <v>61</v>
      </c>
      <c r="D28" s="25" t="n">
        <v>0.05</v>
      </c>
      <c r="E28" s="25" t="n">
        <v>0.08</v>
      </c>
      <c r="F28" s="25" t="n">
        <v>0.11</v>
      </c>
      <c r="G28" s="17" t="n">
        <v>0.08</v>
      </c>
      <c r="H28" s="17" t="n">
        <v>0.08</v>
      </c>
      <c r="I28" s="17" t="n">
        <v>0.08</v>
      </c>
      <c r="J28" s="13" t="s">
        <v>126</v>
      </c>
      <c r="K28" s="10" t="s">
        <v>63</v>
      </c>
      <c r="L28" s="10" t="s">
        <v>42</v>
      </c>
      <c r="M28" s="13" t="s">
        <v>94</v>
      </c>
    </row>
    <row r="29" customFormat="false" ht="15" hidden="false" customHeight="false" outlineLevel="0" collapsed="false">
      <c r="A29" s="9" t="s">
        <v>127</v>
      </c>
      <c r="B29" s="10" t="s">
        <v>128</v>
      </c>
      <c r="C29" s="10" t="s">
        <v>61</v>
      </c>
      <c r="D29" s="25" t="n">
        <v>0.55</v>
      </c>
      <c r="E29" s="25" t="n">
        <v>0.65</v>
      </c>
      <c r="F29" s="25" t="n">
        <v>0.75</v>
      </c>
      <c r="G29" s="17" t="n">
        <v>0.65</v>
      </c>
      <c r="H29" s="17" t="n">
        <v>0.65</v>
      </c>
      <c r="I29" s="17" t="n">
        <v>0.65</v>
      </c>
      <c r="J29" s="13" t="s">
        <v>129</v>
      </c>
      <c r="K29" s="10" t="s">
        <v>42</v>
      </c>
      <c r="L29" s="10" t="s">
        <v>42</v>
      </c>
      <c r="M29" s="13" t="s">
        <v>130</v>
      </c>
    </row>
    <row r="30" customFormat="false" ht="22.35" hidden="false" customHeight="false" outlineLevel="0" collapsed="false">
      <c r="A30" s="9" t="s">
        <v>131</v>
      </c>
      <c r="B30" s="10" t="s">
        <v>132</v>
      </c>
      <c r="C30" s="10" t="s">
        <v>97</v>
      </c>
      <c r="D30" s="30" t="n">
        <v>1.3</v>
      </c>
      <c r="E30" s="30" t="n">
        <v>1.1</v>
      </c>
      <c r="F30" s="30" t="n">
        <v>0.95</v>
      </c>
      <c r="G30" s="31" t="n">
        <v>1.1</v>
      </c>
      <c r="H30" s="31" t="n">
        <v>1.1</v>
      </c>
      <c r="I30" s="31" t="n">
        <v>1.1</v>
      </c>
      <c r="J30" s="13" t="s">
        <v>133</v>
      </c>
      <c r="K30" s="10" t="s">
        <v>42</v>
      </c>
      <c r="L30" s="10" t="s">
        <v>41</v>
      </c>
      <c r="M30" s="13" t="s">
        <v>134</v>
      </c>
    </row>
    <row r="31" customFormat="false" ht="22.35" hidden="false" customHeight="false" outlineLevel="0" collapsed="false">
      <c r="A31" s="9" t="s">
        <v>135</v>
      </c>
      <c r="B31" s="10" t="s">
        <v>136</v>
      </c>
      <c r="C31" s="10" t="s">
        <v>78</v>
      </c>
      <c r="D31" s="29" t="n">
        <v>2.2</v>
      </c>
      <c r="E31" s="29" t="n">
        <v>2.8</v>
      </c>
      <c r="F31" s="29" t="n">
        <v>3.4</v>
      </c>
      <c r="G31" s="24" t="n">
        <v>2.8</v>
      </c>
      <c r="H31" s="24" t="n">
        <v>2.8</v>
      </c>
      <c r="I31" s="24" t="n">
        <v>2.8</v>
      </c>
      <c r="J31" s="13" t="s">
        <v>137</v>
      </c>
      <c r="K31" s="10" t="s">
        <v>63</v>
      </c>
      <c r="L31" s="10" t="s">
        <v>41</v>
      </c>
      <c r="M31" s="13" t="s">
        <v>138</v>
      </c>
    </row>
    <row r="32" customFormat="false" ht="32.8" hidden="false" customHeight="false" outlineLevel="0" collapsed="false">
      <c r="A32" s="9" t="s">
        <v>139</v>
      </c>
      <c r="B32" s="10" t="s">
        <v>140</v>
      </c>
      <c r="C32" s="10" t="s">
        <v>61</v>
      </c>
      <c r="D32" s="16" t="n">
        <v>0.35</v>
      </c>
      <c r="E32" s="16" t="n">
        <v>0.45</v>
      </c>
      <c r="F32" s="16" t="n">
        <v>0.55</v>
      </c>
      <c r="G32" s="17" t="n">
        <v>0.45</v>
      </c>
      <c r="H32" s="17" t="n">
        <v>0.45</v>
      </c>
      <c r="I32" s="17" t="n">
        <v>0.45</v>
      </c>
      <c r="J32" s="13" t="s">
        <v>141</v>
      </c>
      <c r="K32" s="10" t="s">
        <v>42</v>
      </c>
      <c r="L32" s="10" t="s">
        <v>41</v>
      </c>
      <c r="M32" s="13" t="s">
        <v>142</v>
      </c>
    </row>
    <row r="33" customFormat="false" ht="15" hidden="false" customHeight="false" outlineLevel="0" collapsed="false">
      <c r="A33" s="7" t="s">
        <v>143</v>
      </c>
      <c r="B33" s="8"/>
      <c r="C33" s="8"/>
      <c r="D33" s="8"/>
      <c r="E33" s="8"/>
      <c r="F33" s="8"/>
      <c r="G33" s="8"/>
      <c r="H33" s="8"/>
      <c r="I33" s="8"/>
      <c r="J33" s="8"/>
      <c r="K33" s="8"/>
      <c r="L33" s="8"/>
      <c r="M33" s="8"/>
    </row>
    <row r="34" customFormat="false" ht="15" hidden="false" customHeight="false" outlineLevel="0" collapsed="false">
      <c r="A34" s="9" t="s">
        <v>144</v>
      </c>
      <c r="B34" s="10" t="s">
        <v>145</v>
      </c>
      <c r="C34" s="10" t="s">
        <v>61</v>
      </c>
      <c r="D34" s="25" t="n">
        <v>0.45</v>
      </c>
      <c r="E34" s="25" t="n">
        <v>0.55</v>
      </c>
      <c r="F34" s="25" t="n">
        <v>0.65</v>
      </c>
      <c r="G34" s="17" t="n">
        <v>0.55</v>
      </c>
      <c r="H34" s="17" t="n">
        <v>0.55</v>
      </c>
      <c r="I34" s="17" t="n">
        <v>0.55</v>
      </c>
      <c r="J34" s="13" t="s">
        <v>146</v>
      </c>
      <c r="K34" s="10" t="s">
        <v>42</v>
      </c>
      <c r="L34" s="10" t="s">
        <v>42</v>
      </c>
      <c r="M34" s="13" t="s">
        <v>147</v>
      </c>
    </row>
    <row r="35" customFormat="false" ht="32.8" hidden="false" customHeight="false" outlineLevel="0" collapsed="false">
      <c r="A35" s="9" t="s">
        <v>148</v>
      </c>
      <c r="B35" s="10" t="s">
        <v>149</v>
      </c>
      <c r="C35" s="10" t="s">
        <v>61</v>
      </c>
      <c r="D35" s="19" t="n">
        <v>0.006</v>
      </c>
      <c r="E35" s="19" t="n">
        <v>0.01</v>
      </c>
      <c r="F35" s="19" t="n">
        <v>0.016</v>
      </c>
      <c r="G35" s="21" t="n">
        <v>0</v>
      </c>
      <c r="H35" s="20" t="n">
        <v>0.01</v>
      </c>
      <c r="I35" s="20" t="n">
        <v>0.01</v>
      </c>
      <c r="J35" s="13" t="s">
        <v>150</v>
      </c>
      <c r="K35" s="10" t="s">
        <v>63</v>
      </c>
      <c r="L35" s="10" t="s">
        <v>41</v>
      </c>
      <c r="M35" s="13" t="s">
        <v>151</v>
      </c>
    </row>
    <row r="36" customFormat="false" ht="15" hidden="false" customHeight="false" outlineLevel="0" collapsed="false">
      <c r="A36" s="9" t="s">
        <v>152</v>
      </c>
      <c r="B36" s="10" t="s">
        <v>153</v>
      </c>
      <c r="C36" s="10" t="s">
        <v>61</v>
      </c>
      <c r="D36" s="25" t="n">
        <v>0.18</v>
      </c>
      <c r="E36" s="25" t="n">
        <v>0.25</v>
      </c>
      <c r="F36" s="25" t="n">
        <v>0.32</v>
      </c>
      <c r="G36" s="17" t="n">
        <v>0.25</v>
      </c>
      <c r="H36" s="17" t="n">
        <v>0.25</v>
      </c>
      <c r="I36" s="17" t="n">
        <v>0.25</v>
      </c>
      <c r="J36" s="13" t="s">
        <v>154</v>
      </c>
      <c r="K36" s="10" t="s">
        <v>63</v>
      </c>
      <c r="L36" s="10" t="s">
        <v>42</v>
      </c>
      <c r="M36" s="13" t="s">
        <v>155</v>
      </c>
    </row>
    <row r="37" customFormat="false" ht="15" hidden="false" customHeight="false" outlineLevel="0" collapsed="false">
      <c r="A37" s="9" t="s">
        <v>156</v>
      </c>
      <c r="B37" s="10" t="s">
        <v>157</v>
      </c>
      <c r="C37" s="10" t="s">
        <v>97</v>
      </c>
      <c r="D37" s="30" t="n">
        <v>1.7</v>
      </c>
      <c r="E37" s="30" t="n">
        <v>1.45</v>
      </c>
      <c r="F37" s="30" t="n">
        <v>1.25</v>
      </c>
      <c r="G37" s="31" t="n">
        <v>1.45</v>
      </c>
      <c r="H37" s="31" t="n">
        <v>1.45</v>
      </c>
      <c r="I37" s="31" t="n">
        <v>1.45</v>
      </c>
      <c r="J37" s="13" t="s">
        <v>158</v>
      </c>
      <c r="K37" s="10" t="s">
        <v>42</v>
      </c>
      <c r="L37" s="10" t="s">
        <v>41</v>
      </c>
      <c r="M37" s="13" t="s">
        <v>159</v>
      </c>
    </row>
    <row r="38" customFormat="false" ht="15" hidden="false" customHeight="false" outlineLevel="0" collapsed="false">
      <c r="A38" s="9" t="s">
        <v>160</v>
      </c>
      <c r="B38" s="10" t="s">
        <v>161</v>
      </c>
      <c r="C38" s="10" t="s">
        <v>78</v>
      </c>
      <c r="D38" s="29" t="n">
        <v>1.6</v>
      </c>
      <c r="E38" s="29" t="n">
        <v>2</v>
      </c>
      <c r="F38" s="29" t="n">
        <v>2.4</v>
      </c>
      <c r="G38" s="24" t="n">
        <v>2</v>
      </c>
      <c r="H38" s="24" t="n">
        <v>2</v>
      </c>
      <c r="I38" s="24" t="n">
        <v>2</v>
      </c>
      <c r="J38" s="13" t="s">
        <v>162</v>
      </c>
      <c r="K38" s="10" t="s">
        <v>42</v>
      </c>
      <c r="L38" s="10" t="s">
        <v>41</v>
      </c>
      <c r="M38" s="13" t="s">
        <v>138</v>
      </c>
    </row>
    <row r="39" customFormat="false" ht="32.8" hidden="false" customHeight="false" outlineLevel="0" collapsed="false">
      <c r="A39" s="9" t="s">
        <v>163</v>
      </c>
      <c r="B39" s="10" t="s">
        <v>164</v>
      </c>
      <c r="C39" s="10" t="s">
        <v>61</v>
      </c>
      <c r="D39" s="16" t="n">
        <v>0.25</v>
      </c>
      <c r="E39" s="16" t="n">
        <v>0.3</v>
      </c>
      <c r="F39" s="16" t="n">
        <v>0.4</v>
      </c>
      <c r="G39" s="17" t="n">
        <v>0.3</v>
      </c>
      <c r="H39" s="17" t="n">
        <v>0.3</v>
      </c>
      <c r="I39" s="17" t="n">
        <v>0.3</v>
      </c>
      <c r="J39" s="13" t="s">
        <v>165</v>
      </c>
      <c r="K39" s="10" t="s">
        <v>42</v>
      </c>
      <c r="L39" s="10" t="s">
        <v>41</v>
      </c>
      <c r="M39" s="13" t="s">
        <v>166</v>
      </c>
    </row>
    <row r="40" customFormat="false" ht="15" hidden="false" customHeight="false" outlineLevel="0" collapsed="false">
      <c r="A40" s="7" t="s">
        <v>167</v>
      </c>
      <c r="B40" s="8"/>
      <c r="C40" s="8"/>
      <c r="D40" s="8"/>
      <c r="E40" s="8"/>
      <c r="F40" s="8"/>
      <c r="G40" s="8"/>
      <c r="H40" s="8"/>
      <c r="I40" s="8"/>
      <c r="J40" s="8"/>
      <c r="K40" s="8"/>
      <c r="L40" s="8"/>
      <c r="M40" s="8"/>
    </row>
    <row r="41" customFormat="false" ht="22.35" hidden="false" customHeight="false" outlineLevel="0" collapsed="false">
      <c r="A41" s="9" t="s">
        <v>168</v>
      </c>
      <c r="B41" s="10" t="s">
        <v>169</v>
      </c>
      <c r="C41" s="10" t="s">
        <v>97</v>
      </c>
      <c r="D41" s="30" t="n">
        <v>2.8</v>
      </c>
      <c r="E41" s="30" t="n">
        <v>2.35</v>
      </c>
      <c r="F41" s="32" t="n">
        <v>2</v>
      </c>
      <c r="G41" s="31" t="n">
        <v>2.35</v>
      </c>
      <c r="H41" s="31" t="n">
        <v>2.35</v>
      </c>
      <c r="I41" s="31" t="n">
        <v>2.35</v>
      </c>
      <c r="J41" s="13" t="s">
        <v>170</v>
      </c>
      <c r="K41" s="10" t="s">
        <v>42</v>
      </c>
      <c r="L41" s="10" t="s">
        <v>41</v>
      </c>
      <c r="M41" s="13" t="s">
        <v>159</v>
      </c>
    </row>
    <row r="42" customFormat="false" ht="43.25" hidden="false" customHeight="false" outlineLevel="0" collapsed="false">
      <c r="A42" s="9" t="s">
        <v>171</v>
      </c>
      <c r="B42" s="10" t="s">
        <v>172</v>
      </c>
      <c r="C42" s="10" t="s">
        <v>78</v>
      </c>
      <c r="D42" s="29" t="n">
        <v>0.88</v>
      </c>
      <c r="E42" s="29" t="n">
        <v>0.8</v>
      </c>
      <c r="F42" s="29" t="n">
        <v>0.72</v>
      </c>
      <c r="G42" s="23" t="n">
        <v>1</v>
      </c>
      <c r="H42" s="24" t="n">
        <v>0.8</v>
      </c>
      <c r="I42" s="24" t="n">
        <v>0.8</v>
      </c>
      <c r="J42" s="13" t="s">
        <v>173</v>
      </c>
      <c r="K42" s="10" t="s">
        <v>63</v>
      </c>
      <c r="L42" s="10" t="s">
        <v>41</v>
      </c>
      <c r="M42" s="13" t="s">
        <v>174</v>
      </c>
    </row>
    <row r="43" customFormat="false" ht="15" hidden="false" customHeight="false" outlineLevel="0" collapsed="false">
      <c r="A43" s="9" t="s">
        <v>175</v>
      </c>
      <c r="B43" s="10" t="s">
        <v>176</v>
      </c>
      <c r="C43" s="10" t="s">
        <v>78</v>
      </c>
      <c r="D43" s="22" t="n">
        <v>1</v>
      </c>
      <c r="E43" s="22" t="n">
        <v>1</v>
      </c>
      <c r="F43" s="22" t="n">
        <v>1</v>
      </c>
      <c r="G43" s="24" t="n">
        <v>1</v>
      </c>
      <c r="H43" s="24" t="n">
        <v>1</v>
      </c>
      <c r="I43" s="24" t="n">
        <v>1</v>
      </c>
      <c r="J43" s="13" t="s">
        <v>177</v>
      </c>
      <c r="K43" s="10" t="s">
        <v>57</v>
      </c>
      <c r="L43" s="10" t="s">
        <v>63</v>
      </c>
      <c r="M43" s="13" t="s">
        <v>138</v>
      </c>
    </row>
    <row r="44" customFormat="false" ht="22.35" hidden="false" customHeight="false" outlineLevel="0" collapsed="false">
      <c r="A44" s="9" t="s">
        <v>178</v>
      </c>
      <c r="B44" s="10" t="s">
        <v>179</v>
      </c>
      <c r="C44" s="10" t="s">
        <v>78</v>
      </c>
      <c r="D44" s="29" t="n">
        <v>1.4</v>
      </c>
      <c r="E44" s="29" t="n">
        <v>1.7</v>
      </c>
      <c r="F44" s="29" t="n">
        <v>2</v>
      </c>
      <c r="G44" s="23" t="n">
        <v>1</v>
      </c>
      <c r="H44" s="24" t="n">
        <v>1.7</v>
      </c>
      <c r="I44" s="24" t="n">
        <v>1.7</v>
      </c>
      <c r="J44" s="13" t="s">
        <v>180</v>
      </c>
      <c r="K44" s="10" t="s">
        <v>63</v>
      </c>
      <c r="L44" s="10" t="s">
        <v>41</v>
      </c>
      <c r="M44" s="13" t="s">
        <v>138</v>
      </c>
    </row>
    <row r="45" customFormat="false" ht="32.8" hidden="false" customHeight="false" outlineLevel="0" collapsed="false">
      <c r="A45" s="9" t="s">
        <v>181</v>
      </c>
      <c r="B45" s="10" t="s">
        <v>182</v>
      </c>
      <c r="C45" s="10" t="s">
        <v>78</v>
      </c>
      <c r="D45" s="29" t="n">
        <v>0.45</v>
      </c>
      <c r="E45" s="29" t="n">
        <v>0.6</v>
      </c>
      <c r="F45" s="29" t="n">
        <v>0.75</v>
      </c>
      <c r="G45" s="24" t="n">
        <v>0.6</v>
      </c>
      <c r="H45" s="24" t="n">
        <v>0.6</v>
      </c>
      <c r="I45" s="24" t="n">
        <v>0.6</v>
      </c>
      <c r="J45" s="13" t="s">
        <v>183</v>
      </c>
      <c r="K45" s="10" t="s">
        <v>63</v>
      </c>
      <c r="L45" s="10" t="s">
        <v>41</v>
      </c>
      <c r="M45" s="13" t="s">
        <v>184</v>
      </c>
    </row>
    <row r="46" customFormat="false" ht="15" hidden="false" customHeight="false" outlineLevel="0" collapsed="false">
      <c r="A46" s="7" t="s">
        <v>185</v>
      </c>
      <c r="B46" s="8"/>
      <c r="C46" s="8"/>
      <c r="D46" s="8"/>
      <c r="E46" s="8"/>
      <c r="F46" s="8"/>
      <c r="G46" s="8"/>
      <c r="H46" s="8"/>
      <c r="I46" s="8"/>
      <c r="J46" s="8"/>
      <c r="K46" s="8"/>
      <c r="L46" s="8"/>
      <c r="M46" s="8"/>
    </row>
    <row r="47" customFormat="false" ht="43.25" hidden="false" customHeight="false" outlineLevel="0" collapsed="false">
      <c r="A47" s="9" t="s">
        <v>186</v>
      </c>
      <c r="B47" s="10" t="s">
        <v>187</v>
      </c>
      <c r="C47" s="10" t="s">
        <v>51</v>
      </c>
      <c r="D47" s="14" t="n">
        <v>3000</v>
      </c>
      <c r="E47" s="14" t="n">
        <v>8000</v>
      </c>
      <c r="F47" s="14" t="n">
        <v>15000</v>
      </c>
      <c r="G47" s="12" t="n">
        <v>8000</v>
      </c>
      <c r="H47" s="12" t="n">
        <v>8000</v>
      </c>
      <c r="I47" s="12" t="n">
        <v>8000</v>
      </c>
      <c r="J47" s="13" t="s">
        <v>188</v>
      </c>
      <c r="K47" s="10" t="s">
        <v>63</v>
      </c>
      <c r="L47" s="10" t="s">
        <v>41</v>
      </c>
      <c r="M47" s="13" t="s">
        <v>189</v>
      </c>
    </row>
    <row r="48" customFormat="false" ht="22.35" hidden="false" customHeight="false" outlineLevel="0" collapsed="false">
      <c r="A48" s="9" t="s">
        <v>190</v>
      </c>
      <c r="B48" s="10" t="s">
        <v>191</v>
      </c>
      <c r="C48" s="10" t="s">
        <v>78</v>
      </c>
      <c r="D48" s="22" t="n">
        <v>1.35</v>
      </c>
      <c r="E48" s="22" t="n">
        <v>1.45</v>
      </c>
      <c r="F48" s="22" t="n">
        <v>1.55</v>
      </c>
      <c r="G48" s="24" t="n">
        <v>1.45</v>
      </c>
      <c r="H48" s="24" t="n">
        <v>1.45</v>
      </c>
      <c r="I48" s="24" t="n">
        <v>1.45</v>
      </c>
      <c r="J48" s="13" t="s">
        <v>192</v>
      </c>
      <c r="K48" s="10" t="s">
        <v>63</v>
      </c>
      <c r="L48" s="10" t="s">
        <v>42</v>
      </c>
      <c r="M48" s="13" t="s">
        <v>193</v>
      </c>
    </row>
    <row r="49" customFormat="false" ht="22.35" hidden="false" customHeight="false" outlineLevel="0" collapsed="false">
      <c r="A49" s="9" t="s">
        <v>194</v>
      </c>
      <c r="B49" s="10" t="s">
        <v>195</v>
      </c>
      <c r="C49" s="10" t="s">
        <v>61</v>
      </c>
      <c r="D49" s="19" t="n">
        <v>0.01</v>
      </c>
      <c r="E49" s="19" t="n">
        <v>0.015</v>
      </c>
      <c r="F49" s="16" t="n">
        <v>0.02</v>
      </c>
      <c r="G49" s="20" t="n">
        <v>0.015</v>
      </c>
      <c r="H49" s="21" t="n">
        <v>0.01</v>
      </c>
      <c r="I49" s="20" t="n">
        <v>0.015</v>
      </c>
      <c r="J49" s="13" t="s">
        <v>196</v>
      </c>
      <c r="K49" s="10" t="s">
        <v>63</v>
      </c>
      <c r="L49" s="10" t="s">
        <v>41</v>
      </c>
      <c r="M49" s="13" t="s">
        <v>197</v>
      </c>
    </row>
    <row r="50" customFormat="false" ht="15" hidden="false" customHeight="false" outlineLevel="0" collapsed="false">
      <c r="A50" s="9" t="s">
        <v>198</v>
      </c>
      <c r="B50" s="10" t="s">
        <v>199</v>
      </c>
      <c r="C50" s="10" t="s">
        <v>97</v>
      </c>
      <c r="D50" s="32" t="n">
        <v>68</v>
      </c>
      <c r="E50" s="32" t="n">
        <v>78</v>
      </c>
      <c r="F50" s="32" t="n">
        <v>88</v>
      </c>
      <c r="G50" s="27" t="n">
        <v>78</v>
      </c>
      <c r="H50" s="27" t="n">
        <v>78</v>
      </c>
      <c r="I50" s="27" t="n">
        <v>78</v>
      </c>
      <c r="J50" s="13" t="s">
        <v>200</v>
      </c>
      <c r="K50" s="10" t="s">
        <v>42</v>
      </c>
      <c r="L50" s="10" t="s">
        <v>41</v>
      </c>
      <c r="M50" s="13" t="s">
        <v>197</v>
      </c>
    </row>
    <row r="51" customFormat="false" ht="15" hidden="false" customHeight="false" outlineLevel="0" collapsed="false">
      <c r="A51" s="9" t="s">
        <v>201</v>
      </c>
      <c r="B51" s="10" t="s">
        <v>202</v>
      </c>
      <c r="C51" s="10" t="s">
        <v>61</v>
      </c>
      <c r="D51" s="16" t="n">
        <v>0.3</v>
      </c>
      <c r="E51" s="16" t="n">
        <v>0.4</v>
      </c>
      <c r="F51" s="16" t="n">
        <v>0.5</v>
      </c>
      <c r="G51" s="17" t="n">
        <v>0.4</v>
      </c>
      <c r="H51" s="17" t="n">
        <v>0.4</v>
      </c>
      <c r="I51" s="17" t="n">
        <v>0.4</v>
      </c>
      <c r="J51" s="13" t="s">
        <v>203</v>
      </c>
      <c r="K51" s="10" t="s">
        <v>63</v>
      </c>
      <c r="L51" s="10" t="s">
        <v>41</v>
      </c>
      <c r="M51" s="13" t="s">
        <v>204</v>
      </c>
    </row>
    <row r="52" customFormat="false" ht="15" hidden="false" customHeight="false" outlineLevel="0" collapsed="false">
      <c r="A52" s="9" t="s">
        <v>205</v>
      </c>
      <c r="B52" s="10" t="s">
        <v>206</v>
      </c>
      <c r="C52" s="10" t="s">
        <v>61</v>
      </c>
      <c r="D52" s="16" t="n">
        <v>0.09</v>
      </c>
      <c r="E52" s="16" t="n">
        <v>0.07</v>
      </c>
      <c r="F52" s="16" t="n">
        <v>0.055</v>
      </c>
      <c r="G52" s="17" t="n">
        <v>0.07</v>
      </c>
      <c r="H52" s="17" t="n">
        <v>0.07</v>
      </c>
      <c r="I52" s="18" t="n">
        <v>0.09</v>
      </c>
      <c r="J52" s="13" t="s">
        <v>207</v>
      </c>
      <c r="K52" s="10" t="s">
        <v>42</v>
      </c>
      <c r="L52" s="10" t="s">
        <v>41</v>
      </c>
      <c r="M52" s="13" t="s">
        <v>208</v>
      </c>
    </row>
    <row r="53" customFormat="false" ht="22.35" hidden="false" customHeight="false" outlineLevel="0" collapsed="false">
      <c r="A53" s="9" t="s">
        <v>209</v>
      </c>
      <c r="B53" s="10" t="s">
        <v>210</v>
      </c>
      <c r="C53" s="10" t="s">
        <v>61</v>
      </c>
      <c r="D53" s="25" t="n">
        <v>0.08</v>
      </c>
      <c r="E53" s="25" t="n">
        <v>0.11</v>
      </c>
      <c r="F53" s="25" t="n">
        <v>0.14</v>
      </c>
      <c r="G53" s="17" t="n">
        <v>0.11</v>
      </c>
      <c r="H53" s="17" t="n">
        <v>0.11</v>
      </c>
      <c r="I53" s="18" t="n">
        <v>0.08</v>
      </c>
      <c r="J53" s="13" t="s">
        <v>211</v>
      </c>
      <c r="K53" s="10" t="s">
        <v>63</v>
      </c>
      <c r="L53" s="10" t="s">
        <v>42</v>
      </c>
      <c r="M53" s="13" t="s">
        <v>208</v>
      </c>
    </row>
    <row r="54" customFormat="false" ht="15" hidden="false" customHeight="false" outlineLevel="0" collapsed="false">
      <c r="A54" s="7" t="s">
        <v>212</v>
      </c>
      <c r="B54" s="8"/>
      <c r="C54" s="8"/>
      <c r="D54" s="8"/>
      <c r="E54" s="8"/>
      <c r="F54" s="8"/>
      <c r="G54" s="8"/>
      <c r="H54" s="8"/>
      <c r="I54" s="8"/>
      <c r="J54" s="8"/>
      <c r="K54" s="8"/>
      <c r="L54" s="8"/>
      <c r="M54" s="8"/>
    </row>
    <row r="55" customFormat="false" ht="53.7" hidden="false" customHeight="false" outlineLevel="0" collapsed="false">
      <c r="A55" s="9" t="s">
        <v>213</v>
      </c>
      <c r="B55" s="10" t="s">
        <v>214</v>
      </c>
      <c r="C55" s="10" t="s">
        <v>61</v>
      </c>
      <c r="D55" s="16" t="n">
        <v>0.44</v>
      </c>
      <c r="E55" s="16" t="n">
        <v>0.37</v>
      </c>
      <c r="F55" s="16" t="n">
        <v>0.32</v>
      </c>
      <c r="G55" s="17" t="n">
        <v>0.37</v>
      </c>
      <c r="H55" s="17" t="n">
        <v>0.37</v>
      </c>
      <c r="I55" s="17" t="n">
        <v>0.37</v>
      </c>
      <c r="J55" s="13" t="s">
        <v>215</v>
      </c>
      <c r="K55" s="10" t="s">
        <v>42</v>
      </c>
      <c r="L55" s="10" t="s">
        <v>41</v>
      </c>
      <c r="M55" s="13" t="s">
        <v>216</v>
      </c>
    </row>
    <row r="56" customFormat="false" ht="22.35" hidden="false" customHeight="false" outlineLevel="0" collapsed="false">
      <c r="A56" s="9" t="s">
        <v>217</v>
      </c>
      <c r="B56" s="10" t="s">
        <v>218</v>
      </c>
      <c r="C56" s="10" t="s">
        <v>97</v>
      </c>
      <c r="D56" s="26" t="n">
        <v>0</v>
      </c>
      <c r="E56" s="26" t="n">
        <v>0</v>
      </c>
      <c r="F56" s="26" t="n">
        <v>0</v>
      </c>
      <c r="G56" s="27" t="n">
        <v>0</v>
      </c>
      <c r="H56" s="27" t="n">
        <v>0</v>
      </c>
      <c r="I56" s="27" t="n">
        <v>0</v>
      </c>
      <c r="J56" s="13" t="s">
        <v>219</v>
      </c>
      <c r="K56" s="10" t="s">
        <v>41</v>
      </c>
      <c r="L56" s="10" t="s">
        <v>42</v>
      </c>
      <c r="M56" s="13" t="s">
        <v>220</v>
      </c>
    </row>
    <row r="57" customFormat="false" ht="15" hidden="false" customHeight="false" outlineLevel="0" collapsed="false">
      <c r="A57" s="7" t="s">
        <v>221</v>
      </c>
      <c r="B57" s="8"/>
      <c r="C57" s="8"/>
      <c r="D57" s="8"/>
      <c r="E57" s="8"/>
      <c r="F57" s="8"/>
      <c r="G57" s="8"/>
      <c r="H57" s="8"/>
      <c r="I57" s="8"/>
      <c r="J57" s="8"/>
      <c r="K57" s="8"/>
      <c r="L57" s="8"/>
      <c r="M57" s="8"/>
    </row>
    <row r="58" customFormat="false" ht="15" hidden="false" customHeight="false" outlineLevel="0" collapsed="false">
      <c r="A58" s="9" t="s">
        <v>222</v>
      </c>
      <c r="B58" s="10" t="s">
        <v>223</v>
      </c>
      <c r="C58" s="10" t="s">
        <v>61</v>
      </c>
      <c r="D58" s="19" t="n">
        <v>0.012</v>
      </c>
      <c r="E58" s="19" t="n">
        <v>0.018</v>
      </c>
      <c r="F58" s="16" t="n">
        <v>0.025</v>
      </c>
      <c r="G58" s="20" t="n">
        <v>0.018</v>
      </c>
      <c r="H58" s="20" t="n">
        <v>0.018</v>
      </c>
      <c r="I58" s="20" t="n">
        <v>0.018</v>
      </c>
      <c r="J58" s="13" t="s">
        <v>224</v>
      </c>
      <c r="K58" s="10" t="s">
        <v>63</v>
      </c>
      <c r="L58" s="10" t="s">
        <v>41</v>
      </c>
      <c r="M58" s="13" t="s">
        <v>225</v>
      </c>
    </row>
    <row r="59" customFormat="false" ht="15" hidden="false" customHeight="false" outlineLevel="0" collapsed="false">
      <c r="A59" s="9" t="s">
        <v>226</v>
      </c>
      <c r="B59" s="10" t="s">
        <v>227</v>
      </c>
      <c r="C59" s="10" t="s">
        <v>61</v>
      </c>
      <c r="D59" s="25" t="n">
        <v>0.6</v>
      </c>
      <c r="E59" s="25" t="n">
        <v>0.7</v>
      </c>
      <c r="F59" s="25" t="n">
        <v>0.76</v>
      </c>
      <c r="G59" s="17" t="n">
        <v>0.7</v>
      </c>
      <c r="H59" s="17" t="n">
        <v>0.7</v>
      </c>
      <c r="I59" s="17" t="n">
        <v>0.7</v>
      </c>
      <c r="J59" s="13" t="s">
        <v>228</v>
      </c>
      <c r="K59" s="10" t="s">
        <v>42</v>
      </c>
      <c r="L59" s="10" t="s">
        <v>42</v>
      </c>
      <c r="M59" s="13" t="s">
        <v>225</v>
      </c>
    </row>
    <row r="60" customFormat="false" ht="15" hidden="false" customHeight="false" outlineLevel="0" collapsed="false">
      <c r="A60" s="9" t="s">
        <v>229</v>
      </c>
      <c r="B60" s="10" t="s">
        <v>230</v>
      </c>
      <c r="C60" s="10" t="s">
        <v>61</v>
      </c>
      <c r="D60" s="25" t="n">
        <v>0.5</v>
      </c>
      <c r="E60" s="25" t="n">
        <v>0.58</v>
      </c>
      <c r="F60" s="25" t="n">
        <v>0.64</v>
      </c>
      <c r="G60" s="17" t="n">
        <v>0.58</v>
      </c>
      <c r="H60" s="17" t="n">
        <v>0.58</v>
      </c>
      <c r="I60" s="17" t="n">
        <v>0.58</v>
      </c>
      <c r="J60" s="13" t="s">
        <v>231</v>
      </c>
      <c r="K60" s="10" t="s">
        <v>42</v>
      </c>
      <c r="L60" s="10" t="s">
        <v>42</v>
      </c>
      <c r="M60" s="13" t="s">
        <v>232</v>
      </c>
    </row>
    <row r="61" customFormat="false" ht="22.35" hidden="false" customHeight="false" outlineLevel="0" collapsed="false">
      <c r="A61" s="9" t="s">
        <v>233</v>
      </c>
      <c r="B61" s="10" t="s">
        <v>234</v>
      </c>
      <c r="C61" s="10" t="s">
        <v>61</v>
      </c>
      <c r="D61" s="16" t="n">
        <v>0.26</v>
      </c>
      <c r="E61" s="16" t="n">
        <v>0.36</v>
      </c>
      <c r="F61" s="16" t="n">
        <v>0.45</v>
      </c>
      <c r="G61" s="17" t="n">
        <v>0.36</v>
      </c>
      <c r="H61" s="17" t="n">
        <v>0.36</v>
      </c>
      <c r="I61" s="17" t="n">
        <v>0.36</v>
      </c>
      <c r="J61" s="13" t="s">
        <v>235</v>
      </c>
      <c r="K61" s="10" t="s">
        <v>42</v>
      </c>
      <c r="L61" s="10" t="s">
        <v>41</v>
      </c>
      <c r="M61" s="13" t="s">
        <v>236</v>
      </c>
    </row>
    <row r="62" customFormat="false" ht="15" hidden="false" customHeight="false" outlineLevel="0" collapsed="false">
      <c r="A62" s="9" t="s">
        <v>237</v>
      </c>
      <c r="B62" s="10" t="s">
        <v>238</v>
      </c>
      <c r="C62" s="10" t="s">
        <v>61</v>
      </c>
      <c r="D62" s="33" t="n">
        <v>0.015</v>
      </c>
      <c r="E62" s="25" t="n">
        <v>0.025</v>
      </c>
      <c r="F62" s="25" t="n">
        <v>0.035</v>
      </c>
      <c r="G62" s="17" t="n">
        <v>0.025</v>
      </c>
      <c r="H62" s="17" t="n">
        <v>0.025</v>
      </c>
      <c r="I62" s="17" t="n">
        <v>0.025</v>
      </c>
      <c r="J62" s="13" t="s">
        <v>239</v>
      </c>
      <c r="K62" s="10" t="s">
        <v>42</v>
      </c>
      <c r="L62" s="10" t="s">
        <v>42</v>
      </c>
      <c r="M62" s="13" t="s">
        <v>236</v>
      </c>
    </row>
    <row r="63" customFormat="false" ht="15" hidden="false" customHeight="false" outlineLevel="0" collapsed="false">
      <c r="A63" s="9" t="s">
        <v>240</v>
      </c>
      <c r="B63" s="10" t="s">
        <v>241</v>
      </c>
      <c r="C63" s="10" t="s">
        <v>61</v>
      </c>
      <c r="D63" s="25" t="n">
        <v>0.7</v>
      </c>
      <c r="E63" s="25" t="n">
        <v>0.82</v>
      </c>
      <c r="F63" s="25" t="n">
        <v>0.88</v>
      </c>
      <c r="G63" s="17" t="n">
        <v>0.82</v>
      </c>
      <c r="H63" s="17" t="n">
        <v>0.82</v>
      </c>
      <c r="I63" s="17" t="n">
        <v>0.82</v>
      </c>
      <c r="J63" s="13" t="s">
        <v>242</v>
      </c>
      <c r="K63" s="10" t="s">
        <v>42</v>
      </c>
      <c r="L63" s="10" t="s">
        <v>42</v>
      </c>
      <c r="M63" s="13" t="s">
        <v>243</v>
      </c>
    </row>
    <row r="64" customFormat="false" ht="15" hidden="false" customHeight="false" outlineLevel="0" collapsed="false">
      <c r="A64" s="9" t="s">
        <v>244</v>
      </c>
      <c r="B64" s="10" t="s">
        <v>245</v>
      </c>
      <c r="C64" s="10" t="s">
        <v>61</v>
      </c>
      <c r="D64" s="16" t="n">
        <v>0.48</v>
      </c>
      <c r="E64" s="16" t="n">
        <v>0.56</v>
      </c>
      <c r="F64" s="16" t="n">
        <v>0.62</v>
      </c>
      <c r="G64" s="17" t="n">
        <v>0.56</v>
      </c>
      <c r="H64" s="17" t="n">
        <v>0.56</v>
      </c>
      <c r="I64" s="17" t="n">
        <v>0.56</v>
      </c>
      <c r="J64" s="13" t="s">
        <v>246</v>
      </c>
      <c r="K64" s="10" t="s">
        <v>42</v>
      </c>
      <c r="L64" s="10" t="s">
        <v>41</v>
      </c>
      <c r="M64" s="13" t="s">
        <v>225</v>
      </c>
    </row>
    <row r="65" customFormat="false" ht="15" hidden="false" customHeight="false" outlineLevel="0" collapsed="false">
      <c r="A65" s="9" t="s">
        <v>247</v>
      </c>
      <c r="B65" s="10" t="s">
        <v>248</v>
      </c>
      <c r="C65" s="10" t="s">
        <v>61</v>
      </c>
      <c r="D65" s="25" t="n">
        <v>0.76</v>
      </c>
      <c r="E65" s="25" t="n">
        <v>0.83</v>
      </c>
      <c r="F65" s="25" t="n">
        <v>0.88</v>
      </c>
      <c r="G65" s="17" t="n">
        <v>0.83</v>
      </c>
      <c r="H65" s="17" t="n">
        <v>0.83</v>
      </c>
      <c r="I65" s="17" t="n">
        <v>0.83</v>
      </c>
      <c r="J65" s="13" t="s">
        <v>249</v>
      </c>
      <c r="K65" s="10" t="s">
        <v>42</v>
      </c>
      <c r="L65" s="10" t="s">
        <v>42</v>
      </c>
      <c r="M65" s="13" t="s">
        <v>250</v>
      </c>
    </row>
    <row r="66" customFormat="false" ht="22.35" hidden="false" customHeight="false" outlineLevel="0" collapsed="false">
      <c r="A66" s="9" t="s">
        <v>251</v>
      </c>
      <c r="B66" s="10" t="s">
        <v>252</v>
      </c>
      <c r="C66" s="10" t="s">
        <v>61</v>
      </c>
      <c r="D66" s="16" t="n">
        <v>0.55</v>
      </c>
      <c r="E66" s="16" t="n">
        <v>0.62</v>
      </c>
      <c r="F66" s="16" t="n">
        <v>0.68</v>
      </c>
      <c r="G66" s="17" t="n">
        <v>0.62</v>
      </c>
      <c r="H66" s="17" t="n">
        <v>0.62</v>
      </c>
      <c r="I66" s="17" t="n">
        <v>0.62</v>
      </c>
      <c r="J66" s="13" t="s">
        <v>253</v>
      </c>
      <c r="K66" s="10" t="s">
        <v>63</v>
      </c>
      <c r="L66" s="10" t="s">
        <v>41</v>
      </c>
      <c r="M66" s="13" t="s">
        <v>254</v>
      </c>
    </row>
    <row r="67" customFormat="false" ht="15" hidden="false" customHeight="false" outlineLevel="0" collapsed="false">
      <c r="A67" s="9" t="s">
        <v>255</v>
      </c>
      <c r="B67" s="10" t="s">
        <v>256</v>
      </c>
      <c r="C67" s="10" t="s">
        <v>61</v>
      </c>
      <c r="D67" s="16" t="n">
        <v>0.58</v>
      </c>
      <c r="E67" s="16" t="n">
        <v>0.66</v>
      </c>
      <c r="F67" s="16" t="n">
        <v>0.7</v>
      </c>
      <c r="G67" s="17" t="n">
        <v>0.66</v>
      </c>
      <c r="H67" s="17" t="n">
        <v>0.66</v>
      </c>
      <c r="I67" s="17" t="n">
        <v>0.66</v>
      </c>
      <c r="J67" s="13" t="s">
        <v>257</v>
      </c>
      <c r="K67" s="10" t="s">
        <v>42</v>
      </c>
      <c r="L67" s="10" t="s">
        <v>41</v>
      </c>
      <c r="M67" s="13" t="s">
        <v>225</v>
      </c>
    </row>
    <row r="68" customFormat="false" ht="22.35" hidden="false" customHeight="false" outlineLevel="0" collapsed="false">
      <c r="A68" s="9" t="s">
        <v>258</v>
      </c>
      <c r="B68" s="10" t="s">
        <v>259</v>
      </c>
      <c r="C68" s="10" t="s">
        <v>61</v>
      </c>
      <c r="D68" s="16" t="n">
        <v>0.13</v>
      </c>
      <c r="E68" s="16" t="n">
        <v>0.11</v>
      </c>
      <c r="F68" s="16" t="n">
        <v>0.095</v>
      </c>
      <c r="G68" s="17" t="n">
        <v>0.11</v>
      </c>
      <c r="H68" s="17" t="n">
        <v>0.11</v>
      </c>
      <c r="I68" s="18" t="n">
        <v>0.13</v>
      </c>
      <c r="J68" s="13" t="s">
        <v>260</v>
      </c>
      <c r="K68" s="10" t="s">
        <v>42</v>
      </c>
      <c r="L68" s="10" t="s">
        <v>41</v>
      </c>
      <c r="M68" s="13" t="s">
        <v>261</v>
      </c>
    </row>
    <row r="69" customFormat="false" ht="15" hidden="false" customHeight="false" outlineLevel="0" collapsed="false">
      <c r="A69" s="7" t="s">
        <v>262</v>
      </c>
      <c r="B69" s="8"/>
      <c r="C69" s="8"/>
      <c r="D69" s="8"/>
      <c r="E69" s="8"/>
      <c r="F69" s="8"/>
      <c r="G69" s="8"/>
      <c r="H69" s="8"/>
      <c r="I69" s="8"/>
      <c r="J69" s="8"/>
      <c r="K69" s="8"/>
      <c r="L69" s="8"/>
      <c r="M69" s="8"/>
    </row>
    <row r="70" customFormat="false" ht="15" hidden="false" customHeight="false" outlineLevel="0" collapsed="false">
      <c r="A70" s="9" t="s">
        <v>263</v>
      </c>
      <c r="B70" s="10" t="s">
        <v>264</v>
      </c>
      <c r="C70" s="10" t="s">
        <v>97</v>
      </c>
      <c r="D70" s="32" t="n">
        <v>199</v>
      </c>
      <c r="E70" s="32" t="n">
        <v>249</v>
      </c>
      <c r="F70" s="32" t="n">
        <v>299</v>
      </c>
      <c r="G70" s="27" t="n">
        <v>249</v>
      </c>
      <c r="H70" s="27" t="n">
        <v>249</v>
      </c>
      <c r="I70" s="27" t="n">
        <v>249</v>
      </c>
      <c r="J70" s="13" t="s">
        <v>265</v>
      </c>
      <c r="K70" s="10" t="s">
        <v>42</v>
      </c>
      <c r="L70" s="10" t="s">
        <v>41</v>
      </c>
      <c r="M70" s="13" t="s">
        <v>266</v>
      </c>
    </row>
    <row r="71" customFormat="false" ht="22.35" hidden="false" customHeight="false" outlineLevel="0" collapsed="false">
      <c r="A71" s="9" t="s">
        <v>267</v>
      </c>
      <c r="B71" s="10" t="s">
        <v>268</v>
      </c>
      <c r="C71" s="10" t="s">
        <v>97</v>
      </c>
      <c r="D71" s="26" t="n">
        <v>49</v>
      </c>
      <c r="E71" s="26" t="n">
        <v>59</v>
      </c>
      <c r="F71" s="26" t="n">
        <v>79</v>
      </c>
      <c r="G71" s="27" t="n">
        <v>59</v>
      </c>
      <c r="H71" s="27" t="n">
        <v>59</v>
      </c>
      <c r="I71" s="27" t="n">
        <v>59</v>
      </c>
      <c r="J71" s="13" t="s">
        <v>269</v>
      </c>
      <c r="K71" s="10" t="s">
        <v>42</v>
      </c>
      <c r="L71" s="10" t="s">
        <v>42</v>
      </c>
      <c r="M71" s="13" t="s">
        <v>270</v>
      </c>
    </row>
    <row r="72" customFormat="false" ht="15" hidden="false" customHeight="false" outlineLevel="0" collapsed="false">
      <c r="A72" s="7" t="s">
        <v>271</v>
      </c>
      <c r="B72" s="8"/>
      <c r="C72" s="8"/>
      <c r="D72" s="8"/>
      <c r="E72" s="8"/>
      <c r="F72" s="8"/>
      <c r="G72" s="8"/>
      <c r="H72" s="8"/>
      <c r="I72" s="8"/>
      <c r="J72" s="8"/>
      <c r="K72" s="8"/>
      <c r="L72" s="8"/>
      <c r="M72" s="8"/>
    </row>
    <row r="73" customFormat="false" ht="22.35" hidden="false" customHeight="false" outlineLevel="0" collapsed="false">
      <c r="A73" s="9" t="s">
        <v>272</v>
      </c>
      <c r="B73" s="10" t="s">
        <v>273</v>
      </c>
      <c r="C73" s="10" t="s">
        <v>97</v>
      </c>
      <c r="D73" s="32" t="n">
        <v>105</v>
      </c>
      <c r="E73" s="32" t="n">
        <v>88</v>
      </c>
      <c r="F73" s="32" t="n">
        <v>75</v>
      </c>
      <c r="G73" s="27" t="n">
        <v>88</v>
      </c>
      <c r="H73" s="27" t="n">
        <v>88</v>
      </c>
      <c r="I73" s="27" t="n">
        <v>88</v>
      </c>
      <c r="J73" s="13" t="s">
        <v>274</v>
      </c>
      <c r="K73" s="10" t="s">
        <v>63</v>
      </c>
      <c r="L73" s="10" t="s">
        <v>41</v>
      </c>
      <c r="M73" s="13" t="s">
        <v>275</v>
      </c>
    </row>
    <row r="74" customFormat="false" ht="15" hidden="false" customHeight="false" outlineLevel="0" collapsed="false">
      <c r="A74" s="9" t="s">
        <v>276</v>
      </c>
      <c r="B74" s="10" t="s">
        <v>277</v>
      </c>
      <c r="C74" s="10" t="s">
        <v>97</v>
      </c>
      <c r="D74" s="26" t="n">
        <v>45</v>
      </c>
      <c r="E74" s="26" t="n">
        <v>38</v>
      </c>
      <c r="F74" s="26" t="n">
        <v>32</v>
      </c>
      <c r="G74" s="27" t="n">
        <v>38</v>
      </c>
      <c r="H74" s="27" t="n">
        <v>38</v>
      </c>
      <c r="I74" s="27" t="n">
        <v>38</v>
      </c>
      <c r="J74" s="13" t="s">
        <v>278</v>
      </c>
      <c r="K74" s="10" t="s">
        <v>42</v>
      </c>
      <c r="L74" s="10" t="s">
        <v>42</v>
      </c>
      <c r="M74" s="13" t="s">
        <v>279</v>
      </c>
    </row>
    <row r="75" customFormat="false" ht="15" hidden="false" customHeight="false" outlineLevel="0" collapsed="false">
      <c r="A75" s="9" t="s">
        <v>280</v>
      </c>
      <c r="B75" s="10" t="s">
        <v>281</v>
      </c>
      <c r="C75" s="10" t="s">
        <v>97</v>
      </c>
      <c r="D75" s="26" t="n">
        <v>10</v>
      </c>
      <c r="E75" s="26" t="n">
        <v>8</v>
      </c>
      <c r="F75" s="34" t="n">
        <v>6.5</v>
      </c>
      <c r="G75" s="27" t="n">
        <v>8</v>
      </c>
      <c r="H75" s="27" t="n">
        <v>8</v>
      </c>
      <c r="I75" s="27" t="n">
        <v>8</v>
      </c>
      <c r="J75" s="13" t="s">
        <v>282</v>
      </c>
      <c r="K75" s="10" t="s">
        <v>42</v>
      </c>
      <c r="L75" s="10" t="s">
        <v>42</v>
      </c>
      <c r="M75" s="13" t="s">
        <v>279</v>
      </c>
    </row>
    <row r="76" customFormat="false" ht="22.35" hidden="false" customHeight="false" outlineLevel="0" collapsed="false">
      <c r="A76" s="9" t="s">
        <v>283</v>
      </c>
      <c r="B76" s="10" t="s">
        <v>284</v>
      </c>
      <c r="C76" s="10" t="s">
        <v>97</v>
      </c>
      <c r="D76" s="32" t="n">
        <v>22</v>
      </c>
      <c r="E76" s="32" t="n">
        <v>18</v>
      </c>
      <c r="F76" s="32" t="n">
        <v>15</v>
      </c>
      <c r="G76" s="27" t="n">
        <v>18</v>
      </c>
      <c r="H76" s="27" t="n">
        <v>18</v>
      </c>
      <c r="I76" s="27" t="n">
        <v>18</v>
      </c>
      <c r="J76" s="13" t="s">
        <v>285</v>
      </c>
      <c r="K76" s="10" t="s">
        <v>42</v>
      </c>
      <c r="L76" s="10" t="s">
        <v>41</v>
      </c>
      <c r="M76" s="13" t="s">
        <v>286</v>
      </c>
    </row>
    <row r="77" customFormat="false" ht="15" hidden="false" customHeight="false" outlineLevel="0" collapsed="false">
      <c r="A77" s="9" t="s">
        <v>287</v>
      </c>
      <c r="B77" s="10" t="s">
        <v>288</v>
      </c>
      <c r="C77" s="10" t="s">
        <v>97</v>
      </c>
      <c r="D77" s="26" t="n">
        <v>6</v>
      </c>
      <c r="E77" s="34" t="n">
        <v>4.5</v>
      </c>
      <c r="F77" s="34" t="n">
        <v>3.5</v>
      </c>
      <c r="G77" s="31" t="n">
        <v>4.5</v>
      </c>
      <c r="H77" s="31" t="n">
        <v>4.5</v>
      </c>
      <c r="I77" s="31" t="n">
        <v>4.5</v>
      </c>
      <c r="J77" s="13" t="s">
        <v>289</v>
      </c>
      <c r="K77" s="10" t="s">
        <v>42</v>
      </c>
      <c r="L77" s="10" t="s">
        <v>63</v>
      </c>
      <c r="M77" s="13" t="s">
        <v>290</v>
      </c>
    </row>
    <row r="78" customFormat="false" ht="15" hidden="false" customHeight="false" outlineLevel="0" collapsed="false">
      <c r="A78" s="7" t="s">
        <v>291</v>
      </c>
      <c r="B78" s="8"/>
      <c r="C78" s="8"/>
      <c r="D78" s="8"/>
      <c r="E78" s="8"/>
      <c r="F78" s="8"/>
      <c r="G78" s="8"/>
      <c r="H78" s="8"/>
      <c r="I78" s="8"/>
      <c r="J78" s="8"/>
      <c r="K78" s="8"/>
      <c r="L78" s="8"/>
      <c r="M78" s="8"/>
    </row>
    <row r="79" customFormat="false" ht="22.35" hidden="false" customHeight="false" outlineLevel="0" collapsed="false">
      <c r="A79" s="9" t="s">
        <v>292</v>
      </c>
      <c r="B79" s="10" t="s">
        <v>293</v>
      </c>
      <c r="C79" s="10" t="s">
        <v>61</v>
      </c>
      <c r="D79" s="25" t="n">
        <v>0.032</v>
      </c>
      <c r="E79" s="25" t="n">
        <v>0.029</v>
      </c>
      <c r="F79" s="25" t="n">
        <v>0.027</v>
      </c>
      <c r="G79" s="17" t="n">
        <v>0.029</v>
      </c>
      <c r="H79" s="17" t="n">
        <v>0.029</v>
      </c>
      <c r="I79" s="17" t="n">
        <v>0.029</v>
      </c>
      <c r="J79" s="13" t="s">
        <v>294</v>
      </c>
      <c r="K79" s="10" t="s">
        <v>41</v>
      </c>
      <c r="L79" s="10" t="s">
        <v>42</v>
      </c>
      <c r="M79" s="13" t="s">
        <v>295</v>
      </c>
    </row>
    <row r="80" customFormat="false" ht="15" hidden="false" customHeight="false" outlineLevel="0" collapsed="false">
      <c r="A80" s="9" t="s">
        <v>296</v>
      </c>
      <c r="B80" s="10" t="s">
        <v>297</v>
      </c>
      <c r="C80" s="10" t="s">
        <v>61</v>
      </c>
      <c r="D80" s="25" t="n">
        <v>0.04</v>
      </c>
      <c r="E80" s="25" t="n">
        <v>0.03</v>
      </c>
      <c r="F80" s="25" t="n">
        <v>0.022</v>
      </c>
      <c r="G80" s="17" t="n">
        <v>0.03</v>
      </c>
      <c r="H80" s="17" t="n">
        <v>0.03</v>
      </c>
      <c r="I80" s="17" t="n">
        <v>0.03</v>
      </c>
      <c r="J80" s="13" t="s">
        <v>298</v>
      </c>
      <c r="K80" s="10" t="s">
        <v>42</v>
      </c>
      <c r="L80" s="10" t="s">
        <v>42</v>
      </c>
      <c r="M80" s="13" t="s">
        <v>299</v>
      </c>
    </row>
    <row r="81" customFormat="false" ht="15" hidden="false" customHeight="false" outlineLevel="0" collapsed="false">
      <c r="A81" s="7" t="s">
        <v>300</v>
      </c>
      <c r="B81" s="8"/>
      <c r="C81" s="8"/>
      <c r="D81" s="8"/>
      <c r="E81" s="8"/>
      <c r="F81" s="8"/>
      <c r="G81" s="8"/>
      <c r="H81" s="8"/>
      <c r="I81" s="8"/>
      <c r="J81" s="8"/>
      <c r="K81" s="8"/>
      <c r="L81" s="8"/>
      <c r="M81" s="8"/>
    </row>
    <row r="82" customFormat="false" ht="43.25" hidden="false" customHeight="false" outlineLevel="0" collapsed="false">
      <c r="A82" s="9" t="s">
        <v>301</v>
      </c>
      <c r="B82" s="10" t="s">
        <v>302</v>
      </c>
      <c r="C82" s="10" t="s">
        <v>97</v>
      </c>
      <c r="D82" s="26" t="n">
        <v>600</v>
      </c>
      <c r="E82" s="26" t="n">
        <v>600</v>
      </c>
      <c r="F82" s="26" t="n">
        <v>600</v>
      </c>
      <c r="G82" s="27" t="n">
        <v>600</v>
      </c>
      <c r="H82" s="27" t="n">
        <v>600</v>
      </c>
      <c r="I82" s="27" t="n">
        <v>600</v>
      </c>
      <c r="J82" s="13" t="s">
        <v>303</v>
      </c>
      <c r="K82" s="10" t="s">
        <v>63</v>
      </c>
      <c r="L82" s="10" t="s">
        <v>42</v>
      </c>
      <c r="M82" s="13" t="s">
        <v>304</v>
      </c>
    </row>
    <row r="83" customFormat="false" ht="22.35" hidden="false" customHeight="false" outlineLevel="0" collapsed="false">
      <c r="A83" s="9" t="s">
        <v>305</v>
      </c>
      <c r="B83" s="10" t="s">
        <v>306</v>
      </c>
      <c r="C83" s="10" t="s">
        <v>97</v>
      </c>
      <c r="D83" s="26" t="n">
        <v>320</v>
      </c>
      <c r="E83" s="26" t="n">
        <v>280</v>
      </c>
      <c r="F83" s="26" t="n">
        <v>260</v>
      </c>
      <c r="G83" s="27" t="n">
        <v>280</v>
      </c>
      <c r="H83" s="27" t="n">
        <v>280</v>
      </c>
      <c r="I83" s="27" t="n">
        <v>280</v>
      </c>
      <c r="J83" s="13" t="s">
        <v>307</v>
      </c>
      <c r="K83" s="10" t="s">
        <v>42</v>
      </c>
      <c r="L83" s="10" t="s">
        <v>63</v>
      </c>
      <c r="M83" s="13" t="s">
        <v>308</v>
      </c>
    </row>
    <row r="84" customFormat="false" ht="32.8" hidden="false" customHeight="false" outlineLevel="0" collapsed="false">
      <c r="A84" s="9" t="s">
        <v>309</v>
      </c>
      <c r="B84" s="10" t="s">
        <v>310</v>
      </c>
      <c r="C84" s="10" t="s">
        <v>97</v>
      </c>
      <c r="D84" s="26" t="n">
        <v>4000</v>
      </c>
      <c r="E84" s="26" t="n">
        <v>6000</v>
      </c>
      <c r="F84" s="26" t="n">
        <v>9000</v>
      </c>
      <c r="G84" s="27" t="n">
        <v>6000</v>
      </c>
      <c r="H84" s="27" t="n">
        <v>6000</v>
      </c>
      <c r="I84" s="27" t="n">
        <v>6000</v>
      </c>
      <c r="J84" s="13" t="s">
        <v>311</v>
      </c>
      <c r="K84" s="10" t="s">
        <v>42</v>
      </c>
      <c r="L84" s="10" t="s">
        <v>42</v>
      </c>
      <c r="M84" s="13" t="s">
        <v>312</v>
      </c>
    </row>
    <row r="85" customFormat="false" ht="32.8" hidden="false" customHeight="false" outlineLevel="0" collapsed="false">
      <c r="A85" s="9" t="s">
        <v>313</v>
      </c>
      <c r="B85" s="10" t="s">
        <v>314</v>
      </c>
      <c r="C85" s="10" t="s">
        <v>97</v>
      </c>
      <c r="D85" s="26" t="n">
        <v>10000</v>
      </c>
      <c r="E85" s="26" t="n">
        <v>16000</v>
      </c>
      <c r="F85" s="26" t="n">
        <v>26000</v>
      </c>
      <c r="G85" s="27" t="n">
        <v>16000</v>
      </c>
      <c r="H85" s="27" t="n">
        <v>16000</v>
      </c>
      <c r="I85" s="27" t="n">
        <v>16000</v>
      </c>
      <c r="J85" s="13" t="s">
        <v>315</v>
      </c>
      <c r="K85" s="10" t="s">
        <v>42</v>
      </c>
      <c r="L85" s="10" t="s">
        <v>42</v>
      </c>
      <c r="M85" s="13" t="s">
        <v>312</v>
      </c>
    </row>
    <row r="86" customFormat="false" ht="32.8" hidden="false" customHeight="false" outlineLevel="0" collapsed="false">
      <c r="A86" s="9" t="s">
        <v>316</v>
      </c>
      <c r="B86" s="10" t="s">
        <v>317</v>
      </c>
      <c r="C86" s="10" t="s">
        <v>97</v>
      </c>
      <c r="D86" s="26" t="n">
        <v>18000</v>
      </c>
      <c r="E86" s="26" t="n">
        <v>34000</v>
      </c>
      <c r="F86" s="26" t="n">
        <v>65000</v>
      </c>
      <c r="G86" s="27" t="n">
        <v>34000</v>
      </c>
      <c r="H86" s="27" t="n">
        <v>34000</v>
      </c>
      <c r="I86" s="27" t="n">
        <v>34000</v>
      </c>
      <c r="J86" s="13" t="s">
        <v>318</v>
      </c>
      <c r="K86" s="10" t="s">
        <v>63</v>
      </c>
      <c r="L86" s="10" t="s">
        <v>42</v>
      </c>
      <c r="M86" s="13" t="s">
        <v>312</v>
      </c>
    </row>
    <row r="87" customFormat="false" ht="15" hidden="false" customHeight="false" outlineLevel="0" collapsed="false">
      <c r="A87" s="9" t="s">
        <v>319</v>
      </c>
      <c r="B87" s="10" t="s">
        <v>320</v>
      </c>
      <c r="C87" s="10" t="s">
        <v>97</v>
      </c>
      <c r="D87" s="26" t="n">
        <v>26000</v>
      </c>
      <c r="E87" s="26" t="n">
        <v>55000</v>
      </c>
      <c r="F87" s="26" t="n">
        <v>110000</v>
      </c>
      <c r="G87" s="27" t="n">
        <v>55000</v>
      </c>
      <c r="H87" s="27" t="n">
        <v>55000</v>
      </c>
      <c r="I87" s="27" t="n">
        <v>55000</v>
      </c>
      <c r="J87" s="13"/>
      <c r="K87" s="10" t="s">
        <v>63</v>
      </c>
      <c r="L87" s="10" t="s">
        <v>42</v>
      </c>
      <c r="M87" s="13" t="s">
        <v>312</v>
      </c>
    </row>
    <row r="88" customFormat="false" ht="43.25" hidden="false" customHeight="false" outlineLevel="0" collapsed="false">
      <c r="A88" s="9" t="s">
        <v>321</v>
      </c>
      <c r="B88" s="10" t="s">
        <v>322</v>
      </c>
      <c r="C88" s="10" t="s">
        <v>61</v>
      </c>
      <c r="D88" s="16" t="n">
        <v>0.07</v>
      </c>
      <c r="E88" s="16" t="n">
        <v>0.06</v>
      </c>
      <c r="F88" s="16" t="n">
        <v>0.05</v>
      </c>
      <c r="G88" s="17" t="n">
        <v>0.06</v>
      </c>
      <c r="H88" s="17" t="n">
        <v>0.06</v>
      </c>
      <c r="I88" s="17" t="n">
        <v>0.06</v>
      </c>
      <c r="J88" s="13" t="s">
        <v>323</v>
      </c>
      <c r="K88" s="10" t="s">
        <v>42</v>
      </c>
      <c r="L88" s="10" t="s">
        <v>41</v>
      </c>
      <c r="M88" s="13" t="s">
        <v>324</v>
      </c>
    </row>
    <row r="89" customFormat="false" ht="22.35" hidden="false" customHeight="false" outlineLevel="0" collapsed="false">
      <c r="A89" s="9" t="s">
        <v>325</v>
      </c>
      <c r="B89" s="10" t="s">
        <v>326</v>
      </c>
      <c r="C89" s="10" t="s">
        <v>61</v>
      </c>
      <c r="D89" s="25" t="n">
        <v>0.03</v>
      </c>
      <c r="E89" s="25" t="n">
        <v>0.025</v>
      </c>
      <c r="F89" s="25" t="n">
        <v>0.02</v>
      </c>
      <c r="G89" s="17" t="n">
        <v>0.025</v>
      </c>
      <c r="H89" s="17" t="n">
        <v>0.025</v>
      </c>
      <c r="I89" s="17" t="n">
        <v>0.025</v>
      </c>
      <c r="J89" s="13" t="s">
        <v>327</v>
      </c>
      <c r="K89" s="10" t="s">
        <v>42</v>
      </c>
      <c r="L89" s="10" t="s">
        <v>42</v>
      </c>
      <c r="M89" s="13" t="s">
        <v>328</v>
      </c>
    </row>
    <row r="90" customFormat="false" ht="15" hidden="false" customHeight="false" outlineLevel="0" collapsed="false">
      <c r="A90" s="9" t="s">
        <v>329</v>
      </c>
      <c r="B90" s="10" t="s">
        <v>330</v>
      </c>
      <c r="C90" s="10" t="s">
        <v>61</v>
      </c>
      <c r="D90" s="33" t="n">
        <v>0.01</v>
      </c>
      <c r="E90" s="33" t="n">
        <v>0.008</v>
      </c>
      <c r="F90" s="33" t="n">
        <v>0.006</v>
      </c>
      <c r="G90" s="20" t="n">
        <v>0.008</v>
      </c>
      <c r="H90" s="20" t="n">
        <v>0.008</v>
      </c>
      <c r="I90" s="20" t="n">
        <v>0.008</v>
      </c>
      <c r="J90" s="13" t="s">
        <v>331</v>
      </c>
      <c r="K90" s="10" t="s">
        <v>42</v>
      </c>
      <c r="L90" s="10" t="s">
        <v>63</v>
      </c>
      <c r="M90" s="13" t="s">
        <v>332</v>
      </c>
    </row>
    <row r="91" customFormat="false" ht="15" hidden="false" customHeight="false" outlineLevel="0" collapsed="false">
      <c r="A91" s="9" t="s">
        <v>333</v>
      </c>
      <c r="B91" s="10" t="s">
        <v>334</v>
      </c>
      <c r="C91" s="10" t="s">
        <v>97</v>
      </c>
      <c r="D91" s="26" t="n">
        <v>5000</v>
      </c>
      <c r="E91" s="26" t="n">
        <v>9000</v>
      </c>
      <c r="F91" s="26" t="n">
        <v>14000</v>
      </c>
      <c r="G91" s="27" t="n">
        <v>9000</v>
      </c>
      <c r="H91" s="27" t="n">
        <v>9000</v>
      </c>
      <c r="I91" s="27" t="n">
        <v>9000</v>
      </c>
      <c r="J91" s="13" t="s">
        <v>335</v>
      </c>
      <c r="K91" s="10" t="s">
        <v>42</v>
      </c>
      <c r="L91" s="10" t="s">
        <v>63</v>
      </c>
      <c r="M91" s="13" t="s">
        <v>336</v>
      </c>
    </row>
    <row r="92" customFormat="false" ht="22.35" hidden="false" customHeight="false" outlineLevel="0" collapsed="false">
      <c r="A92" s="9" t="s">
        <v>337</v>
      </c>
      <c r="B92" s="10" t="s">
        <v>338</v>
      </c>
      <c r="C92" s="10" t="s">
        <v>97</v>
      </c>
      <c r="D92" s="26" t="n">
        <v>900</v>
      </c>
      <c r="E92" s="26" t="n">
        <v>1200</v>
      </c>
      <c r="F92" s="26" t="n">
        <v>2000</v>
      </c>
      <c r="G92" s="27" t="n">
        <v>1200</v>
      </c>
      <c r="H92" s="27" t="n">
        <v>1200</v>
      </c>
      <c r="I92" s="27" t="n">
        <v>1200</v>
      </c>
      <c r="J92" s="13" t="s">
        <v>339</v>
      </c>
      <c r="K92" s="10" t="s">
        <v>41</v>
      </c>
      <c r="L92" s="10" t="s">
        <v>63</v>
      </c>
      <c r="M92" s="13" t="s">
        <v>340</v>
      </c>
    </row>
    <row r="93" customFormat="false" ht="22.35" hidden="false" customHeight="false" outlineLevel="0" collapsed="false">
      <c r="A93" s="9" t="s">
        <v>341</v>
      </c>
      <c r="B93" s="10" t="s">
        <v>342</v>
      </c>
      <c r="C93" s="10" t="s">
        <v>97</v>
      </c>
      <c r="D93" s="26" t="n">
        <v>12000</v>
      </c>
      <c r="E93" s="26" t="n">
        <v>15000</v>
      </c>
      <c r="F93" s="26" t="n">
        <v>20000</v>
      </c>
      <c r="G93" s="27" t="n">
        <v>15000</v>
      </c>
      <c r="H93" s="27" t="n">
        <v>15000</v>
      </c>
      <c r="I93" s="27" t="n">
        <v>15000</v>
      </c>
      <c r="J93" s="13" t="s">
        <v>343</v>
      </c>
      <c r="K93" s="10" t="s">
        <v>42</v>
      </c>
      <c r="L93" s="10" t="s">
        <v>63</v>
      </c>
      <c r="M93" s="13" t="s">
        <v>344</v>
      </c>
    </row>
    <row r="94" customFormat="false" ht="15" hidden="false" customHeight="false" outlineLevel="0" collapsed="false">
      <c r="A94" s="9" t="s">
        <v>345</v>
      </c>
      <c r="B94" s="10" t="s">
        <v>346</v>
      </c>
      <c r="C94" s="10" t="s">
        <v>97</v>
      </c>
      <c r="D94" s="26" t="n">
        <v>3000</v>
      </c>
      <c r="E94" s="26" t="n">
        <v>4500</v>
      </c>
      <c r="F94" s="26" t="n">
        <v>7000</v>
      </c>
      <c r="G94" s="27" t="n">
        <v>4500</v>
      </c>
      <c r="H94" s="27" t="n">
        <v>4500</v>
      </c>
      <c r="I94" s="27" t="n">
        <v>4500</v>
      </c>
      <c r="J94" s="13" t="s">
        <v>347</v>
      </c>
      <c r="K94" s="10" t="s">
        <v>42</v>
      </c>
      <c r="L94" s="10" t="s">
        <v>42</v>
      </c>
      <c r="M94" s="13" t="s">
        <v>344</v>
      </c>
    </row>
    <row r="95" customFormat="false" ht="15" hidden="false" customHeight="false" outlineLevel="0" collapsed="false">
      <c r="A95" s="9" t="s">
        <v>348</v>
      </c>
      <c r="B95" s="10" t="s">
        <v>349</v>
      </c>
      <c r="C95" s="10" t="s">
        <v>97</v>
      </c>
      <c r="D95" s="26" t="n">
        <v>1800</v>
      </c>
      <c r="E95" s="26" t="n">
        <v>2500</v>
      </c>
      <c r="F95" s="26" t="n">
        <v>3500</v>
      </c>
      <c r="G95" s="27" t="n">
        <v>2500</v>
      </c>
      <c r="H95" s="27" t="n">
        <v>2500</v>
      </c>
      <c r="I95" s="27" t="n">
        <v>2500</v>
      </c>
      <c r="J95" s="13" t="s">
        <v>350</v>
      </c>
      <c r="K95" s="10" t="s">
        <v>42</v>
      </c>
      <c r="L95" s="10" t="s">
        <v>63</v>
      </c>
      <c r="M95" s="13" t="s">
        <v>351</v>
      </c>
    </row>
    <row r="96" customFormat="false" ht="32.8" hidden="false" customHeight="false" outlineLevel="0" collapsed="false">
      <c r="A96" s="9" t="s">
        <v>352</v>
      </c>
      <c r="B96" s="10" t="s">
        <v>353</v>
      </c>
      <c r="C96" s="10" t="s">
        <v>97</v>
      </c>
      <c r="D96" s="26" t="n">
        <v>3000</v>
      </c>
      <c r="E96" s="26" t="n">
        <v>6000</v>
      </c>
      <c r="F96" s="26" t="n">
        <v>12000</v>
      </c>
      <c r="G96" s="28" t="n">
        <v>12000</v>
      </c>
      <c r="H96" s="27" t="n">
        <v>6000</v>
      </c>
      <c r="I96" s="27" t="n">
        <v>6000</v>
      </c>
      <c r="J96" s="13" t="s">
        <v>354</v>
      </c>
      <c r="K96" s="10" t="s">
        <v>42</v>
      </c>
      <c r="L96" s="10" t="s">
        <v>42</v>
      </c>
      <c r="M96" s="13" t="s">
        <v>355</v>
      </c>
    </row>
    <row r="97" customFormat="false" ht="15" hidden="false" customHeight="false" outlineLevel="0" collapsed="false">
      <c r="A97" s="7" t="s">
        <v>356</v>
      </c>
      <c r="B97" s="8"/>
      <c r="C97" s="8"/>
      <c r="D97" s="8"/>
      <c r="E97" s="8"/>
      <c r="F97" s="8"/>
      <c r="G97" s="8"/>
      <c r="H97" s="8"/>
      <c r="I97" s="8"/>
      <c r="J97" s="8"/>
      <c r="K97" s="8"/>
      <c r="L97" s="8"/>
      <c r="M97" s="8"/>
    </row>
    <row r="98" customFormat="false" ht="22.35" hidden="false" customHeight="false" outlineLevel="0" collapsed="false">
      <c r="A98" s="9" t="s">
        <v>357</v>
      </c>
      <c r="B98" s="10" t="s">
        <v>358</v>
      </c>
      <c r="C98" s="10" t="s">
        <v>97</v>
      </c>
      <c r="D98" s="32" t="n">
        <v>0</v>
      </c>
      <c r="E98" s="32" t="n">
        <v>15000</v>
      </c>
      <c r="F98" s="32" t="n">
        <v>25000</v>
      </c>
      <c r="G98" s="28" t="n">
        <v>0</v>
      </c>
      <c r="H98" s="27" t="n">
        <v>15000</v>
      </c>
      <c r="I98" s="27" t="n">
        <v>15000</v>
      </c>
      <c r="J98" s="13" t="s">
        <v>359</v>
      </c>
      <c r="K98" s="10" t="s">
        <v>57</v>
      </c>
      <c r="L98" s="10" t="s">
        <v>41</v>
      </c>
      <c r="M98" s="13" t="s">
        <v>360</v>
      </c>
    </row>
    <row r="99" customFormat="false" ht="22.35" hidden="false" customHeight="false" outlineLevel="0" collapsed="false">
      <c r="A99" s="9" t="s">
        <v>361</v>
      </c>
      <c r="B99" s="10" t="s">
        <v>362</v>
      </c>
      <c r="C99" s="10" t="s">
        <v>61</v>
      </c>
      <c r="D99" s="16" t="n">
        <v>0.05</v>
      </c>
      <c r="E99" s="16" t="n">
        <v>0.05</v>
      </c>
      <c r="F99" s="16" t="n">
        <v>0.05</v>
      </c>
      <c r="G99" s="18" t="n">
        <v>0</v>
      </c>
      <c r="H99" s="17" t="n">
        <v>0.05</v>
      </c>
      <c r="I99" s="17" t="n">
        <v>0.05</v>
      </c>
      <c r="J99" s="13" t="s">
        <v>363</v>
      </c>
      <c r="K99" s="10" t="s">
        <v>57</v>
      </c>
      <c r="L99" s="10" t="s">
        <v>41</v>
      </c>
      <c r="M99" s="13" t="s">
        <v>360</v>
      </c>
    </row>
    <row r="100" customFormat="false" ht="15" hidden="false" customHeight="false" outlineLevel="0" collapsed="false">
      <c r="A100" s="9" t="s">
        <v>364</v>
      </c>
      <c r="B100" s="10" t="s">
        <v>365</v>
      </c>
      <c r="C100" s="10" t="s">
        <v>61</v>
      </c>
      <c r="D100" s="25" t="n">
        <v>0.1</v>
      </c>
      <c r="E100" s="25" t="n">
        <v>0.15</v>
      </c>
      <c r="F100" s="25" t="n">
        <v>0.2</v>
      </c>
      <c r="G100" s="18" t="n">
        <v>0</v>
      </c>
      <c r="H100" s="17" t="n">
        <v>0.15</v>
      </c>
      <c r="I100" s="17" t="n">
        <v>0.15</v>
      </c>
      <c r="J100" s="13" t="s">
        <v>366</v>
      </c>
      <c r="K100" s="10" t="s">
        <v>57</v>
      </c>
      <c r="L100" s="10" t="s">
        <v>57</v>
      </c>
      <c r="M100" s="13" t="s">
        <v>360</v>
      </c>
    </row>
    <row r="101" customFormat="false" ht="15" hidden="false" customHeight="false" outlineLevel="0" collapsed="false">
      <c r="A101" s="7" t="s">
        <v>367</v>
      </c>
      <c r="B101" s="8"/>
      <c r="C101" s="8"/>
      <c r="D101" s="8"/>
      <c r="E101" s="8"/>
      <c r="F101" s="8"/>
      <c r="G101" s="8"/>
      <c r="H101" s="8"/>
      <c r="I101" s="8"/>
      <c r="J101" s="8"/>
      <c r="K101" s="8"/>
      <c r="L101" s="8"/>
      <c r="M101" s="8"/>
    </row>
    <row r="102" customFormat="false" ht="43.25" hidden="false" customHeight="false" outlineLevel="0" collapsed="false">
      <c r="A102" s="9" t="s">
        <v>368</v>
      </c>
      <c r="B102" s="10" t="s">
        <v>369</v>
      </c>
      <c r="C102" s="10" t="s">
        <v>370</v>
      </c>
      <c r="D102" s="35" t="n">
        <v>0</v>
      </c>
      <c r="E102" s="35" t="n">
        <v>0</v>
      </c>
      <c r="F102" s="35" t="n">
        <v>0</v>
      </c>
      <c r="G102" s="36" t="n">
        <v>0</v>
      </c>
      <c r="H102" s="36" t="n">
        <v>0</v>
      </c>
      <c r="I102" s="36" t="n">
        <v>0</v>
      </c>
      <c r="J102" s="13" t="s">
        <v>371</v>
      </c>
      <c r="K102" s="10" t="s">
        <v>41</v>
      </c>
      <c r="L102" s="10" t="s">
        <v>42</v>
      </c>
      <c r="M102" s="13" t="s">
        <v>372</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 collapsed="false" customWidth="true" hidden="false" outlineLevel="0" max="7" min="5" style="0" width="17"/>
  </cols>
  <sheetData>
    <row r="1" customFormat="false" ht="17.35" hidden="false" customHeight="false" outlineLevel="0" collapsed="false">
      <c r="A1" s="4" t="s">
        <v>373</v>
      </c>
    </row>
    <row r="2" customFormat="false" ht="43.5" hidden="false" customHeight="true" outlineLevel="0" collapsed="false">
      <c r="A2" s="5" t="s">
        <v>374</v>
      </c>
      <c r="B2" s="5"/>
      <c r="C2" s="5"/>
      <c r="D2" s="5"/>
      <c r="E2" s="5"/>
    </row>
    <row r="4" customFormat="false" ht="26.85" hidden="false" customHeight="false" outlineLevel="0" collapsed="false">
      <c r="A4" s="6" t="s">
        <v>375</v>
      </c>
      <c r="B4" s="6" t="s">
        <v>26</v>
      </c>
      <c r="C4" s="6" t="s">
        <v>27</v>
      </c>
      <c r="D4" s="6" t="s">
        <v>28</v>
      </c>
      <c r="E4" s="6" t="s">
        <v>376</v>
      </c>
      <c r="F4" s="6" t="s">
        <v>377</v>
      </c>
      <c r="G4" s="6" t="s">
        <v>378</v>
      </c>
    </row>
    <row r="5" customFormat="false" ht="15" hidden="false" customHeight="false" outlineLevel="0" collapsed="false">
      <c r="A5" s="37" t="s">
        <v>379</v>
      </c>
      <c r="B5" s="38" t="n">
        <f aca="false">SUM(Model_Conservative!C72:N72)</f>
        <v>375126.622067647</v>
      </c>
      <c r="C5" s="38" t="n">
        <f aca="false">SUM(Model_Baseline!C72:N72)</f>
        <v>5602422.74433004</v>
      </c>
      <c r="D5" s="38" t="n">
        <f aca="false">SUM(Model_Aggressive!C72:N72)</f>
        <v>49706086.0687416</v>
      </c>
      <c r="E5" s="39" t="n">
        <f aca="false">SUM(Model_No_Partner!C72:N72)</f>
        <v>579892.151092254</v>
      </c>
      <c r="F5" s="39" t="n">
        <f aca="false">SUM(Model_Weak_Audience!C72:N72)</f>
        <v>1170516.13722129</v>
      </c>
      <c r="G5" s="39" t="n">
        <f aca="false">SUM(Model_Weak_Retention!C72:N72)</f>
        <v>5249111.34096459</v>
      </c>
    </row>
    <row r="6" customFormat="false" ht="15" hidden="false" customHeight="false" outlineLevel="0" collapsed="false">
      <c r="A6" s="37" t="s">
        <v>380</v>
      </c>
      <c r="B6" s="38" t="n">
        <f aca="false">SUM(Model_Conservative!O72:Z72)</f>
        <v>561813.363145796</v>
      </c>
      <c r="C6" s="38" t="n">
        <f aca="false">SUM(Model_Baseline!O72:Z72)</f>
        <v>10675379.4605743</v>
      </c>
      <c r="D6" s="38" t="n">
        <f aca="false">SUM(Model_Aggressive!O72:Z72)</f>
        <v>181684183.71271</v>
      </c>
      <c r="E6" s="39" t="n">
        <f aca="false">SUM(Model_No_Partner!O72:Z72)</f>
        <v>1670467.73160294</v>
      </c>
      <c r="F6" s="39" t="n">
        <f aca="false">SUM(Model_Weak_Audience!O72:Z72)</f>
        <v>2552911.63467393</v>
      </c>
      <c r="G6" s="39" t="n">
        <f aca="false">SUM(Model_Weak_Retention!O72:Z72)</f>
        <v>9111574.35843455</v>
      </c>
    </row>
    <row r="7" customFormat="false" ht="15" hidden="false" customHeight="false" outlineLevel="0" collapsed="false">
      <c r="A7" s="37" t="s">
        <v>381</v>
      </c>
      <c r="B7" s="38" t="n">
        <f aca="false">SUM(Model_Conservative!AA72:AL72)</f>
        <v>710833.899111924</v>
      </c>
      <c r="C7" s="38" t="n">
        <f aca="false">SUM(Model_Baseline!AA72:AL72)</f>
        <v>15518089.6863808</v>
      </c>
      <c r="D7" s="38" t="n">
        <f aca="false">SUM(Model_Aggressive!AA72:AL72)</f>
        <v>330735012.891542</v>
      </c>
      <c r="E7" s="39" t="n">
        <f aca="false">SUM(Model_No_Partner!AA72:AL72)</f>
        <v>3918172.1272594</v>
      </c>
      <c r="F7" s="39" t="n">
        <f aca="false">SUM(Model_Weak_Audience!AA72:AL72)</f>
        <v>4701463.17163945</v>
      </c>
      <c r="G7" s="39" t="n">
        <f aca="false">SUM(Model_Weak_Retention!AA72:AL72)</f>
        <v>12549133.7958121</v>
      </c>
    </row>
    <row r="8" customFormat="false" ht="15" hidden="false" customHeight="false" outlineLevel="0" collapsed="false">
      <c r="A8" s="37" t="s">
        <v>382</v>
      </c>
      <c r="B8" s="38" t="n">
        <f aca="false">SUM(Model_Conservative!C72:AL72)</f>
        <v>1647773.88432537</v>
      </c>
      <c r="C8" s="38" t="n">
        <f aca="false">SUM(Model_Baseline!C72:AL72)</f>
        <v>31795891.8912852</v>
      </c>
      <c r="D8" s="38" t="n">
        <f aca="false">SUM(Model_Aggressive!C72:AL72)</f>
        <v>562125282.672993</v>
      </c>
      <c r="E8" s="39" t="n">
        <f aca="false">SUM(Model_No_Partner!C72:AL72)</f>
        <v>6168532.00995459</v>
      </c>
      <c r="F8" s="39" t="n">
        <f aca="false">SUM(Model_Weak_Audience!C72:AL72)</f>
        <v>8424890.94353466</v>
      </c>
      <c r="G8" s="39" t="n">
        <f aca="false">SUM(Model_Weak_Retention!C72:AL72)</f>
        <v>26909819.4952112</v>
      </c>
    </row>
    <row r="10" customFormat="false" ht="15" hidden="false" customHeight="false" outlineLevel="0" collapsed="false">
      <c r="A10" s="37" t="s">
        <v>383</v>
      </c>
      <c r="B10" s="38" t="n">
        <f aca="false">SUM(Model_Conservative!AA73:AL73)</f>
        <v>345044.153400358</v>
      </c>
      <c r="C10" s="38" t="n">
        <f aca="false">SUM(Model_Baseline!AA73:AL73)</f>
        <v>8783591.6071079</v>
      </c>
      <c r="D10" s="38" t="n">
        <f aca="false">SUM(Model_Aggressive!AA73:AL73)</f>
        <v>211773593.366457</v>
      </c>
      <c r="E10" s="39" t="n">
        <f aca="false">SUM(Model_No_Partner!AA73:AL73)</f>
        <v>2189870.23833293</v>
      </c>
      <c r="F10" s="39" t="n">
        <f aca="false">SUM(Model_Weak_Audience!AA73:AL73)</f>
        <v>2600190.17414336</v>
      </c>
      <c r="G10" s="39" t="n">
        <f aca="false">SUM(Model_Weak_Retention!AA73:AL73)</f>
        <v>7088842.92951882</v>
      </c>
    </row>
    <row r="11" customFormat="false" ht="15" hidden="false" customHeight="false" outlineLevel="0" collapsed="false">
      <c r="A11" s="37" t="s">
        <v>384</v>
      </c>
      <c r="B11" s="40" t="n">
        <f aca="false">IFERROR(SUM(Model_Conservative!C73:N73)/SUM(Model_Conservative!C72:N72),0)</f>
        <v>0.50723890685913</v>
      </c>
      <c r="C11" s="40" t="n">
        <f aca="false">IFERROR(SUM(Model_Baseline!C73:N73)/SUM(Model_Baseline!C72:N72),0)</f>
        <v>0.584167262351892</v>
      </c>
      <c r="D11" s="40" t="n">
        <f aca="false">IFERROR(SUM(Model_Aggressive!C73:N73)/SUM(Model_Aggressive!C72:N72),0)</f>
        <v>0.642580597064483</v>
      </c>
      <c r="E11" s="41" t="n">
        <f aca="false">IFERROR(SUM(Model_No_Partner!C73:N73)/SUM(Model_No_Partner!C72:N72),0)</f>
        <v>0.580751850138259</v>
      </c>
      <c r="F11" s="41" t="n">
        <f aca="false">IFERROR(SUM(Model_Weak_Audience!C73:N73)/SUM(Model_Weak_Audience!C72:N72),0)</f>
        <v>0.580721739950069</v>
      </c>
      <c r="G11" s="41" t="n">
        <f aca="false">IFERROR(SUM(Model_Weak_Retention!C73:N73)/SUM(Model_Weak_Retention!C72:N72),0)</f>
        <v>0.584058293055045</v>
      </c>
    </row>
    <row r="12" customFormat="false" ht="15" hidden="false" customHeight="false" outlineLevel="0" collapsed="false">
      <c r="A12" s="37" t="s">
        <v>385</v>
      </c>
      <c r="B12" s="40" t="n">
        <f aca="false">IFERROR(SUM(Model_Conservative!AA73:AL73)/SUM(Model_Conservative!AA72:AL72),0)</f>
        <v>0.485407566847103</v>
      </c>
      <c r="C12" s="40" t="n">
        <f aca="false">IFERROR(SUM(Model_Baseline!AA73:AL73)/SUM(Model_Baseline!AA72:AL72),0)</f>
        <v>0.56602273763224</v>
      </c>
      <c r="D12" s="40" t="n">
        <f aca="false">IFERROR(SUM(Model_Aggressive!AA73:AL73)/SUM(Model_Aggressive!AA72:AL72),0)</f>
        <v>0.640311987276363</v>
      </c>
      <c r="E12" s="41" t="n">
        <f aca="false">IFERROR(SUM(Model_No_Partner!AA73:AL73)/SUM(Model_No_Partner!AA72:AL72),0)</f>
        <v>0.558900979131985</v>
      </c>
      <c r="F12" s="41" t="n">
        <f aca="false">IFERROR(SUM(Model_Weak_Audience!AA73:AL73)/SUM(Model_Weak_Audience!AA72:AL72),0)</f>
        <v>0.553059777183504</v>
      </c>
      <c r="G12" s="41" t="n">
        <f aca="false">IFERROR(SUM(Model_Weak_Retention!AA73:AL73)/SUM(Model_Weak_Retention!AA72:AL72),0)</f>
        <v>0.564887030839095</v>
      </c>
    </row>
    <row r="13" customFormat="false" ht="15" hidden="false" customHeight="false" outlineLevel="0" collapsed="false">
      <c r="A13" s="37" t="s">
        <v>386</v>
      </c>
      <c r="B13" s="40" t="n">
        <f aca="false">IFERROR(SUM(Model_Conservative!AA46:AL46)/SUM(Model_Conservative!AA42:AL42),0)</f>
        <v>0.509666666666667</v>
      </c>
      <c r="C13" s="40" t="n">
        <f aca="false">IFERROR(SUM(Model_Baseline!AA46:AL46)/SUM(Model_Baseline!AA42:AL42),0)</f>
        <v>0.589556701030928</v>
      </c>
      <c r="D13" s="40" t="n">
        <f aca="false">IFERROR(SUM(Model_Aggressive!AA46:AL46)/SUM(Model_Aggressive!AA42:AL42),0)</f>
        <v>0.64580163599182</v>
      </c>
      <c r="E13" s="41" t="n">
        <f aca="false">IFERROR(SUM(Model_No_Partner!AA46:AL46)/SUM(Model_No_Partner!AA42:AL42),0)</f>
        <v>0.589556701030928</v>
      </c>
      <c r="F13" s="41" t="n">
        <f aca="false">IFERROR(SUM(Model_Weak_Audience!AA46:AL46)/SUM(Model_Weak_Audience!AA42:AL42),0)</f>
        <v>0.589556701030928</v>
      </c>
      <c r="G13" s="41" t="n">
        <f aca="false">IFERROR(SUM(Model_Weak_Retention!AA46:AL46)/SUM(Model_Weak_Retention!AA42:AL42),0)</f>
        <v>0.589556701030928</v>
      </c>
    </row>
    <row r="14" customFormat="false" ht="15" hidden="false" customHeight="false" outlineLevel="0" collapsed="false">
      <c r="A14" s="37" t="s">
        <v>387</v>
      </c>
      <c r="B14" s="40" t="n">
        <f aca="false">IFERROR(SUM(Model_Conservative!AA70:AL70)/SUM(Model_Conservative!AA63:AL63),0)</f>
        <v>0.222778587504931</v>
      </c>
      <c r="C14" s="40" t="n">
        <f aca="false">IFERROR(SUM(Model_Baseline!AA70:AL70)/SUM(Model_Baseline!AA63:AL63),0)</f>
        <v>0.474615517238796</v>
      </c>
      <c r="D14" s="40" t="n">
        <f aca="false">IFERROR(SUM(Model_Aggressive!AA70:AL70)/SUM(Model_Aggressive!AA63:AL63),0)</f>
        <v>0.629379533633488</v>
      </c>
      <c r="E14" s="41" t="n">
        <f aca="false">IFERROR(SUM(Model_No_Partner!AA70:AL70)/SUM(Model_No_Partner!AA63:AL63),0)</f>
        <v>0.473501602026669</v>
      </c>
      <c r="F14" s="41" t="n">
        <f aca="false">IFERROR(SUM(Model_Weak_Audience!AA70:AL70)/SUM(Model_Weak_Audience!AA63:AL63),0)</f>
        <v>0.474017763397916</v>
      </c>
      <c r="G14" s="41" t="n">
        <f aca="false">IFERROR(SUM(Model_Weak_Retention!AA70:AL70)/SUM(Model_Weak_Retention!AA63:AL63),0)</f>
        <v>0.474043397490956</v>
      </c>
    </row>
    <row r="16" customFormat="false" ht="15" hidden="false" customHeight="false" outlineLevel="0" collapsed="false">
      <c r="A16" s="37" t="s">
        <v>388</v>
      </c>
      <c r="B16" s="38" t="n">
        <f aca="false">SUM(Model_Conservative!C88:N88)</f>
        <v>-243459.043337767</v>
      </c>
      <c r="C16" s="38" t="n">
        <f aca="false">SUM(Model_Baseline!C88:N88)</f>
        <v>861441.969971399</v>
      </c>
      <c r="D16" s="38" t="n">
        <f aca="false">SUM(Model_Aggressive!C88:N88)</f>
        <v>17167988.5667356</v>
      </c>
      <c r="E16" s="39" t="n">
        <f aca="false">SUM(Model_No_Partner!C88:N88)</f>
        <v>-557186.560372519</v>
      </c>
      <c r="F16" s="39" t="n">
        <f aca="false">SUM(Model_Weak_Audience!C88:N88)</f>
        <v>-411766.142778785</v>
      </c>
      <c r="G16" s="39" t="n">
        <f aca="false">SUM(Model_Weak_Retention!C88:N88)</f>
        <v>766614.984454611</v>
      </c>
    </row>
    <row r="17" customFormat="false" ht="15" hidden="false" customHeight="false" outlineLevel="0" collapsed="false">
      <c r="A17" s="37" t="s">
        <v>389</v>
      </c>
      <c r="B17" s="38" t="n">
        <f aca="false">SUM(Model_Conservative!O88:Z88)</f>
        <v>-306532.312472269</v>
      </c>
      <c r="C17" s="38" t="n">
        <f aca="false">SUM(Model_Baseline!O88:Z88)</f>
        <v>1768403.88758821</v>
      </c>
      <c r="D17" s="38" t="n">
        <f aca="false">SUM(Model_Aggressive!O88:Z88)</f>
        <v>60246076.1995617</v>
      </c>
      <c r="E17" s="39" t="n">
        <f aca="false">SUM(Model_No_Partner!O88:Z88)</f>
        <v>-225772.251922685</v>
      </c>
      <c r="F17" s="39" t="n">
        <f aca="false">SUM(Model_Weak_Audience!O88:Z88)</f>
        <v>-154681.342827949</v>
      </c>
      <c r="G17" s="39" t="n">
        <f aca="false">SUM(Model_Weak_Retention!O88:Z88)</f>
        <v>1427334.37507529</v>
      </c>
    </row>
    <row r="18" customFormat="false" ht="15" hidden="false" customHeight="false" outlineLevel="0" collapsed="false">
      <c r="A18" s="37" t="s">
        <v>390</v>
      </c>
      <c r="B18" s="38" t="n">
        <f aca="false">SUM(Model_Conservative!AA88:AL88)</f>
        <v>-386600.76654201</v>
      </c>
      <c r="C18" s="38" t="n">
        <f aca="false">SUM(Model_Baseline!AA88:AL88)</f>
        <v>2605907.44068539</v>
      </c>
      <c r="D18" s="38" t="n">
        <f aca="false">SUM(Model_Aggressive!AA88:AL88)</f>
        <v>122287656.440531</v>
      </c>
      <c r="E18" s="39" t="n">
        <f aca="false">SUM(Model_No_Partner!AA88:AL88)</f>
        <v>280052.108482468</v>
      </c>
      <c r="F18" s="39" t="n">
        <f aca="false">SUM(Model_Weak_Audience!AA88:AL88)</f>
        <v>103570.684387369</v>
      </c>
      <c r="G18" s="39" t="n">
        <f aca="false">SUM(Model_Weak_Retention!AA88:AL88)</f>
        <v>2005673.95123367</v>
      </c>
    </row>
    <row r="19" customFormat="false" ht="15" hidden="false" customHeight="false" outlineLevel="0" collapsed="false">
      <c r="A19" s="37" t="s">
        <v>391</v>
      </c>
      <c r="B19" s="40" t="n">
        <f aca="false">IFERROR(SUM(Model_Conservative!AA88:AL88)/SUM(Model_Conservative!AA72:AL72),0)</f>
        <v>-0.54386934419561</v>
      </c>
      <c r="C19" s="40" t="n">
        <f aca="false">IFERROR(SUM(Model_Baseline!AA88:AL88)/SUM(Model_Baseline!AA72:AL72),0)</f>
        <v>0.167927076937339</v>
      </c>
      <c r="D19" s="40" t="n">
        <f aca="false">IFERROR(SUM(Model_Aggressive!AA88:AL88)/SUM(Model_Aggressive!AA72:AL72),0)</f>
        <v>0.369745118218352</v>
      </c>
      <c r="E19" s="41" t="n">
        <f aca="false">IFERROR(SUM(Model_No_Partner!AA88:AL88)/SUM(Model_No_Partner!AA72:AL72),0)</f>
        <v>0.0714751928671273</v>
      </c>
      <c r="F19" s="41" t="n">
        <f aca="false">IFERROR(SUM(Model_Weak_Audience!AA88:AL88)/SUM(Model_Weak_Audience!AA72:AL72),0)</f>
        <v>0.0220294577679853</v>
      </c>
      <c r="G19" s="41" t="n">
        <f aca="false">IFERROR(SUM(Model_Weak_Retention!AA88:AL88)/SUM(Model_Weak_Retention!AA72:AL72),0)</f>
        <v>0.15982568867845</v>
      </c>
    </row>
    <row r="20" customFormat="false" ht="15" hidden="false" customHeight="false" outlineLevel="0" collapsed="false">
      <c r="A20" s="37" t="s">
        <v>392</v>
      </c>
      <c r="B20" s="38" t="n">
        <f aca="false">SUM(Model_Conservative!C88:AL88)</f>
        <v>-936592.122352045</v>
      </c>
      <c r="C20" s="38" t="n">
        <f aca="false">SUM(Model_Baseline!C88:AL88)</f>
        <v>5235753.298245</v>
      </c>
      <c r="D20" s="38" t="n">
        <f aca="false">SUM(Model_Aggressive!C88:AL88)</f>
        <v>199701721.206829</v>
      </c>
      <c r="E20" s="39" t="n">
        <f aca="false">SUM(Model_No_Partner!C88:AL88)</f>
        <v>-502906.703812735</v>
      </c>
      <c r="F20" s="39" t="n">
        <f aca="false">SUM(Model_Weak_Audience!C88:AL88)</f>
        <v>-462876.801219365</v>
      </c>
      <c r="G20" s="39" t="n">
        <f aca="false">SUM(Model_Weak_Retention!C88:AL88)</f>
        <v>4199623.31076358</v>
      </c>
    </row>
    <row r="22" customFormat="false" ht="15" hidden="false" customHeight="false" outlineLevel="0" collapsed="false">
      <c r="A22" s="37" t="s">
        <v>393</v>
      </c>
      <c r="B22" s="42" t="str">
        <f aca="false">IF(MIN(Model_Conservative!C94:AL94)=999,"Not within 36 months",MIN(Model_Conservative!C94:AL94))</f>
        <v>Not within 36 months</v>
      </c>
      <c r="C22" s="42" t="n">
        <f aca="false">IF(MIN(Model_Baseline!C94:AL94)=999,"Not within 36 months",MIN(Model_Baseline!C94:AL94))</f>
        <v>2</v>
      </c>
      <c r="D22" s="42" t="n">
        <f aca="false">IF(MIN(Model_Aggressive!C94:AL94)=999,"Not within 36 months",MIN(Model_Aggressive!C94:AL94))</f>
        <v>2</v>
      </c>
      <c r="E22" s="43" t="n">
        <f aca="false">IF(MIN(Model_No_Partner!C94:AL94)=999,"Not within 36 months",MIN(Model_No_Partner!C94:AL94))</f>
        <v>24</v>
      </c>
      <c r="F22" s="43" t="n">
        <f aca="false">IF(MIN(Model_Weak_Audience!C94:AL94)=999,"Not within 36 months",MIN(Model_Weak_Audience!C94:AL94))</f>
        <v>24</v>
      </c>
      <c r="G22" s="43" t="n">
        <f aca="false">IF(MIN(Model_Weak_Retention!C94:AL94)=999,"Not within 36 months",MIN(Model_Weak_Retention!C94:AL94))</f>
        <v>2</v>
      </c>
    </row>
    <row r="23" customFormat="false" ht="15" hidden="false" customHeight="false" outlineLevel="0" collapsed="false">
      <c r="A23" s="37" t="s">
        <v>394</v>
      </c>
      <c r="B23" s="38" t="n">
        <f aca="false">MIN(0,MIN(Model_Conservative!C93:AL93))</f>
        <v>-936592.122352045</v>
      </c>
      <c r="C23" s="38" t="n">
        <f aca="false">MIN(0,MIN(Model_Baseline!C93:AL93))</f>
        <v>-37080</v>
      </c>
      <c r="D23" s="38" t="n">
        <f aca="false">MIN(0,MIN(Model_Aggressive!C93:AL93))</f>
        <v>-58860</v>
      </c>
      <c r="E23" s="39" t="n">
        <f aca="false">MIN(0,MIN(Model_No_Partner!C93:AL93))</f>
        <v>-808117.004864899</v>
      </c>
      <c r="F23" s="39" t="n">
        <f aca="false">MIN(0,MIN(Model_Weak_Audience!C93:AL93))</f>
        <v>-603704.885186774</v>
      </c>
      <c r="G23" s="39" t="n">
        <f aca="false">MIN(0,MIN(Model_Weak_Retention!C93:AL93))</f>
        <v>-37080</v>
      </c>
    </row>
    <row r="24" customFormat="false" ht="15" hidden="false" customHeight="false" outlineLevel="0" collapsed="false">
      <c r="A24" s="37" t="s">
        <v>395</v>
      </c>
      <c r="B24" s="38" t="n">
        <f aca="false">-MIN(0,MIN(Model_Conservative!C93:AL93))*1.3</f>
        <v>1217569.75905766</v>
      </c>
      <c r="C24" s="38" t="n">
        <f aca="false">-MIN(0,MIN(Model_Baseline!C93:AL93))*1.3</f>
        <v>48204</v>
      </c>
      <c r="D24" s="38" t="n">
        <f aca="false">-MIN(0,MIN(Model_Aggressive!C93:AL93))*1.3</f>
        <v>76518</v>
      </c>
      <c r="E24" s="39" t="n">
        <f aca="false">-MIN(0,MIN(Model_No_Partner!C93:AL93))*1.3</f>
        <v>1050552.10632437</v>
      </c>
      <c r="F24" s="39" t="n">
        <f aca="false">-MIN(0,MIN(Model_Weak_Audience!C93:AL93))*1.3</f>
        <v>784816.350742806</v>
      </c>
      <c r="G24" s="39" t="n">
        <f aca="false">-MIN(0,MIN(Model_Weak_Retention!C93:AL93))*1.3</f>
        <v>48204</v>
      </c>
    </row>
    <row r="25" customFormat="false" ht="15" hidden="false" customHeight="false" outlineLevel="0" collapsed="false">
      <c r="A25" s="37" t="s">
        <v>396</v>
      </c>
      <c r="B25" s="38" t="n">
        <f aca="false">Model_Conservative!AL93</f>
        <v>-936592.122352045</v>
      </c>
      <c r="C25" s="38" t="n">
        <f aca="false">Model_Baseline!AL93</f>
        <v>5235753.298245</v>
      </c>
      <c r="D25" s="38" t="n">
        <f aca="false">Model_Aggressive!AL93</f>
        <v>199701721.206829</v>
      </c>
      <c r="E25" s="39" t="n">
        <f aca="false">Model_No_Partner!AL93</f>
        <v>-502906.703812736</v>
      </c>
      <c r="F25" s="39" t="n">
        <f aca="false">Model_Weak_Audience!AL93</f>
        <v>-462876.801219365</v>
      </c>
      <c r="G25" s="39" t="n">
        <f aca="false">Model_Weak_Retention!AL93</f>
        <v>4199623.31076358</v>
      </c>
    </row>
    <row r="27" customFormat="false" ht="15" hidden="false" customHeight="false" outlineLevel="0" collapsed="false">
      <c r="A27" s="37" t="s">
        <v>397</v>
      </c>
      <c r="B27" s="44" t="n">
        <f aca="false">Model_Conservative!AL36</f>
        <v>724.970126299971</v>
      </c>
      <c r="C27" s="44" t="n">
        <f aca="false">Model_Baseline!AL36</f>
        <v>13462.1311024686</v>
      </c>
      <c r="D27" s="44" t="n">
        <f aca="false">Model_Aggressive!AL36</f>
        <v>227206.78433241</v>
      </c>
      <c r="E27" s="45" t="n">
        <f aca="false">Model_No_Partner!AL36</f>
        <v>3707.69151876555</v>
      </c>
      <c r="F27" s="45" t="n">
        <f aca="false">Model_Weak_Audience!AL36</f>
        <v>3793.93101063309</v>
      </c>
      <c r="G27" s="45" t="n">
        <f aca="false">Model_Weak_Retention!AL36</f>
        <v>10409.9707651228</v>
      </c>
    </row>
    <row r="28" customFormat="false" ht="15" hidden="false" customHeight="false" outlineLevel="0" collapsed="false">
      <c r="A28" s="37" t="s">
        <v>398</v>
      </c>
      <c r="B28" s="44" t="n">
        <f aca="false">Model_Conservative!AL57</f>
        <v>29.8406065711917</v>
      </c>
      <c r="C28" s="44" t="n">
        <f aca="false">Model_Baseline!AL57</f>
        <v>1242.36659507118</v>
      </c>
      <c r="D28" s="44" t="n">
        <f aca="false">Model_Aggressive!AL57</f>
        <v>33948.079722452</v>
      </c>
      <c r="E28" s="45" t="n">
        <f aca="false">Model_No_Partner!AL57</f>
        <v>480.242729018601</v>
      </c>
      <c r="F28" s="45" t="n">
        <f aca="false">Model_Weak_Audience!AL57</f>
        <v>638.416379549107</v>
      </c>
      <c r="G28" s="45" t="n">
        <f aca="false">Model_Weak_Retention!AL57</f>
        <v>1024.58977180337</v>
      </c>
    </row>
    <row r="29" customFormat="false" ht="15" hidden="false" customHeight="false" outlineLevel="0" collapsed="false">
      <c r="A29" s="37" t="s">
        <v>399</v>
      </c>
      <c r="B29" s="40" t="n">
        <f aca="false">IFERROR(SUM(Model_Conservative!AA42:AL42)/SUM(Model_Conservative!AA72:AL72),0)</f>
        <v>0.915440544304082</v>
      </c>
      <c r="C29" s="40" t="n">
        <f aca="false">IFERROR(SUM(Model_Baseline!AA42:AL42)/SUM(Model_Baseline!AA72:AL72),0)</f>
        <v>0.795252122674774</v>
      </c>
      <c r="D29" s="40" t="n">
        <f aca="false">IFERROR(SUM(Model_Aggressive!AA42:AL42)/SUM(Model_Aggressive!AA72:AL72),0)</f>
        <v>0.665715838589231</v>
      </c>
      <c r="E29" s="41" t="n">
        <f aca="false">IFERROR(SUM(Model_No_Partner!AA42:AL42)/SUM(Model_No_Partner!AA72:AL72),0)</f>
        <v>0.73585200338489</v>
      </c>
      <c r="F29" s="41" t="n">
        <f aca="false">IFERROR(SUM(Model_Weak_Audience!AA42:AL42)/SUM(Model_Weak_Audience!AA72:AL72),0)</f>
        <v>0.684115808963473</v>
      </c>
      <c r="G29" s="41" t="n">
        <f aca="false">IFERROR(SUM(Model_Weak_Retention!AA42:AL42)/SUM(Model_Weak_Retention!AA72:AL72),0)</f>
        <v>0.786434380839122</v>
      </c>
    </row>
    <row r="31" customFormat="false" ht="15" hidden="false" customHeight="false" outlineLevel="0" collapsed="false">
      <c r="A31" s="37" t="s">
        <v>400</v>
      </c>
      <c r="B31" s="46" t="n">
        <f aca="false">Model_Conservative!AL102</f>
        <v>41.92672</v>
      </c>
      <c r="C31" s="46" t="n">
        <f aca="false">Model_Baseline!AL102</f>
        <v>116.02563</v>
      </c>
      <c r="D31" s="46" t="n">
        <f aca="false">Model_Aggressive!AL102</f>
        <v>184.526606</v>
      </c>
      <c r="E31" s="47" t="n">
        <f aca="false">Model_No_Partner!AL102</f>
        <v>116.02563</v>
      </c>
      <c r="F31" s="47" t="n">
        <f aca="false">Model_Weak_Audience!AL102</f>
        <v>116.02563</v>
      </c>
      <c r="G31" s="47" t="n">
        <f aca="false">Model_Weak_Retention!AL102</f>
        <v>116.02563</v>
      </c>
    </row>
    <row r="32" customFormat="false" ht="15" hidden="false" customHeight="false" outlineLevel="0" collapsed="false">
      <c r="A32" s="37" t="s">
        <v>401</v>
      </c>
      <c r="B32" s="38" t="n">
        <f aca="false">Model_Conservative!AL103</f>
        <v>322.513230769231</v>
      </c>
      <c r="C32" s="38" t="n">
        <f aca="false">Model_Baseline!AL103</f>
        <v>1054.77845454545</v>
      </c>
      <c r="D32" s="38" t="n">
        <f aca="false">Model_Aggressive!AL103</f>
        <v>1942.38532631579</v>
      </c>
      <c r="E32" s="39" t="n">
        <f aca="false">Model_No_Partner!AL103</f>
        <v>1054.77845454545</v>
      </c>
      <c r="F32" s="39" t="n">
        <f aca="false">Model_Weak_Audience!AL103</f>
        <v>1054.77845454545</v>
      </c>
      <c r="G32" s="39" t="n">
        <f aca="false">Model_Weak_Retention!AL103</f>
        <v>892.504846153846</v>
      </c>
    </row>
    <row r="33" customFormat="false" ht="15" hidden="false" customHeight="false" outlineLevel="0" collapsed="false">
      <c r="A33" s="37" t="s">
        <v>402</v>
      </c>
      <c r="B33" s="46" t="n">
        <f aca="false">Model_Conservative!AL104</f>
        <v>33.27104</v>
      </c>
      <c r="C33" s="46" t="n">
        <f aca="false">Model_Baseline!AL104</f>
        <v>44.60586</v>
      </c>
      <c r="D33" s="46" t="n">
        <f aca="false">Model_Aggressive!AL104</f>
        <v>55.580272</v>
      </c>
      <c r="E33" s="47" t="n">
        <f aca="false">Model_No_Partner!AL104</f>
        <v>44.60586</v>
      </c>
      <c r="F33" s="47" t="n">
        <f aca="false">Model_Weak_Audience!AL104</f>
        <v>44.60586</v>
      </c>
      <c r="G33" s="47" t="n">
        <f aca="false">Model_Weak_Retention!AL104</f>
        <v>44.60586</v>
      </c>
    </row>
    <row r="34" customFormat="false" ht="15" hidden="false" customHeight="false" outlineLevel="0" collapsed="false">
      <c r="A34" s="37" t="s">
        <v>403</v>
      </c>
      <c r="B34" s="38" t="n">
        <f aca="false">Model_Conservative!AL105</f>
        <v>369.678222222222</v>
      </c>
      <c r="C34" s="38" t="n">
        <f aca="false">Model_Baseline!AL105</f>
        <v>637.226571428571</v>
      </c>
      <c r="D34" s="38" t="n">
        <f aca="false">Model_Aggressive!AL105</f>
        <v>1010.5504</v>
      </c>
      <c r="E34" s="39" t="n">
        <f aca="false">Model_No_Partner!AL105</f>
        <v>637.226571428571</v>
      </c>
      <c r="F34" s="39" t="n">
        <f aca="false">Model_Weak_Audience!AL105</f>
        <v>637.226571428571</v>
      </c>
      <c r="G34" s="39" t="n">
        <f aca="false">Model_Weak_Retention!AL105</f>
        <v>495.620666666667</v>
      </c>
    </row>
    <row r="35" customFormat="false" ht="15" hidden="false" customHeight="false" outlineLevel="0" collapsed="false">
      <c r="A35" s="37" t="s">
        <v>404</v>
      </c>
      <c r="B35" s="46" t="n">
        <f aca="false">IFERROR((SUM(Model_Conservative!AA26:AL26)-SUM(Model_Conservative!AA82:AL82))/SUM(Model_Conservative!AA95:AL95),0)</f>
        <v>86.5199306031026</v>
      </c>
      <c r="C35" s="46" t="n">
        <f aca="false">IFERROR((SUM(Model_Baseline!AA26:AL26)-SUM(Model_Baseline!AA82:AL82))/SUM(Model_Baseline!AA95:AL95),0)</f>
        <v>115.624050324877</v>
      </c>
      <c r="D35" s="46" t="n">
        <f aca="false">IFERROR((SUM(Model_Aggressive!AA26:AL26)-SUM(Model_Aggressive!AA82:AL82))/SUM(Model_Aggressive!AA95:AL95),0)</f>
        <v>121.634049128378</v>
      </c>
      <c r="E35" s="47" t="n">
        <f aca="false">IFERROR((SUM(Model_No_Partner!AA26:AL26)-SUM(Model_No_Partner!AA82:AL82))/SUM(Model_No_Partner!AA95:AL95),0)</f>
        <v>93.0257187978366</v>
      </c>
      <c r="F35" s="47" t="n">
        <f aca="false">IFERROR((SUM(Model_Weak_Audience!AA26:AL26)-SUM(Model_Weak_Audience!AA82:AL82))/SUM(Model_Weak_Audience!AA95:AL95),0)</f>
        <v>109.728963351907</v>
      </c>
      <c r="G35" s="47" t="n">
        <f aca="false">IFERROR((SUM(Model_Weak_Retention!AA26:AL26)-SUM(Model_Weak_Retention!AA82:AL82))/SUM(Model_Weak_Retention!AA95:AL95),0)</f>
        <v>101.47321421602</v>
      </c>
    </row>
    <row r="36" customFormat="false" ht="15" hidden="false" customHeight="false" outlineLevel="0" collapsed="false">
      <c r="A36" s="37" t="s">
        <v>405</v>
      </c>
      <c r="B36" s="48" t="n">
        <f aca="false">IFERROR(Model_Conservative!AL105/((SUM(Model_Conservative!AA26:AL26)-SUM(Model_Conservative!AA82:AL82))/SUM(Model_Conservative!AA95:AL95)),0)</f>
        <v>4.27275218143744</v>
      </c>
      <c r="C36" s="48" t="n">
        <f aca="false">IFERROR(Model_Baseline!AL105/((SUM(Model_Baseline!AA26:AL26)-SUM(Model_Baseline!AA82:AL82))/SUM(Model_Baseline!AA95:AL95)),0)</f>
        <v>5.51119399154511</v>
      </c>
      <c r="D36" s="48" t="n">
        <f aca="false">IFERROR(Model_Aggressive!AL105/((SUM(Model_Aggressive!AA26:AL26)-SUM(Model_Aggressive!AA82:AL82))/SUM(Model_Aggressive!AA95:AL95)),0)</f>
        <v>8.30812101744156</v>
      </c>
      <c r="E36" s="49" t="n">
        <f aca="false">IFERROR(Model_No_Partner!AL105/((SUM(Model_No_Partner!AA26:AL26)-SUM(Model_No_Partner!AA82:AL82))/SUM(Model_No_Partner!AA95:AL95)),0)</f>
        <v>6.85000427476826</v>
      </c>
      <c r="F36" s="49" t="n">
        <f aca="false">IFERROR(Model_Weak_Audience!AL105/((SUM(Model_Weak_Audience!AA26:AL26)-SUM(Model_Weak_Audience!AA82:AL82))/SUM(Model_Weak_Audience!AA95:AL95)),0)</f>
        <v>5.8072777866765</v>
      </c>
      <c r="G36" s="49" t="n">
        <f aca="false">IFERROR(Model_Weak_Retention!AL105/((SUM(Model_Weak_Retention!AA26:AL26)-SUM(Model_Weak_Retention!AA82:AL82))/SUM(Model_Weak_Retention!AA95:AL95)),0)</f>
        <v>4.88425118387961</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4" min="2" style="0" width="16"/>
    <col collapsed="false" customWidth="true" hidden="false" outlineLevel="0" max="5" min="5" style="0" width="19"/>
  </cols>
  <sheetData>
    <row r="1" customFormat="false" ht="17.35" hidden="false" customHeight="false" outlineLevel="0" collapsed="false">
      <c r="A1" s="4" t="s">
        <v>406</v>
      </c>
    </row>
    <row r="2" customFormat="false" ht="39.75" hidden="false" customHeight="true" outlineLevel="0" collapsed="false">
      <c r="A2" s="5" t="s">
        <v>407</v>
      </c>
      <c r="B2" s="5"/>
      <c r="C2" s="5"/>
      <c r="D2" s="5"/>
      <c r="E2" s="5"/>
      <c r="F2" s="5"/>
    </row>
    <row r="4" customFormat="false" ht="15" hidden="false" customHeight="false" outlineLevel="0" collapsed="false">
      <c r="A4" s="2" t="s">
        <v>408</v>
      </c>
    </row>
    <row r="5" customFormat="false" ht="15" hidden="false" customHeight="false" outlineLevel="0" collapsed="false">
      <c r="A5" s="50" t="s">
        <v>409</v>
      </c>
      <c r="B5" s="50" t="s">
        <v>26</v>
      </c>
      <c r="C5" s="50" t="s">
        <v>27</v>
      </c>
      <c r="D5" s="50" t="s">
        <v>28</v>
      </c>
      <c r="E5" s="50" t="s">
        <v>29</v>
      </c>
    </row>
    <row r="6" customFormat="false" ht="15" hidden="false" customHeight="false" outlineLevel="0" collapsed="false">
      <c r="A6" s="10" t="s">
        <v>199</v>
      </c>
      <c r="B6" s="46" t="n">
        <f aca="false">Assumptions!$D$50</f>
        <v>68</v>
      </c>
      <c r="C6" s="46" t="n">
        <f aca="false">Assumptions!$E$50</f>
        <v>78</v>
      </c>
      <c r="D6" s="46" t="n">
        <f aca="false">Assumptions!$F$50</f>
        <v>88</v>
      </c>
      <c r="E6" s="46" t="n">
        <f aca="false">Assumptions!$G$50</f>
        <v>78</v>
      </c>
    </row>
    <row r="7" customFormat="false" ht="15" hidden="false" customHeight="false" outlineLevel="0" collapsed="false">
      <c r="A7" s="10" t="s">
        <v>410</v>
      </c>
      <c r="B7" s="46" t="n">
        <f aca="false">-Assumptions!$D$50*Assumptions!$D$80</f>
        <v>-2.72</v>
      </c>
      <c r="C7" s="46" t="n">
        <f aca="false">-Assumptions!$E$50*Assumptions!$E$80</f>
        <v>-2.34</v>
      </c>
      <c r="D7" s="46" t="n">
        <f aca="false">-Assumptions!$F$50*Assumptions!$F$80</f>
        <v>-1.936</v>
      </c>
      <c r="E7" s="46" t="n">
        <f aca="false">-Assumptions!$G$50*Assumptions!$G$80</f>
        <v>-2.34</v>
      </c>
    </row>
    <row r="8" customFormat="false" ht="15" hidden="false" customHeight="false" outlineLevel="0" collapsed="false">
      <c r="A8" s="37" t="s">
        <v>411</v>
      </c>
      <c r="B8" s="51" t="n">
        <f aca="false">B6+B7</f>
        <v>65.28</v>
      </c>
      <c r="C8" s="51" t="n">
        <f aca="false">C6+C7</f>
        <v>75.66</v>
      </c>
      <c r="D8" s="51" t="n">
        <f aca="false">D6+D7</f>
        <v>86.064</v>
      </c>
      <c r="E8" s="51" t="n">
        <f aca="false">E6+E7</f>
        <v>75.66</v>
      </c>
    </row>
    <row r="9" customFormat="false" ht="15" hidden="false" customHeight="false" outlineLevel="0" collapsed="false">
      <c r="A9" s="10" t="s">
        <v>412</v>
      </c>
      <c r="B9" s="46" t="n">
        <f aca="false">-Assumptions!$D$50*Assumptions!$D$55</f>
        <v>-29.92</v>
      </c>
      <c r="C9" s="46" t="n">
        <f aca="false">-Assumptions!$E$50*Assumptions!$E$55</f>
        <v>-28.86</v>
      </c>
      <c r="D9" s="46" t="n">
        <f aca="false">-Assumptions!$F$50*Assumptions!$F$55</f>
        <v>-28.16</v>
      </c>
      <c r="E9" s="46" t="n">
        <f aca="false">-Assumptions!$G$50*Assumptions!$G$55</f>
        <v>-28.86</v>
      </c>
    </row>
    <row r="10" customFormat="false" ht="15" hidden="false" customHeight="false" outlineLevel="0" collapsed="false">
      <c r="A10" s="10" t="s">
        <v>413</v>
      </c>
      <c r="B10" s="46" t="n">
        <f aca="false">-Assumptions!$D$56</f>
        <v>-0</v>
      </c>
      <c r="C10" s="46" t="n">
        <f aca="false">-Assumptions!$E$56</f>
        <v>-0</v>
      </c>
      <c r="D10" s="46" t="n">
        <f aca="false">-Assumptions!$F$56</f>
        <v>-0</v>
      </c>
      <c r="E10" s="46" t="n">
        <f aca="false">-Assumptions!$G$56</f>
        <v>-0</v>
      </c>
    </row>
    <row r="11" customFormat="false" ht="15" hidden="false" customHeight="false" outlineLevel="0" collapsed="false">
      <c r="A11" s="10" t="s">
        <v>414</v>
      </c>
      <c r="B11" s="46" t="n">
        <f aca="false">-B8*Assumptions!$D$79</f>
        <v>-2.08896</v>
      </c>
      <c r="C11" s="46" t="n">
        <f aca="false">-C8*Assumptions!$E$79</f>
        <v>-2.19414</v>
      </c>
      <c r="D11" s="46" t="n">
        <f aca="false">-D8*Assumptions!$F$79</f>
        <v>-2.323728</v>
      </c>
      <c r="E11" s="46" t="n">
        <f aca="false">-E8*Assumptions!$G$79</f>
        <v>-2.19414</v>
      </c>
    </row>
    <row r="12" customFormat="false" ht="15" hidden="false" customHeight="false" outlineLevel="0" collapsed="false">
      <c r="A12" s="37" t="s">
        <v>415</v>
      </c>
      <c r="B12" s="51" t="n">
        <f aca="false">B8+B9+B10+B11</f>
        <v>33.27104</v>
      </c>
      <c r="C12" s="51" t="n">
        <f aca="false">C8+C9+C10+C11</f>
        <v>44.60586</v>
      </c>
      <c r="D12" s="51" t="n">
        <f aca="false">D8+D9+D10+D11</f>
        <v>55.580272</v>
      </c>
      <c r="E12" s="51" t="n">
        <f aca="false">E8+E9+E10+E11</f>
        <v>44.60586</v>
      </c>
    </row>
    <row r="13" customFormat="false" ht="15" hidden="false" customHeight="false" outlineLevel="0" collapsed="false">
      <c r="A13" s="37" t="s">
        <v>416</v>
      </c>
      <c r="B13" s="52" t="n">
        <f aca="false">IFERROR(B12/B8,0)</f>
        <v>0.509666666666667</v>
      </c>
      <c r="C13" s="52" t="n">
        <f aca="false">IFERROR(C12/C8,0)</f>
        <v>0.589556701030928</v>
      </c>
      <c r="D13" s="52" t="n">
        <f aca="false">IFERROR(D12/D8,0)</f>
        <v>0.64580163599182</v>
      </c>
      <c r="E13" s="52" t="n">
        <f aca="false">IFERROR(E12/E8,0)</f>
        <v>0.589556701030928</v>
      </c>
    </row>
    <row r="14" customFormat="false" ht="15" hidden="false" customHeight="false" outlineLevel="0" collapsed="false">
      <c r="A14" s="10" t="s">
        <v>206</v>
      </c>
      <c r="B14" s="40" t="n">
        <f aca="false">Assumptions!$D$52</f>
        <v>0.09</v>
      </c>
      <c r="C14" s="40" t="n">
        <f aca="false">Assumptions!$E$52</f>
        <v>0.07</v>
      </c>
      <c r="D14" s="40" t="n">
        <f aca="false">Assumptions!$F$52</f>
        <v>0.055</v>
      </c>
      <c r="E14" s="40" t="n">
        <f aca="false">Assumptions!$G$52</f>
        <v>0.07</v>
      </c>
    </row>
    <row r="15" customFormat="false" ht="15" hidden="false" customHeight="false" outlineLevel="0" collapsed="false">
      <c r="A15" s="10" t="s">
        <v>417</v>
      </c>
      <c r="B15" s="48" t="n">
        <f aca="false">1/Assumptions!$D$52</f>
        <v>11.1111111111111</v>
      </c>
      <c r="C15" s="48" t="n">
        <f aca="false">1/Assumptions!$E$52</f>
        <v>14.2857142857143</v>
      </c>
      <c r="D15" s="48" t="n">
        <f aca="false">1/Assumptions!$F$52</f>
        <v>18.1818181818182</v>
      </c>
      <c r="E15" s="48" t="n">
        <f aca="false">1/Assumptions!$G$52</f>
        <v>14.2857142857143</v>
      </c>
    </row>
    <row r="16" customFormat="false" ht="15" hidden="false" customHeight="false" outlineLevel="0" collapsed="false">
      <c r="A16" s="37" t="s">
        <v>418</v>
      </c>
      <c r="B16" s="53" t="n">
        <f aca="false">B12/Assumptions!$D$52</f>
        <v>369.678222222222</v>
      </c>
      <c r="C16" s="53" t="n">
        <f aca="false">C12/Assumptions!$E$52</f>
        <v>637.226571428571</v>
      </c>
      <c r="D16" s="53" t="n">
        <f aca="false">D12/Assumptions!$F$52</f>
        <v>1010.5504</v>
      </c>
      <c r="E16" s="53" t="n">
        <f aca="false">E12/Assumptions!$G$52</f>
        <v>637.226571428571</v>
      </c>
    </row>
    <row r="19" customFormat="false" ht="15" hidden="false" customHeight="false" outlineLevel="0" collapsed="false">
      <c r="A19" s="2" t="s">
        <v>419</v>
      </c>
    </row>
    <row r="20" customFormat="false" ht="15" hidden="false" customHeight="false" outlineLevel="0" collapsed="false">
      <c r="A20" s="50" t="s">
        <v>409</v>
      </c>
      <c r="B20" s="50" t="s">
        <v>26</v>
      </c>
      <c r="C20" s="50" t="s">
        <v>27</v>
      </c>
      <c r="D20" s="50" t="s">
        <v>28</v>
      </c>
      <c r="E20" s="50" t="s">
        <v>29</v>
      </c>
    </row>
    <row r="21" customFormat="false" ht="15" hidden="false" customHeight="false" outlineLevel="0" collapsed="false">
      <c r="A21" s="10" t="s">
        <v>420</v>
      </c>
      <c r="B21" s="46" t="n">
        <f aca="false">Assumptions!$D$70</f>
        <v>199</v>
      </c>
      <c r="C21" s="46" t="n">
        <f aca="false">Assumptions!$E$70</f>
        <v>249</v>
      </c>
      <c r="D21" s="46" t="n">
        <f aca="false">Assumptions!$F$70</f>
        <v>299</v>
      </c>
      <c r="E21" s="46" t="n">
        <f aca="false">Assumptions!$G$70</f>
        <v>249</v>
      </c>
    </row>
    <row r="22" customFormat="false" ht="15" hidden="false" customHeight="false" outlineLevel="0" collapsed="false">
      <c r="A22" s="10" t="s">
        <v>410</v>
      </c>
      <c r="B22" s="46" t="n">
        <f aca="false">-Assumptions!$D$70*Assumptions!$D$80</f>
        <v>-7.96</v>
      </c>
      <c r="C22" s="46" t="n">
        <f aca="false">-Assumptions!$E$70*Assumptions!$E$80</f>
        <v>-7.47</v>
      </c>
      <c r="D22" s="46" t="n">
        <f aca="false">-Assumptions!$F$70*Assumptions!$F$80</f>
        <v>-6.578</v>
      </c>
      <c r="E22" s="46" t="n">
        <f aca="false">-Assumptions!$G$70*Assumptions!$G$80</f>
        <v>-7.47</v>
      </c>
    </row>
    <row r="23" customFormat="false" ht="15" hidden="false" customHeight="false" outlineLevel="0" collapsed="false">
      <c r="A23" s="37" t="s">
        <v>421</v>
      </c>
      <c r="B23" s="51" t="n">
        <f aca="false">B21+B22</f>
        <v>191.04</v>
      </c>
      <c r="C23" s="51" t="n">
        <f aca="false">C21+C22</f>
        <v>241.53</v>
      </c>
      <c r="D23" s="51" t="n">
        <f aca="false">D21+D22</f>
        <v>292.422</v>
      </c>
      <c r="E23" s="51" t="n">
        <f aca="false">E21+E22</f>
        <v>241.53</v>
      </c>
    </row>
    <row r="24" customFormat="false" ht="15" hidden="false" customHeight="false" outlineLevel="0" collapsed="false">
      <c r="A24" s="10" t="s">
        <v>422</v>
      </c>
      <c r="B24" s="46" t="n">
        <f aca="false">-Assumptions!$D$73</f>
        <v>-105</v>
      </c>
      <c r="C24" s="46" t="n">
        <f aca="false">-Assumptions!$E$73</f>
        <v>-88</v>
      </c>
      <c r="D24" s="46" t="n">
        <f aca="false">-Assumptions!$F$73</f>
        <v>-75</v>
      </c>
      <c r="E24" s="46" t="n">
        <f aca="false">-Assumptions!$G$73</f>
        <v>-88</v>
      </c>
    </row>
    <row r="25" customFormat="false" ht="15" hidden="false" customHeight="false" outlineLevel="0" collapsed="false">
      <c r="A25" s="10" t="s">
        <v>423</v>
      </c>
      <c r="B25" s="46" t="n">
        <f aca="false">-Assumptions!$D$75</f>
        <v>-10</v>
      </c>
      <c r="C25" s="46" t="n">
        <f aca="false">-Assumptions!$E$75</f>
        <v>-8</v>
      </c>
      <c r="D25" s="46" t="n">
        <f aca="false">-Assumptions!$F$75</f>
        <v>-6.5</v>
      </c>
      <c r="E25" s="46" t="n">
        <f aca="false">-Assumptions!$G$75</f>
        <v>-8</v>
      </c>
    </row>
    <row r="26" customFormat="false" ht="15" hidden="false" customHeight="false" outlineLevel="0" collapsed="false">
      <c r="A26" s="10" t="s">
        <v>424</v>
      </c>
      <c r="B26" s="46" t="n">
        <f aca="false">-Assumptions!$D$76</f>
        <v>-22</v>
      </c>
      <c r="C26" s="46" t="n">
        <f aca="false">-Assumptions!$E$76</f>
        <v>-18</v>
      </c>
      <c r="D26" s="46" t="n">
        <f aca="false">-Assumptions!$F$76</f>
        <v>-15</v>
      </c>
      <c r="E26" s="46" t="n">
        <f aca="false">-Assumptions!$G$76</f>
        <v>-18</v>
      </c>
    </row>
    <row r="27" customFormat="false" ht="15" hidden="false" customHeight="false" outlineLevel="0" collapsed="false">
      <c r="A27" s="10" t="s">
        <v>425</v>
      </c>
      <c r="B27" s="46" t="n">
        <f aca="false">-Assumptions!$D$77</f>
        <v>-6</v>
      </c>
      <c r="C27" s="46" t="n">
        <f aca="false">-Assumptions!$E$77</f>
        <v>-4.5</v>
      </c>
      <c r="D27" s="46" t="n">
        <f aca="false">-Assumptions!$F$77</f>
        <v>-3.5</v>
      </c>
      <c r="E27" s="46" t="n">
        <f aca="false">-Assumptions!$G$77</f>
        <v>-4.5</v>
      </c>
    </row>
    <row r="28" customFormat="false" ht="15" hidden="false" customHeight="false" outlineLevel="0" collapsed="false">
      <c r="A28" s="10" t="s">
        <v>414</v>
      </c>
      <c r="B28" s="46" t="n">
        <f aca="false">-B23*Assumptions!$D$79</f>
        <v>-6.11328</v>
      </c>
      <c r="C28" s="46" t="n">
        <f aca="false">-C23*Assumptions!$E$79</f>
        <v>-7.00437</v>
      </c>
      <c r="D28" s="46" t="n">
        <f aca="false">-D23*Assumptions!$F$79</f>
        <v>-7.895394</v>
      </c>
      <c r="E28" s="46" t="n">
        <f aca="false">-E23*Assumptions!$G$79</f>
        <v>-7.00437</v>
      </c>
    </row>
    <row r="29" customFormat="false" ht="15" hidden="false" customHeight="false" outlineLevel="0" collapsed="false">
      <c r="A29" s="37" t="s">
        <v>426</v>
      </c>
      <c r="B29" s="51" t="n">
        <f aca="false">B23+B24+B25+B26+B27+B28</f>
        <v>41.92672</v>
      </c>
      <c r="C29" s="51" t="n">
        <f aca="false">C23+C24+C25+C26+C27+C28</f>
        <v>116.02563</v>
      </c>
      <c r="D29" s="51" t="n">
        <f aca="false">D23+D24+D25+D26+D27+D28</f>
        <v>184.526606</v>
      </c>
      <c r="E29" s="51" t="n">
        <f aca="false">E23+E24+E25+E26+E27+E28</f>
        <v>116.02563</v>
      </c>
    </row>
    <row r="30" customFormat="false" ht="15" hidden="false" customHeight="false" outlineLevel="0" collapsed="false">
      <c r="A30" s="37" t="s">
        <v>416</v>
      </c>
      <c r="B30" s="52" t="n">
        <f aca="false">IFERROR(B29/B23,0)</f>
        <v>0.219465661641541</v>
      </c>
      <c r="C30" s="52" t="n">
        <f aca="false">IFERROR(C29/C23,0)</f>
        <v>0.480377717053782</v>
      </c>
      <c r="D30" s="52" t="n">
        <f aca="false">IFERROR(D29/D23,0)</f>
        <v>0.631028465710514</v>
      </c>
      <c r="E30" s="52" t="n">
        <f aca="false">IFERROR(E29/E23,0)</f>
        <v>0.480377717053782</v>
      </c>
    </row>
    <row r="31" customFormat="false" ht="15" hidden="false" customHeight="false" outlineLevel="0" collapsed="false">
      <c r="A31" s="10" t="s">
        <v>427</v>
      </c>
      <c r="B31" s="40" t="n">
        <f aca="false">Assumptions!$D$68</f>
        <v>0.13</v>
      </c>
      <c r="C31" s="40" t="n">
        <f aca="false">Assumptions!$E$68</f>
        <v>0.11</v>
      </c>
      <c r="D31" s="40" t="n">
        <f aca="false">Assumptions!$F$68</f>
        <v>0.095</v>
      </c>
      <c r="E31" s="40" t="n">
        <f aca="false">Assumptions!$G$68</f>
        <v>0.11</v>
      </c>
    </row>
    <row r="32" customFormat="false" ht="15" hidden="false" customHeight="false" outlineLevel="0" collapsed="false">
      <c r="A32" s="10" t="s">
        <v>428</v>
      </c>
      <c r="B32" s="48" t="n">
        <f aca="false">1/Assumptions!$D$68</f>
        <v>7.69230769230769</v>
      </c>
      <c r="C32" s="48" t="n">
        <f aca="false">1/Assumptions!$E$68</f>
        <v>9.09090909090909</v>
      </c>
      <c r="D32" s="48" t="n">
        <f aca="false">1/Assumptions!$F$68</f>
        <v>10.5263157894737</v>
      </c>
      <c r="E32" s="48" t="n">
        <f aca="false">1/Assumptions!$G$68</f>
        <v>9.09090909090909</v>
      </c>
    </row>
    <row r="33" customFormat="false" ht="15" hidden="false" customHeight="false" outlineLevel="0" collapsed="false">
      <c r="A33" s="37" t="s">
        <v>429</v>
      </c>
      <c r="B33" s="53" t="n">
        <f aca="false">B29/Assumptions!$D$68</f>
        <v>322.513230769231</v>
      </c>
      <c r="C33" s="53" t="n">
        <f aca="false">C29/Assumptions!$E$68</f>
        <v>1054.77845454545</v>
      </c>
      <c r="D33" s="53" t="n">
        <f aca="false">D29/Assumptions!$F$68</f>
        <v>1942.38532631579</v>
      </c>
      <c r="E33" s="53" t="n">
        <f aca="false">E29/Assumptions!$G$68</f>
        <v>1054.77845454545</v>
      </c>
    </row>
    <row r="36" customFormat="false" ht="15" hidden="false" customHeight="false" outlineLevel="0" collapsed="false">
      <c r="A36" s="2" t="s">
        <v>430</v>
      </c>
    </row>
    <row r="37" customFormat="false" ht="15" hidden="false" customHeight="false" outlineLevel="0" collapsed="false">
      <c r="A37" s="50" t="s">
        <v>409</v>
      </c>
      <c r="B37" s="50" t="s">
        <v>26</v>
      </c>
      <c r="C37" s="50" t="s">
        <v>27</v>
      </c>
      <c r="D37" s="50" t="s">
        <v>28</v>
      </c>
      <c r="E37" s="50" t="s">
        <v>29</v>
      </c>
    </row>
    <row r="38" customFormat="false" ht="15" hidden="false" customHeight="false" outlineLevel="0" collapsed="false">
      <c r="A38" s="10" t="s">
        <v>431</v>
      </c>
      <c r="B38" s="46" t="n">
        <f aca="false">Assumptions!$D$71</f>
        <v>49</v>
      </c>
      <c r="C38" s="46" t="n">
        <f aca="false">Assumptions!$E$71</f>
        <v>59</v>
      </c>
      <c r="D38" s="46" t="n">
        <f aca="false">Assumptions!$F$71</f>
        <v>79</v>
      </c>
      <c r="E38" s="46" t="n">
        <f aca="false">Assumptions!$G$71</f>
        <v>59</v>
      </c>
    </row>
    <row r="39" customFormat="false" ht="15" hidden="false" customHeight="false" outlineLevel="0" collapsed="false">
      <c r="A39" s="10" t="s">
        <v>432</v>
      </c>
      <c r="B39" s="46" t="n">
        <f aca="false">-Assumptions!$D$74</f>
        <v>-45</v>
      </c>
      <c r="C39" s="46" t="n">
        <f aca="false">-Assumptions!$E$74</f>
        <v>-38</v>
      </c>
      <c r="D39" s="46" t="n">
        <f aca="false">-Assumptions!$F$74</f>
        <v>-32</v>
      </c>
      <c r="E39" s="46" t="n">
        <f aca="false">-Assumptions!$G$74</f>
        <v>-38</v>
      </c>
    </row>
    <row r="40" customFormat="false" ht="15" hidden="false" customHeight="false" outlineLevel="0" collapsed="false">
      <c r="A40" s="37" t="s">
        <v>433</v>
      </c>
      <c r="B40" s="51" t="n">
        <f aca="false">B38+B39</f>
        <v>4</v>
      </c>
      <c r="C40" s="51" t="n">
        <f aca="false">C38+C39</f>
        <v>21</v>
      </c>
      <c r="D40" s="51" t="n">
        <f aca="false">D38+D39</f>
        <v>47</v>
      </c>
      <c r="E40" s="51" t="n">
        <f aca="false">E38+E39</f>
        <v>21</v>
      </c>
    </row>
    <row r="41" customFormat="false" ht="15" hidden="false" customHeight="false" outlineLevel="0" collapsed="false">
      <c r="A41" s="10" t="s">
        <v>434</v>
      </c>
      <c r="B41" s="48" t="n">
        <f aca="false">1/Assumptions!$D$67</f>
        <v>1.72413793103448</v>
      </c>
      <c r="C41" s="48" t="n">
        <f aca="false">1/Assumptions!$E$67</f>
        <v>1.51515151515152</v>
      </c>
      <c r="D41" s="48" t="n">
        <f aca="false">1/Assumptions!$F$67</f>
        <v>1.42857142857143</v>
      </c>
      <c r="E41" s="48" t="n">
        <f aca="false">1/Assumptions!$G$67</f>
        <v>1.51515151515152</v>
      </c>
    </row>
    <row r="42" customFormat="false" ht="15" hidden="false" customHeight="false" outlineLevel="0" collapsed="false">
      <c r="A42" s="37" t="s">
        <v>435</v>
      </c>
      <c r="B42" s="51" t="n">
        <f aca="false">B40*B41</f>
        <v>6.89655172413793</v>
      </c>
      <c r="C42" s="51" t="n">
        <f aca="false">C40*C41</f>
        <v>31.8181818181818</v>
      </c>
      <c r="D42" s="51" t="n">
        <f aca="false">D40*D41</f>
        <v>67.1428571428571</v>
      </c>
      <c r="E42" s="51" t="n">
        <f aca="false">E40*E41</f>
        <v>31.8181818181818</v>
      </c>
    </row>
    <row r="45" customFormat="false" ht="15" hidden="false" customHeight="false" outlineLevel="0" collapsed="false">
      <c r="A45" s="2" t="s">
        <v>436</v>
      </c>
    </row>
    <row r="46" customFormat="false" ht="45.75" hidden="false" customHeight="true" outlineLevel="0" collapsed="false">
      <c r="A46" s="54" t="s">
        <v>437</v>
      </c>
      <c r="B46" s="54"/>
      <c r="C46" s="54"/>
      <c r="D46" s="54"/>
      <c r="E46" s="54"/>
    </row>
    <row r="47" customFormat="false" ht="45.75" hidden="false" customHeight="true" outlineLevel="0" collapsed="false">
      <c r="A47" s="54" t="s">
        <v>438</v>
      </c>
      <c r="B47" s="54"/>
      <c r="C47" s="54"/>
      <c r="D47" s="54"/>
      <c r="E47" s="54"/>
    </row>
    <row r="48" customFormat="false" ht="45.75" hidden="false" customHeight="true" outlineLevel="0" collapsed="false">
      <c r="A48" s="54" t="s">
        <v>439</v>
      </c>
      <c r="B48" s="54"/>
      <c r="C48" s="54"/>
      <c r="D48" s="54"/>
      <c r="E48" s="54"/>
    </row>
    <row r="49" customFormat="false" ht="45.75" hidden="false" customHeight="true" outlineLevel="0" collapsed="false">
      <c r="A49" s="54" t="s">
        <v>440</v>
      </c>
      <c r="B49" s="54"/>
      <c r="C49" s="54"/>
      <c r="D49" s="54"/>
      <c r="E49" s="54"/>
    </row>
    <row r="50" customFormat="false" ht="45.75" hidden="false" customHeight="true" outlineLevel="0" collapsed="false">
      <c r="A50" s="54" t="s">
        <v>441</v>
      </c>
      <c r="B50" s="54"/>
      <c r="C50" s="54"/>
      <c r="D50" s="54"/>
      <c r="E50" s="54"/>
    </row>
  </sheetData>
  <mergeCells count="6">
    <mergeCell ref="A2:F2"/>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8" min="2" style="0" width="14"/>
  </cols>
  <sheetData>
    <row r="1" customFormat="false" ht="17.35" hidden="false" customHeight="false" outlineLevel="0" collapsed="false">
      <c r="A1" s="4" t="s">
        <v>442</v>
      </c>
    </row>
    <row r="2" customFormat="false" ht="30" hidden="false" customHeight="true" outlineLevel="0" collapsed="false">
      <c r="A2" s="5" t="s">
        <v>443</v>
      </c>
      <c r="B2" s="5"/>
      <c r="C2" s="5"/>
      <c r="D2" s="5"/>
      <c r="E2" s="5"/>
      <c r="F2" s="5"/>
      <c r="G2" s="5"/>
      <c r="H2" s="5"/>
    </row>
    <row r="4" customFormat="false" ht="15" hidden="false" customHeight="false" outlineLevel="0" collapsed="false">
      <c r="A4" s="2" t="s">
        <v>444</v>
      </c>
    </row>
    <row r="5" customFormat="false" ht="15" hidden="false" customHeight="false" outlineLevel="0" collapsed="false">
      <c r="A5" s="37" t="s">
        <v>445</v>
      </c>
      <c r="D5" s="46" t="n">
        <f aca="false">Assumptions!$E$70*(1-Assumptions!$E$80)*(1-Assumptions!$E$79)-Assumptions!$E$73-Assumptions!$E$75-Assumptions!$E$76-Assumptions!$E$77</f>
        <v>116.02563</v>
      </c>
    </row>
    <row r="6" customFormat="false" ht="15" hidden="false" customHeight="false" outlineLevel="0" collapsed="false">
      <c r="A6" s="55" t="s">
        <v>446</v>
      </c>
    </row>
    <row r="8" customFormat="false" ht="15" hidden="false" customHeight="false" outlineLevel="0" collapsed="false">
      <c r="A8" s="50" t="s">
        <v>447</v>
      </c>
      <c r="B8" s="56" t="n">
        <v>150</v>
      </c>
      <c r="C8" s="56" t="n">
        <v>250</v>
      </c>
      <c r="D8" s="56" t="n">
        <v>350</v>
      </c>
      <c r="E8" s="56" t="n">
        <v>450</v>
      </c>
      <c r="F8" s="56" t="n">
        <v>600</v>
      </c>
      <c r="G8" s="56" t="n">
        <v>800</v>
      </c>
    </row>
    <row r="9" customFormat="false" ht="15" hidden="false" customHeight="false" outlineLevel="0" collapsed="false">
      <c r="A9" s="52" t="n">
        <v>0.08</v>
      </c>
      <c r="B9" s="57" t="n">
        <f aca="false">($D$5/$A9)/B$8</f>
        <v>9.6688025</v>
      </c>
      <c r="C9" s="57" t="n">
        <f aca="false">($D$5/$A9)/C$8</f>
        <v>5.8012815</v>
      </c>
      <c r="D9" s="57" t="n">
        <f aca="false">($D$5/$A9)/D$8</f>
        <v>4.1437725</v>
      </c>
      <c r="E9" s="57" t="n">
        <f aca="false">($D$5/$A9)/E$8</f>
        <v>3.22293416666667</v>
      </c>
      <c r="F9" s="57" t="n">
        <f aca="false">($D$5/$A9)/F$8</f>
        <v>2.417200625</v>
      </c>
      <c r="G9" s="57" t="n">
        <f aca="false">($D$5/$A9)/G$8</f>
        <v>1.81290046875</v>
      </c>
    </row>
    <row r="10" customFormat="false" ht="15" hidden="false" customHeight="false" outlineLevel="0" collapsed="false">
      <c r="A10" s="52" t="n">
        <v>0.095</v>
      </c>
      <c r="B10" s="57" t="n">
        <f aca="false">($D$5/$A10)/B$8</f>
        <v>8.14214947368421</v>
      </c>
      <c r="C10" s="57" t="n">
        <f aca="false">($D$5/$A10)/C$8</f>
        <v>4.88528968421053</v>
      </c>
      <c r="D10" s="57" t="n">
        <f aca="false">($D$5/$A10)/D$8</f>
        <v>3.48949263157895</v>
      </c>
      <c r="E10" s="57" t="n">
        <f aca="false">($D$5/$A10)/E$8</f>
        <v>2.7140498245614</v>
      </c>
      <c r="F10" s="57" t="n">
        <f aca="false">($D$5/$A10)/F$8</f>
        <v>2.03553736842105</v>
      </c>
      <c r="G10" s="57" t="n">
        <f aca="false">($D$5/$A10)/G$8</f>
        <v>1.52665302631579</v>
      </c>
    </row>
    <row r="11" customFormat="false" ht="15" hidden="false" customHeight="false" outlineLevel="0" collapsed="false">
      <c r="A11" s="52" t="n">
        <v>0.11</v>
      </c>
      <c r="B11" s="57" t="n">
        <f aca="false">($D$5/$A11)/B$8</f>
        <v>7.03185636363637</v>
      </c>
      <c r="C11" s="57" t="n">
        <f aca="false">($D$5/$A11)/C$8</f>
        <v>4.21911381818182</v>
      </c>
      <c r="D11" s="57" t="n">
        <f aca="false">($D$5/$A11)/D$8</f>
        <v>3.01365272727273</v>
      </c>
      <c r="E11" s="57" t="n">
        <f aca="false">($D$5/$A11)/E$8</f>
        <v>2.34395212121212</v>
      </c>
      <c r="F11" s="57" t="n">
        <f aca="false">($D$5/$A11)/F$8</f>
        <v>1.75796409090909</v>
      </c>
      <c r="G11" s="57" t="n">
        <f aca="false">($D$5/$A11)/G$8</f>
        <v>1.31847306818182</v>
      </c>
    </row>
    <row r="12" customFormat="false" ht="15" hidden="false" customHeight="false" outlineLevel="0" collapsed="false">
      <c r="A12" s="52" t="n">
        <v>0.13</v>
      </c>
      <c r="B12" s="57" t="n">
        <f aca="false">($D$5/$A12)/B$8</f>
        <v>5.95003230769231</v>
      </c>
      <c r="C12" s="57" t="n">
        <f aca="false">($D$5/$A12)/C$8</f>
        <v>3.57001938461538</v>
      </c>
      <c r="D12" s="57" t="n">
        <f aca="false">($D$5/$A12)/D$8</f>
        <v>2.55001384615385</v>
      </c>
      <c r="E12" s="57" t="n">
        <f aca="false">($D$5/$A12)/E$8</f>
        <v>1.9833441025641</v>
      </c>
      <c r="F12" s="57" t="n">
        <f aca="false">($D$5/$A12)/F$8</f>
        <v>1.48750807692308</v>
      </c>
      <c r="G12" s="57" t="n">
        <f aca="false">($D$5/$A12)/G$8</f>
        <v>1.11563105769231</v>
      </c>
    </row>
    <row r="13" customFormat="false" ht="15" hidden="false" customHeight="false" outlineLevel="0" collapsed="false">
      <c r="A13" s="52" t="n">
        <v>0.15</v>
      </c>
      <c r="B13" s="57" t="n">
        <f aca="false">($D$5/$A13)/B$8</f>
        <v>5.15669466666667</v>
      </c>
      <c r="C13" s="57" t="n">
        <f aca="false">($D$5/$A13)/C$8</f>
        <v>3.0940168</v>
      </c>
      <c r="D13" s="57" t="n">
        <f aca="false">($D$5/$A13)/D$8</f>
        <v>2.210012</v>
      </c>
      <c r="E13" s="57" t="n">
        <f aca="false">($D$5/$A13)/E$8</f>
        <v>1.71889822222222</v>
      </c>
      <c r="F13" s="57" t="n">
        <f aca="false">($D$5/$A13)/F$8</f>
        <v>1.28917366666667</v>
      </c>
      <c r="G13" s="57" t="n">
        <f aca="false">($D$5/$A13)/G$8</f>
        <v>0.96688025</v>
      </c>
    </row>
    <row r="14" customFormat="false" ht="15" hidden="false" customHeight="false" outlineLevel="0" collapsed="false">
      <c r="A14" s="52" t="n">
        <v>0.18</v>
      </c>
      <c r="B14" s="57" t="n">
        <f aca="false">($D$5/$A14)/B$8</f>
        <v>4.29724555555556</v>
      </c>
      <c r="C14" s="57" t="n">
        <f aca="false">($D$5/$A14)/C$8</f>
        <v>2.57834733333333</v>
      </c>
      <c r="D14" s="57" t="n">
        <f aca="false">($D$5/$A14)/D$8</f>
        <v>1.84167666666667</v>
      </c>
      <c r="E14" s="57" t="n">
        <f aca="false">($D$5/$A14)/E$8</f>
        <v>1.43241518518519</v>
      </c>
      <c r="F14" s="57" t="n">
        <f aca="false">($D$5/$A14)/F$8</f>
        <v>1.07431138888889</v>
      </c>
      <c r="G14" s="57" t="n">
        <f aca="false">($D$5/$A14)/G$8</f>
        <v>0.805733541666667</v>
      </c>
    </row>
    <row r="15" customFormat="false" ht="30" hidden="false" customHeight="true" outlineLevel="0" collapsed="false">
      <c r="A15" s="58" t="s">
        <v>448</v>
      </c>
      <c r="B15" s="58"/>
      <c r="C15" s="58"/>
      <c r="D15" s="58"/>
      <c r="E15" s="58"/>
      <c r="F15" s="58"/>
      <c r="G15" s="58"/>
      <c r="H15" s="58"/>
    </row>
    <row r="18" customFormat="false" ht="15" hidden="false" customHeight="false" outlineLevel="0" collapsed="false">
      <c r="A18" s="2" t="s">
        <v>449</v>
      </c>
    </row>
    <row r="19" customFormat="false" ht="15" hidden="false" customHeight="false" outlineLevel="0" collapsed="false">
      <c r="A19" s="59" t="s">
        <v>450</v>
      </c>
      <c r="B19" s="59"/>
      <c r="C19" s="59"/>
      <c r="D19" s="59"/>
      <c r="E19" s="59"/>
      <c r="F19" s="59"/>
      <c r="G19" s="59"/>
      <c r="H19" s="59"/>
    </row>
    <row r="21" customFormat="false" ht="15" hidden="false" customHeight="false" outlineLevel="0" collapsed="false">
      <c r="A21" s="50" t="s">
        <v>451</v>
      </c>
      <c r="B21" s="60" t="n">
        <v>0.002</v>
      </c>
      <c r="C21" s="60" t="n">
        <v>0.0035</v>
      </c>
      <c r="D21" s="60" t="n">
        <v>0.006</v>
      </c>
      <c r="E21" s="60" t="n">
        <v>0.009</v>
      </c>
      <c r="F21" s="60" t="n">
        <v>0.013</v>
      </c>
    </row>
    <row r="22" customFormat="false" ht="15" hidden="false" customHeight="false" outlineLevel="0" collapsed="false">
      <c r="A22" s="52" t="n">
        <v>0.02</v>
      </c>
      <c r="B22" s="61" t="n">
        <f aca="false">Assumptions!$E$9*Assumptions!$E$10*$A22*B$21*(Assumptions!$E$14+(1-Assumptions!$E$14)*Assumptions!$E$13^(12-Assumptions!$E$6))</f>
        <v>2447.21452212224</v>
      </c>
      <c r="C22" s="61" t="n">
        <f aca="false">Assumptions!$E$9*Assumptions!$E$10*$A22*C$21*(Assumptions!$E$14+(1-Assumptions!$E$14)*Assumptions!$E$13^(12-Assumptions!$E$6))</f>
        <v>4282.62541371392</v>
      </c>
      <c r="D22" s="61" t="n">
        <f aca="false">Assumptions!$E$9*Assumptions!$E$10*$A22*D$21*(Assumptions!$E$14+(1-Assumptions!$E$14)*Assumptions!$E$13^(12-Assumptions!$E$6))</f>
        <v>7341.64356636672</v>
      </c>
      <c r="E22" s="61" t="n">
        <f aca="false">Assumptions!$E$9*Assumptions!$E$10*$A22*E$21*(Assumptions!$E$14+(1-Assumptions!$E$14)*Assumptions!$E$13^(12-Assumptions!$E$6))</f>
        <v>11012.4653495501</v>
      </c>
      <c r="F22" s="61" t="n">
        <f aca="false">Assumptions!$E$9*Assumptions!$E$10*$A22*F$21*(Assumptions!$E$14+(1-Assumptions!$E$14)*Assumptions!$E$13^(12-Assumptions!$E$6))</f>
        <v>15906.8943937946</v>
      </c>
    </row>
    <row r="23" customFormat="false" ht="15" hidden="false" customHeight="false" outlineLevel="0" collapsed="false">
      <c r="A23" s="52" t="n">
        <v>0.04</v>
      </c>
      <c r="B23" s="61" t="n">
        <f aca="false">Assumptions!$E$9*Assumptions!$E$10*$A23*B$21*(Assumptions!$E$14+(1-Assumptions!$E$14)*Assumptions!$E$13^(12-Assumptions!$E$6))</f>
        <v>4894.42904424448</v>
      </c>
      <c r="C23" s="61" t="n">
        <f aca="false">Assumptions!$E$9*Assumptions!$E$10*$A23*C$21*(Assumptions!$E$14+(1-Assumptions!$E$14)*Assumptions!$E$13^(12-Assumptions!$E$6))</f>
        <v>8565.25082742784</v>
      </c>
      <c r="D23" s="61" t="n">
        <f aca="false">Assumptions!$E$9*Assumptions!$E$10*$A23*D$21*(Assumptions!$E$14+(1-Assumptions!$E$14)*Assumptions!$E$13^(12-Assumptions!$E$6))</f>
        <v>14683.2871327334</v>
      </c>
      <c r="E23" s="61" t="n">
        <f aca="false">Assumptions!$E$9*Assumptions!$E$10*$A23*E$21*(Assumptions!$E$14+(1-Assumptions!$E$14)*Assumptions!$E$13^(12-Assumptions!$E$6))</f>
        <v>22024.9306991002</v>
      </c>
      <c r="F23" s="61" t="n">
        <f aca="false">Assumptions!$E$9*Assumptions!$E$10*$A23*F$21*(Assumptions!$E$14+(1-Assumptions!$E$14)*Assumptions!$E$13^(12-Assumptions!$E$6))</f>
        <v>31813.7887875891</v>
      </c>
    </row>
    <row r="24" customFormat="false" ht="15" hidden="false" customHeight="false" outlineLevel="0" collapsed="false">
      <c r="A24" s="52" t="n">
        <v>0.07</v>
      </c>
      <c r="B24" s="61" t="n">
        <f aca="false">Assumptions!$E$9*Assumptions!$E$10*$A24*B$21*(Assumptions!$E$14+(1-Assumptions!$E$14)*Assumptions!$E$13^(12-Assumptions!$E$6))</f>
        <v>8565.25082742784</v>
      </c>
      <c r="C24" s="61" t="n">
        <f aca="false">Assumptions!$E$9*Assumptions!$E$10*$A24*C$21*(Assumptions!$E$14+(1-Assumptions!$E$14)*Assumptions!$E$13^(12-Assumptions!$E$6))</f>
        <v>14989.1889479987</v>
      </c>
      <c r="D24" s="61" t="n">
        <f aca="false">Assumptions!$E$9*Assumptions!$E$10*$A24*D$21*(Assumptions!$E$14+(1-Assumptions!$E$14)*Assumptions!$E$13^(12-Assumptions!$E$6))</f>
        <v>25695.7524822835</v>
      </c>
      <c r="E24" s="61" t="n">
        <f aca="false">Assumptions!$E$9*Assumptions!$E$10*$A24*E$21*(Assumptions!$E$14+(1-Assumptions!$E$14)*Assumptions!$E$13^(12-Assumptions!$E$6))</f>
        <v>38543.6287234253</v>
      </c>
      <c r="F24" s="61" t="n">
        <f aca="false">Assumptions!$E$9*Assumptions!$E$10*$A24*F$21*(Assumptions!$E$14+(1-Assumptions!$E$14)*Assumptions!$E$13^(12-Assumptions!$E$6))</f>
        <v>55674.130378281</v>
      </c>
    </row>
    <row r="25" customFormat="false" ht="15" hidden="false" customHeight="false" outlineLevel="0" collapsed="false">
      <c r="A25" s="52" t="n">
        <v>0.11</v>
      </c>
      <c r="B25" s="61" t="n">
        <f aca="false">Assumptions!$E$9*Assumptions!$E$10*$A25*B$21*(Assumptions!$E$14+(1-Assumptions!$E$14)*Assumptions!$E$13^(12-Assumptions!$E$6))</f>
        <v>13459.6798716723</v>
      </c>
      <c r="C25" s="61" t="n">
        <f aca="false">Assumptions!$E$9*Assumptions!$E$10*$A25*C$21*(Assumptions!$E$14+(1-Assumptions!$E$14)*Assumptions!$E$13^(12-Assumptions!$E$6))</f>
        <v>23554.4397754266</v>
      </c>
      <c r="D25" s="61" t="n">
        <f aca="false">Assumptions!$E$9*Assumptions!$E$10*$A25*D$21*(Assumptions!$E$14+(1-Assumptions!$E$14)*Assumptions!$E$13^(12-Assumptions!$E$6))</f>
        <v>40379.039615017</v>
      </c>
      <c r="E25" s="61" t="n">
        <f aca="false">Assumptions!$E$9*Assumptions!$E$10*$A25*E$21*(Assumptions!$E$14+(1-Assumptions!$E$14)*Assumptions!$E$13^(12-Assumptions!$E$6))</f>
        <v>60568.5594225254</v>
      </c>
      <c r="F25" s="61" t="n">
        <f aca="false">Assumptions!$E$9*Assumptions!$E$10*$A25*F$21*(Assumptions!$E$14+(1-Assumptions!$E$14)*Assumptions!$E$13^(12-Assumptions!$E$6))</f>
        <v>87487.9191658701</v>
      </c>
    </row>
    <row r="26" customFormat="false" ht="15" hidden="false" customHeight="false" outlineLevel="0" collapsed="false">
      <c r="A26" s="52" t="n">
        <v>0.15</v>
      </c>
      <c r="B26" s="61" t="n">
        <f aca="false">Assumptions!$E$9*Assumptions!$E$10*$A26*B$21*(Assumptions!$E$14+(1-Assumptions!$E$14)*Assumptions!$E$13^(12-Assumptions!$E$6))</f>
        <v>18354.1089159168</v>
      </c>
      <c r="C26" s="61" t="n">
        <f aca="false">Assumptions!$E$9*Assumptions!$E$10*$A26*C$21*(Assumptions!$E$14+(1-Assumptions!$E$14)*Assumptions!$E$13^(12-Assumptions!$E$6))</f>
        <v>32119.6906028544</v>
      </c>
      <c r="D26" s="61" t="n">
        <f aca="false">Assumptions!$E$9*Assumptions!$E$10*$A26*D$21*(Assumptions!$E$14+(1-Assumptions!$E$14)*Assumptions!$E$13^(12-Assumptions!$E$6))</f>
        <v>55062.3267477504</v>
      </c>
      <c r="E26" s="61" t="n">
        <f aca="false">Assumptions!$E$9*Assumptions!$E$10*$A26*E$21*(Assumptions!$E$14+(1-Assumptions!$E$14)*Assumptions!$E$13^(12-Assumptions!$E$6))</f>
        <v>82593.4901216256</v>
      </c>
      <c r="F26" s="61" t="n">
        <f aca="false">Assumptions!$E$9*Assumptions!$E$10*$A26*F$21*(Assumptions!$E$14+(1-Assumptions!$E$14)*Assumptions!$E$13^(12-Assumptions!$E$6))</f>
        <v>119301.707953459</v>
      </c>
    </row>
    <row r="29" customFormat="false" ht="15" hidden="false" customHeight="false" outlineLevel="0" collapsed="false">
      <c r="A29" s="2" t="s">
        <v>452</v>
      </c>
    </row>
    <row r="30" customFormat="false" ht="15" hidden="false" customHeight="false" outlineLevel="0" collapsed="false">
      <c r="A30" s="59" t="s">
        <v>453</v>
      </c>
      <c r="B30" s="59"/>
      <c r="C30" s="59"/>
      <c r="D30" s="59"/>
      <c r="E30" s="59"/>
      <c r="F30" s="59"/>
      <c r="G30" s="59"/>
      <c r="H30" s="59"/>
    </row>
    <row r="31" customFormat="false" ht="15" hidden="false" customHeight="false" outlineLevel="0" collapsed="false">
      <c r="A31" s="37" t="s">
        <v>454</v>
      </c>
      <c r="E31" s="40" t="n">
        <f aca="false">Summary!C29</f>
        <v>0.795252122674774</v>
      </c>
    </row>
    <row r="33" customFormat="false" ht="15" hidden="false" customHeight="false" outlineLevel="0" collapsed="false">
      <c r="A33" s="50" t="s">
        <v>455</v>
      </c>
      <c r="B33" s="56" t="n">
        <v>60</v>
      </c>
      <c r="C33" s="56" t="n">
        <v>75</v>
      </c>
      <c r="D33" s="56" t="n">
        <v>90</v>
      </c>
      <c r="E33" s="56" t="n">
        <v>105</v>
      </c>
      <c r="F33" s="56" t="n">
        <v>130</v>
      </c>
    </row>
    <row r="34" customFormat="false" ht="15" hidden="false" customHeight="false" outlineLevel="0" collapsed="false">
      <c r="A34" s="52" t="n">
        <v>0.2</v>
      </c>
      <c r="B34" s="62" t="n">
        <f aca="false">$E$31*(1-$A34/(1-Assumptions!$E$80)-Assumptions!$E$56/(Assumptions!$E$50*(1-Assumptions!$E$80))-Assumptions!$E$79)+(1-$E$31)*(1-(B$33+Assumptions!$E$75+Assumptions!$E$76+Assumptions!$E$77)/(Assumptions!$E$70*(1-Assumptions!$E$80))-Assumptions!$E$79)</f>
        <v>0.730312554932569</v>
      </c>
      <c r="C34" s="62" t="n">
        <f aca="false">$E$31*(1-$A34/(1-Assumptions!$E$80)-Assumptions!$E$56/(Assumptions!$E$50*(1-Assumptions!$E$80))-Assumptions!$E$79)+(1-$E$31)*(1-(C$33+Assumptions!$E$75+Assumptions!$E$76+Assumptions!$E$77)/(Assumptions!$E$70*(1-Assumptions!$E$80))-Assumptions!$E$79)</f>
        <v>0.717596875058936</v>
      </c>
      <c r="D34" s="62" t="n">
        <f aca="false">$E$31*(1-$A34/(1-Assumptions!$E$80)-Assumptions!$E$56/(Assumptions!$E$50*(1-Assumptions!$E$80))-Assumptions!$E$79)+(1-$E$31)*(1-(D$33+Assumptions!$E$75+Assumptions!$E$76+Assumptions!$E$77)/(Assumptions!$E$70*(1-Assumptions!$E$80))-Assumptions!$E$79)</f>
        <v>0.704881195185304</v>
      </c>
      <c r="E34" s="62" t="n">
        <f aca="false">$E$31*(1-$A34/(1-Assumptions!$E$80)-Assumptions!$E$56/(Assumptions!$E$50*(1-Assumptions!$E$80))-Assumptions!$E$79)+(1-$E$31)*(1-(E$33+Assumptions!$E$75+Assumptions!$E$76+Assumptions!$E$77)/(Assumptions!$E$70*(1-Assumptions!$E$80))-Assumptions!$E$79)</f>
        <v>0.692165515311672</v>
      </c>
      <c r="F34" s="62" t="n">
        <f aca="false">$E$31*(1-$A34/(1-Assumptions!$E$80)-Assumptions!$E$56/(Assumptions!$E$50*(1-Assumptions!$E$80))-Assumptions!$E$79)+(1-$E$31)*(1-(F$33+Assumptions!$E$75+Assumptions!$E$76+Assumptions!$E$77)/(Assumptions!$E$70*(1-Assumptions!$E$80))-Assumptions!$E$79)</f>
        <v>0.670972715522285</v>
      </c>
    </row>
    <row r="35" customFormat="false" ht="15" hidden="false" customHeight="false" outlineLevel="0" collapsed="false">
      <c r="A35" s="52" t="n">
        <v>0.24</v>
      </c>
      <c r="B35" s="62" t="n">
        <f aca="false">$E$31*(1-$A35/(1-Assumptions!$E$80)-Assumptions!$E$56/(Assumptions!$E$50*(1-Assumptions!$E$80))-Assumptions!$E$79)+(1-$E$31)*(1-(B$33+Assumptions!$E$75+Assumptions!$E$76+Assumptions!$E$77)/(Assumptions!$E$70*(1-Assumptions!$E$80))-Assumptions!$E$79)</f>
        <v>0.697518652966598</v>
      </c>
      <c r="C35" s="62" t="n">
        <f aca="false">$E$31*(1-$A35/(1-Assumptions!$E$80)-Assumptions!$E$56/(Assumptions!$E$50*(1-Assumptions!$E$80))-Assumptions!$E$79)+(1-$E$31)*(1-(C$33+Assumptions!$E$75+Assumptions!$E$76+Assumptions!$E$77)/(Assumptions!$E$70*(1-Assumptions!$E$80))-Assumptions!$E$79)</f>
        <v>0.684802973092966</v>
      </c>
      <c r="D35" s="62" t="n">
        <f aca="false">$E$31*(1-$A35/(1-Assumptions!$E$80)-Assumptions!$E$56/(Assumptions!$E$50*(1-Assumptions!$E$80))-Assumptions!$E$79)+(1-$E$31)*(1-(D$33+Assumptions!$E$75+Assumptions!$E$76+Assumptions!$E$77)/(Assumptions!$E$70*(1-Assumptions!$E$80))-Assumptions!$E$79)</f>
        <v>0.672087293219334</v>
      </c>
      <c r="E35" s="62" t="n">
        <f aca="false">$E$31*(1-$A35/(1-Assumptions!$E$80)-Assumptions!$E$56/(Assumptions!$E$50*(1-Assumptions!$E$80))-Assumptions!$E$79)+(1-$E$31)*(1-(E$33+Assumptions!$E$75+Assumptions!$E$76+Assumptions!$E$77)/(Assumptions!$E$70*(1-Assumptions!$E$80))-Assumptions!$E$79)</f>
        <v>0.659371613345702</v>
      </c>
      <c r="F35" s="62" t="n">
        <f aca="false">$E$31*(1-$A35/(1-Assumptions!$E$80)-Assumptions!$E$56/(Assumptions!$E$50*(1-Assumptions!$E$80))-Assumptions!$E$79)+(1-$E$31)*(1-(F$33+Assumptions!$E$75+Assumptions!$E$76+Assumptions!$E$77)/(Assumptions!$E$70*(1-Assumptions!$E$80))-Assumptions!$E$79)</f>
        <v>0.638178813556315</v>
      </c>
    </row>
    <row r="36" customFormat="false" ht="15" hidden="false" customHeight="false" outlineLevel="0" collapsed="false">
      <c r="A36" s="52" t="n">
        <v>0.28</v>
      </c>
      <c r="B36" s="62" t="n">
        <f aca="false">$E$31*(1-$A36/(1-Assumptions!$E$80)-Assumptions!$E$56/(Assumptions!$E$50*(1-Assumptions!$E$80))-Assumptions!$E$79)+(1-$E$31)*(1-(B$33+Assumptions!$E$75+Assumptions!$E$76+Assumptions!$E$77)/(Assumptions!$E$70*(1-Assumptions!$E$80))-Assumptions!$E$79)</f>
        <v>0.664724751000628</v>
      </c>
      <c r="C36" s="62" t="n">
        <f aca="false">$E$31*(1-$A36/(1-Assumptions!$E$80)-Assumptions!$E$56/(Assumptions!$E$50*(1-Assumptions!$E$80))-Assumptions!$E$79)+(1-$E$31)*(1-(C$33+Assumptions!$E$75+Assumptions!$E$76+Assumptions!$E$77)/(Assumptions!$E$70*(1-Assumptions!$E$80))-Assumptions!$E$79)</f>
        <v>0.652009071126996</v>
      </c>
      <c r="D36" s="62" t="n">
        <f aca="false">$E$31*(1-$A36/(1-Assumptions!$E$80)-Assumptions!$E$56/(Assumptions!$E$50*(1-Assumptions!$E$80))-Assumptions!$E$79)+(1-$E$31)*(1-(D$33+Assumptions!$E$75+Assumptions!$E$76+Assumptions!$E$77)/(Assumptions!$E$70*(1-Assumptions!$E$80))-Assumptions!$E$79)</f>
        <v>0.639293391253364</v>
      </c>
      <c r="E36" s="62" t="n">
        <f aca="false">$E$31*(1-$A36/(1-Assumptions!$E$80)-Assumptions!$E$56/(Assumptions!$E$50*(1-Assumptions!$E$80))-Assumptions!$E$79)+(1-$E$31)*(1-(E$33+Assumptions!$E$75+Assumptions!$E$76+Assumptions!$E$77)/(Assumptions!$E$70*(1-Assumptions!$E$80))-Assumptions!$E$79)</f>
        <v>0.626577711379732</v>
      </c>
      <c r="F36" s="62" t="n">
        <f aca="false">$E$31*(1-$A36/(1-Assumptions!$E$80)-Assumptions!$E$56/(Assumptions!$E$50*(1-Assumptions!$E$80))-Assumptions!$E$79)+(1-$E$31)*(1-(F$33+Assumptions!$E$75+Assumptions!$E$76+Assumptions!$E$77)/(Assumptions!$E$70*(1-Assumptions!$E$80))-Assumptions!$E$79)</f>
        <v>0.605384911590345</v>
      </c>
    </row>
    <row r="37" customFormat="false" ht="15" hidden="false" customHeight="false" outlineLevel="0" collapsed="false">
      <c r="A37" s="52" t="n">
        <v>0.32</v>
      </c>
      <c r="B37" s="62" t="n">
        <f aca="false">$E$31*(1-$A37/(1-Assumptions!$E$80)-Assumptions!$E$56/(Assumptions!$E$50*(1-Assumptions!$E$80))-Assumptions!$E$79)+(1-$E$31)*(1-(B$33+Assumptions!$E$75+Assumptions!$E$76+Assumptions!$E$77)/(Assumptions!$E$70*(1-Assumptions!$E$80))-Assumptions!$E$79)</f>
        <v>0.631930849034659</v>
      </c>
      <c r="C37" s="62" t="n">
        <f aca="false">$E$31*(1-$A37/(1-Assumptions!$E$80)-Assumptions!$E$56/(Assumptions!$E$50*(1-Assumptions!$E$80))-Assumptions!$E$79)+(1-$E$31)*(1-(C$33+Assumptions!$E$75+Assumptions!$E$76+Assumptions!$E$77)/(Assumptions!$E$70*(1-Assumptions!$E$80))-Assumptions!$E$79)</f>
        <v>0.619215169161026</v>
      </c>
      <c r="D37" s="62" t="n">
        <f aca="false">$E$31*(1-$A37/(1-Assumptions!$E$80)-Assumptions!$E$56/(Assumptions!$E$50*(1-Assumptions!$E$80))-Assumptions!$E$79)+(1-$E$31)*(1-(D$33+Assumptions!$E$75+Assumptions!$E$76+Assumptions!$E$77)/(Assumptions!$E$70*(1-Assumptions!$E$80))-Assumptions!$E$79)</f>
        <v>0.606499489287394</v>
      </c>
      <c r="E37" s="62" t="n">
        <f aca="false">$E$31*(1-$A37/(1-Assumptions!$E$80)-Assumptions!$E$56/(Assumptions!$E$50*(1-Assumptions!$E$80))-Assumptions!$E$79)+(1-$E$31)*(1-(E$33+Assumptions!$E$75+Assumptions!$E$76+Assumptions!$E$77)/(Assumptions!$E$70*(1-Assumptions!$E$80))-Assumptions!$E$79)</f>
        <v>0.593783809413762</v>
      </c>
      <c r="F37" s="62" t="n">
        <f aca="false">$E$31*(1-$A37/(1-Assumptions!$E$80)-Assumptions!$E$56/(Assumptions!$E$50*(1-Assumptions!$E$80))-Assumptions!$E$79)+(1-$E$31)*(1-(F$33+Assumptions!$E$75+Assumptions!$E$76+Assumptions!$E$77)/(Assumptions!$E$70*(1-Assumptions!$E$80))-Assumptions!$E$79)</f>
        <v>0.572591009624375</v>
      </c>
    </row>
    <row r="38" customFormat="false" ht="15" hidden="false" customHeight="false" outlineLevel="0" collapsed="false">
      <c r="A38" s="52" t="n">
        <v>0.38</v>
      </c>
      <c r="B38" s="62" t="n">
        <f aca="false">$E$31*(1-$A38/(1-Assumptions!$E$80)-Assumptions!$E$56/(Assumptions!$E$50*(1-Assumptions!$E$80))-Assumptions!$E$79)+(1-$E$31)*(1-(B$33+Assumptions!$E$75+Assumptions!$E$76+Assumptions!$E$77)/(Assumptions!$E$70*(1-Assumptions!$E$80))-Assumptions!$E$79)</f>
        <v>0.582739996085703</v>
      </c>
      <c r="C38" s="62" t="n">
        <f aca="false">$E$31*(1-$A38/(1-Assumptions!$E$80)-Assumptions!$E$56/(Assumptions!$E$50*(1-Assumptions!$E$80))-Assumptions!$E$79)+(1-$E$31)*(1-(C$33+Assumptions!$E$75+Assumptions!$E$76+Assumptions!$E$77)/(Assumptions!$E$70*(1-Assumptions!$E$80))-Assumptions!$E$79)</f>
        <v>0.570024316212071</v>
      </c>
      <c r="D38" s="62" t="n">
        <f aca="false">$E$31*(1-$A38/(1-Assumptions!$E$80)-Assumptions!$E$56/(Assumptions!$E$50*(1-Assumptions!$E$80))-Assumptions!$E$79)+(1-$E$31)*(1-(D$33+Assumptions!$E$75+Assumptions!$E$76+Assumptions!$E$77)/(Assumptions!$E$70*(1-Assumptions!$E$80))-Assumptions!$E$79)</f>
        <v>0.557308636338439</v>
      </c>
      <c r="E38" s="62" t="n">
        <f aca="false">$E$31*(1-$A38/(1-Assumptions!$E$80)-Assumptions!$E$56/(Assumptions!$E$50*(1-Assumptions!$E$80))-Assumptions!$E$79)+(1-$E$31)*(1-(E$33+Assumptions!$E$75+Assumptions!$E$76+Assumptions!$E$77)/(Assumptions!$E$70*(1-Assumptions!$E$80))-Assumptions!$E$79)</f>
        <v>0.544592956464807</v>
      </c>
      <c r="F38" s="62" t="n">
        <f aca="false">$E$31*(1-$A38/(1-Assumptions!$E$80)-Assumptions!$E$56/(Assumptions!$E$50*(1-Assumptions!$E$80))-Assumptions!$E$79)+(1-$E$31)*(1-(F$33+Assumptions!$E$75+Assumptions!$E$76+Assumptions!$E$77)/(Assumptions!$E$70*(1-Assumptions!$E$80))-Assumptions!$E$79)</f>
        <v>0.52340015667542</v>
      </c>
    </row>
    <row r="42" customFormat="false" ht="15" hidden="false" customHeight="false" outlineLevel="0" collapsed="false">
      <c r="A42" s="2" t="s">
        <v>456</v>
      </c>
    </row>
    <row r="43" customFormat="false" ht="43.5" hidden="false" customHeight="true" outlineLevel="0" collapsed="false">
      <c r="A43" s="58" t="s">
        <v>457</v>
      </c>
      <c r="B43" s="58"/>
      <c r="C43" s="58"/>
      <c r="D43" s="58"/>
      <c r="E43" s="58"/>
      <c r="F43" s="58"/>
      <c r="G43" s="58"/>
      <c r="H43" s="58"/>
    </row>
    <row r="45" customFormat="false" ht="26.85" hidden="false" customHeight="false" outlineLevel="0" collapsed="false">
      <c r="A45" s="6" t="s">
        <v>458</v>
      </c>
      <c r="B45" s="6" t="s">
        <v>459</v>
      </c>
      <c r="C45" s="6" t="s">
        <v>460</v>
      </c>
      <c r="D45" s="6" t="s">
        <v>461</v>
      </c>
      <c r="E45" s="6" t="s">
        <v>462</v>
      </c>
    </row>
    <row r="46" customFormat="false" ht="15" hidden="false" customHeight="false" outlineLevel="0" collapsed="false">
      <c r="A46" s="53" t="n">
        <v>15000</v>
      </c>
      <c r="B46" s="63" t="n">
        <f aca="false">IFERROR($A46/((MIN($A46,Model_Baseline!Z17*Assumptions!$E$30)/Assumptions!$E$30*Assumptions!$E$31*Assumptions!$E$32+MIN(MAX(0,$A46-MIN($A46,Model_Baseline!Z17*Assumptions!$E$30)),Model_Baseline!Z21*Assumptions!$E$37)/Assumptions!$E$37*Assumptions!$E$38*Assumptions!$E$39+(Assumptions!$E$21/(Assumptions!$E$41*Assumptions!$E$42))*(MAX(0,$A46-MIN($A46,Model_Baseline!Z17*Assumptions!$E$30)-MIN(MAX(0,$A46-MIN($A46,Model_Baseline!Z17*Assumptions!$E$30)),Model_Baseline!Z21*Assumptions!$E$37))/Assumptions!$E$21)^Assumptions!$E$25*Assumptions!$E$43)*Assumptions!$E$49),0)</f>
        <v>98.2063798522153</v>
      </c>
      <c r="C46" s="63" t="n">
        <f aca="false">IFERROR($A46/((MIN($A46,Model_No_Partner!Z17*Assumptions!$E$30)/Assumptions!$E$30*Assumptions!$E$31*Assumptions!$E$32+MIN(MAX(0,$A46-MIN($A46,Model_No_Partner!Z17*Assumptions!$E$30)),Model_No_Partner!Z21*Assumptions!$E$37)/Assumptions!$E$37*Assumptions!$E$38*Assumptions!$E$39+(Assumptions!$E$21/(Assumptions!$E$41*Assumptions!$G$42))*(MAX(0,$A46-MIN($A46,Model_No_Partner!Z17*Assumptions!$E$30)-MIN(MAX(0,$A46-MIN($A46,Model_No_Partner!Z17*Assumptions!$E$30)),Model_No_Partner!Z21*Assumptions!$E$37))/Assumptions!$E$21)^Assumptions!$E$25*Assumptions!$E$43)*Assumptions!$E$49),0)</f>
        <v>119.859044179813</v>
      </c>
      <c r="D46" s="51" t="n">
        <f aca="false">C46-B46</f>
        <v>21.6526643275977</v>
      </c>
      <c r="E46" s="52" t="n">
        <f aca="false">IFERROR((C46-B46)/C46,0)</f>
        <v>0.180651067892</v>
      </c>
    </row>
    <row r="47" customFormat="false" ht="15" hidden="false" customHeight="false" outlineLevel="0" collapsed="false">
      <c r="A47" s="53" t="n">
        <v>30000</v>
      </c>
      <c r="B47" s="63" t="n">
        <f aca="false">IFERROR($A47/((MIN($A47,Model_Baseline!Z17*Assumptions!$E$30)/Assumptions!$E$30*Assumptions!$E$31*Assumptions!$E$32+MIN(MAX(0,$A47-MIN($A47,Model_Baseline!Z17*Assumptions!$E$30)),Model_Baseline!Z21*Assumptions!$E$37)/Assumptions!$E$37*Assumptions!$E$38*Assumptions!$E$39+(Assumptions!$E$21/(Assumptions!$E$41*Assumptions!$E$42))*(MAX(0,$A47-MIN($A47,Model_Baseline!Z17*Assumptions!$E$30)-MIN(MAX(0,$A47-MIN($A47,Model_Baseline!Z17*Assumptions!$E$30)),Model_Baseline!Z21*Assumptions!$E$37))/Assumptions!$E$21)^Assumptions!$E$25*Assumptions!$E$43)*Assumptions!$E$49),0)</f>
        <v>122.029091963009</v>
      </c>
      <c r="C47" s="63" t="n">
        <f aca="false">IFERROR($A47/((MIN($A47,Model_No_Partner!Z17*Assumptions!$E$30)/Assumptions!$E$30*Assumptions!$E$31*Assumptions!$E$32+MIN(MAX(0,$A47-MIN($A47,Model_No_Partner!Z17*Assumptions!$E$30)),Model_No_Partner!Z21*Assumptions!$E$37)/Assumptions!$E$37*Assumptions!$E$38*Assumptions!$E$39+(Assumptions!$E$21/(Assumptions!$E$41*Assumptions!$G$42))*(MAX(0,$A47-MIN($A47,Model_No_Partner!Z17*Assumptions!$E$30)-MIN(MAX(0,$A47-MIN($A47,Model_No_Partner!Z17*Assumptions!$E$30)),Model_No_Partner!Z21*Assumptions!$E$37))/Assumptions!$E$21)^Assumptions!$E$25*Assumptions!$E$43)*Assumptions!$E$49),0)</f>
        <v>141.850277387922</v>
      </c>
      <c r="D47" s="51" t="n">
        <f aca="false">C47-B47</f>
        <v>19.8211854249131</v>
      </c>
      <c r="E47" s="52" t="n">
        <f aca="false">IFERROR((C47-B47)/C47,0)</f>
        <v>0.139733145326939</v>
      </c>
    </row>
    <row r="48" customFormat="false" ht="15" hidden="false" customHeight="false" outlineLevel="0" collapsed="false">
      <c r="A48" s="53" t="n">
        <v>60000</v>
      </c>
      <c r="B48" s="63" t="n">
        <f aca="false">IFERROR($A48/((MIN($A48,Model_Baseline!Z17*Assumptions!$E$30)/Assumptions!$E$30*Assumptions!$E$31*Assumptions!$E$32+MIN(MAX(0,$A48-MIN($A48,Model_Baseline!Z17*Assumptions!$E$30)),Model_Baseline!Z21*Assumptions!$E$37)/Assumptions!$E$37*Assumptions!$E$38*Assumptions!$E$39+(Assumptions!$E$21/(Assumptions!$E$41*Assumptions!$E$42))*(MAX(0,$A48-MIN($A48,Model_Baseline!Z17*Assumptions!$E$30)-MIN(MAX(0,$A48-MIN($A48,Model_Baseline!Z17*Assumptions!$E$30)),Model_Baseline!Z21*Assumptions!$E$37))/Assumptions!$E$21)^Assumptions!$E$25*Assumptions!$E$43)*Assumptions!$E$49),0)</f>
        <v>125.572324137712</v>
      </c>
      <c r="C48" s="63" t="n">
        <f aca="false">IFERROR($A48/((MIN($A48,Model_No_Partner!Z17*Assumptions!$E$30)/Assumptions!$E$30*Assumptions!$E$31*Assumptions!$E$32+MIN(MAX(0,$A48-MIN($A48,Model_No_Partner!Z17*Assumptions!$E$30)),Model_No_Partner!Z21*Assumptions!$E$37)/Assumptions!$E$37*Assumptions!$E$38*Assumptions!$E$39+(Assumptions!$E$21/(Assumptions!$E$41*Assumptions!$G$42))*(MAX(0,$A48-MIN($A48,Model_No_Partner!Z17*Assumptions!$E$30)-MIN(MAX(0,$A48-MIN($A48,Model_No_Partner!Z17*Assumptions!$E$30)),Model_No_Partner!Z21*Assumptions!$E$37))/Assumptions!$E$21)^Assumptions!$E$25*Assumptions!$E$43)*Assumptions!$E$49),0)</f>
        <v>173.120417124546</v>
      </c>
      <c r="D48" s="51" t="n">
        <f aca="false">C48-B48</f>
        <v>47.5480929868335</v>
      </c>
      <c r="E48" s="52" t="n">
        <f aca="false">IFERROR((C48-B48)/C48,0)</f>
        <v>0.274653294952649</v>
      </c>
    </row>
    <row r="49" customFormat="false" ht="15" hidden="false" customHeight="false" outlineLevel="0" collapsed="false">
      <c r="A49" s="53" t="n">
        <v>120000</v>
      </c>
      <c r="B49" s="63" t="n">
        <f aca="false">IFERROR($A49/((MIN($A49,Model_Baseline!Z17*Assumptions!$E$30)/Assumptions!$E$30*Assumptions!$E$31*Assumptions!$E$32+MIN(MAX(0,$A49-MIN($A49,Model_Baseline!Z17*Assumptions!$E$30)),Model_Baseline!Z21*Assumptions!$E$37)/Assumptions!$E$37*Assumptions!$E$38*Assumptions!$E$39+(Assumptions!$E$21/(Assumptions!$E$41*Assumptions!$E$42))*(MAX(0,$A49-MIN($A49,Model_Baseline!Z17*Assumptions!$E$30)-MIN(MAX(0,$A49-MIN($A49,Model_Baseline!Z17*Assumptions!$E$30)),Model_Baseline!Z21*Assumptions!$E$37))/Assumptions!$E$21)^Assumptions!$E$25*Assumptions!$E$43)*Assumptions!$E$49),0)</f>
        <v>146.974710971046</v>
      </c>
      <c r="C49" s="63" t="n">
        <f aca="false">IFERROR($A49/((MIN($A49,Model_No_Partner!Z17*Assumptions!$E$30)/Assumptions!$E$30*Assumptions!$E$31*Assumptions!$E$32+MIN(MAX(0,$A49-MIN($A49,Model_No_Partner!Z17*Assumptions!$E$30)),Model_No_Partner!Z21*Assumptions!$E$37)/Assumptions!$E$37*Assumptions!$E$38*Assumptions!$E$39+(Assumptions!$E$21/(Assumptions!$E$41*Assumptions!$G$42))*(MAX(0,$A49-MIN($A49,Model_No_Partner!Z17*Assumptions!$E$30)-MIN(MAX(0,$A49-MIN($A49,Model_No_Partner!Z17*Assumptions!$E$30)),Model_No_Partner!Z21*Assumptions!$E$37))/Assumptions!$E$21)^Assumptions!$E$25*Assumptions!$E$43)*Assumptions!$E$49),0)</f>
        <v>211.942501719992</v>
      </c>
      <c r="D49" s="51" t="n">
        <f aca="false">C49-B49</f>
        <v>64.9677907489457</v>
      </c>
      <c r="E49" s="52" t="n">
        <f aca="false">IFERROR((C49-B49)/C49,0)</f>
        <v>0.306534981052446</v>
      </c>
    </row>
    <row r="50" customFormat="false" ht="15" hidden="false" customHeight="false" outlineLevel="0" collapsed="false">
      <c r="A50" s="53" t="n">
        <v>250000</v>
      </c>
      <c r="B50" s="63" t="n">
        <f aca="false">IFERROR($A50/((MIN($A50,Model_Baseline!Z17*Assumptions!$E$30)/Assumptions!$E$30*Assumptions!$E$31*Assumptions!$E$32+MIN(MAX(0,$A50-MIN($A50,Model_Baseline!Z17*Assumptions!$E$30)),Model_Baseline!Z21*Assumptions!$E$37)/Assumptions!$E$37*Assumptions!$E$38*Assumptions!$E$39+(Assumptions!$E$21/(Assumptions!$E$41*Assumptions!$E$42))*(MAX(0,$A50-MIN($A50,Model_Baseline!Z17*Assumptions!$E$30)-MIN(MAX(0,$A50-MIN($A50,Model_Baseline!Z17*Assumptions!$E$30)),Model_Baseline!Z21*Assumptions!$E$37))/Assumptions!$E$21)^Assumptions!$E$25*Assumptions!$E$43)*Assumptions!$E$49),0)</f>
        <v>186.345499600591</v>
      </c>
      <c r="C50" s="63" t="n">
        <f aca="false">IFERROR($A50/((MIN($A50,Model_No_Partner!Z17*Assumptions!$E$30)/Assumptions!$E$30*Assumptions!$E$31*Assumptions!$E$32+MIN(MAX(0,$A50-MIN($A50,Model_No_Partner!Z17*Assumptions!$E$30)),Model_No_Partner!Z21*Assumptions!$E$37)/Assumptions!$E$37*Assumptions!$E$38*Assumptions!$E$39+(Assumptions!$E$21/(Assumptions!$E$41*Assumptions!$G$42))*(MAX(0,$A50-MIN($A50,Model_No_Partner!Z17*Assumptions!$E$30)-MIN(MAX(0,$A50-MIN($A50,Model_No_Partner!Z17*Assumptions!$E$30)),Model_No_Partner!Z21*Assumptions!$E$37))/Assumptions!$E$21)^Assumptions!$E$25*Assumptions!$E$43)*Assumptions!$E$49),0)</f>
        <v>261.498731163436</v>
      </c>
      <c r="D50" s="51" t="n">
        <f aca="false">C50-B50</f>
        <v>75.153231562845</v>
      </c>
      <c r="E50" s="52" t="n">
        <f aca="false">IFERROR((C50-B50)/C50,0)</f>
        <v>0.287394249404118</v>
      </c>
    </row>
    <row r="51" customFormat="false" ht="15" hidden="false" customHeight="false" outlineLevel="0" collapsed="false">
      <c r="A51" s="53" t="n">
        <v>500000</v>
      </c>
      <c r="B51" s="63" t="n">
        <f aca="false">IFERROR($A51/((MIN($A51,Model_Baseline!Z17*Assumptions!$E$30)/Assumptions!$E$30*Assumptions!$E$31*Assumptions!$E$32+MIN(MAX(0,$A51-MIN($A51,Model_Baseline!Z17*Assumptions!$E$30)),Model_Baseline!Z21*Assumptions!$E$37)/Assumptions!$E$37*Assumptions!$E$38*Assumptions!$E$39+(Assumptions!$E$21/(Assumptions!$E$41*Assumptions!$E$42))*(MAX(0,$A51-MIN($A51,Model_Baseline!Z17*Assumptions!$E$30)-MIN(MAX(0,$A51-MIN($A51,Model_Baseline!Z17*Assumptions!$E$30)),Model_Baseline!Z21*Assumptions!$E$37))/Assumptions!$E$21)^Assumptions!$E$25*Assumptions!$E$43)*Assumptions!$E$49),0)</f>
        <v>233.415369220508</v>
      </c>
      <c r="C51" s="63" t="n">
        <f aca="false">IFERROR($A51/((MIN($A51,Model_No_Partner!Z17*Assumptions!$E$30)/Assumptions!$E$30*Assumptions!$E$31*Assumptions!$E$32+MIN(MAX(0,$A51-MIN($A51,Model_No_Partner!Z17*Assumptions!$E$30)),Model_No_Partner!Z21*Assumptions!$E$37)/Assumptions!$E$37*Assumptions!$E$38*Assumptions!$E$39+(Assumptions!$E$21/(Assumptions!$E$41*Assumptions!$G$42))*(MAX(0,$A51-MIN($A51,Model_No_Partner!Z17*Assumptions!$E$30)-MIN(MAX(0,$A51-MIN($A51,Model_No_Partner!Z17*Assumptions!$E$30)),Model_No_Partner!Z21*Assumptions!$E$37))/Assumptions!$E$21)^Assumptions!$E$25*Assumptions!$E$43)*Assumptions!$E$49),0)</f>
        <v>317.314091610835</v>
      </c>
      <c r="D51" s="51" t="n">
        <f aca="false">C51-B51</f>
        <v>83.8987223903271</v>
      </c>
      <c r="E51" s="52" t="n">
        <f aca="false">IFERROR((C51-B51)/C51,0)</f>
        <v>0.264402762462952</v>
      </c>
    </row>
    <row r="52" customFormat="false" ht="15" hidden="false" customHeight="false" outlineLevel="0" collapsed="false">
      <c r="A52" s="53" t="n">
        <v>1000000</v>
      </c>
      <c r="B52" s="63" t="n">
        <f aca="false">IFERROR($A52/((MIN($A52,Model_Baseline!Z17*Assumptions!$E$30)/Assumptions!$E$30*Assumptions!$E$31*Assumptions!$E$32+MIN(MAX(0,$A52-MIN($A52,Model_Baseline!Z17*Assumptions!$E$30)),Model_Baseline!Z21*Assumptions!$E$37)/Assumptions!$E$37*Assumptions!$E$38*Assumptions!$E$39+(Assumptions!$E$21/(Assumptions!$E$41*Assumptions!$E$42))*(MAX(0,$A52-MIN($A52,Model_Baseline!Z17*Assumptions!$E$30)-MIN(MAX(0,$A52-MIN($A52,Model_Baseline!Z17*Assumptions!$E$30)),Model_Baseline!Z21*Assumptions!$E$37))/Assumptions!$E$21)^Assumptions!$E$25*Assumptions!$E$43)*Assumptions!$E$49),0)</f>
        <v>289.635016425191</v>
      </c>
      <c r="C52" s="63" t="n">
        <f aca="false">IFERROR($A52/((MIN($A52,Model_No_Partner!Z17*Assumptions!$E$30)/Assumptions!$E$30*Assumptions!$E$31*Assumptions!$E$32+MIN(MAX(0,$A52-MIN($A52,Model_No_Partner!Z17*Assumptions!$E$30)),Model_No_Partner!Z21*Assumptions!$E$37)/Assumptions!$E$37*Assumptions!$E$38*Assumptions!$E$39+(Assumptions!$E$21/(Assumptions!$E$41*Assumptions!$G$42))*(MAX(0,$A52-MIN($A52,Model_No_Partner!Z17*Assumptions!$E$30)-MIN(MAX(0,$A52-MIN($A52,Model_No_Partner!Z17*Assumptions!$E$30)),Model_No_Partner!Z21*Assumptions!$E$37))/Assumptions!$E$21)^Assumptions!$E$25*Assumptions!$E$43)*Assumptions!$E$49),0)</f>
        <v>383.463555750519</v>
      </c>
      <c r="D52" s="51" t="n">
        <f aca="false">C52-B52</f>
        <v>93.8285393253286</v>
      </c>
      <c r="E52" s="52" t="n">
        <f aca="false">IFERROR((C52-B52)/C52,0)</f>
        <v>0.244686979813991</v>
      </c>
    </row>
    <row r="53" customFormat="false" ht="15" hidden="false" customHeight="false" outlineLevel="0" collapsed="false">
      <c r="A53" s="53" t="n">
        <v>2500000</v>
      </c>
      <c r="B53" s="63" t="n">
        <f aca="false">IFERROR($A53/((MIN($A53,Model_Baseline!Z17*Assumptions!$E$30)/Assumptions!$E$30*Assumptions!$E$31*Assumptions!$E$32+MIN(MAX(0,$A53-MIN($A53,Model_Baseline!Z17*Assumptions!$E$30)),Model_Baseline!Z21*Assumptions!$E$37)/Assumptions!$E$37*Assumptions!$E$38*Assumptions!$E$39+(Assumptions!$E$21/(Assumptions!$E$41*Assumptions!$E$42))*(MAX(0,$A53-MIN($A53,Model_Baseline!Z17*Assumptions!$E$30)-MIN(MAX(0,$A53-MIN($A53,Model_Baseline!Z17*Assumptions!$E$30)),Model_Baseline!Z21*Assumptions!$E$37))/Assumptions!$E$21)^Assumptions!$E$25*Assumptions!$E$43)*Assumptions!$E$49),0)</f>
        <v>379.486207971281</v>
      </c>
      <c r="C53" s="63" t="n">
        <f aca="false">IFERROR($A53/((MIN($A53,Model_No_Partner!Z17*Assumptions!$E$30)/Assumptions!$E$30*Assumptions!$E$31*Assumptions!$E$32+MIN(MAX(0,$A53-MIN($A53,Model_No_Partner!Z17*Assumptions!$E$30)),Model_No_Partner!Z21*Assumptions!$E$37)/Assumptions!$E$37*Assumptions!$E$38*Assumptions!$E$39+(Assumptions!$E$21/(Assumptions!$E$41*Assumptions!$G$42))*(MAX(0,$A53-MIN($A53,Model_No_Partner!Z17*Assumptions!$E$30)-MIN(MAX(0,$A53-MIN($A53,Model_No_Partner!Z17*Assumptions!$E$30)),Model_No_Partner!Z21*Assumptions!$E$37))/Assumptions!$E$21)^Assumptions!$E$25*Assumptions!$E$43)*Assumptions!$E$49),0)</f>
        <v>490.29440891888</v>
      </c>
      <c r="D53" s="51" t="n">
        <f aca="false">C53-B53</f>
        <v>110.808200947599</v>
      </c>
      <c r="E53" s="52" t="n">
        <f aca="false">IFERROR((C53-B53)/C53,0)</f>
        <v>0.226003394964132</v>
      </c>
    </row>
    <row r="55" customFormat="false" ht="39.75" hidden="false" customHeight="true" outlineLevel="0" collapsed="false">
      <c r="A55" s="58" t="s">
        <v>463</v>
      </c>
      <c r="B55" s="58"/>
      <c r="C55" s="58"/>
      <c r="D55" s="58"/>
      <c r="E55" s="58"/>
      <c r="F55" s="58"/>
      <c r="G55" s="58"/>
      <c r="H55" s="58"/>
    </row>
  </sheetData>
  <mergeCells count="6">
    <mergeCell ref="A2:H2"/>
    <mergeCell ref="A15:H15"/>
    <mergeCell ref="A19:H19"/>
    <mergeCell ref="A30:H30"/>
    <mergeCell ref="A43:H43"/>
    <mergeCell ref="A55:H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4" min="2" style="0" width="20"/>
  </cols>
  <sheetData>
    <row r="1" customFormat="false" ht="17.35" hidden="false" customHeight="false" outlineLevel="0" collapsed="false">
      <c r="A1" s="4" t="s">
        <v>464</v>
      </c>
    </row>
    <row r="2" customFormat="false" ht="43.5" hidden="false" customHeight="true" outlineLevel="0" collapsed="false">
      <c r="A2" s="5" t="s">
        <v>465</v>
      </c>
      <c r="B2" s="5"/>
      <c r="C2" s="5"/>
      <c r="D2" s="5"/>
      <c r="E2" s="5"/>
    </row>
    <row r="4" customFormat="false" ht="64.15" hidden="false" customHeight="false" outlineLevel="0" collapsed="false">
      <c r="A4" s="37" t="s">
        <v>466</v>
      </c>
      <c r="C4" s="22" t="n">
        <v>3</v>
      </c>
      <c r="D4" s="13" t="s">
        <v>467</v>
      </c>
    </row>
    <row r="6" customFormat="false" ht="15" hidden="false" customHeight="false" outlineLevel="0" collapsed="false">
      <c r="A6" s="50" t="s">
        <v>468</v>
      </c>
      <c r="B6" s="50" t="s">
        <v>26</v>
      </c>
      <c r="C6" s="50" t="s">
        <v>27</v>
      </c>
      <c r="D6" s="50" t="s">
        <v>28</v>
      </c>
    </row>
    <row r="7" customFormat="false" ht="15" hidden="false" customHeight="false" outlineLevel="0" collapsed="false">
      <c r="A7" s="37" t="s">
        <v>469</v>
      </c>
      <c r="B7" s="38" t="n">
        <f aca="false">-SUM(Model_Conservative!C85:AL85)</f>
        <v>-0</v>
      </c>
      <c r="C7" s="38" t="n">
        <f aca="false">-SUM(Model_Baseline!C85:AL85)</f>
        <v>525000</v>
      </c>
      <c r="D7" s="38" t="n">
        <f aca="false">-SUM(Model_Aggressive!C85:AL85)</f>
        <v>875000</v>
      </c>
    </row>
    <row r="8" customFormat="false" ht="15" hidden="false" customHeight="false" outlineLevel="0" collapsed="false">
      <c r="A8" s="37" t="s">
        <v>470</v>
      </c>
      <c r="B8" s="38" t="n">
        <f aca="false">-SUM(Model_Conservative!C86:AL86)</f>
        <v>82388.6942162683</v>
      </c>
      <c r="C8" s="38" t="n">
        <f aca="false">-SUM(Model_Baseline!C86:AL86)</f>
        <v>1589794.59456426</v>
      </c>
      <c r="D8" s="38" t="n">
        <f aca="false">-SUM(Model_Aggressive!C86:AL86)</f>
        <v>28106264.1336497</v>
      </c>
    </row>
    <row r="9" customFormat="false" ht="15" hidden="false" customHeight="false" outlineLevel="0" collapsed="false">
      <c r="A9" s="37" t="s">
        <v>471</v>
      </c>
      <c r="B9" s="38" t="n">
        <f aca="false">B7+B8</f>
        <v>82388.6942162683</v>
      </c>
      <c r="C9" s="38" t="n">
        <f aca="false">C7+C8</f>
        <v>2114794.59456426</v>
      </c>
      <c r="D9" s="38" t="n">
        <f aca="false">D7+D8</f>
        <v>28981264.1336497</v>
      </c>
    </row>
    <row r="10" customFormat="false" ht="15" hidden="false" customHeight="false" outlineLevel="0" collapsed="false">
      <c r="A10" s="37" t="s">
        <v>472</v>
      </c>
      <c r="B10" s="38" t="n">
        <f aca="false">-SUM(Model_Conservative!AA86:AL86)</f>
        <v>35541.6949555962</v>
      </c>
      <c r="C10" s="38" t="n">
        <f aca="false">-SUM(Model_Baseline!AA86:AL86)</f>
        <v>775904.48431904</v>
      </c>
      <c r="D10" s="38" t="n">
        <f aca="false">-SUM(Model_Aggressive!AA86:AL86)</f>
        <v>16536750.6445771</v>
      </c>
    </row>
    <row r="11" customFormat="false" ht="15" hidden="false" customHeight="false" outlineLevel="0" collapsed="false">
      <c r="A11" s="37" t="s">
        <v>473</v>
      </c>
      <c r="B11" s="40" t="n">
        <f aca="false">Assumptions!$D$100</f>
        <v>0.1</v>
      </c>
      <c r="C11" s="40" t="n">
        <f aca="false">Assumptions!$E$100</f>
        <v>0.15</v>
      </c>
      <c r="D11" s="40" t="n">
        <f aca="false">Assumptions!$F$100</f>
        <v>0.2</v>
      </c>
    </row>
    <row r="12" customFormat="false" ht="15" hidden="false" customHeight="false" outlineLevel="0" collapsed="false">
      <c r="A12" s="37" t="s">
        <v>474</v>
      </c>
      <c r="B12" s="38" t="n">
        <f aca="false">Summary!B7*$C$4*B11</f>
        <v>213250.169733577</v>
      </c>
      <c r="C12" s="38" t="n">
        <f aca="false">Summary!C7*$C$4*C11</f>
        <v>6983140.35887136</v>
      </c>
      <c r="D12" s="38" t="n">
        <f aca="false">Summary!D7*$C$4*D11</f>
        <v>198441007.734925</v>
      </c>
    </row>
    <row r="13" customFormat="false" ht="15" hidden="false" customHeight="false" outlineLevel="0" collapsed="false">
      <c r="A13" s="37" t="s">
        <v>475</v>
      </c>
      <c r="B13" s="38" t="n">
        <f aca="false">B9+B12</f>
        <v>295638.863949845</v>
      </c>
      <c r="C13" s="38" t="n">
        <f aca="false">C9+C12</f>
        <v>9097934.95343562</v>
      </c>
      <c r="D13" s="38" t="n">
        <f aca="false">D9+D12</f>
        <v>227422271.868575</v>
      </c>
    </row>
    <row r="14" customFormat="false" ht="15" hidden="false" customHeight="false" outlineLevel="0" collapsed="false">
      <c r="A14" s="37" t="s">
        <v>476</v>
      </c>
      <c r="B14" s="40" t="n">
        <f aca="false">IFERROR(B9/Summary!B8,0)</f>
        <v>0.05</v>
      </c>
      <c r="C14" s="40" t="n">
        <f aca="false">IFERROR(C9/Summary!C8,0)</f>
        <v>0.0665115670224019</v>
      </c>
      <c r="D14" s="40" t="n">
        <f aca="false">IFERROR(D9/Summary!D8,0)</f>
        <v>0.0515565925016559</v>
      </c>
    </row>
    <row r="16" customFormat="false" ht="15" hidden="false" customHeight="false" outlineLevel="0" collapsed="false">
      <c r="A16" s="2" t="s">
        <v>477</v>
      </c>
    </row>
    <row r="17" customFormat="false" ht="60" hidden="false" customHeight="true" outlineLevel="0" collapsed="false">
      <c r="A17" s="58" t="s">
        <v>478</v>
      </c>
      <c r="B17" s="58"/>
      <c r="C17" s="58"/>
      <c r="D17" s="58"/>
    </row>
    <row r="18" customFormat="false" ht="60" hidden="false" customHeight="true" outlineLevel="0" collapsed="false">
      <c r="A18" s="58" t="s">
        <v>479</v>
      </c>
      <c r="B18" s="58"/>
      <c r="C18" s="58"/>
      <c r="D18" s="58"/>
    </row>
    <row r="19" customFormat="false" ht="60" hidden="false" customHeight="true" outlineLevel="0" collapsed="false">
      <c r="A19" s="58" t="s">
        <v>480</v>
      </c>
      <c r="B19" s="58"/>
      <c r="C19" s="58"/>
      <c r="D19" s="58"/>
    </row>
    <row r="20" customFormat="false" ht="60" hidden="false" customHeight="true" outlineLevel="0" collapsed="false">
      <c r="A20" s="58" t="s">
        <v>481</v>
      </c>
      <c r="B20" s="58"/>
      <c r="C20" s="58"/>
      <c r="D20" s="58"/>
    </row>
    <row r="21" customFormat="false" ht="60" hidden="false" customHeight="true" outlineLevel="0" collapsed="false">
      <c r="A21" s="58" t="s">
        <v>482</v>
      </c>
      <c r="B21" s="58"/>
      <c r="C21" s="58"/>
      <c r="D21" s="58"/>
    </row>
  </sheetData>
  <mergeCells count="6">
    <mergeCell ref="A2:E2"/>
    <mergeCell ref="A17:D17"/>
    <mergeCell ref="A18:D18"/>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78"/>
    <col collapsed="false" customWidth="true" hidden="false" outlineLevel="0" max="4" min="4" style="0" width="12"/>
  </cols>
  <sheetData>
    <row r="1" customFormat="false" ht="17.35" hidden="false" customHeight="false" outlineLevel="0" collapsed="false">
      <c r="A1" s="4" t="s">
        <v>483</v>
      </c>
    </row>
    <row r="2" customFormat="false" ht="39.75" hidden="false" customHeight="true" outlineLevel="0" collapsed="false">
      <c r="A2" s="5" t="s">
        <v>484</v>
      </c>
      <c r="B2" s="5"/>
      <c r="C2" s="5"/>
      <c r="D2" s="5"/>
    </row>
    <row r="4" customFormat="false" ht="15" hidden="false" customHeight="false" outlineLevel="0" collapsed="false">
      <c r="A4" s="50" t="s">
        <v>51</v>
      </c>
      <c r="B4" s="50" t="s">
        <v>485</v>
      </c>
      <c r="C4" s="50" t="s">
        <v>486</v>
      </c>
      <c r="D4" s="50" t="s">
        <v>487</v>
      </c>
    </row>
    <row r="5" customFormat="false" ht="57.75" hidden="false" customHeight="true" outlineLevel="0" collapsed="false">
      <c r="A5" s="37" t="n">
        <v>1</v>
      </c>
      <c r="B5" s="64" t="s">
        <v>488</v>
      </c>
      <c r="C5" s="13" t="s">
        <v>489</v>
      </c>
      <c r="D5" s="10" t="s">
        <v>490</v>
      </c>
    </row>
    <row r="6" customFormat="false" ht="57.75" hidden="false" customHeight="true" outlineLevel="0" collapsed="false">
      <c r="A6" s="37" t="n">
        <v>2</v>
      </c>
      <c r="B6" s="64" t="s">
        <v>491</v>
      </c>
      <c r="C6" s="13" t="s">
        <v>492</v>
      </c>
      <c r="D6" s="10" t="s">
        <v>490</v>
      </c>
    </row>
    <row r="7" customFormat="false" ht="57.75" hidden="false" customHeight="true" outlineLevel="0" collapsed="false">
      <c r="A7" s="37" t="n">
        <v>3</v>
      </c>
      <c r="B7" s="64" t="s">
        <v>493</v>
      </c>
      <c r="C7" s="13" t="s">
        <v>494</v>
      </c>
      <c r="D7" s="10" t="s">
        <v>490</v>
      </c>
    </row>
    <row r="8" customFormat="false" ht="57.75" hidden="false" customHeight="true" outlineLevel="0" collapsed="false">
      <c r="A8" s="37" t="n">
        <v>4</v>
      </c>
      <c r="B8" s="64" t="s">
        <v>495</v>
      </c>
      <c r="C8" s="13" t="s">
        <v>496</v>
      </c>
      <c r="D8" s="10" t="s">
        <v>490</v>
      </c>
    </row>
    <row r="9" customFormat="false" ht="57.75" hidden="false" customHeight="true" outlineLevel="0" collapsed="false">
      <c r="A9" s="37" t="n">
        <v>5</v>
      </c>
      <c r="B9" s="64" t="s">
        <v>497</v>
      </c>
      <c r="C9" s="13" t="s">
        <v>498</v>
      </c>
      <c r="D9" s="10" t="s">
        <v>490</v>
      </c>
    </row>
    <row r="10" customFormat="false" ht="57.75" hidden="false" customHeight="true" outlineLevel="0" collapsed="false">
      <c r="A10" s="37" t="n">
        <v>6</v>
      </c>
      <c r="B10" s="64" t="s">
        <v>499</v>
      </c>
      <c r="C10" s="13" t="s">
        <v>500</v>
      </c>
      <c r="D10" s="10" t="s">
        <v>490</v>
      </c>
    </row>
    <row r="11" customFormat="false" ht="57.75" hidden="false" customHeight="true" outlineLevel="0" collapsed="false">
      <c r="A11" s="37" t="n">
        <v>7</v>
      </c>
      <c r="B11" s="64" t="s">
        <v>501</v>
      </c>
      <c r="C11" s="13" t="s">
        <v>502</v>
      </c>
      <c r="D11" s="10" t="s">
        <v>490</v>
      </c>
    </row>
    <row r="12" customFormat="false" ht="57.75" hidden="false" customHeight="true" outlineLevel="0" collapsed="false">
      <c r="A12" s="37" t="n">
        <v>8</v>
      </c>
      <c r="B12" s="64" t="s">
        <v>503</v>
      </c>
      <c r="C12" s="13" t="s">
        <v>504</v>
      </c>
      <c r="D12" s="10" t="s">
        <v>490</v>
      </c>
    </row>
    <row r="13" customFormat="false" ht="57.75" hidden="false" customHeight="true" outlineLevel="0" collapsed="false">
      <c r="A13" s="37" t="n">
        <v>9</v>
      </c>
      <c r="B13" s="64" t="s">
        <v>505</v>
      </c>
      <c r="C13" s="13" t="s">
        <v>506</v>
      </c>
      <c r="D13" s="10" t="s">
        <v>490</v>
      </c>
    </row>
    <row r="14" customFormat="false" ht="57.75" hidden="false" customHeight="true" outlineLevel="0" collapsed="false">
      <c r="A14" s="37" t="n">
        <v>10</v>
      </c>
      <c r="B14" s="64" t="s">
        <v>507</v>
      </c>
      <c r="C14" s="13" t="s">
        <v>508</v>
      </c>
      <c r="D14" s="10" t="s">
        <v>490</v>
      </c>
    </row>
    <row r="15" customFormat="false" ht="57.75" hidden="false" customHeight="true" outlineLevel="0" collapsed="false">
      <c r="A15" s="37" t="n">
        <v>11</v>
      </c>
      <c r="B15" s="64" t="s">
        <v>509</v>
      </c>
      <c r="C15" s="13" t="s">
        <v>510</v>
      </c>
      <c r="D15" s="10" t="s">
        <v>490</v>
      </c>
    </row>
    <row r="16" customFormat="false" ht="57.75" hidden="false" customHeight="true" outlineLevel="0" collapsed="false">
      <c r="A16" s="37" t="n">
        <v>12</v>
      </c>
      <c r="B16" s="64" t="s">
        <v>511</v>
      </c>
      <c r="C16" s="13" t="s">
        <v>512</v>
      </c>
      <c r="D16" s="10" t="s">
        <v>490</v>
      </c>
    </row>
    <row r="17" customFormat="false" ht="57.75" hidden="false" customHeight="true" outlineLevel="0" collapsed="false">
      <c r="A17" s="37" t="n">
        <v>13</v>
      </c>
      <c r="B17" s="64" t="s">
        <v>513</v>
      </c>
      <c r="C17" s="13" t="s">
        <v>514</v>
      </c>
      <c r="D17" s="10" t="s">
        <v>490</v>
      </c>
    </row>
    <row r="18" customFormat="false" ht="57.75" hidden="false" customHeight="true" outlineLevel="0" collapsed="false">
      <c r="A18" s="37" t="n">
        <v>14</v>
      </c>
      <c r="B18" s="64" t="s">
        <v>515</v>
      </c>
      <c r="C18" s="13" t="s">
        <v>516</v>
      </c>
      <c r="D18" s="10" t="s">
        <v>490</v>
      </c>
    </row>
    <row r="19" customFormat="false" ht="57.75" hidden="false" customHeight="true" outlineLevel="0" collapsed="false">
      <c r="A19" s="37" t="n">
        <v>15</v>
      </c>
      <c r="B19" s="64" t="s">
        <v>517</v>
      </c>
      <c r="C19" s="13" t="s">
        <v>518</v>
      </c>
      <c r="D19" s="10" t="s">
        <v>490</v>
      </c>
    </row>
    <row r="20" customFormat="false" ht="57.75" hidden="false" customHeight="true" outlineLevel="0" collapsed="false">
      <c r="A20" s="37" t="n">
        <v>16</v>
      </c>
      <c r="B20" s="64" t="s">
        <v>519</v>
      </c>
      <c r="C20" s="13" t="s">
        <v>520</v>
      </c>
      <c r="D20" s="10" t="s">
        <v>490</v>
      </c>
    </row>
    <row r="21" customFormat="false" ht="57.75" hidden="false" customHeight="true" outlineLevel="0" collapsed="false">
      <c r="A21" s="37" t="n">
        <v>17</v>
      </c>
      <c r="B21" s="64" t="s">
        <v>521</v>
      </c>
      <c r="C21" s="13" t="s">
        <v>522</v>
      </c>
      <c r="D21" s="10" t="s">
        <v>490</v>
      </c>
    </row>
    <row r="22" customFormat="false" ht="57.75" hidden="false" customHeight="true" outlineLevel="0" collapsed="false">
      <c r="A22" s="37" t="n">
        <v>18</v>
      </c>
      <c r="B22" s="64" t="s">
        <v>523</v>
      </c>
      <c r="C22" s="13" t="s">
        <v>524</v>
      </c>
      <c r="D22" s="10" t="s">
        <v>490</v>
      </c>
    </row>
    <row r="23" customFormat="false" ht="57.75" hidden="false" customHeight="true" outlineLevel="0" collapsed="false">
      <c r="A23" s="37" t="n">
        <v>19</v>
      </c>
      <c r="B23" s="64" t="s">
        <v>525</v>
      </c>
      <c r="C23" s="13" t="s">
        <v>526</v>
      </c>
      <c r="D23" s="10" t="s">
        <v>490</v>
      </c>
    </row>
    <row r="24" customFormat="false" ht="57.75" hidden="false" customHeight="true" outlineLevel="0" collapsed="false">
      <c r="A24" s="37" t="n">
        <v>20</v>
      </c>
      <c r="B24" s="64" t="s">
        <v>527</v>
      </c>
      <c r="C24" s="13" t="s">
        <v>528</v>
      </c>
      <c r="D24" s="10" t="s">
        <v>490</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62"/>
    <col collapsed="false" customWidth="true" hidden="false" outlineLevel="0" max="4" min="4" style="0" width="58"/>
    <col collapsed="false" customWidth="true" hidden="false" outlineLevel="0" max="5" min="5" style="0" width="14"/>
    <col collapsed="false" customWidth="true" hidden="false" outlineLevel="0" max="6" min="6" style="0" width="46"/>
  </cols>
  <sheetData>
    <row r="1" customFormat="false" ht="17.35" hidden="false" customHeight="false" outlineLevel="0" collapsed="false">
      <c r="A1" s="4" t="s">
        <v>529</v>
      </c>
    </row>
    <row r="2" customFormat="false" ht="39.75" hidden="false" customHeight="true" outlineLevel="0" collapsed="false">
      <c r="A2" s="5" t="s">
        <v>530</v>
      </c>
      <c r="B2" s="5"/>
      <c r="C2" s="5"/>
      <c r="D2" s="5"/>
      <c r="E2" s="5"/>
      <c r="F2" s="5"/>
    </row>
    <row r="4" customFormat="false" ht="15" hidden="false" customHeight="false" outlineLevel="0" collapsed="false">
      <c r="A4" s="50" t="s">
        <v>531</v>
      </c>
      <c r="B4" s="50" t="s">
        <v>532</v>
      </c>
      <c r="C4" s="50" t="s">
        <v>533</v>
      </c>
      <c r="D4" s="50" t="s">
        <v>534</v>
      </c>
      <c r="E4" s="50" t="s">
        <v>33</v>
      </c>
      <c r="F4" s="50" t="s">
        <v>535</v>
      </c>
    </row>
    <row r="5" customFormat="false" ht="91.5" hidden="false" customHeight="true" outlineLevel="0" collapsed="false">
      <c r="A5" s="37" t="s">
        <v>536</v>
      </c>
      <c r="B5" s="64" t="s">
        <v>537</v>
      </c>
      <c r="C5" s="13" t="s">
        <v>538</v>
      </c>
      <c r="D5" s="13" t="s">
        <v>539</v>
      </c>
      <c r="E5" s="64" t="s">
        <v>540</v>
      </c>
      <c r="F5" s="65" t="s">
        <v>541</v>
      </c>
    </row>
    <row r="6" customFormat="false" ht="91.5" hidden="false" customHeight="true" outlineLevel="0" collapsed="false">
      <c r="A6" s="37" t="s">
        <v>542</v>
      </c>
      <c r="B6" s="64" t="s">
        <v>543</v>
      </c>
      <c r="C6" s="13" t="s">
        <v>544</v>
      </c>
      <c r="D6" s="13" t="s">
        <v>545</v>
      </c>
      <c r="E6" s="64" t="s">
        <v>540</v>
      </c>
      <c r="F6" s="65" t="s">
        <v>546</v>
      </c>
    </row>
    <row r="7" customFormat="false" ht="91.5" hidden="false" customHeight="true" outlineLevel="0" collapsed="false">
      <c r="A7" s="37" t="s">
        <v>547</v>
      </c>
      <c r="B7" s="64" t="s">
        <v>548</v>
      </c>
      <c r="C7" s="13" t="s">
        <v>549</v>
      </c>
      <c r="D7" s="13" t="s">
        <v>550</v>
      </c>
      <c r="E7" s="64" t="s">
        <v>551</v>
      </c>
      <c r="F7" s="65" t="s">
        <v>552</v>
      </c>
    </row>
    <row r="8" customFormat="false" ht="91.5" hidden="false" customHeight="true" outlineLevel="0" collapsed="false">
      <c r="A8" s="37" t="s">
        <v>553</v>
      </c>
      <c r="B8" s="64" t="s">
        <v>554</v>
      </c>
      <c r="C8" s="13" t="s">
        <v>555</v>
      </c>
      <c r="D8" s="13" t="s">
        <v>556</v>
      </c>
      <c r="E8" s="64" t="s">
        <v>42</v>
      </c>
      <c r="F8" s="65" t="s">
        <v>557</v>
      </c>
    </row>
    <row r="9" customFormat="false" ht="91.5" hidden="false" customHeight="true" outlineLevel="0" collapsed="false">
      <c r="A9" s="37" t="s">
        <v>558</v>
      </c>
      <c r="B9" s="64" t="s">
        <v>559</v>
      </c>
      <c r="C9" s="13" t="s">
        <v>560</v>
      </c>
      <c r="D9" s="13" t="s">
        <v>561</v>
      </c>
      <c r="E9" s="64" t="s">
        <v>42</v>
      </c>
      <c r="F9" s="65" t="s">
        <v>562</v>
      </c>
    </row>
    <row r="10" customFormat="false" ht="91.5" hidden="false" customHeight="true" outlineLevel="0" collapsed="false">
      <c r="A10" s="37" t="s">
        <v>563</v>
      </c>
      <c r="B10" s="64" t="s">
        <v>564</v>
      </c>
      <c r="C10" s="13" t="s">
        <v>565</v>
      </c>
      <c r="D10" s="13" t="s">
        <v>566</v>
      </c>
      <c r="E10" s="64" t="s">
        <v>42</v>
      </c>
      <c r="F10" s="65" t="s">
        <v>567</v>
      </c>
    </row>
    <row r="11" customFormat="false" ht="91.5" hidden="false" customHeight="true" outlineLevel="0" collapsed="false">
      <c r="A11" s="37" t="s">
        <v>568</v>
      </c>
      <c r="B11" s="64" t="s">
        <v>569</v>
      </c>
      <c r="C11" s="13" t="s">
        <v>570</v>
      </c>
      <c r="D11" s="13" t="s">
        <v>571</v>
      </c>
      <c r="E11" s="64" t="s">
        <v>572</v>
      </c>
      <c r="F11" s="65" t="s">
        <v>573</v>
      </c>
    </row>
    <row r="12" customFormat="false" ht="91.5" hidden="false" customHeight="true" outlineLevel="0" collapsed="false">
      <c r="A12" s="37" t="s">
        <v>574</v>
      </c>
      <c r="B12" s="64" t="s">
        <v>575</v>
      </c>
      <c r="C12" s="13" t="s">
        <v>576</v>
      </c>
      <c r="D12" s="13" t="s">
        <v>577</v>
      </c>
      <c r="E12" s="64" t="s">
        <v>42</v>
      </c>
      <c r="F12" s="65" t="s">
        <v>578</v>
      </c>
    </row>
    <row r="13" customFormat="false" ht="91.5" hidden="false" customHeight="true" outlineLevel="0" collapsed="false">
      <c r="A13" s="37" t="s">
        <v>579</v>
      </c>
      <c r="B13" s="64" t="s">
        <v>580</v>
      </c>
      <c r="C13" s="13" t="s">
        <v>581</v>
      </c>
      <c r="D13" s="13" t="s">
        <v>582</v>
      </c>
      <c r="E13" s="64" t="s">
        <v>583</v>
      </c>
      <c r="F13" s="65" t="s">
        <v>584</v>
      </c>
    </row>
    <row r="14" customFormat="false" ht="91.5" hidden="false" customHeight="true" outlineLevel="0" collapsed="false">
      <c r="A14" s="37" t="s">
        <v>585</v>
      </c>
      <c r="B14" s="64" t="s">
        <v>586</v>
      </c>
      <c r="C14" s="13" t="s">
        <v>587</v>
      </c>
      <c r="D14" s="13" t="s">
        <v>588</v>
      </c>
      <c r="E14" s="64" t="s">
        <v>589</v>
      </c>
      <c r="F14" s="65" t="s">
        <v>590</v>
      </c>
    </row>
    <row r="15" customFormat="false" ht="91.5" hidden="false" customHeight="true" outlineLevel="0" collapsed="false">
      <c r="A15" s="37" t="s">
        <v>591</v>
      </c>
      <c r="B15" s="64" t="s">
        <v>592</v>
      </c>
      <c r="C15" s="13" t="s">
        <v>593</v>
      </c>
      <c r="D15" s="13" t="s">
        <v>594</v>
      </c>
      <c r="E15" s="64" t="s">
        <v>42</v>
      </c>
      <c r="F15" s="65" t="s">
        <v>595</v>
      </c>
    </row>
    <row r="16" customFormat="false" ht="91.5" hidden="false" customHeight="true" outlineLevel="0" collapsed="false">
      <c r="A16" s="37" t="s">
        <v>596</v>
      </c>
      <c r="B16" s="64" t="s">
        <v>597</v>
      </c>
      <c r="C16" s="13" t="s">
        <v>598</v>
      </c>
      <c r="D16" s="13" t="s">
        <v>599</v>
      </c>
      <c r="E16" s="64" t="s">
        <v>600</v>
      </c>
      <c r="F16" s="65" t="s">
        <v>601</v>
      </c>
    </row>
    <row r="17" customFormat="false" ht="91.5" hidden="false" customHeight="true" outlineLevel="0" collapsed="false">
      <c r="A17" s="37" t="s">
        <v>602</v>
      </c>
      <c r="B17" s="64" t="s">
        <v>603</v>
      </c>
      <c r="C17" s="13" t="s">
        <v>604</v>
      </c>
      <c r="D17" s="13" t="s">
        <v>605</v>
      </c>
      <c r="E17" s="64" t="s">
        <v>606</v>
      </c>
      <c r="F17" s="65" t="s">
        <v>607</v>
      </c>
    </row>
    <row r="18" customFormat="false" ht="91.5" hidden="false" customHeight="true" outlineLevel="0" collapsed="false">
      <c r="A18" s="37" t="s">
        <v>608</v>
      </c>
      <c r="B18" s="64" t="s">
        <v>609</v>
      </c>
      <c r="C18" s="13" t="s">
        <v>610</v>
      </c>
      <c r="D18" s="13" t="s">
        <v>611</v>
      </c>
      <c r="E18" s="64" t="s">
        <v>612</v>
      </c>
      <c r="F18" s="65" t="s">
        <v>613</v>
      </c>
    </row>
    <row r="19" customFormat="false" ht="91.5" hidden="false" customHeight="true" outlineLevel="0" collapsed="false">
      <c r="A19" s="37" t="s">
        <v>614</v>
      </c>
      <c r="B19" s="64" t="s">
        <v>615</v>
      </c>
      <c r="C19" s="13" t="s">
        <v>616</v>
      </c>
      <c r="D19" s="13" t="s">
        <v>617</v>
      </c>
      <c r="E19" s="64" t="s">
        <v>42</v>
      </c>
      <c r="F19" s="65" t="s">
        <v>618</v>
      </c>
    </row>
    <row r="20" customFormat="false" ht="91.5" hidden="false" customHeight="true" outlineLevel="0" collapsed="false">
      <c r="A20" s="37" t="s">
        <v>619</v>
      </c>
      <c r="B20" s="64" t="s">
        <v>620</v>
      </c>
      <c r="C20" s="13" t="s">
        <v>621</v>
      </c>
      <c r="D20" s="13" t="s">
        <v>622</v>
      </c>
      <c r="E20" s="64" t="s">
        <v>623</v>
      </c>
      <c r="F20" s="65" t="s">
        <v>624</v>
      </c>
    </row>
    <row r="21" customFormat="false" ht="91.5" hidden="false" customHeight="true" outlineLevel="0" collapsed="false">
      <c r="A21" s="37" t="s">
        <v>625</v>
      </c>
      <c r="B21" s="64" t="s">
        <v>626</v>
      </c>
      <c r="C21" s="13" t="s">
        <v>627</v>
      </c>
      <c r="D21" s="13" t="s">
        <v>628</v>
      </c>
      <c r="E21" s="64" t="s">
        <v>629</v>
      </c>
      <c r="F21" s="65" t="s">
        <v>630</v>
      </c>
    </row>
    <row r="22" customFormat="false" ht="91.5" hidden="false" customHeight="true" outlineLevel="0" collapsed="false">
      <c r="A22" s="37" t="s">
        <v>631</v>
      </c>
      <c r="B22" s="64" t="s">
        <v>632</v>
      </c>
      <c r="C22" s="13" t="s">
        <v>633</v>
      </c>
      <c r="D22" s="13" t="s">
        <v>634</v>
      </c>
      <c r="E22" s="64" t="s">
        <v>635</v>
      </c>
      <c r="F22" s="65" t="s">
        <v>636</v>
      </c>
    </row>
    <row r="23" customFormat="false" ht="91.5" hidden="false" customHeight="true" outlineLevel="0" collapsed="false">
      <c r="A23" s="37" t="s">
        <v>637</v>
      </c>
      <c r="B23" s="64" t="s">
        <v>638</v>
      </c>
      <c r="C23" s="13" t="s">
        <v>639</v>
      </c>
      <c r="D23" s="13" t="s">
        <v>640</v>
      </c>
      <c r="E23" s="64" t="s">
        <v>641</v>
      </c>
      <c r="F23" s="65" t="s">
        <v>642</v>
      </c>
    </row>
    <row r="24" customFormat="false" ht="91.5" hidden="false" customHeight="true" outlineLevel="0" collapsed="false">
      <c r="A24" s="37" t="s">
        <v>643</v>
      </c>
      <c r="B24" s="64" t="s">
        <v>644</v>
      </c>
      <c r="C24" s="13" t="s">
        <v>645</v>
      </c>
      <c r="D24" s="13" t="s">
        <v>646</v>
      </c>
      <c r="E24" s="64" t="s">
        <v>647</v>
      </c>
      <c r="F24" s="65" t="s">
        <v>648</v>
      </c>
    </row>
    <row r="25" customFormat="false" ht="91.5" hidden="false" customHeight="true" outlineLevel="0" collapsed="false">
      <c r="A25" s="37" t="s">
        <v>649</v>
      </c>
      <c r="B25" s="64" t="s">
        <v>650</v>
      </c>
      <c r="C25" s="13" t="s">
        <v>651</v>
      </c>
      <c r="D25" s="13" t="s">
        <v>652</v>
      </c>
      <c r="E25" s="64" t="s">
        <v>653</v>
      </c>
      <c r="F25" s="65" t="s">
        <v>654</v>
      </c>
    </row>
    <row r="26" customFormat="false" ht="91.5" hidden="false" customHeight="true" outlineLevel="0" collapsed="false">
      <c r="A26" s="37" t="s">
        <v>655</v>
      </c>
      <c r="B26" s="64" t="s">
        <v>656</v>
      </c>
      <c r="C26" s="13" t="s">
        <v>657</v>
      </c>
      <c r="D26" s="13" t="s">
        <v>658</v>
      </c>
      <c r="E26" s="64" t="s">
        <v>659</v>
      </c>
      <c r="F26" s="65" t="s">
        <v>660</v>
      </c>
    </row>
    <row r="28" customFormat="false" ht="15" hidden="false" customHeight="false" outlineLevel="0" collapsed="false">
      <c r="A28" s="2" t="s">
        <v>661</v>
      </c>
    </row>
    <row r="29" customFormat="false" ht="30" hidden="false" customHeight="true" outlineLevel="0" collapsed="false">
      <c r="B29" s="58" t="s">
        <v>662</v>
      </c>
      <c r="C29" s="58"/>
      <c r="D29" s="58"/>
      <c r="E29" s="58"/>
      <c r="F29" s="58"/>
    </row>
    <row r="30" customFormat="false" ht="30" hidden="false" customHeight="true" outlineLevel="0" collapsed="false">
      <c r="B30" s="58" t="s">
        <v>663</v>
      </c>
      <c r="C30" s="58"/>
      <c r="D30" s="58"/>
      <c r="E30" s="58"/>
      <c r="F30" s="58"/>
    </row>
    <row r="31" customFormat="false" ht="30" hidden="false" customHeight="true" outlineLevel="0" collapsed="false">
      <c r="B31" s="58" t="s">
        <v>664</v>
      </c>
      <c r="C31" s="58"/>
      <c r="D31" s="58"/>
      <c r="E31" s="58"/>
      <c r="F31" s="58"/>
    </row>
    <row r="32" customFormat="false" ht="30" hidden="false" customHeight="true" outlineLevel="0" collapsed="false">
      <c r="B32" s="58" t="s">
        <v>665</v>
      </c>
      <c r="C32" s="58"/>
      <c r="D32" s="58"/>
      <c r="E32" s="58"/>
      <c r="F32" s="58"/>
    </row>
    <row r="33" customFormat="false" ht="30" hidden="false" customHeight="true" outlineLevel="0" collapsed="false">
      <c r="B33" s="58" t="s">
        <v>666</v>
      </c>
      <c r="C33" s="58"/>
      <c r="D33" s="58"/>
      <c r="E33" s="58"/>
      <c r="F33" s="58"/>
    </row>
    <row r="34" customFormat="false" ht="30" hidden="false" customHeight="true" outlineLevel="0" collapsed="false">
      <c r="B34" s="58" t="s">
        <v>667</v>
      </c>
      <c r="C34" s="58"/>
      <c r="D34" s="58"/>
      <c r="E34" s="58"/>
      <c r="F34" s="58"/>
    </row>
    <row r="35" customFormat="false" ht="30" hidden="false" customHeight="true" outlineLevel="0" collapsed="false">
      <c r="B35" s="58" t="s">
        <v>668</v>
      </c>
      <c r="C35" s="58"/>
      <c r="D35" s="58"/>
      <c r="E35" s="58"/>
      <c r="F35" s="58"/>
    </row>
    <row r="36" customFormat="false" ht="30" hidden="false" customHeight="true" outlineLevel="0" collapsed="false">
      <c r="B36" s="58" t="s">
        <v>669</v>
      </c>
      <c r="C36" s="58"/>
      <c r="D36" s="58"/>
      <c r="E36" s="58"/>
      <c r="F36" s="58"/>
    </row>
    <row r="37" customFormat="false" ht="30" hidden="false" customHeight="true" outlineLevel="0" collapsed="false">
      <c r="B37" s="58" t="s">
        <v>670</v>
      </c>
      <c r="C37" s="58"/>
      <c r="D37" s="58"/>
      <c r="E37" s="58"/>
      <c r="F37" s="58"/>
    </row>
  </sheetData>
  <mergeCells count="10">
    <mergeCell ref="A2:F2"/>
    <mergeCell ref="B29:F29"/>
    <mergeCell ref="B30:F30"/>
    <mergeCell ref="B31:F31"/>
    <mergeCell ref="B32:F32"/>
    <mergeCell ref="B33:F33"/>
    <mergeCell ref="B34:F34"/>
    <mergeCell ref="B35:F35"/>
    <mergeCell ref="B36:F36"/>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44"/>
    <col collapsed="false" customWidth="true" hidden="false" outlineLevel="0" max="5" min="5" style="0" width="50"/>
  </cols>
  <sheetData>
    <row r="1" customFormat="false" ht="17.35" hidden="false" customHeight="false" outlineLevel="0" collapsed="false">
      <c r="A1" s="4" t="s">
        <v>671</v>
      </c>
    </row>
    <row r="2" customFormat="false" ht="57.75" hidden="false" customHeight="true" outlineLevel="0" collapsed="false">
      <c r="A2" s="5" t="s">
        <v>672</v>
      </c>
      <c r="B2" s="5"/>
      <c r="C2" s="5"/>
      <c r="D2" s="5"/>
      <c r="E2" s="5"/>
      <c r="F2" s="5"/>
    </row>
    <row r="4" customFormat="false" ht="15" hidden="false" customHeight="false" outlineLevel="0" collapsed="false">
      <c r="A4" s="6" t="s">
        <v>673</v>
      </c>
      <c r="B4" s="6" t="s">
        <v>674</v>
      </c>
      <c r="C4" s="6" t="s">
        <v>675</v>
      </c>
      <c r="D4" s="6" t="s">
        <v>676</v>
      </c>
      <c r="E4" s="6" t="s">
        <v>677</v>
      </c>
    </row>
    <row r="5" customFormat="false" ht="103.5" hidden="false" customHeight="true" outlineLevel="0" collapsed="false">
      <c r="A5" s="66" t="s">
        <v>678</v>
      </c>
      <c r="B5" s="13" t="s">
        <v>679</v>
      </c>
      <c r="C5" s="13" t="s">
        <v>680</v>
      </c>
      <c r="D5" s="13" t="s">
        <v>681</v>
      </c>
      <c r="E5" s="13" t="s">
        <v>682</v>
      </c>
    </row>
    <row r="6" customFormat="false" ht="103.5" hidden="false" customHeight="true" outlineLevel="0" collapsed="false">
      <c r="A6" s="66" t="s">
        <v>683</v>
      </c>
      <c r="B6" s="13" t="s">
        <v>684</v>
      </c>
      <c r="C6" s="13" t="s">
        <v>685</v>
      </c>
      <c r="D6" s="13" t="s">
        <v>686</v>
      </c>
      <c r="E6" s="13" t="s">
        <v>687</v>
      </c>
    </row>
    <row r="7" customFormat="false" ht="103.5" hidden="false" customHeight="true" outlineLevel="0" collapsed="false">
      <c r="A7" s="66" t="s">
        <v>688</v>
      </c>
      <c r="B7" s="13" t="s">
        <v>689</v>
      </c>
      <c r="C7" s="13" t="s">
        <v>690</v>
      </c>
      <c r="D7" s="13" t="s">
        <v>691</v>
      </c>
      <c r="E7" s="13" t="s">
        <v>692</v>
      </c>
    </row>
    <row r="9" customFormat="false" ht="15" hidden="false" customHeight="false" outlineLevel="0" collapsed="false">
      <c r="A9" s="2" t="s">
        <v>693</v>
      </c>
    </row>
    <row r="10" customFormat="false" ht="51.75" hidden="false" customHeight="true" outlineLevel="0" collapsed="false">
      <c r="A10" s="54" t="s">
        <v>694</v>
      </c>
      <c r="B10" s="54"/>
      <c r="C10" s="54"/>
      <c r="D10" s="54"/>
      <c r="E10" s="54"/>
    </row>
    <row r="11" customFormat="false" ht="51.75" hidden="false" customHeight="true" outlineLevel="0" collapsed="false">
      <c r="A11" s="54" t="s">
        <v>695</v>
      </c>
      <c r="B11" s="54"/>
      <c r="C11" s="54"/>
      <c r="D11" s="54"/>
      <c r="E11" s="54"/>
    </row>
    <row r="12" customFormat="false" ht="51.75" hidden="false" customHeight="true" outlineLevel="0" collapsed="false">
      <c r="A12" s="54" t="s">
        <v>696</v>
      </c>
      <c r="B12" s="54"/>
      <c r="C12" s="54"/>
      <c r="D12" s="54"/>
      <c r="E12" s="54"/>
    </row>
    <row r="13" customFormat="false" ht="51.75" hidden="false" customHeight="true" outlineLevel="0" collapsed="false">
      <c r="A13" s="54" t="s">
        <v>697</v>
      </c>
      <c r="B13" s="54"/>
      <c r="C13" s="54"/>
      <c r="D13" s="54"/>
      <c r="E13" s="54"/>
    </row>
    <row r="14" customFormat="false" ht="51.75" hidden="false" customHeight="true" outlineLevel="0" collapsed="false">
      <c r="A14" s="54" t="s">
        <v>698</v>
      </c>
      <c r="B14" s="54"/>
      <c r="C14" s="54"/>
      <c r="D14" s="54"/>
      <c r="E14" s="54"/>
    </row>
  </sheetData>
  <mergeCells count="6">
    <mergeCell ref="A2:F2"/>
    <mergeCell ref="A10:E10"/>
    <mergeCell ref="A11:E11"/>
    <mergeCell ref="A12:E12"/>
    <mergeCell ref="A13:E13"/>
    <mergeCell ref="A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699</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IF(C$5&gt;=Assumptions!$D$6,1,0)</f>
        <v>0</v>
      </c>
      <c r="D8" s="69" t="n">
        <f aca="false">IF(D$5&gt;=Assumptions!$D$6,1,0)</f>
        <v>0</v>
      </c>
      <c r="E8" s="69" t="n">
        <f aca="false">IF(E$5&gt;=Assumptions!$D$6,1,0)</f>
        <v>1</v>
      </c>
      <c r="F8" s="69" t="n">
        <f aca="false">IF(F$5&gt;=Assumptions!$D$6,1,0)</f>
        <v>1</v>
      </c>
      <c r="G8" s="69" t="n">
        <f aca="false">IF(G$5&gt;=Assumptions!$D$6,1,0)</f>
        <v>1</v>
      </c>
      <c r="H8" s="69" t="n">
        <f aca="false">IF(H$5&gt;=Assumptions!$D$6,1,0)</f>
        <v>1</v>
      </c>
      <c r="I8" s="69" t="n">
        <f aca="false">IF(I$5&gt;=Assumptions!$D$6,1,0)</f>
        <v>1</v>
      </c>
      <c r="J8" s="69" t="n">
        <f aca="false">IF(J$5&gt;=Assumptions!$D$6,1,0)</f>
        <v>1</v>
      </c>
      <c r="K8" s="69" t="n">
        <f aca="false">IF(K$5&gt;=Assumptions!$D$6,1,0)</f>
        <v>1</v>
      </c>
      <c r="L8" s="69" t="n">
        <f aca="false">IF(L$5&gt;=Assumptions!$D$6,1,0)</f>
        <v>1</v>
      </c>
      <c r="M8" s="69" t="n">
        <f aca="false">IF(M$5&gt;=Assumptions!$D$6,1,0)</f>
        <v>1</v>
      </c>
      <c r="N8" s="69" t="n">
        <f aca="false">IF(N$5&gt;=Assumptions!$D$6,1,0)</f>
        <v>1</v>
      </c>
      <c r="O8" s="69" t="n">
        <f aca="false">IF(O$5&gt;=Assumptions!$D$6,1,0)</f>
        <v>1</v>
      </c>
      <c r="P8" s="69" t="n">
        <f aca="false">IF(P$5&gt;=Assumptions!$D$6,1,0)</f>
        <v>1</v>
      </c>
      <c r="Q8" s="69" t="n">
        <f aca="false">IF(Q$5&gt;=Assumptions!$D$6,1,0)</f>
        <v>1</v>
      </c>
      <c r="R8" s="69" t="n">
        <f aca="false">IF(R$5&gt;=Assumptions!$D$6,1,0)</f>
        <v>1</v>
      </c>
      <c r="S8" s="69" t="n">
        <f aca="false">IF(S$5&gt;=Assumptions!$D$6,1,0)</f>
        <v>1</v>
      </c>
      <c r="T8" s="69" t="n">
        <f aca="false">IF(T$5&gt;=Assumptions!$D$6,1,0)</f>
        <v>1</v>
      </c>
      <c r="U8" s="69" t="n">
        <f aca="false">IF(U$5&gt;=Assumptions!$D$6,1,0)</f>
        <v>1</v>
      </c>
      <c r="V8" s="69" t="n">
        <f aca="false">IF(V$5&gt;=Assumptions!$D$6,1,0)</f>
        <v>1</v>
      </c>
      <c r="W8" s="69" t="n">
        <f aca="false">IF(W$5&gt;=Assumptions!$D$6,1,0)</f>
        <v>1</v>
      </c>
      <c r="X8" s="69" t="n">
        <f aca="false">IF(X$5&gt;=Assumptions!$D$6,1,0)</f>
        <v>1</v>
      </c>
      <c r="Y8" s="69" t="n">
        <f aca="false">IF(Y$5&gt;=Assumptions!$D$6,1,0)</f>
        <v>1</v>
      </c>
      <c r="Z8" s="69" t="n">
        <f aca="false">IF(Z$5&gt;=Assumptions!$D$6,1,0)</f>
        <v>1</v>
      </c>
      <c r="AA8" s="69" t="n">
        <f aca="false">IF(AA$5&gt;=Assumptions!$D$6,1,0)</f>
        <v>1</v>
      </c>
      <c r="AB8" s="69" t="n">
        <f aca="false">IF(AB$5&gt;=Assumptions!$D$6,1,0)</f>
        <v>1</v>
      </c>
      <c r="AC8" s="69" t="n">
        <f aca="false">IF(AC$5&gt;=Assumptions!$D$6,1,0)</f>
        <v>1</v>
      </c>
      <c r="AD8" s="69" t="n">
        <f aca="false">IF(AD$5&gt;=Assumptions!$D$6,1,0)</f>
        <v>1</v>
      </c>
      <c r="AE8" s="69" t="n">
        <f aca="false">IF(AE$5&gt;=Assumptions!$D$6,1,0)</f>
        <v>1</v>
      </c>
      <c r="AF8" s="69" t="n">
        <f aca="false">IF(AF$5&gt;=Assumptions!$D$6,1,0)</f>
        <v>1</v>
      </c>
      <c r="AG8" s="69" t="n">
        <f aca="false">IF(AG$5&gt;=Assumptions!$D$6,1,0)</f>
        <v>1</v>
      </c>
      <c r="AH8" s="69" t="n">
        <f aca="false">IF(AH$5&gt;=Assumptions!$D$6,1,0)</f>
        <v>1</v>
      </c>
      <c r="AI8" s="69" t="n">
        <f aca="false">IF(AI$5&gt;=Assumptions!$D$6,1,0)</f>
        <v>1</v>
      </c>
      <c r="AJ8" s="69" t="n">
        <f aca="false">IF(AJ$5&gt;=Assumptions!$D$6,1,0)</f>
        <v>1</v>
      </c>
      <c r="AK8" s="69" t="n">
        <f aca="false">IF(AK$5&gt;=Assumptions!$D$6,1,0)</f>
        <v>1</v>
      </c>
      <c r="AL8" s="69" t="n">
        <f aca="false">IF(AL$5&gt;=Assumptions!$D$6,1,0)</f>
        <v>1</v>
      </c>
      <c r="AM8" s="69"/>
    </row>
    <row r="9" customFormat="false" ht="15" hidden="false" customHeight="false" outlineLevel="0" collapsed="false">
      <c r="A9" s="10" t="s">
        <v>743</v>
      </c>
      <c r="B9" s="9" t="s">
        <v>742</v>
      </c>
      <c r="C9" s="69" t="n">
        <f aca="false">IF(C$5&gt;=Assumptions!$D$7,1,0)</f>
        <v>0</v>
      </c>
      <c r="D9" s="69" t="n">
        <f aca="false">IF(D$5&gt;=Assumptions!$D$7,1,0)</f>
        <v>0</v>
      </c>
      <c r="E9" s="69" t="n">
        <f aca="false">IF(E$5&gt;=Assumptions!$D$7,1,0)</f>
        <v>0</v>
      </c>
      <c r="F9" s="69" t="n">
        <f aca="false">IF(F$5&gt;=Assumptions!$D$7,1,0)</f>
        <v>0</v>
      </c>
      <c r="G9" s="69" t="n">
        <f aca="false">IF(G$5&gt;=Assumptions!$D$7,1,0)</f>
        <v>0</v>
      </c>
      <c r="H9" s="69" t="n">
        <f aca="false">IF(H$5&gt;=Assumptions!$D$7,1,0)</f>
        <v>0</v>
      </c>
      <c r="I9" s="69" t="n">
        <f aca="false">IF(I$5&gt;=Assumptions!$D$7,1,0)</f>
        <v>0</v>
      </c>
      <c r="J9" s="69" t="n">
        <f aca="false">IF(J$5&gt;=Assumptions!$D$7,1,0)</f>
        <v>0</v>
      </c>
      <c r="K9" s="69" t="n">
        <f aca="false">IF(K$5&gt;=Assumptions!$D$7,1,0)</f>
        <v>1</v>
      </c>
      <c r="L9" s="69" t="n">
        <f aca="false">IF(L$5&gt;=Assumptions!$D$7,1,0)</f>
        <v>1</v>
      </c>
      <c r="M9" s="69" t="n">
        <f aca="false">IF(M$5&gt;=Assumptions!$D$7,1,0)</f>
        <v>1</v>
      </c>
      <c r="N9" s="69" t="n">
        <f aca="false">IF(N$5&gt;=Assumptions!$D$7,1,0)</f>
        <v>1</v>
      </c>
      <c r="O9" s="69" t="n">
        <f aca="false">IF(O$5&gt;=Assumptions!$D$7,1,0)</f>
        <v>1</v>
      </c>
      <c r="P9" s="69" t="n">
        <f aca="false">IF(P$5&gt;=Assumptions!$D$7,1,0)</f>
        <v>1</v>
      </c>
      <c r="Q9" s="69" t="n">
        <f aca="false">IF(Q$5&gt;=Assumptions!$D$7,1,0)</f>
        <v>1</v>
      </c>
      <c r="R9" s="69" t="n">
        <f aca="false">IF(R$5&gt;=Assumptions!$D$7,1,0)</f>
        <v>1</v>
      </c>
      <c r="S9" s="69" t="n">
        <f aca="false">IF(S$5&gt;=Assumptions!$D$7,1,0)</f>
        <v>1</v>
      </c>
      <c r="T9" s="69" t="n">
        <f aca="false">IF(T$5&gt;=Assumptions!$D$7,1,0)</f>
        <v>1</v>
      </c>
      <c r="U9" s="69" t="n">
        <f aca="false">IF(U$5&gt;=Assumptions!$D$7,1,0)</f>
        <v>1</v>
      </c>
      <c r="V9" s="69" t="n">
        <f aca="false">IF(V$5&gt;=Assumptions!$D$7,1,0)</f>
        <v>1</v>
      </c>
      <c r="W9" s="69" t="n">
        <f aca="false">IF(W$5&gt;=Assumptions!$D$7,1,0)</f>
        <v>1</v>
      </c>
      <c r="X9" s="69" t="n">
        <f aca="false">IF(X$5&gt;=Assumptions!$D$7,1,0)</f>
        <v>1</v>
      </c>
      <c r="Y9" s="69" t="n">
        <f aca="false">IF(Y$5&gt;=Assumptions!$D$7,1,0)</f>
        <v>1</v>
      </c>
      <c r="Z9" s="69" t="n">
        <f aca="false">IF(Z$5&gt;=Assumptions!$D$7,1,0)</f>
        <v>1</v>
      </c>
      <c r="AA9" s="69" t="n">
        <f aca="false">IF(AA$5&gt;=Assumptions!$D$7,1,0)</f>
        <v>1</v>
      </c>
      <c r="AB9" s="69" t="n">
        <f aca="false">IF(AB$5&gt;=Assumptions!$D$7,1,0)</f>
        <v>1</v>
      </c>
      <c r="AC9" s="69" t="n">
        <f aca="false">IF(AC$5&gt;=Assumptions!$D$7,1,0)</f>
        <v>1</v>
      </c>
      <c r="AD9" s="69" t="n">
        <f aca="false">IF(AD$5&gt;=Assumptions!$D$7,1,0)</f>
        <v>1</v>
      </c>
      <c r="AE9" s="69" t="n">
        <f aca="false">IF(AE$5&gt;=Assumptions!$D$7,1,0)</f>
        <v>1</v>
      </c>
      <c r="AF9" s="69" t="n">
        <f aca="false">IF(AF$5&gt;=Assumptions!$D$7,1,0)</f>
        <v>1</v>
      </c>
      <c r="AG9" s="69" t="n">
        <f aca="false">IF(AG$5&gt;=Assumptions!$D$7,1,0)</f>
        <v>1</v>
      </c>
      <c r="AH9" s="69" t="n">
        <f aca="false">IF(AH$5&gt;=Assumptions!$D$7,1,0)</f>
        <v>1</v>
      </c>
      <c r="AI9" s="69" t="n">
        <f aca="false">IF(AI$5&gt;=Assumptions!$D$7,1,0)</f>
        <v>1</v>
      </c>
      <c r="AJ9" s="69" t="n">
        <f aca="false">IF(AJ$5&gt;=Assumptions!$D$7,1,0)</f>
        <v>1</v>
      </c>
      <c r="AK9" s="69" t="n">
        <f aca="false">IF(AK$5&gt;=Assumptions!$D$7,1,0)</f>
        <v>1</v>
      </c>
      <c r="AL9" s="69" t="n">
        <f aca="false">IF(AL$5&gt;=Assumptions!$D$7,1,0)</f>
        <v>1</v>
      </c>
      <c r="AM9" s="69"/>
    </row>
    <row r="10" customFormat="false" ht="15" hidden="false" customHeight="false" outlineLevel="0" collapsed="false">
      <c r="A10" s="10" t="s">
        <v>744</v>
      </c>
      <c r="B10" s="9" t="s">
        <v>51</v>
      </c>
      <c r="C10" s="69" t="n">
        <f aca="false">MAX(0,C$5-Assumptions!$D$6)</f>
        <v>0</v>
      </c>
      <c r="D10" s="69" t="n">
        <f aca="false">MAX(0,D$5-Assumptions!$D$6)</f>
        <v>0</v>
      </c>
      <c r="E10" s="69" t="n">
        <f aca="false">MAX(0,E$5-Assumptions!$D$6)</f>
        <v>0</v>
      </c>
      <c r="F10" s="69" t="n">
        <f aca="false">MAX(0,F$5-Assumptions!$D$6)</f>
        <v>1</v>
      </c>
      <c r="G10" s="69" t="n">
        <f aca="false">MAX(0,G$5-Assumptions!$D$6)</f>
        <v>2</v>
      </c>
      <c r="H10" s="69" t="n">
        <f aca="false">MAX(0,H$5-Assumptions!$D$6)</f>
        <v>3</v>
      </c>
      <c r="I10" s="69" t="n">
        <f aca="false">MAX(0,I$5-Assumptions!$D$6)</f>
        <v>4</v>
      </c>
      <c r="J10" s="69" t="n">
        <f aca="false">MAX(0,J$5-Assumptions!$D$6)</f>
        <v>5</v>
      </c>
      <c r="K10" s="69" t="n">
        <f aca="false">MAX(0,K$5-Assumptions!$D$6)</f>
        <v>6</v>
      </c>
      <c r="L10" s="69" t="n">
        <f aca="false">MAX(0,L$5-Assumptions!$D$6)</f>
        <v>7</v>
      </c>
      <c r="M10" s="69" t="n">
        <f aca="false">MAX(0,M$5-Assumptions!$D$6)</f>
        <v>8</v>
      </c>
      <c r="N10" s="69" t="n">
        <f aca="false">MAX(0,N$5-Assumptions!$D$6)</f>
        <v>9</v>
      </c>
      <c r="O10" s="69" t="n">
        <f aca="false">MAX(0,O$5-Assumptions!$D$6)</f>
        <v>10</v>
      </c>
      <c r="P10" s="69" t="n">
        <f aca="false">MAX(0,P$5-Assumptions!$D$6)</f>
        <v>11</v>
      </c>
      <c r="Q10" s="69" t="n">
        <f aca="false">MAX(0,Q$5-Assumptions!$D$6)</f>
        <v>12</v>
      </c>
      <c r="R10" s="69" t="n">
        <f aca="false">MAX(0,R$5-Assumptions!$D$6)</f>
        <v>13</v>
      </c>
      <c r="S10" s="69" t="n">
        <f aca="false">MAX(0,S$5-Assumptions!$D$6)</f>
        <v>14</v>
      </c>
      <c r="T10" s="69" t="n">
        <f aca="false">MAX(0,T$5-Assumptions!$D$6)</f>
        <v>15</v>
      </c>
      <c r="U10" s="69" t="n">
        <f aca="false">MAX(0,U$5-Assumptions!$D$6)</f>
        <v>16</v>
      </c>
      <c r="V10" s="69" t="n">
        <f aca="false">MAX(0,V$5-Assumptions!$D$6)</f>
        <v>17</v>
      </c>
      <c r="W10" s="69" t="n">
        <f aca="false">MAX(0,W$5-Assumptions!$D$6)</f>
        <v>18</v>
      </c>
      <c r="X10" s="69" t="n">
        <f aca="false">MAX(0,X$5-Assumptions!$D$6)</f>
        <v>19</v>
      </c>
      <c r="Y10" s="69" t="n">
        <f aca="false">MAX(0,Y$5-Assumptions!$D$6)</f>
        <v>20</v>
      </c>
      <c r="Z10" s="69" t="n">
        <f aca="false">MAX(0,Z$5-Assumptions!$D$6)</f>
        <v>21</v>
      </c>
      <c r="AA10" s="69" t="n">
        <f aca="false">MAX(0,AA$5-Assumptions!$D$6)</f>
        <v>22</v>
      </c>
      <c r="AB10" s="69" t="n">
        <f aca="false">MAX(0,AB$5-Assumptions!$D$6)</f>
        <v>23</v>
      </c>
      <c r="AC10" s="69" t="n">
        <f aca="false">MAX(0,AC$5-Assumptions!$D$6)</f>
        <v>24</v>
      </c>
      <c r="AD10" s="69" t="n">
        <f aca="false">MAX(0,AD$5-Assumptions!$D$6)</f>
        <v>25</v>
      </c>
      <c r="AE10" s="69" t="n">
        <f aca="false">MAX(0,AE$5-Assumptions!$D$6)</f>
        <v>26</v>
      </c>
      <c r="AF10" s="69" t="n">
        <f aca="false">MAX(0,AF$5-Assumptions!$D$6)</f>
        <v>27</v>
      </c>
      <c r="AG10" s="69" t="n">
        <f aca="false">MAX(0,AG$5-Assumptions!$D$6)</f>
        <v>28</v>
      </c>
      <c r="AH10" s="69" t="n">
        <f aca="false">MAX(0,AH$5-Assumptions!$D$6)</f>
        <v>29</v>
      </c>
      <c r="AI10" s="69" t="n">
        <f aca="false">MAX(0,AI$5-Assumptions!$D$6)</f>
        <v>30</v>
      </c>
      <c r="AJ10" s="69" t="n">
        <f aca="false">MAX(0,AJ$5-Assumptions!$D$6)</f>
        <v>31</v>
      </c>
      <c r="AK10" s="69" t="n">
        <f aca="false">MAX(0,AK$5-Assumptions!$D$6)</f>
        <v>32</v>
      </c>
      <c r="AL10" s="69" t="n">
        <f aca="false">MAX(0,AL$5-Assumptions!$D$6)</f>
        <v>33</v>
      </c>
      <c r="AM10" s="69"/>
    </row>
    <row r="11" customFormat="false" ht="15" hidden="false" customHeight="false" outlineLevel="0" collapsed="false">
      <c r="A11" s="10" t="s">
        <v>745</v>
      </c>
      <c r="B11" s="9" t="s">
        <v>84</v>
      </c>
      <c r="C11" s="61" t="n">
        <f aca="false">Assumptions!$D$9*Assumptions!$D$10*Assumptions!$D$11*Assumptions!$D$12</f>
        <v>22605</v>
      </c>
      <c r="D11" s="61" t="n">
        <f aca="false">Assumptions!$D$9*Assumptions!$D$10*Assumptions!$D$11*Assumptions!$D$12</f>
        <v>22605</v>
      </c>
      <c r="E11" s="61" t="n">
        <f aca="false">Assumptions!$D$9*Assumptions!$D$10*Assumptions!$D$11*Assumptions!$D$12</f>
        <v>22605</v>
      </c>
      <c r="F11" s="61" t="n">
        <f aca="false">Assumptions!$D$9*Assumptions!$D$10*Assumptions!$D$11*Assumptions!$D$12</f>
        <v>22605</v>
      </c>
      <c r="G11" s="61" t="n">
        <f aca="false">Assumptions!$D$9*Assumptions!$D$10*Assumptions!$D$11*Assumptions!$D$12</f>
        <v>22605</v>
      </c>
      <c r="H11" s="61" t="n">
        <f aca="false">Assumptions!$D$9*Assumptions!$D$10*Assumptions!$D$11*Assumptions!$D$12</f>
        <v>22605</v>
      </c>
      <c r="I11" s="61" t="n">
        <f aca="false">Assumptions!$D$9*Assumptions!$D$10*Assumptions!$D$11*Assumptions!$D$12</f>
        <v>22605</v>
      </c>
      <c r="J11" s="61" t="n">
        <f aca="false">Assumptions!$D$9*Assumptions!$D$10*Assumptions!$D$11*Assumptions!$D$12</f>
        <v>22605</v>
      </c>
      <c r="K11" s="61" t="n">
        <f aca="false">Assumptions!$D$9*Assumptions!$D$10*Assumptions!$D$11*Assumptions!$D$12</f>
        <v>22605</v>
      </c>
      <c r="L11" s="61" t="n">
        <f aca="false">Assumptions!$D$9*Assumptions!$D$10*Assumptions!$D$11*Assumptions!$D$12</f>
        <v>22605</v>
      </c>
      <c r="M11" s="61" t="n">
        <f aca="false">Assumptions!$D$9*Assumptions!$D$10*Assumptions!$D$11*Assumptions!$D$12</f>
        <v>22605</v>
      </c>
      <c r="N11" s="61" t="n">
        <f aca="false">Assumptions!$D$9*Assumptions!$D$10*Assumptions!$D$11*Assumptions!$D$12</f>
        <v>22605</v>
      </c>
      <c r="O11" s="61" t="n">
        <f aca="false">Assumptions!$D$9*Assumptions!$D$10*Assumptions!$D$11*Assumptions!$D$12</f>
        <v>22605</v>
      </c>
      <c r="P11" s="61" t="n">
        <f aca="false">Assumptions!$D$9*Assumptions!$D$10*Assumptions!$D$11*Assumptions!$D$12</f>
        <v>22605</v>
      </c>
      <c r="Q11" s="61" t="n">
        <f aca="false">Assumptions!$D$9*Assumptions!$D$10*Assumptions!$D$11*Assumptions!$D$12</f>
        <v>22605</v>
      </c>
      <c r="R11" s="61" t="n">
        <f aca="false">Assumptions!$D$9*Assumptions!$D$10*Assumptions!$D$11*Assumptions!$D$12</f>
        <v>22605</v>
      </c>
      <c r="S11" s="61" t="n">
        <f aca="false">Assumptions!$D$9*Assumptions!$D$10*Assumptions!$D$11*Assumptions!$D$12</f>
        <v>22605</v>
      </c>
      <c r="T11" s="61" t="n">
        <f aca="false">Assumptions!$D$9*Assumptions!$D$10*Assumptions!$D$11*Assumptions!$D$12</f>
        <v>22605</v>
      </c>
      <c r="U11" s="61" t="n">
        <f aca="false">Assumptions!$D$9*Assumptions!$D$10*Assumptions!$D$11*Assumptions!$D$12</f>
        <v>22605</v>
      </c>
      <c r="V11" s="61" t="n">
        <f aca="false">Assumptions!$D$9*Assumptions!$D$10*Assumptions!$D$11*Assumptions!$D$12</f>
        <v>22605</v>
      </c>
      <c r="W11" s="61" t="n">
        <f aca="false">Assumptions!$D$9*Assumptions!$D$10*Assumptions!$D$11*Assumptions!$D$12</f>
        <v>22605</v>
      </c>
      <c r="X11" s="61" t="n">
        <f aca="false">Assumptions!$D$9*Assumptions!$D$10*Assumptions!$D$11*Assumptions!$D$12</f>
        <v>22605</v>
      </c>
      <c r="Y11" s="61" t="n">
        <f aca="false">Assumptions!$D$9*Assumptions!$D$10*Assumptions!$D$11*Assumptions!$D$12</f>
        <v>22605</v>
      </c>
      <c r="Z11" s="61" t="n">
        <f aca="false">Assumptions!$D$9*Assumptions!$D$10*Assumptions!$D$11*Assumptions!$D$12</f>
        <v>22605</v>
      </c>
      <c r="AA11" s="61" t="n">
        <f aca="false">Assumptions!$D$9*Assumptions!$D$10*Assumptions!$D$11*Assumptions!$D$12</f>
        <v>22605</v>
      </c>
      <c r="AB11" s="61" t="n">
        <f aca="false">Assumptions!$D$9*Assumptions!$D$10*Assumptions!$D$11*Assumptions!$D$12</f>
        <v>22605</v>
      </c>
      <c r="AC11" s="61" t="n">
        <f aca="false">Assumptions!$D$9*Assumptions!$D$10*Assumptions!$D$11*Assumptions!$D$12</f>
        <v>22605</v>
      </c>
      <c r="AD11" s="61" t="n">
        <f aca="false">Assumptions!$D$9*Assumptions!$D$10*Assumptions!$D$11*Assumptions!$D$12</f>
        <v>22605</v>
      </c>
      <c r="AE11" s="61" t="n">
        <f aca="false">Assumptions!$D$9*Assumptions!$D$10*Assumptions!$D$11*Assumptions!$D$12</f>
        <v>22605</v>
      </c>
      <c r="AF11" s="61" t="n">
        <f aca="false">Assumptions!$D$9*Assumptions!$D$10*Assumptions!$D$11*Assumptions!$D$12</f>
        <v>22605</v>
      </c>
      <c r="AG11" s="61" t="n">
        <f aca="false">Assumptions!$D$9*Assumptions!$D$10*Assumptions!$D$11*Assumptions!$D$12</f>
        <v>22605</v>
      </c>
      <c r="AH11" s="61" t="n">
        <f aca="false">Assumptions!$D$9*Assumptions!$D$10*Assumptions!$D$11*Assumptions!$D$12</f>
        <v>22605</v>
      </c>
      <c r="AI11" s="61" t="n">
        <f aca="false">Assumptions!$D$9*Assumptions!$D$10*Assumptions!$D$11*Assumptions!$D$12</f>
        <v>22605</v>
      </c>
      <c r="AJ11" s="61" t="n">
        <f aca="false">Assumptions!$D$9*Assumptions!$D$10*Assumptions!$D$11*Assumptions!$D$12</f>
        <v>22605</v>
      </c>
      <c r="AK11" s="61" t="n">
        <f aca="false">Assumptions!$D$9*Assumptions!$D$10*Assumptions!$D$11*Assumptions!$D$12</f>
        <v>22605</v>
      </c>
      <c r="AL11" s="61" t="n">
        <f aca="false">Assumptions!$D$9*Assumptions!$D$10*Assumptions!$D$11*Assumptions!$D$12</f>
        <v>22605</v>
      </c>
      <c r="AM11" s="61"/>
    </row>
    <row r="12" customFormat="false" ht="15" hidden="false" customHeight="false" outlineLevel="0" collapsed="false">
      <c r="A12" s="10" t="s">
        <v>746</v>
      </c>
      <c r="B12" s="9" t="s">
        <v>78</v>
      </c>
      <c r="C12" s="57" t="n">
        <f aca="false">IF(C8=0,0,IF(C10=0,Assumptions!$D$15,Assumptions!$D$14+(1-Assumptions!$D$14)*Assumptions!$D$13^C10))</f>
        <v>0</v>
      </c>
      <c r="D12" s="57" t="n">
        <f aca="false">IF(D8=0,0,IF(D10=0,Assumptions!$D$15,Assumptions!$D$14+(1-Assumptions!$D$14)*Assumptions!$D$13^D10))</f>
        <v>0</v>
      </c>
      <c r="E12" s="57" t="n">
        <f aca="false">IF(E8=0,0,IF(E10=0,Assumptions!$D$15,Assumptions!$D$14+(1-Assumptions!$D$14)*Assumptions!$D$13^E10))</f>
        <v>1.8</v>
      </c>
      <c r="F12" s="57" t="n">
        <f aca="false">IF(F8=0,0,IF(F10=0,Assumptions!$D$15,Assumptions!$D$14+(1-Assumptions!$D$14)*Assumptions!$D$13^F10))</f>
        <v>0.8096</v>
      </c>
      <c r="G12" s="57" t="n">
        <f aca="false">IF(G8=0,0,IF(G10=0,Assumptions!$D$15,Assumptions!$D$14+(1-Assumptions!$D$14)*Assumptions!$D$13^G10))</f>
        <v>0.672512</v>
      </c>
      <c r="H12" s="57" t="n">
        <f aca="false">IF(H8=0,0,IF(H10=0,Assumptions!$D$15,Assumptions!$D$14+(1-Assumptions!$D$14)*Assumptions!$D$13^H10))</f>
        <v>0.57380864</v>
      </c>
      <c r="I12" s="57" t="n">
        <f aca="false">IF(I8=0,0,IF(I10=0,Assumptions!$D$15,Assumptions!$D$14+(1-Assumptions!$D$14)*Assumptions!$D$13^I10))</f>
        <v>0.5027422208</v>
      </c>
      <c r="J12" s="57" t="n">
        <f aca="false">IF(J8=0,0,IF(J10=0,Assumptions!$D$15,Assumptions!$D$14+(1-Assumptions!$D$14)*Assumptions!$D$13^J10))</f>
        <v>0.451574398976</v>
      </c>
      <c r="K12" s="57" t="n">
        <f aca="false">IF(K8=0,0,IF(K10=0,Assumptions!$D$15,Assumptions!$D$14+(1-Assumptions!$D$14)*Assumptions!$D$13^K10))</f>
        <v>0.41473356726272</v>
      </c>
      <c r="L12" s="57" t="n">
        <f aca="false">IF(L8=0,0,IF(L10=0,Assumptions!$D$15,Assumptions!$D$14+(1-Assumptions!$D$14)*Assumptions!$D$13^L10))</f>
        <v>0.388208168429158</v>
      </c>
      <c r="M12" s="57" t="n">
        <f aca="false">IF(M8=0,0,IF(M10=0,Assumptions!$D$15,Assumptions!$D$14+(1-Assumptions!$D$14)*Assumptions!$D$13^M10))</f>
        <v>0.369109881268994</v>
      </c>
      <c r="N12" s="57" t="n">
        <f aca="false">IF(N8=0,0,IF(N10=0,Assumptions!$D$15,Assumptions!$D$14+(1-Assumptions!$D$14)*Assumptions!$D$13^N10))</f>
        <v>0.355359114513676</v>
      </c>
      <c r="O12" s="57" t="n">
        <f aca="false">IF(O8=0,0,IF(O10=0,Assumptions!$D$15,Assumptions!$D$14+(1-Assumptions!$D$14)*Assumptions!$D$13^O10))</f>
        <v>0.345458562449847</v>
      </c>
      <c r="P12" s="57" t="n">
        <f aca="false">IF(P8=0,0,IF(P10=0,Assumptions!$D$15,Assumptions!$D$14+(1-Assumptions!$D$14)*Assumptions!$D$13^P10))</f>
        <v>0.33833016496389</v>
      </c>
      <c r="Q12" s="57" t="n">
        <f aca="false">IF(Q8=0,0,IF(Q10=0,Assumptions!$D$15,Assumptions!$D$14+(1-Assumptions!$D$14)*Assumptions!$D$13^Q10))</f>
        <v>0.333197718774</v>
      </c>
      <c r="R12" s="57" t="n">
        <f aca="false">IF(R8=0,0,IF(R10=0,Assumptions!$D$15,Assumptions!$D$14+(1-Assumptions!$D$14)*Assumptions!$D$13^R10))</f>
        <v>0.32950235751728</v>
      </c>
      <c r="S12" s="57" t="n">
        <f aca="false">IF(S8=0,0,IF(S10=0,Assumptions!$D$15,Assumptions!$D$14+(1-Assumptions!$D$14)*Assumptions!$D$13^S10))</f>
        <v>0.326841697412442</v>
      </c>
      <c r="T12" s="57" t="n">
        <f aca="false">IF(T8=0,0,IF(T10=0,Assumptions!$D$15,Assumptions!$D$14+(1-Assumptions!$D$14)*Assumptions!$D$13^T10))</f>
        <v>0.324926022136958</v>
      </c>
      <c r="U12" s="57" t="n">
        <f aca="false">IF(U8=0,0,IF(U10=0,Assumptions!$D$15,Assumptions!$D$14+(1-Assumptions!$D$14)*Assumptions!$D$13^U10))</f>
        <v>0.32354673593861</v>
      </c>
      <c r="V12" s="57" t="n">
        <f aca="false">IF(V8=0,0,IF(V10=0,Assumptions!$D$15,Assumptions!$D$14+(1-Assumptions!$D$14)*Assumptions!$D$13^V10))</f>
        <v>0.322553649875799</v>
      </c>
      <c r="W12" s="57" t="n">
        <f aca="false">IF(W8=0,0,IF(W10=0,Assumptions!$D$15,Assumptions!$D$14+(1-Assumptions!$D$14)*Assumptions!$D$13^W10))</f>
        <v>0.321838627910575</v>
      </c>
      <c r="X12" s="57" t="n">
        <f aca="false">IF(X8=0,0,IF(X10=0,Assumptions!$D$15,Assumptions!$D$14+(1-Assumptions!$D$14)*Assumptions!$D$13^X10))</f>
        <v>0.321323812095614</v>
      </c>
      <c r="Y12" s="57" t="n">
        <f aca="false">IF(Y8=0,0,IF(Y10=0,Assumptions!$D$15,Assumptions!$D$14+(1-Assumptions!$D$14)*Assumptions!$D$13^Y10))</f>
        <v>0.320953144708842</v>
      </c>
      <c r="Z12" s="57" t="n">
        <f aca="false">IF(Z8=0,0,IF(Z10=0,Assumptions!$D$15,Assumptions!$D$14+(1-Assumptions!$D$14)*Assumptions!$D$13^Z10))</f>
        <v>0.320686264190366</v>
      </c>
      <c r="AA12" s="57" t="n">
        <f aca="false">IF(AA8=0,0,IF(AA10=0,Assumptions!$D$15,Assumptions!$D$14+(1-Assumptions!$D$14)*Assumptions!$D$13^AA10))</f>
        <v>0.320494110217064</v>
      </c>
      <c r="AB12" s="57" t="n">
        <f aca="false">IF(AB8=0,0,IF(AB10=0,Assumptions!$D$15,Assumptions!$D$14+(1-Assumptions!$D$14)*Assumptions!$D$13^AB10))</f>
        <v>0.320355759356286</v>
      </c>
      <c r="AC12" s="57" t="n">
        <f aca="false">IF(AC8=0,0,IF(AC10=0,Assumptions!$D$15,Assumptions!$D$14+(1-Assumptions!$D$14)*Assumptions!$D$13^AC10))</f>
        <v>0.320256146736526</v>
      </c>
      <c r="AD12" s="57" t="n">
        <f aca="false">IF(AD8=0,0,IF(AD10=0,Assumptions!$D$15,Assumptions!$D$14+(1-Assumptions!$D$14)*Assumptions!$D$13^AD10))</f>
        <v>0.320184425650299</v>
      </c>
      <c r="AE12" s="57" t="n">
        <f aca="false">IF(AE8=0,0,IF(AE10=0,Assumptions!$D$15,Assumptions!$D$14+(1-Assumptions!$D$14)*Assumptions!$D$13^AE10))</f>
        <v>0.320132786468215</v>
      </c>
      <c r="AF12" s="57" t="n">
        <f aca="false">IF(AF8=0,0,IF(AF10=0,Assumptions!$D$15,Assumptions!$D$14+(1-Assumptions!$D$14)*Assumptions!$D$13^AF10))</f>
        <v>0.320095606257115</v>
      </c>
      <c r="AG12" s="57" t="n">
        <f aca="false">IF(AG8=0,0,IF(AG10=0,Assumptions!$D$15,Assumptions!$D$14+(1-Assumptions!$D$14)*Assumptions!$D$13^AG10))</f>
        <v>0.320068836505123</v>
      </c>
      <c r="AH12" s="57" t="n">
        <f aca="false">IF(AH8=0,0,IF(AH10=0,Assumptions!$D$15,Assumptions!$D$14+(1-Assumptions!$D$14)*Assumptions!$D$13^AH10))</f>
        <v>0.320049562283688</v>
      </c>
      <c r="AI12" s="57" t="n">
        <f aca="false">IF(AI8=0,0,IF(AI10=0,Assumptions!$D$15,Assumptions!$D$14+(1-Assumptions!$D$14)*Assumptions!$D$13^AI10))</f>
        <v>0.320035684844256</v>
      </c>
      <c r="AJ12" s="57" t="n">
        <f aca="false">IF(AJ8=0,0,IF(AJ10=0,Assumptions!$D$15,Assumptions!$D$14+(1-Assumptions!$D$14)*Assumptions!$D$13^AJ10))</f>
        <v>0.320025693087864</v>
      </c>
      <c r="AK12" s="57" t="n">
        <f aca="false">IF(AK8=0,0,IF(AK10=0,Assumptions!$D$15,Assumptions!$D$14+(1-Assumptions!$D$14)*Assumptions!$D$13^AK10))</f>
        <v>0.320018499023262</v>
      </c>
      <c r="AL12" s="57" t="n">
        <f aca="false">IF(AL8=0,0,IF(AL10=0,Assumptions!$D$15,Assumptions!$D$14+(1-Assumptions!$D$14)*Assumptions!$D$13^AL10))</f>
        <v>0.320013319296749</v>
      </c>
      <c r="AM12" s="57"/>
    </row>
    <row r="13" customFormat="false" ht="15" hidden="false" customHeight="false" outlineLevel="0" collapsed="false">
      <c r="A13" s="10" t="s">
        <v>747</v>
      </c>
      <c r="B13" s="9" t="s">
        <v>84</v>
      </c>
      <c r="C13" s="61" t="n">
        <f aca="false">C11*C12</f>
        <v>0</v>
      </c>
      <c r="D13" s="61" t="n">
        <f aca="false">D11*D12</f>
        <v>0</v>
      </c>
      <c r="E13" s="61" t="n">
        <f aca="false">E11*E12</f>
        <v>40689</v>
      </c>
      <c r="F13" s="61" t="n">
        <f aca="false">F11*F12</f>
        <v>18301.008</v>
      </c>
      <c r="G13" s="61" t="n">
        <f aca="false">G11*G12</f>
        <v>15202.13376</v>
      </c>
      <c r="H13" s="61" t="n">
        <f aca="false">H11*H12</f>
        <v>12970.9443072</v>
      </c>
      <c r="I13" s="61" t="n">
        <f aca="false">I11*I12</f>
        <v>11364.487901184</v>
      </c>
      <c r="J13" s="61" t="n">
        <f aca="false">J11*J12</f>
        <v>10207.8392888525</v>
      </c>
      <c r="K13" s="61" t="n">
        <f aca="false">K11*K12</f>
        <v>9375.05228797379</v>
      </c>
      <c r="L13" s="61" t="n">
        <f aca="false">L11*L12</f>
        <v>8775.44564734113</v>
      </c>
      <c r="M13" s="61" t="n">
        <f aca="false">M11*M12</f>
        <v>8343.72886608561</v>
      </c>
      <c r="N13" s="61" t="n">
        <f aca="false">N11*N12</f>
        <v>8032.89278358164</v>
      </c>
      <c r="O13" s="61" t="n">
        <f aca="false">O11*O12</f>
        <v>7809.09080417878</v>
      </c>
      <c r="P13" s="61" t="n">
        <f aca="false">P11*P12</f>
        <v>7647.95337900872</v>
      </c>
      <c r="Q13" s="61" t="n">
        <f aca="false">Q11*Q12</f>
        <v>7531.93443288628</v>
      </c>
      <c r="R13" s="61" t="n">
        <f aca="false">R11*R12</f>
        <v>7448.40079167812</v>
      </c>
      <c r="S13" s="61" t="n">
        <f aca="false">S11*S12</f>
        <v>7388.25657000825</v>
      </c>
      <c r="T13" s="61" t="n">
        <f aca="false">T11*T12</f>
        <v>7344.95273040594</v>
      </c>
      <c r="U13" s="61" t="n">
        <f aca="false">U11*U12</f>
        <v>7313.77396589228</v>
      </c>
      <c r="V13" s="61" t="n">
        <f aca="false">V11*V12</f>
        <v>7291.32525544244</v>
      </c>
      <c r="W13" s="61" t="n">
        <f aca="false">W11*W12</f>
        <v>7275.16218391856</v>
      </c>
      <c r="X13" s="61" t="n">
        <f aca="false">X11*X12</f>
        <v>7263.52477242136</v>
      </c>
      <c r="Y13" s="61" t="n">
        <f aca="false">Y11*Y12</f>
        <v>7255.14583614338</v>
      </c>
      <c r="Z13" s="61" t="n">
        <f aca="false">Z11*Z12</f>
        <v>7249.11300202323</v>
      </c>
      <c r="AA13" s="61" t="n">
        <f aca="false">AA11*AA12</f>
        <v>7244.76936145673</v>
      </c>
      <c r="AB13" s="61" t="n">
        <f aca="false">AB11*AB12</f>
        <v>7241.64194024885</v>
      </c>
      <c r="AC13" s="61" t="n">
        <f aca="false">AC11*AC12</f>
        <v>7239.39019697917</v>
      </c>
      <c r="AD13" s="61" t="n">
        <f aca="false">AD11*AD12</f>
        <v>7237.768941825</v>
      </c>
      <c r="AE13" s="61" t="n">
        <f aca="false">AE11*AE12</f>
        <v>7236.601638114</v>
      </c>
      <c r="AF13" s="61" t="n">
        <f aca="false">AF11*AF12</f>
        <v>7235.76117944208</v>
      </c>
      <c r="AG13" s="61" t="n">
        <f aca="false">AG11*AG12</f>
        <v>7235.1560491983</v>
      </c>
      <c r="AH13" s="61" t="n">
        <f aca="false">AH11*AH12</f>
        <v>7234.72035542277</v>
      </c>
      <c r="AI13" s="61" t="n">
        <f aca="false">AI11*AI12</f>
        <v>7234.4066559044</v>
      </c>
      <c r="AJ13" s="61" t="n">
        <f aca="false">AJ11*AJ12</f>
        <v>7234.18079225117</v>
      </c>
      <c r="AK13" s="61" t="n">
        <f aca="false">AK11*AK12</f>
        <v>7234.01817042084</v>
      </c>
      <c r="AL13" s="61" t="n">
        <f aca="false">AL11*AL12</f>
        <v>7233.901082703</v>
      </c>
      <c r="AM13" s="61" t="n">
        <f aca="false">SUM(C13:AL13)</f>
        <v>318923.482930192</v>
      </c>
    </row>
    <row r="14" customFormat="false" ht="15" hidden="false" customHeight="false" outlineLevel="0" collapsed="false">
      <c r="A14" s="10" t="s">
        <v>748</v>
      </c>
      <c r="B14" s="9" t="s">
        <v>749</v>
      </c>
      <c r="C14" s="61" t="n">
        <f aca="false">Assumptions!$D$9*Assumptions!$D$10*Assumptions!$D$11*C12</f>
        <v>0</v>
      </c>
      <c r="D14" s="61" t="n">
        <f aca="false">Assumptions!$D$9*Assumptions!$D$10*Assumptions!$D$11*D12</f>
        <v>0</v>
      </c>
      <c r="E14" s="61" t="n">
        <f aca="false">Assumptions!$D$9*Assumptions!$D$10*Assumptions!$D$11*E12</f>
        <v>8137800</v>
      </c>
      <c r="F14" s="61" t="n">
        <f aca="false">Assumptions!$D$9*Assumptions!$D$10*Assumptions!$D$11*F12</f>
        <v>3660201.6</v>
      </c>
      <c r="G14" s="61" t="n">
        <f aca="false">Assumptions!$D$9*Assumptions!$D$10*Assumptions!$D$11*G12</f>
        <v>3040426.752</v>
      </c>
      <c r="H14" s="61" t="n">
        <f aca="false">Assumptions!$D$9*Assumptions!$D$10*Assumptions!$D$11*H12</f>
        <v>2594188.86144</v>
      </c>
      <c r="I14" s="61" t="n">
        <f aca="false">Assumptions!$D$9*Assumptions!$D$10*Assumptions!$D$11*I12</f>
        <v>2272897.5802368</v>
      </c>
      <c r="J14" s="61" t="n">
        <f aca="false">Assumptions!$D$9*Assumptions!$D$10*Assumptions!$D$11*J12</f>
        <v>2041567.8577705</v>
      </c>
      <c r="K14" s="61" t="n">
        <f aca="false">Assumptions!$D$9*Assumptions!$D$10*Assumptions!$D$11*K12</f>
        <v>1875010.45759476</v>
      </c>
      <c r="L14" s="61" t="n">
        <f aca="false">Assumptions!$D$9*Assumptions!$D$10*Assumptions!$D$11*L12</f>
        <v>1755089.12946823</v>
      </c>
      <c r="M14" s="61" t="n">
        <f aca="false">Assumptions!$D$9*Assumptions!$D$10*Assumptions!$D$11*M12</f>
        <v>1668745.77321712</v>
      </c>
      <c r="N14" s="61" t="n">
        <f aca="false">Assumptions!$D$9*Assumptions!$D$10*Assumptions!$D$11*N12</f>
        <v>1606578.55671633</v>
      </c>
      <c r="O14" s="61" t="n">
        <f aca="false">Assumptions!$D$9*Assumptions!$D$10*Assumptions!$D$11*O12</f>
        <v>1561818.16083576</v>
      </c>
      <c r="P14" s="61" t="n">
        <f aca="false">Assumptions!$D$9*Assumptions!$D$10*Assumptions!$D$11*P12</f>
        <v>1529590.67580174</v>
      </c>
      <c r="Q14" s="61" t="n">
        <f aca="false">Assumptions!$D$9*Assumptions!$D$10*Assumptions!$D$11*Q12</f>
        <v>1506386.88657726</v>
      </c>
      <c r="R14" s="61" t="n">
        <f aca="false">Assumptions!$D$9*Assumptions!$D$10*Assumptions!$D$11*R12</f>
        <v>1489680.15833562</v>
      </c>
      <c r="S14" s="61" t="n">
        <f aca="false">Assumptions!$D$9*Assumptions!$D$10*Assumptions!$D$11*S12</f>
        <v>1477651.31400165</v>
      </c>
      <c r="T14" s="61" t="n">
        <f aca="false">Assumptions!$D$9*Assumptions!$D$10*Assumptions!$D$11*T12</f>
        <v>1468990.54608119</v>
      </c>
      <c r="U14" s="61" t="n">
        <f aca="false">Assumptions!$D$9*Assumptions!$D$10*Assumptions!$D$11*U12</f>
        <v>1462754.79317846</v>
      </c>
      <c r="V14" s="61" t="n">
        <f aca="false">Assumptions!$D$9*Assumptions!$D$10*Assumptions!$D$11*V12</f>
        <v>1458265.05108849</v>
      </c>
      <c r="W14" s="61" t="n">
        <f aca="false">Assumptions!$D$9*Assumptions!$D$10*Assumptions!$D$11*W12</f>
        <v>1455032.43678371</v>
      </c>
      <c r="X14" s="61" t="n">
        <f aca="false">Assumptions!$D$9*Assumptions!$D$10*Assumptions!$D$11*X12</f>
        <v>1452704.95448427</v>
      </c>
      <c r="Y14" s="61" t="n">
        <f aca="false">Assumptions!$D$9*Assumptions!$D$10*Assumptions!$D$11*Y12</f>
        <v>1451029.16722868</v>
      </c>
      <c r="Z14" s="61" t="n">
        <f aca="false">Assumptions!$D$9*Assumptions!$D$10*Assumptions!$D$11*Z12</f>
        <v>1449822.60040465</v>
      </c>
      <c r="AA14" s="61" t="n">
        <f aca="false">Assumptions!$D$9*Assumptions!$D$10*Assumptions!$D$11*AA12</f>
        <v>1448953.87229135</v>
      </c>
      <c r="AB14" s="61" t="n">
        <f aca="false">Assumptions!$D$9*Assumptions!$D$10*Assumptions!$D$11*AB12</f>
        <v>1448328.38804977</v>
      </c>
      <c r="AC14" s="61" t="n">
        <f aca="false">Assumptions!$D$9*Assumptions!$D$10*Assumptions!$D$11*AC12</f>
        <v>1447878.03939583</v>
      </c>
      <c r="AD14" s="61" t="n">
        <f aca="false">Assumptions!$D$9*Assumptions!$D$10*Assumptions!$D$11*AD12</f>
        <v>1447553.788365</v>
      </c>
      <c r="AE14" s="61" t="n">
        <f aca="false">Assumptions!$D$9*Assumptions!$D$10*Assumptions!$D$11*AE12</f>
        <v>1447320.3276228</v>
      </c>
      <c r="AF14" s="61" t="n">
        <f aca="false">Assumptions!$D$9*Assumptions!$D$10*Assumptions!$D$11*AF12</f>
        <v>1447152.23588842</v>
      </c>
      <c r="AG14" s="61" t="n">
        <f aca="false">Assumptions!$D$9*Assumptions!$D$10*Assumptions!$D$11*AG12</f>
        <v>1447031.20983966</v>
      </c>
      <c r="AH14" s="61" t="n">
        <f aca="false">Assumptions!$D$9*Assumptions!$D$10*Assumptions!$D$11*AH12</f>
        <v>1446944.07108455</v>
      </c>
      <c r="AI14" s="61" t="n">
        <f aca="false">Assumptions!$D$9*Assumptions!$D$10*Assumptions!$D$11*AI12</f>
        <v>1446881.33118088</v>
      </c>
      <c r="AJ14" s="61" t="n">
        <f aca="false">Assumptions!$D$9*Assumptions!$D$10*Assumptions!$D$11*AJ12</f>
        <v>1446836.15845023</v>
      </c>
      <c r="AK14" s="61" t="n">
        <f aca="false">Assumptions!$D$9*Assumptions!$D$10*Assumptions!$D$11*AK12</f>
        <v>1446803.63408417</v>
      </c>
      <c r="AL14" s="61" t="n">
        <f aca="false">Assumptions!$D$9*Assumptions!$D$10*Assumptions!$D$11*AL12</f>
        <v>1446780.2165406</v>
      </c>
      <c r="AM14" s="61" t="n">
        <f aca="false">SUM(C14:AL14)</f>
        <v>63784696.5860385</v>
      </c>
    </row>
    <row r="15" customFormat="false" ht="15" hidden="false" customHeight="false" outlineLevel="0" collapsed="false">
      <c r="A15" s="10" t="s">
        <v>750</v>
      </c>
      <c r="B15" s="9" t="s">
        <v>84</v>
      </c>
      <c r="C15" s="61" t="n">
        <f aca="false">MIN(Assumptions!$D$19,Assumptions!$D$17*(1+Assumptions!$D$18)^(C$5-1))</f>
        <v>1200</v>
      </c>
      <c r="D15" s="61" t="n">
        <f aca="false">MIN(Assumptions!$D$19,Assumptions!$D$17*(1+Assumptions!$D$18)^(D$5-1))</f>
        <v>1272</v>
      </c>
      <c r="E15" s="61" t="n">
        <f aca="false">MIN(Assumptions!$D$19,Assumptions!$D$17*(1+Assumptions!$D$18)^(E$5-1))</f>
        <v>1348.32</v>
      </c>
      <c r="F15" s="61" t="n">
        <f aca="false">MIN(Assumptions!$D$19,Assumptions!$D$17*(1+Assumptions!$D$18)^(F$5-1))</f>
        <v>1429.2192</v>
      </c>
      <c r="G15" s="61" t="n">
        <f aca="false">MIN(Assumptions!$D$19,Assumptions!$D$17*(1+Assumptions!$D$18)^(G$5-1))</f>
        <v>1514.972352</v>
      </c>
      <c r="H15" s="61" t="n">
        <f aca="false">MIN(Assumptions!$D$19,Assumptions!$D$17*(1+Assumptions!$D$18)^(H$5-1))</f>
        <v>1605.87069312</v>
      </c>
      <c r="I15" s="61" t="n">
        <f aca="false">MIN(Assumptions!$D$19,Assumptions!$D$17*(1+Assumptions!$D$18)^(I$5-1))</f>
        <v>1702.2229347072</v>
      </c>
      <c r="J15" s="61" t="n">
        <f aca="false">MIN(Assumptions!$D$19,Assumptions!$D$17*(1+Assumptions!$D$18)^(J$5-1))</f>
        <v>1804.35631078963</v>
      </c>
      <c r="K15" s="61" t="n">
        <f aca="false">MIN(Assumptions!$D$19,Assumptions!$D$17*(1+Assumptions!$D$18)^(K$5-1))</f>
        <v>1912.61768943701</v>
      </c>
      <c r="L15" s="61" t="n">
        <f aca="false">MIN(Assumptions!$D$19,Assumptions!$D$17*(1+Assumptions!$D$18)^(L$5-1))</f>
        <v>2027.37475080323</v>
      </c>
      <c r="M15" s="61" t="n">
        <f aca="false">MIN(Assumptions!$D$19,Assumptions!$D$17*(1+Assumptions!$D$18)^(M$5-1))</f>
        <v>2149.01723585143</v>
      </c>
      <c r="N15" s="61" t="n">
        <f aca="false">MIN(Assumptions!$D$19,Assumptions!$D$17*(1+Assumptions!$D$18)^(N$5-1))</f>
        <v>2277.95827000251</v>
      </c>
      <c r="O15" s="61" t="n">
        <f aca="false">MIN(Assumptions!$D$19,Assumptions!$D$17*(1+Assumptions!$D$18)^(O$5-1))</f>
        <v>2414.63576620266</v>
      </c>
      <c r="P15" s="61" t="n">
        <f aca="false">MIN(Assumptions!$D$19,Assumptions!$D$17*(1+Assumptions!$D$18)^(P$5-1))</f>
        <v>2559.51391217482</v>
      </c>
      <c r="Q15" s="61" t="n">
        <f aca="false">MIN(Assumptions!$D$19,Assumptions!$D$17*(1+Assumptions!$D$18)^(Q$5-1))</f>
        <v>2713.08474690531</v>
      </c>
      <c r="R15" s="61" t="n">
        <f aca="false">MIN(Assumptions!$D$19,Assumptions!$D$17*(1+Assumptions!$D$18)^(R$5-1))</f>
        <v>2875.86983171963</v>
      </c>
      <c r="S15" s="61" t="n">
        <f aca="false">MIN(Assumptions!$D$19,Assumptions!$D$17*(1+Assumptions!$D$18)^(S$5-1))</f>
        <v>3048.42202162281</v>
      </c>
      <c r="T15" s="61" t="n">
        <f aca="false">MIN(Assumptions!$D$19,Assumptions!$D$17*(1+Assumptions!$D$18)^(T$5-1))</f>
        <v>3231.32734292018</v>
      </c>
      <c r="U15" s="61" t="n">
        <f aca="false">MIN(Assumptions!$D$19,Assumptions!$D$17*(1+Assumptions!$D$18)^(U$5-1))</f>
        <v>3425.20698349539</v>
      </c>
      <c r="V15" s="61" t="n">
        <f aca="false">MIN(Assumptions!$D$19,Assumptions!$D$17*(1+Assumptions!$D$18)^(V$5-1))</f>
        <v>3630.71940250511</v>
      </c>
      <c r="W15" s="61" t="n">
        <f aca="false">MIN(Assumptions!$D$19,Assumptions!$D$17*(1+Assumptions!$D$18)^(W$5-1))</f>
        <v>3848.56256665542</v>
      </c>
      <c r="X15" s="61" t="n">
        <f aca="false">MIN(Assumptions!$D$19,Assumptions!$D$17*(1+Assumptions!$D$18)^(X$5-1))</f>
        <v>4079.47632065474</v>
      </c>
      <c r="Y15" s="61" t="n">
        <f aca="false">MIN(Assumptions!$D$19,Assumptions!$D$17*(1+Assumptions!$D$18)^(Y$5-1))</f>
        <v>4324.24489989403</v>
      </c>
      <c r="Z15" s="61" t="n">
        <f aca="false">MIN(Assumptions!$D$19,Assumptions!$D$17*(1+Assumptions!$D$18)^(Z$5-1))</f>
        <v>4583.69959388767</v>
      </c>
      <c r="AA15" s="61" t="n">
        <f aca="false">MIN(Assumptions!$D$19,Assumptions!$D$17*(1+Assumptions!$D$18)^(AA$5-1))</f>
        <v>4858.72156952093</v>
      </c>
      <c r="AB15" s="61" t="n">
        <f aca="false">MIN(Assumptions!$D$19,Assumptions!$D$17*(1+Assumptions!$D$18)^(AB$5-1))</f>
        <v>5150.24486369219</v>
      </c>
      <c r="AC15" s="61" t="n">
        <f aca="false">MIN(Assumptions!$D$19,Assumptions!$D$17*(1+Assumptions!$D$18)^(AC$5-1))</f>
        <v>5459.25955551372</v>
      </c>
      <c r="AD15" s="61" t="n">
        <f aca="false">MIN(Assumptions!$D$19,Assumptions!$D$17*(1+Assumptions!$D$18)^(AD$5-1))</f>
        <v>5786.81512884454</v>
      </c>
      <c r="AE15" s="61" t="n">
        <f aca="false">MIN(Assumptions!$D$19,Assumptions!$D$17*(1+Assumptions!$D$18)^(AE$5-1))</f>
        <v>6134.02403657521</v>
      </c>
      <c r="AF15" s="61" t="n">
        <f aca="false">MIN(Assumptions!$D$19,Assumptions!$D$17*(1+Assumptions!$D$18)^(AF$5-1))</f>
        <v>6502.06547876973</v>
      </c>
      <c r="AG15" s="61" t="n">
        <f aca="false">MIN(Assumptions!$D$19,Assumptions!$D$17*(1+Assumptions!$D$18)^(AG$5-1))</f>
        <v>6892.18940749591</v>
      </c>
      <c r="AH15" s="61" t="n">
        <f aca="false">MIN(Assumptions!$D$19,Assumptions!$D$17*(1+Assumptions!$D$18)^(AH$5-1))</f>
        <v>7305.72077194567</v>
      </c>
      <c r="AI15" s="61" t="n">
        <f aca="false">MIN(Assumptions!$D$19,Assumptions!$D$17*(1+Assumptions!$D$18)^(AI$5-1))</f>
        <v>7744.06401826241</v>
      </c>
      <c r="AJ15" s="61" t="n">
        <f aca="false">MIN(Assumptions!$D$19,Assumptions!$D$17*(1+Assumptions!$D$18)^(AJ$5-1))</f>
        <v>8208.70785935815</v>
      </c>
      <c r="AK15" s="61" t="n">
        <f aca="false">MIN(Assumptions!$D$19,Assumptions!$D$17*(1+Assumptions!$D$18)^(AK$5-1))</f>
        <v>8701.23033091964</v>
      </c>
      <c r="AL15" s="61" t="n">
        <f aca="false">MIN(Assumptions!$D$19,Assumptions!$D$17*(1+Assumptions!$D$18)^(AL$5-1))</f>
        <v>9223.30415077482</v>
      </c>
      <c r="AM15" s="61" t="n">
        <f aca="false">SUM(C15:AL15)</f>
        <v>142945.039997022</v>
      </c>
    </row>
    <row r="16" customFormat="false" ht="15" hidden="false" customHeight="false" outlineLevel="0" collapsed="false">
      <c r="A16" s="37" t="s">
        <v>751</v>
      </c>
      <c r="B16" s="9" t="s">
        <v>97</v>
      </c>
      <c r="C16" s="53" t="n">
        <f aca="false">Assumptions!$D$20</f>
        <v>4000</v>
      </c>
      <c r="D16" s="53" t="n">
        <f aca="false">IF(D8=0,Assumptions!$D$20,MIN(Assumptions!$D$24,MAX(Assumptions!$D$21,C72*Assumptions!$D$22)))</f>
        <v>4000</v>
      </c>
      <c r="E16" s="53" t="n">
        <f aca="false">IF(E8=0,Assumptions!$D$20,MIN(Assumptions!$D$24,MAX(Assumptions!$D$21,D72*Assumptions!$D$22)))</f>
        <v>10000</v>
      </c>
      <c r="F16" s="53" t="n">
        <f aca="false">IF(F8=0,Assumptions!$D$20,MIN(Assumptions!$D$24,MAX(Assumptions!$D$21,E72*Assumptions!$D$22)))</f>
        <v>12209.6261170022</v>
      </c>
      <c r="G16" s="53" t="n">
        <f aca="false">IF(G8=0,Assumptions!$D$20,MIN(Assumptions!$D$24,MAX(Assumptions!$D$21,F72*Assumptions!$D$22)))</f>
        <v>10027.1362568859</v>
      </c>
      <c r="H16" s="53" t="n">
        <f aca="false">IF(H8=0,Assumptions!$D$20,MIN(Assumptions!$D$24,MAX(Assumptions!$D$21,G72*Assumptions!$D$22)))</f>
        <v>10062.7679826201</v>
      </c>
      <c r="I16" s="53" t="n">
        <f aca="false">IF(I8=0,Assumptions!$D$20,MIN(Assumptions!$D$24,MAX(Assumptions!$D$21,H72*Assumptions!$D$22)))</f>
        <v>10441.0289142846</v>
      </c>
      <c r="J16" s="53" t="n">
        <f aca="false">IF(J8=0,Assumptions!$D$20,MIN(Assumptions!$D$24,MAX(Assumptions!$D$21,I72*Assumptions!$D$22)))</f>
        <v>10806.2730022444</v>
      </c>
      <c r="K16" s="53" t="n">
        <f aca="false">IF(K8=0,Assumptions!$D$20,MIN(Assumptions!$D$24,MAX(Assumptions!$D$21,J72*Assumptions!$D$22)))</f>
        <v>11112.1092561997</v>
      </c>
      <c r="L16" s="53" t="n">
        <f aca="false">IF(L8=0,Assumptions!$D$20,MIN(Assumptions!$D$24,MAX(Assumptions!$D$21,K72*Assumptions!$D$22)))</f>
        <v>11521.6159304123</v>
      </c>
      <c r="M16" s="53" t="n">
        <f aca="false">IF(M8=0,Assumptions!$D$20,MIN(Assumptions!$D$24,MAX(Assumptions!$D$21,L72*Assumptions!$D$22)))</f>
        <v>11836.2168909972</v>
      </c>
      <c r="N16" s="53" t="n">
        <f aca="false">IF(N8=0,Assumptions!$D$20,MIN(Assumptions!$D$24,MAX(Assumptions!$D$21,M72*Assumptions!$D$22)))</f>
        <v>12124.7555950888</v>
      </c>
      <c r="O16" s="53" t="n">
        <f aca="false">IF(O8=0,Assumptions!$D$20,MIN(Assumptions!$D$24,MAX(Assumptions!$D$21,N72*Assumptions!$D$22)))</f>
        <v>12396.4566745586</v>
      </c>
      <c r="P16" s="53" t="n">
        <f aca="false">IF(P8=0,Assumptions!$D$20,MIN(Assumptions!$D$24,MAX(Assumptions!$D$21,O72*Assumptions!$D$22)))</f>
        <v>12656.7400273855</v>
      </c>
      <c r="Q16" s="53" t="n">
        <f aca="false">IF(Q8=0,Assumptions!$D$20,MIN(Assumptions!$D$24,MAX(Assumptions!$D$21,P72*Assumptions!$D$22)))</f>
        <v>12909.505488826</v>
      </c>
      <c r="R16" s="53" t="n">
        <f aca="false">IF(R8=0,Assumptions!$D$20,MIN(Assumptions!$D$24,MAX(Assumptions!$D$21,Q72*Assumptions!$D$22)))</f>
        <v>13157.796410067</v>
      </c>
      <c r="S16" s="53" t="n">
        <f aca="false">IF(S8=0,Assumptions!$D$20,MIN(Assumptions!$D$24,MAX(Assumptions!$D$21,R72*Assumptions!$D$22)))</f>
        <v>13404.0601084408</v>
      </c>
      <c r="T16" s="53" t="n">
        <f aca="false">IF(T8=0,Assumptions!$D$20,MIN(Assumptions!$D$24,MAX(Assumptions!$D$21,S72*Assumptions!$D$22)))</f>
        <v>13650.3193802719</v>
      </c>
      <c r="U16" s="53" t="n">
        <f aca="false">IF(U8=0,Assumptions!$D$20,MIN(Assumptions!$D$24,MAX(Assumptions!$D$21,T72*Assumptions!$D$22)))</f>
        <v>13898.2937484254</v>
      </c>
      <c r="V16" s="53" t="n">
        <f aca="false">IF(V8=0,Assumptions!$D$20,MIN(Assumptions!$D$24,MAX(Assumptions!$D$21,U72*Assumptions!$D$22)))</f>
        <v>14149.4871661005</v>
      </c>
      <c r="W16" s="53" t="n">
        <f aca="false">IF(W8=0,Assumptions!$D$20,MIN(Assumptions!$D$24,MAX(Assumptions!$D$21,V72*Assumptions!$D$22)))</f>
        <v>14405.2522553865</v>
      </c>
      <c r="X16" s="53" t="n">
        <f aca="false">IF(X8=0,Assumptions!$D$20,MIN(Assumptions!$D$24,MAX(Assumptions!$D$21,W72*Assumptions!$D$22)))</f>
        <v>14666.8378665812</v>
      </c>
      <c r="Y16" s="53" t="n">
        <f aca="false">IF(Y8=0,Assumptions!$D$20,MIN(Assumptions!$D$24,MAX(Assumptions!$D$21,X72*Assumptions!$D$22)))</f>
        <v>14935.424682639</v>
      </c>
      <c r="Z16" s="53" t="n">
        <f aca="false">IF(Z8=0,Assumptions!$D$20,MIN(Assumptions!$D$24,MAX(Assumptions!$D$21,Y72*Assumptions!$D$22)))</f>
        <v>15212.1522158647</v>
      </c>
      <c r="AA16" s="53" t="n">
        <f aca="false">IF(AA8=0,Assumptions!$D$20,MIN(Assumptions!$D$24,MAX(Assumptions!$D$21,Z72*Assumptions!$D$22)))</f>
        <v>15498.1395937503</v>
      </c>
      <c r="AB16" s="53" t="n">
        <f aca="false">IF(AB8=0,Assumptions!$D$20,MIN(Assumptions!$D$24,MAX(Assumptions!$D$21,AA72*Assumptions!$D$22)))</f>
        <v>15794.5018627504</v>
      </c>
      <c r="AC16" s="53" t="n">
        <f aca="false">IF(AC8=0,Assumptions!$D$20,MIN(Assumptions!$D$24,MAX(Assumptions!$D$21,AB72*Assumptions!$D$22)))</f>
        <v>16102.3630634678</v>
      </c>
      <c r="AD16" s="53" t="n">
        <f aca="false">IF(AD8=0,Assumptions!$D$20,MIN(Assumptions!$D$24,MAX(Assumptions!$D$21,AC72*Assumptions!$D$22)))</f>
        <v>16422.8669900103</v>
      </c>
      <c r="AE16" s="53" t="n">
        <f aca="false">IF(AE8=0,Assumptions!$D$20,MIN(Assumptions!$D$24,MAX(Assumptions!$D$21,AD72*Assumptions!$D$22)))</f>
        <v>16757.1863008717</v>
      </c>
      <c r="AF16" s="53" t="n">
        <f aca="false">IF(AF8=0,Assumptions!$D$20,MIN(Assumptions!$D$24,MAX(Assumptions!$D$21,AE72*Assumptions!$D$22)))</f>
        <v>17106.530471391</v>
      </c>
      <c r="AG16" s="53" t="n">
        <f aca="false">IF(AG8=0,Assumptions!$D$20,MIN(Assumptions!$D$24,MAX(Assumptions!$D$21,AF72*Assumptions!$D$22)))</f>
        <v>17472.1529495126</v>
      </c>
      <c r="AH16" s="53" t="n">
        <f aca="false">IF(AH8=0,Assumptions!$D$20,MIN(Assumptions!$D$24,MAX(Assumptions!$D$21,AG72*Assumptions!$D$22)))</f>
        <v>17855.3577835798</v>
      </c>
      <c r="AI16" s="53" t="n">
        <f aca="false">IF(AI8=0,Assumptions!$D$20,MIN(Assumptions!$D$24,MAX(Assumptions!$D$21,AH72*Assumptions!$D$22)))</f>
        <v>18257.5059235193</v>
      </c>
      <c r="AJ16" s="53" t="n">
        <f aca="false">IF(AJ8=0,Assumptions!$D$20,MIN(Assumptions!$D$24,MAX(Assumptions!$D$21,AI72*Assumptions!$D$22)))</f>
        <v>18680.021347965</v>
      </c>
      <c r="AK16" s="53" t="n">
        <f aca="false">IF(AK8=0,Assumptions!$D$20,MIN(Assumptions!$D$24,MAX(Assumptions!$D$21,AJ72*Assumptions!$D$22)))</f>
        <v>19124.3971345795</v>
      </c>
      <c r="AL16" s="53" t="n">
        <f aca="false">IF(AL8=0,Assumptions!$D$20,MIN(Assumptions!$D$24,MAX(Assumptions!$D$21,AK72*Assumptions!$D$22)))</f>
        <v>19592.2015653741</v>
      </c>
      <c r="AM16" s="53" t="n">
        <f aca="false">SUM(C16:AL16)</f>
        <v>492247.080957054</v>
      </c>
    </row>
    <row r="17" customFormat="false" ht="15" hidden="false" customHeight="false" outlineLevel="0" collapsed="false">
      <c r="A17" s="10" t="s">
        <v>752</v>
      </c>
      <c r="B17" s="9" t="s">
        <v>84</v>
      </c>
      <c r="C17" s="61" t="n">
        <f aca="false">(C14*Assumptions!$D$27+C15*Assumptions!$D$28)*Assumptions!$D$29*C8</f>
        <v>0</v>
      </c>
      <c r="D17" s="61" t="n">
        <f aca="false">(D14*Assumptions!$D$27+D15*Assumptions!$D$28)*Assumptions!$D$29*D8</f>
        <v>0</v>
      </c>
      <c r="E17" s="61" t="n">
        <f aca="false">(E14*Assumptions!$D$27+E15*Assumptions!$D$28)*Assumptions!$D$29*E8</f>
        <v>3617.7108</v>
      </c>
      <c r="F17" s="61" t="n">
        <f aca="false">(F14*Assumptions!$D$27+F15*Assumptions!$D$28)*Assumptions!$D$29*F8</f>
        <v>1649.792232</v>
      </c>
      <c r="G17" s="61" t="n">
        <f aca="false">(G14*Assumptions!$D$27+G15*Assumptions!$D$28)*Assumptions!$D$29*G8</f>
        <v>1379.44951056</v>
      </c>
      <c r="H17" s="61" t="n">
        <f aca="false">(H14*Assumptions!$D$27+H15*Assumptions!$D$28)*Assumptions!$D$29*H8</f>
        <v>1185.6045430944</v>
      </c>
      <c r="I17" s="61" t="n">
        <f aca="false">(I14*Assumptions!$D$27+I15*Assumptions!$D$28)*Assumptions!$D$29*I8</f>
        <v>1046.88606600864</v>
      </c>
      <c r="J17" s="61" t="n">
        <f aca="false">(J14*Assumptions!$D$27+J15*Assumptions!$D$28)*Assumptions!$D$29*J8</f>
        <v>947.909655965733</v>
      </c>
      <c r="K17" s="61" t="n">
        <f aca="false">(K14*Assumptions!$D$27+K15*Assumptions!$D$28)*Assumptions!$D$29*K8</f>
        <v>877.601587801211</v>
      </c>
      <c r="L17" s="61" t="n">
        <f aca="false">(L14*Assumptions!$D$27+L15*Assumptions!$D$28)*Assumptions!$D$29*L8</f>
        <v>827.992022613108</v>
      </c>
      <c r="M17" s="61" t="n">
        <f aca="false">(M14*Assumptions!$D$27+M15*Assumptions!$D$28)*Assumptions!$D$29*M8</f>
        <v>793.346114201448</v>
      </c>
      <c r="N17" s="61" t="n">
        <f aca="false">(N14*Assumptions!$D$27+N15*Assumptions!$D$28)*Assumptions!$D$29*N8</f>
        <v>769.538417380253</v>
      </c>
      <c r="O17" s="61" t="n">
        <f aca="false">(O14*Assumptions!$D$27+O15*Assumptions!$D$28)*Assumptions!$D$29*O8</f>
        <v>753.602474338306</v>
      </c>
      <c r="P17" s="61" t="n">
        <f aca="false">(P14*Assumptions!$D$27+P15*Assumptions!$D$28)*Assumptions!$D$29*P8</f>
        <v>743.406529937575</v>
      </c>
      <c r="Q17" s="61" t="n">
        <f aca="false">(Q14*Assumptions!$D$27+Q15*Assumptions!$D$28)*Assumptions!$D$29*Q8</f>
        <v>737.420060633889</v>
      </c>
      <c r="R17" s="61" t="n">
        <f aca="false">(R14*Assumptions!$D$27+R15*Assumptions!$D$28)*Assumptions!$D$29*R8</f>
        <v>734.545690039965</v>
      </c>
      <c r="S17" s="61" t="n">
        <f aca="false">(S14*Assumptions!$D$27+S15*Assumptions!$D$28)*Assumptions!$D$29*S8</f>
        <v>733.998183755353</v>
      </c>
      <c r="T17" s="61" t="n">
        <f aca="false">(T14*Assumptions!$D$27+T15*Assumptions!$D$28)*Assumptions!$D$29*T8</f>
        <v>735.217342206027</v>
      </c>
      <c r="U17" s="61" t="n">
        <f aca="false">(U14*Assumptions!$D$27+U15*Assumptions!$D$28)*Assumptions!$D$29*U8</f>
        <v>737.805301044643</v>
      </c>
      <c r="V17" s="61" t="n">
        <f aca="false">(V14*Assumptions!$D$27+V15*Assumptions!$D$28)*Assumptions!$D$29*V8</f>
        <v>741.481406047825</v>
      </c>
      <c r="W17" s="61" t="n">
        <f aca="false">(W14*Assumptions!$D$27+W15*Assumptions!$D$28)*Assumptions!$D$29*W8</f>
        <v>746.049742767857</v>
      </c>
      <c r="X17" s="61" t="n">
        <f aca="false">(X14*Assumptions!$D$27+X15*Assumptions!$D$28)*Assumptions!$D$29*X8</f>
        <v>751.375778791085</v>
      </c>
      <c r="Y17" s="61" t="n">
        <f aca="false">(Y14*Assumptions!$D$27+Y15*Assumptions!$D$28)*Assumptions!$D$29*Y8</f>
        <v>757.369568327703</v>
      </c>
      <c r="Z17" s="61" t="n">
        <f aca="false">(Z14*Assumptions!$D$27+Z15*Assumptions!$D$28)*Assumptions!$D$29*Z8</f>
        <v>763.973683009956</v>
      </c>
      <c r="AA17" s="61" t="n">
        <f aca="false">(AA14*Assumptions!$D$27+AA15*Assumptions!$D$28)*Assumptions!$D$29*AA8</f>
        <v>771.154546970018</v>
      </c>
      <c r="AB17" s="61" t="n">
        <f aca="false">(AB14*Assumptions!$D$27+AB15*Assumptions!$D$28)*Assumptions!$D$29*AB8</f>
        <v>778.896224493434</v>
      </c>
      <c r="AC17" s="61" t="n">
        <f aca="false">(AC14*Assumptions!$D$27+AC15*Assumptions!$D$28)*Assumptions!$D$29*AC8</f>
        <v>787.195975110794</v>
      </c>
      <c r="AD17" s="61" t="n">
        <f aca="false">(AD14*Assumptions!$D$27+AD15*Assumptions!$D$28)*Assumptions!$D$29*AD8</f>
        <v>796.061082923825</v>
      </c>
      <c r="AE17" s="61" t="n">
        <f aca="false">(AE14*Assumptions!$D$27+AE15*Assumptions!$D$28)*Assumptions!$D$29*AE8</f>
        <v>805.506605159851</v>
      </c>
      <c r="AF17" s="61" t="n">
        <f aca="false">(AF14*Assumptions!$D$27+AF15*Assumptions!$D$28)*Assumptions!$D$29*AF8</f>
        <v>815.553784457071</v>
      </c>
      <c r="AG17" s="61" t="n">
        <f aca="false">(AG14*Assumptions!$D$27+AG15*Assumptions!$D$28)*Assumptions!$D$29*AG8</f>
        <v>826.228941035588</v>
      </c>
      <c r="AH17" s="61" t="n">
        <f aca="false">(AH14*Assumptions!$D$27+AH15*Assumptions!$D$28)*Assumptions!$D$29*AH8</f>
        <v>837.56271250571</v>
      </c>
      <c r="AI17" s="61" t="n">
        <f aca="false">(AI14*Assumptions!$D$27+AI15*Assumptions!$D$28)*Assumptions!$D$29*AI8</f>
        <v>849.589546221803</v>
      </c>
      <c r="AJ17" s="61" t="n">
        <f aca="false">(AJ14*Assumptions!$D$27+AJ15*Assumptions!$D$28)*Assumptions!$D$29*AJ8</f>
        <v>862.347375850452</v>
      </c>
      <c r="AK17" s="61" t="n">
        <f aca="false">(AK14*Assumptions!$D$27+AK15*Assumptions!$D$28)*Assumptions!$D$29*AK8</f>
        <v>875.877433097324</v>
      </c>
      <c r="AL17" s="61" t="n">
        <f aca="false">(AL14*Assumptions!$D$27+AL15*Assumptions!$D$28)*Assumptions!$D$29*AL8</f>
        <v>890.224159424172</v>
      </c>
      <c r="AM17" s="61" t="n">
        <f aca="false">SUM(C17:AL17)</f>
        <v>31928.275097775</v>
      </c>
    </row>
    <row r="18" customFormat="false" ht="15" hidden="false" customHeight="false" outlineLevel="0" collapsed="false">
      <c r="A18" s="10" t="s">
        <v>753</v>
      </c>
      <c r="B18" s="9" t="s">
        <v>97</v>
      </c>
      <c r="C18" s="70" t="n">
        <f aca="false">MIN(C16,C17*Assumptions!$D$30)</f>
        <v>0</v>
      </c>
      <c r="D18" s="70" t="n">
        <f aca="false">MIN(D16,D17*Assumptions!$D$30)</f>
        <v>0</v>
      </c>
      <c r="E18" s="70" t="n">
        <f aca="false">MIN(E16,E17*Assumptions!$D$30)</f>
        <v>4703.02404</v>
      </c>
      <c r="F18" s="70" t="n">
        <f aca="false">MIN(F16,F17*Assumptions!$D$30)</f>
        <v>2144.7299016</v>
      </c>
      <c r="G18" s="70" t="n">
        <f aca="false">MIN(G16,G17*Assumptions!$D$30)</f>
        <v>1793.284363728</v>
      </c>
      <c r="H18" s="70" t="n">
        <f aca="false">MIN(H16,H17*Assumptions!$D$30)</f>
        <v>1541.28590602272</v>
      </c>
      <c r="I18" s="70" t="n">
        <f aca="false">MIN(I16,I17*Assumptions!$D$30)</f>
        <v>1360.95188581123</v>
      </c>
      <c r="J18" s="70" t="n">
        <f aca="false">MIN(J16,J17*Assumptions!$D$30)</f>
        <v>1232.28255275545</v>
      </c>
      <c r="K18" s="70" t="n">
        <f aca="false">MIN(K16,K17*Assumptions!$D$30)</f>
        <v>1140.88206414157</v>
      </c>
      <c r="L18" s="70" t="n">
        <f aca="false">MIN(L16,L17*Assumptions!$D$30)</f>
        <v>1076.38962939704</v>
      </c>
      <c r="M18" s="70" t="n">
        <f aca="false">MIN(M16,M17*Assumptions!$D$30)</f>
        <v>1031.34994846188</v>
      </c>
      <c r="N18" s="70" t="n">
        <f aca="false">MIN(N16,N17*Assumptions!$D$30)</f>
        <v>1000.39994259433</v>
      </c>
      <c r="O18" s="70" t="n">
        <f aca="false">MIN(O16,O17*Assumptions!$D$30)</f>
        <v>979.683216639798</v>
      </c>
      <c r="P18" s="70" t="n">
        <f aca="false">MIN(P16,P17*Assumptions!$D$30)</f>
        <v>966.428488918848</v>
      </c>
      <c r="Q18" s="70" t="n">
        <f aca="false">MIN(Q16,Q17*Assumptions!$D$30)</f>
        <v>958.646078824056</v>
      </c>
      <c r="R18" s="70" t="n">
        <f aca="false">MIN(R16,R17*Assumptions!$D$30)</f>
        <v>954.909397051954</v>
      </c>
      <c r="S18" s="70" t="n">
        <f aca="false">MIN(S16,S17*Assumptions!$D$30)</f>
        <v>954.197638881959</v>
      </c>
      <c r="T18" s="70" t="n">
        <f aca="false">MIN(T16,T17*Assumptions!$D$30)</f>
        <v>955.782544867836</v>
      </c>
      <c r="U18" s="70" t="n">
        <f aca="false">MIN(U16,U17*Assumptions!$D$30)</f>
        <v>959.146891358037</v>
      </c>
      <c r="V18" s="70" t="n">
        <f aca="false">MIN(V16,V17*Assumptions!$D$30)</f>
        <v>963.925827862173</v>
      </c>
      <c r="W18" s="70" t="n">
        <f aca="false">MIN(W16,W17*Assumptions!$D$30)</f>
        <v>969.864665598214</v>
      </c>
      <c r="X18" s="70" t="n">
        <f aca="false">MIN(X16,X17*Assumptions!$D$30)</f>
        <v>976.788512428411</v>
      </c>
      <c r="Y18" s="70" t="n">
        <f aca="false">MIN(Y16,Y17*Assumptions!$D$30)</f>
        <v>984.580438826014</v>
      </c>
      <c r="Z18" s="70" t="n">
        <f aca="false">MIN(Z16,Z17*Assumptions!$D$30)</f>
        <v>993.165787912942</v>
      </c>
      <c r="AA18" s="70" t="n">
        <f aca="false">MIN(AA16,AA17*Assumptions!$D$30)</f>
        <v>1002.50091106102</v>
      </c>
      <c r="AB18" s="70" t="n">
        <f aca="false">MIN(AB16,AB17*Assumptions!$D$30)</f>
        <v>1012.56509184146</v>
      </c>
      <c r="AC18" s="70" t="n">
        <f aca="false">MIN(AC16,AC17*Assumptions!$D$30)</f>
        <v>1023.35476764403</v>
      </c>
      <c r="AD18" s="70" t="n">
        <f aca="false">MIN(AD16,AD17*Assumptions!$D$30)</f>
        <v>1034.87940780097</v>
      </c>
      <c r="AE18" s="70" t="n">
        <f aca="false">MIN(AE16,AE17*Assumptions!$D$30)</f>
        <v>1047.15858670781</v>
      </c>
      <c r="AF18" s="70" t="n">
        <f aca="false">MIN(AF16,AF17*Assumptions!$D$30)</f>
        <v>1060.21991979419</v>
      </c>
      <c r="AG18" s="70" t="n">
        <f aca="false">MIN(AG16,AG17*Assumptions!$D$30)</f>
        <v>1074.09762334626</v>
      </c>
      <c r="AH18" s="70" t="n">
        <f aca="false">MIN(AH16,AH17*Assumptions!$D$30)</f>
        <v>1088.83152625742</v>
      </c>
      <c r="AI18" s="70" t="n">
        <f aca="false">MIN(AI16,AI17*Assumptions!$D$30)</f>
        <v>1104.46641008834</v>
      </c>
      <c r="AJ18" s="70" t="n">
        <f aca="false">MIN(AJ16,AJ17*Assumptions!$D$30)</f>
        <v>1121.05158860559</v>
      </c>
      <c r="AK18" s="70" t="n">
        <f aca="false">MIN(AK16,AK17*Assumptions!$D$30)</f>
        <v>1138.64066302652</v>
      </c>
      <c r="AL18" s="70" t="n">
        <f aca="false">MIN(AL16,AL17*Assumptions!$D$30)</f>
        <v>1157.29140725142</v>
      </c>
      <c r="AM18" s="70" t="n">
        <f aca="false">SUM(C18:AL18)</f>
        <v>41506.7576271075</v>
      </c>
    </row>
    <row r="19" customFormat="false" ht="15" hidden="false" customHeight="false" outlineLevel="0" collapsed="false">
      <c r="A19" s="10" t="s">
        <v>754</v>
      </c>
      <c r="B19" s="9" t="s">
        <v>84</v>
      </c>
      <c r="C19" s="61" t="n">
        <f aca="false">C18/Assumptions!$D$30</f>
        <v>0</v>
      </c>
      <c r="D19" s="61" t="n">
        <f aca="false">D18/Assumptions!$D$30</f>
        <v>0</v>
      </c>
      <c r="E19" s="61" t="n">
        <f aca="false">E18/Assumptions!$D$30</f>
        <v>3617.7108</v>
      </c>
      <c r="F19" s="61" t="n">
        <f aca="false">F18/Assumptions!$D$30</f>
        <v>1649.792232</v>
      </c>
      <c r="G19" s="61" t="n">
        <f aca="false">G18/Assumptions!$D$30</f>
        <v>1379.44951056</v>
      </c>
      <c r="H19" s="61" t="n">
        <f aca="false">H18/Assumptions!$D$30</f>
        <v>1185.6045430944</v>
      </c>
      <c r="I19" s="61" t="n">
        <f aca="false">I18/Assumptions!$D$30</f>
        <v>1046.88606600864</v>
      </c>
      <c r="J19" s="61" t="n">
        <f aca="false">J18/Assumptions!$D$30</f>
        <v>947.909655965733</v>
      </c>
      <c r="K19" s="61" t="n">
        <f aca="false">K18/Assumptions!$D$30</f>
        <v>877.601587801211</v>
      </c>
      <c r="L19" s="61" t="n">
        <f aca="false">L18/Assumptions!$D$30</f>
        <v>827.992022613108</v>
      </c>
      <c r="M19" s="61" t="n">
        <f aca="false">M18/Assumptions!$D$30</f>
        <v>793.346114201448</v>
      </c>
      <c r="N19" s="61" t="n">
        <f aca="false">N18/Assumptions!$D$30</f>
        <v>769.538417380253</v>
      </c>
      <c r="O19" s="61" t="n">
        <f aca="false">O18/Assumptions!$D$30</f>
        <v>753.602474338306</v>
      </c>
      <c r="P19" s="61" t="n">
        <f aca="false">P18/Assumptions!$D$30</f>
        <v>743.406529937575</v>
      </c>
      <c r="Q19" s="61" t="n">
        <f aca="false">Q18/Assumptions!$D$30</f>
        <v>737.420060633889</v>
      </c>
      <c r="R19" s="61" t="n">
        <f aca="false">R18/Assumptions!$D$30</f>
        <v>734.545690039965</v>
      </c>
      <c r="S19" s="61" t="n">
        <f aca="false">S18/Assumptions!$D$30</f>
        <v>733.998183755353</v>
      </c>
      <c r="T19" s="61" t="n">
        <f aca="false">T18/Assumptions!$D$30</f>
        <v>735.217342206027</v>
      </c>
      <c r="U19" s="61" t="n">
        <f aca="false">U18/Assumptions!$D$30</f>
        <v>737.805301044643</v>
      </c>
      <c r="V19" s="61" t="n">
        <f aca="false">V18/Assumptions!$D$30</f>
        <v>741.481406047825</v>
      </c>
      <c r="W19" s="61" t="n">
        <f aca="false">W18/Assumptions!$D$30</f>
        <v>746.049742767857</v>
      </c>
      <c r="X19" s="61" t="n">
        <f aca="false">X18/Assumptions!$D$30</f>
        <v>751.375778791085</v>
      </c>
      <c r="Y19" s="61" t="n">
        <f aca="false">Y18/Assumptions!$D$30</f>
        <v>757.369568327703</v>
      </c>
      <c r="Z19" s="61" t="n">
        <f aca="false">Z18/Assumptions!$D$30</f>
        <v>763.973683009956</v>
      </c>
      <c r="AA19" s="61" t="n">
        <f aca="false">AA18/Assumptions!$D$30</f>
        <v>771.154546970018</v>
      </c>
      <c r="AB19" s="61" t="n">
        <f aca="false">AB18/Assumptions!$D$30</f>
        <v>778.896224493434</v>
      </c>
      <c r="AC19" s="61" t="n">
        <f aca="false">AC18/Assumptions!$D$30</f>
        <v>787.195975110794</v>
      </c>
      <c r="AD19" s="61" t="n">
        <f aca="false">AD18/Assumptions!$D$30</f>
        <v>796.061082923825</v>
      </c>
      <c r="AE19" s="61" t="n">
        <f aca="false">AE18/Assumptions!$D$30</f>
        <v>805.506605159851</v>
      </c>
      <c r="AF19" s="61" t="n">
        <f aca="false">AF18/Assumptions!$D$30</f>
        <v>815.553784457071</v>
      </c>
      <c r="AG19" s="61" t="n">
        <f aca="false">AG18/Assumptions!$D$30</f>
        <v>826.228941035588</v>
      </c>
      <c r="AH19" s="61" t="n">
        <f aca="false">AH18/Assumptions!$D$30</f>
        <v>837.56271250571</v>
      </c>
      <c r="AI19" s="61" t="n">
        <f aca="false">AI18/Assumptions!$D$30</f>
        <v>849.589546221803</v>
      </c>
      <c r="AJ19" s="61" t="n">
        <f aca="false">AJ18/Assumptions!$D$30</f>
        <v>862.347375850452</v>
      </c>
      <c r="AK19" s="61" t="n">
        <f aca="false">AK18/Assumptions!$D$30</f>
        <v>875.877433097324</v>
      </c>
      <c r="AL19" s="61" t="n">
        <f aca="false">AL18/Assumptions!$D$30</f>
        <v>890.224159424172</v>
      </c>
      <c r="AM19" s="61" t="n">
        <f aca="false">SUM(C19:AL19)</f>
        <v>31928.275097775</v>
      </c>
    </row>
    <row r="20" customFormat="false" ht="15" hidden="false" customHeight="false" outlineLevel="0" collapsed="false">
      <c r="A20" s="10" t="s">
        <v>755</v>
      </c>
      <c r="B20" s="9" t="s">
        <v>51</v>
      </c>
      <c r="C20" s="61" t="n">
        <f aca="false">C8*(Assumptions!$D$35*C14)</f>
        <v>0</v>
      </c>
      <c r="D20" s="61" t="n">
        <f aca="false">D8*(Assumptions!$D$35*D14+Assumptions!$D$34*C29)</f>
        <v>0</v>
      </c>
      <c r="E20" s="61" t="n">
        <f aca="false">E8*(Assumptions!$D$35*E14+Assumptions!$D$34*D29)</f>
        <v>50360.8428440753</v>
      </c>
      <c r="F20" s="61" t="n">
        <f aca="false">F8*(Assumptions!$D$35*F14+Assumptions!$D$34*E29)</f>
        <v>43908.1141552941</v>
      </c>
      <c r="G20" s="61" t="n">
        <f aca="false">G8*(Assumptions!$D$35*G14+Assumptions!$D$34*F29)</f>
        <v>30527.8064898888</v>
      </c>
      <c r="H20" s="61" t="n">
        <f aca="false">H8*(Assumptions!$D$35*H14+Assumptions!$D$34*G29)</f>
        <v>25888.1322293338</v>
      </c>
      <c r="I20" s="61" t="n">
        <f aca="false">I8*(Assumptions!$D$35*I14+Assumptions!$D$34*H29)</f>
        <v>23082.1737524907</v>
      </c>
      <c r="J20" s="61" t="n">
        <f aca="false">J8*(Assumptions!$D$35*J14+Assumptions!$D$34*I29)</f>
        <v>21065.6460434085</v>
      </c>
      <c r="K20" s="61" t="n">
        <f aca="false">K8*(Assumptions!$D$35*K14+Assumptions!$D$34*J29)</f>
        <v>19597.9875125717</v>
      </c>
      <c r="L20" s="61" t="n">
        <f aca="false">L8*(Assumptions!$D$35*L14+Assumptions!$D$34*K29)</f>
        <v>18549.6480364539</v>
      </c>
      <c r="M20" s="61" t="n">
        <f aca="false">M8*(Assumptions!$D$35*M14+Assumptions!$D$34*L29)</f>
        <v>17836.4714977882</v>
      </c>
      <c r="N20" s="61" t="n">
        <f aca="false">N8*(Assumptions!$D$35*N14+Assumptions!$D$34*M29)</f>
        <v>17341.2338063928</v>
      </c>
      <c r="O20" s="61" t="n">
        <f aca="false">O8*(Assumptions!$D$35*O14+Assumptions!$D$34*N29)</f>
        <v>17011.7246403427</v>
      </c>
      <c r="P20" s="61" t="n">
        <f aca="false">P8*(Assumptions!$D$35*P14+Assumptions!$D$34*O29)</f>
        <v>16803.8528156415</v>
      </c>
      <c r="Q20" s="61" t="n">
        <f aca="false">Q8*(Assumptions!$D$35*Q14+Assumptions!$D$34*P29)</f>
        <v>16685.2126463029</v>
      </c>
      <c r="R20" s="61" t="n">
        <f aca="false">R8*(Assumptions!$D$35*R14+Assumptions!$D$34*Q29)</f>
        <v>16632.3688519423</v>
      </c>
      <c r="S20" s="61" t="n">
        <f aca="false">S8*(Assumptions!$D$35*S14+Assumptions!$D$34*R29)</f>
        <v>16628.4788663955</v>
      </c>
      <c r="T20" s="61" t="n">
        <f aca="false">T8*(Assumptions!$D$35*T14+Assumptions!$D$34*S29)</f>
        <v>16661.4941802168</v>
      </c>
      <c r="U20" s="61" t="n">
        <f aca="false">U8*(Assumptions!$D$35*U14+Assumptions!$D$34*T29)</f>
        <v>16722.8423559333</v>
      </c>
      <c r="V20" s="61" t="n">
        <f aca="false">V8*(Assumptions!$D$35*V14+Assumptions!$D$34*U29)</f>
        <v>16806.4686940763</v>
      </c>
      <c r="W20" s="61" t="n">
        <f aca="false">W8*(Assumptions!$D$35*W14+Assumptions!$D$34*V29)</f>
        <v>16908.1419852778</v>
      </c>
      <c r="X20" s="61" t="n">
        <f aca="false">X8*(Assumptions!$D$35*X14+Assumptions!$D$34*W29)</f>
        <v>17024.9527494198</v>
      </c>
      <c r="Y20" s="61" t="n">
        <f aca="false">Y8*(Assumptions!$D$35*Y14+Assumptions!$D$34*X29)</f>
        <v>17154.9512194939</v>
      </c>
      <c r="Z20" s="61" t="n">
        <f aca="false">Z8*(Assumptions!$D$35*Z14+Assumptions!$D$34*Y29)</f>
        <v>17296.8865355668</v>
      </c>
      <c r="AA20" s="61" t="n">
        <f aca="false">AA8*(Assumptions!$D$35*AA14+Assumptions!$D$34*Z29)</f>
        <v>17450.0191293841</v>
      </c>
      <c r="AB20" s="61" t="n">
        <f aca="false">AB8*(Assumptions!$D$35*AB14+Assumptions!$D$34*AA29)</f>
        <v>17613.9859873618</v>
      </c>
      <c r="AC20" s="61" t="n">
        <f aca="false">AC8*(Assumptions!$D$35*AC14+Assumptions!$D$34*AB29)</f>
        <v>17788.7040962378</v>
      </c>
      <c r="AD20" s="61" t="n">
        <f aca="false">AD8*(Assumptions!$D$35*AD14+Assumptions!$D$34*AC29)</f>
        <v>17974.3014537258</v>
      </c>
      <c r="AE20" s="61" t="n">
        <f aca="false">AE8*(Assumptions!$D$35*AE14+Assumptions!$D$34*AD29)</f>
        <v>18171.0679805034</v>
      </c>
      <c r="AF20" s="61" t="n">
        <f aca="false">AF8*(Assumptions!$D$35*AF14+Assumptions!$D$34*AE29)</f>
        <v>18379.4208062165</v>
      </c>
      <c r="AG20" s="61" t="n">
        <f aca="false">AG8*(Assumptions!$D$35*AG14+Assumptions!$D$34*AF29)</f>
        <v>18599.8799455405</v>
      </c>
      <c r="AH20" s="61" t="n">
        <f aca="false">AH8*(Assumptions!$D$35*AH14+Assumptions!$D$34*AG29)</f>
        <v>18833.0514944707</v>
      </c>
      <c r="AI20" s="61" t="n">
        <f aca="false">AI8*(Assumptions!$D$35*AI14+Assumptions!$D$34*AH29)</f>
        <v>19079.6162808928</v>
      </c>
      <c r="AJ20" s="61" t="n">
        <f aca="false">AJ8*(Assumptions!$D$35*AJ14+Assumptions!$D$34*AI29)</f>
        <v>19340.3224833077</v>
      </c>
      <c r="AK20" s="61" t="n">
        <f aca="false">AK8*(Assumptions!$D$35*AK14+Assumptions!$D$34*AJ29)</f>
        <v>19615.9811497254</v>
      </c>
      <c r="AL20" s="61" t="n">
        <f aca="false">AL8*(Assumptions!$D$35*AL14+Assumptions!$D$34*AK29)</f>
        <v>19907.4638502569</v>
      </c>
      <c r="AM20" s="61" t="n">
        <f aca="false">AL20</f>
        <v>19907.4638502569</v>
      </c>
    </row>
    <row r="21" customFormat="false" ht="15" hidden="false" customHeight="false" outlineLevel="0" collapsed="false">
      <c r="A21" s="10" t="s">
        <v>756</v>
      </c>
      <c r="B21" s="9" t="s">
        <v>84</v>
      </c>
      <c r="C21" s="61" t="n">
        <f aca="false">C20*Assumptions!$D$36</f>
        <v>0</v>
      </c>
      <c r="D21" s="61" t="n">
        <f aca="false">D20*Assumptions!$D$36</f>
        <v>0</v>
      </c>
      <c r="E21" s="61" t="n">
        <f aca="false">E20*Assumptions!$D$36</f>
        <v>9064.95171193356</v>
      </c>
      <c r="F21" s="61" t="n">
        <f aca="false">F20*Assumptions!$D$36</f>
        <v>7903.46054795294</v>
      </c>
      <c r="G21" s="61" t="n">
        <f aca="false">G20*Assumptions!$D$36</f>
        <v>5495.00516817999</v>
      </c>
      <c r="H21" s="61" t="n">
        <f aca="false">H20*Assumptions!$D$36</f>
        <v>4659.86380128009</v>
      </c>
      <c r="I21" s="61" t="n">
        <f aca="false">I20*Assumptions!$D$36</f>
        <v>4154.79127544832</v>
      </c>
      <c r="J21" s="61" t="n">
        <f aca="false">J20*Assumptions!$D$36</f>
        <v>3791.81628781353</v>
      </c>
      <c r="K21" s="61" t="n">
        <f aca="false">K20*Assumptions!$D$36</f>
        <v>3527.6377522629</v>
      </c>
      <c r="L21" s="61" t="n">
        <f aca="false">L20*Assumptions!$D$36</f>
        <v>3338.9366465617</v>
      </c>
      <c r="M21" s="61" t="n">
        <f aca="false">M20*Assumptions!$D$36</f>
        <v>3210.56486960187</v>
      </c>
      <c r="N21" s="61" t="n">
        <f aca="false">N20*Assumptions!$D$36</f>
        <v>3121.4220851507</v>
      </c>
      <c r="O21" s="61" t="n">
        <f aca="false">O20*Assumptions!$D$36</f>
        <v>3062.11043526169</v>
      </c>
      <c r="P21" s="61" t="n">
        <f aca="false">P20*Assumptions!$D$36</f>
        <v>3024.69350681547</v>
      </c>
      <c r="Q21" s="61" t="n">
        <f aca="false">Q20*Assumptions!$D$36</f>
        <v>3003.33827633452</v>
      </c>
      <c r="R21" s="61" t="n">
        <f aca="false">R20*Assumptions!$D$36</f>
        <v>2993.82639334961</v>
      </c>
      <c r="S21" s="61" t="n">
        <f aca="false">S20*Assumptions!$D$36</f>
        <v>2993.12619595119</v>
      </c>
      <c r="T21" s="61" t="n">
        <f aca="false">T20*Assumptions!$D$36</f>
        <v>2999.06895243902</v>
      </c>
      <c r="U21" s="61" t="n">
        <f aca="false">U20*Assumptions!$D$36</f>
        <v>3010.11162406799</v>
      </c>
      <c r="V21" s="61" t="n">
        <f aca="false">V20*Assumptions!$D$36</f>
        <v>3025.16436493374</v>
      </c>
      <c r="W21" s="61" t="n">
        <f aca="false">W20*Assumptions!$D$36</f>
        <v>3043.46555735</v>
      </c>
      <c r="X21" s="61" t="n">
        <f aca="false">X20*Assumptions!$D$36</f>
        <v>3064.49149489557</v>
      </c>
      <c r="Y21" s="61" t="n">
        <f aca="false">Y20*Assumptions!$D$36</f>
        <v>3087.89121950891</v>
      </c>
      <c r="Z21" s="61" t="n">
        <f aca="false">Z20*Assumptions!$D$36</f>
        <v>3113.43957640202</v>
      </c>
      <c r="AA21" s="61" t="n">
        <f aca="false">AA20*Assumptions!$D$36</f>
        <v>3141.00344328913</v>
      </c>
      <c r="AB21" s="61" t="n">
        <f aca="false">AB20*Assumptions!$D$36</f>
        <v>3170.51747772513</v>
      </c>
      <c r="AC21" s="61" t="n">
        <f aca="false">AC20*Assumptions!$D$36</f>
        <v>3201.96673732281</v>
      </c>
      <c r="AD21" s="61" t="n">
        <f aca="false">AD20*Assumptions!$D$36</f>
        <v>3235.37426167065</v>
      </c>
      <c r="AE21" s="61" t="n">
        <f aca="false">AE20*Assumptions!$D$36</f>
        <v>3270.79223649061</v>
      </c>
      <c r="AF21" s="61" t="n">
        <f aca="false">AF20*Assumptions!$D$36</f>
        <v>3308.29574511897</v>
      </c>
      <c r="AG21" s="61" t="n">
        <f aca="false">AG20*Assumptions!$D$36</f>
        <v>3347.97839019729</v>
      </c>
      <c r="AH21" s="61" t="n">
        <f aca="false">AH20*Assumptions!$D$36</f>
        <v>3389.94926900473</v>
      </c>
      <c r="AI21" s="61" t="n">
        <f aca="false">AI20*Assumptions!$D$36</f>
        <v>3434.3309305607</v>
      </c>
      <c r="AJ21" s="61" t="n">
        <f aca="false">AJ20*Assumptions!$D$36</f>
        <v>3481.25804699539</v>
      </c>
      <c r="AK21" s="61" t="n">
        <f aca="false">AK20*Assumptions!$D$36</f>
        <v>3530.87660695056</v>
      </c>
      <c r="AL21" s="61" t="n">
        <f aca="false">AL20*Assumptions!$D$36</f>
        <v>3583.34349304623</v>
      </c>
      <c r="AM21" s="61" t="n">
        <f aca="false">SUM(C21:AL21)</f>
        <v>124784.864381867</v>
      </c>
    </row>
    <row r="22" customFormat="false" ht="15" hidden="false" customHeight="false" outlineLevel="0" collapsed="false">
      <c r="A22" s="10" t="s">
        <v>757</v>
      </c>
      <c r="B22" s="9" t="s">
        <v>97</v>
      </c>
      <c r="C22" s="70" t="n">
        <f aca="false">MIN(MAX(0,C16-C18),C21*Assumptions!$D$37)</f>
        <v>0</v>
      </c>
      <c r="D22" s="70" t="n">
        <f aca="false">MIN(MAX(0,D16-D18),D21*Assumptions!$D$37)</f>
        <v>0</v>
      </c>
      <c r="E22" s="70" t="n">
        <f aca="false">MIN(MAX(0,E16-E18),E21*Assumptions!$D$37)</f>
        <v>5296.97596</v>
      </c>
      <c r="F22" s="70" t="n">
        <f aca="false">MIN(MAX(0,F16-F18),F21*Assumptions!$D$37)</f>
        <v>10064.8962154022</v>
      </c>
      <c r="G22" s="70" t="n">
        <f aca="false">MIN(MAX(0,G16-G18),G21*Assumptions!$D$37)</f>
        <v>8233.85189315793</v>
      </c>
      <c r="H22" s="70" t="n">
        <f aca="false">MIN(MAX(0,H16-H18),H21*Assumptions!$D$37)</f>
        <v>7921.76846217614</v>
      </c>
      <c r="I22" s="70" t="n">
        <f aca="false">MIN(MAX(0,I16-I18),I21*Assumptions!$D$37)</f>
        <v>7063.14516826215</v>
      </c>
      <c r="J22" s="70" t="n">
        <f aca="false">MIN(MAX(0,J16-J18),J21*Assumptions!$D$37)</f>
        <v>6446.08768928299</v>
      </c>
      <c r="K22" s="70" t="n">
        <f aca="false">MIN(MAX(0,K16-K18),K21*Assumptions!$D$37)</f>
        <v>5996.98417884693</v>
      </c>
      <c r="L22" s="70" t="n">
        <f aca="false">MIN(MAX(0,L16-L18),L21*Assumptions!$D$37)</f>
        <v>5676.19229915489</v>
      </c>
      <c r="M22" s="70" t="n">
        <f aca="false">MIN(MAX(0,M16-M18),M21*Assumptions!$D$37)</f>
        <v>5457.96027832318</v>
      </c>
      <c r="N22" s="70" t="n">
        <f aca="false">MIN(MAX(0,N16-N18),N21*Assumptions!$D$37)</f>
        <v>5306.41754475618</v>
      </c>
      <c r="O22" s="70" t="n">
        <f aca="false">MIN(MAX(0,O16-O18),O21*Assumptions!$D$37)</f>
        <v>5205.58773994487</v>
      </c>
      <c r="P22" s="70" t="n">
        <f aca="false">MIN(MAX(0,P16-P18),P21*Assumptions!$D$37)</f>
        <v>5141.9789615863</v>
      </c>
      <c r="Q22" s="70" t="n">
        <f aca="false">MIN(MAX(0,Q16-Q18),Q21*Assumptions!$D$37)</f>
        <v>5105.67506976868</v>
      </c>
      <c r="R22" s="70" t="n">
        <f aca="false">MIN(MAX(0,R16-R18),R21*Assumptions!$D$37)</f>
        <v>5089.50486869433</v>
      </c>
      <c r="S22" s="70" t="n">
        <f aca="false">MIN(MAX(0,S16-S18),S21*Assumptions!$D$37)</f>
        <v>5088.31453311702</v>
      </c>
      <c r="T22" s="70" t="n">
        <f aca="false">MIN(MAX(0,T16-T18),T21*Assumptions!$D$37)</f>
        <v>5098.41721914633</v>
      </c>
      <c r="U22" s="70" t="n">
        <f aca="false">MIN(MAX(0,U16-U18),U21*Assumptions!$D$37)</f>
        <v>5117.18976091559</v>
      </c>
      <c r="V22" s="70" t="n">
        <f aca="false">MIN(MAX(0,V16-V18),V21*Assumptions!$D$37)</f>
        <v>5142.77942038736</v>
      </c>
      <c r="W22" s="70" t="n">
        <f aca="false">MIN(MAX(0,W16-W18),W21*Assumptions!$D$37)</f>
        <v>5173.891447495</v>
      </c>
      <c r="X22" s="70" t="n">
        <f aca="false">MIN(MAX(0,X16-X18),X21*Assumptions!$D$37)</f>
        <v>5209.63554132247</v>
      </c>
      <c r="Y22" s="70" t="n">
        <f aca="false">MIN(MAX(0,Y16-Y18),Y21*Assumptions!$D$37)</f>
        <v>5249.41507316515</v>
      </c>
      <c r="Z22" s="70" t="n">
        <f aca="false">MIN(MAX(0,Z16-Z18),Z21*Assumptions!$D$37)</f>
        <v>5292.84727988343</v>
      </c>
      <c r="AA22" s="70" t="n">
        <f aca="false">MIN(MAX(0,AA16-AA18),AA21*Assumptions!$D$37)</f>
        <v>5339.70585359153</v>
      </c>
      <c r="AB22" s="70" t="n">
        <f aca="false">MIN(MAX(0,AB16-AB18),AB21*Assumptions!$D$37)</f>
        <v>5389.87971213271</v>
      </c>
      <c r="AC22" s="70" t="n">
        <f aca="false">MIN(MAX(0,AC16-AC18),AC21*Assumptions!$D$37)</f>
        <v>5443.34345344877</v>
      </c>
      <c r="AD22" s="70" t="n">
        <f aca="false">MIN(MAX(0,AD16-AD18),AD21*Assumptions!$D$37)</f>
        <v>5500.1362448401</v>
      </c>
      <c r="AE22" s="70" t="n">
        <f aca="false">MIN(MAX(0,AE16-AE18),AE21*Assumptions!$D$37)</f>
        <v>5560.34680203403</v>
      </c>
      <c r="AF22" s="70" t="n">
        <f aca="false">MIN(MAX(0,AF16-AF18),AF21*Assumptions!$D$37)</f>
        <v>5624.10276670225</v>
      </c>
      <c r="AG22" s="70" t="n">
        <f aca="false">MIN(MAX(0,AG16-AG18),AG21*Assumptions!$D$37)</f>
        <v>5691.5632633354</v>
      </c>
      <c r="AH22" s="70" t="n">
        <f aca="false">MIN(MAX(0,AH16-AH18),AH21*Assumptions!$D$37)</f>
        <v>5762.91375730804</v>
      </c>
      <c r="AI22" s="70" t="n">
        <f aca="false">MIN(MAX(0,AI16-AI18),AI21*Assumptions!$D$37)</f>
        <v>5838.36258195318</v>
      </c>
      <c r="AJ22" s="70" t="n">
        <f aca="false">MIN(MAX(0,AJ16-AJ18),AJ21*Assumptions!$D$37)</f>
        <v>5918.13867989216</v>
      </c>
      <c r="AK22" s="70" t="n">
        <f aca="false">MIN(MAX(0,AK16-AK18),AK21*Assumptions!$D$37)</f>
        <v>6002.49023181596</v>
      </c>
      <c r="AL22" s="70" t="n">
        <f aca="false">MIN(MAX(0,AL16-AL18),AL21*Assumptions!$D$37)</f>
        <v>6091.6839381786</v>
      </c>
      <c r="AM22" s="70" t="n">
        <f aca="false">SUM(C22:AL22)</f>
        <v>197542.183890022</v>
      </c>
    </row>
    <row r="23" customFormat="false" ht="15" hidden="false" customHeight="false" outlineLevel="0" collapsed="false">
      <c r="A23" s="10" t="s">
        <v>758</v>
      </c>
      <c r="B23" s="9" t="s">
        <v>84</v>
      </c>
      <c r="C23" s="61" t="n">
        <f aca="false">C22/Assumptions!$D$37</f>
        <v>0</v>
      </c>
      <c r="D23" s="61" t="n">
        <f aca="false">D22/Assumptions!$D$37</f>
        <v>0</v>
      </c>
      <c r="E23" s="61" t="n">
        <f aca="false">E22/Assumptions!$D$37</f>
        <v>3115.86821176471</v>
      </c>
      <c r="F23" s="61" t="n">
        <f aca="false">F22/Assumptions!$D$37</f>
        <v>5920.52718553073</v>
      </c>
      <c r="G23" s="61" t="n">
        <f aca="false">G22/Assumptions!$D$37</f>
        <v>4843.4422900929</v>
      </c>
      <c r="H23" s="61" t="n">
        <f aca="false">H22/Assumptions!$D$37</f>
        <v>4659.86380128009</v>
      </c>
      <c r="I23" s="61" t="n">
        <f aca="false">I22/Assumptions!$D$37</f>
        <v>4154.79127544832</v>
      </c>
      <c r="J23" s="61" t="n">
        <f aca="false">J22/Assumptions!$D$37</f>
        <v>3791.81628781353</v>
      </c>
      <c r="K23" s="61" t="n">
        <f aca="false">K22/Assumptions!$D$37</f>
        <v>3527.6377522629</v>
      </c>
      <c r="L23" s="61" t="n">
        <f aca="false">L22/Assumptions!$D$37</f>
        <v>3338.9366465617</v>
      </c>
      <c r="M23" s="61" t="n">
        <f aca="false">M22/Assumptions!$D$37</f>
        <v>3210.56486960187</v>
      </c>
      <c r="N23" s="61" t="n">
        <f aca="false">N22/Assumptions!$D$37</f>
        <v>3121.4220851507</v>
      </c>
      <c r="O23" s="61" t="n">
        <f aca="false">O22/Assumptions!$D$37</f>
        <v>3062.11043526169</v>
      </c>
      <c r="P23" s="61" t="n">
        <f aca="false">P22/Assumptions!$D$37</f>
        <v>3024.69350681547</v>
      </c>
      <c r="Q23" s="61" t="n">
        <f aca="false">Q22/Assumptions!$D$37</f>
        <v>3003.33827633452</v>
      </c>
      <c r="R23" s="61" t="n">
        <f aca="false">R22/Assumptions!$D$37</f>
        <v>2993.82639334961</v>
      </c>
      <c r="S23" s="61" t="n">
        <f aca="false">S22/Assumptions!$D$37</f>
        <v>2993.12619595119</v>
      </c>
      <c r="T23" s="61" t="n">
        <f aca="false">T22/Assumptions!$D$37</f>
        <v>2999.06895243902</v>
      </c>
      <c r="U23" s="61" t="n">
        <f aca="false">U22/Assumptions!$D$37</f>
        <v>3010.11162406799</v>
      </c>
      <c r="V23" s="61" t="n">
        <f aca="false">V22/Assumptions!$D$37</f>
        <v>3025.16436493374</v>
      </c>
      <c r="W23" s="61" t="n">
        <f aca="false">W22/Assumptions!$D$37</f>
        <v>3043.46555735</v>
      </c>
      <c r="X23" s="61" t="n">
        <f aca="false">X22/Assumptions!$D$37</f>
        <v>3064.49149489557</v>
      </c>
      <c r="Y23" s="61" t="n">
        <f aca="false">Y22/Assumptions!$D$37</f>
        <v>3087.89121950891</v>
      </c>
      <c r="Z23" s="61" t="n">
        <f aca="false">Z22/Assumptions!$D$37</f>
        <v>3113.43957640202</v>
      </c>
      <c r="AA23" s="61" t="n">
        <f aca="false">AA22/Assumptions!$D$37</f>
        <v>3141.00344328913</v>
      </c>
      <c r="AB23" s="61" t="n">
        <f aca="false">AB22/Assumptions!$D$37</f>
        <v>3170.51747772513</v>
      </c>
      <c r="AC23" s="61" t="n">
        <f aca="false">AC22/Assumptions!$D$37</f>
        <v>3201.96673732281</v>
      </c>
      <c r="AD23" s="61" t="n">
        <f aca="false">AD22/Assumptions!$D$37</f>
        <v>3235.37426167065</v>
      </c>
      <c r="AE23" s="61" t="n">
        <f aca="false">AE22/Assumptions!$D$37</f>
        <v>3270.79223649061</v>
      </c>
      <c r="AF23" s="61" t="n">
        <f aca="false">AF22/Assumptions!$D$37</f>
        <v>3308.29574511897</v>
      </c>
      <c r="AG23" s="61" t="n">
        <f aca="false">AG22/Assumptions!$D$37</f>
        <v>3347.97839019729</v>
      </c>
      <c r="AH23" s="61" t="n">
        <f aca="false">AH22/Assumptions!$D$37</f>
        <v>3389.94926900473</v>
      </c>
      <c r="AI23" s="61" t="n">
        <f aca="false">AI22/Assumptions!$D$37</f>
        <v>3434.3309305607</v>
      </c>
      <c r="AJ23" s="61" t="n">
        <f aca="false">AJ22/Assumptions!$D$37</f>
        <v>3481.25804699539</v>
      </c>
      <c r="AK23" s="61" t="n">
        <f aca="false">AK22/Assumptions!$D$37</f>
        <v>3530.87660695056</v>
      </c>
      <c r="AL23" s="61" t="n">
        <f aca="false">AL22/Assumptions!$D$37</f>
        <v>3583.34349304623</v>
      </c>
      <c r="AM23" s="61" t="n">
        <f aca="false">SUM(C23:AL23)</f>
        <v>116201.284641189</v>
      </c>
    </row>
    <row r="24" customFormat="false" ht="15" hidden="false" customHeight="false" outlineLevel="0" collapsed="false">
      <c r="A24" s="10" t="s">
        <v>759</v>
      </c>
      <c r="B24" s="9" t="s">
        <v>97</v>
      </c>
      <c r="C24" s="70" t="n">
        <f aca="false">MAX(0,C16-C18-C22)</f>
        <v>4000</v>
      </c>
      <c r="D24" s="70" t="n">
        <f aca="false">MAX(0,D16-D18-D22)</f>
        <v>4000</v>
      </c>
      <c r="E24" s="70" t="n">
        <f aca="false">MAX(0,E16-E18-E22)</f>
        <v>0</v>
      </c>
      <c r="F24" s="70" t="n">
        <f aca="false">MAX(0,F16-F18-F22)</f>
        <v>0</v>
      </c>
      <c r="G24" s="70" t="n">
        <f aca="false">MAX(0,G16-G18-G22)</f>
        <v>0</v>
      </c>
      <c r="H24" s="70" t="n">
        <f aca="false">MAX(0,H16-H18-H22)</f>
        <v>599.713614421204</v>
      </c>
      <c r="I24" s="70" t="n">
        <f aca="false">MAX(0,I16-I18-I22)</f>
        <v>2016.93186021123</v>
      </c>
      <c r="J24" s="70" t="n">
        <f aca="false">MAX(0,J16-J18-J22)</f>
        <v>3127.90276020598</v>
      </c>
      <c r="K24" s="70" t="n">
        <f aca="false">MAX(0,K16-K18-K22)</f>
        <v>3974.24301321125</v>
      </c>
      <c r="L24" s="70" t="n">
        <f aca="false">MAX(0,L16-L18-L22)</f>
        <v>4769.03400186041</v>
      </c>
      <c r="M24" s="70" t="n">
        <f aca="false">MAX(0,M16-M18-M22)</f>
        <v>5346.90666421212</v>
      </c>
      <c r="N24" s="70" t="n">
        <f aca="false">MAX(0,N16-N18-N22)</f>
        <v>5817.93810773833</v>
      </c>
      <c r="O24" s="70" t="n">
        <f aca="false">MAX(0,O16-O18-O22)</f>
        <v>6211.18571797392</v>
      </c>
      <c r="P24" s="70" t="n">
        <f aca="false">MAX(0,P16-P18-P22)</f>
        <v>6548.33257688031</v>
      </c>
      <c r="Q24" s="70" t="n">
        <f aca="false">MAX(0,Q16-Q18-Q22)</f>
        <v>6845.18434023324</v>
      </c>
      <c r="R24" s="70" t="n">
        <f aca="false">MAX(0,R16-R18-R22)</f>
        <v>7113.38214432077</v>
      </c>
      <c r="S24" s="70" t="n">
        <f aca="false">MAX(0,S16-S18-S22)</f>
        <v>7361.5479364418</v>
      </c>
      <c r="T24" s="70" t="n">
        <f aca="false">MAX(0,T16-T18-T22)</f>
        <v>7596.11961625778</v>
      </c>
      <c r="U24" s="70" t="n">
        <f aca="false">MAX(0,U16-U18-U22)</f>
        <v>7821.95709615178</v>
      </c>
      <c r="V24" s="70" t="n">
        <f aca="false">MAX(0,V16-V18-V22)</f>
        <v>8042.78191785094</v>
      </c>
      <c r="W24" s="70" t="n">
        <f aca="false">MAX(0,W16-W18-W22)</f>
        <v>8261.49614229329</v>
      </c>
      <c r="X24" s="70" t="n">
        <f aca="false">MAX(0,X16-X18-X22)</f>
        <v>8480.41381283032</v>
      </c>
      <c r="Y24" s="70" t="n">
        <f aca="false">MAX(0,Y16-Y18-Y22)</f>
        <v>8701.42917064787</v>
      </c>
      <c r="Z24" s="70" t="n">
        <f aca="false">MAX(0,Z16-Z18-Z22)</f>
        <v>8926.13914806836</v>
      </c>
      <c r="AA24" s="70" t="n">
        <f aca="false">MAX(0,AA16-AA18-AA22)</f>
        <v>9155.9328290978</v>
      </c>
      <c r="AB24" s="70" t="n">
        <f aca="false">MAX(0,AB16-AB18-AB22)</f>
        <v>9392.05705877617</v>
      </c>
      <c r="AC24" s="70" t="n">
        <f aca="false">MAX(0,AC16-AC18-AC22)</f>
        <v>9635.66484237495</v>
      </c>
      <c r="AD24" s="70" t="n">
        <f aca="false">MAX(0,AD16-AD18-AD22)</f>
        <v>9887.85133736927</v>
      </c>
      <c r="AE24" s="70" t="n">
        <f aca="false">MAX(0,AE16-AE18-AE22)</f>
        <v>10149.6809121298</v>
      </c>
      <c r="AF24" s="70" t="n">
        <f aca="false">MAX(0,AF16-AF18-AF22)</f>
        <v>10422.2077848946</v>
      </c>
      <c r="AG24" s="70" t="n">
        <f aca="false">MAX(0,AG16-AG18-AG22)</f>
        <v>10706.492062831</v>
      </c>
      <c r="AH24" s="70" t="n">
        <f aca="false">MAX(0,AH16-AH18-AH22)</f>
        <v>11003.6125000144</v>
      </c>
      <c r="AI24" s="70" t="n">
        <f aca="false">MAX(0,AI16-AI18-AI22)</f>
        <v>11314.6769314778</v>
      </c>
      <c r="AJ24" s="70" t="n">
        <f aca="false">MAX(0,AJ16-AJ18-AJ22)</f>
        <v>11640.8310794673</v>
      </c>
      <c r="AK24" s="70" t="n">
        <f aca="false">MAX(0,AK16-AK18-AK22)</f>
        <v>11983.2662397371</v>
      </c>
      <c r="AL24" s="70" t="n">
        <f aca="false">MAX(0,AL16-AL18-AL22)</f>
        <v>12343.2262199441</v>
      </c>
      <c r="AM24" s="70" t="n">
        <f aca="false">SUM(C24:AL24)</f>
        <v>253198.139439925</v>
      </c>
    </row>
    <row r="25" customFormat="false" ht="15" hidden="false" customHeight="false" outlineLevel="0" collapsed="false">
      <c r="A25" s="10" t="s">
        <v>760</v>
      </c>
      <c r="B25" s="9" t="s">
        <v>84</v>
      </c>
      <c r="C25" s="61" t="n">
        <f aca="false">(Assumptions!$D$21/(Assumptions!$D$41*Assumptions!$D$42))*(C24/Assumptions!$D$21)^Assumptions!$D$25</f>
        <v>2136.98409794519</v>
      </c>
      <c r="D25" s="61" t="n">
        <f aca="false">(Assumptions!$D$21/(Assumptions!$D$41*Assumptions!$D$42))*(D24/Assumptions!$D$21)^Assumptions!$D$25</f>
        <v>2136.98409794519</v>
      </c>
      <c r="E25" s="61" t="n">
        <f aca="false">(Assumptions!$D$21/(Assumptions!$D$41*Assumptions!$D$42))*(E24/Assumptions!$D$21)^Assumptions!$D$25</f>
        <v>0</v>
      </c>
      <c r="F25" s="61" t="n">
        <f aca="false">(Assumptions!$D$21/(Assumptions!$D$41*Assumptions!$D$42))*(F24/Assumptions!$D$21)^Assumptions!$D$25</f>
        <v>0</v>
      </c>
      <c r="G25" s="61" t="n">
        <f aca="false">(Assumptions!$D$21/(Assumptions!$D$41*Assumptions!$D$42))*(G24/Assumptions!$D$21)^Assumptions!$D$25</f>
        <v>0</v>
      </c>
      <c r="H25" s="61" t="n">
        <f aca="false">(Assumptions!$D$21/(Assumptions!$D$41*Assumptions!$D$42))*(H24/Assumptions!$D$21)^Assumptions!$D$25</f>
        <v>566.135035460773</v>
      </c>
      <c r="I25" s="61" t="n">
        <f aca="false">(Assumptions!$D$21/(Assumptions!$D$41*Assumptions!$D$42))*(I24/Assumptions!$D$21)^Assumptions!$D$25</f>
        <v>1323.25381550851</v>
      </c>
      <c r="J25" s="61" t="n">
        <f aca="false">(Assumptions!$D$21/(Assumptions!$D$41*Assumptions!$D$42))*(J24/Assumptions!$D$21)^Assumptions!$D$25</f>
        <v>1799.02238325222</v>
      </c>
      <c r="K25" s="61" t="n">
        <f aca="false">(Assumptions!$D$21/(Assumptions!$D$41*Assumptions!$D$42))*(K24/Assumptions!$D$21)^Assumptions!$D$25</f>
        <v>2127.3423706241</v>
      </c>
      <c r="L25" s="61" t="n">
        <f aca="false">(Assumptions!$D$21/(Assumptions!$D$41*Assumptions!$D$42))*(L24/Assumptions!$D$21)^Assumptions!$D$25</f>
        <v>2416.91061820399</v>
      </c>
      <c r="M25" s="61" t="n">
        <f aca="false">(Assumptions!$D$21/(Assumptions!$D$41*Assumptions!$D$42))*(M24/Assumptions!$D$21)^Assumptions!$D$25</f>
        <v>2618.37061669251</v>
      </c>
      <c r="N25" s="61" t="n">
        <f aca="false">(Assumptions!$D$21/(Assumptions!$D$41*Assumptions!$D$42))*(N24/Assumptions!$D$21)^Assumptions!$D$25</f>
        <v>2777.77883350303</v>
      </c>
      <c r="O25" s="61" t="n">
        <f aca="false">(Assumptions!$D$21/(Assumptions!$D$41*Assumptions!$D$42))*(O24/Assumptions!$D$21)^Assumptions!$D$25</f>
        <v>2907.91332186529</v>
      </c>
      <c r="P25" s="61" t="n">
        <f aca="false">(Assumptions!$D$21/(Assumptions!$D$41*Assumptions!$D$42))*(P24/Assumptions!$D$21)^Assumptions!$D$25</f>
        <v>3017.52450948415</v>
      </c>
      <c r="Q25" s="61" t="n">
        <f aca="false">(Assumptions!$D$21/(Assumptions!$D$41*Assumptions!$D$42))*(Q24/Assumptions!$D$21)^Assumptions!$D$25</f>
        <v>3112.64004308113</v>
      </c>
      <c r="R25" s="61" t="n">
        <f aca="false">(Assumptions!$D$21/(Assumptions!$D$41*Assumptions!$D$42))*(R24/Assumptions!$D$21)^Assumptions!$D$25</f>
        <v>3197.51503184729</v>
      </c>
      <c r="S25" s="61" t="n">
        <f aca="false">(Assumptions!$D$21/(Assumptions!$D$41*Assumptions!$D$42))*(S24/Assumptions!$D$21)^Assumptions!$D$25</f>
        <v>3275.19903695052</v>
      </c>
      <c r="T25" s="61" t="n">
        <f aca="false">(Assumptions!$D$21/(Assumptions!$D$41*Assumptions!$D$42))*(T24/Assumptions!$D$21)^Assumptions!$D$25</f>
        <v>3347.90829172341</v>
      </c>
      <c r="U25" s="61" t="n">
        <f aca="false">(Assumptions!$D$21/(Assumptions!$D$41*Assumptions!$D$42))*(U24/Assumptions!$D$21)^Assumptions!$D$25</f>
        <v>3417.27632004504</v>
      </c>
      <c r="V25" s="61" t="n">
        <f aca="false">(Assumptions!$D$21/(Assumptions!$D$41*Assumptions!$D$42))*(V24/Assumptions!$D$21)^Assumptions!$D$25</f>
        <v>3484.52593679423</v>
      </c>
      <c r="W25" s="61" t="n">
        <f aca="false">(Assumptions!$D$21/(Assumptions!$D$41*Assumptions!$D$42))*(W24/Assumptions!$D$21)^Assumptions!$D$25</f>
        <v>3550.58888822864</v>
      </c>
      <c r="X25" s="61" t="n">
        <f aca="false">(Assumptions!$D$21/(Assumptions!$D$41*Assumptions!$D$42))*(X24/Assumptions!$D$21)^Assumptions!$D$25</f>
        <v>3616.18989128588</v>
      </c>
      <c r="Y25" s="61" t="n">
        <f aca="false">(Assumptions!$D$21/(Assumptions!$D$41*Assumptions!$D$42))*(Y24/Assumptions!$D$21)^Assumptions!$D$25</f>
        <v>3681.90610532351</v>
      </c>
      <c r="Z25" s="61" t="n">
        <f aca="false">(Assumptions!$D$21/(Assumptions!$D$41*Assumptions!$D$42))*(Z24/Assumptions!$D$21)^Assumptions!$D$25</f>
        <v>3748.20946831267</v>
      </c>
      <c r="AA25" s="61" t="n">
        <f aca="false">(Assumptions!$D$21/(Assumptions!$D$41*Assumptions!$D$42))*(AA24/Assumptions!$D$21)^Assumptions!$D$25</f>
        <v>3815.49698779252</v>
      </c>
      <c r="AB25" s="61" t="n">
        <f aca="false">(Assumptions!$D$21/(Assumptions!$D$41*Assumptions!$D$42))*(AB24/Assumptions!$D$21)^Assumptions!$D$25</f>
        <v>3884.11251575779</v>
      </c>
      <c r="AC25" s="61" t="n">
        <f aca="false">(Assumptions!$D$21/(Assumptions!$D$41*Assumptions!$D$42))*(AC24/Assumptions!$D$21)^Assumptions!$D$25</f>
        <v>3954.36247626424</v>
      </c>
      <c r="AD25" s="61" t="n">
        <f aca="false">(Assumptions!$D$21/(Assumptions!$D$41*Assumptions!$D$42))*(AD24/Assumptions!$D$21)^Assumptions!$D$25</f>
        <v>4026.52728421725</v>
      </c>
      <c r="AE25" s="61" t="n">
        <f aca="false">(Assumptions!$D$21/(Assumptions!$D$41*Assumptions!$D$42))*(AE24/Assumptions!$D$21)^Assumptions!$D$25</f>
        <v>4100.8696856292</v>
      </c>
      <c r="AF25" s="61" t="n">
        <f aca="false">(Assumptions!$D$21/(Assumptions!$D$41*Assumptions!$D$42))*(AF24/Assumptions!$D$21)^Assumptions!$D$25</f>
        <v>4177.64089332895</v>
      </c>
      <c r="AG25" s="61" t="n">
        <f aca="false">(Assumptions!$D$21/(Assumptions!$D$41*Assumptions!$D$42))*(AG24/Assumptions!$D$21)^Assumptions!$D$25</f>
        <v>4257.08514088044</v>
      </c>
      <c r="AH25" s="61" t="n">
        <f aca="false">(Assumptions!$D$21/(Assumptions!$D$41*Assumptions!$D$42))*(AH24/Assumptions!$D$21)^Assumptions!$D$25</f>
        <v>4339.44309958219</v>
      </c>
      <c r="AI25" s="61" t="n">
        <f aca="false">(Assumptions!$D$21/(Assumptions!$D$41*Assumptions!$D$42))*(AI24/Assumptions!$D$21)^Assumptions!$D$25</f>
        <v>4424.95447706476</v>
      </c>
      <c r="AJ25" s="61" t="n">
        <f aca="false">(Assumptions!$D$21/(Assumptions!$D$41*Assumptions!$D$42))*(AJ24/Assumptions!$D$21)^Assumptions!$D$25</f>
        <v>4513.86002603449</v>
      </c>
      <c r="AK25" s="61" t="n">
        <f aca="false">(Assumptions!$D$21/(Assumptions!$D$41*Assumptions!$D$42))*(AK24/Assumptions!$D$21)^Assumptions!$D$25</f>
        <v>4606.40312752996</v>
      </c>
      <c r="AL25" s="61" t="n">
        <f aca="false">(Assumptions!$D$21/(Assumptions!$D$41*Assumptions!$D$42))*(AL24/Assumptions!$D$21)^Assumptions!$D$25</f>
        <v>4702.83106720387</v>
      </c>
      <c r="AM25" s="61" t="n">
        <f aca="false">SUM(C25:AL25)</f>
        <v>109063.765495363</v>
      </c>
    </row>
    <row r="26" customFormat="false" ht="15" hidden="false" customHeight="false" outlineLevel="0" collapsed="false">
      <c r="A26" s="37" t="s">
        <v>761</v>
      </c>
      <c r="B26" s="9" t="s">
        <v>97</v>
      </c>
      <c r="C26" s="53" t="n">
        <f aca="false">C18+C22+C24</f>
        <v>4000</v>
      </c>
      <c r="D26" s="53" t="n">
        <f aca="false">D18+D22+D24</f>
        <v>4000</v>
      </c>
      <c r="E26" s="53" t="n">
        <f aca="false">E18+E22+E24</f>
        <v>10000</v>
      </c>
      <c r="F26" s="53" t="n">
        <f aca="false">F18+F22+F24</f>
        <v>12209.6261170022</v>
      </c>
      <c r="G26" s="53" t="n">
        <f aca="false">G18+G22+G24</f>
        <v>10027.1362568859</v>
      </c>
      <c r="H26" s="53" t="n">
        <f aca="false">H18+H22+H24</f>
        <v>10062.7679826201</v>
      </c>
      <c r="I26" s="53" t="n">
        <f aca="false">I18+I22+I24</f>
        <v>10441.0289142846</v>
      </c>
      <c r="J26" s="53" t="n">
        <f aca="false">J18+J22+J24</f>
        <v>10806.2730022444</v>
      </c>
      <c r="K26" s="53" t="n">
        <f aca="false">K18+K22+K24</f>
        <v>11112.1092561997</v>
      </c>
      <c r="L26" s="53" t="n">
        <f aca="false">L18+L22+L24</f>
        <v>11521.6159304123</v>
      </c>
      <c r="M26" s="53" t="n">
        <f aca="false">M18+M22+M24</f>
        <v>11836.2168909972</v>
      </c>
      <c r="N26" s="53" t="n">
        <f aca="false">N18+N22+N24</f>
        <v>12124.7555950888</v>
      </c>
      <c r="O26" s="53" t="n">
        <f aca="false">O18+O22+O24</f>
        <v>12396.4566745586</v>
      </c>
      <c r="P26" s="53" t="n">
        <f aca="false">P18+P22+P24</f>
        <v>12656.7400273855</v>
      </c>
      <c r="Q26" s="53" t="n">
        <f aca="false">Q18+Q22+Q24</f>
        <v>12909.505488826</v>
      </c>
      <c r="R26" s="53" t="n">
        <f aca="false">R18+R22+R24</f>
        <v>13157.796410067</v>
      </c>
      <c r="S26" s="53" t="n">
        <f aca="false">S18+S22+S24</f>
        <v>13404.0601084408</v>
      </c>
      <c r="T26" s="53" t="n">
        <f aca="false">T18+T22+T24</f>
        <v>13650.3193802719</v>
      </c>
      <c r="U26" s="53" t="n">
        <f aca="false">U18+U22+U24</f>
        <v>13898.2937484254</v>
      </c>
      <c r="V26" s="53" t="n">
        <f aca="false">V18+V22+V24</f>
        <v>14149.4871661005</v>
      </c>
      <c r="W26" s="53" t="n">
        <f aca="false">W18+W22+W24</f>
        <v>14405.2522553865</v>
      </c>
      <c r="X26" s="53" t="n">
        <f aca="false">X18+X22+X24</f>
        <v>14666.8378665812</v>
      </c>
      <c r="Y26" s="53" t="n">
        <f aca="false">Y18+Y22+Y24</f>
        <v>14935.424682639</v>
      </c>
      <c r="Z26" s="53" t="n">
        <f aca="false">Z18+Z22+Z24</f>
        <v>15212.1522158647</v>
      </c>
      <c r="AA26" s="53" t="n">
        <f aca="false">AA18+AA22+AA24</f>
        <v>15498.1395937504</v>
      </c>
      <c r="AB26" s="53" t="n">
        <f aca="false">AB18+AB22+AB24</f>
        <v>15794.5018627504</v>
      </c>
      <c r="AC26" s="53" t="n">
        <f aca="false">AC18+AC22+AC24</f>
        <v>16102.3630634678</v>
      </c>
      <c r="AD26" s="53" t="n">
        <f aca="false">AD18+AD22+AD24</f>
        <v>16422.8669900103</v>
      </c>
      <c r="AE26" s="53" t="n">
        <f aca="false">AE18+AE22+AE24</f>
        <v>16757.1863008717</v>
      </c>
      <c r="AF26" s="53" t="n">
        <f aca="false">AF18+AF22+AF24</f>
        <v>17106.530471391</v>
      </c>
      <c r="AG26" s="53" t="n">
        <f aca="false">AG18+AG22+AG24</f>
        <v>17472.1529495126</v>
      </c>
      <c r="AH26" s="53" t="n">
        <f aca="false">AH18+AH22+AH24</f>
        <v>17855.3577835798</v>
      </c>
      <c r="AI26" s="53" t="n">
        <f aca="false">AI18+AI22+AI24</f>
        <v>18257.5059235193</v>
      </c>
      <c r="AJ26" s="53" t="n">
        <f aca="false">AJ18+AJ22+AJ24</f>
        <v>18680.021347965</v>
      </c>
      <c r="AK26" s="53" t="n">
        <f aca="false">AK18+AK22+AK24</f>
        <v>19124.3971345795</v>
      </c>
      <c r="AL26" s="53" t="n">
        <f aca="false">AL18+AL22+AL24</f>
        <v>19592.2015653741</v>
      </c>
      <c r="AM26" s="53" t="n">
        <f aca="false">SUM(C26:AL26)</f>
        <v>492247.080957054</v>
      </c>
    </row>
    <row r="27" customFormat="false" ht="15" hidden="false" customHeight="false" outlineLevel="0" collapsed="false">
      <c r="A27" s="10" t="s">
        <v>762</v>
      </c>
      <c r="B27" s="9" t="s">
        <v>84</v>
      </c>
      <c r="C27" s="61" t="n">
        <f aca="false">C19+C23+C25</f>
        <v>2136.98409794519</v>
      </c>
      <c r="D27" s="61" t="n">
        <f aca="false">D19+D23+D25</f>
        <v>2136.98409794519</v>
      </c>
      <c r="E27" s="61" t="n">
        <f aca="false">E19+E23+E25</f>
        <v>6733.57901176471</v>
      </c>
      <c r="F27" s="61" t="n">
        <f aca="false">F19+F23+F25</f>
        <v>7570.31941753073</v>
      </c>
      <c r="G27" s="61" t="n">
        <f aca="false">G19+G23+G25</f>
        <v>6222.8918006529</v>
      </c>
      <c r="H27" s="61" t="n">
        <f aca="false">H19+H23+H25</f>
        <v>6411.60337983526</v>
      </c>
      <c r="I27" s="61" t="n">
        <f aca="false">I19+I23+I25</f>
        <v>6524.93115696547</v>
      </c>
      <c r="J27" s="61" t="n">
        <f aca="false">J19+J23+J25</f>
        <v>6538.74832703148</v>
      </c>
      <c r="K27" s="61" t="n">
        <f aca="false">K19+K23+K25</f>
        <v>6532.58171068821</v>
      </c>
      <c r="L27" s="61" t="n">
        <f aca="false">L19+L23+L25</f>
        <v>6583.8392873788</v>
      </c>
      <c r="M27" s="61" t="n">
        <f aca="false">M19+M23+M25</f>
        <v>6622.28160049582</v>
      </c>
      <c r="N27" s="61" t="n">
        <f aca="false">N19+N23+N25</f>
        <v>6668.73933603398</v>
      </c>
      <c r="O27" s="61" t="n">
        <f aca="false">O19+O23+O25</f>
        <v>6723.62623146528</v>
      </c>
      <c r="P27" s="61" t="n">
        <f aca="false">P19+P23+P25</f>
        <v>6785.62454623719</v>
      </c>
      <c r="Q27" s="61" t="n">
        <f aca="false">Q19+Q23+Q25</f>
        <v>6853.39838004953</v>
      </c>
      <c r="R27" s="61" t="n">
        <f aca="false">R19+R23+R25</f>
        <v>6925.88711523686</v>
      </c>
      <c r="S27" s="61" t="n">
        <f aca="false">S19+S23+S25</f>
        <v>7002.32341665706</v>
      </c>
      <c r="T27" s="61" t="n">
        <f aca="false">T19+T23+T25</f>
        <v>7082.19458636846</v>
      </c>
      <c r="U27" s="61" t="n">
        <f aca="false">U19+U23+U25</f>
        <v>7165.19324515768</v>
      </c>
      <c r="V27" s="61" t="n">
        <f aca="false">V19+V23+V25</f>
        <v>7251.17170777579</v>
      </c>
      <c r="W27" s="61" t="n">
        <f aca="false">W19+W23+W25</f>
        <v>7340.10418834649</v>
      </c>
      <c r="X27" s="61" t="n">
        <f aca="false">X19+X23+X25</f>
        <v>7432.05716497254</v>
      </c>
      <c r="Y27" s="61" t="n">
        <f aca="false">Y19+Y23+Y25</f>
        <v>7527.16689316012</v>
      </c>
      <c r="Z27" s="61" t="n">
        <f aca="false">Z19+Z23+Z25</f>
        <v>7625.62272772464</v>
      </c>
      <c r="AA27" s="61" t="n">
        <f aca="false">AA19+AA23+AA25</f>
        <v>7727.65497805167</v>
      </c>
      <c r="AB27" s="61" t="n">
        <f aca="false">AB19+AB23+AB25</f>
        <v>7833.52621797635</v>
      </c>
      <c r="AC27" s="61" t="n">
        <f aca="false">AC19+AC23+AC25</f>
        <v>7943.52518869784</v>
      </c>
      <c r="AD27" s="61" t="n">
        <f aca="false">AD19+AD23+AD25</f>
        <v>8057.96262881173</v>
      </c>
      <c r="AE27" s="61" t="n">
        <f aca="false">AE19+AE23+AE25</f>
        <v>8177.16852727966</v>
      </c>
      <c r="AF27" s="61" t="n">
        <f aca="false">AF19+AF23+AF25</f>
        <v>8301.49042290499</v>
      </c>
      <c r="AG27" s="61" t="n">
        <f aca="false">AG19+AG23+AG25</f>
        <v>8431.29247211332</v>
      </c>
      <c r="AH27" s="61" t="n">
        <f aca="false">AH19+AH23+AH25</f>
        <v>8566.95508109263</v>
      </c>
      <c r="AI27" s="61" t="n">
        <f aca="false">AI19+AI23+AI25</f>
        <v>8708.87495384726</v>
      </c>
      <c r="AJ27" s="61" t="n">
        <f aca="false">AJ19+AJ23+AJ25</f>
        <v>8857.46544888033</v>
      </c>
      <c r="AK27" s="61" t="n">
        <f aca="false">AK19+AK23+AK25</f>
        <v>9013.15716757785</v>
      </c>
      <c r="AL27" s="61" t="n">
        <f aca="false">AL19+AL23+AL25</f>
        <v>9176.39871967427</v>
      </c>
      <c r="AM27" s="61" t="n">
        <f aca="false">SUM(C27:AL27)</f>
        <v>257193.325234327</v>
      </c>
    </row>
    <row r="28" customFormat="false" ht="15" hidden="false" customHeight="false" outlineLevel="0" collapsed="false">
      <c r="A28" s="10" t="s">
        <v>763</v>
      </c>
      <c r="B28" s="9" t="s">
        <v>97</v>
      </c>
      <c r="C28" s="63" t="n">
        <f aca="false">IFERROR(C26/C27,0)</f>
        <v>1.87179680178537</v>
      </c>
      <c r="D28" s="63" t="n">
        <f aca="false">IFERROR(D26/D27,0)</f>
        <v>1.87179680178537</v>
      </c>
      <c r="E28" s="63" t="n">
        <f aca="false">IFERROR(E26/E27,0)</f>
        <v>1.48509432836955</v>
      </c>
      <c r="F28" s="63" t="n">
        <f aca="false">IFERROR(F26/F27,0)</f>
        <v>1.61282839515704</v>
      </c>
      <c r="G28" s="63" t="n">
        <f aca="false">IFERROR(G26/G27,0)</f>
        <v>1.61133064467454</v>
      </c>
      <c r="H28" s="63" t="n">
        <f aca="false">IFERROR(H26/H27,0)</f>
        <v>1.56946201854405</v>
      </c>
      <c r="I28" s="63" t="n">
        <f aca="false">IFERROR(I26/I27,0)</f>
        <v>1.60017457090542</v>
      </c>
      <c r="J28" s="63" t="n">
        <f aca="false">IFERROR(J26/J27,0)</f>
        <v>1.65265161798181</v>
      </c>
      <c r="K28" s="63" t="n">
        <f aca="false">IFERROR(K26/K27,0)</f>
        <v>1.70102874304944</v>
      </c>
      <c r="L28" s="63" t="n">
        <f aca="false">IFERROR(L26/L27,0)</f>
        <v>1.74998438259258</v>
      </c>
      <c r="M28" s="63" t="n">
        <f aca="false">IFERROR(M26/M27,0)</f>
        <v>1.78733216209214</v>
      </c>
      <c r="N28" s="63" t="n">
        <f aca="false">IFERROR(N26/N27,0)</f>
        <v>1.81814807628988</v>
      </c>
      <c r="O28" s="63" t="n">
        <f aca="false">IFERROR(O26/O27,0)</f>
        <v>1.84371591278313</v>
      </c>
      <c r="P28" s="63" t="n">
        <f aca="false">IFERROR(P26/P27,0)</f>
        <v>1.86522846071758</v>
      </c>
      <c r="Q28" s="63" t="n">
        <f aca="false">IFERROR(Q26/Q27,0)</f>
        <v>1.88366482917526</v>
      </c>
      <c r="R28" s="63" t="n">
        <f aca="false">IFERROR(R26/R27,0)</f>
        <v>1.89979943235287</v>
      </c>
      <c r="S28" s="63" t="n">
        <f aca="false">IFERROR(S26/S27,0)</f>
        <v>1.91423036481796</v>
      </c>
      <c r="T28" s="63" t="n">
        <f aca="false">IFERROR(T26/T27,0)</f>
        <v>1.92741377179124</v>
      </c>
      <c r="U28" s="63" t="n">
        <f aca="false">IFERROR(U26/U27,0)</f>
        <v>1.93969559129728</v>
      </c>
      <c r="V28" s="63" t="n">
        <f aca="false">IFERROR(V26/V27,0)</f>
        <v>1.95133803698612</v>
      </c>
      <c r="W28" s="63" t="n">
        <f aca="false">IFERROR(W26/W27,0)</f>
        <v>1.96254056969068</v>
      </c>
      <c r="X28" s="63" t="n">
        <f aca="false">IFERROR(X26/X27,0)</f>
        <v>1.97345600834536</v>
      </c>
      <c r="Y28" s="63" t="n">
        <f aca="false">IFERROR(Y26/Y27,0)</f>
        <v>1.98420267474217</v>
      </c>
      <c r="Z28" s="63" t="n">
        <f aca="false">IFERROR(Z26/Z27,0)</f>
        <v>1.9948734364418</v>
      </c>
      <c r="AA28" s="63" t="n">
        <f aca="false">IFERROR(AA26/AA27,0)</f>
        <v>2.00554238482032</v>
      </c>
      <c r="AB28" s="63" t="n">
        <f aca="false">IFERROR(AB26/AB27,0)</f>
        <v>2.01626973897211</v>
      </c>
      <c r="AC28" s="63" t="n">
        <f aca="false">IFERROR(AC26/AC27,0)</f>
        <v>2.02710543253245</v>
      </c>
      <c r="AD28" s="63" t="n">
        <f aca="false">IFERROR(AD26/AD27,0)</f>
        <v>2.03809172945149</v>
      </c>
      <c r="AE28" s="63" t="n">
        <f aca="false">IFERROR(AE26/AE27,0)</f>
        <v>2.04926512703858</v>
      </c>
      <c r="AF28" s="63" t="n">
        <f aca="false">IFERROR(AF26/AF27,0)</f>
        <v>2.06065773733735</v>
      </c>
      <c r="AG28" s="63" t="n">
        <f aca="false">IFERROR(AG26/AG27,0)</f>
        <v>2.07229828727946</v>
      </c>
      <c r="AH28" s="63" t="n">
        <f aca="false">IFERROR(AH26/AH27,0)</f>
        <v>2.08421284045096</v>
      </c>
      <c r="AI28" s="63" t="n">
        <f aca="false">IFERROR(AI26/AI27,0)</f>
        <v>2.09642531558612</v>
      </c>
      <c r="AJ28" s="63" t="n">
        <f aca="false">IFERROR(AJ26/AJ27,0)</f>
        <v>2.1089578565984</v>
      </c>
      <c r="AK28" s="63" t="n">
        <f aca="false">IFERROR(AK26/AK27,0)</f>
        <v>2.12183109414467</v>
      </c>
      <c r="AL28" s="63" t="n">
        <f aca="false">IFERROR(AL26/AL27,0)</f>
        <v>2.13506432794472</v>
      </c>
      <c r="AM28" s="63" t="n">
        <f aca="false">AVERAGE(N28:AL28)</f>
        <v>1.99096116150352</v>
      </c>
    </row>
    <row r="29" customFormat="false" ht="15" hidden="false" customHeight="false" outlineLevel="0" collapsed="false">
      <c r="A29" s="37" t="s">
        <v>764</v>
      </c>
      <c r="B29" s="9" t="s">
        <v>84</v>
      </c>
      <c r="C29" s="71" t="n">
        <f aca="false">C13+C15+C27</f>
        <v>3336.98409794519</v>
      </c>
      <c r="D29" s="71" t="n">
        <f aca="false">D13+D15+D27</f>
        <v>3408.98409794519</v>
      </c>
      <c r="E29" s="71" t="n">
        <f aca="false">E13+E15+E27</f>
        <v>48770.8990117647</v>
      </c>
      <c r="F29" s="71" t="n">
        <f aca="false">F13+F15+F27</f>
        <v>27300.5466175307</v>
      </c>
      <c r="G29" s="71" t="n">
        <f aca="false">G13+G15+G27</f>
        <v>22939.9979126529</v>
      </c>
      <c r="H29" s="71" t="n">
        <f aca="false">H13+H15+H27</f>
        <v>20988.4183801553</v>
      </c>
      <c r="I29" s="71" t="n">
        <f aca="false">I13+I15+I27</f>
        <v>19591.6419928567</v>
      </c>
      <c r="J29" s="71" t="n">
        <f aca="false">J13+J15+J27</f>
        <v>18550.9439266736</v>
      </c>
      <c r="K29" s="71" t="n">
        <f aca="false">K13+K15+K27</f>
        <v>17820.251688099</v>
      </c>
      <c r="L29" s="71" t="n">
        <f aca="false">L13+L15+L27</f>
        <v>17386.6596855232</v>
      </c>
      <c r="M29" s="71" t="n">
        <f aca="false">M13+M15+M27</f>
        <v>17115.0277024329</v>
      </c>
      <c r="N29" s="71" t="n">
        <f aca="false">N13+N15+N27</f>
        <v>16979.5903896181</v>
      </c>
      <c r="O29" s="71" t="n">
        <f aca="false">O13+O15+O27</f>
        <v>16947.3528018467</v>
      </c>
      <c r="P29" s="71" t="n">
        <f aca="false">P13+P15+P27</f>
        <v>16993.0918374207</v>
      </c>
      <c r="Q29" s="71" t="n">
        <f aca="false">Q13+Q15+Q27</f>
        <v>17098.4175598411</v>
      </c>
      <c r="R29" s="71" t="n">
        <f aca="false">R13+R15+R27</f>
        <v>17250.1577386346</v>
      </c>
      <c r="S29" s="71" t="n">
        <f aca="false">S13+S15+S27</f>
        <v>17439.0020082881</v>
      </c>
      <c r="T29" s="71" t="n">
        <f aca="false">T13+T15+T27</f>
        <v>17658.4746596946</v>
      </c>
      <c r="U29" s="71" t="n">
        <f aca="false">U13+U15+U27</f>
        <v>17904.1741945453</v>
      </c>
      <c r="V29" s="71" t="n">
        <f aca="false">V13+V15+V27</f>
        <v>18173.2163657233</v>
      </c>
      <c r="W29" s="71" t="n">
        <f aca="false">W13+W15+W27</f>
        <v>18463.8289389205</v>
      </c>
      <c r="X29" s="71" t="n">
        <f aca="false">X13+X15+X27</f>
        <v>18775.0582580486</v>
      </c>
      <c r="Y29" s="71" t="n">
        <f aca="false">Y13+Y15+Y27</f>
        <v>19106.5576291975</v>
      </c>
      <c r="Z29" s="71" t="n">
        <f aca="false">Z13+Z15+Z27</f>
        <v>19458.4353236355</v>
      </c>
      <c r="AA29" s="71" t="n">
        <f aca="false">AA13+AA15+AA27</f>
        <v>19831.1459090293</v>
      </c>
      <c r="AB29" s="71" t="n">
        <f aca="false">AB13+AB15+AB27</f>
        <v>20225.4130219174</v>
      </c>
      <c r="AC29" s="71" t="n">
        <f aca="false">AC13+AC15+AC27</f>
        <v>20642.1749411907</v>
      </c>
      <c r="AD29" s="71" t="n">
        <f aca="false">AD13+AD15+AD27</f>
        <v>21082.5466994813</v>
      </c>
      <c r="AE29" s="71" t="n">
        <f aca="false">AE13+AE15+AE27</f>
        <v>21547.7942019689</v>
      </c>
      <c r="AF29" s="71" t="n">
        <f aca="false">AF13+AF15+AF27</f>
        <v>22039.3170811168</v>
      </c>
      <c r="AG29" s="71" t="n">
        <f aca="false">AG13+AG15+AG27</f>
        <v>22558.6379288075</v>
      </c>
      <c r="AH29" s="71" t="n">
        <f aca="false">AH13+AH15+AH27</f>
        <v>23107.3962084611</v>
      </c>
      <c r="AI29" s="71" t="n">
        <f aca="false">AI13+AI15+AI27</f>
        <v>23687.3456280141</v>
      </c>
      <c r="AJ29" s="71" t="n">
        <f aca="false">AJ13+AJ15+AJ27</f>
        <v>24300.3541004896</v>
      </c>
      <c r="AK29" s="71" t="n">
        <f aca="false">AK13+AK15+AK27</f>
        <v>24948.4056689183</v>
      </c>
      <c r="AL29" s="71" t="n">
        <f aca="false">AL13+AL15+AL27</f>
        <v>25633.6039531521</v>
      </c>
      <c r="AM29" s="71" t="n">
        <f aca="false">SUM(C29:AL29)</f>
        <v>719061.848161541</v>
      </c>
    </row>
    <row r="30" customFormat="false" ht="15" hidden="false" customHeight="false" outlineLevel="0" collapsed="false">
      <c r="A30" s="10" t="s">
        <v>765</v>
      </c>
      <c r="B30" s="9" t="s">
        <v>51</v>
      </c>
      <c r="C30" s="61" t="n">
        <f aca="false">C8*Assumptions!$D$47*Assumptions!$D$48^C10</f>
        <v>0</v>
      </c>
      <c r="D30" s="61" t="n">
        <f aca="false">D8*Assumptions!$D$47*Assumptions!$D$48^D10</f>
        <v>0</v>
      </c>
      <c r="E30" s="61" t="n">
        <f aca="false">E8*Assumptions!$D$47*Assumptions!$D$48^E10</f>
        <v>3000</v>
      </c>
      <c r="F30" s="61" t="n">
        <f aca="false">F8*Assumptions!$D$47*Assumptions!$D$48^F10</f>
        <v>4050</v>
      </c>
      <c r="G30" s="61" t="n">
        <f aca="false">G8*Assumptions!$D$47*Assumptions!$D$48^G10</f>
        <v>5467.5</v>
      </c>
      <c r="H30" s="61" t="n">
        <f aca="false">H8*Assumptions!$D$47*Assumptions!$D$48^H10</f>
        <v>7381.125</v>
      </c>
      <c r="I30" s="61" t="n">
        <f aca="false">I8*Assumptions!$D$47*Assumptions!$D$48^I10</f>
        <v>9964.51875</v>
      </c>
      <c r="J30" s="61" t="n">
        <f aca="false">J8*Assumptions!$D$47*Assumptions!$D$48^J10</f>
        <v>13452.1003125</v>
      </c>
      <c r="K30" s="61" t="n">
        <f aca="false">K8*Assumptions!$D$47*Assumptions!$D$48^K10</f>
        <v>18160.335421875</v>
      </c>
      <c r="L30" s="61" t="n">
        <f aca="false">L8*Assumptions!$D$47*Assumptions!$D$48^L10</f>
        <v>24516.4528195313</v>
      </c>
      <c r="M30" s="61" t="n">
        <f aca="false">M8*Assumptions!$D$47*Assumptions!$D$48^M10</f>
        <v>33097.2113063672</v>
      </c>
      <c r="N30" s="61" t="n">
        <f aca="false">N8*Assumptions!$D$47*Assumptions!$D$48^N10</f>
        <v>44681.2352635957</v>
      </c>
      <c r="O30" s="61" t="n">
        <f aca="false">O8*Assumptions!$D$47*Assumptions!$D$48^O10</f>
        <v>60319.6676058542</v>
      </c>
      <c r="P30" s="61" t="n">
        <f aca="false">P8*Assumptions!$D$47*Assumptions!$D$48^P10</f>
        <v>81431.5512679032</v>
      </c>
      <c r="Q30" s="61" t="n">
        <f aca="false">Q8*Assumptions!$D$47*Assumptions!$D$48^Q10</f>
        <v>109932.594211669</v>
      </c>
      <c r="R30" s="61" t="n">
        <f aca="false">R8*Assumptions!$D$47*Assumptions!$D$48^R10</f>
        <v>148409.002185754</v>
      </c>
      <c r="S30" s="61" t="n">
        <f aca="false">S8*Assumptions!$D$47*Assumptions!$D$48^S10</f>
        <v>200352.152950767</v>
      </c>
      <c r="T30" s="61" t="n">
        <f aca="false">T8*Assumptions!$D$47*Assumptions!$D$48^T10</f>
        <v>270475.406483536</v>
      </c>
      <c r="U30" s="61" t="n">
        <f aca="false">U8*Assumptions!$D$47*Assumptions!$D$48^U10</f>
        <v>365141.798752774</v>
      </c>
      <c r="V30" s="61" t="n">
        <f aca="false">V8*Assumptions!$D$47*Assumptions!$D$48^V10</f>
        <v>492941.428316245</v>
      </c>
      <c r="W30" s="61" t="n">
        <f aca="false">W8*Assumptions!$D$47*Assumptions!$D$48^W10</f>
        <v>665470.92822693</v>
      </c>
      <c r="X30" s="61" t="n">
        <f aca="false">X8*Assumptions!$D$47*Assumptions!$D$48^X10</f>
        <v>898385.753106356</v>
      </c>
      <c r="Y30" s="61" t="n">
        <f aca="false">Y8*Assumptions!$D$47*Assumptions!$D$48^Y10</f>
        <v>1212820.76669358</v>
      </c>
      <c r="Z30" s="61" t="n">
        <f aca="false">Z8*Assumptions!$D$47*Assumptions!$D$48^Z10</f>
        <v>1637308.03503633</v>
      </c>
      <c r="AA30" s="61" t="n">
        <f aca="false">AA8*Assumptions!$D$47*Assumptions!$D$48^AA10</f>
        <v>2210365.84729905</v>
      </c>
      <c r="AB30" s="61" t="n">
        <f aca="false">AB8*Assumptions!$D$47*Assumptions!$D$48^AB10</f>
        <v>2983993.89385372</v>
      </c>
      <c r="AC30" s="61" t="n">
        <f aca="false">AC8*Assumptions!$D$47*Assumptions!$D$48^AC10</f>
        <v>4028391.75670252</v>
      </c>
      <c r="AD30" s="61" t="n">
        <f aca="false">AD8*Assumptions!$D$47*Assumptions!$D$48^AD10</f>
        <v>5438328.8715484</v>
      </c>
      <c r="AE30" s="61" t="n">
        <f aca="false">AE8*Assumptions!$D$47*Assumptions!$D$48^AE10</f>
        <v>7341743.97659035</v>
      </c>
      <c r="AF30" s="61" t="n">
        <f aca="false">AF8*Assumptions!$D$47*Assumptions!$D$48^AF10</f>
        <v>9911354.36839697</v>
      </c>
      <c r="AG30" s="61" t="n">
        <f aca="false">AG8*Assumptions!$D$47*Assumptions!$D$48^AG10</f>
        <v>13380328.3973359</v>
      </c>
      <c r="AH30" s="61" t="n">
        <f aca="false">AH8*Assumptions!$D$47*Assumptions!$D$48^AH10</f>
        <v>18063443.3364035</v>
      </c>
      <c r="AI30" s="61" t="n">
        <f aca="false">AI8*Assumptions!$D$47*Assumptions!$D$48^AI10</f>
        <v>24385648.5041447</v>
      </c>
      <c r="AJ30" s="61" t="n">
        <f aca="false">AJ8*Assumptions!$D$47*Assumptions!$D$48^AJ10</f>
        <v>32920625.4805953</v>
      </c>
      <c r="AK30" s="61" t="n">
        <f aca="false">AK8*Assumptions!$D$47*Assumptions!$D$48^AK10</f>
        <v>44442844.3988037</v>
      </c>
      <c r="AL30" s="61" t="n">
        <f aca="false">AL8*Assumptions!$D$47*Assumptions!$D$48^AL10</f>
        <v>59997839.938385</v>
      </c>
      <c r="AM30" s="61" t="n">
        <f aca="false">AL30</f>
        <v>59997839.938385</v>
      </c>
    </row>
    <row r="31" customFormat="false" ht="15" hidden="false" customHeight="false" outlineLevel="0" collapsed="false">
      <c r="A31" s="10" t="s">
        <v>766</v>
      </c>
      <c r="B31" s="9" t="s">
        <v>51</v>
      </c>
      <c r="C31" s="61" t="n">
        <f aca="false">Assumptions!$D$49*C8*(C15+C13*Assumptions!$D$44+C19*Assumptions!$D$31*Assumptions!$D$32+C23*Assumptions!$D$38*Assumptions!$D$39+C25*Assumptions!$D$43)</f>
        <v>0</v>
      </c>
      <c r="D31" s="61" t="n">
        <f aca="false">Assumptions!$D$49*D8*(D15+D13*Assumptions!$D$44+D19*Assumptions!$D$31*Assumptions!$D$32+D23*Assumptions!$D$38*Assumptions!$D$39+D25*Assumptions!$D$43)</f>
        <v>0</v>
      </c>
      <c r="E31" s="61" t="n">
        <f aca="false">Assumptions!$D$49*E8*(E15+E13*Assumptions!$D$44+E19*Assumptions!$D$31*Assumptions!$D$32+E23*Assumptions!$D$38*Assumptions!$D$39+E25*Assumptions!$D$43)</f>
        <v>623.449046007059</v>
      </c>
      <c r="F31" s="61" t="n">
        <f aca="false">Assumptions!$D$49*F8*(F15+F13*Assumptions!$D$44+F19*Assumptions!$D$31*Assumptions!$D$32+F23*Assumptions!$D$38*Assumptions!$D$39+F25*Assumptions!$D$43)</f>
        <v>306.891812928523</v>
      </c>
      <c r="G31" s="61" t="n">
        <f aca="false">Assumptions!$D$49*G8*(G15+G13*Assumptions!$D$44+G19*Assumptions!$D$31*Assumptions!$D$32+G23*Assumptions!$D$38*Assumptions!$D$39+G25*Assumptions!$D$43)</f>
        <v>257.975126551684</v>
      </c>
      <c r="H31" s="61" t="n">
        <f aca="false">Assumptions!$D$49*H8*(H15+H13*Assumptions!$D$44+H19*Assumptions!$D$31*Assumptions!$D$32+H23*Assumptions!$D$38*Assumptions!$D$39+H25*Assumptions!$D$43)</f>
        <v>231.081887773555</v>
      </c>
      <c r="I31" s="61" t="n">
        <f aca="false">Assumptions!$D$49*I8*(I15+I13*Assumptions!$D$44+I19*Assumptions!$D$31*Assumptions!$D$32+I23*Assumptions!$D$38*Assumptions!$D$39+I25*Assumptions!$D$43)</f>
        <v>214.037785928793</v>
      </c>
      <c r="J31" s="61" t="n">
        <f aca="false">Assumptions!$D$49*J8*(J15+J13*Assumptions!$D$44+J19*Assumptions!$D$31*Assumptions!$D$32+J23*Assumptions!$D$38*Assumptions!$D$39+J25*Assumptions!$D$43)</f>
        <v>201.409706486544</v>
      </c>
      <c r="K31" s="61" t="n">
        <f aca="false">Assumptions!$D$49*K8*(K15+K13*Assumptions!$D$44+K19*Assumptions!$D$31*Assumptions!$D$32+K23*Assumptions!$D$38*Assumptions!$D$39+K25*Assumptions!$D$43)</f>
        <v>192.518415867365</v>
      </c>
      <c r="L31" s="61" t="n">
        <f aca="false">Assumptions!$D$49*L8*(L15+L13*Assumptions!$D$44+L19*Assumptions!$D$31*Assumptions!$D$32+L23*Assumptions!$D$38*Assumptions!$D$39+L25*Assumptions!$D$43)</f>
        <v>187.030377913216</v>
      </c>
      <c r="M31" s="61" t="n">
        <f aca="false">Assumptions!$D$49*M8*(M15+M13*Assumptions!$D$44+M19*Assumptions!$D$31*Assumptions!$D$32+M23*Assumptions!$D$38*Assumptions!$D$39+M25*Assumptions!$D$43)</f>
        <v>183.437107208396</v>
      </c>
      <c r="N31" s="61" t="n">
        <f aca="false">Assumptions!$D$49*N8*(N15+N13*Assumptions!$D$44+N19*Assumptions!$D$31*Assumptions!$D$32+N23*Assumptions!$D$38*Assumptions!$D$39+N25*Assumptions!$D$43)</f>
        <v>181.429004159629</v>
      </c>
      <c r="O31" s="61" t="n">
        <f aca="false">Assumptions!$D$49*O8*(O15+O13*Assumptions!$D$44+O19*Assumptions!$D$31*Assumptions!$D$32+O23*Assumptions!$D$38*Assumptions!$D$39+O25*Assumptions!$D$43)</f>
        <v>180.603942932634</v>
      </c>
      <c r="P31" s="61" t="n">
        <f aca="false">Assumptions!$D$49*P8*(P15+P13*Assumptions!$D$44+P19*Assumptions!$D$31*Assumptions!$D$32+P23*Assumptions!$D$38*Assumptions!$D$39+P25*Assumptions!$D$43)</f>
        <v>180.664735830493</v>
      </c>
      <c r="Q31" s="61" t="n">
        <f aca="false">Assumptions!$D$49*Q8*(Q15+Q13*Assumptions!$D$44+Q19*Assumptions!$D$31*Assumptions!$D$32+Q23*Assumptions!$D$38*Assumptions!$D$39+Q25*Assumptions!$D$43)</f>
        <v>181.395817532491</v>
      </c>
      <c r="R31" s="61" t="n">
        <f aca="false">Assumptions!$D$49*R8*(R15+R13*Assumptions!$D$44+R19*Assumptions!$D$31*Assumptions!$D$32+R23*Assumptions!$D$38*Assumptions!$D$39+R25*Assumptions!$D$43)</f>
        <v>182.642767105869</v>
      </c>
      <c r="S31" s="61" t="n">
        <f aca="false">Assumptions!$D$49*S8*(S15+S13*Assumptions!$D$44+S19*Assumptions!$D$31*Assumptions!$D$32+S23*Assumptions!$D$38*Assumptions!$D$39+S25*Assumptions!$D$43)</f>
        <v>184.29609336457</v>
      </c>
      <c r="T31" s="61" t="n">
        <f aca="false">Assumptions!$D$49*T8*(T15+T13*Assumptions!$D$44+T19*Assumptions!$D$31*Assumptions!$D$32+T23*Assumptions!$D$38*Assumptions!$D$39+T25*Assumptions!$D$43)</f>
        <v>186.279143916862</v>
      </c>
      <c r="U31" s="61" t="n">
        <f aca="false">Assumptions!$D$49*U8*(U15+U13*Assumptions!$D$44+U19*Assumptions!$D$31*Assumptions!$D$32+U23*Assumptions!$D$38*Assumptions!$D$39+U25*Assumptions!$D$43)</f>
        <v>188.539215872212</v>
      </c>
      <c r="V31" s="61" t="n">
        <f aca="false">Assumptions!$D$49*V8*(V15+V13*Assumptions!$D$44+V19*Assumptions!$D$31*Assumptions!$D$32+V23*Assumptions!$D$38*Assumptions!$D$39+V25*Assumptions!$D$43)</f>
        <v>191.041071255491</v>
      </c>
      <c r="W31" s="61" t="n">
        <f aca="false">Assumptions!$D$49*W8*(W15+W13*Assumptions!$D$44+W19*Assumptions!$D$31*Assumptions!$D$32+W23*Assumptions!$D$38*Assumptions!$D$39+W25*Assumptions!$D$43)</f>
        <v>193.762230372413</v>
      </c>
      <c r="X31" s="61" t="n">
        <f aca="false">Assumptions!$D$49*X8*(X15+X13*Assumptions!$D$44+X19*Assumptions!$D$31*Assumptions!$D$32+X23*Assumptions!$D$38*Assumptions!$D$39+X25*Assumptions!$D$43)</f>
        <v>196.689568409579</v>
      </c>
      <c r="Y31" s="61" t="n">
        <f aca="false">Assumptions!$D$49*Y8*(Y15+Y13*Assumptions!$D$44+Y19*Assumptions!$D$31*Assumptions!$D$32+Y23*Assumptions!$D$38*Assumptions!$D$39+Y25*Assumptions!$D$43)</f>
        <v>199.816862312342</v>
      </c>
      <c r="Z31" s="61" t="n">
        <f aca="false">Assumptions!$D$49*Z8*(Z15+Z13*Assumptions!$D$44+Z19*Assumptions!$D$31*Assumptions!$D$32+Z23*Assumptions!$D$38*Assumptions!$D$39+Z25*Assumptions!$D$43)</f>
        <v>203.143028315113</v>
      </c>
      <c r="AA31" s="61" t="n">
        <f aca="false">Assumptions!$D$49*AA8*(AA15+AA13*Assumptions!$D$44+AA19*Assumptions!$D$31*Assumptions!$D$32+AA23*Assumptions!$D$38*Assumptions!$D$39+AA25*Assumptions!$D$43)</f>
        <v>206.670860418354</v>
      </c>
      <c r="AB31" s="61" t="n">
        <f aca="false">Assumptions!$D$49*AB8*(AB15+AB13*Assumptions!$D$44+AB19*Assumptions!$D$31*Assumptions!$D$32+AB23*Assumptions!$D$38*Assumptions!$D$39+AB25*Assumptions!$D$43)</f>
        <v>210.406131797484</v>
      </c>
      <c r="AC31" s="61" t="n">
        <f aca="false">Assumptions!$D$49*AC8*(AC15+AC13*Assumptions!$D$44+AC19*Assumptions!$D$31*Assumptions!$D$32+AC23*Assumptions!$D$38*Assumptions!$D$39+AC25*Assumptions!$D$43)</f>
        <v>214.356959033132</v>
      </c>
      <c r="AD31" s="61" t="n">
        <f aca="false">Assumptions!$D$49*AD8*(AD15+AD13*Assumptions!$D$44+AD19*Assumptions!$D$31*Assumptions!$D$32+AD23*Assumptions!$D$38*Assumptions!$D$39+AD25*Assumptions!$D$43)</f>
        <v>218.533356701364</v>
      </c>
      <c r="AE31" s="61" t="n">
        <f aca="false">Assumptions!$D$49*AE8*(AE15+AE13*Assumptions!$D$44+AE19*Assumptions!$D$31*Assumptions!$D$32+AE23*Assumptions!$D$38*Assumptions!$D$39+AE25*Assumptions!$D$43)</f>
        <v>222.946929961333</v>
      </c>
      <c r="AF31" s="61" t="n">
        <f aca="false">Assumptions!$D$49*AF8*(AF15+AF13*Assumptions!$D$44+AF19*Assumptions!$D$31*Assumptions!$D$32+AF23*Assumptions!$D$38*Assumptions!$D$39+AF25*Assumptions!$D$43)</f>
        <v>227.610667353971</v>
      </c>
      <c r="AG31" s="61" t="n">
        <f aca="false">Assumptions!$D$49*AG8*(AG15+AG13*Assumptions!$D$44+AG19*Assumptions!$D$31*Assumptions!$D$32+AG23*Assumptions!$D$38*Assumptions!$D$39+AG25*Assumptions!$D$43)</f>
        <v>232.538806579303</v>
      </c>
      <c r="AH31" s="61" t="n">
        <f aca="false">Assumptions!$D$49*AH8*(AH15+AH13*Assumptions!$D$44+AH19*Assumptions!$D$31*Assumptions!$D$32+AH23*Assumptions!$D$38*Assumptions!$D$39+AH25*Assumptions!$D$43)</f>
        <v>237.74675365351</v>
      </c>
      <c r="AI31" s="61" t="n">
        <f aca="false">Assumptions!$D$49*AI8*(AI15+AI13*Assumptions!$D$44+AI19*Assumptions!$D$31*Assumptions!$D$32+AI23*Assumptions!$D$38*Assumptions!$D$39+AI25*Assumptions!$D$43)</f>
        <v>243.251041364084</v>
      </c>
      <c r="AJ31" s="61" t="n">
        <f aca="false">Assumptions!$D$49*AJ8*(AJ15+AJ13*Assumptions!$D$44+AJ19*Assumptions!$D$31*Assumptions!$D$32+AJ23*Assumptions!$D$38*Assumptions!$D$39+AJ25*Assumptions!$D$43)</f>
        <v>249.069316927473</v>
      </c>
      <c r="AK31" s="61" t="n">
        <f aca="false">Assumptions!$D$49*AK8*(AK15+AK13*Assumptions!$D$44+AK19*Assumptions!$D$31*Assumptions!$D$32+AK23*Assumptions!$D$38*Assumptions!$D$39+AK25*Assumptions!$D$43)</f>
        <v>255.220351633039</v>
      </c>
      <c r="AL31" s="61" t="n">
        <f aca="false">Assumptions!$D$49*AL8*(AL15+AL13*Assumptions!$D$44+AL19*Assumptions!$D$31*Assumptions!$D$32+AL23*Assumptions!$D$38*Assumptions!$D$39+AL25*Assumptions!$D$43)</f>
        <v>261.72406733738</v>
      </c>
      <c r="AM31" s="61" t="n">
        <f aca="false">SUM(C31:AL31)</f>
        <v>7628.20999080526</v>
      </c>
    </row>
    <row r="32" customFormat="false" ht="15" hidden="false" customHeight="false" outlineLevel="0" collapsed="false">
      <c r="A32" s="37" t="s">
        <v>767</v>
      </c>
      <c r="B32" s="9" t="s">
        <v>51</v>
      </c>
      <c r="C32" s="71" t="n">
        <f aca="false">MIN(C31,C30)</f>
        <v>0</v>
      </c>
      <c r="D32" s="71" t="n">
        <f aca="false">MIN(D31,D30)</f>
        <v>0</v>
      </c>
      <c r="E32" s="71" t="n">
        <f aca="false">MIN(E31,E30)</f>
        <v>623.449046007059</v>
      </c>
      <c r="F32" s="71" t="n">
        <f aca="false">MIN(F31,F30)</f>
        <v>306.891812928523</v>
      </c>
      <c r="G32" s="71" t="n">
        <f aca="false">MIN(G31,G30)</f>
        <v>257.975126551684</v>
      </c>
      <c r="H32" s="71" t="n">
        <f aca="false">MIN(H31,H30)</f>
        <v>231.081887773555</v>
      </c>
      <c r="I32" s="71" t="n">
        <f aca="false">MIN(I31,I30)</f>
        <v>214.037785928793</v>
      </c>
      <c r="J32" s="71" t="n">
        <f aca="false">MIN(J31,J30)</f>
        <v>201.409706486544</v>
      </c>
      <c r="K32" s="71" t="n">
        <f aca="false">MIN(K31,K30)</f>
        <v>192.518415867365</v>
      </c>
      <c r="L32" s="71" t="n">
        <f aca="false">MIN(L31,L30)</f>
        <v>187.030377913216</v>
      </c>
      <c r="M32" s="71" t="n">
        <f aca="false">MIN(M31,M30)</f>
        <v>183.437107208396</v>
      </c>
      <c r="N32" s="71" t="n">
        <f aca="false">MIN(N31,N30)</f>
        <v>181.429004159629</v>
      </c>
      <c r="O32" s="71" t="n">
        <f aca="false">MIN(O31,O30)</f>
        <v>180.603942932634</v>
      </c>
      <c r="P32" s="71" t="n">
        <f aca="false">MIN(P31,P30)</f>
        <v>180.664735830493</v>
      </c>
      <c r="Q32" s="71" t="n">
        <f aca="false">MIN(Q31,Q30)</f>
        <v>181.395817532491</v>
      </c>
      <c r="R32" s="71" t="n">
        <f aca="false">MIN(R31,R30)</f>
        <v>182.642767105869</v>
      </c>
      <c r="S32" s="71" t="n">
        <f aca="false">MIN(S31,S30)</f>
        <v>184.29609336457</v>
      </c>
      <c r="T32" s="71" t="n">
        <f aca="false">MIN(T31,T30)</f>
        <v>186.279143916862</v>
      </c>
      <c r="U32" s="71" t="n">
        <f aca="false">MIN(U31,U30)</f>
        <v>188.539215872212</v>
      </c>
      <c r="V32" s="71" t="n">
        <f aca="false">MIN(V31,V30)</f>
        <v>191.041071255491</v>
      </c>
      <c r="W32" s="71" t="n">
        <f aca="false">MIN(W31,W30)</f>
        <v>193.762230372413</v>
      </c>
      <c r="X32" s="71" t="n">
        <f aca="false">MIN(X31,X30)</f>
        <v>196.689568409579</v>
      </c>
      <c r="Y32" s="71" t="n">
        <f aca="false">MIN(Y31,Y30)</f>
        <v>199.816862312342</v>
      </c>
      <c r="Z32" s="71" t="n">
        <f aca="false">MIN(Z31,Z30)</f>
        <v>203.143028315113</v>
      </c>
      <c r="AA32" s="71" t="n">
        <f aca="false">MIN(AA31,AA30)</f>
        <v>206.670860418354</v>
      </c>
      <c r="AB32" s="71" t="n">
        <f aca="false">MIN(AB31,AB30)</f>
        <v>210.406131797484</v>
      </c>
      <c r="AC32" s="71" t="n">
        <f aca="false">MIN(AC31,AC30)</f>
        <v>214.356959033132</v>
      </c>
      <c r="AD32" s="71" t="n">
        <f aca="false">MIN(AD31,AD30)</f>
        <v>218.533356701364</v>
      </c>
      <c r="AE32" s="71" t="n">
        <f aca="false">MIN(AE31,AE30)</f>
        <v>222.946929961333</v>
      </c>
      <c r="AF32" s="71" t="n">
        <f aca="false">MIN(AF31,AF30)</f>
        <v>227.610667353971</v>
      </c>
      <c r="AG32" s="71" t="n">
        <f aca="false">MIN(AG31,AG30)</f>
        <v>232.538806579303</v>
      </c>
      <c r="AH32" s="71" t="n">
        <f aca="false">MIN(AH31,AH30)</f>
        <v>237.74675365351</v>
      </c>
      <c r="AI32" s="71" t="n">
        <f aca="false">MIN(AI31,AI30)</f>
        <v>243.251041364084</v>
      </c>
      <c r="AJ32" s="71" t="n">
        <f aca="false">MIN(AJ31,AJ30)</f>
        <v>249.069316927473</v>
      </c>
      <c r="AK32" s="71" t="n">
        <f aca="false">MIN(AK31,AK30)</f>
        <v>255.220351633039</v>
      </c>
      <c r="AL32" s="71" t="n">
        <f aca="false">MIN(AL31,AL30)</f>
        <v>261.72406733738</v>
      </c>
      <c r="AM32" s="71" t="n">
        <f aca="false">SUM(C32:AL32)</f>
        <v>7628.20999080526</v>
      </c>
    </row>
    <row r="33" customFormat="false" ht="15" hidden="false" customHeight="false" outlineLevel="0" collapsed="false">
      <c r="A33" s="10" t="s">
        <v>768</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769</v>
      </c>
      <c r="B34" s="9" t="s">
        <v>51</v>
      </c>
      <c r="C34" s="61" t="n">
        <f aca="false">C32*Assumptions!$D$51</f>
        <v>0</v>
      </c>
      <c r="D34" s="61" t="n">
        <f aca="false">D32*Assumptions!$D$51</f>
        <v>0</v>
      </c>
      <c r="E34" s="61" t="n">
        <f aca="false">E32*Assumptions!$D$51</f>
        <v>187.034713802118</v>
      </c>
      <c r="F34" s="61" t="n">
        <f aca="false">F32*Assumptions!$D$51</f>
        <v>92.0675438785569</v>
      </c>
      <c r="G34" s="61" t="n">
        <f aca="false">G32*Assumptions!$D$51</f>
        <v>77.3925379655051</v>
      </c>
      <c r="H34" s="61" t="n">
        <f aca="false">H32*Assumptions!$D$51</f>
        <v>69.3245663320665</v>
      </c>
      <c r="I34" s="61" t="n">
        <f aca="false">I32*Assumptions!$D$51</f>
        <v>64.2113357786379</v>
      </c>
      <c r="J34" s="61" t="n">
        <f aca="false">J32*Assumptions!$D$51</f>
        <v>60.4229119459631</v>
      </c>
      <c r="K34" s="61" t="n">
        <f aca="false">K32*Assumptions!$D$51</f>
        <v>57.7555247602095</v>
      </c>
      <c r="L34" s="61" t="n">
        <f aca="false">L32*Assumptions!$D$51</f>
        <v>56.1091133739647</v>
      </c>
      <c r="M34" s="61" t="n">
        <f aca="false">M32*Assumptions!$D$51</f>
        <v>55.0311321625189</v>
      </c>
      <c r="N34" s="61" t="n">
        <f aca="false">N32*Assumptions!$D$51</f>
        <v>54.4287012478887</v>
      </c>
      <c r="O34" s="61" t="n">
        <f aca="false">O32*Assumptions!$D$51</f>
        <v>54.1811828797902</v>
      </c>
      <c r="P34" s="61" t="n">
        <f aca="false">P32*Assumptions!$D$51</f>
        <v>54.1994207491479</v>
      </c>
      <c r="Q34" s="61" t="n">
        <f aca="false">Q32*Assumptions!$D$51</f>
        <v>54.4187452597474</v>
      </c>
      <c r="R34" s="61" t="n">
        <f aca="false">R32*Assumptions!$D$51</f>
        <v>54.7928301317607</v>
      </c>
      <c r="S34" s="61" t="n">
        <f aca="false">S32*Assumptions!$D$51</f>
        <v>55.2888280093709</v>
      </c>
      <c r="T34" s="61" t="n">
        <f aca="false">T32*Assumptions!$D$51</f>
        <v>55.8837431750585</v>
      </c>
      <c r="U34" s="61" t="n">
        <f aca="false">U32*Assumptions!$D$51</f>
        <v>56.5617647616636</v>
      </c>
      <c r="V34" s="61" t="n">
        <f aca="false">V32*Assumptions!$D$51</f>
        <v>57.3123213766472</v>
      </c>
      <c r="W34" s="61" t="n">
        <f aca="false">W32*Assumptions!$D$51</f>
        <v>58.1286691117238</v>
      </c>
      <c r="X34" s="61" t="n">
        <f aca="false">X32*Assumptions!$D$51</f>
        <v>59.0068705228737</v>
      </c>
      <c r="Y34" s="61" t="n">
        <f aca="false">Y32*Assumptions!$D$51</f>
        <v>59.9450586937025</v>
      </c>
      <c r="Z34" s="61" t="n">
        <f aca="false">Z32*Assumptions!$D$51</f>
        <v>60.942908494534</v>
      </c>
      <c r="AA34" s="61" t="n">
        <f aca="false">AA32*Assumptions!$D$51</f>
        <v>62.0012581255063</v>
      </c>
      <c r="AB34" s="61" t="n">
        <f aca="false">AB32*Assumptions!$D$51</f>
        <v>63.1218395392451</v>
      </c>
      <c r="AC34" s="61" t="n">
        <f aca="false">AC32*Assumptions!$D$51</f>
        <v>64.3070877099397</v>
      </c>
      <c r="AD34" s="61" t="n">
        <f aca="false">AD32*Assumptions!$D$51</f>
        <v>65.5600070104092</v>
      </c>
      <c r="AE34" s="61" t="n">
        <f aca="false">AE32*Assumptions!$D$51</f>
        <v>66.8840789884</v>
      </c>
      <c r="AF34" s="61" t="n">
        <f aca="false">AF32*Assumptions!$D$51</f>
        <v>68.2832002061914</v>
      </c>
      <c r="AG34" s="61" t="n">
        <f aca="false">AG32*Assumptions!$D$51</f>
        <v>69.7616419737909</v>
      </c>
      <c r="AH34" s="61" t="n">
        <f aca="false">AH32*Assumptions!$D$51</f>
        <v>71.3240260960531</v>
      </c>
      <c r="AI34" s="61" t="n">
        <f aca="false">AI32*Assumptions!$D$51</f>
        <v>72.9753124092252</v>
      </c>
      <c r="AJ34" s="61" t="n">
        <f aca="false">AJ32*Assumptions!$D$51</f>
        <v>74.7207950782418</v>
      </c>
      <c r="AK34" s="61" t="n">
        <f aca="false">AK32*Assumptions!$D$51</f>
        <v>76.5661054899118</v>
      </c>
      <c r="AL34" s="61" t="n">
        <f aca="false">AL32*Assumptions!$D$51</f>
        <v>78.517220201214</v>
      </c>
      <c r="AM34" s="61" t="n">
        <f aca="false">SUM(C34:AL34)</f>
        <v>2288.46299724158</v>
      </c>
    </row>
    <row r="35" customFormat="false" ht="15" hidden="false" customHeight="false" outlineLevel="0" collapsed="false">
      <c r="A35" s="10" t="s">
        <v>770</v>
      </c>
      <c r="B35" s="9" t="s">
        <v>51</v>
      </c>
      <c r="C35" s="61" t="n">
        <f aca="false">C32*(1-Assumptions!$D$51)</f>
        <v>0</v>
      </c>
      <c r="D35" s="61" t="n">
        <f aca="false">D32*(1-Assumptions!$D$51)</f>
        <v>0</v>
      </c>
      <c r="E35" s="61" t="n">
        <f aca="false">E32*(1-Assumptions!$D$51)</f>
        <v>436.414332204941</v>
      </c>
      <c r="F35" s="61" t="n">
        <f aca="false">F32*(1-Assumptions!$D$51)</f>
        <v>214.824269049966</v>
      </c>
      <c r="G35" s="61" t="n">
        <f aca="false">G32*(1-Assumptions!$D$51)</f>
        <v>180.582588586179</v>
      </c>
      <c r="H35" s="61" t="n">
        <f aca="false">H32*(1-Assumptions!$D$51)</f>
        <v>161.757321441488</v>
      </c>
      <c r="I35" s="61" t="n">
        <f aca="false">I32*(1-Assumptions!$D$51)</f>
        <v>149.826450150155</v>
      </c>
      <c r="J35" s="61" t="n">
        <f aca="false">J32*(1-Assumptions!$D$51)</f>
        <v>140.98679454058</v>
      </c>
      <c r="K35" s="61" t="n">
        <f aca="false">K32*(1-Assumptions!$D$51)</f>
        <v>134.762891107156</v>
      </c>
      <c r="L35" s="61" t="n">
        <f aca="false">L32*(1-Assumptions!$D$51)</f>
        <v>130.921264539251</v>
      </c>
      <c r="M35" s="61" t="n">
        <f aca="false">M32*(1-Assumptions!$D$51)</f>
        <v>128.405975045878</v>
      </c>
      <c r="N35" s="61" t="n">
        <f aca="false">N32*(1-Assumptions!$D$51)</f>
        <v>127.00030291174</v>
      </c>
      <c r="O35" s="61" t="n">
        <f aca="false">O32*(1-Assumptions!$D$51)</f>
        <v>126.422760052844</v>
      </c>
      <c r="P35" s="61" t="n">
        <f aca="false">P32*(1-Assumptions!$D$51)</f>
        <v>126.465315081345</v>
      </c>
      <c r="Q35" s="61" t="n">
        <f aca="false">Q32*(1-Assumptions!$D$51)</f>
        <v>126.977072272744</v>
      </c>
      <c r="R35" s="61" t="n">
        <f aca="false">R32*(1-Assumptions!$D$51)</f>
        <v>127.849936974108</v>
      </c>
      <c r="S35" s="61" t="n">
        <f aca="false">S32*(1-Assumptions!$D$51)</f>
        <v>129.007265355199</v>
      </c>
      <c r="T35" s="61" t="n">
        <f aca="false">T32*(1-Assumptions!$D$51)</f>
        <v>130.395400741803</v>
      </c>
      <c r="U35" s="61" t="n">
        <f aca="false">U32*(1-Assumptions!$D$51)</f>
        <v>131.977451110548</v>
      </c>
      <c r="V35" s="61" t="n">
        <f aca="false">V32*(1-Assumptions!$D$51)</f>
        <v>133.728749878844</v>
      </c>
      <c r="W35" s="61" t="n">
        <f aca="false">W32*(1-Assumptions!$D$51)</f>
        <v>135.633561260689</v>
      </c>
      <c r="X35" s="61" t="n">
        <f aca="false">X32*(1-Assumptions!$D$51)</f>
        <v>137.682697886705</v>
      </c>
      <c r="Y35" s="61" t="n">
        <f aca="false">Y32*(1-Assumptions!$D$51)</f>
        <v>139.871803618639</v>
      </c>
      <c r="Z35" s="61" t="n">
        <f aca="false">Z32*(1-Assumptions!$D$51)</f>
        <v>142.200119820579</v>
      </c>
      <c r="AA35" s="61" t="n">
        <f aca="false">AA32*(1-Assumptions!$D$51)</f>
        <v>144.669602292848</v>
      </c>
      <c r="AB35" s="61" t="n">
        <f aca="false">AB32*(1-Assumptions!$D$51)</f>
        <v>147.284292258238</v>
      </c>
      <c r="AC35" s="61" t="n">
        <f aca="false">AC32*(1-Assumptions!$D$51)</f>
        <v>150.049871323193</v>
      </c>
      <c r="AD35" s="61" t="n">
        <f aca="false">AD32*(1-Assumptions!$D$51)</f>
        <v>152.973349690955</v>
      </c>
      <c r="AE35" s="61" t="n">
        <f aca="false">AE32*(1-Assumptions!$D$51)</f>
        <v>156.062850972933</v>
      </c>
      <c r="AF35" s="61" t="n">
        <f aca="false">AF32*(1-Assumptions!$D$51)</f>
        <v>159.32746714778</v>
      </c>
      <c r="AG35" s="61" t="n">
        <f aca="false">AG32*(1-Assumptions!$D$51)</f>
        <v>162.777164605512</v>
      </c>
      <c r="AH35" s="61" t="n">
        <f aca="false">AH32*(1-Assumptions!$D$51)</f>
        <v>166.422727557457</v>
      </c>
      <c r="AI35" s="61" t="n">
        <f aca="false">AI32*(1-Assumptions!$D$51)</f>
        <v>170.275728954859</v>
      </c>
      <c r="AJ35" s="61" t="n">
        <f aca="false">AJ32*(1-Assumptions!$D$51)</f>
        <v>174.348521849231</v>
      </c>
      <c r="AK35" s="61" t="n">
        <f aca="false">AK32*(1-Assumptions!$D$51)</f>
        <v>178.654246143128</v>
      </c>
      <c r="AL35" s="61" t="n">
        <f aca="false">AL32*(1-Assumptions!$D$51)</f>
        <v>183.206847136166</v>
      </c>
      <c r="AM35" s="61" t="n">
        <f aca="false">SUM(C35:AL35)</f>
        <v>5339.74699356368</v>
      </c>
    </row>
    <row r="36" customFormat="false" ht="15" hidden="false" customHeight="false" outlineLevel="0" collapsed="false">
      <c r="A36" s="37" t="s">
        <v>771</v>
      </c>
      <c r="B36" s="9" t="s">
        <v>51</v>
      </c>
      <c r="C36" s="71" t="n">
        <f aca="false">C34</f>
        <v>0</v>
      </c>
      <c r="D36" s="71" t="n">
        <f aca="false">C36*(1-Assumptions!$D$52)+D34</f>
        <v>0</v>
      </c>
      <c r="E36" s="71" t="n">
        <f aca="false">D36*(1-Assumptions!$D$52)+E34</f>
        <v>187.034713802118</v>
      </c>
      <c r="F36" s="71" t="n">
        <f aca="false">E36*(1-Assumptions!$D$52)+F34</f>
        <v>262.269133438484</v>
      </c>
      <c r="G36" s="71" t="n">
        <f aca="false">F36*(1-Assumptions!$D$52)+G34</f>
        <v>316.057449394525</v>
      </c>
      <c r="H36" s="71" t="n">
        <f aca="false">G36*(1-Assumptions!$D$52)+H34</f>
        <v>356.936845281085</v>
      </c>
      <c r="I36" s="71" t="n">
        <f aca="false">H36*(1-Assumptions!$D$52)+I34</f>
        <v>389.023864984425</v>
      </c>
      <c r="J36" s="71" t="n">
        <f aca="false">I36*(1-Assumptions!$D$52)+J34</f>
        <v>414.43462908179</v>
      </c>
      <c r="K36" s="71" t="n">
        <f aca="false">J36*(1-Assumptions!$D$52)+K34</f>
        <v>434.891037224638</v>
      </c>
      <c r="L36" s="71" t="n">
        <f aca="false">K36*(1-Assumptions!$D$52)+L34</f>
        <v>451.859957248385</v>
      </c>
      <c r="M36" s="71" t="n">
        <f aca="false">L36*(1-Assumptions!$D$52)+M34</f>
        <v>466.22369325855</v>
      </c>
      <c r="N36" s="71" t="n">
        <f aca="false">M36*(1-Assumptions!$D$52)+N34</f>
        <v>478.692262113169</v>
      </c>
      <c r="O36" s="71" t="n">
        <f aca="false">N36*(1-Assumptions!$D$52)+O34</f>
        <v>489.791141402774</v>
      </c>
      <c r="P36" s="71" t="n">
        <f aca="false">O36*(1-Assumptions!$D$52)+P34</f>
        <v>499.909359425672</v>
      </c>
      <c r="Q36" s="71" t="n">
        <f aca="false">P36*(1-Assumptions!$D$52)+Q34</f>
        <v>509.336262337109</v>
      </c>
      <c r="R36" s="71" t="n">
        <f aca="false">Q36*(1-Assumptions!$D$52)+R34</f>
        <v>518.28882885853</v>
      </c>
      <c r="S36" s="71" t="n">
        <f aca="false">R36*(1-Assumptions!$D$52)+S34</f>
        <v>526.931662270633</v>
      </c>
      <c r="T36" s="71" t="n">
        <f aca="false">S36*(1-Assumptions!$D$52)+T34</f>
        <v>535.391555841335</v>
      </c>
      <c r="U36" s="71" t="n">
        <f aca="false">T36*(1-Assumptions!$D$52)+U34</f>
        <v>543.768080577278</v>
      </c>
      <c r="V36" s="71" t="n">
        <f aca="false">U36*(1-Assumptions!$D$52)+V34</f>
        <v>552.14127470197</v>
      </c>
      <c r="W36" s="71" t="n">
        <f aca="false">V36*(1-Assumptions!$D$52)+W34</f>
        <v>560.577229090517</v>
      </c>
      <c r="X36" s="71" t="n">
        <f aca="false">W36*(1-Assumptions!$D$52)+X34</f>
        <v>569.132148995244</v>
      </c>
      <c r="Y36" s="71" t="n">
        <f aca="false">X36*(1-Assumptions!$D$52)+Y34</f>
        <v>577.855314279375</v>
      </c>
      <c r="Z36" s="71" t="n">
        <f aca="false">Y36*(1-Assumptions!$D$52)+Z34</f>
        <v>586.791244488765</v>
      </c>
      <c r="AA36" s="71" t="n">
        <f aca="false">Z36*(1-Assumptions!$D$52)+AA34</f>
        <v>595.981290610283</v>
      </c>
      <c r="AB36" s="71" t="n">
        <f aca="false">AA36*(1-Assumptions!$D$52)+AB34</f>
        <v>605.464813994602</v>
      </c>
      <c r="AC36" s="71" t="n">
        <f aca="false">AB36*(1-Assumptions!$D$52)+AC34</f>
        <v>615.280068445028</v>
      </c>
      <c r="AD36" s="71" t="n">
        <f aca="false">AC36*(1-Assumptions!$D$52)+AD34</f>
        <v>625.464869295385</v>
      </c>
      <c r="AE36" s="71" t="n">
        <f aca="false">AD36*(1-Assumptions!$D$52)+AE34</f>
        <v>636.0571100472</v>
      </c>
      <c r="AF36" s="71" t="n">
        <f aca="false">AE36*(1-Assumptions!$D$52)+AF34</f>
        <v>647.095170349143</v>
      </c>
      <c r="AG36" s="71" t="n">
        <f aca="false">AF36*(1-Assumptions!$D$52)+AG34</f>
        <v>658.618246991511</v>
      </c>
      <c r="AH36" s="71" t="n">
        <f aca="false">AG36*(1-Assumptions!$D$52)+AH34</f>
        <v>670.666630858328</v>
      </c>
      <c r="AI36" s="71" t="n">
        <f aca="false">AH36*(1-Assumptions!$D$52)+AI34</f>
        <v>683.281946490304</v>
      </c>
      <c r="AJ36" s="71" t="n">
        <f aca="false">AI36*(1-Assumptions!$D$52)+AJ34</f>
        <v>696.507366384419</v>
      </c>
      <c r="AK36" s="71" t="n">
        <f aca="false">AJ36*(1-Assumptions!$D$52)+AK34</f>
        <v>710.387808899733</v>
      </c>
      <c r="AL36" s="71" t="n">
        <f aca="false">AK36*(1-Assumptions!$D$52)+AL34</f>
        <v>724.970126299971</v>
      </c>
      <c r="AM36" s="71" t="n">
        <f aca="false">AL36</f>
        <v>724.970126299971</v>
      </c>
    </row>
    <row r="37" customFormat="false" ht="15" hidden="false" customHeight="false" outlineLevel="0" collapsed="false">
      <c r="A37" s="10" t="s">
        <v>772</v>
      </c>
      <c r="B37" s="9" t="s">
        <v>51</v>
      </c>
      <c r="C37" s="61" t="n">
        <f aca="false">0</f>
        <v>0</v>
      </c>
      <c r="D37" s="61" t="n">
        <f aca="false">C36*Assumptions!$D$52</f>
        <v>0</v>
      </c>
      <c r="E37" s="61" t="n">
        <f aca="false">D36*Assumptions!$D$52</f>
        <v>0</v>
      </c>
      <c r="F37" s="61" t="n">
        <f aca="false">E36*Assumptions!$D$52</f>
        <v>16.8331242421906</v>
      </c>
      <c r="G37" s="61" t="n">
        <f aca="false">F36*Assumptions!$D$52</f>
        <v>23.6042220094635</v>
      </c>
      <c r="H37" s="61" t="n">
        <f aca="false">G36*Assumptions!$D$52</f>
        <v>28.4451704455073</v>
      </c>
      <c r="I37" s="61" t="n">
        <f aca="false">H36*Assumptions!$D$52</f>
        <v>32.1243160752976</v>
      </c>
      <c r="J37" s="61" t="n">
        <f aca="false">I36*Assumptions!$D$52</f>
        <v>35.0121478485982</v>
      </c>
      <c r="K37" s="61" t="n">
        <f aca="false">J36*Assumptions!$D$52</f>
        <v>37.2991166173611</v>
      </c>
      <c r="L37" s="61" t="n">
        <f aca="false">K36*Assumptions!$D$52</f>
        <v>39.1401933502174</v>
      </c>
      <c r="M37" s="61" t="n">
        <f aca="false">L36*Assumptions!$D$52</f>
        <v>40.6673961523547</v>
      </c>
      <c r="N37" s="61" t="n">
        <f aca="false">M36*Assumptions!$D$52</f>
        <v>41.9601323932695</v>
      </c>
      <c r="O37" s="61" t="n">
        <f aca="false">N36*Assumptions!$D$52</f>
        <v>43.0823035901852</v>
      </c>
      <c r="P37" s="61" t="n">
        <f aca="false">O36*Assumptions!$D$52</f>
        <v>44.0812027262497</v>
      </c>
      <c r="Q37" s="61" t="n">
        <f aca="false">P36*Assumptions!$D$52</f>
        <v>44.9918423483105</v>
      </c>
      <c r="R37" s="61" t="n">
        <f aca="false">Q36*Assumptions!$D$52</f>
        <v>45.8402636103398</v>
      </c>
      <c r="S37" s="61" t="n">
        <f aca="false">R36*Assumptions!$D$52</f>
        <v>46.6459945972677</v>
      </c>
      <c r="T37" s="61" t="n">
        <f aca="false">S36*Assumptions!$D$52</f>
        <v>47.423849604357</v>
      </c>
      <c r="U37" s="61" t="n">
        <f aca="false">T36*Assumptions!$D$52</f>
        <v>48.1852400257201</v>
      </c>
      <c r="V37" s="61" t="n">
        <f aca="false">U36*Assumptions!$D$52</f>
        <v>48.939127251955</v>
      </c>
      <c r="W37" s="61" t="n">
        <f aca="false">V36*Assumptions!$D$52</f>
        <v>49.6927147231773</v>
      </c>
      <c r="X37" s="61" t="n">
        <f aca="false">W36*Assumptions!$D$52</f>
        <v>50.4519506181465</v>
      </c>
      <c r="Y37" s="61" t="n">
        <f aca="false">X36*Assumptions!$D$52</f>
        <v>51.221893409572</v>
      </c>
      <c r="Z37" s="61" t="n">
        <f aca="false">Y36*Assumptions!$D$52</f>
        <v>52.0069782851437</v>
      </c>
      <c r="AA37" s="61" t="n">
        <f aca="false">Z36*Assumptions!$D$52</f>
        <v>52.8112120039888</v>
      </c>
      <c r="AB37" s="61" t="n">
        <f aca="false">AA36*Assumptions!$D$52</f>
        <v>53.6383161549254</v>
      </c>
      <c r="AC37" s="61" t="n">
        <f aca="false">AB36*Assumptions!$D$52</f>
        <v>54.4918332595142</v>
      </c>
      <c r="AD37" s="61" t="n">
        <f aca="false">AC36*Assumptions!$D$52</f>
        <v>55.3752061600525</v>
      </c>
      <c r="AE37" s="61" t="n">
        <f aca="false">AD36*Assumptions!$D$52</f>
        <v>56.2918382365846</v>
      </c>
      <c r="AF37" s="61" t="n">
        <f aca="false">AE36*Assumptions!$D$52</f>
        <v>57.245139904248</v>
      </c>
      <c r="AG37" s="61" t="n">
        <f aca="false">AF36*Assumptions!$D$52</f>
        <v>58.2385653314229</v>
      </c>
      <c r="AH37" s="61" t="n">
        <f aca="false">AG36*Assumptions!$D$52</f>
        <v>59.275642229236</v>
      </c>
      <c r="AI37" s="61" t="n">
        <f aca="false">AH36*Assumptions!$D$52</f>
        <v>60.3599967772496</v>
      </c>
      <c r="AJ37" s="61" t="n">
        <f aca="false">AI36*Assumptions!$D$52</f>
        <v>61.4953751841274</v>
      </c>
      <c r="AK37" s="61" t="n">
        <f aca="false">AJ36*Assumptions!$D$52</f>
        <v>62.6856629745977</v>
      </c>
      <c r="AL37" s="61" t="n">
        <f aca="false">AK36*Assumptions!$D$52</f>
        <v>63.9349028009759</v>
      </c>
      <c r="AM37" s="61" t="n">
        <f aca="false">SUM(C37:AL37)</f>
        <v>1563.49287094161</v>
      </c>
    </row>
    <row r="38" customFormat="false" ht="15" hidden="false" customHeight="false" outlineLevel="0" collapsed="false">
      <c r="A38" s="10" t="s">
        <v>773</v>
      </c>
      <c r="B38" s="9" t="s">
        <v>51</v>
      </c>
      <c r="C38" s="61" t="n">
        <f aca="false">0</f>
        <v>0</v>
      </c>
      <c r="D38" s="61" t="n">
        <f aca="false">C35*Assumptions!$D$53</f>
        <v>0</v>
      </c>
      <c r="E38" s="61" t="n">
        <f aca="false">D35*Assumptions!$D$53</f>
        <v>0</v>
      </c>
      <c r="F38" s="61" t="n">
        <f aca="false">E35*Assumptions!$D$53</f>
        <v>34.9131465763953</v>
      </c>
      <c r="G38" s="61" t="n">
        <f aca="false">F35*Assumptions!$D$53</f>
        <v>17.1859415239973</v>
      </c>
      <c r="H38" s="61" t="n">
        <f aca="false">G35*Assumptions!$D$53</f>
        <v>14.4466070868943</v>
      </c>
      <c r="I38" s="61" t="n">
        <f aca="false">H35*Assumptions!$D$53</f>
        <v>12.9405857153191</v>
      </c>
      <c r="J38" s="61" t="n">
        <f aca="false">I35*Assumptions!$D$53</f>
        <v>11.9861160120124</v>
      </c>
      <c r="K38" s="61" t="n">
        <f aca="false">J35*Assumptions!$D$53</f>
        <v>11.2789435632464</v>
      </c>
      <c r="L38" s="61" t="n">
        <f aca="false">K35*Assumptions!$D$53</f>
        <v>10.7810312885724</v>
      </c>
      <c r="M38" s="61" t="n">
        <f aca="false">L35*Assumptions!$D$53</f>
        <v>10.4737011631401</v>
      </c>
      <c r="N38" s="61" t="n">
        <f aca="false">M35*Assumptions!$D$53</f>
        <v>10.2724780036702</v>
      </c>
      <c r="O38" s="61" t="n">
        <f aca="false">N35*Assumptions!$D$53</f>
        <v>10.1600242329392</v>
      </c>
      <c r="P38" s="61" t="n">
        <f aca="false">O35*Assumptions!$D$53</f>
        <v>10.1138208042275</v>
      </c>
      <c r="Q38" s="61" t="n">
        <f aca="false">P35*Assumptions!$D$53</f>
        <v>10.1172252065076</v>
      </c>
      <c r="R38" s="61" t="n">
        <f aca="false">Q35*Assumptions!$D$53</f>
        <v>10.1581657818195</v>
      </c>
      <c r="S38" s="61" t="n">
        <f aca="false">R35*Assumptions!$D$53</f>
        <v>10.2279949579287</v>
      </c>
      <c r="T38" s="61" t="n">
        <f aca="false">S35*Assumptions!$D$53</f>
        <v>10.3205812284159</v>
      </c>
      <c r="U38" s="61" t="n">
        <f aca="false">T35*Assumptions!$D$53</f>
        <v>10.4316320593442</v>
      </c>
      <c r="V38" s="61" t="n">
        <f aca="false">U35*Assumptions!$D$53</f>
        <v>10.5581960888439</v>
      </c>
      <c r="W38" s="61" t="n">
        <f aca="false">V35*Assumptions!$D$53</f>
        <v>10.6982999903075</v>
      </c>
      <c r="X38" s="61" t="n">
        <f aca="false">W35*Assumptions!$D$53</f>
        <v>10.8506849008551</v>
      </c>
      <c r="Y38" s="61" t="n">
        <f aca="false">X35*Assumptions!$D$53</f>
        <v>11.0146158309364</v>
      </c>
      <c r="Z38" s="61" t="n">
        <f aca="false">Y35*Assumptions!$D$53</f>
        <v>11.1897442894911</v>
      </c>
      <c r="AA38" s="61" t="n">
        <f aca="false">Z35*Assumptions!$D$53</f>
        <v>11.3760095856463</v>
      </c>
      <c r="AB38" s="61" t="n">
        <f aca="false">AA35*Assumptions!$D$53</f>
        <v>11.5735681834278</v>
      </c>
      <c r="AC38" s="61" t="n">
        <f aca="false">AB35*Assumptions!$D$53</f>
        <v>11.7827433806591</v>
      </c>
      <c r="AD38" s="61" t="n">
        <f aca="false">AC35*Assumptions!$D$53</f>
        <v>12.0039897058554</v>
      </c>
      <c r="AE38" s="61" t="n">
        <f aca="false">AD35*Assumptions!$D$53</f>
        <v>12.2378679752764</v>
      </c>
      <c r="AF38" s="61" t="n">
        <f aca="false">AE35*Assumptions!$D$53</f>
        <v>12.4850280778347</v>
      </c>
      <c r="AG38" s="61" t="n">
        <f aca="false">AF35*Assumptions!$D$53</f>
        <v>12.7461973718224</v>
      </c>
      <c r="AH38" s="61" t="n">
        <f aca="false">AG35*Assumptions!$D$53</f>
        <v>13.022173168441</v>
      </c>
      <c r="AI38" s="61" t="n">
        <f aca="false">AH35*Assumptions!$D$53</f>
        <v>13.3138182045966</v>
      </c>
      <c r="AJ38" s="61" t="n">
        <f aca="false">AI35*Assumptions!$D$53</f>
        <v>13.6220583163887</v>
      </c>
      <c r="AK38" s="61" t="n">
        <f aca="false">AJ35*Assumptions!$D$53</f>
        <v>13.9478817479385</v>
      </c>
      <c r="AL38" s="61" t="n">
        <f aca="false">AK35*Assumptions!$D$53</f>
        <v>14.2923396914502</v>
      </c>
      <c r="AM38" s="61" t="n">
        <f aca="false">SUM(C38:AL38)</f>
        <v>412.523211714201</v>
      </c>
    </row>
    <row r="39" customFormat="false" ht="15" hidden="false" customHeight="false" outlineLevel="0" collapsed="false">
      <c r="A39" s="37" t="s">
        <v>774</v>
      </c>
      <c r="B39" s="9" t="s">
        <v>51</v>
      </c>
      <c r="C39" s="71" t="n">
        <f aca="false">C35+C36+C38</f>
        <v>0</v>
      </c>
      <c r="D39" s="71" t="n">
        <f aca="false">D35+D36+D38</f>
        <v>0</v>
      </c>
      <c r="E39" s="71" t="n">
        <f aca="false">E35+E36+E38</f>
        <v>623.449046007059</v>
      </c>
      <c r="F39" s="71" t="n">
        <f aca="false">F35+F36+F38</f>
        <v>512.006549064845</v>
      </c>
      <c r="G39" s="71" t="n">
        <f aca="false">G35+G36+G38</f>
        <v>513.825979504701</v>
      </c>
      <c r="H39" s="71" t="n">
        <f aca="false">H35+H36+H38</f>
        <v>533.140773809467</v>
      </c>
      <c r="I39" s="71" t="n">
        <f aca="false">I35+I36+I38</f>
        <v>551.790900849899</v>
      </c>
      <c r="J39" s="71" t="n">
        <f aca="false">J35+J36+J38</f>
        <v>567.407539634383</v>
      </c>
      <c r="K39" s="71" t="n">
        <f aca="false">K35+K36+K38</f>
        <v>580.93287189504</v>
      </c>
      <c r="L39" s="71" t="n">
        <f aca="false">L35+L36+L38</f>
        <v>593.562253076209</v>
      </c>
      <c r="M39" s="71" t="n">
        <f aca="false">M35+M36+M38</f>
        <v>605.103369467567</v>
      </c>
      <c r="N39" s="71" t="n">
        <f aca="false">N35+N36+N38</f>
        <v>615.96504302858</v>
      </c>
      <c r="O39" s="71" t="n">
        <f aca="false">O35+O36+O38</f>
        <v>626.373925688557</v>
      </c>
      <c r="P39" s="71" t="n">
        <f aca="false">P35+P36+P38</f>
        <v>636.488495311245</v>
      </c>
      <c r="Q39" s="71" t="n">
        <f aca="false">Q35+Q36+Q38</f>
        <v>646.430559816361</v>
      </c>
      <c r="R39" s="71" t="n">
        <f aca="false">R35+R36+R38</f>
        <v>656.296931614458</v>
      </c>
      <c r="S39" s="71" t="n">
        <f aca="false">S35+S36+S38</f>
        <v>666.166922583761</v>
      </c>
      <c r="T39" s="71" t="n">
        <f aca="false">T35+T36+T38</f>
        <v>676.107537811554</v>
      </c>
      <c r="U39" s="71" t="n">
        <f aca="false">U35+U36+U38</f>
        <v>686.177163747171</v>
      </c>
      <c r="V39" s="71" t="n">
        <f aca="false">V35+V36+V38</f>
        <v>696.428220669658</v>
      </c>
      <c r="W39" s="71" t="n">
        <f aca="false">W35+W36+W38</f>
        <v>706.909090341513</v>
      </c>
      <c r="X39" s="71" t="n">
        <f aca="false">X35+X36+X38</f>
        <v>717.665531782804</v>
      </c>
      <c r="Y39" s="71" t="n">
        <f aca="false">Y35+Y36+Y38</f>
        <v>728.74173372895</v>
      </c>
      <c r="Z39" s="71" t="n">
        <f aca="false">Z35+Z36+Z38</f>
        <v>740.181108598836</v>
      </c>
      <c r="AA39" s="71" t="n">
        <f aca="false">AA35+AA36+AA38</f>
        <v>752.026902488777</v>
      </c>
      <c r="AB39" s="71" t="n">
        <f aca="false">AB35+AB36+AB38</f>
        <v>764.322674436269</v>
      </c>
      <c r="AC39" s="71" t="n">
        <f aca="false">AC35+AC36+AC38</f>
        <v>777.11268314888</v>
      </c>
      <c r="AD39" s="71" t="n">
        <f aca="false">AD35+AD36+AD38</f>
        <v>790.442208692195</v>
      </c>
      <c r="AE39" s="71" t="n">
        <f aca="false">AE35+AE36+AE38</f>
        <v>804.35782899541</v>
      </c>
      <c r="AF39" s="71" t="n">
        <f aca="false">AF35+AF36+AF38</f>
        <v>818.907665574758</v>
      </c>
      <c r="AG39" s="71" t="n">
        <f aca="false">AG35+AG36+AG38</f>
        <v>834.141608968846</v>
      </c>
      <c r="AH39" s="71" t="n">
        <f aca="false">AH35+AH36+AH38</f>
        <v>850.111531584227</v>
      </c>
      <c r="AI39" s="71" t="n">
        <f aca="false">AI35+AI36+AI38</f>
        <v>866.871493649759</v>
      </c>
      <c r="AJ39" s="71" t="n">
        <f aca="false">AJ35+AJ36+AJ38</f>
        <v>884.477946550038</v>
      </c>
      <c r="AK39" s="71" t="n">
        <f aca="false">AK35+AK36+AK38</f>
        <v>902.989936790799</v>
      </c>
      <c r="AL39" s="71" t="n">
        <f aca="false">AL35+AL36+AL38</f>
        <v>922.469313127587</v>
      </c>
      <c r="AM39" s="71" t="n">
        <f aca="false">SUM(C39:AL39)</f>
        <v>23849.3833420402</v>
      </c>
    </row>
    <row r="40" customFormat="false" ht="15" hidden="false" customHeight="false" outlineLevel="0" collapsed="false">
      <c r="A40" s="10" t="s">
        <v>775</v>
      </c>
      <c r="B40" s="9" t="s">
        <v>97</v>
      </c>
      <c r="C40" s="70" t="n">
        <f aca="false">C39*Assumptions!$D$50</f>
        <v>0</v>
      </c>
      <c r="D40" s="70" t="n">
        <f aca="false">D39*Assumptions!$D$50</f>
        <v>0</v>
      </c>
      <c r="E40" s="70" t="n">
        <f aca="false">E39*Assumptions!$D$50</f>
        <v>42394.53512848</v>
      </c>
      <c r="F40" s="70" t="n">
        <f aca="false">F39*Assumptions!$D$50</f>
        <v>34816.4453364095</v>
      </c>
      <c r="G40" s="70" t="n">
        <f aca="false">G39*Assumptions!$D$50</f>
        <v>34940.1666063197</v>
      </c>
      <c r="H40" s="70" t="n">
        <f aca="false">H39*Assumptions!$D$50</f>
        <v>36253.5726190438</v>
      </c>
      <c r="I40" s="70" t="n">
        <f aca="false">I39*Assumptions!$D$50</f>
        <v>37521.7812577931</v>
      </c>
      <c r="J40" s="70" t="n">
        <f aca="false">J39*Assumptions!$D$50</f>
        <v>38583.712695138</v>
      </c>
      <c r="K40" s="70" t="n">
        <f aca="false">K39*Assumptions!$D$50</f>
        <v>39503.4352888627</v>
      </c>
      <c r="L40" s="70" t="n">
        <f aca="false">L39*Assumptions!$D$50</f>
        <v>40362.2332091822</v>
      </c>
      <c r="M40" s="70" t="n">
        <f aca="false">M39*Assumptions!$D$50</f>
        <v>41147.0291237946</v>
      </c>
      <c r="N40" s="70" t="n">
        <f aca="false">N39*Assumptions!$D$50</f>
        <v>41885.6229259434</v>
      </c>
      <c r="O40" s="70" t="n">
        <f aca="false">O39*Assumptions!$D$50</f>
        <v>42593.4269468219</v>
      </c>
      <c r="P40" s="70" t="n">
        <f aca="false">P39*Assumptions!$D$50</f>
        <v>43281.2176811647</v>
      </c>
      <c r="Q40" s="70" t="n">
        <f aca="false">Q39*Assumptions!$D$50</f>
        <v>43957.2780675125</v>
      </c>
      <c r="R40" s="70" t="n">
        <f aca="false">R39*Assumptions!$D$50</f>
        <v>44628.1913497831</v>
      </c>
      <c r="S40" s="70" t="n">
        <f aca="false">S39*Assumptions!$D$50</f>
        <v>45299.3507356957</v>
      </c>
      <c r="T40" s="70" t="n">
        <f aca="false">T39*Assumptions!$D$50</f>
        <v>45975.3125711856</v>
      </c>
      <c r="U40" s="70" t="n">
        <f aca="false">U39*Assumptions!$D$50</f>
        <v>46660.0471348076</v>
      </c>
      <c r="V40" s="70" t="n">
        <f aca="false">V39*Assumptions!$D$50</f>
        <v>47357.1190055367</v>
      </c>
      <c r="W40" s="70" t="n">
        <f aca="false">W39*Assumptions!$D$50</f>
        <v>48069.8181432229</v>
      </c>
      <c r="X40" s="70" t="n">
        <f aca="false">X39*Assumptions!$D$50</f>
        <v>48801.2561612307</v>
      </c>
      <c r="Y40" s="70" t="n">
        <f aca="false">Y39*Assumptions!$D$50</f>
        <v>49554.4378935686</v>
      </c>
      <c r="Z40" s="70" t="n">
        <f aca="false">Z39*Assumptions!$D$50</f>
        <v>50332.3153847208</v>
      </c>
      <c r="AA40" s="70" t="n">
        <f aca="false">AA39*Assumptions!$D$50</f>
        <v>51137.8293692368</v>
      </c>
      <c r="AB40" s="70" t="n">
        <f aca="false">AB39*Assumptions!$D$50</f>
        <v>51973.9418616663</v>
      </c>
      <c r="AC40" s="70" t="n">
        <f aca="false">AC39*Assumptions!$D$50</f>
        <v>52843.6624541238</v>
      </c>
      <c r="AD40" s="70" t="n">
        <f aca="false">AD39*Assumptions!$D$50</f>
        <v>53750.0701910692</v>
      </c>
      <c r="AE40" s="70" t="n">
        <f aca="false">AE39*Assumptions!$D$50</f>
        <v>54696.3323716879</v>
      </c>
      <c r="AF40" s="70" t="n">
        <f aca="false">AF39*Assumptions!$D$50</f>
        <v>55685.7212590835</v>
      </c>
      <c r="AG40" s="70" t="n">
        <f aca="false">AG39*Assumptions!$D$50</f>
        <v>56721.6294098815</v>
      </c>
      <c r="AH40" s="70" t="n">
        <f aca="false">AH39*Assumptions!$D$50</f>
        <v>57807.5841477274</v>
      </c>
      <c r="AI40" s="70" t="n">
        <f aca="false">AI39*Assumptions!$D$50</f>
        <v>58947.2615681836</v>
      </c>
      <c r="AJ40" s="70" t="n">
        <f aca="false">AJ39*Assumptions!$D$50</f>
        <v>60144.5003654026</v>
      </c>
      <c r="AK40" s="70" t="n">
        <f aca="false">AK39*Assumptions!$D$50</f>
        <v>61403.3157017743</v>
      </c>
      <c r="AL40" s="70" t="n">
        <f aca="false">AL39*Assumptions!$D$50</f>
        <v>62727.9132926759</v>
      </c>
      <c r="AM40" s="70" t="n">
        <f aca="false">SUM(C40:AL40)</f>
        <v>1621758.06725873</v>
      </c>
    </row>
    <row r="41" customFormat="false" ht="15" hidden="false" customHeight="false" outlineLevel="0" collapsed="false">
      <c r="A41" s="10" t="s">
        <v>776</v>
      </c>
      <c r="B41" s="9" t="s">
        <v>97</v>
      </c>
      <c r="C41" s="70" t="n">
        <f aca="false">-C40*Assumptions!$D$80</f>
        <v>-0</v>
      </c>
      <c r="D41" s="70" t="n">
        <f aca="false">-D40*Assumptions!$D$80</f>
        <v>-0</v>
      </c>
      <c r="E41" s="70" t="n">
        <f aca="false">-E40*Assumptions!$D$80</f>
        <v>-1695.7814051392</v>
      </c>
      <c r="F41" s="70" t="n">
        <f aca="false">-F40*Assumptions!$D$80</f>
        <v>-1392.65781345638</v>
      </c>
      <c r="G41" s="70" t="n">
        <f aca="false">-G40*Assumptions!$D$80</f>
        <v>-1397.60666425279</v>
      </c>
      <c r="H41" s="70" t="n">
        <f aca="false">-H40*Assumptions!$D$80</f>
        <v>-1450.14290476175</v>
      </c>
      <c r="I41" s="70" t="n">
        <f aca="false">-I40*Assumptions!$D$80</f>
        <v>-1500.87125031173</v>
      </c>
      <c r="J41" s="70" t="n">
        <f aca="false">-J40*Assumptions!$D$80</f>
        <v>-1543.34850780552</v>
      </c>
      <c r="K41" s="70" t="n">
        <f aca="false">-K40*Assumptions!$D$80</f>
        <v>-1580.13741155451</v>
      </c>
      <c r="L41" s="70" t="n">
        <f aca="false">-L40*Assumptions!$D$80</f>
        <v>-1614.48932836729</v>
      </c>
      <c r="M41" s="70" t="n">
        <f aca="false">-M40*Assumptions!$D$80</f>
        <v>-1645.88116495178</v>
      </c>
      <c r="N41" s="70" t="n">
        <f aca="false">-N40*Assumptions!$D$80</f>
        <v>-1675.42491703774</v>
      </c>
      <c r="O41" s="70" t="n">
        <f aca="false">-O40*Assumptions!$D$80</f>
        <v>-1703.73707787288</v>
      </c>
      <c r="P41" s="70" t="n">
        <f aca="false">-P40*Assumptions!$D$80</f>
        <v>-1731.24870724659</v>
      </c>
      <c r="Q41" s="70" t="n">
        <f aca="false">-Q40*Assumptions!$D$80</f>
        <v>-1758.2911227005</v>
      </c>
      <c r="R41" s="70" t="n">
        <f aca="false">-R40*Assumptions!$D$80</f>
        <v>-1785.12765399133</v>
      </c>
      <c r="S41" s="70" t="n">
        <f aca="false">-S40*Assumptions!$D$80</f>
        <v>-1811.97402942783</v>
      </c>
      <c r="T41" s="70" t="n">
        <f aca="false">-T40*Assumptions!$D$80</f>
        <v>-1839.01250284743</v>
      </c>
      <c r="U41" s="70" t="n">
        <f aca="false">-U40*Assumptions!$D$80</f>
        <v>-1866.4018853923</v>
      </c>
      <c r="V41" s="70" t="n">
        <f aca="false">-V40*Assumptions!$D$80</f>
        <v>-1894.28476022147</v>
      </c>
      <c r="W41" s="70" t="n">
        <f aca="false">-W40*Assumptions!$D$80</f>
        <v>-1922.79272572892</v>
      </c>
      <c r="X41" s="70" t="n">
        <f aca="false">-X40*Assumptions!$D$80</f>
        <v>-1952.05024644923</v>
      </c>
      <c r="Y41" s="70" t="n">
        <f aca="false">-Y40*Assumptions!$D$80</f>
        <v>-1982.17751574274</v>
      </c>
      <c r="Z41" s="70" t="n">
        <f aca="false">-Z40*Assumptions!$D$80</f>
        <v>-2013.29261538883</v>
      </c>
      <c r="AA41" s="70" t="n">
        <f aca="false">-AA40*Assumptions!$D$80</f>
        <v>-2045.51317476947</v>
      </c>
      <c r="AB41" s="70" t="n">
        <f aca="false">-AB40*Assumptions!$D$80</f>
        <v>-2078.95767446665</v>
      </c>
      <c r="AC41" s="70" t="n">
        <f aca="false">-AC40*Assumptions!$D$80</f>
        <v>-2113.74649816495</v>
      </c>
      <c r="AD41" s="70" t="n">
        <f aca="false">-AD40*Assumptions!$D$80</f>
        <v>-2150.00280764277</v>
      </c>
      <c r="AE41" s="70" t="n">
        <f aca="false">-AE40*Assumptions!$D$80</f>
        <v>-2187.85329486751</v>
      </c>
      <c r="AF41" s="70" t="n">
        <f aca="false">-AF40*Assumptions!$D$80</f>
        <v>-2227.42885036334</v>
      </c>
      <c r="AG41" s="70" t="n">
        <f aca="false">-AG40*Assumptions!$D$80</f>
        <v>-2268.86517639526</v>
      </c>
      <c r="AH41" s="70" t="n">
        <f aca="false">-AH40*Assumptions!$D$80</f>
        <v>-2312.3033659091</v>
      </c>
      <c r="AI41" s="70" t="n">
        <f aca="false">-AI40*Assumptions!$D$80</f>
        <v>-2357.89046272735</v>
      </c>
      <c r="AJ41" s="70" t="n">
        <f aca="false">-AJ40*Assumptions!$D$80</f>
        <v>-2405.7800146161</v>
      </c>
      <c r="AK41" s="70" t="n">
        <f aca="false">-AK40*Assumptions!$D$80</f>
        <v>-2456.13262807097</v>
      </c>
      <c r="AL41" s="70" t="n">
        <f aca="false">-AL40*Assumptions!$D$80</f>
        <v>-2509.11653170704</v>
      </c>
      <c r="AM41" s="70" t="n">
        <f aca="false">SUM(C41:AL41)</f>
        <v>-64870.3226903492</v>
      </c>
    </row>
    <row r="42" customFormat="false" ht="15" hidden="false" customHeight="false" outlineLevel="0" collapsed="false">
      <c r="A42" s="37" t="s">
        <v>777</v>
      </c>
      <c r="B42" s="9" t="s">
        <v>97</v>
      </c>
      <c r="C42" s="53" t="n">
        <f aca="false">C40+C41</f>
        <v>0</v>
      </c>
      <c r="D42" s="53" t="n">
        <f aca="false">D40+D41</f>
        <v>0</v>
      </c>
      <c r="E42" s="53" t="n">
        <f aca="false">E40+E41</f>
        <v>40698.7537233408</v>
      </c>
      <c r="F42" s="53" t="n">
        <f aca="false">F40+F41</f>
        <v>33423.7875229531</v>
      </c>
      <c r="G42" s="53" t="n">
        <f aca="false">G40+G41</f>
        <v>33542.5599420669</v>
      </c>
      <c r="H42" s="53" t="n">
        <f aca="false">H40+H41</f>
        <v>34803.429714282</v>
      </c>
      <c r="I42" s="53" t="n">
        <f aca="false">I40+I41</f>
        <v>36020.9100074814</v>
      </c>
      <c r="J42" s="53" t="n">
        <f aca="false">J40+J41</f>
        <v>37040.3641873325</v>
      </c>
      <c r="K42" s="53" t="n">
        <f aca="false">K40+K41</f>
        <v>37923.2978773082</v>
      </c>
      <c r="L42" s="53" t="n">
        <f aca="false">L40+L41</f>
        <v>38747.7438808149</v>
      </c>
      <c r="M42" s="53" t="n">
        <f aca="false">M40+M41</f>
        <v>39501.1479588428</v>
      </c>
      <c r="N42" s="53" t="n">
        <f aca="false">N40+N41</f>
        <v>40210.1980089057</v>
      </c>
      <c r="O42" s="53" t="n">
        <f aca="false">O40+O41</f>
        <v>40889.689868949</v>
      </c>
      <c r="P42" s="53" t="n">
        <f aca="false">P40+P41</f>
        <v>41549.9689739181</v>
      </c>
      <c r="Q42" s="53" t="n">
        <f aca="false">Q40+Q41</f>
        <v>42198.986944812</v>
      </c>
      <c r="R42" s="53" t="n">
        <f aca="false">R40+R41</f>
        <v>42843.0636957918</v>
      </c>
      <c r="S42" s="53" t="n">
        <f aca="false">S40+S41</f>
        <v>43487.3767062679</v>
      </c>
      <c r="T42" s="53" t="n">
        <f aca="false">T40+T41</f>
        <v>44136.3000683382</v>
      </c>
      <c r="U42" s="53" t="n">
        <f aca="false">U40+U41</f>
        <v>44793.6452494153</v>
      </c>
      <c r="V42" s="53" t="n">
        <f aca="false">V40+V41</f>
        <v>45462.8342453153</v>
      </c>
      <c r="W42" s="53" t="n">
        <f aca="false">W40+W41</f>
        <v>46147.025417494</v>
      </c>
      <c r="X42" s="53" t="n">
        <f aca="false">X40+X41</f>
        <v>46849.2059147815</v>
      </c>
      <c r="Y42" s="53" t="n">
        <f aca="false">Y40+Y41</f>
        <v>47572.2603778259</v>
      </c>
      <c r="Z42" s="53" t="n">
        <f aca="false">Z40+Z41</f>
        <v>48319.022769332</v>
      </c>
      <c r="AA42" s="53" t="n">
        <f aca="false">AA40+AA41</f>
        <v>49092.3161944674</v>
      </c>
      <c r="AB42" s="53" t="n">
        <f aca="false">AB40+AB41</f>
        <v>49894.9841871996</v>
      </c>
      <c r="AC42" s="53" t="n">
        <f aca="false">AC40+AC41</f>
        <v>50729.9159559589</v>
      </c>
      <c r="AD42" s="53" t="n">
        <f aca="false">AD40+AD41</f>
        <v>51600.0673834265</v>
      </c>
      <c r="AE42" s="53" t="n">
        <f aca="false">AE40+AE41</f>
        <v>52508.4790768203</v>
      </c>
      <c r="AF42" s="53" t="n">
        <f aca="false">AF40+AF41</f>
        <v>53458.2924087202</v>
      </c>
      <c r="AG42" s="53" t="n">
        <f aca="false">AG40+AG41</f>
        <v>54452.7642334863</v>
      </c>
      <c r="AH42" s="53" t="n">
        <f aca="false">AH40+AH41</f>
        <v>55495.2807818183</v>
      </c>
      <c r="AI42" s="53" t="n">
        <f aca="false">AI40+AI41</f>
        <v>56589.3711054563</v>
      </c>
      <c r="AJ42" s="53" t="n">
        <f aca="false">AJ40+AJ41</f>
        <v>57738.7203507865</v>
      </c>
      <c r="AK42" s="53" t="n">
        <f aca="false">AK40+AK41</f>
        <v>58947.1830737033</v>
      </c>
      <c r="AL42" s="53" t="n">
        <f aca="false">AL40+AL41</f>
        <v>60218.7967609689</v>
      </c>
      <c r="AM42" s="53" t="n">
        <f aca="false">SUM(C42:AL42)</f>
        <v>1556887.74456838</v>
      </c>
    </row>
    <row r="43" customFormat="false" ht="15" hidden="false" customHeight="false" outlineLevel="0" collapsed="false">
      <c r="A43" s="10" t="s">
        <v>778</v>
      </c>
      <c r="B43" s="9" t="s">
        <v>97</v>
      </c>
      <c r="C43" s="70" t="n">
        <f aca="false">-C40*Assumptions!$D$55</f>
        <v>-0</v>
      </c>
      <c r="D43" s="70" t="n">
        <f aca="false">-D40*Assumptions!$D$55</f>
        <v>-0</v>
      </c>
      <c r="E43" s="70" t="n">
        <f aca="false">-E40*Assumptions!$D$55</f>
        <v>-18653.5954565312</v>
      </c>
      <c r="F43" s="70" t="n">
        <f aca="false">-F40*Assumptions!$D$55</f>
        <v>-15319.2359480202</v>
      </c>
      <c r="G43" s="70" t="n">
        <f aca="false">-G40*Assumptions!$D$55</f>
        <v>-15373.6733067807</v>
      </c>
      <c r="H43" s="70" t="n">
        <f aca="false">-H40*Assumptions!$D$55</f>
        <v>-15951.5719523793</v>
      </c>
      <c r="I43" s="70" t="n">
        <f aca="false">-I40*Assumptions!$D$55</f>
        <v>-16509.583753429</v>
      </c>
      <c r="J43" s="70" t="n">
        <f aca="false">-J40*Assumptions!$D$55</f>
        <v>-16976.8335858607</v>
      </c>
      <c r="K43" s="70" t="n">
        <f aca="false">-K40*Assumptions!$D$55</f>
        <v>-17381.5115270996</v>
      </c>
      <c r="L43" s="70" t="n">
        <f aca="false">-L40*Assumptions!$D$55</f>
        <v>-17759.3826120402</v>
      </c>
      <c r="M43" s="70" t="n">
        <f aca="false">-M40*Assumptions!$D$55</f>
        <v>-18104.6928144696</v>
      </c>
      <c r="N43" s="70" t="n">
        <f aca="false">-N40*Assumptions!$D$55</f>
        <v>-18429.6740874151</v>
      </c>
      <c r="O43" s="70" t="n">
        <f aca="false">-O40*Assumptions!$D$55</f>
        <v>-18741.1078566016</v>
      </c>
      <c r="P43" s="70" t="n">
        <f aca="false">-P40*Assumptions!$D$55</f>
        <v>-19043.7357797125</v>
      </c>
      <c r="Q43" s="70" t="n">
        <f aca="false">-Q40*Assumptions!$D$55</f>
        <v>-19341.2023497055</v>
      </c>
      <c r="R43" s="70" t="n">
        <f aca="false">-R40*Assumptions!$D$55</f>
        <v>-19636.4041939046</v>
      </c>
      <c r="S43" s="70" t="n">
        <f aca="false">-S40*Assumptions!$D$55</f>
        <v>-19931.7143237061</v>
      </c>
      <c r="T43" s="70" t="n">
        <f aca="false">-T40*Assumptions!$D$55</f>
        <v>-20229.1375313217</v>
      </c>
      <c r="U43" s="70" t="n">
        <f aca="false">-U40*Assumptions!$D$55</f>
        <v>-20530.4207393153</v>
      </c>
      <c r="V43" s="70" t="n">
        <f aca="false">-V40*Assumptions!$D$55</f>
        <v>-20837.1323624362</v>
      </c>
      <c r="W43" s="70" t="n">
        <f aca="false">-W40*Assumptions!$D$55</f>
        <v>-21150.7199830181</v>
      </c>
      <c r="X43" s="70" t="n">
        <f aca="false">-X40*Assumptions!$D$55</f>
        <v>-21472.5527109415</v>
      </c>
      <c r="Y43" s="70" t="n">
        <f aca="false">-Y40*Assumptions!$D$55</f>
        <v>-21803.9526731702</v>
      </c>
      <c r="Z43" s="70" t="n">
        <f aca="false">-Z40*Assumptions!$D$55</f>
        <v>-22146.2187692772</v>
      </c>
      <c r="AA43" s="70" t="n">
        <f aca="false">-AA40*Assumptions!$D$55</f>
        <v>-22500.6449224642</v>
      </c>
      <c r="AB43" s="70" t="n">
        <f aca="false">-AB40*Assumptions!$D$55</f>
        <v>-22868.5344191332</v>
      </c>
      <c r="AC43" s="70" t="n">
        <f aca="false">-AC40*Assumptions!$D$55</f>
        <v>-23251.2114798145</v>
      </c>
      <c r="AD43" s="70" t="n">
        <f aca="false">-AD40*Assumptions!$D$55</f>
        <v>-23650.0308840705</v>
      </c>
      <c r="AE43" s="70" t="n">
        <f aca="false">-AE40*Assumptions!$D$55</f>
        <v>-24066.3862435427</v>
      </c>
      <c r="AF43" s="70" t="n">
        <f aca="false">-AF40*Assumptions!$D$55</f>
        <v>-24501.7173539968</v>
      </c>
      <c r="AG43" s="70" t="n">
        <f aca="false">-AG40*Assumptions!$D$55</f>
        <v>-24957.5169403479</v>
      </c>
      <c r="AH43" s="70" t="n">
        <f aca="false">-AH40*Assumptions!$D$55</f>
        <v>-25435.3370250001</v>
      </c>
      <c r="AI43" s="70" t="n">
        <f aca="false">-AI40*Assumptions!$D$55</f>
        <v>-25936.7950900008</v>
      </c>
      <c r="AJ43" s="70" t="n">
        <f aca="false">-AJ40*Assumptions!$D$55</f>
        <v>-26463.5801607771</v>
      </c>
      <c r="AK43" s="70" t="n">
        <f aca="false">-AK40*Assumptions!$D$55</f>
        <v>-27017.4589087807</v>
      </c>
      <c r="AL43" s="70" t="n">
        <f aca="false">-AL40*Assumptions!$D$55</f>
        <v>-27600.2818487774</v>
      </c>
      <c r="AM43" s="70" t="n">
        <f aca="false">SUM(C43:AL43)</f>
        <v>-713573.549593842</v>
      </c>
    </row>
    <row r="44" customFormat="false" ht="15" hidden="false" customHeight="false" outlineLevel="0" collapsed="false">
      <c r="A44" s="10" t="s">
        <v>779</v>
      </c>
      <c r="B44" s="9" t="s">
        <v>97</v>
      </c>
      <c r="C44" s="70" t="n">
        <f aca="false">-C39*Assumptions!$D$56</f>
        <v>-0</v>
      </c>
      <c r="D44" s="70" t="n">
        <f aca="false">-D39*Assumptions!$D$56</f>
        <v>-0</v>
      </c>
      <c r="E44" s="70" t="n">
        <f aca="false">-E39*Assumptions!$D$56</f>
        <v>-0</v>
      </c>
      <c r="F44" s="70" t="n">
        <f aca="false">-F39*Assumptions!$D$56</f>
        <v>-0</v>
      </c>
      <c r="G44" s="70" t="n">
        <f aca="false">-G39*Assumptions!$D$56</f>
        <v>-0</v>
      </c>
      <c r="H44" s="70" t="n">
        <f aca="false">-H39*Assumptions!$D$56</f>
        <v>-0</v>
      </c>
      <c r="I44" s="70" t="n">
        <f aca="false">-I39*Assumptions!$D$56</f>
        <v>-0</v>
      </c>
      <c r="J44" s="70" t="n">
        <f aca="false">-J39*Assumptions!$D$56</f>
        <v>-0</v>
      </c>
      <c r="K44" s="70" t="n">
        <f aca="false">-K39*Assumptions!$D$56</f>
        <v>-0</v>
      </c>
      <c r="L44" s="70" t="n">
        <f aca="false">-L39*Assumptions!$D$56</f>
        <v>-0</v>
      </c>
      <c r="M44" s="70" t="n">
        <f aca="false">-M39*Assumptions!$D$56</f>
        <v>-0</v>
      </c>
      <c r="N44" s="70" t="n">
        <f aca="false">-N39*Assumptions!$D$56</f>
        <v>-0</v>
      </c>
      <c r="O44" s="70" t="n">
        <f aca="false">-O39*Assumptions!$D$56</f>
        <v>-0</v>
      </c>
      <c r="P44" s="70" t="n">
        <f aca="false">-P39*Assumptions!$D$56</f>
        <v>-0</v>
      </c>
      <c r="Q44" s="70" t="n">
        <f aca="false">-Q39*Assumptions!$D$56</f>
        <v>-0</v>
      </c>
      <c r="R44" s="70" t="n">
        <f aca="false">-R39*Assumptions!$D$56</f>
        <v>-0</v>
      </c>
      <c r="S44" s="70" t="n">
        <f aca="false">-S39*Assumptions!$D$56</f>
        <v>-0</v>
      </c>
      <c r="T44" s="70" t="n">
        <f aca="false">-T39*Assumptions!$D$56</f>
        <v>-0</v>
      </c>
      <c r="U44" s="70" t="n">
        <f aca="false">-U39*Assumptions!$D$56</f>
        <v>-0</v>
      </c>
      <c r="V44" s="70" t="n">
        <f aca="false">-V39*Assumptions!$D$56</f>
        <v>-0</v>
      </c>
      <c r="W44" s="70" t="n">
        <f aca="false">-W39*Assumptions!$D$56</f>
        <v>-0</v>
      </c>
      <c r="X44" s="70" t="n">
        <f aca="false">-X39*Assumptions!$D$56</f>
        <v>-0</v>
      </c>
      <c r="Y44" s="70" t="n">
        <f aca="false">-Y39*Assumptions!$D$56</f>
        <v>-0</v>
      </c>
      <c r="Z44" s="70" t="n">
        <f aca="false">-Z39*Assumptions!$D$56</f>
        <v>-0</v>
      </c>
      <c r="AA44" s="70" t="n">
        <f aca="false">-AA39*Assumptions!$D$56</f>
        <v>-0</v>
      </c>
      <c r="AB44" s="70" t="n">
        <f aca="false">-AB39*Assumptions!$D$56</f>
        <v>-0</v>
      </c>
      <c r="AC44" s="70" t="n">
        <f aca="false">-AC39*Assumptions!$D$56</f>
        <v>-0</v>
      </c>
      <c r="AD44" s="70" t="n">
        <f aca="false">-AD39*Assumptions!$D$56</f>
        <v>-0</v>
      </c>
      <c r="AE44" s="70" t="n">
        <f aca="false">-AE39*Assumptions!$D$56</f>
        <v>-0</v>
      </c>
      <c r="AF44" s="70" t="n">
        <f aca="false">-AF39*Assumptions!$D$56</f>
        <v>-0</v>
      </c>
      <c r="AG44" s="70" t="n">
        <f aca="false">-AG39*Assumptions!$D$56</f>
        <v>-0</v>
      </c>
      <c r="AH44" s="70" t="n">
        <f aca="false">-AH39*Assumptions!$D$56</f>
        <v>-0</v>
      </c>
      <c r="AI44" s="70" t="n">
        <f aca="false">-AI39*Assumptions!$D$56</f>
        <v>-0</v>
      </c>
      <c r="AJ44" s="70" t="n">
        <f aca="false">-AJ39*Assumptions!$D$56</f>
        <v>-0</v>
      </c>
      <c r="AK44" s="70" t="n">
        <f aca="false">-AK39*Assumptions!$D$56</f>
        <v>-0</v>
      </c>
      <c r="AL44" s="70" t="n">
        <f aca="false">-AL39*Assumptions!$D$56</f>
        <v>-0</v>
      </c>
      <c r="AM44" s="70" t="n">
        <f aca="false">SUM(C44:AL44)</f>
        <v>0</v>
      </c>
    </row>
    <row r="45" customFormat="false" ht="15" hidden="false" customHeight="false" outlineLevel="0" collapsed="false">
      <c r="A45" s="10" t="s">
        <v>780</v>
      </c>
      <c r="B45" s="9" t="s">
        <v>97</v>
      </c>
      <c r="C45" s="70" t="n">
        <f aca="false">-C42*Assumptions!$D$79</f>
        <v>-0</v>
      </c>
      <c r="D45" s="70" t="n">
        <f aca="false">-D42*Assumptions!$D$79</f>
        <v>-0</v>
      </c>
      <c r="E45" s="70" t="n">
        <f aca="false">-E42*Assumptions!$D$79</f>
        <v>-1302.36011914691</v>
      </c>
      <c r="F45" s="70" t="n">
        <f aca="false">-F42*Assumptions!$D$79</f>
        <v>-1069.5612007345</v>
      </c>
      <c r="G45" s="70" t="n">
        <f aca="false">-G42*Assumptions!$D$79</f>
        <v>-1073.36191814614</v>
      </c>
      <c r="H45" s="70" t="n">
        <f aca="false">-H42*Assumptions!$D$79</f>
        <v>-1113.70975085702</v>
      </c>
      <c r="I45" s="70" t="n">
        <f aca="false">-I42*Assumptions!$D$79</f>
        <v>-1152.66912023941</v>
      </c>
      <c r="J45" s="70" t="n">
        <f aca="false">-J42*Assumptions!$D$79</f>
        <v>-1185.29165399464</v>
      </c>
      <c r="K45" s="70" t="n">
        <f aca="false">-K42*Assumptions!$D$79</f>
        <v>-1213.54553207386</v>
      </c>
      <c r="L45" s="70" t="n">
        <f aca="false">-L42*Assumptions!$D$79</f>
        <v>-1239.92780418608</v>
      </c>
      <c r="M45" s="70" t="n">
        <f aca="false">-M42*Assumptions!$D$79</f>
        <v>-1264.03673468297</v>
      </c>
      <c r="N45" s="70" t="n">
        <f aca="false">-N42*Assumptions!$D$79</f>
        <v>-1286.72633628498</v>
      </c>
      <c r="O45" s="70" t="n">
        <f aca="false">-O42*Assumptions!$D$79</f>
        <v>-1308.47007580637</v>
      </c>
      <c r="P45" s="70" t="n">
        <f aca="false">-P42*Assumptions!$D$79</f>
        <v>-1329.59900716538</v>
      </c>
      <c r="Q45" s="70" t="n">
        <f aca="false">-Q42*Assumptions!$D$79</f>
        <v>-1350.36758223398</v>
      </c>
      <c r="R45" s="70" t="n">
        <f aca="false">-R42*Assumptions!$D$79</f>
        <v>-1370.97803826534</v>
      </c>
      <c r="S45" s="70" t="n">
        <f aca="false">-S42*Assumptions!$D$79</f>
        <v>-1391.59605460057</v>
      </c>
      <c r="T45" s="70" t="n">
        <f aca="false">-T42*Assumptions!$D$79</f>
        <v>-1412.36160218682</v>
      </c>
      <c r="U45" s="70" t="n">
        <f aca="false">-U42*Assumptions!$D$79</f>
        <v>-1433.39664798129</v>
      </c>
      <c r="V45" s="70" t="n">
        <f aca="false">-V42*Assumptions!$D$79</f>
        <v>-1454.81069585009</v>
      </c>
      <c r="W45" s="70" t="n">
        <f aca="false">-W42*Assumptions!$D$79</f>
        <v>-1476.70481335981</v>
      </c>
      <c r="X45" s="70" t="n">
        <f aca="false">-X42*Assumptions!$D$79</f>
        <v>-1499.17458927301</v>
      </c>
      <c r="Y45" s="70" t="n">
        <f aca="false">-Y42*Assumptions!$D$79</f>
        <v>-1522.31233209043</v>
      </c>
      <c r="Z45" s="70" t="n">
        <f aca="false">-Z42*Assumptions!$D$79</f>
        <v>-1546.20872861862</v>
      </c>
      <c r="AA45" s="70" t="n">
        <f aca="false">-AA42*Assumptions!$D$79</f>
        <v>-1570.95411822296</v>
      </c>
      <c r="AB45" s="70" t="n">
        <f aca="false">-AB42*Assumptions!$D$79</f>
        <v>-1596.63949399039</v>
      </c>
      <c r="AC45" s="70" t="n">
        <f aca="false">-AC42*Assumptions!$D$79</f>
        <v>-1623.35731059068</v>
      </c>
      <c r="AD45" s="70" t="n">
        <f aca="false">-AD42*Assumptions!$D$79</f>
        <v>-1651.20215626965</v>
      </c>
      <c r="AE45" s="70" t="n">
        <f aca="false">-AE42*Assumptions!$D$79</f>
        <v>-1680.27133045825</v>
      </c>
      <c r="AF45" s="70" t="n">
        <f aca="false">-AF42*Assumptions!$D$79</f>
        <v>-1710.66535707905</v>
      </c>
      <c r="AG45" s="70" t="n">
        <f aca="false">-AG42*Assumptions!$D$79</f>
        <v>-1742.48845547156</v>
      </c>
      <c r="AH45" s="70" t="n">
        <f aca="false">-AH42*Assumptions!$D$79</f>
        <v>-1775.84898501819</v>
      </c>
      <c r="AI45" s="70" t="n">
        <f aca="false">-AI42*Assumptions!$D$79</f>
        <v>-1810.8598753746</v>
      </c>
      <c r="AJ45" s="70" t="n">
        <f aca="false">-AJ42*Assumptions!$D$79</f>
        <v>-1847.63905122517</v>
      </c>
      <c r="AK45" s="70" t="n">
        <f aca="false">-AK42*Assumptions!$D$79</f>
        <v>-1886.30985835851</v>
      </c>
      <c r="AL45" s="70" t="n">
        <f aca="false">-AL42*Assumptions!$D$79</f>
        <v>-1927.001496351</v>
      </c>
      <c r="AM45" s="70" t="n">
        <f aca="false">SUM(C45:AL45)</f>
        <v>-49820.4078261882</v>
      </c>
    </row>
    <row r="46" customFormat="false" ht="15" hidden="false" customHeight="false" outlineLevel="0" collapsed="false">
      <c r="A46" s="37" t="s">
        <v>781</v>
      </c>
      <c r="B46" s="9" t="s">
        <v>97</v>
      </c>
      <c r="C46" s="53" t="n">
        <f aca="false">C42+C43+C44+C45</f>
        <v>0</v>
      </c>
      <c r="D46" s="53" t="n">
        <f aca="false">D42+D43+D44+D45</f>
        <v>0</v>
      </c>
      <c r="E46" s="53" t="n">
        <f aca="false">E42+E43+E44+E45</f>
        <v>20742.7981476627</v>
      </c>
      <c r="F46" s="53" t="n">
        <f aca="false">F42+F43+F44+F45</f>
        <v>17034.9903741984</v>
      </c>
      <c r="G46" s="53" t="n">
        <f aca="false">G42+G43+G44+G45</f>
        <v>17095.5247171401</v>
      </c>
      <c r="H46" s="53" t="n">
        <f aca="false">H42+H43+H44+H45</f>
        <v>17738.1480110457</v>
      </c>
      <c r="I46" s="53" t="n">
        <f aca="false">I42+I43+I44+I45</f>
        <v>18358.657133813</v>
      </c>
      <c r="J46" s="53" t="n">
        <f aca="false">J42+J43+J44+J45</f>
        <v>18878.2389474771</v>
      </c>
      <c r="K46" s="53" t="n">
        <f aca="false">K42+K43+K44+K45</f>
        <v>19328.2408181348</v>
      </c>
      <c r="L46" s="53" t="n">
        <f aca="false">L42+L43+L44+L45</f>
        <v>19748.4334645887</v>
      </c>
      <c r="M46" s="53" t="n">
        <f aca="false">M42+M43+M44+M45</f>
        <v>20132.4184096902</v>
      </c>
      <c r="N46" s="53" t="n">
        <f aca="false">N42+N43+N44+N45</f>
        <v>20493.7975852056</v>
      </c>
      <c r="O46" s="53" t="n">
        <f aca="false">O42+O43+O44+O45</f>
        <v>20840.111936541</v>
      </c>
      <c r="P46" s="53" t="n">
        <f aca="false">P42+P43+P44+P45</f>
        <v>21176.6341870402</v>
      </c>
      <c r="Q46" s="53" t="n">
        <f aca="false">Q42+Q43+Q44+Q45</f>
        <v>21507.4170128725</v>
      </c>
      <c r="R46" s="53" t="n">
        <f aca="false">R42+R43+R44+R45</f>
        <v>21835.6814636219</v>
      </c>
      <c r="S46" s="53" t="n">
        <f aca="false">S42+S43+S44+S45</f>
        <v>22164.0663279612</v>
      </c>
      <c r="T46" s="53" t="n">
        <f aca="false">T42+T43+T44+T45</f>
        <v>22494.8009348297</v>
      </c>
      <c r="U46" s="53" t="n">
        <f aca="false">U42+U43+U44+U45</f>
        <v>22829.8278621187</v>
      </c>
      <c r="V46" s="53" t="n">
        <f aca="false">V42+V43+V44+V45</f>
        <v>23170.891187029</v>
      </c>
      <c r="W46" s="53" t="n">
        <f aca="false">W42+W43+W44+W45</f>
        <v>23519.6006211161</v>
      </c>
      <c r="X46" s="53" t="n">
        <f aca="false">X42+X43+X44+X45</f>
        <v>23877.478614567</v>
      </c>
      <c r="Y46" s="53" t="n">
        <f aca="false">Y42+Y43+Y44+Y45</f>
        <v>24245.9953725653</v>
      </c>
      <c r="Z46" s="53" t="n">
        <f aca="false">Z42+Z43+Z44+Z45</f>
        <v>24626.5952714362</v>
      </c>
      <c r="AA46" s="53" t="n">
        <f aca="false">AA42+AA43+AA44+AA45</f>
        <v>25020.7171537802</v>
      </c>
      <c r="AB46" s="53" t="n">
        <f aca="false">AB42+AB43+AB44+AB45</f>
        <v>25429.8102740761</v>
      </c>
      <c r="AC46" s="53" t="n">
        <f aca="false">AC42+AC43+AC44+AC45</f>
        <v>25855.3471655537</v>
      </c>
      <c r="AD46" s="53" t="n">
        <f aca="false">AD42+AD43+AD44+AD45</f>
        <v>26298.8343430864</v>
      </c>
      <c r="AE46" s="53" t="n">
        <f aca="false">AE42+AE43+AE44+AE45</f>
        <v>26761.8215028194</v>
      </c>
      <c r="AF46" s="53" t="n">
        <f aca="false">AF42+AF43+AF44+AF45</f>
        <v>27245.9096976444</v>
      </c>
      <c r="AG46" s="53" t="n">
        <f aca="false">AG42+AG43+AG44+AG45</f>
        <v>27752.7588376668</v>
      </c>
      <c r="AH46" s="53" t="n">
        <f aca="false">AH42+AH43+AH44+AH45</f>
        <v>28284.0947718001</v>
      </c>
      <c r="AI46" s="53" t="n">
        <f aca="false">AI42+AI43+AI44+AI45</f>
        <v>28841.7161400809</v>
      </c>
      <c r="AJ46" s="53" t="n">
        <f aca="false">AJ42+AJ43+AJ44+AJ45</f>
        <v>29427.5011387842</v>
      </c>
      <c r="AK46" s="53" t="n">
        <f aca="false">AK42+AK43+AK44+AK45</f>
        <v>30043.4143065641</v>
      </c>
      <c r="AL46" s="53" t="n">
        <f aca="false">AL42+AL43+AL44+AL45</f>
        <v>30691.5134158405</v>
      </c>
      <c r="AM46" s="53" t="n">
        <f aca="false">SUM(C46:AL46)</f>
        <v>793493.787148352</v>
      </c>
    </row>
    <row r="47" customFormat="false" ht="15" hidden="false" customHeight="false" outlineLevel="0" collapsed="false">
      <c r="A47" s="10" t="s">
        <v>782</v>
      </c>
      <c r="B47" s="9" t="s">
        <v>61</v>
      </c>
      <c r="C47" s="62" t="n">
        <f aca="false">IFERROR(C46/C42,0)</f>
        <v>0</v>
      </c>
      <c r="D47" s="62" t="n">
        <f aca="false">IFERROR(D46/D42,0)</f>
        <v>0</v>
      </c>
      <c r="E47" s="62" t="n">
        <f aca="false">IFERROR(E46/E42,0)</f>
        <v>0.509666666666667</v>
      </c>
      <c r="F47" s="62" t="n">
        <f aca="false">IFERROR(F46/F42,0)</f>
        <v>0.509666666666667</v>
      </c>
      <c r="G47" s="62" t="n">
        <f aca="false">IFERROR(G46/G42,0)</f>
        <v>0.509666666666667</v>
      </c>
      <c r="H47" s="62" t="n">
        <f aca="false">IFERROR(H46/H42,0)</f>
        <v>0.509666666666667</v>
      </c>
      <c r="I47" s="62" t="n">
        <f aca="false">IFERROR(I46/I42,0)</f>
        <v>0.509666666666667</v>
      </c>
      <c r="J47" s="62" t="n">
        <f aca="false">IFERROR(J46/J42,0)</f>
        <v>0.509666666666667</v>
      </c>
      <c r="K47" s="62" t="n">
        <f aca="false">IFERROR(K46/K42,0)</f>
        <v>0.509666666666667</v>
      </c>
      <c r="L47" s="62" t="n">
        <f aca="false">IFERROR(L46/L42,0)</f>
        <v>0.509666666666667</v>
      </c>
      <c r="M47" s="62" t="n">
        <f aca="false">IFERROR(M46/M42,0)</f>
        <v>0.509666666666667</v>
      </c>
      <c r="N47" s="62" t="n">
        <f aca="false">IFERROR(N46/N42,0)</f>
        <v>0.509666666666667</v>
      </c>
      <c r="O47" s="62" t="n">
        <f aca="false">IFERROR(O46/O42,0)</f>
        <v>0.509666666666667</v>
      </c>
      <c r="P47" s="62" t="n">
        <f aca="false">IFERROR(P46/P42,0)</f>
        <v>0.509666666666667</v>
      </c>
      <c r="Q47" s="62" t="n">
        <f aca="false">IFERROR(Q46/Q42,0)</f>
        <v>0.509666666666667</v>
      </c>
      <c r="R47" s="62" t="n">
        <f aca="false">IFERROR(R46/R42,0)</f>
        <v>0.509666666666667</v>
      </c>
      <c r="S47" s="62" t="n">
        <f aca="false">IFERROR(S46/S42,0)</f>
        <v>0.509666666666667</v>
      </c>
      <c r="T47" s="62" t="n">
        <f aca="false">IFERROR(T46/T42,0)</f>
        <v>0.509666666666667</v>
      </c>
      <c r="U47" s="62" t="n">
        <f aca="false">IFERROR(U46/U42,0)</f>
        <v>0.509666666666667</v>
      </c>
      <c r="V47" s="62" t="n">
        <f aca="false">IFERROR(V46/V42,0)</f>
        <v>0.509666666666667</v>
      </c>
      <c r="W47" s="62" t="n">
        <f aca="false">IFERROR(W46/W42,0)</f>
        <v>0.509666666666667</v>
      </c>
      <c r="X47" s="62" t="n">
        <f aca="false">IFERROR(X46/X42,0)</f>
        <v>0.509666666666667</v>
      </c>
      <c r="Y47" s="62" t="n">
        <f aca="false">IFERROR(Y46/Y42,0)</f>
        <v>0.509666666666667</v>
      </c>
      <c r="Z47" s="62" t="n">
        <f aca="false">IFERROR(Z46/Z42,0)</f>
        <v>0.509666666666667</v>
      </c>
      <c r="AA47" s="62" t="n">
        <f aca="false">IFERROR(AA46/AA42,0)</f>
        <v>0.509666666666667</v>
      </c>
      <c r="AB47" s="62" t="n">
        <f aca="false">IFERROR(AB46/AB42,0)</f>
        <v>0.509666666666667</v>
      </c>
      <c r="AC47" s="62" t="n">
        <f aca="false">IFERROR(AC46/AC42,0)</f>
        <v>0.509666666666667</v>
      </c>
      <c r="AD47" s="62" t="n">
        <f aca="false">IFERROR(AD46/AD42,0)</f>
        <v>0.509666666666667</v>
      </c>
      <c r="AE47" s="62" t="n">
        <f aca="false">IFERROR(AE46/AE42,0)</f>
        <v>0.509666666666667</v>
      </c>
      <c r="AF47" s="62" t="n">
        <f aca="false">IFERROR(AF46/AF42,0)</f>
        <v>0.509666666666667</v>
      </c>
      <c r="AG47" s="62" t="n">
        <f aca="false">IFERROR(AG46/AG42,0)</f>
        <v>0.509666666666667</v>
      </c>
      <c r="AH47" s="62" t="n">
        <f aca="false">IFERROR(AH46/AH42,0)</f>
        <v>0.509666666666667</v>
      </c>
      <c r="AI47" s="62" t="n">
        <f aca="false">IFERROR(AI46/AI42,0)</f>
        <v>0.509666666666667</v>
      </c>
      <c r="AJ47" s="62" t="n">
        <f aca="false">IFERROR(AJ46/AJ42,0)</f>
        <v>0.509666666666667</v>
      </c>
      <c r="AK47" s="62" t="n">
        <f aca="false">IFERROR(AK46/AK42,0)</f>
        <v>0.509666666666667</v>
      </c>
      <c r="AL47" s="62" t="n">
        <f aca="false">IFERROR(AL46/AL42,0)</f>
        <v>0.509666666666667</v>
      </c>
      <c r="AM47" s="62" t="n">
        <f aca="false">AVERAGE(N47:AL47)</f>
        <v>0.509666666666667</v>
      </c>
    </row>
    <row r="48" customFormat="false" ht="15" hidden="false" customHeight="false" outlineLevel="0" collapsed="false">
      <c r="A48" s="10" t="s">
        <v>783</v>
      </c>
      <c r="B48" s="9" t="s">
        <v>61</v>
      </c>
      <c r="C48" s="62" t="n">
        <f aca="false">IF(C9=0,0,MIN(Assumptions!$D$63,Assumptions!$D$61+Assumptions!$D$62*(C$5-Assumptions!$D$7)))</f>
        <v>0</v>
      </c>
      <c r="D48" s="62" t="n">
        <f aca="false">IF(D9=0,0,MIN(Assumptions!$D$63,Assumptions!$D$61+Assumptions!$D$62*(D$5-Assumptions!$D$7)))</f>
        <v>0</v>
      </c>
      <c r="E48" s="62" t="n">
        <f aca="false">IF(E9=0,0,MIN(Assumptions!$D$63,Assumptions!$D$61+Assumptions!$D$62*(E$5-Assumptions!$D$7)))</f>
        <v>0</v>
      </c>
      <c r="F48" s="62" t="n">
        <f aca="false">IF(F9=0,0,MIN(Assumptions!$D$63,Assumptions!$D$61+Assumptions!$D$62*(F$5-Assumptions!$D$7)))</f>
        <v>0</v>
      </c>
      <c r="G48" s="62" t="n">
        <f aca="false">IF(G9=0,0,MIN(Assumptions!$D$63,Assumptions!$D$61+Assumptions!$D$62*(G$5-Assumptions!$D$7)))</f>
        <v>0</v>
      </c>
      <c r="H48" s="62" t="n">
        <f aca="false">IF(H9=0,0,MIN(Assumptions!$D$63,Assumptions!$D$61+Assumptions!$D$62*(H$5-Assumptions!$D$7)))</f>
        <v>0</v>
      </c>
      <c r="I48" s="62" t="n">
        <f aca="false">IF(I9=0,0,MIN(Assumptions!$D$63,Assumptions!$D$61+Assumptions!$D$62*(I$5-Assumptions!$D$7)))</f>
        <v>0</v>
      </c>
      <c r="J48" s="62" t="n">
        <f aca="false">IF(J9=0,0,MIN(Assumptions!$D$63,Assumptions!$D$61+Assumptions!$D$62*(J$5-Assumptions!$D$7)))</f>
        <v>0</v>
      </c>
      <c r="K48" s="62" t="n">
        <f aca="false">IF(K9=0,0,MIN(Assumptions!$D$63,Assumptions!$D$61+Assumptions!$D$62*(K$5-Assumptions!$D$7)))</f>
        <v>0.26</v>
      </c>
      <c r="L48" s="62" t="n">
        <f aca="false">IF(L9=0,0,MIN(Assumptions!$D$63,Assumptions!$D$61+Assumptions!$D$62*(L$5-Assumptions!$D$7)))</f>
        <v>0.275</v>
      </c>
      <c r="M48" s="62" t="n">
        <f aca="false">IF(M9=0,0,MIN(Assumptions!$D$63,Assumptions!$D$61+Assumptions!$D$62*(M$5-Assumptions!$D$7)))</f>
        <v>0.29</v>
      </c>
      <c r="N48" s="62" t="n">
        <f aca="false">IF(N9=0,0,MIN(Assumptions!$D$63,Assumptions!$D$61+Assumptions!$D$62*(N$5-Assumptions!$D$7)))</f>
        <v>0.305</v>
      </c>
      <c r="O48" s="62" t="n">
        <f aca="false">IF(O9=0,0,MIN(Assumptions!$D$63,Assumptions!$D$61+Assumptions!$D$62*(O$5-Assumptions!$D$7)))</f>
        <v>0.32</v>
      </c>
      <c r="P48" s="62" t="n">
        <f aca="false">IF(P9=0,0,MIN(Assumptions!$D$63,Assumptions!$D$61+Assumptions!$D$62*(P$5-Assumptions!$D$7)))</f>
        <v>0.335</v>
      </c>
      <c r="Q48" s="62" t="n">
        <f aca="false">IF(Q9=0,0,MIN(Assumptions!$D$63,Assumptions!$D$61+Assumptions!$D$62*(Q$5-Assumptions!$D$7)))</f>
        <v>0.35</v>
      </c>
      <c r="R48" s="62" t="n">
        <f aca="false">IF(R9=0,0,MIN(Assumptions!$D$63,Assumptions!$D$61+Assumptions!$D$62*(R$5-Assumptions!$D$7)))</f>
        <v>0.365</v>
      </c>
      <c r="S48" s="62" t="n">
        <f aca="false">IF(S9=0,0,MIN(Assumptions!$D$63,Assumptions!$D$61+Assumptions!$D$62*(S$5-Assumptions!$D$7)))</f>
        <v>0.38</v>
      </c>
      <c r="T48" s="62" t="n">
        <f aca="false">IF(T9=0,0,MIN(Assumptions!$D$63,Assumptions!$D$61+Assumptions!$D$62*(T$5-Assumptions!$D$7)))</f>
        <v>0.395</v>
      </c>
      <c r="U48" s="62" t="n">
        <f aca="false">IF(U9=0,0,MIN(Assumptions!$D$63,Assumptions!$D$61+Assumptions!$D$62*(U$5-Assumptions!$D$7)))</f>
        <v>0.41</v>
      </c>
      <c r="V48" s="62" t="n">
        <f aca="false">IF(V9=0,0,MIN(Assumptions!$D$63,Assumptions!$D$61+Assumptions!$D$62*(V$5-Assumptions!$D$7)))</f>
        <v>0.425</v>
      </c>
      <c r="W48" s="62" t="n">
        <f aca="false">IF(W9=0,0,MIN(Assumptions!$D$63,Assumptions!$D$61+Assumptions!$D$62*(W$5-Assumptions!$D$7)))</f>
        <v>0.44</v>
      </c>
      <c r="X48" s="62" t="n">
        <f aca="false">IF(X9=0,0,MIN(Assumptions!$D$63,Assumptions!$D$61+Assumptions!$D$62*(X$5-Assumptions!$D$7)))</f>
        <v>0.455</v>
      </c>
      <c r="Y48" s="62" t="n">
        <f aca="false">IF(Y9=0,0,MIN(Assumptions!$D$63,Assumptions!$D$61+Assumptions!$D$62*(Y$5-Assumptions!$D$7)))</f>
        <v>0.47</v>
      </c>
      <c r="Z48" s="62" t="n">
        <f aca="false">IF(Z9=0,0,MIN(Assumptions!$D$63,Assumptions!$D$61+Assumptions!$D$62*(Z$5-Assumptions!$D$7)))</f>
        <v>0.485</v>
      </c>
      <c r="AA48" s="62" t="n">
        <f aca="false">IF(AA9=0,0,MIN(Assumptions!$D$63,Assumptions!$D$61+Assumptions!$D$62*(AA$5-Assumptions!$D$7)))</f>
        <v>0.5</v>
      </c>
      <c r="AB48" s="62" t="n">
        <f aca="false">IF(AB9=0,0,MIN(Assumptions!$D$63,Assumptions!$D$61+Assumptions!$D$62*(AB$5-Assumptions!$D$7)))</f>
        <v>0.515</v>
      </c>
      <c r="AC48" s="62" t="n">
        <f aca="false">IF(AC9=0,0,MIN(Assumptions!$D$63,Assumptions!$D$61+Assumptions!$D$62*(AC$5-Assumptions!$D$7)))</f>
        <v>0.53</v>
      </c>
      <c r="AD48" s="62" t="n">
        <f aca="false">IF(AD9=0,0,MIN(Assumptions!$D$63,Assumptions!$D$61+Assumptions!$D$62*(AD$5-Assumptions!$D$7)))</f>
        <v>0.545</v>
      </c>
      <c r="AE48" s="62" t="n">
        <f aca="false">IF(AE9=0,0,MIN(Assumptions!$D$63,Assumptions!$D$61+Assumptions!$D$62*(AE$5-Assumptions!$D$7)))</f>
        <v>0.56</v>
      </c>
      <c r="AF48" s="62" t="n">
        <f aca="false">IF(AF9=0,0,MIN(Assumptions!$D$63,Assumptions!$D$61+Assumptions!$D$62*(AF$5-Assumptions!$D$7)))</f>
        <v>0.575</v>
      </c>
      <c r="AG48" s="62" t="n">
        <f aca="false">IF(AG9=0,0,MIN(Assumptions!$D$63,Assumptions!$D$61+Assumptions!$D$62*(AG$5-Assumptions!$D$7)))</f>
        <v>0.59</v>
      </c>
      <c r="AH48" s="62" t="n">
        <f aca="false">IF(AH9=0,0,MIN(Assumptions!$D$63,Assumptions!$D$61+Assumptions!$D$62*(AH$5-Assumptions!$D$7)))</f>
        <v>0.605</v>
      </c>
      <c r="AI48" s="62" t="n">
        <f aca="false">IF(AI9=0,0,MIN(Assumptions!$D$63,Assumptions!$D$61+Assumptions!$D$62*(AI$5-Assumptions!$D$7)))</f>
        <v>0.62</v>
      </c>
      <c r="AJ48" s="62" t="n">
        <f aca="false">IF(AJ9=0,0,MIN(Assumptions!$D$63,Assumptions!$D$61+Assumptions!$D$62*(AJ$5-Assumptions!$D$7)))</f>
        <v>0.635</v>
      </c>
      <c r="AK48" s="62" t="n">
        <f aca="false">IF(AK9=0,0,MIN(Assumptions!$D$63,Assumptions!$D$61+Assumptions!$D$62*(AK$5-Assumptions!$D$7)))</f>
        <v>0.65</v>
      </c>
      <c r="AL48" s="62" t="n">
        <f aca="false">IF(AL9=0,0,MIN(Assumptions!$D$63,Assumptions!$D$61+Assumptions!$D$62*(AL$5-Assumptions!$D$7)))</f>
        <v>0.665</v>
      </c>
      <c r="AM48" s="62" t="n">
        <f aca="false">AL48</f>
        <v>0.665</v>
      </c>
    </row>
    <row r="49" customFormat="false" ht="15" hidden="false" customHeight="false" outlineLevel="0" collapsed="false">
      <c r="A49" s="10" t="s">
        <v>784</v>
      </c>
      <c r="B49" s="9" t="s">
        <v>84</v>
      </c>
      <c r="C49" s="61" t="n">
        <f aca="false">C15+C19+C23+(C13+C25)*Assumptions!$D$45</f>
        <v>2161.64284407534</v>
      </c>
      <c r="D49" s="61" t="n">
        <f aca="false">D15+D19+D23+(D13+D25)*Assumptions!$D$45</f>
        <v>2233.64284407534</v>
      </c>
      <c r="E49" s="61" t="n">
        <f aca="false">E15+E19+E23+(E13+E25)*Assumptions!$D$45</f>
        <v>26391.9490117647</v>
      </c>
      <c r="F49" s="61" t="n">
        <f aca="false">F15+F19+F23+(F13+F25)*Assumptions!$D$45</f>
        <v>17234.9922175307</v>
      </c>
      <c r="G49" s="61" t="n">
        <f aca="false">G15+G19+G23+(G13+G25)*Assumptions!$D$45</f>
        <v>14578.8243446529</v>
      </c>
      <c r="H49" s="61" t="n">
        <f aca="false">H15+H19+H23+(H13+H25)*Assumptions!$D$45</f>
        <v>13543.0247416918</v>
      </c>
      <c r="I49" s="61" t="n">
        <f aca="false">I15+I19+I23+(I13+I25)*Assumptions!$D$45</f>
        <v>12613.3840486758</v>
      </c>
      <c r="J49" s="61" t="n">
        <f aca="false">J15+J19+J23+(J13+J25)*Assumptions!$D$45</f>
        <v>11947.170007016</v>
      </c>
      <c r="K49" s="61" t="n">
        <f aca="false">K15+K19+K23+(K13+K25)*Assumptions!$D$45</f>
        <v>11493.9346258702</v>
      </c>
      <c r="L49" s="61" t="n">
        <f aca="false">L15+L19+L23+(L13+L25)*Assumptions!$D$45</f>
        <v>11230.8637394733</v>
      </c>
      <c r="M49" s="61" t="n">
        <f aca="false">M15+M19+M23+(M13+M25)*Assumptions!$D$45</f>
        <v>11085.8729869049</v>
      </c>
      <c r="N49" s="61" t="n">
        <f aca="false">N15+N19+N23+(N13+N25)*Assumptions!$D$45</f>
        <v>11033.7210002216</v>
      </c>
      <c r="O49" s="61" t="n">
        <f aca="false">O15+O19+O23+(O13+O25)*Assumptions!$D$45</f>
        <v>11053.0005325225</v>
      </c>
      <c r="P49" s="61" t="n">
        <f aca="false">P15+P19+P23+(P13+P25)*Assumptions!$D$45</f>
        <v>11127.0789987497</v>
      </c>
      <c r="Q49" s="61" t="n">
        <f aca="false">Q15+Q19+Q23+(Q13+Q25)*Assumptions!$D$45</f>
        <v>11243.9015980591</v>
      </c>
      <c r="R49" s="61" t="n">
        <f aca="false">R15+R19+R23+(R13+R25)*Assumptions!$D$45</f>
        <v>11394.9040356956</v>
      </c>
      <c r="S49" s="61" t="n">
        <f aca="false">S15+S19+S23+(S13+S25)*Assumptions!$D$45</f>
        <v>11574.1014244608</v>
      </c>
      <c r="T49" s="61" t="n">
        <f aca="false">T15+T19+T23+(T13+T25)*Assumptions!$D$45</f>
        <v>11777.4010975234</v>
      </c>
      <c r="U49" s="61" t="n">
        <f aca="false">U15+U19+U23+(U13+U25)*Assumptions!$D$45</f>
        <v>12002.0965372798</v>
      </c>
      <c r="V49" s="61" t="n">
        <f aca="false">V15+V19+V23+(V13+V25)*Assumptions!$D$45</f>
        <v>12246.4982099932</v>
      </c>
      <c r="W49" s="61" t="n">
        <f aca="false">W15+W19+W23+(W13+W25)*Assumptions!$D$45</f>
        <v>12509.6658492395</v>
      </c>
      <c r="X49" s="61" t="n">
        <f aca="false">X15+X19+X23+(X13+X25)*Assumptions!$D$45</f>
        <v>12791.2151930097</v>
      </c>
      <c r="Y49" s="61" t="n">
        <f aca="false">Y15+Y19+Y23+(Y13+Y25)*Assumptions!$D$45</f>
        <v>13091.1790613907</v>
      </c>
      <c r="Z49" s="61" t="n">
        <f aca="false">Z15+Z19+Z23+(Z13+Z25)*Assumptions!$D$45</f>
        <v>13409.9079649508</v>
      </c>
      <c r="AA49" s="61" t="n">
        <f aca="false">AA15+AA19+AA23+(AA13+AA25)*Assumptions!$D$45</f>
        <v>13747.9994169422</v>
      </c>
      <c r="AB49" s="61" t="n">
        <f aca="false">AB15+AB19+AB23+(AB13+AB25)*Assumptions!$D$45</f>
        <v>14106.2480711137</v>
      </c>
      <c r="AC49" s="61" t="n">
        <f aca="false">AC15+AC19+AC23+(AC13+AC25)*Assumptions!$D$45</f>
        <v>14485.6109709069</v>
      </c>
      <c r="AD49" s="61" t="n">
        <f aca="false">AD15+AD19+AD23+(AD13+AD25)*Assumptions!$D$45</f>
        <v>14887.183775158</v>
      </c>
      <c r="AE49" s="61" t="n">
        <f aca="false">AE15+AE19+AE23+(AE13+AE25)*Assumptions!$D$45</f>
        <v>15312.1849739101</v>
      </c>
      <c r="AF49" s="61" t="n">
        <f aca="false">AF15+AF19+AF23+(AF13+AF25)*Assumptions!$D$45</f>
        <v>15761.9459410927</v>
      </c>
      <c r="AG49" s="61" t="n">
        <f aca="false">AG15+AG19+AG23+(AG13+AG25)*Assumptions!$D$45</f>
        <v>16237.9052742642</v>
      </c>
      <c r="AH49" s="61" t="n">
        <f aca="false">AH15+AH19+AH23+(AH13+AH25)*Assumptions!$D$45</f>
        <v>16741.6063082083</v>
      </c>
      <c r="AI49" s="61" t="n">
        <f aca="false">AI15+AI19+AI23+(AI13+AI25)*Assumptions!$D$45</f>
        <v>17274.697004881</v>
      </c>
      <c r="AJ49" s="61" t="n">
        <f aca="false">AJ15+AJ19+AJ23+(AJ13+AJ25)*Assumptions!$D$45</f>
        <v>17838.9316504325</v>
      </c>
      <c r="AK49" s="61" t="n">
        <f aca="false">AK15+AK19+AK23+(AK13+AK25)*Assumptions!$D$45</f>
        <v>18436.1739550454</v>
      </c>
      <c r="AL49" s="61" t="n">
        <f aca="false">AL15+AL19+AL23+(AL13+AL25)*Assumptions!$D$45</f>
        <v>19068.4012707033</v>
      </c>
      <c r="AM49" s="61" t="n">
        <f aca="false">SUM(C49:AL49)</f>
        <v>483668.861527486</v>
      </c>
    </row>
    <row r="50" customFormat="false" ht="15" hidden="false" customHeight="false" outlineLevel="0" collapsed="false">
      <c r="A50" s="10" t="s">
        <v>785</v>
      </c>
      <c r="B50" s="9" t="s">
        <v>51</v>
      </c>
      <c r="C50" s="61" t="n">
        <f aca="false">C49*Assumptions!$D$58*C9</f>
        <v>0</v>
      </c>
      <c r="D50" s="61" t="n">
        <f aca="false">D49*Assumptions!$D$58*D9</f>
        <v>0</v>
      </c>
      <c r="E50" s="61" t="n">
        <f aca="false">E49*Assumptions!$D$58*E9</f>
        <v>0</v>
      </c>
      <c r="F50" s="61" t="n">
        <f aca="false">F49*Assumptions!$D$58*F9</f>
        <v>0</v>
      </c>
      <c r="G50" s="61" t="n">
        <f aca="false">G49*Assumptions!$D$58*G9</f>
        <v>0</v>
      </c>
      <c r="H50" s="61" t="n">
        <f aca="false">H49*Assumptions!$D$58*H9</f>
        <v>0</v>
      </c>
      <c r="I50" s="61" t="n">
        <f aca="false">I49*Assumptions!$D$58*I9</f>
        <v>0</v>
      </c>
      <c r="J50" s="61" t="n">
        <f aca="false">J49*Assumptions!$D$58*J9</f>
        <v>0</v>
      </c>
      <c r="K50" s="61" t="n">
        <f aca="false">K49*Assumptions!$D$58*K9</f>
        <v>137.927215510442</v>
      </c>
      <c r="L50" s="61" t="n">
        <f aca="false">L49*Assumptions!$D$58*L9</f>
        <v>134.77036487368</v>
      </c>
      <c r="M50" s="61" t="n">
        <f aca="false">M49*Assumptions!$D$58*M9</f>
        <v>133.030475842859</v>
      </c>
      <c r="N50" s="61" t="n">
        <f aca="false">N49*Assumptions!$D$58*N9</f>
        <v>132.404652002659</v>
      </c>
      <c r="O50" s="61" t="n">
        <f aca="false">O49*Assumptions!$D$58*O9</f>
        <v>132.63600639027</v>
      </c>
      <c r="P50" s="61" t="n">
        <f aca="false">P49*Assumptions!$D$58*P9</f>
        <v>133.524947984996</v>
      </c>
      <c r="Q50" s="61" t="n">
        <f aca="false">Q49*Assumptions!$D$58*Q9</f>
        <v>134.926819176709</v>
      </c>
      <c r="R50" s="61" t="n">
        <f aca="false">R49*Assumptions!$D$58*R9</f>
        <v>136.738848428348</v>
      </c>
      <c r="S50" s="61" t="n">
        <f aca="false">S49*Assumptions!$D$58*S9</f>
        <v>138.88921709353</v>
      </c>
      <c r="T50" s="61" t="n">
        <f aca="false">T49*Assumptions!$D$58*T9</f>
        <v>141.328813170281</v>
      </c>
      <c r="U50" s="61" t="n">
        <f aca="false">U49*Assumptions!$D$58*U9</f>
        <v>144.025158447358</v>
      </c>
      <c r="V50" s="61" t="n">
        <f aca="false">V49*Assumptions!$D$58*V9</f>
        <v>146.957978519918</v>
      </c>
      <c r="W50" s="61" t="n">
        <f aca="false">W49*Assumptions!$D$58*W9</f>
        <v>150.115990190874</v>
      </c>
      <c r="X50" s="61" t="n">
        <f aca="false">X49*Assumptions!$D$58*X9</f>
        <v>153.494582316116</v>
      </c>
      <c r="Y50" s="61" t="n">
        <f aca="false">Y49*Assumptions!$D$58*Y9</f>
        <v>157.094148736689</v>
      </c>
      <c r="Z50" s="61" t="n">
        <f aca="false">Z49*Assumptions!$D$58*Z9</f>
        <v>160.91889557941</v>
      </c>
      <c r="AA50" s="61" t="n">
        <f aca="false">AA49*Assumptions!$D$58*AA9</f>
        <v>164.975993003307</v>
      </c>
      <c r="AB50" s="61" t="n">
        <f aca="false">AB49*Assumptions!$D$58*AB9</f>
        <v>169.274976853365</v>
      </c>
      <c r="AC50" s="61" t="n">
        <f aca="false">AC49*Assumptions!$D$58*AC9</f>
        <v>173.827331650882</v>
      </c>
      <c r="AD50" s="61" t="n">
        <f aca="false">AD49*Assumptions!$D$58*AD9</f>
        <v>178.646205301896</v>
      </c>
      <c r="AE50" s="61" t="n">
        <f aca="false">AE49*Assumptions!$D$58*AE9</f>
        <v>183.746219686921</v>
      </c>
      <c r="AF50" s="61" t="n">
        <f aca="false">AF49*Assumptions!$D$58*AF9</f>
        <v>189.143351293113</v>
      </c>
      <c r="AG50" s="61" t="n">
        <f aca="false">AG49*Assumptions!$D$58*AG9</f>
        <v>194.854863291171</v>
      </c>
      <c r="AH50" s="61" t="n">
        <f aca="false">AH49*Assumptions!$D$58*AH9</f>
        <v>200.8992756985</v>
      </c>
      <c r="AI50" s="61" t="n">
        <f aca="false">AI49*Assumptions!$D$58*AI9</f>
        <v>207.296364058572</v>
      </c>
      <c r="AJ50" s="61" t="n">
        <f aca="false">AJ49*Assumptions!$D$58*AJ9</f>
        <v>214.06717980519</v>
      </c>
      <c r="AK50" s="61" t="n">
        <f aca="false">AK49*Assumptions!$D$58*AK9</f>
        <v>221.234087460545</v>
      </c>
      <c r="AL50" s="61" t="n">
        <f aca="false">AL49*Assumptions!$D$58*AL9</f>
        <v>228.82081524844</v>
      </c>
      <c r="AM50" s="61" t="n">
        <f aca="false">SUM(C50:AL50)</f>
        <v>4595.57077761604</v>
      </c>
    </row>
    <row r="51" customFormat="false" ht="15" hidden="false" customHeight="false" outlineLevel="0" collapsed="false">
      <c r="A51" s="10" t="s">
        <v>786</v>
      </c>
      <c r="B51" s="9" t="s">
        <v>51</v>
      </c>
      <c r="C51" s="61" t="n">
        <f aca="false">C50*Assumptions!$D$59</f>
        <v>0</v>
      </c>
      <c r="D51" s="61" t="n">
        <f aca="false">D50*Assumptions!$D$59</f>
        <v>0</v>
      </c>
      <c r="E51" s="61" t="n">
        <f aca="false">E50*Assumptions!$D$59</f>
        <v>0</v>
      </c>
      <c r="F51" s="61" t="n">
        <f aca="false">F50*Assumptions!$D$59</f>
        <v>0</v>
      </c>
      <c r="G51" s="61" t="n">
        <f aca="false">G50*Assumptions!$D$59</f>
        <v>0</v>
      </c>
      <c r="H51" s="61" t="n">
        <f aca="false">H50*Assumptions!$D$59</f>
        <v>0</v>
      </c>
      <c r="I51" s="61" t="n">
        <f aca="false">I50*Assumptions!$D$59</f>
        <v>0</v>
      </c>
      <c r="J51" s="61" t="n">
        <f aca="false">J50*Assumptions!$D$59</f>
        <v>0</v>
      </c>
      <c r="K51" s="61" t="n">
        <f aca="false">K50*Assumptions!$D$59</f>
        <v>82.7563293062652</v>
      </c>
      <c r="L51" s="61" t="n">
        <f aca="false">L50*Assumptions!$D$59</f>
        <v>80.8622189242081</v>
      </c>
      <c r="M51" s="61" t="n">
        <f aca="false">M50*Assumptions!$D$59</f>
        <v>79.8182855057152</v>
      </c>
      <c r="N51" s="61" t="n">
        <f aca="false">N50*Assumptions!$D$59</f>
        <v>79.4427912015952</v>
      </c>
      <c r="O51" s="61" t="n">
        <f aca="false">O50*Assumptions!$D$59</f>
        <v>79.5816038341619</v>
      </c>
      <c r="P51" s="61" t="n">
        <f aca="false">P50*Assumptions!$D$59</f>
        <v>80.1149687909975</v>
      </c>
      <c r="Q51" s="61" t="n">
        <f aca="false">Q50*Assumptions!$D$59</f>
        <v>80.9560915060252</v>
      </c>
      <c r="R51" s="61" t="n">
        <f aca="false">R50*Assumptions!$D$59</f>
        <v>82.0433090570086</v>
      </c>
      <c r="S51" s="61" t="n">
        <f aca="false">S50*Assumptions!$D$59</f>
        <v>83.3335302561177</v>
      </c>
      <c r="T51" s="61" t="n">
        <f aca="false">T50*Assumptions!$D$59</f>
        <v>84.7972879021687</v>
      </c>
      <c r="U51" s="61" t="n">
        <f aca="false">U50*Assumptions!$D$59</f>
        <v>86.4150950684147</v>
      </c>
      <c r="V51" s="61" t="n">
        <f aca="false">V50*Assumptions!$D$59</f>
        <v>88.1747871119509</v>
      </c>
      <c r="W51" s="61" t="n">
        <f aca="false">W50*Assumptions!$D$59</f>
        <v>90.0695941145245</v>
      </c>
      <c r="X51" s="61" t="n">
        <f aca="false">X50*Assumptions!$D$59</f>
        <v>92.0967493896695</v>
      </c>
      <c r="Y51" s="61" t="n">
        <f aca="false">Y50*Assumptions!$D$59</f>
        <v>94.2564892420133</v>
      </c>
      <c r="Z51" s="61" t="n">
        <f aca="false">Z50*Assumptions!$D$59</f>
        <v>96.5513373476458</v>
      </c>
      <c r="AA51" s="61" t="n">
        <f aca="false">AA50*Assumptions!$D$59</f>
        <v>98.9855958019842</v>
      </c>
      <c r="AB51" s="61" t="n">
        <f aca="false">AB50*Assumptions!$D$59</f>
        <v>101.564986112019</v>
      </c>
      <c r="AC51" s="61" t="n">
        <f aca="false">AC50*Assumptions!$D$59</f>
        <v>104.296398990529</v>
      </c>
      <c r="AD51" s="61" t="n">
        <f aca="false">AD50*Assumptions!$D$59</f>
        <v>107.187723181138</v>
      </c>
      <c r="AE51" s="61" t="n">
        <f aca="false">AE50*Assumptions!$D$59</f>
        <v>110.247731812153</v>
      </c>
      <c r="AF51" s="61" t="n">
        <f aca="false">AF50*Assumptions!$D$59</f>
        <v>113.486010775868</v>
      </c>
      <c r="AG51" s="61" t="n">
        <f aca="false">AG50*Assumptions!$D$59</f>
        <v>116.912917974702</v>
      </c>
      <c r="AH51" s="61" t="n">
        <f aca="false">AH50*Assumptions!$D$59</f>
        <v>120.5395654191</v>
      </c>
      <c r="AI51" s="61" t="n">
        <f aca="false">AI50*Assumptions!$D$59</f>
        <v>124.377818435143</v>
      </c>
      <c r="AJ51" s="61" t="n">
        <f aca="false">AJ50*Assumptions!$D$59</f>
        <v>128.440307883114</v>
      </c>
      <c r="AK51" s="61" t="n">
        <f aca="false">AK50*Assumptions!$D$59</f>
        <v>132.740452476327</v>
      </c>
      <c r="AL51" s="61" t="n">
        <f aca="false">AL50*Assumptions!$D$59</f>
        <v>137.292489149064</v>
      </c>
      <c r="AM51" s="61" t="n">
        <f aca="false">SUM(C51:AL51)</f>
        <v>2757.34246656962</v>
      </c>
    </row>
    <row r="52" customFormat="false" ht="15" hidden="false" customHeight="false" outlineLevel="0" collapsed="false">
      <c r="A52" s="10" t="s">
        <v>787</v>
      </c>
      <c r="B52" s="9" t="s">
        <v>51</v>
      </c>
      <c r="C52" s="61" t="n">
        <f aca="false">C51*Assumptions!$D$60*C48</f>
        <v>0</v>
      </c>
      <c r="D52" s="61" t="n">
        <f aca="false">D51*Assumptions!$D$60*D48</f>
        <v>0</v>
      </c>
      <c r="E52" s="61" t="n">
        <f aca="false">E51*Assumptions!$D$60*E48</f>
        <v>0</v>
      </c>
      <c r="F52" s="61" t="n">
        <f aca="false">F51*Assumptions!$D$60*F48</f>
        <v>0</v>
      </c>
      <c r="G52" s="61" t="n">
        <f aca="false">G51*Assumptions!$D$60*G48</f>
        <v>0</v>
      </c>
      <c r="H52" s="61" t="n">
        <f aca="false">H51*Assumptions!$D$60*H48</f>
        <v>0</v>
      </c>
      <c r="I52" s="61" t="n">
        <f aca="false">I51*Assumptions!$D$60*I48</f>
        <v>0</v>
      </c>
      <c r="J52" s="61" t="n">
        <f aca="false">J51*Assumptions!$D$60*J48</f>
        <v>0</v>
      </c>
      <c r="K52" s="61" t="n">
        <f aca="false">K51*Assumptions!$D$60*K48</f>
        <v>10.7583228098145</v>
      </c>
      <c r="L52" s="61" t="n">
        <f aca="false">L51*Assumptions!$D$60*L48</f>
        <v>11.1185551020786</v>
      </c>
      <c r="M52" s="61" t="n">
        <f aca="false">M51*Assumptions!$D$60*M48</f>
        <v>11.5736513983287</v>
      </c>
      <c r="N52" s="61" t="n">
        <f aca="false">N51*Assumptions!$D$60*N48</f>
        <v>12.1150256582433</v>
      </c>
      <c r="O52" s="61" t="n">
        <f aca="false">O51*Assumptions!$D$60*O48</f>
        <v>12.7330566134659</v>
      </c>
      <c r="P52" s="61" t="n">
        <f aca="false">P51*Assumptions!$D$60*P48</f>
        <v>13.4192572724921</v>
      </c>
      <c r="Q52" s="61" t="n">
        <f aca="false">Q51*Assumptions!$D$60*Q48</f>
        <v>14.1673160135544</v>
      </c>
      <c r="R52" s="61" t="n">
        <f aca="false">R51*Assumptions!$D$60*R48</f>
        <v>14.9729039029041</v>
      </c>
      <c r="S52" s="61" t="n">
        <f aca="false">S51*Assumptions!$D$60*S48</f>
        <v>15.8333707486624</v>
      </c>
      <c r="T52" s="61" t="n">
        <f aca="false">T51*Assumptions!$D$60*T48</f>
        <v>16.7474643606783</v>
      </c>
      <c r="U52" s="61" t="n">
        <f aca="false">U51*Assumptions!$D$60*U48</f>
        <v>17.715094489025</v>
      </c>
      <c r="V52" s="61" t="n">
        <f aca="false">V51*Assumptions!$D$60*V48</f>
        <v>18.7371422612896</v>
      </c>
      <c r="W52" s="61" t="n">
        <f aca="false">W51*Assumptions!$D$60*W48</f>
        <v>19.8153107051954</v>
      </c>
      <c r="X52" s="61" t="n">
        <f aca="false">X51*Assumptions!$D$60*X48</f>
        <v>20.9520104861498</v>
      </c>
      <c r="Y52" s="61" t="n">
        <f aca="false">Y51*Assumptions!$D$60*Y48</f>
        <v>22.1502749718731</v>
      </c>
      <c r="Z52" s="61" t="n">
        <f aca="false">Z51*Assumptions!$D$60*Z48</f>
        <v>23.4136993068041</v>
      </c>
      <c r="AA52" s="61" t="n">
        <f aca="false">AA51*Assumptions!$D$60*AA48</f>
        <v>24.746398950496</v>
      </c>
      <c r="AB52" s="61" t="n">
        <f aca="false">AB51*Assumptions!$D$60*AB48</f>
        <v>26.1529839238449</v>
      </c>
      <c r="AC52" s="61" t="n">
        <f aca="false">AC51*Assumptions!$D$60*AC48</f>
        <v>27.6385457324903</v>
      </c>
      <c r="AD52" s="61" t="n">
        <f aca="false">AD51*Assumptions!$D$60*AD48</f>
        <v>29.2086545668601</v>
      </c>
      <c r="AE52" s="61" t="n">
        <f aca="false">AE51*Assumptions!$D$60*AE48</f>
        <v>30.8693649074028</v>
      </c>
      <c r="AF52" s="61" t="n">
        <f aca="false">AF51*Assumptions!$D$60*AF48</f>
        <v>32.627228098062</v>
      </c>
      <c r="AG52" s="61" t="n">
        <f aca="false">AG51*Assumptions!$D$60*AG48</f>
        <v>34.4893108025372</v>
      </c>
      <c r="AH52" s="61" t="n">
        <f aca="false">AH51*Assumptions!$D$60*AH48</f>
        <v>36.4632185392778</v>
      </c>
      <c r="AI52" s="61" t="n">
        <f aca="false">AI51*Assumptions!$D$60*AI48</f>
        <v>38.5571237148944</v>
      </c>
      <c r="AJ52" s="61" t="n">
        <f aca="false">AJ51*Assumptions!$D$60*AJ48</f>
        <v>40.7797977528888</v>
      </c>
      <c r="AK52" s="61" t="n">
        <f aca="false">AK51*Assumptions!$D$60*AK48</f>
        <v>43.1406470548062</v>
      </c>
      <c r="AL52" s="61" t="n">
        <f aca="false">AL51*Assumptions!$D$60*AL48</f>
        <v>45.6497526420637</v>
      </c>
      <c r="AM52" s="61" t="n">
        <f aca="false">SUM(C52:AL52)</f>
        <v>666.545482786183</v>
      </c>
    </row>
    <row r="53" customFormat="false" ht="15" hidden="false" customHeight="false" outlineLevel="0" collapsed="false">
      <c r="A53" s="10" t="s">
        <v>788</v>
      </c>
      <c r="B53" s="9" t="s">
        <v>51</v>
      </c>
      <c r="C53" s="61" t="n">
        <f aca="false">C52*Assumptions!$D$64</f>
        <v>0</v>
      </c>
      <c r="D53" s="61" t="n">
        <f aca="false">D52*Assumptions!$D$64</f>
        <v>0</v>
      </c>
      <c r="E53" s="61" t="n">
        <f aca="false">E52*Assumptions!$D$64</f>
        <v>0</v>
      </c>
      <c r="F53" s="61" t="n">
        <f aca="false">F52*Assumptions!$D$64</f>
        <v>0</v>
      </c>
      <c r="G53" s="61" t="n">
        <f aca="false">G52*Assumptions!$D$64</f>
        <v>0</v>
      </c>
      <c r="H53" s="61" t="n">
        <f aca="false">H52*Assumptions!$D$64</f>
        <v>0</v>
      </c>
      <c r="I53" s="61" t="n">
        <f aca="false">I52*Assumptions!$D$64</f>
        <v>0</v>
      </c>
      <c r="J53" s="61" t="n">
        <f aca="false">J52*Assumptions!$D$64</f>
        <v>0</v>
      </c>
      <c r="K53" s="61" t="n">
        <f aca="false">K52*Assumptions!$D$64</f>
        <v>5.16399494871095</v>
      </c>
      <c r="L53" s="61" t="n">
        <f aca="false">L52*Assumptions!$D$64</f>
        <v>5.33690644899773</v>
      </c>
      <c r="M53" s="61" t="n">
        <f aca="false">M52*Assumptions!$D$64</f>
        <v>5.55535267119778</v>
      </c>
      <c r="N53" s="61" t="n">
        <f aca="false">N52*Assumptions!$D$64</f>
        <v>5.81521231595677</v>
      </c>
      <c r="O53" s="61" t="n">
        <f aca="false">O52*Assumptions!$D$64</f>
        <v>6.11186717446363</v>
      </c>
      <c r="P53" s="61" t="n">
        <f aca="false">P52*Assumptions!$D$64</f>
        <v>6.4412434907962</v>
      </c>
      <c r="Q53" s="61" t="n">
        <f aca="false">Q52*Assumptions!$D$64</f>
        <v>6.80031168650611</v>
      </c>
      <c r="R53" s="61" t="n">
        <f aca="false">R52*Assumptions!$D$64</f>
        <v>7.18699387339395</v>
      </c>
      <c r="S53" s="61" t="n">
        <f aca="false">S52*Assumptions!$D$64</f>
        <v>7.60001795935793</v>
      </c>
      <c r="T53" s="61" t="n">
        <f aca="false">T52*Assumptions!$D$64</f>
        <v>8.03878289312559</v>
      </c>
      <c r="U53" s="61" t="n">
        <f aca="false">U52*Assumptions!$D$64</f>
        <v>8.503245354732</v>
      </c>
      <c r="V53" s="61" t="n">
        <f aca="false">V52*Assumptions!$D$64</f>
        <v>8.99382828541899</v>
      </c>
      <c r="W53" s="61" t="n">
        <f aca="false">W52*Assumptions!$D$64</f>
        <v>9.51134913849378</v>
      </c>
      <c r="X53" s="61" t="n">
        <f aca="false">X52*Assumptions!$D$64</f>
        <v>10.0569650333519</v>
      </c>
      <c r="Y53" s="61" t="n">
        <f aca="false">Y52*Assumptions!$D$64</f>
        <v>10.6321319864991</v>
      </c>
      <c r="Z53" s="61" t="n">
        <f aca="false">Z52*Assumptions!$D$64</f>
        <v>11.238575667266</v>
      </c>
      <c r="AA53" s="61" t="n">
        <f aca="false">AA52*Assumptions!$D$64</f>
        <v>11.8782714962381</v>
      </c>
      <c r="AB53" s="61" t="n">
        <f aca="false">AB52*Assumptions!$D$64</f>
        <v>12.5534322834455</v>
      </c>
      <c r="AC53" s="61" t="n">
        <f aca="false">AC52*Assumptions!$D$64</f>
        <v>13.2665019515953</v>
      </c>
      <c r="AD53" s="61" t="n">
        <f aca="false">AD52*Assumptions!$D$64</f>
        <v>14.0201541920928</v>
      </c>
      <c r="AE53" s="61" t="n">
        <f aca="false">AE52*Assumptions!$D$64</f>
        <v>14.8172951555533</v>
      </c>
      <c r="AF53" s="61" t="n">
        <f aca="false">AF52*Assumptions!$D$64</f>
        <v>15.6610694870697</v>
      </c>
      <c r="AG53" s="61" t="n">
        <f aca="false">AG52*Assumptions!$D$64</f>
        <v>16.5548691852179</v>
      </c>
      <c r="AH53" s="61" t="n">
        <f aca="false">AH52*Assumptions!$D$64</f>
        <v>17.5023448988533</v>
      </c>
      <c r="AI53" s="61" t="n">
        <f aca="false">AI52*Assumptions!$D$64</f>
        <v>18.5074193831493</v>
      </c>
      <c r="AJ53" s="61" t="n">
        <f aca="false">AJ52*Assumptions!$D$64</f>
        <v>19.5743029213866</v>
      </c>
      <c r="AK53" s="61" t="n">
        <f aca="false">AK52*Assumptions!$D$64</f>
        <v>20.707510586307</v>
      </c>
      <c r="AL53" s="61" t="n">
        <f aca="false">AL52*Assumptions!$D$64</f>
        <v>21.9118812681906</v>
      </c>
      <c r="AM53" s="61" t="n">
        <f aca="false">SUM(C53:AL53)</f>
        <v>319.941831737368</v>
      </c>
    </row>
    <row r="54" customFormat="false" ht="15" hidden="false" customHeight="false" outlineLevel="0" collapsed="false">
      <c r="A54" s="10" t="s">
        <v>789</v>
      </c>
      <c r="B54" s="9" t="s">
        <v>51</v>
      </c>
      <c r="C54" s="61" t="n">
        <f aca="false">C53*Assumptions!$D$65</f>
        <v>0</v>
      </c>
      <c r="D54" s="61" t="n">
        <f aca="false">D53*Assumptions!$D$65</f>
        <v>0</v>
      </c>
      <c r="E54" s="61" t="n">
        <f aca="false">E53*Assumptions!$D$65</f>
        <v>0</v>
      </c>
      <c r="F54" s="61" t="n">
        <f aca="false">F53*Assumptions!$D$65</f>
        <v>0</v>
      </c>
      <c r="G54" s="61" t="n">
        <f aca="false">G53*Assumptions!$D$65</f>
        <v>0</v>
      </c>
      <c r="H54" s="61" t="n">
        <f aca="false">H53*Assumptions!$D$65</f>
        <v>0</v>
      </c>
      <c r="I54" s="61" t="n">
        <f aca="false">I53*Assumptions!$D$65</f>
        <v>0</v>
      </c>
      <c r="J54" s="61" t="n">
        <f aca="false">J53*Assumptions!$D$65</f>
        <v>0</v>
      </c>
      <c r="K54" s="61" t="n">
        <f aca="false">K53*Assumptions!$D$65</f>
        <v>3.92463616102032</v>
      </c>
      <c r="L54" s="61" t="n">
        <f aca="false">L53*Assumptions!$D$65</f>
        <v>4.05604890123828</v>
      </c>
      <c r="M54" s="61" t="n">
        <f aca="false">M53*Assumptions!$D$65</f>
        <v>4.22206803011031</v>
      </c>
      <c r="N54" s="61" t="n">
        <f aca="false">N53*Assumptions!$D$65</f>
        <v>4.41956136012715</v>
      </c>
      <c r="O54" s="61" t="n">
        <f aca="false">O53*Assumptions!$D$65</f>
        <v>4.64501905259236</v>
      </c>
      <c r="P54" s="61" t="n">
        <f aca="false">P53*Assumptions!$D$65</f>
        <v>4.89534505300511</v>
      </c>
      <c r="Q54" s="61" t="n">
        <f aca="false">Q53*Assumptions!$D$65</f>
        <v>5.16823688174465</v>
      </c>
      <c r="R54" s="61" t="n">
        <f aca="false">R53*Assumptions!$D$65</f>
        <v>5.4621153437794</v>
      </c>
      <c r="S54" s="61" t="n">
        <f aca="false">S53*Assumptions!$D$65</f>
        <v>5.77601364911203</v>
      </c>
      <c r="T54" s="61" t="n">
        <f aca="false">T53*Assumptions!$D$65</f>
        <v>6.10947499877545</v>
      </c>
      <c r="U54" s="61" t="n">
        <f aca="false">U53*Assumptions!$D$65</f>
        <v>6.46246646959632</v>
      </c>
      <c r="V54" s="61" t="n">
        <f aca="false">V53*Assumptions!$D$65</f>
        <v>6.83530949691843</v>
      </c>
      <c r="W54" s="61" t="n">
        <f aca="false">W53*Assumptions!$D$65</f>
        <v>7.22862534525528</v>
      </c>
      <c r="X54" s="61" t="n">
        <f aca="false">X53*Assumptions!$D$65</f>
        <v>7.64329342534745</v>
      </c>
      <c r="Y54" s="61" t="n">
        <f aca="false">Y53*Assumptions!$D$65</f>
        <v>8.08042030973932</v>
      </c>
      <c r="Z54" s="61" t="n">
        <f aca="false">Z53*Assumptions!$D$65</f>
        <v>8.54131750712213</v>
      </c>
      <c r="AA54" s="61" t="n">
        <f aca="false">AA53*Assumptions!$D$65</f>
        <v>9.02748633714096</v>
      </c>
      <c r="AB54" s="61" t="n">
        <f aca="false">AB53*Assumptions!$D$65</f>
        <v>9.5406085354186</v>
      </c>
      <c r="AC54" s="61" t="n">
        <f aca="false">AC53*Assumptions!$D$65</f>
        <v>10.0825414832125</v>
      </c>
      <c r="AD54" s="61" t="n">
        <f aca="false">AD53*Assumptions!$D$65</f>
        <v>10.6553171859906</v>
      </c>
      <c r="AE54" s="61" t="n">
        <f aca="false">AE53*Assumptions!$D$65</f>
        <v>11.2611443182205</v>
      </c>
      <c r="AF54" s="61" t="n">
        <f aca="false">AF53*Assumptions!$D$65</f>
        <v>11.902412810173</v>
      </c>
      <c r="AG54" s="61" t="n">
        <f aca="false">AG53*Assumptions!$D$65</f>
        <v>12.5817005807656</v>
      </c>
      <c r="AH54" s="61" t="n">
        <f aca="false">AH53*Assumptions!$D$65</f>
        <v>13.3017821231285</v>
      </c>
      <c r="AI54" s="61" t="n">
        <f aca="false">AI53*Assumptions!$D$65</f>
        <v>14.0656387311935</v>
      </c>
      <c r="AJ54" s="61" t="n">
        <f aca="false">AJ53*Assumptions!$D$65</f>
        <v>14.8764702202538</v>
      </c>
      <c r="AK54" s="61" t="n">
        <f aca="false">AK53*Assumptions!$D$65</f>
        <v>15.7377080455933</v>
      </c>
      <c r="AL54" s="61" t="n">
        <f aca="false">AL53*Assumptions!$D$65</f>
        <v>16.6530297638249</v>
      </c>
      <c r="AM54" s="61" t="n">
        <f aca="false">SUM(C54:AL54)</f>
        <v>243.1557921204</v>
      </c>
    </row>
    <row r="55" customFormat="false" ht="15" hidden="false" customHeight="false" outlineLevel="0" collapsed="false">
      <c r="A55" s="10" t="s">
        <v>790</v>
      </c>
      <c r="B55" s="9" t="s">
        <v>51</v>
      </c>
      <c r="C55" s="61" t="n">
        <f aca="false">C54*Assumptions!$D$66</f>
        <v>0</v>
      </c>
      <c r="D55" s="61" t="n">
        <f aca="false">D54*Assumptions!$D$66</f>
        <v>0</v>
      </c>
      <c r="E55" s="61" t="n">
        <f aca="false">E54*Assumptions!$D$66</f>
        <v>0</v>
      </c>
      <c r="F55" s="61" t="n">
        <f aca="false">F54*Assumptions!$D$66</f>
        <v>0</v>
      </c>
      <c r="G55" s="61" t="n">
        <f aca="false">G54*Assumptions!$D$66</f>
        <v>0</v>
      </c>
      <c r="H55" s="61" t="n">
        <f aca="false">H54*Assumptions!$D$66</f>
        <v>0</v>
      </c>
      <c r="I55" s="61" t="n">
        <f aca="false">I54*Assumptions!$D$66</f>
        <v>0</v>
      </c>
      <c r="J55" s="61" t="n">
        <f aca="false">J54*Assumptions!$D$66</f>
        <v>0</v>
      </c>
      <c r="K55" s="61" t="n">
        <f aca="false">K54*Assumptions!$D$66</f>
        <v>2.15854988856118</v>
      </c>
      <c r="L55" s="61" t="n">
        <f aca="false">L54*Assumptions!$D$66</f>
        <v>2.23082689568105</v>
      </c>
      <c r="M55" s="61" t="n">
        <f aca="false">M54*Assumptions!$D$66</f>
        <v>2.32213741656067</v>
      </c>
      <c r="N55" s="61" t="n">
        <f aca="false">N54*Assumptions!$D$66</f>
        <v>2.43075874806993</v>
      </c>
      <c r="O55" s="61" t="n">
        <f aca="false">O54*Assumptions!$D$66</f>
        <v>2.5547604789258</v>
      </c>
      <c r="P55" s="61" t="n">
        <f aca="false">P54*Assumptions!$D$66</f>
        <v>2.69243977915281</v>
      </c>
      <c r="Q55" s="61" t="n">
        <f aca="false">Q54*Assumptions!$D$66</f>
        <v>2.84253028495956</v>
      </c>
      <c r="R55" s="61" t="n">
        <f aca="false">R54*Assumptions!$D$66</f>
        <v>3.00416343907867</v>
      </c>
      <c r="S55" s="61" t="n">
        <f aca="false">S54*Assumptions!$D$66</f>
        <v>3.17680750701162</v>
      </c>
      <c r="T55" s="61" t="n">
        <f aca="false">T54*Assumptions!$D$66</f>
        <v>3.3602112493265</v>
      </c>
      <c r="U55" s="61" t="n">
        <f aca="false">U54*Assumptions!$D$66</f>
        <v>3.55435655827798</v>
      </c>
      <c r="V55" s="61" t="n">
        <f aca="false">V54*Assumptions!$D$66</f>
        <v>3.75942022330514</v>
      </c>
      <c r="W55" s="61" t="n">
        <f aca="false">W54*Assumptions!$D$66</f>
        <v>3.9757439398904</v>
      </c>
      <c r="X55" s="61" t="n">
        <f aca="false">X54*Assumptions!$D$66</f>
        <v>4.2038113839411</v>
      </c>
      <c r="Y55" s="61" t="n">
        <f aca="false">Y54*Assumptions!$D$66</f>
        <v>4.44423117035663</v>
      </c>
      <c r="Z55" s="61" t="n">
        <f aca="false">Z54*Assumptions!$D$66</f>
        <v>4.69772462891717</v>
      </c>
      <c r="AA55" s="61" t="n">
        <f aca="false">AA54*Assumptions!$D$66</f>
        <v>4.96511748542753</v>
      </c>
      <c r="AB55" s="61" t="n">
        <f aca="false">AB54*Assumptions!$D$66</f>
        <v>5.24733469448023</v>
      </c>
      <c r="AC55" s="61" t="n">
        <f aca="false">AC54*Assumptions!$D$66</f>
        <v>5.54539781576685</v>
      </c>
      <c r="AD55" s="61" t="n">
        <f aca="false">AD54*Assumptions!$D$66</f>
        <v>5.8604244522948</v>
      </c>
      <c r="AE55" s="61" t="n">
        <f aca="false">AE54*Assumptions!$D$66</f>
        <v>6.1936293750213</v>
      </c>
      <c r="AF55" s="61" t="n">
        <f aca="false">AF54*Assumptions!$D$66</f>
        <v>6.54632704559515</v>
      </c>
      <c r="AG55" s="61" t="n">
        <f aca="false">AG54*Assumptions!$D$66</f>
        <v>6.91993531942107</v>
      </c>
      <c r="AH55" s="61" t="n">
        <f aca="false">AH54*Assumptions!$D$66</f>
        <v>7.31598016772069</v>
      </c>
      <c r="AI55" s="61" t="n">
        <f aca="false">AI54*Assumptions!$D$66</f>
        <v>7.73610130215642</v>
      </c>
      <c r="AJ55" s="61" t="n">
        <f aca="false">AJ54*Assumptions!$D$66</f>
        <v>8.18205862113961</v>
      </c>
      <c r="AK55" s="61" t="n">
        <f aca="false">AK54*Assumptions!$D$66</f>
        <v>8.65573942507632</v>
      </c>
      <c r="AL55" s="61" t="n">
        <f aca="false">AL54*Assumptions!$D$66</f>
        <v>9.15916637010367</v>
      </c>
      <c r="AM55" s="61" t="n">
        <f aca="false">SUM(C55:AL55)</f>
        <v>133.73568566622</v>
      </c>
    </row>
    <row r="56" customFormat="false" ht="15" hidden="false" customHeight="false" outlineLevel="0" collapsed="false">
      <c r="A56" s="10" t="s">
        <v>791</v>
      </c>
      <c r="B56" s="9" t="s">
        <v>51</v>
      </c>
      <c r="C56" s="61" t="n">
        <f aca="false">C55*Assumptions!$D$67</f>
        <v>0</v>
      </c>
      <c r="D56" s="61" t="n">
        <f aca="false">D55*Assumptions!$D$67</f>
        <v>0</v>
      </c>
      <c r="E56" s="61" t="n">
        <f aca="false">E55*Assumptions!$D$67</f>
        <v>0</v>
      </c>
      <c r="F56" s="61" t="n">
        <f aca="false">F55*Assumptions!$D$67</f>
        <v>0</v>
      </c>
      <c r="G56" s="61" t="n">
        <f aca="false">G55*Assumptions!$D$67</f>
        <v>0</v>
      </c>
      <c r="H56" s="61" t="n">
        <f aca="false">H55*Assumptions!$D$67</f>
        <v>0</v>
      </c>
      <c r="I56" s="61" t="n">
        <f aca="false">I55*Assumptions!$D$67</f>
        <v>0</v>
      </c>
      <c r="J56" s="61" t="n">
        <f aca="false">J55*Assumptions!$D$67</f>
        <v>0</v>
      </c>
      <c r="K56" s="61" t="n">
        <f aca="false">K55*Assumptions!$D$67</f>
        <v>1.25195893536548</v>
      </c>
      <c r="L56" s="61" t="n">
        <f aca="false">L55*Assumptions!$D$67</f>
        <v>1.29387959949501</v>
      </c>
      <c r="M56" s="61" t="n">
        <f aca="false">M55*Assumptions!$D$67</f>
        <v>1.34683970160519</v>
      </c>
      <c r="N56" s="61" t="n">
        <f aca="false">N55*Assumptions!$D$67</f>
        <v>1.40984007388056</v>
      </c>
      <c r="O56" s="61" t="n">
        <f aca="false">O55*Assumptions!$D$67</f>
        <v>1.48176107777696</v>
      </c>
      <c r="P56" s="61" t="n">
        <f aca="false">P55*Assumptions!$D$67</f>
        <v>1.56161507190863</v>
      </c>
      <c r="Q56" s="61" t="n">
        <f aca="false">Q55*Assumptions!$D$67</f>
        <v>1.64866756527654</v>
      </c>
      <c r="R56" s="61" t="n">
        <f aca="false">R55*Assumptions!$D$67</f>
        <v>1.74241479466563</v>
      </c>
      <c r="S56" s="61" t="n">
        <f aca="false">S55*Assumptions!$D$67</f>
        <v>1.84254835406674</v>
      </c>
      <c r="T56" s="61" t="n">
        <f aca="false">T55*Assumptions!$D$67</f>
        <v>1.94892252460937</v>
      </c>
      <c r="U56" s="61" t="n">
        <f aca="false">U55*Assumptions!$D$67</f>
        <v>2.06152680380123</v>
      </c>
      <c r="V56" s="61" t="n">
        <f aca="false">V55*Assumptions!$D$67</f>
        <v>2.18046372951698</v>
      </c>
      <c r="W56" s="61" t="n">
        <f aca="false">W55*Assumptions!$D$67</f>
        <v>2.30593148513643</v>
      </c>
      <c r="X56" s="61" t="n">
        <f aca="false">X55*Assumptions!$D$67</f>
        <v>2.43821060268584</v>
      </c>
      <c r="Y56" s="61" t="n">
        <f aca="false">Y55*Assumptions!$D$67</f>
        <v>2.57765407880684</v>
      </c>
      <c r="Z56" s="61" t="n">
        <f aca="false">Z55*Assumptions!$D$67</f>
        <v>2.72468028477196</v>
      </c>
      <c r="AA56" s="61" t="n">
        <f aca="false">AA55*Assumptions!$D$67</f>
        <v>2.87976814154797</v>
      </c>
      <c r="AB56" s="61" t="n">
        <f aca="false">AB55*Assumptions!$D$67</f>
        <v>3.04345412279854</v>
      </c>
      <c r="AC56" s="61" t="n">
        <f aca="false">AC55*Assumptions!$D$67</f>
        <v>3.21633073314477</v>
      </c>
      <c r="AD56" s="61" t="n">
        <f aca="false">AD55*Assumptions!$D$67</f>
        <v>3.39904618233099</v>
      </c>
      <c r="AE56" s="61" t="n">
        <f aca="false">AE55*Assumptions!$D$67</f>
        <v>3.59230503751235</v>
      </c>
      <c r="AF56" s="61" t="n">
        <f aca="false">AF55*Assumptions!$D$67</f>
        <v>3.79686968644519</v>
      </c>
      <c r="AG56" s="61" t="n">
        <f aca="false">AG55*Assumptions!$D$67</f>
        <v>4.01356248526422</v>
      </c>
      <c r="AH56" s="61" t="n">
        <f aca="false">AH55*Assumptions!$D$67</f>
        <v>4.243268497278</v>
      </c>
      <c r="AI56" s="61" t="n">
        <f aca="false">AI55*Assumptions!$D$67</f>
        <v>4.48693875525072</v>
      </c>
      <c r="AJ56" s="61" t="n">
        <f aca="false">AJ55*Assumptions!$D$67</f>
        <v>4.74559400026097</v>
      </c>
      <c r="AK56" s="61" t="n">
        <f aca="false">AK55*Assumptions!$D$67</f>
        <v>5.02032886654426</v>
      </c>
      <c r="AL56" s="61" t="n">
        <f aca="false">AL55*Assumptions!$D$67</f>
        <v>5.31231649466013</v>
      </c>
      <c r="AM56" s="61" t="n">
        <f aca="false">SUM(C56:AL56)</f>
        <v>77.5666976864075</v>
      </c>
    </row>
    <row r="57" customFormat="false" ht="15" hidden="false" customHeight="false" outlineLevel="0" collapsed="false">
      <c r="A57" s="37" t="s">
        <v>792</v>
      </c>
      <c r="B57" s="9" t="s">
        <v>51</v>
      </c>
      <c r="C57" s="71" t="n">
        <f aca="false">C56</f>
        <v>0</v>
      </c>
      <c r="D57" s="71" t="n">
        <f aca="false">C57*(1-Assumptions!$D$68)+D56</f>
        <v>0</v>
      </c>
      <c r="E57" s="71" t="n">
        <f aca="false">D57*(1-Assumptions!$D$68)+E56</f>
        <v>0</v>
      </c>
      <c r="F57" s="71" t="n">
        <f aca="false">E57*(1-Assumptions!$D$68)+F56</f>
        <v>0</v>
      </c>
      <c r="G57" s="71" t="n">
        <f aca="false">F57*(1-Assumptions!$D$68)+G56</f>
        <v>0</v>
      </c>
      <c r="H57" s="71" t="n">
        <f aca="false">G57*(1-Assumptions!$D$68)+H56</f>
        <v>0</v>
      </c>
      <c r="I57" s="71" t="n">
        <f aca="false">H57*(1-Assumptions!$D$68)+I56</f>
        <v>0</v>
      </c>
      <c r="J57" s="71" t="n">
        <f aca="false">I57*(1-Assumptions!$D$68)+J56</f>
        <v>0</v>
      </c>
      <c r="K57" s="71" t="n">
        <f aca="false">J57*(1-Assumptions!$D$68)+K56</f>
        <v>1.25195893536548</v>
      </c>
      <c r="L57" s="71" t="n">
        <f aca="false">K57*(1-Assumptions!$D$68)+L56</f>
        <v>2.38308387326298</v>
      </c>
      <c r="M57" s="71" t="n">
        <f aca="false">L57*(1-Assumptions!$D$68)+M56</f>
        <v>3.42012267134398</v>
      </c>
      <c r="N57" s="71" t="n">
        <f aca="false">M57*(1-Assumptions!$D$68)+N56</f>
        <v>4.38534679794983</v>
      </c>
      <c r="O57" s="71" t="n">
        <f aca="false">N57*(1-Assumptions!$D$68)+O56</f>
        <v>5.29701279199331</v>
      </c>
      <c r="P57" s="71" t="n">
        <f aca="false">O57*(1-Assumptions!$D$68)+P56</f>
        <v>6.17001620094281</v>
      </c>
      <c r="Q57" s="71" t="n">
        <f aca="false">P57*(1-Assumptions!$D$68)+Q56</f>
        <v>7.01658166009679</v>
      </c>
      <c r="R57" s="71" t="n">
        <f aca="false">Q57*(1-Assumptions!$D$68)+R56</f>
        <v>7.84684083894984</v>
      </c>
      <c r="S57" s="71" t="n">
        <f aca="false">R57*(1-Assumptions!$D$68)+S56</f>
        <v>8.66929988395309</v>
      </c>
      <c r="T57" s="71" t="n">
        <f aca="false">S57*(1-Assumptions!$D$68)+T56</f>
        <v>9.49121342364856</v>
      </c>
      <c r="U57" s="71" t="n">
        <f aca="false">T57*(1-Assumptions!$D$68)+U56</f>
        <v>10.3188824823755</v>
      </c>
      <c r="V57" s="71" t="n">
        <f aca="false">U57*(1-Assumptions!$D$68)+V56</f>
        <v>11.1578914891836</v>
      </c>
      <c r="W57" s="71" t="n">
        <f aca="false">V57*(1-Assumptions!$D$68)+W56</f>
        <v>12.0132970807262</v>
      </c>
      <c r="X57" s="71" t="n">
        <f aca="false">W57*(1-Assumptions!$D$68)+X56</f>
        <v>12.8897790629176</v>
      </c>
      <c r="Y57" s="71" t="n">
        <f aca="false">X57*(1-Assumptions!$D$68)+Y56</f>
        <v>13.7917618635452</v>
      </c>
      <c r="Z57" s="71" t="n">
        <f aca="false">Y57*(1-Assumptions!$D$68)+Z56</f>
        <v>14.7235131060563</v>
      </c>
      <c r="AA57" s="71" t="n">
        <f aca="false">Z57*(1-Assumptions!$D$68)+AA56</f>
        <v>15.6892245438169</v>
      </c>
      <c r="AB57" s="71" t="n">
        <f aca="false">AA57*(1-Assumptions!$D$68)+AB56</f>
        <v>16.6930794759193</v>
      </c>
      <c r="AC57" s="71" t="n">
        <f aca="false">AB57*(1-Assumptions!$D$68)+AC56</f>
        <v>17.7393098771945</v>
      </c>
      <c r="AD57" s="71" t="n">
        <f aca="false">AC57*(1-Assumptions!$D$68)+AD56</f>
        <v>18.8322457754902</v>
      </c>
      <c r="AE57" s="71" t="n">
        <f aca="false">AD57*(1-Assumptions!$D$68)+AE56</f>
        <v>19.9763588621888</v>
      </c>
      <c r="AF57" s="71" t="n">
        <f aca="false">AE57*(1-Assumptions!$D$68)+AF56</f>
        <v>21.1763018965495</v>
      </c>
      <c r="AG57" s="71" t="n">
        <f aca="false">AF57*(1-Assumptions!$D$68)+AG56</f>
        <v>22.4369451352623</v>
      </c>
      <c r="AH57" s="71" t="n">
        <f aca="false">AG57*(1-Assumptions!$D$68)+AH56</f>
        <v>23.7634107649562</v>
      </c>
      <c r="AI57" s="71" t="n">
        <f aca="false">AH57*(1-Assumptions!$D$68)+AI56</f>
        <v>25.1611061207626</v>
      </c>
      <c r="AJ57" s="71" t="n">
        <f aca="false">AI57*(1-Assumptions!$D$68)+AJ56</f>
        <v>26.6357563253244</v>
      </c>
      <c r="AK57" s="71" t="n">
        <f aca="false">AJ57*(1-Assumptions!$D$68)+AK56</f>
        <v>28.1934368695765</v>
      </c>
      <c r="AL57" s="71" t="n">
        <f aca="false">AK57*(1-Assumptions!$D$68)+AL56</f>
        <v>29.8406065711917</v>
      </c>
      <c r="AM57" s="71" t="n">
        <f aca="false">AL57</f>
        <v>29.8406065711917</v>
      </c>
    </row>
    <row r="58" customFormat="false" ht="15" hidden="false" customHeight="false" outlineLevel="0" collapsed="false">
      <c r="A58" s="10" t="s">
        <v>793</v>
      </c>
      <c r="B58" s="9" t="s">
        <v>51</v>
      </c>
      <c r="C58" s="61" t="n">
        <f aca="false">0</f>
        <v>0</v>
      </c>
      <c r="D58" s="61" t="n">
        <f aca="false">C57*Assumptions!$D$68</f>
        <v>0</v>
      </c>
      <c r="E58" s="61" t="n">
        <f aca="false">D57*Assumptions!$D$68</f>
        <v>0</v>
      </c>
      <c r="F58" s="61" t="n">
        <f aca="false">E57*Assumptions!$D$68</f>
        <v>0</v>
      </c>
      <c r="G58" s="61" t="n">
        <f aca="false">F57*Assumptions!$D$68</f>
        <v>0</v>
      </c>
      <c r="H58" s="61" t="n">
        <f aca="false">G57*Assumptions!$D$68</f>
        <v>0</v>
      </c>
      <c r="I58" s="61" t="n">
        <f aca="false">H57*Assumptions!$D$68</f>
        <v>0</v>
      </c>
      <c r="J58" s="61" t="n">
        <f aca="false">I57*Assumptions!$D$68</f>
        <v>0</v>
      </c>
      <c r="K58" s="61" t="n">
        <f aca="false">J57*Assumptions!$D$68</f>
        <v>0</v>
      </c>
      <c r="L58" s="61" t="n">
        <f aca="false">K57*Assumptions!$D$68</f>
        <v>0.162754661597513</v>
      </c>
      <c r="M58" s="61" t="n">
        <f aca="false">L57*Assumptions!$D$68</f>
        <v>0.309800903524187</v>
      </c>
      <c r="N58" s="61" t="n">
        <f aca="false">M57*Assumptions!$D$68</f>
        <v>0.444615947274718</v>
      </c>
      <c r="O58" s="61" t="n">
        <f aca="false">N57*Assumptions!$D$68</f>
        <v>0.570095083733477</v>
      </c>
      <c r="P58" s="61" t="n">
        <f aca="false">O57*Assumptions!$D$68</f>
        <v>0.68861166295913</v>
      </c>
      <c r="Q58" s="61" t="n">
        <f aca="false">P57*Assumptions!$D$68</f>
        <v>0.802102106122566</v>
      </c>
      <c r="R58" s="61" t="n">
        <f aca="false">Q57*Assumptions!$D$68</f>
        <v>0.912155615812583</v>
      </c>
      <c r="S58" s="61" t="n">
        <f aca="false">R57*Assumptions!$D$68</f>
        <v>1.02008930906348</v>
      </c>
      <c r="T58" s="61" t="n">
        <f aca="false">S57*Assumptions!$D$68</f>
        <v>1.1270089849139</v>
      </c>
      <c r="U58" s="61" t="n">
        <f aca="false">T57*Assumptions!$D$68</f>
        <v>1.23385774507431</v>
      </c>
      <c r="V58" s="61" t="n">
        <f aca="false">U57*Assumptions!$D$68</f>
        <v>1.34145472270881</v>
      </c>
      <c r="W58" s="61" t="n">
        <f aca="false">V57*Assumptions!$D$68</f>
        <v>1.45052589359387</v>
      </c>
      <c r="X58" s="61" t="n">
        <f aca="false">W57*Assumptions!$D$68</f>
        <v>1.56172862049441</v>
      </c>
      <c r="Y58" s="61" t="n">
        <f aca="false">X57*Assumptions!$D$68</f>
        <v>1.67567127817929</v>
      </c>
      <c r="Z58" s="61" t="n">
        <f aca="false">Y57*Assumptions!$D$68</f>
        <v>1.79292904226087</v>
      </c>
      <c r="AA58" s="61" t="n">
        <f aca="false">Z57*Assumptions!$D$68</f>
        <v>1.91405670378732</v>
      </c>
      <c r="AB58" s="61" t="n">
        <f aca="false">AA57*Assumptions!$D$68</f>
        <v>2.0395991906962</v>
      </c>
      <c r="AC58" s="61" t="n">
        <f aca="false">AB57*Assumptions!$D$68</f>
        <v>2.1701003318695</v>
      </c>
      <c r="AD58" s="61" t="n">
        <f aca="false">AC57*Assumptions!$D$68</f>
        <v>2.30611028403529</v>
      </c>
      <c r="AE58" s="61" t="n">
        <f aca="false">AD57*Assumptions!$D$68</f>
        <v>2.44819195081373</v>
      </c>
      <c r="AF58" s="61" t="n">
        <f aca="false">AE57*Assumptions!$D$68</f>
        <v>2.59692665208455</v>
      </c>
      <c r="AG58" s="61" t="n">
        <f aca="false">AF57*Assumptions!$D$68</f>
        <v>2.75291924655143</v>
      </c>
      <c r="AH58" s="61" t="n">
        <f aca="false">AG57*Assumptions!$D$68</f>
        <v>2.91680286758409</v>
      </c>
      <c r="AI58" s="61" t="n">
        <f aca="false">AH57*Assumptions!$D$68</f>
        <v>3.0892433994443</v>
      </c>
      <c r="AJ58" s="61" t="n">
        <f aca="false">AI57*Assumptions!$D$68</f>
        <v>3.27094379569914</v>
      </c>
      <c r="AK58" s="61" t="n">
        <f aca="false">AJ57*Assumptions!$D$68</f>
        <v>3.46264832229218</v>
      </c>
      <c r="AL58" s="61" t="n">
        <f aca="false">AK57*Assumptions!$D$68</f>
        <v>3.66514679304495</v>
      </c>
      <c r="AM58" s="61" t="n">
        <f aca="false">SUM(C58:AL58)</f>
        <v>47.7260911152158</v>
      </c>
    </row>
    <row r="59" customFormat="false" ht="15" hidden="false" customHeight="false" outlineLevel="0" collapsed="false">
      <c r="A59" s="10" t="s">
        <v>794</v>
      </c>
      <c r="B59" s="9" t="s">
        <v>97</v>
      </c>
      <c r="C59" s="70" t="n">
        <f aca="false">C57*Assumptions!$D$70</f>
        <v>0</v>
      </c>
      <c r="D59" s="70" t="n">
        <f aca="false">D57*Assumptions!$D$70</f>
        <v>0</v>
      </c>
      <c r="E59" s="70" t="n">
        <f aca="false">E57*Assumptions!$D$70</f>
        <v>0</v>
      </c>
      <c r="F59" s="70" t="n">
        <f aca="false">F57*Assumptions!$D$70</f>
        <v>0</v>
      </c>
      <c r="G59" s="70" t="n">
        <f aca="false">G57*Assumptions!$D$70</f>
        <v>0</v>
      </c>
      <c r="H59" s="70" t="n">
        <f aca="false">H57*Assumptions!$D$70</f>
        <v>0</v>
      </c>
      <c r="I59" s="70" t="n">
        <f aca="false">I57*Assumptions!$D$70</f>
        <v>0</v>
      </c>
      <c r="J59" s="70" t="n">
        <f aca="false">J57*Assumptions!$D$70</f>
        <v>0</v>
      </c>
      <c r="K59" s="70" t="n">
        <f aca="false">K57*Assumptions!$D$70</f>
        <v>249.139828137731</v>
      </c>
      <c r="L59" s="70" t="n">
        <f aca="false">L57*Assumptions!$D$70</f>
        <v>474.233690779333</v>
      </c>
      <c r="M59" s="70" t="n">
        <f aca="false">M57*Assumptions!$D$70</f>
        <v>680.604411597452</v>
      </c>
      <c r="N59" s="70" t="n">
        <f aca="false">N57*Assumptions!$D$70</f>
        <v>872.684012792015</v>
      </c>
      <c r="O59" s="70" t="n">
        <f aca="false">O57*Assumptions!$D$70</f>
        <v>1054.10554560667</v>
      </c>
      <c r="P59" s="70" t="n">
        <f aca="false">P57*Assumptions!$D$70</f>
        <v>1227.83322398762</v>
      </c>
      <c r="Q59" s="70" t="n">
        <f aca="false">Q57*Assumptions!$D$70</f>
        <v>1396.29975035926</v>
      </c>
      <c r="R59" s="70" t="n">
        <f aca="false">R57*Assumptions!$D$70</f>
        <v>1561.52132695102</v>
      </c>
      <c r="S59" s="70" t="n">
        <f aca="false">S57*Assumptions!$D$70</f>
        <v>1725.19067690667</v>
      </c>
      <c r="T59" s="70" t="n">
        <f aca="false">T57*Assumptions!$D$70</f>
        <v>1888.75147130606</v>
      </c>
      <c r="U59" s="70" t="n">
        <f aca="false">U57*Assumptions!$D$70</f>
        <v>2053.45761399272</v>
      </c>
      <c r="V59" s="70" t="n">
        <f aca="false">V57*Assumptions!$D$70</f>
        <v>2220.42040634755</v>
      </c>
      <c r="W59" s="70" t="n">
        <f aca="false">W57*Assumptions!$D$70</f>
        <v>2390.64611906451</v>
      </c>
      <c r="X59" s="70" t="n">
        <f aca="false">X57*Assumptions!$D$70</f>
        <v>2565.06603352061</v>
      </c>
      <c r="Y59" s="70" t="n">
        <f aca="false">Y57*Assumptions!$D$70</f>
        <v>2744.56061084549</v>
      </c>
      <c r="Z59" s="70" t="n">
        <f aca="false">Z57*Assumptions!$D$70</f>
        <v>2929.9791081052</v>
      </c>
      <c r="AA59" s="70" t="n">
        <f aca="false">AA57*Assumptions!$D$70</f>
        <v>3122.15568421957</v>
      </c>
      <c r="AB59" s="70" t="n">
        <f aca="false">AB57*Assumptions!$D$70</f>
        <v>3321.92281570793</v>
      </c>
      <c r="AC59" s="70" t="n">
        <f aca="false">AC57*Assumptions!$D$70</f>
        <v>3530.12266556171</v>
      </c>
      <c r="AD59" s="70" t="n">
        <f aca="false">AD57*Assumptions!$D$70</f>
        <v>3747.61690932255</v>
      </c>
      <c r="AE59" s="70" t="n">
        <f aca="false">AE57*Assumptions!$D$70</f>
        <v>3975.29541357558</v>
      </c>
      <c r="AF59" s="70" t="n">
        <f aca="false">AF57*Assumptions!$D$70</f>
        <v>4214.08407741335</v>
      </c>
      <c r="AG59" s="70" t="n">
        <f aca="false">AG57*Assumptions!$D$70</f>
        <v>4464.95208191719</v>
      </c>
      <c r="AH59" s="70" t="n">
        <f aca="false">AH57*Assumptions!$D$70</f>
        <v>4728.91874222628</v>
      </c>
      <c r="AI59" s="70" t="n">
        <f aca="false">AI57*Assumptions!$D$70</f>
        <v>5007.06011803176</v>
      </c>
      <c r="AJ59" s="70" t="n">
        <f aca="false">AJ57*Assumptions!$D$70</f>
        <v>5300.51550873956</v>
      </c>
      <c r="AK59" s="70" t="n">
        <f aca="false">AK57*Assumptions!$D$70</f>
        <v>5610.49393704573</v>
      </c>
      <c r="AL59" s="70" t="n">
        <f aca="false">AL57*Assumptions!$D$70</f>
        <v>5938.28070766715</v>
      </c>
      <c r="AM59" s="70" t="n">
        <f aca="false">SUM(C59:AL59)</f>
        <v>78995.9124917283</v>
      </c>
    </row>
    <row r="60" customFormat="false" ht="15" hidden="false" customHeight="false" outlineLevel="0" collapsed="false">
      <c r="A60" s="10" t="s">
        <v>795</v>
      </c>
      <c r="B60" s="9" t="s">
        <v>97</v>
      </c>
      <c r="C60" s="70" t="n">
        <f aca="false">C53*Assumptions!$D$71</f>
        <v>0</v>
      </c>
      <c r="D60" s="70" t="n">
        <f aca="false">D53*Assumptions!$D$71</f>
        <v>0</v>
      </c>
      <c r="E60" s="70" t="n">
        <f aca="false">E53*Assumptions!$D$71</f>
        <v>0</v>
      </c>
      <c r="F60" s="70" t="n">
        <f aca="false">F53*Assumptions!$D$71</f>
        <v>0</v>
      </c>
      <c r="G60" s="70" t="n">
        <f aca="false">G53*Assumptions!$D$71</f>
        <v>0</v>
      </c>
      <c r="H60" s="70" t="n">
        <f aca="false">H53*Assumptions!$D$71</f>
        <v>0</v>
      </c>
      <c r="I60" s="70" t="n">
        <f aca="false">I53*Assumptions!$D$71</f>
        <v>0</v>
      </c>
      <c r="J60" s="70" t="n">
        <f aca="false">J53*Assumptions!$D$71</f>
        <v>0</v>
      </c>
      <c r="K60" s="70" t="n">
        <f aca="false">K53*Assumptions!$D$71</f>
        <v>253.035752486837</v>
      </c>
      <c r="L60" s="70" t="n">
        <f aca="false">L53*Assumptions!$D$71</f>
        <v>261.508416000889</v>
      </c>
      <c r="M60" s="70" t="n">
        <f aca="false">M53*Assumptions!$D$71</f>
        <v>272.212280888691</v>
      </c>
      <c r="N60" s="70" t="n">
        <f aca="false">N53*Assumptions!$D$71</f>
        <v>284.945403481882</v>
      </c>
      <c r="O60" s="70" t="n">
        <f aca="false">O53*Assumptions!$D$71</f>
        <v>299.481491548718</v>
      </c>
      <c r="P60" s="70" t="n">
        <f aca="false">P53*Assumptions!$D$71</f>
        <v>315.620931049014</v>
      </c>
      <c r="Q60" s="70" t="n">
        <f aca="false">Q53*Assumptions!$D$71</f>
        <v>333.2152726388</v>
      </c>
      <c r="R60" s="70" t="n">
        <f aca="false">R53*Assumptions!$D$71</f>
        <v>352.162699796304</v>
      </c>
      <c r="S60" s="70" t="n">
        <f aca="false">S53*Assumptions!$D$71</f>
        <v>372.400880008539</v>
      </c>
      <c r="T60" s="70" t="n">
        <f aca="false">T53*Assumptions!$D$71</f>
        <v>393.900361763154</v>
      </c>
      <c r="U60" s="70" t="n">
        <f aca="false">U53*Assumptions!$D$71</f>
        <v>416.659022381868</v>
      </c>
      <c r="V60" s="70" t="n">
        <f aca="false">V53*Assumptions!$D$71</f>
        <v>440.69758598553</v>
      </c>
      <c r="W60" s="70" t="n">
        <f aca="false">W53*Assumptions!$D$71</f>
        <v>466.056107786195</v>
      </c>
      <c r="X60" s="70" t="n">
        <f aca="false">X53*Assumptions!$D$71</f>
        <v>492.791286634244</v>
      </c>
      <c r="Y60" s="70" t="n">
        <f aca="false">Y53*Assumptions!$D$71</f>
        <v>520.974467338456</v>
      </c>
      <c r="Z60" s="70" t="n">
        <f aca="false">Z53*Assumptions!$D$71</f>
        <v>550.690207696032</v>
      </c>
      <c r="AA60" s="70" t="n">
        <f aca="false">AA53*Assumptions!$D$71</f>
        <v>582.035303315667</v>
      </c>
      <c r="AB60" s="70" t="n">
        <f aca="false">AB53*Assumptions!$D$71</f>
        <v>615.118181888831</v>
      </c>
      <c r="AC60" s="70" t="n">
        <f aca="false">AC53*Assumptions!$D$71</f>
        <v>650.058595628171</v>
      </c>
      <c r="AD60" s="70" t="n">
        <f aca="false">AD53*Assumptions!$D$71</f>
        <v>686.987555412549</v>
      </c>
      <c r="AE60" s="70" t="n">
        <f aca="false">AE53*Assumptions!$D$71</f>
        <v>726.047462622114</v>
      </c>
      <c r="AF60" s="70" t="n">
        <f aca="false">AF53*Assumptions!$D$71</f>
        <v>767.392404866417</v>
      </c>
      <c r="AG60" s="70" t="n">
        <f aca="false">AG53*Assumptions!$D$71</f>
        <v>811.188590075675</v>
      </c>
      <c r="AH60" s="70" t="n">
        <f aca="false">AH53*Assumptions!$D$71</f>
        <v>857.614900043813</v>
      </c>
      <c r="AI60" s="70" t="n">
        <f aca="false">AI53*Assumptions!$D$71</f>
        <v>906.863549774317</v>
      </c>
      <c r="AJ60" s="70" t="n">
        <f aca="false">AJ53*Assumptions!$D$71</f>
        <v>959.140843147944</v>
      </c>
      <c r="AK60" s="70" t="n">
        <f aca="false">AK53*Assumptions!$D$71</f>
        <v>1014.66801872904</v>
      </c>
      <c r="AL60" s="70" t="n">
        <f aca="false">AL53*Assumptions!$D$71</f>
        <v>1073.68218214134</v>
      </c>
      <c r="AM60" s="70" t="n">
        <f aca="false">SUM(C60:AL60)</f>
        <v>15677.149755131</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0</v>
      </c>
      <c r="J61" s="70" t="n">
        <f aca="false">J59+J60</f>
        <v>0</v>
      </c>
      <c r="K61" s="70" t="n">
        <f aca="false">K59+K60</f>
        <v>502.175580624568</v>
      </c>
      <c r="L61" s="70" t="n">
        <f aca="false">L59+L60</f>
        <v>735.742106780222</v>
      </c>
      <c r="M61" s="70" t="n">
        <f aca="false">M59+M60</f>
        <v>952.816692486144</v>
      </c>
      <c r="N61" s="70" t="n">
        <f aca="false">N59+N60</f>
        <v>1157.6294162739</v>
      </c>
      <c r="O61" s="70" t="n">
        <f aca="false">O59+O60</f>
        <v>1353.58703715539</v>
      </c>
      <c r="P61" s="70" t="n">
        <f aca="false">P59+P60</f>
        <v>1543.45415503663</v>
      </c>
      <c r="Q61" s="70" t="n">
        <f aca="false">Q59+Q60</f>
        <v>1729.51502299806</v>
      </c>
      <c r="R61" s="70" t="n">
        <f aca="false">R59+R60</f>
        <v>1913.68402674732</v>
      </c>
      <c r="S61" s="70" t="n">
        <f aca="false">S59+S60</f>
        <v>2097.59155691521</v>
      </c>
      <c r="T61" s="70" t="n">
        <f aca="false">T59+T60</f>
        <v>2282.65183306922</v>
      </c>
      <c r="U61" s="70" t="n">
        <f aca="false">U59+U60</f>
        <v>2470.11663637459</v>
      </c>
      <c r="V61" s="70" t="n">
        <f aca="false">V59+V60</f>
        <v>2661.11799233308</v>
      </c>
      <c r="W61" s="70" t="n">
        <f aca="false">W59+W60</f>
        <v>2856.70222685071</v>
      </c>
      <c r="X61" s="70" t="n">
        <f aca="false">X59+X60</f>
        <v>3057.85732015485</v>
      </c>
      <c r="Y61" s="70" t="n">
        <f aca="false">Y59+Y60</f>
        <v>3265.53507818395</v>
      </c>
      <c r="Z61" s="70" t="n">
        <f aca="false">Z59+Z60</f>
        <v>3480.66931580123</v>
      </c>
      <c r="AA61" s="70" t="n">
        <f aca="false">AA59+AA60</f>
        <v>3704.19098753523</v>
      </c>
      <c r="AB61" s="70" t="n">
        <f aca="false">AB59+AB60</f>
        <v>3937.04099759676</v>
      </c>
      <c r="AC61" s="70" t="n">
        <f aca="false">AC59+AC60</f>
        <v>4180.18126118988</v>
      </c>
      <c r="AD61" s="70" t="n">
        <f aca="false">AD59+AD60</f>
        <v>4434.6044647351</v>
      </c>
      <c r="AE61" s="70" t="n">
        <f aca="false">AE59+AE60</f>
        <v>4701.34287619769</v>
      </c>
      <c r="AF61" s="70" t="n">
        <f aca="false">AF59+AF60</f>
        <v>4981.47648227976</v>
      </c>
      <c r="AG61" s="70" t="n">
        <f aca="false">AG59+AG60</f>
        <v>5276.14067199287</v>
      </c>
      <c r="AH61" s="70" t="n">
        <f aca="false">AH59+AH60</f>
        <v>5586.53364227009</v>
      </c>
      <c r="AI61" s="70" t="n">
        <f aca="false">AI59+AI60</f>
        <v>5913.92366780607</v>
      </c>
      <c r="AJ61" s="70" t="n">
        <f aca="false">AJ59+AJ60</f>
        <v>6259.6563518875</v>
      </c>
      <c r="AK61" s="70" t="n">
        <f aca="false">AK59+AK60</f>
        <v>6625.16195577477</v>
      </c>
      <c r="AL61" s="70" t="n">
        <f aca="false">AL59+AL60</f>
        <v>7011.96288980849</v>
      </c>
      <c r="AM61" s="70" t="n">
        <f aca="false">SUM(C61:AL61)</f>
        <v>94673.0622468593</v>
      </c>
    </row>
    <row r="62" customFormat="false" ht="15" hidden="false" customHeight="false" outlineLevel="0" collapsed="false">
      <c r="A62" s="10" t="s">
        <v>797</v>
      </c>
      <c r="B62" s="9" t="s">
        <v>97</v>
      </c>
      <c r="C62" s="70" t="n">
        <f aca="false">-C61*Assumptions!$D$80</f>
        <v>-0</v>
      </c>
      <c r="D62" s="70" t="n">
        <f aca="false">-D61*Assumptions!$D$80</f>
        <v>-0</v>
      </c>
      <c r="E62" s="70" t="n">
        <f aca="false">-E61*Assumptions!$D$80</f>
        <v>-0</v>
      </c>
      <c r="F62" s="70" t="n">
        <f aca="false">-F61*Assumptions!$D$80</f>
        <v>-0</v>
      </c>
      <c r="G62" s="70" t="n">
        <f aca="false">-G61*Assumptions!$D$80</f>
        <v>-0</v>
      </c>
      <c r="H62" s="70" t="n">
        <f aca="false">-H61*Assumptions!$D$80</f>
        <v>-0</v>
      </c>
      <c r="I62" s="70" t="n">
        <f aca="false">-I61*Assumptions!$D$80</f>
        <v>-0</v>
      </c>
      <c r="J62" s="70" t="n">
        <f aca="false">-J61*Assumptions!$D$80</f>
        <v>-0</v>
      </c>
      <c r="K62" s="70" t="n">
        <f aca="false">-K61*Assumptions!$D$80</f>
        <v>-20.0870232249827</v>
      </c>
      <c r="L62" s="70" t="n">
        <f aca="false">-L61*Assumptions!$D$80</f>
        <v>-29.4296842712089</v>
      </c>
      <c r="M62" s="70" t="n">
        <f aca="false">-M61*Assumptions!$D$80</f>
        <v>-38.1126676994457</v>
      </c>
      <c r="N62" s="70" t="n">
        <f aca="false">-N61*Assumptions!$D$80</f>
        <v>-46.3051766509559</v>
      </c>
      <c r="O62" s="70" t="n">
        <f aca="false">-O61*Assumptions!$D$80</f>
        <v>-54.1434814862155</v>
      </c>
      <c r="P62" s="70" t="n">
        <f aca="false">-P61*Assumptions!$D$80</f>
        <v>-61.7381662014653</v>
      </c>
      <c r="Q62" s="70" t="n">
        <f aca="false">-Q61*Assumptions!$D$80</f>
        <v>-69.1806009199224</v>
      </c>
      <c r="R62" s="70" t="n">
        <f aca="false">-R61*Assumptions!$D$80</f>
        <v>-76.5473610698928</v>
      </c>
      <c r="S62" s="70" t="n">
        <f aca="false">-S61*Assumptions!$D$80</f>
        <v>-83.9036622766082</v>
      </c>
      <c r="T62" s="70" t="n">
        <f aca="false">-T61*Assumptions!$D$80</f>
        <v>-91.3060733227687</v>
      </c>
      <c r="U62" s="70" t="n">
        <f aca="false">-U61*Assumptions!$D$80</f>
        <v>-98.8046654549835</v>
      </c>
      <c r="V62" s="70" t="n">
        <f aca="false">-V61*Assumptions!$D$80</f>
        <v>-106.444719693323</v>
      </c>
      <c r="W62" s="70" t="n">
        <f aca="false">-W61*Assumptions!$D$80</f>
        <v>-114.268089074028</v>
      </c>
      <c r="X62" s="70" t="n">
        <f aca="false">-X61*Assumptions!$D$80</f>
        <v>-122.314292806194</v>
      </c>
      <c r="Y62" s="70" t="n">
        <f aca="false">-Y61*Assumptions!$D$80</f>
        <v>-130.621403127358</v>
      </c>
      <c r="Z62" s="70" t="n">
        <f aca="false">-Z61*Assumptions!$D$80</f>
        <v>-139.226772632049</v>
      </c>
      <c r="AA62" s="70" t="n">
        <f aca="false">-AA61*Assumptions!$D$80</f>
        <v>-148.167639501409</v>
      </c>
      <c r="AB62" s="70" t="n">
        <f aca="false">-AB61*Assumptions!$D$80</f>
        <v>-157.481639903871</v>
      </c>
      <c r="AC62" s="70" t="n">
        <f aca="false">-AC61*Assumptions!$D$80</f>
        <v>-167.207250447595</v>
      </c>
      <c r="AD62" s="70" t="n">
        <f aca="false">-AD61*Assumptions!$D$80</f>
        <v>-177.384178589404</v>
      </c>
      <c r="AE62" s="70" t="n">
        <f aca="false">-AE61*Assumptions!$D$80</f>
        <v>-188.053715047908</v>
      </c>
      <c r="AF62" s="70" t="n">
        <f aca="false">-AF61*Assumptions!$D$80</f>
        <v>-199.259059291191</v>
      </c>
      <c r="AG62" s="70" t="n">
        <f aca="false">-AG61*Assumptions!$D$80</f>
        <v>-211.045626879715</v>
      </c>
      <c r="AH62" s="70" t="n">
        <f aca="false">-AH61*Assumptions!$D$80</f>
        <v>-223.461345690804</v>
      </c>
      <c r="AI62" s="70" t="n">
        <f aca="false">-AI61*Assumptions!$D$80</f>
        <v>-236.556946712243</v>
      </c>
      <c r="AJ62" s="70" t="n">
        <f aca="false">-AJ61*Assumptions!$D$80</f>
        <v>-250.3862540755</v>
      </c>
      <c r="AK62" s="70" t="n">
        <f aca="false">-AK61*Assumptions!$D$80</f>
        <v>-265.006478230991</v>
      </c>
      <c r="AL62" s="70" t="n">
        <f aca="false">-AL61*Assumptions!$D$80</f>
        <v>-280.47851559234</v>
      </c>
      <c r="AM62" s="70" t="n">
        <f aca="false">SUM(C62:AL62)</f>
        <v>-3786.92248987437</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0</v>
      </c>
      <c r="J63" s="53" t="n">
        <f aca="false">J61+J62</f>
        <v>0</v>
      </c>
      <c r="K63" s="53" t="n">
        <f aca="false">K61+K62</f>
        <v>482.088557399585</v>
      </c>
      <c r="L63" s="53" t="n">
        <f aca="false">L61+L62</f>
        <v>706.312422509013</v>
      </c>
      <c r="M63" s="53" t="n">
        <f aca="false">M61+M62</f>
        <v>914.704024786698</v>
      </c>
      <c r="N63" s="53" t="n">
        <f aca="false">N61+N62</f>
        <v>1111.32423962294</v>
      </c>
      <c r="O63" s="53" t="n">
        <f aca="false">O61+O62</f>
        <v>1299.44355566917</v>
      </c>
      <c r="P63" s="53" t="n">
        <f aca="false">P61+P62</f>
        <v>1481.71598883517</v>
      </c>
      <c r="Q63" s="53" t="n">
        <f aca="false">Q61+Q62</f>
        <v>1660.33442207814</v>
      </c>
      <c r="R63" s="53" t="n">
        <f aca="false">R61+R62</f>
        <v>1837.13666567743</v>
      </c>
      <c r="S63" s="53" t="n">
        <f aca="false">S61+S62</f>
        <v>2013.6878946386</v>
      </c>
      <c r="T63" s="53" t="n">
        <f aca="false">T61+T62</f>
        <v>2191.34575974645</v>
      </c>
      <c r="U63" s="53" t="n">
        <f aca="false">U61+U62</f>
        <v>2371.3119709196</v>
      </c>
      <c r="V63" s="53" t="n">
        <f aca="false">V61+V62</f>
        <v>2554.67327263975</v>
      </c>
      <c r="W63" s="53" t="n">
        <f aca="false">W61+W62</f>
        <v>2742.43413777668</v>
      </c>
      <c r="X63" s="53" t="n">
        <f aca="false">X61+X62</f>
        <v>2935.54302734866</v>
      </c>
      <c r="Y63" s="53" t="n">
        <f aca="false">Y61+Y62</f>
        <v>3134.91367505659</v>
      </c>
      <c r="Z63" s="53" t="n">
        <f aca="false">Z61+Z62</f>
        <v>3341.44254316918</v>
      </c>
      <c r="AA63" s="53" t="n">
        <f aca="false">AA61+AA62</f>
        <v>3556.02334803382</v>
      </c>
      <c r="AB63" s="53" t="n">
        <f aca="false">AB61+AB62</f>
        <v>3779.55935769289</v>
      </c>
      <c r="AC63" s="53" t="n">
        <f aca="false">AC61+AC62</f>
        <v>4012.97401074229</v>
      </c>
      <c r="AD63" s="53" t="n">
        <f aca="false">AD61+AD62</f>
        <v>4257.2202861457</v>
      </c>
      <c r="AE63" s="53" t="n">
        <f aca="false">AE61+AE62</f>
        <v>4513.28916114979</v>
      </c>
      <c r="AF63" s="53" t="n">
        <f aca="false">AF61+AF62</f>
        <v>4782.21742298857</v>
      </c>
      <c r="AG63" s="53" t="n">
        <f aca="false">AG61+AG62</f>
        <v>5065.09504511315</v>
      </c>
      <c r="AH63" s="53" t="n">
        <f aca="false">AH61+AH62</f>
        <v>5363.07229657929</v>
      </c>
      <c r="AI63" s="53" t="n">
        <f aca="false">AI61+AI62</f>
        <v>5677.36672109383</v>
      </c>
      <c r="AJ63" s="53" t="n">
        <f aca="false">AJ61+AJ62</f>
        <v>6009.270097812</v>
      </c>
      <c r="AK63" s="53" t="n">
        <f aca="false">AK61+AK62</f>
        <v>6360.15547754378</v>
      </c>
      <c r="AL63" s="53" t="n">
        <f aca="false">AL61+AL62</f>
        <v>6731.48437421615</v>
      </c>
      <c r="AM63" s="53" t="n">
        <f aca="false">SUM(C63:AL63)</f>
        <v>90886.1397569849</v>
      </c>
    </row>
    <row r="64" customFormat="false" ht="15" hidden="false" customHeight="false" outlineLevel="0" collapsed="false">
      <c r="A64" s="10" t="s">
        <v>799</v>
      </c>
      <c r="B64" s="9" t="s">
        <v>97</v>
      </c>
      <c r="C64" s="70" t="n">
        <f aca="false">-C57*Assumptions!$D$73</f>
        <v>-0</v>
      </c>
      <c r="D64" s="70" t="n">
        <f aca="false">-D57*Assumptions!$D$73</f>
        <v>-0</v>
      </c>
      <c r="E64" s="70" t="n">
        <f aca="false">-E57*Assumptions!$D$73</f>
        <v>-0</v>
      </c>
      <c r="F64" s="70" t="n">
        <f aca="false">-F57*Assumptions!$D$73</f>
        <v>-0</v>
      </c>
      <c r="G64" s="70" t="n">
        <f aca="false">-G57*Assumptions!$D$73</f>
        <v>-0</v>
      </c>
      <c r="H64" s="70" t="n">
        <f aca="false">-H57*Assumptions!$D$73</f>
        <v>-0</v>
      </c>
      <c r="I64" s="70" t="n">
        <f aca="false">-I57*Assumptions!$D$73</f>
        <v>-0</v>
      </c>
      <c r="J64" s="70" t="n">
        <f aca="false">-J57*Assumptions!$D$73</f>
        <v>-0</v>
      </c>
      <c r="K64" s="70" t="n">
        <f aca="false">-K57*Assumptions!$D$73</f>
        <v>-131.455688213376</v>
      </c>
      <c r="L64" s="70" t="n">
        <f aca="false">-L57*Assumptions!$D$73</f>
        <v>-250.223806692613</v>
      </c>
      <c r="M64" s="70" t="n">
        <f aca="false">-M57*Assumptions!$D$73</f>
        <v>-359.112880491118</v>
      </c>
      <c r="N64" s="70" t="n">
        <f aca="false">-N57*Assumptions!$D$73</f>
        <v>-460.461413784732</v>
      </c>
      <c r="O64" s="70" t="n">
        <f aca="false">-O57*Assumptions!$D$73</f>
        <v>-556.186343159298</v>
      </c>
      <c r="P64" s="70" t="n">
        <f aca="false">-P57*Assumptions!$D$73</f>
        <v>-647.851701098995</v>
      </c>
      <c r="Q64" s="70" t="n">
        <f aca="false">-Q57*Assumptions!$D$73</f>
        <v>-736.741074310163</v>
      </c>
      <c r="R64" s="70" t="n">
        <f aca="false">-R57*Assumptions!$D$73</f>
        <v>-823.918288089733</v>
      </c>
      <c r="S64" s="70" t="n">
        <f aca="false">-S57*Assumptions!$D$73</f>
        <v>-910.276487815075</v>
      </c>
      <c r="T64" s="70" t="n">
        <f aca="false">-T57*Assumptions!$D$73</f>
        <v>-996.577409483099</v>
      </c>
      <c r="U64" s="70" t="n">
        <f aca="false">-U57*Assumptions!$D$73</f>
        <v>-1083.48266064942</v>
      </c>
      <c r="V64" s="70" t="n">
        <f aca="false">-V57*Assumptions!$D$73</f>
        <v>-1171.57860636428</v>
      </c>
      <c r="W64" s="70" t="n">
        <f aca="false">-W57*Assumptions!$D$73</f>
        <v>-1261.39619347625</v>
      </c>
      <c r="X64" s="70" t="n">
        <f aca="false">-X57*Assumptions!$D$73</f>
        <v>-1353.42680160635</v>
      </c>
      <c r="Y64" s="70" t="n">
        <f aca="false">-Y57*Assumptions!$D$73</f>
        <v>-1448.13499567224</v>
      </c>
      <c r="Z64" s="70" t="n">
        <f aca="false">-Z57*Assumptions!$D$73</f>
        <v>-1545.96887613591</v>
      </c>
      <c r="AA64" s="70" t="n">
        <f aca="false">-AA57*Assumptions!$D$73</f>
        <v>-1647.36857710078</v>
      </c>
      <c r="AB64" s="70" t="n">
        <f aca="false">-AB57*Assumptions!$D$73</f>
        <v>-1752.77334497152</v>
      </c>
      <c r="AC64" s="70" t="n">
        <f aca="false">-AC57*Assumptions!$D$73</f>
        <v>-1862.62753710542</v>
      </c>
      <c r="AD64" s="70" t="n">
        <f aca="false">-AD57*Assumptions!$D$73</f>
        <v>-1977.38580642647</v>
      </c>
      <c r="AE64" s="70" t="n">
        <f aca="false">-AE57*Assumptions!$D$73</f>
        <v>-2097.51768052983</v>
      </c>
      <c r="AF64" s="70" t="n">
        <f aca="false">-AF57*Assumptions!$D$73</f>
        <v>-2223.5116991377</v>
      </c>
      <c r="AG64" s="70" t="n">
        <f aca="false">-AG57*Assumptions!$D$73</f>
        <v>-2355.87923920254</v>
      </c>
      <c r="AH64" s="70" t="n">
        <f aca="false">-AH57*Assumptions!$D$73</f>
        <v>-2495.1581303204</v>
      </c>
      <c r="AI64" s="70" t="n">
        <f aca="false">-AI57*Assumptions!$D$73</f>
        <v>-2641.91614268007</v>
      </c>
      <c r="AJ64" s="70" t="n">
        <f aca="false">-AJ57*Assumptions!$D$73</f>
        <v>-2796.75441415906</v>
      </c>
      <c r="AK64" s="70" t="n">
        <f aca="false">-AK57*Assumptions!$D$73</f>
        <v>-2960.31087130553</v>
      </c>
      <c r="AL64" s="70" t="n">
        <f aca="false">-AL57*Assumptions!$D$73</f>
        <v>-3133.26368997513</v>
      </c>
      <c r="AM64" s="70" t="n">
        <f aca="false">SUM(C64:AL64)</f>
        <v>-41681.2603599571</v>
      </c>
    </row>
    <row r="65" customFormat="false" ht="15" hidden="false" customHeight="false" outlineLevel="0" collapsed="false">
      <c r="A65" s="10" t="s">
        <v>800</v>
      </c>
      <c r="B65" s="9" t="s">
        <v>97</v>
      </c>
      <c r="C65" s="70" t="n">
        <f aca="false">-C54*Assumptions!$D$74</f>
        <v>-0</v>
      </c>
      <c r="D65" s="70" t="n">
        <f aca="false">-D54*Assumptions!$D$74</f>
        <v>-0</v>
      </c>
      <c r="E65" s="70" t="n">
        <f aca="false">-E54*Assumptions!$D$74</f>
        <v>-0</v>
      </c>
      <c r="F65" s="70" t="n">
        <f aca="false">-F54*Assumptions!$D$74</f>
        <v>-0</v>
      </c>
      <c r="G65" s="70" t="n">
        <f aca="false">-G54*Assumptions!$D$74</f>
        <v>-0</v>
      </c>
      <c r="H65" s="70" t="n">
        <f aca="false">-H54*Assumptions!$D$74</f>
        <v>-0</v>
      </c>
      <c r="I65" s="70" t="n">
        <f aca="false">-I54*Assumptions!$D$74</f>
        <v>-0</v>
      </c>
      <c r="J65" s="70" t="n">
        <f aca="false">-J54*Assumptions!$D$74</f>
        <v>-0</v>
      </c>
      <c r="K65" s="70" t="n">
        <f aca="false">-K54*Assumptions!$D$74</f>
        <v>-176.608627245914</v>
      </c>
      <c r="L65" s="70" t="n">
        <f aca="false">-L54*Assumptions!$D$74</f>
        <v>-182.522200555722</v>
      </c>
      <c r="M65" s="70" t="n">
        <f aca="false">-M54*Assumptions!$D$74</f>
        <v>-189.993061354964</v>
      </c>
      <c r="N65" s="70" t="n">
        <f aca="false">-N54*Assumptions!$D$74</f>
        <v>-198.880261205722</v>
      </c>
      <c r="O65" s="70" t="n">
        <f aca="false">-O54*Assumptions!$D$74</f>
        <v>-209.025857366656</v>
      </c>
      <c r="P65" s="70" t="n">
        <f aca="false">-P54*Assumptions!$D$74</f>
        <v>-220.29052738523</v>
      </c>
      <c r="Q65" s="70" t="n">
        <f aca="false">-Q54*Assumptions!$D$74</f>
        <v>-232.570659678509</v>
      </c>
      <c r="R65" s="70" t="n">
        <f aca="false">-R54*Assumptions!$D$74</f>
        <v>-245.795190470073</v>
      </c>
      <c r="S65" s="70" t="n">
        <f aca="false">-S54*Assumptions!$D$74</f>
        <v>-259.920614210041</v>
      </c>
      <c r="T65" s="70" t="n">
        <f aca="false">-T54*Assumptions!$D$74</f>
        <v>-274.926374944895</v>
      </c>
      <c r="U65" s="70" t="n">
        <f aca="false">-U54*Assumptions!$D$74</f>
        <v>-290.810991131835</v>
      </c>
      <c r="V65" s="70" t="n">
        <f aca="false">-V54*Assumptions!$D$74</f>
        <v>-307.588927361329</v>
      </c>
      <c r="W65" s="70" t="n">
        <f aca="false">-W54*Assumptions!$D$74</f>
        <v>-325.288140536487</v>
      </c>
      <c r="X65" s="70" t="n">
        <f aca="false">-X54*Assumptions!$D$74</f>
        <v>-343.948204140635</v>
      </c>
      <c r="Y65" s="70" t="n">
        <f aca="false">-Y54*Assumptions!$D$74</f>
        <v>-363.618913938269</v>
      </c>
      <c r="Z65" s="70" t="n">
        <f aca="false">-Z54*Assumptions!$D$74</f>
        <v>-384.359287820496</v>
      </c>
      <c r="AA65" s="70" t="n">
        <f aca="false">-AA54*Assumptions!$D$74</f>
        <v>-406.236885171343</v>
      </c>
      <c r="AB65" s="70" t="n">
        <f aca="false">-AB54*Assumptions!$D$74</f>
        <v>-429.327384093837</v>
      </c>
      <c r="AC65" s="70" t="n">
        <f aca="false">-AC54*Assumptions!$D$74</f>
        <v>-453.71436674456</v>
      </c>
      <c r="AD65" s="70" t="n">
        <f aca="false">-AD54*Assumptions!$D$74</f>
        <v>-479.489273369575</v>
      </c>
      <c r="AE65" s="70" t="n">
        <f aca="false">-AE54*Assumptions!$D$74</f>
        <v>-506.751494319924</v>
      </c>
      <c r="AF65" s="70" t="n">
        <f aca="false">-AF54*Assumptions!$D$74</f>
        <v>-535.608576457785</v>
      </c>
      <c r="AG65" s="70" t="n">
        <f aca="false">-AG54*Assumptions!$D$74</f>
        <v>-566.176526134451</v>
      </c>
      <c r="AH65" s="70" t="n">
        <f aca="false">-AH54*Assumptions!$D$74</f>
        <v>-598.580195540784</v>
      </c>
      <c r="AI65" s="70" t="n">
        <f aca="false">-AI54*Assumptions!$D$74</f>
        <v>-632.953742903707</v>
      </c>
      <c r="AJ65" s="70" t="n">
        <f aca="false">-AJ54*Assumptions!$D$74</f>
        <v>-669.441159911422</v>
      </c>
      <c r="AK65" s="70" t="n">
        <f aca="false">-AK54*Assumptions!$D$74</f>
        <v>-708.196862051699</v>
      </c>
      <c r="AL65" s="70" t="n">
        <f aca="false">-AL54*Assumptions!$D$74</f>
        <v>-749.386339372118</v>
      </c>
      <c r="AM65" s="70" t="n">
        <f aca="false">SUM(C65:AL65)</f>
        <v>-10942.010645418</v>
      </c>
    </row>
    <row r="66" customFormat="false" ht="15" hidden="false" customHeight="false" outlineLevel="0" collapsed="false">
      <c r="A66" s="10" t="s">
        <v>801</v>
      </c>
      <c r="B66" s="9" t="s">
        <v>97</v>
      </c>
      <c r="C66" s="70" t="n">
        <f aca="false">-C57*Assumptions!$D$75</f>
        <v>-0</v>
      </c>
      <c r="D66" s="70" t="n">
        <f aca="false">-D57*Assumptions!$D$75</f>
        <v>-0</v>
      </c>
      <c r="E66" s="70" t="n">
        <f aca="false">-E57*Assumptions!$D$75</f>
        <v>-0</v>
      </c>
      <c r="F66" s="70" t="n">
        <f aca="false">-F57*Assumptions!$D$75</f>
        <v>-0</v>
      </c>
      <c r="G66" s="70" t="n">
        <f aca="false">-G57*Assumptions!$D$75</f>
        <v>-0</v>
      </c>
      <c r="H66" s="70" t="n">
        <f aca="false">-H57*Assumptions!$D$75</f>
        <v>-0</v>
      </c>
      <c r="I66" s="70" t="n">
        <f aca="false">-I57*Assumptions!$D$75</f>
        <v>-0</v>
      </c>
      <c r="J66" s="70" t="n">
        <f aca="false">-J57*Assumptions!$D$75</f>
        <v>-0</v>
      </c>
      <c r="K66" s="70" t="n">
        <f aca="false">-K57*Assumptions!$D$75</f>
        <v>-12.5195893536548</v>
      </c>
      <c r="L66" s="70" t="n">
        <f aca="false">-L57*Assumptions!$D$75</f>
        <v>-23.8308387326298</v>
      </c>
      <c r="M66" s="70" t="n">
        <f aca="false">-M57*Assumptions!$D$75</f>
        <v>-34.2012267134398</v>
      </c>
      <c r="N66" s="70" t="n">
        <f aca="false">-N57*Assumptions!$D$75</f>
        <v>-43.8534679794983</v>
      </c>
      <c r="O66" s="70" t="n">
        <f aca="false">-O57*Assumptions!$D$75</f>
        <v>-52.9701279199331</v>
      </c>
      <c r="P66" s="70" t="n">
        <f aca="false">-P57*Assumptions!$D$75</f>
        <v>-61.7001620094281</v>
      </c>
      <c r="Q66" s="70" t="n">
        <f aca="false">-Q57*Assumptions!$D$75</f>
        <v>-70.1658166009679</v>
      </c>
      <c r="R66" s="70" t="n">
        <f aca="false">-R57*Assumptions!$D$75</f>
        <v>-78.4684083894984</v>
      </c>
      <c r="S66" s="70" t="n">
        <f aca="false">-S57*Assumptions!$D$75</f>
        <v>-86.6929988395309</v>
      </c>
      <c r="T66" s="70" t="n">
        <f aca="false">-T57*Assumptions!$D$75</f>
        <v>-94.9121342364856</v>
      </c>
      <c r="U66" s="70" t="n">
        <f aca="false">-U57*Assumptions!$D$75</f>
        <v>-103.188824823755</v>
      </c>
      <c r="V66" s="70" t="n">
        <f aca="false">-V57*Assumptions!$D$75</f>
        <v>-111.578914891836</v>
      </c>
      <c r="W66" s="70" t="n">
        <f aca="false">-W57*Assumptions!$D$75</f>
        <v>-120.132970807262</v>
      </c>
      <c r="X66" s="70" t="n">
        <f aca="false">-X57*Assumptions!$D$75</f>
        <v>-128.897790629176</v>
      </c>
      <c r="Y66" s="70" t="n">
        <f aca="false">-Y57*Assumptions!$D$75</f>
        <v>-137.917618635452</v>
      </c>
      <c r="Z66" s="70" t="n">
        <f aca="false">-Z57*Assumptions!$D$75</f>
        <v>-147.235131060563</v>
      </c>
      <c r="AA66" s="70" t="n">
        <f aca="false">-AA57*Assumptions!$D$75</f>
        <v>-156.892245438169</v>
      </c>
      <c r="AB66" s="70" t="n">
        <f aca="false">-AB57*Assumptions!$D$75</f>
        <v>-166.930794759193</v>
      </c>
      <c r="AC66" s="70" t="n">
        <f aca="false">-AC57*Assumptions!$D$75</f>
        <v>-177.393098771945</v>
      </c>
      <c r="AD66" s="70" t="n">
        <f aca="false">-AD57*Assumptions!$D$75</f>
        <v>-188.322457754902</v>
      </c>
      <c r="AE66" s="70" t="n">
        <f aca="false">-AE57*Assumptions!$D$75</f>
        <v>-199.763588621888</v>
      </c>
      <c r="AF66" s="70" t="n">
        <f aca="false">-AF57*Assumptions!$D$75</f>
        <v>-211.763018965495</v>
      </c>
      <c r="AG66" s="70" t="n">
        <f aca="false">-AG57*Assumptions!$D$75</f>
        <v>-224.369451352623</v>
      </c>
      <c r="AH66" s="70" t="n">
        <f aca="false">-AH57*Assumptions!$D$75</f>
        <v>-237.634107649562</v>
      </c>
      <c r="AI66" s="70" t="n">
        <f aca="false">-AI57*Assumptions!$D$75</f>
        <v>-251.611061207626</v>
      </c>
      <c r="AJ66" s="70" t="n">
        <f aca="false">-AJ57*Assumptions!$D$75</f>
        <v>-266.357563253244</v>
      </c>
      <c r="AK66" s="70" t="n">
        <f aca="false">-AK57*Assumptions!$D$75</f>
        <v>-281.934368695765</v>
      </c>
      <c r="AL66" s="70" t="n">
        <f aca="false">-AL57*Assumptions!$D$75</f>
        <v>-298.406065711917</v>
      </c>
      <c r="AM66" s="70" t="n">
        <f aca="false">SUM(C66:AL66)</f>
        <v>-3969.64384380544</v>
      </c>
    </row>
    <row r="67" customFormat="false" ht="15" hidden="false" customHeight="false" outlineLevel="0" collapsed="false">
      <c r="A67" s="10" t="s">
        <v>802</v>
      </c>
      <c r="B67" s="9" t="s">
        <v>97</v>
      </c>
      <c r="C67" s="70" t="n">
        <f aca="false">-C57*Assumptions!$D$76</f>
        <v>-0</v>
      </c>
      <c r="D67" s="70" t="n">
        <f aca="false">-D57*Assumptions!$D$76</f>
        <v>-0</v>
      </c>
      <c r="E67" s="70" t="n">
        <f aca="false">-E57*Assumptions!$D$76</f>
        <v>-0</v>
      </c>
      <c r="F67" s="70" t="n">
        <f aca="false">-F57*Assumptions!$D$76</f>
        <v>-0</v>
      </c>
      <c r="G67" s="70" t="n">
        <f aca="false">-G57*Assumptions!$D$76</f>
        <v>-0</v>
      </c>
      <c r="H67" s="70" t="n">
        <f aca="false">-H57*Assumptions!$D$76</f>
        <v>-0</v>
      </c>
      <c r="I67" s="70" t="n">
        <f aca="false">-I57*Assumptions!$D$76</f>
        <v>-0</v>
      </c>
      <c r="J67" s="70" t="n">
        <f aca="false">-J57*Assumptions!$D$76</f>
        <v>-0</v>
      </c>
      <c r="K67" s="70" t="n">
        <f aca="false">-K57*Assumptions!$D$76</f>
        <v>-27.5430965780406</v>
      </c>
      <c r="L67" s="70" t="n">
        <f aca="false">-L57*Assumptions!$D$76</f>
        <v>-52.4278452117856</v>
      </c>
      <c r="M67" s="70" t="n">
        <f aca="false">-M57*Assumptions!$D$76</f>
        <v>-75.2426987695676</v>
      </c>
      <c r="N67" s="70" t="n">
        <f aca="false">-N57*Assumptions!$D$76</f>
        <v>-96.4776295548961</v>
      </c>
      <c r="O67" s="70" t="n">
        <f aca="false">-O57*Assumptions!$D$76</f>
        <v>-116.534281423853</v>
      </c>
      <c r="P67" s="70" t="n">
        <f aca="false">-P57*Assumptions!$D$76</f>
        <v>-135.740356420742</v>
      </c>
      <c r="Q67" s="70" t="n">
        <f aca="false">-Q57*Assumptions!$D$76</f>
        <v>-154.364796522129</v>
      </c>
      <c r="R67" s="70" t="n">
        <f aca="false">-R57*Assumptions!$D$76</f>
        <v>-172.630498456896</v>
      </c>
      <c r="S67" s="70" t="n">
        <f aca="false">-S57*Assumptions!$D$76</f>
        <v>-190.724597446968</v>
      </c>
      <c r="T67" s="70" t="n">
        <f aca="false">-T57*Assumptions!$D$76</f>
        <v>-208.806695320268</v>
      </c>
      <c r="U67" s="70" t="n">
        <f aca="false">-U57*Assumptions!$D$76</f>
        <v>-227.01541461226</v>
      </c>
      <c r="V67" s="70" t="n">
        <f aca="false">-V57*Assumptions!$D$76</f>
        <v>-245.47361276204</v>
      </c>
      <c r="W67" s="70" t="n">
        <f aca="false">-W57*Assumptions!$D$76</f>
        <v>-264.292535775976</v>
      </c>
      <c r="X67" s="70" t="n">
        <f aca="false">-X57*Assumptions!$D$76</f>
        <v>-283.575139384188</v>
      </c>
      <c r="Y67" s="70" t="n">
        <f aca="false">-Y57*Assumptions!$D$76</f>
        <v>-303.418760997994</v>
      </c>
      <c r="Z67" s="70" t="n">
        <f aca="false">-Z57*Assumptions!$D$76</f>
        <v>-323.917288333238</v>
      </c>
      <c r="AA67" s="70" t="n">
        <f aca="false">-AA57*Assumptions!$D$76</f>
        <v>-345.162939963972</v>
      </c>
      <c r="AB67" s="70" t="n">
        <f aca="false">-AB57*Assumptions!$D$76</f>
        <v>-367.247748470224</v>
      </c>
      <c r="AC67" s="70" t="n">
        <f aca="false">-AC57*Assumptions!$D$76</f>
        <v>-390.264817298279</v>
      </c>
      <c r="AD67" s="70" t="n">
        <f aca="false">-AD57*Assumptions!$D$76</f>
        <v>-414.309407060785</v>
      </c>
      <c r="AE67" s="70" t="n">
        <f aca="false">-AE57*Assumptions!$D$76</f>
        <v>-439.479894968154</v>
      </c>
      <c r="AF67" s="70" t="n">
        <f aca="false">-AF57*Assumptions!$D$76</f>
        <v>-465.878641724089</v>
      </c>
      <c r="AG67" s="70" t="n">
        <f aca="false">-AG57*Assumptions!$D$76</f>
        <v>-493.61279297577</v>
      </c>
      <c r="AH67" s="70" t="n">
        <f aca="false">-AH57*Assumptions!$D$76</f>
        <v>-522.795036829036</v>
      </c>
      <c r="AI67" s="70" t="n">
        <f aca="false">-AI57*Assumptions!$D$76</f>
        <v>-553.544334656777</v>
      </c>
      <c r="AJ67" s="70" t="n">
        <f aca="false">-AJ57*Assumptions!$D$76</f>
        <v>-585.986639157137</v>
      </c>
      <c r="AK67" s="70" t="n">
        <f aca="false">-AK57*Assumptions!$D$76</f>
        <v>-620.255611130683</v>
      </c>
      <c r="AL67" s="70" t="n">
        <f aca="false">-AL57*Assumptions!$D$76</f>
        <v>-656.493344566217</v>
      </c>
      <c r="AM67" s="70" t="n">
        <f aca="false">SUM(C67:AL67)</f>
        <v>-8733.21645637197</v>
      </c>
    </row>
    <row r="68" customFormat="false" ht="15" hidden="false" customHeight="false" outlineLevel="0" collapsed="false">
      <c r="A68" s="10" t="s">
        <v>803</v>
      </c>
      <c r="B68" s="9" t="s">
        <v>97</v>
      </c>
      <c r="C68" s="70" t="n">
        <f aca="false">-C57*Assumptions!$D$77</f>
        <v>-0</v>
      </c>
      <c r="D68" s="70" t="n">
        <f aca="false">-D57*Assumptions!$D$77</f>
        <v>-0</v>
      </c>
      <c r="E68" s="70" t="n">
        <f aca="false">-E57*Assumptions!$D$77</f>
        <v>-0</v>
      </c>
      <c r="F68" s="70" t="n">
        <f aca="false">-F57*Assumptions!$D$77</f>
        <v>-0</v>
      </c>
      <c r="G68" s="70" t="n">
        <f aca="false">-G57*Assumptions!$D$77</f>
        <v>-0</v>
      </c>
      <c r="H68" s="70" t="n">
        <f aca="false">-H57*Assumptions!$D$77</f>
        <v>-0</v>
      </c>
      <c r="I68" s="70" t="n">
        <f aca="false">-I57*Assumptions!$D$77</f>
        <v>-0</v>
      </c>
      <c r="J68" s="70" t="n">
        <f aca="false">-J57*Assumptions!$D$77</f>
        <v>-0</v>
      </c>
      <c r="K68" s="70" t="n">
        <f aca="false">-K57*Assumptions!$D$77</f>
        <v>-7.5117536121929</v>
      </c>
      <c r="L68" s="70" t="n">
        <f aca="false">-L57*Assumptions!$D$77</f>
        <v>-14.2985032395779</v>
      </c>
      <c r="M68" s="70" t="n">
        <f aca="false">-M57*Assumptions!$D$77</f>
        <v>-20.5207360280639</v>
      </c>
      <c r="N68" s="70" t="n">
        <f aca="false">-N57*Assumptions!$D$77</f>
        <v>-26.3120807876989</v>
      </c>
      <c r="O68" s="70" t="n">
        <f aca="false">-O57*Assumptions!$D$77</f>
        <v>-31.7820767519599</v>
      </c>
      <c r="P68" s="70" t="n">
        <f aca="false">-P57*Assumptions!$D$77</f>
        <v>-37.0200972056569</v>
      </c>
      <c r="Q68" s="70" t="n">
        <f aca="false">-Q57*Assumptions!$D$77</f>
        <v>-42.0994899605807</v>
      </c>
      <c r="R68" s="70" t="n">
        <f aca="false">-R57*Assumptions!$D$77</f>
        <v>-47.081045033699</v>
      </c>
      <c r="S68" s="70" t="n">
        <f aca="false">-S57*Assumptions!$D$77</f>
        <v>-52.0157993037186</v>
      </c>
      <c r="T68" s="70" t="n">
        <f aca="false">-T57*Assumptions!$D$77</f>
        <v>-56.9472805418914</v>
      </c>
      <c r="U68" s="70" t="n">
        <f aca="false">-U57*Assumptions!$D$77</f>
        <v>-61.9132948942529</v>
      </c>
      <c r="V68" s="70" t="n">
        <f aca="false">-V57*Assumptions!$D$77</f>
        <v>-66.9473489351019</v>
      </c>
      <c r="W68" s="70" t="n">
        <f aca="false">-W57*Assumptions!$D$77</f>
        <v>-72.0797824843572</v>
      </c>
      <c r="X68" s="70" t="n">
        <f aca="false">-X57*Assumptions!$D$77</f>
        <v>-77.3386743775058</v>
      </c>
      <c r="Y68" s="70" t="n">
        <f aca="false">-Y57*Assumptions!$D$77</f>
        <v>-82.7505711812711</v>
      </c>
      <c r="Z68" s="70" t="n">
        <f aca="false">-Z57*Assumptions!$D$77</f>
        <v>-88.3410786363376</v>
      </c>
      <c r="AA68" s="70" t="n">
        <f aca="false">-AA57*Assumptions!$D$77</f>
        <v>-94.1353472629015</v>
      </c>
      <c r="AB68" s="70" t="n">
        <f aca="false">-AB57*Assumptions!$D$77</f>
        <v>-100.158476855516</v>
      </c>
      <c r="AC68" s="70" t="n">
        <f aca="false">-AC57*Assumptions!$D$77</f>
        <v>-106.435859263167</v>
      </c>
      <c r="AD68" s="70" t="n">
        <f aca="false">-AD57*Assumptions!$D$77</f>
        <v>-112.993474652941</v>
      </c>
      <c r="AE68" s="70" t="n">
        <f aca="false">-AE57*Assumptions!$D$77</f>
        <v>-119.858153173133</v>
      </c>
      <c r="AF68" s="70" t="n">
        <f aca="false">-AF57*Assumptions!$D$77</f>
        <v>-127.057811379297</v>
      </c>
      <c r="AG68" s="70" t="n">
        <f aca="false">-AG57*Assumptions!$D$77</f>
        <v>-134.621670811574</v>
      </c>
      <c r="AH68" s="70" t="n">
        <f aca="false">-AH57*Assumptions!$D$77</f>
        <v>-142.580464589737</v>
      </c>
      <c r="AI68" s="70" t="n">
        <f aca="false">-AI57*Assumptions!$D$77</f>
        <v>-150.966636724576</v>
      </c>
      <c r="AJ68" s="70" t="n">
        <f aca="false">-AJ57*Assumptions!$D$77</f>
        <v>-159.814537951947</v>
      </c>
      <c r="AK68" s="70" t="n">
        <f aca="false">-AK57*Assumptions!$D$77</f>
        <v>-169.160621217459</v>
      </c>
      <c r="AL68" s="70" t="n">
        <f aca="false">-AL57*Assumptions!$D$77</f>
        <v>-179.04363942715</v>
      </c>
      <c r="AM68" s="70" t="n">
        <f aca="false">SUM(C68:AL68)</f>
        <v>-2381.78630628326</v>
      </c>
    </row>
    <row r="69" customFormat="false" ht="15" hidden="false" customHeight="false" outlineLevel="0" collapsed="false">
      <c r="A69" s="10" t="s">
        <v>804</v>
      </c>
      <c r="B69" s="9" t="s">
        <v>97</v>
      </c>
      <c r="C69" s="70" t="n">
        <f aca="false">-C63*Assumptions!$D$79</f>
        <v>-0</v>
      </c>
      <c r="D69" s="70" t="n">
        <f aca="false">-D63*Assumptions!$D$79</f>
        <v>-0</v>
      </c>
      <c r="E69" s="70" t="n">
        <f aca="false">-E63*Assumptions!$D$79</f>
        <v>-0</v>
      </c>
      <c r="F69" s="70" t="n">
        <f aca="false">-F63*Assumptions!$D$79</f>
        <v>-0</v>
      </c>
      <c r="G69" s="70" t="n">
        <f aca="false">-G63*Assumptions!$D$79</f>
        <v>-0</v>
      </c>
      <c r="H69" s="70" t="n">
        <f aca="false">-H63*Assumptions!$D$79</f>
        <v>-0</v>
      </c>
      <c r="I69" s="70" t="n">
        <f aca="false">-I63*Assumptions!$D$79</f>
        <v>-0</v>
      </c>
      <c r="J69" s="70" t="n">
        <f aca="false">-J63*Assumptions!$D$79</f>
        <v>-0</v>
      </c>
      <c r="K69" s="70" t="n">
        <f aca="false">-K63*Assumptions!$D$79</f>
        <v>-15.4268338367867</v>
      </c>
      <c r="L69" s="70" t="n">
        <f aca="false">-L63*Assumptions!$D$79</f>
        <v>-22.6019975202884</v>
      </c>
      <c r="M69" s="70" t="n">
        <f aca="false">-M63*Assumptions!$D$79</f>
        <v>-29.2705287931743</v>
      </c>
      <c r="N69" s="70" t="n">
        <f aca="false">-N63*Assumptions!$D$79</f>
        <v>-35.5623756679341</v>
      </c>
      <c r="O69" s="70" t="n">
        <f aca="false">-O63*Assumptions!$D$79</f>
        <v>-41.5821937814135</v>
      </c>
      <c r="P69" s="70" t="n">
        <f aca="false">-P63*Assumptions!$D$79</f>
        <v>-47.4149116427254</v>
      </c>
      <c r="Q69" s="70" t="n">
        <f aca="false">-Q63*Assumptions!$D$79</f>
        <v>-53.1307015065004</v>
      </c>
      <c r="R69" s="70" t="n">
        <f aca="false">-R63*Assumptions!$D$79</f>
        <v>-58.7883733016777</v>
      </c>
      <c r="S69" s="70" t="n">
        <f aca="false">-S63*Assumptions!$D$79</f>
        <v>-64.4380126284351</v>
      </c>
      <c r="T69" s="70" t="n">
        <f aca="false">-T63*Assumptions!$D$79</f>
        <v>-70.1230643118864</v>
      </c>
      <c r="U69" s="70" t="n">
        <f aca="false">-U63*Assumptions!$D$79</f>
        <v>-75.8819830694273</v>
      </c>
      <c r="V69" s="70" t="n">
        <f aca="false">-V63*Assumptions!$D$79</f>
        <v>-81.7495447244721</v>
      </c>
      <c r="W69" s="70" t="n">
        <f aca="false">-W63*Assumptions!$D$79</f>
        <v>-87.7578924088538</v>
      </c>
      <c r="X69" s="70" t="n">
        <f aca="false">-X63*Assumptions!$D$79</f>
        <v>-93.9373768751571</v>
      </c>
      <c r="Y69" s="70" t="n">
        <f aca="false">-Y63*Assumptions!$D$79</f>
        <v>-100.317237601811</v>
      </c>
      <c r="Z69" s="70" t="n">
        <f aca="false">-Z63*Assumptions!$D$79</f>
        <v>-106.926161381414</v>
      </c>
      <c r="AA69" s="70" t="n">
        <f aca="false">-AA63*Assumptions!$D$79</f>
        <v>-113.792747137082</v>
      </c>
      <c r="AB69" s="70" t="n">
        <f aca="false">-AB63*Assumptions!$D$79</f>
        <v>-120.945899446173</v>
      </c>
      <c r="AC69" s="70" t="n">
        <f aca="false">-AC63*Assumptions!$D$79</f>
        <v>-128.415168343753</v>
      </c>
      <c r="AD69" s="70" t="n">
        <f aca="false">-AD63*Assumptions!$D$79</f>
        <v>-136.231049156662</v>
      </c>
      <c r="AE69" s="70" t="n">
        <f aca="false">-AE63*Assumptions!$D$79</f>
        <v>-144.425253156793</v>
      </c>
      <c r="AF69" s="70" t="n">
        <f aca="false">-AF63*Assumptions!$D$79</f>
        <v>-153.030957535634</v>
      </c>
      <c r="AG69" s="70" t="n">
        <f aca="false">-AG63*Assumptions!$D$79</f>
        <v>-162.083041443621</v>
      </c>
      <c r="AH69" s="70" t="n">
        <f aca="false">-AH63*Assumptions!$D$79</f>
        <v>-171.618313490537</v>
      </c>
      <c r="AI69" s="70" t="n">
        <f aca="false">-AI63*Assumptions!$D$79</f>
        <v>-181.675735075003</v>
      </c>
      <c r="AJ69" s="70" t="n">
        <f aca="false">-AJ63*Assumptions!$D$79</f>
        <v>-192.296643129984</v>
      </c>
      <c r="AK69" s="70" t="n">
        <f aca="false">-AK63*Assumptions!$D$79</f>
        <v>-203.524975281401</v>
      </c>
      <c r="AL69" s="70" t="n">
        <f aca="false">-AL63*Assumptions!$D$79</f>
        <v>-215.407499974917</v>
      </c>
      <c r="AM69" s="70" t="n">
        <f aca="false">SUM(C69:AL69)</f>
        <v>-2908.35647222352</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0</v>
      </c>
      <c r="J70" s="53" t="n">
        <f aca="false">J63+J64+J65+J66+J67+J68+J69</f>
        <v>0</v>
      </c>
      <c r="K70" s="53" t="n">
        <f aca="false">K63+K64+K65+K66+K67+K68+K69</f>
        <v>111.02296855962</v>
      </c>
      <c r="L70" s="53" t="n">
        <f aca="false">L63+L64+L65+L66+L67+L68+L69</f>
        <v>160.407230556396</v>
      </c>
      <c r="M70" s="53" t="n">
        <f aca="false">M63+M64+M65+M66+M67+M68+M69</f>
        <v>206.36289263637</v>
      </c>
      <c r="N70" s="53" t="n">
        <f aca="false">N63+N64+N65+N66+N67+N68+N69</f>
        <v>249.77701064246</v>
      </c>
      <c r="O70" s="53" t="n">
        <f aca="false">O63+O64+O65+O66+O67+O68+O69</f>
        <v>291.362675266058</v>
      </c>
      <c r="P70" s="53" t="n">
        <f aca="false">P63+P64+P65+P66+P67+P68+P69</f>
        <v>331.698233072391</v>
      </c>
      <c r="Q70" s="53" t="n">
        <f aca="false">Q63+Q64+Q65+Q66+Q67+Q68+Q69</f>
        <v>371.261883499288</v>
      </c>
      <c r="R70" s="53" t="n">
        <f aca="false">R63+R64+R65+R66+R67+R68+R69</f>
        <v>410.454861935851</v>
      </c>
      <c r="S70" s="53" t="n">
        <f aca="false">S63+S64+S65+S66+S67+S68+S69</f>
        <v>449.619384394828</v>
      </c>
      <c r="T70" s="53" t="n">
        <f aca="false">T63+T64+T65+T66+T67+T68+T69</f>
        <v>489.052800907923</v>
      </c>
      <c r="U70" s="53" t="n">
        <f aca="false">U63+U64+U65+U66+U67+U68+U69</f>
        <v>529.018801738649</v>
      </c>
      <c r="V70" s="53" t="n">
        <f aca="false">V63+V64+V65+V66+V67+V68+V69</f>
        <v>569.75631760069</v>
      </c>
      <c r="W70" s="53" t="n">
        <f aca="false">W63+W64+W65+W66+W67+W68+W69</f>
        <v>611.486622287493</v>
      </c>
      <c r="X70" s="53" t="n">
        <f aca="false">X63+X64+X65+X66+X67+X68+X69</f>
        <v>654.419040335644</v>
      </c>
      <c r="Y70" s="53" t="n">
        <f aca="false">Y63+Y64+Y65+Y66+Y67+Y68+Y69</f>
        <v>698.755577029548</v>
      </c>
      <c r="Z70" s="53" t="n">
        <f aca="false">Z63+Z64+Z65+Z66+Z67+Z68+Z69</f>
        <v>744.694719801224</v>
      </c>
      <c r="AA70" s="53" t="n">
        <f aca="false">AA63+AA64+AA65+AA66+AA67+AA68+AA69</f>
        <v>792.43460595958</v>
      </c>
      <c r="AB70" s="53" t="n">
        <f aca="false">AB63+AB64+AB65+AB66+AB67+AB68+AB69</f>
        <v>842.17570909643</v>
      </c>
      <c r="AC70" s="53" t="n">
        <f aca="false">AC63+AC64+AC65+AC66+AC67+AC68+AC69</f>
        <v>894.123163215156</v>
      </c>
      <c r="AD70" s="53" t="n">
        <f aca="false">AD63+AD64+AD65+AD66+AD67+AD68+AD69</f>
        <v>948.488817724359</v>
      </c>
      <c r="AE70" s="53" t="n">
        <f aca="false">AE63+AE64+AE65+AE66+AE67+AE68+AE69</f>
        <v>1005.49309638006</v>
      </c>
      <c r="AF70" s="53" t="n">
        <f aca="false">AF63+AF64+AF65+AF66+AF67+AF68+AF69</f>
        <v>1065.36671778858</v>
      </c>
      <c r="AG70" s="53" t="n">
        <f aca="false">AG63+AG64+AG65+AG66+AG67+AG68+AG69</f>
        <v>1128.35232319258</v>
      </c>
      <c r="AH70" s="53" t="n">
        <f aca="false">AH63+AH64+AH65+AH66+AH67+AH68+AH69</f>
        <v>1194.70604815923</v>
      </c>
      <c r="AI70" s="53" t="n">
        <f aca="false">AI63+AI64+AI65+AI66+AI67+AI68+AI69</f>
        <v>1264.69906784607</v>
      </c>
      <c r="AJ70" s="53" t="n">
        <f aca="false">AJ63+AJ64+AJ65+AJ66+AJ67+AJ68+AJ69</f>
        <v>1338.61914024921</v>
      </c>
      <c r="AK70" s="53" t="n">
        <f aca="false">AK63+AK64+AK65+AK66+AK67+AK68+AK69</f>
        <v>1416.77216786124</v>
      </c>
      <c r="AL70" s="53" t="n">
        <f aca="false">AL63+AL64+AL65+AL66+AL67+AL68+AL69</f>
        <v>1499.4837951887</v>
      </c>
      <c r="AM70" s="53" t="n">
        <f aca="false">SUM(C70:AL70)</f>
        <v>20269.8656729256</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v>
      </c>
      <c r="J71" s="62" t="n">
        <f aca="false">IFERROR(J70/J63,0)</f>
        <v>0</v>
      </c>
      <c r="K71" s="62" t="n">
        <f aca="false">IFERROR(K70/K63,0)</f>
        <v>0.230295797018051</v>
      </c>
      <c r="L71" s="62" t="n">
        <f aca="false">IFERROR(L70/L63,0)</f>
        <v>0.227105209315994</v>
      </c>
      <c r="M71" s="62" t="n">
        <f aca="false">IFERROR(M70/M63,0)</f>
        <v>0.225606192871506</v>
      </c>
      <c r="N71" s="62" t="n">
        <f aca="false">IFERROR(N70/N63,0)</f>
        <v>0.224756197819645</v>
      </c>
      <c r="O71" s="62" t="n">
        <f aca="false">IFERROR(O70/O63,0)</f>
        <v>0.224221109100823</v>
      </c>
      <c r="P71" s="62" t="n">
        <f aca="false">IFERROR(P70/P63,0)</f>
        <v>0.223860871834926</v>
      </c>
      <c r="Q71" s="62" t="n">
        <f aca="false">IFERROR(Q70/Q63,0)</f>
        <v>0.223606689449106</v>
      </c>
      <c r="R71" s="62" t="n">
        <f aca="false">IFERROR(R70/R63,0)</f>
        <v>0.223420973302767</v>
      </c>
      <c r="S71" s="62" t="n">
        <f aca="false">IFERROR(S70/S63,0)</f>
        <v>0.223281564929665</v>
      </c>
      <c r="T71" s="62" t="n">
        <f aca="false">IFERROR(T70/T63,0)</f>
        <v>0.223174639936561</v>
      </c>
      <c r="U71" s="62" t="n">
        <f aca="false">IFERROR(U70/U63,0)</f>
        <v>0.223091186746505</v>
      </c>
      <c r="V71" s="62" t="n">
        <f aca="false">IFERROR(V70/V63,0)</f>
        <v>0.22302512172602</v>
      </c>
      <c r="W71" s="62" t="n">
        <f aca="false">IFERROR(W70/W63,0)</f>
        <v>0.222972217952053</v>
      </c>
      <c r="X71" s="62" t="n">
        <f aca="false">IFERROR(X70/X63,0)</f>
        <v>0.222929466282327</v>
      </c>
      <c r="Y71" s="62" t="n">
        <f aca="false">IFERROR(Y70/Y63,0)</f>
        <v>0.2228946789155</v>
      </c>
      <c r="Z71" s="62" t="n">
        <f aca="false">IFERROR(Z70/Z63,0)</f>
        <v>0.222866235220349</v>
      </c>
      <c r="AA71" s="62" t="n">
        <f aca="false">IFERROR(AA70/AA63,0)</f>
        <v>0.222842914233881</v>
      </c>
      <c r="AB71" s="62" t="n">
        <f aca="false">IFERROR(AB70/AB63,0)</f>
        <v>0.222823781661815</v>
      </c>
      <c r="AC71" s="62" t="n">
        <f aca="false">IFERROR(AC70/AC63,0)</f>
        <v>0.222808112093845</v>
      </c>
      <c r="AD71" s="62" t="n">
        <f aca="false">IFERROR(AD70/AD63,0)</f>
        <v>0.222795334507597</v>
      </c>
      <c r="AE71" s="62" t="n">
        <f aca="false">IFERROR(AE70/AE63,0)</f>
        <v>0.222784993488853</v>
      </c>
      <c r="AF71" s="62" t="n">
        <f aca="false">IFERROR(AF70/AF63,0)</f>
        <v>0.222776721248026</v>
      </c>
      <c r="AG71" s="62" t="n">
        <f aca="false">IFERROR(AG70/AG63,0)</f>
        <v>0.22277021717119</v>
      </c>
      <c r="AH71" s="62" t="n">
        <f aca="false">IFERROR(AH70/AH63,0)</f>
        <v>0.222765232704629</v>
      </c>
      <c r="AI71" s="62" t="n">
        <f aca="false">IFERROR(AI70/AI63,0)</f>
        <v>0.22276156006396</v>
      </c>
      <c r="AJ71" s="62" t="n">
        <f aca="false">IFERROR(AJ70/AJ63,0)</f>
        <v>0.222759023718471</v>
      </c>
      <c r="AK71" s="62" t="n">
        <f aca="false">IFERROR(AK70/AK63,0)</f>
        <v>0.222757473911373</v>
      </c>
      <c r="AL71" s="62" t="n">
        <f aca="false">IFERROR(AL70/AL63,0)</f>
        <v>0.22275678168878</v>
      </c>
      <c r="AM71" s="62" t="n">
        <f aca="false">AVERAGE(N71:AL71)</f>
        <v>0.223100123988347</v>
      </c>
    </row>
    <row r="72" customFormat="false" ht="15" hidden="false" customHeight="false" outlineLevel="0" collapsed="false">
      <c r="A72" s="37" t="s">
        <v>807</v>
      </c>
      <c r="B72" s="9" t="s">
        <v>97</v>
      </c>
      <c r="C72" s="53" t="n">
        <f aca="false">C42+C63</f>
        <v>0</v>
      </c>
      <c r="D72" s="53" t="n">
        <f aca="false">D42+D63</f>
        <v>0</v>
      </c>
      <c r="E72" s="53" t="n">
        <f aca="false">E42+E63</f>
        <v>40698.7537233408</v>
      </c>
      <c r="F72" s="53" t="n">
        <f aca="false">F42+F63</f>
        <v>33423.7875229531</v>
      </c>
      <c r="G72" s="53" t="n">
        <f aca="false">G42+G63</f>
        <v>33542.5599420669</v>
      </c>
      <c r="H72" s="53" t="n">
        <f aca="false">H42+H63</f>
        <v>34803.429714282</v>
      </c>
      <c r="I72" s="53" t="n">
        <f aca="false">I42+I63</f>
        <v>36020.9100074814</v>
      </c>
      <c r="J72" s="53" t="n">
        <f aca="false">J42+J63</f>
        <v>37040.3641873325</v>
      </c>
      <c r="K72" s="53" t="n">
        <f aca="false">K42+K63</f>
        <v>38405.3864347078</v>
      </c>
      <c r="L72" s="53" t="n">
        <f aca="false">L42+L63</f>
        <v>39454.0563033239</v>
      </c>
      <c r="M72" s="53" t="n">
        <f aca="false">M42+M63</f>
        <v>40415.8519836295</v>
      </c>
      <c r="N72" s="53" t="n">
        <f aca="false">N42+N63</f>
        <v>41321.5222485286</v>
      </c>
      <c r="O72" s="53" t="n">
        <f aca="false">O42+O63</f>
        <v>42189.1334246182</v>
      </c>
      <c r="P72" s="53" t="n">
        <f aca="false">P42+P63</f>
        <v>43031.6849627532</v>
      </c>
      <c r="Q72" s="53" t="n">
        <f aca="false">Q42+Q63</f>
        <v>43859.3213668902</v>
      </c>
      <c r="R72" s="53" t="n">
        <f aca="false">R42+R63</f>
        <v>44680.2003614692</v>
      </c>
      <c r="S72" s="53" t="n">
        <f aca="false">S42+S63</f>
        <v>45501.0646009065</v>
      </c>
      <c r="T72" s="53" t="n">
        <f aca="false">T42+T63</f>
        <v>46327.6458280847</v>
      </c>
      <c r="U72" s="53" t="n">
        <f aca="false">U42+U63</f>
        <v>47164.9572203349</v>
      </c>
      <c r="V72" s="53" t="n">
        <f aca="false">V42+V63</f>
        <v>48017.507517955</v>
      </c>
      <c r="W72" s="53" t="n">
        <f aca="false">W42+W63</f>
        <v>48889.4595552707</v>
      </c>
      <c r="X72" s="53" t="n">
        <f aca="false">X42+X63</f>
        <v>49784.7489421301</v>
      </c>
      <c r="Y72" s="53" t="n">
        <f aca="false">Y42+Y63</f>
        <v>50707.1740528825</v>
      </c>
      <c r="Z72" s="53" t="n">
        <f aca="false">Z42+Z63</f>
        <v>51660.4653125012</v>
      </c>
      <c r="AA72" s="53" t="n">
        <f aca="false">AA42+AA63</f>
        <v>52648.3395425012</v>
      </c>
      <c r="AB72" s="53" t="n">
        <f aca="false">AB42+AB63</f>
        <v>53674.5435448925</v>
      </c>
      <c r="AC72" s="53" t="n">
        <f aca="false">AC42+AC63</f>
        <v>54742.8899667011</v>
      </c>
      <c r="AD72" s="53" t="n">
        <f aca="false">AD42+AD63</f>
        <v>55857.2876695722</v>
      </c>
      <c r="AE72" s="53" t="n">
        <f aca="false">AE42+AE63</f>
        <v>57021.7682379701</v>
      </c>
      <c r="AF72" s="53" t="n">
        <f aca="false">AF42+AF63</f>
        <v>58240.5098317088</v>
      </c>
      <c r="AG72" s="53" t="n">
        <f aca="false">AG42+AG63</f>
        <v>59517.8592785994</v>
      </c>
      <c r="AH72" s="53" t="n">
        <f aca="false">AH42+AH63</f>
        <v>60858.3530783976</v>
      </c>
      <c r="AI72" s="53" t="n">
        <f aca="false">AI42+AI63</f>
        <v>62266.7378265501</v>
      </c>
      <c r="AJ72" s="53" t="n">
        <f aca="false">AJ42+AJ63</f>
        <v>63747.9904485985</v>
      </c>
      <c r="AK72" s="53" t="n">
        <f aca="false">AK42+AK63</f>
        <v>65307.3385512471</v>
      </c>
      <c r="AL72" s="53" t="n">
        <f aca="false">AL42+AL63</f>
        <v>66950.281135185</v>
      </c>
      <c r="AM72" s="53" t="n">
        <f aca="false">SUM(C72:AL72)</f>
        <v>1647773.88432537</v>
      </c>
    </row>
    <row r="73" customFormat="false" ht="15" hidden="false" customHeight="false" outlineLevel="0" collapsed="false">
      <c r="A73" s="37" t="s">
        <v>808</v>
      </c>
      <c r="B73" s="9" t="s">
        <v>97</v>
      </c>
      <c r="C73" s="53" t="n">
        <f aca="false">C46+C70</f>
        <v>0</v>
      </c>
      <c r="D73" s="53" t="n">
        <f aca="false">D46+D70</f>
        <v>0</v>
      </c>
      <c r="E73" s="53" t="n">
        <f aca="false">E46+E70</f>
        <v>20742.7981476627</v>
      </c>
      <c r="F73" s="53" t="n">
        <f aca="false">F46+F70</f>
        <v>17034.9903741984</v>
      </c>
      <c r="G73" s="53" t="n">
        <f aca="false">G46+G70</f>
        <v>17095.5247171401</v>
      </c>
      <c r="H73" s="53" t="n">
        <f aca="false">H46+H70</f>
        <v>17738.1480110457</v>
      </c>
      <c r="I73" s="53" t="n">
        <f aca="false">I46+I70</f>
        <v>18358.657133813</v>
      </c>
      <c r="J73" s="53" t="n">
        <f aca="false">J46+J70</f>
        <v>18878.2389474771</v>
      </c>
      <c r="K73" s="53" t="n">
        <f aca="false">K46+K70</f>
        <v>19439.2637866944</v>
      </c>
      <c r="L73" s="53" t="n">
        <f aca="false">L46+L70</f>
        <v>19908.8406951451</v>
      </c>
      <c r="M73" s="53" t="n">
        <f aca="false">M46+M70</f>
        <v>20338.7813023266</v>
      </c>
      <c r="N73" s="53" t="n">
        <f aca="false">N46+N70</f>
        <v>20743.5745958481</v>
      </c>
      <c r="O73" s="53" t="n">
        <f aca="false">O46+O70</f>
        <v>21131.4746118071</v>
      </c>
      <c r="P73" s="53" t="n">
        <f aca="false">P46+P70</f>
        <v>21508.3324201126</v>
      </c>
      <c r="Q73" s="53" t="n">
        <f aca="false">Q46+Q70</f>
        <v>21878.6788963718</v>
      </c>
      <c r="R73" s="53" t="n">
        <f aca="false">R46+R70</f>
        <v>22246.1363255577</v>
      </c>
      <c r="S73" s="53" t="n">
        <f aca="false">S46+S70</f>
        <v>22613.685712356</v>
      </c>
      <c r="T73" s="53" t="n">
        <f aca="false">T46+T70</f>
        <v>22983.8537357376</v>
      </c>
      <c r="U73" s="53" t="n">
        <f aca="false">U46+U70</f>
        <v>23358.8466638573</v>
      </c>
      <c r="V73" s="53" t="n">
        <f aca="false">V46+V70</f>
        <v>23740.6475046297</v>
      </c>
      <c r="W73" s="53" t="n">
        <f aca="false">W46+W70</f>
        <v>24131.0872434036</v>
      </c>
      <c r="X73" s="53" t="n">
        <f aca="false">X46+X70</f>
        <v>24531.8976549026</v>
      </c>
      <c r="Y73" s="53" t="n">
        <f aca="false">Y46+Y70</f>
        <v>24944.7509495948</v>
      </c>
      <c r="Z73" s="53" t="n">
        <f aca="false">Z46+Z70</f>
        <v>25371.2899912374</v>
      </c>
      <c r="AA73" s="53" t="n">
        <f aca="false">AA46+AA70</f>
        <v>25813.1517597398</v>
      </c>
      <c r="AB73" s="53" t="n">
        <f aca="false">AB46+AB70</f>
        <v>26271.9859831725</v>
      </c>
      <c r="AC73" s="53" t="n">
        <f aca="false">AC46+AC70</f>
        <v>26749.4703287688</v>
      </c>
      <c r="AD73" s="53" t="n">
        <f aca="false">AD46+AD70</f>
        <v>27247.3231608107</v>
      </c>
      <c r="AE73" s="53" t="n">
        <f aca="false">AE46+AE70</f>
        <v>27767.3145991995</v>
      </c>
      <c r="AF73" s="53" t="n">
        <f aca="false">AF46+AF70</f>
        <v>28311.276415433</v>
      </c>
      <c r="AG73" s="53" t="n">
        <f aca="false">AG46+AG70</f>
        <v>28881.1111608594</v>
      </c>
      <c r="AH73" s="53" t="n">
        <f aca="false">AH46+AH70</f>
        <v>29478.8008199593</v>
      </c>
      <c r="AI73" s="53" t="n">
        <f aca="false">AI46+AI70</f>
        <v>30106.415207927</v>
      </c>
      <c r="AJ73" s="53" t="n">
        <f aca="false">AJ46+AJ70</f>
        <v>30766.1202790334</v>
      </c>
      <c r="AK73" s="53" t="n">
        <f aca="false">AK46+AK70</f>
        <v>31460.1864744254</v>
      </c>
      <c r="AL73" s="53" t="n">
        <f aca="false">AL46+AL70</f>
        <v>32190.9972110292</v>
      </c>
      <c r="AM73" s="53" t="n">
        <f aca="false">SUM(C73:AL73)</f>
        <v>813763.652821277</v>
      </c>
    </row>
    <row r="74" customFormat="false" ht="15" hidden="false" customHeight="false" outlineLevel="0" collapsed="false">
      <c r="A74" s="37" t="s">
        <v>809</v>
      </c>
      <c r="B74" s="9" t="s">
        <v>61</v>
      </c>
      <c r="C74" s="52" t="n">
        <f aca="false">IFERROR(C73/C72,0)</f>
        <v>0</v>
      </c>
      <c r="D74" s="52" t="n">
        <f aca="false">IFERROR(D73/D72,0)</f>
        <v>0</v>
      </c>
      <c r="E74" s="52" t="n">
        <f aca="false">IFERROR(E73/E72,0)</f>
        <v>0.509666666666667</v>
      </c>
      <c r="F74" s="52" t="n">
        <f aca="false">IFERROR(F73/F72,0)</f>
        <v>0.509666666666667</v>
      </c>
      <c r="G74" s="52" t="n">
        <f aca="false">IFERROR(G73/G72,0)</f>
        <v>0.509666666666667</v>
      </c>
      <c r="H74" s="52" t="n">
        <f aca="false">IFERROR(H73/H72,0)</f>
        <v>0.509666666666667</v>
      </c>
      <c r="I74" s="52" t="n">
        <f aca="false">IFERROR(I73/I72,0)</f>
        <v>0.509666666666667</v>
      </c>
      <c r="J74" s="52" t="n">
        <f aca="false">IFERROR(J73/J72,0)</f>
        <v>0.509666666666667</v>
      </c>
      <c r="K74" s="52" t="n">
        <f aca="false">IFERROR(K73/K72,0)</f>
        <v>0.506159827860154</v>
      </c>
      <c r="L74" s="52" t="n">
        <f aca="false">IFERROR(L73/L72,0)</f>
        <v>0.504608209155614</v>
      </c>
      <c r="M74" s="52" t="n">
        <f aca="false">IFERROR(M73/M72,0)</f>
        <v>0.503237722430418</v>
      </c>
      <c r="N74" s="52" t="n">
        <f aca="false">IFERROR(N73/N72,0)</f>
        <v>0.502004124414528</v>
      </c>
      <c r="O74" s="52" t="n">
        <f aca="false">IFERROR(O73/O72,0)</f>
        <v>0.500874820042557</v>
      </c>
      <c r="P74" s="52" t="n">
        <f aca="false">IFERROR(P73/P72,0)</f>
        <v>0.499825476012141</v>
      </c>
      <c r="Q74" s="52" t="n">
        <f aca="false">IFERROR(Q73/Q72,0)</f>
        <v>0.498837606568355</v>
      </c>
      <c r="R74" s="52" t="n">
        <f aca="false">IFERROR(R73/R72,0)</f>
        <v>0.4978969688046</v>
      </c>
      <c r="S74" s="52" t="n">
        <f aca="false">IFERROR(S73/S72,0)</f>
        <v>0.496992453049231</v>
      </c>
      <c r="T74" s="52" t="n">
        <f aca="false">IFERROR(T73/T72,0)</f>
        <v>0.496115296275305</v>
      </c>
      <c r="U74" s="52" t="n">
        <f aca="false">IFERROR(U73/U72,0)</f>
        <v>0.495258514806545</v>
      </c>
      <c r="V74" s="52" t="n">
        <f aca="false">IFERROR(V73/V72,0)</f>
        <v>0.494416489563779</v>
      </c>
      <c r="W74" s="52" t="n">
        <f aca="false">IFERROR(W73/W72,0)</f>
        <v>0.493584659411562</v>
      </c>
      <c r="X74" s="52" t="n">
        <f aca="false">IFERROR(X73/X72,0)</f>
        <v>0.492759292276808</v>
      </c>
      <c r="Y74" s="52" t="n">
        <f aca="false">IFERROR(Y73/Y72,0)</f>
        <v>0.491937312924991</v>
      </c>
      <c r="Z74" s="52" t="n">
        <f aca="false">IFERROR(Z73/Z72,0)</f>
        <v>0.491116172449533</v>
      </c>
      <c r="AA74" s="52" t="n">
        <f aca="false">IFERROR(AA73/AA72,0)</f>
        <v>0.490293748749696</v>
      </c>
      <c r="AB74" s="52" t="n">
        <f aca="false">IFERROR(AB73/AB72,0)</f>
        <v>0.489468270208931</v>
      </c>
      <c r="AC74" s="52" t="n">
        <f aca="false">IFERROR(AC73/AC72,0)</f>
        <v>0.488638256859292</v>
      </c>
      <c r="AD74" s="52" t="n">
        <f aca="false">IFERROR(AD73/AD72,0)</f>
        <v>0.487802474799604</v>
      </c>
      <c r="AE74" s="52" t="n">
        <f aca="false">IFERROR(AE73/AE72,0)</f>
        <v>0.486959900705246</v>
      </c>
      <c r="AF74" s="52" t="n">
        <f aca="false">IFERROR(AF73/AF72,0)</f>
        <v>0.486109694046995</v>
      </c>
      <c r="AG74" s="52" t="n">
        <f aca="false">IFERROR(AG73/AG72,0)</f>
        <v>0.485251175208919</v>
      </c>
      <c r="AH74" s="52" t="n">
        <f aca="false">IFERROR(AH73/AH72,0)</f>
        <v>0.484383808118908</v>
      </c>
      <c r="AI74" s="52" t="n">
        <f aca="false">IFERROR(AI73/AI72,0)</f>
        <v>0.483507186321391</v>
      </c>
      <c r="AJ74" s="52" t="n">
        <f aca="false">IFERROR(AJ73/AJ72,0)</f>
        <v>0.482621021659355</v>
      </c>
      <c r="AK74" s="52" t="n">
        <f aca="false">IFERROR(AK73/AK72,0)</f>
        <v>0.481725134913259</v>
      </c>
      <c r="AL74" s="52" t="n">
        <f aca="false">IFERROR(AL73/AL72,0)</f>
        <v>0.480819447882968</v>
      </c>
      <c r="AM74" s="52" t="n">
        <f aca="false">AVERAGE(N74:AL74)</f>
        <v>0.49116797224298</v>
      </c>
    </row>
    <row r="75" customFormat="false" ht="15" hidden="false" customHeight="false" outlineLevel="0" collapsed="false">
      <c r="A75" s="10" t="s">
        <v>810</v>
      </c>
      <c r="B75" s="9" t="s">
        <v>97</v>
      </c>
      <c r="C75" s="70" t="n">
        <f aca="false">-Assumptions!$D$82</f>
        <v>-600</v>
      </c>
      <c r="D75" s="70" t="n">
        <f aca="false">-Assumptions!$D$82</f>
        <v>-600</v>
      </c>
      <c r="E75" s="70" t="n">
        <f aca="false">-Assumptions!$D$82</f>
        <v>-600</v>
      </c>
      <c r="F75" s="70" t="n">
        <f aca="false">-Assumptions!$D$82</f>
        <v>-600</v>
      </c>
      <c r="G75" s="70" t="n">
        <f aca="false">-Assumptions!$D$82</f>
        <v>-600</v>
      </c>
      <c r="H75" s="70" t="n">
        <f aca="false">-Assumptions!$D$82</f>
        <v>-600</v>
      </c>
      <c r="I75" s="70" t="n">
        <f aca="false">-Assumptions!$D$82</f>
        <v>-600</v>
      </c>
      <c r="J75" s="70" t="n">
        <f aca="false">-Assumptions!$D$82</f>
        <v>-600</v>
      </c>
      <c r="K75" s="70" t="n">
        <f aca="false">-Assumptions!$D$82</f>
        <v>-600</v>
      </c>
      <c r="L75" s="70" t="n">
        <f aca="false">-Assumptions!$D$82</f>
        <v>-600</v>
      </c>
      <c r="M75" s="70" t="n">
        <f aca="false">-Assumptions!$D$82</f>
        <v>-600</v>
      </c>
      <c r="N75" s="70" t="n">
        <f aca="false">-Assumptions!$D$82</f>
        <v>-600</v>
      </c>
      <c r="O75" s="70" t="n">
        <f aca="false">-Assumptions!$D$82</f>
        <v>-600</v>
      </c>
      <c r="P75" s="70" t="n">
        <f aca="false">-Assumptions!$D$82</f>
        <v>-600</v>
      </c>
      <c r="Q75" s="70" t="n">
        <f aca="false">-Assumptions!$D$82</f>
        <v>-600</v>
      </c>
      <c r="R75" s="70" t="n">
        <f aca="false">-Assumptions!$D$82</f>
        <v>-600</v>
      </c>
      <c r="S75" s="70" t="n">
        <f aca="false">-Assumptions!$D$82</f>
        <v>-600</v>
      </c>
      <c r="T75" s="70" t="n">
        <f aca="false">-Assumptions!$D$82</f>
        <v>-600</v>
      </c>
      <c r="U75" s="70" t="n">
        <f aca="false">-Assumptions!$D$82</f>
        <v>-600</v>
      </c>
      <c r="V75" s="70" t="n">
        <f aca="false">-Assumptions!$D$82</f>
        <v>-600</v>
      </c>
      <c r="W75" s="70" t="n">
        <f aca="false">-Assumptions!$D$82</f>
        <v>-600</v>
      </c>
      <c r="X75" s="70" t="n">
        <f aca="false">-Assumptions!$D$82</f>
        <v>-600</v>
      </c>
      <c r="Y75" s="70" t="n">
        <f aca="false">-Assumptions!$D$82</f>
        <v>-600</v>
      </c>
      <c r="Z75" s="70" t="n">
        <f aca="false">-Assumptions!$D$82</f>
        <v>-600</v>
      </c>
      <c r="AA75" s="70" t="n">
        <f aca="false">-Assumptions!$D$82</f>
        <v>-600</v>
      </c>
      <c r="AB75" s="70" t="n">
        <f aca="false">-Assumptions!$D$82</f>
        <v>-600</v>
      </c>
      <c r="AC75" s="70" t="n">
        <f aca="false">-Assumptions!$D$82</f>
        <v>-600</v>
      </c>
      <c r="AD75" s="70" t="n">
        <f aca="false">-Assumptions!$D$82</f>
        <v>-600</v>
      </c>
      <c r="AE75" s="70" t="n">
        <f aca="false">-Assumptions!$D$82</f>
        <v>-600</v>
      </c>
      <c r="AF75" s="70" t="n">
        <f aca="false">-Assumptions!$D$82</f>
        <v>-600</v>
      </c>
      <c r="AG75" s="70" t="n">
        <f aca="false">-Assumptions!$D$82</f>
        <v>-600</v>
      </c>
      <c r="AH75" s="70" t="n">
        <f aca="false">-Assumptions!$D$82</f>
        <v>-600</v>
      </c>
      <c r="AI75" s="70" t="n">
        <f aca="false">-Assumptions!$D$82</f>
        <v>-600</v>
      </c>
      <c r="AJ75" s="70" t="n">
        <f aca="false">-Assumptions!$D$82</f>
        <v>-600</v>
      </c>
      <c r="AK75" s="70" t="n">
        <f aca="false">-Assumptions!$D$82</f>
        <v>-600</v>
      </c>
      <c r="AL75" s="70" t="n">
        <f aca="false">-Assumptions!$D$82</f>
        <v>-600</v>
      </c>
      <c r="AM75" s="70" t="n">
        <f aca="false">SUM(C75:AL75)</f>
        <v>-21600</v>
      </c>
    </row>
    <row r="76" customFormat="false" ht="15" hidden="false" customHeight="false" outlineLevel="0" collapsed="false">
      <c r="A76" s="10" t="s">
        <v>811</v>
      </c>
      <c r="B76" s="9" t="s">
        <v>97</v>
      </c>
      <c r="C76" s="70" t="n">
        <f aca="false">-Assumptions!$D$83</f>
        <v>-320</v>
      </c>
      <c r="D76" s="70" t="n">
        <f aca="false">-Assumptions!$D$83</f>
        <v>-320</v>
      </c>
      <c r="E76" s="70" t="n">
        <f aca="false">-Assumptions!$D$83</f>
        <v>-320</v>
      </c>
      <c r="F76" s="70" t="n">
        <f aca="false">-Assumptions!$D$83</f>
        <v>-320</v>
      </c>
      <c r="G76" s="70" t="n">
        <f aca="false">-Assumptions!$D$83</f>
        <v>-320</v>
      </c>
      <c r="H76" s="70" t="n">
        <f aca="false">-Assumptions!$D$83</f>
        <v>-320</v>
      </c>
      <c r="I76" s="70" t="n">
        <f aca="false">-Assumptions!$D$83</f>
        <v>-320</v>
      </c>
      <c r="J76" s="70" t="n">
        <f aca="false">-Assumptions!$D$83</f>
        <v>-320</v>
      </c>
      <c r="K76" s="70" t="n">
        <f aca="false">-Assumptions!$D$83</f>
        <v>-320</v>
      </c>
      <c r="L76" s="70" t="n">
        <f aca="false">-Assumptions!$D$83</f>
        <v>-320</v>
      </c>
      <c r="M76" s="70" t="n">
        <f aca="false">-Assumptions!$D$83</f>
        <v>-320</v>
      </c>
      <c r="N76" s="70" t="n">
        <f aca="false">-Assumptions!$D$83</f>
        <v>-320</v>
      </c>
      <c r="O76" s="70" t="n">
        <f aca="false">-Assumptions!$D$83</f>
        <v>-320</v>
      </c>
      <c r="P76" s="70" t="n">
        <f aca="false">-Assumptions!$D$83</f>
        <v>-320</v>
      </c>
      <c r="Q76" s="70" t="n">
        <f aca="false">-Assumptions!$D$83</f>
        <v>-320</v>
      </c>
      <c r="R76" s="70" t="n">
        <f aca="false">-Assumptions!$D$83</f>
        <v>-320</v>
      </c>
      <c r="S76" s="70" t="n">
        <f aca="false">-Assumptions!$D$83</f>
        <v>-320</v>
      </c>
      <c r="T76" s="70" t="n">
        <f aca="false">-Assumptions!$D$83</f>
        <v>-320</v>
      </c>
      <c r="U76" s="70" t="n">
        <f aca="false">-Assumptions!$D$83</f>
        <v>-320</v>
      </c>
      <c r="V76" s="70" t="n">
        <f aca="false">-Assumptions!$D$83</f>
        <v>-320</v>
      </c>
      <c r="W76" s="70" t="n">
        <f aca="false">-Assumptions!$D$83</f>
        <v>-320</v>
      </c>
      <c r="X76" s="70" t="n">
        <f aca="false">-Assumptions!$D$83</f>
        <v>-320</v>
      </c>
      <c r="Y76" s="70" t="n">
        <f aca="false">-Assumptions!$D$83</f>
        <v>-320</v>
      </c>
      <c r="Z76" s="70" t="n">
        <f aca="false">-Assumptions!$D$83</f>
        <v>-320</v>
      </c>
      <c r="AA76" s="70" t="n">
        <f aca="false">-Assumptions!$D$83</f>
        <v>-320</v>
      </c>
      <c r="AB76" s="70" t="n">
        <f aca="false">-Assumptions!$D$83</f>
        <v>-320</v>
      </c>
      <c r="AC76" s="70" t="n">
        <f aca="false">-Assumptions!$D$83</f>
        <v>-320</v>
      </c>
      <c r="AD76" s="70" t="n">
        <f aca="false">-Assumptions!$D$83</f>
        <v>-320</v>
      </c>
      <c r="AE76" s="70" t="n">
        <f aca="false">-Assumptions!$D$83</f>
        <v>-320</v>
      </c>
      <c r="AF76" s="70" t="n">
        <f aca="false">-Assumptions!$D$83</f>
        <v>-320</v>
      </c>
      <c r="AG76" s="70" t="n">
        <f aca="false">-Assumptions!$D$83</f>
        <v>-320</v>
      </c>
      <c r="AH76" s="70" t="n">
        <f aca="false">-Assumptions!$D$83</f>
        <v>-320</v>
      </c>
      <c r="AI76" s="70" t="n">
        <f aca="false">-Assumptions!$D$83</f>
        <v>-320</v>
      </c>
      <c r="AJ76" s="70" t="n">
        <f aca="false">-Assumptions!$D$83</f>
        <v>-320</v>
      </c>
      <c r="AK76" s="70" t="n">
        <f aca="false">-Assumptions!$D$83</f>
        <v>-320</v>
      </c>
      <c r="AL76" s="70" t="n">
        <f aca="false">-Assumptions!$D$83</f>
        <v>-320</v>
      </c>
      <c r="AM76" s="70" t="n">
        <f aca="false">SUM(C76:AL76)</f>
        <v>-11520</v>
      </c>
    </row>
    <row r="77" customFormat="false" ht="15" hidden="false" customHeight="false" outlineLevel="0" collapsed="false">
      <c r="A77" s="10" t="s">
        <v>812</v>
      </c>
      <c r="B77" s="9" t="s">
        <v>97</v>
      </c>
      <c r="C77" s="70" t="n">
        <f aca="false">-MAX(IF(C8=0,Assumptions!$D$84,IF(C$5&lt;=12,Assumptions!$D$85,IF(C$5&lt;=24,Assumptions!$D$86,Assumptions!$D$87))))</f>
        <v>-4000</v>
      </c>
      <c r="D77" s="70" t="n">
        <f aca="false">-MAX(IF(D8=0,Assumptions!$D$84,IF(D$5&lt;=12,Assumptions!$D$85,IF(D$5&lt;=24,Assumptions!$D$86,Assumptions!$D$87))),C72*Assumptions!$D$88)</f>
        <v>-4000</v>
      </c>
      <c r="E77" s="70" t="n">
        <f aca="false">-MAX(IF(E8=0,Assumptions!$D$84,IF(E$5&lt;=12,Assumptions!$D$85,IF(E$5&lt;=24,Assumptions!$D$86,Assumptions!$D$87))),D72*Assumptions!$D$88)</f>
        <v>-10000</v>
      </c>
      <c r="F77" s="70" t="n">
        <f aca="false">-MAX(IF(F8=0,Assumptions!$D$84,IF(F$5&lt;=12,Assumptions!$D$85,IF(F$5&lt;=24,Assumptions!$D$86,Assumptions!$D$87))),E72*Assumptions!$D$88)</f>
        <v>-10000</v>
      </c>
      <c r="G77" s="70" t="n">
        <f aca="false">-MAX(IF(G8=0,Assumptions!$D$84,IF(G$5&lt;=12,Assumptions!$D$85,IF(G$5&lt;=24,Assumptions!$D$86,Assumptions!$D$87))),F72*Assumptions!$D$88)</f>
        <v>-10000</v>
      </c>
      <c r="H77" s="70" t="n">
        <f aca="false">-MAX(IF(H8=0,Assumptions!$D$84,IF(H$5&lt;=12,Assumptions!$D$85,IF(H$5&lt;=24,Assumptions!$D$86,Assumptions!$D$87))),G72*Assumptions!$D$88)</f>
        <v>-10000</v>
      </c>
      <c r="I77" s="70" t="n">
        <f aca="false">-MAX(IF(I8=0,Assumptions!$D$84,IF(I$5&lt;=12,Assumptions!$D$85,IF(I$5&lt;=24,Assumptions!$D$86,Assumptions!$D$87))),H72*Assumptions!$D$88)</f>
        <v>-10000</v>
      </c>
      <c r="J77" s="70" t="n">
        <f aca="false">-MAX(IF(J8=0,Assumptions!$D$84,IF(J$5&lt;=12,Assumptions!$D$85,IF(J$5&lt;=24,Assumptions!$D$86,Assumptions!$D$87))),I72*Assumptions!$D$88)</f>
        <v>-10000</v>
      </c>
      <c r="K77" s="70" t="n">
        <f aca="false">-MAX(IF(K8=0,Assumptions!$D$84,IF(K$5&lt;=12,Assumptions!$D$85,IF(K$5&lt;=24,Assumptions!$D$86,Assumptions!$D$87))),J72*Assumptions!$D$88)</f>
        <v>-10000</v>
      </c>
      <c r="L77" s="70" t="n">
        <f aca="false">-MAX(IF(L8=0,Assumptions!$D$84,IF(L$5&lt;=12,Assumptions!$D$85,IF(L$5&lt;=24,Assumptions!$D$86,Assumptions!$D$87))),K72*Assumptions!$D$88)</f>
        <v>-10000</v>
      </c>
      <c r="M77" s="70" t="n">
        <f aca="false">-MAX(IF(M8=0,Assumptions!$D$84,IF(M$5&lt;=12,Assumptions!$D$85,IF(M$5&lt;=24,Assumptions!$D$86,Assumptions!$D$87))),L72*Assumptions!$D$88)</f>
        <v>-10000</v>
      </c>
      <c r="N77" s="70" t="n">
        <f aca="false">-MAX(IF(N8=0,Assumptions!$D$84,IF(N$5&lt;=12,Assumptions!$D$85,IF(N$5&lt;=24,Assumptions!$D$86,Assumptions!$D$87))),M72*Assumptions!$D$88)</f>
        <v>-10000</v>
      </c>
      <c r="O77" s="70" t="n">
        <f aca="false">-MAX(IF(O8=0,Assumptions!$D$84,IF(O$5&lt;=12,Assumptions!$D$85,IF(O$5&lt;=24,Assumptions!$D$86,Assumptions!$D$87))),N72*Assumptions!$D$88)</f>
        <v>-18000</v>
      </c>
      <c r="P77" s="70" t="n">
        <f aca="false">-MAX(IF(P8=0,Assumptions!$D$84,IF(P$5&lt;=12,Assumptions!$D$85,IF(P$5&lt;=24,Assumptions!$D$86,Assumptions!$D$87))),O72*Assumptions!$D$88)</f>
        <v>-18000</v>
      </c>
      <c r="Q77" s="70" t="n">
        <f aca="false">-MAX(IF(Q8=0,Assumptions!$D$84,IF(Q$5&lt;=12,Assumptions!$D$85,IF(Q$5&lt;=24,Assumptions!$D$86,Assumptions!$D$87))),P72*Assumptions!$D$88)</f>
        <v>-18000</v>
      </c>
      <c r="R77" s="70" t="n">
        <f aca="false">-MAX(IF(R8=0,Assumptions!$D$84,IF(R$5&lt;=12,Assumptions!$D$85,IF(R$5&lt;=24,Assumptions!$D$86,Assumptions!$D$87))),Q72*Assumptions!$D$88)</f>
        <v>-18000</v>
      </c>
      <c r="S77" s="70" t="n">
        <f aca="false">-MAX(IF(S8=0,Assumptions!$D$84,IF(S$5&lt;=12,Assumptions!$D$85,IF(S$5&lt;=24,Assumptions!$D$86,Assumptions!$D$87))),R72*Assumptions!$D$88)</f>
        <v>-18000</v>
      </c>
      <c r="T77" s="70" t="n">
        <f aca="false">-MAX(IF(T8=0,Assumptions!$D$84,IF(T$5&lt;=12,Assumptions!$D$85,IF(T$5&lt;=24,Assumptions!$D$86,Assumptions!$D$87))),S72*Assumptions!$D$88)</f>
        <v>-18000</v>
      </c>
      <c r="U77" s="70" t="n">
        <f aca="false">-MAX(IF(U8=0,Assumptions!$D$84,IF(U$5&lt;=12,Assumptions!$D$85,IF(U$5&lt;=24,Assumptions!$D$86,Assumptions!$D$87))),T72*Assumptions!$D$88)</f>
        <v>-18000</v>
      </c>
      <c r="V77" s="70" t="n">
        <f aca="false">-MAX(IF(V8=0,Assumptions!$D$84,IF(V$5&lt;=12,Assumptions!$D$85,IF(V$5&lt;=24,Assumptions!$D$86,Assumptions!$D$87))),U72*Assumptions!$D$88)</f>
        <v>-18000</v>
      </c>
      <c r="W77" s="70" t="n">
        <f aca="false">-MAX(IF(W8=0,Assumptions!$D$84,IF(W$5&lt;=12,Assumptions!$D$85,IF(W$5&lt;=24,Assumptions!$D$86,Assumptions!$D$87))),V72*Assumptions!$D$88)</f>
        <v>-18000</v>
      </c>
      <c r="X77" s="70" t="n">
        <f aca="false">-MAX(IF(X8=0,Assumptions!$D$84,IF(X$5&lt;=12,Assumptions!$D$85,IF(X$5&lt;=24,Assumptions!$D$86,Assumptions!$D$87))),W72*Assumptions!$D$88)</f>
        <v>-18000</v>
      </c>
      <c r="Y77" s="70" t="n">
        <f aca="false">-MAX(IF(Y8=0,Assumptions!$D$84,IF(Y$5&lt;=12,Assumptions!$D$85,IF(Y$5&lt;=24,Assumptions!$D$86,Assumptions!$D$87))),X72*Assumptions!$D$88)</f>
        <v>-18000</v>
      </c>
      <c r="Z77" s="70" t="n">
        <f aca="false">-MAX(IF(Z8=0,Assumptions!$D$84,IF(Z$5&lt;=12,Assumptions!$D$85,IF(Z$5&lt;=24,Assumptions!$D$86,Assumptions!$D$87))),Y72*Assumptions!$D$88)</f>
        <v>-18000</v>
      </c>
      <c r="AA77" s="70" t="n">
        <f aca="false">-MAX(IF(AA8=0,Assumptions!$D$84,IF(AA$5&lt;=12,Assumptions!$D$85,IF(AA$5&lt;=24,Assumptions!$D$86,Assumptions!$D$87))),Z72*Assumptions!$D$88)</f>
        <v>-26000</v>
      </c>
      <c r="AB77" s="70" t="n">
        <f aca="false">-MAX(IF(AB8=0,Assumptions!$D$84,IF(AB$5&lt;=12,Assumptions!$D$85,IF(AB$5&lt;=24,Assumptions!$D$86,Assumptions!$D$87))),AA72*Assumptions!$D$88)</f>
        <v>-26000</v>
      </c>
      <c r="AC77" s="70" t="n">
        <f aca="false">-MAX(IF(AC8=0,Assumptions!$D$84,IF(AC$5&lt;=12,Assumptions!$D$85,IF(AC$5&lt;=24,Assumptions!$D$86,Assumptions!$D$87))),AB72*Assumptions!$D$88)</f>
        <v>-26000</v>
      </c>
      <c r="AD77" s="70" t="n">
        <f aca="false">-MAX(IF(AD8=0,Assumptions!$D$84,IF(AD$5&lt;=12,Assumptions!$D$85,IF(AD$5&lt;=24,Assumptions!$D$86,Assumptions!$D$87))),AC72*Assumptions!$D$88)</f>
        <v>-26000</v>
      </c>
      <c r="AE77" s="70" t="n">
        <f aca="false">-MAX(IF(AE8=0,Assumptions!$D$84,IF(AE$5&lt;=12,Assumptions!$D$85,IF(AE$5&lt;=24,Assumptions!$D$86,Assumptions!$D$87))),AD72*Assumptions!$D$88)</f>
        <v>-26000</v>
      </c>
      <c r="AF77" s="70" t="n">
        <f aca="false">-MAX(IF(AF8=0,Assumptions!$D$84,IF(AF$5&lt;=12,Assumptions!$D$85,IF(AF$5&lt;=24,Assumptions!$D$86,Assumptions!$D$87))),AE72*Assumptions!$D$88)</f>
        <v>-26000</v>
      </c>
      <c r="AG77" s="70" t="n">
        <f aca="false">-MAX(IF(AG8=0,Assumptions!$D$84,IF(AG$5&lt;=12,Assumptions!$D$85,IF(AG$5&lt;=24,Assumptions!$D$86,Assumptions!$D$87))),AF72*Assumptions!$D$88)</f>
        <v>-26000</v>
      </c>
      <c r="AH77" s="70" t="n">
        <f aca="false">-MAX(IF(AH8=0,Assumptions!$D$84,IF(AH$5&lt;=12,Assumptions!$D$85,IF(AH$5&lt;=24,Assumptions!$D$86,Assumptions!$D$87))),AG72*Assumptions!$D$88)</f>
        <v>-26000</v>
      </c>
      <c r="AI77" s="70" t="n">
        <f aca="false">-MAX(IF(AI8=0,Assumptions!$D$84,IF(AI$5&lt;=12,Assumptions!$D$85,IF(AI$5&lt;=24,Assumptions!$D$86,Assumptions!$D$87))),AH72*Assumptions!$D$88)</f>
        <v>-26000</v>
      </c>
      <c r="AJ77" s="70" t="n">
        <f aca="false">-MAX(IF(AJ8=0,Assumptions!$D$84,IF(AJ$5&lt;=12,Assumptions!$D$85,IF(AJ$5&lt;=24,Assumptions!$D$86,Assumptions!$D$87))),AI72*Assumptions!$D$88)</f>
        <v>-26000</v>
      </c>
      <c r="AK77" s="70" t="n">
        <f aca="false">-MAX(IF(AK8=0,Assumptions!$D$84,IF(AK$5&lt;=12,Assumptions!$D$85,IF(AK$5&lt;=24,Assumptions!$D$86,Assumptions!$D$87))),AJ72*Assumptions!$D$88)</f>
        <v>-26000</v>
      </c>
      <c r="AL77" s="70" t="n">
        <f aca="false">-MAX(IF(AL8=0,Assumptions!$D$84,IF(AL$5&lt;=12,Assumptions!$D$85,IF(AL$5&lt;=24,Assumptions!$D$86,Assumptions!$D$87))),AK72*Assumptions!$D$88)</f>
        <v>-26000</v>
      </c>
      <c r="AM77" s="70" t="n">
        <f aca="false">SUM(C77:AL77)</f>
        <v>-636000</v>
      </c>
    </row>
    <row r="78" customFormat="false" ht="15" hidden="false" customHeight="false" outlineLevel="0" collapsed="false">
      <c r="A78" s="10" t="s">
        <v>813</v>
      </c>
      <c r="B78" s="9" t="s">
        <v>97</v>
      </c>
      <c r="C78" s="70" t="n">
        <f aca="false">-IF(C$5&gt;=Assumptions!$D$7-2,Assumptions!$D$91,0)</f>
        <v>-0</v>
      </c>
      <c r="D78" s="70" t="n">
        <f aca="false">-IF(D$5&gt;=Assumptions!$D$7-2,Assumptions!$D$91,0)</f>
        <v>-0</v>
      </c>
      <c r="E78" s="70" t="n">
        <f aca="false">-IF(E$5&gt;=Assumptions!$D$7-2,Assumptions!$D$91,0)</f>
        <v>-0</v>
      </c>
      <c r="F78" s="70" t="n">
        <f aca="false">-IF(F$5&gt;=Assumptions!$D$7-2,Assumptions!$D$91,0)</f>
        <v>-0</v>
      </c>
      <c r="G78" s="70" t="n">
        <f aca="false">-IF(G$5&gt;=Assumptions!$D$7-2,Assumptions!$D$91,0)</f>
        <v>-0</v>
      </c>
      <c r="H78" s="70" t="n">
        <f aca="false">-IF(H$5&gt;=Assumptions!$D$7-2,Assumptions!$D$91,0)</f>
        <v>-0</v>
      </c>
      <c r="I78" s="70" t="n">
        <f aca="false">-IF(I$5&gt;=Assumptions!$D$7-2,Assumptions!$D$91,0)</f>
        <v>-5000</v>
      </c>
      <c r="J78" s="70" t="n">
        <f aca="false">-IF(J$5&gt;=Assumptions!$D$7-2,Assumptions!$D$91,0)</f>
        <v>-5000</v>
      </c>
      <c r="K78" s="70" t="n">
        <f aca="false">-IF(K$5&gt;=Assumptions!$D$7-2,Assumptions!$D$91,0)</f>
        <v>-5000</v>
      </c>
      <c r="L78" s="70" t="n">
        <f aca="false">-IF(L$5&gt;=Assumptions!$D$7-2,Assumptions!$D$91,0)</f>
        <v>-5000</v>
      </c>
      <c r="M78" s="70" t="n">
        <f aca="false">-IF(M$5&gt;=Assumptions!$D$7-2,Assumptions!$D$91,0)</f>
        <v>-5000</v>
      </c>
      <c r="N78" s="70" t="n">
        <f aca="false">-IF(N$5&gt;=Assumptions!$D$7-2,Assumptions!$D$91,0)</f>
        <v>-5000</v>
      </c>
      <c r="O78" s="70" t="n">
        <f aca="false">-IF(O$5&gt;=Assumptions!$D$7-2,Assumptions!$D$91,0)</f>
        <v>-5000</v>
      </c>
      <c r="P78" s="70" t="n">
        <f aca="false">-IF(P$5&gt;=Assumptions!$D$7-2,Assumptions!$D$91,0)</f>
        <v>-5000</v>
      </c>
      <c r="Q78" s="70" t="n">
        <f aca="false">-IF(Q$5&gt;=Assumptions!$D$7-2,Assumptions!$D$91,0)</f>
        <v>-5000</v>
      </c>
      <c r="R78" s="70" t="n">
        <f aca="false">-IF(R$5&gt;=Assumptions!$D$7-2,Assumptions!$D$91,0)</f>
        <v>-5000</v>
      </c>
      <c r="S78" s="70" t="n">
        <f aca="false">-IF(S$5&gt;=Assumptions!$D$7-2,Assumptions!$D$91,0)</f>
        <v>-5000</v>
      </c>
      <c r="T78" s="70" t="n">
        <f aca="false">-IF(T$5&gt;=Assumptions!$D$7-2,Assumptions!$D$91,0)</f>
        <v>-5000</v>
      </c>
      <c r="U78" s="70" t="n">
        <f aca="false">-IF(U$5&gt;=Assumptions!$D$7-2,Assumptions!$D$91,0)</f>
        <v>-5000</v>
      </c>
      <c r="V78" s="70" t="n">
        <f aca="false">-IF(V$5&gt;=Assumptions!$D$7-2,Assumptions!$D$91,0)</f>
        <v>-5000</v>
      </c>
      <c r="W78" s="70" t="n">
        <f aca="false">-IF(W$5&gt;=Assumptions!$D$7-2,Assumptions!$D$91,0)</f>
        <v>-5000</v>
      </c>
      <c r="X78" s="70" t="n">
        <f aca="false">-IF(X$5&gt;=Assumptions!$D$7-2,Assumptions!$D$91,0)</f>
        <v>-5000</v>
      </c>
      <c r="Y78" s="70" t="n">
        <f aca="false">-IF(Y$5&gt;=Assumptions!$D$7-2,Assumptions!$D$91,0)</f>
        <v>-5000</v>
      </c>
      <c r="Z78" s="70" t="n">
        <f aca="false">-IF(Z$5&gt;=Assumptions!$D$7-2,Assumptions!$D$91,0)</f>
        <v>-5000</v>
      </c>
      <c r="AA78" s="70" t="n">
        <f aca="false">-IF(AA$5&gt;=Assumptions!$D$7-2,Assumptions!$D$91,0)</f>
        <v>-5000</v>
      </c>
      <c r="AB78" s="70" t="n">
        <f aca="false">-IF(AB$5&gt;=Assumptions!$D$7-2,Assumptions!$D$91,0)</f>
        <v>-5000</v>
      </c>
      <c r="AC78" s="70" t="n">
        <f aca="false">-IF(AC$5&gt;=Assumptions!$D$7-2,Assumptions!$D$91,0)</f>
        <v>-5000</v>
      </c>
      <c r="AD78" s="70" t="n">
        <f aca="false">-IF(AD$5&gt;=Assumptions!$D$7-2,Assumptions!$D$91,0)</f>
        <v>-5000</v>
      </c>
      <c r="AE78" s="70" t="n">
        <f aca="false">-IF(AE$5&gt;=Assumptions!$D$7-2,Assumptions!$D$91,0)</f>
        <v>-5000</v>
      </c>
      <c r="AF78" s="70" t="n">
        <f aca="false">-IF(AF$5&gt;=Assumptions!$D$7-2,Assumptions!$D$91,0)</f>
        <v>-5000</v>
      </c>
      <c r="AG78" s="70" t="n">
        <f aca="false">-IF(AG$5&gt;=Assumptions!$D$7-2,Assumptions!$D$91,0)</f>
        <v>-5000</v>
      </c>
      <c r="AH78" s="70" t="n">
        <f aca="false">-IF(AH$5&gt;=Assumptions!$D$7-2,Assumptions!$D$91,0)</f>
        <v>-5000</v>
      </c>
      <c r="AI78" s="70" t="n">
        <f aca="false">-IF(AI$5&gt;=Assumptions!$D$7-2,Assumptions!$D$91,0)</f>
        <v>-5000</v>
      </c>
      <c r="AJ78" s="70" t="n">
        <f aca="false">-IF(AJ$5&gt;=Assumptions!$D$7-2,Assumptions!$D$91,0)</f>
        <v>-5000</v>
      </c>
      <c r="AK78" s="70" t="n">
        <f aca="false">-IF(AK$5&gt;=Assumptions!$D$7-2,Assumptions!$D$91,0)</f>
        <v>-5000</v>
      </c>
      <c r="AL78" s="70" t="n">
        <f aca="false">-IF(AL$5&gt;=Assumptions!$D$7-2,Assumptions!$D$91,0)</f>
        <v>-5000</v>
      </c>
      <c r="AM78" s="70" t="n">
        <f aca="false">SUM(C78:AL78)</f>
        <v>-150000</v>
      </c>
    </row>
    <row r="79" customFormat="false" ht="15" hidden="false" customHeight="false" outlineLevel="0" collapsed="false">
      <c r="A79" s="10" t="s">
        <v>814</v>
      </c>
      <c r="B79" s="9" t="s">
        <v>97</v>
      </c>
      <c r="C79" s="70" t="n">
        <f aca="false">-Assumptions!$D$92</f>
        <v>-900</v>
      </c>
      <c r="D79" s="70" t="n">
        <f aca="false">-MAX(Assumptions!$D$92,C72*Assumptions!$D$90)</f>
        <v>-900</v>
      </c>
      <c r="E79" s="70" t="n">
        <f aca="false">-MAX(Assumptions!$D$92,D72*Assumptions!$D$90)</f>
        <v>-900</v>
      </c>
      <c r="F79" s="70" t="n">
        <f aca="false">-MAX(Assumptions!$D$92,E72*Assumptions!$D$90)</f>
        <v>-900</v>
      </c>
      <c r="G79" s="70" t="n">
        <f aca="false">-MAX(Assumptions!$D$92,F72*Assumptions!$D$90)</f>
        <v>-900</v>
      </c>
      <c r="H79" s="70" t="n">
        <f aca="false">-MAX(Assumptions!$D$92,G72*Assumptions!$D$90)</f>
        <v>-900</v>
      </c>
      <c r="I79" s="70" t="n">
        <f aca="false">-MAX(Assumptions!$D$92,H72*Assumptions!$D$90)</f>
        <v>-900</v>
      </c>
      <c r="J79" s="70" t="n">
        <f aca="false">-MAX(Assumptions!$D$92,I72*Assumptions!$D$90)</f>
        <v>-900</v>
      </c>
      <c r="K79" s="70" t="n">
        <f aca="false">-MAX(Assumptions!$D$92,J72*Assumptions!$D$90)</f>
        <v>-900</v>
      </c>
      <c r="L79" s="70" t="n">
        <f aca="false">-MAX(Assumptions!$D$92,K72*Assumptions!$D$90)</f>
        <v>-900</v>
      </c>
      <c r="M79" s="70" t="n">
        <f aca="false">-MAX(Assumptions!$D$92,L72*Assumptions!$D$90)</f>
        <v>-900</v>
      </c>
      <c r="N79" s="70" t="n">
        <f aca="false">-MAX(Assumptions!$D$92,M72*Assumptions!$D$90)</f>
        <v>-900</v>
      </c>
      <c r="O79" s="70" t="n">
        <f aca="false">-MAX(Assumptions!$D$92,N72*Assumptions!$D$90)</f>
        <v>-900</v>
      </c>
      <c r="P79" s="70" t="n">
        <f aca="false">-MAX(Assumptions!$D$92,O72*Assumptions!$D$90)</f>
        <v>-900</v>
      </c>
      <c r="Q79" s="70" t="n">
        <f aca="false">-MAX(Assumptions!$D$92,P72*Assumptions!$D$90)</f>
        <v>-900</v>
      </c>
      <c r="R79" s="70" t="n">
        <f aca="false">-MAX(Assumptions!$D$92,Q72*Assumptions!$D$90)</f>
        <v>-900</v>
      </c>
      <c r="S79" s="70" t="n">
        <f aca="false">-MAX(Assumptions!$D$92,R72*Assumptions!$D$90)</f>
        <v>-900</v>
      </c>
      <c r="T79" s="70" t="n">
        <f aca="false">-MAX(Assumptions!$D$92,S72*Assumptions!$D$90)</f>
        <v>-900</v>
      </c>
      <c r="U79" s="70" t="n">
        <f aca="false">-MAX(Assumptions!$D$92,T72*Assumptions!$D$90)</f>
        <v>-900</v>
      </c>
      <c r="V79" s="70" t="n">
        <f aca="false">-MAX(Assumptions!$D$92,U72*Assumptions!$D$90)</f>
        <v>-900</v>
      </c>
      <c r="W79" s="70" t="n">
        <f aca="false">-MAX(Assumptions!$D$92,V72*Assumptions!$D$90)</f>
        <v>-900</v>
      </c>
      <c r="X79" s="70" t="n">
        <f aca="false">-MAX(Assumptions!$D$92,W72*Assumptions!$D$90)</f>
        <v>-900</v>
      </c>
      <c r="Y79" s="70" t="n">
        <f aca="false">-MAX(Assumptions!$D$92,X72*Assumptions!$D$90)</f>
        <v>-900</v>
      </c>
      <c r="Z79" s="70" t="n">
        <f aca="false">-MAX(Assumptions!$D$92,Y72*Assumptions!$D$90)</f>
        <v>-900</v>
      </c>
      <c r="AA79" s="70" t="n">
        <f aca="false">-MAX(Assumptions!$D$92,Z72*Assumptions!$D$90)</f>
        <v>-900</v>
      </c>
      <c r="AB79" s="70" t="n">
        <f aca="false">-MAX(Assumptions!$D$92,AA72*Assumptions!$D$90)</f>
        <v>-900</v>
      </c>
      <c r="AC79" s="70" t="n">
        <f aca="false">-MAX(Assumptions!$D$92,AB72*Assumptions!$D$90)</f>
        <v>-900</v>
      </c>
      <c r="AD79" s="70" t="n">
        <f aca="false">-MAX(Assumptions!$D$92,AC72*Assumptions!$D$90)</f>
        <v>-900</v>
      </c>
      <c r="AE79" s="70" t="n">
        <f aca="false">-MAX(Assumptions!$D$92,AD72*Assumptions!$D$90)</f>
        <v>-900</v>
      </c>
      <c r="AF79" s="70" t="n">
        <f aca="false">-MAX(Assumptions!$D$92,AE72*Assumptions!$D$90)</f>
        <v>-900</v>
      </c>
      <c r="AG79" s="70" t="n">
        <f aca="false">-MAX(Assumptions!$D$92,AF72*Assumptions!$D$90)</f>
        <v>-900</v>
      </c>
      <c r="AH79" s="70" t="n">
        <f aca="false">-MAX(Assumptions!$D$92,AG72*Assumptions!$D$90)</f>
        <v>-900</v>
      </c>
      <c r="AI79" s="70" t="n">
        <f aca="false">-MAX(Assumptions!$D$92,AH72*Assumptions!$D$90)</f>
        <v>-900</v>
      </c>
      <c r="AJ79" s="70" t="n">
        <f aca="false">-MAX(Assumptions!$D$92,AI72*Assumptions!$D$90)</f>
        <v>-900</v>
      </c>
      <c r="AK79" s="70" t="n">
        <f aca="false">-MAX(Assumptions!$D$92,AJ72*Assumptions!$D$90)</f>
        <v>-900</v>
      </c>
      <c r="AL79" s="70" t="n">
        <f aca="false">-MAX(Assumptions!$D$92,AK72*Assumptions!$D$90)</f>
        <v>-900</v>
      </c>
      <c r="AM79" s="70" t="n">
        <f aca="false">SUM(C79:AL79)</f>
        <v>-32400</v>
      </c>
    </row>
    <row r="80" customFormat="false" ht="15" hidden="false" customHeight="false" outlineLevel="0" collapsed="false">
      <c r="A80" s="10" t="s">
        <v>815</v>
      </c>
      <c r="B80" s="9" t="s">
        <v>97</v>
      </c>
      <c r="C80" s="70" t="n">
        <f aca="false">-IF(C$5&lt;=3,Assumptions!$D$93,Assumptions!$D$94)</f>
        <v>-12000</v>
      </c>
      <c r="D80" s="70" t="n">
        <f aca="false">-IF(D$5&lt;=3,Assumptions!$D$93,Assumptions!$D$94)</f>
        <v>-12000</v>
      </c>
      <c r="E80" s="70" t="n">
        <f aca="false">-IF(E$5&lt;=3,Assumptions!$D$93,Assumptions!$D$94)</f>
        <v>-12000</v>
      </c>
      <c r="F80" s="70" t="n">
        <f aca="false">-IF(F$5&lt;=3,Assumptions!$D$93,Assumptions!$D$94)</f>
        <v>-3000</v>
      </c>
      <c r="G80" s="70" t="n">
        <f aca="false">-IF(G$5&lt;=3,Assumptions!$D$93,Assumptions!$D$94)</f>
        <v>-3000</v>
      </c>
      <c r="H80" s="70" t="n">
        <f aca="false">-IF(H$5&lt;=3,Assumptions!$D$93,Assumptions!$D$94)</f>
        <v>-3000</v>
      </c>
      <c r="I80" s="70" t="n">
        <f aca="false">-IF(I$5&lt;=3,Assumptions!$D$93,Assumptions!$D$94)</f>
        <v>-3000</v>
      </c>
      <c r="J80" s="70" t="n">
        <f aca="false">-IF(J$5&lt;=3,Assumptions!$D$93,Assumptions!$D$94)</f>
        <v>-3000</v>
      </c>
      <c r="K80" s="70" t="n">
        <f aca="false">-IF(K$5&lt;=3,Assumptions!$D$93,Assumptions!$D$94)</f>
        <v>-3000</v>
      </c>
      <c r="L80" s="70" t="n">
        <f aca="false">-IF(L$5&lt;=3,Assumptions!$D$93,Assumptions!$D$94)</f>
        <v>-3000</v>
      </c>
      <c r="M80" s="70" t="n">
        <f aca="false">-IF(M$5&lt;=3,Assumptions!$D$93,Assumptions!$D$94)</f>
        <v>-3000</v>
      </c>
      <c r="N80" s="70" t="n">
        <f aca="false">-IF(N$5&lt;=3,Assumptions!$D$93,Assumptions!$D$94)</f>
        <v>-3000</v>
      </c>
      <c r="O80" s="70" t="n">
        <f aca="false">-IF(O$5&lt;=3,Assumptions!$D$93,Assumptions!$D$94)</f>
        <v>-3000</v>
      </c>
      <c r="P80" s="70" t="n">
        <f aca="false">-IF(P$5&lt;=3,Assumptions!$D$93,Assumptions!$D$94)</f>
        <v>-3000</v>
      </c>
      <c r="Q80" s="70" t="n">
        <f aca="false">-IF(Q$5&lt;=3,Assumptions!$D$93,Assumptions!$D$94)</f>
        <v>-3000</v>
      </c>
      <c r="R80" s="70" t="n">
        <f aca="false">-IF(R$5&lt;=3,Assumptions!$D$93,Assumptions!$D$94)</f>
        <v>-3000</v>
      </c>
      <c r="S80" s="70" t="n">
        <f aca="false">-IF(S$5&lt;=3,Assumptions!$D$93,Assumptions!$D$94)</f>
        <v>-3000</v>
      </c>
      <c r="T80" s="70" t="n">
        <f aca="false">-IF(T$5&lt;=3,Assumptions!$D$93,Assumptions!$D$94)</f>
        <v>-3000</v>
      </c>
      <c r="U80" s="70" t="n">
        <f aca="false">-IF(U$5&lt;=3,Assumptions!$D$93,Assumptions!$D$94)</f>
        <v>-3000</v>
      </c>
      <c r="V80" s="70" t="n">
        <f aca="false">-IF(V$5&lt;=3,Assumptions!$D$93,Assumptions!$D$94)</f>
        <v>-3000</v>
      </c>
      <c r="W80" s="70" t="n">
        <f aca="false">-IF(W$5&lt;=3,Assumptions!$D$93,Assumptions!$D$94)</f>
        <v>-3000</v>
      </c>
      <c r="X80" s="70" t="n">
        <f aca="false">-IF(X$5&lt;=3,Assumptions!$D$93,Assumptions!$D$94)</f>
        <v>-3000</v>
      </c>
      <c r="Y80" s="70" t="n">
        <f aca="false">-IF(Y$5&lt;=3,Assumptions!$D$93,Assumptions!$D$94)</f>
        <v>-3000</v>
      </c>
      <c r="Z80" s="70" t="n">
        <f aca="false">-IF(Z$5&lt;=3,Assumptions!$D$93,Assumptions!$D$94)</f>
        <v>-3000</v>
      </c>
      <c r="AA80" s="70" t="n">
        <f aca="false">-IF(AA$5&lt;=3,Assumptions!$D$93,Assumptions!$D$94)</f>
        <v>-3000</v>
      </c>
      <c r="AB80" s="70" t="n">
        <f aca="false">-IF(AB$5&lt;=3,Assumptions!$D$93,Assumptions!$D$94)</f>
        <v>-3000</v>
      </c>
      <c r="AC80" s="70" t="n">
        <f aca="false">-IF(AC$5&lt;=3,Assumptions!$D$93,Assumptions!$D$94)</f>
        <v>-3000</v>
      </c>
      <c r="AD80" s="70" t="n">
        <f aca="false">-IF(AD$5&lt;=3,Assumptions!$D$93,Assumptions!$D$94)</f>
        <v>-3000</v>
      </c>
      <c r="AE80" s="70" t="n">
        <f aca="false">-IF(AE$5&lt;=3,Assumptions!$D$93,Assumptions!$D$94)</f>
        <v>-3000</v>
      </c>
      <c r="AF80" s="70" t="n">
        <f aca="false">-IF(AF$5&lt;=3,Assumptions!$D$93,Assumptions!$D$94)</f>
        <v>-3000</v>
      </c>
      <c r="AG80" s="70" t="n">
        <f aca="false">-IF(AG$5&lt;=3,Assumptions!$D$93,Assumptions!$D$94)</f>
        <v>-3000</v>
      </c>
      <c r="AH80" s="70" t="n">
        <f aca="false">-IF(AH$5&lt;=3,Assumptions!$D$93,Assumptions!$D$94)</f>
        <v>-3000</v>
      </c>
      <c r="AI80" s="70" t="n">
        <f aca="false">-IF(AI$5&lt;=3,Assumptions!$D$93,Assumptions!$D$94)</f>
        <v>-3000</v>
      </c>
      <c r="AJ80" s="70" t="n">
        <f aca="false">-IF(AJ$5&lt;=3,Assumptions!$D$93,Assumptions!$D$94)</f>
        <v>-3000</v>
      </c>
      <c r="AK80" s="70" t="n">
        <f aca="false">-IF(AK$5&lt;=3,Assumptions!$D$93,Assumptions!$D$94)</f>
        <v>-3000</v>
      </c>
      <c r="AL80" s="70" t="n">
        <f aca="false">-IF(AL$5&lt;=3,Assumptions!$D$93,Assumptions!$D$94)</f>
        <v>-3000</v>
      </c>
      <c r="AM80" s="70" t="n">
        <f aca="false">SUM(C80:AL80)</f>
        <v>-135000</v>
      </c>
    </row>
    <row r="81" customFormat="false" ht="15" hidden="false" customHeight="false" outlineLevel="0" collapsed="false">
      <c r="A81" s="10" t="s">
        <v>816</v>
      </c>
      <c r="B81" s="9" t="s">
        <v>97</v>
      </c>
      <c r="C81" s="70" t="n">
        <f aca="false">-C8*Assumptions!$D$95</f>
        <v>-0</v>
      </c>
      <c r="D81" s="70" t="n">
        <f aca="false">-D8*Assumptions!$D$95</f>
        <v>-0</v>
      </c>
      <c r="E81" s="70" t="n">
        <f aca="false">-E8*Assumptions!$D$95</f>
        <v>-1800</v>
      </c>
      <c r="F81" s="70" t="n">
        <f aca="false">-F8*Assumptions!$D$95</f>
        <v>-1800</v>
      </c>
      <c r="G81" s="70" t="n">
        <f aca="false">-G8*Assumptions!$D$95</f>
        <v>-1800</v>
      </c>
      <c r="H81" s="70" t="n">
        <f aca="false">-H8*Assumptions!$D$95</f>
        <v>-1800</v>
      </c>
      <c r="I81" s="70" t="n">
        <f aca="false">-I8*Assumptions!$D$95</f>
        <v>-1800</v>
      </c>
      <c r="J81" s="70" t="n">
        <f aca="false">-J8*Assumptions!$D$95</f>
        <v>-1800</v>
      </c>
      <c r="K81" s="70" t="n">
        <f aca="false">-K8*Assumptions!$D$95</f>
        <v>-1800</v>
      </c>
      <c r="L81" s="70" t="n">
        <f aca="false">-L8*Assumptions!$D$95</f>
        <v>-1800</v>
      </c>
      <c r="M81" s="70" t="n">
        <f aca="false">-M8*Assumptions!$D$95</f>
        <v>-1800</v>
      </c>
      <c r="N81" s="70" t="n">
        <f aca="false">-N8*Assumptions!$D$95</f>
        <v>-1800</v>
      </c>
      <c r="O81" s="70" t="n">
        <f aca="false">-O8*Assumptions!$D$95</f>
        <v>-1800</v>
      </c>
      <c r="P81" s="70" t="n">
        <f aca="false">-P8*Assumptions!$D$95</f>
        <v>-1800</v>
      </c>
      <c r="Q81" s="70" t="n">
        <f aca="false">-Q8*Assumptions!$D$95</f>
        <v>-1800</v>
      </c>
      <c r="R81" s="70" t="n">
        <f aca="false">-R8*Assumptions!$D$95</f>
        <v>-1800</v>
      </c>
      <c r="S81" s="70" t="n">
        <f aca="false">-S8*Assumptions!$D$95</f>
        <v>-1800</v>
      </c>
      <c r="T81" s="70" t="n">
        <f aca="false">-T8*Assumptions!$D$95</f>
        <v>-1800</v>
      </c>
      <c r="U81" s="70" t="n">
        <f aca="false">-U8*Assumptions!$D$95</f>
        <v>-1800</v>
      </c>
      <c r="V81" s="70" t="n">
        <f aca="false">-V8*Assumptions!$D$95</f>
        <v>-1800</v>
      </c>
      <c r="W81" s="70" t="n">
        <f aca="false">-W8*Assumptions!$D$95</f>
        <v>-1800</v>
      </c>
      <c r="X81" s="70" t="n">
        <f aca="false">-X8*Assumptions!$D$95</f>
        <v>-1800</v>
      </c>
      <c r="Y81" s="70" t="n">
        <f aca="false">-Y8*Assumptions!$D$95</f>
        <v>-1800</v>
      </c>
      <c r="Z81" s="70" t="n">
        <f aca="false">-Z8*Assumptions!$D$95</f>
        <v>-1800</v>
      </c>
      <c r="AA81" s="70" t="n">
        <f aca="false">-AA8*Assumptions!$D$95</f>
        <v>-1800</v>
      </c>
      <c r="AB81" s="70" t="n">
        <f aca="false">-AB8*Assumptions!$D$95</f>
        <v>-1800</v>
      </c>
      <c r="AC81" s="70" t="n">
        <f aca="false">-AC8*Assumptions!$D$95</f>
        <v>-1800</v>
      </c>
      <c r="AD81" s="70" t="n">
        <f aca="false">-AD8*Assumptions!$D$95</f>
        <v>-1800</v>
      </c>
      <c r="AE81" s="70" t="n">
        <f aca="false">-AE8*Assumptions!$D$95</f>
        <v>-1800</v>
      </c>
      <c r="AF81" s="70" t="n">
        <f aca="false">-AF8*Assumptions!$D$95</f>
        <v>-1800</v>
      </c>
      <c r="AG81" s="70" t="n">
        <f aca="false">-AG8*Assumptions!$D$95</f>
        <v>-1800</v>
      </c>
      <c r="AH81" s="70" t="n">
        <f aca="false">-AH8*Assumptions!$D$95</f>
        <v>-1800</v>
      </c>
      <c r="AI81" s="70" t="n">
        <f aca="false">-AI8*Assumptions!$D$95</f>
        <v>-1800</v>
      </c>
      <c r="AJ81" s="70" t="n">
        <f aca="false">-AJ8*Assumptions!$D$95</f>
        <v>-1800</v>
      </c>
      <c r="AK81" s="70" t="n">
        <f aca="false">-AK8*Assumptions!$D$95</f>
        <v>-1800</v>
      </c>
      <c r="AL81" s="70" t="n">
        <f aca="false">-AL8*Assumptions!$D$95</f>
        <v>-1800</v>
      </c>
      <c r="AM81" s="70" t="n">
        <f aca="false">SUM(C81:AL81)</f>
        <v>-61200</v>
      </c>
    </row>
    <row r="82" customFormat="false" ht="15" hidden="false" customHeight="false" outlineLevel="0" collapsed="false">
      <c r="A82" s="10" t="s">
        <v>817</v>
      </c>
      <c r="B82" s="9" t="s">
        <v>97</v>
      </c>
      <c r="C82" s="70" t="n">
        <f aca="false">-Assumptions!$D$96</f>
        <v>-3000</v>
      </c>
      <c r="D82" s="70" t="n">
        <f aca="false">-MAX(Assumptions!$D$96,C72*Assumptions!$D$89)</f>
        <v>-3000</v>
      </c>
      <c r="E82" s="70" t="n">
        <f aca="false">-MAX(Assumptions!$D$96,D72*Assumptions!$D$89)</f>
        <v>-3000</v>
      </c>
      <c r="F82" s="70" t="n">
        <f aca="false">-MAX(Assumptions!$D$96,E72*Assumptions!$D$89)</f>
        <v>-3000</v>
      </c>
      <c r="G82" s="70" t="n">
        <f aca="false">-MAX(Assumptions!$D$96,F72*Assumptions!$D$89)</f>
        <v>-3000</v>
      </c>
      <c r="H82" s="70" t="n">
        <f aca="false">-MAX(Assumptions!$D$96,G72*Assumptions!$D$89)</f>
        <v>-3000</v>
      </c>
      <c r="I82" s="70" t="n">
        <f aca="false">-MAX(Assumptions!$D$96,H72*Assumptions!$D$89)</f>
        <v>-3000</v>
      </c>
      <c r="J82" s="70" t="n">
        <f aca="false">-MAX(Assumptions!$D$96,I72*Assumptions!$D$89)</f>
        <v>-3000</v>
      </c>
      <c r="K82" s="70" t="n">
        <f aca="false">-MAX(Assumptions!$D$96,J72*Assumptions!$D$89)</f>
        <v>-3000</v>
      </c>
      <c r="L82" s="70" t="n">
        <f aca="false">-MAX(Assumptions!$D$96,K72*Assumptions!$D$89)</f>
        <v>-3000</v>
      </c>
      <c r="M82" s="70" t="n">
        <f aca="false">-MAX(Assumptions!$D$96,L72*Assumptions!$D$89)</f>
        <v>-3000</v>
      </c>
      <c r="N82" s="70" t="n">
        <f aca="false">-MAX(Assumptions!$D$96,M72*Assumptions!$D$89)</f>
        <v>-3000</v>
      </c>
      <c r="O82" s="70" t="n">
        <f aca="false">-MAX(Assumptions!$D$96,N72*Assumptions!$D$89)</f>
        <v>-3000</v>
      </c>
      <c r="P82" s="70" t="n">
        <f aca="false">-MAX(Assumptions!$D$96,O72*Assumptions!$D$89)</f>
        <v>-3000</v>
      </c>
      <c r="Q82" s="70" t="n">
        <f aca="false">-MAX(Assumptions!$D$96,P72*Assumptions!$D$89)</f>
        <v>-3000</v>
      </c>
      <c r="R82" s="70" t="n">
        <f aca="false">-MAX(Assumptions!$D$96,Q72*Assumptions!$D$89)</f>
        <v>-3000</v>
      </c>
      <c r="S82" s="70" t="n">
        <f aca="false">-MAX(Assumptions!$D$96,R72*Assumptions!$D$89)</f>
        <v>-3000</v>
      </c>
      <c r="T82" s="70" t="n">
        <f aca="false">-MAX(Assumptions!$D$96,S72*Assumptions!$D$89)</f>
        <v>-3000</v>
      </c>
      <c r="U82" s="70" t="n">
        <f aca="false">-MAX(Assumptions!$D$96,T72*Assumptions!$D$89)</f>
        <v>-3000</v>
      </c>
      <c r="V82" s="70" t="n">
        <f aca="false">-MAX(Assumptions!$D$96,U72*Assumptions!$D$89)</f>
        <v>-3000</v>
      </c>
      <c r="W82" s="70" t="n">
        <f aca="false">-MAX(Assumptions!$D$96,V72*Assumptions!$D$89)</f>
        <v>-3000</v>
      </c>
      <c r="X82" s="70" t="n">
        <f aca="false">-MAX(Assumptions!$D$96,W72*Assumptions!$D$89)</f>
        <v>-3000</v>
      </c>
      <c r="Y82" s="70" t="n">
        <f aca="false">-MAX(Assumptions!$D$96,X72*Assumptions!$D$89)</f>
        <v>-3000</v>
      </c>
      <c r="Z82" s="70" t="n">
        <f aca="false">-MAX(Assumptions!$D$96,Y72*Assumptions!$D$89)</f>
        <v>-3000</v>
      </c>
      <c r="AA82" s="70" t="n">
        <f aca="false">-MAX(Assumptions!$D$96,Z72*Assumptions!$D$89)</f>
        <v>-3000</v>
      </c>
      <c r="AB82" s="70" t="n">
        <f aca="false">-MAX(Assumptions!$D$96,AA72*Assumptions!$D$89)</f>
        <v>-3000</v>
      </c>
      <c r="AC82" s="70" t="n">
        <f aca="false">-MAX(Assumptions!$D$96,AB72*Assumptions!$D$89)</f>
        <v>-3000</v>
      </c>
      <c r="AD82" s="70" t="n">
        <f aca="false">-MAX(Assumptions!$D$96,AC72*Assumptions!$D$89)</f>
        <v>-3000</v>
      </c>
      <c r="AE82" s="70" t="n">
        <f aca="false">-MAX(Assumptions!$D$96,AD72*Assumptions!$D$89)</f>
        <v>-3000</v>
      </c>
      <c r="AF82" s="70" t="n">
        <f aca="false">-MAX(Assumptions!$D$96,AE72*Assumptions!$D$89)</f>
        <v>-3000</v>
      </c>
      <c r="AG82" s="70" t="n">
        <f aca="false">-MAX(Assumptions!$D$96,AF72*Assumptions!$D$89)</f>
        <v>-3000</v>
      </c>
      <c r="AH82" s="70" t="n">
        <f aca="false">-MAX(Assumptions!$D$96,AG72*Assumptions!$D$89)</f>
        <v>-3000</v>
      </c>
      <c r="AI82" s="70" t="n">
        <f aca="false">-MAX(Assumptions!$D$96,AH72*Assumptions!$D$89)</f>
        <v>-3000</v>
      </c>
      <c r="AJ82" s="70" t="n">
        <f aca="false">-MAX(Assumptions!$D$96,AI72*Assumptions!$D$89)</f>
        <v>-3000</v>
      </c>
      <c r="AK82" s="70" t="n">
        <f aca="false">-MAX(Assumptions!$D$96,AJ72*Assumptions!$D$89)</f>
        <v>-3000</v>
      </c>
      <c r="AL82" s="70" t="n">
        <f aca="false">-MAX(Assumptions!$D$96,AK72*Assumptions!$D$89)</f>
        <v>-3000</v>
      </c>
      <c r="AM82" s="70" t="n">
        <f aca="false">SUM(C82:AL82)</f>
        <v>-108000</v>
      </c>
    </row>
    <row r="83" customFormat="false" ht="15" hidden="false" customHeight="false" outlineLevel="0" collapsed="false">
      <c r="A83" s="10" t="s">
        <v>818</v>
      </c>
      <c r="B83" s="9" t="s">
        <v>97</v>
      </c>
      <c r="C83" s="70" t="n">
        <f aca="false">-C26</f>
        <v>-4000</v>
      </c>
      <c r="D83" s="70" t="n">
        <f aca="false">-D26</f>
        <v>-4000</v>
      </c>
      <c r="E83" s="70" t="n">
        <f aca="false">-E26</f>
        <v>-10000</v>
      </c>
      <c r="F83" s="70" t="n">
        <f aca="false">-F26</f>
        <v>-12209.6261170022</v>
      </c>
      <c r="G83" s="70" t="n">
        <f aca="false">-G26</f>
        <v>-10027.1362568859</v>
      </c>
      <c r="H83" s="70" t="n">
        <f aca="false">-H26</f>
        <v>-10062.7679826201</v>
      </c>
      <c r="I83" s="70" t="n">
        <f aca="false">-I26</f>
        <v>-10441.0289142846</v>
      </c>
      <c r="J83" s="70" t="n">
        <f aca="false">-J26</f>
        <v>-10806.2730022444</v>
      </c>
      <c r="K83" s="70" t="n">
        <f aca="false">-K26</f>
        <v>-11112.1092561997</v>
      </c>
      <c r="L83" s="70" t="n">
        <f aca="false">-L26</f>
        <v>-11521.6159304123</v>
      </c>
      <c r="M83" s="70" t="n">
        <f aca="false">-M26</f>
        <v>-11836.2168909972</v>
      </c>
      <c r="N83" s="70" t="n">
        <f aca="false">-N26</f>
        <v>-12124.7555950888</v>
      </c>
      <c r="O83" s="70" t="n">
        <f aca="false">-O26</f>
        <v>-12396.4566745586</v>
      </c>
      <c r="P83" s="70" t="n">
        <f aca="false">-P26</f>
        <v>-12656.7400273855</v>
      </c>
      <c r="Q83" s="70" t="n">
        <f aca="false">-Q26</f>
        <v>-12909.505488826</v>
      </c>
      <c r="R83" s="70" t="n">
        <f aca="false">-R26</f>
        <v>-13157.796410067</v>
      </c>
      <c r="S83" s="70" t="n">
        <f aca="false">-S26</f>
        <v>-13404.0601084408</v>
      </c>
      <c r="T83" s="70" t="n">
        <f aca="false">-T26</f>
        <v>-13650.3193802719</v>
      </c>
      <c r="U83" s="70" t="n">
        <f aca="false">-U26</f>
        <v>-13898.2937484254</v>
      </c>
      <c r="V83" s="70" t="n">
        <f aca="false">-V26</f>
        <v>-14149.4871661005</v>
      </c>
      <c r="W83" s="70" t="n">
        <f aca="false">-W26</f>
        <v>-14405.2522553865</v>
      </c>
      <c r="X83" s="70" t="n">
        <f aca="false">-X26</f>
        <v>-14666.8378665812</v>
      </c>
      <c r="Y83" s="70" t="n">
        <f aca="false">-Y26</f>
        <v>-14935.424682639</v>
      </c>
      <c r="Z83" s="70" t="n">
        <f aca="false">-Z26</f>
        <v>-15212.1522158647</v>
      </c>
      <c r="AA83" s="70" t="n">
        <f aca="false">-AA26</f>
        <v>-15498.1395937504</v>
      </c>
      <c r="AB83" s="70" t="n">
        <f aca="false">-AB26</f>
        <v>-15794.5018627504</v>
      </c>
      <c r="AC83" s="70" t="n">
        <f aca="false">-AC26</f>
        <v>-16102.3630634678</v>
      </c>
      <c r="AD83" s="70" t="n">
        <f aca="false">-AD26</f>
        <v>-16422.8669900103</v>
      </c>
      <c r="AE83" s="70" t="n">
        <f aca="false">-AE26</f>
        <v>-16757.1863008717</v>
      </c>
      <c r="AF83" s="70" t="n">
        <f aca="false">-AF26</f>
        <v>-17106.530471391</v>
      </c>
      <c r="AG83" s="70" t="n">
        <f aca="false">-AG26</f>
        <v>-17472.1529495126</v>
      </c>
      <c r="AH83" s="70" t="n">
        <f aca="false">-AH26</f>
        <v>-17855.3577835798</v>
      </c>
      <c r="AI83" s="70" t="n">
        <f aca="false">-AI26</f>
        <v>-18257.5059235193</v>
      </c>
      <c r="AJ83" s="70" t="n">
        <f aca="false">-AJ26</f>
        <v>-18680.021347965</v>
      </c>
      <c r="AK83" s="70" t="n">
        <f aca="false">-AK26</f>
        <v>-19124.3971345795</v>
      </c>
      <c r="AL83" s="70" t="n">
        <f aca="false">-AL26</f>
        <v>-19592.2015653741</v>
      </c>
      <c r="AM83" s="70" t="n">
        <f aca="false">SUM(C83:AL83)</f>
        <v>-492247.080957054</v>
      </c>
    </row>
    <row r="84" customFormat="false" ht="15" hidden="false" customHeight="false" outlineLevel="0" collapsed="false">
      <c r="A84" s="10" t="s">
        <v>819</v>
      </c>
      <c r="B84" s="9" t="s">
        <v>97</v>
      </c>
      <c r="C84" s="70" t="n">
        <f aca="false">-IF(C$5=Assumptions!$D$6,Assumptions!$D$23,0)</f>
        <v>-0</v>
      </c>
      <c r="D84" s="70" t="n">
        <f aca="false">-IF(D$5=Assumptions!$D$6,Assumptions!$D$23,0)</f>
        <v>-0</v>
      </c>
      <c r="E84" s="70" t="n">
        <f aca="false">-IF(E$5=Assumptions!$D$6,Assumptions!$D$23,0)</f>
        <v>-20000</v>
      </c>
      <c r="F84" s="70" t="n">
        <f aca="false">-IF(F$5=Assumptions!$D$6,Assumptions!$D$23,0)</f>
        <v>-0</v>
      </c>
      <c r="G84" s="70" t="n">
        <f aca="false">-IF(G$5=Assumptions!$D$6,Assumptions!$D$23,0)</f>
        <v>-0</v>
      </c>
      <c r="H84" s="70" t="n">
        <f aca="false">-IF(H$5=Assumptions!$D$6,Assumptions!$D$23,0)</f>
        <v>-0</v>
      </c>
      <c r="I84" s="70" t="n">
        <f aca="false">-IF(I$5=Assumptions!$D$6,Assumptions!$D$23,0)</f>
        <v>-0</v>
      </c>
      <c r="J84" s="70" t="n">
        <f aca="false">-IF(J$5=Assumptions!$D$6,Assumptions!$D$23,0)</f>
        <v>-0</v>
      </c>
      <c r="K84" s="70" t="n">
        <f aca="false">-IF(K$5=Assumptions!$D$6,Assumptions!$D$23,0)</f>
        <v>-0</v>
      </c>
      <c r="L84" s="70" t="n">
        <f aca="false">-IF(L$5=Assumptions!$D$6,Assumptions!$D$23,0)</f>
        <v>-0</v>
      </c>
      <c r="M84" s="70" t="n">
        <f aca="false">-IF(M$5=Assumptions!$D$6,Assumptions!$D$23,0)</f>
        <v>-0</v>
      </c>
      <c r="N84" s="70" t="n">
        <f aca="false">-IF(N$5=Assumptions!$D$6,Assumptions!$D$23,0)</f>
        <v>-0</v>
      </c>
      <c r="O84" s="70" t="n">
        <f aca="false">-IF(O$5=Assumptions!$D$6,Assumptions!$D$23,0)</f>
        <v>-0</v>
      </c>
      <c r="P84" s="70" t="n">
        <f aca="false">-IF(P$5=Assumptions!$D$6,Assumptions!$D$23,0)</f>
        <v>-0</v>
      </c>
      <c r="Q84" s="70" t="n">
        <f aca="false">-IF(Q$5=Assumptions!$D$6,Assumptions!$D$23,0)</f>
        <v>-0</v>
      </c>
      <c r="R84" s="70" t="n">
        <f aca="false">-IF(R$5=Assumptions!$D$6,Assumptions!$D$23,0)</f>
        <v>-0</v>
      </c>
      <c r="S84" s="70" t="n">
        <f aca="false">-IF(S$5=Assumptions!$D$6,Assumptions!$D$23,0)</f>
        <v>-0</v>
      </c>
      <c r="T84" s="70" t="n">
        <f aca="false">-IF(T$5=Assumptions!$D$6,Assumptions!$D$23,0)</f>
        <v>-0</v>
      </c>
      <c r="U84" s="70" t="n">
        <f aca="false">-IF(U$5=Assumptions!$D$6,Assumptions!$D$23,0)</f>
        <v>-0</v>
      </c>
      <c r="V84" s="70" t="n">
        <f aca="false">-IF(V$5=Assumptions!$D$6,Assumptions!$D$23,0)</f>
        <v>-0</v>
      </c>
      <c r="W84" s="70" t="n">
        <f aca="false">-IF(W$5=Assumptions!$D$6,Assumptions!$D$23,0)</f>
        <v>-0</v>
      </c>
      <c r="X84" s="70" t="n">
        <f aca="false">-IF(X$5=Assumptions!$D$6,Assumptions!$D$23,0)</f>
        <v>-0</v>
      </c>
      <c r="Y84" s="70" t="n">
        <f aca="false">-IF(Y$5=Assumptions!$D$6,Assumptions!$D$23,0)</f>
        <v>-0</v>
      </c>
      <c r="Z84" s="70" t="n">
        <f aca="false">-IF(Z$5=Assumptions!$D$6,Assumptions!$D$23,0)</f>
        <v>-0</v>
      </c>
      <c r="AA84" s="70" t="n">
        <f aca="false">-IF(AA$5=Assumptions!$D$6,Assumptions!$D$23,0)</f>
        <v>-0</v>
      </c>
      <c r="AB84" s="70" t="n">
        <f aca="false">-IF(AB$5=Assumptions!$D$6,Assumptions!$D$23,0)</f>
        <v>-0</v>
      </c>
      <c r="AC84" s="70" t="n">
        <f aca="false">-IF(AC$5=Assumptions!$D$6,Assumptions!$D$23,0)</f>
        <v>-0</v>
      </c>
      <c r="AD84" s="70" t="n">
        <f aca="false">-IF(AD$5=Assumptions!$D$6,Assumptions!$D$23,0)</f>
        <v>-0</v>
      </c>
      <c r="AE84" s="70" t="n">
        <f aca="false">-IF(AE$5=Assumptions!$D$6,Assumptions!$D$23,0)</f>
        <v>-0</v>
      </c>
      <c r="AF84" s="70" t="n">
        <f aca="false">-IF(AF$5=Assumptions!$D$6,Assumptions!$D$23,0)</f>
        <v>-0</v>
      </c>
      <c r="AG84" s="70" t="n">
        <f aca="false">-IF(AG$5=Assumptions!$D$6,Assumptions!$D$23,0)</f>
        <v>-0</v>
      </c>
      <c r="AH84" s="70" t="n">
        <f aca="false">-IF(AH$5=Assumptions!$D$6,Assumptions!$D$23,0)</f>
        <v>-0</v>
      </c>
      <c r="AI84" s="70" t="n">
        <f aca="false">-IF(AI$5=Assumptions!$D$6,Assumptions!$D$23,0)</f>
        <v>-0</v>
      </c>
      <c r="AJ84" s="70" t="n">
        <f aca="false">-IF(AJ$5=Assumptions!$D$6,Assumptions!$D$23,0)</f>
        <v>-0</v>
      </c>
      <c r="AK84" s="70" t="n">
        <f aca="false">-IF(AK$5=Assumptions!$D$6,Assumptions!$D$23,0)</f>
        <v>-0</v>
      </c>
      <c r="AL84" s="70" t="n">
        <f aca="false">-IF(AL$5=Assumptions!$D$6,Assumptions!$D$23,0)</f>
        <v>-0</v>
      </c>
      <c r="AM84" s="70" t="n">
        <f aca="false">SUM(C84:AL84)</f>
        <v>-20000</v>
      </c>
    </row>
    <row r="85" customFormat="false" ht="15" hidden="false" customHeight="false" outlineLevel="0" collapsed="false">
      <c r="A85" s="10" t="s">
        <v>820</v>
      </c>
      <c r="B85" s="9" t="s">
        <v>97</v>
      </c>
      <c r="C85" s="70" t="n">
        <f aca="false">-C8*Assumptions!$D$98</f>
        <v>-0</v>
      </c>
      <c r="D85" s="70" t="n">
        <f aca="false">-D8*Assumptions!$D$98</f>
        <v>-0</v>
      </c>
      <c r="E85" s="70" t="n">
        <f aca="false">-E8*Assumptions!$D$98</f>
        <v>-0</v>
      </c>
      <c r="F85" s="70" t="n">
        <f aca="false">-F8*Assumptions!$D$98</f>
        <v>-0</v>
      </c>
      <c r="G85" s="70" t="n">
        <f aca="false">-G8*Assumptions!$D$98</f>
        <v>-0</v>
      </c>
      <c r="H85" s="70" t="n">
        <f aca="false">-H8*Assumptions!$D$98</f>
        <v>-0</v>
      </c>
      <c r="I85" s="70" t="n">
        <f aca="false">-I8*Assumptions!$D$98</f>
        <v>-0</v>
      </c>
      <c r="J85" s="70" t="n">
        <f aca="false">-J8*Assumptions!$D$98</f>
        <v>-0</v>
      </c>
      <c r="K85" s="70" t="n">
        <f aca="false">-K8*Assumptions!$D$98</f>
        <v>-0</v>
      </c>
      <c r="L85" s="70" t="n">
        <f aca="false">-L8*Assumptions!$D$98</f>
        <v>-0</v>
      </c>
      <c r="M85" s="70" t="n">
        <f aca="false">-M8*Assumptions!$D$98</f>
        <v>-0</v>
      </c>
      <c r="N85" s="70" t="n">
        <f aca="false">-N8*Assumptions!$D$98</f>
        <v>-0</v>
      </c>
      <c r="O85" s="70" t="n">
        <f aca="false">-O8*Assumptions!$D$98</f>
        <v>-0</v>
      </c>
      <c r="P85" s="70" t="n">
        <f aca="false">-P8*Assumptions!$D$98</f>
        <v>-0</v>
      </c>
      <c r="Q85" s="70" t="n">
        <f aca="false">-Q8*Assumptions!$D$98</f>
        <v>-0</v>
      </c>
      <c r="R85" s="70" t="n">
        <f aca="false">-R8*Assumptions!$D$98</f>
        <v>-0</v>
      </c>
      <c r="S85" s="70" t="n">
        <f aca="false">-S8*Assumptions!$D$98</f>
        <v>-0</v>
      </c>
      <c r="T85" s="70" t="n">
        <f aca="false">-T8*Assumptions!$D$98</f>
        <v>-0</v>
      </c>
      <c r="U85" s="70" t="n">
        <f aca="false">-U8*Assumptions!$D$98</f>
        <v>-0</v>
      </c>
      <c r="V85" s="70" t="n">
        <f aca="false">-V8*Assumptions!$D$98</f>
        <v>-0</v>
      </c>
      <c r="W85" s="70" t="n">
        <f aca="false">-W8*Assumptions!$D$98</f>
        <v>-0</v>
      </c>
      <c r="X85" s="70" t="n">
        <f aca="false">-X8*Assumptions!$D$98</f>
        <v>-0</v>
      </c>
      <c r="Y85" s="70" t="n">
        <f aca="false">-Y8*Assumptions!$D$98</f>
        <v>-0</v>
      </c>
      <c r="Z85" s="70" t="n">
        <f aca="false">-Z8*Assumptions!$D$98</f>
        <v>-0</v>
      </c>
      <c r="AA85" s="70" t="n">
        <f aca="false">-AA8*Assumptions!$D$98</f>
        <v>-0</v>
      </c>
      <c r="AB85" s="70" t="n">
        <f aca="false">-AB8*Assumptions!$D$98</f>
        <v>-0</v>
      </c>
      <c r="AC85" s="70" t="n">
        <f aca="false">-AC8*Assumptions!$D$98</f>
        <v>-0</v>
      </c>
      <c r="AD85" s="70" t="n">
        <f aca="false">-AD8*Assumptions!$D$98</f>
        <v>-0</v>
      </c>
      <c r="AE85" s="70" t="n">
        <f aca="false">-AE8*Assumptions!$D$98</f>
        <v>-0</v>
      </c>
      <c r="AF85" s="70" t="n">
        <f aca="false">-AF8*Assumptions!$D$98</f>
        <v>-0</v>
      </c>
      <c r="AG85" s="70" t="n">
        <f aca="false">-AG8*Assumptions!$D$98</f>
        <v>-0</v>
      </c>
      <c r="AH85" s="70" t="n">
        <f aca="false">-AH8*Assumptions!$D$98</f>
        <v>-0</v>
      </c>
      <c r="AI85" s="70" t="n">
        <f aca="false">-AI8*Assumptions!$D$98</f>
        <v>-0</v>
      </c>
      <c r="AJ85" s="70" t="n">
        <f aca="false">-AJ8*Assumptions!$D$98</f>
        <v>-0</v>
      </c>
      <c r="AK85" s="70" t="n">
        <f aca="false">-AK8*Assumptions!$D$98</f>
        <v>-0</v>
      </c>
      <c r="AL85" s="70" t="n">
        <f aca="false">-AL8*Assumptions!$D$98</f>
        <v>-0</v>
      </c>
      <c r="AM85" s="70" t="n">
        <f aca="false">SUM(C85:AL85)</f>
        <v>0</v>
      </c>
    </row>
    <row r="86" customFormat="false" ht="15" hidden="false" customHeight="false" outlineLevel="0" collapsed="false">
      <c r="A86" s="10" t="s">
        <v>362</v>
      </c>
      <c r="B86" s="9" t="s">
        <v>97</v>
      </c>
      <c r="C86" s="70" t="n">
        <f aca="false">-C72*Assumptions!$D$99</f>
        <v>-0</v>
      </c>
      <c r="D86" s="70" t="n">
        <f aca="false">-D72*Assumptions!$D$99</f>
        <v>-0</v>
      </c>
      <c r="E86" s="70" t="n">
        <f aca="false">-E72*Assumptions!$D$99</f>
        <v>-2034.93768616704</v>
      </c>
      <c r="F86" s="70" t="n">
        <f aca="false">-F72*Assumptions!$D$99</f>
        <v>-1671.18937614765</v>
      </c>
      <c r="G86" s="70" t="n">
        <f aca="false">-G72*Assumptions!$D$99</f>
        <v>-1677.12799710334</v>
      </c>
      <c r="H86" s="70" t="n">
        <f aca="false">-H72*Assumptions!$D$99</f>
        <v>-1740.1714857141</v>
      </c>
      <c r="I86" s="70" t="n">
        <f aca="false">-I72*Assumptions!$D$99</f>
        <v>-1801.04550037407</v>
      </c>
      <c r="J86" s="70" t="n">
        <f aca="false">-J72*Assumptions!$D$99</f>
        <v>-1852.01820936663</v>
      </c>
      <c r="K86" s="70" t="n">
        <f aca="false">-K72*Assumptions!$D$99</f>
        <v>-1920.26932173539</v>
      </c>
      <c r="L86" s="70" t="n">
        <f aca="false">-L72*Assumptions!$D$99</f>
        <v>-1972.7028151662</v>
      </c>
      <c r="M86" s="70" t="n">
        <f aca="false">-M72*Assumptions!$D$99</f>
        <v>-2020.79259918147</v>
      </c>
      <c r="N86" s="70" t="n">
        <f aca="false">-N72*Assumptions!$D$99</f>
        <v>-2066.07611242643</v>
      </c>
      <c r="O86" s="70" t="n">
        <f aca="false">-O72*Assumptions!$D$99</f>
        <v>-2109.45667123091</v>
      </c>
      <c r="P86" s="70" t="n">
        <f aca="false">-P72*Assumptions!$D$99</f>
        <v>-2151.58424813766</v>
      </c>
      <c r="Q86" s="70" t="n">
        <f aca="false">-Q72*Assumptions!$D$99</f>
        <v>-2192.96606834451</v>
      </c>
      <c r="R86" s="70" t="n">
        <f aca="false">-R72*Assumptions!$D$99</f>
        <v>-2234.01001807346</v>
      </c>
      <c r="S86" s="70" t="n">
        <f aca="false">-S72*Assumptions!$D$99</f>
        <v>-2275.05323004532</v>
      </c>
      <c r="T86" s="70" t="n">
        <f aca="false">-T72*Assumptions!$D$99</f>
        <v>-2316.38229140423</v>
      </c>
      <c r="U86" s="70" t="n">
        <f aca="false">-U72*Assumptions!$D$99</f>
        <v>-2358.24786101675</v>
      </c>
      <c r="V86" s="70" t="n">
        <f aca="false">-V72*Assumptions!$D$99</f>
        <v>-2400.87537589775</v>
      </c>
      <c r="W86" s="70" t="n">
        <f aca="false">-W72*Assumptions!$D$99</f>
        <v>-2444.47297776353</v>
      </c>
      <c r="X86" s="70" t="n">
        <f aca="false">-X72*Assumptions!$D$99</f>
        <v>-2489.23744710651</v>
      </c>
      <c r="Y86" s="70" t="n">
        <f aca="false">-Y72*Assumptions!$D$99</f>
        <v>-2535.35870264412</v>
      </c>
      <c r="Z86" s="70" t="n">
        <f aca="false">-Z72*Assumptions!$D$99</f>
        <v>-2583.02326562506</v>
      </c>
      <c r="AA86" s="70" t="n">
        <f aca="false">-AA72*Assumptions!$D$99</f>
        <v>-2632.41697712506</v>
      </c>
      <c r="AB86" s="70" t="n">
        <f aca="false">-AB72*Assumptions!$D$99</f>
        <v>-2683.72717724463</v>
      </c>
      <c r="AC86" s="70" t="n">
        <f aca="false">-AC72*Assumptions!$D$99</f>
        <v>-2737.14449833506</v>
      </c>
      <c r="AD86" s="70" t="n">
        <f aca="false">-AD72*Assumptions!$D$99</f>
        <v>-2792.86438347861</v>
      </c>
      <c r="AE86" s="70" t="n">
        <f aca="false">-AE72*Assumptions!$D$99</f>
        <v>-2851.08841189851</v>
      </c>
      <c r="AF86" s="70" t="n">
        <f aca="false">-AF72*Assumptions!$D$99</f>
        <v>-2912.02549158544</v>
      </c>
      <c r="AG86" s="70" t="n">
        <f aca="false">-AG72*Assumptions!$D$99</f>
        <v>-2975.89296392997</v>
      </c>
      <c r="AH86" s="70" t="n">
        <f aca="false">-AH72*Assumptions!$D$99</f>
        <v>-3042.91765391988</v>
      </c>
      <c r="AI86" s="70" t="n">
        <f aca="false">-AI72*Assumptions!$D$99</f>
        <v>-3113.33689132751</v>
      </c>
      <c r="AJ86" s="70" t="n">
        <f aca="false">-AJ72*Assumptions!$D$99</f>
        <v>-3187.39952242993</v>
      </c>
      <c r="AK86" s="70" t="n">
        <f aca="false">-AK72*Assumptions!$D$99</f>
        <v>-3265.36692756236</v>
      </c>
      <c r="AL86" s="70" t="n">
        <f aca="false">-AL72*Assumptions!$D$99</f>
        <v>-3347.51405675925</v>
      </c>
      <c r="AM86" s="70" t="n">
        <f aca="false">SUM(C86:AL86)</f>
        <v>-82388.6942162683</v>
      </c>
    </row>
    <row r="87" customFormat="false" ht="15" hidden="false" customHeight="false" outlineLevel="0" collapsed="false">
      <c r="A87" s="37" t="s">
        <v>821</v>
      </c>
      <c r="B87" s="9" t="s">
        <v>97</v>
      </c>
      <c r="C87" s="53" t="n">
        <f aca="false">C75+C76+C77+C78+C79+C80+C81+C82+C83+C84+C85+C86</f>
        <v>-24820</v>
      </c>
      <c r="D87" s="53" t="n">
        <f aca="false">D75+D76+D77+D78+D79+D80+D81+D82+D83+D84+D85+D86</f>
        <v>-24820</v>
      </c>
      <c r="E87" s="53" t="n">
        <f aca="false">E75+E76+E77+E78+E79+E80+E81+E82+E83+E84+E85+E86</f>
        <v>-60654.937686167</v>
      </c>
      <c r="F87" s="53" t="n">
        <f aca="false">F75+F76+F77+F78+F79+F80+F81+F82+F83+F84+F85+F86</f>
        <v>-33500.8154931499</v>
      </c>
      <c r="G87" s="53" t="n">
        <f aca="false">G75+G76+G77+G78+G79+G80+G81+G82+G83+G84+G85+G86</f>
        <v>-31324.2642539893</v>
      </c>
      <c r="H87" s="53" t="n">
        <f aca="false">H75+H76+H77+H78+H79+H80+H81+H82+H83+H84+H85+H86</f>
        <v>-31422.9394683342</v>
      </c>
      <c r="I87" s="53" t="n">
        <f aca="false">I75+I76+I77+I78+I79+I80+I81+I82+I83+I84+I85+I86</f>
        <v>-36862.0744146587</v>
      </c>
      <c r="J87" s="53" t="n">
        <f aca="false">J75+J76+J77+J78+J79+J80+J81+J82+J83+J84+J85+J86</f>
        <v>-37278.291211611</v>
      </c>
      <c r="K87" s="53" t="n">
        <f aca="false">K75+K76+K77+K78+K79+K80+K81+K82+K83+K84+K85+K86</f>
        <v>-37652.3785779351</v>
      </c>
      <c r="L87" s="53" t="n">
        <f aca="false">L75+L76+L77+L78+L79+L80+L81+L82+L83+L84+L85+L86</f>
        <v>-38114.3187455785</v>
      </c>
      <c r="M87" s="53" t="n">
        <f aca="false">M75+M76+M77+M78+M79+M80+M81+M82+M83+M84+M85+M86</f>
        <v>-38477.0094901787</v>
      </c>
      <c r="N87" s="53" t="n">
        <f aca="false">N75+N76+N77+N78+N79+N80+N81+N82+N83+N84+N85+N86</f>
        <v>-38810.8317075153</v>
      </c>
      <c r="O87" s="53" t="n">
        <f aca="false">O75+O76+O77+O78+O79+O80+O81+O82+O83+O84+O85+O86</f>
        <v>-47125.9133457895</v>
      </c>
      <c r="P87" s="53" t="n">
        <f aca="false">P75+P76+P77+P78+P79+P80+P81+P82+P83+P84+P85+P86</f>
        <v>-47428.3242755231</v>
      </c>
      <c r="Q87" s="53" t="n">
        <f aca="false">Q75+Q76+Q77+Q78+Q79+Q80+Q81+Q82+Q83+Q84+Q85+Q86</f>
        <v>-47722.4715571705</v>
      </c>
      <c r="R87" s="53" t="n">
        <f aca="false">R75+R76+R77+R78+R79+R80+R81+R82+R83+R84+R85+R86</f>
        <v>-48011.8064281405</v>
      </c>
      <c r="S87" s="53" t="n">
        <f aca="false">S75+S76+S77+S78+S79+S80+S81+S82+S83+S84+S85+S86</f>
        <v>-48299.1133384861</v>
      </c>
      <c r="T87" s="53" t="n">
        <f aca="false">T75+T76+T77+T78+T79+T80+T81+T82+T83+T84+T85+T86</f>
        <v>-48586.7016716762</v>
      </c>
      <c r="U87" s="53" t="n">
        <f aca="false">U75+U76+U77+U78+U79+U80+U81+U82+U83+U84+U85+U86</f>
        <v>-48876.5416094421</v>
      </c>
      <c r="V87" s="53" t="n">
        <f aca="false">V75+V76+V77+V78+V79+V80+V81+V82+V83+V84+V85+V86</f>
        <v>-49170.3625419982</v>
      </c>
      <c r="W87" s="53" t="n">
        <f aca="false">W75+W76+W77+W78+W79+W80+W81+W82+W83+W84+W85+W86</f>
        <v>-49469.72523315</v>
      </c>
      <c r="X87" s="53" t="n">
        <f aca="false">X75+X76+X77+X78+X79+X80+X81+X82+X83+X84+X85+X86</f>
        <v>-49776.0753136877</v>
      </c>
      <c r="Y87" s="53" t="n">
        <f aca="false">Y75+Y76+Y77+Y78+Y79+Y80+Y81+Y82+Y83+Y84+Y85+Y86</f>
        <v>-50090.7833852832</v>
      </c>
      <c r="Z87" s="53" t="n">
        <f aca="false">Z75+Z76+Z77+Z78+Z79+Z80+Z81+Z82+Z83+Z84+Z85+Z86</f>
        <v>-50415.1754814898</v>
      </c>
      <c r="AA87" s="53" t="n">
        <f aca="false">AA75+AA76+AA77+AA78+AA79+AA80+AA81+AA82+AA83+AA84+AA85+AA86</f>
        <v>-58750.5565708754</v>
      </c>
      <c r="AB87" s="53" t="n">
        <f aca="false">AB75+AB76+AB77+AB78+AB79+AB80+AB81+AB82+AB83+AB84+AB85+AB86</f>
        <v>-59098.229039995</v>
      </c>
      <c r="AC87" s="53" t="n">
        <f aca="false">AC75+AC76+AC77+AC78+AC79+AC80+AC81+AC82+AC83+AC84+AC85+AC86</f>
        <v>-59459.5075618028</v>
      </c>
      <c r="AD87" s="53" t="n">
        <f aca="false">AD75+AD76+AD77+AD78+AD79+AD80+AD81+AD82+AD83+AD84+AD85+AD86</f>
        <v>-59835.731373489</v>
      </c>
      <c r="AE87" s="53" t="n">
        <f aca="false">AE75+AE76+AE77+AE78+AE79+AE80+AE81+AE82+AE83+AE84+AE85+AE86</f>
        <v>-60228.2747127702</v>
      </c>
      <c r="AF87" s="53" t="n">
        <f aca="false">AF75+AF76+AF77+AF78+AF79+AF80+AF81+AF82+AF83+AF84+AF85+AF86</f>
        <v>-60638.5559629765</v>
      </c>
      <c r="AG87" s="53" t="n">
        <f aca="false">AG75+AG76+AG77+AG78+AG79+AG80+AG81+AG82+AG83+AG84+AG85+AG86</f>
        <v>-61068.0459134426</v>
      </c>
      <c r="AH87" s="53" t="n">
        <f aca="false">AH75+AH76+AH77+AH78+AH79+AH80+AH81+AH82+AH83+AH84+AH85+AH86</f>
        <v>-61518.2754374997</v>
      </c>
      <c r="AI87" s="53" t="n">
        <f aca="false">AI75+AI76+AI77+AI78+AI79+AI80+AI81+AI82+AI83+AI84+AI85+AI86</f>
        <v>-61990.8428148468</v>
      </c>
      <c r="AJ87" s="53" t="n">
        <f aca="false">AJ75+AJ76+AJ77+AJ78+AJ79+AJ80+AJ81+AJ82+AJ83+AJ84+AJ85+AJ86</f>
        <v>-62487.420870395</v>
      </c>
      <c r="AK87" s="53" t="n">
        <f aca="false">AK75+AK76+AK77+AK78+AK79+AK80+AK81+AK82+AK83+AK84+AK85+AK86</f>
        <v>-63009.7640621419</v>
      </c>
      <c r="AL87" s="53" t="n">
        <f aca="false">AL75+AL76+AL77+AL78+AL79+AL80+AL81+AL82+AL83+AL84+AL85+AL86</f>
        <v>-63559.7156221334</v>
      </c>
      <c r="AM87" s="53" t="n">
        <f aca="false">SUM(C87:AL87)</f>
        <v>-1750355.77517332</v>
      </c>
    </row>
    <row r="88" customFormat="false" ht="15" hidden="false" customHeight="false" outlineLevel="0" collapsed="false">
      <c r="A88" s="37" t="s">
        <v>822</v>
      </c>
      <c r="B88" s="9" t="s">
        <v>97</v>
      </c>
      <c r="C88" s="53" t="n">
        <f aca="false">C73+C87</f>
        <v>-24820</v>
      </c>
      <c r="D88" s="53" t="n">
        <f aca="false">D73+D87</f>
        <v>-24820</v>
      </c>
      <c r="E88" s="53" t="n">
        <f aca="false">E73+E87</f>
        <v>-39912.1395385043</v>
      </c>
      <c r="F88" s="53" t="n">
        <f aca="false">F73+F87</f>
        <v>-16465.8251189515</v>
      </c>
      <c r="G88" s="53" t="n">
        <f aca="false">G73+G87</f>
        <v>-14228.7395368492</v>
      </c>
      <c r="H88" s="53" t="n">
        <f aca="false">H73+H87</f>
        <v>-13684.7914572884</v>
      </c>
      <c r="I88" s="53" t="n">
        <f aca="false">I73+I87</f>
        <v>-18503.4172808457</v>
      </c>
      <c r="J88" s="53" t="n">
        <f aca="false">J73+J87</f>
        <v>-18400.0522641339</v>
      </c>
      <c r="K88" s="53" t="n">
        <f aca="false">K73+K87</f>
        <v>-18213.1147912408</v>
      </c>
      <c r="L88" s="53" t="n">
        <f aca="false">L73+L87</f>
        <v>-18205.4780504335</v>
      </c>
      <c r="M88" s="53" t="n">
        <f aca="false">M73+M87</f>
        <v>-18138.2281878521</v>
      </c>
      <c r="N88" s="53" t="n">
        <f aca="false">N73+N87</f>
        <v>-18067.2571116672</v>
      </c>
      <c r="O88" s="53" t="n">
        <f aca="false">O73+O87</f>
        <v>-25994.4387339824</v>
      </c>
      <c r="P88" s="53" t="n">
        <f aca="false">P73+P87</f>
        <v>-25919.9918554105</v>
      </c>
      <c r="Q88" s="53" t="n">
        <f aca="false">Q73+Q87</f>
        <v>-25843.7926607987</v>
      </c>
      <c r="R88" s="53" t="n">
        <f aca="false">R73+R87</f>
        <v>-25765.6701025828</v>
      </c>
      <c r="S88" s="53" t="n">
        <f aca="false">S73+S87</f>
        <v>-25685.4276261301</v>
      </c>
      <c r="T88" s="53" t="n">
        <f aca="false">T73+T87</f>
        <v>-25602.8479359385</v>
      </c>
      <c r="U88" s="53" t="n">
        <f aca="false">U73+U87</f>
        <v>-25517.6949455848</v>
      </c>
      <c r="V88" s="53" t="n">
        <f aca="false">V73+V87</f>
        <v>-25429.7150373685</v>
      </c>
      <c r="W88" s="53" t="n">
        <f aca="false">W73+W87</f>
        <v>-25338.6379897464</v>
      </c>
      <c r="X88" s="53" t="n">
        <f aca="false">X73+X87</f>
        <v>-25244.1776587851</v>
      </c>
      <c r="Y88" s="53" t="n">
        <f aca="false">Y73+Y87</f>
        <v>-25146.0324356884</v>
      </c>
      <c r="Z88" s="53" t="n">
        <f aca="false">Z73+Z87</f>
        <v>-25043.8854902524</v>
      </c>
      <c r="AA88" s="53" t="n">
        <f aca="false">AA73+AA87</f>
        <v>-32937.4048111356</v>
      </c>
      <c r="AB88" s="53" t="n">
        <f aca="false">AB73+AB87</f>
        <v>-32826.2430568225</v>
      </c>
      <c r="AC88" s="53" t="n">
        <f aca="false">AC73+AC87</f>
        <v>-32710.037233034</v>
      </c>
      <c r="AD88" s="53" t="n">
        <f aca="false">AD73+AD87</f>
        <v>-32588.4082126782</v>
      </c>
      <c r="AE88" s="53" t="n">
        <f aca="false">AE73+AE87</f>
        <v>-32460.9601135706</v>
      </c>
      <c r="AF88" s="53" t="n">
        <f aca="false">AF73+AF87</f>
        <v>-32327.2795475435</v>
      </c>
      <c r="AG88" s="53" t="n">
        <f aca="false">AG73+AG87</f>
        <v>-32186.9347525832</v>
      </c>
      <c r="AH88" s="53" t="n">
        <f aca="false">AH73+AH87</f>
        <v>-32039.4746175404</v>
      </c>
      <c r="AI88" s="53" t="n">
        <f aca="false">AI73+AI87</f>
        <v>-31884.4276069198</v>
      </c>
      <c r="AJ88" s="53" t="n">
        <f aca="false">AJ73+AJ87</f>
        <v>-31721.3005913616</v>
      </c>
      <c r="AK88" s="53" t="n">
        <f aca="false">AK73+AK87</f>
        <v>-31549.5775877165</v>
      </c>
      <c r="AL88" s="53" t="n">
        <f aca="false">AL73+AL87</f>
        <v>-31368.7184111042</v>
      </c>
      <c r="AM88" s="53" t="n">
        <f aca="false">SUM(C88:AL88)</f>
        <v>-936592.122352045</v>
      </c>
    </row>
    <row r="89" customFormat="false" ht="15" hidden="false" customHeight="false" outlineLevel="0" collapsed="false">
      <c r="A89" s="37" t="s">
        <v>823</v>
      </c>
      <c r="B89" s="9" t="s">
        <v>61</v>
      </c>
      <c r="C89" s="52" t="n">
        <f aca="false">IFERROR(C88/C72,0)</f>
        <v>0</v>
      </c>
      <c r="D89" s="52" t="n">
        <f aca="false">IFERROR(D88/D72,0)</f>
        <v>0</v>
      </c>
      <c r="E89" s="52" t="n">
        <f aca="false">IFERROR(E88/E72,0)</f>
        <v>-0.980672278316342</v>
      </c>
      <c r="F89" s="52" t="n">
        <f aca="false">IFERROR(F88/F72,0)</f>
        <v>-0.492637918657301</v>
      </c>
      <c r="G89" s="52" t="n">
        <f aca="false">IFERROR(G88/G72,0)</f>
        <v>-0.424199570975631</v>
      </c>
      <c r="H89" s="52" t="n">
        <f aca="false">IFERROR(H88/H72,0)</f>
        <v>-0.393202381766206</v>
      </c>
      <c r="I89" s="52" t="n">
        <f aca="false">IFERROR(I88/I72,0)</f>
        <v>-0.513685447619246</v>
      </c>
      <c r="J89" s="52" t="n">
        <f aca="false">IFERROR(J88/J72,0)</f>
        <v>-0.496756785950463</v>
      </c>
      <c r="K89" s="52" t="n">
        <f aca="false">IFERROR(K88/K72,0)</f>
        <v>-0.474233342820401</v>
      </c>
      <c r="L89" s="52" t="n">
        <f aca="false">IFERROR(L88/L72,0)</f>
        <v>-0.461434887973729</v>
      </c>
      <c r="M89" s="52" t="n">
        <f aca="false">IFERROR(M88/M72,0)</f>
        <v>-0.448789949923584</v>
      </c>
      <c r="N89" s="52" t="n">
        <f aca="false">IFERROR(N88/N72,0)</f>
        <v>-0.437236000237396</v>
      </c>
      <c r="O89" s="52" t="n">
        <f aca="false">IFERROR(O88/O72,0)</f>
        <v>-0.616140617830614</v>
      </c>
      <c r="P89" s="52" t="n">
        <f aca="false">IFERROR(P88/P72,0)</f>
        <v>-0.602346663344602</v>
      </c>
      <c r="Q89" s="52" t="n">
        <f aca="false">IFERROR(Q88/Q72,0)</f>
        <v>-0.589242875980941</v>
      </c>
      <c r="R89" s="52" t="n">
        <f aca="false">IFERROR(R88/R72,0)</f>
        <v>-0.576668633849777</v>
      </c>
      <c r="S89" s="52" t="n">
        <f aca="false">IFERROR(S88/S72,0)</f>
        <v>-0.564501684771972</v>
      </c>
      <c r="T89" s="52" t="n">
        <f aca="false">IFERROR(T88/T72,0)</f>
        <v>-0.552647290366255</v>
      </c>
      <c r="U89" s="52" t="n">
        <f aca="false">IFERROR(U88/U72,0)</f>
        <v>-0.541030808665358</v>
      </c>
      <c r="V89" s="52" t="n">
        <f aca="false">IFERROR(V88/V72,0)</f>
        <v>-0.529592566375081</v>
      </c>
      <c r="W89" s="52" t="n">
        <f aca="false">IFERROR(W88/W72,0)</f>
        <v>-0.518284272729596</v>
      </c>
      <c r="X89" s="52" t="n">
        <f aca="false">IFERROR(X88/X72,0)</f>
        <v>-0.507066485122361</v>
      </c>
      <c r="Y89" s="52" t="n">
        <f aca="false">IFERROR(Y88/Y72,0)</f>
        <v>-0.49590680027768</v>
      </c>
      <c r="Z89" s="52" t="n">
        <f aca="false">IFERROR(Z88/Z72,0)</f>
        <v>-0.484778550459399</v>
      </c>
      <c r="AA89" s="52" t="n">
        <f aca="false">IFERROR(AA88/AA72,0)</f>
        <v>-0.625611464622667</v>
      </c>
      <c r="AB89" s="52" t="n">
        <f aca="false">IFERROR(AB88/AB72,0)</f>
        <v>-0.611579361254692</v>
      </c>
      <c r="AC89" s="52" t="n">
        <f aca="false">IFERROR(AC88/AC72,0)</f>
        <v>-0.597521198696867</v>
      </c>
      <c r="AD89" s="52" t="n">
        <f aca="false">IFERROR(AD88/AD72,0)</f>
        <v>-0.583422675398371</v>
      </c>
      <c r="AE89" s="52" t="n">
        <f aca="false">IFERROR(AE88/AE72,0)</f>
        <v>-0.569273123521892</v>
      </c>
      <c r="AF89" s="52" t="n">
        <f aca="false">IFERROR(AF88/AF72,0)</f>
        <v>-0.555065188147496</v>
      </c>
      <c r="AG89" s="52" t="n">
        <f aca="false">IFERROR(AG88/AG72,0)</f>
        <v>-0.540794563895824</v>
      </c>
      <c r="AH89" s="52" t="n">
        <f aca="false">IFERROR(AH88/AH72,0)</f>
        <v>-0.526459770875942</v>
      </c>
      <c r="AI89" s="52" t="n">
        <f aca="false">IFERROR(AI88/AI72,0)</f>
        <v>-0.512061956669979</v>
      </c>
      <c r="AJ89" s="52" t="n">
        <f aca="false">IFERROR(AJ88/AJ72,0)</f>
        <v>-0.49760471456648</v>
      </c>
      <c r="AK89" s="52" t="n">
        <f aca="false">IFERROR(AK88/AK72,0)</f>
        <v>-0.483093910846778</v>
      </c>
      <c r="AL89" s="52" t="n">
        <f aca="false">IFERROR(AL88/AL72,0)</f>
        <v>-0.468537515888319</v>
      </c>
      <c r="AM89" s="52" t="n">
        <f aca="false">AVERAGE(N89:AL89)</f>
        <v>-0.543458747775854</v>
      </c>
    </row>
    <row r="90" customFormat="false" ht="15" hidden="false" customHeight="false" outlineLevel="0" collapsed="false">
      <c r="A90" s="10" t="s">
        <v>824</v>
      </c>
      <c r="B90" s="9" t="s">
        <v>97</v>
      </c>
      <c r="C90" s="70" t="n">
        <f aca="false">-C43*Assumptions!$D$102</f>
        <v>0</v>
      </c>
      <c r="D90" s="70" t="n">
        <f aca="false">-D43*Assumptions!$D$102</f>
        <v>0</v>
      </c>
      <c r="E90" s="70" t="n">
        <f aca="false">-E43*Assumptions!$D$102</f>
        <v>0</v>
      </c>
      <c r="F90" s="70" t="n">
        <f aca="false">-F43*Assumptions!$D$102</f>
        <v>0</v>
      </c>
      <c r="G90" s="70" t="n">
        <f aca="false">-G43*Assumptions!$D$102</f>
        <v>0</v>
      </c>
      <c r="H90" s="70" t="n">
        <f aca="false">-H43*Assumptions!$D$102</f>
        <v>0</v>
      </c>
      <c r="I90" s="70" t="n">
        <f aca="false">-I43*Assumptions!$D$102</f>
        <v>0</v>
      </c>
      <c r="J90" s="70" t="n">
        <f aca="false">-J43*Assumptions!$D$102</f>
        <v>0</v>
      </c>
      <c r="K90" s="70" t="n">
        <f aca="false">-K43*Assumptions!$D$102</f>
        <v>0</v>
      </c>
      <c r="L90" s="70" t="n">
        <f aca="false">-L43*Assumptions!$D$102</f>
        <v>0</v>
      </c>
      <c r="M90" s="70" t="n">
        <f aca="false">-M43*Assumptions!$D$102</f>
        <v>0</v>
      </c>
      <c r="N90" s="70" t="n">
        <f aca="false">-N43*Assumptions!$D$102</f>
        <v>0</v>
      </c>
      <c r="O90" s="70" t="n">
        <f aca="false">-O43*Assumptions!$D$102</f>
        <v>0</v>
      </c>
      <c r="P90" s="70" t="n">
        <f aca="false">-P43*Assumptions!$D$102</f>
        <v>0</v>
      </c>
      <c r="Q90" s="70" t="n">
        <f aca="false">-Q43*Assumptions!$D$102</f>
        <v>0</v>
      </c>
      <c r="R90" s="70" t="n">
        <f aca="false">-R43*Assumptions!$D$102</f>
        <v>0</v>
      </c>
      <c r="S90" s="70" t="n">
        <f aca="false">-S43*Assumptions!$D$102</f>
        <v>0</v>
      </c>
      <c r="T90" s="70" t="n">
        <f aca="false">-T43*Assumptions!$D$102</f>
        <v>0</v>
      </c>
      <c r="U90" s="70" t="n">
        <f aca="false">-U43*Assumptions!$D$102</f>
        <v>0</v>
      </c>
      <c r="V90" s="70" t="n">
        <f aca="false">-V43*Assumptions!$D$102</f>
        <v>0</v>
      </c>
      <c r="W90" s="70" t="n">
        <f aca="false">-W43*Assumptions!$D$102</f>
        <v>0</v>
      </c>
      <c r="X90" s="70" t="n">
        <f aca="false">-X43*Assumptions!$D$102</f>
        <v>0</v>
      </c>
      <c r="Y90" s="70" t="n">
        <f aca="false">-Y43*Assumptions!$D$102</f>
        <v>0</v>
      </c>
      <c r="Z90" s="70" t="n">
        <f aca="false">-Z43*Assumptions!$D$102</f>
        <v>0</v>
      </c>
      <c r="AA90" s="70" t="n">
        <f aca="false">-AA43*Assumptions!$D$102</f>
        <v>0</v>
      </c>
      <c r="AB90" s="70" t="n">
        <f aca="false">-AB43*Assumptions!$D$102</f>
        <v>0</v>
      </c>
      <c r="AC90" s="70" t="n">
        <f aca="false">-AC43*Assumptions!$D$102</f>
        <v>0</v>
      </c>
      <c r="AD90" s="70" t="n">
        <f aca="false">-AD43*Assumptions!$D$102</f>
        <v>0</v>
      </c>
      <c r="AE90" s="70" t="n">
        <f aca="false">-AE43*Assumptions!$D$102</f>
        <v>0</v>
      </c>
      <c r="AF90" s="70" t="n">
        <f aca="false">-AF43*Assumptions!$D$102</f>
        <v>0</v>
      </c>
      <c r="AG90" s="70" t="n">
        <f aca="false">-AG43*Assumptions!$D$102</f>
        <v>0</v>
      </c>
      <c r="AH90" s="70" t="n">
        <f aca="false">-AH43*Assumptions!$D$102</f>
        <v>0</v>
      </c>
      <c r="AI90" s="70" t="n">
        <f aca="false">-AI43*Assumptions!$D$102</f>
        <v>0</v>
      </c>
      <c r="AJ90" s="70" t="n">
        <f aca="false">-AJ43*Assumptions!$D$102</f>
        <v>0</v>
      </c>
      <c r="AK90" s="70" t="n">
        <f aca="false">-AK43*Assumptions!$D$102</f>
        <v>0</v>
      </c>
      <c r="AL90" s="70" t="n">
        <f aca="false">-AL43*Assumptions!$D$102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-24820</v>
      </c>
      <c r="D92" s="70" t="n">
        <f aca="false">D88+D91</f>
        <v>-24820</v>
      </c>
      <c r="E92" s="70" t="n">
        <f aca="false">E88+E91</f>
        <v>-39912.1395385043</v>
      </c>
      <c r="F92" s="70" t="n">
        <f aca="false">F88+F91</f>
        <v>-16465.8251189515</v>
      </c>
      <c r="G92" s="70" t="n">
        <f aca="false">G88+G91</f>
        <v>-14228.7395368492</v>
      </c>
      <c r="H92" s="70" t="n">
        <f aca="false">H88+H91</f>
        <v>-13684.7914572884</v>
      </c>
      <c r="I92" s="70" t="n">
        <f aca="false">I88+I91</f>
        <v>-18503.4172808457</v>
      </c>
      <c r="J92" s="70" t="n">
        <f aca="false">J88+J91</f>
        <v>-18400.0522641339</v>
      </c>
      <c r="K92" s="70" t="n">
        <f aca="false">K88+K91</f>
        <v>-18213.1147912408</v>
      </c>
      <c r="L92" s="70" t="n">
        <f aca="false">L88+L91</f>
        <v>-18205.4780504335</v>
      </c>
      <c r="M92" s="70" t="n">
        <f aca="false">M88+M91</f>
        <v>-18138.2281878521</v>
      </c>
      <c r="N92" s="70" t="n">
        <f aca="false">N88+N91</f>
        <v>-18067.2571116672</v>
      </c>
      <c r="O92" s="70" t="n">
        <f aca="false">O88+O91</f>
        <v>-25994.4387339824</v>
      </c>
      <c r="P92" s="70" t="n">
        <f aca="false">P88+P91</f>
        <v>-25919.9918554105</v>
      </c>
      <c r="Q92" s="70" t="n">
        <f aca="false">Q88+Q91</f>
        <v>-25843.7926607987</v>
      </c>
      <c r="R92" s="70" t="n">
        <f aca="false">R88+R91</f>
        <v>-25765.6701025828</v>
      </c>
      <c r="S92" s="70" t="n">
        <f aca="false">S88+S91</f>
        <v>-25685.4276261301</v>
      </c>
      <c r="T92" s="70" t="n">
        <f aca="false">T88+T91</f>
        <v>-25602.8479359385</v>
      </c>
      <c r="U92" s="70" t="n">
        <f aca="false">U88+U91</f>
        <v>-25517.6949455848</v>
      </c>
      <c r="V92" s="70" t="n">
        <f aca="false">V88+V91</f>
        <v>-25429.7150373685</v>
      </c>
      <c r="W92" s="70" t="n">
        <f aca="false">W88+W91</f>
        <v>-25338.6379897464</v>
      </c>
      <c r="X92" s="70" t="n">
        <f aca="false">X88+X91</f>
        <v>-25244.1776587851</v>
      </c>
      <c r="Y92" s="70" t="n">
        <f aca="false">Y88+Y91</f>
        <v>-25146.0324356884</v>
      </c>
      <c r="Z92" s="70" t="n">
        <f aca="false">Z88+Z91</f>
        <v>-25043.8854902524</v>
      </c>
      <c r="AA92" s="70" t="n">
        <f aca="false">AA88+AA91</f>
        <v>-32937.4048111356</v>
      </c>
      <c r="AB92" s="70" t="n">
        <f aca="false">AB88+AB91</f>
        <v>-32826.2430568225</v>
      </c>
      <c r="AC92" s="70" t="n">
        <f aca="false">AC88+AC91</f>
        <v>-32710.037233034</v>
      </c>
      <c r="AD92" s="70" t="n">
        <f aca="false">AD88+AD91</f>
        <v>-32588.4082126782</v>
      </c>
      <c r="AE92" s="70" t="n">
        <f aca="false">AE88+AE91</f>
        <v>-32460.9601135706</v>
      </c>
      <c r="AF92" s="70" t="n">
        <f aca="false">AF88+AF91</f>
        <v>-32327.2795475435</v>
      </c>
      <c r="AG92" s="70" t="n">
        <f aca="false">AG88+AG91</f>
        <v>-32186.9347525832</v>
      </c>
      <c r="AH92" s="70" t="n">
        <f aca="false">AH88+AH91</f>
        <v>-32039.4746175404</v>
      </c>
      <c r="AI92" s="70" t="n">
        <f aca="false">AI88+AI91</f>
        <v>-31884.4276069198</v>
      </c>
      <c r="AJ92" s="70" t="n">
        <f aca="false">AJ88+AJ91</f>
        <v>-31721.3005913616</v>
      </c>
      <c r="AK92" s="70" t="n">
        <f aca="false">AK88+AK91</f>
        <v>-31549.5775877165</v>
      </c>
      <c r="AL92" s="70" t="n">
        <f aca="false">AL88+AL91</f>
        <v>-31368.7184111042</v>
      </c>
      <c r="AM92" s="70" t="n">
        <f aca="false">SUM(C92:AL92)</f>
        <v>-936592.122352045</v>
      </c>
    </row>
    <row r="93" customFormat="false" ht="15" hidden="false" customHeight="false" outlineLevel="0" collapsed="false">
      <c r="A93" s="37" t="s">
        <v>827</v>
      </c>
      <c r="B93" s="9" t="s">
        <v>97</v>
      </c>
      <c r="C93" s="53" t="n">
        <f aca="false">C92</f>
        <v>-24820</v>
      </c>
      <c r="D93" s="53" t="n">
        <f aca="false">C93+D92</f>
        <v>-49640</v>
      </c>
      <c r="E93" s="53" t="n">
        <f aca="false">D93+E92</f>
        <v>-89552.1395385043</v>
      </c>
      <c r="F93" s="53" t="n">
        <f aca="false">E93+F92</f>
        <v>-106017.964657456</v>
      </c>
      <c r="G93" s="53" t="n">
        <f aca="false">F93+G92</f>
        <v>-120246.704194305</v>
      </c>
      <c r="H93" s="53" t="n">
        <f aca="false">G93+H92</f>
        <v>-133931.495651593</v>
      </c>
      <c r="I93" s="53" t="n">
        <f aca="false">H93+I92</f>
        <v>-152434.912932439</v>
      </c>
      <c r="J93" s="53" t="n">
        <f aca="false">I93+J92</f>
        <v>-170834.965196573</v>
      </c>
      <c r="K93" s="53" t="n">
        <f aca="false">J93+K92</f>
        <v>-189048.079987814</v>
      </c>
      <c r="L93" s="53" t="n">
        <f aca="false">K93+L92</f>
        <v>-207253.558038247</v>
      </c>
      <c r="M93" s="53" t="n">
        <f aca="false">L93+M92</f>
        <v>-225391.786226099</v>
      </c>
      <c r="N93" s="53" t="n">
        <f aca="false">M93+N92</f>
        <v>-243459.043337767</v>
      </c>
      <c r="O93" s="53" t="n">
        <f aca="false">N93+O92</f>
        <v>-269453.482071749</v>
      </c>
      <c r="P93" s="53" t="n">
        <f aca="false">O93+P92</f>
        <v>-295373.473927159</v>
      </c>
      <c r="Q93" s="53" t="n">
        <f aca="false">P93+Q92</f>
        <v>-321217.266587958</v>
      </c>
      <c r="R93" s="53" t="n">
        <f aca="false">Q93+R92</f>
        <v>-346982.936690541</v>
      </c>
      <c r="S93" s="53" t="n">
        <f aca="false">R93+S92</f>
        <v>-372668.364316671</v>
      </c>
      <c r="T93" s="53" t="n">
        <f aca="false">S93+T92</f>
        <v>-398271.21225261</v>
      </c>
      <c r="U93" s="53" t="n">
        <f aca="false">T93+U92</f>
        <v>-423788.907198194</v>
      </c>
      <c r="V93" s="53" t="n">
        <f aca="false">U93+V92</f>
        <v>-449218.622235563</v>
      </c>
      <c r="W93" s="53" t="n">
        <f aca="false">V93+W92</f>
        <v>-474557.260225309</v>
      </c>
      <c r="X93" s="53" t="n">
        <f aca="false">W93+X92</f>
        <v>-499801.437884094</v>
      </c>
      <c r="Y93" s="53" t="n">
        <f aca="false">X93+Y92</f>
        <v>-524947.470319783</v>
      </c>
      <c r="Z93" s="53" t="n">
        <f aca="false">Y93+Z92</f>
        <v>-549991.355810035</v>
      </c>
      <c r="AA93" s="53" t="n">
        <f aca="false">Z93+AA92</f>
        <v>-582928.760621171</v>
      </c>
      <c r="AB93" s="53" t="n">
        <f aca="false">AA93+AB92</f>
        <v>-615755.003677993</v>
      </c>
      <c r="AC93" s="53" t="n">
        <f aca="false">AB93+AC92</f>
        <v>-648465.040911027</v>
      </c>
      <c r="AD93" s="53" t="n">
        <f aca="false">AC93+AD92</f>
        <v>-681053.449123705</v>
      </c>
      <c r="AE93" s="53" t="n">
        <f aca="false">AD93+AE92</f>
        <v>-713514.409237276</v>
      </c>
      <c r="AF93" s="53" t="n">
        <f aca="false">AE93+AF92</f>
        <v>-745841.68878482</v>
      </c>
      <c r="AG93" s="53" t="n">
        <f aca="false">AF93+AG92</f>
        <v>-778028.623537403</v>
      </c>
      <c r="AH93" s="53" t="n">
        <f aca="false">AG93+AH92</f>
        <v>-810068.098154943</v>
      </c>
      <c r="AI93" s="53" t="n">
        <f aca="false">AH93+AI92</f>
        <v>-841952.525761863</v>
      </c>
      <c r="AJ93" s="53" t="n">
        <f aca="false">AI93+AJ92</f>
        <v>-873673.826353225</v>
      </c>
      <c r="AK93" s="53" t="n">
        <f aca="false">AJ93+AK92</f>
        <v>-905223.403940941</v>
      </c>
      <c r="AL93" s="53" t="n">
        <f aca="false">AK93+AL92</f>
        <v>-936592.122352045</v>
      </c>
      <c r="AM93" s="53" t="n">
        <f aca="false">AL93</f>
        <v>-936592.122352045</v>
      </c>
    </row>
    <row r="94" customFormat="false" ht="15" hidden="false" customHeight="false" outlineLevel="0" collapsed="false">
      <c r="A94" s="10" t="s">
        <v>828</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999</v>
      </c>
      <c r="AA94" s="69" t="n">
        <f aca="false">IF(AA88&gt;0,AA$5,999)</f>
        <v>999</v>
      </c>
      <c r="AB94" s="69" t="n">
        <f aca="false">IF(AB88&gt;0,AB$5,999)</f>
        <v>999</v>
      </c>
      <c r="AC94" s="69" t="n">
        <f aca="false">IF(AC88&gt;0,AC$5,999)</f>
        <v>999</v>
      </c>
      <c r="AD94" s="69" t="n">
        <f aca="false">IF(AD88&gt;0,AD$5,999)</f>
        <v>999</v>
      </c>
      <c r="AE94" s="69" t="n">
        <f aca="false">IF(AE88&gt;0,AE$5,999)</f>
        <v>999</v>
      </c>
      <c r="AF94" s="69" t="n">
        <f aca="false">IF(AF88&gt;0,AF$5,999)</f>
        <v>999</v>
      </c>
      <c r="AG94" s="69" t="n">
        <f aca="false">IF(AG88&gt;0,AG$5,999)</f>
        <v>999</v>
      </c>
      <c r="AH94" s="69" t="n">
        <f aca="false">IF(AH88&gt;0,AH$5,999)</f>
        <v>999</v>
      </c>
      <c r="AI94" s="69" t="n">
        <f aca="false">IF(AI88&gt;0,AI$5,999)</f>
        <v>999</v>
      </c>
      <c r="AJ94" s="69" t="n">
        <f aca="false">IF(AJ88&gt;0,AJ$5,999)</f>
        <v>999</v>
      </c>
      <c r="AK94" s="69" t="n">
        <f aca="false">IF(AK88&gt;0,AK$5,999)</f>
        <v>999</v>
      </c>
      <c r="AL94" s="69" t="n">
        <f aca="false">IF(AL88&gt;0,AL$5,999)</f>
        <v>999</v>
      </c>
      <c r="AM94" s="69"/>
    </row>
    <row r="95" customFormat="false" ht="15" hidden="false" customHeight="false" outlineLevel="0" collapsed="false">
      <c r="A95" s="10" t="s">
        <v>829</v>
      </c>
      <c r="B95" s="9" t="s">
        <v>51</v>
      </c>
      <c r="C95" s="61" t="n">
        <f aca="false">C32+C56</f>
        <v>0</v>
      </c>
      <c r="D95" s="61" t="n">
        <f aca="false">D32+D56</f>
        <v>0</v>
      </c>
      <c r="E95" s="61" t="n">
        <f aca="false">E32+E56</f>
        <v>623.449046007059</v>
      </c>
      <c r="F95" s="61" t="n">
        <f aca="false">F32+F56</f>
        <v>306.891812928523</v>
      </c>
      <c r="G95" s="61" t="n">
        <f aca="false">G32+G56</f>
        <v>257.975126551684</v>
      </c>
      <c r="H95" s="61" t="n">
        <f aca="false">H32+H56</f>
        <v>231.081887773555</v>
      </c>
      <c r="I95" s="61" t="n">
        <f aca="false">I32+I56</f>
        <v>214.037785928793</v>
      </c>
      <c r="J95" s="61" t="n">
        <f aca="false">J32+J56</f>
        <v>201.409706486544</v>
      </c>
      <c r="K95" s="61" t="n">
        <f aca="false">K32+K56</f>
        <v>193.770374802731</v>
      </c>
      <c r="L95" s="61" t="n">
        <f aca="false">L32+L56</f>
        <v>188.324257512711</v>
      </c>
      <c r="M95" s="61" t="n">
        <f aca="false">M32+M56</f>
        <v>184.783946910002</v>
      </c>
      <c r="N95" s="61" t="n">
        <f aca="false">N32+N56</f>
        <v>182.83884423351</v>
      </c>
      <c r="O95" s="61" t="n">
        <f aca="false">O32+O56</f>
        <v>182.085704010411</v>
      </c>
      <c r="P95" s="61" t="n">
        <f aca="false">P32+P56</f>
        <v>182.226350902402</v>
      </c>
      <c r="Q95" s="61" t="n">
        <f aca="false">Q32+Q56</f>
        <v>183.044485097768</v>
      </c>
      <c r="R95" s="61" t="n">
        <f aca="false">R32+R56</f>
        <v>184.385181900535</v>
      </c>
      <c r="S95" s="61" t="n">
        <f aca="false">S32+S56</f>
        <v>186.138641718636</v>
      </c>
      <c r="T95" s="61" t="n">
        <f aca="false">T32+T56</f>
        <v>188.228066441471</v>
      </c>
      <c r="U95" s="61" t="n">
        <f aca="false">U32+U56</f>
        <v>190.600742676013</v>
      </c>
      <c r="V95" s="61" t="n">
        <f aca="false">V32+V56</f>
        <v>193.221534985008</v>
      </c>
      <c r="W95" s="61" t="n">
        <f aca="false">W32+W56</f>
        <v>196.068161857549</v>
      </c>
      <c r="X95" s="61" t="n">
        <f aca="false">X32+X56</f>
        <v>199.127779012265</v>
      </c>
      <c r="Y95" s="61" t="n">
        <f aca="false">Y32+Y56</f>
        <v>202.394516391149</v>
      </c>
      <c r="Z95" s="61" t="n">
        <f aca="false">Z32+Z56</f>
        <v>205.867708599885</v>
      </c>
      <c r="AA95" s="61" t="n">
        <f aca="false">AA32+AA56</f>
        <v>209.550628559902</v>
      </c>
      <c r="AB95" s="61" t="n">
        <f aca="false">AB32+AB56</f>
        <v>213.449585920282</v>
      </c>
      <c r="AC95" s="61" t="n">
        <f aca="false">AC32+AC56</f>
        <v>217.573289766277</v>
      </c>
      <c r="AD95" s="61" t="n">
        <f aca="false">AD32+AD56</f>
        <v>221.932402883695</v>
      </c>
      <c r="AE95" s="61" t="n">
        <f aca="false">AE32+AE56</f>
        <v>226.539234998846</v>
      </c>
      <c r="AF95" s="61" t="n">
        <f aca="false">AF32+AF56</f>
        <v>231.407537040416</v>
      </c>
      <c r="AG95" s="61" t="n">
        <f aca="false">AG32+AG56</f>
        <v>236.552369064567</v>
      </c>
      <c r="AH95" s="61" t="n">
        <f aca="false">AH32+AH56</f>
        <v>241.990022150788</v>
      </c>
      <c r="AI95" s="61" t="n">
        <f aca="false">AI32+AI56</f>
        <v>247.737980119335</v>
      </c>
      <c r="AJ95" s="61" t="n">
        <f aca="false">AJ32+AJ56</f>
        <v>253.814910927734</v>
      </c>
      <c r="AK95" s="61" t="n">
        <f aca="false">AK32+AK56</f>
        <v>260.240680499584</v>
      </c>
      <c r="AL95" s="61" t="n">
        <f aca="false">AL32+AL56</f>
        <v>267.03638383204</v>
      </c>
      <c r="AM95" s="61" t="n">
        <f aca="false">SUM(C95:AL95)</f>
        <v>7705.77668849167</v>
      </c>
    </row>
    <row r="96" customFormat="false" ht="15" hidden="false" customHeight="false" outlineLevel="0" collapsed="false">
      <c r="A96" s="37" t="s">
        <v>830</v>
      </c>
      <c r="B96" s="9" t="s">
        <v>97</v>
      </c>
      <c r="C96" s="51" t="n">
        <f aca="false">IFERROR((C26-C82)/C95,0)</f>
        <v>0</v>
      </c>
      <c r="D96" s="51" t="n">
        <f aca="false">IFERROR((D26-D82)/D95,0)</f>
        <v>0</v>
      </c>
      <c r="E96" s="51" t="n">
        <f aca="false">IFERROR((E26-E82)/E95,0)</f>
        <v>20.8517441533671</v>
      </c>
      <c r="F96" s="51" t="n">
        <f aca="false">IFERROR((F26-F82)/F95,0)</f>
        <v>49.5602211471984</v>
      </c>
      <c r="G96" s="51" t="n">
        <f aca="false">IFERROR((G26-G82)/G95,0)</f>
        <v>50.4976446024769</v>
      </c>
      <c r="H96" s="51" t="n">
        <f aca="false">IFERROR((H26-H82)/H95,0)</f>
        <v>56.5287401296493</v>
      </c>
      <c r="I96" s="51" t="n">
        <f aca="false">IFERROR((I26-I82)/I95,0)</f>
        <v>62.7974581962655</v>
      </c>
      <c r="J96" s="51" t="n">
        <f aca="false">IFERROR((J26-J82)/J95,0)</f>
        <v>68.5482007947161</v>
      </c>
      <c r="K96" s="51" t="n">
        <f aca="false">IFERROR((K26-K82)/K95,0)</f>
        <v>72.8290342141656</v>
      </c>
      <c r="L96" s="51" t="n">
        <f aca="false">IFERROR((L26-L82)/L95,0)</f>
        <v>77.1096412231028</v>
      </c>
      <c r="M96" s="51" t="n">
        <f aca="false">IFERROR((M26-M82)/M95,0)</f>
        <v>80.2895334745886</v>
      </c>
      <c r="N96" s="51" t="n">
        <f aca="false">IFERROR((N26-N82)/N95,0)</f>
        <v>82.7217851791522</v>
      </c>
      <c r="O96" s="51" t="n">
        <f aca="false">IFERROR((O26-O82)/O95,0)</f>
        <v>84.5560982298658</v>
      </c>
      <c r="P96" s="51" t="n">
        <f aca="false">IFERROR((P26-P82)/P95,0)</f>
        <v>85.9191875919802</v>
      </c>
      <c r="Q96" s="51" t="n">
        <f aca="false">IFERROR((Q26-Q82)/Q95,0)</f>
        <v>86.9160602152443</v>
      </c>
      <c r="R96" s="51" t="n">
        <f aca="false">IFERROR((R26-R82)/R95,0)</f>
        <v>87.630666648599</v>
      </c>
      <c r="S96" s="51" t="n">
        <f aca="false">IFERROR((S26-S82)/S95,0)</f>
        <v>88.1281820742887</v>
      </c>
      <c r="T96" s="51" t="n">
        <f aca="false">IFERROR((T26-T82)/T95,0)</f>
        <v>88.4582182405265</v>
      </c>
      <c r="U96" s="51" t="n">
        <f aca="false">IFERROR((U26-U82)/U95,0)</f>
        <v>88.6580687523839</v>
      </c>
      <c r="V96" s="51" t="n">
        <f aca="false">IFERROR((V26-V82)/V95,0)</f>
        <v>88.7555684071712</v>
      </c>
      <c r="W96" s="51" t="n">
        <f aca="false">IFERROR((W26-W82)/W95,0)</f>
        <v>88.7714358643912</v>
      </c>
      <c r="X96" s="51" t="n">
        <f aca="false">IFERROR((X26-X82)/X95,0)</f>
        <v>88.7211114100412</v>
      </c>
      <c r="Y96" s="51" t="n">
        <f aca="false">IFERROR((Y26-Y82)/Y95,0)</f>
        <v>88.6161591847526</v>
      </c>
      <c r="Z96" s="51" t="n">
        <f aca="false">IFERROR((Z26-Z82)/Z95,0)</f>
        <v>88.4653175562419</v>
      </c>
      <c r="AA96" s="51" t="n">
        <f aca="false">IFERROR((AA26-AA82)/AA95,0)</f>
        <v>88.2752761033234</v>
      </c>
      <c r="AB96" s="51" t="n">
        <f aca="false">IFERROR((AB26-AB82)/AB95,0)</f>
        <v>88.0512453641846</v>
      </c>
      <c r="AC96" s="51" t="n">
        <f aca="false">IFERROR((AC26-AC82)/AC95,0)</f>
        <v>87.7973720211153</v>
      </c>
      <c r="AD96" s="51" t="n">
        <f aca="false">IFERROR((AD26-AD82)/AD95,0)</f>
        <v>87.5170400429946</v>
      </c>
      <c r="AE96" s="51" t="n">
        <f aca="false">IFERROR((AE26-AE82)/AE95,0)</f>
        <v>87.2130882801485</v>
      </c>
      <c r="AF96" s="51" t="n">
        <f aca="false">IFERROR((AF26-AF82)/AF95,0)</f>
        <v>86.88796712736</v>
      </c>
      <c r="AG96" s="51" t="n">
        <f aca="false">IFERROR((AG26-AG82)/AG95,0)</f>
        <v>86.5438508625747</v>
      </c>
      <c r="AH96" s="51" t="n">
        <f aca="false">IFERROR((AH26-AH82)/AH95,0)</f>
        <v>86.1827177757952</v>
      </c>
      <c r="AI96" s="51" t="n">
        <f aca="false">IFERROR((AI26-AI82)/AI95,0)</f>
        <v>85.8064068871459</v>
      </c>
      <c r="AJ96" s="51" t="n">
        <f aca="false">IFERROR((AJ26-AJ82)/AJ95,0)</f>
        <v>85.4166576294557</v>
      </c>
      <c r="AK96" s="51" t="n">
        <f aca="false">IFERROR((AK26-AK82)/AK95,0)</f>
        <v>85.0151371111825</v>
      </c>
      <c r="AL96" s="51" t="n">
        <f aca="false">IFERROR((AL26-AL82)/AL95,0)</f>
        <v>84.6034583047085</v>
      </c>
      <c r="AM96" s="51" t="n">
        <f aca="false">AVERAGE(N96:AL96)</f>
        <v>87.0251230745851</v>
      </c>
    </row>
    <row r="97" customFormat="false" ht="15" hidden="false" customHeight="false" outlineLevel="0" collapsed="false">
      <c r="A97" s="10" t="s">
        <v>831</v>
      </c>
      <c r="B97" s="9" t="s">
        <v>97</v>
      </c>
      <c r="C97" s="63" t="n">
        <f aca="false">IFERROR(C18/(C19*Assumptions!$D$49*Assumptions!$D$31*Assumptions!$D$32),0)</f>
        <v>0</v>
      </c>
      <c r="D97" s="63" t="n">
        <f aca="false">IFERROR(D18/(D19*Assumptions!$D$49*Assumptions!$D$31*Assumptions!$D$32),0)</f>
        <v>0</v>
      </c>
      <c r="E97" s="63" t="n">
        <f aca="false">IFERROR(E18/(E19*Assumptions!$D$49*Assumptions!$D$31*Assumptions!$D$32),0)</f>
        <v>168.831168831169</v>
      </c>
      <c r="F97" s="63" t="n">
        <f aca="false">IFERROR(F18/(F19*Assumptions!$D$49*Assumptions!$D$31*Assumptions!$D$32),0)</f>
        <v>168.831168831169</v>
      </c>
      <c r="G97" s="63" t="n">
        <f aca="false">IFERROR(G18/(G19*Assumptions!$D$49*Assumptions!$D$31*Assumptions!$D$32),0)</f>
        <v>168.831168831169</v>
      </c>
      <c r="H97" s="63" t="n">
        <f aca="false">IFERROR(H18/(H19*Assumptions!$D$49*Assumptions!$D$31*Assumptions!$D$32),0)</f>
        <v>168.831168831169</v>
      </c>
      <c r="I97" s="63" t="n">
        <f aca="false">IFERROR(I18/(I19*Assumptions!$D$49*Assumptions!$D$31*Assumptions!$D$32),0)</f>
        <v>168.831168831169</v>
      </c>
      <c r="J97" s="63" t="n">
        <f aca="false">IFERROR(J18/(J19*Assumptions!$D$49*Assumptions!$D$31*Assumptions!$D$32),0)</f>
        <v>168.831168831169</v>
      </c>
      <c r="K97" s="63" t="n">
        <f aca="false">IFERROR(K18/(K19*Assumptions!$D$49*Assumptions!$D$31*Assumptions!$D$32),0)</f>
        <v>168.831168831169</v>
      </c>
      <c r="L97" s="63" t="n">
        <f aca="false">IFERROR(L18/(L19*Assumptions!$D$49*Assumptions!$D$31*Assumptions!$D$32),0)</f>
        <v>168.831168831169</v>
      </c>
      <c r="M97" s="63" t="n">
        <f aca="false">IFERROR(M18/(M19*Assumptions!$D$49*Assumptions!$D$31*Assumptions!$D$32),0)</f>
        <v>168.831168831169</v>
      </c>
      <c r="N97" s="63" t="n">
        <f aca="false">IFERROR(N18/(N19*Assumptions!$D$49*Assumptions!$D$31*Assumptions!$D$32),0)</f>
        <v>168.831168831169</v>
      </c>
      <c r="O97" s="63" t="n">
        <f aca="false">IFERROR(O18/(O19*Assumptions!$D$49*Assumptions!$D$31*Assumptions!$D$32),0)</f>
        <v>168.831168831169</v>
      </c>
      <c r="P97" s="63" t="n">
        <f aca="false">IFERROR(P18/(P19*Assumptions!$D$49*Assumptions!$D$31*Assumptions!$D$32),0)</f>
        <v>168.831168831169</v>
      </c>
      <c r="Q97" s="63" t="n">
        <f aca="false">IFERROR(Q18/(Q19*Assumptions!$D$49*Assumptions!$D$31*Assumptions!$D$32),0)</f>
        <v>168.831168831169</v>
      </c>
      <c r="R97" s="63" t="n">
        <f aca="false">IFERROR(R18/(R19*Assumptions!$D$49*Assumptions!$D$31*Assumptions!$D$32),0)</f>
        <v>168.831168831169</v>
      </c>
      <c r="S97" s="63" t="n">
        <f aca="false">IFERROR(S18/(S19*Assumptions!$D$49*Assumptions!$D$31*Assumptions!$D$32),0)</f>
        <v>168.831168831169</v>
      </c>
      <c r="T97" s="63" t="n">
        <f aca="false">IFERROR(T18/(T19*Assumptions!$D$49*Assumptions!$D$31*Assumptions!$D$32),0)</f>
        <v>168.831168831169</v>
      </c>
      <c r="U97" s="63" t="n">
        <f aca="false">IFERROR(U18/(U19*Assumptions!$D$49*Assumptions!$D$31*Assumptions!$D$32),0)</f>
        <v>168.831168831169</v>
      </c>
      <c r="V97" s="63" t="n">
        <f aca="false">IFERROR(V18/(V19*Assumptions!$D$49*Assumptions!$D$31*Assumptions!$D$32),0)</f>
        <v>168.831168831169</v>
      </c>
      <c r="W97" s="63" t="n">
        <f aca="false">IFERROR(W18/(W19*Assumptions!$D$49*Assumptions!$D$31*Assumptions!$D$32),0)</f>
        <v>168.831168831169</v>
      </c>
      <c r="X97" s="63" t="n">
        <f aca="false">IFERROR(X18/(X19*Assumptions!$D$49*Assumptions!$D$31*Assumptions!$D$32),0)</f>
        <v>168.831168831169</v>
      </c>
      <c r="Y97" s="63" t="n">
        <f aca="false">IFERROR(Y18/(Y19*Assumptions!$D$49*Assumptions!$D$31*Assumptions!$D$32),0)</f>
        <v>168.831168831169</v>
      </c>
      <c r="Z97" s="63" t="n">
        <f aca="false">IFERROR(Z18/(Z19*Assumptions!$D$49*Assumptions!$D$31*Assumptions!$D$32),0)</f>
        <v>168.831168831169</v>
      </c>
      <c r="AA97" s="63" t="n">
        <f aca="false">IFERROR(AA18/(AA19*Assumptions!$D$49*Assumptions!$D$31*Assumptions!$D$32),0)</f>
        <v>168.831168831169</v>
      </c>
      <c r="AB97" s="63" t="n">
        <f aca="false">IFERROR(AB18/(AB19*Assumptions!$D$49*Assumptions!$D$31*Assumptions!$D$32),0)</f>
        <v>168.831168831169</v>
      </c>
      <c r="AC97" s="63" t="n">
        <f aca="false">IFERROR(AC18/(AC19*Assumptions!$D$49*Assumptions!$D$31*Assumptions!$D$32),0)</f>
        <v>168.831168831169</v>
      </c>
      <c r="AD97" s="63" t="n">
        <f aca="false">IFERROR(AD18/(AD19*Assumptions!$D$49*Assumptions!$D$31*Assumptions!$D$32),0)</f>
        <v>168.831168831169</v>
      </c>
      <c r="AE97" s="63" t="n">
        <f aca="false">IFERROR(AE18/(AE19*Assumptions!$D$49*Assumptions!$D$31*Assumptions!$D$32),0)</f>
        <v>168.831168831169</v>
      </c>
      <c r="AF97" s="63" t="n">
        <f aca="false">IFERROR(AF18/(AF19*Assumptions!$D$49*Assumptions!$D$31*Assumptions!$D$32),0)</f>
        <v>168.831168831169</v>
      </c>
      <c r="AG97" s="63" t="n">
        <f aca="false">IFERROR(AG18/(AG19*Assumptions!$D$49*Assumptions!$D$31*Assumptions!$D$32),0)</f>
        <v>168.831168831169</v>
      </c>
      <c r="AH97" s="63" t="n">
        <f aca="false">IFERROR(AH18/(AH19*Assumptions!$D$49*Assumptions!$D$31*Assumptions!$D$32),0)</f>
        <v>168.831168831169</v>
      </c>
      <c r="AI97" s="63" t="n">
        <f aca="false">IFERROR(AI18/(AI19*Assumptions!$D$49*Assumptions!$D$31*Assumptions!$D$32),0)</f>
        <v>168.831168831169</v>
      </c>
      <c r="AJ97" s="63" t="n">
        <f aca="false">IFERROR(AJ18/(AJ19*Assumptions!$D$49*Assumptions!$D$31*Assumptions!$D$32),0)</f>
        <v>168.831168831169</v>
      </c>
      <c r="AK97" s="63" t="n">
        <f aca="false">IFERROR(AK18/(AK19*Assumptions!$D$49*Assumptions!$D$31*Assumptions!$D$32),0)</f>
        <v>168.831168831169</v>
      </c>
      <c r="AL97" s="63" t="n">
        <f aca="false">IFERROR(AL18/(AL19*Assumptions!$D$49*Assumptions!$D$31*Assumptions!$D$32),0)</f>
        <v>168.831168831169</v>
      </c>
      <c r="AM97" s="63" t="n">
        <f aca="false">AVERAGE(N97:AL97)</f>
        <v>168.831168831169</v>
      </c>
    </row>
    <row r="98" customFormat="false" ht="15" hidden="false" customHeight="false" outlineLevel="0" collapsed="false">
      <c r="A98" s="10" t="s">
        <v>832</v>
      </c>
      <c r="B98" s="9" t="s">
        <v>97</v>
      </c>
      <c r="C98" s="63" t="n">
        <f aca="false">IFERROR(C22/(C23*Assumptions!$D$49*Assumptions!$D$38*Assumptions!$D$39),0)</f>
        <v>0</v>
      </c>
      <c r="D98" s="63" t="n">
        <f aca="false">IFERROR(D22/(D23*Assumptions!$D$49*Assumptions!$D$38*Assumptions!$D$39),0)</f>
        <v>0</v>
      </c>
      <c r="E98" s="63" t="n">
        <f aca="false">IFERROR(E22/(E23*Assumptions!$D$49*Assumptions!$D$38*Assumptions!$D$39),0)</f>
        <v>425</v>
      </c>
      <c r="F98" s="63" t="n">
        <f aca="false">IFERROR(F22/(F23*Assumptions!$D$49*Assumptions!$D$38*Assumptions!$D$39),0)</f>
        <v>425</v>
      </c>
      <c r="G98" s="63" t="n">
        <f aca="false">IFERROR(G22/(G23*Assumptions!$D$49*Assumptions!$D$38*Assumptions!$D$39),0)</f>
        <v>425</v>
      </c>
      <c r="H98" s="63" t="n">
        <f aca="false">IFERROR(H22/(H23*Assumptions!$D$49*Assumptions!$D$38*Assumptions!$D$39),0)</f>
        <v>425</v>
      </c>
      <c r="I98" s="63" t="n">
        <f aca="false">IFERROR(I22/(I23*Assumptions!$D$49*Assumptions!$D$38*Assumptions!$D$39),0)</f>
        <v>425</v>
      </c>
      <c r="J98" s="63" t="n">
        <f aca="false">IFERROR(J22/(J23*Assumptions!$D$49*Assumptions!$D$38*Assumptions!$D$39),0)</f>
        <v>425</v>
      </c>
      <c r="K98" s="63" t="n">
        <f aca="false">IFERROR(K22/(K23*Assumptions!$D$49*Assumptions!$D$38*Assumptions!$D$39),0)</f>
        <v>425</v>
      </c>
      <c r="L98" s="63" t="n">
        <f aca="false">IFERROR(L22/(L23*Assumptions!$D$49*Assumptions!$D$38*Assumptions!$D$39),0)</f>
        <v>425</v>
      </c>
      <c r="M98" s="63" t="n">
        <f aca="false">IFERROR(M22/(M23*Assumptions!$D$49*Assumptions!$D$38*Assumptions!$D$39),0)</f>
        <v>425</v>
      </c>
      <c r="N98" s="63" t="n">
        <f aca="false">IFERROR(N22/(N23*Assumptions!$D$49*Assumptions!$D$38*Assumptions!$D$39),0)</f>
        <v>425</v>
      </c>
      <c r="O98" s="63" t="n">
        <f aca="false">IFERROR(O22/(O23*Assumptions!$D$49*Assumptions!$D$38*Assumptions!$D$39),0)</f>
        <v>425</v>
      </c>
      <c r="P98" s="63" t="n">
        <f aca="false">IFERROR(P22/(P23*Assumptions!$D$49*Assumptions!$D$38*Assumptions!$D$39),0)</f>
        <v>425</v>
      </c>
      <c r="Q98" s="63" t="n">
        <f aca="false">IFERROR(Q22/(Q23*Assumptions!$D$49*Assumptions!$D$38*Assumptions!$D$39),0)</f>
        <v>425</v>
      </c>
      <c r="R98" s="63" t="n">
        <f aca="false">IFERROR(R22/(R23*Assumptions!$D$49*Assumptions!$D$38*Assumptions!$D$39),0)</f>
        <v>425</v>
      </c>
      <c r="S98" s="63" t="n">
        <f aca="false">IFERROR(S22/(S23*Assumptions!$D$49*Assumptions!$D$38*Assumptions!$D$39),0)</f>
        <v>425</v>
      </c>
      <c r="T98" s="63" t="n">
        <f aca="false">IFERROR(T22/(T23*Assumptions!$D$49*Assumptions!$D$38*Assumptions!$D$39),0)</f>
        <v>425</v>
      </c>
      <c r="U98" s="63" t="n">
        <f aca="false">IFERROR(U22/(U23*Assumptions!$D$49*Assumptions!$D$38*Assumptions!$D$39),0)</f>
        <v>425</v>
      </c>
      <c r="V98" s="63" t="n">
        <f aca="false">IFERROR(V22/(V23*Assumptions!$D$49*Assumptions!$D$38*Assumptions!$D$39),0)</f>
        <v>425</v>
      </c>
      <c r="W98" s="63" t="n">
        <f aca="false">IFERROR(W22/(W23*Assumptions!$D$49*Assumptions!$D$38*Assumptions!$D$39),0)</f>
        <v>425</v>
      </c>
      <c r="X98" s="63" t="n">
        <f aca="false">IFERROR(X22/(X23*Assumptions!$D$49*Assumptions!$D$38*Assumptions!$D$39),0)</f>
        <v>425</v>
      </c>
      <c r="Y98" s="63" t="n">
        <f aca="false">IFERROR(Y22/(Y23*Assumptions!$D$49*Assumptions!$D$38*Assumptions!$D$39),0)</f>
        <v>425</v>
      </c>
      <c r="Z98" s="63" t="n">
        <f aca="false">IFERROR(Z22/(Z23*Assumptions!$D$49*Assumptions!$D$38*Assumptions!$D$39),0)</f>
        <v>425</v>
      </c>
      <c r="AA98" s="63" t="n">
        <f aca="false">IFERROR(AA22/(AA23*Assumptions!$D$49*Assumptions!$D$38*Assumptions!$D$39),0)</f>
        <v>425</v>
      </c>
      <c r="AB98" s="63" t="n">
        <f aca="false">IFERROR(AB22/(AB23*Assumptions!$D$49*Assumptions!$D$38*Assumptions!$D$39),0)</f>
        <v>425</v>
      </c>
      <c r="AC98" s="63" t="n">
        <f aca="false">IFERROR(AC22/(AC23*Assumptions!$D$49*Assumptions!$D$38*Assumptions!$D$39),0)</f>
        <v>425</v>
      </c>
      <c r="AD98" s="63" t="n">
        <f aca="false">IFERROR(AD22/(AD23*Assumptions!$D$49*Assumptions!$D$38*Assumptions!$D$39),0)</f>
        <v>425</v>
      </c>
      <c r="AE98" s="63" t="n">
        <f aca="false">IFERROR(AE22/(AE23*Assumptions!$D$49*Assumptions!$D$38*Assumptions!$D$39),0)</f>
        <v>425</v>
      </c>
      <c r="AF98" s="63" t="n">
        <f aca="false">IFERROR(AF22/(AF23*Assumptions!$D$49*Assumptions!$D$38*Assumptions!$D$39),0)</f>
        <v>425</v>
      </c>
      <c r="AG98" s="63" t="n">
        <f aca="false">IFERROR(AG22/(AG23*Assumptions!$D$49*Assumptions!$D$38*Assumptions!$D$39),0)</f>
        <v>425</v>
      </c>
      <c r="AH98" s="63" t="n">
        <f aca="false">IFERROR(AH22/(AH23*Assumptions!$D$49*Assumptions!$D$38*Assumptions!$D$39),0)</f>
        <v>425</v>
      </c>
      <c r="AI98" s="63" t="n">
        <f aca="false">IFERROR(AI22/(AI23*Assumptions!$D$49*Assumptions!$D$38*Assumptions!$D$39),0)</f>
        <v>425</v>
      </c>
      <c r="AJ98" s="63" t="n">
        <f aca="false">IFERROR(AJ22/(AJ23*Assumptions!$D$49*Assumptions!$D$38*Assumptions!$D$39),0)</f>
        <v>425</v>
      </c>
      <c r="AK98" s="63" t="n">
        <f aca="false">IFERROR(AK22/(AK23*Assumptions!$D$49*Assumptions!$D$38*Assumptions!$D$39),0)</f>
        <v>425</v>
      </c>
      <c r="AL98" s="63" t="n">
        <f aca="false">IFERROR(AL22/(AL23*Assumptions!$D$49*Assumptions!$D$38*Assumptions!$D$39),0)</f>
        <v>425</v>
      </c>
      <c r="AM98" s="63" t="n">
        <f aca="false">AVERAGE(N98:AL98)</f>
        <v>425</v>
      </c>
    </row>
    <row r="99" customFormat="false" ht="15" hidden="false" customHeight="false" outlineLevel="0" collapsed="false">
      <c r="A99" s="10" t="s">
        <v>833</v>
      </c>
      <c r="B99" s="9" t="s">
        <v>97</v>
      </c>
      <c r="C99" s="63" t="n">
        <f aca="false">IFERROR(C24/(C25*Assumptions!$D$49*Assumptions!$D$43),0)</f>
        <v>187.179680178537</v>
      </c>
      <c r="D99" s="63" t="n">
        <f aca="false">IFERROR(D24/(D25*Assumptions!$D$49*Assumptions!$D$43),0)</f>
        <v>187.179680178537</v>
      </c>
      <c r="E99" s="63" t="n">
        <f aca="false">IFERROR(E24/(E25*Assumptions!$D$49*Assumptions!$D$43),0)</f>
        <v>0</v>
      </c>
      <c r="F99" s="63" t="n">
        <f aca="false">IFERROR(F24/(F25*Assumptions!$D$49*Assumptions!$D$43),0)</f>
        <v>0</v>
      </c>
      <c r="G99" s="63" t="n">
        <f aca="false">IFERROR(G24/(G25*Assumptions!$D$49*Assumptions!$D$43),0)</f>
        <v>0</v>
      </c>
      <c r="H99" s="63" t="n">
        <f aca="false">IFERROR(H24/(H25*Assumptions!$D$49*Assumptions!$D$43),0)</f>
        <v>105.931196067578</v>
      </c>
      <c r="I99" s="63" t="n">
        <f aca="false">IFERROR(I24/(I25*Assumptions!$D$49*Assumptions!$D$43),0)</f>
        <v>152.422145817592</v>
      </c>
      <c r="J99" s="63" t="n">
        <f aca="false">IFERROR(J24/(J25*Assumptions!$D$49*Assumptions!$D$43),0)</f>
        <v>173.866806179</v>
      </c>
      <c r="K99" s="63" t="n">
        <f aca="false">IFERROR(K24/(K25*Assumptions!$D$49*Assumptions!$D$43),0)</f>
        <v>186.817273424838</v>
      </c>
      <c r="L99" s="63" t="n">
        <f aca="false">IFERROR(L24/(L25*Assumptions!$D$49*Assumptions!$D$43),0)</f>
        <v>197.319419507714</v>
      </c>
      <c r="M99" s="63" t="n">
        <f aca="false">IFERROR(M24/(M25*Assumptions!$D$49*Assumptions!$D$43),0)</f>
        <v>204.207404029238</v>
      </c>
      <c r="N99" s="63" t="n">
        <f aca="false">IFERROR(N24/(N25*Assumptions!$D$49*Assumptions!$D$43),0)</f>
        <v>209.445692276422</v>
      </c>
      <c r="O99" s="63" t="n">
        <f aca="false">IFERROR(O24/(O25*Assumptions!$D$49*Assumptions!$D$43),0)</f>
        <v>213.595971766784</v>
      </c>
      <c r="P99" s="63" t="n">
        <f aca="false">IFERROR(P24/(P25*Assumptions!$D$49*Assumptions!$D$43),0)</f>
        <v>217.010087450781</v>
      </c>
      <c r="Q99" s="63" t="n">
        <f aca="false">IFERROR(Q24/(Q25*Assumptions!$D$49*Assumptions!$D$43),0)</f>
        <v>219.915706457897</v>
      </c>
      <c r="R99" s="63" t="n">
        <f aca="false">IFERROR(R24/(R25*Assumptions!$D$49*Assumptions!$D$43),0)</f>
        <v>222.46594850912</v>
      </c>
      <c r="S99" s="63" t="n">
        <f aca="false">IFERROR(S24/(S25*Assumptions!$D$49*Assumptions!$D$43),0)</f>
        <v>224.766429563194</v>
      </c>
      <c r="T99" s="63" t="n">
        <f aca="false">IFERROR(T24/(T25*Assumptions!$D$49*Assumptions!$D$43),0)</f>
        <v>226.891508200408</v>
      </c>
      <c r="U99" s="63" t="n">
        <f aca="false">IFERROR(U24/(U25*Assumptions!$D$49*Assumptions!$D$43),0)</f>
        <v>228.894486824779</v>
      </c>
      <c r="V99" s="63" t="n">
        <f aca="false">IFERROR(V24/(V25*Assumptions!$D$49*Assumptions!$D$43),0)</f>
        <v>230.814235960325</v>
      </c>
      <c r="W99" s="63" t="n">
        <f aca="false">IFERROR(W24/(W25*Assumptions!$D$49*Assumptions!$D$43),0)</f>
        <v>232.679603366159</v>
      </c>
      <c r="X99" s="63" t="n">
        <f aca="false">IFERROR(X24/(X25*Assumptions!$D$49*Assumptions!$D$43),0)</f>
        <v>234.512403047915</v>
      </c>
      <c r="Y99" s="63" t="n">
        <f aca="false">IFERROR(Y24/(Y25*Assumptions!$D$49*Assumptions!$D$43),0)</f>
        <v>236.329469620826</v>
      </c>
      <c r="Z99" s="63" t="n">
        <f aca="false">IFERROR(Z24/(Z25*Assumptions!$D$49*Assumptions!$D$43),0)</f>
        <v>238.144085156656</v>
      </c>
      <c r="AA99" s="63" t="n">
        <f aca="false">IFERROR(AA24/(AA25*Assumptions!$D$49*Assumptions!$D$43),0)</f>
        <v>239.966978309555</v>
      </c>
      <c r="AB99" s="63" t="n">
        <f aca="false">IFERROR(AB24/(AB25*Assumptions!$D$49*Assumptions!$D$43),0)</f>
        <v>241.807028521257</v>
      </c>
      <c r="AC99" s="63" t="n">
        <f aca="false">IFERROR(AC24/(AC25*Assumptions!$D$49*Assumptions!$D$43),0)</f>
        <v>243.671765049671</v>
      </c>
      <c r="AD99" s="63" t="n">
        <f aca="false">IFERROR(AD24/(AD25*Assumptions!$D$49*Assumptions!$D$43),0)</f>
        <v>245.567722243597</v>
      </c>
      <c r="AE99" s="63" t="n">
        <f aca="false">IFERROR(AE24/(AE25*Assumptions!$D$49*Assumptions!$D$43),0)</f>
        <v>247.500693516247</v>
      </c>
      <c r="AF99" s="63" t="n">
        <f aca="false">IFERROR(AF24/(AF25*Assumptions!$D$49*Assumptions!$D$43),0)</f>
        <v>249.475913584082</v>
      </c>
      <c r="AG99" s="63" t="n">
        <f aca="false">IFERROR(AG24/(AG25*Assumptions!$D$49*Assumptions!$D$43),0)</f>
        <v>251.498189688935</v>
      </c>
      <c r="AH99" s="63" t="n">
        <f aca="false">IFERROR(AH24/(AH25*Assumptions!$D$49*Assumptions!$D$43),0)</f>
        <v>253.57199639451</v>
      </c>
      <c r="AI99" s="63" t="n">
        <f aca="false">IFERROR(AI24/(AI25*Assumptions!$D$49*Assumptions!$D$43),0)</f>
        <v>255.701544278558</v>
      </c>
      <c r="AJ99" s="63" t="n">
        <f aca="false">IFERROR(AJ24/(AJ25*Assumptions!$D$49*Assumptions!$D$43),0)</f>
        <v>257.890829851319</v>
      </c>
      <c r="AK99" s="63" t="n">
        <f aca="false">IFERROR(AK24/(AK25*Assumptions!$D$49*Assumptions!$D$43),0)</f>
        <v>260.143671927444</v>
      </c>
      <c r="AL99" s="63" t="n">
        <f aca="false">IFERROR(AL24/(AL25*Assumptions!$D$49*Assumptions!$D$43),0)</f>
        <v>262.463738194256</v>
      </c>
      <c r="AM99" s="63" t="n">
        <f aca="false">AVERAGE(N99:AL99)</f>
        <v>237.789027990428</v>
      </c>
    </row>
    <row r="100" customFormat="false" ht="15" hidden="false" customHeight="false" outlineLevel="0" collapsed="false">
      <c r="A100" s="37" t="s">
        <v>834</v>
      </c>
      <c r="B100" s="9" t="s">
        <v>97</v>
      </c>
      <c r="C100" s="51" t="n">
        <f aca="false">IFERROR(C26/((C19*Assumptions!$D$31*Assumptions!$D$32+C23*Assumptions!$D$38*Assumptions!$D$39+C25*Assumptions!$D$43)*Assumptions!$D$49),0)</f>
        <v>187.179680178537</v>
      </c>
      <c r="D100" s="51" t="n">
        <f aca="false">IFERROR(D26/((D19*Assumptions!$D$31*Assumptions!$D$32+D23*Assumptions!$D$38*Assumptions!$D$39+D25*Assumptions!$D$43)*Assumptions!$D$49),0)</f>
        <v>187.179680178537</v>
      </c>
      <c r="E100" s="51" t="n">
        <f aca="false">IFERROR(E26/((E19*Assumptions!$D$31*Assumptions!$D$32+E23*Assumptions!$D$38*Assumptions!$D$39+E25*Assumptions!$D$43)*Assumptions!$D$49),0)</f>
        <v>248.016820258919</v>
      </c>
      <c r="F100" s="51" t="n">
        <f aca="false">IFERROR(F26/((F19*Assumptions!$D$31*Assumptions!$D$32+F23*Assumptions!$D$38*Assumptions!$D$39+F25*Assumptions!$D$43)*Assumptions!$D$49),0)</f>
        <v>335.562878644553</v>
      </c>
      <c r="G100" s="51" t="n">
        <f aca="false">IFERROR(G26/((G19*Assumptions!$D$31*Assumptions!$D$32+G23*Assumptions!$D$38*Assumptions!$D$39+G25*Assumptions!$D$43)*Assumptions!$D$49),0)</f>
        <v>334.287679729311</v>
      </c>
      <c r="H100" s="51" t="n">
        <f aca="false">IFERROR(H26/((H19*Assumptions!$D$31*Assumptions!$D$32+H23*Assumptions!$D$38*Assumptions!$D$39+H25*Assumptions!$D$43)*Assumptions!$D$49),0)</f>
        <v>301.010465450942</v>
      </c>
      <c r="I100" s="51" t="n">
        <f aca="false">IFERROR(I26/((I19*Assumptions!$D$31*Assumptions!$D$32+I23*Assumptions!$D$38*Assumptions!$D$39+I25*Assumptions!$D$43)*Assumptions!$D$49),0)</f>
        <v>275.396417653629</v>
      </c>
      <c r="J100" s="51" t="n">
        <f aca="false">IFERROR(J26/((J19*Assumptions!$D$31*Assumptions!$D$32+J23*Assumptions!$D$38*Assumptions!$D$39+J25*Assumptions!$D$43)*Assumptions!$D$49),0)</f>
        <v>267.109154116623</v>
      </c>
      <c r="K100" s="51" t="n">
        <f aca="false">IFERROR(K26/((K19*Assumptions!$D$31*Assumptions!$D$32+K23*Assumptions!$D$38*Assumptions!$D$39+K25*Assumptions!$D$43)*Assumptions!$D$49),0)</f>
        <v>263.685616930163</v>
      </c>
      <c r="L100" s="51" t="n">
        <f aca="false">IFERROR(L26/((L19*Assumptions!$D$31*Assumptions!$D$32+L23*Assumptions!$D$38*Assumptions!$D$39+L25*Assumptions!$D$43)*Assumptions!$D$49),0)</f>
        <v>262.449048359223</v>
      </c>
      <c r="M100" s="51" t="n">
        <f aca="false">IFERROR(M26/((M19*Assumptions!$D$31*Assumptions!$D$32+M23*Assumptions!$D$38*Assumptions!$D$39+M25*Assumptions!$D$43)*Assumptions!$D$49),0)</f>
        <v>262.241885593528</v>
      </c>
      <c r="N100" s="51" t="n">
        <f aca="false">IFERROR(N26/((N19*Assumptions!$D$31*Assumptions!$D$32+N23*Assumptions!$D$38*Assumptions!$D$39+N25*Assumptions!$D$43)*Assumptions!$D$49),0)</f>
        <v>262.503538545533</v>
      </c>
      <c r="O100" s="51" t="n">
        <f aca="false">IFERROR(O26/((O19*Assumptions!$D$31*Assumptions!$D$32+O23*Assumptions!$D$38*Assumptions!$D$39+O25*Assumptions!$D$43)*Assumptions!$D$49),0)</f>
        <v>263.025123731931</v>
      </c>
      <c r="P100" s="51" t="n">
        <f aca="false">IFERROR(P26/((P19*Assumptions!$D$31*Assumptions!$D$32+P23*Assumptions!$D$38*Assumptions!$D$39+P25*Assumptions!$D$43)*Assumptions!$D$49),0)</f>
        <v>263.691700945532</v>
      </c>
      <c r="Q100" s="51" t="n">
        <f aca="false">IFERROR(Q26/((Q19*Assumptions!$D$31*Assumptions!$D$32+Q23*Assumptions!$D$38*Assumptions!$D$39+Q25*Assumptions!$D$43)*Assumptions!$D$49),0)</f>
        <v>264.44211367818</v>
      </c>
      <c r="R100" s="51" t="n">
        <f aca="false">IFERROR(R26/((R19*Assumptions!$D$31*Assumptions!$D$32+R23*Assumptions!$D$38*Assumptions!$D$39+R25*Assumptions!$D$43)*Assumptions!$D$49),0)</f>
        <v>265.243619858253</v>
      </c>
      <c r="S100" s="51" t="n">
        <f aca="false">IFERROR(S26/((S19*Assumptions!$D$31*Assumptions!$D$32+S23*Assumptions!$D$38*Assumptions!$D$39+S25*Assumptions!$D$43)*Assumptions!$D$49),0)</f>
        <v>266.078793384517</v>
      </c>
      <c r="T100" s="51" t="n">
        <f aca="false">IFERROR(T26/((T19*Assumptions!$D$31*Assumptions!$D$32+T23*Assumptions!$D$38*Assumptions!$D$39+T25*Assumptions!$D$43)*Assumptions!$D$49),0)</f>
        <v>266.938698743596</v>
      </c>
      <c r="U100" s="51" t="n">
        <f aca="false">IFERROR(U26/((U19*Assumptions!$D$31*Assumptions!$D$32+U23*Assumptions!$D$38*Assumptions!$D$39+U25*Assumptions!$D$43)*Assumptions!$D$49),0)</f>
        <v>267.819219690196</v>
      </c>
      <c r="V100" s="51" t="n">
        <f aca="false">IFERROR(V26/((V19*Assumptions!$D$31*Assumptions!$D$32+V23*Assumptions!$D$38*Assumptions!$D$39+V25*Assumptions!$D$43)*Assumptions!$D$49),0)</f>
        <v>268.719023721348</v>
      </c>
      <c r="W100" s="51" t="n">
        <f aca="false">IFERROR(W26/((W19*Assumptions!$D$31*Assumptions!$D$32+W23*Assumptions!$D$38*Assumptions!$D$39+W25*Assumptions!$D$43)*Assumptions!$D$49),0)</f>
        <v>269.638405226805</v>
      </c>
      <c r="X100" s="51" t="n">
        <f aca="false">IFERROR(X26/((X19*Assumptions!$D$31*Assumptions!$D$32+X23*Assumptions!$D$38*Assumptions!$D$39+X25*Assumptions!$D$43)*Assumptions!$D$49),0)</f>
        <v>270.57861518835</v>
      </c>
      <c r="Y100" s="51" t="n">
        <f aca="false">IFERROR(Y26/((Y19*Assumptions!$D$31*Assumptions!$D$32+Y23*Assumptions!$D$38*Assumptions!$D$39+Y25*Assumptions!$D$43)*Assumptions!$D$49),0)</f>
        <v>271.541467143414</v>
      </c>
      <c r="Z100" s="51" t="n">
        <f aca="false">IFERROR(Z26/((Z19*Assumptions!$D$31*Assumptions!$D$32+Z23*Assumptions!$D$38*Assumptions!$D$39+Z25*Assumptions!$D$43)*Assumptions!$D$49),0)</f>
        <v>272.529103209579</v>
      </c>
      <c r="AA100" s="51" t="n">
        <f aca="false">IFERROR(AA26/((AA19*Assumptions!$D$31*Assumptions!$D$32+AA23*Assumptions!$D$38*Assumptions!$D$39+AA25*Assumptions!$D$43)*Assumptions!$D$49),0)</f>
        <v>273.543854290351</v>
      </c>
      <c r="AB100" s="51" t="n">
        <f aca="false">IFERROR(AB26/((AB19*Assumptions!$D$31*Assumptions!$D$32+AB23*Assumptions!$D$38*Assumptions!$D$39+AB25*Assumptions!$D$43)*Assumptions!$D$49),0)</f>
        <v>274.58815629687</v>
      </c>
      <c r="AC100" s="51" t="n">
        <f aca="false">IFERROR(AC26/((AC19*Assumptions!$D$31*Assumptions!$D$32+AC23*Assumptions!$D$38*Assumptions!$D$39+AC25*Assumptions!$D$43)*Assumptions!$D$49),0)</f>
        <v>275.664499877771</v>
      </c>
      <c r="AD100" s="51" t="n">
        <f aca="false">IFERROR(AD26/((AD19*Assumptions!$D$31*Assumptions!$D$32+AD23*Assumptions!$D$38*Assumptions!$D$39+AD25*Assumptions!$D$43)*Assumptions!$D$49),0)</f>
        <v>276.775400193883</v>
      </c>
      <c r="AE100" s="51" t="n">
        <f aca="false">IFERROR(AE26/((AE19*Assumptions!$D$31*Assumptions!$D$32+AE23*Assumptions!$D$38*Assumptions!$D$39+AE25*Assumptions!$D$43)*Assumptions!$D$49),0)</f>
        <v>277.923378599392</v>
      </c>
      <c r="AF100" s="51" t="n">
        <f aca="false">IFERROR(AF26/((AF19*Assumptions!$D$31*Assumptions!$D$32+AF23*Assumptions!$D$38*Assumptions!$D$39+AF25*Assumptions!$D$43)*Assumptions!$D$49),0)</f>
        <v>279.110951276685</v>
      </c>
      <c r="AG100" s="51" t="n">
        <f aca="false">IFERROR(AG26/((AG19*Assumptions!$D$31*Assumptions!$D$32+AG23*Assumptions!$D$38*Assumptions!$D$39+AG25*Assumptions!$D$43)*Assumptions!$D$49),0)</f>
        <v>280.340621802898</v>
      </c>
      <c r="AH100" s="51" t="n">
        <f aca="false">IFERROR(AH26/((AH19*Assumptions!$D$31*Assumptions!$D$32+AH23*Assumptions!$D$38*Assumptions!$D$39+AH25*Assumptions!$D$43)*Assumptions!$D$49),0)</f>
        <v>281.614875808904</v>
      </c>
      <c r="AI100" s="51" t="n">
        <f aca="false">IFERROR(AI26/((AI19*Assumptions!$D$31*Assumptions!$D$32+AI23*Assumptions!$D$38*Assumptions!$D$39+AI25*Assumptions!$D$43)*Assumptions!$D$49),0)</f>
        <v>282.936176621719</v>
      </c>
      <c r="AJ100" s="51" t="n">
        <f aca="false">IFERROR(AJ26/((AJ19*Assumptions!$D$31*Assumptions!$D$32+AJ23*Assumptions!$D$38*Assumptions!$D$39+AJ25*Assumptions!$D$43)*Assumptions!$D$49),0)</f>
        <v>284.306961235173</v>
      </c>
      <c r="AK100" s="51" t="n">
        <f aca="false">IFERROR(AK26/((AK19*Assumptions!$D$31*Assumptions!$D$32+AK23*Assumptions!$D$38*Assumptions!$D$39+AK25*Assumptions!$D$43)*Assumptions!$D$49),0)</f>
        <v>285.729636236983</v>
      </c>
      <c r="AL100" s="51" t="n">
        <f aca="false">IFERROR(AL26/((AL19*Assumptions!$D$31*Assumptions!$D$32+AL23*Assumptions!$D$38*Assumptions!$D$39+AL25*Assumptions!$D$43)*Assumptions!$D$49),0)</f>
        <v>287.206573497956</v>
      </c>
      <c r="AM100" s="51" t="n">
        <f aca="false">AVERAGE(N100:AL100)</f>
        <v>273.299620352233</v>
      </c>
    </row>
    <row r="101" customFormat="false" ht="15" hidden="false" customHeight="false" outlineLevel="0" collapsed="false">
      <c r="A101" s="37" t="s">
        <v>835</v>
      </c>
      <c r="B101" s="9" t="s">
        <v>370</v>
      </c>
      <c r="C101" s="72" t="n">
        <f aca="false">IFERROR(C100/C104,0)</f>
        <v>5.62590409492871</v>
      </c>
      <c r="D101" s="72" t="n">
        <f aca="false">IFERROR(D100/D104,0)</f>
        <v>5.62590409492871</v>
      </c>
      <c r="E101" s="72" t="n">
        <f aca="false">IFERROR(E100/E104,0)</f>
        <v>7.45443545674914</v>
      </c>
      <c r="F101" s="72" t="n">
        <f aca="false">IFERROR(F100/F104,0)</f>
        <v>10.0857345801199</v>
      </c>
      <c r="G101" s="72" t="n">
        <f aca="false">IFERROR(G100/G104,0)</f>
        <v>10.0474069860549</v>
      </c>
      <c r="H101" s="72" t="n">
        <f aca="false">IFERROR(H100/H104,0)</f>
        <v>9.04722141090094</v>
      </c>
      <c r="I101" s="72" t="n">
        <f aca="false">IFERROR(I100/I104,0)</f>
        <v>8.27736126233591</v>
      </c>
      <c r="J101" s="72" t="n">
        <f aca="false">IFERROR(J100/J104,0)</f>
        <v>8.02827786918061</v>
      </c>
      <c r="K101" s="72" t="n">
        <f aca="false">IFERROR(K100/K104,0)</f>
        <v>7.92537945703419</v>
      </c>
      <c r="L101" s="72" t="n">
        <f aca="false">IFERROR(L100/L104,0)</f>
        <v>7.8882129431248</v>
      </c>
      <c r="M101" s="72" t="n">
        <f aca="false">IFERROR(M100/M104,0)</f>
        <v>7.88198642403507</v>
      </c>
      <c r="N101" s="72" t="n">
        <f aca="false">IFERROR(N100/N104,0)</f>
        <v>7.88985070937165</v>
      </c>
      <c r="O101" s="72" t="n">
        <f aca="false">IFERROR(O100/O104,0)</f>
        <v>7.90552756186556</v>
      </c>
      <c r="P101" s="72" t="n">
        <f aca="false">IFERROR(P100/P104,0)</f>
        <v>7.92556231922814</v>
      </c>
      <c r="Q101" s="72" t="n">
        <f aca="false">IFERROR(Q100/Q104,0)</f>
        <v>7.94811685111676</v>
      </c>
      <c r="R101" s="72" t="n">
        <f aca="false">IFERROR(R100/R104,0)</f>
        <v>7.97220705629441</v>
      </c>
      <c r="S101" s="72" t="n">
        <f aca="false">IFERROR(S100/S104,0)</f>
        <v>7.99730917291786</v>
      </c>
      <c r="T101" s="72" t="n">
        <f aca="false">IFERROR(T100/T104,0)</f>
        <v>8.02315463368731</v>
      </c>
      <c r="U101" s="72" t="n">
        <f aca="false">IFERROR(U100/U104,0)</f>
        <v>8.04961972003869</v>
      </c>
      <c r="V101" s="72" t="n">
        <f aca="false">IFERROR(V100/V104,0)</f>
        <v>8.0766643820376</v>
      </c>
      <c r="W101" s="72" t="n">
        <f aca="false">IFERROR(W100/W104,0)</f>
        <v>8.10429746791219</v>
      </c>
      <c r="X101" s="72" t="n">
        <f aca="false">IFERROR(X100/X104,0)</f>
        <v>8.13255657738232</v>
      </c>
      <c r="Y101" s="72" t="n">
        <f aca="false">IFERROR(Y100/Y104,0)</f>
        <v>8.16149621843543</v>
      </c>
      <c r="Z101" s="72" t="n">
        <f aca="false">IFERROR(Z100/Z104,0)</f>
        <v>8.19118077491955</v>
      </c>
      <c r="AA101" s="72" t="n">
        <f aca="false">IFERROR(AA100/AA104,0)</f>
        <v>8.22168030486426</v>
      </c>
      <c r="AB101" s="72" t="n">
        <f aca="false">IFERROR(AB100/AB104,0)</f>
        <v>8.2530680224264</v>
      </c>
      <c r="AC101" s="72" t="n">
        <f aca="false">IFERROR(AC100/AC104,0)</f>
        <v>8.28541878696221</v>
      </c>
      <c r="AD101" s="72" t="n">
        <f aca="false">IFERROR(AD100/AD104,0)</f>
        <v>8.31880819457049</v>
      </c>
      <c r="AE101" s="72" t="n">
        <f aca="false">IFERROR(AE100/AE104,0)</f>
        <v>8.35331202749875</v>
      </c>
      <c r="AF101" s="72" t="n">
        <f aca="false">IFERROR(AF100/AF104,0)</f>
        <v>8.38900591254991</v>
      </c>
      <c r="AG101" s="72" t="n">
        <f aca="false">IFERROR(AG100/AG104,0)</f>
        <v>8.42596509766146</v>
      </c>
      <c r="AH101" s="72" t="n">
        <f aca="false">IFERROR(AH100/AH104,0)</f>
        <v>8.46426429137484</v>
      </c>
      <c r="AI101" s="72" t="n">
        <f aca="false">IFERROR(AI100/AI104,0)</f>
        <v>8.5039775318631</v>
      </c>
      <c r="AJ101" s="72" t="n">
        <f aca="false">IFERROR(AJ100/AJ104,0)</f>
        <v>8.5451780658246</v>
      </c>
      <c r="AK101" s="72" t="n">
        <f aca="false">IFERROR(AK100/AK104,0)</f>
        <v>8.58793822606637</v>
      </c>
      <c r="AL101" s="72" t="n">
        <f aca="false">IFERROR(AL100/AL104,0)</f>
        <v>8.63232930193814</v>
      </c>
      <c r="AM101" s="72" t="n">
        <f aca="false">AVERAGE(N101:AL101)</f>
        <v>8.21433956835232</v>
      </c>
    </row>
    <row r="102" customFormat="false" ht="15" hidden="false" customHeight="false" outlineLevel="0" collapsed="false">
      <c r="A102" s="10" t="s">
        <v>836</v>
      </c>
      <c r="B102" s="9" t="s">
        <v>97</v>
      </c>
      <c r="C102" s="63" t="n">
        <f aca="false">Assumptions!$D$70*(1-Assumptions!$D$80)*(1-Assumptions!$D$79)-Assumptions!$D$73-Assumptions!$D$75-Assumptions!$D$76-Assumptions!$D$77</f>
        <v>41.92672</v>
      </c>
      <c r="D102" s="63" t="n">
        <f aca="false">Assumptions!$D$70*(1-Assumptions!$D$80)*(1-Assumptions!$D$79)-Assumptions!$D$73-Assumptions!$D$75-Assumptions!$D$76-Assumptions!$D$77</f>
        <v>41.92672</v>
      </c>
      <c r="E102" s="63" t="n">
        <f aca="false">Assumptions!$D$70*(1-Assumptions!$D$80)*(1-Assumptions!$D$79)-Assumptions!$D$73-Assumptions!$D$75-Assumptions!$D$76-Assumptions!$D$77</f>
        <v>41.92672</v>
      </c>
      <c r="F102" s="63" t="n">
        <f aca="false">Assumptions!$D$70*(1-Assumptions!$D$80)*(1-Assumptions!$D$79)-Assumptions!$D$73-Assumptions!$D$75-Assumptions!$D$76-Assumptions!$D$77</f>
        <v>41.92672</v>
      </c>
      <c r="G102" s="63" t="n">
        <f aca="false">Assumptions!$D$70*(1-Assumptions!$D$80)*(1-Assumptions!$D$79)-Assumptions!$D$73-Assumptions!$D$75-Assumptions!$D$76-Assumptions!$D$77</f>
        <v>41.92672</v>
      </c>
      <c r="H102" s="63" t="n">
        <f aca="false">Assumptions!$D$70*(1-Assumptions!$D$80)*(1-Assumptions!$D$79)-Assumptions!$D$73-Assumptions!$D$75-Assumptions!$D$76-Assumptions!$D$77</f>
        <v>41.92672</v>
      </c>
      <c r="I102" s="63" t="n">
        <f aca="false">Assumptions!$D$70*(1-Assumptions!$D$80)*(1-Assumptions!$D$79)-Assumptions!$D$73-Assumptions!$D$75-Assumptions!$D$76-Assumptions!$D$77</f>
        <v>41.92672</v>
      </c>
      <c r="J102" s="63" t="n">
        <f aca="false">Assumptions!$D$70*(1-Assumptions!$D$80)*(1-Assumptions!$D$79)-Assumptions!$D$73-Assumptions!$D$75-Assumptions!$D$76-Assumptions!$D$77</f>
        <v>41.92672</v>
      </c>
      <c r="K102" s="63" t="n">
        <f aca="false">Assumptions!$D$70*(1-Assumptions!$D$80)*(1-Assumptions!$D$79)-Assumptions!$D$73-Assumptions!$D$75-Assumptions!$D$76-Assumptions!$D$77</f>
        <v>41.92672</v>
      </c>
      <c r="L102" s="63" t="n">
        <f aca="false">Assumptions!$D$70*(1-Assumptions!$D$80)*(1-Assumptions!$D$79)-Assumptions!$D$73-Assumptions!$D$75-Assumptions!$D$76-Assumptions!$D$77</f>
        <v>41.92672</v>
      </c>
      <c r="M102" s="63" t="n">
        <f aca="false">Assumptions!$D$70*(1-Assumptions!$D$80)*(1-Assumptions!$D$79)-Assumptions!$D$73-Assumptions!$D$75-Assumptions!$D$76-Assumptions!$D$77</f>
        <v>41.92672</v>
      </c>
      <c r="N102" s="63" t="n">
        <f aca="false">Assumptions!$D$70*(1-Assumptions!$D$80)*(1-Assumptions!$D$79)-Assumptions!$D$73-Assumptions!$D$75-Assumptions!$D$76-Assumptions!$D$77</f>
        <v>41.92672</v>
      </c>
      <c r="O102" s="63" t="n">
        <f aca="false">Assumptions!$D$70*(1-Assumptions!$D$80)*(1-Assumptions!$D$79)-Assumptions!$D$73-Assumptions!$D$75-Assumptions!$D$76-Assumptions!$D$77</f>
        <v>41.92672</v>
      </c>
      <c r="P102" s="63" t="n">
        <f aca="false">Assumptions!$D$70*(1-Assumptions!$D$80)*(1-Assumptions!$D$79)-Assumptions!$D$73-Assumptions!$D$75-Assumptions!$D$76-Assumptions!$D$77</f>
        <v>41.92672</v>
      </c>
      <c r="Q102" s="63" t="n">
        <f aca="false">Assumptions!$D$70*(1-Assumptions!$D$80)*(1-Assumptions!$D$79)-Assumptions!$D$73-Assumptions!$D$75-Assumptions!$D$76-Assumptions!$D$77</f>
        <v>41.92672</v>
      </c>
      <c r="R102" s="63" t="n">
        <f aca="false">Assumptions!$D$70*(1-Assumptions!$D$80)*(1-Assumptions!$D$79)-Assumptions!$D$73-Assumptions!$D$75-Assumptions!$D$76-Assumptions!$D$77</f>
        <v>41.92672</v>
      </c>
      <c r="S102" s="63" t="n">
        <f aca="false">Assumptions!$D$70*(1-Assumptions!$D$80)*(1-Assumptions!$D$79)-Assumptions!$D$73-Assumptions!$D$75-Assumptions!$D$76-Assumptions!$D$77</f>
        <v>41.92672</v>
      </c>
      <c r="T102" s="63" t="n">
        <f aca="false">Assumptions!$D$70*(1-Assumptions!$D$80)*(1-Assumptions!$D$79)-Assumptions!$D$73-Assumptions!$D$75-Assumptions!$D$76-Assumptions!$D$77</f>
        <v>41.92672</v>
      </c>
      <c r="U102" s="63" t="n">
        <f aca="false">Assumptions!$D$70*(1-Assumptions!$D$80)*(1-Assumptions!$D$79)-Assumptions!$D$73-Assumptions!$D$75-Assumptions!$D$76-Assumptions!$D$77</f>
        <v>41.92672</v>
      </c>
      <c r="V102" s="63" t="n">
        <f aca="false">Assumptions!$D$70*(1-Assumptions!$D$80)*(1-Assumptions!$D$79)-Assumptions!$D$73-Assumptions!$D$75-Assumptions!$D$76-Assumptions!$D$77</f>
        <v>41.92672</v>
      </c>
      <c r="W102" s="63" t="n">
        <f aca="false">Assumptions!$D$70*(1-Assumptions!$D$80)*(1-Assumptions!$D$79)-Assumptions!$D$73-Assumptions!$D$75-Assumptions!$D$76-Assumptions!$D$77</f>
        <v>41.92672</v>
      </c>
      <c r="X102" s="63" t="n">
        <f aca="false">Assumptions!$D$70*(1-Assumptions!$D$80)*(1-Assumptions!$D$79)-Assumptions!$D$73-Assumptions!$D$75-Assumptions!$D$76-Assumptions!$D$77</f>
        <v>41.92672</v>
      </c>
      <c r="Y102" s="63" t="n">
        <f aca="false">Assumptions!$D$70*(1-Assumptions!$D$80)*(1-Assumptions!$D$79)-Assumptions!$D$73-Assumptions!$D$75-Assumptions!$D$76-Assumptions!$D$77</f>
        <v>41.92672</v>
      </c>
      <c r="Z102" s="63" t="n">
        <f aca="false">Assumptions!$D$70*(1-Assumptions!$D$80)*(1-Assumptions!$D$79)-Assumptions!$D$73-Assumptions!$D$75-Assumptions!$D$76-Assumptions!$D$77</f>
        <v>41.92672</v>
      </c>
      <c r="AA102" s="63" t="n">
        <f aca="false">Assumptions!$D$70*(1-Assumptions!$D$80)*(1-Assumptions!$D$79)-Assumptions!$D$73-Assumptions!$D$75-Assumptions!$D$76-Assumptions!$D$77</f>
        <v>41.92672</v>
      </c>
      <c r="AB102" s="63" t="n">
        <f aca="false">Assumptions!$D$70*(1-Assumptions!$D$80)*(1-Assumptions!$D$79)-Assumptions!$D$73-Assumptions!$D$75-Assumptions!$D$76-Assumptions!$D$77</f>
        <v>41.92672</v>
      </c>
      <c r="AC102" s="63" t="n">
        <f aca="false">Assumptions!$D$70*(1-Assumptions!$D$80)*(1-Assumptions!$D$79)-Assumptions!$D$73-Assumptions!$D$75-Assumptions!$D$76-Assumptions!$D$77</f>
        <v>41.92672</v>
      </c>
      <c r="AD102" s="63" t="n">
        <f aca="false">Assumptions!$D$70*(1-Assumptions!$D$80)*(1-Assumptions!$D$79)-Assumptions!$D$73-Assumptions!$D$75-Assumptions!$D$76-Assumptions!$D$77</f>
        <v>41.92672</v>
      </c>
      <c r="AE102" s="63" t="n">
        <f aca="false">Assumptions!$D$70*(1-Assumptions!$D$80)*(1-Assumptions!$D$79)-Assumptions!$D$73-Assumptions!$D$75-Assumptions!$D$76-Assumptions!$D$77</f>
        <v>41.92672</v>
      </c>
      <c r="AF102" s="63" t="n">
        <f aca="false">Assumptions!$D$70*(1-Assumptions!$D$80)*(1-Assumptions!$D$79)-Assumptions!$D$73-Assumptions!$D$75-Assumptions!$D$76-Assumptions!$D$77</f>
        <v>41.92672</v>
      </c>
      <c r="AG102" s="63" t="n">
        <f aca="false">Assumptions!$D$70*(1-Assumptions!$D$80)*(1-Assumptions!$D$79)-Assumptions!$D$73-Assumptions!$D$75-Assumptions!$D$76-Assumptions!$D$77</f>
        <v>41.92672</v>
      </c>
      <c r="AH102" s="63" t="n">
        <f aca="false">Assumptions!$D$70*(1-Assumptions!$D$80)*(1-Assumptions!$D$79)-Assumptions!$D$73-Assumptions!$D$75-Assumptions!$D$76-Assumptions!$D$77</f>
        <v>41.92672</v>
      </c>
      <c r="AI102" s="63" t="n">
        <f aca="false">Assumptions!$D$70*(1-Assumptions!$D$80)*(1-Assumptions!$D$79)-Assumptions!$D$73-Assumptions!$D$75-Assumptions!$D$76-Assumptions!$D$77</f>
        <v>41.92672</v>
      </c>
      <c r="AJ102" s="63" t="n">
        <f aca="false">Assumptions!$D$70*(1-Assumptions!$D$80)*(1-Assumptions!$D$79)-Assumptions!$D$73-Assumptions!$D$75-Assumptions!$D$76-Assumptions!$D$77</f>
        <v>41.92672</v>
      </c>
      <c r="AK102" s="63" t="n">
        <f aca="false">Assumptions!$D$70*(1-Assumptions!$D$80)*(1-Assumptions!$D$79)-Assumptions!$D$73-Assumptions!$D$75-Assumptions!$D$76-Assumptions!$D$77</f>
        <v>41.92672</v>
      </c>
      <c r="AL102" s="63" t="n">
        <f aca="false">Assumptions!$D$70*(1-Assumptions!$D$80)*(1-Assumptions!$D$79)-Assumptions!$D$73-Assumptions!$D$75-Assumptions!$D$76-Assumptions!$D$77</f>
        <v>41.92672</v>
      </c>
      <c r="AM102" s="63" t="n">
        <f aca="false">AVERAGE(N102:AL102)</f>
        <v>41.92672</v>
      </c>
    </row>
    <row r="103" customFormat="false" ht="15" hidden="false" customHeight="false" outlineLevel="0" collapsed="false">
      <c r="A103" s="10" t="s">
        <v>837</v>
      </c>
      <c r="B103" s="9" t="s">
        <v>97</v>
      </c>
      <c r="C103" s="70" t="n">
        <f aca="false">C102/Assumptions!$D$68</f>
        <v>322.513230769231</v>
      </c>
      <c r="D103" s="70" t="n">
        <f aca="false">D102/Assumptions!$D$68</f>
        <v>322.513230769231</v>
      </c>
      <c r="E103" s="70" t="n">
        <f aca="false">E102/Assumptions!$D$68</f>
        <v>322.513230769231</v>
      </c>
      <c r="F103" s="70" t="n">
        <f aca="false">F102/Assumptions!$D$68</f>
        <v>322.513230769231</v>
      </c>
      <c r="G103" s="70" t="n">
        <f aca="false">G102/Assumptions!$D$68</f>
        <v>322.513230769231</v>
      </c>
      <c r="H103" s="70" t="n">
        <f aca="false">H102/Assumptions!$D$68</f>
        <v>322.513230769231</v>
      </c>
      <c r="I103" s="70" t="n">
        <f aca="false">I102/Assumptions!$D$68</f>
        <v>322.513230769231</v>
      </c>
      <c r="J103" s="70" t="n">
        <f aca="false">J102/Assumptions!$D$68</f>
        <v>322.513230769231</v>
      </c>
      <c r="K103" s="70" t="n">
        <f aca="false">K102/Assumptions!$D$68</f>
        <v>322.513230769231</v>
      </c>
      <c r="L103" s="70" t="n">
        <f aca="false">L102/Assumptions!$D$68</f>
        <v>322.513230769231</v>
      </c>
      <c r="M103" s="70" t="n">
        <f aca="false">M102/Assumptions!$D$68</f>
        <v>322.513230769231</v>
      </c>
      <c r="N103" s="70" t="n">
        <f aca="false">N102/Assumptions!$D$68</f>
        <v>322.513230769231</v>
      </c>
      <c r="O103" s="70" t="n">
        <f aca="false">O102/Assumptions!$D$68</f>
        <v>322.513230769231</v>
      </c>
      <c r="P103" s="70" t="n">
        <f aca="false">P102/Assumptions!$D$68</f>
        <v>322.513230769231</v>
      </c>
      <c r="Q103" s="70" t="n">
        <f aca="false">Q102/Assumptions!$D$68</f>
        <v>322.513230769231</v>
      </c>
      <c r="R103" s="70" t="n">
        <f aca="false">R102/Assumptions!$D$68</f>
        <v>322.513230769231</v>
      </c>
      <c r="S103" s="70" t="n">
        <f aca="false">S102/Assumptions!$D$68</f>
        <v>322.513230769231</v>
      </c>
      <c r="T103" s="70" t="n">
        <f aca="false">T102/Assumptions!$D$68</f>
        <v>322.513230769231</v>
      </c>
      <c r="U103" s="70" t="n">
        <f aca="false">U102/Assumptions!$D$68</f>
        <v>322.513230769231</v>
      </c>
      <c r="V103" s="70" t="n">
        <f aca="false">V102/Assumptions!$D$68</f>
        <v>322.513230769231</v>
      </c>
      <c r="W103" s="70" t="n">
        <f aca="false">W102/Assumptions!$D$68</f>
        <v>322.513230769231</v>
      </c>
      <c r="X103" s="70" t="n">
        <f aca="false">X102/Assumptions!$D$68</f>
        <v>322.513230769231</v>
      </c>
      <c r="Y103" s="70" t="n">
        <f aca="false">Y102/Assumptions!$D$68</f>
        <v>322.513230769231</v>
      </c>
      <c r="Z103" s="70" t="n">
        <f aca="false">Z102/Assumptions!$D$68</f>
        <v>322.513230769231</v>
      </c>
      <c r="AA103" s="70" t="n">
        <f aca="false">AA102/Assumptions!$D$68</f>
        <v>322.513230769231</v>
      </c>
      <c r="AB103" s="70" t="n">
        <f aca="false">AB102/Assumptions!$D$68</f>
        <v>322.513230769231</v>
      </c>
      <c r="AC103" s="70" t="n">
        <f aca="false">AC102/Assumptions!$D$68</f>
        <v>322.513230769231</v>
      </c>
      <c r="AD103" s="70" t="n">
        <f aca="false">AD102/Assumptions!$D$68</f>
        <v>322.513230769231</v>
      </c>
      <c r="AE103" s="70" t="n">
        <f aca="false">AE102/Assumptions!$D$68</f>
        <v>322.513230769231</v>
      </c>
      <c r="AF103" s="70" t="n">
        <f aca="false">AF102/Assumptions!$D$68</f>
        <v>322.513230769231</v>
      </c>
      <c r="AG103" s="70" t="n">
        <f aca="false">AG102/Assumptions!$D$68</f>
        <v>322.513230769231</v>
      </c>
      <c r="AH103" s="70" t="n">
        <f aca="false">AH102/Assumptions!$D$68</f>
        <v>322.513230769231</v>
      </c>
      <c r="AI103" s="70" t="n">
        <f aca="false">AI102/Assumptions!$D$68</f>
        <v>322.513230769231</v>
      </c>
      <c r="AJ103" s="70" t="n">
        <f aca="false">AJ102/Assumptions!$D$68</f>
        <v>322.513230769231</v>
      </c>
      <c r="AK103" s="70" t="n">
        <f aca="false">AK102/Assumptions!$D$68</f>
        <v>322.513230769231</v>
      </c>
      <c r="AL103" s="70" t="n">
        <f aca="false">AL102/Assumptions!$D$68</f>
        <v>322.513230769231</v>
      </c>
      <c r="AM103" s="70" t="n">
        <f aca="false">AVERAGE(N103:AL103)</f>
        <v>322.513230769231</v>
      </c>
    </row>
    <row r="104" customFormat="false" ht="15" hidden="false" customHeight="false" outlineLevel="0" collapsed="false">
      <c r="A104" s="10" t="s">
        <v>402</v>
      </c>
      <c r="B104" s="9" t="s">
        <v>97</v>
      </c>
      <c r="C104" s="63" t="n">
        <f aca="false">Assumptions!$D$50*(1-Assumptions!$D$80)*(1-Assumptions!$D$79)-Assumptions!$D$50*Assumptions!$D$55-Assumptions!$D$56</f>
        <v>33.27104</v>
      </c>
      <c r="D104" s="63" t="n">
        <f aca="false">Assumptions!$D$50*(1-Assumptions!$D$80)*(1-Assumptions!$D$79)-Assumptions!$D$50*Assumptions!$D$55-Assumptions!$D$56</f>
        <v>33.27104</v>
      </c>
      <c r="E104" s="63" t="n">
        <f aca="false">Assumptions!$D$50*(1-Assumptions!$D$80)*(1-Assumptions!$D$79)-Assumptions!$D$50*Assumptions!$D$55-Assumptions!$D$56</f>
        <v>33.27104</v>
      </c>
      <c r="F104" s="63" t="n">
        <f aca="false">Assumptions!$D$50*(1-Assumptions!$D$80)*(1-Assumptions!$D$79)-Assumptions!$D$50*Assumptions!$D$55-Assumptions!$D$56</f>
        <v>33.27104</v>
      </c>
      <c r="G104" s="63" t="n">
        <f aca="false">Assumptions!$D$50*(1-Assumptions!$D$80)*(1-Assumptions!$D$79)-Assumptions!$D$50*Assumptions!$D$55-Assumptions!$D$56</f>
        <v>33.27104</v>
      </c>
      <c r="H104" s="63" t="n">
        <f aca="false">Assumptions!$D$50*(1-Assumptions!$D$80)*(1-Assumptions!$D$79)-Assumptions!$D$50*Assumptions!$D$55-Assumptions!$D$56</f>
        <v>33.27104</v>
      </c>
      <c r="I104" s="63" t="n">
        <f aca="false">Assumptions!$D$50*(1-Assumptions!$D$80)*(1-Assumptions!$D$79)-Assumptions!$D$50*Assumptions!$D$55-Assumptions!$D$56</f>
        <v>33.27104</v>
      </c>
      <c r="J104" s="63" t="n">
        <f aca="false">Assumptions!$D$50*(1-Assumptions!$D$80)*(1-Assumptions!$D$79)-Assumptions!$D$50*Assumptions!$D$55-Assumptions!$D$56</f>
        <v>33.27104</v>
      </c>
      <c r="K104" s="63" t="n">
        <f aca="false">Assumptions!$D$50*(1-Assumptions!$D$80)*(1-Assumptions!$D$79)-Assumptions!$D$50*Assumptions!$D$55-Assumptions!$D$56</f>
        <v>33.27104</v>
      </c>
      <c r="L104" s="63" t="n">
        <f aca="false">Assumptions!$D$50*(1-Assumptions!$D$80)*(1-Assumptions!$D$79)-Assumptions!$D$50*Assumptions!$D$55-Assumptions!$D$56</f>
        <v>33.27104</v>
      </c>
      <c r="M104" s="63" t="n">
        <f aca="false">Assumptions!$D$50*(1-Assumptions!$D$80)*(1-Assumptions!$D$79)-Assumptions!$D$50*Assumptions!$D$55-Assumptions!$D$56</f>
        <v>33.27104</v>
      </c>
      <c r="N104" s="63" t="n">
        <f aca="false">Assumptions!$D$50*(1-Assumptions!$D$80)*(1-Assumptions!$D$79)-Assumptions!$D$50*Assumptions!$D$55-Assumptions!$D$56</f>
        <v>33.27104</v>
      </c>
      <c r="O104" s="63" t="n">
        <f aca="false">Assumptions!$D$50*(1-Assumptions!$D$80)*(1-Assumptions!$D$79)-Assumptions!$D$50*Assumptions!$D$55-Assumptions!$D$56</f>
        <v>33.27104</v>
      </c>
      <c r="P104" s="63" t="n">
        <f aca="false">Assumptions!$D$50*(1-Assumptions!$D$80)*(1-Assumptions!$D$79)-Assumptions!$D$50*Assumptions!$D$55-Assumptions!$D$56</f>
        <v>33.27104</v>
      </c>
      <c r="Q104" s="63" t="n">
        <f aca="false">Assumptions!$D$50*(1-Assumptions!$D$80)*(1-Assumptions!$D$79)-Assumptions!$D$50*Assumptions!$D$55-Assumptions!$D$56</f>
        <v>33.27104</v>
      </c>
      <c r="R104" s="63" t="n">
        <f aca="false">Assumptions!$D$50*(1-Assumptions!$D$80)*(1-Assumptions!$D$79)-Assumptions!$D$50*Assumptions!$D$55-Assumptions!$D$56</f>
        <v>33.27104</v>
      </c>
      <c r="S104" s="63" t="n">
        <f aca="false">Assumptions!$D$50*(1-Assumptions!$D$80)*(1-Assumptions!$D$79)-Assumptions!$D$50*Assumptions!$D$55-Assumptions!$D$56</f>
        <v>33.27104</v>
      </c>
      <c r="T104" s="63" t="n">
        <f aca="false">Assumptions!$D$50*(1-Assumptions!$D$80)*(1-Assumptions!$D$79)-Assumptions!$D$50*Assumptions!$D$55-Assumptions!$D$56</f>
        <v>33.27104</v>
      </c>
      <c r="U104" s="63" t="n">
        <f aca="false">Assumptions!$D$50*(1-Assumptions!$D$80)*(1-Assumptions!$D$79)-Assumptions!$D$50*Assumptions!$D$55-Assumptions!$D$56</f>
        <v>33.27104</v>
      </c>
      <c r="V104" s="63" t="n">
        <f aca="false">Assumptions!$D$50*(1-Assumptions!$D$80)*(1-Assumptions!$D$79)-Assumptions!$D$50*Assumptions!$D$55-Assumptions!$D$56</f>
        <v>33.27104</v>
      </c>
      <c r="W104" s="63" t="n">
        <f aca="false">Assumptions!$D$50*(1-Assumptions!$D$80)*(1-Assumptions!$D$79)-Assumptions!$D$50*Assumptions!$D$55-Assumptions!$D$56</f>
        <v>33.27104</v>
      </c>
      <c r="X104" s="63" t="n">
        <f aca="false">Assumptions!$D$50*(1-Assumptions!$D$80)*(1-Assumptions!$D$79)-Assumptions!$D$50*Assumptions!$D$55-Assumptions!$D$56</f>
        <v>33.27104</v>
      </c>
      <c r="Y104" s="63" t="n">
        <f aca="false">Assumptions!$D$50*(1-Assumptions!$D$80)*(1-Assumptions!$D$79)-Assumptions!$D$50*Assumptions!$D$55-Assumptions!$D$56</f>
        <v>33.27104</v>
      </c>
      <c r="Z104" s="63" t="n">
        <f aca="false">Assumptions!$D$50*(1-Assumptions!$D$80)*(1-Assumptions!$D$79)-Assumptions!$D$50*Assumptions!$D$55-Assumptions!$D$56</f>
        <v>33.27104</v>
      </c>
      <c r="AA104" s="63" t="n">
        <f aca="false">Assumptions!$D$50*(1-Assumptions!$D$80)*(1-Assumptions!$D$79)-Assumptions!$D$50*Assumptions!$D$55-Assumptions!$D$56</f>
        <v>33.27104</v>
      </c>
      <c r="AB104" s="63" t="n">
        <f aca="false">Assumptions!$D$50*(1-Assumptions!$D$80)*(1-Assumptions!$D$79)-Assumptions!$D$50*Assumptions!$D$55-Assumptions!$D$56</f>
        <v>33.27104</v>
      </c>
      <c r="AC104" s="63" t="n">
        <f aca="false">Assumptions!$D$50*(1-Assumptions!$D$80)*(1-Assumptions!$D$79)-Assumptions!$D$50*Assumptions!$D$55-Assumptions!$D$56</f>
        <v>33.27104</v>
      </c>
      <c r="AD104" s="63" t="n">
        <f aca="false">Assumptions!$D$50*(1-Assumptions!$D$80)*(1-Assumptions!$D$79)-Assumptions!$D$50*Assumptions!$D$55-Assumptions!$D$56</f>
        <v>33.27104</v>
      </c>
      <c r="AE104" s="63" t="n">
        <f aca="false">Assumptions!$D$50*(1-Assumptions!$D$80)*(1-Assumptions!$D$79)-Assumptions!$D$50*Assumptions!$D$55-Assumptions!$D$56</f>
        <v>33.27104</v>
      </c>
      <c r="AF104" s="63" t="n">
        <f aca="false">Assumptions!$D$50*(1-Assumptions!$D$80)*(1-Assumptions!$D$79)-Assumptions!$D$50*Assumptions!$D$55-Assumptions!$D$56</f>
        <v>33.27104</v>
      </c>
      <c r="AG104" s="63" t="n">
        <f aca="false">Assumptions!$D$50*(1-Assumptions!$D$80)*(1-Assumptions!$D$79)-Assumptions!$D$50*Assumptions!$D$55-Assumptions!$D$56</f>
        <v>33.27104</v>
      </c>
      <c r="AH104" s="63" t="n">
        <f aca="false">Assumptions!$D$50*(1-Assumptions!$D$80)*(1-Assumptions!$D$79)-Assumptions!$D$50*Assumptions!$D$55-Assumptions!$D$56</f>
        <v>33.27104</v>
      </c>
      <c r="AI104" s="63" t="n">
        <f aca="false">Assumptions!$D$50*(1-Assumptions!$D$80)*(1-Assumptions!$D$79)-Assumptions!$D$50*Assumptions!$D$55-Assumptions!$D$56</f>
        <v>33.27104</v>
      </c>
      <c r="AJ104" s="63" t="n">
        <f aca="false">Assumptions!$D$50*(1-Assumptions!$D$80)*(1-Assumptions!$D$79)-Assumptions!$D$50*Assumptions!$D$55-Assumptions!$D$56</f>
        <v>33.27104</v>
      </c>
      <c r="AK104" s="63" t="n">
        <f aca="false">Assumptions!$D$50*(1-Assumptions!$D$80)*(1-Assumptions!$D$79)-Assumptions!$D$50*Assumptions!$D$55-Assumptions!$D$56</f>
        <v>33.27104</v>
      </c>
      <c r="AL104" s="63" t="n">
        <f aca="false">Assumptions!$D$50*(1-Assumptions!$D$80)*(1-Assumptions!$D$79)-Assumptions!$D$50*Assumptions!$D$55-Assumptions!$D$56</f>
        <v>33.27104</v>
      </c>
      <c r="AM104" s="63" t="n">
        <f aca="false">AVERAGE(N104:AL104)</f>
        <v>33.27104</v>
      </c>
    </row>
    <row r="105" customFormat="false" ht="15" hidden="false" customHeight="false" outlineLevel="0" collapsed="false">
      <c r="A105" s="10" t="s">
        <v>403</v>
      </c>
      <c r="B105" s="9" t="s">
        <v>97</v>
      </c>
      <c r="C105" s="70" t="n">
        <f aca="false">C104/Assumptions!$D$52</f>
        <v>369.678222222222</v>
      </c>
      <c r="D105" s="70" t="n">
        <f aca="false">D104/Assumptions!$D$52</f>
        <v>369.678222222222</v>
      </c>
      <c r="E105" s="70" t="n">
        <f aca="false">E104/Assumptions!$D$52</f>
        <v>369.678222222222</v>
      </c>
      <c r="F105" s="70" t="n">
        <f aca="false">F104/Assumptions!$D$52</f>
        <v>369.678222222222</v>
      </c>
      <c r="G105" s="70" t="n">
        <f aca="false">G104/Assumptions!$D$52</f>
        <v>369.678222222222</v>
      </c>
      <c r="H105" s="70" t="n">
        <f aca="false">H104/Assumptions!$D$52</f>
        <v>369.678222222222</v>
      </c>
      <c r="I105" s="70" t="n">
        <f aca="false">I104/Assumptions!$D$52</f>
        <v>369.678222222222</v>
      </c>
      <c r="J105" s="70" t="n">
        <f aca="false">J104/Assumptions!$D$52</f>
        <v>369.678222222222</v>
      </c>
      <c r="K105" s="70" t="n">
        <f aca="false">K104/Assumptions!$D$52</f>
        <v>369.678222222222</v>
      </c>
      <c r="L105" s="70" t="n">
        <f aca="false">L104/Assumptions!$D$52</f>
        <v>369.678222222222</v>
      </c>
      <c r="M105" s="70" t="n">
        <f aca="false">M104/Assumptions!$D$52</f>
        <v>369.678222222222</v>
      </c>
      <c r="N105" s="70" t="n">
        <f aca="false">N104/Assumptions!$D$52</f>
        <v>369.678222222222</v>
      </c>
      <c r="O105" s="70" t="n">
        <f aca="false">O104/Assumptions!$D$52</f>
        <v>369.678222222222</v>
      </c>
      <c r="P105" s="70" t="n">
        <f aca="false">P104/Assumptions!$D$52</f>
        <v>369.678222222222</v>
      </c>
      <c r="Q105" s="70" t="n">
        <f aca="false">Q104/Assumptions!$D$52</f>
        <v>369.678222222222</v>
      </c>
      <c r="R105" s="70" t="n">
        <f aca="false">R104/Assumptions!$D$52</f>
        <v>369.678222222222</v>
      </c>
      <c r="S105" s="70" t="n">
        <f aca="false">S104/Assumptions!$D$52</f>
        <v>369.678222222222</v>
      </c>
      <c r="T105" s="70" t="n">
        <f aca="false">T104/Assumptions!$D$52</f>
        <v>369.678222222222</v>
      </c>
      <c r="U105" s="70" t="n">
        <f aca="false">U104/Assumptions!$D$52</f>
        <v>369.678222222222</v>
      </c>
      <c r="V105" s="70" t="n">
        <f aca="false">V104/Assumptions!$D$52</f>
        <v>369.678222222222</v>
      </c>
      <c r="W105" s="70" t="n">
        <f aca="false">W104/Assumptions!$D$52</f>
        <v>369.678222222222</v>
      </c>
      <c r="X105" s="70" t="n">
        <f aca="false">X104/Assumptions!$D$52</f>
        <v>369.678222222222</v>
      </c>
      <c r="Y105" s="70" t="n">
        <f aca="false">Y104/Assumptions!$D$52</f>
        <v>369.678222222222</v>
      </c>
      <c r="Z105" s="70" t="n">
        <f aca="false">Z104/Assumptions!$D$52</f>
        <v>369.678222222222</v>
      </c>
      <c r="AA105" s="70" t="n">
        <f aca="false">AA104/Assumptions!$D$52</f>
        <v>369.678222222222</v>
      </c>
      <c r="AB105" s="70" t="n">
        <f aca="false">AB104/Assumptions!$D$52</f>
        <v>369.678222222222</v>
      </c>
      <c r="AC105" s="70" t="n">
        <f aca="false">AC104/Assumptions!$D$52</f>
        <v>369.678222222222</v>
      </c>
      <c r="AD105" s="70" t="n">
        <f aca="false">AD104/Assumptions!$D$52</f>
        <v>369.678222222222</v>
      </c>
      <c r="AE105" s="70" t="n">
        <f aca="false">AE104/Assumptions!$D$52</f>
        <v>369.678222222222</v>
      </c>
      <c r="AF105" s="70" t="n">
        <f aca="false">AF104/Assumptions!$D$52</f>
        <v>369.678222222222</v>
      </c>
      <c r="AG105" s="70" t="n">
        <f aca="false">AG104/Assumptions!$D$52</f>
        <v>369.678222222222</v>
      </c>
      <c r="AH105" s="70" t="n">
        <f aca="false">AH104/Assumptions!$D$52</f>
        <v>369.678222222222</v>
      </c>
      <c r="AI105" s="70" t="n">
        <f aca="false">AI104/Assumptions!$D$52</f>
        <v>369.678222222222</v>
      </c>
      <c r="AJ105" s="70" t="n">
        <f aca="false">AJ104/Assumptions!$D$52</f>
        <v>369.678222222222</v>
      </c>
      <c r="AK105" s="70" t="n">
        <f aca="false">AK104/Assumptions!$D$52</f>
        <v>369.678222222222</v>
      </c>
      <c r="AL105" s="70" t="n">
        <f aca="false">AL104/Assumptions!$D$52</f>
        <v>369.678222222222</v>
      </c>
      <c r="AM105" s="70" t="n">
        <f aca="false">AVERAGE(N105:AL105)</f>
        <v>369.678222222222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838</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IF(C$5&gt;=Assumptions!$E$6,1,0)</f>
        <v>0</v>
      </c>
      <c r="D8" s="69" t="n">
        <f aca="false">IF(D$5&gt;=Assumptions!$E$6,1,0)</f>
        <v>1</v>
      </c>
      <c r="E8" s="69" t="n">
        <f aca="false">IF(E$5&gt;=Assumptions!$E$6,1,0)</f>
        <v>1</v>
      </c>
      <c r="F8" s="69" t="n">
        <f aca="false">IF(F$5&gt;=Assumptions!$E$6,1,0)</f>
        <v>1</v>
      </c>
      <c r="G8" s="69" t="n">
        <f aca="false">IF(G$5&gt;=Assumptions!$E$6,1,0)</f>
        <v>1</v>
      </c>
      <c r="H8" s="69" t="n">
        <f aca="false">IF(H$5&gt;=Assumptions!$E$6,1,0)</f>
        <v>1</v>
      </c>
      <c r="I8" s="69" t="n">
        <f aca="false">IF(I$5&gt;=Assumptions!$E$6,1,0)</f>
        <v>1</v>
      </c>
      <c r="J8" s="69" t="n">
        <f aca="false">IF(J$5&gt;=Assumptions!$E$6,1,0)</f>
        <v>1</v>
      </c>
      <c r="K8" s="69" t="n">
        <f aca="false">IF(K$5&gt;=Assumptions!$E$6,1,0)</f>
        <v>1</v>
      </c>
      <c r="L8" s="69" t="n">
        <f aca="false">IF(L$5&gt;=Assumptions!$E$6,1,0)</f>
        <v>1</v>
      </c>
      <c r="M8" s="69" t="n">
        <f aca="false">IF(M$5&gt;=Assumptions!$E$6,1,0)</f>
        <v>1</v>
      </c>
      <c r="N8" s="69" t="n">
        <f aca="false">IF(N$5&gt;=Assumptions!$E$6,1,0)</f>
        <v>1</v>
      </c>
      <c r="O8" s="69" t="n">
        <f aca="false">IF(O$5&gt;=Assumptions!$E$6,1,0)</f>
        <v>1</v>
      </c>
      <c r="P8" s="69" t="n">
        <f aca="false">IF(P$5&gt;=Assumptions!$E$6,1,0)</f>
        <v>1</v>
      </c>
      <c r="Q8" s="69" t="n">
        <f aca="false">IF(Q$5&gt;=Assumptions!$E$6,1,0)</f>
        <v>1</v>
      </c>
      <c r="R8" s="69" t="n">
        <f aca="false">IF(R$5&gt;=Assumptions!$E$6,1,0)</f>
        <v>1</v>
      </c>
      <c r="S8" s="69" t="n">
        <f aca="false">IF(S$5&gt;=Assumptions!$E$6,1,0)</f>
        <v>1</v>
      </c>
      <c r="T8" s="69" t="n">
        <f aca="false">IF(T$5&gt;=Assumptions!$E$6,1,0)</f>
        <v>1</v>
      </c>
      <c r="U8" s="69" t="n">
        <f aca="false">IF(U$5&gt;=Assumptions!$E$6,1,0)</f>
        <v>1</v>
      </c>
      <c r="V8" s="69" t="n">
        <f aca="false">IF(V$5&gt;=Assumptions!$E$6,1,0)</f>
        <v>1</v>
      </c>
      <c r="W8" s="69" t="n">
        <f aca="false">IF(W$5&gt;=Assumptions!$E$6,1,0)</f>
        <v>1</v>
      </c>
      <c r="X8" s="69" t="n">
        <f aca="false">IF(X$5&gt;=Assumptions!$E$6,1,0)</f>
        <v>1</v>
      </c>
      <c r="Y8" s="69" t="n">
        <f aca="false">IF(Y$5&gt;=Assumptions!$E$6,1,0)</f>
        <v>1</v>
      </c>
      <c r="Z8" s="69" t="n">
        <f aca="false">IF(Z$5&gt;=Assumptions!$E$6,1,0)</f>
        <v>1</v>
      </c>
      <c r="AA8" s="69" t="n">
        <f aca="false">IF(AA$5&gt;=Assumptions!$E$6,1,0)</f>
        <v>1</v>
      </c>
      <c r="AB8" s="69" t="n">
        <f aca="false">IF(AB$5&gt;=Assumptions!$E$6,1,0)</f>
        <v>1</v>
      </c>
      <c r="AC8" s="69" t="n">
        <f aca="false">IF(AC$5&gt;=Assumptions!$E$6,1,0)</f>
        <v>1</v>
      </c>
      <c r="AD8" s="69" t="n">
        <f aca="false">IF(AD$5&gt;=Assumptions!$E$6,1,0)</f>
        <v>1</v>
      </c>
      <c r="AE8" s="69" t="n">
        <f aca="false">IF(AE$5&gt;=Assumptions!$E$6,1,0)</f>
        <v>1</v>
      </c>
      <c r="AF8" s="69" t="n">
        <f aca="false">IF(AF$5&gt;=Assumptions!$E$6,1,0)</f>
        <v>1</v>
      </c>
      <c r="AG8" s="69" t="n">
        <f aca="false">IF(AG$5&gt;=Assumptions!$E$6,1,0)</f>
        <v>1</v>
      </c>
      <c r="AH8" s="69" t="n">
        <f aca="false">IF(AH$5&gt;=Assumptions!$E$6,1,0)</f>
        <v>1</v>
      </c>
      <c r="AI8" s="69" t="n">
        <f aca="false">IF(AI$5&gt;=Assumptions!$E$6,1,0)</f>
        <v>1</v>
      </c>
      <c r="AJ8" s="69" t="n">
        <f aca="false">IF(AJ$5&gt;=Assumptions!$E$6,1,0)</f>
        <v>1</v>
      </c>
      <c r="AK8" s="69" t="n">
        <f aca="false">IF(AK$5&gt;=Assumptions!$E$6,1,0)</f>
        <v>1</v>
      </c>
      <c r="AL8" s="69" t="n">
        <f aca="false">IF(AL$5&gt;=Assumptions!$E$6,1,0)</f>
        <v>1</v>
      </c>
      <c r="AM8" s="69"/>
    </row>
    <row r="9" customFormat="false" ht="15" hidden="false" customHeight="false" outlineLevel="0" collapsed="false">
      <c r="A9" s="10" t="s">
        <v>743</v>
      </c>
      <c r="B9" s="9" t="s">
        <v>742</v>
      </c>
      <c r="C9" s="69" t="n">
        <f aca="false">IF(C$5&gt;=Assumptions!$E$7,1,0)</f>
        <v>0</v>
      </c>
      <c r="D9" s="69" t="n">
        <f aca="false">IF(D$5&gt;=Assumptions!$E$7,1,0)</f>
        <v>0</v>
      </c>
      <c r="E9" s="69" t="n">
        <f aca="false">IF(E$5&gt;=Assumptions!$E$7,1,0)</f>
        <v>0</v>
      </c>
      <c r="F9" s="69" t="n">
        <f aca="false">IF(F$5&gt;=Assumptions!$E$7,1,0)</f>
        <v>0</v>
      </c>
      <c r="G9" s="69" t="n">
        <f aca="false">IF(G$5&gt;=Assumptions!$E$7,1,0)</f>
        <v>0</v>
      </c>
      <c r="H9" s="69" t="n">
        <f aca="false">IF(H$5&gt;=Assumptions!$E$7,1,0)</f>
        <v>0</v>
      </c>
      <c r="I9" s="69" t="n">
        <f aca="false">IF(I$5&gt;=Assumptions!$E$7,1,0)</f>
        <v>1</v>
      </c>
      <c r="J9" s="69" t="n">
        <f aca="false">IF(J$5&gt;=Assumptions!$E$7,1,0)</f>
        <v>1</v>
      </c>
      <c r="K9" s="69" t="n">
        <f aca="false">IF(K$5&gt;=Assumptions!$E$7,1,0)</f>
        <v>1</v>
      </c>
      <c r="L9" s="69" t="n">
        <f aca="false">IF(L$5&gt;=Assumptions!$E$7,1,0)</f>
        <v>1</v>
      </c>
      <c r="M9" s="69" t="n">
        <f aca="false">IF(M$5&gt;=Assumptions!$E$7,1,0)</f>
        <v>1</v>
      </c>
      <c r="N9" s="69" t="n">
        <f aca="false">IF(N$5&gt;=Assumptions!$E$7,1,0)</f>
        <v>1</v>
      </c>
      <c r="O9" s="69" t="n">
        <f aca="false">IF(O$5&gt;=Assumptions!$E$7,1,0)</f>
        <v>1</v>
      </c>
      <c r="P9" s="69" t="n">
        <f aca="false">IF(P$5&gt;=Assumptions!$E$7,1,0)</f>
        <v>1</v>
      </c>
      <c r="Q9" s="69" t="n">
        <f aca="false">IF(Q$5&gt;=Assumptions!$E$7,1,0)</f>
        <v>1</v>
      </c>
      <c r="R9" s="69" t="n">
        <f aca="false">IF(R$5&gt;=Assumptions!$E$7,1,0)</f>
        <v>1</v>
      </c>
      <c r="S9" s="69" t="n">
        <f aca="false">IF(S$5&gt;=Assumptions!$E$7,1,0)</f>
        <v>1</v>
      </c>
      <c r="T9" s="69" t="n">
        <f aca="false">IF(T$5&gt;=Assumptions!$E$7,1,0)</f>
        <v>1</v>
      </c>
      <c r="U9" s="69" t="n">
        <f aca="false">IF(U$5&gt;=Assumptions!$E$7,1,0)</f>
        <v>1</v>
      </c>
      <c r="V9" s="69" t="n">
        <f aca="false">IF(V$5&gt;=Assumptions!$E$7,1,0)</f>
        <v>1</v>
      </c>
      <c r="W9" s="69" t="n">
        <f aca="false">IF(W$5&gt;=Assumptions!$E$7,1,0)</f>
        <v>1</v>
      </c>
      <c r="X9" s="69" t="n">
        <f aca="false">IF(X$5&gt;=Assumptions!$E$7,1,0)</f>
        <v>1</v>
      </c>
      <c r="Y9" s="69" t="n">
        <f aca="false">IF(Y$5&gt;=Assumptions!$E$7,1,0)</f>
        <v>1</v>
      </c>
      <c r="Z9" s="69" t="n">
        <f aca="false">IF(Z$5&gt;=Assumptions!$E$7,1,0)</f>
        <v>1</v>
      </c>
      <c r="AA9" s="69" t="n">
        <f aca="false">IF(AA$5&gt;=Assumptions!$E$7,1,0)</f>
        <v>1</v>
      </c>
      <c r="AB9" s="69" t="n">
        <f aca="false">IF(AB$5&gt;=Assumptions!$E$7,1,0)</f>
        <v>1</v>
      </c>
      <c r="AC9" s="69" t="n">
        <f aca="false">IF(AC$5&gt;=Assumptions!$E$7,1,0)</f>
        <v>1</v>
      </c>
      <c r="AD9" s="69" t="n">
        <f aca="false">IF(AD$5&gt;=Assumptions!$E$7,1,0)</f>
        <v>1</v>
      </c>
      <c r="AE9" s="69" t="n">
        <f aca="false">IF(AE$5&gt;=Assumptions!$E$7,1,0)</f>
        <v>1</v>
      </c>
      <c r="AF9" s="69" t="n">
        <f aca="false">IF(AF$5&gt;=Assumptions!$E$7,1,0)</f>
        <v>1</v>
      </c>
      <c r="AG9" s="69" t="n">
        <f aca="false">IF(AG$5&gt;=Assumptions!$E$7,1,0)</f>
        <v>1</v>
      </c>
      <c r="AH9" s="69" t="n">
        <f aca="false">IF(AH$5&gt;=Assumptions!$E$7,1,0)</f>
        <v>1</v>
      </c>
      <c r="AI9" s="69" t="n">
        <f aca="false">IF(AI$5&gt;=Assumptions!$E$7,1,0)</f>
        <v>1</v>
      </c>
      <c r="AJ9" s="69" t="n">
        <f aca="false">IF(AJ$5&gt;=Assumptions!$E$7,1,0)</f>
        <v>1</v>
      </c>
      <c r="AK9" s="69" t="n">
        <f aca="false">IF(AK$5&gt;=Assumptions!$E$7,1,0)</f>
        <v>1</v>
      </c>
      <c r="AL9" s="69" t="n">
        <f aca="false">IF(AL$5&gt;=Assumptions!$E$7,1,0)</f>
        <v>1</v>
      </c>
      <c r="AM9" s="69"/>
    </row>
    <row r="10" customFormat="false" ht="15" hidden="false" customHeight="false" outlineLevel="0" collapsed="false">
      <c r="A10" s="10" t="s">
        <v>744</v>
      </c>
      <c r="B10" s="9" t="s">
        <v>51</v>
      </c>
      <c r="C10" s="69" t="n">
        <f aca="false">MAX(0,C$5-Assumptions!$E$6)</f>
        <v>0</v>
      </c>
      <c r="D10" s="69" t="n">
        <f aca="false">MAX(0,D$5-Assumptions!$E$6)</f>
        <v>0</v>
      </c>
      <c r="E10" s="69" t="n">
        <f aca="false">MAX(0,E$5-Assumptions!$E$6)</f>
        <v>1</v>
      </c>
      <c r="F10" s="69" t="n">
        <f aca="false">MAX(0,F$5-Assumptions!$E$6)</f>
        <v>2</v>
      </c>
      <c r="G10" s="69" t="n">
        <f aca="false">MAX(0,G$5-Assumptions!$E$6)</f>
        <v>3</v>
      </c>
      <c r="H10" s="69" t="n">
        <f aca="false">MAX(0,H$5-Assumptions!$E$6)</f>
        <v>4</v>
      </c>
      <c r="I10" s="69" t="n">
        <f aca="false">MAX(0,I$5-Assumptions!$E$6)</f>
        <v>5</v>
      </c>
      <c r="J10" s="69" t="n">
        <f aca="false">MAX(0,J$5-Assumptions!$E$6)</f>
        <v>6</v>
      </c>
      <c r="K10" s="69" t="n">
        <f aca="false">MAX(0,K$5-Assumptions!$E$6)</f>
        <v>7</v>
      </c>
      <c r="L10" s="69" t="n">
        <f aca="false">MAX(0,L$5-Assumptions!$E$6)</f>
        <v>8</v>
      </c>
      <c r="M10" s="69" t="n">
        <f aca="false">MAX(0,M$5-Assumptions!$E$6)</f>
        <v>9</v>
      </c>
      <c r="N10" s="69" t="n">
        <f aca="false">MAX(0,N$5-Assumptions!$E$6)</f>
        <v>10</v>
      </c>
      <c r="O10" s="69" t="n">
        <f aca="false">MAX(0,O$5-Assumptions!$E$6)</f>
        <v>11</v>
      </c>
      <c r="P10" s="69" t="n">
        <f aca="false">MAX(0,P$5-Assumptions!$E$6)</f>
        <v>12</v>
      </c>
      <c r="Q10" s="69" t="n">
        <f aca="false">MAX(0,Q$5-Assumptions!$E$6)</f>
        <v>13</v>
      </c>
      <c r="R10" s="69" t="n">
        <f aca="false">MAX(0,R$5-Assumptions!$E$6)</f>
        <v>14</v>
      </c>
      <c r="S10" s="69" t="n">
        <f aca="false">MAX(0,S$5-Assumptions!$E$6)</f>
        <v>15</v>
      </c>
      <c r="T10" s="69" t="n">
        <f aca="false">MAX(0,T$5-Assumptions!$E$6)</f>
        <v>16</v>
      </c>
      <c r="U10" s="69" t="n">
        <f aca="false">MAX(0,U$5-Assumptions!$E$6)</f>
        <v>17</v>
      </c>
      <c r="V10" s="69" t="n">
        <f aca="false">MAX(0,V$5-Assumptions!$E$6)</f>
        <v>18</v>
      </c>
      <c r="W10" s="69" t="n">
        <f aca="false">MAX(0,W$5-Assumptions!$E$6)</f>
        <v>19</v>
      </c>
      <c r="X10" s="69" t="n">
        <f aca="false">MAX(0,X$5-Assumptions!$E$6)</f>
        <v>20</v>
      </c>
      <c r="Y10" s="69" t="n">
        <f aca="false">MAX(0,Y$5-Assumptions!$E$6)</f>
        <v>21</v>
      </c>
      <c r="Z10" s="69" t="n">
        <f aca="false">MAX(0,Z$5-Assumptions!$E$6)</f>
        <v>22</v>
      </c>
      <c r="AA10" s="69" t="n">
        <f aca="false">MAX(0,AA$5-Assumptions!$E$6)</f>
        <v>23</v>
      </c>
      <c r="AB10" s="69" t="n">
        <f aca="false">MAX(0,AB$5-Assumptions!$E$6)</f>
        <v>24</v>
      </c>
      <c r="AC10" s="69" t="n">
        <f aca="false">MAX(0,AC$5-Assumptions!$E$6)</f>
        <v>25</v>
      </c>
      <c r="AD10" s="69" t="n">
        <f aca="false">MAX(0,AD$5-Assumptions!$E$6)</f>
        <v>26</v>
      </c>
      <c r="AE10" s="69" t="n">
        <f aca="false">MAX(0,AE$5-Assumptions!$E$6)</f>
        <v>27</v>
      </c>
      <c r="AF10" s="69" t="n">
        <f aca="false">MAX(0,AF$5-Assumptions!$E$6)</f>
        <v>28</v>
      </c>
      <c r="AG10" s="69" t="n">
        <f aca="false">MAX(0,AG$5-Assumptions!$E$6)</f>
        <v>29</v>
      </c>
      <c r="AH10" s="69" t="n">
        <f aca="false">MAX(0,AH$5-Assumptions!$E$6)</f>
        <v>30</v>
      </c>
      <c r="AI10" s="69" t="n">
        <f aca="false">MAX(0,AI$5-Assumptions!$E$6)</f>
        <v>31</v>
      </c>
      <c r="AJ10" s="69" t="n">
        <f aca="false">MAX(0,AJ$5-Assumptions!$E$6)</f>
        <v>32</v>
      </c>
      <c r="AK10" s="69" t="n">
        <f aca="false">MAX(0,AK$5-Assumptions!$E$6)</f>
        <v>33</v>
      </c>
      <c r="AL10" s="69" t="n">
        <f aca="false">MAX(0,AL$5-Assumptions!$E$6)</f>
        <v>34</v>
      </c>
      <c r="AM10" s="69"/>
    </row>
    <row r="11" customFormat="false" ht="15" hidden="false" customHeight="false" outlineLevel="0" collapsed="false">
      <c r="A11" s="10" t="s">
        <v>745</v>
      </c>
      <c r="B11" s="9" t="s">
        <v>84</v>
      </c>
      <c r="C11" s="61" t="n">
        <f aca="false">Assumptions!$E$9*Assumptions!$E$10*Assumptions!$E$11*Assumptions!$E$12</f>
        <v>76720</v>
      </c>
      <c r="D11" s="61" t="n">
        <f aca="false">Assumptions!$E$9*Assumptions!$E$10*Assumptions!$E$11*Assumptions!$E$12</f>
        <v>76720</v>
      </c>
      <c r="E11" s="61" t="n">
        <f aca="false">Assumptions!$E$9*Assumptions!$E$10*Assumptions!$E$11*Assumptions!$E$12</f>
        <v>76720</v>
      </c>
      <c r="F11" s="61" t="n">
        <f aca="false">Assumptions!$E$9*Assumptions!$E$10*Assumptions!$E$11*Assumptions!$E$12</f>
        <v>76720</v>
      </c>
      <c r="G11" s="61" t="n">
        <f aca="false">Assumptions!$E$9*Assumptions!$E$10*Assumptions!$E$11*Assumptions!$E$12</f>
        <v>76720</v>
      </c>
      <c r="H11" s="61" t="n">
        <f aca="false">Assumptions!$E$9*Assumptions!$E$10*Assumptions!$E$11*Assumptions!$E$12</f>
        <v>76720</v>
      </c>
      <c r="I11" s="61" t="n">
        <f aca="false">Assumptions!$E$9*Assumptions!$E$10*Assumptions!$E$11*Assumptions!$E$12</f>
        <v>76720</v>
      </c>
      <c r="J11" s="61" t="n">
        <f aca="false">Assumptions!$E$9*Assumptions!$E$10*Assumptions!$E$11*Assumptions!$E$12</f>
        <v>76720</v>
      </c>
      <c r="K11" s="61" t="n">
        <f aca="false">Assumptions!$E$9*Assumptions!$E$10*Assumptions!$E$11*Assumptions!$E$12</f>
        <v>76720</v>
      </c>
      <c r="L11" s="61" t="n">
        <f aca="false">Assumptions!$E$9*Assumptions!$E$10*Assumptions!$E$11*Assumptions!$E$12</f>
        <v>76720</v>
      </c>
      <c r="M11" s="61" t="n">
        <f aca="false">Assumptions!$E$9*Assumptions!$E$10*Assumptions!$E$11*Assumptions!$E$12</f>
        <v>76720</v>
      </c>
      <c r="N11" s="61" t="n">
        <f aca="false">Assumptions!$E$9*Assumptions!$E$10*Assumptions!$E$11*Assumptions!$E$12</f>
        <v>76720</v>
      </c>
      <c r="O11" s="61" t="n">
        <f aca="false">Assumptions!$E$9*Assumptions!$E$10*Assumptions!$E$11*Assumptions!$E$12</f>
        <v>76720</v>
      </c>
      <c r="P11" s="61" t="n">
        <f aca="false">Assumptions!$E$9*Assumptions!$E$10*Assumptions!$E$11*Assumptions!$E$12</f>
        <v>76720</v>
      </c>
      <c r="Q11" s="61" t="n">
        <f aca="false">Assumptions!$E$9*Assumptions!$E$10*Assumptions!$E$11*Assumptions!$E$12</f>
        <v>76720</v>
      </c>
      <c r="R11" s="61" t="n">
        <f aca="false">Assumptions!$E$9*Assumptions!$E$10*Assumptions!$E$11*Assumptions!$E$12</f>
        <v>76720</v>
      </c>
      <c r="S11" s="61" t="n">
        <f aca="false">Assumptions!$E$9*Assumptions!$E$10*Assumptions!$E$11*Assumptions!$E$12</f>
        <v>76720</v>
      </c>
      <c r="T11" s="61" t="n">
        <f aca="false">Assumptions!$E$9*Assumptions!$E$10*Assumptions!$E$11*Assumptions!$E$12</f>
        <v>76720</v>
      </c>
      <c r="U11" s="61" t="n">
        <f aca="false">Assumptions!$E$9*Assumptions!$E$10*Assumptions!$E$11*Assumptions!$E$12</f>
        <v>76720</v>
      </c>
      <c r="V11" s="61" t="n">
        <f aca="false">Assumptions!$E$9*Assumptions!$E$10*Assumptions!$E$11*Assumptions!$E$12</f>
        <v>76720</v>
      </c>
      <c r="W11" s="61" t="n">
        <f aca="false">Assumptions!$E$9*Assumptions!$E$10*Assumptions!$E$11*Assumptions!$E$12</f>
        <v>76720</v>
      </c>
      <c r="X11" s="61" t="n">
        <f aca="false">Assumptions!$E$9*Assumptions!$E$10*Assumptions!$E$11*Assumptions!$E$12</f>
        <v>76720</v>
      </c>
      <c r="Y11" s="61" t="n">
        <f aca="false">Assumptions!$E$9*Assumptions!$E$10*Assumptions!$E$11*Assumptions!$E$12</f>
        <v>76720</v>
      </c>
      <c r="Z11" s="61" t="n">
        <f aca="false">Assumptions!$E$9*Assumptions!$E$10*Assumptions!$E$11*Assumptions!$E$12</f>
        <v>76720</v>
      </c>
      <c r="AA11" s="61" t="n">
        <f aca="false">Assumptions!$E$9*Assumptions!$E$10*Assumptions!$E$11*Assumptions!$E$12</f>
        <v>76720</v>
      </c>
      <c r="AB11" s="61" t="n">
        <f aca="false">Assumptions!$E$9*Assumptions!$E$10*Assumptions!$E$11*Assumptions!$E$12</f>
        <v>76720</v>
      </c>
      <c r="AC11" s="61" t="n">
        <f aca="false">Assumptions!$E$9*Assumptions!$E$10*Assumptions!$E$11*Assumptions!$E$12</f>
        <v>76720</v>
      </c>
      <c r="AD11" s="61" t="n">
        <f aca="false">Assumptions!$E$9*Assumptions!$E$10*Assumptions!$E$11*Assumptions!$E$12</f>
        <v>76720</v>
      </c>
      <c r="AE11" s="61" t="n">
        <f aca="false">Assumptions!$E$9*Assumptions!$E$10*Assumptions!$E$11*Assumptions!$E$12</f>
        <v>76720</v>
      </c>
      <c r="AF11" s="61" t="n">
        <f aca="false">Assumptions!$E$9*Assumptions!$E$10*Assumptions!$E$11*Assumptions!$E$12</f>
        <v>76720</v>
      </c>
      <c r="AG11" s="61" t="n">
        <f aca="false">Assumptions!$E$9*Assumptions!$E$10*Assumptions!$E$11*Assumptions!$E$12</f>
        <v>76720</v>
      </c>
      <c r="AH11" s="61" t="n">
        <f aca="false">Assumptions!$E$9*Assumptions!$E$10*Assumptions!$E$11*Assumptions!$E$12</f>
        <v>76720</v>
      </c>
      <c r="AI11" s="61" t="n">
        <f aca="false">Assumptions!$E$9*Assumptions!$E$10*Assumptions!$E$11*Assumptions!$E$12</f>
        <v>76720</v>
      </c>
      <c r="AJ11" s="61" t="n">
        <f aca="false">Assumptions!$E$9*Assumptions!$E$10*Assumptions!$E$11*Assumptions!$E$12</f>
        <v>76720</v>
      </c>
      <c r="AK11" s="61" t="n">
        <f aca="false">Assumptions!$E$9*Assumptions!$E$10*Assumptions!$E$11*Assumptions!$E$12</f>
        <v>76720</v>
      </c>
      <c r="AL11" s="61" t="n">
        <f aca="false">Assumptions!$E$9*Assumptions!$E$10*Assumptions!$E$11*Assumptions!$E$12</f>
        <v>76720</v>
      </c>
      <c r="AM11" s="61"/>
    </row>
    <row r="12" customFormat="false" ht="15" hidden="false" customHeight="false" outlineLevel="0" collapsed="false">
      <c r="A12" s="10" t="s">
        <v>746</v>
      </c>
      <c r="B12" s="9" t="s">
        <v>78</v>
      </c>
      <c r="C12" s="57" t="n">
        <f aca="false">IF(C8=0,0,IF(C10=0,Assumptions!$E$15,Assumptions!$E$14+(1-Assumptions!$E$14)*Assumptions!$E$13^C10))</f>
        <v>0</v>
      </c>
      <c r="D12" s="57" t="n">
        <f aca="false">IF(D8=0,0,IF(D10=0,Assumptions!$E$15,Assumptions!$E$14+(1-Assumptions!$E$14)*Assumptions!$E$13^D10))</f>
        <v>2.3</v>
      </c>
      <c r="E12" s="57" t="n">
        <f aca="false">IF(E8=0,0,IF(E10=0,Assumptions!$E$15,Assumptions!$E$14+(1-Assumptions!$E$14)*Assumptions!$E$13^E10))</f>
        <v>0.876</v>
      </c>
      <c r="F12" s="57" t="n">
        <f aca="false">IF(F8=0,0,IF(F10=0,Assumptions!$E$15,Assumptions!$E$14+(1-Assumptions!$E$14)*Assumptions!$E$13^F10))</f>
        <v>0.7768</v>
      </c>
      <c r="G12" s="57" t="n">
        <f aca="false">IF(G8=0,0,IF(G10=0,Assumptions!$E$15,Assumptions!$E$14+(1-Assumptions!$E$14)*Assumptions!$E$13^G10))</f>
        <v>0.69744</v>
      </c>
      <c r="H12" s="57" t="n">
        <f aca="false">IF(H8=0,0,IF(H10=0,Assumptions!$E$15,Assumptions!$E$14+(1-Assumptions!$E$14)*Assumptions!$E$13^H10))</f>
        <v>0.633952</v>
      </c>
      <c r="I12" s="57" t="n">
        <f aca="false">IF(I8=0,0,IF(I10=0,Assumptions!$E$15,Assumptions!$E$14+(1-Assumptions!$E$14)*Assumptions!$E$13^I10))</f>
        <v>0.5831616</v>
      </c>
      <c r="J12" s="57" t="n">
        <f aca="false">IF(J8=0,0,IF(J10=0,Assumptions!$E$15,Assumptions!$E$14+(1-Assumptions!$E$14)*Assumptions!$E$13^J10))</f>
        <v>0.54252928</v>
      </c>
      <c r="K12" s="57" t="n">
        <f aca="false">IF(K8=0,0,IF(K10=0,Assumptions!$E$15,Assumptions!$E$14+(1-Assumptions!$E$14)*Assumptions!$E$13^K10))</f>
        <v>0.510023424</v>
      </c>
      <c r="L12" s="57" t="n">
        <f aca="false">IF(L8=0,0,IF(L10=0,Assumptions!$E$15,Assumptions!$E$14+(1-Assumptions!$E$14)*Assumptions!$E$13^L10))</f>
        <v>0.4840187392</v>
      </c>
      <c r="M12" s="57" t="n">
        <f aca="false">IF(M8=0,0,IF(M10=0,Assumptions!$E$15,Assumptions!$E$14+(1-Assumptions!$E$14)*Assumptions!$E$13^M10))</f>
        <v>0.46321499136</v>
      </c>
      <c r="N12" s="57" t="n">
        <f aca="false">IF(N8=0,0,IF(N10=0,Assumptions!$E$15,Assumptions!$E$14+(1-Assumptions!$E$14)*Assumptions!$E$13^N10))</f>
        <v>0.446571993088</v>
      </c>
      <c r="O12" s="57" t="n">
        <f aca="false">IF(O8=0,0,IF(O10=0,Assumptions!$E$15,Assumptions!$E$14+(1-Assumptions!$E$14)*Assumptions!$E$13^O10))</f>
        <v>0.4332575944704</v>
      </c>
      <c r="P12" s="57" t="n">
        <f aca="false">IF(P8=0,0,IF(P10=0,Assumptions!$E$15,Assumptions!$E$14+(1-Assumptions!$E$14)*Assumptions!$E$13^P10))</f>
        <v>0.42260607557632</v>
      </c>
      <c r="Q12" s="57" t="n">
        <f aca="false">IF(Q8=0,0,IF(Q10=0,Assumptions!$E$15,Assumptions!$E$14+(1-Assumptions!$E$14)*Assumptions!$E$13^Q10))</f>
        <v>0.414084860461056</v>
      </c>
      <c r="R12" s="57" t="n">
        <f aca="false">IF(R8=0,0,IF(R10=0,Assumptions!$E$15,Assumptions!$E$14+(1-Assumptions!$E$14)*Assumptions!$E$13^R10))</f>
        <v>0.407267888368845</v>
      </c>
      <c r="S12" s="57" t="n">
        <f aca="false">IF(S8=0,0,IF(S10=0,Assumptions!$E$15,Assumptions!$E$14+(1-Assumptions!$E$14)*Assumptions!$E$13^S10))</f>
        <v>0.401814310695076</v>
      </c>
      <c r="T12" s="57" t="n">
        <f aca="false">IF(T8=0,0,IF(T10=0,Assumptions!$E$15,Assumptions!$E$14+(1-Assumptions!$E$14)*Assumptions!$E$13^T10))</f>
        <v>0.397451448556061</v>
      </c>
      <c r="U12" s="57" t="n">
        <f aca="false">IF(U8=0,0,IF(U10=0,Assumptions!$E$15,Assumptions!$E$14+(1-Assumptions!$E$14)*Assumptions!$E$13^U10))</f>
        <v>0.393961158844849</v>
      </c>
      <c r="V12" s="57" t="n">
        <f aca="false">IF(V8=0,0,IF(V10=0,Assumptions!$E$15,Assumptions!$E$14+(1-Assumptions!$E$14)*Assumptions!$E$13^V10))</f>
        <v>0.391168927075879</v>
      </c>
      <c r="W12" s="57" t="n">
        <f aca="false">IF(W8=0,0,IF(W10=0,Assumptions!$E$15,Assumptions!$E$14+(1-Assumptions!$E$14)*Assumptions!$E$13^W10))</f>
        <v>0.388935141660703</v>
      </c>
      <c r="X12" s="57" t="n">
        <f aca="false">IF(X8=0,0,IF(X10=0,Assumptions!$E$15,Assumptions!$E$14+(1-Assumptions!$E$14)*Assumptions!$E$13^X10))</f>
        <v>0.387148113328562</v>
      </c>
      <c r="Y12" s="57" t="n">
        <f aca="false">IF(Y8=0,0,IF(Y10=0,Assumptions!$E$15,Assumptions!$E$14+(1-Assumptions!$E$14)*Assumptions!$E$13^Y10))</f>
        <v>0.38571849066285</v>
      </c>
      <c r="Z12" s="57" t="n">
        <f aca="false">IF(Z8=0,0,IF(Z10=0,Assumptions!$E$15,Assumptions!$E$14+(1-Assumptions!$E$14)*Assumptions!$E$13^Z10))</f>
        <v>0.38457479253028</v>
      </c>
      <c r="AA12" s="57" t="n">
        <f aca="false">IF(AA8=0,0,IF(AA10=0,Assumptions!$E$15,Assumptions!$E$14+(1-Assumptions!$E$14)*Assumptions!$E$13^AA10))</f>
        <v>0.383659834024224</v>
      </c>
      <c r="AB12" s="57" t="n">
        <f aca="false">IF(AB8=0,0,IF(AB10=0,Assumptions!$E$15,Assumptions!$E$14+(1-Assumptions!$E$14)*Assumptions!$E$13^AB10))</f>
        <v>0.382927867219379</v>
      </c>
      <c r="AC12" s="57" t="n">
        <f aca="false">IF(AC8=0,0,IF(AC10=0,Assumptions!$E$15,Assumptions!$E$14+(1-Assumptions!$E$14)*Assumptions!$E$13^AC10))</f>
        <v>0.382342293775503</v>
      </c>
      <c r="AD12" s="57" t="n">
        <f aca="false">IF(AD8=0,0,IF(AD10=0,Assumptions!$E$15,Assumptions!$E$14+(1-Assumptions!$E$14)*Assumptions!$E$13^AD10))</f>
        <v>0.381873835020403</v>
      </c>
      <c r="AE12" s="57" t="n">
        <f aca="false">IF(AE8=0,0,IF(AE10=0,Assumptions!$E$15,Assumptions!$E$14+(1-Assumptions!$E$14)*Assumptions!$E$13^AE10))</f>
        <v>0.381499068016322</v>
      </c>
      <c r="AF12" s="57" t="n">
        <f aca="false">IF(AF8=0,0,IF(AF10=0,Assumptions!$E$15,Assumptions!$E$14+(1-Assumptions!$E$14)*Assumptions!$E$13^AF10))</f>
        <v>0.381199254413058</v>
      </c>
      <c r="AG12" s="57" t="n">
        <f aca="false">IF(AG8=0,0,IF(AG10=0,Assumptions!$E$15,Assumptions!$E$14+(1-Assumptions!$E$14)*Assumptions!$E$13^AG10))</f>
        <v>0.380959403530446</v>
      </c>
      <c r="AH12" s="57" t="n">
        <f aca="false">IF(AH8=0,0,IF(AH10=0,Assumptions!$E$15,Assumptions!$E$14+(1-Assumptions!$E$14)*Assumptions!$E$13^AH10))</f>
        <v>0.380767522824357</v>
      </c>
      <c r="AI12" s="57" t="n">
        <f aca="false">IF(AI8=0,0,IF(AI10=0,Assumptions!$E$15,Assumptions!$E$14+(1-Assumptions!$E$14)*Assumptions!$E$13^AI10))</f>
        <v>0.380614018259486</v>
      </c>
      <c r="AJ12" s="57" t="n">
        <f aca="false">IF(AJ8=0,0,IF(AJ10=0,Assumptions!$E$15,Assumptions!$E$14+(1-Assumptions!$E$14)*Assumptions!$E$13^AJ10))</f>
        <v>0.380491214607588</v>
      </c>
      <c r="AK12" s="57" t="n">
        <f aca="false">IF(AK8=0,0,IF(AK10=0,Assumptions!$E$15,Assumptions!$E$14+(1-Assumptions!$E$14)*Assumptions!$E$13^AK10))</f>
        <v>0.380392971686071</v>
      </c>
      <c r="AL12" s="57" t="n">
        <f aca="false">IF(AL8=0,0,IF(AL10=0,Assumptions!$E$15,Assumptions!$E$14+(1-Assumptions!$E$14)*Assumptions!$E$13^AL10))</f>
        <v>0.380314377348857</v>
      </c>
      <c r="AM12" s="57"/>
    </row>
    <row r="13" customFormat="false" ht="15" hidden="false" customHeight="false" outlineLevel="0" collapsed="false">
      <c r="A13" s="10" t="s">
        <v>747</v>
      </c>
      <c r="B13" s="9" t="s">
        <v>84</v>
      </c>
      <c r="C13" s="61" t="n">
        <f aca="false">C11*C12</f>
        <v>0</v>
      </c>
      <c r="D13" s="61" t="n">
        <f aca="false">D11*D12</f>
        <v>176456</v>
      </c>
      <c r="E13" s="61" t="n">
        <f aca="false">E11*E12</f>
        <v>67206.72</v>
      </c>
      <c r="F13" s="61" t="n">
        <f aca="false">F11*F12</f>
        <v>59596.096</v>
      </c>
      <c r="G13" s="61" t="n">
        <f aca="false">G11*G12</f>
        <v>53507.5968</v>
      </c>
      <c r="H13" s="61" t="n">
        <f aca="false">H11*H12</f>
        <v>48636.79744</v>
      </c>
      <c r="I13" s="61" t="n">
        <f aca="false">I11*I12</f>
        <v>44740.157952</v>
      </c>
      <c r="J13" s="61" t="n">
        <f aca="false">J11*J12</f>
        <v>41622.8463616</v>
      </c>
      <c r="K13" s="61" t="n">
        <f aca="false">K11*K12</f>
        <v>39128.99708928</v>
      </c>
      <c r="L13" s="61" t="n">
        <f aca="false">L11*L12</f>
        <v>37133.917671424</v>
      </c>
      <c r="M13" s="61" t="n">
        <f aca="false">M11*M12</f>
        <v>35537.8541371392</v>
      </c>
      <c r="N13" s="61" t="n">
        <f aca="false">N11*N12</f>
        <v>34261.0033097114</v>
      </c>
      <c r="O13" s="61" t="n">
        <f aca="false">O11*O12</f>
        <v>33239.5226477691</v>
      </c>
      <c r="P13" s="61" t="n">
        <f aca="false">P11*P12</f>
        <v>32422.3381182153</v>
      </c>
      <c r="Q13" s="61" t="n">
        <f aca="false">Q11*Q12</f>
        <v>31768.5904945722</v>
      </c>
      <c r="R13" s="61" t="n">
        <f aca="false">R11*R12</f>
        <v>31245.5923956578</v>
      </c>
      <c r="S13" s="61" t="n">
        <f aca="false">S11*S12</f>
        <v>30827.1939165262</v>
      </c>
      <c r="T13" s="61" t="n">
        <f aca="false">T11*T12</f>
        <v>30492.475133221</v>
      </c>
      <c r="U13" s="61" t="n">
        <f aca="false">U11*U12</f>
        <v>30224.7001065768</v>
      </c>
      <c r="V13" s="61" t="n">
        <f aca="false">V11*V12</f>
        <v>30010.4800852614</v>
      </c>
      <c r="W13" s="61" t="n">
        <f aca="false">W11*W12</f>
        <v>29839.1040682091</v>
      </c>
      <c r="X13" s="61" t="n">
        <f aca="false">X11*X12</f>
        <v>29702.0032545673</v>
      </c>
      <c r="Y13" s="61" t="n">
        <f aca="false">Y11*Y12</f>
        <v>29592.3226036539</v>
      </c>
      <c r="Z13" s="61" t="n">
        <f aca="false">Z11*Z12</f>
        <v>29504.5780829231</v>
      </c>
      <c r="AA13" s="61" t="n">
        <f aca="false">AA11*AA12</f>
        <v>29434.3824663385</v>
      </c>
      <c r="AB13" s="61" t="n">
        <f aca="false">AB11*AB12</f>
        <v>29378.2259730708</v>
      </c>
      <c r="AC13" s="61" t="n">
        <f aca="false">AC11*AC12</f>
        <v>29333.3007784566</v>
      </c>
      <c r="AD13" s="61" t="n">
        <f aca="false">AD11*AD12</f>
        <v>29297.3606227653</v>
      </c>
      <c r="AE13" s="61" t="n">
        <f aca="false">AE11*AE12</f>
        <v>29268.6084982122</v>
      </c>
      <c r="AF13" s="61" t="n">
        <f aca="false">AF11*AF12</f>
        <v>29245.6067985698</v>
      </c>
      <c r="AG13" s="61" t="n">
        <f aca="false">AG11*AG12</f>
        <v>29227.2054388558</v>
      </c>
      <c r="AH13" s="61" t="n">
        <f aca="false">AH11*AH12</f>
        <v>29212.4843510847</v>
      </c>
      <c r="AI13" s="61" t="n">
        <f aca="false">AI11*AI12</f>
        <v>29200.7074808677</v>
      </c>
      <c r="AJ13" s="61" t="n">
        <f aca="false">AJ11*AJ12</f>
        <v>29191.2859846942</v>
      </c>
      <c r="AK13" s="61" t="n">
        <f aca="false">AK11*AK12</f>
        <v>29183.7487877554</v>
      </c>
      <c r="AL13" s="61" t="n">
        <f aca="false">AL11*AL12</f>
        <v>29177.7190302043</v>
      </c>
      <c r="AM13" s="61" t="n">
        <f aca="false">SUM(C13:AL13)</f>
        <v>1357847.52387918</v>
      </c>
    </row>
    <row r="14" customFormat="false" ht="15" hidden="false" customHeight="false" outlineLevel="0" collapsed="false">
      <c r="A14" s="10" t="s">
        <v>748</v>
      </c>
      <c r="B14" s="9" t="s">
        <v>749</v>
      </c>
      <c r="C14" s="61" t="n">
        <f aca="false">Assumptions!$E$9*Assumptions!$E$10*Assumptions!$E$11*C12</f>
        <v>0</v>
      </c>
      <c r="D14" s="61" t="n">
        <f aca="false">Assumptions!$E$9*Assumptions!$E$10*Assumptions!$E$11*D12</f>
        <v>25208000</v>
      </c>
      <c r="E14" s="61" t="n">
        <f aca="false">Assumptions!$E$9*Assumptions!$E$10*Assumptions!$E$11*E12</f>
        <v>9600960</v>
      </c>
      <c r="F14" s="61" t="n">
        <f aca="false">Assumptions!$E$9*Assumptions!$E$10*Assumptions!$E$11*F12</f>
        <v>8513728</v>
      </c>
      <c r="G14" s="61" t="n">
        <f aca="false">Assumptions!$E$9*Assumptions!$E$10*Assumptions!$E$11*G12</f>
        <v>7643942.4</v>
      </c>
      <c r="H14" s="61" t="n">
        <f aca="false">Assumptions!$E$9*Assumptions!$E$10*Assumptions!$E$11*H12</f>
        <v>6948113.92</v>
      </c>
      <c r="I14" s="61" t="n">
        <f aca="false">Assumptions!$E$9*Assumptions!$E$10*Assumptions!$E$11*I12</f>
        <v>6391451.136</v>
      </c>
      <c r="J14" s="61" t="n">
        <f aca="false">Assumptions!$E$9*Assumptions!$E$10*Assumptions!$E$11*J12</f>
        <v>5946120.9088</v>
      </c>
      <c r="K14" s="61" t="n">
        <f aca="false">Assumptions!$E$9*Assumptions!$E$10*Assumptions!$E$11*K12</f>
        <v>5589856.72704</v>
      </c>
      <c r="L14" s="61" t="n">
        <f aca="false">Assumptions!$E$9*Assumptions!$E$10*Assumptions!$E$11*L12</f>
        <v>5304845.381632</v>
      </c>
      <c r="M14" s="61" t="n">
        <f aca="false">Assumptions!$E$9*Assumptions!$E$10*Assumptions!$E$11*M12</f>
        <v>5076836.3053056</v>
      </c>
      <c r="N14" s="61" t="n">
        <f aca="false">Assumptions!$E$9*Assumptions!$E$10*Assumptions!$E$11*N12</f>
        <v>4894429.04424448</v>
      </c>
      <c r="O14" s="61" t="n">
        <f aca="false">Assumptions!$E$9*Assumptions!$E$10*Assumptions!$E$11*O12</f>
        <v>4748503.23539558</v>
      </c>
      <c r="P14" s="61" t="n">
        <f aca="false">Assumptions!$E$9*Assumptions!$E$10*Assumptions!$E$11*P12</f>
        <v>4631762.58831647</v>
      </c>
      <c r="Q14" s="61" t="n">
        <f aca="false">Assumptions!$E$9*Assumptions!$E$10*Assumptions!$E$11*Q12</f>
        <v>4538370.07065317</v>
      </c>
      <c r="R14" s="61" t="n">
        <f aca="false">Assumptions!$E$9*Assumptions!$E$10*Assumptions!$E$11*R12</f>
        <v>4463656.05652254</v>
      </c>
      <c r="S14" s="61" t="n">
        <f aca="false">Assumptions!$E$9*Assumptions!$E$10*Assumptions!$E$11*S12</f>
        <v>4403884.84521803</v>
      </c>
      <c r="T14" s="61" t="n">
        <f aca="false">Assumptions!$E$9*Assumptions!$E$10*Assumptions!$E$11*T12</f>
        <v>4356067.87617443</v>
      </c>
      <c r="U14" s="61" t="n">
        <f aca="false">Assumptions!$E$9*Assumptions!$E$10*Assumptions!$E$11*U12</f>
        <v>4317814.30093954</v>
      </c>
      <c r="V14" s="61" t="n">
        <f aca="false">Assumptions!$E$9*Assumptions!$E$10*Assumptions!$E$11*V12</f>
        <v>4287211.44075163</v>
      </c>
      <c r="W14" s="61" t="n">
        <f aca="false">Assumptions!$E$9*Assumptions!$E$10*Assumptions!$E$11*W12</f>
        <v>4262729.15260131</v>
      </c>
      <c r="X14" s="61" t="n">
        <f aca="false">Assumptions!$E$9*Assumptions!$E$10*Assumptions!$E$11*X12</f>
        <v>4243143.32208104</v>
      </c>
      <c r="Y14" s="61" t="n">
        <f aca="false">Assumptions!$E$9*Assumptions!$E$10*Assumptions!$E$11*Y12</f>
        <v>4227474.65766484</v>
      </c>
      <c r="Z14" s="61" t="n">
        <f aca="false">Assumptions!$E$9*Assumptions!$E$10*Assumptions!$E$11*Z12</f>
        <v>4214939.72613187</v>
      </c>
      <c r="AA14" s="61" t="n">
        <f aca="false">Assumptions!$E$9*Assumptions!$E$10*Assumptions!$E$11*AA12</f>
        <v>4204911.78090549</v>
      </c>
      <c r="AB14" s="61" t="n">
        <f aca="false">Assumptions!$E$9*Assumptions!$E$10*Assumptions!$E$11*AB12</f>
        <v>4196889.4247244</v>
      </c>
      <c r="AC14" s="61" t="n">
        <f aca="false">Assumptions!$E$9*Assumptions!$E$10*Assumptions!$E$11*AC12</f>
        <v>4190471.53977952</v>
      </c>
      <c r="AD14" s="61" t="n">
        <f aca="false">Assumptions!$E$9*Assumptions!$E$10*Assumptions!$E$11*AD12</f>
        <v>4185337.23182361</v>
      </c>
      <c r="AE14" s="61" t="n">
        <f aca="false">Assumptions!$E$9*Assumptions!$E$10*Assumptions!$E$11*AE12</f>
        <v>4181229.78545889</v>
      </c>
      <c r="AF14" s="61" t="n">
        <f aca="false">Assumptions!$E$9*Assumptions!$E$10*Assumptions!$E$11*AF12</f>
        <v>4177943.82836711</v>
      </c>
      <c r="AG14" s="61" t="n">
        <f aca="false">Assumptions!$E$9*Assumptions!$E$10*Assumptions!$E$11*AG12</f>
        <v>4175315.06269369</v>
      </c>
      <c r="AH14" s="61" t="n">
        <f aca="false">Assumptions!$E$9*Assumptions!$E$10*Assumptions!$E$11*AH12</f>
        <v>4173212.05015495</v>
      </c>
      <c r="AI14" s="61" t="n">
        <f aca="false">Assumptions!$E$9*Assumptions!$E$10*Assumptions!$E$11*AI12</f>
        <v>4171529.64012396</v>
      </c>
      <c r="AJ14" s="61" t="n">
        <f aca="false">Assumptions!$E$9*Assumptions!$E$10*Assumptions!$E$11*AJ12</f>
        <v>4170183.71209917</v>
      </c>
      <c r="AK14" s="61" t="n">
        <f aca="false">Assumptions!$E$9*Assumptions!$E$10*Assumptions!$E$11*AK12</f>
        <v>4169106.96967934</v>
      </c>
      <c r="AL14" s="61" t="n">
        <f aca="false">Assumptions!$E$9*Assumptions!$E$10*Assumptions!$E$11*AL12</f>
        <v>4168245.57574347</v>
      </c>
      <c r="AM14" s="61" t="n">
        <f aca="false">SUM(C14:AL14)</f>
        <v>193978217.697026</v>
      </c>
    </row>
    <row r="15" customFormat="false" ht="15" hidden="false" customHeight="false" outlineLevel="0" collapsed="false">
      <c r="A15" s="10" t="s">
        <v>750</v>
      </c>
      <c r="B15" s="9" t="s">
        <v>84</v>
      </c>
      <c r="C15" s="61" t="n">
        <f aca="false">MIN(Assumptions!$E$19,Assumptions!$E$17*(1+Assumptions!$E$18)^(C$5-1))</f>
        <v>2200</v>
      </c>
      <c r="D15" s="61" t="n">
        <f aca="false">MIN(Assumptions!$E$19,Assumptions!$E$17*(1+Assumptions!$E$18)^(D$5-1))</f>
        <v>2398</v>
      </c>
      <c r="E15" s="61" t="n">
        <f aca="false">MIN(Assumptions!$E$19,Assumptions!$E$17*(1+Assumptions!$E$18)^(E$5-1))</f>
        <v>2613.82</v>
      </c>
      <c r="F15" s="61" t="n">
        <f aca="false">MIN(Assumptions!$E$19,Assumptions!$E$17*(1+Assumptions!$E$18)^(F$5-1))</f>
        <v>2849.0638</v>
      </c>
      <c r="G15" s="61" t="n">
        <f aca="false">MIN(Assumptions!$E$19,Assumptions!$E$17*(1+Assumptions!$E$18)^(G$5-1))</f>
        <v>3105.479542</v>
      </c>
      <c r="H15" s="61" t="n">
        <f aca="false">MIN(Assumptions!$E$19,Assumptions!$E$17*(1+Assumptions!$E$18)^(H$5-1))</f>
        <v>3384.97270078</v>
      </c>
      <c r="I15" s="61" t="n">
        <f aca="false">MIN(Assumptions!$E$19,Assumptions!$E$17*(1+Assumptions!$E$18)^(I$5-1))</f>
        <v>3689.6202438502</v>
      </c>
      <c r="J15" s="61" t="n">
        <f aca="false">MIN(Assumptions!$E$19,Assumptions!$E$17*(1+Assumptions!$E$18)^(J$5-1))</f>
        <v>4021.68606579672</v>
      </c>
      <c r="K15" s="61" t="n">
        <f aca="false">MIN(Assumptions!$E$19,Assumptions!$E$17*(1+Assumptions!$E$18)^(K$5-1))</f>
        <v>4383.63781171843</v>
      </c>
      <c r="L15" s="61" t="n">
        <f aca="false">MIN(Assumptions!$E$19,Assumptions!$E$17*(1+Assumptions!$E$18)^(L$5-1))</f>
        <v>4778.16521477308</v>
      </c>
      <c r="M15" s="61" t="n">
        <f aca="false">MIN(Assumptions!$E$19,Assumptions!$E$17*(1+Assumptions!$E$18)^(M$5-1))</f>
        <v>5208.20008410266</v>
      </c>
      <c r="N15" s="61" t="n">
        <f aca="false">MIN(Assumptions!$E$19,Assumptions!$E$17*(1+Assumptions!$E$18)^(N$5-1))</f>
        <v>5676.9380916719</v>
      </c>
      <c r="O15" s="61" t="n">
        <f aca="false">MIN(Assumptions!$E$19,Assumptions!$E$17*(1+Assumptions!$E$18)^(O$5-1))</f>
        <v>6187.86251992237</v>
      </c>
      <c r="P15" s="61" t="n">
        <f aca="false">MIN(Assumptions!$E$19,Assumptions!$E$17*(1+Assumptions!$E$18)^(P$5-1))</f>
        <v>6744.77014671539</v>
      </c>
      <c r="Q15" s="61" t="n">
        <f aca="false">MIN(Assumptions!$E$19,Assumptions!$E$17*(1+Assumptions!$E$18)^(Q$5-1))</f>
        <v>7351.79945991977</v>
      </c>
      <c r="R15" s="61" t="n">
        <f aca="false">MIN(Assumptions!$E$19,Assumptions!$E$17*(1+Assumptions!$E$18)^(R$5-1))</f>
        <v>8013.46141131255</v>
      </c>
      <c r="S15" s="61" t="n">
        <f aca="false">MIN(Assumptions!$E$19,Assumptions!$E$17*(1+Assumptions!$E$18)^(S$5-1))</f>
        <v>8734.67293833068</v>
      </c>
      <c r="T15" s="61" t="n">
        <f aca="false">MIN(Assumptions!$E$19,Assumptions!$E$17*(1+Assumptions!$E$18)^(T$5-1))</f>
        <v>9520.79350278045</v>
      </c>
      <c r="U15" s="61" t="n">
        <f aca="false">MIN(Assumptions!$E$19,Assumptions!$E$17*(1+Assumptions!$E$18)^(U$5-1))</f>
        <v>10377.6649180307</v>
      </c>
      <c r="V15" s="61" t="n">
        <f aca="false">MIN(Assumptions!$E$19,Assumptions!$E$17*(1+Assumptions!$E$18)^(V$5-1))</f>
        <v>11311.6547606535</v>
      </c>
      <c r="W15" s="61" t="n">
        <f aca="false">MIN(Assumptions!$E$19,Assumptions!$E$17*(1+Assumptions!$E$18)^(W$5-1))</f>
        <v>12329.7036891123</v>
      </c>
      <c r="X15" s="61" t="n">
        <f aca="false">MIN(Assumptions!$E$19,Assumptions!$E$17*(1+Assumptions!$E$18)^(X$5-1))</f>
        <v>13439.3770211324</v>
      </c>
      <c r="Y15" s="61" t="n">
        <f aca="false">MIN(Assumptions!$E$19,Assumptions!$E$17*(1+Assumptions!$E$18)^(Y$5-1))</f>
        <v>14648.9209530343</v>
      </c>
      <c r="Z15" s="61" t="n">
        <f aca="false">MIN(Assumptions!$E$19,Assumptions!$E$17*(1+Assumptions!$E$18)^(Z$5-1))</f>
        <v>15967.3238388074</v>
      </c>
      <c r="AA15" s="61" t="n">
        <f aca="false">MIN(Assumptions!$E$19,Assumptions!$E$17*(1+Assumptions!$E$18)^(AA$5-1))</f>
        <v>17404.3829843</v>
      </c>
      <c r="AB15" s="61" t="n">
        <f aca="false">MIN(Assumptions!$E$19,Assumptions!$E$17*(1+Assumptions!$E$18)^(AB$5-1))</f>
        <v>18970.777452887</v>
      </c>
      <c r="AC15" s="61" t="n">
        <f aca="false">MIN(Assumptions!$E$19,Assumptions!$E$17*(1+Assumptions!$E$18)^(AC$5-1))</f>
        <v>20678.1474236469</v>
      </c>
      <c r="AD15" s="61" t="n">
        <f aca="false">MIN(Assumptions!$E$19,Assumptions!$E$17*(1+Assumptions!$E$18)^(AD$5-1))</f>
        <v>22539.1806917751</v>
      </c>
      <c r="AE15" s="61" t="n">
        <f aca="false">MIN(Assumptions!$E$19,Assumptions!$E$17*(1+Assumptions!$E$18)^(AE$5-1))</f>
        <v>24567.7069540349</v>
      </c>
      <c r="AF15" s="61" t="n">
        <f aca="false">MIN(Assumptions!$E$19,Assumptions!$E$17*(1+Assumptions!$E$18)^(AF$5-1))</f>
        <v>26778.800579898</v>
      </c>
      <c r="AG15" s="61" t="n">
        <f aca="false">MIN(Assumptions!$E$19,Assumptions!$E$17*(1+Assumptions!$E$18)^(AG$5-1))</f>
        <v>29188.8926320888</v>
      </c>
      <c r="AH15" s="61" t="n">
        <f aca="false">MIN(Assumptions!$E$19,Assumptions!$E$17*(1+Assumptions!$E$18)^(AH$5-1))</f>
        <v>31815.8929689768</v>
      </c>
      <c r="AI15" s="61" t="n">
        <f aca="false">MIN(Assumptions!$E$19,Assumptions!$E$17*(1+Assumptions!$E$18)^(AI$5-1))</f>
        <v>34679.3233361847</v>
      </c>
      <c r="AJ15" s="61" t="n">
        <f aca="false">MIN(Assumptions!$E$19,Assumptions!$E$17*(1+Assumptions!$E$18)^(AJ$5-1))</f>
        <v>37800.4624364413</v>
      </c>
      <c r="AK15" s="61" t="n">
        <f aca="false">MIN(Assumptions!$E$19,Assumptions!$E$17*(1+Assumptions!$E$18)^(AK$5-1))</f>
        <v>41202.5040557211</v>
      </c>
      <c r="AL15" s="61" t="n">
        <f aca="false">MIN(Assumptions!$E$19,Assumptions!$E$17*(1+Assumptions!$E$18)^(AL$5-1))</f>
        <v>44910.729420736</v>
      </c>
      <c r="AM15" s="61" t="n">
        <f aca="false">SUM(C15:AL15)</f>
        <v>519474.389651135</v>
      </c>
    </row>
    <row r="16" customFormat="false" ht="15" hidden="false" customHeight="false" outlineLevel="0" collapsed="false">
      <c r="A16" s="37" t="s">
        <v>751</v>
      </c>
      <c r="B16" s="9" t="s">
        <v>97</v>
      </c>
      <c r="C16" s="53" t="n">
        <f aca="false">Assumptions!$E$20</f>
        <v>8000</v>
      </c>
      <c r="D16" s="53" t="n">
        <f aca="false">IF(D8=0,Assumptions!$E$20,MIN(Assumptions!$E$24,MAX(Assumptions!$E$21,C72*Assumptions!$E$22)))</f>
        <v>30000</v>
      </c>
      <c r="E16" s="53" t="n">
        <f aca="false">IF(E8=0,Assumptions!$E$20,MIN(Assumptions!$E$24,MAX(Assumptions!$E$21,D72*Assumptions!$E$22)))</f>
        <v>91155.5974459095</v>
      </c>
      <c r="F16" s="53" t="n">
        <f aca="false">IF(F8=0,Assumptions!$E$20,MIN(Assumptions!$E$24,MAX(Assumptions!$E$21,E72*Assumptions!$E$22)))</f>
        <v>84699.9873173224</v>
      </c>
      <c r="G16" s="53" t="n">
        <f aca="false">IF(G8=0,Assumptions!$E$20,MIN(Assumptions!$E$24,MAX(Assumptions!$E$21,F72*Assumptions!$E$22)))</f>
        <v>91861.1187620288</v>
      </c>
      <c r="H16" s="53" t="n">
        <f aca="false">IF(H8=0,Assumptions!$E$20,MIN(Assumptions!$E$24,MAX(Assumptions!$E$21,G72*Assumptions!$E$22)))</f>
        <v>101251.555971955</v>
      </c>
      <c r="I16" s="53" t="n">
        <f aca="false">IF(I8=0,Assumptions!$E$20,MIN(Assumptions!$E$24,MAX(Assumptions!$E$21,H72*Assumptions!$E$22)))</f>
        <v>109844.505294763</v>
      </c>
      <c r="J16" s="53" t="n">
        <f aca="false">IF(J8=0,Assumptions!$E$20,MIN(Assumptions!$E$24,MAX(Assumptions!$E$21,I72*Assumptions!$E$22)))</f>
        <v>121710.319378416</v>
      </c>
      <c r="K16" s="53" t="n">
        <f aca="false">IF(K8=0,Assumptions!$E$20,MIN(Assumptions!$E$24,MAX(Assumptions!$E$21,J72*Assumptions!$E$22)))</f>
        <v>131492.662556272</v>
      </c>
      <c r="L16" s="53" t="n">
        <f aca="false">IF(L8=0,Assumptions!$E$20,MIN(Assumptions!$E$24,MAX(Assumptions!$E$21,K72*Assumptions!$E$22)))</f>
        <v>140610.015691876</v>
      </c>
      <c r="M16" s="53" t="n">
        <f aca="false">IF(M8=0,Assumptions!$E$20,MIN(Assumptions!$E$24,MAX(Assumptions!$E$21,L72*Assumptions!$E$22)))</f>
        <v>149215.742886464</v>
      </c>
      <c r="N16" s="53" t="n">
        <f aca="false">IF(N8=0,Assumptions!$E$20,MIN(Assumptions!$E$24,MAX(Assumptions!$E$21,M72*Assumptions!$E$22)))</f>
        <v>157422.530662812</v>
      </c>
      <c r="O16" s="53" t="n">
        <f aca="false">IF(O8=0,Assumptions!$E$20,MIN(Assumptions!$E$24,MAX(Assumptions!$E$21,N72*Assumptions!$E$22)))</f>
        <v>165317.422671391</v>
      </c>
      <c r="P16" s="53" t="n">
        <f aca="false">IF(P8=0,Assumptions!$E$20,MIN(Assumptions!$E$24,MAX(Assumptions!$E$21,O72*Assumptions!$E$22)))</f>
        <v>172973.222352019</v>
      </c>
      <c r="Q16" s="53" t="n">
        <f aca="false">IF(Q8=0,Assumptions!$E$20,MIN(Assumptions!$E$24,MAX(Assumptions!$E$21,P72*Assumptions!$E$22)))</f>
        <v>180451.878087143</v>
      </c>
      <c r="R16" s="53" t="n">
        <f aca="false">IF(R8=0,Assumptions!$E$20,MIN(Assumptions!$E$24,MAX(Assumptions!$E$21,Q72*Assumptions!$E$22)))</f>
        <v>187806.8072095</v>
      </c>
      <c r="S16" s="53" t="n">
        <f aca="false">IF(S8=0,Assumptions!$E$20,MIN(Assumptions!$E$24,MAX(Assumptions!$E$21,R72*Assumptions!$E$22)))</f>
        <v>195084.73121997</v>
      </c>
      <c r="T16" s="53" t="n">
        <f aca="false">IF(T8=0,Assumptions!$E$20,MIN(Assumptions!$E$24,MAX(Assumptions!$E$21,S72*Assumptions!$E$22)))</f>
        <v>202327.1861779</v>
      </c>
      <c r="U16" s="53" t="n">
        <f aca="false">IF(U8=0,Assumptions!$E$20,MIN(Assumptions!$E$24,MAX(Assumptions!$E$21,T72*Assumptions!$E$22)))</f>
        <v>209571.780644803</v>
      </c>
      <c r="V16" s="53" t="n">
        <f aca="false">IF(V8=0,Assumptions!$E$20,MIN(Assumptions!$E$24,MAX(Assumptions!$E$21,U72*Assumptions!$E$22)))</f>
        <v>216853.251744829</v>
      </c>
      <c r="W16" s="53" t="n">
        <f aca="false">IF(W8=0,Assumptions!$E$20,MIN(Assumptions!$E$24,MAX(Assumptions!$E$21,V72*Assumptions!$E$22)))</f>
        <v>224204.35926743</v>
      </c>
      <c r="X16" s="53" t="n">
        <f aca="false">IF(X8=0,Assumptions!$E$20,MIN(Assumptions!$E$24,MAX(Assumptions!$E$21,W72*Assumptions!$E$22)))</f>
        <v>231656.650427232</v>
      </c>
      <c r="Y16" s="53" t="n">
        <f aca="false">IF(Y8=0,Assumptions!$E$20,MIN(Assumptions!$E$24,MAX(Assumptions!$E$21,X72*Assumptions!$E$22)))</f>
        <v>239241.122224709</v>
      </c>
      <c r="Z16" s="53" t="n">
        <f aca="false">IF(Z8=0,Assumptions!$E$20,MIN(Assumptions!$E$24,MAX(Assumptions!$E$21,Y72*Assumptions!$E$22)))</f>
        <v>246988.803790801</v>
      </c>
      <c r="AA16" s="53" t="n">
        <f aca="false">IF(AA8=0,Assumptions!$E$20,MIN(Assumptions!$E$24,MAX(Assumptions!$E$21,Z72*Assumptions!$E$22)))</f>
        <v>254931.277391497</v>
      </c>
      <c r="AB16" s="53" t="n">
        <f aca="false">IF(AB8=0,Assumptions!$E$20,MIN(Assumptions!$E$24,MAX(Assumptions!$E$21,AA72*Assumptions!$E$22)))</f>
        <v>263101.153749237</v>
      </c>
      <c r="AC16" s="53" t="n">
        <f aca="false">IF(AC8=0,Assumptions!$E$20,MIN(Assumptions!$E$24,MAX(Assumptions!$E$21,AB72*Assumptions!$E$22)))</f>
        <v>271299.886523845</v>
      </c>
      <c r="AD16" s="53" t="n">
        <f aca="false">IF(AD8=0,Assumptions!$E$20,MIN(Assumptions!$E$24,MAX(Assumptions!$E$21,AC72*Assumptions!$E$22)))</f>
        <v>279482.206694832</v>
      </c>
      <c r="AE16" s="53" t="n">
        <f aca="false">IF(AE8=0,Assumptions!$E$20,MIN(Assumptions!$E$24,MAX(Assumptions!$E$21,AD72*Assumptions!$E$22)))</f>
        <v>287741.839988004</v>
      </c>
      <c r="AF16" s="53" t="n">
        <f aca="false">IF(AF8=0,Assumptions!$E$20,MIN(Assumptions!$E$24,MAX(Assumptions!$E$21,AE72*Assumptions!$E$22)))</f>
        <v>296120.413487976</v>
      </c>
      <c r="AG16" s="53" t="n">
        <f aca="false">IF(AG8=0,Assumptions!$E$20,MIN(Assumptions!$E$24,MAX(Assumptions!$E$21,AF72*Assumptions!$E$22)))</f>
        <v>304659.554958027</v>
      </c>
      <c r="AH16" s="53" t="n">
        <f aca="false">IF(AH8=0,Assumptions!$E$20,MIN(Assumptions!$E$24,MAX(Assumptions!$E$21,AG72*Assumptions!$E$22)))</f>
        <v>313402.119721852</v>
      </c>
      <c r="AI16" s="53" t="n">
        <f aca="false">IF(AI8=0,Assumptions!$E$20,MIN(Assumptions!$E$24,MAX(Assumptions!$E$21,AH72*Assumptions!$E$22)))</f>
        <v>322392.826292802</v>
      </c>
      <c r="AJ16" s="53" t="n">
        <f aca="false">IF(AJ8=0,Assumptions!$E$20,MIN(Assumptions!$E$24,MAX(Assumptions!$E$21,AI72*Assumptions!$E$22)))</f>
        <v>331678.628887897</v>
      </c>
      <c r="AK16" s="53" t="n">
        <f aca="false">IF(AK8=0,Assumptions!$E$20,MIN(Assumptions!$E$24,MAX(Assumptions!$E$21,AJ72*Assumptions!$E$22)))</f>
        <v>341309.071386065</v>
      </c>
      <c r="AL16" s="53" t="n">
        <f aca="false">IF(AL8=0,Assumptions!$E$20,MIN(Assumptions!$E$24,MAX(Assumptions!$E$21,AK72*Assumptions!$E$22)))</f>
        <v>351336.647659203</v>
      </c>
      <c r="AM16" s="53" t="n">
        <f aca="false">SUM(C16:AL16)</f>
        <v>7307196.87852678</v>
      </c>
    </row>
    <row r="17" customFormat="false" ht="15" hidden="false" customHeight="false" outlineLevel="0" collapsed="false">
      <c r="A17" s="10" t="s">
        <v>752</v>
      </c>
      <c r="B17" s="9" t="s">
        <v>84</v>
      </c>
      <c r="C17" s="61" t="n">
        <f aca="false">(C14*Assumptions!$E$27+C15*Assumptions!$E$28)*Assumptions!$E$29*C8</f>
        <v>0</v>
      </c>
      <c r="D17" s="61" t="n">
        <f aca="false">(D14*Assumptions!$E$27+D15*Assumptions!$E$28)*Assumptions!$E$29*D8</f>
        <v>24702.496</v>
      </c>
      <c r="E17" s="61" t="n">
        <f aca="false">(E14*Assumptions!$E$27+E15*Assumptions!$E$28)*Assumptions!$E$29*E8</f>
        <v>9496.85464</v>
      </c>
      <c r="F17" s="61" t="n">
        <f aca="false">(F14*Assumptions!$E$27+F15*Assumptions!$E$28)*Assumptions!$E$29*F8</f>
        <v>8449.0361176</v>
      </c>
      <c r="G17" s="61" t="n">
        <f aca="false">(G14*Assumptions!$E$27+G15*Assumptions!$E$28)*Assumptions!$E$29*G8</f>
        <v>7614.328776184</v>
      </c>
      <c r="H17" s="61" t="n">
        <f aca="false">(H14*Assumptions!$E$27+H15*Assumptions!$E$28)*Assumptions!$E$29*H8</f>
        <v>6950.42965244056</v>
      </c>
      <c r="I17" s="61" t="n">
        <f aca="false">(I14*Assumptions!$E$27+I15*Assumptions!$E$28)*Assumptions!$E$29*I8</f>
        <v>6423.52511028021</v>
      </c>
      <c r="J17" s="61" t="n">
        <f aca="false">(J14*Assumptions!$E$27+J15*Assumptions!$E$28)*Assumptions!$E$29*J8</f>
        <v>6006.59556150143</v>
      </c>
      <c r="K17" s="61" t="n">
        <f aca="false">(K14*Assumptions!$E$27+K15*Assumptions!$E$28)*Assumptions!$E$29*K8</f>
        <v>5678.05947507336</v>
      </c>
      <c r="L17" s="61" t="n">
        <f aca="false">(L14*Assumptions!$E$27+L15*Assumptions!$E$28)*Assumptions!$E$29*L8</f>
        <v>5420.6888382594</v>
      </c>
      <c r="M17" s="61" t="n">
        <f aca="false">(M14*Assumptions!$E$27+M15*Assumptions!$E$28)*Assumptions!$E$29*M8</f>
        <v>5220.7418020463</v>
      </c>
      <c r="N17" s="61" t="n">
        <f aca="false">(N14*Assumptions!$E$27+N15*Assumptions!$E$28)*Assumptions!$E$29*N8</f>
        <v>5067.26909890531</v>
      </c>
      <c r="O17" s="61" t="n">
        <f aca="false">(O14*Assumptions!$E$27+O15*Assumptions!$E$28)*Assumptions!$E$29*O8</f>
        <v>4951.55950554666</v>
      </c>
      <c r="P17" s="61" t="n">
        <f aca="false">(P14*Assumptions!$E$27+P15*Assumptions!$E$28)*Assumptions!$E$29*P8</f>
        <v>4866.69657123776</v>
      </c>
      <c r="Q17" s="61" t="n">
        <f aca="false">(Q14*Assumptions!$E$27+Q15*Assumptions!$E$28)*Assumptions!$E$29*Q8</f>
        <v>4807.20439080267</v>
      </c>
      <c r="R17" s="61" t="n">
        <f aca="false">(R14*Assumptions!$E$27+R15*Assumptions!$E$28)*Assumptions!$E$29*R8</f>
        <v>4768.76464849773</v>
      </c>
      <c r="S17" s="61" t="n">
        <f aca="false">(S14*Assumptions!$E$27+S15*Assumptions!$E$28)*Assumptions!$E$29*S8</f>
        <v>4747.99071688078</v>
      </c>
      <c r="T17" s="61" t="n">
        <f aca="false">(T14*Assumptions!$E$27+T15*Assumptions!$E$28)*Assumptions!$E$29*T8</f>
        <v>4742.24744141465</v>
      </c>
      <c r="U17" s="61" t="n">
        <f aca="false">(U14*Assumptions!$E$27+U15*Assumptions!$E$28)*Assumptions!$E$29*U8</f>
        <v>4749.50751915365</v>
      </c>
      <c r="V17" s="61" t="n">
        <f aca="false">(V14*Assumptions!$E$27+V15*Assumptions!$E$28)*Assumptions!$E$29*V8</f>
        <v>4768.23720228682</v>
      </c>
      <c r="W17" s="61" t="n">
        <f aca="false">(W14*Assumptions!$E$27+W15*Assumptions!$E$28)*Assumptions!$E$29*W8</f>
        <v>4797.30551562011</v>
      </c>
      <c r="X17" s="61" t="n">
        <f aca="false">(X14*Assumptions!$E$27+X15*Assumptions!$E$28)*Assumptions!$E$29*X8</f>
        <v>4835.9123441279</v>
      </c>
      <c r="Y17" s="61" t="n">
        <f aca="false">(Y14*Assumptions!$E$27+Y15*Assumptions!$E$28)*Assumptions!$E$29*Y8</f>
        <v>4883.531680781</v>
      </c>
      <c r="Z17" s="61" t="n">
        <f aca="false">(Z14*Assumptions!$E$27+Z15*Assumptions!$E$28)*Assumptions!$E$29*Z8</f>
        <v>4939.86707259656</v>
      </c>
      <c r="AA17" s="61" t="n">
        <f aca="false">(AA14*Assumptions!$E$27+AA15*Assumptions!$E$28)*Assumptions!$E$29*AA8</f>
        <v>5004.81690156646</v>
      </c>
      <c r="AB17" s="61" t="n">
        <f aca="false">(AB14*Assumptions!$E$27+AB15*Assumptions!$E$28)*Assumptions!$E$29*AB8</f>
        <v>5078.44761665641</v>
      </c>
      <c r="AC17" s="61" t="n">
        <f aca="false">(AC14*Assumptions!$E$27+AC15*Assumptions!$E$28)*Assumptions!$E$29*AC8</f>
        <v>5160.97341731467</v>
      </c>
      <c r="AD17" s="61" t="n">
        <f aca="false">(AD14*Assumptions!$E$27+AD15*Assumptions!$E$28)*Assumptions!$E$29*AD8</f>
        <v>5252.74119700033</v>
      </c>
      <c r="AE17" s="61" t="n">
        <f aca="false">(AE14*Assumptions!$E$27+AE15*Assumptions!$E$28)*Assumptions!$E$29*AE8</f>
        <v>5354.21980243223</v>
      </c>
      <c r="AF17" s="61" t="n">
        <f aca="false">(AF14*Assumptions!$E$27+AF15*Assumptions!$E$28)*Assumptions!$E$29*AF8</f>
        <v>5465.99286281263</v>
      </c>
      <c r="AG17" s="61" t="n">
        <f aca="false">(AG14*Assumptions!$E$27+AG15*Assumptions!$E$28)*Assumptions!$E$29*AG8</f>
        <v>5588.75460299497</v>
      </c>
      <c r="AH17" s="61" t="n">
        <f aca="false">(AH14*Assumptions!$E$27+AH15*Assumptions!$E$28)*Assumptions!$E$29*AH8</f>
        <v>5723.30818328787</v>
      </c>
      <c r="AI17" s="61" t="n">
        <f aca="false">(AI14*Assumptions!$E$27+AI15*Assumptions!$E$28)*Assumptions!$E$29*AI8</f>
        <v>5870.56621260247</v>
      </c>
      <c r="AJ17" s="61" t="n">
        <f aca="false">(AJ14*Assumptions!$E$27+AJ15*Assumptions!$E$28)*Assumptions!$E$29*AJ8</f>
        <v>6031.55316599164</v>
      </c>
      <c r="AK17" s="61" t="n">
        <f aca="false">(AK14*Assumptions!$E$27+AK15*Assumptions!$E$28)*Assumptions!$E$29*AK8</f>
        <v>6207.40950633485</v>
      </c>
      <c r="AL17" s="61" t="n">
        <f aca="false">(AL14*Assumptions!$E$27+AL15*Assumptions!$E$28)*Assumptions!$E$29*AL8</f>
        <v>6399.39736622815</v>
      </c>
      <c r="AM17" s="61" t="n">
        <f aca="false">SUM(C17:AL17)</f>
        <v>216027.03051646</v>
      </c>
    </row>
    <row r="18" customFormat="false" ht="15" hidden="false" customHeight="false" outlineLevel="0" collapsed="false">
      <c r="A18" s="10" t="s">
        <v>753</v>
      </c>
      <c r="B18" s="9" t="s">
        <v>97</v>
      </c>
      <c r="C18" s="70" t="n">
        <f aca="false">MIN(C16,C17*Assumptions!$E$30)</f>
        <v>0</v>
      </c>
      <c r="D18" s="70" t="n">
        <f aca="false">MIN(D16,D17*Assumptions!$E$30)</f>
        <v>27172.7456</v>
      </c>
      <c r="E18" s="70" t="n">
        <f aca="false">MIN(E16,E17*Assumptions!$E$30)</f>
        <v>10446.540104</v>
      </c>
      <c r="F18" s="70" t="n">
        <f aca="false">MIN(F16,F17*Assumptions!$E$30)</f>
        <v>9293.93972936</v>
      </c>
      <c r="G18" s="70" t="n">
        <f aca="false">MIN(G16,G17*Assumptions!$E$30)</f>
        <v>8375.7616538024</v>
      </c>
      <c r="H18" s="70" t="n">
        <f aca="false">MIN(H16,H17*Assumptions!$E$30)</f>
        <v>7645.47261768462</v>
      </c>
      <c r="I18" s="70" t="n">
        <f aca="false">MIN(I16,I17*Assumptions!$E$30)</f>
        <v>7065.87762130823</v>
      </c>
      <c r="J18" s="70" t="n">
        <f aca="false">MIN(J16,J17*Assumptions!$E$30)</f>
        <v>6607.25511765157</v>
      </c>
      <c r="K18" s="70" t="n">
        <f aca="false">MIN(K16,K17*Assumptions!$E$30)</f>
        <v>6245.8654225807</v>
      </c>
      <c r="L18" s="70" t="n">
        <f aca="false">MIN(L16,L17*Assumptions!$E$30)</f>
        <v>5962.75772208534</v>
      </c>
      <c r="M18" s="70" t="n">
        <f aca="false">MIN(M16,M17*Assumptions!$E$30)</f>
        <v>5742.81598225093</v>
      </c>
      <c r="N18" s="70" t="n">
        <f aca="false">MIN(N16,N17*Assumptions!$E$30)</f>
        <v>5573.99600879584</v>
      </c>
      <c r="O18" s="70" t="n">
        <f aca="false">MIN(O16,O17*Assumptions!$E$30)</f>
        <v>5446.71545610133</v>
      </c>
      <c r="P18" s="70" t="n">
        <f aca="false">MIN(P16,P17*Assumptions!$E$30)</f>
        <v>5353.36622836153</v>
      </c>
      <c r="Q18" s="70" t="n">
        <f aca="false">MIN(Q16,Q17*Assumptions!$E$30)</f>
        <v>5287.92482988294</v>
      </c>
      <c r="R18" s="70" t="n">
        <f aca="false">MIN(R16,R17*Assumptions!$E$30)</f>
        <v>5245.6411133475</v>
      </c>
      <c r="S18" s="70" t="n">
        <f aca="false">MIN(S16,S17*Assumptions!$E$30)</f>
        <v>5222.78978856885</v>
      </c>
      <c r="T18" s="70" t="n">
        <f aca="false">MIN(T16,T17*Assumptions!$E$30)</f>
        <v>5216.47218555611</v>
      </c>
      <c r="U18" s="70" t="n">
        <f aca="false">MIN(U16,U17*Assumptions!$E$30)</f>
        <v>5224.45827106901</v>
      </c>
      <c r="V18" s="70" t="n">
        <f aca="false">MIN(V16,V17*Assumptions!$E$30)</f>
        <v>5245.0609225155</v>
      </c>
      <c r="W18" s="70" t="n">
        <f aca="false">MIN(W16,W17*Assumptions!$E$30)</f>
        <v>5277.03606718212</v>
      </c>
      <c r="X18" s="70" t="n">
        <f aca="false">MIN(X16,X17*Assumptions!$E$30)</f>
        <v>5319.50357854069</v>
      </c>
      <c r="Y18" s="70" t="n">
        <f aca="false">MIN(Y16,Y17*Assumptions!$E$30)</f>
        <v>5371.8848488591</v>
      </c>
      <c r="Z18" s="70" t="n">
        <f aca="false">MIN(Z16,Z17*Assumptions!$E$30)</f>
        <v>5433.85377985621</v>
      </c>
      <c r="AA18" s="70" t="n">
        <f aca="false">MIN(AA16,AA17*Assumptions!$E$30)</f>
        <v>5505.29859172311</v>
      </c>
      <c r="AB18" s="70" t="n">
        <f aca="false">MIN(AB16,AB17*Assumptions!$E$30)</f>
        <v>5586.29237832205</v>
      </c>
      <c r="AC18" s="70" t="n">
        <f aca="false">MIN(AC16,AC17*Assumptions!$E$30)</f>
        <v>5677.07075904613</v>
      </c>
      <c r="AD18" s="70" t="n">
        <f aca="false">MIN(AD16,AD17*Assumptions!$E$30)</f>
        <v>5778.01531670036</v>
      </c>
      <c r="AE18" s="70" t="n">
        <f aca="false">MIN(AE16,AE17*Assumptions!$E$30)</f>
        <v>5889.64178267545</v>
      </c>
      <c r="AF18" s="70" t="n">
        <f aca="false">MIN(AF16,AF17*Assumptions!$E$30)</f>
        <v>6012.59214909389</v>
      </c>
      <c r="AG18" s="70" t="n">
        <f aca="false">MIN(AG16,AG17*Assumptions!$E$30)</f>
        <v>6147.63006329446</v>
      </c>
      <c r="AH18" s="70" t="n">
        <f aca="false">MIN(AH16,AH17*Assumptions!$E$30)</f>
        <v>6295.63900161666</v>
      </c>
      <c r="AI18" s="70" t="n">
        <f aca="false">MIN(AI16,AI17*Assumptions!$E$30)</f>
        <v>6457.62283386272</v>
      </c>
      <c r="AJ18" s="70" t="n">
        <f aca="false">MIN(AJ16,AJ17*Assumptions!$E$30)</f>
        <v>6634.7084825908</v>
      </c>
      <c r="AK18" s="70" t="n">
        <f aca="false">MIN(AK16,AK17*Assumptions!$E$30)</f>
        <v>6828.15045696833</v>
      </c>
      <c r="AL18" s="70" t="n">
        <f aca="false">MIN(AL16,AL17*Assumptions!$E$30)</f>
        <v>7039.33710285097</v>
      </c>
      <c r="AM18" s="70" t="n">
        <f aca="false">SUM(C18:AL18)</f>
        <v>237629.733568105</v>
      </c>
    </row>
    <row r="19" customFormat="false" ht="15" hidden="false" customHeight="false" outlineLevel="0" collapsed="false">
      <c r="A19" s="10" t="s">
        <v>754</v>
      </c>
      <c r="B19" s="9" t="s">
        <v>84</v>
      </c>
      <c r="C19" s="61" t="n">
        <f aca="false">C18/Assumptions!$E$30</f>
        <v>0</v>
      </c>
      <c r="D19" s="61" t="n">
        <f aca="false">D18/Assumptions!$E$30</f>
        <v>24702.496</v>
      </c>
      <c r="E19" s="61" t="n">
        <f aca="false">E18/Assumptions!$E$30</f>
        <v>9496.85464</v>
      </c>
      <c r="F19" s="61" t="n">
        <f aca="false">F18/Assumptions!$E$30</f>
        <v>8449.0361176</v>
      </c>
      <c r="G19" s="61" t="n">
        <f aca="false">G18/Assumptions!$E$30</f>
        <v>7614.328776184</v>
      </c>
      <c r="H19" s="61" t="n">
        <f aca="false">H18/Assumptions!$E$30</f>
        <v>6950.42965244056</v>
      </c>
      <c r="I19" s="61" t="n">
        <f aca="false">I18/Assumptions!$E$30</f>
        <v>6423.52511028021</v>
      </c>
      <c r="J19" s="61" t="n">
        <f aca="false">J18/Assumptions!$E$30</f>
        <v>6006.59556150143</v>
      </c>
      <c r="K19" s="61" t="n">
        <f aca="false">K18/Assumptions!$E$30</f>
        <v>5678.05947507336</v>
      </c>
      <c r="L19" s="61" t="n">
        <f aca="false">L18/Assumptions!$E$30</f>
        <v>5420.6888382594</v>
      </c>
      <c r="M19" s="61" t="n">
        <f aca="false">M18/Assumptions!$E$30</f>
        <v>5220.7418020463</v>
      </c>
      <c r="N19" s="61" t="n">
        <f aca="false">N18/Assumptions!$E$30</f>
        <v>5067.26909890531</v>
      </c>
      <c r="O19" s="61" t="n">
        <f aca="false">O18/Assumptions!$E$30</f>
        <v>4951.55950554666</v>
      </c>
      <c r="P19" s="61" t="n">
        <f aca="false">P18/Assumptions!$E$30</f>
        <v>4866.69657123776</v>
      </c>
      <c r="Q19" s="61" t="n">
        <f aca="false">Q18/Assumptions!$E$30</f>
        <v>4807.20439080267</v>
      </c>
      <c r="R19" s="61" t="n">
        <f aca="false">R18/Assumptions!$E$30</f>
        <v>4768.76464849773</v>
      </c>
      <c r="S19" s="61" t="n">
        <f aca="false">S18/Assumptions!$E$30</f>
        <v>4747.99071688078</v>
      </c>
      <c r="T19" s="61" t="n">
        <f aca="false">T18/Assumptions!$E$30</f>
        <v>4742.24744141465</v>
      </c>
      <c r="U19" s="61" t="n">
        <f aca="false">U18/Assumptions!$E$30</f>
        <v>4749.50751915365</v>
      </c>
      <c r="V19" s="61" t="n">
        <f aca="false">V18/Assumptions!$E$30</f>
        <v>4768.23720228682</v>
      </c>
      <c r="W19" s="61" t="n">
        <f aca="false">W18/Assumptions!$E$30</f>
        <v>4797.30551562011</v>
      </c>
      <c r="X19" s="61" t="n">
        <f aca="false">X18/Assumptions!$E$30</f>
        <v>4835.9123441279</v>
      </c>
      <c r="Y19" s="61" t="n">
        <f aca="false">Y18/Assumptions!$E$30</f>
        <v>4883.531680781</v>
      </c>
      <c r="Z19" s="61" t="n">
        <f aca="false">Z18/Assumptions!$E$30</f>
        <v>4939.86707259656</v>
      </c>
      <c r="AA19" s="61" t="n">
        <f aca="false">AA18/Assumptions!$E$30</f>
        <v>5004.81690156646</v>
      </c>
      <c r="AB19" s="61" t="n">
        <f aca="false">AB18/Assumptions!$E$30</f>
        <v>5078.44761665641</v>
      </c>
      <c r="AC19" s="61" t="n">
        <f aca="false">AC18/Assumptions!$E$30</f>
        <v>5160.97341731467</v>
      </c>
      <c r="AD19" s="61" t="n">
        <f aca="false">AD18/Assumptions!$E$30</f>
        <v>5252.74119700033</v>
      </c>
      <c r="AE19" s="61" t="n">
        <f aca="false">AE18/Assumptions!$E$30</f>
        <v>5354.21980243223</v>
      </c>
      <c r="AF19" s="61" t="n">
        <f aca="false">AF18/Assumptions!$E$30</f>
        <v>5465.99286281263</v>
      </c>
      <c r="AG19" s="61" t="n">
        <f aca="false">AG18/Assumptions!$E$30</f>
        <v>5588.75460299497</v>
      </c>
      <c r="AH19" s="61" t="n">
        <f aca="false">AH18/Assumptions!$E$30</f>
        <v>5723.30818328787</v>
      </c>
      <c r="AI19" s="61" t="n">
        <f aca="false">AI18/Assumptions!$E$30</f>
        <v>5870.56621260247</v>
      </c>
      <c r="AJ19" s="61" t="n">
        <f aca="false">AJ18/Assumptions!$E$30</f>
        <v>6031.55316599164</v>
      </c>
      <c r="AK19" s="61" t="n">
        <f aca="false">AK18/Assumptions!$E$30</f>
        <v>6207.40950633485</v>
      </c>
      <c r="AL19" s="61" t="n">
        <f aca="false">AL18/Assumptions!$E$30</f>
        <v>6399.39736622815</v>
      </c>
      <c r="AM19" s="61" t="n">
        <f aca="false">SUM(C19:AL19)</f>
        <v>216027.03051646</v>
      </c>
    </row>
    <row r="20" customFormat="false" ht="15" hidden="false" customHeight="false" outlineLevel="0" collapsed="false">
      <c r="A20" s="10" t="s">
        <v>755</v>
      </c>
      <c r="B20" s="9" t="s">
        <v>51</v>
      </c>
      <c r="C20" s="61" t="n">
        <f aca="false">C8*(Assumptions!$E$35*C14)</f>
        <v>0</v>
      </c>
      <c r="D20" s="61" t="n">
        <f aca="false">D8*(Assumptions!$E$35*D14+Assumptions!$E$34*C29)</f>
        <v>256590.220493584</v>
      </c>
      <c r="E20" s="61" t="n">
        <f aca="false">E8*(Assumptions!$E$35*E14+Assumptions!$E$34*D29)</f>
        <v>209038.079641379</v>
      </c>
      <c r="F20" s="61" t="n">
        <f aca="false">F8*(Assumptions!$E$35*F14+Assumptions!$E$34*E29)</f>
        <v>159812.087364029</v>
      </c>
      <c r="G20" s="61" t="n">
        <f aca="false">G8*(Assumptions!$E$35*G14+Assumptions!$E$34*F29)</f>
        <v>143288.812286555</v>
      </c>
      <c r="H20" s="61" t="n">
        <f aca="false">H8*(Assumptions!$E$35*H14+Assumptions!$E$34*G29)</f>
        <v>133616.910659331</v>
      </c>
      <c r="I20" s="61" t="n">
        <f aca="false">I8*(Assumptions!$E$35*I14+Assumptions!$E$34*H29)</f>
        <v>126602.330477618</v>
      </c>
      <c r="J20" s="61" t="n">
        <f aca="false">J8*(Assumptions!$E$35*J14+Assumptions!$E$34*I29)</f>
        <v>121129.816619288</v>
      </c>
      <c r="K20" s="61" t="n">
        <f aca="false">K8*(Assumptions!$E$35*K14+Assumptions!$E$34*J29)</f>
        <v>117598.54827804</v>
      </c>
      <c r="L20" s="61" t="n">
        <f aca="false">L8*(Assumptions!$E$35*L14+Assumptions!$E$34*K29)</f>
        <v>114846.432782597</v>
      </c>
      <c r="M20" s="61" t="n">
        <f aca="false">M8*(Assumptions!$E$35*M14+Assumptions!$E$34*L29)</f>
        <v>112868.994660694</v>
      </c>
      <c r="N20" s="61" t="n">
        <f aca="false">N8*(Assumptions!$E$35*N14+Assumptions!$E$34*M29)</f>
        <v>111541.352761344</v>
      </c>
      <c r="O20" s="61" t="n">
        <f aca="false">O8*(Assumptions!$E$35*O14+Assumptions!$E$34*N29)</f>
        <v>110748.465004073</v>
      </c>
      <c r="P20" s="61" t="n">
        <f aca="false">P8*(Assumptions!$E$35*P14+Assumptions!$E$34*O29)</f>
        <v>110394.539576812</v>
      </c>
      <c r="Q20" s="61" t="n">
        <f aca="false">Q8*(Assumptions!$E$35*Q14+Assumptions!$E$34*P29)</f>
        <v>110402.212900717</v>
      </c>
      <c r="R20" s="61" t="n">
        <f aca="false">R8*(Assumptions!$E$35*R14+Assumptions!$E$34*Q29)</f>
        <v>110709.811415656</v>
      </c>
      <c r="S20" s="61" t="n">
        <f aca="false">S8*(Assumptions!$E$35*S14+Assumptions!$E$34*R29)</f>
        <v>111268.688978117</v>
      </c>
      <c r="T20" s="61" t="n">
        <f aca="false">T8*(Assumptions!$E$35*T14+Assumptions!$E$34*S29)</f>
        <v>112040.924386542</v>
      </c>
      <c r="U20" s="61" t="n">
        <f aca="false">U8*(Assumptions!$E$35*U14+Assumptions!$E$34*T29)</f>
        <v>112997.400061498</v>
      </c>
      <c r="V20" s="61" t="n">
        <f aca="false">V8*(Assumptions!$E$35*V14+Assumptions!$E$34*U29)</f>
        <v>114116.226023248</v>
      </c>
      <c r="W20" s="61" t="n">
        <f aca="false">W8*(Assumptions!$E$35*W14+Assumptions!$E$34*V29)</f>
        <v>115381.461349285</v>
      </c>
      <c r="X20" s="61" t="n">
        <f aca="false">X8*(Assumptions!$E$35*X14+Assumptions!$E$34*W29)</f>
        <v>116782.085873398</v>
      </c>
      <c r="Y20" s="61" t="n">
        <f aca="false">Y8*(Assumptions!$E$35*Y14+Assumptions!$E$34*X29)</f>
        <v>118311.179622801</v>
      </c>
      <c r="Z20" s="61" t="n">
        <f aca="false">Z8*(Assumptions!$E$35*Z14+Assumptions!$E$34*Y29)</f>
        <v>119965.273396755</v>
      </c>
      <c r="AA20" s="61" t="n">
        <f aca="false">AA8*(Assumptions!$E$35*AA14+Assumptions!$E$34*Z29)</f>
        <v>121743.839751198</v>
      </c>
      <c r="AB20" s="61" t="n">
        <f aca="false">AB8*(Assumptions!$E$35*AB14+Assumptions!$E$34*AA29)</f>
        <v>123648.898979063</v>
      </c>
      <c r="AC20" s="61" t="n">
        <f aca="false">AC8*(Assumptions!$E$35*AC14+Assumptions!$E$34*AB29)</f>
        <v>125684.719304483</v>
      </c>
      <c r="AD20" s="61" t="n">
        <f aca="false">AD8*(Assumptions!$E$35*AD14+Assumptions!$E$34*AC29)</f>
        <v>127827.600781739</v>
      </c>
      <c r="AE20" s="61" t="n">
        <f aca="false">AE8*(Assumptions!$E$35*AE14+Assumptions!$E$34*AD29)</f>
        <v>130073.373574823</v>
      </c>
      <c r="AF20" s="61" t="n">
        <f aca="false">AF8*(Assumptions!$E$35*AF14+Assumptions!$E$34*AE29)</f>
        <v>132438.840756314</v>
      </c>
      <c r="AG20" s="61" t="n">
        <f aca="false">AG8*(Assumptions!$E$35*AG14+Assumptions!$E$34*AF29)</f>
        <v>134937.096407487</v>
      </c>
      <c r="AH20" s="61" t="n">
        <f aca="false">AH8*(Assumptions!$E$35*AH14+Assumptions!$E$34*AG29)</f>
        <v>137582.018924123</v>
      </c>
      <c r="AI20" s="61" t="n">
        <f aca="false">AI8*(Assumptions!$E$35*AI14+Assumptions!$E$34*AH29)</f>
        <v>140388.812689156</v>
      </c>
      <c r="AJ20" s="61" t="n">
        <f aca="false">AJ8*(Assumptions!$E$35*AJ14+Assumptions!$E$34*AI29)</f>
        <v>143374.13625608</v>
      </c>
      <c r="AK20" s="61" t="n">
        <f aca="false">AK8*(Assumptions!$E$35*AK14+Assumptions!$E$34*AJ29)</f>
        <v>146556.178365058</v>
      </c>
      <c r="AL20" s="61" t="n">
        <f aca="false">AL8*(Assumptions!$E$35*AL14+Assumptions!$E$34*AK29)</f>
        <v>149954.74374636</v>
      </c>
      <c r="AM20" s="61" t="n">
        <f aca="false">AL20</f>
        <v>149954.74374636</v>
      </c>
    </row>
    <row r="21" customFormat="false" ht="15" hidden="false" customHeight="false" outlineLevel="0" collapsed="false">
      <c r="A21" s="10" t="s">
        <v>756</v>
      </c>
      <c r="B21" s="9" t="s">
        <v>84</v>
      </c>
      <c r="C21" s="61" t="n">
        <f aca="false">C20*Assumptions!$E$36</f>
        <v>0</v>
      </c>
      <c r="D21" s="61" t="n">
        <f aca="false">D20*Assumptions!$E$36</f>
        <v>64147.5551233959</v>
      </c>
      <c r="E21" s="61" t="n">
        <f aca="false">E20*Assumptions!$E$36</f>
        <v>52259.5199103448</v>
      </c>
      <c r="F21" s="61" t="n">
        <f aca="false">F20*Assumptions!$E$36</f>
        <v>39953.0218410073</v>
      </c>
      <c r="G21" s="61" t="n">
        <f aca="false">G20*Assumptions!$E$36</f>
        <v>35822.2030716388</v>
      </c>
      <c r="H21" s="61" t="n">
        <f aca="false">H20*Assumptions!$E$36</f>
        <v>33404.2276648327</v>
      </c>
      <c r="I21" s="61" t="n">
        <f aca="false">I20*Assumptions!$E$36</f>
        <v>31650.5826194045</v>
      </c>
      <c r="J21" s="61" t="n">
        <f aca="false">J20*Assumptions!$E$36</f>
        <v>30282.4541548221</v>
      </c>
      <c r="K21" s="61" t="n">
        <f aca="false">K20*Assumptions!$E$36</f>
        <v>29399.63706951</v>
      </c>
      <c r="L21" s="61" t="n">
        <f aca="false">L20*Assumptions!$E$36</f>
        <v>28711.6081956492</v>
      </c>
      <c r="M21" s="61" t="n">
        <f aca="false">M20*Assumptions!$E$36</f>
        <v>28217.2486651735</v>
      </c>
      <c r="N21" s="61" t="n">
        <f aca="false">N20*Assumptions!$E$36</f>
        <v>27885.3381903359</v>
      </c>
      <c r="O21" s="61" t="n">
        <f aca="false">O20*Assumptions!$E$36</f>
        <v>27687.1162510184</v>
      </c>
      <c r="P21" s="61" t="n">
        <f aca="false">P20*Assumptions!$E$36</f>
        <v>27598.6348942031</v>
      </c>
      <c r="Q21" s="61" t="n">
        <f aca="false">Q20*Assumptions!$E$36</f>
        <v>27600.5532251792</v>
      </c>
      <c r="R21" s="61" t="n">
        <f aca="false">R20*Assumptions!$E$36</f>
        <v>27677.4528539141</v>
      </c>
      <c r="S21" s="61" t="n">
        <f aca="false">S20*Assumptions!$E$36</f>
        <v>27817.1722445292</v>
      </c>
      <c r="T21" s="61" t="n">
        <f aca="false">T20*Assumptions!$E$36</f>
        <v>28010.2310966355</v>
      </c>
      <c r="U21" s="61" t="n">
        <f aca="false">U20*Assumptions!$E$36</f>
        <v>28249.3500153746</v>
      </c>
      <c r="V21" s="61" t="n">
        <f aca="false">V20*Assumptions!$E$36</f>
        <v>28529.0565058119</v>
      </c>
      <c r="W21" s="61" t="n">
        <f aca="false">W20*Assumptions!$E$36</f>
        <v>28845.3653373213</v>
      </c>
      <c r="X21" s="61" t="n">
        <f aca="false">X20*Assumptions!$E$36</f>
        <v>29195.5214683495</v>
      </c>
      <c r="Y21" s="61" t="n">
        <f aca="false">Y20*Assumptions!$E$36</f>
        <v>29577.7949057002</v>
      </c>
      <c r="Z21" s="61" t="n">
        <f aca="false">Z20*Assumptions!$E$36</f>
        <v>29991.3183491888</v>
      </c>
      <c r="AA21" s="61" t="n">
        <f aca="false">AA20*Assumptions!$E$36</f>
        <v>30435.9599377995</v>
      </c>
      <c r="AB21" s="61" t="n">
        <f aca="false">AB20*Assumptions!$E$36</f>
        <v>30912.2247447657</v>
      </c>
      <c r="AC21" s="61" t="n">
        <f aca="false">AC20*Assumptions!$E$36</f>
        <v>31421.1798261207</v>
      </c>
      <c r="AD21" s="61" t="n">
        <f aca="false">AD20*Assumptions!$E$36</f>
        <v>31956.9001954348</v>
      </c>
      <c r="AE21" s="61" t="n">
        <f aca="false">AE20*Assumptions!$E$36</f>
        <v>32518.3433937058</v>
      </c>
      <c r="AF21" s="61" t="n">
        <f aca="false">AF20*Assumptions!$E$36</f>
        <v>33109.7101890786</v>
      </c>
      <c r="AG21" s="61" t="n">
        <f aca="false">AG20*Assumptions!$E$36</f>
        <v>33734.2741018718</v>
      </c>
      <c r="AH21" s="61" t="n">
        <f aca="false">AH20*Assumptions!$E$36</f>
        <v>34395.5047310307</v>
      </c>
      <c r="AI21" s="61" t="n">
        <f aca="false">AI20*Assumptions!$E$36</f>
        <v>35097.203172289</v>
      </c>
      <c r="AJ21" s="61" t="n">
        <f aca="false">AJ20*Assumptions!$E$36</f>
        <v>35843.5340640201</v>
      </c>
      <c r="AK21" s="61" t="n">
        <f aca="false">AK20*Assumptions!$E$36</f>
        <v>36639.0445912646</v>
      </c>
      <c r="AL21" s="61" t="n">
        <f aca="false">AL20*Assumptions!$E$36</f>
        <v>37488.6859365901</v>
      </c>
      <c r="AM21" s="61" t="n">
        <f aca="false">SUM(C21:AL21)</f>
        <v>1146065.52853731</v>
      </c>
    </row>
    <row r="22" customFormat="false" ht="15" hidden="false" customHeight="false" outlineLevel="0" collapsed="false">
      <c r="A22" s="10" t="s">
        <v>757</v>
      </c>
      <c r="B22" s="9" t="s">
        <v>97</v>
      </c>
      <c r="C22" s="70" t="n">
        <f aca="false">MIN(MAX(0,C16-C18),C21*Assumptions!$E$37)</f>
        <v>0</v>
      </c>
      <c r="D22" s="70" t="n">
        <f aca="false">MIN(MAX(0,D16-D18),D21*Assumptions!$E$37)</f>
        <v>2827.2544</v>
      </c>
      <c r="E22" s="70" t="n">
        <f aca="false">MIN(MAX(0,E16-E18),E21*Assumptions!$E$37)</f>
        <v>75776.30387</v>
      </c>
      <c r="F22" s="70" t="n">
        <f aca="false">MIN(MAX(0,F16-F18),F21*Assumptions!$E$37)</f>
        <v>57931.8816694606</v>
      </c>
      <c r="G22" s="70" t="n">
        <f aca="false">MIN(MAX(0,G16-G18),G21*Assumptions!$E$37)</f>
        <v>51942.1944538763</v>
      </c>
      <c r="H22" s="70" t="n">
        <f aca="false">MIN(MAX(0,H16-H18),H21*Assumptions!$E$37)</f>
        <v>48436.1301140075</v>
      </c>
      <c r="I22" s="70" t="n">
        <f aca="false">MIN(MAX(0,I16-I18),I21*Assumptions!$E$37)</f>
        <v>45893.3447981366</v>
      </c>
      <c r="J22" s="70" t="n">
        <f aca="false">MIN(MAX(0,J16-J18),J21*Assumptions!$E$37)</f>
        <v>43909.5585244921</v>
      </c>
      <c r="K22" s="70" t="n">
        <f aca="false">MIN(MAX(0,K16-K18),K21*Assumptions!$E$37)</f>
        <v>42629.4737507896</v>
      </c>
      <c r="L22" s="70" t="n">
        <f aca="false">MIN(MAX(0,L16-L18),L21*Assumptions!$E$37)</f>
        <v>41631.8318836913</v>
      </c>
      <c r="M22" s="70" t="n">
        <f aca="false">MIN(MAX(0,M16-M18),M21*Assumptions!$E$37)</f>
        <v>40915.0105645016</v>
      </c>
      <c r="N22" s="70" t="n">
        <f aca="false">MIN(MAX(0,N16-N18),N21*Assumptions!$E$37)</f>
        <v>40433.7403759871</v>
      </c>
      <c r="O22" s="70" t="n">
        <f aca="false">MIN(MAX(0,O16-O18),O21*Assumptions!$E$37)</f>
        <v>40146.3185639766</v>
      </c>
      <c r="P22" s="70" t="n">
        <f aca="false">MIN(MAX(0,P16-P18),P21*Assumptions!$E$37)</f>
        <v>40018.0205965945</v>
      </c>
      <c r="Q22" s="70" t="n">
        <f aca="false">MIN(MAX(0,Q16-Q18),Q21*Assumptions!$E$37)</f>
        <v>40020.8021765099</v>
      </c>
      <c r="R22" s="70" t="n">
        <f aca="false">MIN(MAX(0,R16-R18),R21*Assumptions!$E$37)</f>
        <v>40132.3066381754</v>
      </c>
      <c r="S22" s="70" t="n">
        <f aca="false">MIN(MAX(0,S16-S18),S21*Assumptions!$E$37)</f>
        <v>40334.8997545673</v>
      </c>
      <c r="T22" s="70" t="n">
        <f aca="false">MIN(MAX(0,T16-T18),T21*Assumptions!$E$37)</f>
        <v>40614.8350901215</v>
      </c>
      <c r="U22" s="70" t="n">
        <f aca="false">MIN(MAX(0,U16-U18),U21*Assumptions!$E$37)</f>
        <v>40961.5575222932</v>
      </c>
      <c r="V22" s="70" t="n">
        <f aca="false">MIN(MAX(0,V16-V18),V21*Assumptions!$E$37)</f>
        <v>41367.1319334273</v>
      </c>
      <c r="W22" s="70" t="n">
        <f aca="false">MIN(MAX(0,W16-W18),W21*Assumptions!$E$37)</f>
        <v>41825.7797391159</v>
      </c>
      <c r="X22" s="70" t="n">
        <f aca="false">MIN(MAX(0,X16-X18),X21*Assumptions!$E$37)</f>
        <v>42333.5061291067</v>
      </c>
      <c r="Y22" s="70" t="n">
        <f aca="false">MIN(MAX(0,Y16-Y18),Y21*Assumptions!$E$37)</f>
        <v>42887.8026132653</v>
      </c>
      <c r="Z22" s="70" t="n">
        <f aca="false">MIN(MAX(0,Z16-Z18),Z21*Assumptions!$E$37)</f>
        <v>43487.4116063237</v>
      </c>
      <c r="AA22" s="70" t="n">
        <f aca="false">MIN(MAX(0,AA16-AA18),AA21*Assumptions!$E$37)</f>
        <v>44132.1419098093</v>
      </c>
      <c r="AB22" s="70" t="n">
        <f aca="false">MIN(MAX(0,AB16-AB18),AB21*Assumptions!$E$37)</f>
        <v>44822.7258799103</v>
      </c>
      <c r="AC22" s="70" t="n">
        <f aca="false">MIN(MAX(0,AC16-AC18),AC21*Assumptions!$E$37)</f>
        <v>45560.710747875</v>
      </c>
      <c r="AD22" s="70" t="n">
        <f aca="false">MIN(MAX(0,AD16-AD18),AD21*Assumptions!$E$37)</f>
        <v>46337.5052833804</v>
      </c>
      <c r="AE22" s="70" t="n">
        <f aca="false">MIN(MAX(0,AE16-AE18),AE21*Assumptions!$E$37)</f>
        <v>47151.5979208734</v>
      </c>
      <c r="AF22" s="70" t="n">
        <f aca="false">MIN(MAX(0,AF16-AF18),AF21*Assumptions!$E$37)</f>
        <v>48009.079774164</v>
      </c>
      <c r="AG22" s="70" t="n">
        <f aca="false">MIN(MAX(0,AG16-AG18),AG21*Assumptions!$E$37)</f>
        <v>48914.6974477141</v>
      </c>
      <c r="AH22" s="70" t="n">
        <f aca="false">MIN(MAX(0,AH16-AH18),AH21*Assumptions!$E$37)</f>
        <v>49873.4818599945</v>
      </c>
      <c r="AI22" s="70" t="n">
        <f aca="false">MIN(MAX(0,AI16-AI18),AI21*Assumptions!$E$37)</f>
        <v>50890.944599819</v>
      </c>
      <c r="AJ22" s="70" t="n">
        <f aca="false">MIN(MAX(0,AJ16-AJ18),AJ21*Assumptions!$E$37)</f>
        <v>51973.1243928291</v>
      </c>
      <c r="AK22" s="70" t="n">
        <f aca="false">MIN(MAX(0,AK16-AK18),AK21*Assumptions!$E$37)</f>
        <v>53126.6146573336</v>
      </c>
      <c r="AL22" s="70" t="n">
        <f aca="false">MIN(MAX(0,AL16-AL18),AL21*Assumptions!$E$37)</f>
        <v>54358.5946080556</v>
      </c>
      <c r="AM22" s="70" t="n">
        <f aca="false">SUM(C22:AL22)</f>
        <v>1571608.31585018</v>
      </c>
    </row>
    <row r="23" customFormat="false" ht="15" hidden="false" customHeight="false" outlineLevel="0" collapsed="false">
      <c r="A23" s="10" t="s">
        <v>758</v>
      </c>
      <c r="B23" s="9" t="s">
        <v>84</v>
      </c>
      <c r="C23" s="61" t="n">
        <f aca="false">C22/Assumptions!$E$37</f>
        <v>0</v>
      </c>
      <c r="D23" s="61" t="n">
        <f aca="false">D22/Assumptions!$E$37</f>
        <v>1949.83062068966</v>
      </c>
      <c r="E23" s="61" t="n">
        <f aca="false">E22/Assumptions!$E$37</f>
        <v>52259.5199103448</v>
      </c>
      <c r="F23" s="61" t="n">
        <f aca="false">F22/Assumptions!$E$37</f>
        <v>39953.0218410073</v>
      </c>
      <c r="G23" s="61" t="n">
        <f aca="false">G22/Assumptions!$E$37</f>
        <v>35822.2030716388</v>
      </c>
      <c r="H23" s="61" t="n">
        <f aca="false">H22/Assumptions!$E$37</f>
        <v>33404.2276648327</v>
      </c>
      <c r="I23" s="61" t="n">
        <f aca="false">I22/Assumptions!$E$37</f>
        <v>31650.5826194045</v>
      </c>
      <c r="J23" s="61" t="n">
        <f aca="false">J22/Assumptions!$E$37</f>
        <v>30282.4541548221</v>
      </c>
      <c r="K23" s="61" t="n">
        <f aca="false">K22/Assumptions!$E$37</f>
        <v>29399.63706951</v>
      </c>
      <c r="L23" s="61" t="n">
        <f aca="false">L22/Assumptions!$E$37</f>
        <v>28711.6081956492</v>
      </c>
      <c r="M23" s="61" t="n">
        <f aca="false">M22/Assumptions!$E$37</f>
        <v>28217.2486651735</v>
      </c>
      <c r="N23" s="61" t="n">
        <f aca="false">N22/Assumptions!$E$37</f>
        <v>27885.3381903359</v>
      </c>
      <c r="O23" s="61" t="n">
        <f aca="false">O22/Assumptions!$E$37</f>
        <v>27687.1162510184</v>
      </c>
      <c r="P23" s="61" t="n">
        <f aca="false">P22/Assumptions!$E$37</f>
        <v>27598.6348942031</v>
      </c>
      <c r="Q23" s="61" t="n">
        <f aca="false">Q22/Assumptions!$E$37</f>
        <v>27600.5532251792</v>
      </c>
      <c r="R23" s="61" t="n">
        <f aca="false">R22/Assumptions!$E$37</f>
        <v>27677.4528539141</v>
      </c>
      <c r="S23" s="61" t="n">
        <f aca="false">S22/Assumptions!$E$37</f>
        <v>27817.1722445292</v>
      </c>
      <c r="T23" s="61" t="n">
        <f aca="false">T22/Assumptions!$E$37</f>
        <v>28010.2310966355</v>
      </c>
      <c r="U23" s="61" t="n">
        <f aca="false">U22/Assumptions!$E$37</f>
        <v>28249.3500153746</v>
      </c>
      <c r="V23" s="61" t="n">
        <f aca="false">V22/Assumptions!$E$37</f>
        <v>28529.0565058119</v>
      </c>
      <c r="W23" s="61" t="n">
        <f aca="false">W22/Assumptions!$E$37</f>
        <v>28845.3653373213</v>
      </c>
      <c r="X23" s="61" t="n">
        <f aca="false">X22/Assumptions!$E$37</f>
        <v>29195.5214683495</v>
      </c>
      <c r="Y23" s="61" t="n">
        <f aca="false">Y22/Assumptions!$E$37</f>
        <v>29577.7949057002</v>
      </c>
      <c r="Z23" s="61" t="n">
        <f aca="false">Z22/Assumptions!$E$37</f>
        <v>29991.3183491888</v>
      </c>
      <c r="AA23" s="61" t="n">
        <f aca="false">AA22/Assumptions!$E$37</f>
        <v>30435.9599377995</v>
      </c>
      <c r="AB23" s="61" t="n">
        <f aca="false">AB22/Assumptions!$E$37</f>
        <v>30912.2247447657</v>
      </c>
      <c r="AC23" s="61" t="n">
        <f aca="false">AC22/Assumptions!$E$37</f>
        <v>31421.1798261207</v>
      </c>
      <c r="AD23" s="61" t="n">
        <f aca="false">AD22/Assumptions!$E$37</f>
        <v>31956.9001954348</v>
      </c>
      <c r="AE23" s="61" t="n">
        <f aca="false">AE22/Assumptions!$E$37</f>
        <v>32518.3433937058</v>
      </c>
      <c r="AF23" s="61" t="n">
        <f aca="false">AF22/Assumptions!$E$37</f>
        <v>33109.7101890786</v>
      </c>
      <c r="AG23" s="61" t="n">
        <f aca="false">AG22/Assumptions!$E$37</f>
        <v>33734.2741018718</v>
      </c>
      <c r="AH23" s="61" t="n">
        <f aca="false">AH22/Assumptions!$E$37</f>
        <v>34395.5047310307</v>
      </c>
      <c r="AI23" s="61" t="n">
        <f aca="false">AI22/Assumptions!$E$37</f>
        <v>35097.203172289</v>
      </c>
      <c r="AJ23" s="61" t="n">
        <f aca="false">AJ22/Assumptions!$E$37</f>
        <v>35843.5340640201</v>
      </c>
      <c r="AK23" s="61" t="n">
        <f aca="false">AK22/Assumptions!$E$37</f>
        <v>36639.0445912646</v>
      </c>
      <c r="AL23" s="61" t="n">
        <f aca="false">AL22/Assumptions!$E$37</f>
        <v>37488.6859365901</v>
      </c>
      <c r="AM23" s="61" t="n">
        <f aca="false">SUM(C23:AL23)</f>
        <v>1083867.80403461</v>
      </c>
    </row>
    <row r="24" customFormat="false" ht="15" hidden="false" customHeight="false" outlineLevel="0" collapsed="false">
      <c r="A24" s="10" t="s">
        <v>759</v>
      </c>
      <c r="B24" s="9" t="s">
        <v>97</v>
      </c>
      <c r="C24" s="70" t="n">
        <f aca="false">MAX(0,C16-C18-C22)</f>
        <v>8000</v>
      </c>
      <c r="D24" s="70" t="n">
        <f aca="false">MAX(0,D16-D18-D22)</f>
        <v>0</v>
      </c>
      <c r="E24" s="70" t="n">
        <f aca="false">MAX(0,E16-E18-E22)</f>
        <v>4932.75347190953</v>
      </c>
      <c r="F24" s="70" t="n">
        <f aca="false">MAX(0,F16-F18-F22)</f>
        <v>17474.1659185018</v>
      </c>
      <c r="G24" s="70" t="n">
        <f aca="false">MAX(0,G16-G18-G22)</f>
        <v>31543.1626543502</v>
      </c>
      <c r="H24" s="70" t="n">
        <f aca="false">MAX(0,H16-H18-H22)</f>
        <v>45169.9532402629</v>
      </c>
      <c r="I24" s="70" t="n">
        <f aca="false">MAX(0,I16-I18-I22)</f>
        <v>56885.2828753179</v>
      </c>
      <c r="J24" s="70" t="n">
        <f aca="false">MAX(0,J16-J18-J22)</f>
        <v>71193.5057362723</v>
      </c>
      <c r="K24" s="70" t="n">
        <f aca="false">MAX(0,K16-K18-K22)</f>
        <v>82617.3233829016</v>
      </c>
      <c r="L24" s="70" t="n">
        <f aca="false">MAX(0,L16-L18-L22)</f>
        <v>93015.4260860989</v>
      </c>
      <c r="M24" s="70" t="n">
        <f aca="false">MAX(0,M16-M18-M22)</f>
        <v>102557.916339711</v>
      </c>
      <c r="N24" s="70" t="n">
        <f aca="false">MAX(0,N16-N18-N22)</f>
        <v>111414.794278029</v>
      </c>
      <c r="O24" s="70" t="n">
        <f aca="false">MAX(0,O16-O18-O22)</f>
        <v>119724.388651313</v>
      </c>
      <c r="P24" s="70" t="n">
        <f aca="false">MAX(0,P16-P18-P22)</f>
        <v>127601.835527063</v>
      </c>
      <c r="Q24" s="70" t="n">
        <f aca="false">MAX(0,Q16-Q18-Q22)</f>
        <v>135143.15108075</v>
      </c>
      <c r="R24" s="70" t="n">
        <f aca="false">MAX(0,R16-R18-R22)</f>
        <v>142428.859457977</v>
      </c>
      <c r="S24" s="70" t="n">
        <f aca="false">MAX(0,S16-S18-S22)</f>
        <v>149527.041676834</v>
      </c>
      <c r="T24" s="70" t="n">
        <f aca="false">MAX(0,T16-T18-T22)</f>
        <v>156495.878902223</v>
      </c>
      <c r="U24" s="70" t="n">
        <f aca="false">MAX(0,U16-U18-U22)</f>
        <v>163385.764851441</v>
      </c>
      <c r="V24" s="70" t="n">
        <f aca="false">MAX(0,V16-V18-V22)</f>
        <v>170241.058888886</v>
      </c>
      <c r="W24" s="70" t="n">
        <f aca="false">MAX(0,W16-W18-W22)</f>
        <v>177101.543461132</v>
      </c>
      <c r="X24" s="70" t="n">
        <f aca="false">MAX(0,X16-X18-X22)</f>
        <v>184003.640719585</v>
      </c>
      <c r="Y24" s="70" t="n">
        <f aca="false">MAX(0,Y16-Y18-Y22)</f>
        <v>190981.434762585</v>
      </c>
      <c r="Z24" s="70" t="n">
        <f aca="false">MAX(0,Z16-Z18-Z22)</f>
        <v>198067.538404621</v>
      </c>
      <c r="AA24" s="70" t="n">
        <f aca="false">MAX(0,AA16-AA18-AA22)</f>
        <v>205293.836889965</v>
      </c>
      <c r="AB24" s="70" t="n">
        <f aca="false">MAX(0,AB16-AB18-AB22)</f>
        <v>212692.135491004</v>
      </c>
      <c r="AC24" s="70" t="n">
        <f aca="false">MAX(0,AC16-AC18-AC22)</f>
        <v>220062.105016923</v>
      </c>
      <c r="AD24" s="70" t="n">
        <f aca="false">MAX(0,AD16-AD18-AD22)</f>
        <v>227366.686094752</v>
      </c>
      <c r="AE24" s="70" t="n">
        <f aca="false">MAX(0,AE16-AE18-AE22)</f>
        <v>234700.600284455</v>
      </c>
      <c r="AF24" s="70" t="n">
        <f aca="false">MAX(0,AF16-AF18-AF22)</f>
        <v>242098.741564718</v>
      </c>
      <c r="AG24" s="70" t="n">
        <f aca="false">MAX(0,AG16-AG18-AG22)</f>
        <v>249597.227447019</v>
      </c>
      <c r="AH24" s="70" t="n">
        <f aca="false">MAX(0,AH16-AH18-AH22)</f>
        <v>257232.998860241</v>
      </c>
      <c r="AI24" s="70" t="n">
        <f aca="false">MAX(0,AI16-AI18-AI22)</f>
        <v>265044.25885912</v>
      </c>
      <c r="AJ24" s="70" t="n">
        <f aca="false">MAX(0,AJ16-AJ18-AJ22)</f>
        <v>273070.796012477</v>
      </c>
      <c r="AK24" s="70" t="n">
        <f aca="false">MAX(0,AK16-AK18-AK22)</f>
        <v>281354.306271764</v>
      </c>
      <c r="AL24" s="70" t="n">
        <f aca="false">MAX(0,AL16-AL18-AL22)</f>
        <v>289938.715948296</v>
      </c>
      <c r="AM24" s="70" t="n">
        <f aca="false">SUM(C24:AL24)</f>
        <v>5497958.8291085</v>
      </c>
    </row>
    <row r="25" customFormat="false" ht="15" hidden="false" customHeight="false" outlineLevel="0" collapsed="false">
      <c r="A25" s="10" t="s">
        <v>760</v>
      </c>
      <c r="B25" s="9" t="s">
        <v>84</v>
      </c>
      <c r="C25" s="61" t="n">
        <f aca="false">(Assumptions!$E$21/(Assumptions!$E$41*Assumptions!$E$42))*(C24/Assumptions!$E$21)^Assumptions!$E$25</f>
        <v>6000.40089742459</v>
      </c>
      <c r="D25" s="61" t="n">
        <f aca="false">(Assumptions!$E$21/(Assumptions!$E$41*Assumptions!$E$42))*(D24/Assumptions!$E$21)^Assumptions!$E$25</f>
        <v>0</v>
      </c>
      <c r="E25" s="61" t="n">
        <f aca="false">(Assumptions!$E$21/(Assumptions!$E$41*Assumptions!$E$42))*(E24/Assumptions!$E$21)^Assumptions!$E$25</f>
        <v>4195.4624751629</v>
      </c>
      <c r="F25" s="61" t="n">
        <f aca="false">(Assumptions!$E$21/(Assumptions!$E$41*Assumptions!$E$42))*(F24/Assumptions!$E$21)^Assumptions!$E$25</f>
        <v>10697.124580584</v>
      </c>
      <c r="G25" s="61" t="n">
        <f aca="false">(Assumptions!$E$21/(Assumptions!$E$41*Assumptions!$E$42))*(G24/Assumptions!$E$21)^Assumptions!$E$25</f>
        <v>16560.885372597</v>
      </c>
      <c r="H25" s="61" t="n">
        <f aca="false">(Assumptions!$E$21/(Assumptions!$E$41*Assumptions!$E$42))*(H24/Assumptions!$E$21)^Assumptions!$E$25</f>
        <v>21601.4254830705</v>
      </c>
      <c r="I25" s="61" t="n">
        <f aca="false">(Assumptions!$E$21/(Assumptions!$E$41*Assumptions!$E$42))*(I24/Assumptions!$E$21)^Assumptions!$E$25</f>
        <v>25620.8550404441</v>
      </c>
      <c r="J25" s="61" t="n">
        <f aca="false">(Assumptions!$E$21/(Assumptions!$E$41*Assumptions!$E$42))*(J24/Assumptions!$E$21)^Assumptions!$E$25</f>
        <v>30248.2015065345</v>
      </c>
      <c r="K25" s="61" t="n">
        <f aca="false">(Assumptions!$E$21/(Assumptions!$E$41*Assumptions!$E$42))*(K24/Assumptions!$E$21)^Assumptions!$E$25</f>
        <v>33769.6303112851</v>
      </c>
      <c r="L25" s="61" t="n">
        <f aca="false">(Assumptions!$E$21/(Assumptions!$E$41*Assumptions!$E$42))*(L24/Assumptions!$E$21)^Assumptions!$E$25</f>
        <v>36865.8593665089</v>
      </c>
      <c r="M25" s="61" t="n">
        <f aca="false">(Assumptions!$E$21/(Assumptions!$E$41*Assumptions!$E$42))*(M24/Assumptions!$E$21)^Assumptions!$E$25</f>
        <v>39628.7958913544</v>
      </c>
      <c r="N25" s="61" t="n">
        <f aca="false">(Assumptions!$E$21/(Assumptions!$E$41*Assumptions!$E$42))*(N24/Assumptions!$E$21)^Assumptions!$E$25</f>
        <v>42133.8743095894</v>
      </c>
      <c r="O25" s="61" t="n">
        <f aca="false">(Assumptions!$E$21/(Assumptions!$E$41*Assumptions!$E$42))*(O24/Assumptions!$E$21)^Assumptions!$E$25</f>
        <v>44437.4185187393</v>
      </c>
      <c r="P25" s="61" t="n">
        <f aca="false">(Assumptions!$E$21/(Assumptions!$E$41*Assumptions!$E$42))*(P24/Assumptions!$E$21)^Assumptions!$E$25</f>
        <v>46583.0369863289</v>
      </c>
      <c r="Q25" s="61" t="n">
        <f aca="false">(Assumptions!$E$21/(Assumptions!$E$41*Assumptions!$E$42))*(Q24/Assumptions!$E$21)^Assumptions!$E$25</f>
        <v>48605.0357939459</v>
      </c>
      <c r="R25" s="61" t="n">
        <f aca="false">(Assumptions!$E$21/(Assumptions!$E$41*Assumptions!$E$42))*(R24/Assumptions!$E$21)^Assumptions!$E$25</f>
        <v>50530.8023741386</v>
      </c>
      <c r="S25" s="61" t="n">
        <f aca="false">(Assumptions!$E$21/(Assumptions!$E$41*Assumptions!$E$42))*(S24/Assumptions!$E$21)^Assumptions!$E$25</f>
        <v>52382.5076833655</v>
      </c>
      <c r="T25" s="61" t="n">
        <f aca="false">(Assumptions!$E$21/(Assumptions!$E$41*Assumptions!$E$42))*(T24/Assumptions!$E$21)^Assumptions!$E$25</f>
        <v>54178.3565570449</v>
      </c>
      <c r="U25" s="61" t="n">
        <f aca="false">(Assumptions!$E$21/(Assumptions!$E$41*Assumptions!$E$42))*(U24/Assumptions!$E$21)^Assumptions!$E$25</f>
        <v>55933.525833103</v>
      </c>
      <c r="V25" s="61" t="n">
        <f aca="false">(Assumptions!$E$21/(Assumptions!$E$41*Assumptions!$E$42))*(V24/Assumptions!$E$21)^Assumptions!$E$25</f>
        <v>57660.8802155722</v>
      </c>
      <c r="W25" s="61" t="n">
        <f aca="false">(Assumptions!$E$21/(Assumptions!$E$41*Assumptions!$E$42))*(W24/Assumptions!$E$21)^Assumptions!$E$25</f>
        <v>59371.5262126234</v>
      </c>
      <c r="X25" s="61" t="n">
        <f aca="false">(Assumptions!$E$21/(Assumptions!$E$41*Assumptions!$E$42))*(X24/Assumptions!$E$21)^Assumptions!$E$25</f>
        <v>61075.2459957365</v>
      </c>
      <c r="Y25" s="61" t="n">
        <f aca="false">(Assumptions!$E$21/(Assumptions!$E$41*Assumptions!$E$42))*(Y24/Assumptions!$E$21)^Assumptions!$E$25</f>
        <v>62780.8410121696</v>
      </c>
      <c r="Z25" s="61" t="n">
        <f aca="false">(Assumptions!$E$21/(Assumptions!$E$41*Assumptions!$E$42))*(Z24/Assumptions!$E$21)^Assumptions!$E$25</f>
        <v>64496.4070967445</v>
      </c>
      <c r="AA25" s="61" t="n">
        <f aca="false">(Assumptions!$E$21/(Assumptions!$E$41*Assumptions!$E$42))*(AA24/Assumptions!$E$21)^Assumptions!$E$25</f>
        <v>66229.5572223938</v>
      </c>
      <c r="AB25" s="61" t="n">
        <f aca="false">(Assumptions!$E$21/(Assumptions!$E$41*Assumptions!$E$42))*(AB24/Assumptions!$E$21)^Assumptions!$E$25</f>
        <v>67987.6040429611</v>
      </c>
      <c r="AC25" s="61" t="n">
        <f aca="false">(Assumptions!$E$21/(Assumptions!$E$41*Assumptions!$E$42))*(AC24/Assumptions!$E$21)^Assumptions!$E$25</f>
        <v>69723.177579012</v>
      </c>
      <c r="AD25" s="61" t="n">
        <f aca="false">(Assumptions!$E$21/(Assumptions!$E$41*Assumptions!$E$42))*(AD24/Assumptions!$E$21)^Assumptions!$E$25</f>
        <v>71428.500420723</v>
      </c>
      <c r="AE25" s="61" t="n">
        <f aca="false">(Assumptions!$E$21/(Assumptions!$E$41*Assumptions!$E$42))*(AE24/Assumptions!$E$21)^Assumptions!$E$25</f>
        <v>73126.3985746027</v>
      </c>
      <c r="AF25" s="61" t="n">
        <f aca="false">(Assumptions!$E$21/(Assumptions!$E$41*Assumptions!$E$42))*(AF24/Assumptions!$E$21)^Assumptions!$E$25</f>
        <v>74825.2455342776</v>
      </c>
      <c r="AG25" s="61" t="n">
        <f aca="false">(Assumptions!$E$21/(Assumptions!$E$41*Assumptions!$E$42))*(AG24/Assumptions!$E$21)^Assumptions!$E$25</f>
        <v>76533.4158106855</v>
      </c>
      <c r="AH25" s="61" t="n">
        <f aca="false">(Assumptions!$E$21/(Assumptions!$E$41*Assumptions!$E$42))*(AH24/Assumptions!$E$21)^Assumptions!$E$25</f>
        <v>78259.2030163768</v>
      </c>
      <c r="AI25" s="61" t="n">
        <f aca="false">(Assumptions!$E$21/(Assumptions!$E$41*Assumptions!$E$42))*(AI24/Assumptions!$E$21)^Assumptions!$E$25</f>
        <v>80010.9254982171</v>
      </c>
      <c r="AJ25" s="61" t="n">
        <f aca="false">(Assumptions!$E$21/(Assumptions!$E$41*Assumptions!$E$42))*(AJ24/Assumptions!$E$21)^Assumptions!$E$25</f>
        <v>81796.9982911525</v>
      </c>
      <c r="AK25" s="61" t="n">
        <f aca="false">(Assumptions!$E$21/(Assumptions!$E$41*Assumptions!$E$42))*(AK24/Assumptions!$E$21)^Assumptions!$E$25</f>
        <v>83625.9984933345</v>
      </c>
      <c r="AL25" s="61" t="n">
        <f aca="false">(Assumptions!$E$21/(Assumptions!$E$41*Assumptions!$E$42))*(AL24/Assumptions!$E$21)^Assumptions!$E$25</f>
        <v>85506.7250902757</v>
      </c>
      <c r="AM25" s="61" t="n">
        <f aca="false">SUM(C25:AL25)</f>
        <v>1834411.84908808</v>
      </c>
    </row>
    <row r="26" customFormat="false" ht="15" hidden="false" customHeight="false" outlineLevel="0" collapsed="false">
      <c r="A26" s="37" t="s">
        <v>761</v>
      </c>
      <c r="B26" s="9" t="s">
        <v>97</v>
      </c>
      <c r="C26" s="53" t="n">
        <f aca="false">C18+C22+C24</f>
        <v>8000</v>
      </c>
      <c r="D26" s="53" t="n">
        <f aca="false">D18+D22+D24</f>
        <v>30000</v>
      </c>
      <c r="E26" s="53" t="n">
        <f aca="false">E18+E22+E24</f>
        <v>91155.5974459095</v>
      </c>
      <c r="F26" s="53" t="n">
        <f aca="false">F18+F22+F24</f>
        <v>84699.9873173224</v>
      </c>
      <c r="G26" s="53" t="n">
        <f aca="false">G18+G22+G24</f>
        <v>91861.1187620288</v>
      </c>
      <c r="H26" s="53" t="n">
        <f aca="false">H18+H22+H24</f>
        <v>101251.555971955</v>
      </c>
      <c r="I26" s="53" t="n">
        <f aca="false">I18+I22+I24</f>
        <v>109844.505294763</v>
      </c>
      <c r="J26" s="53" t="n">
        <f aca="false">J18+J22+J24</f>
        <v>121710.319378416</v>
      </c>
      <c r="K26" s="53" t="n">
        <f aca="false">K18+K22+K24</f>
        <v>131492.662556272</v>
      </c>
      <c r="L26" s="53" t="n">
        <f aca="false">L18+L22+L24</f>
        <v>140610.015691876</v>
      </c>
      <c r="M26" s="53" t="n">
        <f aca="false">M18+M22+M24</f>
        <v>149215.742886464</v>
      </c>
      <c r="N26" s="53" t="n">
        <f aca="false">N18+N22+N24</f>
        <v>157422.530662812</v>
      </c>
      <c r="O26" s="53" t="n">
        <f aca="false">O18+O22+O24</f>
        <v>165317.422671391</v>
      </c>
      <c r="P26" s="53" t="n">
        <f aca="false">P18+P22+P24</f>
        <v>172973.222352019</v>
      </c>
      <c r="Q26" s="53" t="n">
        <f aca="false">Q18+Q22+Q24</f>
        <v>180451.878087143</v>
      </c>
      <c r="R26" s="53" t="n">
        <f aca="false">R18+R22+R24</f>
        <v>187806.8072095</v>
      </c>
      <c r="S26" s="53" t="n">
        <f aca="false">S18+S22+S24</f>
        <v>195084.73121997</v>
      </c>
      <c r="T26" s="53" t="n">
        <f aca="false">T18+T22+T24</f>
        <v>202327.1861779</v>
      </c>
      <c r="U26" s="53" t="n">
        <f aca="false">U18+U22+U24</f>
        <v>209571.780644803</v>
      </c>
      <c r="V26" s="53" t="n">
        <f aca="false">V18+V22+V24</f>
        <v>216853.251744829</v>
      </c>
      <c r="W26" s="53" t="n">
        <f aca="false">W18+W22+W24</f>
        <v>224204.35926743</v>
      </c>
      <c r="X26" s="53" t="n">
        <f aca="false">X18+X22+X24</f>
        <v>231656.650427232</v>
      </c>
      <c r="Y26" s="53" t="n">
        <f aca="false">Y18+Y22+Y24</f>
        <v>239241.122224709</v>
      </c>
      <c r="Z26" s="53" t="n">
        <f aca="false">Z18+Z22+Z24</f>
        <v>246988.803790801</v>
      </c>
      <c r="AA26" s="53" t="n">
        <f aca="false">AA18+AA22+AA24</f>
        <v>254931.277391497</v>
      </c>
      <c r="AB26" s="53" t="n">
        <f aca="false">AB18+AB22+AB24</f>
        <v>263101.153749237</v>
      </c>
      <c r="AC26" s="53" t="n">
        <f aca="false">AC18+AC22+AC24</f>
        <v>271299.886523845</v>
      </c>
      <c r="AD26" s="53" t="n">
        <f aca="false">AD18+AD22+AD24</f>
        <v>279482.206694832</v>
      </c>
      <c r="AE26" s="53" t="n">
        <f aca="false">AE18+AE22+AE24</f>
        <v>287741.839988004</v>
      </c>
      <c r="AF26" s="53" t="n">
        <f aca="false">AF18+AF22+AF24</f>
        <v>296120.413487975</v>
      </c>
      <c r="AG26" s="53" t="n">
        <f aca="false">AG18+AG22+AG24</f>
        <v>304659.554958027</v>
      </c>
      <c r="AH26" s="53" t="n">
        <f aca="false">AH18+AH22+AH24</f>
        <v>313402.119721852</v>
      </c>
      <c r="AI26" s="53" t="n">
        <f aca="false">AI18+AI22+AI24</f>
        <v>322392.826292801</v>
      </c>
      <c r="AJ26" s="53" t="n">
        <f aca="false">AJ18+AJ22+AJ24</f>
        <v>331678.628887897</v>
      </c>
      <c r="AK26" s="53" t="n">
        <f aca="false">AK18+AK22+AK24</f>
        <v>341309.071386065</v>
      </c>
      <c r="AL26" s="53" t="n">
        <f aca="false">AL18+AL22+AL24</f>
        <v>351336.647659203</v>
      </c>
      <c r="AM26" s="53" t="n">
        <f aca="false">SUM(C26:AL26)</f>
        <v>7307196.87852678</v>
      </c>
    </row>
    <row r="27" customFormat="false" ht="15" hidden="false" customHeight="false" outlineLevel="0" collapsed="false">
      <c r="A27" s="10" t="s">
        <v>762</v>
      </c>
      <c r="B27" s="9" t="s">
        <v>84</v>
      </c>
      <c r="C27" s="61" t="n">
        <f aca="false">C19+C23+C25</f>
        <v>6000.40089742459</v>
      </c>
      <c r="D27" s="61" t="n">
        <f aca="false">D19+D23+D25</f>
        <v>26652.3266206897</v>
      </c>
      <c r="E27" s="61" t="n">
        <f aca="false">E19+E23+E25</f>
        <v>65951.8370255077</v>
      </c>
      <c r="F27" s="61" t="n">
        <f aca="false">F19+F23+F25</f>
        <v>59099.1825391913</v>
      </c>
      <c r="G27" s="61" t="n">
        <f aca="false">G19+G23+G25</f>
        <v>59997.4172204198</v>
      </c>
      <c r="H27" s="61" t="n">
        <f aca="false">H19+H23+H25</f>
        <v>61956.0828003438</v>
      </c>
      <c r="I27" s="61" t="n">
        <f aca="false">I19+I23+I25</f>
        <v>63694.9627701288</v>
      </c>
      <c r="J27" s="61" t="n">
        <f aca="false">J19+J23+J25</f>
        <v>66537.2512228581</v>
      </c>
      <c r="K27" s="61" t="n">
        <f aca="false">K19+K23+K25</f>
        <v>68847.3268558685</v>
      </c>
      <c r="L27" s="61" t="n">
        <f aca="false">L19+L23+L25</f>
        <v>70998.1564004175</v>
      </c>
      <c r="M27" s="61" t="n">
        <f aca="false">M19+M23+M25</f>
        <v>73066.7863585742</v>
      </c>
      <c r="N27" s="61" t="n">
        <f aca="false">N19+N23+N25</f>
        <v>75086.4815988306</v>
      </c>
      <c r="O27" s="61" t="n">
        <f aca="false">O19+O23+O25</f>
        <v>77076.0942753044</v>
      </c>
      <c r="P27" s="61" t="n">
        <f aca="false">P19+P23+P25</f>
        <v>79048.3684517697</v>
      </c>
      <c r="Q27" s="61" t="n">
        <f aca="false">Q19+Q23+Q25</f>
        <v>81012.7934099278</v>
      </c>
      <c r="R27" s="61" t="n">
        <f aca="false">R19+R23+R25</f>
        <v>82977.0198765504</v>
      </c>
      <c r="S27" s="61" t="n">
        <f aca="false">S19+S23+S25</f>
        <v>84947.6706447754</v>
      </c>
      <c r="T27" s="61" t="n">
        <f aca="false">T19+T23+T25</f>
        <v>86930.8350950951</v>
      </c>
      <c r="U27" s="61" t="n">
        <f aca="false">U19+U23+U25</f>
        <v>88932.3833676312</v>
      </c>
      <c r="V27" s="61" t="n">
        <f aca="false">V19+V23+V25</f>
        <v>90958.1739236709</v>
      </c>
      <c r="W27" s="61" t="n">
        <f aca="false">W19+W23+W25</f>
        <v>93014.1970655648</v>
      </c>
      <c r="X27" s="61" t="n">
        <f aca="false">X19+X23+X25</f>
        <v>95106.6798082139</v>
      </c>
      <c r="Y27" s="61" t="n">
        <f aca="false">Y19+Y23+Y25</f>
        <v>97242.1675986508</v>
      </c>
      <c r="Z27" s="61" t="n">
        <f aca="false">Z19+Z23+Z25</f>
        <v>99427.5925185298</v>
      </c>
      <c r="AA27" s="61" t="n">
        <f aca="false">AA19+AA23+AA25</f>
        <v>101670.33406176</v>
      </c>
      <c r="AB27" s="61" t="n">
        <f aca="false">AB19+AB23+AB25</f>
        <v>103978.276404383</v>
      </c>
      <c r="AC27" s="61" t="n">
        <f aca="false">AC19+AC23+AC25</f>
        <v>106305.330822447</v>
      </c>
      <c r="AD27" s="61" t="n">
        <f aca="false">AD19+AD23+AD25</f>
        <v>108638.141813158</v>
      </c>
      <c r="AE27" s="61" t="n">
        <f aca="false">AE19+AE23+AE25</f>
        <v>110998.961770741</v>
      </c>
      <c r="AF27" s="61" t="n">
        <f aca="false">AF19+AF23+AF25</f>
        <v>113400.948586169</v>
      </c>
      <c r="AG27" s="61" t="n">
        <f aca="false">AG19+AG23+AG25</f>
        <v>115856.444515552</v>
      </c>
      <c r="AH27" s="61" t="n">
        <f aca="false">AH19+AH23+AH25</f>
        <v>118378.015930695</v>
      </c>
      <c r="AI27" s="61" t="n">
        <f aca="false">AI19+AI23+AI25</f>
        <v>120978.694883109</v>
      </c>
      <c r="AJ27" s="61" t="n">
        <f aca="false">AJ19+AJ23+AJ25</f>
        <v>123672.085521164</v>
      </c>
      <c r="AK27" s="61" t="n">
        <f aca="false">AK19+AK23+AK25</f>
        <v>126472.452590934</v>
      </c>
      <c r="AL27" s="61" t="n">
        <f aca="false">AL19+AL23+AL25</f>
        <v>129394.808393094</v>
      </c>
      <c r="AM27" s="61" t="n">
        <f aca="false">SUM(C27:AL27)</f>
        <v>3134306.68363914</v>
      </c>
    </row>
    <row r="28" customFormat="false" ht="15" hidden="false" customHeight="false" outlineLevel="0" collapsed="false">
      <c r="A28" s="10" t="s">
        <v>763</v>
      </c>
      <c r="B28" s="9" t="s">
        <v>97</v>
      </c>
      <c r="C28" s="63" t="n">
        <f aca="false">IFERROR(C26/C27,0)</f>
        <v>1.33324425096891</v>
      </c>
      <c r="D28" s="63" t="n">
        <f aca="false">IFERROR(D26/D27,0)</f>
        <v>1.12560529618872</v>
      </c>
      <c r="E28" s="63" t="n">
        <f aca="false">IFERROR(E26/E27,0)</f>
        <v>1.38215403174674</v>
      </c>
      <c r="F28" s="63" t="n">
        <f aca="false">IFERROR(F26/F27,0)</f>
        <v>1.43318373754415</v>
      </c>
      <c r="G28" s="63" t="n">
        <f aca="false">IFERROR(G26/G27,0)</f>
        <v>1.53108455359916</v>
      </c>
      <c r="H28" s="63" t="n">
        <f aca="false">IFERROR(H26/H27,0)</f>
        <v>1.63424721827948</v>
      </c>
      <c r="I28" s="63" t="n">
        <f aca="false">IFERROR(I26/I27,0)</f>
        <v>1.72453990892788</v>
      </c>
      <c r="J28" s="63" t="n">
        <f aca="false">IFERROR(J26/J27,0)</f>
        <v>1.82920570269371</v>
      </c>
      <c r="K28" s="63" t="n">
        <f aca="false">IFERROR(K26/K27,0)</f>
        <v>1.90991674711715</v>
      </c>
      <c r="L28" s="63" t="n">
        <f aca="false">IFERROR(L26/L27,0)</f>
        <v>1.98047418159507</v>
      </c>
      <c r="M28" s="63" t="n">
        <f aca="false">IFERROR(M26/M27,0)</f>
        <v>2.04218291679327</v>
      </c>
      <c r="N28" s="63" t="n">
        <f aca="false">IFERROR(N26/N27,0)</f>
        <v>2.09654956938699</v>
      </c>
      <c r="O28" s="63" t="n">
        <f aca="false">IFERROR(O26/O27,0)</f>
        <v>2.14485988458239</v>
      </c>
      <c r="P28" s="63" t="n">
        <f aca="false">IFERROR(P26/P27,0)</f>
        <v>2.18819471849766</v>
      </c>
      <c r="Q28" s="63" t="n">
        <f aca="false">IFERROR(Q26/Q27,0)</f>
        <v>2.22744915329669</v>
      </c>
      <c r="R28" s="63" t="n">
        <f aca="false">IFERROR(R26/R27,0)</f>
        <v>2.26335927090308</v>
      </c>
      <c r="S28" s="63" t="n">
        <f aca="false">IFERROR(S26/S27,0)</f>
        <v>2.29652831842504</v>
      </c>
      <c r="T28" s="63" t="n">
        <f aca="false">IFERROR(T26/T27,0)</f>
        <v>2.32745016145964</v>
      </c>
      <c r="U28" s="63" t="n">
        <f aca="false">IFERROR(U26/U27,0)</f>
        <v>2.35652945202727</v>
      </c>
      <c r="V28" s="63" t="n">
        <f aca="false">IFERROR(V26/V27,0)</f>
        <v>2.38409856300331</v>
      </c>
      <c r="W28" s="63" t="n">
        <f aca="false">IFERROR(W26/W27,0)</f>
        <v>2.41043159367801</v>
      </c>
      <c r="X28" s="63" t="n">
        <f aca="false">IFERROR(X26/X27,0)</f>
        <v>2.43575583643942</v>
      </c>
      <c r="Y28" s="63" t="n">
        <f aca="false">IFERROR(Y26/Y27,0)</f>
        <v>2.46026110002127</v>
      </c>
      <c r="Z28" s="63" t="n">
        <f aca="false">IFERROR(Z26/Z27,0)</f>
        <v>2.4841072536758</v>
      </c>
      <c r="AA28" s="63" t="n">
        <f aca="false">IFERROR(AA26/AA27,0)</f>
        <v>2.50743031134961</v>
      </c>
      <c r="AB28" s="63" t="n">
        <f aca="false">IFERROR(AB26/AB27,0)</f>
        <v>2.53034732683976</v>
      </c>
      <c r="AC28" s="63" t="n">
        <f aca="false">IFERROR(AC26/AC27,0)</f>
        <v>2.55208167290287</v>
      </c>
      <c r="AD28" s="63" t="n">
        <f aca="false">IFERROR(AD26/AD27,0)</f>
        <v>2.57259745086124</v>
      </c>
      <c r="AE28" s="63" t="n">
        <f aca="false">IFERROR(AE26/AE27,0)</f>
        <v>2.59229307551823</v>
      </c>
      <c r="AF28" s="63" t="n">
        <f aca="false">IFERROR(AF26/AF27,0)</f>
        <v>2.6112692810763</v>
      </c>
      <c r="AG28" s="63" t="n">
        <f aca="false">IFERROR(AG26/AG27,0)</f>
        <v>2.62962976493837</v>
      </c>
      <c r="AH28" s="63" t="n">
        <f aca="false">IFERROR(AH26/AH27,0)</f>
        <v>2.64746893464859</v>
      </c>
      <c r="AI28" s="63" t="n">
        <f aca="false">IFERROR(AI26/AI27,0)</f>
        <v>2.66487274147156</v>
      </c>
      <c r="AJ28" s="63" t="n">
        <f aca="false">IFERROR(AJ26/AJ27,0)</f>
        <v>2.68191991337557</v>
      </c>
      <c r="AK28" s="63" t="n">
        <f aca="false">IFERROR(AK26/AK27,0)</f>
        <v>2.69868310761716</v>
      </c>
      <c r="AL28" s="63" t="n">
        <f aca="false">IFERROR(AL26/AL27,0)</f>
        <v>2.7152298614011</v>
      </c>
      <c r="AM28" s="63" t="n">
        <f aca="false">AVERAGE(N28:AL28)</f>
        <v>2.45917593269588</v>
      </c>
    </row>
    <row r="29" customFormat="false" ht="15" hidden="false" customHeight="false" outlineLevel="0" collapsed="false">
      <c r="A29" s="37" t="s">
        <v>764</v>
      </c>
      <c r="B29" s="9" t="s">
        <v>84</v>
      </c>
      <c r="C29" s="71" t="n">
        <f aca="false">C13+C15+C27</f>
        <v>8200.40089742459</v>
      </c>
      <c r="D29" s="71" t="n">
        <f aca="false">D13+D15+D27</f>
        <v>205506.32662069</v>
      </c>
      <c r="E29" s="71" t="n">
        <f aca="false">E13+E15+E27</f>
        <v>135772.377025508</v>
      </c>
      <c r="F29" s="71" t="n">
        <f aca="false">F13+F15+F27</f>
        <v>121544.342339191</v>
      </c>
      <c r="G29" s="71" t="n">
        <f aca="false">G13+G15+G27</f>
        <v>116610.49356242</v>
      </c>
      <c r="H29" s="71" t="n">
        <f aca="false">H13+H15+H27</f>
        <v>113977.852941124</v>
      </c>
      <c r="I29" s="71" t="n">
        <f aca="false">I13+I15+I27</f>
        <v>112124.740965979</v>
      </c>
      <c r="J29" s="71" t="n">
        <f aca="false">J13+J15+J27</f>
        <v>112181.783650255</v>
      </c>
      <c r="K29" s="71" t="n">
        <f aca="false">K13+K15+K27</f>
        <v>112359.961756867</v>
      </c>
      <c r="L29" s="71" t="n">
        <f aca="false">L13+L15+L27</f>
        <v>112910.239286615</v>
      </c>
      <c r="M29" s="71" t="n">
        <f aca="false">M13+M15+M27</f>
        <v>113812.840579816</v>
      </c>
      <c r="N29" s="71" t="n">
        <f aca="false">N13+N15+N27</f>
        <v>115024.423000214</v>
      </c>
      <c r="O29" s="71" t="n">
        <f aca="false">O13+O15+O27</f>
        <v>116503.479442996</v>
      </c>
      <c r="P29" s="71" t="n">
        <f aca="false">P13+P15+P27</f>
        <v>118215.4767167</v>
      </c>
      <c r="Q29" s="71" t="n">
        <f aca="false">Q13+Q15+Q27</f>
        <v>120133.18336442</v>
      </c>
      <c r="R29" s="71" t="n">
        <f aca="false">R13+R15+R27</f>
        <v>122236.073683521</v>
      </c>
      <c r="S29" s="71" t="n">
        <f aca="false">S13+S15+S27</f>
        <v>124509.537499632</v>
      </c>
      <c r="T29" s="71" t="n">
        <f aca="false">T13+T15+T27</f>
        <v>126944.103731097</v>
      </c>
      <c r="U29" s="71" t="n">
        <f aca="false">U13+U15+U27</f>
        <v>129534.748392239</v>
      </c>
      <c r="V29" s="71" t="n">
        <f aca="false">V13+V15+V27</f>
        <v>132280.308769586</v>
      </c>
      <c r="W29" s="71" t="n">
        <f aca="false">W13+W15+W27</f>
        <v>135183.004822886</v>
      </c>
      <c r="X29" s="71" t="n">
        <f aca="false">X13+X15+X27</f>
        <v>138248.060083914</v>
      </c>
      <c r="Y29" s="71" t="n">
        <f aca="false">Y13+Y15+Y27</f>
        <v>141483.411155339</v>
      </c>
      <c r="Z29" s="71" t="n">
        <f aca="false">Z13+Z15+Z27</f>
        <v>144899.49444026</v>
      </c>
      <c r="AA29" s="71" t="n">
        <f aca="false">AA13+AA15+AA27</f>
        <v>148509.099512398</v>
      </c>
      <c r="AB29" s="71" t="n">
        <f aca="false">AB13+AB15+AB27</f>
        <v>152327.279830341</v>
      </c>
      <c r="AC29" s="71" t="n">
        <f aca="false">AC13+AC15+AC27</f>
        <v>156316.779024551</v>
      </c>
      <c r="AD29" s="71" t="n">
        <f aca="false">AD13+AD15+AD27</f>
        <v>160474.683127698</v>
      </c>
      <c r="AE29" s="71" t="n">
        <f aca="false">AE13+AE15+AE27</f>
        <v>164835.277222988</v>
      </c>
      <c r="AF29" s="71" t="n">
        <f aca="false">AF13+AF15+AF27</f>
        <v>169425.355964637</v>
      </c>
      <c r="AG29" s="71" t="n">
        <f aca="false">AG13+AG15+AG27</f>
        <v>174272.542586497</v>
      </c>
      <c r="AH29" s="71" t="n">
        <f aca="false">AH13+AH15+AH27</f>
        <v>179406.393250757</v>
      </c>
      <c r="AI29" s="71" t="n">
        <f aca="false">AI13+AI15+AI27</f>
        <v>184858.725700161</v>
      </c>
      <c r="AJ29" s="71" t="n">
        <f aca="false">AJ13+AJ15+AJ27</f>
        <v>190663.8339423</v>
      </c>
      <c r="AK29" s="71" t="n">
        <f aca="false">AK13+AK15+AK27</f>
        <v>196858.70543441</v>
      </c>
      <c r="AL29" s="71" t="n">
        <f aca="false">AL13+AL15+AL27</f>
        <v>203483.256844034</v>
      </c>
      <c r="AM29" s="71" t="n">
        <f aca="false">SUM(C29:AL29)</f>
        <v>5011628.59716946</v>
      </c>
    </row>
    <row r="30" customFormat="false" ht="15" hidden="false" customHeight="false" outlineLevel="0" collapsed="false">
      <c r="A30" s="10" t="s">
        <v>765</v>
      </c>
      <c r="B30" s="9" t="s">
        <v>51</v>
      </c>
      <c r="C30" s="61" t="n">
        <f aca="false">C8*Assumptions!$E$47*Assumptions!$E$48^C10</f>
        <v>0</v>
      </c>
      <c r="D30" s="61" t="n">
        <f aca="false">D8*Assumptions!$E$47*Assumptions!$E$48^D10</f>
        <v>8000</v>
      </c>
      <c r="E30" s="61" t="n">
        <f aca="false">E8*Assumptions!$E$47*Assumptions!$E$48^E10</f>
        <v>11600</v>
      </c>
      <c r="F30" s="61" t="n">
        <f aca="false">F8*Assumptions!$E$47*Assumptions!$E$48^F10</f>
        <v>16820</v>
      </c>
      <c r="G30" s="61" t="n">
        <f aca="false">G8*Assumptions!$E$47*Assumptions!$E$48^G10</f>
        <v>24389</v>
      </c>
      <c r="H30" s="61" t="n">
        <f aca="false">H8*Assumptions!$E$47*Assumptions!$E$48^H10</f>
        <v>35364.05</v>
      </c>
      <c r="I30" s="61" t="n">
        <f aca="false">I8*Assumptions!$E$47*Assumptions!$E$48^I10</f>
        <v>51277.8725</v>
      </c>
      <c r="J30" s="61" t="n">
        <f aca="false">J8*Assumptions!$E$47*Assumptions!$E$48^J10</f>
        <v>74352.915125</v>
      </c>
      <c r="K30" s="61" t="n">
        <f aca="false">K8*Assumptions!$E$47*Assumptions!$E$48^K10</f>
        <v>107811.72693125</v>
      </c>
      <c r="L30" s="61" t="n">
        <f aca="false">L8*Assumptions!$E$47*Assumptions!$E$48^L10</f>
        <v>156327.004050312</v>
      </c>
      <c r="M30" s="61" t="n">
        <f aca="false">M8*Assumptions!$E$47*Assumptions!$E$48^M10</f>
        <v>226674.155872953</v>
      </c>
      <c r="N30" s="61" t="n">
        <f aca="false">N8*Assumptions!$E$47*Assumptions!$E$48^N10</f>
        <v>328677.526015782</v>
      </c>
      <c r="O30" s="61" t="n">
        <f aca="false">O8*Assumptions!$E$47*Assumptions!$E$48^O10</f>
        <v>476582.412722884</v>
      </c>
      <c r="P30" s="61" t="n">
        <f aca="false">P8*Assumptions!$E$47*Assumptions!$E$48^P10</f>
        <v>691044.498448181</v>
      </c>
      <c r="Q30" s="61" t="n">
        <f aca="false">Q8*Assumptions!$E$47*Assumptions!$E$48^Q10</f>
        <v>1002014.52274986</v>
      </c>
      <c r="R30" s="61" t="n">
        <f aca="false">R8*Assumptions!$E$47*Assumptions!$E$48^R10</f>
        <v>1452921.0579873</v>
      </c>
      <c r="S30" s="61" t="n">
        <f aca="false">S8*Assumptions!$E$47*Assumptions!$E$48^S10</f>
        <v>2106735.53408159</v>
      </c>
      <c r="T30" s="61" t="n">
        <f aca="false">T8*Assumptions!$E$47*Assumptions!$E$48^T10</f>
        <v>3054766.5244183</v>
      </c>
      <c r="U30" s="61" t="n">
        <f aca="false">U8*Assumptions!$E$47*Assumptions!$E$48^U10</f>
        <v>4429411.46040654</v>
      </c>
      <c r="V30" s="61" t="n">
        <f aca="false">V8*Assumptions!$E$47*Assumptions!$E$48^V10</f>
        <v>6422646.61758948</v>
      </c>
      <c r="W30" s="61" t="n">
        <f aca="false">W8*Assumptions!$E$47*Assumptions!$E$48^W10</f>
        <v>9312837.59550474</v>
      </c>
      <c r="X30" s="61" t="n">
        <f aca="false">X8*Assumptions!$E$47*Assumptions!$E$48^X10</f>
        <v>13503614.5134819</v>
      </c>
      <c r="Y30" s="61" t="n">
        <f aca="false">Y8*Assumptions!$E$47*Assumptions!$E$48^Y10</f>
        <v>19580241.0445487</v>
      </c>
      <c r="Z30" s="61" t="n">
        <f aca="false">Z8*Assumptions!$E$47*Assumptions!$E$48^Z10</f>
        <v>28391349.5145956</v>
      </c>
      <c r="AA30" s="61" t="n">
        <f aca="false">AA8*Assumptions!$E$47*Assumptions!$E$48^AA10</f>
        <v>41167456.7961637</v>
      </c>
      <c r="AB30" s="61" t="n">
        <f aca="false">AB8*Assumptions!$E$47*Assumptions!$E$48^AB10</f>
        <v>59692812.3544373</v>
      </c>
      <c r="AC30" s="61" t="n">
        <f aca="false">AC8*Assumptions!$E$47*Assumptions!$E$48^AC10</f>
        <v>86554577.9139341</v>
      </c>
      <c r="AD30" s="61" t="n">
        <f aca="false">AD8*Assumptions!$E$47*Assumptions!$E$48^AD10</f>
        <v>125504137.975204</v>
      </c>
      <c r="AE30" s="61" t="n">
        <f aca="false">AE8*Assumptions!$E$47*Assumptions!$E$48^AE10</f>
        <v>181981000.064047</v>
      </c>
      <c r="AF30" s="61" t="n">
        <f aca="false">AF8*Assumptions!$E$47*Assumptions!$E$48^AF10</f>
        <v>263872450.092867</v>
      </c>
      <c r="AG30" s="61" t="n">
        <f aca="false">AG8*Assumptions!$E$47*Assumptions!$E$48^AG10</f>
        <v>382615052.634658</v>
      </c>
      <c r="AH30" s="61" t="n">
        <f aca="false">AH8*Assumptions!$E$47*Assumptions!$E$48^AH10</f>
        <v>554791826.320254</v>
      </c>
      <c r="AI30" s="61" t="n">
        <f aca="false">AI8*Assumptions!$E$47*Assumptions!$E$48^AI10</f>
        <v>804448148.164368</v>
      </c>
      <c r="AJ30" s="61" t="n">
        <f aca="false">AJ8*Assumptions!$E$47*Assumptions!$E$48^AJ10</f>
        <v>1166449814.83833</v>
      </c>
      <c r="AK30" s="61" t="n">
        <f aca="false">AK8*Assumptions!$E$47*Assumptions!$E$48^AK10</f>
        <v>1691352231.51558</v>
      </c>
      <c r="AL30" s="61" t="n">
        <f aca="false">AL8*Assumptions!$E$47*Assumptions!$E$48^AL10</f>
        <v>2452460735.6976</v>
      </c>
      <c r="AM30" s="61" t="n">
        <f aca="false">AL30</f>
        <v>2452460735.6976</v>
      </c>
    </row>
    <row r="31" customFormat="false" ht="15" hidden="false" customHeight="false" outlineLevel="0" collapsed="false">
      <c r="A31" s="10" t="s">
        <v>766</v>
      </c>
      <c r="B31" s="9" t="s">
        <v>51</v>
      </c>
      <c r="C31" s="61" t="n">
        <f aca="false">Assumptions!$E$49*C8*(C15+C13*Assumptions!$E$44+C19*Assumptions!$E$31*Assumptions!$E$32+C23*Assumptions!$E$38*Assumptions!$E$39+C25*Assumptions!$E$43)</f>
        <v>0</v>
      </c>
      <c r="D31" s="61" t="n">
        <f aca="false">Assumptions!$E$49*D8*(D15+D13*Assumptions!$E$44+D19*Assumptions!$E$31*Assumptions!$E$32+D23*Assumptions!$E$38*Assumptions!$E$39+D25*Assumptions!$E$43)</f>
        <v>5020.02364998621</v>
      </c>
      <c r="E31" s="61" t="n">
        <f aca="false">Assumptions!$E$49*E8*(E15+E13*Assumptions!$E$44+E19*Assumptions!$E$31*Assumptions!$E$32+E23*Assumptions!$E$38*Assumptions!$E$39+E25*Assumptions!$E$43)</f>
        <v>2465.73682901655</v>
      </c>
      <c r="F31" s="61" t="n">
        <f aca="false">Assumptions!$E$49*F8*(F15+F13*Assumptions!$E$44+F19*Assumptions!$E$31*Assumptions!$E$32+F23*Assumptions!$E$38*Assumptions!$E$39+F25*Assumptions!$E$43)</f>
        <v>2242.15725290047</v>
      </c>
      <c r="G31" s="61" t="n">
        <f aca="false">Assumptions!$E$49*G8*(G15+G13*Assumptions!$E$44+G19*Assumptions!$E$31*Assumptions!$E$32+G23*Assumptions!$E$38*Assumptions!$E$39+G25*Assumptions!$E$43)</f>
        <v>2125.74983363358</v>
      </c>
      <c r="H31" s="61" t="n">
        <f aca="false">Assumptions!$E$49*H8*(H15+H13*Assumptions!$E$44+H19*Assumptions!$E$31*Assumptions!$E$32+H23*Assumptions!$E$38*Assumptions!$E$39+H25*Assumptions!$E$43)</f>
        <v>2047.03547689238</v>
      </c>
      <c r="I31" s="61" t="n">
        <f aca="false">Assumptions!$E$49*I8*(I15+I13*Assumptions!$E$44+I19*Assumptions!$E$31*Assumptions!$E$32+I23*Assumptions!$E$38*Assumptions!$E$39+I25*Assumptions!$E$43)</f>
        <v>1986.79102519935</v>
      </c>
      <c r="J31" s="61" t="n">
        <f aca="false">Assumptions!$E$49*J8*(J15+J13*Assumptions!$E$44+J19*Assumptions!$E$31*Assumptions!$E$32+J23*Assumptions!$E$38*Assumptions!$E$39+J25*Assumptions!$E$43)</f>
        <v>1961.49763931155</v>
      </c>
      <c r="K31" s="61" t="n">
        <f aca="false">Assumptions!$E$49*K8*(K15+K13*Assumptions!$E$44+K19*Assumptions!$E$31*Assumptions!$E$32+K23*Assumptions!$E$38*Assumptions!$E$39+K25*Assumptions!$E$43)</f>
        <v>1942.00050532617</v>
      </c>
      <c r="L31" s="61" t="n">
        <f aca="false">Assumptions!$E$49*L8*(L15+L13*Assumptions!$E$44+L19*Assumptions!$E$31*Assumptions!$E$32+L23*Assumptions!$E$38*Assumptions!$E$39+L25*Assumptions!$E$43)</f>
        <v>1932.43076214449</v>
      </c>
      <c r="M31" s="61" t="n">
        <f aca="false">Assumptions!$E$49*M8*(M15+M13*Assumptions!$E$44+M19*Assumptions!$E$31*Assumptions!$E$32+M23*Assumptions!$E$38*Assumptions!$E$39+M25*Assumptions!$E$43)</f>
        <v>1931.39747817414</v>
      </c>
      <c r="N31" s="61" t="n">
        <f aca="false">Assumptions!$E$49*N8*(N15+N13*Assumptions!$E$44+N19*Assumptions!$E$31*Assumptions!$E$32+N23*Assumptions!$E$38*Assumptions!$E$39+N25*Assumptions!$E$43)</f>
        <v>1937.55720009889</v>
      </c>
      <c r="O31" s="61" t="n">
        <f aca="false">Assumptions!$E$49*O8*(O15+O13*Assumptions!$E$44+O19*Assumptions!$E$31*Assumptions!$E$32+O23*Assumptions!$E$38*Assumptions!$E$39+O25*Assumptions!$E$43)</f>
        <v>1949.75556401203</v>
      </c>
      <c r="P31" s="61" t="n">
        <f aca="false">Assumptions!$E$49*P8*(P15+P13*Assumptions!$E$44+P19*Assumptions!$E$31*Assumptions!$E$32+P23*Assumptions!$E$38*Assumptions!$E$39+P25*Assumptions!$E$43)</f>
        <v>1967.05500825437</v>
      </c>
      <c r="Q31" s="61" t="n">
        <f aca="false">Assumptions!$E$49*Q8*(Q15+Q13*Assumptions!$E$44+Q19*Assumptions!$E$31*Assumptions!$E$32+Q23*Assumptions!$E$38*Assumptions!$E$39+Q25*Assumptions!$E$43)</f>
        <v>1988.71272843236</v>
      </c>
      <c r="R31" s="61" t="n">
        <f aca="false">Assumptions!$E$49*R8*(R15+R13*Assumptions!$E$44+R19*Assumptions!$E$31*Assumptions!$E$32+R23*Assumptions!$E$38*Assumptions!$E$39+R25*Assumptions!$E$43)</f>
        <v>2014.15329041288</v>
      </c>
      <c r="S31" s="61" t="n">
        <f aca="false">Assumptions!$E$49*S8*(S15+S13*Assumptions!$E$44+S19*Assumptions!$E$31*Assumptions!$E$32+S23*Assumptions!$E$38*Assumptions!$E$39+S25*Assumptions!$E$43)</f>
        <v>2042.94272894667</v>
      </c>
      <c r="T31" s="61" t="n">
        <f aca="false">Assumptions!$E$49*T8*(T15+T13*Assumptions!$E$44+T19*Assumptions!$E$31*Assumptions!$E$32+T23*Assumptions!$E$38*Assumptions!$E$39+T25*Assumptions!$E$43)</f>
        <v>2074.76592330697</v>
      </c>
      <c r="U31" s="61" t="n">
        <f aca="false">Assumptions!$E$49*U8*(U15+U13*Assumptions!$E$44+U19*Assumptions!$E$31*Assumptions!$E$32+U23*Assumptions!$E$38*Assumptions!$E$39+U25*Assumptions!$E$43)</f>
        <v>2109.40755623509</v>
      </c>
      <c r="V31" s="61" t="n">
        <f aca="false">Assumptions!$E$49*V8*(V15+V13*Assumptions!$E$44+V19*Assumptions!$E$31*Assumptions!$E$32+V23*Assumptions!$E$38*Assumptions!$E$39+V25*Assumptions!$E$43)</f>
        <v>2146.73645849308</v>
      </c>
      <c r="W31" s="61" t="n">
        <f aca="false">Assumptions!$E$49*W8*(W15+W13*Assumptions!$E$44+W19*Assumptions!$E$31*Assumptions!$E$32+W23*Assumptions!$E$38*Assumptions!$E$39+W25*Assumptions!$E$43)</f>
        <v>2186.69296454648</v>
      </c>
      <c r="X31" s="61" t="n">
        <f aca="false">Assumptions!$E$49*X8*(X15+X13*Assumptions!$E$44+X19*Assumptions!$E$31*Assumptions!$E$32+X23*Assumptions!$E$38*Assumptions!$E$39+X25*Assumptions!$E$43)</f>
        <v>2229.27886476366</v>
      </c>
      <c r="Y31" s="61" t="n">
        <f aca="false">Assumptions!$E$49*Y8*(Y15+Y13*Assumptions!$E$44+Y19*Assumptions!$E$31*Assumptions!$E$32+Y23*Assumptions!$E$38*Assumptions!$E$39+Y25*Assumptions!$E$43)</f>
        <v>2274.54955878929</v>
      </c>
      <c r="Z31" s="61" t="n">
        <f aca="false">Assumptions!$E$49*Z8*(Z15+Z13*Assumptions!$E$44+Z19*Assumptions!$E$31*Assumptions!$E$32+Z23*Assumptions!$E$38*Assumptions!$E$39+Z25*Assumptions!$E$43)</f>
        <v>2322.60805796259</v>
      </c>
      <c r="AA31" s="61" t="n">
        <f aca="false">Assumptions!$E$49*AA8*(AA15+AA13*Assumptions!$E$44+AA19*Assumptions!$E$31*Assumptions!$E$32+AA23*Assumptions!$E$38*Assumptions!$E$39+AA25*Assumptions!$E$43)</f>
        <v>2373.60053487184</v>
      </c>
      <c r="AB31" s="61" t="n">
        <f aca="false">Assumptions!$E$49*AB8*(AB15+AB13*Assumptions!$E$44+AB19*Assumptions!$E$31*Assumptions!$E$32+AB23*Assumptions!$E$38*Assumptions!$E$39+AB25*Assumptions!$E$43)</f>
        <v>2427.71316740872</v>
      </c>
      <c r="AC31" s="61" t="n">
        <f aca="false">Assumptions!$E$49*AC8*(AC15+AC13*Assumptions!$E$44+AC19*Assumptions!$E$31*Assumptions!$E$32+AC23*Assumptions!$E$38*Assumptions!$E$39+AC25*Assumptions!$E$43)</f>
        <v>2484.35206091286</v>
      </c>
      <c r="AD31" s="61" t="n">
        <f aca="false">Assumptions!$E$49*AD8*(AD15+AD13*Assumptions!$E$44+AD19*Assumptions!$E$31*Assumptions!$E$32+AD23*Assumptions!$E$38*Assumptions!$E$39+AD25*Assumptions!$E$43)</f>
        <v>2543.4868229502</v>
      </c>
      <c r="AE31" s="61" t="n">
        <f aca="false">Assumptions!$E$49*AE8*(AE15+AE13*Assumptions!$E$44+AE19*Assumptions!$E$31*Assumptions!$E$32+AE23*Assumptions!$E$38*Assumptions!$E$39+AE25*Assumptions!$E$43)</f>
        <v>2605.6209444433</v>
      </c>
      <c r="AF31" s="61" t="n">
        <f aca="false">Assumptions!$E$49*AF8*(AF15+AF13*Assumptions!$E$44+AF19*Assumptions!$E$31*Assumptions!$E$32+AF23*Assumptions!$E$38*Assumptions!$E$39+AF25*Assumptions!$E$43)</f>
        <v>2671.11832188503</v>
      </c>
      <c r="AG31" s="61" t="n">
        <f aca="false">Assumptions!$E$49*AG8*(AG15+AG13*Assumptions!$E$44+AG19*Assumptions!$E$31*Assumptions!$E$32+AG23*Assumptions!$E$38*Assumptions!$E$39+AG25*Assumptions!$E$43)</f>
        <v>2740.36429424589</v>
      </c>
      <c r="AH31" s="61" t="n">
        <f aca="false">Assumptions!$E$49*AH8*(AH15+AH13*Assumptions!$E$44+AH19*Assumptions!$E$31*Assumptions!$E$32+AH23*Assumptions!$E$38*Assumptions!$E$39+AH25*Assumptions!$E$43)</f>
        <v>2813.77485797638</v>
      </c>
      <c r="AI31" s="61" t="n">
        <f aca="false">Assumptions!$E$49*AI8*(AI15+AI13*Assumptions!$E$44+AI19*Assumptions!$E$31*Assumptions!$E$32+AI23*Assumptions!$E$38*Assumptions!$E$39+AI25*Assumptions!$E$43)</f>
        <v>2891.80030324694</v>
      </c>
      <c r="AJ31" s="61" t="n">
        <f aca="false">Assumptions!$E$49*AJ8*(AJ15+AJ13*Assumptions!$E$44+AJ19*Assumptions!$E$31*Assumptions!$E$32+AJ23*Assumptions!$E$38*Assumptions!$E$39+AJ25*Assumptions!$E$43)</f>
        <v>2974.92786493703</v>
      </c>
      <c r="AK31" s="61" t="n">
        <f aca="false">Assumptions!$E$49*AK8*(AK15+AK13*Assumptions!$E$44+AK19*Assumptions!$E$31*Assumptions!$E$32+AK23*Assumptions!$E$38*Assumptions!$E$39+AK25*Assumptions!$E$43)</f>
        <v>3063.68457331471</v>
      </c>
      <c r="AL31" s="61" t="n">
        <f aca="false">Assumptions!$E$49*AL8*(AL15+AL13*Assumptions!$E$44+AL19*Assumptions!$E$31*Assumptions!$E$32+AL23*Assumptions!$E$38*Assumptions!$E$39+AL25*Assumptions!$E$43)</f>
        <v>3158.64043658641</v>
      </c>
      <c r="AM31" s="61" t="n">
        <f aca="false">SUM(C31:AL31)</f>
        <v>83648.1205396185</v>
      </c>
    </row>
    <row r="32" customFormat="false" ht="15" hidden="false" customHeight="false" outlineLevel="0" collapsed="false">
      <c r="A32" s="37" t="s">
        <v>767</v>
      </c>
      <c r="B32" s="9" t="s">
        <v>51</v>
      </c>
      <c r="C32" s="71" t="n">
        <f aca="false">MIN(C31,C30)</f>
        <v>0</v>
      </c>
      <c r="D32" s="71" t="n">
        <f aca="false">MIN(D31,D30)</f>
        <v>5020.02364998621</v>
      </c>
      <c r="E32" s="71" t="n">
        <f aca="false">MIN(E31,E30)</f>
        <v>2465.73682901655</v>
      </c>
      <c r="F32" s="71" t="n">
        <f aca="false">MIN(F31,F30)</f>
        <v>2242.15725290047</v>
      </c>
      <c r="G32" s="71" t="n">
        <f aca="false">MIN(G31,G30)</f>
        <v>2125.74983363358</v>
      </c>
      <c r="H32" s="71" t="n">
        <f aca="false">MIN(H31,H30)</f>
        <v>2047.03547689238</v>
      </c>
      <c r="I32" s="71" t="n">
        <f aca="false">MIN(I31,I30)</f>
        <v>1986.79102519935</v>
      </c>
      <c r="J32" s="71" t="n">
        <f aca="false">MIN(J31,J30)</f>
        <v>1961.49763931155</v>
      </c>
      <c r="K32" s="71" t="n">
        <f aca="false">MIN(K31,K30)</f>
        <v>1942.00050532617</v>
      </c>
      <c r="L32" s="71" t="n">
        <f aca="false">MIN(L31,L30)</f>
        <v>1932.43076214449</v>
      </c>
      <c r="M32" s="71" t="n">
        <f aca="false">MIN(M31,M30)</f>
        <v>1931.39747817414</v>
      </c>
      <c r="N32" s="71" t="n">
        <f aca="false">MIN(N31,N30)</f>
        <v>1937.55720009889</v>
      </c>
      <c r="O32" s="71" t="n">
        <f aca="false">MIN(O31,O30)</f>
        <v>1949.75556401203</v>
      </c>
      <c r="P32" s="71" t="n">
        <f aca="false">MIN(P31,P30)</f>
        <v>1967.05500825437</v>
      </c>
      <c r="Q32" s="71" t="n">
        <f aca="false">MIN(Q31,Q30)</f>
        <v>1988.71272843236</v>
      </c>
      <c r="R32" s="71" t="n">
        <f aca="false">MIN(R31,R30)</f>
        <v>2014.15329041288</v>
      </c>
      <c r="S32" s="71" t="n">
        <f aca="false">MIN(S31,S30)</f>
        <v>2042.94272894667</v>
      </c>
      <c r="T32" s="71" t="n">
        <f aca="false">MIN(T31,T30)</f>
        <v>2074.76592330697</v>
      </c>
      <c r="U32" s="71" t="n">
        <f aca="false">MIN(U31,U30)</f>
        <v>2109.40755623509</v>
      </c>
      <c r="V32" s="71" t="n">
        <f aca="false">MIN(V31,V30)</f>
        <v>2146.73645849308</v>
      </c>
      <c r="W32" s="71" t="n">
        <f aca="false">MIN(W31,W30)</f>
        <v>2186.69296454648</v>
      </c>
      <c r="X32" s="71" t="n">
        <f aca="false">MIN(X31,X30)</f>
        <v>2229.27886476366</v>
      </c>
      <c r="Y32" s="71" t="n">
        <f aca="false">MIN(Y31,Y30)</f>
        <v>2274.54955878929</v>
      </c>
      <c r="Z32" s="71" t="n">
        <f aca="false">MIN(Z31,Z30)</f>
        <v>2322.60805796259</v>
      </c>
      <c r="AA32" s="71" t="n">
        <f aca="false">MIN(AA31,AA30)</f>
        <v>2373.60053487184</v>
      </c>
      <c r="AB32" s="71" t="n">
        <f aca="false">MIN(AB31,AB30)</f>
        <v>2427.71316740872</v>
      </c>
      <c r="AC32" s="71" t="n">
        <f aca="false">MIN(AC31,AC30)</f>
        <v>2484.35206091286</v>
      </c>
      <c r="AD32" s="71" t="n">
        <f aca="false">MIN(AD31,AD30)</f>
        <v>2543.4868229502</v>
      </c>
      <c r="AE32" s="71" t="n">
        <f aca="false">MIN(AE31,AE30)</f>
        <v>2605.6209444433</v>
      </c>
      <c r="AF32" s="71" t="n">
        <f aca="false">MIN(AF31,AF30)</f>
        <v>2671.11832188503</v>
      </c>
      <c r="AG32" s="71" t="n">
        <f aca="false">MIN(AG31,AG30)</f>
        <v>2740.36429424589</v>
      </c>
      <c r="AH32" s="71" t="n">
        <f aca="false">MIN(AH31,AH30)</f>
        <v>2813.77485797638</v>
      </c>
      <c r="AI32" s="71" t="n">
        <f aca="false">MIN(AI31,AI30)</f>
        <v>2891.80030324694</v>
      </c>
      <c r="AJ32" s="71" t="n">
        <f aca="false">MIN(AJ31,AJ30)</f>
        <v>2974.92786493703</v>
      </c>
      <c r="AK32" s="71" t="n">
        <f aca="false">MIN(AK31,AK30)</f>
        <v>3063.68457331471</v>
      </c>
      <c r="AL32" s="71" t="n">
        <f aca="false">MIN(AL31,AL30)</f>
        <v>3158.64043658641</v>
      </c>
      <c r="AM32" s="71" t="n">
        <f aca="false">SUM(C32:AL32)</f>
        <v>83648.1205396185</v>
      </c>
    </row>
    <row r="33" customFormat="false" ht="15" hidden="false" customHeight="false" outlineLevel="0" collapsed="false">
      <c r="A33" s="10" t="s">
        <v>768</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769</v>
      </c>
      <c r="B34" s="9" t="s">
        <v>51</v>
      </c>
      <c r="C34" s="61" t="n">
        <f aca="false">C32*Assumptions!$E$51</f>
        <v>0</v>
      </c>
      <c r="D34" s="61" t="n">
        <f aca="false">D32*Assumptions!$E$51</f>
        <v>2008.00945999448</v>
      </c>
      <c r="E34" s="61" t="n">
        <f aca="false">E32*Assumptions!$E$51</f>
        <v>986.294731606619</v>
      </c>
      <c r="F34" s="61" t="n">
        <f aca="false">F32*Assumptions!$E$51</f>
        <v>896.862901160187</v>
      </c>
      <c r="G34" s="61" t="n">
        <f aca="false">G32*Assumptions!$E$51</f>
        <v>850.299933453433</v>
      </c>
      <c r="H34" s="61" t="n">
        <f aca="false">H32*Assumptions!$E$51</f>
        <v>818.814190756952</v>
      </c>
      <c r="I34" s="61" t="n">
        <f aca="false">I32*Assumptions!$E$51</f>
        <v>794.71641007974</v>
      </c>
      <c r="J34" s="61" t="n">
        <f aca="false">J32*Assumptions!$E$51</f>
        <v>784.599055724618</v>
      </c>
      <c r="K34" s="61" t="n">
        <f aca="false">K32*Assumptions!$E$51</f>
        <v>776.800202130468</v>
      </c>
      <c r="L34" s="61" t="n">
        <f aca="false">L32*Assumptions!$E$51</f>
        <v>772.972304857795</v>
      </c>
      <c r="M34" s="61" t="n">
        <f aca="false">M32*Assumptions!$E$51</f>
        <v>772.558991269657</v>
      </c>
      <c r="N34" s="61" t="n">
        <f aca="false">N32*Assumptions!$E$51</f>
        <v>775.022880039557</v>
      </c>
      <c r="O34" s="61" t="n">
        <f aca="false">O32*Assumptions!$E$51</f>
        <v>779.902225604814</v>
      </c>
      <c r="P34" s="61" t="n">
        <f aca="false">P32*Assumptions!$E$51</f>
        <v>786.82200330175</v>
      </c>
      <c r="Q34" s="61" t="n">
        <f aca="false">Q32*Assumptions!$E$51</f>
        <v>795.485091372944</v>
      </c>
      <c r="R34" s="61" t="n">
        <f aca="false">R32*Assumptions!$E$51</f>
        <v>805.66131616515</v>
      </c>
      <c r="S34" s="61" t="n">
        <f aca="false">S32*Assumptions!$E$51</f>
        <v>817.177091578668</v>
      </c>
      <c r="T34" s="61" t="n">
        <f aca="false">T32*Assumptions!$E$51</f>
        <v>829.906369322789</v>
      </c>
      <c r="U34" s="61" t="n">
        <f aca="false">U32*Assumptions!$E$51</f>
        <v>843.763022494035</v>
      </c>
      <c r="V34" s="61" t="n">
        <f aca="false">V32*Assumptions!$E$51</f>
        <v>858.694583397231</v>
      </c>
      <c r="W34" s="61" t="n">
        <f aca="false">W32*Assumptions!$E$51</f>
        <v>874.677185818592</v>
      </c>
      <c r="X34" s="61" t="n">
        <f aca="false">X32*Assumptions!$E$51</f>
        <v>891.711545905465</v>
      </c>
      <c r="Y34" s="61" t="n">
        <f aca="false">Y32*Assumptions!$E$51</f>
        <v>909.819823515718</v>
      </c>
      <c r="Z34" s="61" t="n">
        <f aca="false">Z32*Assumptions!$E$51</f>
        <v>929.043223185036</v>
      </c>
      <c r="AA34" s="61" t="n">
        <f aca="false">AA32*Assumptions!$E$51</f>
        <v>949.440213948736</v>
      </c>
      <c r="AB34" s="61" t="n">
        <f aca="false">AB32*Assumptions!$E$51</f>
        <v>971.08526696349</v>
      </c>
      <c r="AC34" s="61" t="n">
        <f aca="false">AC32*Assumptions!$E$51</f>
        <v>993.740824365144</v>
      </c>
      <c r="AD34" s="61" t="n">
        <f aca="false">AD32*Assumptions!$E$51</f>
        <v>1017.39472918008</v>
      </c>
      <c r="AE34" s="61" t="n">
        <f aca="false">AE32*Assumptions!$E$51</f>
        <v>1042.24837777732</v>
      </c>
      <c r="AF34" s="61" t="n">
        <f aca="false">AF32*Assumptions!$E$51</f>
        <v>1068.44732875401</v>
      </c>
      <c r="AG34" s="61" t="n">
        <f aca="false">AG32*Assumptions!$E$51</f>
        <v>1096.14571769836</v>
      </c>
      <c r="AH34" s="61" t="n">
        <f aca="false">AH32*Assumptions!$E$51</f>
        <v>1125.50994319055</v>
      </c>
      <c r="AI34" s="61" t="n">
        <f aca="false">AI32*Assumptions!$E$51</f>
        <v>1156.72012129878</v>
      </c>
      <c r="AJ34" s="61" t="n">
        <f aca="false">AJ32*Assumptions!$E$51</f>
        <v>1189.97114597481</v>
      </c>
      <c r="AK34" s="61" t="n">
        <f aca="false">AK32*Assumptions!$E$51</f>
        <v>1225.47382932588</v>
      </c>
      <c r="AL34" s="61" t="n">
        <f aca="false">AL32*Assumptions!$E$51</f>
        <v>1263.45617463456</v>
      </c>
      <c r="AM34" s="61" t="n">
        <f aca="false">SUM(C34:AL34)</f>
        <v>33459.2482158474</v>
      </c>
    </row>
    <row r="35" customFormat="false" ht="15" hidden="false" customHeight="false" outlineLevel="0" collapsed="false">
      <c r="A35" s="10" t="s">
        <v>770</v>
      </c>
      <c r="B35" s="9" t="s">
        <v>51</v>
      </c>
      <c r="C35" s="61" t="n">
        <f aca="false">C32*(1-Assumptions!$E$51)</f>
        <v>0</v>
      </c>
      <c r="D35" s="61" t="n">
        <f aca="false">D32*(1-Assumptions!$E$51)</f>
        <v>3012.01418999172</v>
      </c>
      <c r="E35" s="61" t="n">
        <f aca="false">E32*(1-Assumptions!$E$51)</f>
        <v>1479.44209740993</v>
      </c>
      <c r="F35" s="61" t="n">
        <f aca="false">F32*(1-Assumptions!$E$51)</f>
        <v>1345.29435174028</v>
      </c>
      <c r="G35" s="61" t="n">
        <f aca="false">G32*(1-Assumptions!$E$51)</f>
        <v>1275.44990018015</v>
      </c>
      <c r="H35" s="61" t="n">
        <f aca="false">H32*(1-Assumptions!$E$51)</f>
        <v>1228.22128613543</v>
      </c>
      <c r="I35" s="61" t="n">
        <f aca="false">I32*(1-Assumptions!$E$51)</f>
        <v>1192.07461511961</v>
      </c>
      <c r="J35" s="61" t="n">
        <f aca="false">J32*(1-Assumptions!$E$51)</f>
        <v>1176.89858358693</v>
      </c>
      <c r="K35" s="61" t="n">
        <f aca="false">K32*(1-Assumptions!$E$51)</f>
        <v>1165.2003031957</v>
      </c>
      <c r="L35" s="61" t="n">
        <f aca="false">L32*(1-Assumptions!$E$51)</f>
        <v>1159.45845728669</v>
      </c>
      <c r="M35" s="61" t="n">
        <f aca="false">M32*(1-Assumptions!$E$51)</f>
        <v>1158.83848690449</v>
      </c>
      <c r="N35" s="61" t="n">
        <f aca="false">N32*(1-Assumptions!$E$51)</f>
        <v>1162.53432005934</v>
      </c>
      <c r="O35" s="61" t="n">
        <f aca="false">O32*(1-Assumptions!$E$51)</f>
        <v>1169.85333840722</v>
      </c>
      <c r="P35" s="61" t="n">
        <f aca="false">P32*(1-Assumptions!$E$51)</f>
        <v>1180.23300495262</v>
      </c>
      <c r="Q35" s="61" t="n">
        <f aca="false">Q32*(1-Assumptions!$E$51)</f>
        <v>1193.22763705942</v>
      </c>
      <c r="R35" s="61" t="n">
        <f aca="false">R32*(1-Assumptions!$E$51)</f>
        <v>1208.49197424773</v>
      </c>
      <c r="S35" s="61" t="n">
        <f aca="false">S32*(1-Assumptions!$E$51)</f>
        <v>1225.765637368</v>
      </c>
      <c r="T35" s="61" t="n">
        <f aca="false">T32*(1-Assumptions!$E$51)</f>
        <v>1244.85955398418</v>
      </c>
      <c r="U35" s="61" t="n">
        <f aca="false">U32*(1-Assumptions!$E$51)</f>
        <v>1265.64453374105</v>
      </c>
      <c r="V35" s="61" t="n">
        <f aca="false">V32*(1-Assumptions!$E$51)</f>
        <v>1288.04187509585</v>
      </c>
      <c r="W35" s="61" t="n">
        <f aca="false">W32*(1-Assumptions!$E$51)</f>
        <v>1312.01577872789</v>
      </c>
      <c r="X35" s="61" t="n">
        <f aca="false">X32*(1-Assumptions!$E$51)</f>
        <v>1337.5673188582</v>
      </c>
      <c r="Y35" s="61" t="n">
        <f aca="false">Y32*(1-Assumptions!$E$51)</f>
        <v>1364.72973527358</v>
      </c>
      <c r="Z35" s="61" t="n">
        <f aca="false">Z32*(1-Assumptions!$E$51)</f>
        <v>1393.56483477755</v>
      </c>
      <c r="AA35" s="61" t="n">
        <f aca="false">AA32*(1-Assumptions!$E$51)</f>
        <v>1424.1603209231</v>
      </c>
      <c r="AB35" s="61" t="n">
        <f aca="false">AB32*(1-Assumptions!$E$51)</f>
        <v>1456.62790044523</v>
      </c>
      <c r="AC35" s="61" t="n">
        <f aca="false">AC32*(1-Assumptions!$E$51)</f>
        <v>1490.61123654772</v>
      </c>
      <c r="AD35" s="61" t="n">
        <f aca="false">AD32*(1-Assumptions!$E$51)</f>
        <v>1526.09209377012</v>
      </c>
      <c r="AE35" s="61" t="n">
        <f aca="false">AE32*(1-Assumptions!$E$51)</f>
        <v>1563.37256666598</v>
      </c>
      <c r="AF35" s="61" t="n">
        <f aca="false">AF32*(1-Assumptions!$E$51)</f>
        <v>1602.67099313102</v>
      </c>
      <c r="AG35" s="61" t="n">
        <f aca="false">AG32*(1-Assumptions!$E$51)</f>
        <v>1644.21857654753</v>
      </c>
      <c r="AH35" s="61" t="n">
        <f aca="false">AH32*(1-Assumptions!$E$51)</f>
        <v>1688.26491478583</v>
      </c>
      <c r="AI35" s="61" t="n">
        <f aca="false">AI32*(1-Assumptions!$E$51)</f>
        <v>1735.08018194817</v>
      </c>
      <c r="AJ35" s="61" t="n">
        <f aca="false">AJ32*(1-Assumptions!$E$51)</f>
        <v>1784.95671896222</v>
      </c>
      <c r="AK35" s="61" t="n">
        <f aca="false">AK32*(1-Assumptions!$E$51)</f>
        <v>1838.21074398882</v>
      </c>
      <c r="AL35" s="61" t="n">
        <f aca="false">AL32*(1-Assumptions!$E$51)</f>
        <v>1895.18426195184</v>
      </c>
      <c r="AM35" s="61" t="n">
        <f aca="false">SUM(C35:AL35)</f>
        <v>50188.8723237711</v>
      </c>
    </row>
    <row r="36" customFormat="false" ht="15" hidden="false" customHeight="false" outlineLevel="0" collapsed="false">
      <c r="A36" s="37" t="s">
        <v>771</v>
      </c>
      <c r="B36" s="9" t="s">
        <v>51</v>
      </c>
      <c r="C36" s="71" t="n">
        <f aca="false">C34</f>
        <v>0</v>
      </c>
      <c r="D36" s="71" t="n">
        <f aca="false">C36*(1-Assumptions!$E$52)+D34</f>
        <v>2008.00945999448</v>
      </c>
      <c r="E36" s="71" t="n">
        <f aca="false">D36*(1-Assumptions!$E$52)+E34</f>
        <v>2853.74352940149</v>
      </c>
      <c r="F36" s="71" t="n">
        <f aca="false">E36*(1-Assumptions!$E$52)+F34</f>
        <v>3550.84438350357</v>
      </c>
      <c r="G36" s="71" t="n">
        <f aca="false">F36*(1-Assumptions!$E$52)+G34</f>
        <v>4152.58521011175</v>
      </c>
      <c r="H36" s="71" t="n">
        <f aca="false">G36*(1-Assumptions!$E$52)+H34</f>
        <v>4680.71843616088</v>
      </c>
      <c r="I36" s="71" t="n">
        <f aca="false">H36*(1-Assumptions!$E$52)+I34</f>
        <v>5147.78455570936</v>
      </c>
      <c r="J36" s="71" t="n">
        <f aca="false">I36*(1-Assumptions!$E$52)+J34</f>
        <v>5572.03869253432</v>
      </c>
      <c r="K36" s="71" t="n">
        <f aca="false">J36*(1-Assumptions!$E$52)+K34</f>
        <v>5958.79618618739</v>
      </c>
      <c r="L36" s="71" t="n">
        <f aca="false">K36*(1-Assumptions!$E$52)+L34</f>
        <v>6314.65275801207</v>
      </c>
      <c r="M36" s="71" t="n">
        <f aca="false">L36*(1-Assumptions!$E$52)+M34</f>
        <v>6645.18605622088</v>
      </c>
      <c r="N36" s="71" t="n">
        <f aca="false">M36*(1-Assumptions!$E$52)+N34</f>
        <v>6955.04591232497</v>
      </c>
      <c r="O36" s="71" t="n">
        <f aca="false">N36*(1-Assumptions!$E$52)+O34</f>
        <v>7248.09492406704</v>
      </c>
      <c r="P36" s="71" t="n">
        <f aca="false">O36*(1-Assumptions!$E$52)+P34</f>
        <v>7527.5502826841</v>
      </c>
      <c r="Q36" s="71" t="n">
        <f aca="false">P36*(1-Assumptions!$E$52)+Q34</f>
        <v>7796.10685426915</v>
      </c>
      <c r="R36" s="71" t="n">
        <f aca="false">Q36*(1-Assumptions!$E$52)+R34</f>
        <v>8056.04069063546</v>
      </c>
      <c r="S36" s="71" t="n">
        <f aca="false">R36*(1-Assumptions!$E$52)+S34</f>
        <v>8309.29493386965</v>
      </c>
      <c r="T36" s="71" t="n">
        <f aca="false">S36*(1-Assumptions!$E$52)+T34</f>
        <v>8557.55065782156</v>
      </c>
      <c r="U36" s="71" t="n">
        <f aca="false">T36*(1-Assumptions!$E$52)+U34</f>
        <v>8802.28513426808</v>
      </c>
      <c r="V36" s="71" t="n">
        <f aca="false">U36*(1-Assumptions!$E$52)+V34</f>
        <v>9044.81975826655</v>
      </c>
      <c r="W36" s="71" t="n">
        <f aca="false">V36*(1-Assumptions!$E$52)+W34</f>
        <v>9286.35956100648</v>
      </c>
      <c r="X36" s="71" t="n">
        <f aca="false">W36*(1-Assumptions!$E$52)+X34</f>
        <v>9528.02593764149</v>
      </c>
      <c r="Y36" s="71" t="n">
        <f aca="false">X36*(1-Assumptions!$E$52)+Y34</f>
        <v>9770.8839455223</v>
      </c>
      <c r="Z36" s="71" t="n">
        <f aca="false">Y36*(1-Assumptions!$E$52)+Z34</f>
        <v>10015.9652925208</v>
      </c>
      <c r="AA36" s="71" t="n">
        <f aca="false">Z36*(1-Assumptions!$E$52)+AA34</f>
        <v>10264.2879359931</v>
      </c>
      <c r="AB36" s="71" t="n">
        <f aca="false">AA36*(1-Assumptions!$E$52)+AB34</f>
        <v>10516.873047437</v>
      </c>
      <c r="AC36" s="71" t="n">
        <f aca="false">AB36*(1-Assumptions!$E$52)+AC34</f>
        <v>10774.4327584816</v>
      </c>
      <c r="AD36" s="71" t="n">
        <f aca="false">AC36*(1-Assumptions!$E$52)+AD34</f>
        <v>11037.617194568</v>
      </c>
      <c r="AE36" s="71" t="n">
        <f aca="false">AD36*(1-Assumptions!$E$52)+AE34</f>
        <v>11307.2323687255</v>
      </c>
      <c r="AF36" s="71" t="n">
        <f aca="false">AE36*(1-Assumptions!$E$52)+AF34</f>
        <v>11584.1734316687</v>
      </c>
      <c r="AG36" s="71" t="n">
        <f aca="false">AF36*(1-Assumptions!$E$52)+AG34</f>
        <v>11869.4270091503</v>
      </c>
      <c r="AH36" s="71" t="n">
        <f aca="false">AG36*(1-Assumptions!$E$52)+AH34</f>
        <v>12164.0770617003</v>
      </c>
      <c r="AI36" s="71" t="n">
        <f aca="false">AH36*(1-Assumptions!$E$52)+AI34</f>
        <v>12469.3117886801</v>
      </c>
      <c r="AJ36" s="71" t="n">
        <f aca="false">AI36*(1-Assumptions!$E$52)+AJ34</f>
        <v>12786.4311094473</v>
      </c>
      <c r="AK36" s="71" t="n">
        <f aca="false">AJ36*(1-Assumptions!$E$52)+AK34</f>
        <v>13116.8547611118</v>
      </c>
      <c r="AL36" s="71" t="n">
        <f aca="false">AK36*(1-Assumptions!$E$52)+AL34</f>
        <v>13462.1311024686</v>
      </c>
      <c r="AM36" s="71" t="n">
        <f aca="false">AL36</f>
        <v>13462.1311024686</v>
      </c>
    </row>
    <row r="37" customFormat="false" ht="15" hidden="false" customHeight="false" outlineLevel="0" collapsed="false">
      <c r="A37" s="10" t="s">
        <v>772</v>
      </c>
      <c r="B37" s="9" t="s">
        <v>51</v>
      </c>
      <c r="C37" s="61" t="n">
        <f aca="false">0</f>
        <v>0</v>
      </c>
      <c r="D37" s="61" t="n">
        <f aca="false">C36*Assumptions!$E$52</f>
        <v>0</v>
      </c>
      <c r="E37" s="61" t="n">
        <f aca="false">D36*Assumptions!$E$52</f>
        <v>140.560662199614</v>
      </c>
      <c r="F37" s="61" t="n">
        <f aca="false">E36*Assumptions!$E$52</f>
        <v>199.762047058104</v>
      </c>
      <c r="G37" s="61" t="n">
        <f aca="false">F36*Assumptions!$E$52</f>
        <v>248.55910684525</v>
      </c>
      <c r="H37" s="61" t="n">
        <f aca="false">G36*Assumptions!$E$52</f>
        <v>290.680964707823</v>
      </c>
      <c r="I37" s="61" t="n">
        <f aca="false">H36*Assumptions!$E$52</f>
        <v>327.650290531262</v>
      </c>
      <c r="J37" s="61" t="n">
        <f aca="false">I36*Assumptions!$E$52</f>
        <v>360.344918899655</v>
      </c>
      <c r="K37" s="61" t="n">
        <f aca="false">J36*Assumptions!$E$52</f>
        <v>390.042708477403</v>
      </c>
      <c r="L37" s="61" t="n">
        <f aca="false">K36*Assumptions!$E$52</f>
        <v>417.115733033117</v>
      </c>
      <c r="M37" s="61" t="n">
        <f aca="false">L36*Assumptions!$E$52</f>
        <v>442.025693060845</v>
      </c>
      <c r="N37" s="61" t="n">
        <f aca="false">M36*Assumptions!$E$52</f>
        <v>465.163023935461</v>
      </c>
      <c r="O37" s="61" t="n">
        <f aca="false">N36*Assumptions!$E$52</f>
        <v>486.853213862748</v>
      </c>
      <c r="P37" s="61" t="n">
        <f aca="false">O36*Assumptions!$E$52</f>
        <v>507.366644684693</v>
      </c>
      <c r="Q37" s="61" t="n">
        <f aca="false">P36*Assumptions!$E$52</f>
        <v>526.928519787887</v>
      </c>
      <c r="R37" s="61" t="n">
        <f aca="false">Q36*Assumptions!$E$52</f>
        <v>545.727479798841</v>
      </c>
      <c r="S37" s="61" t="n">
        <f aca="false">R36*Assumptions!$E$52</f>
        <v>563.922848344482</v>
      </c>
      <c r="T37" s="61" t="n">
        <f aca="false">S36*Assumptions!$E$52</f>
        <v>581.650645370875</v>
      </c>
      <c r="U37" s="61" t="n">
        <f aca="false">T36*Assumptions!$E$52</f>
        <v>599.028546047509</v>
      </c>
      <c r="V37" s="61" t="n">
        <f aca="false">U36*Assumptions!$E$52</f>
        <v>616.159959398766</v>
      </c>
      <c r="W37" s="61" t="n">
        <f aca="false">V36*Assumptions!$E$52</f>
        <v>633.137383078658</v>
      </c>
      <c r="X37" s="61" t="n">
        <f aca="false">W36*Assumptions!$E$52</f>
        <v>650.045169270454</v>
      </c>
      <c r="Y37" s="61" t="n">
        <f aca="false">X36*Assumptions!$E$52</f>
        <v>666.961815634904</v>
      </c>
      <c r="Z37" s="61" t="n">
        <f aca="false">Y36*Assumptions!$E$52</f>
        <v>683.961876186561</v>
      </c>
      <c r="AA37" s="61" t="n">
        <f aca="false">Z36*Assumptions!$E$52</f>
        <v>701.117570476455</v>
      </c>
      <c r="AB37" s="61" t="n">
        <f aca="false">AA36*Assumptions!$E$52</f>
        <v>718.500155519514</v>
      </c>
      <c r="AC37" s="61" t="n">
        <f aca="false">AB36*Assumptions!$E$52</f>
        <v>736.181113320592</v>
      </c>
      <c r="AD37" s="61" t="n">
        <f aca="false">AC36*Assumptions!$E$52</f>
        <v>754.210293093711</v>
      </c>
      <c r="AE37" s="61" t="n">
        <f aca="false">AD36*Assumptions!$E$52</f>
        <v>772.633203619757</v>
      </c>
      <c r="AF37" s="61" t="n">
        <f aca="false">AE36*Assumptions!$E$52</f>
        <v>791.506265810786</v>
      </c>
      <c r="AG37" s="61" t="n">
        <f aca="false">AF36*Assumptions!$E$52</f>
        <v>810.892140216812</v>
      </c>
      <c r="AH37" s="61" t="n">
        <f aca="false">AG36*Assumptions!$E$52</f>
        <v>830.85989064052</v>
      </c>
      <c r="AI37" s="61" t="n">
        <f aca="false">AH36*Assumptions!$E$52</f>
        <v>851.485394319022</v>
      </c>
      <c r="AJ37" s="61" t="n">
        <f aca="false">AI36*Assumptions!$E$52</f>
        <v>872.851825207605</v>
      </c>
      <c r="AK37" s="61" t="n">
        <f aca="false">AJ36*Assumptions!$E$52</f>
        <v>895.050177661309</v>
      </c>
      <c r="AL37" s="61" t="n">
        <f aca="false">AK36*Assumptions!$E$52</f>
        <v>918.179833277829</v>
      </c>
      <c r="AM37" s="61" t="n">
        <f aca="false">SUM(C37:AL37)</f>
        <v>19997.1171133788</v>
      </c>
    </row>
    <row r="38" customFormat="false" ht="15" hidden="false" customHeight="false" outlineLevel="0" collapsed="false">
      <c r="A38" s="10" t="s">
        <v>773</v>
      </c>
      <c r="B38" s="9" t="s">
        <v>51</v>
      </c>
      <c r="C38" s="61" t="n">
        <f aca="false">0</f>
        <v>0</v>
      </c>
      <c r="D38" s="61" t="n">
        <f aca="false">C35*Assumptions!$E$53</f>
        <v>0</v>
      </c>
      <c r="E38" s="61" t="n">
        <f aca="false">D35*Assumptions!$E$53</f>
        <v>331.32156089909</v>
      </c>
      <c r="F38" s="61" t="n">
        <f aca="false">E35*Assumptions!$E$53</f>
        <v>162.738630715092</v>
      </c>
      <c r="G38" s="61" t="n">
        <f aca="false">F35*Assumptions!$E$53</f>
        <v>147.982378691431</v>
      </c>
      <c r="H38" s="61" t="n">
        <f aca="false">G35*Assumptions!$E$53</f>
        <v>140.299489019816</v>
      </c>
      <c r="I38" s="61" t="n">
        <f aca="false">H35*Assumptions!$E$53</f>
        <v>135.104341474897</v>
      </c>
      <c r="J38" s="61" t="n">
        <f aca="false">I35*Assumptions!$E$53</f>
        <v>131.128207663157</v>
      </c>
      <c r="K38" s="61" t="n">
        <f aca="false">J35*Assumptions!$E$53</f>
        <v>129.458844194562</v>
      </c>
      <c r="L38" s="61" t="n">
        <f aca="false">K35*Assumptions!$E$53</f>
        <v>128.172033351527</v>
      </c>
      <c r="M38" s="61" t="n">
        <f aca="false">L35*Assumptions!$E$53</f>
        <v>127.540430301536</v>
      </c>
      <c r="N38" s="61" t="n">
        <f aca="false">M35*Assumptions!$E$53</f>
        <v>127.472233559493</v>
      </c>
      <c r="O38" s="61" t="n">
        <f aca="false">N35*Assumptions!$E$53</f>
        <v>127.878775206527</v>
      </c>
      <c r="P38" s="61" t="n">
        <f aca="false">O35*Assumptions!$E$53</f>
        <v>128.683867224794</v>
      </c>
      <c r="Q38" s="61" t="n">
        <f aca="false">P35*Assumptions!$E$53</f>
        <v>129.825630544789</v>
      </c>
      <c r="R38" s="61" t="n">
        <f aca="false">Q35*Assumptions!$E$53</f>
        <v>131.255040076536</v>
      </c>
      <c r="S38" s="61" t="n">
        <f aca="false">R35*Assumptions!$E$53</f>
        <v>132.93411716725</v>
      </c>
      <c r="T38" s="61" t="n">
        <f aca="false">S35*Assumptions!$E$53</f>
        <v>134.83422011048</v>
      </c>
      <c r="U38" s="61" t="n">
        <f aca="false">T35*Assumptions!$E$53</f>
        <v>136.93455093826</v>
      </c>
      <c r="V38" s="61" t="n">
        <f aca="false">U35*Assumptions!$E$53</f>
        <v>139.220898711516</v>
      </c>
      <c r="W38" s="61" t="n">
        <f aca="false">V35*Assumptions!$E$53</f>
        <v>141.684606260543</v>
      </c>
      <c r="X38" s="61" t="n">
        <f aca="false">W35*Assumptions!$E$53</f>
        <v>144.321735660068</v>
      </c>
      <c r="Y38" s="61" t="n">
        <f aca="false">X35*Assumptions!$E$53</f>
        <v>147.132405074402</v>
      </c>
      <c r="Z38" s="61" t="n">
        <f aca="false">Y35*Assumptions!$E$53</f>
        <v>150.120270880093</v>
      </c>
      <c r="AA38" s="61" t="n">
        <f aca="false">Z35*Assumptions!$E$53</f>
        <v>153.292131825531</v>
      </c>
      <c r="AB38" s="61" t="n">
        <f aca="false">AA35*Assumptions!$E$53</f>
        <v>156.657635301541</v>
      </c>
      <c r="AC38" s="61" t="n">
        <f aca="false">AB35*Assumptions!$E$53</f>
        <v>160.229069048976</v>
      </c>
      <c r="AD38" s="61" t="n">
        <f aca="false">AC35*Assumptions!$E$53</f>
        <v>163.967236020249</v>
      </c>
      <c r="AE38" s="61" t="n">
        <f aca="false">AD35*Assumptions!$E$53</f>
        <v>167.870130314714</v>
      </c>
      <c r="AF38" s="61" t="n">
        <f aca="false">AE35*Assumptions!$E$53</f>
        <v>171.970982333258</v>
      </c>
      <c r="AG38" s="61" t="n">
        <f aca="false">AF35*Assumptions!$E$53</f>
        <v>176.293809244412</v>
      </c>
      <c r="AH38" s="61" t="n">
        <f aca="false">AG35*Assumptions!$E$53</f>
        <v>180.864043420229</v>
      </c>
      <c r="AI38" s="61" t="n">
        <f aca="false">AH35*Assumptions!$E$53</f>
        <v>185.709140626441</v>
      </c>
      <c r="AJ38" s="61" t="n">
        <f aca="false">AI35*Assumptions!$E$53</f>
        <v>190.858820014298</v>
      </c>
      <c r="AK38" s="61" t="n">
        <f aca="false">AJ35*Assumptions!$E$53</f>
        <v>196.345239085844</v>
      </c>
      <c r="AL38" s="61" t="n">
        <f aca="false">AK35*Assumptions!$E$53</f>
        <v>202.203181838771</v>
      </c>
      <c r="AM38" s="61" t="n">
        <f aca="false">SUM(C38:AL38)</f>
        <v>5312.30568680012</v>
      </c>
    </row>
    <row r="39" customFormat="false" ht="15" hidden="false" customHeight="false" outlineLevel="0" collapsed="false">
      <c r="A39" s="37" t="s">
        <v>774</v>
      </c>
      <c r="B39" s="9" t="s">
        <v>51</v>
      </c>
      <c r="C39" s="71" t="n">
        <f aca="false">C35+C36+C38</f>
        <v>0</v>
      </c>
      <c r="D39" s="71" t="n">
        <f aca="false">D35+D36+D38</f>
        <v>5020.02364998621</v>
      </c>
      <c r="E39" s="71" t="n">
        <f aca="false">E35+E36+E38</f>
        <v>4664.50718771051</v>
      </c>
      <c r="F39" s="71" t="n">
        <f aca="false">F35+F36+F38</f>
        <v>5058.87736595894</v>
      </c>
      <c r="G39" s="71" t="n">
        <f aca="false">G35+G36+G38</f>
        <v>5576.01748898333</v>
      </c>
      <c r="H39" s="71" t="n">
        <f aca="false">H35+H36+H38</f>
        <v>6049.23921131613</v>
      </c>
      <c r="I39" s="71" t="n">
        <f aca="false">I35+I36+I38</f>
        <v>6474.96351230387</v>
      </c>
      <c r="J39" s="71" t="n">
        <f aca="false">J35+J36+J38</f>
        <v>6880.06548378441</v>
      </c>
      <c r="K39" s="71" t="n">
        <f aca="false">K35+K36+K38</f>
        <v>7253.45533357765</v>
      </c>
      <c r="L39" s="71" t="n">
        <f aca="false">L35+L36+L38</f>
        <v>7602.28324865028</v>
      </c>
      <c r="M39" s="71" t="n">
        <f aca="false">M35+M36+M38</f>
        <v>7931.5649734269</v>
      </c>
      <c r="N39" s="71" t="n">
        <f aca="false">N35+N36+N38</f>
        <v>8245.0524659438</v>
      </c>
      <c r="O39" s="71" t="n">
        <f aca="false">O35+O36+O38</f>
        <v>8545.82703768079</v>
      </c>
      <c r="P39" s="71" t="n">
        <f aca="false">P35+P36+P38</f>
        <v>8836.46715486151</v>
      </c>
      <c r="Q39" s="71" t="n">
        <f aca="false">Q35+Q36+Q38</f>
        <v>9119.16012187336</v>
      </c>
      <c r="R39" s="71" t="n">
        <f aca="false">R35+R36+R38</f>
        <v>9395.78770495972</v>
      </c>
      <c r="S39" s="71" t="n">
        <f aca="false">S35+S36+S38</f>
        <v>9667.9946884049</v>
      </c>
      <c r="T39" s="71" t="n">
        <f aca="false">T35+T36+T38</f>
        <v>9937.24443191622</v>
      </c>
      <c r="U39" s="71" t="n">
        <f aca="false">U35+U36+U38</f>
        <v>10204.8642189474</v>
      </c>
      <c r="V39" s="71" t="n">
        <f aca="false">V35+V36+V38</f>
        <v>10472.0825320739</v>
      </c>
      <c r="W39" s="71" t="n">
        <f aca="false">W35+W36+W38</f>
        <v>10740.0599459949</v>
      </c>
      <c r="X39" s="71" t="n">
        <f aca="false">X35+X36+X38</f>
        <v>11009.9149921598</v>
      </c>
      <c r="Y39" s="71" t="n">
        <f aca="false">Y35+Y36+Y38</f>
        <v>11282.7460858703</v>
      </c>
      <c r="Z39" s="71" t="n">
        <f aca="false">Z35+Z36+Z38</f>
        <v>11559.6503981784</v>
      </c>
      <c r="AA39" s="71" t="n">
        <f aca="false">AA35+AA36+AA38</f>
        <v>11841.7403887417</v>
      </c>
      <c r="AB39" s="71" t="n">
        <f aca="false">AB35+AB36+AB38</f>
        <v>12130.1585831838</v>
      </c>
      <c r="AC39" s="71" t="n">
        <f aca="false">AC35+AC36+AC38</f>
        <v>12425.2730640783</v>
      </c>
      <c r="AD39" s="71" t="n">
        <f aca="false">AD35+AD36+AD38</f>
        <v>12727.6765243583</v>
      </c>
      <c r="AE39" s="71" t="n">
        <f aca="false">AE35+AE36+AE38</f>
        <v>13038.4750657062</v>
      </c>
      <c r="AF39" s="71" t="n">
        <f aca="false">AF35+AF36+AF38</f>
        <v>13358.815407133</v>
      </c>
      <c r="AG39" s="71" t="n">
        <f aca="false">AG35+AG36+AG38</f>
        <v>13689.9393949422</v>
      </c>
      <c r="AH39" s="71" t="n">
        <f aca="false">AH35+AH36+AH38</f>
        <v>14033.2060199064</v>
      </c>
      <c r="AI39" s="71" t="n">
        <f aca="false">AI35+AI36+AI38</f>
        <v>14390.1011112547</v>
      </c>
      <c r="AJ39" s="71" t="n">
        <f aca="false">AJ35+AJ36+AJ38</f>
        <v>14762.2466484238</v>
      </c>
      <c r="AK39" s="71" t="n">
        <f aca="false">AK35+AK36+AK38</f>
        <v>15151.4107441865</v>
      </c>
      <c r="AL39" s="71" t="n">
        <f aca="false">AL35+AL36+AL38</f>
        <v>15559.5185462592</v>
      </c>
      <c r="AM39" s="71" t="n">
        <f aca="false">SUM(C39:AL39)</f>
        <v>354636.410732737</v>
      </c>
    </row>
    <row r="40" customFormat="false" ht="15" hidden="false" customHeight="false" outlineLevel="0" collapsed="false">
      <c r="A40" s="10" t="s">
        <v>775</v>
      </c>
      <c r="B40" s="9" t="s">
        <v>97</v>
      </c>
      <c r="C40" s="70" t="n">
        <f aca="false">C39*Assumptions!$E$50</f>
        <v>0</v>
      </c>
      <c r="D40" s="70" t="n">
        <f aca="false">D39*Assumptions!$E$50</f>
        <v>391561.844698924</v>
      </c>
      <c r="E40" s="70" t="n">
        <f aca="false">E39*Assumptions!$E$50</f>
        <v>363831.560641419</v>
      </c>
      <c r="F40" s="70" t="n">
        <f aca="false">F39*Assumptions!$E$50</f>
        <v>394592.434544797</v>
      </c>
      <c r="G40" s="70" t="n">
        <f aca="false">G39*Assumptions!$E$50</f>
        <v>434929.3641407</v>
      </c>
      <c r="H40" s="70" t="n">
        <f aca="false">H39*Assumptions!$E$50</f>
        <v>471840.658482658</v>
      </c>
      <c r="I40" s="70" t="n">
        <f aca="false">I39*Assumptions!$E$50</f>
        <v>505047.153959702</v>
      </c>
      <c r="J40" s="70" t="n">
        <f aca="false">J39*Assumptions!$E$50</f>
        <v>536645.107735184</v>
      </c>
      <c r="K40" s="70" t="n">
        <f aca="false">K39*Assumptions!$E$50</f>
        <v>565769.516019057</v>
      </c>
      <c r="L40" s="70" t="n">
        <f aca="false">L39*Assumptions!$E$50</f>
        <v>592978.093394722</v>
      </c>
      <c r="M40" s="70" t="n">
        <f aca="false">M39*Assumptions!$E$50</f>
        <v>618662.067927298</v>
      </c>
      <c r="N40" s="70" t="n">
        <f aca="false">N39*Assumptions!$E$50</f>
        <v>643114.092343617</v>
      </c>
      <c r="O40" s="70" t="n">
        <f aca="false">O39*Assumptions!$E$50</f>
        <v>666574.508939101</v>
      </c>
      <c r="P40" s="70" t="n">
        <f aca="false">P39*Assumptions!$E$50</f>
        <v>689244.438079198</v>
      </c>
      <c r="Q40" s="70" t="n">
        <f aca="false">Q39*Assumptions!$E$50</f>
        <v>711294.489506122</v>
      </c>
      <c r="R40" s="70" t="n">
        <f aca="false">R39*Assumptions!$E$50</f>
        <v>732871.440986858</v>
      </c>
      <c r="S40" s="70" t="n">
        <f aca="false">S39*Assumptions!$E$50</f>
        <v>754103.585695582</v>
      </c>
      <c r="T40" s="70" t="n">
        <f aca="false">T39*Assumptions!$E$50</f>
        <v>775105.065689465</v>
      </c>
      <c r="U40" s="70" t="n">
        <f aca="false">U39*Assumptions!$E$50</f>
        <v>795979.409077897</v>
      </c>
      <c r="V40" s="70" t="n">
        <f aca="false">V39*Assumptions!$E$50</f>
        <v>816822.437501765</v>
      </c>
      <c r="W40" s="70" t="n">
        <f aca="false">W39*Assumptions!$E$50</f>
        <v>837724.675787603</v>
      </c>
      <c r="X40" s="70" t="n">
        <f aca="false">X39*Assumptions!$E$50</f>
        <v>858773.369388461</v>
      </c>
      <c r="Y40" s="70" t="n">
        <f aca="false">Y39*Assumptions!$E$50</f>
        <v>880054.194697882</v>
      </c>
      <c r="Z40" s="70" t="n">
        <f aca="false">Z39*Assumptions!$E$50</f>
        <v>901652.731057917</v>
      </c>
      <c r="AA40" s="70" t="n">
        <f aca="false">AA39*Assumptions!$E$50</f>
        <v>923655.750321852</v>
      </c>
      <c r="AB40" s="70" t="n">
        <f aca="false">AB39*Assumptions!$E$50</f>
        <v>946152.369488337</v>
      </c>
      <c r="AC40" s="70" t="n">
        <f aca="false">AC39*Assumptions!$E$50</f>
        <v>969171.298998106</v>
      </c>
      <c r="AD40" s="70" t="n">
        <f aca="false">AD39*Assumptions!$E$50</f>
        <v>992758.76889995</v>
      </c>
      <c r="AE40" s="70" t="n">
        <f aca="false">AE39*Assumptions!$E$50</f>
        <v>1017001.05512508</v>
      </c>
      <c r="AF40" s="70" t="n">
        <f aca="false">AF39*Assumptions!$E$50</f>
        <v>1041987.60175638</v>
      </c>
      <c r="AG40" s="70" t="n">
        <f aca="false">AG39*Assumptions!$E$50</f>
        <v>1067815.27280549</v>
      </c>
      <c r="AH40" s="70" t="n">
        <f aca="false">AH39*Assumptions!$E$50</f>
        <v>1094590.0695527</v>
      </c>
      <c r="AI40" s="70" t="n">
        <f aca="false">AI39*Assumptions!$E$50</f>
        <v>1122427.88667786</v>
      </c>
      <c r="AJ40" s="70" t="n">
        <f aca="false">AJ39*Assumptions!$E$50</f>
        <v>1151455.23857706</v>
      </c>
      <c r="AK40" s="70" t="n">
        <f aca="false">AK39*Assumptions!$E$50</f>
        <v>1181810.03804655</v>
      </c>
      <c r="AL40" s="70" t="n">
        <f aca="false">AL39*Assumptions!$E$50</f>
        <v>1213642.44660822</v>
      </c>
      <c r="AM40" s="70" t="n">
        <f aca="false">SUM(C40:AL40)</f>
        <v>27661640.0371535</v>
      </c>
    </row>
    <row r="41" customFormat="false" ht="15" hidden="false" customHeight="false" outlineLevel="0" collapsed="false">
      <c r="A41" s="10" t="s">
        <v>776</v>
      </c>
      <c r="B41" s="9" t="s">
        <v>97</v>
      </c>
      <c r="C41" s="70" t="n">
        <f aca="false">-C40*Assumptions!$E$80</f>
        <v>-0</v>
      </c>
      <c r="D41" s="70" t="n">
        <f aca="false">-D40*Assumptions!$E$80</f>
        <v>-11746.8553409677</v>
      </c>
      <c r="E41" s="70" t="n">
        <f aca="false">-E40*Assumptions!$E$80</f>
        <v>-10914.9468192426</v>
      </c>
      <c r="F41" s="70" t="n">
        <f aca="false">-F40*Assumptions!$E$80</f>
        <v>-11837.7730363439</v>
      </c>
      <c r="G41" s="70" t="n">
        <f aca="false">-G40*Assumptions!$E$80</f>
        <v>-13047.880924221</v>
      </c>
      <c r="H41" s="70" t="n">
        <f aca="false">-H40*Assumptions!$E$80</f>
        <v>-14155.2197544797</v>
      </c>
      <c r="I41" s="70" t="n">
        <f aca="false">-I40*Assumptions!$E$80</f>
        <v>-15151.4146187911</v>
      </c>
      <c r="J41" s="70" t="n">
        <f aca="false">-J40*Assumptions!$E$80</f>
        <v>-16099.3532320555</v>
      </c>
      <c r="K41" s="70" t="n">
        <f aca="false">-K40*Assumptions!$E$80</f>
        <v>-16973.0854805717</v>
      </c>
      <c r="L41" s="70" t="n">
        <f aca="false">-L40*Assumptions!$E$80</f>
        <v>-17789.3428018417</v>
      </c>
      <c r="M41" s="70" t="n">
        <f aca="false">-M40*Assumptions!$E$80</f>
        <v>-18559.8620378189</v>
      </c>
      <c r="N41" s="70" t="n">
        <f aca="false">-N40*Assumptions!$E$80</f>
        <v>-19293.4227703085</v>
      </c>
      <c r="O41" s="70" t="n">
        <f aca="false">-O40*Assumptions!$E$80</f>
        <v>-19997.235268173</v>
      </c>
      <c r="P41" s="70" t="n">
        <f aca="false">-P40*Assumptions!$E$80</f>
        <v>-20677.3331423759</v>
      </c>
      <c r="Q41" s="70" t="n">
        <f aca="false">-Q40*Assumptions!$E$80</f>
        <v>-21338.8346851837</v>
      </c>
      <c r="R41" s="70" t="n">
        <f aca="false">-R40*Assumptions!$E$80</f>
        <v>-21986.1432296058</v>
      </c>
      <c r="S41" s="70" t="n">
        <f aca="false">-S40*Assumptions!$E$80</f>
        <v>-22623.1075708675</v>
      </c>
      <c r="T41" s="70" t="n">
        <f aca="false">-T40*Assumptions!$E$80</f>
        <v>-23253.151970684</v>
      </c>
      <c r="U41" s="70" t="n">
        <f aca="false">-U40*Assumptions!$E$80</f>
        <v>-23879.3822723369</v>
      </c>
      <c r="V41" s="70" t="n">
        <f aca="false">-V40*Assumptions!$E$80</f>
        <v>-24504.673125053</v>
      </c>
      <c r="W41" s="70" t="n">
        <f aca="false">-W40*Assumptions!$E$80</f>
        <v>-25131.7402736281</v>
      </c>
      <c r="X41" s="70" t="n">
        <f aca="false">-X40*Assumptions!$E$80</f>
        <v>-25763.2010816538</v>
      </c>
      <c r="Y41" s="70" t="n">
        <f aca="false">-Y40*Assumptions!$E$80</f>
        <v>-26401.6258409365</v>
      </c>
      <c r="Z41" s="70" t="n">
        <f aca="false">-Z40*Assumptions!$E$80</f>
        <v>-27049.5819317375</v>
      </c>
      <c r="AA41" s="70" t="n">
        <f aca="false">-AA40*Assumptions!$E$80</f>
        <v>-27709.6725096556</v>
      </c>
      <c r="AB41" s="70" t="n">
        <f aca="false">-AB40*Assumptions!$E$80</f>
        <v>-28384.5710846501</v>
      </c>
      <c r="AC41" s="70" t="n">
        <f aca="false">-AC40*Assumptions!$E$80</f>
        <v>-29075.1389699432</v>
      </c>
      <c r="AD41" s="70" t="n">
        <f aca="false">-AD40*Assumptions!$E$80</f>
        <v>-29782.7630669985</v>
      </c>
      <c r="AE41" s="70" t="n">
        <f aca="false">-AE40*Assumptions!$E$80</f>
        <v>-30510.0316537525</v>
      </c>
      <c r="AF41" s="70" t="n">
        <f aca="false">-AF40*Assumptions!$E$80</f>
        <v>-31259.6280526913</v>
      </c>
      <c r="AG41" s="70" t="n">
        <f aca="false">-AG40*Assumptions!$E$80</f>
        <v>-32034.4581841648</v>
      </c>
      <c r="AH41" s="70" t="n">
        <f aca="false">-AH40*Assumptions!$E$80</f>
        <v>-32837.7020865809</v>
      </c>
      <c r="AI41" s="70" t="n">
        <f aca="false">-AI40*Assumptions!$E$80</f>
        <v>-33672.8366003359</v>
      </c>
      <c r="AJ41" s="70" t="n">
        <f aca="false">-AJ40*Assumptions!$E$80</f>
        <v>-34543.6571573117</v>
      </c>
      <c r="AK41" s="70" t="n">
        <f aca="false">-AK40*Assumptions!$E$80</f>
        <v>-35454.3011413964</v>
      </c>
      <c r="AL41" s="70" t="n">
        <f aca="false">-AL40*Assumptions!$E$80</f>
        <v>-36409.2733982465</v>
      </c>
      <c r="AM41" s="70" t="n">
        <f aca="false">SUM(C41:AL41)</f>
        <v>-829849.201114605</v>
      </c>
    </row>
    <row r="42" customFormat="false" ht="15" hidden="false" customHeight="false" outlineLevel="0" collapsed="false">
      <c r="A42" s="37" t="s">
        <v>777</v>
      </c>
      <c r="B42" s="9" t="s">
        <v>97</v>
      </c>
      <c r="C42" s="53" t="n">
        <f aca="false">C40+C41</f>
        <v>0</v>
      </c>
      <c r="D42" s="53" t="n">
        <f aca="false">D40+D41</f>
        <v>379814.989357956</v>
      </c>
      <c r="E42" s="53" t="n">
        <f aca="false">E40+E41</f>
        <v>352916.613822177</v>
      </c>
      <c r="F42" s="53" t="n">
        <f aca="false">F40+F41</f>
        <v>382754.661508454</v>
      </c>
      <c r="G42" s="53" t="n">
        <f aca="false">G40+G41</f>
        <v>421881.483216479</v>
      </c>
      <c r="H42" s="53" t="n">
        <f aca="false">H40+H41</f>
        <v>457685.438728178</v>
      </c>
      <c r="I42" s="53" t="n">
        <f aca="false">I40+I41</f>
        <v>489895.739340911</v>
      </c>
      <c r="J42" s="53" t="n">
        <f aca="false">J40+J41</f>
        <v>520545.754503128</v>
      </c>
      <c r="K42" s="53" t="n">
        <f aca="false">K40+K41</f>
        <v>548796.430538485</v>
      </c>
      <c r="L42" s="53" t="n">
        <f aca="false">L40+L41</f>
        <v>575188.75059288</v>
      </c>
      <c r="M42" s="53" t="n">
        <f aca="false">M40+M41</f>
        <v>600102.205889479</v>
      </c>
      <c r="N42" s="53" t="n">
        <f aca="false">N40+N41</f>
        <v>623820.669573308</v>
      </c>
      <c r="O42" s="53" t="n">
        <f aca="false">O40+O41</f>
        <v>646577.273670928</v>
      </c>
      <c r="P42" s="53" t="n">
        <f aca="false">P40+P41</f>
        <v>668567.104936822</v>
      </c>
      <c r="Q42" s="53" t="n">
        <f aca="false">Q40+Q41</f>
        <v>689955.654820938</v>
      </c>
      <c r="R42" s="53" t="n">
        <f aca="false">R40+R41</f>
        <v>710885.297757253</v>
      </c>
      <c r="S42" s="53" t="n">
        <f aca="false">S40+S41</f>
        <v>731480.478124715</v>
      </c>
      <c r="T42" s="53" t="n">
        <f aca="false">T40+T41</f>
        <v>751851.913718781</v>
      </c>
      <c r="U42" s="53" t="n">
        <f aca="false">U40+U41</f>
        <v>772100.02680556</v>
      </c>
      <c r="V42" s="53" t="n">
        <f aca="false">V40+V41</f>
        <v>792317.764376712</v>
      </c>
      <c r="W42" s="53" t="n">
        <f aca="false">W40+W41</f>
        <v>812592.935513975</v>
      </c>
      <c r="X42" s="53" t="n">
        <f aca="false">X40+X41</f>
        <v>833010.168306807</v>
      </c>
      <c r="Y42" s="53" t="n">
        <f aca="false">Y40+Y41</f>
        <v>853652.568856946</v>
      </c>
      <c r="Z42" s="53" t="n">
        <f aca="false">Z40+Z41</f>
        <v>874603.14912618</v>
      </c>
      <c r="AA42" s="53" t="n">
        <f aca="false">AA40+AA41</f>
        <v>895946.077812196</v>
      </c>
      <c r="AB42" s="53" t="n">
        <f aca="false">AB40+AB41</f>
        <v>917767.798403687</v>
      </c>
      <c r="AC42" s="53" t="n">
        <f aca="false">AC40+AC41</f>
        <v>940096.160028162</v>
      </c>
      <c r="AD42" s="53" t="n">
        <f aca="false">AD40+AD41</f>
        <v>962976.005832951</v>
      </c>
      <c r="AE42" s="53" t="n">
        <f aca="false">AE40+AE41</f>
        <v>986491.023471332</v>
      </c>
      <c r="AF42" s="53" t="n">
        <f aca="false">AF40+AF41</f>
        <v>1010727.97370368</v>
      </c>
      <c r="AG42" s="53" t="n">
        <f aca="false">AG40+AG41</f>
        <v>1035780.81462133</v>
      </c>
      <c r="AH42" s="53" t="n">
        <f aca="false">AH40+AH41</f>
        <v>1061752.36746612</v>
      </c>
      <c r="AI42" s="53" t="n">
        <f aca="false">AI40+AI41</f>
        <v>1088755.05007753</v>
      </c>
      <c r="AJ42" s="53" t="n">
        <f aca="false">AJ40+AJ41</f>
        <v>1116911.58141974</v>
      </c>
      <c r="AK42" s="53" t="n">
        <f aca="false">AK40+AK41</f>
        <v>1146355.73690515</v>
      </c>
      <c r="AL42" s="53" t="n">
        <f aca="false">AL40+AL41</f>
        <v>1177233.17320997</v>
      </c>
      <c r="AM42" s="53" t="n">
        <f aca="false">SUM(C42:AL42)</f>
        <v>26831790.8360389</v>
      </c>
    </row>
    <row r="43" customFormat="false" ht="15" hidden="false" customHeight="false" outlineLevel="0" collapsed="false">
      <c r="A43" s="10" t="s">
        <v>778</v>
      </c>
      <c r="B43" s="9" t="s">
        <v>97</v>
      </c>
      <c r="C43" s="70" t="n">
        <f aca="false">-C40*Assumptions!$E$55</f>
        <v>-0</v>
      </c>
      <c r="D43" s="70" t="n">
        <f aca="false">-D40*Assumptions!$E$55</f>
        <v>-144877.882538602</v>
      </c>
      <c r="E43" s="70" t="n">
        <f aca="false">-E40*Assumptions!$E$55</f>
        <v>-134617.677437325</v>
      </c>
      <c r="F43" s="70" t="n">
        <f aca="false">-F40*Assumptions!$E$55</f>
        <v>-145999.200781575</v>
      </c>
      <c r="G43" s="70" t="n">
        <f aca="false">-G40*Assumptions!$E$55</f>
        <v>-160923.864732059</v>
      </c>
      <c r="H43" s="70" t="n">
        <f aca="false">-H40*Assumptions!$E$55</f>
        <v>-174581.043638583</v>
      </c>
      <c r="I43" s="70" t="n">
        <f aca="false">-I40*Assumptions!$E$55</f>
        <v>-186867.44696509</v>
      </c>
      <c r="J43" s="70" t="n">
        <f aca="false">-J40*Assumptions!$E$55</f>
        <v>-198558.689862018</v>
      </c>
      <c r="K43" s="70" t="n">
        <f aca="false">-K40*Assumptions!$E$55</f>
        <v>-209334.720927051</v>
      </c>
      <c r="L43" s="70" t="n">
        <f aca="false">-L40*Assumptions!$E$55</f>
        <v>-219401.894556047</v>
      </c>
      <c r="M43" s="70" t="n">
        <f aca="false">-M40*Assumptions!$E$55</f>
        <v>-228904.9651331</v>
      </c>
      <c r="N43" s="70" t="n">
        <f aca="false">-N40*Assumptions!$E$55</f>
        <v>-237952.214167138</v>
      </c>
      <c r="O43" s="70" t="n">
        <f aca="false">-O40*Assumptions!$E$55</f>
        <v>-246632.568307468</v>
      </c>
      <c r="P43" s="70" t="n">
        <f aca="false">-P40*Assumptions!$E$55</f>
        <v>-255020.442089303</v>
      </c>
      <c r="Q43" s="70" t="n">
        <f aca="false">-Q40*Assumptions!$E$55</f>
        <v>-263178.961117265</v>
      </c>
      <c r="R43" s="70" t="n">
        <f aca="false">-R40*Assumptions!$E$55</f>
        <v>-271162.433165138</v>
      </c>
      <c r="S43" s="70" t="n">
        <f aca="false">-S40*Assumptions!$E$55</f>
        <v>-279018.326707365</v>
      </c>
      <c r="T43" s="70" t="n">
        <f aca="false">-T40*Assumptions!$E$55</f>
        <v>-286788.874305102</v>
      </c>
      <c r="U43" s="70" t="n">
        <f aca="false">-U40*Assumptions!$E$55</f>
        <v>-294512.381358822</v>
      </c>
      <c r="V43" s="70" t="n">
        <f aca="false">-V40*Assumptions!$E$55</f>
        <v>-302224.301875653</v>
      </c>
      <c r="W43" s="70" t="n">
        <f aca="false">-W40*Assumptions!$E$55</f>
        <v>-309958.130041413</v>
      </c>
      <c r="X43" s="70" t="n">
        <f aca="false">-X40*Assumptions!$E$55</f>
        <v>-317746.146673731</v>
      </c>
      <c r="Y43" s="70" t="n">
        <f aca="false">-Y40*Assumptions!$E$55</f>
        <v>-325620.052038216</v>
      </c>
      <c r="Z43" s="70" t="n">
        <f aca="false">-Z40*Assumptions!$E$55</f>
        <v>-333611.510491429</v>
      </c>
      <c r="AA43" s="70" t="n">
        <f aca="false">-AA40*Assumptions!$E$55</f>
        <v>-341752.627619085</v>
      </c>
      <c r="AB43" s="70" t="n">
        <f aca="false">-AB40*Assumptions!$E$55</f>
        <v>-350076.376710685</v>
      </c>
      <c r="AC43" s="70" t="n">
        <f aca="false">-AC40*Assumptions!$E$55</f>
        <v>-358593.380629299</v>
      </c>
      <c r="AD43" s="70" t="n">
        <f aca="false">-AD40*Assumptions!$E$55</f>
        <v>-367320.744492981</v>
      </c>
      <c r="AE43" s="70" t="n">
        <f aca="false">-AE40*Assumptions!$E$55</f>
        <v>-376290.390396281</v>
      </c>
      <c r="AF43" s="70" t="n">
        <f aca="false">-AF40*Assumptions!$E$55</f>
        <v>-385535.412649859</v>
      </c>
      <c r="AG43" s="70" t="n">
        <f aca="false">-AG40*Assumptions!$E$55</f>
        <v>-395091.650938033</v>
      </c>
      <c r="AH43" s="70" t="n">
        <f aca="false">-AH40*Assumptions!$E$55</f>
        <v>-404998.325734498</v>
      </c>
      <c r="AI43" s="70" t="n">
        <f aca="false">-AI40*Assumptions!$E$55</f>
        <v>-415298.31807081</v>
      </c>
      <c r="AJ43" s="70" t="n">
        <f aca="false">-AJ40*Assumptions!$E$55</f>
        <v>-426038.438273511</v>
      </c>
      <c r="AK43" s="70" t="n">
        <f aca="false">-AK40*Assumptions!$E$55</f>
        <v>-437269.714077223</v>
      </c>
      <c r="AL43" s="70" t="n">
        <f aca="false">-AL40*Assumptions!$E$55</f>
        <v>-449047.70524504</v>
      </c>
      <c r="AM43" s="70" t="n">
        <f aca="false">SUM(C43:AL43)</f>
        <v>-10234806.8137468</v>
      </c>
    </row>
    <row r="44" customFormat="false" ht="15" hidden="false" customHeight="false" outlineLevel="0" collapsed="false">
      <c r="A44" s="10" t="s">
        <v>779</v>
      </c>
      <c r="B44" s="9" t="s">
        <v>97</v>
      </c>
      <c r="C44" s="70" t="n">
        <f aca="false">-C39*Assumptions!$E$56</f>
        <v>-0</v>
      </c>
      <c r="D44" s="70" t="n">
        <f aca="false">-D39*Assumptions!$E$56</f>
        <v>-0</v>
      </c>
      <c r="E44" s="70" t="n">
        <f aca="false">-E39*Assumptions!$E$56</f>
        <v>-0</v>
      </c>
      <c r="F44" s="70" t="n">
        <f aca="false">-F39*Assumptions!$E$56</f>
        <v>-0</v>
      </c>
      <c r="G44" s="70" t="n">
        <f aca="false">-G39*Assumptions!$E$56</f>
        <v>-0</v>
      </c>
      <c r="H44" s="70" t="n">
        <f aca="false">-H39*Assumptions!$E$56</f>
        <v>-0</v>
      </c>
      <c r="I44" s="70" t="n">
        <f aca="false">-I39*Assumptions!$E$56</f>
        <v>-0</v>
      </c>
      <c r="J44" s="70" t="n">
        <f aca="false">-J39*Assumptions!$E$56</f>
        <v>-0</v>
      </c>
      <c r="K44" s="70" t="n">
        <f aca="false">-K39*Assumptions!$E$56</f>
        <v>-0</v>
      </c>
      <c r="L44" s="70" t="n">
        <f aca="false">-L39*Assumptions!$E$56</f>
        <v>-0</v>
      </c>
      <c r="M44" s="70" t="n">
        <f aca="false">-M39*Assumptions!$E$56</f>
        <v>-0</v>
      </c>
      <c r="N44" s="70" t="n">
        <f aca="false">-N39*Assumptions!$E$56</f>
        <v>-0</v>
      </c>
      <c r="O44" s="70" t="n">
        <f aca="false">-O39*Assumptions!$E$56</f>
        <v>-0</v>
      </c>
      <c r="P44" s="70" t="n">
        <f aca="false">-P39*Assumptions!$E$56</f>
        <v>-0</v>
      </c>
      <c r="Q44" s="70" t="n">
        <f aca="false">-Q39*Assumptions!$E$56</f>
        <v>-0</v>
      </c>
      <c r="R44" s="70" t="n">
        <f aca="false">-R39*Assumptions!$E$56</f>
        <v>-0</v>
      </c>
      <c r="S44" s="70" t="n">
        <f aca="false">-S39*Assumptions!$E$56</f>
        <v>-0</v>
      </c>
      <c r="T44" s="70" t="n">
        <f aca="false">-T39*Assumptions!$E$56</f>
        <v>-0</v>
      </c>
      <c r="U44" s="70" t="n">
        <f aca="false">-U39*Assumptions!$E$56</f>
        <v>-0</v>
      </c>
      <c r="V44" s="70" t="n">
        <f aca="false">-V39*Assumptions!$E$56</f>
        <v>-0</v>
      </c>
      <c r="W44" s="70" t="n">
        <f aca="false">-W39*Assumptions!$E$56</f>
        <v>-0</v>
      </c>
      <c r="X44" s="70" t="n">
        <f aca="false">-X39*Assumptions!$E$56</f>
        <v>-0</v>
      </c>
      <c r="Y44" s="70" t="n">
        <f aca="false">-Y39*Assumptions!$E$56</f>
        <v>-0</v>
      </c>
      <c r="Z44" s="70" t="n">
        <f aca="false">-Z39*Assumptions!$E$56</f>
        <v>-0</v>
      </c>
      <c r="AA44" s="70" t="n">
        <f aca="false">-AA39*Assumptions!$E$56</f>
        <v>-0</v>
      </c>
      <c r="AB44" s="70" t="n">
        <f aca="false">-AB39*Assumptions!$E$56</f>
        <v>-0</v>
      </c>
      <c r="AC44" s="70" t="n">
        <f aca="false">-AC39*Assumptions!$E$56</f>
        <v>-0</v>
      </c>
      <c r="AD44" s="70" t="n">
        <f aca="false">-AD39*Assumptions!$E$56</f>
        <v>-0</v>
      </c>
      <c r="AE44" s="70" t="n">
        <f aca="false">-AE39*Assumptions!$E$56</f>
        <v>-0</v>
      </c>
      <c r="AF44" s="70" t="n">
        <f aca="false">-AF39*Assumptions!$E$56</f>
        <v>-0</v>
      </c>
      <c r="AG44" s="70" t="n">
        <f aca="false">-AG39*Assumptions!$E$56</f>
        <v>-0</v>
      </c>
      <c r="AH44" s="70" t="n">
        <f aca="false">-AH39*Assumptions!$E$56</f>
        <v>-0</v>
      </c>
      <c r="AI44" s="70" t="n">
        <f aca="false">-AI39*Assumptions!$E$56</f>
        <v>-0</v>
      </c>
      <c r="AJ44" s="70" t="n">
        <f aca="false">-AJ39*Assumptions!$E$56</f>
        <v>-0</v>
      </c>
      <c r="AK44" s="70" t="n">
        <f aca="false">-AK39*Assumptions!$E$56</f>
        <v>-0</v>
      </c>
      <c r="AL44" s="70" t="n">
        <f aca="false">-AL39*Assumptions!$E$56</f>
        <v>-0</v>
      </c>
      <c r="AM44" s="70" t="n">
        <f aca="false">SUM(C44:AL44)</f>
        <v>0</v>
      </c>
    </row>
    <row r="45" customFormat="false" ht="15" hidden="false" customHeight="false" outlineLevel="0" collapsed="false">
      <c r="A45" s="10" t="s">
        <v>780</v>
      </c>
      <c r="B45" s="9" t="s">
        <v>97</v>
      </c>
      <c r="C45" s="70" t="n">
        <f aca="false">-C42*Assumptions!$E$79</f>
        <v>-0</v>
      </c>
      <c r="D45" s="70" t="n">
        <f aca="false">-D42*Assumptions!$E$79</f>
        <v>-11014.6346913807</v>
      </c>
      <c r="E45" s="70" t="n">
        <f aca="false">-E42*Assumptions!$E$79</f>
        <v>-10234.5818008431</v>
      </c>
      <c r="F45" s="70" t="n">
        <f aca="false">-F42*Assumptions!$E$79</f>
        <v>-11099.8851837452</v>
      </c>
      <c r="G45" s="70" t="n">
        <f aca="false">-G42*Assumptions!$E$79</f>
        <v>-12234.5630132779</v>
      </c>
      <c r="H45" s="70" t="n">
        <f aca="false">-H42*Assumptions!$E$79</f>
        <v>-13272.8777231172</v>
      </c>
      <c r="I45" s="70" t="n">
        <f aca="false">-I42*Assumptions!$E$79</f>
        <v>-14206.9764408864</v>
      </c>
      <c r="J45" s="70" t="n">
        <f aca="false">-J42*Assumptions!$E$79</f>
        <v>-15095.8268805907</v>
      </c>
      <c r="K45" s="70" t="n">
        <f aca="false">-K42*Assumptions!$E$79</f>
        <v>-15915.0964856161</v>
      </c>
      <c r="L45" s="70" t="n">
        <f aca="false">-L42*Assumptions!$E$79</f>
        <v>-16680.4737671935</v>
      </c>
      <c r="M45" s="70" t="n">
        <f aca="false">-M42*Assumptions!$E$79</f>
        <v>-17402.9639707949</v>
      </c>
      <c r="N45" s="70" t="n">
        <f aca="false">-N42*Assumptions!$E$79</f>
        <v>-18090.7994176259</v>
      </c>
      <c r="O45" s="70" t="n">
        <f aca="false">-O42*Assumptions!$E$79</f>
        <v>-18750.7409364569</v>
      </c>
      <c r="P45" s="70" t="n">
        <f aca="false">-P42*Assumptions!$E$79</f>
        <v>-19388.4460431678</v>
      </c>
      <c r="Q45" s="70" t="n">
        <f aca="false">-Q42*Assumptions!$E$79</f>
        <v>-20008.7139898072</v>
      </c>
      <c r="R45" s="70" t="n">
        <f aca="false">-R42*Assumptions!$E$79</f>
        <v>-20615.6736349603</v>
      </c>
      <c r="S45" s="70" t="n">
        <f aca="false">-S42*Assumptions!$E$79</f>
        <v>-21212.9338656167</v>
      </c>
      <c r="T45" s="70" t="n">
        <f aca="false">-T42*Assumptions!$E$79</f>
        <v>-21803.7054978447</v>
      </c>
      <c r="U45" s="70" t="n">
        <f aca="false">-U42*Assumptions!$E$79</f>
        <v>-22390.9007773612</v>
      </c>
      <c r="V45" s="70" t="n">
        <f aca="false">-V42*Assumptions!$E$79</f>
        <v>-22977.2151669247</v>
      </c>
      <c r="W45" s="70" t="n">
        <f aca="false">-W42*Assumptions!$E$79</f>
        <v>-23565.1951299053</v>
      </c>
      <c r="X45" s="70" t="n">
        <f aca="false">-X42*Assumptions!$E$79</f>
        <v>-24157.2948808974</v>
      </c>
      <c r="Y45" s="70" t="n">
        <f aca="false">-Y42*Assumptions!$E$79</f>
        <v>-24755.9244968514</v>
      </c>
      <c r="Z45" s="70" t="n">
        <f aca="false">-Z42*Assumptions!$E$79</f>
        <v>-25363.4913246592</v>
      </c>
      <c r="AA45" s="70" t="n">
        <f aca="false">-AA42*Assumptions!$E$79</f>
        <v>-25982.4362565537</v>
      </c>
      <c r="AB45" s="70" t="n">
        <f aca="false">-AB42*Assumptions!$E$79</f>
        <v>-26615.2661537069</v>
      </c>
      <c r="AC45" s="70" t="n">
        <f aca="false">-AC42*Assumptions!$E$79</f>
        <v>-27262.7886408167</v>
      </c>
      <c r="AD45" s="70" t="n">
        <f aca="false">-AD42*Assumptions!$E$79</f>
        <v>-27926.3041691556</v>
      </c>
      <c r="AE45" s="70" t="n">
        <f aca="false">-AE42*Assumptions!$E$79</f>
        <v>-28608.2396806686</v>
      </c>
      <c r="AF45" s="70" t="n">
        <f aca="false">-AF42*Assumptions!$E$79</f>
        <v>-29311.1112374068</v>
      </c>
      <c r="AG45" s="70" t="n">
        <f aca="false">-AG42*Assumptions!$E$79</f>
        <v>-30037.6436240185</v>
      </c>
      <c r="AH45" s="70" t="n">
        <f aca="false">-AH42*Assumptions!$E$79</f>
        <v>-30790.8186565174</v>
      </c>
      <c r="AI45" s="70" t="n">
        <f aca="false">-AI42*Assumptions!$E$79</f>
        <v>-31573.8964522483</v>
      </c>
      <c r="AJ45" s="70" t="n">
        <f aca="false">-AJ42*Assumptions!$E$79</f>
        <v>-32390.4358611726</v>
      </c>
      <c r="AK45" s="70" t="n">
        <f aca="false">-AK42*Assumptions!$E$79</f>
        <v>-33244.3163702494</v>
      </c>
      <c r="AL45" s="70" t="n">
        <f aca="false">-AL42*Assumptions!$E$79</f>
        <v>-34139.7620230891</v>
      </c>
      <c r="AM45" s="70" t="n">
        <f aca="false">SUM(C45:AL45)</f>
        <v>-778121.934245128</v>
      </c>
    </row>
    <row r="46" customFormat="false" ht="15" hidden="false" customHeight="false" outlineLevel="0" collapsed="false">
      <c r="A46" s="37" t="s">
        <v>781</v>
      </c>
      <c r="B46" s="9" t="s">
        <v>97</v>
      </c>
      <c r="C46" s="53" t="n">
        <f aca="false">C42+C43+C44+C45</f>
        <v>0</v>
      </c>
      <c r="D46" s="53" t="n">
        <f aca="false">D42+D43+D44+D45</f>
        <v>223922.472127974</v>
      </c>
      <c r="E46" s="53" t="n">
        <f aca="false">E42+E43+E44+E45</f>
        <v>208064.354584009</v>
      </c>
      <c r="F46" s="53" t="n">
        <f aca="false">F42+F43+F44+F45</f>
        <v>225655.575543133</v>
      </c>
      <c r="G46" s="53" t="n">
        <f aca="false">G42+G43+G44+G45</f>
        <v>248723.055471142</v>
      </c>
      <c r="H46" s="53" t="n">
        <f aca="false">H42+H43+H44+H45</f>
        <v>269831.517366477</v>
      </c>
      <c r="I46" s="53" t="n">
        <f aca="false">I42+I43+I44+I45</f>
        <v>288821.315934935</v>
      </c>
      <c r="J46" s="53" t="n">
        <f aca="false">J42+J43+J44+J45</f>
        <v>306891.23776052</v>
      </c>
      <c r="K46" s="53" t="n">
        <f aca="false">K42+K43+K44+K45</f>
        <v>323546.613125818</v>
      </c>
      <c r="L46" s="53" t="n">
        <f aca="false">L42+L43+L44+L45</f>
        <v>339106.38226964</v>
      </c>
      <c r="M46" s="53" t="n">
        <f aca="false">M42+M43+M44+M45</f>
        <v>353794.276785584</v>
      </c>
      <c r="N46" s="53" t="n">
        <f aca="false">N42+N43+N44+N45</f>
        <v>367777.655988544</v>
      </c>
      <c r="O46" s="53" t="n">
        <f aca="false">O42+O43+O44+O45</f>
        <v>381193.964427004</v>
      </c>
      <c r="P46" s="53" t="n">
        <f aca="false">P42+P43+P44+P45</f>
        <v>394158.216804351</v>
      </c>
      <c r="Q46" s="53" t="n">
        <f aca="false">Q42+Q43+Q44+Q45</f>
        <v>406767.979713866</v>
      </c>
      <c r="R46" s="53" t="n">
        <f aca="false">R42+R43+R44+R45</f>
        <v>419107.190957155</v>
      </c>
      <c r="S46" s="53" t="n">
        <f aca="false">S42+S43+S44+S45</f>
        <v>431249.217551733</v>
      </c>
      <c r="T46" s="53" t="n">
        <f aca="false">T42+T43+T44+T45</f>
        <v>443259.333915835</v>
      </c>
      <c r="U46" s="53" t="n">
        <f aca="false">U42+U43+U44+U45</f>
        <v>455196.744669377</v>
      </c>
      <c r="V46" s="53" t="n">
        <f aca="false">V42+V43+V44+V45</f>
        <v>467116.247334134</v>
      </c>
      <c r="W46" s="53" t="n">
        <f aca="false">W42+W43+W44+W45</f>
        <v>479069.610342657</v>
      </c>
      <c r="X46" s="53" t="n">
        <f aca="false">X42+X43+X44+X45</f>
        <v>491106.726752179</v>
      </c>
      <c r="Y46" s="53" t="n">
        <f aca="false">Y42+Y43+Y44+Y45</f>
        <v>503276.592321878</v>
      </c>
      <c r="Z46" s="53" t="n">
        <f aca="false">Z42+Z43+Z44+Z45</f>
        <v>515628.147310091</v>
      </c>
      <c r="AA46" s="53" t="n">
        <f aca="false">AA42+AA43+AA44+AA45</f>
        <v>528211.013936557</v>
      </c>
      <c r="AB46" s="53" t="n">
        <f aca="false">AB42+AB43+AB44+AB45</f>
        <v>541076.155539295</v>
      </c>
      <c r="AC46" s="53" t="n">
        <f aca="false">AC42+AC43+AC44+AC45</f>
        <v>554239.990758047</v>
      </c>
      <c r="AD46" s="53" t="n">
        <f aca="false">AD42+AD43+AD44+AD45</f>
        <v>567728.957170814</v>
      </c>
      <c r="AE46" s="53" t="n">
        <f aca="false">AE42+AE43+AE44+AE45</f>
        <v>581592.393394382</v>
      </c>
      <c r="AF46" s="53" t="n">
        <f aca="false">AF42+AF43+AF44+AF45</f>
        <v>595881.449816418</v>
      </c>
      <c r="AG46" s="53" t="n">
        <f aca="false">AG42+AG43+AG44+AG45</f>
        <v>610651.520059278</v>
      </c>
      <c r="AH46" s="53" t="n">
        <f aca="false">AH42+AH43+AH44+AH45</f>
        <v>625963.223075101</v>
      </c>
      <c r="AI46" s="53" t="n">
        <f aca="false">AI42+AI43+AI44+AI45</f>
        <v>641882.83555447</v>
      </c>
      <c r="AJ46" s="53" t="n">
        <f aca="false">AJ42+AJ43+AJ44+AJ45</f>
        <v>658482.707285061</v>
      </c>
      <c r="AK46" s="53" t="n">
        <f aca="false">AK42+AK43+AK44+AK45</f>
        <v>675841.706457679</v>
      </c>
      <c r="AL46" s="53" t="n">
        <f aca="false">AL42+AL43+AL44+AL45</f>
        <v>694045.705941841</v>
      </c>
      <c r="AM46" s="53" t="n">
        <f aca="false">SUM(C46:AL46)</f>
        <v>15818862.088047</v>
      </c>
    </row>
    <row r="47" customFormat="false" ht="15" hidden="false" customHeight="false" outlineLevel="0" collapsed="false">
      <c r="A47" s="10" t="s">
        <v>782</v>
      </c>
      <c r="B47" s="9" t="s">
        <v>61</v>
      </c>
      <c r="C47" s="62" t="n">
        <f aca="false">IFERROR(C46/C42,0)</f>
        <v>0</v>
      </c>
      <c r="D47" s="62" t="n">
        <f aca="false">IFERROR(D46/D42,0)</f>
        <v>0.589556701030928</v>
      </c>
      <c r="E47" s="62" t="n">
        <f aca="false">IFERROR(E46/E42,0)</f>
        <v>0.589556701030928</v>
      </c>
      <c r="F47" s="62" t="n">
        <f aca="false">IFERROR(F46/F42,0)</f>
        <v>0.589556701030928</v>
      </c>
      <c r="G47" s="62" t="n">
        <f aca="false">IFERROR(G46/G42,0)</f>
        <v>0.589556701030928</v>
      </c>
      <c r="H47" s="62" t="n">
        <f aca="false">IFERROR(H46/H42,0)</f>
        <v>0.589556701030928</v>
      </c>
      <c r="I47" s="62" t="n">
        <f aca="false">IFERROR(I46/I42,0)</f>
        <v>0.589556701030928</v>
      </c>
      <c r="J47" s="62" t="n">
        <f aca="false">IFERROR(J46/J42,0)</f>
        <v>0.589556701030928</v>
      </c>
      <c r="K47" s="62" t="n">
        <f aca="false">IFERROR(K46/K42,0)</f>
        <v>0.589556701030928</v>
      </c>
      <c r="L47" s="62" t="n">
        <f aca="false">IFERROR(L46/L42,0)</f>
        <v>0.589556701030928</v>
      </c>
      <c r="M47" s="62" t="n">
        <f aca="false">IFERROR(M46/M42,0)</f>
        <v>0.589556701030928</v>
      </c>
      <c r="N47" s="62" t="n">
        <f aca="false">IFERROR(N46/N42,0)</f>
        <v>0.589556701030928</v>
      </c>
      <c r="O47" s="62" t="n">
        <f aca="false">IFERROR(O46/O42,0)</f>
        <v>0.589556701030928</v>
      </c>
      <c r="P47" s="62" t="n">
        <f aca="false">IFERROR(P46/P42,0)</f>
        <v>0.589556701030928</v>
      </c>
      <c r="Q47" s="62" t="n">
        <f aca="false">IFERROR(Q46/Q42,0)</f>
        <v>0.589556701030928</v>
      </c>
      <c r="R47" s="62" t="n">
        <f aca="false">IFERROR(R46/R42,0)</f>
        <v>0.589556701030928</v>
      </c>
      <c r="S47" s="62" t="n">
        <f aca="false">IFERROR(S46/S42,0)</f>
        <v>0.589556701030928</v>
      </c>
      <c r="T47" s="62" t="n">
        <f aca="false">IFERROR(T46/T42,0)</f>
        <v>0.589556701030928</v>
      </c>
      <c r="U47" s="62" t="n">
        <f aca="false">IFERROR(U46/U42,0)</f>
        <v>0.589556701030928</v>
      </c>
      <c r="V47" s="62" t="n">
        <f aca="false">IFERROR(V46/V42,0)</f>
        <v>0.589556701030928</v>
      </c>
      <c r="W47" s="62" t="n">
        <f aca="false">IFERROR(W46/W42,0)</f>
        <v>0.589556701030928</v>
      </c>
      <c r="X47" s="62" t="n">
        <f aca="false">IFERROR(X46/X42,0)</f>
        <v>0.589556701030928</v>
      </c>
      <c r="Y47" s="62" t="n">
        <f aca="false">IFERROR(Y46/Y42,0)</f>
        <v>0.589556701030928</v>
      </c>
      <c r="Z47" s="62" t="n">
        <f aca="false">IFERROR(Z46/Z42,0)</f>
        <v>0.589556701030928</v>
      </c>
      <c r="AA47" s="62" t="n">
        <f aca="false">IFERROR(AA46/AA42,0)</f>
        <v>0.589556701030928</v>
      </c>
      <c r="AB47" s="62" t="n">
        <f aca="false">IFERROR(AB46/AB42,0)</f>
        <v>0.589556701030928</v>
      </c>
      <c r="AC47" s="62" t="n">
        <f aca="false">IFERROR(AC46/AC42,0)</f>
        <v>0.589556701030928</v>
      </c>
      <c r="AD47" s="62" t="n">
        <f aca="false">IFERROR(AD46/AD42,0)</f>
        <v>0.589556701030928</v>
      </c>
      <c r="AE47" s="62" t="n">
        <f aca="false">IFERROR(AE46/AE42,0)</f>
        <v>0.589556701030928</v>
      </c>
      <c r="AF47" s="62" t="n">
        <f aca="false">IFERROR(AF46/AF42,0)</f>
        <v>0.589556701030928</v>
      </c>
      <c r="AG47" s="62" t="n">
        <f aca="false">IFERROR(AG46/AG42,0)</f>
        <v>0.589556701030928</v>
      </c>
      <c r="AH47" s="62" t="n">
        <f aca="false">IFERROR(AH46/AH42,0)</f>
        <v>0.589556701030928</v>
      </c>
      <c r="AI47" s="62" t="n">
        <f aca="false">IFERROR(AI46/AI42,0)</f>
        <v>0.589556701030928</v>
      </c>
      <c r="AJ47" s="62" t="n">
        <f aca="false">IFERROR(AJ46/AJ42,0)</f>
        <v>0.589556701030928</v>
      </c>
      <c r="AK47" s="62" t="n">
        <f aca="false">IFERROR(AK46/AK42,0)</f>
        <v>0.589556701030928</v>
      </c>
      <c r="AL47" s="62" t="n">
        <f aca="false">IFERROR(AL46/AL42,0)</f>
        <v>0.589556701030928</v>
      </c>
      <c r="AM47" s="62" t="n">
        <f aca="false">AVERAGE(N47:AL47)</f>
        <v>0.589556701030928</v>
      </c>
    </row>
    <row r="48" customFormat="false" ht="15" hidden="false" customHeight="false" outlineLevel="0" collapsed="false">
      <c r="A48" s="10" t="s">
        <v>783</v>
      </c>
      <c r="B48" s="9" t="s">
        <v>61</v>
      </c>
      <c r="C48" s="62" t="n">
        <f aca="false">IF(C9=0,0,MIN(Assumptions!$E$63,Assumptions!$E$61+Assumptions!$E$62*(C$5-Assumptions!$E$7)))</f>
        <v>0</v>
      </c>
      <c r="D48" s="62" t="n">
        <f aca="false">IF(D9=0,0,MIN(Assumptions!$E$63,Assumptions!$E$61+Assumptions!$E$62*(D$5-Assumptions!$E$7)))</f>
        <v>0</v>
      </c>
      <c r="E48" s="62" t="n">
        <f aca="false">IF(E9=0,0,MIN(Assumptions!$E$63,Assumptions!$E$61+Assumptions!$E$62*(E$5-Assumptions!$E$7)))</f>
        <v>0</v>
      </c>
      <c r="F48" s="62" t="n">
        <f aca="false">IF(F9=0,0,MIN(Assumptions!$E$63,Assumptions!$E$61+Assumptions!$E$62*(F$5-Assumptions!$E$7)))</f>
        <v>0</v>
      </c>
      <c r="G48" s="62" t="n">
        <f aca="false">IF(G9=0,0,MIN(Assumptions!$E$63,Assumptions!$E$61+Assumptions!$E$62*(G$5-Assumptions!$E$7)))</f>
        <v>0</v>
      </c>
      <c r="H48" s="62" t="n">
        <f aca="false">IF(H9=0,0,MIN(Assumptions!$E$63,Assumptions!$E$61+Assumptions!$E$62*(H$5-Assumptions!$E$7)))</f>
        <v>0</v>
      </c>
      <c r="I48" s="62" t="n">
        <f aca="false">IF(I9=0,0,MIN(Assumptions!$E$63,Assumptions!$E$61+Assumptions!$E$62*(I$5-Assumptions!$E$7)))</f>
        <v>0.36</v>
      </c>
      <c r="J48" s="62" t="n">
        <f aca="false">IF(J9=0,0,MIN(Assumptions!$E$63,Assumptions!$E$61+Assumptions!$E$62*(J$5-Assumptions!$E$7)))</f>
        <v>0.385</v>
      </c>
      <c r="K48" s="62" t="n">
        <f aca="false">IF(K9=0,0,MIN(Assumptions!$E$63,Assumptions!$E$61+Assumptions!$E$62*(K$5-Assumptions!$E$7)))</f>
        <v>0.41</v>
      </c>
      <c r="L48" s="62" t="n">
        <f aca="false">IF(L9=0,0,MIN(Assumptions!$E$63,Assumptions!$E$61+Assumptions!$E$62*(L$5-Assumptions!$E$7)))</f>
        <v>0.435</v>
      </c>
      <c r="M48" s="62" t="n">
        <f aca="false">IF(M9=0,0,MIN(Assumptions!$E$63,Assumptions!$E$61+Assumptions!$E$62*(M$5-Assumptions!$E$7)))</f>
        <v>0.46</v>
      </c>
      <c r="N48" s="62" t="n">
        <f aca="false">IF(N9=0,0,MIN(Assumptions!$E$63,Assumptions!$E$61+Assumptions!$E$62*(N$5-Assumptions!$E$7)))</f>
        <v>0.485</v>
      </c>
      <c r="O48" s="62" t="n">
        <f aca="false">IF(O9=0,0,MIN(Assumptions!$E$63,Assumptions!$E$61+Assumptions!$E$62*(O$5-Assumptions!$E$7)))</f>
        <v>0.51</v>
      </c>
      <c r="P48" s="62" t="n">
        <f aca="false">IF(P9=0,0,MIN(Assumptions!$E$63,Assumptions!$E$61+Assumptions!$E$62*(P$5-Assumptions!$E$7)))</f>
        <v>0.535</v>
      </c>
      <c r="Q48" s="62" t="n">
        <f aca="false">IF(Q9=0,0,MIN(Assumptions!$E$63,Assumptions!$E$61+Assumptions!$E$62*(Q$5-Assumptions!$E$7)))</f>
        <v>0.56</v>
      </c>
      <c r="R48" s="62" t="n">
        <f aca="false">IF(R9=0,0,MIN(Assumptions!$E$63,Assumptions!$E$61+Assumptions!$E$62*(R$5-Assumptions!$E$7)))</f>
        <v>0.585</v>
      </c>
      <c r="S48" s="62" t="n">
        <f aca="false">IF(S9=0,0,MIN(Assumptions!$E$63,Assumptions!$E$61+Assumptions!$E$62*(S$5-Assumptions!$E$7)))</f>
        <v>0.61</v>
      </c>
      <c r="T48" s="62" t="n">
        <f aca="false">IF(T9=0,0,MIN(Assumptions!$E$63,Assumptions!$E$61+Assumptions!$E$62*(T$5-Assumptions!$E$7)))</f>
        <v>0.635</v>
      </c>
      <c r="U48" s="62" t="n">
        <f aca="false">IF(U9=0,0,MIN(Assumptions!$E$63,Assumptions!$E$61+Assumptions!$E$62*(U$5-Assumptions!$E$7)))</f>
        <v>0.66</v>
      </c>
      <c r="V48" s="62" t="n">
        <f aca="false">IF(V9=0,0,MIN(Assumptions!$E$63,Assumptions!$E$61+Assumptions!$E$62*(V$5-Assumptions!$E$7)))</f>
        <v>0.685</v>
      </c>
      <c r="W48" s="62" t="n">
        <f aca="false">IF(W9=0,0,MIN(Assumptions!$E$63,Assumptions!$E$61+Assumptions!$E$62*(W$5-Assumptions!$E$7)))</f>
        <v>0.71</v>
      </c>
      <c r="X48" s="62" t="n">
        <f aca="false">IF(X9=0,0,MIN(Assumptions!$E$63,Assumptions!$E$61+Assumptions!$E$62*(X$5-Assumptions!$E$7)))</f>
        <v>0.735</v>
      </c>
      <c r="Y48" s="62" t="n">
        <f aca="false">IF(Y9=0,0,MIN(Assumptions!$E$63,Assumptions!$E$61+Assumptions!$E$62*(Y$5-Assumptions!$E$7)))</f>
        <v>0.76</v>
      </c>
      <c r="Z48" s="62" t="n">
        <f aca="false">IF(Z9=0,0,MIN(Assumptions!$E$63,Assumptions!$E$61+Assumptions!$E$62*(Z$5-Assumptions!$E$7)))</f>
        <v>0.785</v>
      </c>
      <c r="AA48" s="62" t="n">
        <f aca="false">IF(AA9=0,0,MIN(Assumptions!$E$63,Assumptions!$E$61+Assumptions!$E$62*(AA$5-Assumptions!$E$7)))</f>
        <v>0.81</v>
      </c>
      <c r="AB48" s="62" t="n">
        <f aca="false">IF(AB9=0,0,MIN(Assumptions!$E$63,Assumptions!$E$61+Assumptions!$E$62*(AB$5-Assumptions!$E$7)))</f>
        <v>0.82</v>
      </c>
      <c r="AC48" s="62" t="n">
        <f aca="false">IF(AC9=0,0,MIN(Assumptions!$E$63,Assumptions!$E$61+Assumptions!$E$62*(AC$5-Assumptions!$E$7)))</f>
        <v>0.82</v>
      </c>
      <c r="AD48" s="62" t="n">
        <f aca="false">IF(AD9=0,0,MIN(Assumptions!$E$63,Assumptions!$E$61+Assumptions!$E$62*(AD$5-Assumptions!$E$7)))</f>
        <v>0.82</v>
      </c>
      <c r="AE48" s="62" t="n">
        <f aca="false">IF(AE9=0,0,MIN(Assumptions!$E$63,Assumptions!$E$61+Assumptions!$E$62*(AE$5-Assumptions!$E$7)))</f>
        <v>0.82</v>
      </c>
      <c r="AF48" s="62" t="n">
        <f aca="false">IF(AF9=0,0,MIN(Assumptions!$E$63,Assumptions!$E$61+Assumptions!$E$62*(AF$5-Assumptions!$E$7)))</f>
        <v>0.82</v>
      </c>
      <c r="AG48" s="62" t="n">
        <f aca="false">IF(AG9=0,0,MIN(Assumptions!$E$63,Assumptions!$E$61+Assumptions!$E$62*(AG$5-Assumptions!$E$7)))</f>
        <v>0.82</v>
      </c>
      <c r="AH48" s="62" t="n">
        <f aca="false">IF(AH9=0,0,MIN(Assumptions!$E$63,Assumptions!$E$61+Assumptions!$E$62*(AH$5-Assumptions!$E$7)))</f>
        <v>0.82</v>
      </c>
      <c r="AI48" s="62" t="n">
        <f aca="false">IF(AI9=0,0,MIN(Assumptions!$E$63,Assumptions!$E$61+Assumptions!$E$62*(AI$5-Assumptions!$E$7)))</f>
        <v>0.82</v>
      </c>
      <c r="AJ48" s="62" t="n">
        <f aca="false">IF(AJ9=0,0,MIN(Assumptions!$E$63,Assumptions!$E$61+Assumptions!$E$62*(AJ$5-Assumptions!$E$7)))</f>
        <v>0.82</v>
      </c>
      <c r="AK48" s="62" t="n">
        <f aca="false">IF(AK9=0,0,MIN(Assumptions!$E$63,Assumptions!$E$61+Assumptions!$E$62*(AK$5-Assumptions!$E$7)))</f>
        <v>0.82</v>
      </c>
      <c r="AL48" s="62" t="n">
        <f aca="false">IF(AL9=0,0,MIN(Assumptions!$E$63,Assumptions!$E$61+Assumptions!$E$62*(AL$5-Assumptions!$E$7)))</f>
        <v>0.82</v>
      </c>
      <c r="AM48" s="62" t="n">
        <f aca="false">AL48</f>
        <v>0.82</v>
      </c>
    </row>
    <row r="49" customFormat="false" ht="15" hidden="false" customHeight="false" outlineLevel="0" collapsed="false">
      <c r="A49" s="10" t="s">
        <v>784</v>
      </c>
      <c r="B49" s="9" t="s">
        <v>84</v>
      </c>
      <c r="C49" s="61" t="n">
        <f aca="false">C15+C19+C23+(C13+C25)*Assumptions!$E$45</f>
        <v>5800.24053845475</v>
      </c>
      <c r="D49" s="61" t="n">
        <f aca="false">D15+D19+D23+(D13+D25)*Assumptions!$E$45</f>
        <v>134923.92662069</v>
      </c>
      <c r="E49" s="61" t="n">
        <f aca="false">E15+E19+E23+(E13+E25)*Assumptions!$E$45</f>
        <v>107211.504035443</v>
      </c>
      <c r="F49" s="61" t="n">
        <f aca="false">F15+F19+F23+(F13+F25)*Assumptions!$E$45</f>
        <v>93427.0541069577</v>
      </c>
      <c r="G49" s="61" t="n">
        <f aca="false">G15+G19+G23+(G13+G25)*Assumptions!$E$45</f>
        <v>88583.100693381</v>
      </c>
      <c r="H49" s="61" t="n">
        <f aca="false">H15+H19+H23+(H13+H25)*Assumptions!$E$45</f>
        <v>85882.5637718956</v>
      </c>
      <c r="I49" s="61" t="n">
        <f aca="false">I15+I19+I23+(I13+I25)*Assumptions!$E$45</f>
        <v>83980.3357690014</v>
      </c>
      <c r="J49" s="61" t="n">
        <f aca="false">J15+J19+J23+(J13+J25)*Assumptions!$E$45</f>
        <v>83433.364503001</v>
      </c>
      <c r="K49" s="61" t="n">
        <f aca="false">K15+K19+K23+(K13+K25)*Assumptions!$E$45</f>
        <v>83200.5107966409</v>
      </c>
      <c r="L49" s="61" t="n">
        <f aca="false">L15+L19+L23+(L13+L25)*Assumptions!$E$45</f>
        <v>83310.3284714414</v>
      </c>
      <c r="M49" s="61" t="n">
        <f aca="false">M15+M19+M23+(M13+M25)*Assumptions!$E$45</f>
        <v>83746.1805684186</v>
      </c>
      <c r="N49" s="61" t="n">
        <f aca="false">N15+N19+N23+(N13+N25)*Assumptions!$E$45</f>
        <v>84466.4719524936</v>
      </c>
      <c r="O49" s="61" t="n">
        <f aca="false">O15+O19+O23+(O13+O25)*Assumptions!$E$45</f>
        <v>85432.7029763925</v>
      </c>
      <c r="P49" s="61" t="n">
        <f aca="false">P15+P19+P23+(P13+P25)*Assumptions!$E$45</f>
        <v>86613.3266748827</v>
      </c>
      <c r="Q49" s="61" t="n">
        <f aca="false">Q15+Q19+Q23+(Q13+Q25)*Assumptions!$E$45</f>
        <v>87983.7328490125</v>
      </c>
      <c r="R49" s="61" t="n">
        <f aca="false">R15+R19+R23+(R13+R25)*Assumptions!$E$45</f>
        <v>89525.5157756022</v>
      </c>
      <c r="S49" s="61" t="n">
        <f aca="false">S15+S19+S23+(S13+S25)*Assumptions!$E$45</f>
        <v>91225.6568596757</v>
      </c>
      <c r="T49" s="61" t="n">
        <f aca="false">T15+T19+T23+(T13+T25)*Assumptions!$E$45</f>
        <v>93075.7710549902</v>
      </c>
      <c r="U49" s="61" t="n">
        <f aca="false">U15+U19+U23+(U13+U25)*Assumptions!$E$45</f>
        <v>95071.4580163668</v>
      </c>
      <c r="V49" s="61" t="n">
        <f aca="false">V15+V19+V23+(V13+V25)*Assumptions!$E$45</f>
        <v>97211.7646492523</v>
      </c>
      <c r="W49" s="61" t="n">
        <f aca="false">W15+W19+W23+(W13+W25)*Assumptions!$E$45</f>
        <v>99498.7527105532</v>
      </c>
      <c r="X49" s="61" t="n">
        <f aca="false">X15+X19+X23+(X13+X25)*Assumptions!$E$45</f>
        <v>101937.160383792</v>
      </c>
      <c r="Y49" s="61" t="n">
        <f aca="false">Y15+Y19+Y23+(Y13+Y25)*Assumptions!$E$45</f>
        <v>104534.14570901</v>
      </c>
      <c r="Z49" s="61" t="n">
        <f aca="false">Z15+Z19+Z23+(Z13+Z25)*Assumptions!$E$45</f>
        <v>107299.100368393</v>
      </c>
      <c r="AA49" s="61" t="n">
        <f aca="false">AA15+AA19+AA23+(AA13+AA25)*Assumptions!$E$45</f>
        <v>110243.523636905</v>
      </c>
      <c r="AB49" s="61" t="n">
        <f aca="false">AB15+AB19+AB23+(AB13+AB25)*Assumptions!$E$45</f>
        <v>113380.947823928</v>
      </c>
      <c r="AC49" s="61" t="n">
        <f aca="false">AC15+AC19+AC23+(AC13+AC25)*Assumptions!$E$45</f>
        <v>116694.187681563</v>
      </c>
      <c r="AD49" s="61" t="n">
        <f aca="false">AD15+AD19+AD23+(AD13+AD25)*Assumptions!$E$45</f>
        <v>120184.338710303</v>
      </c>
      <c r="AE49" s="61" t="n">
        <f aca="false">AE15+AE19+AE23+(AE13+AE25)*Assumptions!$E$45</f>
        <v>123877.274393862</v>
      </c>
      <c r="AF49" s="61" t="n">
        <f aca="false">AF15+AF19+AF23+(AF13+AF25)*Assumptions!$E$45</f>
        <v>127797.015031498</v>
      </c>
      <c r="AG49" s="61" t="n">
        <f aca="false">AG15+AG19+AG23+(AG13+AG25)*Assumptions!$E$45</f>
        <v>131968.29408668</v>
      </c>
      <c r="AH49" s="61" t="n">
        <f aca="false">AH15+AH19+AH23+(AH13+AH25)*Assumptions!$E$45</f>
        <v>136417.718303772</v>
      </c>
      <c r="AI49" s="61" t="n">
        <f aca="false">AI15+AI19+AI23+(AI13+AI25)*Assumptions!$E$45</f>
        <v>141174.072508527</v>
      </c>
      <c r="AJ49" s="61" t="n">
        <f aca="false">AJ15+AJ19+AJ23+(AJ13+AJ25)*Assumptions!$E$45</f>
        <v>146268.520231961</v>
      </c>
      <c r="AK49" s="61" t="n">
        <f aca="false">AK15+AK19+AK23+(AK13+AK25)*Assumptions!$E$45</f>
        <v>151734.806521974</v>
      </c>
      <c r="AL49" s="61" t="n">
        <f aca="false">AL15+AL19+AL23+(AL13+AL25)*Assumptions!$E$45</f>
        <v>157609.479195842</v>
      </c>
      <c r="AM49" s="61" t="n">
        <f aca="false">SUM(C49:AL49)</f>
        <v>3734724.84798256</v>
      </c>
    </row>
    <row r="50" customFormat="false" ht="15" hidden="false" customHeight="false" outlineLevel="0" collapsed="false">
      <c r="A50" s="10" t="s">
        <v>785</v>
      </c>
      <c r="B50" s="9" t="s">
        <v>51</v>
      </c>
      <c r="C50" s="61" t="n">
        <f aca="false">C49*Assumptions!$E$58*C9</f>
        <v>0</v>
      </c>
      <c r="D50" s="61" t="n">
        <f aca="false">D49*Assumptions!$E$58*D9</f>
        <v>0</v>
      </c>
      <c r="E50" s="61" t="n">
        <f aca="false">E49*Assumptions!$E$58*E9</f>
        <v>0</v>
      </c>
      <c r="F50" s="61" t="n">
        <f aca="false">F49*Assumptions!$E$58*F9</f>
        <v>0</v>
      </c>
      <c r="G50" s="61" t="n">
        <f aca="false">G49*Assumptions!$E$58*G9</f>
        <v>0</v>
      </c>
      <c r="H50" s="61" t="n">
        <f aca="false">H49*Assumptions!$E$58*H9</f>
        <v>0</v>
      </c>
      <c r="I50" s="61" t="n">
        <f aca="false">I49*Assumptions!$E$58*I9</f>
        <v>1511.64604384203</v>
      </c>
      <c r="J50" s="61" t="n">
        <f aca="false">J49*Assumptions!$E$58*J9</f>
        <v>1501.80056105402</v>
      </c>
      <c r="K50" s="61" t="n">
        <f aca="false">K49*Assumptions!$E$58*K9</f>
        <v>1497.60919433954</v>
      </c>
      <c r="L50" s="61" t="n">
        <f aca="false">L49*Assumptions!$E$58*L9</f>
        <v>1499.58591248595</v>
      </c>
      <c r="M50" s="61" t="n">
        <f aca="false">M49*Assumptions!$E$58*M9</f>
        <v>1507.43125023154</v>
      </c>
      <c r="N50" s="61" t="n">
        <f aca="false">N49*Assumptions!$E$58*N9</f>
        <v>1520.39649514488</v>
      </c>
      <c r="O50" s="61" t="n">
        <f aca="false">O49*Assumptions!$E$58*O9</f>
        <v>1537.78865357506</v>
      </c>
      <c r="P50" s="61" t="n">
        <f aca="false">P49*Assumptions!$E$58*P9</f>
        <v>1559.03988014789</v>
      </c>
      <c r="Q50" s="61" t="n">
        <f aca="false">Q49*Assumptions!$E$58*Q9</f>
        <v>1583.70719128223</v>
      </c>
      <c r="R50" s="61" t="n">
        <f aca="false">R49*Assumptions!$E$58*R9</f>
        <v>1611.45928396084</v>
      </c>
      <c r="S50" s="61" t="n">
        <f aca="false">S49*Assumptions!$E$58*S9</f>
        <v>1642.06182347416</v>
      </c>
      <c r="T50" s="61" t="n">
        <f aca="false">T49*Assumptions!$E$58*T9</f>
        <v>1675.36387898982</v>
      </c>
      <c r="U50" s="61" t="n">
        <f aca="false">U49*Assumptions!$E$58*U9</f>
        <v>1711.2862442946</v>
      </c>
      <c r="V50" s="61" t="n">
        <f aca="false">V49*Assumptions!$E$58*V9</f>
        <v>1749.81176368654</v>
      </c>
      <c r="W50" s="61" t="n">
        <f aca="false">W49*Assumptions!$E$58*W9</f>
        <v>1790.97754878996</v>
      </c>
      <c r="X50" s="61" t="n">
        <f aca="false">X49*Assumptions!$E$58*X9</f>
        <v>1834.86888690826</v>
      </c>
      <c r="Y50" s="61" t="n">
        <f aca="false">Y49*Assumptions!$E$58*Y9</f>
        <v>1881.61462276217</v>
      </c>
      <c r="Z50" s="61" t="n">
        <f aca="false">Z49*Assumptions!$E$58*Z9</f>
        <v>1931.38380663108</v>
      </c>
      <c r="AA50" s="61" t="n">
        <f aca="false">AA49*Assumptions!$E$58*AA9</f>
        <v>1984.3834254643</v>
      </c>
      <c r="AB50" s="61" t="n">
        <f aca="false">AB49*Assumptions!$E$58*AB9</f>
        <v>2040.85706083071</v>
      </c>
      <c r="AC50" s="61" t="n">
        <f aca="false">AC49*Assumptions!$E$58*AC9</f>
        <v>2100.49537826814</v>
      </c>
      <c r="AD50" s="61" t="n">
        <f aca="false">AD49*Assumptions!$E$58*AD9</f>
        <v>2163.31809678546</v>
      </c>
      <c r="AE50" s="61" t="n">
        <f aca="false">AE49*Assumptions!$E$58*AE9</f>
        <v>2229.79093908951</v>
      </c>
      <c r="AF50" s="61" t="n">
        <f aca="false">AF49*Assumptions!$E$58*AF9</f>
        <v>2300.34627056696</v>
      </c>
      <c r="AG50" s="61" t="n">
        <f aca="false">AG49*Assumptions!$E$58*AG9</f>
        <v>2375.42929356025</v>
      </c>
      <c r="AH50" s="61" t="n">
        <f aca="false">AH49*Assumptions!$E$58*AH9</f>
        <v>2455.5189294679</v>
      </c>
      <c r="AI50" s="61" t="n">
        <f aca="false">AI49*Assumptions!$E$58*AI9</f>
        <v>2541.13330515349</v>
      </c>
      <c r="AJ50" s="61" t="n">
        <f aca="false">AJ49*Assumptions!$E$58*AJ9</f>
        <v>2632.8333641753</v>
      </c>
      <c r="AK50" s="61" t="n">
        <f aca="false">AK49*Assumptions!$E$58*AK9</f>
        <v>2731.22651739554</v>
      </c>
      <c r="AL50" s="61" t="n">
        <f aca="false">AL49*Assumptions!$E$58*AL9</f>
        <v>2836.97062552516</v>
      </c>
      <c r="AM50" s="61" t="n">
        <f aca="false">SUM(C50:AL50)</f>
        <v>57940.1362478833</v>
      </c>
    </row>
    <row r="51" customFormat="false" ht="15" hidden="false" customHeight="false" outlineLevel="0" collapsed="false">
      <c r="A51" s="10" t="s">
        <v>786</v>
      </c>
      <c r="B51" s="9" t="s">
        <v>51</v>
      </c>
      <c r="C51" s="61" t="n">
        <f aca="false">C50*Assumptions!$E$59</f>
        <v>0</v>
      </c>
      <c r="D51" s="61" t="n">
        <f aca="false">D50*Assumptions!$E$59</f>
        <v>0</v>
      </c>
      <c r="E51" s="61" t="n">
        <f aca="false">E50*Assumptions!$E$59</f>
        <v>0</v>
      </c>
      <c r="F51" s="61" t="n">
        <f aca="false">F50*Assumptions!$E$59</f>
        <v>0</v>
      </c>
      <c r="G51" s="61" t="n">
        <f aca="false">G50*Assumptions!$E$59</f>
        <v>0</v>
      </c>
      <c r="H51" s="61" t="n">
        <f aca="false">H50*Assumptions!$E$59</f>
        <v>0</v>
      </c>
      <c r="I51" s="61" t="n">
        <f aca="false">I50*Assumptions!$E$59</f>
        <v>1058.15223068942</v>
      </c>
      <c r="J51" s="61" t="n">
        <f aca="false">J50*Assumptions!$E$59</f>
        <v>1051.26039273781</v>
      </c>
      <c r="K51" s="61" t="n">
        <f aca="false">K50*Assumptions!$E$59</f>
        <v>1048.32643603768</v>
      </c>
      <c r="L51" s="61" t="n">
        <f aca="false">L50*Assumptions!$E$59</f>
        <v>1049.71013874016</v>
      </c>
      <c r="M51" s="61" t="n">
        <f aca="false">M50*Assumptions!$E$59</f>
        <v>1055.20187516207</v>
      </c>
      <c r="N51" s="61" t="n">
        <f aca="false">N50*Assumptions!$E$59</f>
        <v>1064.27754660142</v>
      </c>
      <c r="O51" s="61" t="n">
        <f aca="false">O50*Assumptions!$E$59</f>
        <v>1076.45205750254</v>
      </c>
      <c r="P51" s="61" t="n">
        <f aca="false">P50*Assumptions!$E$59</f>
        <v>1091.32791610352</v>
      </c>
      <c r="Q51" s="61" t="n">
        <f aca="false">Q50*Assumptions!$E$59</f>
        <v>1108.59503389756</v>
      </c>
      <c r="R51" s="61" t="n">
        <f aca="false">R50*Assumptions!$E$59</f>
        <v>1128.02149877259</v>
      </c>
      <c r="S51" s="61" t="n">
        <f aca="false">S50*Assumptions!$E$59</f>
        <v>1149.44327643191</v>
      </c>
      <c r="T51" s="61" t="n">
        <f aca="false">T50*Assumptions!$E$59</f>
        <v>1172.75471529288</v>
      </c>
      <c r="U51" s="61" t="n">
        <f aca="false">U50*Assumptions!$E$59</f>
        <v>1197.90037100622</v>
      </c>
      <c r="V51" s="61" t="n">
        <f aca="false">V50*Assumptions!$E$59</f>
        <v>1224.86823458058</v>
      </c>
      <c r="W51" s="61" t="n">
        <f aca="false">W50*Assumptions!$E$59</f>
        <v>1253.68428415297</v>
      </c>
      <c r="X51" s="61" t="n">
        <f aca="false">X50*Assumptions!$E$59</f>
        <v>1284.40822083578</v>
      </c>
      <c r="Y51" s="61" t="n">
        <f aca="false">Y50*Assumptions!$E$59</f>
        <v>1317.13023593352</v>
      </c>
      <c r="Z51" s="61" t="n">
        <f aca="false">Z50*Assumptions!$E$59</f>
        <v>1351.96866464175</v>
      </c>
      <c r="AA51" s="61" t="n">
        <f aca="false">AA50*Assumptions!$E$59</f>
        <v>1389.06839782501</v>
      </c>
      <c r="AB51" s="61" t="n">
        <f aca="false">AB50*Assumptions!$E$59</f>
        <v>1428.5999425815</v>
      </c>
      <c r="AC51" s="61" t="n">
        <f aca="false">AC50*Assumptions!$E$59</f>
        <v>1470.3467647877</v>
      </c>
      <c r="AD51" s="61" t="n">
        <f aca="false">AD50*Assumptions!$E$59</f>
        <v>1514.32266774982</v>
      </c>
      <c r="AE51" s="61" t="n">
        <f aca="false">AE50*Assumptions!$E$59</f>
        <v>1560.85365736266</v>
      </c>
      <c r="AF51" s="61" t="n">
        <f aca="false">AF50*Assumptions!$E$59</f>
        <v>1610.24238939687</v>
      </c>
      <c r="AG51" s="61" t="n">
        <f aca="false">AG50*Assumptions!$E$59</f>
        <v>1662.80050549217</v>
      </c>
      <c r="AH51" s="61" t="n">
        <f aca="false">AH50*Assumptions!$E$59</f>
        <v>1718.86325062753</v>
      </c>
      <c r="AI51" s="61" t="n">
        <f aca="false">AI50*Assumptions!$E$59</f>
        <v>1778.79331360744</v>
      </c>
      <c r="AJ51" s="61" t="n">
        <f aca="false">AJ50*Assumptions!$E$59</f>
        <v>1842.98335492271</v>
      </c>
      <c r="AK51" s="61" t="n">
        <f aca="false">AK50*Assumptions!$E$59</f>
        <v>1911.85856217688</v>
      </c>
      <c r="AL51" s="61" t="n">
        <f aca="false">AL50*Assumptions!$E$59</f>
        <v>1985.87943786761</v>
      </c>
      <c r="AM51" s="61" t="n">
        <f aca="false">SUM(C51:AL51)</f>
        <v>40558.0953735183</v>
      </c>
    </row>
    <row r="52" customFormat="false" ht="15" hidden="false" customHeight="false" outlineLevel="0" collapsed="false">
      <c r="A52" s="10" t="s">
        <v>787</v>
      </c>
      <c r="B52" s="9" t="s">
        <v>51</v>
      </c>
      <c r="C52" s="61" t="n">
        <f aca="false">C51*Assumptions!$E$60*C48</f>
        <v>0</v>
      </c>
      <c r="D52" s="61" t="n">
        <f aca="false">D51*Assumptions!$E$60*D48</f>
        <v>0</v>
      </c>
      <c r="E52" s="61" t="n">
        <f aca="false">E51*Assumptions!$E$60*E48</f>
        <v>0</v>
      </c>
      <c r="F52" s="61" t="n">
        <f aca="false">F51*Assumptions!$E$60*F48</f>
        <v>0</v>
      </c>
      <c r="G52" s="61" t="n">
        <f aca="false">G51*Assumptions!$E$60*G48</f>
        <v>0</v>
      </c>
      <c r="H52" s="61" t="n">
        <f aca="false">H51*Assumptions!$E$60*H48</f>
        <v>0</v>
      </c>
      <c r="I52" s="61" t="n">
        <f aca="false">I51*Assumptions!$E$60*I48</f>
        <v>220.94218576795</v>
      </c>
      <c r="J52" s="61" t="n">
        <f aca="false">J51*Assumptions!$E$60*J48</f>
        <v>234.746445698354</v>
      </c>
      <c r="K52" s="61" t="n">
        <f aca="false">K51*Assumptions!$E$60*K48</f>
        <v>249.292026489759</v>
      </c>
      <c r="L52" s="61" t="n">
        <f aca="false">L51*Assumptions!$E$60*L48</f>
        <v>264.841868004143</v>
      </c>
      <c r="M52" s="61" t="n">
        <f aca="false">M51*Assumptions!$E$60*M48</f>
        <v>281.527860293241</v>
      </c>
      <c r="N52" s="61" t="n">
        <f aca="false">N51*Assumptions!$E$60*N48</f>
        <v>299.381273858979</v>
      </c>
      <c r="O52" s="61" t="n">
        <f aca="false">O51*Assumptions!$E$60*O48</f>
        <v>318.414518609253</v>
      </c>
      <c r="P52" s="61" t="n">
        <f aca="false">P51*Assumptions!$E$60*P48</f>
        <v>338.639052366923</v>
      </c>
      <c r="Q52" s="61" t="n">
        <f aca="false">Q51*Assumptions!$E$60*Q48</f>
        <v>360.071667009927</v>
      </c>
      <c r="R52" s="61" t="n">
        <f aca="false">R51*Assumptions!$E$60*R48</f>
        <v>382.737694533539</v>
      </c>
      <c r="S52" s="61" t="n">
        <f aca="false">S51*Assumptions!$E$60*S48</f>
        <v>406.673031201611</v>
      </c>
      <c r="T52" s="61" t="n">
        <f aca="false">T51*Assumptions!$E$60*T48</f>
        <v>431.925561642366</v>
      </c>
      <c r="U52" s="61" t="n">
        <f aca="false">U51*Assumptions!$E$60*U48</f>
        <v>458.556262021182</v>
      </c>
      <c r="V52" s="61" t="n">
        <f aca="false">V51*Assumptions!$E$60*V48</f>
        <v>486.640149598864</v>
      </c>
      <c r="W52" s="61" t="n">
        <f aca="false">W51*Assumptions!$E$60*W48</f>
        <v>516.267188214193</v>
      </c>
      <c r="X52" s="61" t="n">
        <f aca="false">X51*Assumptions!$E$60*X48</f>
        <v>547.543224542293</v>
      </c>
      <c r="Y52" s="61" t="n">
        <f aca="false">Y51*Assumptions!$E$60*Y48</f>
        <v>580.591007999496</v>
      </c>
      <c r="Z52" s="61" t="n">
        <f aca="false">Z51*Assumptions!$E$60*Z48</f>
        <v>615.551333011391</v>
      </c>
      <c r="AA52" s="61" t="n">
        <f aca="false">AA51*Assumptions!$E$60*AA48</f>
        <v>652.584333298188</v>
      </c>
      <c r="AB52" s="61" t="n">
        <f aca="false">AB51*Assumptions!$E$60*AB48</f>
        <v>679.442132691759</v>
      </c>
      <c r="AC52" s="61" t="n">
        <f aca="false">AC51*Assumptions!$E$60*AC48</f>
        <v>699.296921333029</v>
      </c>
      <c r="AD52" s="61" t="n">
        <f aca="false">AD51*Assumptions!$E$60*AD48</f>
        <v>720.211860781814</v>
      </c>
      <c r="AE52" s="61" t="n">
        <f aca="false">AE51*Assumptions!$E$60*AE48</f>
        <v>742.34199944168</v>
      </c>
      <c r="AF52" s="61" t="n">
        <f aca="false">AF51*Assumptions!$E$60*AF48</f>
        <v>765.831280397151</v>
      </c>
      <c r="AG52" s="61" t="n">
        <f aca="false">AG51*Assumptions!$E$60*AG48</f>
        <v>790.827920412077</v>
      </c>
      <c r="AH52" s="61" t="n">
        <f aca="false">AH51*Assumptions!$E$60*AH48</f>
        <v>817.491361998453</v>
      </c>
      <c r="AI52" s="61" t="n">
        <f aca="false">AI51*Assumptions!$E$60*AI48</f>
        <v>845.994099951699</v>
      </c>
      <c r="AJ52" s="61" t="n">
        <f aca="false">AJ51*Assumptions!$E$60*AJ48</f>
        <v>876.52288360124</v>
      </c>
      <c r="AK52" s="61" t="n">
        <f aca="false">AK51*Assumptions!$E$60*AK48</f>
        <v>909.279932171323</v>
      </c>
      <c r="AL52" s="61" t="n">
        <f aca="false">AL51*Assumptions!$E$60*AL48</f>
        <v>944.484260649836</v>
      </c>
      <c r="AM52" s="61" t="n">
        <f aca="false">SUM(C52:AL52)</f>
        <v>16438.6513375917</v>
      </c>
    </row>
    <row r="53" customFormat="false" ht="15" hidden="false" customHeight="false" outlineLevel="0" collapsed="false">
      <c r="A53" s="10" t="s">
        <v>788</v>
      </c>
      <c r="B53" s="9" t="s">
        <v>51</v>
      </c>
      <c r="C53" s="61" t="n">
        <f aca="false">C52*Assumptions!$E$64</f>
        <v>0</v>
      </c>
      <c r="D53" s="61" t="n">
        <f aca="false">D52*Assumptions!$E$64</f>
        <v>0</v>
      </c>
      <c r="E53" s="61" t="n">
        <f aca="false">E52*Assumptions!$E$64</f>
        <v>0</v>
      </c>
      <c r="F53" s="61" t="n">
        <f aca="false">F52*Assumptions!$E$64</f>
        <v>0</v>
      </c>
      <c r="G53" s="61" t="n">
        <f aca="false">G52*Assumptions!$E$64</f>
        <v>0</v>
      </c>
      <c r="H53" s="61" t="n">
        <f aca="false">H52*Assumptions!$E$64</f>
        <v>0</v>
      </c>
      <c r="I53" s="61" t="n">
        <f aca="false">I52*Assumptions!$E$64</f>
        <v>123.727624030052</v>
      </c>
      <c r="J53" s="61" t="n">
        <f aca="false">J52*Assumptions!$E$64</f>
        <v>131.458009591078</v>
      </c>
      <c r="K53" s="61" t="n">
        <f aca="false">K52*Assumptions!$E$64</f>
        <v>139.603534834265</v>
      </c>
      <c r="L53" s="61" t="n">
        <f aca="false">L52*Assumptions!$E$64</f>
        <v>148.31144608232</v>
      </c>
      <c r="M53" s="61" t="n">
        <f aca="false">M52*Assumptions!$E$64</f>
        <v>157.655601764215</v>
      </c>
      <c r="N53" s="61" t="n">
        <f aca="false">N52*Assumptions!$E$64</f>
        <v>167.653513361028</v>
      </c>
      <c r="O53" s="61" t="n">
        <f aca="false">O52*Assumptions!$E$64</f>
        <v>178.312130421182</v>
      </c>
      <c r="P53" s="61" t="n">
        <f aca="false">P52*Assumptions!$E$64</f>
        <v>189.637869325477</v>
      </c>
      <c r="Q53" s="61" t="n">
        <f aca="false">Q52*Assumptions!$E$64</f>
        <v>201.640133525559</v>
      </c>
      <c r="R53" s="61" t="n">
        <f aca="false">R52*Assumptions!$E$64</f>
        <v>214.333108938782</v>
      </c>
      <c r="S53" s="61" t="n">
        <f aca="false">S52*Assumptions!$E$64</f>
        <v>227.736897472902</v>
      </c>
      <c r="T53" s="61" t="n">
        <f aca="false">T52*Assumptions!$E$64</f>
        <v>241.878314519725</v>
      </c>
      <c r="U53" s="61" t="n">
        <f aca="false">U52*Assumptions!$E$64</f>
        <v>256.791506731862</v>
      </c>
      <c r="V53" s="61" t="n">
        <f aca="false">V52*Assumptions!$E$64</f>
        <v>272.518483775364</v>
      </c>
      <c r="W53" s="61" t="n">
        <f aca="false">W52*Assumptions!$E$64</f>
        <v>289.109625399948</v>
      </c>
      <c r="X53" s="61" t="n">
        <f aca="false">X52*Assumptions!$E$64</f>
        <v>306.624205743684</v>
      </c>
      <c r="Y53" s="61" t="n">
        <f aca="false">Y52*Assumptions!$E$64</f>
        <v>325.130964479718</v>
      </c>
      <c r="Z53" s="61" t="n">
        <f aca="false">Z52*Assumptions!$E$64</f>
        <v>344.708746486379</v>
      </c>
      <c r="AA53" s="61" t="n">
        <f aca="false">AA52*Assumptions!$E$64</f>
        <v>365.447226646986</v>
      </c>
      <c r="AB53" s="61" t="n">
        <f aca="false">AB52*Assumptions!$E$64</f>
        <v>380.487594307385</v>
      </c>
      <c r="AC53" s="61" t="n">
        <f aca="false">AC52*Assumptions!$E$64</f>
        <v>391.606275946496</v>
      </c>
      <c r="AD53" s="61" t="n">
        <f aca="false">AD52*Assumptions!$E$64</f>
        <v>403.318642037816</v>
      </c>
      <c r="AE53" s="61" t="n">
        <f aca="false">AE52*Assumptions!$E$64</f>
        <v>415.711519687341</v>
      </c>
      <c r="AF53" s="61" t="n">
        <f aca="false">AF52*Assumptions!$E$64</f>
        <v>428.865517022405</v>
      </c>
      <c r="AG53" s="61" t="n">
        <f aca="false">AG52*Assumptions!$E$64</f>
        <v>442.863635430763</v>
      </c>
      <c r="AH53" s="61" t="n">
        <f aca="false">AH52*Assumptions!$E$64</f>
        <v>457.795162719134</v>
      </c>
      <c r="AI53" s="61" t="n">
        <f aca="false">AI52*Assumptions!$E$64</f>
        <v>473.756695972951</v>
      </c>
      <c r="AJ53" s="61" t="n">
        <f aca="false">AJ52*Assumptions!$E$64</f>
        <v>490.852814816695</v>
      </c>
      <c r="AK53" s="61" t="n">
        <f aca="false">AK52*Assumptions!$E$64</f>
        <v>509.196762015941</v>
      </c>
      <c r="AL53" s="61" t="n">
        <f aca="false">AL52*Assumptions!$E$64</f>
        <v>528.911185963908</v>
      </c>
      <c r="AM53" s="61" t="n">
        <f aca="false">SUM(C53:AL53)</f>
        <v>9205.64474905136</v>
      </c>
    </row>
    <row r="54" customFormat="false" ht="15" hidden="false" customHeight="false" outlineLevel="0" collapsed="false">
      <c r="A54" s="10" t="s">
        <v>789</v>
      </c>
      <c r="B54" s="9" t="s">
        <v>51</v>
      </c>
      <c r="C54" s="61" t="n">
        <f aca="false">C53*Assumptions!$E$65</f>
        <v>0</v>
      </c>
      <c r="D54" s="61" t="n">
        <f aca="false">D53*Assumptions!$E$65</f>
        <v>0</v>
      </c>
      <c r="E54" s="61" t="n">
        <f aca="false">E53*Assumptions!$E$65</f>
        <v>0</v>
      </c>
      <c r="F54" s="61" t="n">
        <f aca="false">F53*Assumptions!$E$65</f>
        <v>0</v>
      </c>
      <c r="G54" s="61" t="n">
        <f aca="false">G53*Assumptions!$E$65</f>
        <v>0</v>
      </c>
      <c r="H54" s="61" t="n">
        <f aca="false">H53*Assumptions!$E$65</f>
        <v>0</v>
      </c>
      <c r="I54" s="61" t="n">
        <f aca="false">I53*Assumptions!$E$65</f>
        <v>102.693927944943</v>
      </c>
      <c r="J54" s="61" t="n">
        <f aca="false">J53*Assumptions!$E$65</f>
        <v>109.110147960595</v>
      </c>
      <c r="K54" s="61" t="n">
        <f aca="false">K53*Assumptions!$E$65</f>
        <v>115.87093391244</v>
      </c>
      <c r="L54" s="61" t="n">
        <f aca="false">L53*Assumptions!$E$65</f>
        <v>123.098500248326</v>
      </c>
      <c r="M54" s="61" t="n">
        <f aca="false">M53*Assumptions!$E$65</f>
        <v>130.854149464299</v>
      </c>
      <c r="N54" s="61" t="n">
        <f aca="false">N53*Assumptions!$E$65</f>
        <v>139.152416089654</v>
      </c>
      <c r="O54" s="61" t="n">
        <f aca="false">O53*Assumptions!$E$65</f>
        <v>147.999068249581</v>
      </c>
      <c r="P54" s="61" t="n">
        <f aca="false">P53*Assumptions!$E$65</f>
        <v>157.399431540146</v>
      </c>
      <c r="Q54" s="61" t="n">
        <f aca="false">Q53*Assumptions!$E$65</f>
        <v>167.361310826214</v>
      </c>
      <c r="R54" s="61" t="n">
        <f aca="false">R53*Assumptions!$E$65</f>
        <v>177.896480419189</v>
      </c>
      <c r="S54" s="61" t="n">
        <f aca="false">S53*Assumptions!$E$65</f>
        <v>189.021624902509</v>
      </c>
      <c r="T54" s="61" t="n">
        <f aca="false">T53*Assumptions!$E$65</f>
        <v>200.759001051372</v>
      </c>
      <c r="U54" s="61" t="n">
        <f aca="false">U53*Assumptions!$E$65</f>
        <v>213.136950587445</v>
      </c>
      <c r="V54" s="61" t="n">
        <f aca="false">V53*Assumptions!$E$65</f>
        <v>226.190341533552</v>
      </c>
      <c r="W54" s="61" t="n">
        <f aca="false">W53*Assumptions!$E$65</f>
        <v>239.960989081957</v>
      </c>
      <c r="X54" s="61" t="n">
        <f aca="false">X53*Assumptions!$E$65</f>
        <v>254.498090767258</v>
      </c>
      <c r="Y54" s="61" t="n">
        <f aca="false">Y53*Assumptions!$E$65</f>
        <v>269.858700518166</v>
      </c>
      <c r="Z54" s="61" t="n">
        <f aca="false">Z53*Assumptions!$E$65</f>
        <v>286.108259583694</v>
      </c>
      <c r="AA54" s="61" t="n">
        <f aca="false">AA53*Assumptions!$E$65</f>
        <v>303.321198116998</v>
      </c>
      <c r="AB54" s="61" t="n">
        <f aca="false">AB53*Assumptions!$E$65</f>
        <v>315.80470327513</v>
      </c>
      <c r="AC54" s="61" t="n">
        <f aca="false">AC53*Assumptions!$E$65</f>
        <v>325.033209035592</v>
      </c>
      <c r="AD54" s="61" t="n">
        <f aca="false">AD53*Assumptions!$E$65</f>
        <v>334.754472891387</v>
      </c>
      <c r="AE54" s="61" t="n">
        <f aca="false">AE53*Assumptions!$E$65</f>
        <v>345.040561340493</v>
      </c>
      <c r="AF54" s="61" t="n">
        <f aca="false">AF53*Assumptions!$E$65</f>
        <v>355.958379128596</v>
      </c>
      <c r="AG54" s="61" t="n">
        <f aca="false">AG53*Assumptions!$E$65</f>
        <v>367.576817407533</v>
      </c>
      <c r="AH54" s="61" t="n">
        <f aca="false">AH53*Assumptions!$E$65</f>
        <v>379.969985056881</v>
      </c>
      <c r="AI54" s="61" t="n">
        <f aca="false">AI53*Assumptions!$E$65</f>
        <v>393.21805765755</v>
      </c>
      <c r="AJ54" s="61" t="n">
        <f aca="false">AJ53*Assumptions!$E$65</f>
        <v>407.407836297857</v>
      </c>
      <c r="AK54" s="61" t="n">
        <f aca="false">AK53*Assumptions!$E$65</f>
        <v>422.633312473231</v>
      </c>
      <c r="AL54" s="61" t="n">
        <f aca="false">AL53*Assumptions!$E$65</f>
        <v>438.996284350044</v>
      </c>
      <c r="AM54" s="61" t="n">
        <f aca="false">SUM(C54:AL54)</f>
        <v>7640.68514171263</v>
      </c>
    </row>
    <row r="55" customFormat="false" ht="15" hidden="false" customHeight="false" outlineLevel="0" collapsed="false">
      <c r="A55" s="10" t="s">
        <v>790</v>
      </c>
      <c r="B55" s="9" t="s">
        <v>51</v>
      </c>
      <c r="C55" s="61" t="n">
        <f aca="false">C54*Assumptions!$E$66</f>
        <v>0</v>
      </c>
      <c r="D55" s="61" t="n">
        <f aca="false">D54*Assumptions!$E$66</f>
        <v>0</v>
      </c>
      <c r="E55" s="61" t="n">
        <f aca="false">E54*Assumptions!$E$66</f>
        <v>0</v>
      </c>
      <c r="F55" s="61" t="n">
        <f aca="false">F54*Assumptions!$E$66</f>
        <v>0</v>
      </c>
      <c r="G55" s="61" t="n">
        <f aca="false">G54*Assumptions!$E$66</f>
        <v>0</v>
      </c>
      <c r="H55" s="61" t="n">
        <f aca="false">H54*Assumptions!$E$66</f>
        <v>0</v>
      </c>
      <c r="I55" s="61" t="n">
        <f aca="false">I54*Assumptions!$E$66</f>
        <v>63.6702353258649</v>
      </c>
      <c r="J55" s="61" t="n">
        <f aca="false">J54*Assumptions!$E$66</f>
        <v>67.6482917355688</v>
      </c>
      <c r="K55" s="61" t="n">
        <f aca="false">K54*Assumptions!$E$66</f>
        <v>71.8399790257128</v>
      </c>
      <c r="L55" s="61" t="n">
        <f aca="false">L54*Assumptions!$E$66</f>
        <v>76.3210701539618</v>
      </c>
      <c r="M55" s="61" t="n">
        <f aca="false">M54*Assumptions!$E$66</f>
        <v>81.1295726678652</v>
      </c>
      <c r="N55" s="61" t="n">
        <f aca="false">N54*Assumptions!$E$66</f>
        <v>86.2744979755852</v>
      </c>
      <c r="O55" s="61" t="n">
        <f aca="false">O54*Assumptions!$E$66</f>
        <v>91.75942231474</v>
      </c>
      <c r="P55" s="61" t="n">
        <f aca="false">P54*Assumptions!$E$66</f>
        <v>97.5876475548904</v>
      </c>
      <c r="Q55" s="61" t="n">
        <f aca="false">Q54*Assumptions!$E$66</f>
        <v>103.764012712253</v>
      </c>
      <c r="R55" s="61" t="n">
        <f aca="false">R54*Assumptions!$E$66</f>
        <v>110.295817859897</v>
      </c>
      <c r="S55" s="61" t="n">
        <f aca="false">S54*Assumptions!$E$66</f>
        <v>117.193407439555</v>
      </c>
      <c r="T55" s="61" t="n">
        <f aca="false">T54*Assumptions!$E$66</f>
        <v>124.470580651851</v>
      </c>
      <c r="U55" s="61" t="n">
        <f aca="false">U54*Assumptions!$E$66</f>
        <v>132.144909364216</v>
      </c>
      <c r="V55" s="61" t="n">
        <f aca="false">V54*Assumptions!$E$66</f>
        <v>140.238011750802</v>
      </c>
      <c r="W55" s="61" t="n">
        <f aca="false">W54*Assumptions!$E$66</f>
        <v>148.775813230813</v>
      </c>
      <c r="X55" s="61" t="n">
        <f aca="false">X54*Assumptions!$E$66</f>
        <v>157.7888162757</v>
      </c>
      <c r="Y55" s="61" t="n">
        <f aca="false">Y54*Assumptions!$E$66</f>
        <v>167.312394321263</v>
      </c>
      <c r="Z55" s="61" t="n">
        <f aca="false">Z54*Assumptions!$E$66</f>
        <v>177.387120941891</v>
      </c>
      <c r="AA55" s="61" t="n">
        <f aca="false">AA54*Assumptions!$E$66</f>
        <v>188.059142832539</v>
      </c>
      <c r="AB55" s="61" t="n">
        <f aca="false">AB54*Assumptions!$E$66</f>
        <v>195.79891603058</v>
      </c>
      <c r="AC55" s="61" t="n">
        <f aca="false">AC54*Assumptions!$E$66</f>
        <v>201.520589602067</v>
      </c>
      <c r="AD55" s="61" t="n">
        <f aca="false">AD54*Assumptions!$E$66</f>
        <v>207.54777319266</v>
      </c>
      <c r="AE55" s="61" t="n">
        <f aca="false">AE54*Assumptions!$E$66</f>
        <v>213.925148031106</v>
      </c>
      <c r="AF55" s="61" t="n">
        <f aca="false">AF54*Assumptions!$E$66</f>
        <v>220.69419505973</v>
      </c>
      <c r="AG55" s="61" t="n">
        <f aca="false">AG54*Assumptions!$E$66</f>
        <v>227.897626792671</v>
      </c>
      <c r="AH55" s="61" t="n">
        <f aca="false">AH54*Assumptions!$E$66</f>
        <v>235.581390735266</v>
      </c>
      <c r="AI55" s="61" t="n">
        <f aca="false">AI54*Assumptions!$E$66</f>
        <v>243.795195747681</v>
      </c>
      <c r="AJ55" s="61" t="n">
        <f aca="false">AJ54*Assumptions!$E$66</f>
        <v>252.592858504671</v>
      </c>
      <c r="AK55" s="61" t="n">
        <f aca="false">AK54*Assumptions!$E$66</f>
        <v>262.032653733403</v>
      </c>
      <c r="AL55" s="61" t="n">
        <f aca="false">AL54*Assumptions!$E$66</f>
        <v>272.177696297027</v>
      </c>
      <c r="AM55" s="61" t="n">
        <f aca="false">SUM(C55:AL55)</f>
        <v>4737.22478786183</v>
      </c>
    </row>
    <row r="56" customFormat="false" ht="15" hidden="false" customHeight="false" outlineLevel="0" collapsed="false">
      <c r="A56" s="10" t="s">
        <v>791</v>
      </c>
      <c r="B56" s="9" t="s">
        <v>51</v>
      </c>
      <c r="C56" s="61" t="n">
        <f aca="false">C55*Assumptions!$E$67</f>
        <v>0</v>
      </c>
      <c r="D56" s="61" t="n">
        <f aca="false">D55*Assumptions!$E$67</f>
        <v>0</v>
      </c>
      <c r="E56" s="61" t="n">
        <f aca="false">E55*Assumptions!$E$67</f>
        <v>0</v>
      </c>
      <c r="F56" s="61" t="n">
        <f aca="false">F55*Assumptions!$E$67</f>
        <v>0</v>
      </c>
      <c r="G56" s="61" t="n">
        <f aca="false">G55*Assumptions!$E$67</f>
        <v>0</v>
      </c>
      <c r="H56" s="61" t="n">
        <f aca="false">H55*Assumptions!$E$67</f>
        <v>0</v>
      </c>
      <c r="I56" s="61" t="n">
        <f aca="false">I55*Assumptions!$E$67</f>
        <v>42.0223553150708</v>
      </c>
      <c r="J56" s="61" t="n">
        <f aca="false">J55*Assumptions!$E$67</f>
        <v>44.6478725454754</v>
      </c>
      <c r="K56" s="61" t="n">
        <f aca="false">K55*Assumptions!$E$67</f>
        <v>47.4143861569705</v>
      </c>
      <c r="L56" s="61" t="n">
        <f aca="false">L55*Assumptions!$E$67</f>
        <v>50.3719063016148</v>
      </c>
      <c r="M56" s="61" t="n">
        <f aca="false">M55*Assumptions!$E$67</f>
        <v>53.545517960791</v>
      </c>
      <c r="N56" s="61" t="n">
        <f aca="false">N55*Assumptions!$E$67</f>
        <v>56.9411686638862</v>
      </c>
      <c r="O56" s="61" t="n">
        <f aca="false">O55*Assumptions!$E$67</f>
        <v>60.5612187277284</v>
      </c>
      <c r="P56" s="61" t="n">
        <f aca="false">P55*Assumptions!$E$67</f>
        <v>64.4078473862277</v>
      </c>
      <c r="Q56" s="61" t="n">
        <f aca="false">Q55*Assumptions!$E$67</f>
        <v>68.4842483900868</v>
      </c>
      <c r="R56" s="61" t="n">
        <f aca="false">R55*Assumptions!$E$67</f>
        <v>72.7952397875321</v>
      </c>
      <c r="S56" s="61" t="n">
        <f aca="false">S55*Assumptions!$E$67</f>
        <v>77.3476489101066</v>
      </c>
      <c r="T56" s="61" t="n">
        <f aca="false">T55*Assumptions!$E$67</f>
        <v>82.1505832302213</v>
      </c>
      <c r="U56" s="61" t="n">
        <f aca="false">U55*Assumptions!$E$67</f>
        <v>87.2156401803826</v>
      </c>
      <c r="V56" s="61" t="n">
        <f aca="false">V55*Assumptions!$E$67</f>
        <v>92.5570877555295</v>
      </c>
      <c r="W56" s="61" t="n">
        <f aca="false">W55*Assumptions!$E$67</f>
        <v>98.1920367323368</v>
      </c>
      <c r="X56" s="61" t="n">
        <f aca="false">X55*Assumptions!$E$67</f>
        <v>104.140618741962</v>
      </c>
      <c r="Y56" s="61" t="n">
        <f aca="false">Y55*Assumptions!$E$67</f>
        <v>110.426180252033</v>
      </c>
      <c r="Z56" s="61" t="n">
        <f aca="false">Z55*Assumptions!$E$67</f>
        <v>117.075499821648</v>
      </c>
      <c r="AA56" s="61" t="n">
        <f aca="false">AA55*Assumptions!$E$67</f>
        <v>124.119034269476</v>
      </c>
      <c r="AB56" s="61" t="n">
        <f aca="false">AB55*Assumptions!$E$67</f>
        <v>129.227284580183</v>
      </c>
      <c r="AC56" s="61" t="n">
        <f aca="false">AC55*Assumptions!$E$67</f>
        <v>133.003589137364</v>
      </c>
      <c r="AD56" s="61" t="n">
        <f aca="false">AD55*Assumptions!$E$67</f>
        <v>136.981530307156</v>
      </c>
      <c r="AE56" s="61" t="n">
        <f aca="false">AE55*Assumptions!$E$67</f>
        <v>141.19059770053</v>
      </c>
      <c r="AF56" s="61" t="n">
        <f aca="false">AF55*Assumptions!$E$67</f>
        <v>145.658168739421</v>
      </c>
      <c r="AG56" s="61" t="n">
        <f aca="false">AG55*Assumptions!$E$67</f>
        <v>150.412433683163</v>
      </c>
      <c r="AH56" s="61" t="n">
        <f aca="false">AH55*Assumptions!$E$67</f>
        <v>155.483717885276</v>
      </c>
      <c r="AI56" s="61" t="n">
        <f aca="false">AI55*Assumptions!$E$67</f>
        <v>160.904829193469</v>
      </c>
      <c r="AJ56" s="61" t="n">
        <f aca="false">AJ55*Assumptions!$E$67</f>
        <v>166.711286613083</v>
      </c>
      <c r="AK56" s="61" t="n">
        <f aca="false">AK55*Assumptions!$E$67</f>
        <v>172.941551464046</v>
      </c>
      <c r="AL56" s="61" t="n">
        <f aca="false">AL55*Assumptions!$E$67</f>
        <v>179.637279556038</v>
      </c>
      <c r="AM56" s="61" t="n">
        <f aca="false">SUM(C56:AL56)</f>
        <v>3126.56835998881</v>
      </c>
    </row>
    <row r="57" customFormat="false" ht="15" hidden="false" customHeight="false" outlineLevel="0" collapsed="false">
      <c r="A57" s="37" t="s">
        <v>792</v>
      </c>
      <c r="B57" s="9" t="s">
        <v>51</v>
      </c>
      <c r="C57" s="71" t="n">
        <f aca="false">C56</f>
        <v>0</v>
      </c>
      <c r="D57" s="71" t="n">
        <f aca="false">C57*(1-Assumptions!$E$68)+D56</f>
        <v>0</v>
      </c>
      <c r="E57" s="71" t="n">
        <f aca="false">D57*(1-Assumptions!$E$68)+E56</f>
        <v>0</v>
      </c>
      <c r="F57" s="71" t="n">
        <f aca="false">E57*(1-Assumptions!$E$68)+F56</f>
        <v>0</v>
      </c>
      <c r="G57" s="71" t="n">
        <f aca="false">F57*(1-Assumptions!$E$68)+G56</f>
        <v>0</v>
      </c>
      <c r="H57" s="71" t="n">
        <f aca="false">G57*(1-Assumptions!$E$68)+H56</f>
        <v>0</v>
      </c>
      <c r="I57" s="71" t="n">
        <f aca="false">H57*(1-Assumptions!$E$68)+I56</f>
        <v>42.0223553150708</v>
      </c>
      <c r="J57" s="71" t="n">
        <f aca="false">I57*(1-Assumptions!$E$68)+J56</f>
        <v>82.0477687758884</v>
      </c>
      <c r="K57" s="71" t="n">
        <f aca="false">J57*(1-Assumptions!$E$68)+K56</f>
        <v>120.436900367511</v>
      </c>
      <c r="L57" s="71" t="n">
        <f aca="false">K57*(1-Assumptions!$E$68)+L56</f>
        <v>157.5607476287</v>
      </c>
      <c r="M57" s="71" t="n">
        <f aca="false">L57*(1-Assumptions!$E$68)+M56</f>
        <v>193.774583350334</v>
      </c>
      <c r="N57" s="71" t="n">
        <f aca="false">M57*(1-Assumptions!$E$68)+N56</f>
        <v>229.400547845683</v>
      </c>
      <c r="O57" s="71" t="n">
        <f aca="false">N57*(1-Assumptions!$E$68)+O56</f>
        <v>264.727706310387</v>
      </c>
      <c r="P57" s="71" t="n">
        <f aca="false">O57*(1-Assumptions!$E$68)+P56</f>
        <v>300.015506002472</v>
      </c>
      <c r="Q57" s="71" t="n">
        <f aca="false">P57*(1-Assumptions!$E$68)+Q56</f>
        <v>335.498048732287</v>
      </c>
      <c r="R57" s="71" t="n">
        <f aca="false">Q57*(1-Assumptions!$E$68)+R56</f>
        <v>371.388503159267</v>
      </c>
      <c r="S57" s="71" t="n">
        <f aca="false">R57*(1-Assumptions!$E$68)+S56</f>
        <v>407.883416721854</v>
      </c>
      <c r="T57" s="71" t="n">
        <f aca="false">S57*(1-Assumptions!$E$68)+T56</f>
        <v>445.166824112672</v>
      </c>
      <c r="U57" s="71" t="n">
        <f aca="false">T57*(1-Assumptions!$E$68)+U56</f>
        <v>483.41411364066</v>
      </c>
      <c r="V57" s="71" t="n">
        <f aca="false">U57*(1-Assumptions!$E$68)+V56</f>
        <v>522.795648895717</v>
      </c>
      <c r="W57" s="71" t="n">
        <f aca="false">V57*(1-Assumptions!$E$68)+W56</f>
        <v>563.480164249525</v>
      </c>
      <c r="X57" s="71" t="n">
        <f aca="false">W57*(1-Assumptions!$E$68)+X56</f>
        <v>605.637964924039</v>
      </c>
      <c r="Y57" s="71" t="n">
        <f aca="false">X57*(1-Assumptions!$E$68)+Y56</f>
        <v>649.443969034428</v>
      </c>
      <c r="Z57" s="71" t="n">
        <f aca="false">Y57*(1-Assumptions!$E$68)+Z56</f>
        <v>695.080632262289</v>
      </c>
      <c r="AA57" s="71" t="n">
        <f aca="false">Z57*(1-Assumptions!$E$68)+AA56</f>
        <v>742.740796982913</v>
      </c>
      <c r="AB57" s="71" t="n">
        <f aca="false">AA57*(1-Assumptions!$E$68)+AB56</f>
        <v>790.266593894976</v>
      </c>
      <c r="AC57" s="71" t="n">
        <f aca="false">AB57*(1-Assumptions!$E$68)+AC56</f>
        <v>836.340857703892</v>
      </c>
      <c r="AD57" s="71" t="n">
        <f aca="false">AC57*(1-Assumptions!$E$68)+AD56</f>
        <v>881.32489366362</v>
      </c>
      <c r="AE57" s="71" t="n">
        <f aca="false">AD57*(1-Assumptions!$E$68)+AE56</f>
        <v>925.569753061152</v>
      </c>
      <c r="AF57" s="71" t="n">
        <f aca="false">AE57*(1-Assumptions!$E$68)+AF56</f>
        <v>969.415248963846</v>
      </c>
      <c r="AG57" s="71" t="n">
        <f aca="false">AF57*(1-Assumptions!$E$68)+AG56</f>
        <v>1013.19200526099</v>
      </c>
      <c r="AH57" s="71" t="n">
        <f aca="false">AG57*(1-Assumptions!$E$68)+AH56</f>
        <v>1057.22460256755</v>
      </c>
      <c r="AI57" s="71" t="n">
        <f aca="false">AH57*(1-Assumptions!$E$68)+AI56</f>
        <v>1101.83472547859</v>
      </c>
      <c r="AJ57" s="71" t="n">
        <f aca="false">AI57*(1-Assumptions!$E$68)+AJ56</f>
        <v>1147.34419228903</v>
      </c>
      <c r="AK57" s="71" t="n">
        <f aca="false">AJ57*(1-Assumptions!$E$68)+AK56</f>
        <v>1194.07788260128</v>
      </c>
      <c r="AL57" s="71" t="n">
        <f aca="false">AK57*(1-Assumptions!$E$68)+AL56</f>
        <v>1242.36659507118</v>
      </c>
      <c r="AM57" s="71" t="n">
        <f aca="false">AL57</f>
        <v>1242.36659507118</v>
      </c>
    </row>
    <row r="58" customFormat="false" ht="15" hidden="false" customHeight="false" outlineLevel="0" collapsed="false">
      <c r="A58" s="10" t="s">
        <v>793</v>
      </c>
      <c r="B58" s="9" t="s">
        <v>51</v>
      </c>
      <c r="C58" s="61" t="n">
        <f aca="false">0</f>
        <v>0</v>
      </c>
      <c r="D58" s="61" t="n">
        <f aca="false">C57*Assumptions!$E$68</f>
        <v>0</v>
      </c>
      <c r="E58" s="61" t="n">
        <f aca="false">D57*Assumptions!$E$68</f>
        <v>0</v>
      </c>
      <c r="F58" s="61" t="n">
        <f aca="false">E57*Assumptions!$E$68</f>
        <v>0</v>
      </c>
      <c r="G58" s="61" t="n">
        <f aca="false">F57*Assumptions!$E$68</f>
        <v>0</v>
      </c>
      <c r="H58" s="61" t="n">
        <f aca="false">G57*Assumptions!$E$68</f>
        <v>0</v>
      </c>
      <c r="I58" s="61" t="n">
        <f aca="false">H57*Assumptions!$E$68</f>
        <v>0</v>
      </c>
      <c r="J58" s="61" t="n">
        <f aca="false">I57*Assumptions!$E$68</f>
        <v>4.62245908465779</v>
      </c>
      <c r="K58" s="61" t="n">
        <f aca="false">J57*Assumptions!$E$68</f>
        <v>9.02525456534772</v>
      </c>
      <c r="L58" s="61" t="n">
        <f aca="false">K57*Assumptions!$E$68</f>
        <v>13.2480590404262</v>
      </c>
      <c r="M58" s="61" t="n">
        <f aca="false">L57*Assumptions!$E$68</f>
        <v>17.331682239157</v>
      </c>
      <c r="N58" s="61" t="n">
        <f aca="false">M57*Assumptions!$E$68</f>
        <v>21.3152041685367</v>
      </c>
      <c r="O58" s="61" t="n">
        <f aca="false">N57*Assumptions!$E$68</f>
        <v>25.2340602630252</v>
      </c>
      <c r="P58" s="61" t="n">
        <f aca="false">O57*Assumptions!$E$68</f>
        <v>29.1200476941425</v>
      </c>
      <c r="Q58" s="61" t="n">
        <f aca="false">P57*Assumptions!$E$68</f>
        <v>33.0017056602719</v>
      </c>
      <c r="R58" s="61" t="n">
        <f aca="false">Q57*Assumptions!$E$68</f>
        <v>36.9047853605515</v>
      </c>
      <c r="S58" s="61" t="n">
        <f aca="false">R57*Assumptions!$E$68</f>
        <v>40.8527353475194</v>
      </c>
      <c r="T58" s="61" t="n">
        <f aca="false">S57*Assumptions!$E$68</f>
        <v>44.867175839404</v>
      </c>
      <c r="U58" s="61" t="n">
        <f aca="false">T57*Assumptions!$E$68</f>
        <v>48.9683506523939</v>
      </c>
      <c r="V58" s="61" t="n">
        <f aca="false">U57*Assumptions!$E$68</f>
        <v>53.1755525004726</v>
      </c>
      <c r="W58" s="61" t="n">
        <f aca="false">V57*Assumptions!$E$68</f>
        <v>57.5075213785289</v>
      </c>
      <c r="X58" s="61" t="n">
        <f aca="false">W57*Assumptions!$E$68</f>
        <v>61.9828180674478</v>
      </c>
      <c r="Y58" s="61" t="n">
        <f aca="false">X57*Assumptions!$E$68</f>
        <v>66.6201761416443</v>
      </c>
      <c r="Z58" s="61" t="n">
        <f aca="false">Y57*Assumptions!$E$68</f>
        <v>71.4388365937871</v>
      </c>
      <c r="AA58" s="61" t="n">
        <f aca="false">Z57*Assumptions!$E$68</f>
        <v>76.4588695488518</v>
      </c>
      <c r="AB58" s="61" t="n">
        <f aca="false">AA57*Assumptions!$E$68</f>
        <v>81.7014876681204</v>
      </c>
      <c r="AC58" s="61" t="n">
        <f aca="false">AB57*Assumptions!$E$68</f>
        <v>86.9293253284473</v>
      </c>
      <c r="AD58" s="61" t="n">
        <f aca="false">AC57*Assumptions!$E$68</f>
        <v>91.9974943474282</v>
      </c>
      <c r="AE58" s="61" t="n">
        <f aca="false">AD57*Assumptions!$E$68</f>
        <v>96.9457383029982</v>
      </c>
      <c r="AF58" s="61" t="n">
        <f aca="false">AE57*Assumptions!$E$68</f>
        <v>101.812672836727</v>
      </c>
      <c r="AG58" s="61" t="n">
        <f aca="false">AF57*Assumptions!$E$68</f>
        <v>106.635677386023</v>
      </c>
      <c r="AH58" s="61" t="n">
        <f aca="false">AG57*Assumptions!$E$68</f>
        <v>111.451120578708</v>
      </c>
      <c r="AI58" s="61" t="n">
        <f aca="false">AH57*Assumptions!$E$68</f>
        <v>116.294706282431</v>
      </c>
      <c r="AJ58" s="61" t="n">
        <f aca="false">AI57*Assumptions!$E$68</f>
        <v>121.201819802645</v>
      </c>
      <c r="AK58" s="61" t="n">
        <f aca="false">AJ57*Assumptions!$E$68</f>
        <v>126.207861151793</v>
      </c>
      <c r="AL58" s="61" t="n">
        <f aca="false">AK57*Assumptions!$E$68</f>
        <v>131.348567086141</v>
      </c>
      <c r="AM58" s="61" t="n">
        <f aca="false">SUM(C58:AL58)</f>
        <v>1884.20176491763</v>
      </c>
    </row>
    <row r="59" customFormat="false" ht="15" hidden="false" customHeight="false" outlineLevel="0" collapsed="false">
      <c r="A59" s="10" t="s">
        <v>794</v>
      </c>
      <c r="B59" s="9" t="s">
        <v>97</v>
      </c>
      <c r="C59" s="70" t="n">
        <f aca="false">C57*Assumptions!$E$70</f>
        <v>0</v>
      </c>
      <c r="D59" s="70" t="n">
        <f aca="false">D57*Assumptions!$E$70</f>
        <v>0</v>
      </c>
      <c r="E59" s="70" t="n">
        <f aca="false">E57*Assumptions!$E$70</f>
        <v>0</v>
      </c>
      <c r="F59" s="70" t="n">
        <f aca="false">F57*Assumptions!$E$70</f>
        <v>0</v>
      </c>
      <c r="G59" s="70" t="n">
        <f aca="false">G57*Assumptions!$E$70</f>
        <v>0</v>
      </c>
      <c r="H59" s="70" t="n">
        <f aca="false">H57*Assumptions!$E$70</f>
        <v>0</v>
      </c>
      <c r="I59" s="70" t="n">
        <f aca="false">I57*Assumptions!$E$70</f>
        <v>10463.5664734526</v>
      </c>
      <c r="J59" s="70" t="n">
        <f aca="false">J57*Assumptions!$E$70</f>
        <v>20429.8944251962</v>
      </c>
      <c r="K59" s="70" t="n">
        <f aca="false">K57*Assumptions!$E$70</f>
        <v>29988.7881915103</v>
      </c>
      <c r="L59" s="70" t="n">
        <f aca="false">L57*Assumptions!$E$70</f>
        <v>39232.6261595462</v>
      </c>
      <c r="M59" s="70" t="n">
        <f aca="false">M57*Assumptions!$E$70</f>
        <v>48249.8712542331</v>
      </c>
      <c r="N59" s="70" t="n">
        <f aca="false">N57*Assumptions!$E$70</f>
        <v>57120.7364135751</v>
      </c>
      <c r="O59" s="70" t="n">
        <f aca="false">O57*Assumptions!$E$70</f>
        <v>65917.1988712862</v>
      </c>
      <c r="P59" s="70" t="n">
        <f aca="false">P57*Assumptions!$E$70</f>
        <v>74703.8609946155</v>
      </c>
      <c r="Q59" s="70" t="n">
        <f aca="false">Q57*Assumptions!$E$70</f>
        <v>83539.0141343394</v>
      </c>
      <c r="R59" s="70" t="n">
        <f aca="false">R57*Assumptions!$E$70</f>
        <v>92475.7372866575</v>
      </c>
      <c r="S59" s="70" t="n">
        <f aca="false">S57*Assumptions!$E$70</f>
        <v>101562.970763742</v>
      </c>
      <c r="T59" s="70" t="n">
        <f aca="false">T57*Assumptions!$E$70</f>
        <v>110846.539204055</v>
      </c>
      <c r="U59" s="70" t="n">
        <f aca="false">U57*Assumptions!$E$70</f>
        <v>120370.114296524</v>
      </c>
      <c r="V59" s="70" t="n">
        <f aca="false">V57*Assumptions!$E$70</f>
        <v>130176.116575034</v>
      </c>
      <c r="W59" s="70" t="n">
        <f aca="false">W57*Assumptions!$E$70</f>
        <v>140306.560898132</v>
      </c>
      <c r="X59" s="70" t="n">
        <f aca="false">X57*Assumptions!$E$70</f>
        <v>150803.853266086</v>
      </c>
      <c r="Y59" s="70" t="n">
        <f aca="false">Y57*Assumptions!$E$70</f>
        <v>161711.548289573</v>
      </c>
      <c r="Z59" s="70" t="n">
        <f aca="false">Z57*Assumptions!$E$70</f>
        <v>173075.07743331</v>
      </c>
      <c r="AA59" s="70" t="n">
        <f aca="false">AA57*Assumptions!$E$70</f>
        <v>184942.458448745</v>
      </c>
      <c r="AB59" s="70" t="n">
        <f aca="false">AB57*Assumptions!$E$70</f>
        <v>196776.381879849</v>
      </c>
      <c r="AC59" s="70" t="n">
        <f aca="false">AC57*Assumptions!$E$70</f>
        <v>208248.873568269</v>
      </c>
      <c r="AD59" s="70" t="n">
        <f aca="false">AD57*Assumptions!$E$70</f>
        <v>219449.898522241</v>
      </c>
      <c r="AE59" s="70" t="n">
        <f aca="false">AE57*Assumptions!$E$70</f>
        <v>230466.868512227</v>
      </c>
      <c r="AF59" s="70" t="n">
        <f aca="false">AF57*Assumptions!$E$70</f>
        <v>241384.396991998</v>
      </c>
      <c r="AG59" s="70" t="n">
        <f aca="false">AG57*Assumptions!$E$70</f>
        <v>252284.809309986</v>
      </c>
      <c r="AH59" s="70" t="n">
        <f aca="false">AH57*Assumptions!$E$70</f>
        <v>263248.926039321</v>
      </c>
      <c r="AI59" s="70" t="n">
        <f aca="false">AI57*Assumptions!$E$70</f>
        <v>274356.846644169</v>
      </c>
      <c r="AJ59" s="70" t="n">
        <f aca="false">AJ57*Assumptions!$E$70</f>
        <v>285688.703879968</v>
      </c>
      <c r="AK59" s="70" t="n">
        <f aca="false">AK57*Assumptions!$E$70</f>
        <v>297325.392767719</v>
      </c>
      <c r="AL59" s="70" t="n">
        <f aca="false">AL57*Assumptions!$E$70</f>
        <v>309349.282172724</v>
      </c>
      <c r="AM59" s="70" t="n">
        <f aca="false">SUM(C59:AL59)</f>
        <v>4574496.91366808</v>
      </c>
    </row>
    <row r="60" customFormat="false" ht="15" hidden="false" customHeight="false" outlineLevel="0" collapsed="false">
      <c r="A60" s="10" t="s">
        <v>795</v>
      </c>
      <c r="B60" s="9" t="s">
        <v>97</v>
      </c>
      <c r="C60" s="70" t="n">
        <f aca="false">C53*Assumptions!$E$71</f>
        <v>0</v>
      </c>
      <c r="D60" s="70" t="n">
        <f aca="false">D53*Assumptions!$E$71</f>
        <v>0</v>
      </c>
      <c r="E60" s="70" t="n">
        <f aca="false">E53*Assumptions!$E$71</f>
        <v>0</v>
      </c>
      <c r="F60" s="70" t="n">
        <f aca="false">F53*Assumptions!$E$71</f>
        <v>0</v>
      </c>
      <c r="G60" s="70" t="n">
        <f aca="false">G53*Assumptions!$E$71</f>
        <v>0</v>
      </c>
      <c r="H60" s="70" t="n">
        <f aca="false">H53*Assumptions!$E$71</f>
        <v>0</v>
      </c>
      <c r="I60" s="70" t="n">
        <f aca="false">I53*Assumptions!$E$71</f>
        <v>7299.92981777308</v>
      </c>
      <c r="J60" s="70" t="n">
        <f aca="false">J53*Assumptions!$E$71</f>
        <v>7756.0225658736</v>
      </c>
      <c r="K60" s="70" t="n">
        <f aca="false">K53*Assumptions!$E$71</f>
        <v>8236.60855522164</v>
      </c>
      <c r="L60" s="70" t="n">
        <f aca="false">L53*Assumptions!$E$71</f>
        <v>8750.37531885688</v>
      </c>
      <c r="M60" s="70" t="n">
        <f aca="false">M53*Assumptions!$E$71</f>
        <v>9301.6805040887</v>
      </c>
      <c r="N60" s="70" t="n">
        <f aca="false">N53*Assumptions!$E$71</f>
        <v>9891.55728830067</v>
      </c>
      <c r="O60" s="70" t="n">
        <f aca="false">O53*Assumptions!$E$71</f>
        <v>10520.4156948497</v>
      </c>
      <c r="P60" s="70" t="n">
        <f aca="false">P53*Assumptions!$E$71</f>
        <v>11188.6342902031</v>
      </c>
      <c r="Q60" s="70" t="n">
        <f aca="false">Q53*Assumptions!$E$71</f>
        <v>11896.767878008</v>
      </c>
      <c r="R60" s="70" t="n">
        <f aca="false">R53*Assumptions!$E$71</f>
        <v>12645.6534273881</v>
      </c>
      <c r="S60" s="70" t="n">
        <f aca="false">S53*Assumptions!$E$71</f>
        <v>13436.4769509012</v>
      </c>
      <c r="T60" s="70" t="n">
        <f aca="false">T53*Assumptions!$E$71</f>
        <v>14270.8205566638</v>
      </c>
      <c r="U60" s="70" t="n">
        <f aca="false">U53*Assumptions!$E$71</f>
        <v>15150.6988971798</v>
      </c>
      <c r="V60" s="70" t="n">
        <f aca="false">V53*Assumptions!$E$71</f>
        <v>16078.5905427465</v>
      </c>
      <c r="W60" s="70" t="n">
        <f aca="false">W53*Assumptions!$E$71</f>
        <v>17057.4678985969</v>
      </c>
      <c r="X60" s="70" t="n">
        <f aca="false">X53*Assumptions!$E$71</f>
        <v>18090.8281388774</v>
      </c>
      <c r="Y60" s="70" t="n">
        <f aca="false">Y53*Assumptions!$E$71</f>
        <v>19182.7269043033</v>
      </c>
      <c r="Z60" s="70" t="n">
        <f aca="false">Z53*Assumptions!$E$71</f>
        <v>20337.8160426964</v>
      </c>
      <c r="AA60" s="70" t="n">
        <f aca="false">AA53*Assumptions!$E$71</f>
        <v>21561.3863721721</v>
      </c>
      <c r="AB60" s="70" t="n">
        <f aca="false">AB53*Assumptions!$E$71</f>
        <v>22448.7680641357</v>
      </c>
      <c r="AC60" s="70" t="n">
        <f aca="false">AC53*Assumptions!$E$71</f>
        <v>23104.7702808433</v>
      </c>
      <c r="AD60" s="70" t="n">
        <f aca="false">AD53*Assumptions!$E$71</f>
        <v>23795.7998802311</v>
      </c>
      <c r="AE60" s="70" t="n">
        <f aca="false">AE53*Assumptions!$E$71</f>
        <v>24526.9796615531</v>
      </c>
      <c r="AF60" s="70" t="n">
        <f aca="false">AF53*Assumptions!$E$71</f>
        <v>25303.0655043219</v>
      </c>
      <c r="AG60" s="70" t="n">
        <f aca="false">AG53*Assumptions!$E$71</f>
        <v>26128.954490415</v>
      </c>
      <c r="AH60" s="70" t="n">
        <f aca="false">AH53*Assumptions!$E$71</f>
        <v>27009.9146004289</v>
      </c>
      <c r="AI60" s="70" t="n">
        <f aca="false">AI53*Assumptions!$E$71</f>
        <v>27951.6450624041</v>
      </c>
      <c r="AJ60" s="70" t="n">
        <f aca="false">AJ53*Assumptions!$E$71</f>
        <v>28960.316074185</v>
      </c>
      <c r="AK60" s="70" t="n">
        <f aca="false">AK53*Assumptions!$E$71</f>
        <v>30042.6089589405</v>
      </c>
      <c r="AL60" s="70" t="n">
        <f aca="false">AL53*Assumptions!$E$71</f>
        <v>31205.7599718706</v>
      </c>
      <c r="AM60" s="70" t="n">
        <f aca="false">SUM(C60:AL60)</f>
        <v>543133.04019403</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17763.4962912257</v>
      </c>
      <c r="J61" s="70" t="n">
        <f aca="false">J59+J60</f>
        <v>28185.9169910698</v>
      </c>
      <c r="K61" s="70" t="n">
        <f aca="false">K59+K60</f>
        <v>38225.3967467319</v>
      </c>
      <c r="L61" s="70" t="n">
        <f aca="false">L59+L60</f>
        <v>47983.0014784031</v>
      </c>
      <c r="M61" s="70" t="n">
        <f aca="false">M59+M60</f>
        <v>57551.5517583218</v>
      </c>
      <c r="N61" s="70" t="n">
        <f aca="false">N59+N60</f>
        <v>67012.2937018758</v>
      </c>
      <c r="O61" s="70" t="n">
        <f aca="false">O59+O60</f>
        <v>76437.614566136</v>
      </c>
      <c r="P61" s="70" t="n">
        <f aca="false">P59+P60</f>
        <v>85892.4952848186</v>
      </c>
      <c r="Q61" s="70" t="n">
        <f aca="false">Q59+Q60</f>
        <v>95435.7820123473</v>
      </c>
      <c r="R61" s="70" t="n">
        <f aca="false">R59+R60</f>
        <v>105121.390714046</v>
      </c>
      <c r="S61" s="70" t="n">
        <f aca="false">S59+S60</f>
        <v>114999.447714643</v>
      </c>
      <c r="T61" s="70" t="n">
        <f aca="false">T59+T60</f>
        <v>125117.359760719</v>
      </c>
      <c r="U61" s="70" t="n">
        <f aca="false">U59+U60</f>
        <v>135520.813193704</v>
      </c>
      <c r="V61" s="70" t="n">
        <f aca="false">V59+V60</f>
        <v>146254.70711778</v>
      </c>
      <c r="W61" s="70" t="n">
        <f aca="false">W59+W60</f>
        <v>157364.028796729</v>
      </c>
      <c r="X61" s="70" t="n">
        <f aca="false">X59+X60</f>
        <v>168894.681404963</v>
      </c>
      <c r="Y61" s="70" t="n">
        <f aca="false">Y59+Y60</f>
        <v>180894.275193876</v>
      </c>
      <c r="Z61" s="70" t="n">
        <f aca="false">Z59+Z60</f>
        <v>193412.893476006</v>
      </c>
      <c r="AA61" s="70" t="n">
        <f aca="false">AA59+AA60</f>
        <v>206503.844820917</v>
      </c>
      <c r="AB61" s="70" t="n">
        <f aca="false">AB59+AB60</f>
        <v>219225.149943985</v>
      </c>
      <c r="AC61" s="70" t="n">
        <f aca="false">AC59+AC60</f>
        <v>231353.643849113</v>
      </c>
      <c r="AD61" s="70" t="n">
        <f aca="false">AD59+AD60</f>
        <v>243245.698402472</v>
      </c>
      <c r="AE61" s="70" t="n">
        <f aca="false">AE59+AE60</f>
        <v>254993.84817378</v>
      </c>
      <c r="AF61" s="70" t="n">
        <f aca="false">AF59+AF60</f>
        <v>266687.46249632</v>
      </c>
      <c r="AG61" s="70" t="n">
        <f aca="false">AG59+AG60</f>
        <v>278413.763800401</v>
      </c>
      <c r="AH61" s="70" t="n">
        <f aca="false">AH59+AH60</f>
        <v>290258.84063975</v>
      </c>
      <c r="AI61" s="70" t="n">
        <f aca="false">AI59+AI60</f>
        <v>302308.491706574</v>
      </c>
      <c r="AJ61" s="70" t="n">
        <f aca="false">AJ59+AJ60</f>
        <v>314649.019954153</v>
      </c>
      <c r="AK61" s="70" t="n">
        <f aca="false">AK59+AK60</f>
        <v>327368.00172666</v>
      </c>
      <c r="AL61" s="70" t="n">
        <f aca="false">AL59+AL60</f>
        <v>340555.042144594</v>
      </c>
      <c r="AM61" s="70" t="n">
        <f aca="false">SUM(C61:AL61)</f>
        <v>5117629.95386211</v>
      </c>
    </row>
    <row r="62" customFormat="false" ht="15" hidden="false" customHeight="false" outlineLevel="0" collapsed="false">
      <c r="A62" s="10" t="s">
        <v>797</v>
      </c>
      <c r="B62" s="9" t="s">
        <v>97</v>
      </c>
      <c r="C62" s="70" t="n">
        <f aca="false">-C61*Assumptions!$E$80</f>
        <v>-0</v>
      </c>
      <c r="D62" s="70" t="n">
        <f aca="false">-D61*Assumptions!$E$80</f>
        <v>-0</v>
      </c>
      <c r="E62" s="70" t="n">
        <f aca="false">-E61*Assumptions!$E$80</f>
        <v>-0</v>
      </c>
      <c r="F62" s="70" t="n">
        <f aca="false">-F61*Assumptions!$E$80</f>
        <v>-0</v>
      </c>
      <c r="G62" s="70" t="n">
        <f aca="false">-G61*Assumptions!$E$80</f>
        <v>-0</v>
      </c>
      <c r="H62" s="70" t="n">
        <f aca="false">-H61*Assumptions!$E$80</f>
        <v>-0</v>
      </c>
      <c r="I62" s="70" t="n">
        <f aca="false">-I61*Assumptions!$E$80</f>
        <v>-532.904888736771</v>
      </c>
      <c r="J62" s="70" t="n">
        <f aca="false">-J61*Assumptions!$E$80</f>
        <v>-845.577509732094</v>
      </c>
      <c r="K62" s="70" t="n">
        <f aca="false">-K61*Assumptions!$E$80</f>
        <v>-1146.76190240196</v>
      </c>
      <c r="L62" s="70" t="n">
        <f aca="false">-L61*Assumptions!$E$80</f>
        <v>-1439.49004435209</v>
      </c>
      <c r="M62" s="70" t="n">
        <f aca="false">-M61*Assumptions!$E$80</f>
        <v>-1726.54655274965</v>
      </c>
      <c r="N62" s="70" t="n">
        <f aca="false">-N61*Assumptions!$E$80</f>
        <v>-2010.36881105627</v>
      </c>
      <c r="O62" s="70" t="n">
        <f aca="false">-O61*Assumptions!$E$80</f>
        <v>-2293.12843698408</v>
      </c>
      <c r="P62" s="70" t="n">
        <f aca="false">-P61*Assumptions!$E$80</f>
        <v>-2576.77485854456</v>
      </c>
      <c r="Q62" s="70" t="n">
        <f aca="false">-Q61*Assumptions!$E$80</f>
        <v>-2863.07346037042</v>
      </c>
      <c r="R62" s="70" t="n">
        <f aca="false">-R61*Assumptions!$E$80</f>
        <v>-3153.64172142137</v>
      </c>
      <c r="S62" s="70" t="n">
        <f aca="false">-S61*Assumptions!$E$80</f>
        <v>-3449.98343143929</v>
      </c>
      <c r="T62" s="70" t="n">
        <f aca="false">-T61*Assumptions!$E$80</f>
        <v>-3753.52079282157</v>
      </c>
      <c r="U62" s="70" t="n">
        <f aca="false">-U61*Assumptions!$E$80</f>
        <v>-4065.62439581113</v>
      </c>
      <c r="V62" s="70" t="n">
        <f aca="false">-V61*Assumptions!$E$80</f>
        <v>-4387.6412135334</v>
      </c>
      <c r="W62" s="70" t="n">
        <f aca="false">-W61*Assumptions!$E$80</f>
        <v>-4720.92086390186</v>
      </c>
      <c r="X62" s="70" t="n">
        <f aca="false">-X61*Assumptions!$E$80</f>
        <v>-5066.84044214889</v>
      </c>
      <c r="Y62" s="70" t="n">
        <f aca="false">-Y61*Assumptions!$E$80</f>
        <v>-5426.82825581628</v>
      </c>
      <c r="Z62" s="70" t="n">
        <f aca="false">-Z61*Assumptions!$E$80</f>
        <v>-5802.38680428019</v>
      </c>
      <c r="AA62" s="70" t="n">
        <f aca="false">-AA61*Assumptions!$E$80</f>
        <v>-6195.11534462752</v>
      </c>
      <c r="AB62" s="70" t="n">
        <f aca="false">-AB61*Assumptions!$E$80</f>
        <v>-6576.75449831954</v>
      </c>
      <c r="AC62" s="70" t="n">
        <f aca="false">-AC61*Assumptions!$E$80</f>
        <v>-6940.60931547337</v>
      </c>
      <c r="AD62" s="70" t="n">
        <f aca="false">-AD61*Assumptions!$E$80</f>
        <v>-7297.37095207417</v>
      </c>
      <c r="AE62" s="70" t="n">
        <f aca="false">-AE61*Assumptions!$E$80</f>
        <v>-7649.8154452134</v>
      </c>
      <c r="AF62" s="70" t="n">
        <f aca="false">-AF61*Assumptions!$E$80</f>
        <v>-8000.62387488959</v>
      </c>
      <c r="AG62" s="70" t="n">
        <f aca="false">-AG61*Assumptions!$E$80</f>
        <v>-8352.41291401202</v>
      </c>
      <c r="AH62" s="70" t="n">
        <f aca="false">-AH61*Assumptions!$E$80</f>
        <v>-8707.76521919249</v>
      </c>
      <c r="AI62" s="70" t="n">
        <f aca="false">-AI61*Assumptions!$E$80</f>
        <v>-9069.25475119721</v>
      </c>
      <c r="AJ62" s="70" t="n">
        <f aca="false">-AJ61*Assumptions!$E$80</f>
        <v>-9439.4705986246</v>
      </c>
      <c r="AK62" s="70" t="n">
        <f aca="false">-AK61*Assumptions!$E$80</f>
        <v>-9821.04005179979</v>
      </c>
      <c r="AL62" s="70" t="n">
        <f aca="false">-AL61*Assumptions!$E$80</f>
        <v>-10216.6512643378</v>
      </c>
      <c r="AM62" s="70" t="n">
        <f aca="false">SUM(C62:AL62)</f>
        <v>-153528.898615863</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17230.5914024889</v>
      </c>
      <c r="J63" s="53" t="n">
        <f aca="false">J61+J62</f>
        <v>27340.3394813377</v>
      </c>
      <c r="K63" s="53" t="n">
        <f aca="false">K61+K62</f>
        <v>37078.63484433</v>
      </c>
      <c r="L63" s="53" t="n">
        <f aca="false">L61+L62</f>
        <v>46543.511434051</v>
      </c>
      <c r="M63" s="53" t="n">
        <f aca="false">M61+M62</f>
        <v>55825.0052055721</v>
      </c>
      <c r="N63" s="53" t="n">
        <f aca="false">N61+N62</f>
        <v>65001.9248908195</v>
      </c>
      <c r="O63" s="53" t="n">
        <f aca="false">O61+O62</f>
        <v>74144.4861291519</v>
      </c>
      <c r="P63" s="53" t="n">
        <f aca="false">P61+P62</f>
        <v>83315.720426274</v>
      </c>
      <c r="Q63" s="53" t="n">
        <f aca="false">Q61+Q62</f>
        <v>92572.7085519769</v>
      </c>
      <c r="R63" s="53" t="n">
        <f aca="false">R61+R62</f>
        <v>101967.748992624</v>
      </c>
      <c r="S63" s="53" t="n">
        <f aca="false">S61+S62</f>
        <v>111549.464283204</v>
      </c>
      <c r="T63" s="53" t="n">
        <f aca="false">T61+T62</f>
        <v>121363.838967897</v>
      </c>
      <c r="U63" s="53" t="n">
        <f aca="false">U61+U62</f>
        <v>131455.188797893</v>
      </c>
      <c r="V63" s="53" t="n">
        <f aca="false">V61+V62</f>
        <v>141867.065904247</v>
      </c>
      <c r="W63" s="53" t="n">
        <f aca="false">W61+W62</f>
        <v>152643.107932827</v>
      </c>
      <c r="X63" s="53" t="n">
        <f aca="false">X61+X62</f>
        <v>163827.840962814</v>
      </c>
      <c r="Y63" s="53" t="n">
        <f aca="false">Y61+Y62</f>
        <v>175467.44693806</v>
      </c>
      <c r="Z63" s="53" t="n">
        <f aca="false">Z61+Z62</f>
        <v>187610.506671726</v>
      </c>
      <c r="AA63" s="53" t="n">
        <f aca="false">AA61+AA62</f>
        <v>200308.72947629</v>
      </c>
      <c r="AB63" s="53" t="n">
        <f aca="false">AB61+AB62</f>
        <v>212648.395445665</v>
      </c>
      <c r="AC63" s="53" t="n">
        <f aca="false">AC61+AC62</f>
        <v>224413.034533639</v>
      </c>
      <c r="AD63" s="53" t="n">
        <f aca="false">AD61+AD62</f>
        <v>235948.327450398</v>
      </c>
      <c r="AE63" s="53" t="n">
        <f aca="false">AE61+AE62</f>
        <v>247344.032728566</v>
      </c>
      <c r="AF63" s="53" t="n">
        <f aca="false">AF61+AF62</f>
        <v>258686.83862143</v>
      </c>
      <c r="AG63" s="53" t="n">
        <f aca="false">AG61+AG62</f>
        <v>270061.350886389</v>
      </c>
      <c r="AH63" s="53" t="n">
        <f aca="false">AH61+AH62</f>
        <v>281551.075420557</v>
      </c>
      <c r="AI63" s="53" t="n">
        <f aca="false">AI61+AI62</f>
        <v>293239.236955376</v>
      </c>
      <c r="AJ63" s="53" t="n">
        <f aca="false">AJ61+AJ62</f>
        <v>305209.549355529</v>
      </c>
      <c r="AK63" s="53" t="n">
        <f aca="false">AK61+AK62</f>
        <v>317546.96167486</v>
      </c>
      <c r="AL63" s="53" t="n">
        <f aca="false">AL61+AL62</f>
        <v>330338.390880256</v>
      </c>
      <c r="AM63" s="53" t="n">
        <f aca="false">SUM(C63:AL63)</f>
        <v>4964101.05524625</v>
      </c>
    </row>
    <row r="64" customFormat="false" ht="15" hidden="false" customHeight="false" outlineLevel="0" collapsed="false">
      <c r="A64" s="10" t="s">
        <v>799</v>
      </c>
      <c r="B64" s="9" t="s">
        <v>97</v>
      </c>
      <c r="C64" s="70" t="n">
        <f aca="false">-C57*Assumptions!$E$73</f>
        <v>-0</v>
      </c>
      <c r="D64" s="70" t="n">
        <f aca="false">-D57*Assumptions!$E$73</f>
        <v>-0</v>
      </c>
      <c r="E64" s="70" t="n">
        <f aca="false">-E57*Assumptions!$E$73</f>
        <v>-0</v>
      </c>
      <c r="F64" s="70" t="n">
        <f aca="false">-F57*Assumptions!$E$73</f>
        <v>-0</v>
      </c>
      <c r="G64" s="70" t="n">
        <f aca="false">-G57*Assumptions!$E$73</f>
        <v>-0</v>
      </c>
      <c r="H64" s="70" t="n">
        <f aca="false">-H57*Assumptions!$E$73</f>
        <v>-0</v>
      </c>
      <c r="I64" s="70" t="n">
        <f aca="false">-I57*Assumptions!$E$73</f>
        <v>-3697.96726772623</v>
      </c>
      <c r="J64" s="70" t="n">
        <f aca="false">-J57*Assumptions!$E$73</f>
        <v>-7220.20365227818</v>
      </c>
      <c r="K64" s="70" t="n">
        <f aca="false">-K57*Assumptions!$E$73</f>
        <v>-10598.447232341</v>
      </c>
      <c r="L64" s="70" t="n">
        <f aca="false">-L57*Assumptions!$E$73</f>
        <v>-13865.3457913256</v>
      </c>
      <c r="M64" s="70" t="n">
        <f aca="false">-M57*Assumptions!$E$73</f>
        <v>-17052.1633348294</v>
      </c>
      <c r="N64" s="70" t="n">
        <f aca="false">-N57*Assumptions!$E$73</f>
        <v>-20187.2482104201</v>
      </c>
      <c r="O64" s="70" t="n">
        <f aca="false">-O57*Assumptions!$E$73</f>
        <v>-23296.038155314</v>
      </c>
      <c r="P64" s="70" t="n">
        <f aca="false">-P57*Assumptions!$E$73</f>
        <v>-26401.3645282175</v>
      </c>
      <c r="Q64" s="70" t="n">
        <f aca="false">-Q57*Assumptions!$E$73</f>
        <v>-29523.8282884412</v>
      </c>
      <c r="R64" s="70" t="n">
        <f aca="false">-R57*Assumptions!$E$73</f>
        <v>-32682.1882780155</v>
      </c>
      <c r="S64" s="70" t="n">
        <f aca="false">-S57*Assumptions!$E$73</f>
        <v>-35893.7406715232</v>
      </c>
      <c r="T64" s="70" t="n">
        <f aca="false">-T57*Assumptions!$E$73</f>
        <v>-39174.6805219151</v>
      </c>
      <c r="U64" s="70" t="n">
        <f aca="false">-U57*Assumptions!$E$73</f>
        <v>-42540.4420003781</v>
      </c>
      <c r="V64" s="70" t="n">
        <f aca="false">-V57*Assumptions!$E$73</f>
        <v>-46006.0171028231</v>
      </c>
      <c r="W64" s="70" t="n">
        <f aca="false">-W57*Assumptions!$E$73</f>
        <v>-49586.2544539582</v>
      </c>
      <c r="X64" s="70" t="n">
        <f aca="false">-X57*Assumptions!$E$73</f>
        <v>-53296.1409133155</v>
      </c>
      <c r="Y64" s="70" t="n">
        <f aca="false">-Y57*Assumptions!$E$73</f>
        <v>-57151.0692750297</v>
      </c>
      <c r="Z64" s="70" t="n">
        <f aca="false">-Z57*Assumptions!$E$73</f>
        <v>-61167.0956390814</v>
      </c>
      <c r="AA64" s="70" t="n">
        <f aca="false">-AA57*Assumptions!$E$73</f>
        <v>-65361.1901344963</v>
      </c>
      <c r="AB64" s="70" t="n">
        <f aca="false">-AB57*Assumptions!$E$73</f>
        <v>-69543.4602627578</v>
      </c>
      <c r="AC64" s="70" t="n">
        <f aca="false">-AC57*Assumptions!$E$73</f>
        <v>-73597.9954779425</v>
      </c>
      <c r="AD64" s="70" t="n">
        <f aca="false">-AD57*Assumptions!$E$73</f>
        <v>-77556.5906423985</v>
      </c>
      <c r="AE64" s="70" t="n">
        <f aca="false">-AE57*Assumptions!$E$73</f>
        <v>-81450.1382693813</v>
      </c>
      <c r="AF64" s="70" t="n">
        <f aca="false">-AF57*Assumptions!$E$73</f>
        <v>-85308.5419088185</v>
      </c>
      <c r="AG64" s="70" t="n">
        <f aca="false">-AG57*Assumptions!$E$73</f>
        <v>-89160.8964629668</v>
      </c>
      <c r="AH64" s="70" t="n">
        <f aca="false">-AH57*Assumptions!$E$73</f>
        <v>-93035.7650259447</v>
      </c>
      <c r="AI64" s="70" t="n">
        <f aca="false">-AI57*Assumptions!$E$73</f>
        <v>-96961.4558421161</v>
      </c>
      <c r="AJ64" s="70" t="n">
        <f aca="false">-AJ57*Assumptions!$E$73</f>
        <v>-100966.288921435</v>
      </c>
      <c r="AK64" s="70" t="n">
        <f aca="false">-AK57*Assumptions!$E$73</f>
        <v>-105078.853668913</v>
      </c>
      <c r="AL64" s="70" t="n">
        <f aca="false">-AL57*Assumptions!$E$73</f>
        <v>-109328.260366264</v>
      </c>
      <c r="AM64" s="70" t="n">
        <f aca="false">SUM(C64:AL64)</f>
        <v>-1616689.67230037</v>
      </c>
    </row>
    <row r="65" customFormat="false" ht="15" hidden="false" customHeight="false" outlineLevel="0" collapsed="false">
      <c r="A65" s="10" t="s">
        <v>800</v>
      </c>
      <c r="B65" s="9" t="s">
        <v>97</v>
      </c>
      <c r="C65" s="70" t="n">
        <f aca="false">-C54*Assumptions!$E$74</f>
        <v>-0</v>
      </c>
      <c r="D65" s="70" t="n">
        <f aca="false">-D54*Assumptions!$E$74</f>
        <v>-0</v>
      </c>
      <c r="E65" s="70" t="n">
        <f aca="false">-E54*Assumptions!$E$74</f>
        <v>-0</v>
      </c>
      <c r="F65" s="70" t="n">
        <f aca="false">-F54*Assumptions!$E$74</f>
        <v>-0</v>
      </c>
      <c r="G65" s="70" t="n">
        <f aca="false">-G54*Assumptions!$E$74</f>
        <v>-0</v>
      </c>
      <c r="H65" s="70" t="n">
        <f aca="false">-H54*Assumptions!$E$74</f>
        <v>-0</v>
      </c>
      <c r="I65" s="70" t="n">
        <f aca="false">-I54*Assumptions!$E$74</f>
        <v>-3902.36926190785</v>
      </c>
      <c r="J65" s="70" t="n">
        <f aca="false">-J54*Assumptions!$E$74</f>
        <v>-4146.1856225026</v>
      </c>
      <c r="K65" s="70" t="n">
        <f aca="false">-K54*Assumptions!$E$74</f>
        <v>-4403.09548867272</v>
      </c>
      <c r="L65" s="70" t="n">
        <f aca="false">-L54*Assumptions!$E$74</f>
        <v>-4677.74300943637</v>
      </c>
      <c r="M65" s="70" t="n">
        <f aca="false">-M54*Assumptions!$E$74</f>
        <v>-4972.45767964335</v>
      </c>
      <c r="N65" s="70" t="n">
        <f aca="false">-N54*Assumptions!$E$74</f>
        <v>-5287.79181140683</v>
      </c>
      <c r="O65" s="70" t="n">
        <f aca="false">-O54*Assumptions!$E$74</f>
        <v>-5623.96459348407</v>
      </c>
      <c r="P65" s="70" t="n">
        <f aca="false">-P54*Assumptions!$E$74</f>
        <v>-5981.17839852554</v>
      </c>
      <c r="Q65" s="70" t="n">
        <f aca="false">-Q54*Assumptions!$E$74</f>
        <v>-6359.72981139613</v>
      </c>
      <c r="R65" s="70" t="n">
        <f aca="false">-R54*Assumptions!$E$74</f>
        <v>-6760.06625592918</v>
      </c>
      <c r="S65" s="70" t="n">
        <f aca="false">-S54*Assumptions!$E$74</f>
        <v>-7182.82174629533</v>
      </c>
      <c r="T65" s="70" t="n">
        <f aca="false">-T54*Assumptions!$E$74</f>
        <v>-7628.84203995213</v>
      </c>
      <c r="U65" s="70" t="n">
        <f aca="false">-U54*Assumptions!$E$74</f>
        <v>-8099.20412232292</v>
      </c>
      <c r="V65" s="70" t="n">
        <f aca="false">-V54*Assumptions!$E$74</f>
        <v>-8595.23297827498</v>
      </c>
      <c r="W65" s="70" t="n">
        <f aca="false">-W54*Assumptions!$E$74</f>
        <v>-9118.51758511436</v>
      </c>
      <c r="X65" s="70" t="n">
        <f aca="false">-X54*Assumptions!$E$74</f>
        <v>-9670.92744915579</v>
      </c>
      <c r="Y65" s="70" t="n">
        <f aca="false">-Y54*Assumptions!$E$74</f>
        <v>-10254.6306196903</v>
      </c>
      <c r="Z65" s="70" t="n">
        <f aca="false">-Z54*Assumptions!$E$74</f>
        <v>-10872.1138641804</v>
      </c>
      <c r="AA65" s="70" t="n">
        <f aca="false">-AA54*Assumptions!$E$74</f>
        <v>-11526.2055284459</v>
      </c>
      <c r="AB65" s="70" t="n">
        <f aca="false">-AB54*Assumptions!$E$74</f>
        <v>-12000.5787244549</v>
      </c>
      <c r="AC65" s="70" t="n">
        <f aca="false">-AC54*Assumptions!$E$74</f>
        <v>-12351.2619433525</v>
      </c>
      <c r="AD65" s="70" t="n">
        <f aca="false">-AD54*Assumptions!$E$74</f>
        <v>-12720.6699698727</v>
      </c>
      <c r="AE65" s="70" t="n">
        <f aca="false">-AE54*Assumptions!$E$74</f>
        <v>-13111.5413309387</v>
      </c>
      <c r="AF65" s="70" t="n">
        <f aca="false">-AF54*Assumptions!$E$74</f>
        <v>-13526.4184068866</v>
      </c>
      <c r="AG65" s="70" t="n">
        <f aca="false">-AG54*Assumptions!$E$74</f>
        <v>-13967.9190614863</v>
      </c>
      <c r="AH65" s="70" t="n">
        <f aca="false">-AH54*Assumptions!$E$74</f>
        <v>-14438.8594321615</v>
      </c>
      <c r="AI65" s="70" t="n">
        <f aca="false">-AI54*Assumptions!$E$74</f>
        <v>-14942.2861909869</v>
      </c>
      <c r="AJ65" s="70" t="n">
        <f aca="false">-AJ54*Assumptions!$E$74</f>
        <v>-15481.4977793185</v>
      </c>
      <c r="AK65" s="70" t="n">
        <f aca="false">-AK54*Assumptions!$E$74</f>
        <v>-16060.0658739828</v>
      </c>
      <c r="AL65" s="70" t="n">
        <f aca="false">-AL54*Assumptions!$E$74</f>
        <v>-16681.8588053017</v>
      </c>
      <c r="AM65" s="70" t="n">
        <f aca="false">SUM(C65:AL65)</f>
        <v>-290346.03538508</v>
      </c>
    </row>
    <row r="66" customFormat="false" ht="15" hidden="false" customHeight="false" outlineLevel="0" collapsed="false">
      <c r="A66" s="10" t="s">
        <v>801</v>
      </c>
      <c r="B66" s="9" t="s">
        <v>97</v>
      </c>
      <c r="C66" s="70" t="n">
        <f aca="false">-C57*Assumptions!$E$75</f>
        <v>-0</v>
      </c>
      <c r="D66" s="70" t="n">
        <f aca="false">-D57*Assumptions!$E$75</f>
        <v>-0</v>
      </c>
      <c r="E66" s="70" t="n">
        <f aca="false">-E57*Assumptions!$E$75</f>
        <v>-0</v>
      </c>
      <c r="F66" s="70" t="n">
        <f aca="false">-F57*Assumptions!$E$75</f>
        <v>-0</v>
      </c>
      <c r="G66" s="70" t="n">
        <f aca="false">-G57*Assumptions!$E$75</f>
        <v>-0</v>
      </c>
      <c r="H66" s="70" t="n">
        <f aca="false">-H57*Assumptions!$E$75</f>
        <v>-0</v>
      </c>
      <c r="I66" s="70" t="n">
        <f aca="false">-I57*Assumptions!$E$75</f>
        <v>-336.178842520567</v>
      </c>
      <c r="J66" s="70" t="n">
        <f aca="false">-J57*Assumptions!$E$75</f>
        <v>-656.382150207107</v>
      </c>
      <c r="K66" s="70" t="n">
        <f aca="false">-K57*Assumptions!$E$75</f>
        <v>-963.495202940089</v>
      </c>
      <c r="L66" s="70" t="n">
        <f aca="false">-L57*Assumptions!$E$75</f>
        <v>-1260.4859810296</v>
      </c>
      <c r="M66" s="70" t="n">
        <f aca="false">-M57*Assumptions!$E$75</f>
        <v>-1550.19666680267</v>
      </c>
      <c r="N66" s="70" t="n">
        <f aca="false">-N57*Assumptions!$E$75</f>
        <v>-1835.20438276547</v>
      </c>
      <c r="O66" s="70" t="n">
        <f aca="false">-O57*Assumptions!$E$75</f>
        <v>-2117.82165048309</v>
      </c>
      <c r="P66" s="70" t="n">
        <f aca="false">-P57*Assumptions!$E$75</f>
        <v>-2400.12404801977</v>
      </c>
      <c r="Q66" s="70" t="n">
        <f aca="false">-Q57*Assumptions!$E$75</f>
        <v>-2683.98438985829</v>
      </c>
      <c r="R66" s="70" t="n">
        <f aca="false">-R57*Assumptions!$E$75</f>
        <v>-2971.10802527414</v>
      </c>
      <c r="S66" s="70" t="n">
        <f aca="false">-S57*Assumptions!$E$75</f>
        <v>-3263.06733377484</v>
      </c>
      <c r="T66" s="70" t="n">
        <f aca="false">-T57*Assumptions!$E$75</f>
        <v>-3561.33459290137</v>
      </c>
      <c r="U66" s="70" t="n">
        <f aca="false">-U57*Assumptions!$E$75</f>
        <v>-3867.31290912528</v>
      </c>
      <c r="V66" s="70" t="n">
        <f aca="false">-V57*Assumptions!$E$75</f>
        <v>-4182.36519116574</v>
      </c>
      <c r="W66" s="70" t="n">
        <f aca="false">-W57*Assumptions!$E$75</f>
        <v>-4507.8413139962</v>
      </c>
      <c r="X66" s="70" t="n">
        <f aca="false">-X57*Assumptions!$E$75</f>
        <v>-4845.10371939231</v>
      </c>
      <c r="Y66" s="70" t="n">
        <f aca="false">-Y57*Assumptions!$E$75</f>
        <v>-5195.55175227543</v>
      </c>
      <c r="Z66" s="70" t="n">
        <f aca="false">-Z57*Assumptions!$E$75</f>
        <v>-5560.64505809831</v>
      </c>
      <c r="AA66" s="70" t="n">
        <f aca="false">-AA57*Assumptions!$E$75</f>
        <v>-5941.9263758633</v>
      </c>
      <c r="AB66" s="70" t="n">
        <f aca="false">-AB57*Assumptions!$E$75</f>
        <v>-6322.1327511598</v>
      </c>
      <c r="AC66" s="70" t="n">
        <f aca="false">-AC57*Assumptions!$E$75</f>
        <v>-6690.72686163114</v>
      </c>
      <c r="AD66" s="70" t="n">
        <f aca="false">-AD57*Assumptions!$E$75</f>
        <v>-7050.59914930896</v>
      </c>
      <c r="AE66" s="70" t="n">
        <f aca="false">-AE57*Assumptions!$E$75</f>
        <v>-7404.55802448921</v>
      </c>
      <c r="AF66" s="70" t="n">
        <f aca="false">-AF57*Assumptions!$E$75</f>
        <v>-7755.32199171077</v>
      </c>
      <c r="AG66" s="70" t="n">
        <f aca="false">-AG57*Assumptions!$E$75</f>
        <v>-8105.53604208789</v>
      </c>
      <c r="AH66" s="70" t="n">
        <f aca="false">-AH57*Assumptions!$E$75</f>
        <v>-8457.79682054043</v>
      </c>
      <c r="AI66" s="70" t="n">
        <f aca="false">-AI57*Assumptions!$E$75</f>
        <v>-8814.67780382873</v>
      </c>
      <c r="AJ66" s="70" t="n">
        <f aca="false">-AJ57*Assumptions!$E$75</f>
        <v>-9178.75353831224</v>
      </c>
      <c r="AK66" s="70" t="n">
        <f aca="false">-AK57*Assumptions!$E$75</f>
        <v>-9552.62306081026</v>
      </c>
      <c r="AL66" s="70" t="n">
        <f aca="false">-AL57*Assumptions!$E$75</f>
        <v>-9938.93276056943</v>
      </c>
      <c r="AM66" s="70" t="n">
        <f aca="false">SUM(C66:AL66)</f>
        <v>-146971.788390942</v>
      </c>
    </row>
    <row r="67" customFormat="false" ht="15" hidden="false" customHeight="false" outlineLevel="0" collapsed="false">
      <c r="A67" s="10" t="s">
        <v>802</v>
      </c>
      <c r="B67" s="9" t="s">
        <v>97</v>
      </c>
      <c r="C67" s="70" t="n">
        <f aca="false">-C57*Assumptions!$E$76</f>
        <v>-0</v>
      </c>
      <c r="D67" s="70" t="n">
        <f aca="false">-D57*Assumptions!$E$76</f>
        <v>-0</v>
      </c>
      <c r="E67" s="70" t="n">
        <f aca="false">-E57*Assumptions!$E$76</f>
        <v>-0</v>
      </c>
      <c r="F67" s="70" t="n">
        <f aca="false">-F57*Assumptions!$E$76</f>
        <v>-0</v>
      </c>
      <c r="G67" s="70" t="n">
        <f aca="false">-G57*Assumptions!$E$76</f>
        <v>-0</v>
      </c>
      <c r="H67" s="70" t="n">
        <f aca="false">-H57*Assumptions!$E$76</f>
        <v>-0</v>
      </c>
      <c r="I67" s="70" t="n">
        <f aca="false">-I57*Assumptions!$E$76</f>
        <v>-756.402395671275</v>
      </c>
      <c r="J67" s="70" t="n">
        <f aca="false">-J57*Assumptions!$E$76</f>
        <v>-1476.85983796599</v>
      </c>
      <c r="K67" s="70" t="n">
        <f aca="false">-K57*Assumptions!$E$76</f>
        <v>-2167.8642066152</v>
      </c>
      <c r="L67" s="70" t="n">
        <f aca="false">-L57*Assumptions!$E$76</f>
        <v>-2836.0934573166</v>
      </c>
      <c r="M67" s="70" t="n">
        <f aca="false">-M57*Assumptions!$E$76</f>
        <v>-3487.94250030601</v>
      </c>
      <c r="N67" s="70" t="n">
        <f aca="false">-N57*Assumptions!$E$76</f>
        <v>-4129.2098612223</v>
      </c>
      <c r="O67" s="70" t="n">
        <f aca="false">-O57*Assumptions!$E$76</f>
        <v>-4765.09871358696</v>
      </c>
      <c r="P67" s="70" t="n">
        <f aca="false">-P57*Assumptions!$E$76</f>
        <v>-5400.27910804449</v>
      </c>
      <c r="Q67" s="70" t="n">
        <f aca="false">-Q57*Assumptions!$E$76</f>
        <v>-6038.96487718116</v>
      </c>
      <c r="R67" s="70" t="n">
        <f aca="false">-R57*Assumptions!$E$76</f>
        <v>-6684.99305686681</v>
      </c>
      <c r="S67" s="70" t="n">
        <f aca="false">-S57*Assumptions!$E$76</f>
        <v>-7341.90150099338</v>
      </c>
      <c r="T67" s="70" t="n">
        <f aca="false">-T57*Assumptions!$E$76</f>
        <v>-8013.00283402809</v>
      </c>
      <c r="U67" s="70" t="n">
        <f aca="false">-U57*Assumptions!$E$76</f>
        <v>-8701.45404553189</v>
      </c>
      <c r="V67" s="70" t="n">
        <f aca="false">-V57*Assumptions!$E$76</f>
        <v>-9410.32168012291</v>
      </c>
      <c r="W67" s="70" t="n">
        <f aca="false">-W57*Assumptions!$E$76</f>
        <v>-10142.6429564915</v>
      </c>
      <c r="X67" s="70" t="n">
        <f aca="false">-X57*Assumptions!$E$76</f>
        <v>-10901.4833686327</v>
      </c>
      <c r="Y67" s="70" t="n">
        <f aca="false">-Y57*Assumptions!$E$76</f>
        <v>-11689.9914426197</v>
      </c>
      <c r="Z67" s="70" t="n">
        <f aca="false">-Z57*Assumptions!$E$76</f>
        <v>-12511.4513807212</v>
      </c>
      <c r="AA67" s="70" t="n">
        <f aca="false">-AA57*Assumptions!$E$76</f>
        <v>-13369.3343456924</v>
      </c>
      <c r="AB67" s="70" t="n">
        <f aca="false">-AB57*Assumptions!$E$76</f>
        <v>-14224.7986901096</v>
      </c>
      <c r="AC67" s="70" t="n">
        <f aca="false">-AC57*Assumptions!$E$76</f>
        <v>-15054.1354386701</v>
      </c>
      <c r="AD67" s="70" t="n">
        <f aca="false">-AD57*Assumptions!$E$76</f>
        <v>-15863.8480859452</v>
      </c>
      <c r="AE67" s="70" t="n">
        <f aca="false">-AE57*Assumptions!$E$76</f>
        <v>-16660.2555551007</v>
      </c>
      <c r="AF67" s="70" t="n">
        <f aca="false">-AF57*Assumptions!$E$76</f>
        <v>-17449.4744813492</v>
      </c>
      <c r="AG67" s="70" t="n">
        <f aca="false">-AG57*Assumptions!$E$76</f>
        <v>-18237.4560946977</v>
      </c>
      <c r="AH67" s="70" t="n">
        <f aca="false">-AH57*Assumptions!$E$76</f>
        <v>-19030.042846216</v>
      </c>
      <c r="AI67" s="70" t="n">
        <f aca="false">-AI57*Assumptions!$E$76</f>
        <v>-19833.0250586147</v>
      </c>
      <c r="AJ67" s="70" t="n">
        <f aca="false">-AJ57*Assumptions!$E$76</f>
        <v>-20652.1954612025</v>
      </c>
      <c r="AK67" s="70" t="n">
        <f aca="false">-AK57*Assumptions!$E$76</f>
        <v>-21493.4018868231</v>
      </c>
      <c r="AL67" s="70" t="n">
        <f aca="false">-AL57*Assumptions!$E$76</f>
        <v>-22362.5987112812</v>
      </c>
      <c r="AM67" s="70" t="n">
        <f aca="false">SUM(C67:AL67)</f>
        <v>-330686.523879621</v>
      </c>
    </row>
    <row r="68" customFormat="false" ht="15" hidden="false" customHeight="false" outlineLevel="0" collapsed="false">
      <c r="A68" s="10" t="s">
        <v>803</v>
      </c>
      <c r="B68" s="9" t="s">
        <v>97</v>
      </c>
      <c r="C68" s="70" t="n">
        <f aca="false">-C57*Assumptions!$E$77</f>
        <v>-0</v>
      </c>
      <c r="D68" s="70" t="n">
        <f aca="false">-D57*Assumptions!$E$77</f>
        <v>-0</v>
      </c>
      <c r="E68" s="70" t="n">
        <f aca="false">-E57*Assumptions!$E$77</f>
        <v>-0</v>
      </c>
      <c r="F68" s="70" t="n">
        <f aca="false">-F57*Assumptions!$E$77</f>
        <v>-0</v>
      </c>
      <c r="G68" s="70" t="n">
        <f aca="false">-G57*Assumptions!$E$77</f>
        <v>-0</v>
      </c>
      <c r="H68" s="70" t="n">
        <f aca="false">-H57*Assumptions!$E$77</f>
        <v>-0</v>
      </c>
      <c r="I68" s="70" t="n">
        <f aca="false">-I57*Assumptions!$E$77</f>
        <v>-189.100598917819</v>
      </c>
      <c r="J68" s="70" t="n">
        <f aca="false">-J57*Assumptions!$E$77</f>
        <v>-369.214959491498</v>
      </c>
      <c r="K68" s="70" t="n">
        <f aca="false">-K57*Assumptions!$E$77</f>
        <v>-541.9660516538</v>
      </c>
      <c r="L68" s="70" t="n">
        <f aca="false">-L57*Assumptions!$E$77</f>
        <v>-709.023364329149</v>
      </c>
      <c r="M68" s="70" t="n">
        <f aca="false">-M57*Assumptions!$E$77</f>
        <v>-871.985625076502</v>
      </c>
      <c r="N68" s="70" t="n">
        <f aca="false">-N57*Assumptions!$E$77</f>
        <v>-1032.30246530557</v>
      </c>
      <c r="O68" s="70" t="n">
        <f aca="false">-O57*Assumptions!$E$77</f>
        <v>-1191.27467839674</v>
      </c>
      <c r="P68" s="70" t="n">
        <f aca="false">-P57*Assumptions!$E$77</f>
        <v>-1350.06977701112</v>
      </c>
      <c r="Q68" s="70" t="n">
        <f aca="false">-Q57*Assumptions!$E$77</f>
        <v>-1509.74121929529</v>
      </c>
      <c r="R68" s="70" t="n">
        <f aca="false">-R57*Assumptions!$E$77</f>
        <v>-1671.2482642167</v>
      </c>
      <c r="S68" s="70" t="n">
        <f aca="false">-S57*Assumptions!$E$77</f>
        <v>-1835.47537524834</v>
      </c>
      <c r="T68" s="70" t="n">
        <f aca="false">-T57*Assumptions!$E$77</f>
        <v>-2003.25070850702</v>
      </c>
      <c r="U68" s="70" t="n">
        <f aca="false">-U57*Assumptions!$E$77</f>
        <v>-2175.36351138297</v>
      </c>
      <c r="V68" s="70" t="n">
        <f aca="false">-V57*Assumptions!$E$77</f>
        <v>-2352.58042003073</v>
      </c>
      <c r="W68" s="70" t="n">
        <f aca="false">-W57*Assumptions!$E$77</f>
        <v>-2535.66073912286</v>
      </c>
      <c r="X68" s="70" t="n">
        <f aca="false">-X57*Assumptions!$E$77</f>
        <v>-2725.37084215818</v>
      </c>
      <c r="Y68" s="70" t="n">
        <f aca="false">-Y57*Assumptions!$E$77</f>
        <v>-2922.49786065493</v>
      </c>
      <c r="Z68" s="70" t="n">
        <f aca="false">-Z57*Assumptions!$E$77</f>
        <v>-3127.8628451803</v>
      </c>
      <c r="AA68" s="70" t="n">
        <f aca="false">-AA57*Assumptions!$E$77</f>
        <v>-3342.33358642311</v>
      </c>
      <c r="AB68" s="70" t="n">
        <f aca="false">-AB57*Assumptions!$E$77</f>
        <v>-3556.19967252739</v>
      </c>
      <c r="AC68" s="70" t="n">
        <f aca="false">-AC57*Assumptions!$E$77</f>
        <v>-3763.53385966752</v>
      </c>
      <c r="AD68" s="70" t="n">
        <f aca="false">-AD57*Assumptions!$E$77</f>
        <v>-3965.96202148629</v>
      </c>
      <c r="AE68" s="70" t="n">
        <f aca="false">-AE57*Assumptions!$E$77</f>
        <v>-4165.06388877518</v>
      </c>
      <c r="AF68" s="70" t="n">
        <f aca="false">-AF57*Assumptions!$E$77</f>
        <v>-4362.36862033731</v>
      </c>
      <c r="AG68" s="70" t="n">
        <f aca="false">-AG57*Assumptions!$E$77</f>
        <v>-4559.36402367444</v>
      </c>
      <c r="AH68" s="70" t="n">
        <f aca="false">-AH57*Assumptions!$E$77</f>
        <v>-4757.51071155399</v>
      </c>
      <c r="AI68" s="70" t="n">
        <f aca="false">-AI57*Assumptions!$E$77</f>
        <v>-4958.25626465366</v>
      </c>
      <c r="AJ68" s="70" t="n">
        <f aca="false">-AJ57*Assumptions!$E$77</f>
        <v>-5163.04886530063</v>
      </c>
      <c r="AK68" s="70" t="n">
        <f aca="false">-AK57*Assumptions!$E$77</f>
        <v>-5373.35047170577</v>
      </c>
      <c r="AL68" s="70" t="n">
        <f aca="false">-AL57*Assumptions!$E$77</f>
        <v>-5590.64967782031</v>
      </c>
      <c r="AM68" s="70" t="n">
        <f aca="false">SUM(C68:AL68)</f>
        <v>-82671.6309699051</v>
      </c>
    </row>
    <row r="69" customFormat="false" ht="15" hidden="false" customHeight="false" outlineLevel="0" collapsed="false">
      <c r="A69" s="10" t="s">
        <v>804</v>
      </c>
      <c r="B69" s="9" t="s">
        <v>97</v>
      </c>
      <c r="C69" s="70" t="n">
        <f aca="false">-C63*Assumptions!$E$79</f>
        <v>-0</v>
      </c>
      <c r="D69" s="70" t="n">
        <f aca="false">-D63*Assumptions!$E$79</f>
        <v>-0</v>
      </c>
      <c r="E69" s="70" t="n">
        <f aca="false">-E63*Assumptions!$E$79</f>
        <v>-0</v>
      </c>
      <c r="F69" s="70" t="n">
        <f aca="false">-F63*Assumptions!$E$79</f>
        <v>-0</v>
      </c>
      <c r="G69" s="70" t="n">
        <f aca="false">-G63*Assumptions!$E$79</f>
        <v>-0</v>
      </c>
      <c r="H69" s="70" t="n">
        <f aca="false">-H63*Assumptions!$E$79</f>
        <v>-0</v>
      </c>
      <c r="I69" s="70" t="n">
        <f aca="false">-I63*Assumptions!$E$79</f>
        <v>-499.687150672179</v>
      </c>
      <c r="J69" s="70" t="n">
        <f aca="false">-J63*Assumptions!$E$79</f>
        <v>-792.869844958794</v>
      </c>
      <c r="K69" s="70" t="n">
        <f aca="false">-K63*Assumptions!$E$79</f>
        <v>-1075.28041048557</v>
      </c>
      <c r="L69" s="70" t="n">
        <f aca="false">-L63*Assumptions!$E$79</f>
        <v>-1349.76183158748</v>
      </c>
      <c r="M69" s="70" t="n">
        <f aca="false">-M63*Assumptions!$E$79</f>
        <v>-1618.92515096159</v>
      </c>
      <c r="N69" s="70" t="n">
        <f aca="false">-N63*Assumptions!$E$79</f>
        <v>-1885.05582183377</v>
      </c>
      <c r="O69" s="70" t="n">
        <f aca="false">-O63*Assumptions!$E$79</f>
        <v>-2150.1900977454</v>
      </c>
      <c r="P69" s="70" t="n">
        <f aca="false">-P63*Assumptions!$E$79</f>
        <v>-2416.15589236195</v>
      </c>
      <c r="Q69" s="70" t="n">
        <f aca="false">-Q63*Assumptions!$E$79</f>
        <v>-2684.60854800733</v>
      </c>
      <c r="R69" s="70" t="n">
        <f aca="false">-R63*Assumptions!$E$79</f>
        <v>-2957.0647207861</v>
      </c>
      <c r="S69" s="70" t="n">
        <f aca="false">-S63*Assumptions!$E$79</f>
        <v>-3234.93446421291</v>
      </c>
      <c r="T69" s="70" t="n">
        <f aca="false">-T63*Assumptions!$E$79</f>
        <v>-3519.55133006903</v>
      </c>
      <c r="U69" s="70" t="n">
        <f aca="false">-U63*Assumptions!$E$79</f>
        <v>-3812.2004751389</v>
      </c>
      <c r="V69" s="70" t="n">
        <f aca="false">-V63*Assumptions!$E$79</f>
        <v>-4114.14491122315</v>
      </c>
      <c r="W69" s="70" t="n">
        <f aca="false">-W63*Assumptions!$E$79</f>
        <v>-4426.65013005198</v>
      </c>
      <c r="X69" s="70" t="n">
        <f aca="false">-X63*Assumptions!$E$79</f>
        <v>-4751.00738792161</v>
      </c>
      <c r="Y69" s="70" t="n">
        <f aca="false">-Y63*Assumptions!$E$79</f>
        <v>-5088.55596120373</v>
      </c>
      <c r="Z69" s="70" t="n">
        <f aca="false">-Z63*Assumptions!$E$79</f>
        <v>-5440.70469348006</v>
      </c>
      <c r="AA69" s="70" t="n">
        <f aca="false">-AA63*Assumptions!$E$79</f>
        <v>-5808.95315481241</v>
      </c>
      <c r="AB69" s="70" t="n">
        <f aca="false">-AB63*Assumptions!$E$79</f>
        <v>-6166.80346792429</v>
      </c>
      <c r="AC69" s="70" t="n">
        <f aca="false">-AC63*Assumptions!$E$79</f>
        <v>-6507.97800147554</v>
      </c>
      <c r="AD69" s="70" t="n">
        <f aca="false">-AD63*Assumptions!$E$79</f>
        <v>-6842.50149606155</v>
      </c>
      <c r="AE69" s="70" t="n">
        <f aca="false">-AE63*Assumptions!$E$79</f>
        <v>-7172.97694912843</v>
      </c>
      <c r="AF69" s="70" t="n">
        <f aca="false">-AF63*Assumptions!$E$79</f>
        <v>-7501.91832002147</v>
      </c>
      <c r="AG69" s="70" t="n">
        <f aca="false">-AG63*Assumptions!$E$79</f>
        <v>-7831.77917570527</v>
      </c>
      <c r="AH69" s="70" t="n">
        <f aca="false">-AH63*Assumptions!$E$79</f>
        <v>-8164.98118719616</v>
      </c>
      <c r="AI69" s="70" t="n">
        <f aca="false">-AI63*Assumptions!$E$79</f>
        <v>-8503.93787170591</v>
      </c>
      <c r="AJ69" s="70" t="n">
        <f aca="false">-AJ63*Assumptions!$E$79</f>
        <v>-8851.07693131033</v>
      </c>
      <c r="AK69" s="70" t="n">
        <f aca="false">-AK63*Assumptions!$E$79</f>
        <v>-9208.86188857094</v>
      </c>
      <c r="AL69" s="70" t="n">
        <f aca="false">-AL63*Assumptions!$E$79</f>
        <v>-9579.81333552744</v>
      </c>
      <c r="AM69" s="70" t="n">
        <f aca="false">SUM(C69:AL69)</f>
        <v>-143958.930602141</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7848.88588507302</v>
      </c>
      <c r="J70" s="53" t="n">
        <f aca="false">J63+J64+J65+J66+J67+J68+J69</f>
        <v>12678.6234139335</v>
      </c>
      <c r="K70" s="53" t="n">
        <f aca="false">K63+K64+K65+K66+K67+K68+K69</f>
        <v>17328.4862516216</v>
      </c>
      <c r="L70" s="53" t="n">
        <f aca="false">L63+L64+L65+L66+L67+L68+L69</f>
        <v>21845.0579990262</v>
      </c>
      <c r="M70" s="53" t="n">
        <f aca="false">M63+M64+M65+M66+M67+M68+M69</f>
        <v>26271.3342479527</v>
      </c>
      <c r="N70" s="53" t="n">
        <f aca="false">N63+N64+N65+N66+N67+N68+N69</f>
        <v>30645.1123378655</v>
      </c>
      <c r="O70" s="53" t="n">
        <f aca="false">O63+O64+O65+O66+O67+O68+O69</f>
        <v>35000.0982401416</v>
      </c>
      <c r="P70" s="53" t="n">
        <f aca="false">P63+P64+P65+P66+P67+P68+P69</f>
        <v>39366.5486740937</v>
      </c>
      <c r="Q70" s="53" t="n">
        <f aca="false">Q63+Q64+Q65+Q66+Q67+Q68+Q69</f>
        <v>43771.8514177975</v>
      </c>
      <c r="R70" s="53" t="n">
        <f aca="false">R63+R64+R65+R66+R67+R68+R69</f>
        <v>48241.0803915358</v>
      </c>
      <c r="S70" s="53" t="n">
        <f aca="false">S63+S64+S65+S66+S67+S68+S69</f>
        <v>52797.5231911557</v>
      </c>
      <c r="T70" s="53" t="n">
        <f aca="false">T63+T64+T65+T66+T67+T68+T69</f>
        <v>57463.1769405247</v>
      </c>
      <c r="U70" s="53" t="n">
        <f aca="false">U63+U64+U65+U66+U67+U68+U69</f>
        <v>62259.2117340131</v>
      </c>
      <c r="V70" s="53" t="n">
        <f aca="false">V63+V64+V65+V66+V67+V68+V69</f>
        <v>67206.403620606</v>
      </c>
      <c r="W70" s="53" t="n">
        <f aca="false">W63+W64+W65+W66+W67+W68+W69</f>
        <v>72325.5407540918</v>
      </c>
      <c r="X70" s="53" t="n">
        <f aca="false">X63+X64+X65+X66+X67+X68+X69</f>
        <v>77637.8072822382</v>
      </c>
      <c r="Y70" s="53" t="n">
        <f aca="false">Y63+Y64+Y65+Y66+Y67+Y68+Y69</f>
        <v>83165.1500265859</v>
      </c>
      <c r="Z70" s="53" t="n">
        <f aca="false">Z63+Z64+Z65+Z66+Z67+Z68+Z69</f>
        <v>88930.6331909844</v>
      </c>
      <c r="AA70" s="53" t="n">
        <f aca="false">AA63+AA64+AA65+AA66+AA67+AA68+AA69</f>
        <v>94958.7863505564</v>
      </c>
      <c r="AB70" s="53" t="n">
        <f aca="false">AB63+AB64+AB65+AB66+AB67+AB68+AB69</f>
        <v>100834.421876731</v>
      </c>
      <c r="AC70" s="53" t="n">
        <f aca="false">AC63+AC64+AC65+AC66+AC67+AC68+AC69</f>
        <v>106447.4029509</v>
      </c>
      <c r="AD70" s="53" t="n">
        <f aca="false">AD63+AD64+AD65+AD66+AD67+AD68+AD69</f>
        <v>111948.156085325</v>
      </c>
      <c r="AE70" s="53" t="n">
        <f aca="false">AE63+AE64+AE65+AE66+AE67+AE68+AE69</f>
        <v>117379.498710753</v>
      </c>
      <c r="AF70" s="53" t="n">
        <f aca="false">AF63+AF64+AF65+AF66+AF67+AF68+AF69</f>
        <v>122782.794892306</v>
      </c>
      <c r="AG70" s="53" t="n">
        <f aca="false">AG63+AG64+AG65+AG66+AG67+AG68+AG69</f>
        <v>128198.40002577</v>
      </c>
      <c r="AH70" s="53" t="n">
        <f aca="false">AH63+AH64+AH65+AH66+AH67+AH68+AH69</f>
        <v>133666.119396944</v>
      </c>
      <c r="AI70" s="53" t="n">
        <f aca="false">AI63+AI64+AI65+AI66+AI67+AI68+AI69</f>
        <v>139225.59792347</v>
      </c>
      <c r="AJ70" s="53" t="n">
        <f aca="false">AJ63+AJ64+AJ65+AJ66+AJ67+AJ68+AJ69</f>
        <v>144916.68785865</v>
      </c>
      <c r="AK70" s="53" t="n">
        <f aca="false">AK63+AK64+AK65+AK66+AK67+AK68+AK69</f>
        <v>150779.804824054</v>
      </c>
      <c r="AL70" s="53" t="n">
        <f aca="false">AL63+AL64+AL65+AL66+AL67+AL68+AL69</f>
        <v>156856.277223493</v>
      </c>
      <c r="AM70" s="53" t="n">
        <f aca="false">SUM(C70:AL70)</f>
        <v>2352776.47371819</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0.463733210869158</v>
      </c>
      <c r="K71" s="62" t="n">
        <f aca="false">IFERROR(K70/K63,0)</f>
        <v>0.467344235416787</v>
      </c>
      <c r="L71" s="62" t="n">
        <f aca="false">IFERROR(L70/L63,0)</f>
        <v>0.469347011558834</v>
      </c>
      <c r="M71" s="62" t="n">
        <f aca="false">IFERROR(M70/M63,0)</f>
        <v>0.470601554826732</v>
      </c>
      <c r="N71" s="62" t="n">
        <f aca="false">IFERROR(N70/N63,0)</f>
        <v>0.47144930537578</v>
      </c>
      <c r="O71" s="62" t="n">
        <f aca="false">IFERROR(O70/O63,0)</f>
        <v>0.472052610617263</v>
      </c>
      <c r="P71" s="62" t="n">
        <f aca="false">IFERROR(P70/P63,0)</f>
        <v>0.472498448944327</v>
      </c>
      <c r="Q71" s="62" t="n">
        <f aca="false">IFERROR(Q70/Q63,0)</f>
        <v>0.472837536056546</v>
      </c>
      <c r="R71" s="62" t="n">
        <f aca="false">IFERROR(R70/R63,0)</f>
        <v>0.473101356734131</v>
      </c>
      <c r="S71" s="62" t="n">
        <f aca="false">IFERROR(S70/S63,0)</f>
        <v>0.473310414625681</v>
      </c>
      <c r="T71" s="62" t="n">
        <f aca="false">IFERROR(T70/T63,0)</f>
        <v>0.47347857013426</v>
      </c>
      <c r="U71" s="62" t="n">
        <f aca="false">IFERROR(U70/U63,0)</f>
        <v>0.47361547538252</v>
      </c>
      <c r="V71" s="62" t="n">
        <f aca="false">IFERROR(V70/V63,0)</f>
        <v>0.473728015676077</v>
      </c>
      <c r="W71" s="62" t="n">
        <f aca="false">IFERROR(W70/W63,0)</f>
        <v>0.473821201189901</v>
      </c>
      <c r="X71" s="62" t="n">
        <f aca="false">IFERROR(X70/X63,0)</f>
        <v>0.473898739225041</v>
      </c>
      <c r="Y71" s="62" t="n">
        <f aca="false">IFERROR(Y70/Y63,0)</f>
        <v>0.473963413030927</v>
      </c>
      <c r="Z71" s="62" t="n">
        <f aca="false">IFERROR(Z70/Z63,0)</f>
        <v>0.474017339266569</v>
      </c>
      <c r="AA71" s="62" t="n">
        <f aca="false">IFERROR(AA70/AA63,0)</f>
        <v>0.474062146960981</v>
      </c>
      <c r="AB71" s="62" t="n">
        <f aca="false">IFERROR(AB70/AB63,0)</f>
        <v>0.474183788997815</v>
      </c>
      <c r="AC71" s="62" t="n">
        <f aca="false">IFERROR(AC70/AC63,0)</f>
        <v>0.474336988366616</v>
      </c>
      <c r="AD71" s="62" t="n">
        <f aca="false">IFERROR(AD70/AD63,0)</f>
        <v>0.474460477406262</v>
      </c>
      <c r="AE71" s="62" t="n">
        <f aca="false">IFERROR(AE70/AE63,0)</f>
        <v>0.474559654485638</v>
      </c>
      <c r="AF71" s="62" t="n">
        <f aca="false">IFERROR(AF70/AF63,0)</f>
        <v>0.474638739050772</v>
      </c>
      <c r="AG71" s="62" t="n">
        <f aca="false">IFERROR(AG70/AG63,0)</f>
        <v>0.474701024804181</v>
      </c>
      <c r="AH71" s="62" t="n">
        <f aca="false">IFERROR(AH70/AH63,0)</f>
        <v>0.474749099065899</v>
      </c>
      <c r="AI71" s="62" t="n">
        <f aca="false">IFERROR(AI70/AI63,0)</f>
        <v>0.474785023208395</v>
      </c>
      <c r="AJ71" s="62" t="n">
        <f aca="false">IFERROR(AJ70/AJ63,0)</f>
        <v>0.4748104643667</v>
      </c>
      <c r="AK71" s="62" t="n">
        <f aca="false">IFERROR(AK70/AK63,0)</f>
        <v>0.474826791063551</v>
      </c>
      <c r="AL71" s="62" t="n">
        <f aca="false">IFERROR(AL70/AL63,0)</f>
        <v>0.474835143458548</v>
      </c>
      <c r="AM71" s="62" t="n">
        <f aca="false">AVERAGE(N71:AL71)</f>
        <v>0.473868870699775</v>
      </c>
    </row>
    <row r="72" customFormat="false" ht="15" hidden="false" customHeight="false" outlineLevel="0" collapsed="false">
      <c r="A72" s="37" t="s">
        <v>807</v>
      </c>
      <c r="B72" s="9" t="s">
        <v>97</v>
      </c>
      <c r="C72" s="53" t="n">
        <f aca="false">C42+C63</f>
        <v>0</v>
      </c>
      <c r="D72" s="53" t="n">
        <f aca="false">D42+D63</f>
        <v>379814.989357956</v>
      </c>
      <c r="E72" s="53" t="n">
        <f aca="false">E42+E63</f>
        <v>352916.613822177</v>
      </c>
      <c r="F72" s="53" t="n">
        <f aca="false">F42+F63</f>
        <v>382754.661508454</v>
      </c>
      <c r="G72" s="53" t="n">
        <f aca="false">G42+G63</f>
        <v>421881.483216479</v>
      </c>
      <c r="H72" s="53" t="n">
        <f aca="false">H42+H63</f>
        <v>457685.438728178</v>
      </c>
      <c r="I72" s="53" t="n">
        <f aca="false">I42+I63</f>
        <v>507126.3307434</v>
      </c>
      <c r="J72" s="53" t="n">
        <f aca="false">J42+J63</f>
        <v>547886.093984466</v>
      </c>
      <c r="K72" s="53" t="n">
        <f aca="false">K42+K63</f>
        <v>585875.065382815</v>
      </c>
      <c r="L72" s="53" t="n">
        <f aca="false">L42+L63</f>
        <v>621732.262026931</v>
      </c>
      <c r="M72" s="53" t="n">
        <f aca="false">M42+M63</f>
        <v>655927.211095051</v>
      </c>
      <c r="N72" s="53" t="n">
        <f aca="false">N42+N63</f>
        <v>688822.594464128</v>
      </c>
      <c r="O72" s="53" t="n">
        <f aca="false">O42+O63</f>
        <v>720721.75980008</v>
      </c>
      <c r="P72" s="53" t="n">
        <f aca="false">P42+P63</f>
        <v>751882.825363096</v>
      </c>
      <c r="Q72" s="53" t="n">
        <f aca="false">Q42+Q63</f>
        <v>782528.363372915</v>
      </c>
      <c r="R72" s="53" t="n">
        <f aca="false">R42+R63</f>
        <v>812853.046749877</v>
      </c>
      <c r="S72" s="53" t="n">
        <f aca="false">S42+S63</f>
        <v>843029.942407918</v>
      </c>
      <c r="T72" s="53" t="n">
        <f aca="false">T42+T63</f>
        <v>873215.752686679</v>
      </c>
      <c r="U72" s="53" t="n">
        <f aca="false">U42+U63</f>
        <v>903555.215603453</v>
      </c>
      <c r="V72" s="53" t="n">
        <f aca="false">V42+V63</f>
        <v>934184.830280959</v>
      </c>
      <c r="W72" s="53" t="n">
        <f aca="false">W42+W63</f>
        <v>965236.043446802</v>
      </c>
      <c r="X72" s="53" t="n">
        <f aca="false">X42+X63</f>
        <v>996838.009269621</v>
      </c>
      <c r="Y72" s="53" t="n">
        <f aca="false">Y42+Y63</f>
        <v>1029120.01579501</v>
      </c>
      <c r="Z72" s="53" t="n">
        <f aca="false">Z42+Z63</f>
        <v>1062213.65579791</v>
      </c>
      <c r="AA72" s="53" t="n">
        <f aca="false">AA42+AA63</f>
        <v>1096254.80728849</v>
      </c>
      <c r="AB72" s="53" t="n">
        <f aca="false">AB42+AB63</f>
        <v>1130416.19384935</v>
      </c>
      <c r="AC72" s="53" t="n">
        <f aca="false">AC42+AC63</f>
        <v>1164509.1945618</v>
      </c>
      <c r="AD72" s="53" t="n">
        <f aca="false">AD42+AD63</f>
        <v>1198924.33328335</v>
      </c>
      <c r="AE72" s="53" t="n">
        <f aca="false">AE42+AE63</f>
        <v>1233835.0561999</v>
      </c>
      <c r="AF72" s="53" t="n">
        <f aca="false">AF42+AF63</f>
        <v>1269414.81232511</v>
      </c>
      <c r="AG72" s="53" t="n">
        <f aca="false">AG42+AG63</f>
        <v>1305842.16550772</v>
      </c>
      <c r="AH72" s="53" t="n">
        <f aca="false">AH42+AH63</f>
        <v>1343303.44288667</v>
      </c>
      <c r="AI72" s="53" t="n">
        <f aca="false">AI42+AI63</f>
        <v>1381994.2870329</v>
      </c>
      <c r="AJ72" s="53" t="n">
        <f aca="false">AJ42+AJ63</f>
        <v>1422121.13077527</v>
      </c>
      <c r="AK72" s="53" t="n">
        <f aca="false">AK42+AK63</f>
        <v>1463902.69858001</v>
      </c>
      <c r="AL72" s="53" t="n">
        <f aca="false">AL42+AL63</f>
        <v>1507571.56409023</v>
      </c>
      <c r="AM72" s="53" t="n">
        <f aca="false">SUM(C72:AL72)</f>
        <v>31795891.8912852</v>
      </c>
    </row>
    <row r="73" customFormat="false" ht="15" hidden="false" customHeight="false" outlineLevel="0" collapsed="false">
      <c r="A73" s="37" t="s">
        <v>808</v>
      </c>
      <c r="B73" s="9" t="s">
        <v>97</v>
      </c>
      <c r="C73" s="53" t="n">
        <f aca="false">C46+C70</f>
        <v>0</v>
      </c>
      <c r="D73" s="53" t="n">
        <f aca="false">D46+D70</f>
        <v>223922.472127974</v>
      </c>
      <c r="E73" s="53" t="n">
        <f aca="false">E46+E70</f>
        <v>208064.354584009</v>
      </c>
      <c r="F73" s="53" t="n">
        <f aca="false">F46+F70</f>
        <v>225655.575543133</v>
      </c>
      <c r="G73" s="53" t="n">
        <f aca="false">G46+G70</f>
        <v>248723.055471142</v>
      </c>
      <c r="H73" s="53" t="n">
        <f aca="false">H46+H70</f>
        <v>269831.517366477</v>
      </c>
      <c r="I73" s="53" t="n">
        <f aca="false">I46+I70</f>
        <v>296670.201820008</v>
      </c>
      <c r="J73" s="53" t="n">
        <f aca="false">J46+J70</f>
        <v>319569.861174453</v>
      </c>
      <c r="K73" s="53" t="n">
        <f aca="false">K46+K70</f>
        <v>340875.09937744</v>
      </c>
      <c r="L73" s="53" t="n">
        <f aca="false">L46+L70</f>
        <v>360951.440268666</v>
      </c>
      <c r="M73" s="53" t="n">
        <f aca="false">M46+M70</f>
        <v>380065.611033537</v>
      </c>
      <c r="N73" s="53" t="n">
        <f aca="false">N46+N70</f>
        <v>398422.76832641</v>
      </c>
      <c r="O73" s="53" t="n">
        <f aca="false">O46+O70</f>
        <v>416194.062667145</v>
      </c>
      <c r="P73" s="53" t="n">
        <f aca="false">P46+P70</f>
        <v>433524.765478445</v>
      </c>
      <c r="Q73" s="53" t="n">
        <f aca="false">Q46+Q70</f>
        <v>450539.831131663</v>
      </c>
      <c r="R73" s="53" t="n">
        <f aca="false">R46+R70</f>
        <v>467348.271348691</v>
      </c>
      <c r="S73" s="53" t="n">
        <f aca="false">S46+S70</f>
        <v>484046.740742888</v>
      </c>
      <c r="T73" s="53" t="n">
        <f aca="false">T46+T70</f>
        <v>500722.510856359</v>
      </c>
      <c r="U73" s="53" t="n">
        <f aca="false">U46+U70</f>
        <v>517455.95640339</v>
      </c>
      <c r="V73" s="53" t="n">
        <f aca="false">V46+V70</f>
        <v>534322.650954741</v>
      </c>
      <c r="W73" s="53" t="n">
        <f aca="false">W46+W70</f>
        <v>551395.151096748</v>
      </c>
      <c r="X73" s="53" t="n">
        <f aca="false">X46+X70</f>
        <v>568744.534034417</v>
      </c>
      <c r="Y73" s="53" t="n">
        <f aca="false">Y46+Y70</f>
        <v>586441.742348464</v>
      </c>
      <c r="Z73" s="53" t="n">
        <f aca="false">Z46+Z70</f>
        <v>604558.780501076</v>
      </c>
      <c r="AA73" s="53" t="n">
        <f aca="false">AA46+AA70</f>
        <v>623169.800287114</v>
      </c>
      <c r="AB73" s="53" t="n">
        <f aca="false">AB46+AB70</f>
        <v>641910.577416027</v>
      </c>
      <c r="AC73" s="53" t="n">
        <f aca="false">AC46+AC70</f>
        <v>660687.393708946</v>
      </c>
      <c r="AD73" s="53" t="n">
        <f aca="false">AD46+AD70</f>
        <v>679677.113256139</v>
      </c>
      <c r="AE73" s="53" t="n">
        <f aca="false">AE46+AE70</f>
        <v>698971.892105135</v>
      </c>
      <c r="AF73" s="53" t="n">
        <f aca="false">AF46+AF70</f>
        <v>718664.244708724</v>
      </c>
      <c r="AG73" s="53" t="n">
        <f aca="false">AG46+AG70</f>
        <v>738849.920085048</v>
      </c>
      <c r="AH73" s="53" t="n">
        <f aca="false">AH46+AH70</f>
        <v>759629.342472045</v>
      </c>
      <c r="AI73" s="53" t="n">
        <f aca="false">AI46+AI70</f>
        <v>781108.433477941</v>
      </c>
      <c r="AJ73" s="53" t="n">
        <f aca="false">AJ46+AJ70</f>
        <v>803399.395143711</v>
      </c>
      <c r="AK73" s="53" t="n">
        <f aca="false">AK46+AK70</f>
        <v>826621.511281734</v>
      </c>
      <c r="AL73" s="53" t="n">
        <f aca="false">AL46+AL70</f>
        <v>850901.983165333</v>
      </c>
      <c r="AM73" s="53" t="n">
        <f aca="false">SUM(C73:AL73)</f>
        <v>18171638.5617652</v>
      </c>
    </row>
    <row r="74" customFormat="false" ht="15" hidden="false" customHeight="false" outlineLevel="0" collapsed="false">
      <c r="A74" s="37" t="s">
        <v>809</v>
      </c>
      <c r="B74" s="9" t="s">
        <v>61</v>
      </c>
      <c r="C74" s="52" t="n">
        <f aca="false">IFERROR(C73/C72,0)</f>
        <v>0</v>
      </c>
      <c r="D74" s="52" t="n">
        <f aca="false">IFERROR(D73/D72,0)</f>
        <v>0.589556701030928</v>
      </c>
      <c r="E74" s="52" t="n">
        <f aca="false">IFERROR(E73/E72,0)</f>
        <v>0.589556701030928</v>
      </c>
      <c r="F74" s="52" t="n">
        <f aca="false">IFERROR(F73/F72,0)</f>
        <v>0.589556701030928</v>
      </c>
      <c r="G74" s="52" t="n">
        <f aca="false">IFERROR(G73/G72,0)</f>
        <v>0.589556701030928</v>
      </c>
      <c r="H74" s="52" t="n">
        <f aca="false">IFERROR(H73/H72,0)</f>
        <v>0.589556701030928</v>
      </c>
      <c r="I74" s="52" t="n">
        <f aca="false">IFERROR(I73/I72,0)</f>
        <v>0.585002560180847</v>
      </c>
      <c r="J74" s="52" t="n">
        <f aca="false">IFERROR(J73/J72,0)</f>
        <v>0.583277919777818</v>
      </c>
      <c r="K74" s="52" t="n">
        <f aca="false">IFERROR(K73/K72,0)</f>
        <v>0.581822165711574</v>
      </c>
      <c r="L74" s="52" t="n">
        <f aca="false">IFERROR(L73/L72,0)</f>
        <v>0.580557681037679</v>
      </c>
      <c r="M74" s="52" t="n">
        <f aca="false">IFERROR(M73/M72,0)</f>
        <v>0.579432602588675</v>
      </c>
      <c r="N74" s="52" t="n">
        <f aca="false">IFERROR(N73/N72,0)</f>
        <v>0.578411294182886</v>
      </c>
      <c r="O74" s="52" t="n">
        <f aca="false">IFERROR(O73/O72,0)</f>
        <v>0.577468429401372</v>
      </c>
      <c r="P74" s="52" t="n">
        <f aca="false">IFERROR(P73/P72,0)</f>
        <v>0.576585540797649</v>
      </c>
      <c r="Q74" s="52" t="n">
        <f aca="false">IFERROR(Q73/Q72,0)</f>
        <v>0.57574888300497</v>
      </c>
      <c r="R74" s="52" t="n">
        <f aca="false">IFERROR(R73/R72,0)</f>
        <v>0.574948046534786</v>
      </c>
      <c r="S74" s="52" t="n">
        <f aca="false">IFERROR(S73/S72,0)</f>
        <v>0.574175027947788</v>
      </c>
      <c r="T74" s="52" t="n">
        <f aca="false">IFERROR(T73/T72,0)</f>
        <v>0.573423588976441</v>
      </c>
      <c r="U74" s="52" t="n">
        <f aca="false">IFERROR(U73/U72,0)</f>
        <v>0.572688804698891</v>
      </c>
      <c r="V74" s="52" t="n">
        <f aca="false">IFERROR(V73/V72,0)</f>
        <v>0.571966738952549</v>
      </c>
      <c r="W74" s="52" t="n">
        <f aca="false">IFERROR(W73/W72,0)</f>
        <v>0.571254207548807</v>
      </c>
      <c r="X74" s="52" t="n">
        <f aca="false">IFERROR(X73/X72,0)</f>
        <v>0.570548603429693</v>
      </c>
      <c r="Y74" s="52" t="n">
        <f aca="false">IFERROR(Y73/Y72,0)</f>
        <v>0.569847766390426</v>
      </c>
      <c r="Z74" s="52" t="n">
        <f aca="false">IFERROR(Z73/Z72,0)</f>
        <v>0.569149885431427</v>
      </c>
      <c r="AA74" s="52" t="n">
        <f aca="false">IFERROR(AA73/AA72,0)</f>
        <v>0.568453425375149</v>
      </c>
      <c r="AB74" s="52" t="n">
        <f aca="false">IFERROR(AB73/AB72,0)</f>
        <v>0.567853310054025</v>
      </c>
      <c r="AC74" s="52" t="n">
        <f aca="false">IFERROR(AC73/AC72,0)</f>
        <v>0.567352663932859</v>
      </c>
      <c r="AD74" s="52" t="n">
        <f aca="false">IFERROR(AD73/AD72,0)</f>
        <v>0.566905762430219</v>
      </c>
      <c r="AE74" s="52" t="n">
        <f aca="false">IFERROR(AE73/AE72,0)</f>
        <v>0.56650351162651</v>
      </c>
      <c r="AF74" s="52" t="n">
        <f aca="false">IFERROR(AF73/AF72,0)</f>
        <v>0.566138221904303</v>
      </c>
      <c r="AG74" s="52" t="n">
        <f aca="false">IFERROR(AG73/AG72,0)</f>
        <v>0.565803386964289</v>
      </c>
      <c r="AH74" s="52" t="n">
        <f aca="false">IFERROR(AH73/AH72,0)</f>
        <v>0.565493482872083</v>
      </c>
      <c r="AI74" s="52" t="n">
        <f aca="false">IFERROR(AI73/AI72,0)</f>
        <v>0.56520380786447</v>
      </c>
      <c r="AJ74" s="52" t="n">
        <f aca="false">IFERROR(AJ73/AJ72,0)</f>
        <v>0.564930354916909</v>
      </c>
      <c r="AK74" s="52" t="n">
        <f aca="false">IFERROR(AK73/AK72,0)</f>
        <v>0.564669709321226</v>
      </c>
      <c r="AL74" s="52" t="n">
        <f aca="false">IFERROR(AL73/AL72,0)</f>
        <v>0.564418965861051</v>
      </c>
      <c r="AM74" s="52" t="n">
        <f aca="false">AVERAGE(N74:AL74)</f>
        <v>0.569997736816831</v>
      </c>
    </row>
    <row r="75" customFormat="false" ht="15" hidden="false" customHeight="false" outlineLevel="0" collapsed="false">
      <c r="A75" s="10" t="s">
        <v>810</v>
      </c>
      <c r="B75" s="9" t="s">
        <v>97</v>
      </c>
      <c r="C75" s="70" t="n">
        <f aca="false">-Assumptions!$E$82</f>
        <v>-600</v>
      </c>
      <c r="D75" s="70" t="n">
        <f aca="false">-Assumptions!$E$82</f>
        <v>-600</v>
      </c>
      <c r="E75" s="70" t="n">
        <f aca="false">-Assumptions!$E$82</f>
        <v>-600</v>
      </c>
      <c r="F75" s="70" t="n">
        <f aca="false">-Assumptions!$E$82</f>
        <v>-600</v>
      </c>
      <c r="G75" s="70" t="n">
        <f aca="false">-Assumptions!$E$82</f>
        <v>-600</v>
      </c>
      <c r="H75" s="70" t="n">
        <f aca="false">-Assumptions!$E$82</f>
        <v>-600</v>
      </c>
      <c r="I75" s="70" t="n">
        <f aca="false">-Assumptions!$E$82</f>
        <v>-600</v>
      </c>
      <c r="J75" s="70" t="n">
        <f aca="false">-Assumptions!$E$82</f>
        <v>-600</v>
      </c>
      <c r="K75" s="70" t="n">
        <f aca="false">-Assumptions!$E$82</f>
        <v>-600</v>
      </c>
      <c r="L75" s="70" t="n">
        <f aca="false">-Assumptions!$E$82</f>
        <v>-600</v>
      </c>
      <c r="M75" s="70" t="n">
        <f aca="false">-Assumptions!$E$82</f>
        <v>-600</v>
      </c>
      <c r="N75" s="70" t="n">
        <f aca="false">-Assumptions!$E$82</f>
        <v>-600</v>
      </c>
      <c r="O75" s="70" t="n">
        <f aca="false">-Assumptions!$E$82</f>
        <v>-600</v>
      </c>
      <c r="P75" s="70" t="n">
        <f aca="false">-Assumptions!$E$82</f>
        <v>-600</v>
      </c>
      <c r="Q75" s="70" t="n">
        <f aca="false">-Assumptions!$E$82</f>
        <v>-600</v>
      </c>
      <c r="R75" s="70" t="n">
        <f aca="false">-Assumptions!$E$82</f>
        <v>-600</v>
      </c>
      <c r="S75" s="70" t="n">
        <f aca="false">-Assumptions!$E$82</f>
        <v>-600</v>
      </c>
      <c r="T75" s="70" t="n">
        <f aca="false">-Assumptions!$E$82</f>
        <v>-600</v>
      </c>
      <c r="U75" s="70" t="n">
        <f aca="false">-Assumptions!$E$82</f>
        <v>-600</v>
      </c>
      <c r="V75" s="70" t="n">
        <f aca="false">-Assumptions!$E$82</f>
        <v>-600</v>
      </c>
      <c r="W75" s="70" t="n">
        <f aca="false">-Assumptions!$E$82</f>
        <v>-600</v>
      </c>
      <c r="X75" s="70" t="n">
        <f aca="false">-Assumptions!$E$82</f>
        <v>-600</v>
      </c>
      <c r="Y75" s="70" t="n">
        <f aca="false">-Assumptions!$E$82</f>
        <v>-600</v>
      </c>
      <c r="Z75" s="70" t="n">
        <f aca="false">-Assumptions!$E$82</f>
        <v>-600</v>
      </c>
      <c r="AA75" s="70" t="n">
        <f aca="false">-Assumptions!$E$82</f>
        <v>-600</v>
      </c>
      <c r="AB75" s="70" t="n">
        <f aca="false">-Assumptions!$E$82</f>
        <v>-600</v>
      </c>
      <c r="AC75" s="70" t="n">
        <f aca="false">-Assumptions!$E$82</f>
        <v>-600</v>
      </c>
      <c r="AD75" s="70" t="n">
        <f aca="false">-Assumptions!$E$82</f>
        <v>-600</v>
      </c>
      <c r="AE75" s="70" t="n">
        <f aca="false">-Assumptions!$E$82</f>
        <v>-600</v>
      </c>
      <c r="AF75" s="70" t="n">
        <f aca="false">-Assumptions!$E$82</f>
        <v>-600</v>
      </c>
      <c r="AG75" s="70" t="n">
        <f aca="false">-Assumptions!$E$82</f>
        <v>-600</v>
      </c>
      <c r="AH75" s="70" t="n">
        <f aca="false">-Assumptions!$E$82</f>
        <v>-600</v>
      </c>
      <c r="AI75" s="70" t="n">
        <f aca="false">-Assumptions!$E$82</f>
        <v>-600</v>
      </c>
      <c r="AJ75" s="70" t="n">
        <f aca="false">-Assumptions!$E$82</f>
        <v>-600</v>
      </c>
      <c r="AK75" s="70" t="n">
        <f aca="false">-Assumptions!$E$82</f>
        <v>-600</v>
      </c>
      <c r="AL75" s="70" t="n">
        <f aca="false">-Assumptions!$E$82</f>
        <v>-600</v>
      </c>
      <c r="AM75" s="70" t="n">
        <f aca="false">SUM(C75:AL75)</f>
        <v>-21600</v>
      </c>
    </row>
    <row r="76" customFormat="false" ht="15" hidden="false" customHeight="false" outlineLevel="0" collapsed="false">
      <c r="A76" s="10" t="s">
        <v>811</v>
      </c>
      <c r="B76" s="9" t="s">
        <v>97</v>
      </c>
      <c r="C76" s="70" t="n">
        <f aca="false">-Assumptions!$E$83</f>
        <v>-280</v>
      </c>
      <c r="D76" s="70" t="n">
        <f aca="false">-Assumptions!$E$83</f>
        <v>-280</v>
      </c>
      <c r="E76" s="70" t="n">
        <f aca="false">-Assumptions!$E$83</f>
        <v>-280</v>
      </c>
      <c r="F76" s="70" t="n">
        <f aca="false">-Assumptions!$E$83</f>
        <v>-280</v>
      </c>
      <c r="G76" s="70" t="n">
        <f aca="false">-Assumptions!$E$83</f>
        <v>-280</v>
      </c>
      <c r="H76" s="70" t="n">
        <f aca="false">-Assumptions!$E$83</f>
        <v>-280</v>
      </c>
      <c r="I76" s="70" t="n">
        <f aca="false">-Assumptions!$E$83</f>
        <v>-280</v>
      </c>
      <c r="J76" s="70" t="n">
        <f aca="false">-Assumptions!$E$83</f>
        <v>-280</v>
      </c>
      <c r="K76" s="70" t="n">
        <f aca="false">-Assumptions!$E$83</f>
        <v>-280</v>
      </c>
      <c r="L76" s="70" t="n">
        <f aca="false">-Assumptions!$E$83</f>
        <v>-280</v>
      </c>
      <c r="M76" s="70" t="n">
        <f aca="false">-Assumptions!$E$83</f>
        <v>-280</v>
      </c>
      <c r="N76" s="70" t="n">
        <f aca="false">-Assumptions!$E$83</f>
        <v>-280</v>
      </c>
      <c r="O76" s="70" t="n">
        <f aca="false">-Assumptions!$E$83</f>
        <v>-280</v>
      </c>
      <c r="P76" s="70" t="n">
        <f aca="false">-Assumptions!$E$83</f>
        <v>-280</v>
      </c>
      <c r="Q76" s="70" t="n">
        <f aca="false">-Assumptions!$E$83</f>
        <v>-280</v>
      </c>
      <c r="R76" s="70" t="n">
        <f aca="false">-Assumptions!$E$83</f>
        <v>-280</v>
      </c>
      <c r="S76" s="70" t="n">
        <f aca="false">-Assumptions!$E$83</f>
        <v>-280</v>
      </c>
      <c r="T76" s="70" t="n">
        <f aca="false">-Assumptions!$E$83</f>
        <v>-280</v>
      </c>
      <c r="U76" s="70" t="n">
        <f aca="false">-Assumptions!$E$83</f>
        <v>-280</v>
      </c>
      <c r="V76" s="70" t="n">
        <f aca="false">-Assumptions!$E$83</f>
        <v>-280</v>
      </c>
      <c r="W76" s="70" t="n">
        <f aca="false">-Assumptions!$E$83</f>
        <v>-280</v>
      </c>
      <c r="X76" s="70" t="n">
        <f aca="false">-Assumptions!$E$83</f>
        <v>-280</v>
      </c>
      <c r="Y76" s="70" t="n">
        <f aca="false">-Assumptions!$E$83</f>
        <v>-280</v>
      </c>
      <c r="Z76" s="70" t="n">
        <f aca="false">-Assumptions!$E$83</f>
        <v>-280</v>
      </c>
      <c r="AA76" s="70" t="n">
        <f aca="false">-Assumptions!$E$83</f>
        <v>-280</v>
      </c>
      <c r="AB76" s="70" t="n">
        <f aca="false">-Assumptions!$E$83</f>
        <v>-280</v>
      </c>
      <c r="AC76" s="70" t="n">
        <f aca="false">-Assumptions!$E$83</f>
        <v>-280</v>
      </c>
      <c r="AD76" s="70" t="n">
        <f aca="false">-Assumptions!$E$83</f>
        <v>-280</v>
      </c>
      <c r="AE76" s="70" t="n">
        <f aca="false">-Assumptions!$E$83</f>
        <v>-280</v>
      </c>
      <c r="AF76" s="70" t="n">
        <f aca="false">-Assumptions!$E$83</f>
        <v>-280</v>
      </c>
      <c r="AG76" s="70" t="n">
        <f aca="false">-Assumptions!$E$83</f>
        <v>-280</v>
      </c>
      <c r="AH76" s="70" t="n">
        <f aca="false">-Assumptions!$E$83</f>
        <v>-280</v>
      </c>
      <c r="AI76" s="70" t="n">
        <f aca="false">-Assumptions!$E$83</f>
        <v>-280</v>
      </c>
      <c r="AJ76" s="70" t="n">
        <f aca="false">-Assumptions!$E$83</f>
        <v>-280</v>
      </c>
      <c r="AK76" s="70" t="n">
        <f aca="false">-Assumptions!$E$83</f>
        <v>-280</v>
      </c>
      <c r="AL76" s="70" t="n">
        <f aca="false">-Assumptions!$E$83</f>
        <v>-280</v>
      </c>
      <c r="AM76" s="70" t="n">
        <f aca="false">SUM(C76:AL76)</f>
        <v>-10080</v>
      </c>
    </row>
    <row r="77" customFormat="false" ht="15" hidden="false" customHeight="false" outlineLevel="0" collapsed="false">
      <c r="A77" s="10" t="s">
        <v>812</v>
      </c>
      <c r="B77" s="9" t="s">
        <v>97</v>
      </c>
      <c r="C77" s="70" t="n">
        <f aca="false">-MAX(IF(C8=0,Assumptions!$E$84,IF(C$5&lt;=12,Assumptions!$E$85,IF(C$5&lt;=24,Assumptions!$E$86,Assumptions!$E$87))))</f>
        <v>-6000</v>
      </c>
      <c r="D77" s="70" t="n">
        <f aca="false">-MAX(IF(D8=0,Assumptions!$E$84,IF(D$5&lt;=12,Assumptions!$E$85,IF(D$5&lt;=24,Assumptions!$E$86,Assumptions!$E$87))),C72*Assumptions!$E$88)</f>
        <v>-16000</v>
      </c>
      <c r="E77" s="70" t="n">
        <f aca="false">-MAX(IF(E8=0,Assumptions!$E$84,IF(E$5&lt;=12,Assumptions!$E$85,IF(E$5&lt;=24,Assumptions!$E$86,Assumptions!$E$87))),D72*Assumptions!$E$88)</f>
        <v>-22788.8993614774</v>
      </c>
      <c r="F77" s="70" t="n">
        <f aca="false">-MAX(IF(F8=0,Assumptions!$E$84,IF(F$5&lt;=12,Assumptions!$E$85,IF(F$5&lt;=24,Assumptions!$E$86,Assumptions!$E$87))),E72*Assumptions!$E$88)</f>
        <v>-21174.9968293306</v>
      </c>
      <c r="G77" s="70" t="n">
        <f aca="false">-MAX(IF(G8=0,Assumptions!$E$84,IF(G$5&lt;=12,Assumptions!$E$85,IF(G$5&lt;=24,Assumptions!$E$86,Assumptions!$E$87))),F72*Assumptions!$E$88)</f>
        <v>-22965.2796905072</v>
      </c>
      <c r="H77" s="70" t="n">
        <f aca="false">-MAX(IF(H8=0,Assumptions!$E$84,IF(H$5&lt;=12,Assumptions!$E$85,IF(H$5&lt;=24,Assumptions!$E$86,Assumptions!$E$87))),G72*Assumptions!$E$88)</f>
        <v>-25312.8889929887</v>
      </c>
      <c r="I77" s="70" t="n">
        <f aca="false">-MAX(IF(I8=0,Assumptions!$E$84,IF(I$5&lt;=12,Assumptions!$E$85,IF(I$5&lt;=24,Assumptions!$E$86,Assumptions!$E$87))),H72*Assumptions!$E$88)</f>
        <v>-27461.1263236907</v>
      </c>
      <c r="J77" s="70" t="n">
        <f aca="false">-MAX(IF(J8=0,Assumptions!$E$84,IF(J$5&lt;=12,Assumptions!$E$85,IF(J$5&lt;=24,Assumptions!$E$86,Assumptions!$E$87))),I72*Assumptions!$E$88)</f>
        <v>-30427.579844604</v>
      </c>
      <c r="K77" s="70" t="n">
        <f aca="false">-MAX(IF(K8=0,Assumptions!$E$84,IF(K$5&lt;=12,Assumptions!$E$85,IF(K$5&lt;=24,Assumptions!$E$86,Assumptions!$E$87))),J72*Assumptions!$E$88)</f>
        <v>-32873.165639068</v>
      </c>
      <c r="L77" s="70" t="n">
        <f aca="false">-MAX(IF(L8=0,Assumptions!$E$84,IF(L$5&lt;=12,Assumptions!$E$85,IF(L$5&lt;=24,Assumptions!$E$86,Assumptions!$E$87))),K72*Assumptions!$E$88)</f>
        <v>-35152.5039229689</v>
      </c>
      <c r="M77" s="70" t="n">
        <f aca="false">-MAX(IF(M8=0,Assumptions!$E$84,IF(M$5&lt;=12,Assumptions!$E$85,IF(M$5&lt;=24,Assumptions!$E$86,Assumptions!$E$87))),L72*Assumptions!$E$88)</f>
        <v>-37303.9357216159</v>
      </c>
      <c r="N77" s="70" t="n">
        <f aca="false">-MAX(IF(N8=0,Assumptions!$E$84,IF(N$5&lt;=12,Assumptions!$E$85,IF(N$5&lt;=24,Assumptions!$E$86,Assumptions!$E$87))),M72*Assumptions!$E$88)</f>
        <v>-39355.6326657031</v>
      </c>
      <c r="O77" s="70" t="n">
        <f aca="false">-MAX(IF(O8=0,Assumptions!$E$84,IF(O$5&lt;=12,Assumptions!$E$85,IF(O$5&lt;=24,Assumptions!$E$86,Assumptions!$E$87))),N72*Assumptions!$E$88)</f>
        <v>-41329.3556678477</v>
      </c>
      <c r="P77" s="70" t="n">
        <f aca="false">-MAX(IF(P8=0,Assumptions!$E$84,IF(P$5&lt;=12,Assumptions!$E$85,IF(P$5&lt;=24,Assumptions!$E$86,Assumptions!$E$87))),O72*Assumptions!$E$88)</f>
        <v>-43243.3055880048</v>
      </c>
      <c r="Q77" s="70" t="n">
        <f aca="false">-MAX(IF(Q8=0,Assumptions!$E$84,IF(Q$5&lt;=12,Assumptions!$E$85,IF(Q$5&lt;=24,Assumptions!$E$86,Assumptions!$E$87))),P72*Assumptions!$E$88)</f>
        <v>-45112.9695217858</v>
      </c>
      <c r="R77" s="70" t="n">
        <f aca="false">-MAX(IF(R8=0,Assumptions!$E$84,IF(R$5&lt;=12,Assumptions!$E$85,IF(R$5&lt;=24,Assumptions!$E$86,Assumptions!$E$87))),Q72*Assumptions!$E$88)</f>
        <v>-46951.7018023749</v>
      </c>
      <c r="S77" s="70" t="n">
        <f aca="false">-MAX(IF(S8=0,Assumptions!$E$84,IF(S$5&lt;=12,Assumptions!$E$85,IF(S$5&lt;=24,Assumptions!$E$86,Assumptions!$E$87))),R72*Assumptions!$E$88)</f>
        <v>-48771.1828049926</v>
      </c>
      <c r="T77" s="70" t="n">
        <f aca="false">-MAX(IF(T8=0,Assumptions!$E$84,IF(T$5&lt;=12,Assumptions!$E$85,IF(T$5&lt;=24,Assumptions!$E$86,Assumptions!$E$87))),S72*Assumptions!$E$88)</f>
        <v>-50581.7965444751</v>
      </c>
      <c r="U77" s="70" t="n">
        <f aca="false">-MAX(IF(U8=0,Assumptions!$E$84,IF(U$5&lt;=12,Assumptions!$E$85,IF(U$5&lt;=24,Assumptions!$E$86,Assumptions!$E$87))),T72*Assumptions!$E$88)</f>
        <v>-52392.9451612007</v>
      </c>
      <c r="V77" s="70" t="n">
        <f aca="false">-MAX(IF(V8=0,Assumptions!$E$84,IF(V$5&lt;=12,Assumptions!$E$85,IF(V$5&lt;=24,Assumptions!$E$86,Assumptions!$E$87))),U72*Assumptions!$E$88)</f>
        <v>-54213.3129362072</v>
      </c>
      <c r="W77" s="70" t="n">
        <f aca="false">-MAX(IF(W8=0,Assumptions!$E$84,IF(W$5&lt;=12,Assumptions!$E$85,IF(W$5&lt;=24,Assumptions!$E$86,Assumptions!$E$87))),V72*Assumptions!$E$88)</f>
        <v>-56051.0898168575</v>
      </c>
      <c r="X77" s="70" t="n">
        <f aca="false">-MAX(IF(X8=0,Assumptions!$E$84,IF(X$5&lt;=12,Assumptions!$E$85,IF(X$5&lt;=24,Assumptions!$E$86,Assumptions!$E$87))),W72*Assumptions!$E$88)</f>
        <v>-57914.1626068081</v>
      </c>
      <c r="Y77" s="70" t="n">
        <f aca="false">-MAX(IF(Y8=0,Assumptions!$E$84,IF(Y$5&lt;=12,Assumptions!$E$85,IF(Y$5&lt;=24,Assumptions!$E$86,Assumptions!$E$87))),X72*Assumptions!$E$88)</f>
        <v>-59810.2805561773</v>
      </c>
      <c r="Z77" s="70" t="n">
        <f aca="false">-MAX(IF(Z8=0,Assumptions!$E$84,IF(Z$5&lt;=12,Assumptions!$E$85,IF(Z$5&lt;=24,Assumptions!$E$86,Assumptions!$E$87))),Y72*Assumptions!$E$88)</f>
        <v>-61747.2009477003</v>
      </c>
      <c r="AA77" s="70" t="n">
        <f aca="false">-MAX(IF(AA8=0,Assumptions!$E$84,IF(AA$5&lt;=12,Assumptions!$E$85,IF(AA$5&lt;=24,Assumptions!$E$86,Assumptions!$E$87))),Z72*Assumptions!$E$88)</f>
        <v>-63732.8193478743</v>
      </c>
      <c r="AB77" s="70" t="n">
        <f aca="false">-MAX(IF(AB8=0,Assumptions!$E$84,IF(AB$5&lt;=12,Assumptions!$E$85,IF(AB$5&lt;=24,Assumptions!$E$86,Assumptions!$E$87))),AA72*Assumptions!$E$88)</f>
        <v>-65775.2884373092</v>
      </c>
      <c r="AC77" s="70" t="n">
        <f aca="false">-MAX(IF(AC8=0,Assumptions!$E$84,IF(AC$5&lt;=12,Assumptions!$E$85,IF(AC$5&lt;=24,Assumptions!$E$86,Assumptions!$E$87))),AB72*Assumptions!$E$88)</f>
        <v>-67824.9716309611</v>
      </c>
      <c r="AD77" s="70" t="n">
        <f aca="false">-MAX(IF(AD8=0,Assumptions!$E$84,IF(AD$5&lt;=12,Assumptions!$E$85,IF(AD$5&lt;=24,Assumptions!$E$86,Assumptions!$E$87))),AC72*Assumptions!$E$88)</f>
        <v>-69870.5516737081</v>
      </c>
      <c r="AE77" s="70" t="n">
        <f aca="false">-MAX(IF(AE8=0,Assumptions!$E$84,IF(AE$5&lt;=12,Assumptions!$E$85,IF(AE$5&lt;=24,Assumptions!$E$86,Assumptions!$E$87))),AD72*Assumptions!$E$88)</f>
        <v>-71935.459997001</v>
      </c>
      <c r="AF77" s="70" t="n">
        <f aca="false">-MAX(IF(AF8=0,Assumptions!$E$84,IF(AF$5&lt;=12,Assumptions!$E$85,IF(AF$5&lt;=24,Assumptions!$E$86,Assumptions!$E$87))),AE72*Assumptions!$E$88)</f>
        <v>-74030.1033719939</v>
      </c>
      <c r="AG77" s="70" t="n">
        <f aca="false">-MAX(IF(AG8=0,Assumptions!$E$84,IF(AG$5&lt;=12,Assumptions!$E$85,IF(AG$5&lt;=24,Assumptions!$E$86,Assumptions!$E$87))),AF72*Assumptions!$E$88)</f>
        <v>-76164.8887395068</v>
      </c>
      <c r="AH77" s="70" t="n">
        <f aca="false">-MAX(IF(AH8=0,Assumptions!$E$84,IF(AH$5&lt;=12,Assumptions!$E$85,IF(AH$5&lt;=24,Assumptions!$E$86,Assumptions!$E$87))),AG72*Assumptions!$E$88)</f>
        <v>-78350.529930463</v>
      </c>
      <c r="AI77" s="70" t="n">
        <f aca="false">-MAX(IF(AI8=0,Assumptions!$E$84,IF(AI$5&lt;=12,Assumptions!$E$85,IF(AI$5&lt;=24,Assumptions!$E$86,Assumptions!$E$87))),AH72*Assumptions!$E$88)</f>
        <v>-80598.2065732004</v>
      </c>
      <c r="AJ77" s="70" t="n">
        <f aca="false">-MAX(IF(AJ8=0,Assumptions!$E$84,IF(AJ$5&lt;=12,Assumptions!$E$85,IF(AJ$5&lt;=24,Assumptions!$E$86,Assumptions!$E$87))),AI72*Assumptions!$E$88)</f>
        <v>-82919.6572219743</v>
      </c>
      <c r="AK77" s="70" t="n">
        <f aca="false">-MAX(IF(AK8=0,Assumptions!$E$84,IF(AK$5&lt;=12,Assumptions!$E$85,IF(AK$5&lt;=24,Assumptions!$E$86,Assumptions!$E$87))),AJ72*Assumptions!$E$88)</f>
        <v>-85327.2678465164</v>
      </c>
      <c r="AL77" s="70" t="n">
        <f aca="false">-MAX(IF(AL8=0,Assumptions!$E$84,IF(AL$5&lt;=12,Assumptions!$E$85,IF(AL$5&lt;=24,Assumptions!$E$86,Assumptions!$E$87))),AK72*Assumptions!$E$88)</f>
        <v>-87834.1619148007</v>
      </c>
      <c r="AM77" s="70" t="n">
        <f aca="false">SUM(C77:AL77)</f>
        <v>-1839299.2196317</v>
      </c>
    </row>
    <row r="78" customFormat="false" ht="15" hidden="false" customHeight="false" outlineLevel="0" collapsed="false">
      <c r="A78" s="10" t="s">
        <v>813</v>
      </c>
      <c r="B78" s="9" t="s">
        <v>97</v>
      </c>
      <c r="C78" s="70" t="n">
        <f aca="false">-IF(C$5&gt;=Assumptions!$E$7-2,Assumptions!$E$91,0)</f>
        <v>-0</v>
      </c>
      <c r="D78" s="70" t="n">
        <f aca="false">-IF(D$5&gt;=Assumptions!$E$7-2,Assumptions!$E$91,0)</f>
        <v>-0</v>
      </c>
      <c r="E78" s="70" t="n">
        <f aca="false">-IF(E$5&gt;=Assumptions!$E$7-2,Assumptions!$E$91,0)</f>
        <v>-0</v>
      </c>
      <c r="F78" s="70" t="n">
        <f aca="false">-IF(F$5&gt;=Assumptions!$E$7-2,Assumptions!$E$91,0)</f>
        <v>-0</v>
      </c>
      <c r="G78" s="70" t="n">
        <f aca="false">-IF(G$5&gt;=Assumptions!$E$7-2,Assumptions!$E$91,0)</f>
        <v>-9000</v>
      </c>
      <c r="H78" s="70" t="n">
        <f aca="false">-IF(H$5&gt;=Assumptions!$E$7-2,Assumptions!$E$91,0)</f>
        <v>-9000</v>
      </c>
      <c r="I78" s="70" t="n">
        <f aca="false">-IF(I$5&gt;=Assumptions!$E$7-2,Assumptions!$E$91,0)</f>
        <v>-9000</v>
      </c>
      <c r="J78" s="70" t="n">
        <f aca="false">-IF(J$5&gt;=Assumptions!$E$7-2,Assumptions!$E$91,0)</f>
        <v>-9000</v>
      </c>
      <c r="K78" s="70" t="n">
        <f aca="false">-IF(K$5&gt;=Assumptions!$E$7-2,Assumptions!$E$91,0)</f>
        <v>-9000</v>
      </c>
      <c r="L78" s="70" t="n">
        <f aca="false">-IF(L$5&gt;=Assumptions!$E$7-2,Assumptions!$E$91,0)</f>
        <v>-9000</v>
      </c>
      <c r="M78" s="70" t="n">
        <f aca="false">-IF(M$5&gt;=Assumptions!$E$7-2,Assumptions!$E$91,0)</f>
        <v>-9000</v>
      </c>
      <c r="N78" s="70" t="n">
        <f aca="false">-IF(N$5&gt;=Assumptions!$E$7-2,Assumptions!$E$91,0)</f>
        <v>-9000</v>
      </c>
      <c r="O78" s="70" t="n">
        <f aca="false">-IF(O$5&gt;=Assumptions!$E$7-2,Assumptions!$E$91,0)</f>
        <v>-9000</v>
      </c>
      <c r="P78" s="70" t="n">
        <f aca="false">-IF(P$5&gt;=Assumptions!$E$7-2,Assumptions!$E$91,0)</f>
        <v>-9000</v>
      </c>
      <c r="Q78" s="70" t="n">
        <f aca="false">-IF(Q$5&gt;=Assumptions!$E$7-2,Assumptions!$E$91,0)</f>
        <v>-9000</v>
      </c>
      <c r="R78" s="70" t="n">
        <f aca="false">-IF(R$5&gt;=Assumptions!$E$7-2,Assumptions!$E$91,0)</f>
        <v>-9000</v>
      </c>
      <c r="S78" s="70" t="n">
        <f aca="false">-IF(S$5&gt;=Assumptions!$E$7-2,Assumptions!$E$91,0)</f>
        <v>-9000</v>
      </c>
      <c r="T78" s="70" t="n">
        <f aca="false">-IF(T$5&gt;=Assumptions!$E$7-2,Assumptions!$E$91,0)</f>
        <v>-9000</v>
      </c>
      <c r="U78" s="70" t="n">
        <f aca="false">-IF(U$5&gt;=Assumptions!$E$7-2,Assumptions!$E$91,0)</f>
        <v>-9000</v>
      </c>
      <c r="V78" s="70" t="n">
        <f aca="false">-IF(V$5&gt;=Assumptions!$E$7-2,Assumptions!$E$91,0)</f>
        <v>-9000</v>
      </c>
      <c r="W78" s="70" t="n">
        <f aca="false">-IF(W$5&gt;=Assumptions!$E$7-2,Assumptions!$E$91,0)</f>
        <v>-9000</v>
      </c>
      <c r="X78" s="70" t="n">
        <f aca="false">-IF(X$5&gt;=Assumptions!$E$7-2,Assumptions!$E$91,0)</f>
        <v>-9000</v>
      </c>
      <c r="Y78" s="70" t="n">
        <f aca="false">-IF(Y$5&gt;=Assumptions!$E$7-2,Assumptions!$E$91,0)</f>
        <v>-9000</v>
      </c>
      <c r="Z78" s="70" t="n">
        <f aca="false">-IF(Z$5&gt;=Assumptions!$E$7-2,Assumptions!$E$91,0)</f>
        <v>-9000</v>
      </c>
      <c r="AA78" s="70" t="n">
        <f aca="false">-IF(AA$5&gt;=Assumptions!$E$7-2,Assumptions!$E$91,0)</f>
        <v>-9000</v>
      </c>
      <c r="AB78" s="70" t="n">
        <f aca="false">-IF(AB$5&gt;=Assumptions!$E$7-2,Assumptions!$E$91,0)</f>
        <v>-9000</v>
      </c>
      <c r="AC78" s="70" t="n">
        <f aca="false">-IF(AC$5&gt;=Assumptions!$E$7-2,Assumptions!$E$91,0)</f>
        <v>-9000</v>
      </c>
      <c r="AD78" s="70" t="n">
        <f aca="false">-IF(AD$5&gt;=Assumptions!$E$7-2,Assumptions!$E$91,0)</f>
        <v>-9000</v>
      </c>
      <c r="AE78" s="70" t="n">
        <f aca="false">-IF(AE$5&gt;=Assumptions!$E$7-2,Assumptions!$E$91,0)</f>
        <v>-9000</v>
      </c>
      <c r="AF78" s="70" t="n">
        <f aca="false">-IF(AF$5&gt;=Assumptions!$E$7-2,Assumptions!$E$91,0)</f>
        <v>-9000</v>
      </c>
      <c r="AG78" s="70" t="n">
        <f aca="false">-IF(AG$5&gt;=Assumptions!$E$7-2,Assumptions!$E$91,0)</f>
        <v>-9000</v>
      </c>
      <c r="AH78" s="70" t="n">
        <f aca="false">-IF(AH$5&gt;=Assumptions!$E$7-2,Assumptions!$E$91,0)</f>
        <v>-9000</v>
      </c>
      <c r="AI78" s="70" t="n">
        <f aca="false">-IF(AI$5&gt;=Assumptions!$E$7-2,Assumptions!$E$91,0)</f>
        <v>-9000</v>
      </c>
      <c r="AJ78" s="70" t="n">
        <f aca="false">-IF(AJ$5&gt;=Assumptions!$E$7-2,Assumptions!$E$91,0)</f>
        <v>-9000</v>
      </c>
      <c r="AK78" s="70" t="n">
        <f aca="false">-IF(AK$5&gt;=Assumptions!$E$7-2,Assumptions!$E$91,0)</f>
        <v>-9000</v>
      </c>
      <c r="AL78" s="70" t="n">
        <f aca="false">-IF(AL$5&gt;=Assumptions!$E$7-2,Assumptions!$E$91,0)</f>
        <v>-9000</v>
      </c>
      <c r="AM78" s="70" t="n">
        <f aca="false">SUM(C78:AL78)</f>
        <v>-288000</v>
      </c>
    </row>
    <row r="79" customFormat="false" ht="15" hidden="false" customHeight="false" outlineLevel="0" collapsed="false">
      <c r="A79" s="10" t="s">
        <v>814</v>
      </c>
      <c r="B79" s="9" t="s">
        <v>97</v>
      </c>
      <c r="C79" s="70" t="n">
        <f aca="false">-Assumptions!$E$92</f>
        <v>-1200</v>
      </c>
      <c r="D79" s="70" t="n">
        <f aca="false">-MAX(Assumptions!$E$92,C72*Assumptions!$E$90)</f>
        <v>-1200</v>
      </c>
      <c r="E79" s="70" t="n">
        <f aca="false">-MAX(Assumptions!$E$92,D72*Assumptions!$E$90)</f>
        <v>-3038.51991486365</v>
      </c>
      <c r="F79" s="70" t="n">
        <f aca="false">-MAX(Assumptions!$E$92,E72*Assumptions!$E$90)</f>
        <v>-2823.33291057741</v>
      </c>
      <c r="G79" s="70" t="n">
        <f aca="false">-MAX(Assumptions!$E$92,F72*Assumptions!$E$90)</f>
        <v>-3062.03729206763</v>
      </c>
      <c r="H79" s="70" t="n">
        <f aca="false">-MAX(Assumptions!$E$92,G72*Assumptions!$E$90)</f>
        <v>-3375.05186573183</v>
      </c>
      <c r="I79" s="70" t="n">
        <f aca="false">-MAX(Assumptions!$E$92,H72*Assumptions!$E$90)</f>
        <v>-3661.48350982542</v>
      </c>
      <c r="J79" s="70" t="n">
        <f aca="false">-MAX(Assumptions!$E$92,I72*Assumptions!$E$90)</f>
        <v>-4057.0106459472</v>
      </c>
      <c r="K79" s="70" t="n">
        <f aca="false">-MAX(Assumptions!$E$92,J72*Assumptions!$E$90)</f>
        <v>-4383.08875187573</v>
      </c>
      <c r="L79" s="70" t="n">
        <f aca="false">-MAX(Assumptions!$E$92,K72*Assumptions!$E$90)</f>
        <v>-4687.00052306252</v>
      </c>
      <c r="M79" s="70" t="n">
        <f aca="false">-MAX(Assumptions!$E$92,L72*Assumptions!$E$90)</f>
        <v>-4973.85809621545</v>
      </c>
      <c r="N79" s="70" t="n">
        <f aca="false">-MAX(Assumptions!$E$92,M72*Assumptions!$E$90)</f>
        <v>-5247.41768876041</v>
      </c>
      <c r="O79" s="70" t="n">
        <f aca="false">-MAX(Assumptions!$E$92,N72*Assumptions!$E$90)</f>
        <v>-5510.58075571302</v>
      </c>
      <c r="P79" s="70" t="n">
        <f aca="false">-MAX(Assumptions!$E$92,O72*Assumptions!$E$90)</f>
        <v>-5765.77407840064</v>
      </c>
      <c r="Q79" s="70" t="n">
        <f aca="false">-MAX(Assumptions!$E$92,P72*Assumptions!$E$90)</f>
        <v>-6015.06260290477</v>
      </c>
      <c r="R79" s="70" t="n">
        <f aca="false">-MAX(Assumptions!$E$92,Q72*Assumptions!$E$90)</f>
        <v>-6260.22690698332</v>
      </c>
      <c r="S79" s="70" t="n">
        <f aca="false">-MAX(Assumptions!$E$92,R72*Assumptions!$E$90)</f>
        <v>-6502.82437399902</v>
      </c>
      <c r="T79" s="70" t="n">
        <f aca="false">-MAX(Assumptions!$E$92,S72*Assumptions!$E$90)</f>
        <v>-6744.23953926335</v>
      </c>
      <c r="U79" s="70" t="n">
        <f aca="false">-MAX(Assumptions!$E$92,T72*Assumptions!$E$90)</f>
        <v>-6985.72602149343</v>
      </c>
      <c r="V79" s="70" t="n">
        <f aca="false">-MAX(Assumptions!$E$92,U72*Assumptions!$E$90)</f>
        <v>-7228.44172482763</v>
      </c>
      <c r="W79" s="70" t="n">
        <f aca="false">-MAX(Assumptions!$E$92,V72*Assumptions!$E$90)</f>
        <v>-7473.47864224767</v>
      </c>
      <c r="X79" s="70" t="n">
        <f aca="false">-MAX(Assumptions!$E$92,W72*Assumptions!$E$90)</f>
        <v>-7721.88834757442</v>
      </c>
      <c r="Y79" s="70" t="n">
        <f aca="false">-MAX(Assumptions!$E$92,X72*Assumptions!$E$90)</f>
        <v>-7974.70407415697</v>
      </c>
      <c r="Z79" s="70" t="n">
        <f aca="false">-MAX(Assumptions!$E$92,Y72*Assumptions!$E$90)</f>
        <v>-8232.96012636004</v>
      </c>
      <c r="AA79" s="70" t="n">
        <f aca="false">-MAX(Assumptions!$E$92,Z72*Assumptions!$E$90)</f>
        <v>-8497.70924638325</v>
      </c>
      <c r="AB79" s="70" t="n">
        <f aca="false">-MAX(Assumptions!$E$92,AA72*Assumptions!$E$90)</f>
        <v>-8770.03845830789</v>
      </c>
      <c r="AC79" s="70" t="n">
        <f aca="false">-MAX(Assumptions!$E$92,AB72*Assumptions!$E$90)</f>
        <v>-9043.32955079482</v>
      </c>
      <c r="AD79" s="70" t="n">
        <f aca="false">-MAX(Assumptions!$E$92,AC72*Assumptions!$E$90)</f>
        <v>-9316.07355649441</v>
      </c>
      <c r="AE79" s="70" t="n">
        <f aca="false">-MAX(Assumptions!$E$92,AD72*Assumptions!$E$90)</f>
        <v>-9591.3946662668</v>
      </c>
      <c r="AF79" s="70" t="n">
        <f aca="false">-MAX(Assumptions!$E$92,AE72*Assumptions!$E$90)</f>
        <v>-9870.68044959918</v>
      </c>
      <c r="AG79" s="70" t="n">
        <f aca="false">-MAX(Assumptions!$E$92,AF72*Assumptions!$E$90)</f>
        <v>-10155.3184986009</v>
      </c>
      <c r="AH79" s="70" t="n">
        <f aca="false">-MAX(Assumptions!$E$92,AG72*Assumptions!$E$90)</f>
        <v>-10446.7373240617</v>
      </c>
      <c r="AI79" s="70" t="n">
        <f aca="false">-MAX(Assumptions!$E$92,AH72*Assumptions!$E$90)</f>
        <v>-10746.4275430934</v>
      </c>
      <c r="AJ79" s="70" t="n">
        <f aca="false">-MAX(Assumptions!$E$92,AI72*Assumptions!$E$90)</f>
        <v>-11055.9542962632</v>
      </c>
      <c r="AK79" s="70" t="n">
        <f aca="false">-MAX(Assumptions!$E$92,AJ72*Assumptions!$E$90)</f>
        <v>-11376.9690462022</v>
      </c>
      <c r="AL79" s="70" t="n">
        <f aca="false">-MAX(Assumptions!$E$92,AK72*Assumptions!$E$90)</f>
        <v>-11711.2215886401</v>
      </c>
      <c r="AM79" s="70" t="n">
        <f aca="false">SUM(C79:AL79)</f>
        <v>-244706.562617559</v>
      </c>
    </row>
    <row r="80" customFormat="false" ht="15" hidden="false" customHeight="false" outlineLevel="0" collapsed="false">
      <c r="A80" s="10" t="s">
        <v>815</v>
      </c>
      <c r="B80" s="9" t="s">
        <v>97</v>
      </c>
      <c r="C80" s="70" t="n">
        <f aca="false">-IF(C$5&lt;=3,Assumptions!$E$93,Assumptions!$E$94)</f>
        <v>-15000</v>
      </c>
      <c r="D80" s="70" t="n">
        <f aca="false">-IF(D$5&lt;=3,Assumptions!$E$93,Assumptions!$E$94)</f>
        <v>-15000</v>
      </c>
      <c r="E80" s="70" t="n">
        <f aca="false">-IF(E$5&lt;=3,Assumptions!$E$93,Assumptions!$E$94)</f>
        <v>-15000</v>
      </c>
      <c r="F80" s="70" t="n">
        <f aca="false">-IF(F$5&lt;=3,Assumptions!$E$93,Assumptions!$E$94)</f>
        <v>-4500</v>
      </c>
      <c r="G80" s="70" t="n">
        <f aca="false">-IF(G$5&lt;=3,Assumptions!$E$93,Assumptions!$E$94)</f>
        <v>-4500</v>
      </c>
      <c r="H80" s="70" t="n">
        <f aca="false">-IF(H$5&lt;=3,Assumptions!$E$93,Assumptions!$E$94)</f>
        <v>-4500</v>
      </c>
      <c r="I80" s="70" t="n">
        <f aca="false">-IF(I$5&lt;=3,Assumptions!$E$93,Assumptions!$E$94)</f>
        <v>-4500</v>
      </c>
      <c r="J80" s="70" t="n">
        <f aca="false">-IF(J$5&lt;=3,Assumptions!$E$93,Assumptions!$E$94)</f>
        <v>-4500</v>
      </c>
      <c r="K80" s="70" t="n">
        <f aca="false">-IF(K$5&lt;=3,Assumptions!$E$93,Assumptions!$E$94)</f>
        <v>-4500</v>
      </c>
      <c r="L80" s="70" t="n">
        <f aca="false">-IF(L$5&lt;=3,Assumptions!$E$93,Assumptions!$E$94)</f>
        <v>-4500</v>
      </c>
      <c r="M80" s="70" t="n">
        <f aca="false">-IF(M$5&lt;=3,Assumptions!$E$93,Assumptions!$E$94)</f>
        <v>-4500</v>
      </c>
      <c r="N80" s="70" t="n">
        <f aca="false">-IF(N$5&lt;=3,Assumptions!$E$93,Assumptions!$E$94)</f>
        <v>-4500</v>
      </c>
      <c r="O80" s="70" t="n">
        <f aca="false">-IF(O$5&lt;=3,Assumptions!$E$93,Assumptions!$E$94)</f>
        <v>-4500</v>
      </c>
      <c r="P80" s="70" t="n">
        <f aca="false">-IF(P$5&lt;=3,Assumptions!$E$93,Assumptions!$E$94)</f>
        <v>-4500</v>
      </c>
      <c r="Q80" s="70" t="n">
        <f aca="false">-IF(Q$5&lt;=3,Assumptions!$E$93,Assumptions!$E$94)</f>
        <v>-4500</v>
      </c>
      <c r="R80" s="70" t="n">
        <f aca="false">-IF(R$5&lt;=3,Assumptions!$E$93,Assumptions!$E$94)</f>
        <v>-4500</v>
      </c>
      <c r="S80" s="70" t="n">
        <f aca="false">-IF(S$5&lt;=3,Assumptions!$E$93,Assumptions!$E$94)</f>
        <v>-4500</v>
      </c>
      <c r="T80" s="70" t="n">
        <f aca="false">-IF(T$5&lt;=3,Assumptions!$E$93,Assumptions!$E$94)</f>
        <v>-4500</v>
      </c>
      <c r="U80" s="70" t="n">
        <f aca="false">-IF(U$5&lt;=3,Assumptions!$E$93,Assumptions!$E$94)</f>
        <v>-4500</v>
      </c>
      <c r="V80" s="70" t="n">
        <f aca="false">-IF(V$5&lt;=3,Assumptions!$E$93,Assumptions!$E$94)</f>
        <v>-4500</v>
      </c>
      <c r="W80" s="70" t="n">
        <f aca="false">-IF(W$5&lt;=3,Assumptions!$E$93,Assumptions!$E$94)</f>
        <v>-4500</v>
      </c>
      <c r="X80" s="70" t="n">
        <f aca="false">-IF(X$5&lt;=3,Assumptions!$E$93,Assumptions!$E$94)</f>
        <v>-4500</v>
      </c>
      <c r="Y80" s="70" t="n">
        <f aca="false">-IF(Y$5&lt;=3,Assumptions!$E$93,Assumptions!$E$94)</f>
        <v>-4500</v>
      </c>
      <c r="Z80" s="70" t="n">
        <f aca="false">-IF(Z$5&lt;=3,Assumptions!$E$93,Assumptions!$E$94)</f>
        <v>-4500</v>
      </c>
      <c r="AA80" s="70" t="n">
        <f aca="false">-IF(AA$5&lt;=3,Assumptions!$E$93,Assumptions!$E$94)</f>
        <v>-4500</v>
      </c>
      <c r="AB80" s="70" t="n">
        <f aca="false">-IF(AB$5&lt;=3,Assumptions!$E$93,Assumptions!$E$94)</f>
        <v>-4500</v>
      </c>
      <c r="AC80" s="70" t="n">
        <f aca="false">-IF(AC$5&lt;=3,Assumptions!$E$93,Assumptions!$E$94)</f>
        <v>-4500</v>
      </c>
      <c r="AD80" s="70" t="n">
        <f aca="false">-IF(AD$5&lt;=3,Assumptions!$E$93,Assumptions!$E$94)</f>
        <v>-4500</v>
      </c>
      <c r="AE80" s="70" t="n">
        <f aca="false">-IF(AE$5&lt;=3,Assumptions!$E$93,Assumptions!$E$94)</f>
        <v>-4500</v>
      </c>
      <c r="AF80" s="70" t="n">
        <f aca="false">-IF(AF$5&lt;=3,Assumptions!$E$93,Assumptions!$E$94)</f>
        <v>-4500</v>
      </c>
      <c r="AG80" s="70" t="n">
        <f aca="false">-IF(AG$5&lt;=3,Assumptions!$E$93,Assumptions!$E$94)</f>
        <v>-4500</v>
      </c>
      <c r="AH80" s="70" t="n">
        <f aca="false">-IF(AH$5&lt;=3,Assumptions!$E$93,Assumptions!$E$94)</f>
        <v>-4500</v>
      </c>
      <c r="AI80" s="70" t="n">
        <f aca="false">-IF(AI$5&lt;=3,Assumptions!$E$93,Assumptions!$E$94)</f>
        <v>-4500</v>
      </c>
      <c r="AJ80" s="70" t="n">
        <f aca="false">-IF(AJ$5&lt;=3,Assumptions!$E$93,Assumptions!$E$94)</f>
        <v>-4500</v>
      </c>
      <c r="AK80" s="70" t="n">
        <f aca="false">-IF(AK$5&lt;=3,Assumptions!$E$93,Assumptions!$E$94)</f>
        <v>-4500</v>
      </c>
      <c r="AL80" s="70" t="n">
        <f aca="false">-IF(AL$5&lt;=3,Assumptions!$E$93,Assumptions!$E$94)</f>
        <v>-4500</v>
      </c>
      <c r="AM80" s="70" t="n">
        <f aca="false">SUM(C80:AL80)</f>
        <v>-193500</v>
      </c>
    </row>
    <row r="81" customFormat="false" ht="15" hidden="false" customHeight="false" outlineLevel="0" collapsed="false">
      <c r="A81" s="10" t="s">
        <v>816</v>
      </c>
      <c r="B81" s="9" t="s">
        <v>97</v>
      </c>
      <c r="C81" s="70" t="n">
        <f aca="false">-C8*Assumptions!$E$95</f>
        <v>-0</v>
      </c>
      <c r="D81" s="70" t="n">
        <f aca="false">-D8*Assumptions!$E$95</f>
        <v>-2500</v>
      </c>
      <c r="E81" s="70" t="n">
        <f aca="false">-E8*Assumptions!$E$95</f>
        <v>-2500</v>
      </c>
      <c r="F81" s="70" t="n">
        <f aca="false">-F8*Assumptions!$E$95</f>
        <v>-2500</v>
      </c>
      <c r="G81" s="70" t="n">
        <f aca="false">-G8*Assumptions!$E$95</f>
        <v>-2500</v>
      </c>
      <c r="H81" s="70" t="n">
        <f aca="false">-H8*Assumptions!$E$95</f>
        <v>-2500</v>
      </c>
      <c r="I81" s="70" t="n">
        <f aca="false">-I8*Assumptions!$E$95</f>
        <v>-2500</v>
      </c>
      <c r="J81" s="70" t="n">
        <f aca="false">-J8*Assumptions!$E$95</f>
        <v>-2500</v>
      </c>
      <c r="K81" s="70" t="n">
        <f aca="false">-K8*Assumptions!$E$95</f>
        <v>-2500</v>
      </c>
      <c r="L81" s="70" t="n">
        <f aca="false">-L8*Assumptions!$E$95</f>
        <v>-2500</v>
      </c>
      <c r="M81" s="70" t="n">
        <f aca="false">-M8*Assumptions!$E$95</f>
        <v>-2500</v>
      </c>
      <c r="N81" s="70" t="n">
        <f aca="false">-N8*Assumptions!$E$95</f>
        <v>-2500</v>
      </c>
      <c r="O81" s="70" t="n">
        <f aca="false">-O8*Assumptions!$E$95</f>
        <v>-2500</v>
      </c>
      <c r="P81" s="70" t="n">
        <f aca="false">-P8*Assumptions!$E$95</f>
        <v>-2500</v>
      </c>
      <c r="Q81" s="70" t="n">
        <f aca="false">-Q8*Assumptions!$E$95</f>
        <v>-2500</v>
      </c>
      <c r="R81" s="70" t="n">
        <f aca="false">-R8*Assumptions!$E$95</f>
        <v>-2500</v>
      </c>
      <c r="S81" s="70" t="n">
        <f aca="false">-S8*Assumptions!$E$95</f>
        <v>-2500</v>
      </c>
      <c r="T81" s="70" t="n">
        <f aca="false">-T8*Assumptions!$E$95</f>
        <v>-2500</v>
      </c>
      <c r="U81" s="70" t="n">
        <f aca="false">-U8*Assumptions!$E$95</f>
        <v>-2500</v>
      </c>
      <c r="V81" s="70" t="n">
        <f aca="false">-V8*Assumptions!$E$95</f>
        <v>-2500</v>
      </c>
      <c r="W81" s="70" t="n">
        <f aca="false">-W8*Assumptions!$E$95</f>
        <v>-2500</v>
      </c>
      <c r="X81" s="70" t="n">
        <f aca="false">-X8*Assumptions!$E$95</f>
        <v>-2500</v>
      </c>
      <c r="Y81" s="70" t="n">
        <f aca="false">-Y8*Assumptions!$E$95</f>
        <v>-2500</v>
      </c>
      <c r="Z81" s="70" t="n">
        <f aca="false">-Z8*Assumptions!$E$95</f>
        <v>-2500</v>
      </c>
      <c r="AA81" s="70" t="n">
        <f aca="false">-AA8*Assumptions!$E$95</f>
        <v>-2500</v>
      </c>
      <c r="AB81" s="70" t="n">
        <f aca="false">-AB8*Assumptions!$E$95</f>
        <v>-2500</v>
      </c>
      <c r="AC81" s="70" t="n">
        <f aca="false">-AC8*Assumptions!$E$95</f>
        <v>-2500</v>
      </c>
      <c r="AD81" s="70" t="n">
        <f aca="false">-AD8*Assumptions!$E$95</f>
        <v>-2500</v>
      </c>
      <c r="AE81" s="70" t="n">
        <f aca="false">-AE8*Assumptions!$E$95</f>
        <v>-2500</v>
      </c>
      <c r="AF81" s="70" t="n">
        <f aca="false">-AF8*Assumptions!$E$95</f>
        <v>-2500</v>
      </c>
      <c r="AG81" s="70" t="n">
        <f aca="false">-AG8*Assumptions!$E$95</f>
        <v>-2500</v>
      </c>
      <c r="AH81" s="70" t="n">
        <f aca="false">-AH8*Assumptions!$E$95</f>
        <v>-2500</v>
      </c>
      <c r="AI81" s="70" t="n">
        <f aca="false">-AI8*Assumptions!$E$95</f>
        <v>-2500</v>
      </c>
      <c r="AJ81" s="70" t="n">
        <f aca="false">-AJ8*Assumptions!$E$95</f>
        <v>-2500</v>
      </c>
      <c r="AK81" s="70" t="n">
        <f aca="false">-AK8*Assumptions!$E$95</f>
        <v>-2500</v>
      </c>
      <c r="AL81" s="70" t="n">
        <f aca="false">-AL8*Assumptions!$E$95</f>
        <v>-2500</v>
      </c>
      <c r="AM81" s="70" t="n">
        <f aca="false">SUM(C81:AL81)</f>
        <v>-87500</v>
      </c>
    </row>
    <row r="82" customFormat="false" ht="15" hidden="false" customHeight="false" outlineLevel="0" collapsed="false">
      <c r="A82" s="10" t="s">
        <v>817</v>
      </c>
      <c r="B82" s="9" t="s">
        <v>97</v>
      </c>
      <c r="C82" s="70" t="n">
        <f aca="false">-Assumptions!$E$96</f>
        <v>-6000</v>
      </c>
      <c r="D82" s="70" t="n">
        <f aca="false">-MAX(Assumptions!$E$96,C72*Assumptions!$E$89)</f>
        <v>-6000</v>
      </c>
      <c r="E82" s="70" t="n">
        <f aca="false">-MAX(Assumptions!$E$96,D72*Assumptions!$E$89)</f>
        <v>-9495.37473394891</v>
      </c>
      <c r="F82" s="70" t="n">
        <f aca="false">-MAX(Assumptions!$E$96,E72*Assumptions!$E$89)</f>
        <v>-8822.91534555442</v>
      </c>
      <c r="G82" s="70" t="n">
        <f aca="false">-MAX(Assumptions!$E$96,F72*Assumptions!$E$89)</f>
        <v>-9568.86653771134</v>
      </c>
      <c r="H82" s="70" t="n">
        <f aca="false">-MAX(Assumptions!$E$96,G72*Assumptions!$E$89)</f>
        <v>-10547.037080412</v>
      </c>
      <c r="I82" s="70" t="n">
        <f aca="false">-MAX(Assumptions!$E$96,H72*Assumptions!$E$89)</f>
        <v>-11442.1359682045</v>
      </c>
      <c r="J82" s="70" t="n">
        <f aca="false">-MAX(Assumptions!$E$96,I72*Assumptions!$E$89)</f>
        <v>-12678.158268585</v>
      </c>
      <c r="K82" s="70" t="n">
        <f aca="false">-MAX(Assumptions!$E$96,J72*Assumptions!$E$89)</f>
        <v>-13697.1523496117</v>
      </c>
      <c r="L82" s="70" t="n">
        <f aca="false">-MAX(Assumptions!$E$96,K72*Assumptions!$E$89)</f>
        <v>-14646.8766345704</v>
      </c>
      <c r="M82" s="70" t="n">
        <f aca="false">-MAX(Assumptions!$E$96,L72*Assumptions!$E$89)</f>
        <v>-15543.3065506733</v>
      </c>
      <c r="N82" s="70" t="n">
        <f aca="false">-MAX(Assumptions!$E$96,M72*Assumptions!$E$89)</f>
        <v>-16398.1802773763</v>
      </c>
      <c r="O82" s="70" t="n">
        <f aca="false">-MAX(Assumptions!$E$96,N72*Assumptions!$E$89)</f>
        <v>-17220.5648616032</v>
      </c>
      <c r="P82" s="70" t="n">
        <f aca="false">-MAX(Assumptions!$E$96,O72*Assumptions!$E$89)</f>
        <v>-18018.043995002</v>
      </c>
      <c r="Q82" s="70" t="n">
        <f aca="false">-MAX(Assumptions!$E$96,P72*Assumptions!$E$89)</f>
        <v>-18797.0706340774</v>
      </c>
      <c r="R82" s="70" t="n">
        <f aca="false">-MAX(Assumptions!$E$96,Q72*Assumptions!$E$89)</f>
        <v>-19563.2090843229</v>
      </c>
      <c r="S82" s="70" t="n">
        <f aca="false">-MAX(Assumptions!$E$96,R72*Assumptions!$E$89)</f>
        <v>-20321.3261687469</v>
      </c>
      <c r="T82" s="70" t="n">
        <f aca="false">-MAX(Assumptions!$E$96,S72*Assumptions!$E$89)</f>
        <v>-21075.748560198</v>
      </c>
      <c r="U82" s="70" t="n">
        <f aca="false">-MAX(Assumptions!$E$96,T72*Assumptions!$E$89)</f>
        <v>-21830.393817167</v>
      </c>
      <c r="V82" s="70" t="n">
        <f aca="false">-MAX(Assumptions!$E$96,U72*Assumptions!$E$89)</f>
        <v>-22588.8803900863</v>
      </c>
      <c r="W82" s="70" t="n">
        <f aca="false">-MAX(Assumptions!$E$96,V72*Assumptions!$E$89)</f>
        <v>-23354.620757024</v>
      </c>
      <c r="X82" s="70" t="n">
        <f aca="false">-MAX(Assumptions!$E$96,W72*Assumptions!$E$89)</f>
        <v>-24130.9010861701</v>
      </c>
      <c r="Y82" s="70" t="n">
        <f aca="false">-MAX(Assumptions!$E$96,X72*Assumptions!$E$89)</f>
        <v>-24920.9502317405</v>
      </c>
      <c r="Z82" s="70" t="n">
        <f aca="false">-MAX(Assumptions!$E$96,Y72*Assumptions!$E$89)</f>
        <v>-25728.0003948751</v>
      </c>
      <c r="AA82" s="70" t="n">
        <f aca="false">-MAX(Assumptions!$E$96,Z72*Assumptions!$E$89)</f>
        <v>-26555.3413949476</v>
      </c>
      <c r="AB82" s="70" t="n">
        <f aca="false">-MAX(Assumptions!$E$96,AA72*Assumptions!$E$89)</f>
        <v>-27406.3701822122</v>
      </c>
      <c r="AC82" s="70" t="n">
        <f aca="false">-MAX(Assumptions!$E$96,AB72*Assumptions!$E$89)</f>
        <v>-28260.4048462338</v>
      </c>
      <c r="AD82" s="70" t="n">
        <f aca="false">-MAX(Assumptions!$E$96,AC72*Assumptions!$E$89)</f>
        <v>-29112.729864045</v>
      </c>
      <c r="AE82" s="70" t="n">
        <f aca="false">-MAX(Assumptions!$E$96,AD72*Assumptions!$E$89)</f>
        <v>-29973.1083320837</v>
      </c>
      <c r="AF82" s="70" t="n">
        <f aca="false">-MAX(Assumptions!$E$96,AE72*Assumptions!$E$89)</f>
        <v>-30845.8764049975</v>
      </c>
      <c r="AG82" s="70" t="n">
        <f aca="false">-MAX(Assumptions!$E$96,AF72*Assumptions!$E$89)</f>
        <v>-31735.3703081279</v>
      </c>
      <c r="AH82" s="70" t="n">
        <f aca="false">-MAX(Assumptions!$E$96,AG72*Assumptions!$E$89)</f>
        <v>-32646.0541376929</v>
      </c>
      <c r="AI82" s="70" t="n">
        <f aca="false">-MAX(Assumptions!$E$96,AH72*Assumptions!$E$89)</f>
        <v>-33582.5860721668</v>
      </c>
      <c r="AJ82" s="70" t="n">
        <f aca="false">-MAX(Assumptions!$E$96,AI72*Assumptions!$E$89)</f>
        <v>-34549.8571758226</v>
      </c>
      <c r="AK82" s="70" t="n">
        <f aca="false">-MAX(Assumptions!$E$96,AJ72*Assumptions!$E$89)</f>
        <v>-35553.0282693818</v>
      </c>
      <c r="AL82" s="70" t="n">
        <f aca="false">-MAX(Assumptions!$E$96,AK72*Assumptions!$E$89)</f>
        <v>-36597.5674645003</v>
      </c>
      <c r="AM82" s="70" t="n">
        <f aca="false">SUM(C82:AL82)</f>
        <v>-769208.008179873</v>
      </c>
    </row>
    <row r="83" customFormat="false" ht="15" hidden="false" customHeight="false" outlineLevel="0" collapsed="false">
      <c r="A83" s="10" t="s">
        <v>818</v>
      </c>
      <c r="B83" s="9" t="s">
        <v>97</v>
      </c>
      <c r="C83" s="70" t="n">
        <f aca="false">-C26</f>
        <v>-8000</v>
      </c>
      <c r="D83" s="70" t="n">
        <f aca="false">-D26</f>
        <v>-30000</v>
      </c>
      <c r="E83" s="70" t="n">
        <f aca="false">-E26</f>
        <v>-91155.5974459095</v>
      </c>
      <c r="F83" s="70" t="n">
        <f aca="false">-F26</f>
        <v>-84699.9873173224</v>
      </c>
      <c r="G83" s="70" t="n">
        <f aca="false">-G26</f>
        <v>-91861.1187620288</v>
      </c>
      <c r="H83" s="70" t="n">
        <f aca="false">-H26</f>
        <v>-101251.555971955</v>
      </c>
      <c r="I83" s="70" t="n">
        <f aca="false">-I26</f>
        <v>-109844.505294763</v>
      </c>
      <c r="J83" s="70" t="n">
        <f aca="false">-J26</f>
        <v>-121710.319378416</v>
      </c>
      <c r="K83" s="70" t="n">
        <f aca="false">-K26</f>
        <v>-131492.662556272</v>
      </c>
      <c r="L83" s="70" t="n">
        <f aca="false">-L26</f>
        <v>-140610.015691876</v>
      </c>
      <c r="M83" s="70" t="n">
        <f aca="false">-M26</f>
        <v>-149215.742886464</v>
      </c>
      <c r="N83" s="70" t="n">
        <f aca="false">-N26</f>
        <v>-157422.530662812</v>
      </c>
      <c r="O83" s="70" t="n">
        <f aca="false">-O26</f>
        <v>-165317.422671391</v>
      </c>
      <c r="P83" s="70" t="n">
        <f aca="false">-P26</f>
        <v>-172973.222352019</v>
      </c>
      <c r="Q83" s="70" t="n">
        <f aca="false">-Q26</f>
        <v>-180451.878087143</v>
      </c>
      <c r="R83" s="70" t="n">
        <f aca="false">-R26</f>
        <v>-187806.8072095</v>
      </c>
      <c r="S83" s="70" t="n">
        <f aca="false">-S26</f>
        <v>-195084.73121997</v>
      </c>
      <c r="T83" s="70" t="n">
        <f aca="false">-T26</f>
        <v>-202327.1861779</v>
      </c>
      <c r="U83" s="70" t="n">
        <f aca="false">-U26</f>
        <v>-209571.780644803</v>
      </c>
      <c r="V83" s="70" t="n">
        <f aca="false">-V26</f>
        <v>-216853.251744829</v>
      </c>
      <c r="W83" s="70" t="n">
        <f aca="false">-W26</f>
        <v>-224204.35926743</v>
      </c>
      <c r="X83" s="70" t="n">
        <f aca="false">-X26</f>
        <v>-231656.650427232</v>
      </c>
      <c r="Y83" s="70" t="n">
        <f aca="false">-Y26</f>
        <v>-239241.122224709</v>
      </c>
      <c r="Z83" s="70" t="n">
        <f aca="false">-Z26</f>
        <v>-246988.803790801</v>
      </c>
      <c r="AA83" s="70" t="n">
        <f aca="false">-AA26</f>
        <v>-254931.277391497</v>
      </c>
      <c r="AB83" s="70" t="n">
        <f aca="false">-AB26</f>
        <v>-263101.153749237</v>
      </c>
      <c r="AC83" s="70" t="n">
        <f aca="false">-AC26</f>
        <v>-271299.886523845</v>
      </c>
      <c r="AD83" s="70" t="n">
        <f aca="false">-AD26</f>
        <v>-279482.206694832</v>
      </c>
      <c r="AE83" s="70" t="n">
        <f aca="false">-AE26</f>
        <v>-287741.839988004</v>
      </c>
      <c r="AF83" s="70" t="n">
        <f aca="false">-AF26</f>
        <v>-296120.413487975</v>
      </c>
      <c r="AG83" s="70" t="n">
        <f aca="false">-AG26</f>
        <v>-304659.554958027</v>
      </c>
      <c r="AH83" s="70" t="n">
        <f aca="false">-AH26</f>
        <v>-313402.119721852</v>
      </c>
      <c r="AI83" s="70" t="n">
        <f aca="false">-AI26</f>
        <v>-322392.826292801</v>
      </c>
      <c r="AJ83" s="70" t="n">
        <f aca="false">-AJ26</f>
        <v>-331678.628887897</v>
      </c>
      <c r="AK83" s="70" t="n">
        <f aca="false">-AK26</f>
        <v>-341309.071386065</v>
      </c>
      <c r="AL83" s="70" t="n">
        <f aca="false">-AL26</f>
        <v>-351336.647659203</v>
      </c>
      <c r="AM83" s="70" t="n">
        <f aca="false">SUM(C83:AL83)</f>
        <v>-7307196.87852678</v>
      </c>
    </row>
    <row r="84" customFormat="false" ht="15" hidden="false" customHeight="false" outlineLevel="0" collapsed="false">
      <c r="A84" s="10" t="s">
        <v>819</v>
      </c>
      <c r="B84" s="9" t="s">
        <v>97</v>
      </c>
      <c r="C84" s="70" t="n">
        <f aca="false">-IF(C$5=Assumptions!$E$6,Assumptions!$E$23,0)</f>
        <v>-0</v>
      </c>
      <c r="D84" s="70" t="n">
        <f aca="false">-IF(D$5=Assumptions!$E$6,Assumptions!$E$23,0)</f>
        <v>-60000</v>
      </c>
      <c r="E84" s="70" t="n">
        <f aca="false">-IF(E$5=Assumptions!$E$6,Assumptions!$E$23,0)</f>
        <v>-0</v>
      </c>
      <c r="F84" s="70" t="n">
        <f aca="false">-IF(F$5=Assumptions!$E$6,Assumptions!$E$23,0)</f>
        <v>-0</v>
      </c>
      <c r="G84" s="70" t="n">
        <f aca="false">-IF(G$5=Assumptions!$E$6,Assumptions!$E$23,0)</f>
        <v>-0</v>
      </c>
      <c r="H84" s="70" t="n">
        <f aca="false">-IF(H$5=Assumptions!$E$6,Assumptions!$E$23,0)</f>
        <v>-0</v>
      </c>
      <c r="I84" s="70" t="n">
        <f aca="false">-IF(I$5=Assumptions!$E$6,Assumptions!$E$23,0)</f>
        <v>-0</v>
      </c>
      <c r="J84" s="70" t="n">
        <f aca="false">-IF(J$5=Assumptions!$E$6,Assumptions!$E$23,0)</f>
        <v>-0</v>
      </c>
      <c r="K84" s="70" t="n">
        <f aca="false">-IF(K$5=Assumptions!$E$6,Assumptions!$E$23,0)</f>
        <v>-0</v>
      </c>
      <c r="L84" s="70" t="n">
        <f aca="false">-IF(L$5=Assumptions!$E$6,Assumptions!$E$23,0)</f>
        <v>-0</v>
      </c>
      <c r="M84" s="70" t="n">
        <f aca="false">-IF(M$5=Assumptions!$E$6,Assumptions!$E$23,0)</f>
        <v>-0</v>
      </c>
      <c r="N84" s="70" t="n">
        <f aca="false">-IF(N$5=Assumptions!$E$6,Assumptions!$E$23,0)</f>
        <v>-0</v>
      </c>
      <c r="O84" s="70" t="n">
        <f aca="false">-IF(O$5=Assumptions!$E$6,Assumptions!$E$23,0)</f>
        <v>-0</v>
      </c>
      <c r="P84" s="70" t="n">
        <f aca="false">-IF(P$5=Assumptions!$E$6,Assumptions!$E$23,0)</f>
        <v>-0</v>
      </c>
      <c r="Q84" s="70" t="n">
        <f aca="false">-IF(Q$5=Assumptions!$E$6,Assumptions!$E$23,0)</f>
        <v>-0</v>
      </c>
      <c r="R84" s="70" t="n">
        <f aca="false">-IF(R$5=Assumptions!$E$6,Assumptions!$E$23,0)</f>
        <v>-0</v>
      </c>
      <c r="S84" s="70" t="n">
        <f aca="false">-IF(S$5=Assumptions!$E$6,Assumptions!$E$23,0)</f>
        <v>-0</v>
      </c>
      <c r="T84" s="70" t="n">
        <f aca="false">-IF(T$5=Assumptions!$E$6,Assumptions!$E$23,0)</f>
        <v>-0</v>
      </c>
      <c r="U84" s="70" t="n">
        <f aca="false">-IF(U$5=Assumptions!$E$6,Assumptions!$E$23,0)</f>
        <v>-0</v>
      </c>
      <c r="V84" s="70" t="n">
        <f aca="false">-IF(V$5=Assumptions!$E$6,Assumptions!$E$23,0)</f>
        <v>-0</v>
      </c>
      <c r="W84" s="70" t="n">
        <f aca="false">-IF(W$5=Assumptions!$E$6,Assumptions!$E$23,0)</f>
        <v>-0</v>
      </c>
      <c r="X84" s="70" t="n">
        <f aca="false">-IF(X$5=Assumptions!$E$6,Assumptions!$E$23,0)</f>
        <v>-0</v>
      </c>
      <c r="Y84" s="70" t="n">
        <f aca="false">-IF(Y$5=Assumptions!$E$6,Assumptions!$E$23,0)</f>
        <v>-0</v>
      </c>
      <c r="Z84" s="70" t="n">
        <f aca="false">-IF(Z$5=Assumptions!$E$6,Assumptions!$E$23,0)</f>
        <v>-0</v>
      </c>
      <c r="AA84" s="70" t="n">
        <f aca="false">-IF(AA$5=Assumptions!$E$6,Assumptions!$E$23,0)</f>
        <v>-0</v>
      </c>
      <c r="AB84" s="70" t="n">
        <f aca="false">-IF(AB$5=Assumptions!$E$6,Assumptions!$E$23,0)</f>
        <v>-0</v>
      </c>
      <c r="AC84" s="70" t="n">
        <f aca="false">-IF(AC$5=Assumptions!$E$6,Assumptions!$E$23,0)</f>
        <v>-0</v>
      </c>
      <c r="AD84" s="70" t="n">
        <f aca="false">-IF(AD$5=Assumptions!$E$6,Assumptions!$E$23,0)</f>
        <v>-0</v>
      </c>
      <c r="AE84" s="70" t="n">
        <f aca="false">-IF(AE$5=Assumptions!$E$6,Assumptions!$E$23,0)</f>
        <v>-0</v>
      </c>
      <c r="AF84" s="70" t="n">
        <f aca="false">-IF(AF$5=Assumptions!$E$6,Assumptions!$E$23,0)</f>
        <v>-0</v>
      </c>
      <c r="AG84" s="70" t="n">
        <f aca="false">-IF(AG$5=Assumptions!$E$6,Assumptions!$E$23,0)</f>
        <v>-0</v>
      </c>
      <c r="AH84" s="70" t="n">
        <f aca="false">-IF(AH$5=Assumptions!$E$6,Assumptions!$E$23,0)</f>
        <v>-0</v>
      </c>
      <c r="AI84" s="70" t="n">
        <f aca="false">-IF(AI$5=Assumptions!$E$6,Assumptions!$E$23,0)</f>
        <v>-0</v>
      </c>
      <c r="AJ84" s="70" t="n">
        <f aca="false">-IF(AJ$5=Assumptions!$E$6,Assumptions!$E$23,0)</f>
        <v>-0</v>
      </c>
      <c r="AK84" s="70" t="n">
        <f aca="false">-IF(AK$5=Assumptions!$E$6,Assumptions!$E$23,0)</f>
        <v>-0</v>
      </c>
      <c r="AL84" s="70" t="n">
        <f aca="false">-IF(AL$5=Assumptions!$E$6,Assumptions!$E$23,0)</f>
        <v>-0</v>
      </c>
      <c r="AM84" s="70" t="n">
        <f aca="false">SUM(C84:AL84)</f>
        <v>-60000</v>
      </c>
    </row>
    <row r="85" customFormat="false" ht="15" hidden="false" customHeight="false" outlineLevel="0" collapsed="false">
      <c r="A85" s="10" t="s">
        <v>820</v>
      </c>
      <c r="B85" s="9" t="s">
        <v>97</v>
      </c>
      <c r="C85" s="70" t="n">
        <f aca="false">-C8*Assumptions!$E$98</f>
        <v>-0</v>
      </c>
      <c r="D85" s="70" t="n">
        <f aca="false">-D8*Assumptions!$E$98</f>
        <v>-15000</v>
      </c>
      <c r="E85" s="70" t="n">
        <f aca="false">-E8*Assumptions!$E$98</f>
        <v>-15000</v>
      </c>
      <c r="F85" s="70" t="n">
        <f aca="false">-F8*Assumptions!$E$98</f>
        <v>-15000</v>
      </c>
      <c r="G85" s="70" t="n">
        <f aca="false">-G8*Assumptions!$E$98</f>
        <v>-15000</v>
      </c>
      <c r="H85" s="70" t="n">
        <f aca="false">-H8*Assumptions!$E$98</f>
        <v>-15000</v>
      </c>
      <c r="I85" s="70" t="n">
        <f aca="false">-I8*Assumptions!$E$98</f>
        <v>-15000</v>
      </c>
      <c r="J85" s="70" t="n">
        <f aca="false">-J8*Assumptions!$E$98</f>
        <v>-15000</v>
      </c>
      <c r="K85" s="70" t="n">
        <f aca="false">-K8*Assumptions!$E$98</f>
        <v>-15000</v>
      </c>
      <c r="L85" s="70" t="n">
        <f aca="false">-L8*Assumptions!$E$98</f>
        <v>-15000</v>
      </c>
      <c r="M85" s="70" t="n">
        <f aca="false">-M8*Assumptions!$E$98</f>
        <v>-15000</v>
      </c>
      <c r="N85" s="70" t="n">
        <f aca="false">-N8*Assumptions!$E$98</f>
        <v>-15000</v>
      </c>
      <c r="O85" s="70" t="n">
        <f aca="false">-O8*Assumptions!$E$98</f>
        <v>-15000</v>
      </c>
      <c r="P85" s="70" t="n">
        <f aca="false">-P8*Assumptions!$E$98</f>
        <v>-15000</v>
      </c>
      <c r="Q85" s="70" t="n">
        <f aca="false">-Q8*Assumptions!$E$98</f>
        <v>-15000</v>
      </c>
      <c r="R85" s="70" t="n">
        <f aca="false">-R8*Assumptions!$E$98</f>
        <v>-15000</v>
      </c>
      <c r="S85" s="70" t="n">
        <f aca="false">-S8*Assumptions!$E$98</f>
        <v>-15000</v>
      </c>
      <c r="T85" s="70" t="n">
        <f aca="false">-T8*Assumptions!$E$98</f>
        <v>-15000</v>
      </c>
      <c r="U85" s="70" t="n">
        <f aca="false">-U8*Assumptions!$E$98</f>
        <v>-15000</v>
      </c>
      <c r="V85" s="70" t="n">
        <f aca="false">-V8*Assumptions!$E$98</f>
        <v>-15000</v>
      </c>
      <c r="W85" s="70" t="n">
        <f aca="false">-W8*Assumptions!$E$98</f>
        <v>-15000</v>
      </c>
      <c r="X85" s="70" t="n">
        <f aca="false">-X8*Assumptions!$E$98</f>
        <v>-15000</v>
      </c>
      <c r="Y85" s="70" t="n">
        <f aca="false">-Y8*Assumptions!$E$98</f>
        <v>-15000</v>
      </c>
      <c r="Z85" s="70" t="n">
        <f aca="false">-Z8*Assumptions!$E$98</f>
        <v>-15000</v>
      </c>
      <c r="AA85" s="70" t="n">
        <f aca="false">-AA8*Assumptions!$E$98</f>
        <v>-15000</v>
      </c>
      <c r="AB85" s="70" t="n">
        <f aca="false">-AB8*Assumptions!$E$98</f>
        <v>-15000</v>
      </c>
      <c r="AC85" s="70" t="n">
        <f aca="false">-AC8*Assumptions!$E$98</f>
        <v>-15000</v>
      </c>
      <c r="AD85" s="70" t="n">
        <f aca="false">-AD8*Assumptions!$E$98</f>
        <v>-15000</v>
      </c>
      <c r="AE85" s="70" t="n">
        <f aca="false">-AE8*Assumptions!$E$98</f>
        <v>-15000</v>
      </c>
      <c r="AF85" s="70" t="n">
        <f aca="false">-AF8*Assumptions!$E$98</f>
        <v>-15000</v>
      </c>
      <c r="AG85" s="70" t="n">
        <f aca="false">-AG8*Assumptions!$E$98</f>
        <v>-15000</v>
      </c>
      <c r="AH85" s="70" t="n">
        <f aca="false">-AH8*Assumptions!$E$98</f>
        <v>-15000</v>
      </c>
      <c r="AI85" s="70" t="n">
        <f aca="false">-AI8*Assumptions!$E$98</f>
        <v>-15000</v>
      </c>
      <c r="AJ85" s="70" t="n">
        <f aca="false">-AJ8*Assumptions!$E$98</f>
        <v>-15000</v>
      </c>
      <c r="AK85" s="70" t="n">
        <f aca="false">-AK8*Assumptions!$E$98</f>
        <v>-15000</v>
      </c>
      <c r="AL85" s="70" t="n">
        <f aca="false">-AL8*Assumptions!$E$98</f>
        <v>-15000</v>
      </c>
      <c r="AM85" s="70" t="n">
        <f aca="false">SUM(C85:AL85)</f>
        <v>-525000</v>
      </c>
    </row>
    <row r="86" customFormat="false" ht="15" hidden="false" customHeight="false" outlineLevel="0" collapsed="false">
      <c r="A86" s="10" t="s">
        <v>362</v>
      </c>
      <c r="B86" s="9" t="s">
        <v>97</v>
      </c>
      <c r="C86" s="70" t="n">
        <f aca="false">-C72*Assumptions!$E$99</f>
        <v>-0</v>
      </c>
      <c r="D86" s="70" t="n">
        <f aca="false">-D72*Assumptions!$E$99</f>
        <v>-18990.7494678978</v>
      </c>
      <c r="E86" s="70" t="n">
        <f aca="false">-E72*Assumptions!$E$99</f>
        <v>-17645.8306911088</v>
      </c>
      <c r="F86" s="70" t="n">
        <f aca="false">-F72*Assumptions!$E$99</f>
        <v>-19137.7330754227</v>
      </c>
      <c r="G86" s="70" t="n">
        <f aca="false">-G72*Assumptions!$E$99</f>
        <v>-21094.0741608239</v>
      </c>
      <c r="H86" s="70" t="n">
        <f aca="false">-H72*Assumptions!$E$99</f>
        <v>-22884.2719364089</v>
      </c>
      <c r="I86" s="70" t="n">
        <f aca="false">-I72*Assumptions!$E$99</f>
        <v>-25356.31653717</v>
      </c>
      <c r="J86" s="70" t="n">
        <f aca="false">-J72*Assumptions!$E$99</f>
        <v>-27394.3046992233</v>
      </c>
      <c r="K86" s="70" t="n">
        <f aca="false">-K72*Assumptions!$E$99</f>
        <v>-29293.7532691408</v>
      </c>
      <c r="L86" s="70" t="n">
        <f aca="false">-L72*Assumptions!$E$99</f>
        <v>-31086.6131013466</v>
      </c>
      <c r="M86" s="70" t="n">
        <f aca="false">-M72*Assumptions!$E$99</f>
        <v>-32796.3605547526</v>
      </c>
      <c r="N86" s="70" t="n">
        <f aca="false">-N72*Assumptions!$E$99</f>
        <v>-34441.1297232064</v>
      </c>
      <c r="O86" s="70" t="n">
        <f aca="false">-O72*Assumptions!$E$99</f>
        <v>-36036.087990004</v>
      </c>
      <c r="P86" s="70" t="n">
        <f aca="false">-P72*Assumptions!$E$99</f>
        <v>-37594.1412681548</v>
      </c>
      <c r="Q86" s="70" t="n">
        <f aca="false">-Q72*Assumptions!$E$99</f>
        <v>-39126.4181686458</v>
      </c>
      <c r="R86" s="70" t="n">
        <f aca="false">-R72*Assumptions!$E$99</f>
        <v>-40642.6523374938</v>
      </c>
      <c r="S86" s="70" t="n">
        <f aca="false">-S72*Assumptions!$E$99</f>
        <v>-42151.4971203959</v>
      </c>
      <c r="T86" s="70" t="n">
        <f aca="false">-T72*Assumptions!$E$99</f>
        <v>-43660.7876343339</v>
      </c>
      <c r="U86" s="70" t="n">
        <f aca="false">-U72*Assumptions!$E$99</f>
        <v>-45177.7607801727</v>
      </c>
      <c r="V86" s="70" t="n">
        <f aca="false">-V72*Assumptions!$E$99</f>
        <v>-46709.2415140479</v>
      </c>
      <c r="W86" s="70" t="n">
        <f aca="false">-W72*Assumptions!$E$99</f>
        <v>-48261.8021723401</v>
      </c>
      <c r="X86" s="70" t="n">
        <f aca="false">-X72*Assumptions!$E$99</f>
        <v>-49841.9004634811</v>
      </c>
      <c r="Y86" s="70" t="n">
        <f aca="false">-Y72*Assumptions!$E$99</f>
        <v>-51456.0007897503</v>
      </c>
      <c r="Z86" s="70" t="n">
        <f aca="false">-Z72*Assumptions!$E$99</f>
        <v>-53110.6827898953</v>
      </c>
      <c r="AA86" s="70" t="n">
        <f aca="false">-AA72*Assumptions!$E$99</f>
        <v>-54812.7403644243</v>
      </c>
      <c r="AB86" s="70" t="n">
        <f aca="false">-AB72*Assumptions!$E$99</f>
        <v>-56520.8096924676</v>
      </c>
      <c r="AC86" s="70" t="n">
        <f aca="false">-AC72*Assumptions!$E$99</f>
        <v>-58225.4597280901</v>
      </c>
      <c r="AD86" s="70" t="n">
        <f aca="false">-AD72*Assumptions!$E$99</f>
        <v>-59946.2166641675</v>
      </c>
      <c r="AE86" s="70" t="n">
        <f aca="false">-AE72*Assumptions!$E$99</f>
        <v>-61691.7528099949</v>
      </c>
      <c r="AF86" s="70" t="n">
        <f aca="false">-AF72*Assumptions!$E$99</f>
        <v>-63470.7406162557</v>
      </c>
      <c r="AG86" s="70" t="n">
        <f aca="false">-AG72*Assumptions!$E$99</f>
        <v>-65292.1082753859</v>
      </c>
      <c r="AH86" s="70" t="n">
        <f aca="false">-AH72*Assumptions!$E$99</f>
        <v>-67165.1721443336</v>
      </c>
      <c r="AI86" s="70" t="n">
        <f aca="false">-AI72*Assumptions!$E$99</f>
        <v>-69099.7143516452</v>
      </c>
      <c r="AJ86" s="70" t="n">
        <f aca="false">-AJ72*Assumptions!$E$99</f>
        <v>-71106.0565387637</v>
      </c>
      <c r="AK86" s="70" t="n">
        <f aca="false">-AK72*Assumptions!$E$99</f>
        <v>-73195.1349290006</v>
      </c>
      <c r="AL86" s="70" t="n">
        <f aca="false">-AL72*Assumptions!$E$99</f>
        <v>-75378.5782045113</v>
      </c>
      <c r="AM86" s="70" t="n">
        <f aca="false">SUM(C86:AL86)</f>
        <v>-1589794.59456426</v>
      </c>
    </row>
    <row r="87" customFormat="false" ht="15" hidden="false" customHeight="false" outlineLevel="0" collapsed="false">
      <c r="A87" s="37" t="s">
        <v>821</v>
      </c>
      <c r="B87" s="9" t="s">
        <v>97</v>
      </c>
      <c r="C87" s="53" t="n">
        <f aca="false">C75+C76+C77+C78+C79+C80+C81+C82+C83+C84+C85+C86</f>
        <v>-37080</v>
      </c>
      <c r="D87" s="53" t="n">
        <f aca="false">D75+D76+D77+D78+D79+D80+D81+D82+D83+D84+D85+D86</f>
        <v>-165570.749467898</v>
      </c>
      <c r="E87" s="53" t="n">
        <f aca="false">E75+E76+E77+E78+E79+E80+E81+E82+E83+E84+E85+E86</f>
        <v>-177504.222147308</v>
      </c>
      <c r="F87" s="53" t="n">
        <f aca="false">F75+F76+F77+F78+F79+F80+F81+F82+F83+F84+F85+F86</f>
        <v>-159538.965478208</v>
      </c>
      <c r="G87" s="53" t="n">
        <f aca="false">G75+G76+G77+G78+G79+G80+G81+G82+G83+G84+G85+G86</f>
        <v>-180431.376443139</v>
      </c>
      <c r="H87" s="53" t="n">
        <f aca="false">H75+H76+H77+H78+H79+H80+H81+H82+H83+H84+H85+H86</f>
        <v>-195250.805847496</v>
      </c>
      <c r="I87" s="53" t="n">
        <f aca="false">I75+I76+I77+I78+I79+I80+I81+I82+I83+I84+I85+I86</f>
        <v>-209645.567633653</v>
      </c>
      <c r="J87" s="53" t="n">
        <f aca="false">J75+J76+J77+J78+J79+J80+J81+J82+J83+J84+J85+J86</f>
        <v>-228147.372836775</v>
      </c>
      <c r="K87" s="53" t="n">
        <f aca="false">K75+K76+K77+K78+K79+K80+K81+K82+K83+K84+K85+K86</f>
        <v>-243619.822565968</v>
      </c>
      <c r="L87" s="53" t="n">
        <f aca="false">L75+L76+L77+L78+L79+L80+L81+L82+L83+L84+L85+L86</f>
        <v>-258063.009873824</v>
      </c>
      <c r="M87" s="53" t="n">
        <f aca="false">M75+M76+M77+M78+M79+M80+M81+M82+M83+M84+M85+M86</f>
        <v>-271713.203809721</v>
      </c>
      <c r="N87" s="53" t="n">
        <f aca="false">N75+N76+N77+N78+N79+N80+N81+N82+N83+N84+N85+N86</f>
        <v>-284744.891017858</v>
      </c>
      <c r="O87" s="53" t="n">
        <f aca="false">O75+O76+O77+O78+O79+O80+O81+O82+O83+O84+O85+O86</f>
        <v>-297294.011946559</v>
      </c>
      <c r="P87" s="53" t="n">
        <f aca="false">P75+P76+P77+P78+P79+P80+P81+P82+P83+P84+P85+P86</f>
        <v>-309474.487281582</v>
      </c>
      <c r="Q87" s="53" t="n">
        <f aca="false">Q75+Q76+Q77+Q78+Q79+Q80+Q81+Q82+Q83+Q84+Q85+Q86</f>
        <v>-321383.399014557</v>
      </c>
      <c r="R87" s="53" t="n">
        <f aca="false">R75+R76+R77+R78+R79+R80+R81+R82+R83+R84+R85+R86</f>
        <v>-333104.597340675</v>
      </c>
      <c r="S87" s="53" t="n">
        <f aca="false">S75+S76+S77+S78+S79+S80+S81+S82+S83+S84+S85+S86</f>
        <v>-344711.561688105</v>
      </c>
      <c r="T87" s="53" t="n">
        <f aca="false">T75+T76+T77+T78+T79+T80+T81+T82+T83+T84+T85+T86</f>
        <v>-356269.758456171</v>
      </c>
      <c r="U87" s="53" t="n">
        <f aca="false">U75+U76+U77+U78+U79+U80+U81+U82+U83+U84+U85+U86</f>
        <v>-367838.606424837</v>
      </c>
      <c r="V87" s="53" t="n">
        <f aca="false">V75+V76+V77+V78+V79+V80+V81+V82+V83+V84+V85+V86</f>
        <v>-379473.128309998</v>
      </c>
      <c r="W87" s="53" t="n">
        <f aca="false">W75+W76+W77+W78+W79+W80+W81+W82+W83+W84+W85+W86</f>
        <v>-391225.350655899</v>
      </c>
      <c r="X87" s="53" t="n">
        <f aca="false">X75+X76+X77+X78+X79+X80+X81+X82+X83+X84+X85+X86</f>
        <v>-403145.502931266</v>
      </c>
      <c r="Y87" s="53" t="n">
        <f aca="false">Y75+Y76+Y77+Y78+Y79+Y80+Y81+Y82+Y83+Y84+Y85+Y86</f>
        <v>-415283.057876534</v>
      </c>
      <c r="Z87" s="53" t="n">
        <f aca="false">Z75+Z76+Z77+Z78+Z79+Z80+Z81+Z82+Z83+Z84+Z85+Z86</f>
        <v>-427687.648049632</v>
      </c>
      <c r="AA87" s="53" t="n">
        <f aca="false">AA75+AA76+AA77+AA78+AA79+AA80+AA81+AA82+AA83+AA84+AA85+AA86</f>
        <v>-440409.887745127</v>
      </c>
      <c r="AB87" s="53" t="n">
        <f aca="false">AB75+AB76+AB77+AB78+AB79+AB80+AB81+AB82+AB83+AB84+AB85+AB86</f>
        <v>-453453.660519534</v>
      </c>
      <c r="AC87" s="53" t="n">
        <f aca="false">AC75+AC76+AC77+AC78+AC79+AC80+AC81+AC82+AC83+AC84+AC85+AC86</f>
        <v>-466534.052279924</v>
      </c>
      <c r="AD87" s="53" t="n">
        <f aca="false">AD75+AD76+AD77+AD78+AD79+AD80+AD81+AD82+AD83+AD84+AD85+AD86</f>
        <v>-479607.778453247</v>
      </c>
      <c r="AE87" s="53" t="n">
        <f aca="false">AE75+AE76+AE77+AE78+AE79+AE80+AE81+AE82+AE83+AE84+AE85+AE86</f>
        <v>-492813.55579335</v>
      </c>
      <c r="AF87" s="53" t="n">
        <f aca="false">AF75+AF76+AF77+AF78+AF79+AF80+AF81+AF82+AF83+AF84+AF85+AF86</f>
        <v>-506217.814330822</v>
      </c>
      <c r="AG87" s="53" t="n">
        <f aca="false">AG75+AG76+AG77+AG78+AG79+AG80+AG81+AG82+AG83+AG84+AG85+AG86</f>
        <v>-519887.240779649</v>
      </c>
      <c r="AH87" s="53" t="n">
        <f aca="false">AH75+AH76+AH77+AH78+AH79+AH80+AH81+AH82+AH83+AH84+AH85+AH86</f>
        <v>-533890.613258404</v>
      </c>
      <c r="AI87" s="53" t="n">
        <f aca="false">AI75+AI76+AI77+AI78+AI79+AI80+AI81+AI82+AI83+AI84+AI85+AI86</f>
        <v>-548299.760832907</v>
      </c>
      <c r="AJ87" s="53" t="n">
        <f aca="false">AJ75+AJ76+AJ77+AJ78+AJ79+AJ80+AJ81+AJ82+AJ83+AJ84+AJ85+AJ86</f>
        <v>-563190.154120721</v>
      </c>
      <c r="AK87" s="53" t="n">
        <f aca="false">AK75+AK76+AK77+AK78+AK79+AK80+AK81+AK82+AK83+AK84+AK85+AK86</f>
        <v>-578641.471477166</v>
      </c>
      <c r="AL87" s="53" t="n">
        <f aca="false">AL75+AL76+AL77+AL78+AL79+AL80+AL81+AL82+AL83+AL84+AL85+AL86</f>
        <v>-594738.176831655</v>
      </c>
      <c r="AM87" s="53" t="n">
        <f aca="false">SUM(C87:AL87)</f>
        <v>-12935885.2635202</v>
      </c>
    </row>
    <row r="88" customFormat="false" ht="15" hidden="false" customHeight="false" outlineLevel="0" collapsed="false">
      <c r="A88" s="37" t="s">
        <v>822</v>
      </c>
      <c r="B88" s="9" t="s">
        <v>97</v>
      </c>
      <c r="C88" s="53" t="n">
        <f aca="false">C73+C87</f>
        <v>-37080</v>
      </c>
      <c r="D88" s="53" t="n">
        <f aca="false">D73+D87</f>
        <v>58351.7226600759</v>
      </c>
      <c r="E88" s="53" t="n">
        <f aca="false">E73+E87</f>
        <v>30560.1324367003</v>
      </c>
      <c r="F88" s="53" t="n">
        <f aca="false">F73+F87</f>
        <v>66116.6100649258</v>
      </c>
      <c r="G88" s="53" t="n">
        <f aca="false">G73+G87</f>
        <v>68291.6790280031</v>
      </c>
      <c r="H88" s="53" t="n">
        <f aca="false">H73+H87</f>
        <v>74580.7115189811</v>
      </c>
      <c r="I88" s="53" t="n">
        <f aca="false">I73+I87</f>
        <v>87024.6341863544</v>
      </c>
      <c r="J88" s="53" t="n">
        <f aca="false">J73+J87</f>
        <v>91422.4883376777</v>
      </c>
      <c r="K88" s="53" t="n">
        <f aca="false">K73+K87</f>
        <v>97255.2768114717</v>
      </c>
      <c r="L88" s="53" t="n">
        <f aca="false">L73+L87</f>
        <v>102888.430394842</v>
      </c>
      <c r="M88" s="53" t="n">
        <f aca="false">M73+M87</f>
        <v>108352.407223816</v>
      </c>
      <c r="N88" s="53" t="n">
        <f aca="false">N73+N87</f>
        <v>113677.877308551</v>
      </c>
      <c r="O88" s="53" t="n">
        <f aca="false">O73+O87</f>
        <v>118900.050720587</v>
      </c>
      <c r="P88" s="53" t="n">
        <f aca="false">P73+P87</f>
        <v>124050.278196863</v>
      </c>
      <c r="Q88" s="53" t="n">
        <f aca="false">Q73+Q87</f>
        <v>129156.432117107</v>
      </c>
      <c r="R88" s="53" t="n">
        <f aca="false">R73+R87</f>
        <v>134243.674008016</v>
      </c>
      <c r="S88" s="53" t="n">
        <f aca="false">S73+S87</f>
        <v>139335.179054783</v>
      </c>
      <c r="T88" s="53" t="n">
        <f aca="false">T73+T87</f>
        <v>144452.752400189</v>
      </c>
      <c r="U88" s="53" t="n">
        <f aca="false">U73+U87</f>
        <v>149617.349978553</v>
      </c>
      <c r="V88" s="53" t="n">
        <f aca="false">V73+V87</f>
        <v>154849.522644743</v>
      </c>
      <c r="W88" s="53" t="n">
        <f aca="false">W73+W87</f>
        <v>160169.800440849</v>
      </c>
      <c r="X88" s="53" t="n">
        <f aca="false">X73+X87</f>
        <v>165599.031103151</v>
      </c>
      <c r="Y88" s="53" t="n">
        <f aca="false">Y73+Y87</f>
        <v>171158.68447193</v>
      </c>
      <c r="Z88" s="53" t="n">
        <f aca="false">Z73+Z87</f>
        <v>176871.132451444</v>
      </c>
      <c r="AA88" s="53" t="n">
        <f aca="false">AA73+AA87</f>
        <v>182759.912541987</v>
      </c>
      <c r="AB88" s="53" t="n">
        <f aca="false">AB73+AB87</f>
        <v>188456.916896493</v>
      </c>
      <c r="AC88" s="53" t="n">
        <f aca="false">AC73+AC87</f>
        <v>194153.341429022</v>
      </c>
      <c r="AD88" s="53" t="n">
        <f aca="false">AD73+AD87</f>
        <v>200069.334802892</v>
      </c>
      <c r="AE88" s="53" t="n">
        <f aca="false">AE73+AE87</f>
        <v>206158.336311784</v>
      </c>
      <c r="AF88" s="53" t="n">
        <f aca="false">AF73+AF87</f>
        <v>212446.430377903</v>
      </c>
      <c r="AG88" s="53" t="n">
        <f aca="false">AG73+AG87</f>
        <v>218962.679305399</v>
      </c>
      <c r="AH88" s="53" t="n">
        <f aca="false">AH73+AH87</f>
        <v>225738.729213642</v>
      </c>
      <c r="AI88" s="53" t="n">
        <f aca="false">AI73+AI87</f>
        <v>232808.672645033</v>
      </c>
      <c r="AJ88" s="53" t="n">
        <f aca="false">AJ73+AJ87</f>
        <v>240209.24102299</v>
      </c>
      <c r="AK88" s="53" t="n">
        <f aca="false">AK73+AK87</f>
        <v>247980.039804567</v>
      </c>
      <c r="AL88" s="53" t="n">
        <f aca="false">AL73+AL87</f>
        <v>256163.806333678</v>
      </c>
      <c r="AM88" s="53" t="n">
        <f aca="false">SUM(C88:AL88)</f>
        <v>5235753.298245</v>
      </c>
    </row>
    <row r="89" customFormat="false" ht="15" hidden="false" customHeight="false" outlineLevel="0" collapsed="false">
      <c r="A89" s="37" t="s">
        <v>823</v>
      </c>
      <c r="B89" s="9" t="s">
        <v>61</v>
      </c>
      <c r="C89" s="52" t="n">
        <f aca="false">IFERROR(C88/C72,0)</f>
        <v>0</v>
      </c>
      <c r="D89" s="52" t="n">
        <f aca="false">IFERROR(D88/D72,0)</f>
        <v>0.153631963706104</v>
      </c>
      <c r="E89" s="52" t="n">
        <f aca="false">IFERROR(E88/E72,0)</f>
        <v>0.0865930682767417</v>
      </c>
      <c r="F89" s="52" t="n">
        <f aca="false">IFERROR(F88/F72,0)</f>
        <v>0.172738876136367</v>
      </c>
      <c r="G89" s="52" t="n">
        <f aca="false">IFERROR(G88/G72,0)</f>
        <v>0.16187408489071</v>
      </c>
      <c r="H89" s="52" t="n">
        <f aca="false">IFERROR(H88/H72,0)</f>
        <v>0.162951899291852</v>
      </c>
      <c r="I89" s="52" t="n">
        <f aca="false">IFERROR(I88/I72,0)</f>
        <v>0.171603462314379</v>
      </c>
      <c r="J89" s="52" t="n">
        <f aca="false">IFERROR(J88/J72,0)</f>
        <v>0.166864042255232</v>
      </c>
      <c r="K89" s="52" t="n">
        <f aca="false">IFERROR(K88/K72,0)</f>
        <v>0.16600002723776</v>
      </c>
      <c r="L89" s="52" t="n">
        <f aca="false">IFERROR(L88/L72,0)</f>
        <v>0.165486716194221</v>
      </c>
      <c r="M89" s="52" t="n">
        <f aca="false">IFERROR(M88/M72,0)</f>
        <v>0.165189681707098</v>
      </c>
      <c r="N89" s="52" t="n">
        <f aca="false">IFERROR(N88/N72,0)</f>
        <v>0.165032155190826</v>
      </c>
      <c r="O89" s="52" t="n">
        <f aca="false">IFERROR(O88/O72,0)</f>
        <v>0.16497358252867</v>
      </c>
      <c r="P89" s="52" t="n">
        <f aca="false">IFERROR(P88/P72,0)</f>
        <v>0.16498618403334</v>
      </c>
      <c r="Q89" s="52" t="n">
        <f aca="false">IFERROR(Q88/Q72,0)</f>
        <v>0.165050160687347</v>
      </c>
      <c r="R89" s="52" t="n">
        <f aca="false">IFERROR(R88/R72,0)</f>
        <v>0.165151222037954</v>
      </c>
      <c r="S89" s="52" t="n">
        <f aca="false">IFERROR(S88/S72,0)</f>
        <v>0.165279039385962</v>
      </c>
      <c r="T89" s="52" t="n">
        <f aca="false">IFERROR(T88/T72,0)</f>
        <v>0.165426187005607</v>
      </c>
      <c r="U89" s="52" t="n">
        <f aca="false">IFERROR(U88/U72,0)</f>
        <v>0.165587390117193</v>
      </c>
      <c r="V89" s="52" t="n">
        <f aca="false">IFERROR(V88/V72,0)</f>
        <v>0.165758977908227</v>
      </c>
      <c r="W89" s="52" t="n">
        <f aca="false">IFERROR(W88/W72,0)</f>
        <v>0.165938478497852</v>
      </c>
      <c r="X89" s="52" t="n">
        <f aca="false">IFERROR(X88/X72,0)</f>
        <v>0.166124314646153</v>
      </c>
      <c r="Y89" s="52" t="n">
        <f aca="false">IFERROR(Y88/Y72,0)</f>
        <v>0.166315572377346</v>
      </c>
      <c r="Z89" s="52" t="n">
        <f aca="false">IFERROR(Z88/Z72,0)</f>
        <v>0.166511823196796</v>
      </c>
      <c r="AA89" s="52" t="n">
        <f aca="false">IFERROR(AA88/AA72,0)</f>
        <v>0.166712986184326</v>
      </c>
      <c r="AB89" s="52" t="n">
        <f aca="false">IFERROR(AB88/AB72,0)</f>
        <v>0.166714629462932</v>
      </c>
      <c r="AC89" s="52" t="n">
        <f aca="false">IFERROR(AC88/AC72,0)</f>
        <v>0.166725468837608</v>
      </c>
      <c r="AD89" s="52" t="n">
        <f aca="false">IFERROR(AD88/AD72,0)</f>
        <v>0.166874029702097</v>
      </c>
      <c r="AE89" s="52" t="n">
        <f aca="false">IFERROR(AE88/AE72,0)</f>
        <v>0.167087436262942</v>
      </c>
      <c r="AF89" s="52" t="n">
        <f aca="false">IFERROR(AF88/AF72,0)</f>
        <v>0.167357768568004</v>
      </c>
      <c r="AG89" s="52" t="n">
        <f aca="false">IFERROR(AG88/AG72,0)</f>
        <v>0.167679283981664</v>
      </c>
      <c r="AH89" s="52" t="n">
        <f aca="false">IFERROR(AH88/AH72,0)</f>
        <v>0.168047458233669</v>
      </c>
      <c r="AI89" s="52" t="n">
        <f aca="false">IFERROR(AI88/AI72,0)</f>
        <v>0.168458491347939</v>
      </c>
      <c r="AJ89" s="52" t="n">
        <f aca="false">IFERROR(AJ88/AJ72,0)</f>
        <v>0.168909128642255</v>
      </c>
      <c r="AK89" s="52" t="n">
        <f aca="false">IFERROR(AK88/AK72,0)</f>
        <v>0.169396531644561</v>
      </c>
      <c r="AL89" s="52" t="n">
        <f aca="false">IFERROR(AL88/AL72,0)</f>
        <v>0.16991817332948</v>
      </c>
      <c r="AM89" s="52" t="n">
        <f aca="false">AVERAGE(N89:AL89)</f>
        <v>0.16664065895243</v>
      </c>
    </row>
    <row r="90" customFormat="false" ht="15" hidden="false" customHeight="false" outlineLevel="0" collapsed="false">
      <c r="A90" s="10" t="s">
        <v>824</v>
      </c>
      <c r="B90" s="9" t="s">
        <v>97</v>
      </c>
      <c r="C90" s="70" t="n">
        <f aca="false">-C43*Assumptions!$E$102</f>
        <v>0</v>
      </c>
      <c r="D90" s="70" t="n">
        <f aca="false">-D43*Assumptions!$E$102</f>
        <v>0</v>
      </c>
      <c r="E90" s="70" t="n">
        <f aca="false">-E43*Assumptions!$E$102</f>
        <v>0</v>
      </c>
      <c r="F90" s="70" t="n">
        <f aca="false">-F43*Assumptions!$E$102</f>
        <v>0</v>
      </c>
      <c r="G90" s="70" t="n">
        <f aca="false">-G43*Assumptions!$E$102</f>
        <v>0</v>
      </c>
      <c r="H90" s="70" t="n">
        <f aca="false">-H43*Assumptions!$E$102</f>
        <v>0</v>
      </c>
      <c r="I90" s="70" t="n">
        <f aca="false">-I43*Assumptions!$E$102</f>
        <v>0</v>
      </c>
      <c r="J90" s="70" t="n">
        <f aca="false">-J43*Assumptions!$E$102</f>
        <v>0</v>
      </c>
      <c r="K90" s="70" t="n">
        <f aca="false">-K43*Assumptions!$E$102</f>
        <v>0</v>
      </c>
      <c r="L90" s="70" t="n">
        <f aca="false">-L43*Assumptions!$E$102</f>
        <v>0</v>
      </c>
      <c r="M90" s="70" t="n">
        <f aca="false">-M43*Assumptions!$E$102</f>
        <v>0</v>
      </c>
      <c r="N90" s="70" t="n">
        <f aca="false">-N43*Assumptions!$E$102</f>
        <v>0</v>
      </c>
      <c r="O90" s="70" t="n">
        <f aca="false">-O43*Assumptions!$E$102</f>
        <v>0</v>
      </c>
      <c r="P90" s="70" t="n">
        <f aca="false">-P43*Assumptions!$E$102</f>
        <v>0</v>
      </c>
      <c r="Q90" s="70" t="n">
        <f aca="false">-Q43*Assumptions!$E$102</f>
        <v>0</v>
      </c>
      <c r="R90" s="70" t="n">
        <f aca="false">-R43*Assumptions!$E$102</f>
        <v>0</v>
      </c>
      <c r="S90" s="70" t="n">
        <f aca="false">-S43*Assumptions!$E$102</f>
        <v>0</v>
      </c>
      <c r="T90" s="70" t="n">
        <f aca="false">-T43*Assumptions!$E$102</f>
        <v>0</v>
      </c>
      <c r="U90" s="70" t="n">
        <f aca="false">-U43*Assumptions!$E$102</f>
        <v>0</v>
      </c>
      <c r="V90" s="70" t="n">
        <f aca="false">-V43*Assumptions!$E$102</f>
        <v>0</v>
      </c>
      <c r="W90" s="70" t="n">
        <f aca="false">-W43*Assumptions!$E$102</f>
        <v>0</v>
      </c>
      <c r="X90" s="70" t="n">
        <f aca="false">-X43*Assumptions!$E$102</f>
        <v>0</v>
      </c>
      <c r="Y90" s="70" t="n">
        <f aca="false">-Y43*Assumptions!$E$102</f>
        <v>0</v>
      </c>
      <c r="Z90" s="70" t="n">
        <f aca="false">-Z43*Assumptions!$E$102</f>
        <v>0</v>
      </c>
      <c r="AA90" s="70" t="n">
        <f aca="false">-AA43*Assumptions!$E$102</f>
        <v>0</v>
      </c>
      <c r="AB90" s="70" t="n">
        <f aca="false">-AB43*Assumptions!$E$102</f>
        <v>0</v>
      </c>
      <c r="AC90" s="70" t="n">
        <f aca="false">-AC43*Assumptions!$E$102</f>
        <v>0</v>
      </c>
      <c r="AD90" s="70" t="n">
        <f aca="false">-AD43*Assumptions!$E$102</f>
        <v>0</v>
      </c>
      <c r="AE90" s="70" t="n">
        <f aca="false">-AE43*Assumptions!$E$102</f>
        <v>0</v>
      </c>
      <c r="AF90" s="70" t="n">
        <f aca="false">-AF43*Assumptions!$E$102</f>
        <v>0</v>
      </c>
      <c r="AG90" s="70" t="n">
        <f aca="false">-AG43*Assumptions!$E$102</f>
        <v>0</v>
      </c>
      <c r="AH90" s="70" t="n">
        <f aca="false">-AH43*Assumptions!$E$102</f>
        <v>0</v>
      </c>
      <c r="AI90" s="70" t="n">
        <f aca="false">-AI43*Assumptions!$E$102</f>
        <v>0</v>
      </c>
      <c r="AJ90" s="70" t="n">
        <f aca="false">-AJ43*Assumptions!$E$102</f>
        <v>0</v>
      </c>
      <c r="AK90" s="70" t="n">
        <f aca="false">-AK43*Assumptions!$E$102</f>
        <v>0</v>
      </c>
      <c r="AL90" s="70" t="n">
        <f aca="false">-AL43*Assumptions!$E$102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-37080</v>
      </c>
      <c r="D92" s="70" t="n">
        <f aca="false">D88+D91</f>
        <v>58351.7226600759</v>
      </c>
      <c r="E92" s="70" t="n">
        <f aca="false">E88+E91</f>
        <v>30560.1324367003</v>
      </c>
      <c r="F92" s="70" t="n">
        <f aca="false">F88+F91</f>
        <v>66116.6100649258</v>
      </c>
      <c r="G92" s="70" t="n">
        <f aca="false">G88+G91</f>
        <v>68291.6790280031</v>
      </c>
      <c r="H92" s="70" t="n">
        <f aca="false">H88+H91</f>
        <v>74580.7115189811</v>
      </c>
      <c r="I92" s="70" t="n">
        <f aca="false">I88+I91</f>
        <v>87024.6341863544</v>
      </c>
      <c r="J92" s="70" t="n">
        <f aca="false">J88+J91</f>
        <v>91422.4883376777</v>
      </c>
      <c r="K92" s="70" t="n">
        <f aca="false">K88+K91</f>
        <v>97255.2768114717</v>
      </c>
      <c r="L92" s="70" t="n">
        <f aca="false">L88+L91</f>
        <v>102888.430394842</v>
      </c>
      <c r="M92" s="70" t="n">
        <f aca="false">M88+M91</f>
        <v>108352.407223816</v>
      </c>
      <c r="N92" s="70" t="n">
        <f aca="false">N88+N91</f>
        <v>113677.877308551</v>
      </c>
      <c r="O92" s="70" t="n">
        <f aca="false">O88+O91</f>
        <v>118900.050720587</v>
      </c>
      <c r="P92" s="70" t="n">
        <f aca="false">P88+P91</f>
        <v>124050.278196863</v>
      </c>
      <c r="Q92" s="70" t="n">
        <f aca="false">Q88+Q91</f>
        <v>129156.432117107</v>
      </c>
      <c r="R92" s="70" t="n">
        <f aca="false">R88+R91</f>
        <v>134243.674008016</v>
      </c>
      <c r="S92" s="70" t="n">
        <f aca="false">S88+S91</f>
        <v>139335.179054783</v>
      </c>
      <c r="T92" s="70" t="n">
        <f aca="false">T88+T91</f>
        <v>144452.752400189</v>
      </c>
      <c r="U92" s="70" t="n">
        <f aca="false">U88+U91</f>
        <v>149617.349978553</v>
      </c>
      <c r="V92" s="70" t="n">
        <f aca="false">V88+V91</f>
        <v>154849.522644743</v>
      </c>
      <c r="W92" s="70" t="n">
        <f aca="false">W88+W91</f>
        <v>160169.800440849</v>
      </c>
      <c r="X92" s="70" t="n">
        <f aca="false">X88+X91</f>
        <v>165599.031103151</v>
      </c>
      <c r="Y92" s="70" t="n">
        <f aca="false">Y88+Y91</f>
        <v>171158.68447193</v>
      </c>
      <c r="Z92" s="70" t="n">
        <f aca="false">Z88+Z91</f>
        <v>176871.132451444</v>
      </c>
      <c r="AA92" s="70" t="n">
        <f aca="false">AA88+AA91</f>
        <v>182759.912541987</v>
      </c>
      <c r="AB92" s="70" t="n">
        <f aca="false">AB88+AB91</f>
        <v>188456.916896493</v>
      </c>
      <c r="AC92" s="70" t="n">
        <f aca="false">AC88+AC91</f>
        <v>194153.341429022</v>
      </c>
      <c r="AD92" s="70" t="n">
        <f aca="false">AD88+AD91</f>
        <v>200069.334802892</v>
      </c>
      <c r="AE92" s="70" t="n">
        <f aca="false">AE88+AE91</f>
        <v>206158.336311784</v>
      </c>
      <c r="AF92" s="70" t="n">
        <f aca="false">AF88+AF91</f>
        <v>212446.430377903</v>
      </c>
      <c r="AG92" s="70" t="n">
        <f aca="false">AG88+AG91</f>
        <v>218962.679305399</v>
      </c>
      <c r="AH92" s="70" t="n">
        <f aca="false">AH88+AH91</f>
        <v>225738.729213642</v>
      </c>
      <c r="AI92" s="70" t="n">
        <f aca="false">AI88+AI91</f>
        <v>232808.672645033</v>
      </c>
      <c r="AJ92" s="70" t="n">
        <f aca="false">AJ88+AJ91</f>
        <v>240209.24102299</v>
      </c>
      <c r="AK92" s="70" t="n">
        <f aca="false">AK88+AK91</f>
        <v>247980.039804567</v>
      </c>
      <c r="AL92" s="70" t="n">
        <f aca="false">AL88+AL91</f>
        <v>256163.806333678</v>
      </c>
      <c r="AM92" s="70" t="n">
        <f aca="false">SUM(C92:AL92)</f>
        <v>5235753.298245</v>
      </c>
    </row>
    <row r="93" customFormat="false" ht="15" hidden="false" customHeight="false" outlineLevel="0" collapsed="false">
      <c r="A93" s="37" t="s">
        <v>827</v>
      </c>
      <c r="B93" s="9" t="s">
        <v>97</v>
      </c>
      <c r="C93" s="53" t="n">
        <f aca="false">C92</f>
        <v>-37080</v>
      </c>
      <c r="D93" s="53" t="n">
        <f aca="false">C93+D92</f>
        <v>21271.7226600759</v>
      </c>
      <c r="E93" s="53" t="n">
        <f aca="false">D93+E92</f>
        <v>51831.8550967762</v>
      </c>
      <c r="F93" s="53" t="n">
        <f aca="false">E93+F92</f>
        <v>117948.465161702</v>
      </c>
      <c r="G93" s="53" t="n">
        <f aca="false">F93+G92</f>
        <v>186240.144189705</v>
      </c>
      <c r="H93" s="53" t="n">
        <f aca="false">G93+H92</f>
        <v>260820.855708686</v>
      </c>
      <c r="I93" s="53" t="n">
        <f aca="false">H93+I92</f>
        <v>347845.489895041</v>
      </c>
      <c r="J93" s="53" t="n">
        <f aca="false">I93+J92</f>
        <v>439267.978232718</v>
      </c>
      <c r="K93" s="53" t="n">
        <f aca="false">J93+K92</f>
        <v>536523.25504419</v>
      </c>
      <c r="L93" s="53" t="n">
        <f aca="false">K93+L92</f>
        <v>639411.685439032</v>
      </c>
      <c r="M93" s="53" t="n">
        <f aca="false">L93+M92</f>
        <v>747764.092662848</v>
      </c>
      <c r="N93" s="53" t="n">
        <f aca="false">M93+N92</f>
        <v>861441.969971399</v>
      </c>
      <c r="O93" s="53" t="n">
        <f aca="false">N93+O92</f>
        <v>980342.020691986</v>
      </c>
      <c r="P93" s="53" t="n">
        <f aca="false">O93+P92</f>
        <v>1104392.29888885</v>
      </c>
      <c r="Q93" s="53" t="n">
        <f aca="false">P93+Q92</f>
        <v>1233548.73100596</v>
      </c>
      <c r="R93" s="53" t="n">
        <f aca="false">Q93+R92</f>
        <v>1367792.40501397</v>
      </c>
      <c r="S93" s="53" t="n">
        <f aca="false">R93+S92</f>
        <v>1507127.58406875</v>
      </c>
      <c r="T93" s="53" t="n">
        <f aca="false">S93+T92</f>
        <v>1651580.33646894</v>
      </c>
      <c r="U93" s="53" t="n">
        <f aca="false">T93+U92</f>
        <v>1801197.6864475</v>
      </c>
      <c r="V93" s="53" t="n">
        <f aca="false">U93+V92</f>
        <v>1956047.20909224</v>
      </c>
      <c r="W93" s="53" t="n">
        <f aca="false">V93+W92</f>
        <v>2116217.00953309</v>
      </c>
      <c r="X93" s="53" t="n">
        <f aca="false">W93+X92</f>
        <v>2281816.04063624</v>
      </c>
      <c r="Y93" s="53" t="n">
        <f aca="false">X93+Y92</f>
        <v>2452974.72510817</v>
      </c>
      <c r="Z93" s="53" t="n">
        <f aca="false">Y93+Z92</f>
        <v>2629845.85755961</v>
      </c>
      <c r="AA93" s="53" t="n">
        <f aca="false">Z93+AA92</f>
        <v>2812605.7701016</v>
      </c>
      <c r="AB93" s="53" t="n">
        <f aca="false">AA93+AB92</f>
        <v>3001062.68699809</v>
      </c>
      <c r="AC93" s="53" t="n">
        <f aca="false">AB93+AC92</f>
        <v>3195216.02842712</v>
      </c>
      <c r="AD93" s="53" t="n">
        <f aca="false">AC93+AD92</f>
        <v>3395285.36323001</v>
      </c>
      <c r="AE93" s="53" t="n">
        <f aca="false">AD93+AE92</f>
        <v>3601443.69954179</v>
      </c>
      <c r="AF93" s="53" t="n">
        <f aca="false">AE93+AF92</f>
        <v>3813890.12991969</v>
      </c>
      <c r="AG93" s="53" t="n">
        <f aca="false">AF93+AG92</f>
        <v>4032852.80922509</v>
      </c>
      <c r="AH93" s="53" t="n">
        <f aca="false">AG93+AH92</f>
        <v>4258591.53843874</v>
      </c>
      <c r="AI93" s="53" t="n">
        <f aca="false">AH93+AI92</f>
        <v>4491400.21108377</v>
      </c>
      <c r="AJ93" s="53" t="n">
        <f aca="false">AI93+AJ92</f>
        <v>4731609.45210676</v>
      </c>
      <c r="AK93" s="53" t="n">
        <f aca="false">AJ93+AK92</f>
        <v>4979589.49191133</v>
      </c>
      <c r="AL93" s="53" t="n">
        <f aca="false">AK93+AL92</f>
        <v>5235753.298245</v>
      </c>
      <c r="AM93" s="53" t="n">
        <f aca="false">AL93</f>
        <v>5235753.298245</v>
      </c>
    </row>
    <row r="94" customFormat="false" ht="15" hidden="false" customHeight="false" outlineLevel="0" collapsed="false">
      <c r="A94" s="10" t="s">
        <v>828</v>
      </c>
      <c r="B94" s="9" t="s">
        <v>51</v>
      </c>
      <c r="C94" s="69" t="n">
        <f aca="false">IF(C88&gt;0,C$5,999)</f>
        <v>999</v>
      </c>
      <c r="D94" s="69" t="n">
        <f aca="false">IF(D88&gt;0,D$5,999)</f>
        <v>2</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829</v>
      </c>
      <c r="B95" s="9" t="s">
        <v>51</v>
      </c>
      <c r="C95" s="61" t="n">
        <f aca="false">C32+C56</f>
        <v>0</v>
      </c>
      <c r="D95" s="61" t="n">
        <f aca="false">D32+D56</f>
        <v>5020.02364998621</v>
      </c>
      <c r="E95" s="61" t="n">
        <f aca="false">E32+E56</f>
        <v>2465.73682901655</v>
      </c>
      <c r="F95" s="61" t="n">
        <f aca="false">F32+F56</f>
        <v>2242.15725290047</v>
      </c>
      <c r="G95" s="61" t="n">
        <f aca="false">G32+G56</f>
        <v>2125.74983363358</v>
      </c>
      <c r="H95" s="61" t="n">
        <f aca="false">H32+H56</f>
        <v>2047.03547689238</v>
      </c>
      <c r="I95" s="61" t="n">
        <f aca="false">I32+I56</f>
        <v>2028.81338051442</v>
      </c>
      <c r="J95" s="61" t="n">
        <f aca="false">J32+J56</f>
        <v>2006.14551185702</v>
      </c>
      <c r="K95" s="61" t="n">
        <f aca="false">K32+K56</f>
        <v>1989.41489148314</v>
      </c>
      <c r="L95" s="61" t="n">
        <f aca="false">L32+L56</f>
        <v>1982.8026684461</v>
      </c>
      <c r="M95" s="61" t="n">
        <f aca="false">M32+M56</f>
        <v>1984.94299613493</v>
      </c>
      <c r="N95" s="61" t="n">
        <f aca="false">N32+N56</f>
        <v>1994.49836876278</v>
      </c>
      <c r="O95" s="61" t="n">
        <f aca="false">O32+O56</f>
        <v>2010.31678273976</v>
      </c>
      <c r="P95" s="61" t="n">
        <f aca="false">P32+P56</f>
        <v>2031.4628556406</v>
      </c>
      <c r="Q95" s="61" t="n">
        <f aca="false">Q32+Q56</f>
        <v>2057.19697682245</v>
      </c>
      <c r="R95" s="61" t="n">
        <f aca="false">R32+R56</f>
        <v>2086.94853020041</v>
      </c>
      <c r="S95" s="61" t="n">
        <f aca="false">S32+S56</f>
        <v>2120.29037785678</v>
      </c>
      <c r="T95" s="61" t="n">
        <f aca="false">T32+T56</f>
        <v>2156.91650653719</v>
      </c>
      <c r="U95" s="61" t="n">
        <f aca="false">U32+U56</f>
        <v>2196.62319641547</v>
      </c>
      <c r="V95" s="61" t="n">
        <f aca="false">V32+V56</f>
        <v>2239.29354624861</v>
      </c>
      <c r="W95" s="61" t="n">
        <f aca="false">W32+W56</f>
        <v>2284.88500127882</v>
      </c>
      <c r="X95" s="61" t="n">
        <f aca="false">X32+X56</f>
        <v>2333.41948350562</v>
      </c>
      <c r="Y95" s="61" t="n">
        <f aca="false">Y32+Y56</f>
        <v>2384.97573904133</v>
      </c>
      <c r="Z95" s="61" t="n">
        <f aca="false">Z32+Z56</f>
        <v>2439.68355778424</v>
      </c>
      <c r="AA95" s="61" t="n">
        <f aca="false">AA32+AA56</f>
        <v>2497.71956914131</v>
      </c>
      <c r="AB95" s="61" t="n">
        <f aca="false">AB32+AB56</f>
        <v>2556.94045198891</v>
      </c>
      <c r="AC95" s="61" t="n">
        <f aca="false">AC32+AC56</f>
        <v>2617.35565005022</v>
      </c>
      <c r="AD95" s="61" t="n">
        <f aca="false">AD32+AD56</f>
        <v>2680.46835325736</v>
      </c>
      <c r="AE95" s="61" t="n">
        <f aca="false">AE32+AE56</f>
        <v>2746.81154214383</v>
      </c>
      <c r="AF95" s="61" t="n">
        <f aca="false">AF32+AF56</f>
        <v>2816.77649062445</v>
      </c>
      <c r="AG95" s="61" t="n">
        <f aca="false">AG32+AG56</f>
        <v>2890.77672792905</v>
      </c>
      <c r="AH95" s="61" t="n">
        <f aca="false">AH32+AH56</f>
        <v>2969.25857586166</v>
      </c>
      <c r="AI95" s="61" t="n">
        <f aca="false">AI32+AI56</f>
        <v>3052.70513244041</v>
      </c>
      <c r="AJ95" s="61" t="n">
        <f aca="false">AJ32+AJ56</f>
        <v>3141.63915155011</v>
      </c>
      <c r="AK95" s="61" t="n">
        <f aca="false">AK32+AK56</f>
        <v>3236.62612477875</v>
      </c>
      <c r="AL95" s="61" t="n">
        <f aca="false">AL32+AL56</f>
        <v>3338.27771614245</v>
      </c>
      <c r="AM95" s="61" t="n">
        <f aca="false">SUM(C95:AL95)</f>
        <v>86774.6888996074</v>
      </c>
    </row>
    <row r="96" customFormat="false" ht="15" hidden="false" customHeight="false" outlineLevel="0" collapsed="false">
      <c r="A96" s="37" t="s">
        <v>830</v>
      </c>
      <c r="B96" s="9" t="s">
        <v>97</v>
      </c>
      <c r="C96" s="51" t="n">
        <f aca="false">IFERROR((C26-C82)/C95,0)</f>
        <v>0</v>
      </c>
      <c r="D96" s="51" t="n">
        <f aca="false">IFERROR((D26-D82)/D95,0)</f>
        <v>7.17128095603671</v>
      </c>
      <c r="E96" s="51" t="n">
        <f aca="false">IFERROR((E26-E82)/E95,0)</f>
        <v>40.8198356756519</v>
      </c>
      <c r="F96" s="51" t="n">
        <f aca="false">IFERROR((F26-F82)/F95,0)</f>
        <v>41.7111255429989</v>
      </c>
      <c r="G96" s="51" t="n">
        <f aca="false">IFERROR((G26-G82)/G95,0)</f>
        <v>47.7149209633779</v>
      </c>
      <c r="H96" s="51" t="n">
        <f aca="false">IFERROR((H26-H82)/H95,0)</f>
        <v>54.6148781075789</v>
      </c>
      <c r="I96" s="51" t="n">
        <f aca="false">IFERROR((I26-I82)/I95,0)</f>
        <v>59.7820590241839</v>
      </c>
      <c r="J96" s="51" t="n">
        <f aca="false">IFERROR((J26-J82)/J95,0)</f>
        <v>66.9883998208097</v>
      </c>
      <c r="K96" s="51" t="n">
        <f aca="false">IFERROR((K26-K82)/K95,0)</f>
        <v>72.981164224443</v>
      </c>
      <c r="L96" s="51" t="n">
        <f aca="false">IFERROR((L26-L82)/L95,0)</f>
        <v>78.3017366262266</v>
      </c>
      <c r="M96" s="51" t="n">
        <f aca="false">IFERROR((M26-M82)/M95,0)</f>
        <v>83.0044236826722</v>
      </c>
      <c r="N96" s="51" t="n">
        <f aca="false">IFERROR((N26-N82)/N95,0)</f>
        <v>87.1500892968955</v>
      </c>
      <c r="O96" s="51" t="n">
        <f aca="false">IFERROR((O26-O82)/O95,0)</f>
        <v>90.8006086902492</v>
      </c>
      <c r="P96" s="51" t="n">
        <f aca="false">IFERROR((P26-P82)/P95,0)</f>
        <v>94.0166175407593</v>
      </c>
      <c r="Q96" s="51" t="n">
        <f aca="false">IFERROR((Q26-Q82)/Q95,0)</f>
        <v>96.8545797831091</v>
      </c>
      <c r="R96" s="51" t="n">
        <f aca="false">IFERROR((R26-R82)/R95,0)</f>
        <v>99.3651799711175</v>
      </c>
      <c r="S96" s="51" t="n">
        <f aca="false">IFERROR((S26-S82)/S95,0)</f>
        <v>101.592715619666</v>
      </c>
      <c r="T96" s="51" t="n">
        <f aca="false">IFERROR((T26-T82)/T95,0)</f>
        <v>103.575142598709</v>
      </c>
      <c r="U96" s="51" t="n">
        <f aca="false">IFERROR((U26-U82)/U95,0)</f>
        <v>105.344500977491</v>
      </c>
      <c r="V96" s="51" t="n">
        <f aca="false">IFERROR((V26-V82)/V95,0)</f>
        <v>106.927531915609</v>
      </c>
      <c r="W96" s="51" t="n">
        <f aca="false">IFERROR((W26-W82)/W95,0)</f>
        <v>108.346363114948</v>
      </c>
      <c r="X96" s="51" t="n">
        <f aca="false">IFERROR((X26-X82)/X95,0)</f>
        <v>109.619189057734</v>
      </c>
      <c r="Y96" s="51" t="n">
        <f aca="false">IFERROR((Y26-Y82)/Y95,0)</f>
        <v>110.760905501971</v>
      </c>
      <c r="Z96" s="51" t="n">
        <f aca="false">IFERROR((Z26-Z82)/Z95,0)</f>
        <v>111.78367920525</v>
      </c>
      <c r="AA96" s="51" t="n">
        <f aca="false">IFERROR((AA26-AA82)/AA95,0)</f>
        <v>112.69744700892</v>
      </c>
      <c r="AB96" s="51" t="n">
        <f aca="false">IFERROR((AB26-AB82)/AB95,0)</f>
        <v>113.615287249055</v>
      </c>
      <c r="AC96" s="51" t="n">
        <f aca="false">IFERROR((AC26-AC82)/AC95,0)</f>
        <v>114.451504274679</v>
      </c>
      <c r="AD96" s="51" t="n">
        <f aca="false">IFERROR((AD26-AD82)/AD95,0)</f>
        <v>115.127244902506</v>
      </c>
      <c r="AE96" s="51" t="n">
        <f aca="false">IFERROR((AE26-AE82)/AE95,0)</f>
        <v>115.666817124308</v>
      </c>
      <c r="AF96" s="51" t="n">
        <f aca="false">IFERROR((AF26-AF82)/AF95,0)</f>
        <v>116.078180495069</v>
      </c>
      <c r="AG96" s="51" t="n">
        <f aca="false">IFERROR((AG26-AG82)/AG95,0)</f>
        <v>116.368352497133</v>
      </c>
      <c r="AH96" s="51" t="n">
        <f aca="false">IFERROR((AH26-AH82)/AH95,0)</f>
        <v>116.543630343519</v>
      </c>
      <c r="AI96" s="51" t="n">
        <f aca="false">IFERROR((AI26-AI82)/AI95,0)</f>
        <v>116.609825358531</v>
      </c>
      <c r="AJ96" s="51" t="n">
        <f aca="false">IFERROR((AJ26-AJ82)/AJ95,0)</f>
        <v>116.572422355705</v>
      </c>
      <c r="AK96" s="51" t="n">
        <f aca="false">IFERROR((AK26-AK82)/AK95,0)</f>
        <v>116.436710675444</v>
      </c>
      <c r="AL96" s="51" t="n">
        <f aca="false">IFERROR((AL26-AL82)/AL95,0)</f>
        <v>116.207891646589</v>
      </c>
      <c r="AM96" s="51" t="n">
        <f aca="false">AVERAGE(N96:AL96)</f>
        <v>108.500496688199</v>
      </c>
    </row>
    <row r="97" customFormat="false" ht="15" hidden="false" customHeight="false" outlineLevel="0" collapsed="false">
      <c r="A97" s="10" t="s">
        <v>831</v>
      </c>
      <c r="B97" s="9" t="s">
        <v>97</v>
      </c>
      <c r="C97" s="63" t="n">
        <f aca="false">IFERROR(C18/(C19*Assumptions!$E$49*Assumptions!$E$31*Assumptions!$E$32),0)</f>
        <v>0</v>
      </c>
      <c r="D97" s="63" t="n">
        <f aca="false">IFERROR(D18/(D19*Assumptions!$E$49*Assumptions!$E$31*Assumptions!$E$32),0)</f>
        <v>58.2010582010582</v>
      </c>
      <c r="E97" s="63" t="n">
        <f aca="false">IFERROR(E18/(E19*Assumptions!$E$49*Assumptions!$E$31*Assumptions!$E$32),0)</f>
        <v>58.2010582010582</v>
      </c>
      <c r="F97" s="63" t="n">
        <f aca="false">IFERROR(F18/(F19*Assumptions!$E$49*Assumptions!$E$31*Assumptions!$E$32),0)</f>
        <v>58.2010582010582</v>
      </c>
      <c r="G97" s="63" t="n">
        <f aca="false">IFERROR(G18/(G19*Assumptions!$E$49*Assumptions!$E$31*Assumptions!$E$32),0)</f>
        <v>58.2010582010582</v>
      </c>
      <c r="H97" s="63" t="n">
        <f aca="false">IFERROR(H18/(H19*Assumptions!$E$49*Assumptions!$E$31*Assumptions!$E$32),0)</f>
        <v>58.2010582010582</v>
      </c>
      <c r="I97" s="63" t="n">
        <f aca="false">IFERROR(I18/(I19*Assumptions!$E$49*Assumptions!$E$31*Assumptions!$E$32),0)</f>
        <v>58.2010582010582</v>
      </c>
      <c r="J97" s="63" t="n">
        <f aca="false">IFERROR(J18/(J19*Assumptions!$E$49*Assumptions!$E$31*Assumptions!$E$32),0)</f>
        <v>58.2010582010582</v>
      </c>
      <c r="K97" s="63" t="n">
        <f aca="false">IFERROR(K18/(K19*Assumptions!$E$49*Assumptions!$E$31*Assumptions!$E$32),0)</f>
        <v>58.2010582010582</v>
      </c>
      <c r="L97" s="63" t="n">
        <f aca="false">IFERROR(L18/(L19*Assumptions!$E$49*Assumptions!$E$31*Assumptions!$E$32),0)</f>
        <v>58.2010582010582</v>
      </c>
      <c r="M97" s="63" t="n">
        <f aca="false">IFERROR(M18/(M19*Assumptions!$E$49*Assumptions!$E$31*Assumptions!$E$32),0)</f>
        <v>58.2010582010582</v>
      </c>
      <c r="N97" s="63" t="n">
        <f aca="false">IFERROR(N18/(N19*Assumptions!$E$49*Assumptions!$E$31*Assumptions!$E$32),0)</f>
        <v>58.2010582010582</v>
      </c>
      <c r="O97" s="63" t="n">
        <f aca="false">IFERROR(O18/(O19*Assumptions!$E$49*Assumptions!$E$31*Assumptions!$E$32),0)</f>
        <v>58.2010582010582</v>
      </c>
      <c r="P97" s="63" t="n">
        <f aca="false">IFERROR(P18/(P19*Assumptions!$E$49*Assumptions!$E$31*Assumptions!$E$32),0)</f>
        <v>58.2010582010582</v>
      </c>
      <c r="Q97" s="63" t="n">
        <f aca="false">IFERROR(Q18/(Q19*Assumptions!$E$49*Assumptions!$E$31*Assumptions!$E$32),0)</f>
        <v>58.2010582010582</v>
      </c>
      <c r="R97" s="63" t="n">
        <f aca="false">IFERROR(R18/(R19*Assumptions!$E$49*Assumptions!$E$31*Assumptions!$E$32),0)</f>
        <v>58.2010582010582</v>
      </c>
      <c r="S97" s="63" t="n">
        <f aca="false">IFERROR(S18/(S19*Assumptions!$E$49*Assumptions!$E$31*Assumptions!$E$32),0)</f>
        <v>58.2010582010582</v>
      </c>
      <c r="T97" s="63" t="n">
        <f aca="false">IFERROR(T18/(T19*Assumptions!$E$49*Assumptions!$E$31*Assumptions!$E$32),0)</f>
        <v>58.2010582010582</v>
      </c>
      <c r="U97" s="63" t="n">
        <f aca="false">IFERROR(U18/(U19*Assumptions!$E$49*Assumptions!$E$31*Assumptions!$E$32),0)</f>
        <v>58.2010582010582</v>
      </c>
      <c r="V97" s="63" t="n">
        <f aca="false">IFERROR(V18/(V19*Assumptions!$E$49*Assumptions!$E$31*Assumptions!$E$32),0)</f>
        <v>58.2010582010582</v>
      </c>
      <c r="W97" s="63" t="n">
        <f aca="false">IFERROR(W18/(W19*Assumptions!$E$49*Assumptions!$E$31*Assumptions!$E$32),0)</f>
        <v>58.2010582010582</v>
      </c>
      <c r="X97" s="63" t="n">
        <f aca="false">IFERROR(X18/(X19*Assumptions!$E$49*Assumptions!$E$31*Assumptions!$E$32),0)</f>
        <v>58.2010582010582</v>
      </c>
      <c r="Y97" s="63" t="n">
        <f aca="false">IFERROR(Y18/(Y19*Assumptions!$E$49*Assumptions!$E$31*Assumptions!$E$32),0)</f>
        <v>58.2010582010582</v>
      </c>
      <c r="Z97" s="63" t="n">
        <f aca="false">IFERROR(Z18/(Z19*Assumptions!$E$49*Assumptions!$E$31*Assumptions!$E$32),0)</f>
        <v>58.2010582010582</v>
      </c>
      <c r="AA97" s="63" t="n">
        <f aca="false">IFERROR(AA18/(AA19*Assumptions!$E$49*Assumptions!$E$31*Assumptions!$E$32),0)</f>
        <v>58.2010582010582</v>
      </c>
      <c r="AB97" s="63" t="n">
        <f aca="false">IFERROR(AB18/(AB19*Assumptions!$E$49*Assumptions!$E$31*Assumptions!$E$32),0)</f>
        <v>58.2010582010582</v>
      </c>
      <c r="AC97" s="63" t="n">
        <f aca="false">IFERROR(AC18/(AC19*Assumptions!$E$49*Assumptions!$E$31*Assumptions!$E$32),0)</f>
        <v>58.2010582010582</v>
      </c>
      <c r="AD97" s="63" t="n">
        <f aca="false">IFERROR(AD18/(AD19*Assumptions!$E$49*Assumptions!$E$31*Assumptions!$E$32),0)</f>
        <v>58.2010582010582</v>
      </c>
      <c r="AE97" s="63" t="n">
        <f aca="false">IFERROR(AE18/(AE19*Assumptions!$E$49*Assumptions!$E$31*Assumptions!$E$32),0)</f>
        <v>58.2010582010582</v>
      </c>
      <c r="AF97" s="63" t="n">
        <f aca="false">IFERROR(AF18/(AF19*Assumptions!$E$49*Assumptions!$E$31*Assumptions!$E$32),0)</f>
        <v>58.2010582010582</v>
      </c>
      <c r="AG97" s="63" t="n">
        <f aca="false">IFERROR(AG18/(AG19*Assumptions!$E$49*Assumptions!$E$31*Assumptions!$E$32),0)</f>
        <v>58.2010582010582</v>
      </c>
      <c r="AH97" s="63" t="n">
        <f aca="false">IFERROR(AH18/(AH19*Assumptions!$E$49*Assumptions!$E$31*Assumptions!$E$32),0)</f>
        <v>58.2010582010582</v>
      </c>
      <c r="AI97" s="63" t="n">
        <f aca="false">IFERROR(AI18/(AI19*Assumptions!$E$49*Assumptions!$E$31*Assumptions!$E$32),0)</f>
        <v>58.2010582010582</v>
      </c>
      <c r="AJ97" s="63" t="n">
        <f aca="false">IFERROR(AJ18/(AJ19*Assumptions!$E$49*Assumptions!$E$31*Assumptions!$E$32),0)</f>
        <v>58.2010582010582</v>
      </c>
      <c r="AK97" s="63" t="n">
        <f aca="false">IFERROR(AK18/(AK19*Assumptions!$E$49*Assumptions!$E$31*Assumptions!$E$32),0)</f>
        <v>58.2010582010582</v>
      </c>
      <c r="AL97" s="63" t="n">
        <f aca="false">IFERROR(AL18/(AL19*Assumptions!$E$49*Assumptions!$E$31*Assumptions!$E$32),0)</f>
        <v>58.2010582010582</v>
      </c>
      <c r="AM97" s="63" t="n">
        <f aca="false">AVERAGE(N97:AL97)</f>
        <v>58.2010582010582</v>
      </c>
    </row>
    <row r="98" customFormat="false" ht="15" hidden="false" customHeight="false" outlineLevel="0" collapsed="false">
      <c r="A98" s="10" t="s">
        <v>832</v>
      </c>
      <c r="B98" s="9" t="s">
        <v>97</v>
      </c>
      <c r="C98" s="63" t="n">
        <f aca="false">IFERROR(C22/(C23*Assumptions!$E$49*Assumptions!$E$38*Assumptions!$E$39),0)</f>
        <v>0</v>
      </c>
      <c r="D98" s="63" t="n">
        <f aca="false">IFERROR(D22/(D23*Assumptions!$E$49*Assumptions!$E$38*Assumptions!$E$39),0)</f>
        <v>161.111111111111</v>
      </c>
      <c r="E98" s="63" t="n">
        <f aca="false">IFERROR(E22/(E23*Assumptions!$E$49*Assumptions!$E$38*Assumptions!$E$39),0)</f>
        <v>161.111111111111</v>
      </c>
      <c r="F98" s="63" t="n">
        <f aca="false">IFERROR(F22/(F23*Assumptions!$E$49*Assumptions!$E$38*Assumptions!$E$39),0)</f>
        <v>161.111111111111</v>
      </c>
      <c r="G98" s="63" t="n">
        <f aca="false">IFERROR(G22/(G23*Assumptions!$E$49*Assumptions!$E$38*Assumptions!$E$39),0)</f>
        <v>161.111111111111</v>
      </c>
      <c r="H98" s="63" t="n">
        <f aca="false">IFERROR(H22/(H23*Assumptions!$E$49*Assumptions!$E$38*Assumptions!$E$39),0)</f>
        <v>161.111111111111</v>
      </c>
      <c r="I98" s="63" t="n">
        <f aca="false">IFERROR(I22/(I23*Assumptions!$E$49*Assumptions!$E$38*Assumptions!$E$39),0)</f>
        <v>161.111111111111</v>
      </c>
      <c r="J98" s="63" t="n">
        <f aca="false">IFERROR(J22/(J23*Assumptions!$E$49*Assumptions!$E$38*Assumptions!$E$39),0)</f>
        <v>161.111111111111</v>
      </c>
      <c r="K98" s="63" t="n">
        <f aca="false">IFERROR(K22/(K23*Assumptions!$E$49*Assumptions!$E$38*Assumptions!$E$39),0)</f>
        <v>161.111111111111</v>
      </c>
      <c r="L98" s="63" t="n">
        <f aca="false">IFERROR(L22/(L23*Assumptions!$E$49*Assumptions!$E$38*Assumptions!$E$39),0)</f>
        <v>161.111111111111</v>
      </c>
      <c r="M98" s="63" t="n">
        <f aca="false">IFERROR(M22/(M23*Assumptions!$E$49*Assumptions!$E$38*Assumptions!$E$39),0)</f>
        <v>161.111111111111</v>
      </c>
      <c r="N98" s="63" t="n">
        <f aca="false">IFERROR(N22/(N23*Assumptions!$E$49*Assumptions!$E$38*Assumptions!$E$39),0)</f>
        <v>161.111111111111</v>
      </c>
      <c r="O98" s="63" t="n">
        <f aca="false">IFERROR(O22/(O23*Assumptions!$E$49*Assumptions!$E$38*Assumptions!$E$39),0)</f>
        <v>161.111111111111</v>
      </c>
      <c r="P98" s="63" t="n">
        <f aca="false">IFERROR(P22/(P23*Assumptions!$E$49*Assumptions!$E$38*Assumptions!$E$39),0)</f>
        <v>161.111111111111</v>
      </c>
      <c r="Q98" s="63" t="n">
        <f aca="false">IFERROR(Q22/(Q23*Assumptions!$E$49*Assumptions!$E$38*Assumptions!$E$39),0)</f>
        <v>161.111111111111</v>
      </c>
      <c r="R98" s="63" t="n">
        <f aca="false">IFERROR(R22/(R23*Assumptions!$E$49*Assumptions!$E$38*Assumptions!$E$39),0)</f>
        <v>161.111111111111</v>
      </c>
      <c r="S98" s="63" t="n">
        <f aca="false">IFERROR(S22/(S23*Assumptions!$E$49*Assumptions!$E$38*Assumptions!$E$39),0)</f>
        <v>161.111111111111</v>
      </c>
      <c r="T98" s="63" t="n">
        <f aca="false">IFERROR(T22/(T23*Assumptions!$E$49*Assumptions!$E$38*Assumptions!$E$39),0)</f>
        <v>161.111111111111</v>
      </c>
      <c r="U98" s="63" t="n">
        <f aca="false">IFERROR(U22/(U23*Assumptions!$E$49*Assumptions!$E$38*Assumptions!$E$39),0)</f>
        <v>161.111111111111</v>
      </c>
      <c r="V98" s="63" t="n">
        <f aca="false">IFERROR(V22/(V23*Assumptions!$E$49*Assumptions!$E$38*Assumptions!$E$39),0)</f>
        <v>161.111111111111</v>
      </c>
      <c r="W98" s="63" t="n">
        <f aca="false">IFERROR(W22/(W23*Assumptions!$E$49*Assumptions!$E$38*Assumptions!$E$39),0)</f>
        <v>161.111111111111</v>
      </c>
      <c r="X98" s="63" t="n">
        <f aca="false">IFERROR(X22/(X23*Assumptions!$E$49*Assumptions!$E$38*Assumptions!$E$39),0)</f>
        <v>161.111111111111</v>
      </c>
      <c r="Y98" s="63" t="n">
        <f aca="false">IFERROR(Y22/(Y23*Assumptions!$E$49*Assumptions!$E$38*Assumptions!$E$39),0)</f>
        <v>161.111111111111</v>
      </c>
      <c r="Z98" s="63" t="n">
        <f aca="false">IFERROR(Z22/(Z23*Assumptions!$E$49*Assumptions!$E$38*Assumptions!$E$39),0)</f>
        <v>161.111111111111</v>
      </c>
      <c r="AA98" s="63" t="n">
        <f aca="false">IFERROR(AA22/(AA23*Assumptions!$E$49*Assumptions!$E$38*Assumptions!$E$39),0)</f>
        <v>161.111111111111</v>
      </c>
      <c r="AB98" s="63" t="n">
        <f aca="false">IFERROR(AB22/(AB23*Assumptions!$E$49*Assumptions!$E$38*Assumptions!$E$39),0)</f>
        <v>161.111111111111</v>
      </c>
      <c r="AC98" s="63" t="n">
        <f aca="false">IFERROR(AC22/(AC23*Assumptions!$E$49*Assumptions!$E$38*Assumptions!$E$39),0)</f>
        <v>161.111111111111</v>
      </c>
      <c r="AD98" s="63" t="n">
        <f aca="false">IFERROR(AD22/(AD23*Assumptions!$E$49*Assumptions!$E$38*Assumptions!$E$39),0)</f>
        <v>161.111111111111</v>
      </c>
      <c r="AE98" s="63" t="n">
        <f aca="false">IFERROR(AE22/(AE23*Assumptions!$E$49*Assumptions!$E$38*Assumptions!$E$39),0)</f>
        <v>161.111111111111</v>
      </c>
      <c r="AF98" s="63" t="n">
        <f aca="false">IFERROR(AF22/(AF23*Assumptions!$E$49*Assumptions!$E$38*Assumptions!$E$39),0)</f>
        <v>161.111111111111</v>
      </c>
      <c r="AG98" s="63" t="n">
        <f aca="false">IFERROR(AG22/(AG23*Assumptions!$E$49*Assumptions!$E$38*Assumptions!$E$39),0)</f>
        <v>161.111111111111</v>
      </c>
      <c r="AH98" s="63" t="n">
        <f aca="false">IFERROR(AH22/(AH23*Assumptions!$E$49*Assumptions!$E$38*Assumptions!$E$39),0)</f>
        <v>161.111111111111</v>
      </c>
      <c r="AI98" s="63" t="n">
        <f aca="false">IFERROR(AI22/(AI23*Assumptions!$E$49*Assumptions!$E$38*Assumptions!$E$39),0)</f>
        <v>161.111111111111</v>
      </c>
      <c r="AJ98" s="63" t="n">
        <f aca="false">IFERROR(AJ22/(AJ23*Assumptions!$E$49*Assumptions!$E$38*Assumptions!$E$39),0)</f>
        <v>161.111111111111</v>
      </c>
      <c r="AK98" s="63" t="n">
        <f aca="false">IFERROR(AK22/(AK23*Assumptions!$E$49*Assumptions!$E$38*Assumptions!$E$39),0)</f>
        <v>161.111111111111</v>
      </c>
      <c r="AL98" s="63" t="n">
        <f aca="false">IFERROR(AL22/(AL23*Assumptions!$E$49*Assumptions!$E$38*Assumptions!$E$39),0)</f>
        <v>161.111111111111</v>
      </c>
      <c r="AM98" s="63" t="n">
        <f aca="false">AVERAGE(N98:AL98)</f>
        <v>161.111111111111</v>
      </c>
    </row>
    <row r="99" customFormat="false" ht="15" hidden="false" customHeight="false" outlineLevel="0" collapsed="false">
      <c r="A99" s="10" t="s">
        <v>833</v>
      </c>
      <c r="B99" s="9" t="s">
        <v>97</v>
      </c>
      <c r="C99" s="63" t="n">
        <f aca="false">IFERROR(C24/(C25*Assumptions!$E$49*Assumptions!$E$43),0)</f>
        <v>88.8829500645938</v>
      </c>
      <c r="D99" s="63" t="n">
        <f aca="false">IFERROR(D24/(D25*Assumptions!$E$49*Assumptions!$E$43),0)</f>
        <v>0</v>
      </c>
      <c r="E99" s="63" t="n">
        <f aca="false">IFERROR(E24/(E25*Assumptions!$E$49*Assumptions!$E$43),0)</f>
        <v>78.3823555585172</v>
      </c>
      <c r="F99" s="63" t="n">
        <f aca="false">IFERROR(F24/(F25*Assumptions!$E$49*Assumptions!$E$43),0)</f>
        <v>108.902573377638</v>
      </c>
      <c r="G99" s="63" t="n">
        <f aca="false">IFERROR(G24/(G25*Assumptions!$E$49*Assumptions!$E$43),0)</f>
        <v>126.978568052262</v>
      </c>
      <c r="H99" s="63" t="n">
        <f aca="false">IFERROR(H24/(H25*Assumptions!$E$49*Assumptions!$E$43),0)</f>
        <v>139.404236001812</v>
      </c>
      <c r="I99" s="63" t="n">
        <f aca="false">IFERROR(I24/(I25*Assumptions!$E$49*Assumptions!$E$43),0)</f>
        <v>148.0181744794</v>
      </c>
      <c r="J99" s="63" t="n">
        <f aca="false">IFERROR(J24/(J25*Assumptions!$E$49*Assumptions!$E$43),0)</f>
        <v>156.909617080082</v>
      </c>
      <c r="K99" s="63" t="n">
        <f aca="false">IFERROR(K24/(K25*Assumptions!$E$49*Assumptions!$E$43),0)</f>
        <v>163.099847646822</v>
      </c>
      <c r="L99" s="63" t="n">
        <f aca="false">IFERROR(L24/(L25*Assumptions!$E$49*Assumptions!$E$43),0)</f>
        <v>168.205177155678</v>
      </c>
      <c r="M99" s="63" t="n">
        <f aca="false">IFERROR(M24/(M25*Assumptions!$E$49*Assumptions!$E$43),0)</f>
        <v>172.530965649124</v>
      </c>
      <c r="N99" s="63" t="n">
        <f aca="false">IFERROR(N24/(N25*Assumptions!$E$49*Assumptions!$E$43),0)</f>
        <v>176.286967993782</v>
      </c>
      <c r="O99" s="63" t="n">
        <f aca="false">IFERROR(O24/(O25*Assumptions!$E$49*Assumptions!$E$43),0)</f>
        <v>179.614977110375</v>
      </c>
      <c r="P99" s="63" t="n">
        <f aca="false">IFERROR(P24/(P25*Assumptions!$E$49*Assumptions!$E$43),0)</f>
        <v>182.615595407275</v>
      </c>
      <c r="Q99" s="63" t="n">
        <f aca="false">IFERROR(Q24/(Q25*Assumptions!$E$49*Assumptions!$E$43),0)</f>
        <v>185.36234483147</v>
      </c>
      <c r="R99" s="63" t="n">
        <f aca="false">IFERROR(R24/(R25*Assumptions!$E$49*Assumptions!$E$43),0)</f>
        <v>187.910281473347</v>
      </c>
      <c r="S99" s="63" t="n">
        <f aca="false">IFERROR(S24/(S25*Assumptions!$E$49*Assumptions!$E$43),0)</f>
        <v>190.301493494323</v>
      </c>
      <c r="T99" s="63" t="n">
        <f aca="false">IFERROR(T24/(T25*Assumptions!$E$49*Assumptions!$E$43),0)</f>
        <v>192.568753585141</v>
      </c>
      <c r="U99" s="63" t="n">
        <f aca="false">IFERROR(U24/(U25*Assumptions!$E$49*Assumptions!$E$43),0)</f>
        <v>194.738024488758</v>
      </c>
      <c r="V99" s="63" t="n">
        <f aca="false">IFERROR(V24/(V25*Assumptions!$E$49*Assumptions!$E$43),0)</f>
        <v>196.830223255258</v>
      </c>
      <c r="W99" s="63" t="n">
        <f aca="false">IFERROR(W24/(W25*Assumptions!$E$49*Assumptions!$E$43),0)</f>
        <v>198.862490443528</v>
      </c>
      <c r="X99" s="63" t="n">
        <f aca="false">IFERROR(X24/(X25*Assumptions!$E$49*Assumptions!$E$43),0)</f>
        <v>200.849119496989</v>
      </c>
      <c r="Y99" s="63" t="n">
        <f aca="false">IFERROR(Y24/(Y25*Assumptions!$E$49*Assumptions!$E$43),0)</f>
        <v>202.802247398549</v>
      </c>
      <c r="Z99" s="63" t="n">
        <f aca="false">IFERROR(Z24/(Z25*Assumptions!$E$49*Assumptions!$E$43),0)</f>
        <v>204.732374324377</v>
      </c>
      <c r="AA99" s="63" t="n">
        <f aca="false">IFERROR(AA24/(AA25*Assumptions!$E$49*Assumptions!$E$43),0)</f>
        <v>206.648758751428</v>
      </c>
      <c r="AB99" s="63" t="n">
        <f aca="false">IFERROR(AB24/(AB25*Assumptions!$E$49*Assumptions!$E$43),0)</f>
        <v>208.559720540238</v>
      </c>
      <c r="AC99" s="63" t="n">
        <f aca="false">IFERROR(AC24/(AC25*Assumptions!$E$49*Assumptions!$E$43),0)</f>
        <v>210.415065843821</v>
      </c>
      <c r="AD99" s="63" t="n">
        <f aca="false">IFERROR(AD24/(AD25*Assumptions!$E$49*Assumptions!$E$43),0)</f>
        <v>212.209117980949</v>
      </c>
      <c r="AE99" s="63" t="n">
        <f aca="false">IFERROR(AE24/(AE25*Assumptions!$E$49*Assumptions!$E$43),0)</f>
        <v>213.967964929488</v>
      </c>
      <c r="AF99" s="63" t="n">
        <f aca="false">IFERROR(AF24/(AF25*Assumptions!$E$49*Assumptions!$E$43),0)</f>
        <v>215.701478679689</v>
      </c>
      <c r="AG99" s="63" t="n">
        <f aca="false">IFERROR(AG24/(AG25*Assumptions!$E$49*Assumptions!$E$43),0)</f>
        <v>217.418953366659</v>
      </c>
      <c r="AH99" s="63" t="n">
        <f aca="false">IFERROR(AH24/(AH25*Assumptions!$E$49*Assumptions!$E$43),0)</f>
        <v>219.129072744251</v>
      </c>
      <c r="AI99" s="63" t="n">
        <f aca="false">IFERROR(AI24/(AI25*Assumptions!$E$49*Assumptions!$E$43),0)</f>
        <v>220.840055870475</v>
      </c>
      <c r="AJ99" s="63" t="n">
        <f aca="false">IFERROR(AJ24/(AJ25*Assumptions!$E$49*Assumptions!$E$43),0)</f>
        <v>222.559752979765</v>
      </c>
      <c r="AK99" s="63" t="n">
        <f aca="false">IFERROR(AK24/(AK25*Assumptions!$E$49*Assumptions!$E$43),0)</f>
        <v>224.295722495271</v>
      </c>
      <c r="AL99" s="63" t="n">
        <f aca="false">IFERROR(AL24/(AL25*Assumptions!$E$49*Assumptions!$E$43),0)</f>
        <v>226.055292253084</v>
      </c>
      <c r="AM99" s="63" t="n">
        <f aca="false">AVERAGE(N99:AL99)</f>
        <v>203.651033989532</v>
      </c>
    </row>
    <row r="100" customFormat="false" ht="15" hidden="false" customHeight="false" outlineLevel="0" collapsed="false">
      <c r="A100" s="37" t="s">
        <v>834</v>
      </c>
      <c r="B100" s="9" t="s">
        <v>97</v>
      </c>
      <c r="C100" s="51" t="n">
        <f aca="false">IFERROR(C26/((C19*Assumptions!$E$31*Assumptions!$E$32+C23*Assumptions!$E$38*Assumptions!$E$39+C25*Assumptions!$E$43)*Assumptions!$E$49),0)</f>
        <v>88.8829500645938</v>
      </c>
      <c r="D100" s="51" t="n">
        <f aca="false">IFERROR(D26/((D19*Assumptions!$E$31*Assumptions!$E$32+D23*Assumptions!$E$38*Assumptions!$E$39+D25*Assumptions!$E$43)*Assumptions!$E$49),0)</f>
        <v>61.9290080961943</v>
      </c>
      <c r="E100" s="51" t="n">
        <f aca="false">IFERROR(E26/((E19*Assumptions!$E$31*Assumptions!$E$32+E23*Assumptions!$E$38*Assumptions!$E$39+E25*Assumptions!$E$43)*Assumptions!$E$49),0)</f>
        <v>127.891340160555</v>
      </c>
      <c r="F100" s="51" t="n">
        <f aca="false">IFERROR(F26/((F19*Assumptions!$E$31*Assumptions!$E$32+F23*Assumptions!$E$38*Assumptions!$E$39+F25*Assumptions!$E$43)*Assumptions!$E$49),0)</f>
        <v>124.609959484022</v>
      </c>
      <c r="G100" s="51" t="n">
        <f aca="false">IFERROR(G26/((G19*Assumptions!$E$31*Assumptions!$E$32+G23*Assumptions!$E$38*Assumptions!$E$39+G25*Assumptions!$E$43)*Assumptions!$E$49),0)</f>
        <v>128.526716290204</v>
      </c>
      <c r="H100" s="51" t="n">
        <f aca="false">IFERROR(H26/((H19*Assumptions!$E$31*Assumptions!$E$32+H23*Assumptions!$E$38*Assumptions!$E$39+H25*Assumptions!$E$43)*Assumptions!$E$49),0)</f>
        <v>133.926634529018</v>
      </c>
      <c r="I100" s="51" t="n">
        <f aca="false">IFERROR(I26/((I19*Assumptions!$E$31*Assumptions!$E$32+I23*Assumptions!$E$38*Assumptions!$E$39+I25*Assumptions!$E$43)*Assumptions!$E$49),0)</f>
        <v>138.942953837122</v>
      </c>
      <c r="J100" s="51" t="n">
        <f aca="false">IFERROR(J26/((J19*Assumptions!$E$31*Assumptions!$E$32+J23*Assumptions!$E$38*Assumptions!$E$39+J25*Assumptions!$E$43)*Assumptions!$E$49),0)</f>
        <v>144.929510088092</v>
      </c>
      <c r="K100" s="51" t="n">
        <f aca="false">IFERROR(K26/((K19*Assumptions!$E$31*Assumptions!$E$32+K23*Assumptions!$E$38*Assumptions!$E$39+K25*Assumptions!$E$43)*Assumptions!$E$49),0)</f>
        <v>149.686023956899</v>
      </c>
      <c r="L100" s="51" t="n">
        <f aca="false">IFERROR(L26/((L19*Assumptions!$E$31*Assumptions!$E$32+L23*Assumptions!$E$38*Assumptions!$E$39+L25*Assumptions!$E$43)*Assumptions!$E$49),0)</f>
        <v>153.866645271176</v>
      </c>
      <c r="M100" s="51" t="n">
        <f aca="false">IFERROR(M26/((M19*Assumptions!$E$31*Assumptions!$E$32+M23*Assumptions!$E$38*Assumptions!$E$39+M25*Assumptions!$E$43)*Assumptions!$E$49),0)</f>
        <v>157.5569335594</v>
      </c>
      <c r="N100" s="51" t="n">
        <f aca="false">IFERROR(N26/((N19*Assumptions!$E$31*Assumptions!$E$32+N23*Assumptions!$E$38*Assumptions!$E$39+N25*Assumptions!$E$43)*Assumptions!$E$49),0)</f>
        <v>160.840792475439</v>
      </c>
      <c r="O100" s="51" t="n">
        <f aca="false">IFERROR(O26/((O19*Assumptions!$E$31*Assumptions!$E$32+O23*Assumptions!$E$38*Assumptions!$E$39+O25*Assumptions!$E$43)*Assumptions!$E$49),0)</f>
        <v>163.789301460357</v>
      </c>
      <c r="P100" s="51" t="n">
        <f aca="false">IFERROR(P26/((P19*Assumptions!$E$31*Assumptions!$E$32+P23*Assumptions!$E$38*Assumptions!$E$39+P25*Assumptions!$E$43)*Assumptions!$E$49),0)</f>
        <v>166.462245699927</v>
      </c>
      <c r="Q100" s="51" t="n">
        <f aca="false">IFERROR(Q26/((Q19*Assumptions!$E$31*Assumptions!$E$32+Q23*Assumptions!$E$38*Assumptions!$E$39+Q25*Assumptions!$E$43)*Assumptions!$E$49),0)</f>
        <v>168.909185322769</v>
      </c>
      <c r="R100" s="51" t="n">
        <f aca="false">IFERROR(R26/((R19*Assumptions!$E$31*Assumptions!$E$32+R23*Assumptions!$E$38*Assumptions!$E$39+R25*Assumptions!$E$43)*Assumptions!$E$49),0)</f>
        <v>171.170917454205</v>
      </c>
      <c r="S100" s="51" t="n">
        <f aca="false">IFERROR(S26/((S19*Assumptions!$E$31*Assumptions!$E$32+S23*Assumptions!$E$38*Assumptions!$E$39+S25*Assumptions!$E$43)*Assumptions!$E$49),0)</f>
        <v>173.280931914654</v>
      </c>
      <c r="T100" s="51" t="n">
        <f aca="false">IFERROR(T26/((T19*Assumptions!$E$31*Assumptions!$E$32+T23*Assumptions!$E$38*Assumptions!$E$39+T25*Assumptions!$E$43)*Assumptions!$E$49),0)</f>
        <v>175.266722035897</v>
      </c>
      <c r="U100" s="51" t="n">
        <f aca="false">IFERROR(U26/((U19*Assumptions!$E$31*Assumptions!$E$32+U23*Assumptions!$E$38*Assumptions!$E$39+U25*Assumptions!$E$43)*Assumptions!$E$49),0)</f>
        <v>177.150909178836</v>
      </c>
      <c r="V100" s="51" t="n">
        <f aca="false">IFERROR(V26/((V19*Assumptions!$E$31*Assumptions!$E$32+V23*Assumptions!$E$38*Assumptions!$E$39+V25*Assumptions!$E$43)*Assumptions!$E$49),0)</f>
        <v>178.952182528533</v>
      </c>
      <c r="W100" s="51" t="n">
        <f aca="false">IFERROR(W26/((W19*Assumptions!$E$31*Assumptions!$E$32+W23*Assumptions!$E$38*Assumptions!$E$39+W25*Assumptions!$E$43)*Assumptions!$E$49),0)</f>
        <v>180.686072536951</v>
      </c>
      <c r="X100" s="51" t="n">
        <f aca="false">IFERROR(X26/((X19*Assumptions!$E$31*Assumptions!$E$32+X23*Assumptions!$E$38*Assumptions!$E$39+X25*Assumptions!$E$43)*Assumptions!$E$49),0)</f>
        <v>182.365581452187</v>
      </c>
      <c r="Y100" s="51" t="n">
        <f aca="false">IFERROR(Y26/((Y19*Assumptions!$E$31*Assumptions!$E$32+Y23*Assumptions!$E$38*Assumptions!$E$39+Y25*Assumptions!$E$43)*Assumptions!$E$49),0)</f>
        <v>184.001694258332</v>
      </c>
      <c r="Z100" s="51" t="n">
        <f aca="false">IFERROR(Z26/((Z19*Assumptions!$E$31*Assumptions!$E$32+Z23*Assumptions!$E$38*Assumptions!$E$39+Z25*Assumptions!$E$43)*Assumptions!$E$49),0)</f>
        <v>185.603791111278</v>
      </c>
      <c r="AA100" s="51" t="n">
        <f aca="false">IFERROR(AA26/((AA19*Assumptions!$E$31*Assumptions!$E$32+AA23*Assumptions!$E$38*Assumptions!$E$39+AA25*Assumptions!$E$43)*Assumptions!$E$49),0)</f>
        <v>187.179979430689</v>
      </c>
      <c r="AB100" s="51" t="n">
        <f aca="false">IFERROR(AB26/((AB19*Assumptions!$E$31*Assumptions!$E$32+AB23*Assumptions!$E$38*Assumptions!$E$39+AB25*Assumptions!$E$43)*Assumptions!$E$49),0)</f>
        <v>188.737360858101</v>
      </c>
      <c r="AC100" s="51" t="n">
        <f aca="false">IFERROR(AC26/((AC19*Assumptions!$E$31*Assumptions!$E$32+AC23*Assumptions!$E$38*Assumptions!$E$39+AC25*Assumptions!$E$43)*Assumptions!$E$49),0)</f>
        <v>190.228272184618</v>
      </c>
      <c r="AD100" s="51" t="n">
        <f aca="false">IFERROR(AD26/((AD19*Assumptions!$E$31*Assumptions!$E$32+AD23*Assumptions!$E$38*Assumptions!$E$39+AD25*Assumptions!$E$43)*Assumptions!$E$49),0)</f>
        <v>191.647164837242</v>
      </c>
      <c r="AE100" s="51" t="n">
        <f aca="false">IFERROR(AE26/((AE19*Assumptions!$E$31*Assumptions!$E$32+AE23*Assumptions!$E$38*Assumptions!$E$39+AE25*Assumptions!$E$43)*Assumptions!$E$49),0)</f>
        <v>193.017418054602</v>
      </c>
      <c r="AF100" s="51" t="n">
        <f aca="false">IFERROR(AF26/((AF19*Assumptions!$E$31*Assumptions!$E$32+AF23*Assumptions!$E$38*Assumptions!$E$39+AF25*Assumptions!$E$43)*Assumptions!$E$49),0)</f>
        <v>194.346390232416</v>
      </c>
      <c r="AG100" s="51" t="n">
        <f aca="false">IFERROR(AG26/((AG19*Assumptions!$E$31*Assumptions!$E$32+AG23*Assumptions!$E$38*Assumptions!$E$39+AG25*Assumptions!$E$43)*Assumptions!$E$49),0)</f>
        <v>195.641076128543</v>
      </c>
      <c r="AH100" s="51" t="n">
        <f aca="false">IFERROR(AH26/((AH19*Assumptions!$E$31*Assumptions!$E$32+AH23*Assumptions!$E$38*Assumptions!$E$39+AH25*Assumptions!$E$43)*Assumptions!$E$49),0)</f>
        <v>196.907862044706</v>
      </c>
      <c r="AI100" s="51" t="n">
        <f aca="false">IFERROR(AI26/((AI19*Assumptions!$E$31*Assumptions!$E$32+AI23*Assumptions!$E$38*Assumptions!$E$39+AI25*Assumptions!$E$43)*Assumptions!$E$49),0)</f>
        <v>198.152630477793</v>
      </c>
      <c r="AJ100" s="51" t="n">
        <f aca="false">IFERROR(AJ26/((AJ19*Assumptions!$E$31*Assumptions!$E$32+AJ23*Assumptions!$E$38*Assumptions!$E$39+AJ25*Assumptions!$E$43)*Assumptions!$E$49),0)</f>
        <v>199.380840661062</v>
      </c>
      <c r="AK100" s="51" t="n">
        <f aca="false">IFERROR(AK26/((AK19*Assumptions!$E$31*Assumptions!$E$32+AK23*Assumptions!$E$38*Assumptions!$E$39+AK25*Assumptions!$E$43)*Assumptions!$E$49),0)</f>
        <v>200.597596687677</v>
      </c>
      <c r="AL100" s="51" t="n">
        <f aca="false">IFERROR(AL26/((AL19*Assumptions!$E$31*Assumptions!$E$32+AL23*Assumptions!$E$38*Assumptions!$E$39+AL25*Assumptions!$E$43)*Assumptions!$E$49),0)</f>
        <v>201.807702626833</v>
      </c>
      <c r="AM100" s="51" t="n">
        <f aca="false">AVERAGE(N100:AL100)</f>
        <v>184.244984866146</v>
      </c>
    </row>
    <row r="101" customFormat="false" ht="15" hidden="false" customHeight="false" outlineLevel="0" collapsed="false">
      <c r="A101" s="37" t="s">
        <v>835</v>
      </c>
      <c r="B101" s="9" t="s">
        <v>370</v>
      </c>
      <c r="C101" s="72" t="n">
        <f aca="false">IFERROR(C100/C104,0)</f>
        <v>1.9926294452028</v>
      </c>
      <c r="D101" s="72" t="n">
        <f aca="false">IFERROR(D100/D104,0)</f>
        <v>1.38836036557067</v>
      </c>
      <c r="E101" s="72" t="n">
        <f aca="false">IFERROR(E100/E104,0)</f>
        <v>2.86714212349129</v>
      </c>
      <c r="F101" s="72" t="n">
        <f aca="false">IFERROR(F100/F104,0)</f>
        <v>2.79357823129119</v>
      </c>
      <c r="G101" s="72" t="n">
        <f aca="false">IFERROR(G100/G104,0)</f>
        <v>2.88138635350162</v>
      </c>
      <c r="H101" s="72" t="n">
        <f aca="false">IFERROR(H100/H104,0)</f>
        <v>3.0024448475832</v>
      </c>
      <c r="I101" s="72" t="n">
        <f aca="false">IFERROR(I100/I104,0)</f>
        <v>3.11490359870031</v>
      </c>
      <c r="J101" s="72" t="n">
        <f aca="false">IFERROR(J100/J104,0)</f>
        <v>3.24911368345082</v>
      </c>
      <c r="K101" s="72" t="n">
        <f aca="false">IFERROR(K100/K104,0)</f>
        <v>3.35574796578071</v>
      </c>
      <c r="L101" s="72" t="n">
        <f aca="false">IFERROR(L100/L104,0)</f>
        <v>3.44947155533323</v>
      </c>
      <c r="M101" s="72" t="n">
        <f aca="false">IFERROR(M100/M104,0)</f>
        <v>3.53220257516388</v>
      </c>
      <c r="N101" s="72" t="n">
        <f aca="false">IFERROR(N100/N104,0)</f>
        <v>3.60582202597236</v>
      </c>
      <c r="O101" s="72" t="n">
        <f aca="false">IFERROR(O100/O104,0)</f>
        <v>3.6719234078293</v>
      </c>
      <c r="P101" s="72" t="n">
        <f aca="false">IFERROR(P100/P104,0)</f>
        <v>3.73184701965005</v>
      </c>
      <c r="Q101" s="72" t="n">
        <f aca="false">IFERROR(Q100/Q104,0)</f>
        <v>3.78670392909742</v>
      </c>
      <c r="R101" s="72" t="n">
        <f aca="false">IFERROR(R100/R104,0)</f>
        <v>3.83740874975182</v>
      </c>
      <c r="S101" s="72" t="n">
        <f aca="false">IFERROR(S100/S104,0)</f>
        <v>3.88471227580085</v>
      </c>
      <c r="T101" s="72" t="n">
        <f aca="false">IFERROR(T100/T104,0)</f>
        <v>3.92923086867728</v>
      </c>
      <c r="U101" s="72" t="n">
        <f aca="false">IFERROR(U100/U104,0)</f>
        <v>3.97147166714946</v>
      </c>
      <c r="V101" s="72" t="n">
        <f aca="false">IFERROR(V100/V104,0)</f>
        <v>4.01185365619077</v>
      </c>
      <c r="W101" s="72" t="n">
        <f aca="false">IFERROR(W100/W104,0)</f>
        <v>4.05072500646666</v>
      </c>
      <c r="X101" s="72" t="n">
        <f aca="false">IFERROR(X100/X104,0)</f>
        <v>4.08837720990442</v>
      </c>
      <c r="Y101" s="72" t="n">
        <f aca="false">IFERROR(Y100/Y104,0)</f>
        <v>4.12505653423859</v>
      </c>
      <c r="Z101" s="72" t="n">
        <f aca="false">IFERROR(Z100/Z104,0)</f>
        <v>4.16097326923587</v>
      </c>
      <c r="AA101" s="72" t="n">
        <f aca="false">IFERROR(AA100/AA104,0)</f>
        <v>4.19630917172517</v>
      </c>
      <c r="AB101" s="72" t="n">
        <f aca="false">IFERROR(AB100/AB104,0)</f>
        <v>4.23122345041886</v>
      </c>
      <c r="AC101" s="72" t="n">
        <f aca="false">IFERROR(AC100/AC104,0)</f>
        <v>4.26464756389896</v>
      </c>
      <c r="AD101" s="72" t="n">
        <f aca="false">IFERROR(AD100/AD104,0)</f>
        <v>4.2964571210429</v>
      </c>
      <c r="AE101" s="72" t="n">
        <f aca="false">IFERROR(AE100/AE104,0)</f>
        <v>4.32717625116076</v>
      </c>
      <c r="AF101" s="72" t="n">
        <f aca="false">IFERROR(AF100/AF104,0)</f>
        <v>4.35696991902894</v>
      </c>
      <c r="AG101" s="72" t="n">
        <f aca="false">IFERROR(AG100/AG104,0)</f>
        <v>4.38599493717962</v>
      </c>
      <c r="AH101" s="72" t="n">
        <f aca="false">IFERROR(AH100/AH104,0)</f>
        <v>4.41439447742305</v>
      </c>
      <c r="AI101" s="72" t="n">
        <f aca="false">IFERROR(AI100/AI104,0)</f>
        <v>4.44230041698093</v>
      </c>
      <c r="AJ101" s="72" t="n">
        <f aca="false">IFERROR(AJ100/AJ104,0)</f>
        <v>4.46983514410577</v>
      </c>
      <c r="AK101" s="72" t="n">
        <f aca="false">IFERROR(AK100/AK104,0)</f>
        <v>4.49711308531383</v>
      </c>
      <c r="AL101" s="72" t="n">
        <f aca="false">IFERROR(AL100/AL104,0)</f>
        <v>4.5242419410103</v>
      </c>
      <c r="AM101" s="72" t="n">
        <f aca="false">AVERAGE(N101:AL101)</f>
        <v>4.13051076397016</v>
      </c>
    </row>
    <row r="102" customFormat="false" ht="15" hidden="false" customHeight="false" outlineLevel="0" collapsed="false">
      <c r="A102" s="10" t="s">
        <v>836</v>
      </c>
      <c r="B102" s="9" t="s">
        <v>97</v>
      </c>
      <c r="C102" s="63" t="n">
        <f aca="false">Assumptions!$E$70*(1-Assumptions!$E$80)*(1-Assumptions!$E$79)-Assumptions!$E$73-Assumptions!$E$75-Assumptions!$E$76-Assumptions!$E$77</f>
        <v>116.02563</v>
      </c>
      <c r="D102" s="63" t="n">
        <f aca="false">Assumptions!$E$70*(1-Assumptions!$E$80)*(1-Assumptions!$E$79)-Assumptions!$E$73-Assumptions!$E$75-Assumptions!$E$76-Assumptions!$E$77</f>
        <v>116.02563</v>
      </c>
      <c r="E102" s="63" t="n">
        <f aca="false">Assumptions!$E$70*(1-Assumptions!$E$80)*(1-Assumptions!$E$79)-Assumptions!$E$73-Assumptions!$E$75-Assumptions!$E$76-Assumptions!$E$77</f>
        <v>116.02563</v>
      </c>
      <c r="F102" s="63" t="n">
        <f aca="false">Assumptions!$E$70*(1-Assumptions!$E$80)*(1-Assumptions!$E$79)-Assumptions!$E$73-Assumptions!$E$75-Assumptions!$E$76-Assumptions!$E$77</f>
        <v>116.02563</v>
      </c>
      <c r="G102" s="63" t="n">
        <f aca="false">Assumptions!$E$70*(1-Assumptions!$E$80)*(1-Assumptions!$E$79)-Assumptions!$E$73-Assumptions!$E$75-Assumptions!$E$76-Assumptions!$E$77</f>
        <v>116.02563</v>
      </c>
      <c r="H102" s="63" t="n">
        <f aca="false">Assumptions!$E$70*(1-Assumptions!$E$80)*(1-Assumptions!$E$79)-Assumptions!$E$73-Assumptions!$E$75-Assumptions!$E$76-Assumptions!$E$77</f>
        <v>116.02563</v>
      </c>
      <c r="I102" s="63" t="n">
        <f aca="false">Assumptions!$E$70*(1-Assumptions!$E$80)*(1-Assumptions!$E$79)-Assumptions!$E$73-Assumptions!$E$75-Assumptions!$E$76-Assumptions!$E$77</f>
        <v>116.02563</v>
      </c>
      <c r="J102" s="63" t="n">
        <f aca="false">Assumptions!$E$70*(1-Assumptions!$E$80)*(1-Assumptions!$E$79)-Assumptions!$E$73-Assumptions!$E$75-Assumptions!$E$76-Assumptions!$E$77</f>
        <v>116.02563</v>
      </c>
      <c r="K102" s="63" t="n">
        <f aca="false">Assumptions!$E$70*(1-Assumptions!$E$80)*(1-Assumptions!$E$79)-Assumptions!$E$73-Assumptions!$E$75-Assumptions!$E$76-Assumptions!$E$77</f>
        <v>116.02563</v>
      </c>
      <c r="L102" s="63" t="n">
        <f aca="false">Assumptions!$E$70*(1-Assumptions!$E$80)*(1-Assumptions!$E$79)-Assumptions!$E$73-Assumptions!$E$75-Assumptions!$E$76-Assumptions!$E$77</f>
        <v>116.02563</v>
      </c>
      <c r="M102" s="63" t="n">
        <f aca="false">Assumptions!$E$70*(1-Assumptions!$E$80)*(1-Assumptions!$E$79)-Assumptions!$E$73-Assumptions!$E$75-Assumptions!$E$76-Assumptions!$E$77</f>
        <v>116.02563</v>
      </c>
      <c r="N102" s="63" t="n">
        <f aca="false">Assumptions!$E$70*(1-Assumptions!$E$80)*(1-Assumptions!$E$79)-Assumptions!$E$73-Assumptions!$E$75-Assumptions!$E$76-Assumptions!$E$77</f>
        <v>116.02563</v>
      </c>
      <c r="O102" s="63" t="n">
        <f aca="false">Assumptions!$E$70*(1-Assumptions!$E$80)*(1-Assumptions!$E$79)-Assumptions!$E$73-Assumptions!$E$75-Assumptions!$E$76-Assumptions!$E$77</f>
        <v>116.02563</v>
      </c>
      <c r="P102" s="63" t="n">
        <f aca="false">Assumptions!$E$70*(1-Assumptions!$E$80)*(1-Assumptions!$E$79)-Assumptions!$E$73-Assumptions!$E$75-Assumptions!$E$76-Assumptions!$E$77</f>
        <v>116.02563</v>
      </c>
      <c r="Q102" s="63" t="n">
        <f aca="false">Assumptions!$E$70*(1-Assumptions!$E$80)*(1-Assumptions!$E$79)-Assumptions!$E$73-Assumptions!$E$75-Assumptions!$E$76-Assumptions!$E$77</f>
        <v>116.02563</v>
      </c>
      <c r="R102" s="63" t="n">
        <f aca="false">Assumptions!$E$70*(1-Assumptions!$E$80)*(1-Assumptions!$E$79)-Assumptions!$E$73-Assumptions!$E$75-Assumptions!$E$76-Assumptions!$E$77</f>
        <v>116.02563</v>
      </c>
      <c r="S102" s="63" t="n">
        <f aca="false">Assumptions!$E$70*(1-Assumptions!$E$80)*(1-Assumptions!$E$79)-Assumptions!$E$73-Assumptions!$E$75-Assumptions!$E$76-Assumptions!$E$77</f>
        <v>116.02563</v>
      </c>
      <c r="T102" s="63" t="n">
        <f aca="false">Assumptions!$E$70*(1-Assumptions!$E$80)*(1-Assumptions!$E$79)-Assumptions!$E$73-Assumptions!$E$75-Assumptions!$E$76-Assumptions!$E$77</f>
        <v>116.02563</v>
      </c>
      <c r="U102" s="63" t="n">
        <f aca="false">Assumptions!$E$70*(1-Assumptions!$E$80)*(1-Assumptions!$E$79)-Assumptions!$E$73-Assumptions!$E$75-Assumptions!$E$76-Assumptions!$E$77</f>
        <v>116.02563</v>
      </c>
      <c r="V102" s="63" t="n">
        <f aca="false">Assumptions!$E$70*(1-Assumptions!$E$80)*(1-Assumptions!$E$79)-Assumptions!$E$73-Assumptions!$E$75-Assumptions!$E$76-Assumptions!$E$77</f>
        <v>116.02563</v>
      </c>
      <c r="W102" s="63" t="n">
        <f aca="false">Assumptions!$E$70*(1-Assumptions!$E$80)*(1-Assumptions!$E$79)-Assumptions!$E$73-Assumptions!$E$75-Assumptions!$E$76-Assumptions!$E$77</f>
        <v>116.02563</v>
      </c>
      <c r="X102" s="63" t="n">
        <f aca="false">Assumptions!$E$70*(1-Assumptions!$E$80)*(1-Assumptions!$E$79)-Assumptions!$E$73-Assumptions!$E$75-Assumptions!$E$76-Assumptions!$E$77</f>
        <v>116.02563</v>
      </c>
      <c r="Y102" s="63" t="n">
        <f aca="false">Assumptions!$E$70*(1-Assumptions!$E$80)*(1-Assumptions!$E$79)-Assumptions!$E$73-Assumptions!$E$75-Assumptions!$E$76-Assumptions!$E$77</f>
        <v>116.02563</v>
      </c>
      <c r="Z102" s="63" t="n">
        <f aca="false">Assumptions!$E$70*(1-Assumptions!$E$80)*(1-Assumptions!$E$79)-Assumptions!$E$73-Assumptions!$E$75-Assumptions!$E$76-Assumptions!$E$77</f>
        <v>116.02563</v>
      </c>
      <c r="AA102" s="63" t="n">
        <f aca="false">Assumptions!$E$70*(1-Assumptions!$E$80)*(1-Assumptions!$E$79)-Assumptions!$E$73-Assumptions!$E$75-Assumptions!$E$76-Assumptions!$E$77</f>
        <v>116.02563</v>
      </c>
      <c r="AB102" s="63" t="n">
        <f aca="false">Assumptions!$E$70*(1-Assumptions!$E$80)*(1-Assumptions!$E$79)-Assumptions!$E$73-Assumptions!$E$75-Assumptions!$E$76-Assumptions!$E$77</f>
        <v>116.02563</v>
      </c>
      <c r="AC102" s="63" t="n">
        <f aca="false">Assumptions!$E$70*(1-Assumptions!$E$80)*(1-Assumptions!$E$79)-Assumptions!$E$73-Assumptions!$E$75-Assumptions!$E$76-Assumptions!$E$77</f>
        <v>116.02563</v>
      </c>
      <c r="AD102" s="63" t="n">
        <f aca="false">Assumptions!$E$70*(1-Assumptions!$E$80)*(1-Assumptions!$E$79)-Assumptions!$E$73-Assumptions!$E$75-Assumptions!$E$76-Assumptions!$E$77</f>
        <v>116.02563</v>
      </c>
      <c r="AE102" s="63" t="n">
        <f aca="false">Assumptions!$E$70*(1-Assumptions!$E$80)*(1-Assumptions!$E$79)-Assumptions!$E$73-Assumptions!$E$75-Assumptions!$E$76-Assumptions!$E$77</f>
        <v>116.02563</v>
      </c>
      <c r="AF102" s="63" t="n">
        <f aca="false">Assumptions!$E$70*(1-Assumptions!$E$80)*(1-Assumptions!$E$79)-Assumptions!$E$73-Assumptions!$E$75-Assumptions!$E$76-Assumptions!$E$77</f>
        <v>116.02563</v>
      </c>
      <c r="AG102" s="63" t="n">
        <f aca="false">Assumptions!$E$70*(1-Assumptions!$E$80)*(1-Assumptions!$E$79)-Assumptions!$E$73-Assumptions!$E$75-Assumptions!$E$76-Assumptions!$E$77</f>
        <v>116.02563</v>
      </c>
      <c r="AH102" s="63" t="n">
        <f aca="false">Assumptions!$E$70*(1-Assumptions!$E$80)*(1-Assumptions!$E$79)-Assumptions!$E$73-Assumptions!$E$75-Assumptions!$E$76-Assumptions!$E$77</f>
        <v>116.02563</v>
      </c>
      <c r="AI102" s="63" t="n">
        <f aca="false">Assumptions!$E$70*(1-Assumptions!$E$80)*(1-Assumptions!$E$79)-Assumptions!$E$73-Assumptions!$E$75-Assumptions!$E$76-Assumptions!$E$77</f>
        <v>116.02563</v>
      </c>
      <c r="AJ102" s="63" t="n">
        <f aca="false">Assumptions!$E$70*(1-Assumptions!$E$80)*(1-Assumptions!$E$79)-Assumptions!$E$73-Assumptions!$E$75-Assumptions!$E$76-Assumptions!$E$77</f>
        <v>116.02563</v>
      </c>
      <c r="AK102" s="63" t="n">
        <f aca="false">Assumptions!$E$70*(1-Assumptions!$E$80)*(1-Assumptions!$E$79)-Assumptions!$E$73-Assumptions!$E$75-Assumptions!$E$76-Assumptions!$E$77</f>
        <v>116.02563</v>
      </c>
      <c r="AL102" s="63" t="n">
        <f aca="false">Assumptions!$E$70*(1-Assumptions!$E$80)*(1-Assumptions!$E$79)-Assumptions!$E$73-Assumptions!$E$75-Assumptions!$E$76-Assumptions!$E$77</f>
        <v>116.02563</v>
      </c>
      <c r="AM102" s="63" t="n">
        <f aca="false">AVERAGE(N102:AL102)</f>
        <v>116.02563</v>
      </c>
    </row>
    <row r="103" customFormat="false" ht="15" hidden="false" customHeight="false" outlineLevel="0" collapsed="false">
      <c r="A103" s="10" t="s">
        <v>837</v>
      </c>
      <c r="B103" s="9" t="s">
        <v>97</v>
      </c>
      <c r="C103" s="70" t="n">
        <f aca="false">C102/Assumptions!$E$68</f>
        <v>1054.77845454545</v>
      </c>
      <c r="D103" s="70" t="n">
        <f aca="false">D102/Assumptions!$E$68</f>
        <v>1054.77845454545</v>
      </c>
      <c r="E103" s="70" t="n">
        <f aca="false">E102/Assumptions!$E$68</f>
        <v>1054.77845454545</v>
      </c>
      <c r="F103" s="70" t="n">
        <f aca="false">F102/Assumptions!$E$68</f>
        <v>1054.77845454545</v>
      </c>
      <c r="G103" s="70" t="n">
        <f aca="false">G102/Assumptions!$E$68</f>
        <v>1054.77845454545</v>
      </c>
      <c r="H103" s="70" t="n">
        <f aca="false">H102/Assumptions!$E$68</f>
        <v>1054.77845454545</v>
      </c>
      <c r="I103" s="70" t="n">
        <f aca="false">I102/Assumptions!$E$68</f>
        <v>1054.77845454545</v>
      </c>
      <c r="J103" s="70" t="n">
        <f aca="false">J102/Assumptions!$E$68</f>
        <v>1054.77845454545</v>
      </c>
      <c r="K103" s="70" t="n">
        <f aca="false">K102/Assumptions!$E$68</f>
        <v>1054.77845454545</v>
      </c>
      <c r="L103" s="70" t="n">
        <f aca="false">L102/Assumptions!$E$68</f>
        <v>1054.77845454545</v>
      </c>
      <c r="M103" s="70" t="n">
        <f aca="false">M102/Assumptions!$E$68</f>
        <v>1054.77845454545</v>
      </c>
      <c r="N103" s="70" t="n">
        <f aca="false">N102/Assumptions!$E$68</f>
        <v>1054.77845454545</v>
      </c>
      <c r="O103" s="70" t="n">
        <f aca="false">O102/Assumptions!$E$68</f>
        <v>1054.77845454545</v>
      </c>
      <c r="P103" s="70" t="n">
        <f aca="false">P102/Assumptions!$E$68</f>
        <v>1054.77845454545</v>
      </c>
      <c r="Q103" s="70" t="n">
        <f aca="false">Q102/Assumptions!$E$68</f>
        <v>1054.77845454545</v>
      </c>
      <c r="R103" s="70" t="n">
        <f aca="false">R102/Assumptions!$E$68</f>
        <v>1054.77845454545</v>
      </c>
      <c r="S103" s="70" t="n">
        <f aca="false">S102/Assumptions!$E$68</f>
        <v>1054.77845454545</v>
      </c>
      <c r="T103" s="70" t="n">
        <f aca="false">T102/Assumptions!$E$68</f>
        <v>1054.77845454545</v>
      </c>
      <c r="U103" s="70" t="n">
        <f aca="false">U102/Assumptions!$E$68</f>
        <v>1054.77845454545</v>
      </c>
      <c r="V103" s="70" t="n">
        <f aca="false">V102/Assumptions!$E$68</f>
        <v>1054.77845454545</v>
      </c>
      <c r="W103" s="70" t="n">
        <f aca="false">W102/Assumptions!$E$68</f>
        <v>1054.77845454545</v>
      </c>
      <c r="X103" s="70" t="n">
        <f aca="false">X102/Assumptions!$E$68</f>
        <v>1054.77845454545</v>
      </c>
      <c r="Y103" s="70" t="n">
        <f aca="false">Y102/Assumptions!$E$68</f>
        <v>1054.77845454545</v>
      </c>
      <c r="Z103" s="70" t="n">
        <f aca="false">Z102/Assumptions!$E$68</f>
        <v>1054.77845454545</v>
      </c>
      <c r="AA103" s="70" t="n">
        <f aca="false">AA102/Assumptions!$E$68</f>
        <v>1054.77845454545</v>
      </c>
      <c r="AB103" s="70" t="n">
        <f aca="false">AB102/Assumptions!$E$68</f>
        <v>1054.77845454545</v>
      </c>
      <c r="AC103" s="70" t="n">
        <f aca="false">AC102/Assumptions!$E$68</f>
        <v>1054.77845454545</v>
      </c>
      <c r="AD103" s="70" t="n">
        <f aca="false">AD102/Assumptions!$E$68</f>
        <v>1054.77845454545</v>
      </c>
      <c r="AE103" s="70" t="n">
        <f aca="false">AE102/Assumptions!$E$68</f>
        <v>1054.77845454545</v>
      </c>
      <c r="AF103" s="70" t="n">
        <f aca="false">AF102/Assumptions!$E$68</f>
        <v>1054.77845454545</v>
      </c>
      <c r="AG103" s="70" t="n">
        <f aca="false">AG102/Assumptions!$E$68</f>
        <v>1054.77845454545</v>
      </c>
      <c r="AH103" s="70" t="n">
        <f aca="false">AH102/Assumptions!$E$68</f>
        <v>1054.77845454545</v>
      </c>
      <c r="AI103" s="70" t="n">
        <f aca="false">AI102/Assumptions!$E$68</f>
        <v>1054.77845454545</v>
      </c>
      <c r="AJ103" s="70" t="n">
        <f aca="false">AJ102/Assumptions!$E$68</f>
        <v>1054.77845454545</v>
      </c>
      <c r="AK103" s="70" t="n">
        <f aca="false">AK102/Assumptions!$E$68</f>
        <v>1054.77845454545</v>
      </c>
      <c r="AL103" s="70" t="n">
        <f aca="false">AL102/Assumptions!$E$68</f>
        <v>1054.77845454545</v>
      </c>
      <c r="AM103" s="70" t="n">
        <f aca="false">AVERAGE(N103:AL103)</f>
        <v>1054.77845454545</v>
      </c>
    </row>
    <row r="104" customFormat="false" ht="15" hidden="false" customHeight="false" outlineLevel="0" collapsed="false">
      <c r="A104" s="10" t="s">
        <v>402</v>
      </c>
      <c r="B104" s="9" t="s">
        <v>97</v>
      </c>
      <c r="C104" s="63" t="n">
        <f aca="false">Assumptions!$E$50*(1-Assumptions!$E$80)*(1-Assumptions!$E$79)-Assumptions!$E$50*Assumptions!$E$55-Assumptions!$E$56</f>
        <v>44.60586</v>
      </c>
      <c r="D104" s="63" t="n">
        <f aca="false">Assumptions!$E$50*(1-Assumptions!$E$80)*(1-Assumptions!$E$79)-Assumptions!$E$50*Assumptions!$E$55-Assumptions!$E$56</f>
        <v>44.60586</v>
      </c>
      <c r="E104" s="63" t="n">
        <f aca="false">Assumptions!$E$50*(1-Assumptions!$E$80)*(1-Assumptions!$E$79)-Assumptions!$E$50*Assumptions!$E$55-Assumptions!$E$56</f>
        <v>44.60586</v>
      </c>
      <c r="F104" s="63" t="n">
        <f aca="false">Assumptions!$E$50*(1-Assumptions!$E$80)*(1-Assumptions!$E$79)-Assumptions!$E$50*Assumptions!$E$55-Assumptions!$E$56</f>
        <v>44.60586</v>
      </c>
      <c r="G104" s="63" t="n">
        <f aca="false">Assumptions!$E$50*(1-Assumptions!$E$80)*(1-Assumptions!$E$79)-Assumptions!$E$50*Assumptions!$E$55-Assumptions!$E$56</f>
        <v>44.60586</v>
      </c>
      <c r="H104" s="63" t="n">
        <f aca="false">Assumptions!$E$50*(1-Assumptions!$E$80)*(1-Assumptions!$E$79)-Assumptions!$E$50*Assumptions!$E$55-Assumptions!$E$56</f>
        <v>44.60586</v>
      </c>
      <c r="I104" s="63" t="n">
        <f aca="false">Assumptions!$E$50*(1-Assumptions!$E$80)*(1-Assumptions!$E$79)-Assumptions!$E$50*Assumptions!$E$55-Assumptions!$E$56</f>
        <v>44.60586</v>
      </c>
      <c r="J104" s="63" t="n">
        <f aca="false">Assumptions!$E$50*(1-Assumptions!$E$80)*(1-Assumptions!$E$79)-Assumptions!$E$50*Assumptions!$E$55-Assumptions!$E$56</f>
        <v>44.60586</v>
      </c>
      <c r="K104" s="63" t="n">
        <f aca="false">Assumptions!$E$50*(1-Assumptions!$E$80)*(1-Assumptions!$E$79)-Assumptions!$E$50*Assumptions!$E$55-Assumptions!$E$56</f>
        <v>44.60586</v>
      </c>
      <c r="L104" s="63" t="n">
        <f aca="false">Assumptions!$E$50*(1-Assumptions!$E$80)*(1-Assumptions!$E$79)-Assumptions!$E$50*Assumptions!$E$55-Assumptions!$E$56</f>
        <v>44.60586</v>
      </c>
      <c r="M104" s="63" t="n">
        <f aca="false">Assumptions!$E$50*(1-Assumptions!$E$80)*(1-Assumptions!$E$79)-Assumptions!$E$50*Assumptions!$E$55-Assumptions!$E$56</f>
        <v>44.60586</v>
      </c>
      <c r="N104" s="63" t="n">
        <f aca="false">Assumptions!$E$50*(1-Assumptions!$E$80)*(1-Assumptions!$E$79)-Assumptions!$E$50*Assumptions!$E$55-Assumptions!$E$56</f>
        <v>44.60586</v>
      </c>
      <c r="O104" s="63" t="n">
        <f aca="false">Assumptions!$E$50*(1-Assumptions!$E$80)*(1-Assumptions!$E$79)-Assumptions!$E$50*Assumptions!$E$55-Assumptions!$E$56</f>
        <v>44.60586</v>
      </c>
      <c r="P104" s="63" t="n">
        <f aca="false">Assumptions!$E$50*(1-Assumptions!$E$80)*(1-Assumptions!$E$79)-Assumptions!$E$50*Assumptions!$E$55-Assumptions!$E$56</f>
        <v>44.60586</v>
      </c>
      <c r="Q104" s="63" t="n">
        <f aca="false">Assumptions!$E$50*(1-Assumptions!$E$80)*(1-Assumptions!$E$79)-Assumptions!$E$50*Assumptions!$E$55-Assumptions!$E$56</f>
        <v>44.60586</v>
      </c>
      <c r="R104" s="63" t="n">
        <f aca="false">Assumptions!$E$50*(1-Assumptions!$E$80)*(1-Assumptions!$E$79)-Assumptions!$E$50*Assumptions!$E$55-Assumptions!$E$56</f>
        <v>44.60586</v>
      </c>
      <c r="S104" s="63" t="n">
        <f aca="false">Assumptions!$E$50*(1-Assumptions!$E$80)*(1-Assumptions!$E$79)-Assumptions!$E$50*Assumptions!$E$55-Assumptions!$E$56</f>
        <v>44.60586</v>
      </c>
      <c r="T104" s="63" t="n">
        <f aca="false">Assumptions!$E$50*(1-Assumptions!$E$80)*(1-Assumptions!$E$79)-Assumptions!$E$50*Assumptions!$E$55-Assumptions!$E$56</f>
        <v>44.60586</v>
      </c>
      <c r="U104" s="63" t="n">
        <f aca="false">Assumptions!$E$50*(1-Assumptions!$E$80)*(1-Assumptions!$E$79)-Assumptions!$E$50*Assumptions!$E$55-Assumptions!$E$56</f>
        <v>44.60586</v>
      </c>
      <c r="V104" s="63" t="n">
        <f aca="false">Assumptions!$E$50*(1-Assumptions!$E$80)*(1-Assumptions!$E$79)-Assumptions!$E$50*Assumptions!$E$55-Assumptions!$E$56</f>
        <v>44.60586</v>
      </c>
      <c r="W104" s="63" t="n">
        <f aca="false">Assumptions!$E$50*(1-Assumptions!$E$80)*(1-Assumptions!$E$79)-Assumptions!$E$50*Assumptions!$E$55-Assumptions!$E$56</f>
        <v>44.60586</v>
      </c>
      <c r="X104" s="63" t="n">
        <f aca="false">Assumptions!$E$50*(1-Assumptions!$E$80)*(1-Assumptions!$E$79)-Assumptions!$E$50*Assumptions!$E$55-Assumptions!$E$56</f>
        <v>44.60586</v>
      </c>
      <c r="Y104" s="63" t="n">
        <f aca="false">Assumptions!$E$50*(1-Assumptions!$E$80)*(1-Assumptions!$E$79)-Assumptions!$E$50*Assumptions!$E$55-Assumptions!$E$56</f>
        <v>44.60586</v>
      </c>
      <c r="Z104" s="63" t="n">
        <f aca="false">Assumptions!$E$50*(1-Assumptions!$E$80)*(1-Assumptions!$E$79)-Assumptions!$E$50*Assumptions!$E$55-Assumptions!$E$56</f>
        <v>44.60586</v>
      </c>
      <c r="AA104" s="63" t="n">
        <f aca="false">Assumptions!$E$50*(1-Assumptions!$E$80)*(1-Assumptions!$E$79)-Assumptions!$E$50*Assumptions!$E$55-Assumptions!$E$56</f>
        <v>44.60586</v>
      </c>
      <c r="AB104" s="63" t="n">
        <f aca="false">Assumptions!$E$50*(1-Assumptions!$E$80)*(1-Assumptions!$E$79)-Assumptions!$E$50*Assumptions!$E$55-Assumptions!$E$56</f>
        <v>44.60586</v>
      </c>
      <c r="AC104" s="63" t="n">
        <f aca="false">Assumptions!$E$50*(1-Assumptions!$E$80)*(1-Assumptions!$E$79)-Assumptions!$E$50*Assumptions!$E$55-Assumptions!$E$56</f>
        <v>44.60586</v>
      </c>
      <c r="AD104" s="63" t="n">
        <f aca="false">Assumptions!$E$50*(1-Assumptions!$E$80)*(1-Assumptions!$E$79)-Assumptions!$E$50*Assumptions!$E$55-Assumptions!$E$56</f>
        <v>44.60586</v>
      </c>
      <c r="AE104" s="63" t="n">
        <f aca="false">Assumptions!$E$50*(1-Assumptions!$E$80)*(1-Assumptions!$E$79)-Assumptions!$E$50*Assumptions!$E$55-Assumptions!$E$56</f>
        <v>44.60586</v>
      </c>
      <c r="AF104" s="63" t="n">
        <f aca="false">Assumptions!$E$50*(1-Assumptions!$E$80)*(1-Assumptions!$E$79)-Assumptions!$E$50*Assumptions!$E$55-Assumptions!$E$56</f>
        <v>44.60586</v>
      </c>
      <c r="AG104" s="63" t="n">
        <f aca="false">Assumptions!$E$50*(1-Assumptions!$E$80)*(1-Assumptions!$E$79)-Assumptions!$E$50*Assumptions!$E$55-Assumptions!$E$56</f>
        <v>44.60586</v>
      </c>
      <c r="AH104" s="63" t="n">
        <f aca="false">Assumptions!$E$50*(1-Assumptions!$E$80)*(1-Assumptions!$E$79)-Assumptions!$E$50*Assumptions!$E$55-Assumptions!$E$56</f>
        <v>44.60586</v>
      </c>
      <c r="AI104" s="63" t="n">
        <f aca="false">Assumptions!$E$50*(1-Assumptions!$E$80)*(1-Assumptions!$E$79)-Assumptions!$E$50*Assumptions!$E$55-Assumptions!$E$56</f>
        <v>44.60586</v>
      </c>
      <c r="AJ104" s="63" t="n">
        <f aca="false">Assumptions!$E$50*(1-Assumptions!$E$80)*(1-Assumptions!$E$79)-Assumptions!$E$50*Assumptions!$E$55-Assumptions!$E$56</f>
        <v>44.60586</v>
      </c>
      <c r="AK104" s="63" t="n">
        <f aca="false">Assumptions!$E$50*(1-Assumptions!$E$80)*(1-Assumptions!$E$79)-Assumptions!$E$50*Assumptions!$E$55-Assumptions!$E$56</f>
        <v>44.60586</v>
      </c>
      <c r="AL104" s="63" t="n">
        <f aca="false">Assumptions!$E$50*(1-Assumptions!$E$80)*(1-Assumptions!$E$79)-Assumptions!$E$50*Assumptions!$E$55-Assumptions!$E$56</f>
        <v>44.60586</v>
      </c>
      <c r="AM104" s="63" t="n">
        <f aca="false">AVERAGE(N104:AL104)</f>
        <v>44.60586</v>
      </c>
    </row>
    <row r="105" customFormat="false" ht="15" hidden="false" customHeight="false" outlineLevel="0" collapsed="false">
      <c r="A105" s="10" t="s">
        <v>403</v>
      </c>
      <c r="B105" s="9" t="s">
        <v>97</v>
      </c>
      <c r="C105" s="70" t="n">
        <f aca="false">C104/Assumptions!$E$52</f>
        <v>637.226571428571</v>
      </c>
      <c r="D105" s="70" t="n">
        <f aca="false">D104/Assumptions!$E$52</f>
        <v>637.226571428571</v>
      </c>
      <c r="E105" s="70" t="n">
        <f aca="false">E104/Assumptions!$E$52</f>
        <v>637.226571428571</v>
      </c>
      <c r="F105" s="70" t="n">
        <f aca="false">F104/Assumptions!$E$52</f>
        <v>637.226571428571</v>
      </c>
      <c r="G105" s="70" t="n">
        <f aca="false">G104/Assumptions!$E$52</f>
        <v>637.226571428571</v>
      </c>
      <c r="H105" s="70" t="n">
        <f aca="false">H104/Assumptions!$E$52</f>
        <v>637.226571428571</v>
      </c>
      <c r="I105" s="70" t="n">
        <f aca="false">I104/Assumptions!$E$52</f>
        <v>637.226571428571</v>
      </c>
      <c r="J105" s="70" t="n">
        <f aca="false">J104/Assumptions!$E$52</f>
        <v>637.226571428571</v>
      </c>
      <c r="K105" s="70" t="n">
        <f aca="false">K104/Assumptions!$E$52</f>
        <v>637.226571428571</v>
      </c>
      <c r="L105" s="70" t="n">
        <f aca="false">L104/Assumptions!$E$52</f>
        <v>637.226571428571</v>
      </c>
      <c r="M105" s="70" t="n">
        <f aca="false">M104/Assumptions!$E$52</f>
        <v>637.226571428571</v>
      </c>
      <c r="N105" s="70" t="n">
        <f aca="false">N104/Assumptions!$E$52</f>
        <v>637.226571428571</v>
      </c>
      <c r="O105" s="70" t="n">
        <f aca="false">O104/Assumptions!$E$52</f>
        <v>637.226571428571</v>
      </c>
      <c r="P105" s="70" t="n">
        <f aca="false">P104/Assumptions!$E$52</f>
        <v>637.226571428571</v>
      </c>
      <c r="Q105" s="70" t="n">
        <f aca="false">Q104/Assumptions!$E$52</f>
        <v>637.226571428571</v>
      </c>
      <c r="R105" s="70" t="n">
        <f aca="false">R104/Assumptions!$E$52</f>
        <v>637.226571428571</v>
      </c>
      <c r="S105" s="70" t="n">
        <f aca="false">S104/Assumptions!$E$52</f>
        <v>637.226571428571</v>
      </c>
      <c r="T105" s="70" t="n">
        <f aca="false">T104/Assumptions!$E$52</f>
        <v>637.226571428571</v>
      </c>
      <c r="U105" s="70" t="n">
        <f aca="false">U104/Assumptions!$E$52</f>
        <v>637.226571428571</v>
      </c>
      <c r="V105" s="70" t="n">
        <f aca="false">V104/Assumptions!$E$52</f>
        <v>637.226571428571</v>
      </c>
      <c r="W105" s="70" t="n">
        <f aca="false">W104/Assumptions!$E$52</f>
        <v>637.226571428571</v>
      </c>
      <c r="X105" s="70" t="n">
        <f aca="false">X104/Assumptions!$E$52</f>
        <v>637.226571428571</v>
      </c>
      <c r="Y105" s="70" t="n">
        <f aca="false">Y104/Assumptions!$E$52</f>
        <v>637.226571428571</v>
      </c>
      <c r="Z105" s="70" t="n">
        <f aca="false">Z104/Assumptions!$E$52</f>
        <v>637.226571428571</v>
      </c>
      <c r="AA105" s="70" t="n">
        <f aca="false">AA104/Assumptions!$E$52</f>
        <v>637.226571428571</v>
      </c>
      <c r="AB105" s="70" t="n">
        <f aca="false">AB104/Assumptions!$E$52</f>
        <v>637.226571428571</v>
      </c>
      <c r="AC105" s="70" t="n">
        <f aca="false">AC104/Assumptions!$E$52</f>
        <v>637.226571428571</v>
      </c>
      <c r="AD105" s="70" t="n">
        <f aca="false">AD104/Assumptions!$E$52</f>
        <v>637.226571428571</v>
      </c>
      <c r="AE105" s="70" t="n">
        <f aca="false">AE104/Assumptions!$E$52</f>
        <v>637.226571428571</v>
      </c>
      <c r="AF105" s="70" t="n">
        <f aca="false">AF104/Assumptions!$E$52</f>
        <v>637.226571428571</v>
      </c>
      <c r="AG105" s="70" t="n">
        <f aca="false">AG104/Assumptions!$E$52</f>
        <v>637.226571428571</v>
      </c>
      <c r="AH105" s="70" t="n">
        <f aca="false">AH104/Assumptions!$E$52</f>
        <v>637.226571428571</v>
      </c>
      <c r="AI105" s="70" t="n">
        <f aca="false">AI104/Assumptions!$E$52</f>
        <v>637.226571428571</v>
      </c>
      <c r="AJ105" s="70" t="n">
        <f aca="false">AJ104/Assumptions!$E$52</f>
        <v>637.226571428571</v>
      </c>
      <c r="AK105" s="70" t="n">
        <f aca="false">AK104/Assumptions!$E$52</f>
        <v>637.226571428571</v>
      </c>
      <c r="AL105" s="70" t="n">
        <f aca="false">AL104/Assumptions!$E$52</f>
        <v>637.226571428571</v>
      </c>
      <c r="AM105" s="70" t="n">
        <f aca="false">AVERAGE(N105:AL105)</f>
        <v>637.226571428571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839</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IF(C$5&gt;=Assumptions!$F$6,1,0)</f>
        <v>0</v>
      </c>
      <c r="D8" s="69" t="n">
        <f aca="false">IF(D$5&gt;=Assumptions!$F$6,1,0)</f>
        <v>1</v>
      </c>
      <c r="E8" s="69" t="n">
        <f aca="false">IF(E$5&gt;=Assumptions!$F$6,1,0)</f>
        <v>1</v>
      </c>
      <c r="F8" s="69" t="n">
        <f aca="false">IF(F$5&gt;=Assumptions!$F$6,1,0)</f>
        <v>1</v>
      </c>
      <c r="G8" s="69" t="n">
        <f aca="false">IF(G$5&gt;=Assumptions!$F$6,1,0)</f>
        <v>1</v>
      </c>
      <c r="H8" s="69" t="n">
        <f aca="false">IF(H$5&gt;=Assumptions!$F$6,1,0)</f>
        <v>1</v>
      </c>
      <c r="I8" s="69" t="n">
        <f aca="false">IF(I$5&gt;=Assumptions!$F$6,1,0)</f>
        <v>1</v>
      </c>
      <c r="J8" s="69" t="n">
        <f aca="false">IF(J$5&gt;=Assumptions!$F$6,1,0)</f>
        <v>1</v>
      </c>
      <c r="K8" s="69" t="n">
        <f aca="false">IF(K$5&gt;=Assumptions!$F$6,1,0)</f>
        <v>1</v>
      </c>
      <c r="L8" s="69" t="n">
        <f aca="false">IF(L$5&gt;=Assumptions!$F$6,1,0)</f>
        <v>1</v>
      </c>
      <c r="M8" s="69" t="n">
        <f aca="false">IF(M$5&gt;=Assumptions!$F$6,1,0)</f>
        <v>1</v>
      </c>
      <c r="N8" s="69" t="n">
        <f aca="false">IF(N$5&gt;=Assumptions!$F$6,1,0)</f>
        <v>1</v>
      </c>
      <c r="O8" s="69" t="n">
        <f aca="false">IF(O$5&gt;=Assumptions!$F$6,1,0)</f>
        <v>1</v>
      </c>
      <c r="P8" s="69" t="n">
        <f aca="false">IF(P$5&gt;=Assumptions!$F$6,1,0)</f>
        <v>1</v>
      </c>
      <c r="Q8" s="69" t="n">
        <f aca="false">IF(Q$5&gt;=Assumptions!$F$6,1,0)</f>
        <v>1</v>
      </c>
      <c r="R8" s="69" t="n">
        <f aca="false">IF(R$5&gt;=Assumptions!$F$6,1,0)</f>
        <v>1</v>
      </c>
      <c r="S8" s="69" t="n">
        <f aca="false">IF(S$5&gt;=Assumptions!$F$6,1,0)</f>
        <v>1</v>
      </c>
      <c r="T8" s="69" t="n">
        <f aca="false">IF(T$5&gt;=Assumptions!$F$6,1,0)</f>
        <v>1</v>
      </c>
      <c r="U8" s="69" t="n">
        <f aca="false">IF(U$5&gt;=Assumptions!$F$6,1,0)</f>
        <v>1</v>
      </c>
      <c r="V8" s="69" t="n">
        <f aca="false">IF(V$5&gt;=Assumptions!$F$6,1,0)</f>
        <v>1</v>
      </c>
      <c r="W8" s="69" t="n">
        <f aca="false">IF(W$5&gt;=Assumptions!$F$6,1,0)</f>
        <v>1</v>
      </c>
      <c r="X8" s="69" t="n">
        <f aca="false">IF(X$5&gt;=Assumptions!$F$6,1,0)</f>
        <v>1</v>
      </c>
      <c r="Y8" s="69" t="n">
        <f aca="false">IF(Y$5&gt;=Assumptions!$F$6,1,0)</f>
        <v>1</v>
      </c>
      <c r="Z8" s="69" t="n">
        <f aca="false">IF(Z$5&gt;=Assumptions!$F$6,1,0)</f>
        <v>1</v>
      </c>
      <c r="AA8" s="69" t="n">
        <f aca="false">IF(AA$5&gt;=Assumptions!$F$6,1,0)</f>
        <v>1</v>
      </c>
      <c r="AB8" s="69" t="n">
        <f aca="false">IF(AB$5&gt;=Assumptions!$F$6,1,0)</f>
        <v>1</v>
      </c>
      <c r="AC8" s="69" t="n">
        <f aca="false">IF(AC$5&gt;=Assumptions!$F$6,1,0)</f>
        <v>1</v>
      </c>
      <c r="AD8" s="69" t="n">
        <f aca="false">IF(AD$5&gt;=Assumptions!$F$6,1,0)</f>
        <v>1</v>
      </c>
      <c r="AE8" s="69" t="n">
        <f aca="false">IF(AE$5&gt;=Assumptions!$F$6,1,0)</f>
        <v>1</v>
      </c>
      <c r="AF8" s="69" t="n">
        <f aca="false">IF(AF$5&gt;=Assumptions!$F$6,1,0)</f>
        <v>1</v>
      </c>
      <c r="AG8" s="69" t="n">
        <f aca="false">IF(AG$5&gt;=Assumptions!$F$6,1,0)</f>
        <v>1</v>
      </c>
      <c r="AH8" s="69" t="n">
        <f aca="false">IF(AH$5&gt;=Assumptions!$F$6,1,0)</f>
        <v>1</v>
      </c>
      <c r="AI8" s="69" t="n">
        <f aca="false">IF(AI$5&gt;=Assumptions!$F$6,1,0)</f>
        <v>1</v>
      </c>
      <c r="AJ8" s="69" t="n">
        <f aca="false">IF(AJ$5&gt;=Assumptions!$F$6,1,0)</f>
        <v>1</v>
      </c>
      <c r="AK8" s="69" t="n">
        <f aca="false">IF(AK$5&gt;=Assumptions!$F$6,1,0)</f>
        <v>1</v>
      </c>
      <c r="AL8" s="69" t="n">
        <f aca="false">IF(AL$5&gt;=Assumptions!$F$6,1,0)</f>
        <v>1</v>
      </c>
      <c r="AM8" s="69"/>
    </row>
    <row r="9" customFormat="false" ht="15" hidden="false" customHeight="false" outlineLevel="0" collapsed="false">
      <c r="A9" s="10" t="s">
        <v>743</v>
      </c>
      <c r="B9" s="9" t="s">
        <v>742</v>
      </c>
      <c r="C9" s="69" t="n">
        <f aca="false">IF(C$5&gt;=Assumptions!$F$7,1,0)</f>
        <v>0</v>
      </c>
      <c r="D9" s="69" t="n">
        <f aca="false">IF(D$5&gt;=Assumptions!$F$7,1,0)</f>
        <v>0</v>
      </c>
      <c r="E9" s="69" t="n">
        <f aca="false">IF(E$5&gt;=Assumptions!$F$7,1,0)</f>
        <v>0</v>
      </c>
      <c r="F9" s="69" t="n">
        <f aca="false">IF(F$5&gt;=Assumptions!$F$7,1,0)</f>
        <v>0</v>
      </c>
      <c r="G9" s="69" t="n">
        <f aca="false">IF(G$5&gt;=Assumptions!$F$7,1,0)</f>
        <v>1</v>
      </c>
      <c r="H9" s="69" t="n">
        <f aca="false">IF(H$5&gt;=Assumptions!$F$7,1,0)</f>
        <v>1</v>
      </c>
      <c r="I9" s="69" t="n">
        <f aca="false">IF(I$5&gt;=Assumptions!$F$7,1,0)</f>
        <v>1</v>
      </c>
      <c r="J9" s="69" t="n">
        <f aca="false">IF(J$5&gt;=Assumptions!$F$7,1,0)</f>
        <v>1</v>
      </c>
      <c r="K9" s="69" t="n">
        <f aca="false">IF(K$5&gt;=Assumptions!$F$7,1,0)</f>
        <v>1</v>
      </c>
      <c r="L9" s="69" t="n">
        <f aca="false">IF(L$5&gt;=Assumptions!$F$7,1,0)</f>
        <v>1</v>
      </c>
      <c r="M9" s="69" t="n">
        <f aca="false">IF(M$5&gt;=Assumptions!$F$7,1,0)</f>
        <v>1</v>
      </c>
      <c r="N9" s="69" t="n">
        <f aca="false">IF(N$5&gt;=Assumptions!$F$7,1,0)</f>
        <v>1</v>
      </c>
      <c r="O9" s="69" t="n">
        <f aca="false">IF(O$5&gt;=Assumptions!$F$7,1,0)</f>
        <v>1</v>
      </c>
      <c r="P9" s="69" t="n">
        <f aca="false">IF(P$5&gt;=Assumptions!$F$7,1,0)</f>
        <v>1</v>
      </c>
      <c r="Q9" s="69" t="n">
        <f aca="false">IF(Q$5&gt;=Assumptions!$F$7,1,0)</f>
        <v>1</v>
      </c>
      <c r="R9" s="69" t="n">
        <f aca="false">IF(R$5&gt;=Assumptions!$F$7,1,0)</f>
        <v>1</v>
      </c>
      <c r="S9" s="69" t="n">
        <f aca="false">IF(S$5&gt;=Assumptions!$F$7,1,0)</f>
        <v>1</v>
      </c>
      <c r="T9" s="69" t="n">
        <f aca="false">IF(T$5&gt;=Assumptions!$F$7,1,0)</f>
        <v>1</v>
      </c>
      <c r="U9" s="69" t="n">
        <f aca="false">IF(U$5&gt;=Assumptions!$F$7,1,0)</f>
        <v>1</v>
      </c>
      <c r="V9" s="69" t="n">
        <f aca="false">IF(V$5&gt;=Assumptions!$F$7,1,0)</f>
        <v>1</v>
      </c>
      <c r="W9" s="69" t="n">
        <f aca="false">IF(W$5&gt;=Assumptions!$F$7,1,0)</f>
        <v>1</v>
      </c>
      <c r="X9" s="69" t="n">
        <f aca="false">IF(X$5&gt;=Assumptions!$F$7,1,0)</f>
        <v>1</v>
      </c>
      <c r="Y9" s="69" t="n">
        <f aca="false">IF(Y$5&gt;=Assumptions!$F$7,1,0)</f>
        <v>1</v>
      </c>
      <c r="Z9" s="69" t="n">
        <f aca="false">IF(Z$5&gt;=Assumptions!$F$7,1,0)</f>
        <v>1</v>
      </c>
      <c r="AA9" s="69" t="n">
        <f aca="false">IF(AA$5&gt;=Assumptions!$F$7,1,0)</f>
        <v>1</v>
      </c>
      <c r="AB9" s="69" t="n">
        <f aca="false">IF(AB$5&gt;=Assumptions!$F$7,1,0)</f>
        <v>1</v>
      </c>
      <c r="AC9" s="69" t="n">
        <f aca="false">IF(AC$5&gt;=Assumptions!$F$7,1,0)</f>
        <v>1</v>
      </c>
      <c r="AD9" s="69" t="n">
        <f aca="false">IF(AD$5&gt;=Assumptions!$F$7,1,0)</f>
        <v>1</v>
      </c>
      <c r="AE9" s="69" t="n">
        <f aca="false">IF(AE$5&gt;=Assumptions!$F$7,1,0)</f>
        <v>1</v>
      </c>
      <c r="AF9" s="69" t="n">
        <f aca="false">IF(AF$5&gt;=Assumptions!$F$7,1,0)</f>
        <v>1</v>
      </c>
      <c r="AG9" s="69" t="n">
        <f aca="false">IF(AG$5&gt;=Assumptions!$F$7,1,0)</f>
        <v>1</v>
      </c>
      <c r="AH9" s="69" t="n">
        <f aca="false">IF(AH$5&gt;=Assumptions!$F$7,1,0)</f>
        <v>1</v>
      </c>
      <c r="AI9" s="69" t="n">
        <f aca="false">IF(AI$5&gt;=Assumptions!$F$7,1,0)</f>
        <v>1</v>
      </c>
      <c r="AJ9" s="69" t="n">
        <f aca="false">IF(AJ$5&gt;=Assumptions!$F$7,1,0)</f>
        <v>1</v>
      </c>
      <c r="AK9" s="69" t="n">
        <f aca="false">IF(AK$5&gt;=Assumptions!$F$7,1,0)</f>
        <v>1</v>
      </c>
      <c r="AL9" s="69" t="n">
        <f aca="false">IF(AL$5&gt;=Assumptions!$F$7,1,0)</f>
        <v>1</v>
      </c>
      <c r="AM9" s="69"/>
    </row>
    <row r="10" customFormat="false" ht="15" hidden="false" customHeight="false" outlineLevel="0" collapsed="false">
      <c r="A10" s="10" t="s">
        <v>744</v>
      </c>
      <c r="B10" s="9" t="s">
        <v>51</v>
      </c>
      <c r="C10" s="69" t="n">
        <f aca="false">MAX(0,C$5-Assumptions!$F$6)</f>
        <v>0</v>
      </c>
      <c r="D10" s="69" t="n">
        <f aca="false">MAX(0,D$5-Assumptions!$F$6)</f>
        <v>0</v>
      </c>
      <c r="E10" s="69" t="n">
        <f aca="false">MAX(0,E$5-Assumptions!$F$6)</f>
        <v>1</v>
      </c>
      <c r="F10" s="69" t="n">
        <f aca="false">MAX(0,F$5-Assumptions!$F$6)</f>
        <v>2</v>
      </c>
      <c r="G10" s="69" t="n">
        <f aca="false">MAX(0,G$5-Assumptions!$F$6)</f>
        <v>3</v>
      </c>
      <c r="H10" s="69" t="n">
        <f aca="false">MAX(0,H$5-Assumptions!$F$6)</f>
        <v>4</v>
      </c>
      <c r="I10" s="69" t="n">
        <f aca="false">MAX(0,I$5-Assumptions!$F$6)</f>
        <v>5</v>
      </c>
      <c r="J10" s="69" t="n">
        <f aca="false">MAX(0,J$5-Assumptions!$F$6)</f>
        <v>6</v>
      </c>
      <c r="K10" s="69" t="n">
        <f aca="false">MAX(0,K$5-Assumptions!$F$6)</f>
        <v>7</v>
      </c>
      <c r="L10" s="69" t="n">
        <f aca="false">MAX(0,L$5-Assumptions!$F$6)</f>
        <v>8</v>
      </c>
      <c r="M10" s="69" t="n">
        <f aca="false">MAX(0,M$5-Assumptions!$F$6)</f>
        <v>9</v>
      </c>
      <c r="N10" s="69" t="n">
        <f aca="false">MAX(0,N$5-Assumptions!$F$6)</f>
        <v>10</v>
      </c>
      <c r="O10" s="69" t="n">
        <f aca="false">MAX(0,O$5-Assumptions!$F$6)</f>
        <v>11</v>
      </c>
      <c r="P10" s="69" t="n">
        <f aca="false">MAX(0,P$5-Assumptions!$F$6)</f>
        <v>12</v>
      </c>
      <c r="Q10" s="69" t="n">
        <f aca="false">MAX(0,Q$5-Assumptions!$F$6)</f>
        <v>13</v>
      </c>
      <c r="R10" s="69" t="n">
        <f aca="false">MAX(0,R$5-Assumptions!$F$6)</f>
        <v>14</v>
      </c>
      <c r="S10" s="69" t="n">
        <f aca="false">MAX(0,S$5-Assumptions!$F$6)</f>
        <v>15</v>
      </c>
      <c r="T10" s="69" t="n">
        <f aca="false">MAX(0,T$5-Assumptions!$F$6)</f>
        <v>16</v>
      </c>
      <c r="U10" s="69" t="n">
        <f aca="false">MAX(0,U$5-Assumptions!$F$6)</f>
        <v>17</v>
      </c>
      <c r="V10" s="69" t="n">
        <f aca="false">MAX(0,V$5-Assumptions!$F$6)</f>
        <v>18</v>
      </c>
      <c r="W10" s="69" t="n">
        <f aca="false">MAX(0,W$5-Assumptions!$F$6)</f>
        <v>19</v>
      </c>
      <c r="X10" s="69" t="n">
        <f aca="false">MAX(0,X$5-Assumptions!$F$6)</f>
        <v>20</v>
      </c>
      <c r="Y10" s="69" t="n">
        <f aca="false">MAX(0,Y$5-Assumptions!$F$6)</f>
        <v>21</v>
      </c>
      <c r="Z10" s="69" t="n">
        <f aca="false">MAX(0,Z$5-Assumptions!$F$6)</f>
        <v>22</v>
      </c>
      <c r="AA10" s="69" t="n">
        <f aca="false">MAX(0,AA$5-Assumptions!$F$6)</f>
        <v>23</v>
      </c>
      <c r="AB10" s="69" t="n">
        <f aca="false">MAX(0,AB$5-Assumptions!$F$6)</f>
        <v>24</v>
      </c>
      <c r="AC10" s="69" t="n">
        <f aca="false">MAX(0,AC$5-Assumptions!$F$6)</f>
        <v>25</v>
      </c>
      <c r="AD10" s="69" t="n">
        <f aca="false">MAX(0,AD$5-Assumptions!$F$6)</f>
        <v>26</v>
      </c>
      <c r="AE10" s="69" t="n">
        <f aca="false">MAX(0,AE$5-Assumptions!$F$6)</f>
        <v>27</v>
      </c>
      <c r="AF10" s="69" t="n">
        <f aca="false">MAX(0,AF$5-Assumptions!$F$6)</f>
        <v>28</v>
      </c>
      <c r="AG10" s="69" t="n">
        <f aca="false">MAX(0,AG$5-Assumptions!$F$6)</f>
        <v>29</v>
      </c>
      <c r="AH10" s="69" t="n">
        <f aca="false">MAX(0,AH$5-Assumptions!$F$6)</f>
        <v>30</v>
      </c>
      <c r="AI10" s="69" t="n">
        <f aca="false">MAX(0,AI$5-Assumptions!$F$6)</f>
        <v>31</v>
      </c>
      <c r="AJ10" s="69" t="n">
        <f aca="false">MAX(0,AJ$5-Assumptions!$F$6)</f>
        <v>32</v>
      </c>
      <c r="AK10" s="69" t="n">
        <f aca="false">MAX(0,AK$5-Assumptions!$F$6)</f>
        <v>33</v>
      </c>
      <c r="AL10" s="69" t="n">
        <f aca="false">MAX(0,AL$5-Assumptions!$F$6)</f>
        <v>34</v>
      </c>
      <c r="AM10" s="69"/>
    </row>
    <row r="11" customFormat="false" ht="15" hidden="false" customHeight="false" outlineLevel="0" collapsed="false">
      <c r="A11" s="10" t="s">
        <v>745</v>
      </c>
      <c r="B11" s="9" t="s">
        <v>84</v>
      </c>
      <c r="C11" s="61" t="n">
        <f aca="false">Assumptions!$F$9*Assumptions!$F$10*Assumptions!$F$11*Assumptions!$F$12</f>
        <v>191320.5</v>
      </c>
      <c r="D11" s="61" t="n">
        <f aca="false">Assumptions!$F$9*Assumptions!$F$10*Assumptions!$F$11*Assumptions!$F$12</f>
        <v>191320.5</v>
      </c>
      <c r="E11" s="61" t="n">
        <f aca="false">Assumptions!$F$9*Assumptions!$F$10*Assumptions!$F$11*Assumptions!$F$12</f>
        <v>191320.5</v>
      </c>
      <c r="F11" s="61" t="n">
        <f aca="false">Assumptions!$F$9*Assumptions!$F$10*Assumptions!$F$11*Assumptions!$F$12</f>
        <v>191320.5</v>
      </c>
      <c r="G11" s="61" t="n">
        <f aca="false">Assumptions!$F$9*Assumptions!$F$10*Assumptions!$F$11*Assumptions!$F$12</f>
        <v>191320.5</v>
      </c>
      <c r="H11" s="61" t="n">
        <f aca="false">Assumptions!$F$9*Assumptions!$F$10*Assumptions!$F$11*Assumptions!$F$12</f>
        <v>191320.5</v>
      </c>
      <c r="I11" s="61" t="n">
        <f aca="false">Assumptions!$F$9*Assumptions!$F$10*Assumptions!$F$11*Assumptions!$F$12</f>
        <v>191320.5</v>
      </c>
      <c r="J11" s="61" t="n">
        <f aca="false">Assumptions!$F$9*Assumptions!$F$10*Assumptions!$F$11*Assumptions!$F$12</f>
        <v>191320.5</v>
      </c>
      <c r="K11" s="61" t="n">
        <f aca="false">Assumptions!$F$9*Assumptions!$F$10*Assumptions!$F$11*Assumptions!$F$12</f>
        <v>191320.5</v>
      </c>
      <c r="L11" s="61" t="n">
        <f aca="false">Assumptions!$F$9*Assumptions!$F$10*Assumptions!$F$11*Assumptions!$F$12</f>
        <v>191320.5</v>
      </c>
      <c r="M11" s="61" t="n">
        <f aca="false">Assumptions!$F$9*Assumptions!$F$10*Assumptions!$F$11*Assumptions!$F$12</f>
        <v>191320.5</v>
      </c>
      <c r="N11" s="61" t="n">
        <f aca="false">Assumptions!$F$9*Assumptions!$F$10*Assumptions!$F$11*Assumptions!$F$12</f>
        <v>191320.5</v>
      </c>
      <c r="O11" s="61" t="n">
        <f aca="false">Assumptions!$F$9*Assumptions!$F$10*Assumptions!$F$11*Assumptions!$F$12</f>
        <v>191320.5</v>
      </c>
      <c r="P11" s="61" t="n">
        <f aca="false">Assumptions!$F$9*Assumptions!$F$10*Assumptions!$F$11*Assumptions!$F$12</f>
        <v>191320.5</v>
      </c>
      <c r="Q11" s="61" t="n">
        <f aca="false">Assumptions!$F$9*Assumptions!$F$10*Assumptions!$F$11*Assumptions!$F$12</f>
        <v>191320.5</v>
      </c>
      <c r="R11" s="61" t="n">
        <f aca="false">Assumptions!$F$9*Assumptions!$F$10*Assumptions!$F$11*Assumptions!$F$12</f>
        <v>191320.5</v>
      </c>
      <c r="S11" s="61" t="n">
        <f aca="false">Assumptions!$F$9*Assumptions!$F$10*Assumptions!$F$11*Assumptions!$F$12</f>
        <v>191320.5</v>
      </c>
      <c r="T11" s="61" t="n">
        <f aca="false">Assumptions!$F$9*Assumptions!$F$10*Assumptions!$F$11*Assumptions!$F$12</f>
        <v>191320.5</v>
      </c>
      <c r="U11" s="61" t="n">
        <f aca="false">Assumptions!$F$9*Assumptions!$F$10*Assumptions!$F$11*Assumptions!$F$12</f>
        <v>191320.5</v>
      </c>
      <c r="V11" s="61" t="n">
        <f aca="false">Assumptions!$F$9*Assumptions!$F$10*Assumptions!$F$11*Assumptions!$F$12</f>
        <v>191320.5</v>
      </c>
      <c r="W11" s="61" t="n">
        <f aca="false">Assumptions!$F$9*Assumptions!$F$10*Assumptions!$F$11*Assumptions!$F$12</f>
        <v>191320.5</v>
      </c>
      <c r="X11" s="61" t="n">
        <f aca="false">Assumptions!$F$9*Assumptions!$F$10*Assumptions!$F$11*Assumptions!$F$12</f>
        <v>191320.5</v>
      </c>
      <c r="Y11" s="61" t="n">
        <f aca="false">Assumptions!$F$9*Assumptions!$F$10*Assumptions!$F$11*Assumptions!$F$12</f>
        <v>191320.5</v>
      </c>
      <c r="Z11" s="61" t="n">
        <f aca="false">Assumptions!$F$9*Assumptions!$F$10*Assumptions!$F$11*Assumptions!$F$12</f>
        <v>191320.5</v>
      </c>
      <c r="AA11" s="61" t="n">
        <f aca="false">Assumptions!$F$9*Assumptions!$F$10*Assumptions!$F$11*Assumptions!$F$12</f>
        <v>191320.5</v>
      </c>
      <c r="AB11" s="61" t="n">
        <f aca="false">Assumptions!$F$9*Assumptions!$F$10*Assumptions!$F$11*Assumptions!$F$12</f>
        <v>191320.5</v>
      </c>
      <c r="AC11" s="61" t="n">
        <f aca="false">Assumptions!$F$9*Assumptions!$F$10*Assumptions!$F$11*Assumptions!$F$12</f>
        <v>191320.5</v>
      </c>
      <c r="AD11" s="61" t="n">
        <f aca="false">Assumptions!$F$9*Assumptions!$F$10*Assumptions!$F$11*Assumptions!$F$12</f>
        <v>191320.5</v>
      </c>
      <c r="AE11" s="61" t="n">
        <f aca="false">Assumptions!$F$9*Assumptions!$F$10*Assumptions!$F$11*Assumptions!$F$12</f>
        <v>191320.5</v>
      </c>
      <c r="AF11" s="61" t="n">
        <f aca="false">Assumptions!$F$9*Assumptions!$F$10*Assumptions!$F$11*Assumptions!$F$12</f>
        <v>191320.5</v>
      </c>
      <c r="AG11" s="61" t="n">
        <f aca="false">Assumptions!$F$9*Assumptions!$F$10*Assumptions!$F$11*Assumptions!$F$12</f>
        <v>191320.5</v>
      </c>
      <c r="AH11" s="61" t="n">
        <f aca="false">Assumptions!$F$9*Assumptions!$F$10*Assumptions!$F$11*Assumptions!$F$12</f>
        <v>191320.5</v>
      </c>
      <c r="AI11" s="61" t="n">
        <f aca="false">Assumptions!$F$9*Assumptions!$F$10*Assumptions!$F$11*Assumptions!$F$12</f>
        <v>191320.5</v>
      </c>
      <c r="AJ11" s="61" t="n">
        <f aca="false">Assumptions!$F$9*Assumptions!$F$10*Assumptions!$F$11*Assumptions!$F$12</f>
        <v>191320.5</v>
      </c>
      <c r="AK11" s="61" t="n">
        <f aca="false">Assumptions!$F$9*Assumptions!$F$10*Assumptions!$F$11*Assumptions!$F$12</f>
        <v>191320.5</v>
      </c>
      <c r="AL11" s="61" t="n">
        <f aca="false">Assumptions!$F$9*Assumptions!$F$10*Assumptions!$F$11*Assumptions!$F$12</f>
        <v>191320.5</v>
      </c>
      <c r="AM11" s="61"/>
    </row>
    <row r="12" customFormat="false" ht="15" hidden="false" customHeight="false" outlineLevel="0" collapsed="false">
      <c r="A12" s="10" t="s">
        <v>746</v>
      </c>
      <c r="B12" s="9" t="s">
        <v>78</v>
      </c>
      <c r="C12" s="57" t="n">
        <f aca="false">IF(C8=0,0,IF(C10=0,Assumptions!$F$15,Assumptions!$F$14+(1-Assumptions!$F$14)*Assumptions!$F$13^C10))</f>
        <v>0</v>
      </c>
      <c r="D12" s="57" t="n">
        <f aca="false">IF(D8=0,0,IF(D10=0,Assumptions!$F$15,Assumptions!$F$14+(1-Assumptions!$F$14)*Assumptions!$F$13^D10))</f>
        <v>2.8</v>
      </c>
      <c r="E12" s="57" t="n">
        <f aca="false">IF(E8=0,0,IF(E10=0,Assumptions!$F$15,Assumptions!$F$14+(1-Assumptions!$F$14)*Assumptions!$F$13^E10))</f>
        <v>0.9216</v>
      </c>
      <c r="F12" s="57" t="n">
        <f aca="false">IF(F8=0,0,IF(F10=0,Assumptions!$F$15,Assumptions!$F$14+(1-Assumptions!$F$14)*Assumptions!$F$13^F10))</f>
        <v>0.854176</v>
      </c>
      <c r="G12" s="57" t="n">
        <f aca="false">IF(G8=0,0,IF(G10=0,Assumptions!$F$15,Assumptions!$F$14+(1-Assumptions!$F$14)*Assumptions!$F$13^G10))</f>
        <v>0.79619136</v>
      </c>
      <c r="H12" s="57" t="n">
        <f aca="false">IF(H8=0,0,IF(H10=0,Assumptions!$F$15,Assumptions!$F$14+(1-Assumptions!$F$14)*Assumptions!$F$13^H10))</f>
        <v>0.7463245696</v>
      </c>
      <c r="I12" s="57" t="n">
        <f aca="false">IF(I8=0,0,IF(I10=0,Assumptions!$F$15,Assumptions!$F$14+(1-Assumptions!$F$14)*Assumptions!$F$13^I10))</f>
        <v>0.703439129856</v>
      </c>
      <c r="J12" s="57" t="n">
        <f aca="false">IF(J8=0,0,IF(J10=0,Assumptions!$F$15,Assumptions!$F$14+(1-Assumptions!$F$14)*Assumptions!$F$13^J10))</f>
        <v>0.66655765167616</v>
      </c>
      <c r="K12" s="57" t="n">
        <f aca="false">IF(K8=0,0,IF(K10=0,Assumptions!$F$15,Assumptions!$F$14+(1-Assumptions!$F$14)*Assumptions!$F$13^K10))</f>
        <v>0.634839580441498</v>
      </c>
      <c r="L12" s="57" t="n">
        <f aca="false">IF(L8=0,0,IF(L10=0,Assumptions!$F$15,Assumptions!$F$14+(1-Assumptions!$F$14)*Assumptions!$F$13^L10))</f>
        <v>0.607562039179688</v>
      </c>
      <c r="M12" s="57" t="n">
        <f aca="false">IF(M8=0,0,IF(M10=0,Assumptions!$F$15,Assumptions!$F$14+(1-Assumptions!$F$14)*Assumptions!$F$13^M10))</f>
        <v>0.584103353694532</v>
      </c>
      <c r="N12" s="57" t="n">
        <f aca="false">IF(N8=0,0,IF(N10=0,Assumptions!$F$15,Assumptions!$F$14+(1-Assumptions!$F$14)*Assumptions!$F$13^N10))</f>
        <v>0.563928884177297</v>
      </c>
      <c r="O12" s="57" t="n">
        <f aca="false">IF(O8=0,0,IF(O10=0,Assumptions!$F$15,Assumptions!$F$14+(1-Assumptions!$F$14)*Assumptions!$F$13^O10))</f>
        <v>0.546578840392476</v>
      </c>
      <c r="P12" s="57" t="n">
        <f aca="false">IF(P8=0,0,IF(P10=0,Assumptions!$F$15,Assumptions!$F$14+(1-Assumptions!$F$14)*Assumptions!$F$13^P10))</f>
        <v>0.531657802737529</v>
      </c>
      <c r="Q12" s="57" t="n">
        <f aca="false">IF(Q8=0,0,IF(Q10=0,Assumptions!$F$15,Assumptions!$F$14+(1-Assumptions!$F$14)*Assumptions!$F$13^Q10))</f>
        <v>0.518825710354275</v>
      </c>
      <c r="R12" s="57" t="n">
        <f aca="false">IF(R8=0,0,IF(R10=0,Assumptions!$F$15,Assumptions!$F$14+(1-Assumptions!$F$14)*Assumptions!$F$13^R10))</f>
        <v>0.507790110904676</v>
      </c>
      <c r="S12" s="57" t="n">
        <f aca="false">IF(S8=0,0,IF(S10=0,Assumptions!$F$15,Assumptions!$F$14+(1-Assumptions!$F$14)*Assumptions!$F$13^S10))</f>
        <v>0.498299495378022</v>
      </c>
      <c r="T12" s="57" t="n">
        <f aca="false">IF(T8=0,0,IF(T10=0,Assumptions!$F$15,Assumptions!$F$14+(1-Assumptions!$F$14)*Assumptions!$F$13^T10))</f>
        <v>0.490137566025099</v>
      </c>
      <c r="U12" s="57" t="n">
        <f aca="false">IF(U8=0,0,IF(U10=0,Assumptions!$F$15,Assumptions!$F$14+(1-Assumptions!$F$14)*Assumptions!$F$13^U10))</f>
        <v>0.483118306781585</v>
      </c>
      <c r="V12" s="57" t="n">
        <f aca="false">IF(V8=0,0,IF(V10=0,Assumptions!$F$15,Assumptions!$F$14+(1-Assumptions!$F$14)*Assumptions!$F$13^V10))</f>
        <v>0.477081743832163</v>
      </c>
      <c r="W12" s="57" t="n">
        <f aca="false">IF(W8=0,0,IF(W10=0,Assumptions!$F$15,Assumptions!$F$14+(1-Assumptions!$F$14)*Assumptions!$F$13^W10))</f>
        <v>0.47189029969566</v>
      </c>
      <c r="X12" s="57" t="n">
        <f aca="false">IF(X8=0,0,IF(X10=0,Assumptions!$F$15,Assumptions!$F$14+(1-Assumptions!$F$14)*Assumptions!$F$13^X10))</f>
        <v>0.467425657738268</v>
      </c>
      <c r="Y12" s="57" t="n">
        <f aca="false">IF(Y8=0,0,IF(Y10=0,Assumptions!$F$15,Assumptions!$F$14+(1-Assumptions!$F$14)*Assumptions!$F$13^Y10))</f>
        <v>0.46358606565491</v>
      </c>
      <c r="Z12" s="57" t="n">
        <f aca="false">IF(Z8=0,0,IF(Z10=0,Assumptions!$F$15,Assumptions!$F$14+(1-Assumptions!$F$14)*Assumptions!$F$13^Z10))</f>
        <v>0.460284016463223</v>
      </c>
      <c r="AA12" s="57" t="n">
        <f aca="false">IF(AA8=0,0,IF(AA10=0,Assumptions!$F$15,Assumptions!$F$14+(1-Assumptions!$F$14)*Assumptions!$F$13^AA10))</f>
        <v>0.457444254158372</v>
      </c>
      <c r="AB12" s="57" t="n">
        <f aca="false">IF(AB8=0,0,IF(AB10=0,Assumptions!$F$15,Assumptions!$F$14+(1-Assumptions!$F$14)*Assumptions!$F$13^AB10))</f>
        <v>0.4550020585762</v>
      </c>
      <c r="AC12" s="57" t="n">
        <f aca="false">IF(AC8=0,0,IF(AC10=0,Assumptions!$F$15,Assumptions!$F$14+(1-Assumptions!$F$14)*Assumptions!$F$13^AC10))</f>
        <v>0.452901770375532</v>
      </c>
      <c r="AD12" s="57" t="n">
        <f aca="false">IF(AD8=0,0,IF(AD10=0,Assumptions!$F$15,Assumptions!$F$14+(1-Assumptions!$F$14)*Assumptions!$F$13^AD10))</f>
        <v>0.451095522522957</v>
      </c>
      <c r="AE12" s="57" t="n">
        <f aca="false">IF(AE8=0,0,IF(AE10=0,Assumptions!$F$15,Assumptions!$F$14+(1-Assumptions!$F$14)*Assumptions!$F$13^AE10))</f>
        <v>0.449542149369743</v>
      </c>
      <c r="AF12" s="57" t="n">
        <f aca="false">IF(AF8=0,0,IF(AF10=0,Assumptions!$F$15,Assumptions!$F$14+(1-Assumptions!$F$14)*Assumptions!$F$13^AF10))</f>
        <v>0.448206248457979</v>
      </c>
      <c r="AG12" s="57" t="n">
        <f aca="false">IF(AG8=0,0,IF(AG10=0,Assumptions!$F$15,Assumptions!$F$14+(1-Assumptions!$F$14)*Assumptions!$F$13^AG10))</f>
        <v>0.447057373673862</v>
      </c>
      <c r="AH12" s="57" t="n">
        <f aca="false">IF(AH8=0,0,IF(AH10=0,Assumptions!$F$15,Assumptions!$F$14+(1-Assumptions!$F$14)*Assumptions!$F$13^AH10))</f>
        <v>0.446069341359521</v>
      </c>
      <c r="AI12" s="57" t="n">
        <f aca="false">IF(AI8=0,0,IF(AI10=0,Assumptions!$F$15,Assumptions!$F$14+(1-Assumptions!$F$14)*Assumptions!$F$13^AI10))</f>
        <v>0.445219633569188</v>
      </c>
      <c r="AJ12" s="57" t="n">
        <f aca="false">IF(AJ8=0,0,IF(AJ10=0,Assumptions!$F$15,Assumptions!$F$14+(1-Assumptions!$F$14)*Assumptions!$F$13^AJ10))</f>
        <v>0.444488884869502</v>
      </c>
      <c r="AK12" s="57" t="n">
        <f aca="false">IF(AK8=0,0,IF(AK10=0,Assumptions!$F$15,Assumptions!$F$14+(1-Assumptions!$F$14)*Assumptions!$F$13^AK10))</f>
        <v>0.443860440987772</v>
      </c>
      <c r="AL12" s="57" t="n">
        <f aca="false">IF(AL8=0,0,IF(AL10=0,Assumptions!$F$15,Assumptions!$F$14+(1-Assumptions!$F$14)*Assumptions!$F$13^AL10))</f>
        <v>0.443319979249484</v>
      </c>
      <c r="AM12" s="57"/>
    </row>
    <row r="13" customFormat="false" ht="15" hidden="false" customHeight="false" outlineLevel="0" collapsed="false">
      <c r="A13" s="10" t="s">
        <v>747</v>
      </c>
      <c r="B13" s="9" t="s">
        <v>84</v>
      </c>
      <c r="C13" s="61" t="n">
        <f aca="false">C11*C12</f>
        <v>0</v>
      </c>
      <c r="D13" s="61" t="n">
        <f aca="false">D11*D12</f>
        <v>535697.4</v>
      </c>
      <c r="E13" s="61" t="n">
        <f aca="false">E11*E12</f>
        <v>176320.9728</v>
      </c>
      <c r="F13" s="61" t="n">
        <f aca="false">F11*F12</f>
        <v>163421.379408</v>
      </c>
      <c r="G13" s="61" t="n">
        <f aca="false">G11*G12</f>
        <v>152327.72909088</v>
      </c>
      <c r="H13" s="61" t="n">
        <f aca="false">H11*H12</f>
        <v>142787.189818157</v>
      </c>
      <c r="I13" s="61" t="n">
        <f aca="false">I11*I12</f>
        <v>134582.326043615</v>
      </c>
      <c r="J13" s="61" t="n">
        <f aca="false">J11*J12</f>
        <v>127526.143197509</v>
      </c>
      <c r="K13" s="61" t="n">
        <f aca="false">K11*K12</f>
        <v>121457.825949858</v>
      </c>
      <c r="L13" s="61" t="n">
        <f aca="false">L11*L12</f>
        <v>116239.073116877</v>
      </c>
      <c r="M13" s="61" t="n">
        <f aca="false">M11*M12</f>
        <v>111750.945680515</v>
      </c>
      <c r="N13" s="61" t="n">
        <f aca="false">N11*N12</f>
        <v>107891.156085243</v>
      </c>
      <c r="O13" s="61" t="n">
        <f aca="false">O11*O12</f>
        <v>104571.737033309</v>
      </c>
      <c r="P13" s="61" t="n">
        <f aca="false">P11*P12</f>
        <v>101717.036648645</v>
      </c>
      <c r="Q13" s="61" t="n">
        <f aca="false">Q11*Q12</f>
        <v>99261.9943178351</v>
      </c>
      <c r="R13" s="61" t="n">
        <f aca="false">R11*R12</f>
        <v>97150.6579133382</v>
      </c>
      <c r="S13" s="61" t="n">
        <f aca="false">S11*S12</f>
        <v>95334.9086054708</v>
      </c>
      <c r="T13" s="61" t="n">
        <f aca="false">T11*T12</f>
        <v>93773.3642007049</v>
      </c>
      <c r="U13" s="61" t="n">
        <f aca="false">U11*U12</f>
        <v>92430.4360126062</v>
      </c>
      <c r="V13" s="61" t="n">
        <f aca="false">V11*V12</f>
        <v>91275.5177708413</v>
      </c>
      <c r="W13" s="61" t="n">
        <f aca="false">W11*W12</f>
        <v>90282.2880829236</v>
      </c>
      <c r="X13" s="61" t="n">
        <f aca="false">X11*X12</f>
        <v>89428.1105513143</v>
      </c>
      <c r="Y13" s="61" t="n">
        <f aca="false">Y11*Y12</f>
        <v>88693.5178741303</v>
      </c>
      <c r="Z13" s="61" t="n">
        <f aca="false">Z11*Z12</f>
        <v>88061.768171752</v>
      </c>
      <c r="AA13" s="61" t="n">
        <f aca="false">AA11*AA12</f>
        <v>87518.4634277067</v>
      </c>
      <c r="AB13" s="61" t="n">
        <f aca="false">AB11*AB12</f>
        <v>87051.2213478278</v>
      </c>
      <c r="AC13" s="61" t="n">
        <f aca="false">AC11*AC12</f>
        <v>86649.3931591319</v>
      </c>
      <c r="AD13" s="61" t="n">
        <f aca="false">AD11*AD12</f>
        <v>86303.8209168534</v>
      </c>
      <c r="AE13" s="61" t="n">
        <f aca="false">AE11*AE12</f>
        <v>86006.628788494</v>
      </c>
      <c r="AF13" s="61" t="n">
        <f aca="false">AF11*AF12</f>
        <v>85751.0435581048</v>
      </c>
      <c r="AG13" s="61" t="n">
        <f aca="false">AG11*AG12</f>
        <v>85531.2402599701</v>
      </c>
      <c r="AH13" s="61" t="n">
        <f aca="false">AH11*AH12</f>
        <v>85342.2094235743</v>
      </c>
      <c r="AI13" s="61" t="n">
        <f aca="false">AI11*AI12</f>
        <v>85179.6429042739</v>
      </c>
      <c r="AJ13" s="61" t="n">
        <f aca="false">AJ11*AJ12</f>
        <v>85039.8356976756</v>
      </c>
      <c r="AK13" s="61" t="n">
        <f aca="false">AK11*AK12</f>
        <v>84919.601500001</v>
      </c>
      <c r="AL13" s="61" t="n">
        <f aca="false">AL11*AL12</f>
        <v>84816.2000900008</v>
      </c>
      <c r="AM13" s="61" t="n">
        <f aca="false">SUM(C13:AL13)</f>
        <v>4052092.77944714</v>
      </c>
    </row>
    <row r="14" customFormat="false" ht="15" hidden="false" customHeight="false" outlineLevel="0" collapsed="false">
      <c r="A14" s="10" t="s">
        <v>748</v>
      </c>
      <c r="B14" s="9" t="s">
        <v>749</v>
      </c>
      <c r="C14" s="61" t="n">
        <f aca="false">Assumptions!$F$9*Assumptions!$F$10*Assumptions!$F$11*C12</f>
        <v>0</v>
      </c>
      <c r="D14" s="61" t="n">
        <f aca="false">Assumptions!$F$9*Assumptions!$F$10*Assumptions!$F$11*D12</f>
        <v>56389200</v>
      </c>
      <c r="E14" s="61" t="n">
        <f aca="false">Assumptions!$F$9*Assumptions!$F$10*Assumptions!$F$11*E12</f>
        <v>18560102.4</v>
      </c>
      <c r="F14" s="61" t="n">
        <f aca="false">Assumptions!$F$9*Assumptions!$F$10*Assumptions!$F$11*F12</f>
        <v>17202250.464</v>
      </c>
      <c r="G14" s="61" t="n">
        <f aca="false">Assumptions!$F$9*Assumptions!$F$10*Assumptions!$F$11*G12</f>
        <v>16034497.79904</v>
      </c>
      <c r="H14" s="61" t="n">
        <f aca="false">Assumptions!$F$9*Assumptions!$F$10*Assumptions!$F$11*H12</f>
        <v>15030230.5071744</v>
      </c>
      <c r="I14" s="61" t="n">
        <f aca="false">Assumptions!$F$9*Assumptions!$F$10*Assumptions!$F$11*I12</f>
        <v>14166560.63617</v>
      </c>
      <c r="J14" s="61" t="n">
        <f aca="false">Assumptions!$F$9*Assumptions!$F$10*Assumptions!$F$11*J12</f>
        <v>13423804.5471062</v>
      </c>
      <c r="K14" s="61" t="n">
        <f aca="false">Assumptions!$F$9*Assumptions!$F$10*Assumptions!$F$11*K12</f>
        <v>12785034.3105113</v>
      </c>
      <c r="L14" s="61" t="n">
        <f aca="false">Assumptions!$F$9*Assumptions!$F$10*Assumptions!$F$11*L12</f>
        <v>12235691.9070397</v>
      </c>
      <c r="M14" s="61" t="n">
        <f aca="false">Assumptions!$F$9*Assumptions!$F$10*Assumptions!$F$11*M12</f>
        <v>11763257.4400542</v>
      </c>
      <c r="N14" s="61" t="n">
        <f aca="false">Assumptions!$F$9*Assumptions!$F$10*Assumptions!$F$11*N12</f>
        <v>11356963.7984466</v>
      </c>
      <c r="O14" s="61" t="n">
        <f aca="false">Assumptions!$F$9*Assumptions!$F$10*Assumptions!$F$11*O12</f>
        <v>11007551.2666641</v>
      </c>
      <c r="P14" s="61" t="n">
        <f aca="false">Assumptions!$F$9*Assumptions!$F$10*Assumptions!$F$11*P12</f>
        <v>10707056.4893311</v>
      </c>
      <c r="Q14" s="61" t="n">
        <f aca="false">Assumptions!$F$9*Assumptions!$F$10*Assumptions!$F$11*Q12</f>
        <v>10448630.9808247</v>
      </c>
      <c r="R14" s="61" t="n">
        <f aca="false">Assumptions!$F$9*Assumptions!$F$10*Assumptions!$F$11*R12</f>
        <v>10226385.0435093</v>
      </c>
      <c r="S14" s="61" t="n">
        <f aca="false">Assumptions!$F$9*Assumptions!$F$10*Assumptions!$F$11*S12</f>
        <v>10035253.537418</v>
      </c>
      <c r="T14" s="61" t="n">
        <f aca="false">Assumptions!$F$9*Assumptions!$F$10*Assumptions!$F$11*T12</f>
        <v>9870880.44217946</v>
      </c>
      <c r="U14" s="61" t="n">
        <f aca="false">Assumptions!$F$9*Assumptions!$F$10*Assumptions!$F$11*U12</f>
        <v>9729519.58027434</v>
      </c>
      <c r="V14" s="61" t="n">
        <f aca="false">Assumptions!$F$9*Assumptions!$F$10*Assumptions!$F$11*V12</f>
        <v>9607949.23903593</v>
      </c>
      <c r="W14" s="61" t="n">
        <f aca="false">Assumptions!$F$9*Assumptions!$F$10*Assumptions!$F$11*W12</f>
        <v>9503398.7455709</v>
      </c>
      <c r="X14" s="61" t="n">
        <f aca="false">Assumptions!$F$9*Assumptions!$F$10*Assumptions!$F$11*X12</f>
        <v>9413485.32119098</v>
      </c>
      <c r="Y14" s="61" t="n">
        <f aca="false">Assumptions!$F$9*Assumptions!$F$10*Assumptions!$F$11*Y12</f>
        <v>9336159.77622424</v>
      </c>
      <c r="Z14" s="61" t="n">
        <f aca="false">Assumptions!$F$9*Assumptions!$F$10*Assumptions!$F$11*Z12</f>
        <v>9269659.80755284</v>
      </c>
      <c r="AA14" s="61" t="n">
        <f aca="false">Assumptions!$F$9*Assumptions!$F$10*Assumptions!$F$11*AA12</f>
        <v>9212469.83449545</v>
      </c>
      <c r="AB14" s="61" t="n">
        <f aca="false">Assumptions!$F$9*Assumptions!$F$10*Assumptions!$F$11*AB12</f>
        <v>9163286.45766608</v>
      </c>
      <c r="AC14" s="61" t="n">
        <f aca="false">Assumptions!$F$9*Assumptions!$F$10*Assumptions!$F$11*AC12</f>
        <v>9120988.75359283</v>
      </c>
      <c r="AD14" s="61" t="n">
        <f aca="false">Assumptions!$F$9*Assumptions!$F$10*Assumptions!$F$11*AD12</f>
        <v>9084612.72808984</v>
      </c>
      <c r="AE14" s="61" t="n">
        <f aca="false">Assumptions!$F$9*Assumptions!$F$10*Assumptions!$F$11*AE12</f>
        <v>9053329.34615726</v>
      </c>
      <c r="AF14" s="61" t="n">
        <f aca="false">Assumptions!$F$9*Assumptions!$F$10*Assumptions!$F$11*AF12</f>
        <v>9026425.63769524</v>
      </c>
      <c r="AG14" s="61" t="n">
        <f aca="false">Assumptions!$F$9*Assumptions!$F$10*Assumptions!$F$11*AG12</f>
        <v>9003288.44841791</v>
      </c>
      <c r="AH14" s="61" t="n">
        <f aca="false">Assumptions!$F$9*Assumptions!$F$10*Assumptions!$F$11*AH12</f>
        <v>8983390.4656394</v>
      </c>
      <c r="AI14" s="61" t="n">
        <f aca="false">Assumptions!$F$9*Assumptions!$F$10*Assumptions!$F$11*AI12</f>
        <v>8966278.20044989</v>
      </c>
      <c r="AJ14" s="61" t="n">
        <f aca="false">Assumptions!$F$9*Assumptions!$F$10*Assumptions!$F$11*AJ12</f>
        <v>8951561.6523869</v>
      </c>
      <c r="AK14" s="61" t="n">
        <f aca="false">Assumptions!$F$9*Assumptions!$F$10*Assumptions!$F$11*AK12</f>
        <v>8938905.42105274</v>
      </c>
      <c r="AL14" s="61" t="n">
        <f aca="false">Assumptions!$F$9*Assumptions!$F$10*Assumptions!$F$11*AL12</f>
        <v>8928021.06210535</v>
      </c>
      <c r="AM14" s="61" t="n">
        <f aca="false">SUM(C14:AL14)</f>
        <v>426536082.047067</v>
      </c>
    </row>
    <row r="15" customFormat="false" ht="15" hidden="false" customHeight="false" outlineLevel="0" collapsed="false">
      <c r="A15" s="10" t="s">
        <v>750</v>
      </c>
      <c r="B15" s="9" t="s">
        <v>84</v>
      </c>
      <c r="C15" s="61" t="n">
        <f aca="false">MIN(Assumptions!$F$19,Assumptions!$F$17*(1+Assumptions!$F$18)^(C$5-1))</f>
        <v>3500</v>
      </c>
      <c r="D15" s="61" t="n">
        <f aca="false">MIN(Assumptions!$F$19,Assumptions!$F$17*(1+Assumptions!$F$18)^(D$5-1))</f>
        <v>3920</v>
      </c>
      <c r="E15" s="61" t="n">
        <f aca="false">MIN(Assumptions!$F$19,Assumptions!$F$17*(1+Assumptions!$F$18)^(E$5-1))</f>
        <v>4390.4</v>
      </c>
      <c r="F15" s="61" t="n">
        <f aca="false">MIN(Assumptions!$F$19,Assumptions!$F$17*(1+Assumptions!$F$18)^(F$5-1))</f>
        <v>4917.248</v>
      </c>
      <c r="G15" s="61" t="n">
        <f aca="false">MIN(Assumptions!$F$19,Assumptions!$F$17*(1+Assumptions!$F$18)^(G$5-1))</f>
        <v>5507.31776</v>
      </c>
      <c r="H15" s="61" t="n">
        <f aca="false">MIN(Assumptions!$F$19,Assumptions!$F$17*(1+Assumptions!$F$18)^(H$5-1))</f>
        <v>6168.1958912</v>
      </c>
      <c r="I15" s="61" t="n">
        <f aca="false">MIN(Assumptions!$F$19,Assumptions!$F$17*(1+Assumptions!$F$18)^(I$5-1))</f>
        <v>6908.379398144</v>
      </c>
      <c r="J15" s="61" t="n">
        <f aca="false">MIN(Assumptions!$F$19,Assumptions!$F$17*(1+Assumptions!$F$18)^(J$5-1))</f>
        <v>7737.38492592129</v>
      </c>
      <c r="K15" s="61" t="n">
        <f aca="false">MIN(Assumptions!$F$19,Assumptions!$F$17*(1+Assumptions!$F$18)^(K$5-1))</f>
        <v>8665.87111703184</v>
      </c>
      <c r="L15" s="61" t="n">
        <f aca="false">MIN(Assumptions!$F$19,Assumptions!$F$17*(1+Assumptions!$F$18)^(L$5-1))</f>
        <v>9705.77565107566</v>
      </c>
      <c r="M15" s="61" t="n">
        <f aca="false">MIN(Assumptions!$F$19,Assumptions!$F$17*(1+Assumptions!$F$18)^(M$5-1))</f>
        <v>10870.4687292047</v>
      </c>
      <c r="N15" s="61" t="n">
        <f aca="false">MIN(Assumptions!$F$19,Assumptions!$F$17*(1+Assumptions!$F$18)^(N$5-1))</f>
        <v>12174.9249767093</v>
      </c>
      <c r="O15" s="61" t="n">
        <f aca="false">MIN(Assumptions!$F$19,Assumptions!$F$17*(1+Assumptions!$F$18)^(O$5-1))</f>
        <v>13635.9159739144</v>
      </c>
      <c r="P15" s="61" t="n">
        <f aca="false">MIN(Assumptions!$F$19,Assumptions!$F$17*(1+Assumptions!$F$18)^(P$5-1))</f>
        <v>15272.2258907842</v>
      </c>
      <c r="Q15" s="61" t="n">
        <f aca="false">MIN(Assumptions!$F$19,Assumptions!$F$17*(1+Assumptions!$F$18)^(Q$5-1))</f>
        <v>17104.8929976783</v>
      </c>
      <c r="R15" s="61" t="n">
        <f aca="false">MIN(Assumptions!$F$19,Assumptions!$F$17*(1+Assumptions!$F$18)^(R$5-1))</f>
        <v>19157.4801573997</v>
      </c>
      <c r="S15" s="61" t="n">
        <f aca="false">MIN(Assumptions!$F$19,Assumptions!$F$17*(1+Assumptions!$F$18)^(S$5-1))</f>
        <v>21456.3777762876</v>
      </c>
      <c r="T15" s="61" t="n">
        <f aca="false">MIN(Assumptions!$F$19,Assumptions!$F$17*(1+Assumptions!$F$18)^(T$5-1))</f>
        <v>24031.1431094421</v>
      </c>
      <c r="U15" s="61" t="n">
        <f aca="false">MIN(Assumptions!$F$19,Assumptions!$F$17*(1+Assumptions!$F$18)^(U$5-1))</f>
        <v>26914.8802825752</v>
      </c>
      <c r="V15" s="61" t="n">
        <f aca="false">MIN(Assumptions!$F$19,Assumptions!$F$17*(1+Assumptions!$F$18)^(V$5-1))</f>
        <v>30144.6659164842</v>
      </c>
      <c r="W15" s="61" t="n">
        <f aca="false">MIN(Assumptions!$F$19,Assumptions!$F$17*(1+Assumptions!$F$18)^(W$5-1))</f>
        <v>33762.0258264623</v>
      </c>
      <c r="X15" s="61" t="n">
        <f aca="false">MIN(Assumptions!$F$19,Assumptions!$F$17*(1+Assumptions!$F$18)^(X$5-1))</f>
        <v>37813.4689256378</v>
      </c>
      <c r="Y15" s="61" t="n">
        <f aca="false">MIN(Assumptions!$F$19,Assumptions!$F$17*(1+Assumptions!$F$18)^(Y$5-1))</f>
        <v>42351.0851967144</v>
      </c>
      <c r="Z15" s="61" t="n">
        <f aca="false">MIN(Assumptions!$F$19,Assumptions!$F$17*(1+Assumptions!$F$18)^(Z$5-1))</f>
        <v>47433.2154203201</v>
      </c>
      <c r="AA15" s="61" t="n">
        <f aca="false">MIN(Assumptions!$F$19,Assumptions!$F$17*(1+Assumptions!$F$18)^(AA$5-1))</f>
        <v>53125.2012707585</v>
      </c>
      <c r="AB15" s="61" t="n">
        <f aca="false">MIN(Assumptions!$F$19,Assumptions!$F$17*(1+Assumptions!$F$18)^(AB$5-1))</f>
        <v>59500.2254232495</v>
      </c>
      <c r="AC15" s="61" t="n">
        <f aca="false">MIN(Assumptions!$F$19,Assumptions!$F$17*(1+Assumptions!$F$18)^(AC$5-1))</f>
        <v>66640.2524740395</v>
      </c>
      <c r="AD15" s="61" t="n">
        <f aca="false">MIN(Assumptions!$F$19,Assumptions!$F$17*(1+Assumptions!$F$18)^(AD$5-1))</f>
        <v>74637.0827709242</v>
      </c>
      <c r="AE15" s="61" t="n">
        <f aca="false">MIN(Assumptions!$F$19,Assumptions!$F$17*(1+Assumptions!$F$18)^(AE$5-1))</f>
        <v>83593.5327034351</v>
      </c>
      <c r="AF15" s="61" t="n">
        <f aca="false">MIN(Assumptions!$F$19,Assumptions!$F$17*(1+Assumptions!$F$18)^(AF$5-1))</f>
        <v>93624.7566278474</v>
      </c>
      <c r="AG15" s="61" t="n">
        <f aca="false">MIN(Assumptions!$F$19,Assumptions!$F$17*(1+Assumptions!$F$18)^(AG$5-1))</f>
        <v>104859.727423189</v>
      </c>
      <c r="AH15" s="61" t="n">
        <f aca="false">MIN(Assumptions!$F$19,Assumptions!$F$17*(1+Assumptions!$F$18)^(AH$5-1))</f>
        <v>117442.894713972</v>
      </c>
      <c r="AI15" s="61" t="n">
        <f aca="false">MIN(Assumptions!$F$19,Assumptions!$F$17*(1+Assumptions!$F$18)^(AI$5-1))</f>
        <v>131536.042079648</v>
      </c>
      <c r="AJ15" s="61" t="n">
        <f aca="false">MIN(Assumptions!$F$19,Assumptions!$F$17*(1+Assumptions!$F$18)^(AJ$5-1))</f>
        <v>147320.367129206</v>
      </c>
      <c r="AK15" s="61" t="n">
        <f aca="false">MIN(Assumptions!$F$19,Assumptions!$F$17*(1+Assumptions!$F$18)^(AK$5-1))</f>
        <v>164998.811184711</v>
      </c>
      <c r="AL15" s="61" t="n">
        <f aca="false">MIN(Assumptions!$F$19,Assumptions!$F$17*(1+Assumptions!$F$18)^(AL$5-1))</f>
        <v>184798.668526876</v>
      </c>
      <c r="AM15" s="61" t="n">
        <f aca="false">SUM(C15:AL15)</f>
        <v>1695620.90625084</v>
      </c>
    </row>
    <row r="16" customFormat="false" ht="15" hidden="false" customHeight="false" outlineLevel="0" collapsed="false">
      <c r="A16" s="37" t="s">
        <v>751</v>
      </c>
      <c r="B16" s="9" t="s">
        <v>97</v>
      </c>
      <c r="C16" s="53" t="n">
        <f aca="false">Assumptions!$F$20</f>
        <v>15000</v>
      </c>
      <c r="D16" s="53" t="n">
        <f aca="false">IF(D8=0,Assumptions!$F$20,MIN(Assumptions!$F$24,MAX(Assumptions!$F$21,C72*Assumptions!$F$22)))</f>
        <v>60000</v>
      </c>
      <c r="E16" s="53" t="n">
        <f aca="false">IF(E8=0,Assumptions!$F$20,MIN(Assumptions!$F$24,MAX(Assumptions!$F$21,D72*Assumptions!$F$22)))</f>
        <v>258192</v>
      </c>
      <c r="F16" s="53" t="n">
        <f aca="false">IF(F8=0,Assumptions!$F$20,MIN(Assumptions!$F$24,MAX(Assumptions!$F$21,E72*Assumptions!$F$22)))</f>
        <v>345047.101169295</v>
      </c>
      <c r="G16" s="53" t="n">
        <f aca="false">IF(G8=0,Assumptions!$F$20,MIN(Assumptions!$F$24,MAX(Assumptions!$F$21,F72*Assumptions!$F$22)))</f>
        <v>439569.801189016</v>
      </c>
      <c r="H16" s="53" t="n">
        <f aca="false">IF(H8=0,Assumptions!$F$20,MIN(Assumptions!$F$24,MAX(Assumptions!$F$21,G72*Assumptions!$F$22)))</f>
        <v>589795.868150426</v>
      </c>
      <c r="I16" s="53" t="n">
        <f aca="false">IF(I8=0,Assumptions!$F$20,MIN(Assumptions!$F$24,MAX(Assumptions!$F$21,H72*Assumptions!$F$22)))</f>
        <v>730254.939552672</v>
      </c>
      <c r="J16" s="53" t="n">
        <f aca="false">IF(J8=0,Assumptions!$F$20,MIN(Assumptions!$F$24,MAX(Assumptions!$F$21,I72*Assumptions!$F$22)))</f>
        <v>874353.368543638</v>
      </c>
      <c r="K16" s="53" t="n">
        <f aca="false">IF(K8=0,Assumptions!$F$20,MIN(Assumptions!$F$24,MAX(Assumptions!$F$21,J72*Assumptions!$F$22)))</f>
        <v>1022588.15187969</v>
      </c>
      <c r="L16" s="53" t="n">
        <f aca="false">IF(L8=0,Assumptions!$F$20,MIN(Assumptions!$F$24,MAX(Assumptions!$F$21,K72*Assumptions!$F$22)))</f>
        <v>1175739.60576115</v>
      </c>
      <c r="M16" s="53" t="n">
        <f aca="false">IF(M8=0,Assumptions!$F$20,MIN(Assumptions!$F$24,MAX(Assumptions!$F$21,L72*Assumptions!$F$22)))</f>
        <v>1334501.5154562</v>
      </c>
      <c r="N16" s="53" t="n">
        <f aca="false">IF(N8=0,Assumptions!$F$20,MIN(Assumptions!$F$24,MAX(Assumptions!$F$21,M72*Assumptions!$F$22)))</f>
        <v>1499561.70164414</v>
      </c>
      <c r="O16" s="53" t="n">
        <f aca="false">IF(O8=0,Assumptions!$F$20,MIN(Assumptions!$F$24,MAX(Assumptions!$F$21,N72*Assumptions!$F$22)))</f>
        <v>1671613.16040209</v>
      </c>
      <c r="P16" s="53" t="n">
        <f aca="false">IF(P8=0,Assumptions!$F$20,MIN(Assumptions!$F$24,MAX(Assumptions!$F$21,O72*Assumptions!$F$22)))</f>
        <v>1851358.39045915</v>
      </c>
      <c r="Q16" s="53" t="n">
        <f aca="false">IF(Q8=0,Assumptions!$F$20,MIN(Assumptions!$F$24,MAX(Assumptions!$F$21,P72*Assumptions!$F$22)))</f>
        <v>2039512.54957523</v>
      </c>
      <c r="R16" s="53" t="n">
        <f aca="false">IF(R8=0,Assumptions!$F$20,MIN(Assumptions!$F$24,MAX(Assumptions!$F$21,Q72*Assumptions!$F$22)))</f>
        <v>2236806.94768589</v>
      </c>
      <c r="S16" s="53" t="n">
        <f aca="false">IF(S8=0,Assumptions!$F$20,MIN(Assumptions!$F$24,MAX(Assumptions!$F$21,R72*Assumptions!$F$22)))</f>
        <v>2443993.07731594</v>
      </c>
      <c r="T16" s="53" t="n">
        <f aca="false">IF(T8=0,Assumptions!$F$20,MIN(Assumptions!$F$24,MAX(Assumptions!$F$21,S72*Assumptions!$F$22)))</f>
        <v>2661847.14259931</v>
      </c>
      <c r="U16" s="53" t="n">
        <f aca="false">IF(U8=0,Assumptions!$F$20,MIN(Assumptions!$F$24,MAX(Assumptions!$F$21,T72*Assumptions!$F$22)))</f>
        <v>2884214.89421235</v>
      </c>
      <c r="V16" s="53" t="n">
        <f aca="false">IF(V8=0,Assumptions!$F$20,MIN(Assumptions!$F$24,MAX(Assumptions!$F$21,U72*Assumptions!$F$22)))</f>
        <v>3110398.31332062</v>
      </c>
      <c r="W16" s="53" t="n">
        <f aca="false">IF(W8=0,Assumptions!$F$20,MIN(Assumptions!$F$24,MAX(Assumptions!$F$21,V72*Assumptions!$F$22)))</f>
        <v>3341336.29784537</v>
      </c>
      <c r="X16" s="53" t="n">
        <f aca="false">IF(X8=0,Assumptions!$F$20,MIN(Assumptions!$F$24,MAX(Assumptions!$F$21,W72*Assumptions!$F$22)))</f>
        <v>3577172.00530074</v>
      </c>
      <c r="Y16" s="53" t="n">
        <f aca="false">IF(Y8=0,Assumptions!$F$20,MIN(Assumptions!$F$24,MAX(Assumptions!$F$21,X72*Assumptions!$F$22)))</f>
        <v>3818057.98439386</v>
      </c>
      <c r="Z16" s="53" t="n">
        <f aca="false">IF(Z8=0,Assumptions!$F$20,MIN(Assumptions!$F$24,MAX(Assumptions!$F$21,Y72*Assumptions!$F$22)))</f>
        <v>4000000</v>
      </c>
      <c r="AA16" s="53" t="n">
        <f aca="false">IF(AA8=0,Assumptions!$F$20,MIN(Assumptions!$F$24,MAX(Assumptions!$F$21,Z72*Assumptions!$F$22)))</f>
        <v>4000000</v>
      </c>
      <c r="AB16" s="53" t="n">
        <f aca="false">IF(AB8=0,Assumptions!$F$20,MIN(Assumptions!$F$24,MAX(Assumptions!$F$21,AA72*Assumptions!$F$22)))</f>
        <v>4000000</v>
      </c>
      <c r="AC16" s="53" t="n">
        <f aca="false">IF(AC8=0,Assumptions!$F$20,MIN(Assumptions!$F$24,MAX(Assumptions!$F$21,AB72*Assumptions!$F$22)))</f>
        <v>4000000</v>
      </c>
      <c r="AD16" s="53" t="n">
        <f aca="false">IF(AD8=0,Assumptions!$F$20,MIN(Assumptions!$F$24,MAX(Assumptions!$F$21,AC72*Assumptions!$F$22)))</f>
        <v>4000000</v>
      </c>
      <c r="AE16" s="53" t="n">
        <f aca="false">IF(AE8=0,Assumptions!$F$20,MIN(Assumptions!$F$24,MAX(Assumptions!$F$21,AD72*Assumptions!$F$22)))</f>
        <v>4000000</v>
      </c>
      <c r="AF16" s="53" t="n">
        <f aca="false">IF(AF8=0,Assumptions!$F$20,MIN(Assumptions!$F$24,MAX(Assumptions!$F$21,AE72*Assumptions!$F$22)))</f>
        <v>4000000</v>
      </c>
      <c r="AG16" s="53" t="n">
        <f aca="false">IF(AG8=0,Assumptions!$F$20,MIN(Assumptions!$F$24,MAX(Assumptions!$F$21,AF72*Assumptions!$F$22)))</f>
        <v>4000000</v>
      </c>
      <c r="AH16" s="53" t="n">
        <f aca="false">IF(AH8=0,Assumptions!$F$20,MIN(Assumptions!$F$24,MAX(Assumptions!$F$21,AG72*Assumptions!$F$22)))</f>
        <v>4000000</v>
      </c>
      <c r="AI16" s="53" t="n">
        <f aca="false">IF(AI8=0,Assumptions!$F$20,MIN(Assumptions!$F$24,MAX(Assumptions!$F$21,AH72*Assumptions!$F$22)))</f>
        <v>4000000</v>
      </c>
      <c r="AJ16" s="53" t="n">
        <f aca="false">IF(AJ8=0,Assumptions!$F$20,MIN(Assumptions!$F$24,MAX(Assumptions!$F$21,AI72*Assumptions!$F$22)))</f>
        <v>4000000</v>
      </c>
      <c r="AK16" s="53" t="n">
        <f aca="false">IF(AK8=0,Assumptions!$F$20,MIN(Assumptions!$F$24,MAX(Assumptions!$F$21,AJ72*Assumptions!$F$22)))</f>
        <v>4000000</v>
      </c>
      <c r="AL16" s="53" t="n">
        <f aca="false">IF(AL8=0,Assumptions!$F$20,MIN(Assumptions!$F$24,MAX(Assumptions!$F$21,AK72*Assumptions!$F$22)))</f>
        <v>4000000</v>
      </c>
      <c r="AM16" s="53" t="n">
        <f aca="false">SUM(C16:AL16)</f>
        <v>89980914.8164568</v>
      </c>
    </row>
    <row r="17" customFormat="false" ht="15" hidden="false" customHeight="false" outlineLevel="0" collapsed="false">
      <c r="A17" s="10" t="s">
        <v>752</v>
      </c>
      <c r="B17" s="9" t="s">
        <v>84</v>
      </c>
      <c r="C17" s="61" t="n">
        <f aca="false">(C14*Assumptions!$F$27+C15*Assumptions!$F$28)*Assumptions!$F$29*C8</f>
        <v>0</v>
      </c>
      <c r="D17" s="61" t="n">
        <f aca="false">(D14*Assumptions!$F$27+D15*Assumptions!$F$28)*Assumptions!$F$29*D8</f>
        <v>106053.15</v>
      </c>
      <c r="E17" s="61" t="n">
        <f aca="false">(E14*Assumptions!$F$27+E15*Assumptions!$F$28)*Assumptions!$F$29*E8</f>
        <v>35162.4</v>
      </c>
      <c r="F17" s="61" t="n">
        <f aca="false">(F14*Assumptions!$F$27+F15*Assumptions!$F$28)*Assumptions!$F$29*F8</f>
        <v>32659.89258</v>
      </c>
      <c r="G17" s="61" t="n">
        <f aca="false">(G14*Assumptions!$F$27+G15*Assumptions!$F$28)*Assumptions!$F$29*G8</f>
        <v>30519.0370884</v>
      </c>
      <c r="H17" s="61" t="n">
        <f aca="false">(H14*Assumptions!$F$27+H15*Assumptions!$F$28)*Assumptions!$F$29*H8</f>
        <v>28690.558361976</v>
      </c>
      <c r="I17" s="61" t="n">
        <f aca="false">(I14*Assumptions!$F$27+I15*Assumptions!$F$28)*Assumptions!$F$29*I8</f>
        <v>27132.2424931656</v>
      </c>
      <c r="J17" s="61" t="n">
        <f aca="false">(J14*Assumptions!$F$27+J15*Assumptions!$F$28)*Assumptions!$F$29*J8</f>
        <v>25807.9677822126</v>
      </c>
      <c r="K17" s="61" t="n">
        <f aca="false">(K14*Assumptions!$F$27+K15*Assumptions!$F$28)*Assumptions!$F$29*K8</f>
        <v>24686.8736993639</v>
      </c>
      <c r="L17" s="61" t="n">
        <f aca="false">(L14*Assumptions!$F$27+L15*Assumptions!$F$28)*Assumptions!$F$29*L8</f>
        <v>23742.6488169132</v>
      </c>
      <c r="M17" s="61" t="n">
        <f aca="false">(M14*Assumptions!$F$27+M15*Assumptions!$F$28)*Assumptions!$F$29*M8</f>
        <v>22952.921370261</v>
      </c>
      <c r="N17" s="61" t="n">
        <f aca="false">(N14*Assumptions!$F$27+N15*Assumptions!$F$28)*Assumptions!$F$29*N8</f>
        <v>22298.7384326659</v>
      </c>
      <c r="O17" s="61" t="n">
        <f aca="false">(O14*Assumptions!$F$27+O15*Assumptions!$F$28)*Assumptions!$F$29*O8</f>
        <v>21764.1216928431</v>
      </c>
      <c r="P17" s="61" t="n">
        <f aca="false">(P14*Assumptions!$F$27+P15*Assumptions!$F$28)*Assumptions!$F$29*P8</f>
        <v>21335.6895534855</v>
      </c>
      <c r="Q17" s="61" t="n">
        <f aca="false">(Q14*Assumptions!$F$27+Q15*Assumptions!$F$28)*Assumptions!$F$29*Q8</f>
        <v>21002.3367613549</v>
      </c>
      <c r="R17" s="61" t="n">
        <f aca="false">(R14*Assumptions!$F$27+R15*Assumptions!$F$28)*Assumptions!$F$29*R8</f>
        <v>20754.9640695654</v>
      </c>
      <c r="S17" s="61" t="n">
        <f aca="false">(S14*Assumptions!$F$27+S15*Assumptions!$F$28)*Assumptions!$F$29*S8</f>
        <v>20586.2515492024</v>
      </c>
      <c r="T17" s="61" t="n">
        <f aca="false">(T14*Assumptions!$F$27+T15*Assumptions!$F$28)*Assumptions!$F$29*T8</f>
        <v>20490.4701356155</v>
      </c>
      <c r="U17" s="61" t="n">
        <f aca="false">(U14*Assumptions!$F$27+U15*Assumptions!$F$28)*Assumptions!$F$29*U8</f>
        <v>20463.3268363268</v>
      </c>
      <c r="V17" s="61" t="n">
        <f aca="false">(V14*Assumptions!$F$27+V15*Assumptions!$F$28)*Assumptions!$F$29*V8</f>
        <v>20501.8397613023</v>
      </c>
      <c r="W17" s="61" t="n">
        <f aca="false">(W14*Assumptions!$F$27+W15*Assumptions!$F$28)*Assumptions!$F$29*W8</f>
        <v>20604.2397786286</v>
      </c>
      <c r="X17" s="61" t="n">
        <f aca="false">(X14*Assumptions!$F$27+X15*Assumptions!$F$28)*Assumptions!$F$29*X8</f>
        <v>20769.8961635982</v>
      </c>
      <c r="Y17" s="61" t="n">
        <f aca="false">(Y14*Assumptions!$F$27+Y15*Assumptions!$F$28)*Assumptions!$F$29*Y8</f>
        <v>20999.2641091494</v>
      </c>
      <c r="Z17" s="61" t="n">
        <f aca="false">(Z14*Assumptions!$F$27+Z15*Assumptions!$F$28)*Assumptions!$F$29*Z8</f>
        <v>21293.852411338</v>
      </c>
      <c r="AA17" s="61" t="n">
        <f aca="false">(AA14*Assumptions!$F$27+AA15*Assumptions!$F$28)*Assumptions!$F$29*AA8</f>
        <v>21656.2100445165</v>
      </c>
      <c r="AB17" s="61" t="n">
        <f aca="false">(AB14*Assumptions!$F$27+AB15*Assumptions!$F$28)*Assumptions!$F$29*AB8</f>
        <v>22089.930705542</v>
      </c>
      <c r="AC17" s="61" t="n">
        <f aca="false">(AC14*Assumptions!$F$27+AC15*Assumptions!$F$28)*Assumptions!$F$29*AC8</f>
        <v>22599.6747420948</v>
      </c>
      <c r="AD17" s="61" t="n">
        <f aca="false">(AD14*Assumptions!$F$27+AD15*Assumptions!$F$28)*Assumptions!$F$29*AD8</f>
        <v>23191.2081937697</v>
      </c>
      <c r="AE17" s="61" t="n">
        <f aca="false">(AE14*Assumptions!$F$27+AE15*Assumptions!$F$28)*Assumptions!$F$29*AE8</f>
        <v>23871.4589720783</v>
      </c>
      <c r="AF17" s="61" t="n">
        <f aca="false">(AF14*Assumptions!$F$27+AF15*Assumptions!$F$28)*Assumptions!$F$29*AF8</f>
        <v>24648.590492476</v>
      </c>
      <c r="AG17" s="61" t="n">
        <f aca="false">(AG14*Assumptions!$F$27+AG15*Assumptions!$F$28)*Assumptions!$F$29*AG8</f>
        <v>25532.0933531967</v>
      </c>
      <c r="AH17" s="61" t="n">
        <f aca="false">(AH14*Assumptions!$F$27+AH15*Assumptions!$F$28)*Assumptions!$F$29*AH8</f>
        <v>26532.8959369766</v>
      </c>
      <c r="AI17" s="61" t="n">
        <f aca="false">(AI14*Assumptions!$F$27+AI15*Assumptions!$F$28)*Assumptions!$F$29*AI8</f>
        <v>27663.4950974145</v>
      </c>
      <c r="AJ17" s="61" t="n">
        <f aca="false">(AJ14*Assumptions!$F$27+AJ15*Assumptions!$F$28)*Assumptions!$F$29*AJ8</f>
        <v>28938.1083863849</v>
      </c>
      <c r="AK17" s="61" t="n">
        <f aca="false">(AK14*Assumptions!$F$27+AK15*Assumptions!$F$28)*Assumptions!$F$29*AK8</f>
        <v>30372.8495872125</v>
      </c>
      <c r="AL17" s="61" t="n">
        <f aca="false">(AL14*Assumptions!$F$27+AL15*Assumptions!$F$28)*Assumptions!$F$29*AL8</f>
        <v>31985.9296449148</v>
      </c>
      <c r="AM17" s="61" t="n">
        <f aca="false">SUM(C17:AL17)</f>
        <v>939355.128603946</v>
      </c>
    </row>
    <row r="18" customFormat="false" ht="15" hidden="false" customHeight="false" outlineLevel="0" collapsed="false">
      <c r="A18" s="10" t="s">
        <v>753</v>
      </c>
      <c r="B18" s="9" t="s">
        <v>97</v>
      </c>
      <c r="C18" s="70" t="n">
        <f aca="false">MIN(C16,C17*Assumptions!$F$30)</f>
        <v>0</v>
      </c>
      <c r="D18" s="70" t="n">
        <f aca="false">MIN(D16,D17*Assumptions!$F$30)</f>
        <v>60000</v>
      </c>
      <c r="E18" s="70" t="n">
        <f aca="false">MIN(E16,E17*Assumptions!$F$30)</f>
        <v>33404.28</v>
      </c>
      <c r="F18" s="70" t="n">
        <f aca="false">MIN(F16,F17*Assumptions!$F$30)</f>
        <v>31026.897951</v>
      </c>
      <c r="G18" s="70" t="n">
        <f aca="false">MIN(G16,G17*Assumptions!$F$30)</f>
        <v>28993.08523398</v>
      </c>
      <c r="H18" s="70" t="n">
        <f aca="false">MIN(H16,H17*Assumptions!$F$30)</f>
        <v>27256.0304438772</v>
      </c>
      <c r="I18" s="70" t="n">
        <f aca="false">MIN(I16,I17*Assumptions!$F$30)</f>
        <v>25775.6303685073</v>
      </c>
      <c r="J18" s="70" t="n">
        <f aca="false">MIN(J16,J17*Assumptions!$F$30)</f>
        <v>24517.569393102</v>
      </c>
      <c r="K18" s="70" t="n">
        <f aca="false">MIN(K16,K17*Assumptions!$F$30)</f>
        <v>23452.5300143957</v>
      </c>
      <c r="L18" s="70" t="n">
        <f aca="false">MIN(L16,L17*Assumptions!$F$30)</f>
        <v>22555.5163760676</v>
      </c>
      <c r="M18" s="70" t="n">
        <f aca="false">MIN(M16,M17*Assumptions!$F$30)</f>
        <v>21805.2753017479</v>
      </c>
      <c r="N18" s="70" t="n">
        <f aca="false">MIN(N16,N17*Assumptions!$F$30)</f>
        <v>21183.8015110326</v>
      </c>
      <c r="O18" s="70" t="n">
        <f aca="false">MIN(O16,O17*Assumptions!$F$30)</f>
        <v>20675.9156082009</v>
      </c>
      <c r="P18" s="70" t="n">
        <f aca="false">MIN(P16,P17*Assumptions!$F$30)</f>
        <v>20268.9050758112</v>
      </c>
      <c r="Q18" s="70" t="n">
        <f aca="false">MIN(Q16,Q17*Assumptions!$F$30)</f>
        <v>19952.2199232871</v>
      </c>
      <c r="R18" s="70" t="n">
        <f aca="false">MIN(R16,R17*Assumptions!$F$30)</f>
        <v>19717.2158660871</v>
      </c>
      <c r="S18" s="70" t="n">
        <f aca="false">MIN(S16,S17*Assumptions!$F$30)</f>
        <v>19556.9389717423</v>
      </c>
      <c r="T18" s="70" t="n">
        <f aca="false">MIN(T16,T17*Assumptions!$F$30)</f>
        <v>19465.9466288347</v>
      </c>
      <c r="U18" s="70" t="n">
        <f aca="false">MIN(U16,U17*Assumptions!$F$30)</f>
        <v>19440.1604945105</v>
      </c>
      <c r="V18" s="70" t="n">
        <f aca="false">MIN(V16,V17*Assumptions!$F$30)</f>
        <v>19476.7477732372</v>
      </c>
      <c r="W18" s="70" t="n">
        <f aca="false">MIN(W16,W17*Assumptions!$F$30)</f>
        <v>19574.0277896972</v>
      </c>
      <c r="X18" s="70" t="n">
        <f aca="false">MIN(X16,X17*Assumptions!$F$30)</f>
        <v>19731.4013554183</v>
      </c>
      <c r="Y18" s="70" t="n">
        <f aca="false">MIN(Y16,Y17*Assumptions!$F$30)</f>
        <v>19949.3009036919</v>
      </c>
      <c r="Z18" s="70" t="n">
        <f aca="false">MIN(Z16,Z17*Assumptions!$F$30)</f>
        <v>20229.1597907711</v>
      </c>
      <c r="AA18" s="70" t="n">
        <f aca="false">MIN(AA16,AA17*Assumptions!$F$30)</f>
        <v>20573.3995422907</v>
      </c>
      <c r="AB18" s="70" t="n">
        <f aca="false">MIN(AB16,AB17*Assumptions!$F$30)</f>
        <v>20985.4341702649</v>
      </c>
      <c r="AC18" s="70" t="n">
        <f aca="false">MIN(AC16,AC17*Assumptions!$F$30)</f>
        <v>21469.6910049901</v>
      </c>
      <c r="AD18" s="70" t="n">
        <f aca="false">MIN(AD16,AD17*Assumptions!$F$30)</f>
        <v>22031.6477840812</v>
      </c>
      <c r="AE18" s="70" t="n">
        <f aca="false">MIN(AE16,AE17*Assumptions!$F$30)</f>
        <v>22677.8860234743</v>
      </c>
      <c r="AF18" s="70" t="n">
        <f aca="false">MIN(AF16,AF17*Assumptions!$F$30)</f>
        <v>23416.1609678522</v>
      </c>
      <c r="AG18" s="70" t="n">
        <f aca="false">MIN(AG16,AG17*Assumptions!$F$30)</f>
        <v>24255.4886855368</v>
      </c>
      <c r="AH18" s="70" t="n">
        <f aca="false">MIN(AH16,AH17*Assumptions!$F$30)</f>
        <v>25206.2511401277</v>
      </c>
      <c r="AI18" s="70" t="n">
        <f aca="false">MIN(AI16,AI17*Assumptions!$F$30)</f>
        <v>26280.3203425438</v>
      </c>
      <c r="AJ18" s="70" t="n">
        <f aca="false">MIN(AJ16,AJ17*Assumptions!$F$30)</f>
        <v>27491.2029670657</v>
      </c>
      <c r="AK18" s="70" t="n">
        <f aca="false">MIN(AK16,AK17*Assumptions!$F$30)</f>
        <v>28854.2071078519</v>
      </c>
      <c r="AL18" s="70" t="n">
        <f aca="false">MIN(AL16,AL17*Assumptions!$F$30)</f>
        <v>30386.6331626691</v>
      </c>
      <c r="AM18" s="70" t="n">
        <f aca="false">SUM(C18:AL18)</f>
        <v>851636.879673748</v>
      </c>
    </row>
    <row r="19" customFormat="false" ht="15" hidden="false" customHeight="false" outlineLevel="0" collapsed="false">
      <c r="A19" s="10" t="s">
        <v>754</v>
      </c>
      <c r="B19" s="9" t="s">
        <v>84</v>
      </c>
      <c r="C19" s="61" t="n">
        <f aca="false">C18/Assumptions!$F$30</f>
        <v>0</v>
      </c>
      <c r="D19" s="61" t="n">
        <f aca="false">D18/Assumptions!$F$30</f>
        <v>63157.8947368421</v>
      </c>
      <c r="E19" s="61" t="n">
        <f aca="false">E18/Assumptions!$F$30</f>
        <v>35162.4</v>
      </c>
      <c r="F19" s="61" t="n">
        <f aca="false">F18/Assumptions!$F$30</f>
        <v>32659.89258</v>
      </c>
      <c r="G19" s="61" t="n">
        <f aca="false">G18/Assumptions!$F$30</f>
        <v>30519.0370884</v>
      </c>
      <c r="H19" s="61" t="n">
        <f aca="false">H18/Assumptions!$F$30</f>
        <v>28690.558361976</v>
      </c>
      <c r="I19" s="61" t="n">
        <f aca="false">I18/Assumptions!$F$30</f>
        <v>27132.2424931656</v>
      </c>
      <c r="J19" s="61" t="n">
        <f aca="false">J18/Assumptions!$F$30</f>
        <v>25807.9677822126</v>
      </c>
      <c r="K19" s="61" t="n">
        <f aca="false">K18/Assumptions!$F$30</f>
        <v>24686.8736993639</v>
      </c>
      <c r="L19" s="61" t="n">
        <f aca="false">L18/Assumptions!$F$30</f>
        <v>23742.6488169132</v>
      </c>
      <c r="M19" s="61" t="n">
        <f aca="false">M18/Assumptions!$F$30</f>
        <v>22952.921370261</v>
      </c>
      <c r="N19" s="61" t="n">
        <f aca="false">N18/Assumptions!$F$30</f>
        <v>22298.7384326659</v>
      </c>
      <c r="O19" s="61" t="n">
        <f aca="false">O18/Assumptions!$F$30</f>
        <v>21764.1216928431</v>
      </c>
      <c r="P19" s="61" t="n">
        <f aca="false">P18/Assumptions!$F$30</f>
        <v>21335.6895534855</v>
      </c>
      <c r="Q19" s="61" t="n">
        <f aca="false">Q18/Assumptions!$F$30</f>
        <v>21002.3367613549</v>
      </c>
      <c r="R19" s="61" t="n">
        <f aca="false">R18/Assumptions!$F$30</f>
        <v>20754.9640695654</v>
      </c>
      <c r="S19" s="61" t="n">
        <f aca="false">S18/Assumptions!$F$30</f>
        <v>20586.2515492024</v>
      </c>
      <c r="T19" s="61" t="n">
        <f aca="false">T18/Assumptions!$F$30</f>
        <v>20490.4701356155</v>
      </c>
      <c r="U19" s="61" t="n">
        <f aca="false">U18/Assumptions!$F$30</f>
        <v>20463.3268363268</v>
      </c>
      <c r="V19" s="61" t="n">
        <f aca="false">V18/Assumptions!$F$30</f>
        <v>20501.8397613023</v>
      </c>
      <c r="W19" s="61" t="n">
        <f aca="false">W18/Assumptions!$F$30</f>
        <v>20604.2397786286</v>
      </c>
      <c r="X19" s="61" t="n">
        <f aca="false">X18/Assumptions!$F$30</f>
        <v>20769.8961635982</v>
      </c>
      <c r="Y19" s="61" t="n">
        <f aca="false">Y18/Assumptions!$F$30</f>
        <v>20999.2641091494</v>
      </c>
      <c r="Z19" s="61" t="n">
        <f aca="false">Z18/Assumptions!$F$30</f>
        <v>21293.852411338</v>
      </c>
      <c r="AA19" s="61" t="n">
        <f aca="false">AA18/Assumptions!$F$30</f>
        <v>21656.2100445165</v>
      </c>
      <c r="AB19" s="61" t="n">
        <f aca="false">AB18/Assumptions!$F$30</f>
        <v>22089.930705542</v>
      </c>
      <c r="AC19" s="61" t="n">
        <f aca="false">AC18/Assumptions!$F$30</f>
        <v>22599.6747420948</v>
      </c>
      <c r="AD19" s="61" t="n">
        <f aca="false">AD18/Assumptions!$F$30</f>
        <v>23191.2081937697</v>
      </c>
      <c r="AE19" s="61" t="n">
        <f aca="false">AE18/Assumptions!$F$30</f>
        <v>23871.4589720783</v>
      </c>
      <c r="AF19" s="61" t="n">
        <f aca="false">AF18/Assumptions!$F$30</f>
        <v>24648.590492476</v>
      </c>
      <c r="AG19" s="61" t="n">
        <f aca="false">AG18/Assumptions!$F$30</f>
        <v>25532.0933531967</v>
      </c>
      <c r="AH19" s="61" t="n">
        <f aca="false">AH18/Assumptions!$F$30</f>
        <v>26532.8959369766</v>
      </c>
      <c r="AI19" s="61" t="n">
        <f aca="false">AI18/Assumptions!$F$30</f>
        <v>27663.4950974145</v>
      </c>
      <c r="AJ19" s="61" t="n">
        <f aca="false">AJ18/Assumptions!$F$30</f>
        <v>28938.1083863849</v>
      </c>
      <c r="AK19" s="61" t="n">
        <f aca="false">AK18/Assumptions!$F$30</f>
        <v>30372.8495872125</v>
      </c>
      <c r="AL19" s="61" t="n">
        <f aca="false">AL18/Assumptions!$F$30</f>
        <v>31985.9296449148</v>
      </c>
      <c r="AM19" s="61" t="n">
        <f aca="false">SUM(C19:AL19)</f>
        <v>896459.873340788</v>
      </c>
    </row>
    <row r="20" customFormat="false" ht="15" hidden="false" customHeight="false" outlineLevel="0" collapsed="false">
      <c r="A20" s="10" t="s">
        <v>755</v>
      </c>
      <c r="B20" s="9" t="s">
        <v>51</v>
      </c>
      <c r="C20" s="61" t="n">
        <f aca="false">C8*(Assumptions!$F$35*C14)</f>
        <v>0</v>
      </c>
      <c r="D20" s="61" t="n">
        <f aca="false">D8*(Assumptions!$F$35*D14+Assumptions!$F$34*C29)</f>
        <v>913687.541800427</v>
      </c>
      <c r="E20" s="61" t="n">
        <f aca="false">E8*(Assumptions!$F$35*E14+Assumptions!$F$34*D29)</f>
        <v>688765.579978947</v>
      </c>
      <c r="F20" s="61" t="n">
        <f aca="false">F8*(Assumptions!$F$35*F14+Assumptions!$F$34*E29)</f>
        <v>532443.574144</v>
      </c>
      <c r="G20" s="61" t="n">
        <f aca="false">G8*(Assumptions!$F$35*G14+Assumptions!$F$34*F29)</f>
        <v>538617.774359716</v>
      </c>
      <c r="H20" s="61" t="n">
        <f aca="false">H8*(Assumptions!$F$35*H14+Assumptions!$F$34*G29)</f>
        <v>542897.39581071</v>
      </c>
      <c r="I20" s="61" t="n">
        <f aca="false">I8*(Assumptions!$F$35*I14+Assumptions!$F$34*H29)</f>
        <v>561133.412021095</v>
      </c>
      <c r="J20" s="61" t="n">
        <f aca="false">J8*(Assumptions!$F$35*J14+Assumptions!$F$34*I29)</f>
        <v>578230.950669745</v>
      </c>
      <c r="K20" s="61" t="n">
        <f aca="false">K8*(Assumptions!$F$35*K14+Assumptions!$F$34*J29)</f>
        <v>596643.079716181</v>
      </c>
      <c r="L20" s="61" t="n">
        <f aca="false">L8*(Assumptions!$F$35*L14+Assumptions!$F$34*K29)</f>
        <v>616832.069803364</v>
      </c>
      <c r="M20" s="61" t="n">
        <f aca="false">M8*(Assumptions!$F$35*M14+Assumptions!$F$34*L29)</f>
        <v>638960.511602046</v>
      </c>
      <c r="N20" s="61" t="n">
        <f aca="false">N8*(Assumptions!$F$35*N14+Assumptions!$F$34*M29)</f>
        <v>663077.633591402</v>
      </c>
      <c r="O20" s="61" t="n">
        <f aca="false">O8*(Assumptions!$F$35*O14+Assumptions!$F$34*N29)</f>
        <v>689193.987363516</v>
      </c>
      <c r="P20" s="61" t="n">
        <f aca="false">P8*(Assumptions!$F$35*P14+Assumptions!$F$34*O29)</f>
        <v>717309.160141297</v>
      </c>
      <c r="Q20" s="61" t="n">
        <f aca="false">Q8*(Assumptions!$F$35*Q14+Assumptions!$F$34*P29)</f>
        <v>747423.936175124</v>
      </c>
      <c r="R20" s="61" t="n">
        <f aca="false">R8*(Assumptions!$F$35*R14+Assumptions!$F$34*Q29)</f>
        <v>779546.154825695</v>
      </c>
      <c r="S20" s="61" t="n">
        <f aca="false">S8*(Assumptions!$F$35*S14+Assumptions!$F$34*R29)</f>
        <v>813693.688264152</v>
      </c>
      <c r="T20" s="61" t="n">
        <f aca="false">T8*(Assumptions!$F$35*T14+Assumptions!$F$34*S29)</f>
        <v>849896.000116807</v>
      </c>
      <c r="U20" s="61" t="n">
        <f aca="false">U8*(Assumptions!$F$35*U14+Assumptions!$F$34*T29)</f>
        <v>888194.990472452</v>
      </c>
      <c r="V20" s="61" t="n">
        <f aca="false">V8*(Assumptions!$F$35*V14+Assumptions!$F$34*U29)</f>
        <v>927568.003853135</v>
      </c>
      <c r="W20" s="61" t="n">
        <f aca="false">W8*(Assumptions!$F$35*W14+Assumptions!$F$34*V29)</f>
        <v>967749.249525353</v>
      </c>
      <c r="X20" s="61" t="n">
        <f aca="false">X8*(Assumptions!$F$35*X14+Assumptions!$F$34*W29)</f>
        <v>1008839.88263643</v>
      </c>
      <c r="Y20" s="61" t="n">
        <f aca="false">Y8*(Assumptions!$F$35*Y14+Assumptions!$F$34*X29)</f>
        <v>1050875.69354474</v>
      </c>
      <c r="Z20" s="61" t="n">
        <f aca="false">Z8*(Assumptions!$F$35*Z14+Assumptions!$F$34*Y29)</f>
        <v>1093891.22725602</v>
      </c>
      <c r="AA20" s="61" t="n">
        <f aca="false">AA8*(Assumptions!$F$35*AA14+Assumptions!$F$34*Z29)</f>
        <v>1128737.93180589</v>
      </c>
      <c r="AB20" s="61" t="n">
        <f aca="false">AB8*(Assumptions!$F$35*AB14+Assumptions!$F$34*AA29)</f>
        <v>1136730.08644948</v>
      </c>
      <c r="AC20" s="61" t="n">
        <f aca="false">AC8*(Assumptions!$F$35*AC14+Assumptions!$F$34*AB29)</f>
        <v>1141319.0978457</v>
      </c>
      <c r="AD20" s="61" t="n">
        <f aca="false">AD8*(Assumptions!$F$35*AD14+Assumptions!$F$34*AC29)</f>
        <v>1146069.35101893</v>
      </c>
      <c r="AE20" s="61" t="n">
        <f aca="false">AE8*(Assumptions!$F$35*AE14+Assumptions!$F$34*AD29)</f>
        <v>1151560.78719127</v>
      </c>
      <c r="AF20" s="61" t="n">
        <f aca="false">AF8*(Assumptions!$F$35*AF14+Assumptions!$F$34*AE29)</f>
        <v>1157934.53277189</v>
      </c>
      <c r="AG20" s="61" t="n">
        <f aca="false">AG8*(Assumptions!$F$35*AG14+Assumptions!$F$34*AF29)</f>
        <v>1165276.6230886</v>
      </c>
      <c r="AH20" s="61" t="n">
        <f aca="false">AH8*(Assumptions!$F$35*AH14+Assumptions!$F$34*AG29)</f>
        <v>1173676.44489506</v>
      </c>
      <c r="AI20" s="61" t="n">
        <f aca="false">AI8*(Assumptions!$F$35*AI14+Assumptions!$F$34*AH29)</f>
        <v>1183236.38623059</v>
      </c>
      <c r="AJ20" s="61" t="n">
        <f aca="false">AJ8*(Assumptions!$F$35*AJ14+Assumptions!$F$34*AI29)</f>
        <v>1194074.32008112</v>
      </c>
      <c r="AK20" s="61" t="n">
        <f aca="false">AK8*(Assumptions!$F$35*AK14+Assumptions!$F$34*AJ29)</f>
        <v>1206325.19799938</v>
      </c>
      <c r="AL20" s="61" t="n">
        <f aca="false">AL8*(Assumptions!$F$35*AL14+Assumptions!$F$34*AK29)</f>
        <v>1220142.71166933</v>
      </c>
      <c r="AM20" s="61" t="n">
        <f aca="false">AL20</f>
        <v>1220142.71166933</v>
      </c>
    </row>
    <row r="21" customFormat="false" ht="15" hidden="false" customHeight="false" outlineLevel="0" collapsed="false">
      <c r="A21" s="10" t="s">
        <v>756</v>
      </c>
      <c r="B21" s="9" t="s">
        <v>84</v>
      </c>
      <c r="C21" s="61" t="n">
        <f aca="false">C20*Assumptions!$F$36</f>
        <v>0</v>
      </c>
      <c r="D21" s="61" t="n">
        <f aca="false">D20*Assumptions!$F$36</f>
        <v>292380.013376137</v>
      </c>
      <c r="E21" s="61" t="n">
        <f aca="false">E20*Assumptions!$F$36</f>
        <v>220404.985593263</v>
      </c>
      <c r="F21" s="61" t="n">
        <f aca="false">F20*Assumptions!$F$36</f>
        <v>170381.94372608</v>
      </c>
      <c r="G21" s="61" t="n">
        <f aca="false">G20*Assumptions!$F$36</f>
        <v>172357.687795109</v>
      </c>
      <c r="H21" s="61" t="n">
        <f aca="false">H20*Assumptions!$F$36</f>
        <v>173727.166659427</v>
      </c>
      <c r="I21" s="61" t="n">
        <f aca="false">I20*Assumptions!$F$36</f>
        <v>179562.69184675</v>
      </c>
      <c r="J21" s="61" t="n">
        <f aca="false">J20*Assumptions!$F$36</f>
        <v>185033.904214318</v>
      </c>
      <c r="K21" s="61" t="n">
        <f aca="false">K20*Assumptions!$F$36</f>
        <v>190925.785509178</v>
      </c>
      <c r="L21" s="61" t="n">
        <f aca="false">L20*Assumptions!$F$36</f>
        <v>197386.262337076</v>
      </c>
      <c r="M21" s="61" t="n">
        <f aca="false">M20*Assumptions!$F$36</f>
        <v>204467.363712655</v>
      </c>
      <c r="N21" s="61" t="n">
        <f aca="false">N20*Assumptions!$F$36</f>
        <v>212184.842749249</v>
      </c>
      <c r="O21" s="61" t="n">
        <f aca="false">O20*Assumptions!$F$36</f>
        <v>220542.075956325</v>
      </c>
      <c r="P21" s="61" t="n">
        <f aca="false">P20*Assumptions!$F$36</f>
        <v>229538.931245215</v>
      </c>
      <c r="Q21" s="61" t="n">
        <f aca="false">Q20*Assumptions!$F$36</f>
        <v>239175.65957604</v>
      </c>
      <c r="R21" s="61" t="n">
        <f aca="false">R20*Assumptions!$F$36</f>
        <v>249454.769544222</v>
      </c>
      <c r="S21" s="61" t="n">
        <f aca="false">S20*Assumptions!$F$36</f>
        <v>260381.980244529</v>
      </c>
      <c r="T21" s="61" t="n">
        <f aca="false">T20*Assumptions!$F$36</f>
        <v>271966.720037378</v>
      </c>
      <c r="U21" s="61" t="n">
        <f aca="false">U20*Assumptions!$F$36</f>
        <v>284222.396951185</v>
      </c>
      <c r="V21" s="61" t="n">
        <f aca="false">V20*Assumptions!$F$36</f>
        <v>296821.761233003</v>
      </c>
      <c r="W21" s="61" t="n">
        <f aca="false">W20*Assumptions!$F$36</f>
        <v>309679.759848113</v>
      </c>
      <c r="X21" s="61" t="n">
        <f aca="false">X20*Assumptions!$F$36</f>
        <v>322828.762443657</v>
      </c>
      <c r="Y21" s="61" t="n">
        <f aca="false">Y20*Assumptions!$F$36</f>
        <v>336280.221934317</v>
      </c>
      <c r="Z21" s="61" t="n">
        <f aca="false">Z20*Assumptions!$F$36</f>
        <v>350045.192721925</v>
      </c>
      <c r="AA21" s="61" t="n">
        <f aca="false">AA20*Assumptions!$F$36</f>
        <v>361196.138177886</v>
      </c>
      <c r="AB21" s="61" t="n">
        <f aca="false">AB20*Assumptions!$F$36</f>
        <v>363753.627663832</v>
      </c>
      <c r="AC21" s="61" t="n">
        <f aca="false">AC20*Assumptions!$F$36</f>
        <v>365222.111310625</v>
      </c>
      <c r="AD21" s="61" t="n">
        <f aca="false">AD20*Assumptions!$F$36</f>
        <v>366742.192326056</v>
      </c>
      <c r="AE21" s="61" t="n">
        <f aca="false">AE20*Assumptions!$F$36</f>
        <v>368499.451901206</v>
      </c>
      <c r="AF21" s="61" t="n">
        <f aca="false">AF20*Assumptions!$F$36</f>
        <v>370539.050487005</v>
      </c>
      <c r="AG21" s="61" t="n">
        <f aca="false">AG20*Assumptions!$F$36</f>
        <v>372888.519388352</v>
      </c>
      <c r="AH21" s="61" t="n">
        <f aca="false">AH20*Assumptions!$F$36</f>
        <v>375576.462366421</v>
      </c>
      <c r="AI21" s="61" t="n">
        <f aca="false">AI20*Assumptions!$F$36</f>
        <v>378635.643593789</v>
      </c>
      <c r="AJ21" s="61" t="n">
        <f aca="false">AJ20*Assumptions!$F$36</f>
        <v>382103.782425958</v>
      </c>
      <c r="AK21" s="61" t="n">
        <f aca="false">AK20*Assumptions!$F$36</f>
        <v>386024.063359801</v>
      </c>
      <c r="AL21" s="61" t="n">
        <f aca="false">AL20*Assumptions!$F$36</f>
        <v>390445.667734186</v>
      </c>
      <c r="AM21" s="61" t="n">
        <f aca="false">SUM(C21:AL21)</f>
        <v>10051377.5899903</v>
      </c>
    </row>
    <row r="22" customFormat="false" ht="15" hidden="false" customHeight="false" outlineLevel="0" collapsed="false">
      <c r="A22" s="10" t="s">
        <v>757</v>
      </c>
      <c r="B22" s="9" t="s">
        <v>97</v>
      </c>
      <c r="C22" s="70" t="n">
        <f aca="false">MIN(MAX(0,C16-C18),C21*Assumptions!$F$37)</f>
        <v>0</v>
      </c>
      <c r="D22" s="70" t="n">
        <f aca="false">MIN(MAX(0,D16-D18),D21*Assumptions!$F$37)</f>
        <v>0</v>
      </c>
      <c r="E22" s="70" t="n">
        <f aca="false">MIN(MAX(0,E16-E18),E21*Assumptions!$F$37)</f>
        <v>224787.72</v>
      </c>
      <c r="F22" s="70" t="n">
        <f aca="false">MIN(MAX(0,F16-F18),F21*Assumptions!$F$37)</f>
        <v>212977.4296576</v>
      </c>
      <c r="G22" s="70" t="n">
        <f aca="false">MIN(MAX(0,G16-G18),G21*Assumptions!$F$37)</f>
        <v>215447.109743886</v>
      </c>
      <c r="H22" s="70" t="n">
        <f aca="false">MIN(MAX(0,H16-H18),H21*Assumptions!$F$37)</f>
        <v>217158.958324284</v>
      </c>
      <c r="I22" s="70" t="n">
        <f aca="false">MIN(MAX(0,I16-I18),I21*Assumptions!$F$37)</f>
        <v>224453.364808438</v>
      </c>
      <c r="J22" s="70" t="n">
        <f aca="false">MIN(MAX(0,J16-J18),J21*Assumptions!$F$37)</f>
        <v>231292.380267898</v>
      </c>
      <c r="K22" s="70" t="n">
        <f aca="false">MIN(MAX(0,K16-K18),K21*Assumptions!$F$37)</f>
        <v>238657.231886472</v>
      </c>
      <c r="L22" s="70" t="n">
        <f aca="false">MIN(MAX(0,L16-L18),L21*Assumptions!$F$37)</f>
        <v>246732.827921345</v>
      </c>
      <c r="M22" s="70" t="n">
        <f aca="false">MIN(MAX(0,M16-M18),M21*Assumptions!$F$37)</f>
        <v>255584.204640819</v>
      </c>
      <c r="N22" s="70" t="n">
        <f aca="false">MIN(MAX(0,N16-N18),N21*Assumptions!$F$37)</f>
        <v>265231.053436561</v>
      </c>
      <c r="O22" s="70" t="n">
        <f aca="false">MIN(MAX(0,O16-O18),O21*Assumptions!$F$37)</f>
        <v>275677.594945406</v>
      </c>
      <c r="P22" s="70" t="n">
        <f aca="false">MIN(MAX(0,P16-P18),P21*Assumptions!$F$37)</f>
        <v>286923.664056519</v>
      </c>
      <c r="Q22" s="70" t="n">
        <f aca="false">MIN(MAX(0,Q16-Q18),Q21*Assumptions!$F$37)</f>
        <v>298969.57447005</v>
      </c>
      <c r="R22" s="70" t="n">
        <f aca="false">MIN(MAX(0,R16-R18),R21*Assumptions!$F$37)</f>
        <v>311818.461930278</v>
      </c>
      <c r="S22" s="70" t="n">
        <f aca="false">MIN(MAX(0,S16-S18),S21*Assumptions!$F$37)</f>
        <v>325477.475305661</v>
      </c>
      <c r="T22" s="70" t="n">
        <f aca="false">MIN(MAX(0,T16-T18),T21*Assumptions!$F$37)</f>
        <v>339958.400046723</v>
      </c>
      <c r="U22" s="70" t="n">
        <f aca="false">MIN(MAX(0,U16-U18),U21*Assumptions!$F$37)</f>
        <v>355277.996188981</v>
      </c>
      <c r="V22" s="70" t="n">
        <f aca="false">MIN(MAX(0,V16-V18),V21*Assumptions!$F$37)</f>
        <v>371027.201541254</v>
      </c>
      <c r="W22" s="70" t="n">
        <f aca="false">MIN(MAX(0,W16-W18),W21*Assumptions!$F$37)</f>
        <v>387099.699810141</v>
      </c>
      <c r="X22" s="70" t="n">
        <f aca="false">MIN(MAX(0,X16-X18),X21*Assumptions!$F$37)</f>
        <v>403535.953054571</v>
      </c>
      <c r="Y22" s="70" t="n">
        <f aca="false">MIN(MAX(0,Y16-Y18),Y21*Assumptions!$F$37)</f>
        <v>420350.277417896</v>
      </c>
      <c r="Z22" s="70" t="n">
        <f aca="false">MIN(MAX(0,Z16-Z18),Z21*Assumptions!$F$37)</f>
        <v>437556.490902407</v>
      </c>
      <c r="AA22" s="70" t="n">
        <f aca="false">MIN(MAX(0,AA16-AA18),AA21*Assumptions!$F$37)</f>
        <v>451495.172722357</v>
      </c>
      <c r="AB22" s="70" t="n">
        <f aca="false">MIN(MAX(0,AB16-AB18),AB21*Assumptions!$F$37)</f>
        <v>454692.03457979</v>
      </c>
      <c r="AC22" s="70" t="n">
        <f aca="false">MIN(MAX(0,AC16-AC18),AC21*Assumptions!$F$37)</f>
        <v>456527.639138282</v>
      </c>
      <c r="AD22" s="70" t="n">
        <f aca="false">MIN(MAX(0,AD16-AD18),AD21*Assumptions!$F$37)</f>
        <v>458427.74040757</v>
      </c>
      <c r="AE22" s="70" t="n">
        <f aca="false">MIN(MAX(0,AE16-AE18),AE21*Assumptions!$F$37)</f>
        <v>460624.314876507</v>
      </c>
      <c r="AF22" s="70" t="n">
        <f aca="false">MIN(MAX(0,AF16-AF18),AF21*Assumptions!$F$37)</f>
        <v>463173.813108756</v>
      </c>
      <c r="AG22" s="70" t="n">
        <f aca="false">MIN(MAX(0,AG16-AG18),AG21*Assumptions!$F$37)</f>
        <v>466110.64923544</v>
      </c>
      <c r="AH22" s="70" t="n">
        <f aca="false">MIN(MAX(0,AH16-AH18),AH21*Assumptions!$F$37)</f>
        <v>469470.577958026</v>
      </c>
      <c r="AI22" s="70" t="n">
        <f aca="false">MIN(MAX(0,AI16-AI18),AI21*Assumptions!$F$37)</f>
        <v>473294.554492236</v>
      </c>
      <c r="AJ22" s="70" t="n">
        <f aca="false">MIN(MAX(0,AJ16-AJ18),AJ21*Assumptions!$F$37)</f>
        <v>477629.728032448</v>
      </c>
      <c r="AK22" s="70" t="n">
        <f aca="false">MIN(MAX(0,AK16-AK18),AK21*Assumptions!$F$37)</f>
        <v>482530.079199751</v>
      </c>
      <c r="AL22" s="70" t="n">
        <f aca="false">MIN(MAX(0,AL16-AL18),AL21*Assumptions!$F$37)</f>
        <v>488057.084667733</v>
      </c>
      <c r="AM22" s="70" t="n">
        <f aca="false">SUM(C22:AL22)</f>
        <v>12148028.4587761</v>
      </c>
    </row>
    <row r="23" customFormat="false" ht="15" hidden="false" customHeight="false" outlineLevel="0" collapsed="false">
      <c r="A23" s="10" t="s">
        <v>758</v>
      </c>
      <c r="B23" s="9" t="s">
        <v>84</v>
      </c>
      <c r="C23" s="61" t="n">
        <f aca="false">C22/Assumptions!$F$37</f>
        <v>0</v>
      </c>
      <c r="D23" s="61" t="n">
        <f aca="false">D22/Assumptions!$F$37</f>
        <v>0</v>
      </c>
      <c r="E23" s="61" t="n">
        <f aca="false">E22/Assumptions!$F$37</f>
        <v>179830.176</v>
      </c>
      <c r="F23" s="61" t="n">
        <f aca="false">F22/Assumptions!$F$37</f>
        <v>170381.94372608</v>
      </c>
      <c r="G23" s="61" t="n">
        <f aca="false">G22/Assumptions!$F$37</f>
        <v>172357.687795109</v>
      </c>
      <c r="H23" s="61" t="n">
        <f aca="false">H22/Assumptions!$F$37</f>
        <v>173727.166659427</v>
      </c>
      <c r="I23" s="61" t="n">
        <f aca="false">I22/Assumptions!$F$37</f>
        <v>179562.69184675</v>
      </c>
      <c r="J23" s="61" t="n">
        <f aca="false">J22/Assumptions!$F$37</f>
        <v>185033.904214318</v>
      </c>
      <c r="K23" s="61" t="n">
        <f aca="false">K22/Assumptions!$F$37</f>
        <v>190925.785509178</v>
      </c>
      <c r="L23" s="61" t="n">
        <f aca="false">L22/Assumptions!$F$37</f>
        <v>197386.262337076</v>
      </c>
      <c r="M23" s="61" t="n">
        <f aca="false">M22/Assumptions!$F$37</f>
        <v>204467.363712655</v>
      </c>
      <c r="N23" s="61" t="n">
        <f aca="false">N22/Assumptions!$F$37</f>
        <v>212184.842749249</v>
      </c>
      <c r="O23" s="61" t="n">
        <f aca="false">O22/Assumptions!$F$37</f>
        <v>220542.075956325</v>
      </c>
      <c r="P23" s="61" t="n">
        <f aca="false">P22/Assumptions!$F$37</f>
        <v>229538.931245215</v>
      </c>
      <c r="Q23" s="61" t="n">
        <f aca="false">Q22/Assumptions!$F$37</f>
        <v>239175.65957604</v>
      </c>
      <c r="R23" s="61" t="n">
        <f aca="false">R22/Assumptions!$F$37</f>
        <v>249454.769544222</v>
      </c>
      <c r="S23" s="61" t="n">
        <f aca="false">S22/Assumptions!$F$37</f>
        <v>260381.980244529</v>
      </c>
      <c r="T23" s="61" t="n">
        <f aca="false">T22/Assumptions!$F$37</f>
        <v>271966.720037378</v>
      </c>
      <c r="U23" s="61" t="n">
        <f aca="false">U22/Assumptions!$F$37</f>
        <v>284222.396951185</v>
      </c>
      <c r="V23" s="61" t="n">
        <f aca="false">V22/Assumptions!$F$37</f>
        <v>296821.761233003</v>
      </c>
      <c r="W23" s="61" t="n">
        <f aca="false">W22/Assumptions!$F$37</f>
        <v>309679.759848113</v>
      </c>
      <c r="X23" s="61" t="n">
        <f aca="false">X22/Assumptions!$F$37</f>
        <v>322828.762443657</v>
      </c>
      <c r="Y23" s="61" t="n">
        <f aca="false">Y22/Assumptions!$F$37</f>
        <v>336280.221934317</v>
      </c>
      <c r="Z23" s="61" t="n">
        <f aca="false">Z22/Assumptions!$F$37</f>
        <v>350045.192721925</v>
      </c>
      <c r="AA23" s="61" t="n">
        <f aca="false">AA22/Assumptions!$F$37</f>
        <v>361196.138177886</v>
      </c>
      <c r="AB23" s="61" t="n">
        <f aca="false">AB22/Assumptions!$F$37</f>
        <v>363753.627663832</v>
      </c>
      <c r="AC23" s="61" t="n">
        <f aca="false">AC22/Assumptions!$F$37</f>
        <v>365222.111310625</v>
      </c>
      <c r="AD23" s="61" t="n">
        <f aca="false">AD22/Assumptions!$F$37</f>
        <v>366742.192326056</v>
      </c>
      <c r="AE23" s="61" t="n">
        <f aca="false">AE22/Assumptions!$F$37</f>
        <v>368499.451901206</v>
      </c>
      <c r="AF23" s="61" t="n">
        <f aca="false">AF22/Assumptions!$F$37</f>
        <v>370539.050487005</v>
      </c>
      <c r="AG23" s="61" t="n">
        <f aca="false">AG22/Assumptions!$F$37</f>
        <v>372888.519388352</v>
      </c>
      <c r="AH23" s="61" t="n">
        <f aca="false">AH22/Assumptions!$F$37</f>
        <v>375576.462366421</v>
      </c>
      <c r="AI23" s="61" t="n">
        <f aca="false">AI22/Assumptions!$F$37</f>
        <v>378635.643593789</v>
      </c>
      <c r="AJ23" s="61" t="n">
        <f aca="false">AJ22/Assumptions!$F$37</f>
        <v>382103.782425958</v>
      </c>
      <c r="AK23" s="61" t="n">
        <f aca="false">AK22/Assumptions!$F$37</f>
        <v>386024.063359801</v>
      </c>
      <c r="AL23" s="61" t="n">
        <f aca="false">AL22/Assumptions!$F$37</f>
        <v>390445.667734186</v>
      </c>
      <c r="AM23" s="61" t="n">
        <f aca="false">SUM(C23:AL23)</f>
        <v>9718422.76702087</v>
      </c>
    </row>
    <row r="24" customFormat="false" ht="15" hidden="false" customHeight="false" outlineLevel="0" collapsed="false">
      <c r="A24" s="10" t="s">
        <v>759</v>
      </c>
      <c r="B24" s="9" t="s">
        <v>97</v>
      </c>
      <c r="C24" s="70" t="n">
        <f aca="false">MAX(0,C16-C18-C22)</f>
        <v>15000</v>
      </c>
      <c r="D24" s="70" t="n">
        <f aca="false">MAX(0,D16-D18-D22)</f>
        <v>0</v>
      </c>
      <c r="E24" s="70" t="n">
        <f aca="false">MAX(0,E16-E18-E22)</f>
        <v>0</v>
      </c>
      <c r="F24" s="70" t="n">
        <f aca="false">MAX(0,F16-F18-F22)</f>
        <v>101042.773560695</v>
      </c>
      <c r="G24" s="70" t="n">
        <f aca="false">MAX(0,G16-G18-G22)</f>
        <v>195129.60621115</v>
      </c>
      <c r="H24" s="70" t="n">
        <f aca="false">MAX(0,H16-H18-H22)</f>
        <v>345380.879382265</v>
      </c>
      <c r="I24" s="70" t="n">
        <f aca="false">MAX(0,I16-I18-I22)</f>
        <v>480025.944375727</v>
      </c>
      <c r="J24" s="70" t="n">
        <f aca="false">MAX(0,J16-J18-J22)</f>
        <v>618543.418882638</v>
      </c>
      <c r="K24" s="70" t="n">
        <f aca="false">MAX(0,K16-K18-K22)</f>
        <v>760478.389978826</v>
      </c>
      <c r="L24" s="70" t="n">
        <f aca="false">MAX(0,L16-L18-L22)</f>
        <v>906451.261463734</v>
      </c>
      <c r="M24" s="70" t="n">
        <f aca="false">MAX(0,M16-M18-M22)</f>
        <v>1057112.03551363</v>
      </c>
      <c r="N24" s="70" t="n">
        <f aca="false">MAX(0,N16-N18-N22)</f>
        <v>1213146.84669655</v>
      </c>
      <c r="O24" s="70" t="n">
        <f aca="false">MAX(0,O16-O18-O22)</f>
        <v>1375259.64984848</v>
      </c>
      <c r="P24" s="70" t="n">
        <f aca="false">MAX(0,P16-P18-P22)</f>
        <v>1544165.82132682</v>
      </c>
      <c r="Q24" s="70" t="n">
        <f aca="false">MAX(0,Q16-Q18-Q22)</f>
        <v>1720590.75518189</v>
      </c>
      <c r="R24" s="70" t="n">
        <f aca="false">MAX(0,R16-R18-R22)</f>
        <v>1905271.26988952</v>
      </c>
      <c r="S24" s="70" t="n">
        <f aca="false">MAX(0,S16-S18-S22)</f>
        <v>2098958.66303853</v>
      </c>
      <c r="T24" s="70" t="n">
        <f aca="false">MAX(0,T16-T18-T22)</f>
        <v>2302422.79592376</v>
      </c>
      <c r="U24" s="70" t="n">
        <f aca="false">MAX(0,U16-U18-U22)</f>
        <v>2509496.73752886</v>
      </c>
      <c r="V24" s="70" t="n">
        <f aca="false">MAX(0,V16-V18-V22)</f>
        <v>2719894.36400613</v>
      </c>
      <c r="W24" s="70" t="n">
        <f aca="false">MAX(0,W16-W18-W22)</f>
        <v>2934662.57024553</v>
      </c>
      <c r="X24" s="70" t="n">
        <f aca="false">MAX(0,X16-X18-X22)</f>
        <v>3153904.65089075</v>
      </c>
      <c r="Y24" s="70" t="n">
        <f aca="false">MAX(0,Y16-Y18-Y22)</f>
        <v>3377758.40607227</v>
      </c>
      <c r="Z24" s="70" t="n">
        <f aca="false">MAX(0,Z16-Z18-Z22)</f>
        <v>3542214.34930682</v>
      </c>
      <c r="AA24" s="70" t="n">
        <f aca="false">MAX(0,AA16-AA18-AA22)</f>
        <v>3527931.42773535</v>
      </c>
      <c r="AB24" s="70" t="n">
        <f aca="false">MAX(0,AB16-AB18-AB22)</f>
        <v>3524322.53124995</v>
      </c>
      <c r="AC24" s="70" t="n">
        <f aca="false">MAX(0,AC16-AC18-AC22)</f>
        <v>3522002.66985673</v>
      </c>
      <c r="AD24" s="70" t="n">
        <f aca="false">MAX(0,AD16-AD18-AD22)</f>
        <v>3519540.61180835</v>
      </c>
      <c r="AE24" s="70" t="n">
        <f aca="false">MAX(0,AE16-AE18-AE22)</f>
        <v>3516697.79910002</v>
      </c>
      <c r="AF24" s="70" t="n">
        <f aca="false">MAX(0,AF16-AF18-AF22)</f>
        <v>3513410.02592339</v>
      </c>
      <c r="AG24" s="70" t="n">
        <f aca="false">MAX(0,AG16-AG18-AG22)</f>
        <v>3509633.86207902</v>
      </c>
      <c r="AH24" s="70" t="n">
        <f aca="false">MAX(0,AH16-AH18-AH22)</f>
        <v>3505323.17090185</v>
      </c>
      <c r="AI24" s="70" t="n">
        <f aca="false">MAX(0,AI16-AI18-AI22)</f>
        <v>3500425.12516522</v>
      </c>
      <c r="AJ24" s="70" t="n">
        <f aca="false">MAX(0,AJ16-AJ18-AJ22)</f>
        <v>3494879.06900049</v>
      </c>
      <c r="AK24" s="70" t="n">
        <f aca="false">MAX(0,AK16-AK18-AK22)</f>
        <v>3488615.7136924</v>
      </c>
      <c r="AL24" s="70" t="n">
        <f aca="false">MAX(0,AL16-AL18-AL22)</f>
        <v>3481556.2821696</v>
      </c>
      <c r="AM24" s="70" t="n">
        <f aca="false">SUM(C24:AL24)</f>
        <v>76981249.4780069</v>
      </c>
    </row>
    <row r="25" customFormat="false" ht="15" hidden="false" customHeight="false" outlineLevel="0" collapsed="false">
      <c r="A25" s="10" t="s">
        <v>760</v>
      </c>
      <c r="B25" s="9" t="s">
        <v>84</v>
      </c>
      <c r="C25" s="61" t="n">
        <f aca="false">(Assumptions!$F$21/(Assumptions!$F$41*Assumptions!$F$42))*(C24/Assumptions!$F$21)^Assumptions!$F$25</f>
        <v>14131.2950775799</v>
      </c>
      <c r="D25" s="61" t="n">
        <f aca="false">(Assumptions!$F$21/(Assumptions!$F$41*Assumptions!$F$42))*(D24/Assumptions!$F$21)^Assumptions!$F$25</f>
        <v>0</v>
      </c>
      <c r="E25" s="61" t="n">
        <f aca="false">(Assumptions!$F$21/(Assumptions!$F$41*Assumptions!$F$42))*(E24/Assumptions!$F$21)^Assumptions!$F$25</f>
        <v>0</v>
      </c>
      <c r="F25" s="61" t="n">
        <f aca="false">(Assumptions!$F$21/(Assumptions!$F$41*Assumptions!$F$42))*(F24/Assumptions!$F$21)^Assumptions!$F$25</f>
        <v>62566.9356321903</v>
      </c>
      <c r="G25" s="61" t="n">
        <f aca="false">(Assumptions!$F$21/(Assumptions!$F$41*Assumptions!$F$42))*(G24/Assumptions!$F$21)^Assumptions!$F$25</f>
        <v>104540.086259333</v>
      </c>
      <c r="H25" s="61" t="n">
        <f aca="false">(Assumptions!$F$21/(Assumptions!$F$41*Assumptions!$F$42))*(H24/Assumptions!$F$21)^Assumptions!$F$25</f>
        <v>163193.722872894</v>
      </c>
      <c r="I25" s="61" t="n">
        <f aca="false">(Assumptions!$F$21/(Assumptions!$F$41*Assumptions!$F$42))*(I24/Assumptions!$F$21)^Assumptions!$F$25</f>
        <v>210968.326243011</v>
      </c>
      <c r="J25" s="61" t="n">
        <f aca="false">(Assumptions!$F$21/(Assumptions!$F$41*Assumptions!$F$42))*(J24/Assumptions!$F$21)^Assumptions!$F$25</f>
        <v>257098.4933385</v>
      </c>
      <c r="K25" s="61" t="n">
        <f aca="false">(Assumptions!$F$21/(Assumptions!$F$41*Assumptions!$F$42))*(K24/Assumptions!$F$21)^Assumptions!$F$25</f>
        <v>302049.796479535</v>
      </c>
      <c r="L25" s="61" t="n">
        <f aca="false">(Assumptions!$F$21/(Assumptions!$F$41*Assumptions!$F$42))*(L24/Assumptions!$F$21)^Assumptions!$F$25</f>
        <v>346385.305556795</v>
      </c>
      <c r="M25" s="61" t="n">
        <f aca="false">(Assumptions!$F$21/(Assumptions!$F$41*Assumptions!$F$42))*(M24/Assumptions!$F$21)^Assumptions!$F$25</f>
        <v>390521.704840068</v>
      </c>
      <c r="N25" s="61" t="n">
        <f aca="false">(Assumptions!$F$21/(Assumptions!$F$41*Assumptions!$F$42))*(N24/Assumptions!$F$21)^Assumptions!$F$25</f>
        <v>434793.67175135</v>
      </c>
      <c r="O25" s="61" t="n">
        <f aca="false">(Assumptions!$F$21/(Assumptions!$F$41*Assumptions!$F$42))*(O24/Assumptions!$F$21)^Assumptions!$F$25</f>
        <v>479480.389823608</v>
      </c>
      <c r="P25" s="61" t="n">
        <f aca="false">(Assumptions!$F$21/(Assumptions!$F$41*Assumptions!$F$42))*(P24/Assumptions!$F$21)^Assumptions!$F$25</f>
        <v>524822.025095605</v>
      </c>
      <c r="Q25" s="61" t="n">
        <f aca="false">(Assumptions!$F$21/(Assumptions!$F$41*Assumptions!$F$42))*(Q24/Assumptions!$F$21)^Assumptions!$F$25</f>
        <v>571030.49193101</v>
      </c>
      <c r="R25" s="61" t="n">
        <f aca="false">(Assumptions!$F$21/(Assumptions!$F$41*Assumptions!$F$42))*(R24/Assumptions!$F$21)^Assumptions!$F$25</f>
        <v>618296.946262342</v>
      </c>
      <c r="S25" s="61" t="n">
        <f aca="false">(Assumptions!$F$21/(Assumptions!$F$41*Assumptions!$F$42))*(S24/Assumptions!$F$21)^Assumptions!$F$25</f>
        <v>666797.271119796</v>
      </c>
      <c r="T25" s="61" t="n">
        <f aca="false">(Assumptions!$F$21/(Assumptions!$F$41*Assumptions!$F$42))*(T24/Assumptions!$F$21)^Assumptions!$F$25</f>
        <v>716696.267421571</v>
      </c>
      <c r="U25" s="61" t="n">
        <f aca="false">(Assumptions!$F$21/(Assumptions!$F$41*Assumptions!$F$42))*(U24/Assumptions!$F$21)^Assumptions!$F$25</f>
        <v>766493.292268938</v>
      </c>
      <c r="V25" s="61" t="n">
        <f aca="false">(Assumptions!$F$21/(Assumptions!$F$41*Assumptions!$F$42))*(V24/Assumptions!$F$21)^Assumptions!$F$25</f>
        <v>816171.399312551</v>
      </c>
      <c r="W25" s="61" t="n">
        <f aca="false">(Assumptions!$F$21/(Assumptions!$F$41*Assumptions!$F$42))*(W24/Assumptions!$F$21)^Assumptions!$F$25</f>
        <v>866016.482613674</v>
      </c>
      <c r="X25" s="61" t="n">
        <f aca="false">(Assumptions!$F$21/(Assumptions!$F$41*Assumptions!$F$42))*(X24/Assumptions!$F$21)^Assumptions!$F$25</f>
        <v>916078.434416026</v>
      </c>
      <c r="Y25" s="61" t="n">
        <f aca="false">(Assumptions!$F$21/(Assumptions!$F$41*Assumptions!$F$42))*(Y24/Assumptions!$F$21)^Assumptions!$F$25</f>
        <v>966409.249862876</v>
      </c>
      <c r="Z25" s="61" t="n">
        <f aca="false">(Assumptions!$F$21/(Assumptions!$F$41*Assumptions!$F$42))*(Z24/Assumptions!$F$21)^Assumptions!$F$25</f>
        <v>1002917.37812692</v>
      </c>
      <c r="AA25" s="61" t="n">
        <f aca="false">(Assumptions!$F$21/(Assumptions!$F$41*Assumptions!$F$42))*(AA24/Assumptions!$F$21)^Assumptions!$F$25</f>
        <v>999761.684197314</v>
      </c>
      <c r="AB25" s="61" t="n">
        <f aca="false">(Assumptions!$F$21/(Assumptions!$F$41*Assumptions!$F$42))*(AB24/Assumptions!$F$21)^Assumptions!$F$25</f>
        <v>998963.883764501</v>
      </c>
      <c r="AC25" s="61" t="n">
        <f aca="false">(Assumptions!$F$21/(Assumptions!$F$41*Assumptions!$F$42))*(AC24/Assumptions!$F$21)^Assumptions!$F$25</f>
        <v>998450.948882552</v>
      </c>
      <c r="AD25" s="61" t="n">
        <f aca="false">(Assumptions!$F$21/(Assumptions!$F$41*Assumptions!$F$42))*(AD24/Assumptions!$F$21)^Assumptions!$F$25</f>
        <v>997906.492181245</v>
      </c>
      <c r="AE25" s="61" t="n">
        <f aca="false">(Assumptions!$F$21/(Assumptions!$F$41*Assumptions!$F$42))*(AE24/Assumptions!$F$21)^Assumptions!$F$25</f>
        <v>997277.731586734</v>
      </c>
      <c r="AF25" s="61" t="n">
        <f aca="false">(Assumptions!$F$21/(Assumptions!$F$41*Assumptions!$F$42))*(AF24/Assumptions!$F$21)^Assumptions!$F$25</f>
        <v>996550.417163666</v>
      </c>
      <c r="AG25" s="61" t="n">
        <f aca="false">(Assumptions!$F$21/(Assumptions!$F$41*Assumptions!$F$42))*(AG24/Assumptions!$F$21)^Assumptions!$F$25</f>
        <v>995714.877182728</v>
      </c>
      <c r="AH25" s="61" t="n">
        <f aca="false">(Assumptions!$F$21/(Assumptions!$F$41*Assumptions!$F$42))*(AH24/Assumptions!$F$21)^Assumptions!$F$25</f>
        <v>994760.822210429</v>
      </c>
      <c r="AI25" s="61" t="n">
        <f aca="false">(Assumptions!$F$21/(Assumptions!$F$41*Assumptions!$F$42))*(AI24/Assumptions!$F$21)^Assumptions!$F$25</f>
        <v>993676.458852458</v>
      </c>
      <c r="AJ25" s="61" t="n">
        <f aca="false">(Assumptions!$F$21/(Assumptions!$F$41*Assumptions!$F$42))*(AJ24/Assumptions!$F$21)^Assumptions!$F$25</f>
        <v>992448.231380059</v>
      </c>
      <c r="AK25" s="61" t="n">
        <f aca="false">(Assumptions!$F$21/(Assumptions!$F$41*Assumptions!$F$42))*(AK24/Assumptions!$F$21)^Assumptions!$F$25</f>
        <v>991060.63540773</v>
      </c>
      <c r="AL25" s="61" t="n">
        <f aca="false">(Assumptions!$F$21/(Assumptions!$F$41*Assumptions!$F$42))*(AL24/Assumptions!$F$21)^Assumptions!$F$25</f>
        <v>989496.017971814</v>
      </c>
      <c r="AM25" s="61" t="n">
        <f aca="false">SUM(C25:AL25)</f>
        <v>23143527.1670874</v>
      </c>
    </row>
    <row r="26" customFormat="false" ht="15" hidden="false" customHeight="false" outlineLevel="0" collapsed="false">
      <c r="A26" s="37" t="s">
        <v>761</v>
      </c>
      <c r="B26" s="9" t="s">
        <v>97</v>
      </c>
      <c r="C26" s="53" t="n">
        <f aca="false">C18+C22+C24</f>
        <v>15000</v>
      </c>
      <c r="D26" s="53" t="n">
        <f aca="false">D18+D22+D24</f>
        <v>60000</v>
      </c>
      <c r="E26" s="53" t="n">
        <f aca="false">E18+E22+E24</f>
        <v>258192</v>
      </c>
      <c r="F26" s="53" t="n">
        <f aca="false">F18+F22+F24</f>
        <v>345047.101169295</v>
      </c>
      <c r="G26" s="53" t="n">
        <f aca="false">G18+G22+G24</f>
        <v>439569.801189016</v>
      </c>
      <c r="H26" s="53" t="n">
        <f aca="false">H18+H22+H24</f>
        <v>589795.868150426</v>
      </c>
      <c r="I26" s="53" t="n">
        <f aca="false">I18+I22+I24</f>
        <v>730254.939552672</v>
      </c>
      <c r="J26" s="53" t="n">
        <f aca="false">J18+J22+J24</f>
        <v>874353.368543638</v>
      </c>
      <c r="K26" s="53" t="n">
        <f aca="false">K18+K22+K24</f>
        <v>1022588.15187969</v>
      </c>
      <c r="L26" s="53" t="n">
        <f aca="false">L18+L22+L24</f>
        <v>1175739.60576115</v>
      </c>
      <c r="M26" s="53" t="n">
        <f aca="false">M18+M22+M24</f>
        <v>1334501.5154562</v>
      </c>
      <c r="N26" s="53" t="n">
        <f aca="false">N18+N22+N24</f>
        <v>1499561.70164414</v>
      </c>
      <c r="O26" s="53" t="n">
        <f aca="false">O18+O22+O24</f>
        <v>1671613.16040209</v>
      </c>
      <c r="P26" s="53" t="n">
        <f aca="false">P18+P22+P24</f>
        <v>1851358.39045915</v>
      </c>
      <c r="Q26" s="53" t="n">
        <f aca="false">Q18+Q22+Q24</f>
        <v>2039512.54957523</v>
      </c>
      <c r="R26" s="53" t="n">
        <f aca="false">R18+R22+R24</f>
        <v>2236806.94768589</v>
      </c>
      <c r="S26" s="53" t="n">
        <f aca="false">S18+S22+S24</f>
        <v>2443993.07731594</v>
      </c>
      <c r="T26" s="53" t="n">
        <f aca="false">T18+T22+T24</f>
        <v>2661847.14259931</v>
      </c>
      <c r="U26" s="53" t="n">
        <f aca="false">U18+U22+U24</f>
        <v>2884214.89421235</v>
      </c>
      <c r="V26" s="53" t="n">
        <f aca="false">V18+V22+V24</f>
        <v>3110398.31332062</v>
      </c>
      <c r="W26" s="53" t="n">
        <f aca="false">W18+W22+W24</f>
        <v>3341336.29784537</v>
      </c>
      <c r="X26" s="53" t="n">
        <f aca="false">X18+X22+X24</f>
        <v>3577172.00530074</v>
      </c>
      <c r="Y26" s="53" t="n">
        <f aca="false">Y18+Y22+Y24</f>
        <v>3818057.98439386</v>
      </c>
      <c r="Z26" s="53" t="n">
        <f aca="false">Z18+Z22+Z24</f>
        <v>4000000</v>
      </c>
      <c r="AA26" s="53" t="n">
        <f aca="false">AA18+AA22+AA24</f>
        <v>4000000</v>
      </c>
      <c r="AB26" s="53" t="n">
        <f aca="false">AB18+AB22+AB24</f>
        <v>4000000</v>
      </c>
      <c r="AC26" s="53" t="n">
        <f aca="false">AC18+AC22+AC24</f>
        <v>4000000</v>
      </c>
      <c r="AD26" s="53" t="n">
        <f aca="false">AD18+AD22+AD24</f>
        <v>4000000</v>
      </c>
      <c r="AE26" s="53" t="n">
        <f aca="false">AE18+AE22+AE24</f>
        <v>4000000</v>
      </c>
      <c r="AF26" s="53" t="n">
        <f aca="false">AF18+AF22+AF24</f>
        <v>4000000</v>
      </c>
      <c r="AG26" s="53" t="n">
        <f aca="false">AG18+AG22+AG24</f>
        <v>4000000</v>
      </c>
      <c r="AH26" s="53" t="n">
        <f aca="false">AH18+AH22+AH24</f>
        <v>4000000</v>
      </c>
      <c r="AI26" s="53" t="n">
        <f aca="false">AI18+AI22+AI24</f>
        <v>4000000</v>
      </c>
      <c r="AJ26" s="53" t="n">
        <f aca="false">AJ18+AJ22+AJ24</f>
        <v>4000000</v>
      </c>
      <c r="AK26" s="53" t="n">
        <f aca="false">AK18+AK22+AK24</f>
        <v>4000000</v>
      </c>
      <c r="AL26" s="53" t="n">
        <f aca="false">AL18+AL22+AL24</f>
        <v>4000000</v>
      </c>
      <c r="AM26" s="53" t="n">
        <f aca="false">SUM(C26:AL26)</f>
        <v>89980914.8164568</v>
      </c>
    </row>
    <row r="27" customFormat="false" ht="15" hidden="false" customHeight="false" outlineLevel="0" collapsed="false">
      <c r="A27" s="10" t="s">
        <v>762</v>
      </c>
      <c r="B27" s="9" t="s">
        <v>84</v>
      </c>
      <c r="C27" s="61" t="n">
        <f aca="false">C19+C23+C25</f>
        <v>14131.2950775799</v>
      </c>
      <c r="D27" s="61" t="n">
        <f aca="false">D19+D23+D25</f>
        <v>63157.8947368421</v>
      </c>
      <c r="E27" s="61" t="n">
        <f aca="false">E19+E23+E25</f>
        <v>214992.576</v>
      </c>
      <c r="F27" s="61" t="n">
        <f aca="false">F19+F23+F25</f>
        <v>265608.77193827</v>
      </c>
      <c r="G27" s="61" t="n">
        <f aca="false">G19+G23+G25</f>
        <v>307416.811142842</v>
      </c>
      <c r="H27" s="61" t="n">
        <f aca="false">H19+H23+H25</f>
        <v>365611.447894297</v>
      </c>
      <c r="I27" s="61" t="n">
        <f aca="false">I19+I23+I25</f>
        <v>417663.260582927</v>
      </c>
      <c r="J27" s="61" t="n">
        <f aca="false">J19+J23+J25</f>
        <v>467940.365335031</v>
      </c>
      <c r="K27" s="61" t="n">
        <f aca="false">K19+K23+K25</f>
        <v>517662.455688077</v>
      </c>
      <c r="L27" s="61" t="n">
        <f aca="false">L19+L23+L25</f>
        <v>567514.216710785</v>
      </c>
      <c r="M27" s="61" t="n">
        <f aca="false">M19+M23+M25</f>
        <v>617941.989922983</v>
      </c>
      <c r="N27" s="61" t="n">
        <f aca="false">N19+N23+N25</f>
        <v>669277.252933265</v>
      </c>
      <c r="O27" s="61" t="n">
        <f aca="false">O19+O23+O25</f>
        <v>721786.587472776</v>
      </c>
      <c r="P27" s="61" t="n">
        <f aca="false">P19+P23+P25</f>
        <v>775696.645894306</v>
      </c>
      <c r="Q27" s="61" t="n">
        <f aca="false">Q19+Q23+Q25</f>
        <v>831208.488268404</v>
      </c>
      <c r="R27" s="61" t="n">
        <f aca="false">R19+R23+R25</f>
        <v>888506.67987613</v>
      </c>
      <c r="S27" s="61" t="n">
        <f aca="false">S19+S23+S25</f>
        <v>947765.502913527</v>
      </c>
      <c r="T27" s="61" t="n">
        <f aca="false">T19+T23+T25</f>
        <v>1009153.45759456</v>
      </c>
      <c r="U27" s="61" t="n">
        <f aca="false">U19+U23+U25</f>
        <v>1071179.01605645</v>
      </c>
      <c r="V27" s="61" t="n">
        <f aca="false">V19+V23+V25</f>
        <v>1133495.00030686</v>
      </c>
      <c r="W27" s="61" t="n">
        <f aca="false">W19+W23+W25</f>
        <v>1196300.48224042</v>
      </c>
      <c r="X27" s="61" t="n">
        <f aca="false">X19+X23+X25</f>
        <v>1259677.09302328</v>
      </c>
      <c r="Y27" s="61" t="n">
        <f aca="false">Y19+Y23+Y25</f>
        <v>1323688.73590634</v>
      </c>
      <c r="Z27" s="61" t="n">
        <f aca="false">Z19+Z23+Z25</f>
        <v>1374256.42326018</v>
      </c>
      <c r="AA27" s="61" t="n">
        <f aca="false">AA19+AA23+AA25</f>
        <v>1382614.03241972</v>
      </c>
      <c r="AB27" s="61" t="n">
        <f aca="false">AB19+AB23+AB25</f>
        <v>1384807.44213388</v>
      </c>
      <c r="AC27" s="61" t="n">
        <f aca="false">AC19+AC23+AC25</f>
        <v>1386272.73493527</v>
      </c>
      <c r="AD27" s="61" t="n">
        <f aca="false">AD19+AD23+AD25</f>
        <v>1387839.89270107</v>
      </c>
      <c r="AE27" s="61" t="n">
        <f aca="false">AE19+AE23+AE25</f>
        <v>1389648.64246002</v>
      </c>
      <c r="AF27" s="61" t="n">
        <f aca="false">AF19+AF23+AF25</f>
        <v>1391738.05814315</v>
      </c>
      <c r="AG27" s="61" t="n">
        <f aca="false">AG19+AG23+AG25</f>
        <v>1394135.48992428</v>
      </c>
      <c r="AH27" s="61" t="n">
        <f aca="false">AH19+AH23+AH25</f>
        <v>1396870.18051383</v>
      </c>
      <c r="AI27" s="61" t="n">
        <f aca="false">AI19+AI23+AI25</f>
        <v>1399975.59754366</v>
      </c>
      <c r="AJ27" s="61" t="n">
        <f aca="false">AJ19+AJ23+AJ25</f>
        <v>1403490.1221924</v>
      </c>
      <c r="AK27" s="61" t="n">
        <f aca="false">AK19+AK23+AK25</f>
        <v>1407457.54835474</v>
      </c>
      <c r="AL27" s="61" t="n">
        <f aca="false">AL19+AL23+AL25</f>
        <v>1411927.61535092</v>
      </c>
      <c r="AM27" s="61" t="n">
        <f aca="false">SUM(C27:AL27)</f>
        <v>33758409.8074491</v>
      </c>
    </row>
    <row r="28" customFormat="false" ht="15" hidden="false" customHeight="false" outlineLevel="0" collapsed="false">
      <c r="A28" s="10" t="s">
        <v>763</v>
      </c>
      <c r="B28" s="9" t="s">
        <v>97</v>
      </c>
      <c r="C28" s="63" t="n">
        <f aca="false">IFERROR(C26/C27,0)</f>
        <v>1.06147383644959</v>
      </c>
      <c r="D28" s="63" t="n">
        <f aca="false">IFERROR(D26/D27,0)</f>
        <v>0.95</v>
      </c>
      <c r="E28" s="63" t="n">
        <f aca="false">IFERROR(E26/E27,0)</f>
        <v>1.2009344918031</v>
      </c>
      <c r="F28" s="63" t="n">
        <f aca="false">IFERROR(F26/F27,0)</f>
        <v>1.29908021731107</v>
      </c>
      <c r="G28" s="63" t="n">
        <f aca="false">IFERROR(G26/G27,0)</f>
        <v>1.42988211853115</v>
      </c>
      <c r="H28" s="63" t="n">
        <f aca="false">IFERROR(H26/H27,0)</f>
        <v>1.61317669768629</v>
      </c>
      <c r="I28" s="63" t="n">
        <f aca="false">IFERROR(I26/I27,0)</f>
        <v>1.74842991584528</v>
      </c>
      <c r="J28" s="63" t="n">
        <f aca="false">IFERROR(J26/J27,0)</f>
        <v>1.86851452303677</v>
      </c>
      <c r="K28" s="63" t="n">
        <f aca="false">IFERROR(K26/K27,0)</f>
        <v>1.97539562825832</v>
      </c>
      <c r="L28" s="63" t="n">
        <f aca="false">IFERROR(L26/L27,0)</f>
        <v>2.07173595152476</v>
      </c>
      <c r="M28" s="63" t="n">
        <f aca="false">IFERROR(M26/M27,0)</f>
        <v>2.15959028067104</v>
      </c>
      <c r="N28" s="63" t="n">
        <f aca="false">IFERROR(N26/N27,0)</f>
        <v>2.24056875543276</v>
      </c>
      <c r="O28" s="63" t="n">
        <f aca="false">IFERROR(O26/O27,0)</f>
        <v>2.31593824187698</v>
      </c>
      <c r="P28" s="63" t="n">
        <f aca="false">IFERROR(P26/P27,0)</f>
        <v>2.38670413267638</v>
      </c>
      <c r="Q28" s="63" t="n">
        <f aca="false">IFERROR(Q26/Q27,0)</f>
        <v>2.45367146553568</v>
      </c>
      <c r="R28" s="63" t="n">
        <f aca="false">IFERROR(R26/R27,0)</f>
        <v>2.5174902995639</v>
      </c>
      <c r="S28" s="63" t="n">
        <f aca="false">IFERROR(S26/S27,0)</f>
        <v>2.57868963346192</v>
      </c>
      <c r="T28" s="63" t="n">
        <f aca="false">IFERROR(T26/T27,0)</f>
        <v>2.63770303967856</v>
      </c>
      <c r="U28" s="63" t="n">
        <f aca="false">IFERROR(U26/U27,0)</f>
        <v>2.69256104813424</v>
      </c>
      <c r="V28" s="63" t="n">
        <f aca="false">IFERROR(V26/V27,0)</f>
        <v>2.74407766463776</v>
      </c>
      <c r="W28" s="63" t="n">
        <f aca="false">IFERROR(W26/W27,0)</f>
        <v>2.79305772040463</v>
      </c>
      <c r="X28" s="63" t="n">
        <f aca="false">IFERROR(X26/X27,0)</f>
        <v>2.83975315984779</v>
      </c>
      <c r="Y28" s="63" t="n">
        <f aca="false">IFERROR(Y26/Y27,0)</f>
        <v>2.88440770161847</v>
      </c>
      <c r="Z28" s="63" t="n">
        <f aca="false">IFERROR(Z26/Z27,0)</f>
        <v>2.91066494745624</v>
      </c>
      <c r="AA28" s="63" t="n">
        <f aca="false">IFERROR(AA26/AA27,0)</f>
        <v>2.89307059396728</v>
      </c>
      <c r="AB28" s="63" t="n">
        <f aca="false">IFERROR(AB26/AB27,0)</f>
        <v>2.888488231863</v>
      </c>
      <c r="AC28" s="63" t="n">
        <f aca="false">IFERROR(AC26/AC27,0)</f>
        <v>2.88543509454997</v>
      </c>
      <c r="AD28" s="63" t="n">
        <f aca="false">IFERROR(AD26/AD27,0)</f>
        <v>2.88217684261477</v>
      </c>
      <c r="AE28" s="63" t="n">
        <f aca="false">IFERROR(AE26/AE27,0)</f>
        <v>2.87842543631678</v>
      </c>
      <c r="AF28" s="63" t="n">
        <f aca="false">IFERROR(AF26/AF27,0)</f>
        <v>2.87410405758163</v>
      </c>
      <c r="AG28" s="63" t="n">
        <f aca="false">IFERROR(AG26/AG27,0)</f>
        <v>2.86916159075562</v>
      </c>
      <c r="AH28" s="63" t="n">
        <f aca="false">IFERROR(AH26/AH27,0)</f>
        <v>2.86354455539214</v>
      </c>
      <c r="AI28" s="63" t="n">
        <f aca="false">IFERROR(AI26/AI27,0)</f>
        <v>2.85719265894222</v>
      </c>
      <c r="AJ28" s="63" t="n">
        <f aca="false">IFERROR(AJ26/AJ27,0)</f>
        <v>2.85003787112628</v>
      </c>
      <c r="AK28" s="63" t="n">
        <f aca="false">IFERROR(AK26/AK27,0)</f>
        <v>2.84200401260828</v>
      </c>
      <c r="AL28" s="63" t="n">
        <f aca="false">IFERROR(AL26/AL27,0)</f>
        <v>2.83300642080427</v>
      </c>
      <c r="AM28" s="63" t="n">
        <f aca="false">AVERAGE(N28:AL28)</f>
        <v>2.7364774070739</v>
      </c>
    </row>
    <row r="29" customFormat="false" ht="15" hidden="false" customHeight="false" outlineLevel="0" collapsed="false">
      <c r="A29" s="37" t="s">
        <v>764</v>
      </c>
      <c r="B29" s="9" t="s">
        <v>84</v>
      </c>
      <c r="C29" s="71" t="n">
        <f aca="false">C13+C15+C27</f>
        <v>17631.2950775799</v>
      </c>
      <c r="D29" s="71" t="n">
        <f aca="false">D13+D15+D27</f>
        <v>602775.294736842</v>
      </c>
      <c r="E29" s="71" t="n">
        <f aca="false">E13+E15+E27</f>
        <v>395703.9488</v>
      </c>
      <c r="F29" s="71" t="n">
        <f aca="false">F13+F15+F27</f>
        <v>433947.39934627</v>
      </c>
      <c r="G29" s="71" t="n">
        <f aca="false">G13+G15+G27</f>
        <v>465251.857993722</v>
      </c>
      <c r="H29" s="71" t="n">
        <f aca="false">H13+H15+H27</f>
        <v>514566.833603654</v>
      </c>
      <c r="I29" s="71" t="n">
        <f aca="false">I13+I15+I27</f>
        <v>559153.966024686</v>
      </c>
      <c r="J29" s="71" t="n">
        <f aca="false">J13+J15+J27</f>
        <v>603203.893458461</v>
      </c>
      <c r="K29" s="71" t="n">
        <f aca="false">K13+K15+K27</f>
        <v>647786.152754966</v>
      </c>
      <c r="L29" s="71" t="n">
        <f aca="false">L13+L15+L27</f>
        <v>693459.065478738</v>
      </c>
      <c r="M29" s="71" t="n">
        <f aca="false">M13+M15+M27</f>
        <v>740563.404332703</v>
      </c>
      <c r="N29" s="71" t="n">
        <f aca="false">N13+N15+N27</f>
        <v>789343.333995217</v>
      </c>
      <c r="O29" s="71" t="n">
        <f aca="false">O13+O15+O27</f>
        <v>839994.240479999</v>
      </c>
      <c r="P29" s="71" t="n">
        <f aca="false">P13+P15+P27</f>
        <v>892685.908433736</v>
      </c>
      <c r="Q29" s="71" t="n">
        <f aca="false">Q13+Q15+Q27</f>
        <v>947575.375583917</v>
      </c>
      <c r="R29" s="71" t="n">
        <f aca="false">R13+R15+R27</f>
        <v>1004814.81794687</v>
      </c>
      <c r="S29" s="71" t="n">
        <f aca="false">S13+S15+S27</f>
        <v>1064556.78929529</v>
      </c>
      <c r="T29" s="71" t="n">
        <f aca="false">T13+T15+T27</f>
        <v>1126957.96490471</v>
      </c>
      <c r="U29" s="71" t="n">
        <f aca="false">U13+U15+U27</f>
        <v>1190524.33235163</v>
      </c>
      <c r="V29" s="71" t="n">
        <f aca="false">V13+V15+V27</f>
        <v>1254915.18399418</v>
      </c>
      <c r="W29" s="71" t="n">
        <f aca="false">W13+W15+W27</f>
        <v>1320344.7961498</v>
      </c>
      <c r="X29" s="71" t="n">
        <f aca="false">X13+X15+X27</f>
        <v>1386918.67250023</v>
      </c>
      <c r="Y29" s="71" t="n">
        <f aca="false">Y13+Y15+Y27</f>
        <v>1454733.33897719</v>
      </c>
      <c r="Z29" s="71" t="n">
        <f aca="false">Z13+Z15+Z27</f>
        <v>1509751.40685225</v>
      </c>
      <c r="AA29" s="71" t="n">
        <f aca="false">AA13+AA15+AA27</f>
        <v>1523257.69711818</v>
      </c>
      <c r="AB29" s="71" t="n">
        <f aca="false">AB13+AB15+AB27</f>
        <v>1531358.88890495</v>
      </c>
      <c r="AC29" s="71" t="n">
        <f aca="false">AC13+AC15+AC27</f>
        <v>1539562.38056844</v>
      </c>
      <c r="AD29" s="71" t="n">
        <f aca="false">AD13+AD15+AD27</f>
        <v>1548780.79638885</v>
      </c>
      <c r="AE29" s="71" t="n">
        <f aca="false">AE13+AE15+AE27</f>
        <v>1559248.80395195</v>
      </c>
      <c r="AF29" s="71" t="n">
        <f aca="false">AF13+AF15+AF27</f>
        <v>1571113.8583291</v>
      </c>
      <c r="AG29" s="71" t="n">
        <f aca="false">AG13+AG15+AG27</f>
        <v>1584526.45760744</v>
      </c>
      <c r="AH29" s="71" t="n">
        <f aca="false">AH13+AH15+AH27</f>
        <v>1599655.28465137</v>
      </c>
      <c r="AI29" s="71" t="n">
        <f aca="false">AI13+AI15+AI27</f>
        <v>1616691.28252758</v>
      </c>
      <c r="AJ29" s="71" t="n">
        <f aca="false">AJ13+AJ15+AJ27</f>
        <v>1635850.32501928</v>
      </c>
      <c r="AK29" s="71" t="n">
        <f aca="false">AK13+AK15+AK27</f>
        <v>1657375.96103946</v>
      </c>
      <c r="AL29" s="71" t="n">
        <f aca="false">AL13+AL15+AL27</f>
        <v>1681542.48396779</v>
      </c>
      <c r="AM29" s="71" t="n">
        <f aca="false">SUM(C29:AL29)</f>
        <v>39506123.493147</v>
      </c>
    </row>
    <row r="30" customFormat="false" ht="15" hidden="false" customHeight="false" outlineLevel="0" collapsed="false">
      <c r="A30" s="10" t="s">
        <v>765</v>
      </c>
      <c r="B30" s="9" t="s">
        <v>51</v>
      </c>
      <c r="C30" s="61" t="n">
        <f aca="false">C8*Assumptions!$F$47*Assumptions!$F$48^C10</f>
        <v>0</v>
      </c>
      <c r="D30" s="61" t="n">
        <f aca="false">D8*Assumptions!$F$47*Assumptions!$F$48^D10</f>
        <v>15000</v>
      </c>
      <c r="E30" s="61" t="n">
        <f aca="false">E8*Assumptions!$F$47*Assumptions!$F$48^E10</f>
        <v>23250</v>
      </c>
      <c r="F30" s="61" t="n">
        <f aca="false">F8*Assumptions!$F$47*Assumptions!$F$48^F10</f>
        <v>36037.5</v>
      </c>
      <c r="G30" s="61" t="n">
        <f aca="false">G8*Assumptions!$F$47*Assumptions!$F$48^G10</f>
        <v>55858.125</v>
      </c>
      <c r="H30" s="61" t="n">
        <f aca="false">H8*Assumptions!$F$47*Assumptions!$F$48^H10</f>
        <v>86580.09375</v>
      </c>
      <c r="I30" s="61" t="n">
        <f aca="false">I8*Assumptions!$F$47*Assumptions!$F$48^I10</f>
        <v>134199.1453125</v>
      </c>
      <c r="J30" s="61" t="n">
        <f aca="false">J8*Assumptions!$F$47*Assumptions!$F$48^J10</f>
        <v>208008.675234375</v>
      </c>
      <c r="K30" s="61" t="n">
        <f aca="false">K8*Assumptions!$F$47*Assumptions!$F$48^K10</f>
        <v>322413.446613281</v>
      </c>
      <c r="L30" s="61" t="n">
        <f aca="false">L8*Assumptions!$F$47*Assumptions!$F$48^L10</f>
        <v>499740.842250586</v>
      </c>
      <c r="M30" s="61" t="n">
        <f aca="false">M8*Assumptions!$F$47*Assumptions!$F$48^M10</f>
        <v>774598.305488408</v>
      </c>
      <c r="N30" s="61" t="n">
        <f aca="false">N8*Assumptions!$F$47*Assumptions!$F$48^N10</f>
        <v>1200627.37350703</v>
      </c>
      <c r="O30" s="61" t="n">
        <f aca="false">O8*Assumptions!$F$47*Assumptions!$F$48^O10</f>
        <v>1860972.4289359</v>
      </c>
      <c r="P30" s="61" t="n">
        <f aca="false">P8*Assumptions!$F$47*Assumptions!$F$48^P10</f>
        <v>2884507.26485065</v>
      </c>
      <c r="Q30" s="61" t="n">
        <f aca="false">Q8*Assumptions!$F$47*Assumptions!$F$48^Q10</f>
        <v>4470986.2605185</v>
      </c>
      <c r="R30" s="61" t="n">
        <f aca="false">R8*Assumptions!$F$47*Assumptions!$F$48^R10</f>
        <v>6930028.70380368</v>
      </c>
      <c r="S30" s="61" t="n">
        <f aca="false">S8*Assumptions!$F$47*Assumptions!$F$48^S10</f>
        <v>10741544.4908957</v>
      </c>
      <c r="T30" s="61" t="n">
        <f aca="false">T8*Assumptions!$F$47*Assumptions!$F$48^T10</f>
        <v>16649393.9608883</v>
      </c>
      <c r="U30" s="61" t="n">
        <f aca="false">U8*Assumptions!$F$47*Assumptions!$F$48^U10</f>
        <v>25806560.6393769</v>
      </c>
      <c r="V30" s="61" t="n">
        <f aca="false">V8*Assumptions!$F$47*Assumptions!$F$48^V10</f>
        <v>40000168.9910342</v>
      </c>
      <c r="W30" s="61" t="n">
        <f aca="false">W8*Assumptions!$F$47*Assumptions!$F$48^W10</f>
        <v>62000261.9361031</v>
      </c>
      <c r="X30" s="61" t="n">
        <f aca="false">X8*Assumptions!$F$47*Assumptions!$F$48^X10</f>
        <v>96100406.0009598</v>
      </c>
      <c r="Y30" s="61" t="n">
        <f aca="false">Y8*Assumptions!$F$47*Assumptions!$F$48^Y10</f>
        <v>148955629.301488</v>
      </c>
      <c r="Z30" s="61" t="n">
        <f aca="false">Z8*Assumptions!$F$47*Assumptions!$F$48^Z10</f>
        <v>230881225.417306</v>
      </c>
      <c r="AA30" s="61" t="n">
        <f aca="false">AA8*Assumptions!$F$47*Assumptions!$F$48^AA10</f>
        <v>357865899.396824</v>
      </c>
      <c r="AB30" s="61" t="n">
        <f aca="false">AB8*Assumptions!$F$47*Assumptions!$F$48^AB10</f>
        <v>554692144.065077</v>
      </c>
      <c r="AC30" s="61" t="n">
        <f aca="false">AC8*Assumptions!$F$47*Assumptions!$F$48^AC10</f>
        <v>859772823.30087</v>
      </c>
      <c r="AD30" s="61" t="n">
        <f aca="false">AD8*Assumptions!$F$47*Assumptions!$F$48^AD10</f>
        <v>1332647876.11635</v>
      </c>
      <c r="AE30" s="61" t="n">
        <f aca="false">AE8*Assumptions!$F$47*Assumptions!$F$48^AE10</f>
        <v>2065604207.98034</v>
      </c>
      <c r="AF30" s="61" t="n">
        <f aca="false">AF8*Assumptions!$F$47*Assumptions!$F$48^AF10</f>
        <v>3201686522.36953</v>
      </c>
      <c r="AG30" s="61" t="n">
        <f aca="false">AG8*Assumptions!$F$47*Assumptions!$F$48^AG10</f>
        <v>4962614109.67277</v>
      </c>
      <c r="AH30" s="61" t="n">
        <f aca="false">AH8*Assumptions!$F$47*Assumptions!$F$48^AH10</f>
        <v>7692051869.99279</v>
      </c>
      <c r="AI30" s="61" t="n">
        <f aca="false">AI8*Assumptions!$F$47*Assumptions!$F$48^AI10</f>
        <v>11922680398.4888</v>
      </c>
      <c r="AJ30" s="61" t="n">
        <f aca="false">AJ8*Assumptions!$F$47*Assumptions!$F$48^AJ10</f>
        <v>18480154617.6577</v>
      </c>
      <c r="AK30" s="61" t="n">
        <f aca="false">AK8*Assumptions!$F$47*Assumptions!$F$48^AK10</f>
        <v>28644239657.3694</v>
      </c>
      <c r="AL30" s="61" t="n">
        <f aca="false">AL8*Assumptions!$F$47*Assumptions!$F$48^AL10</f>
        <v>44398571468.9226</v>
      </c>
      <c r="AM30" s="61" t="n">
        <f aca="false">AL30</f>
        <v>44398571468.9226</v>
      </c>
    </row>
    <row r="31" customFormat="false" ht="15" hidden="false" customHeight="false" outlineLevel="0" collapsed="false">
      <c r="A31" s="10" t="s">
        <v>766</v>
      </c>
      <c r="B31" s="9" t="s">
        <v>51</v>
      </c>
      <c r="C31" s="61" t="n">
        <f aca="false">Assumptions!$F$49*C8*(C15+C13*Assumptions!$F$44+C19*Assumptions!$F$31*Assumptions!$F$32+C23*Assumptions!$F$38*Assumptions!$F$39+C25*Assumptions!$F$43)</f>
        <v>0</v>
      </c>
      <c r="D31" s="61" t="n">
        <f aca="false">Assumptions!$F$49*D8*(D15+D13*Assumptions!$F$44+D19*Assumptions!$F$31*Assumptions!$F$32+D23*Assumptions!$F$38*Assumptions!$F$39+D25*Assumptions!$F$43)</f>
        <v>23868.4012631579</v>
      </c>
      <c r="E31" s="61" t="n">
        <f aca="false">Assumptions!$F$49*E8*(E15+E13*Assumptions!$F$44+E19*Assumptions!$F$31*Assumptions!$F$32+E23*Assumptions!$F$38*Assumptions!$F$39+E25*Assumptions!$F$43)</f>
        <v>11908.4600512</v>
      </c>
      <c r="F31" s="61" t="n">
        <f aca="false">Assumptions!$F$49*F8*(F15+F13*Assumptions!$F$44+F19*Assumptions!$F$31*Assumptions!$F$32+F23*Assumptions!$F$38*Assumptions!$F$39+F25*Assumptions!$F$43)</f>
        <v>12379.3521509965</v>
      </c>
      <c r="G31" s="61" t="n">
        <f aca="false">Assumptions!$F$49*G8*(G15+G13*Assumptions!$F$44+G19*Assumptions!$F$31*Assumptions!$F$32+G23*Assumptions!$F$38*Assumptions!$F$39+G25*Assumptions!$F$43)</f>
        <v>12744.7368367941</v>
      </c>
      <c r="H31" s="61" t="n">
        <f aca="false">Assumptions!$F$49*H8*(H15+H13*Assumptions!$F$44+H19*Assumptions!$F$31*Assumptions!$F$32+H23*Assumptions!$F$38*Assumptions!$F$39+H25*Assumptions!$F$43)</f>
        <v>13507.3144506071</v>
      </c>
      <c r="I31" s="61" t="n">
        <f aca="false">Assumptions!$F$49*I8*(I15+I13*Assumptions!$F$44+I19*Assumptions!$F$31*Assumptions!$F$32+I23*Assumptions!$F$38*Assumptions!$F$39+I25*Assumptions!$F$43)</f>
        <v>14203.1767072697</v>
      </c>
      <c r="J31" s="61" t="n">
        <f aca="false">Assumptions!$F$49*J8*(J15+J13*Assumptions!$F$44+J19*Assumptions!$F$31*Assumptions!$F$32+J23*Assumptions!$F$38*Assumptions!$F$39+J25*Assumptions!$F$43)</f>
        <v>14915.6322491584</v>
      </c>
      <c r="K31" s="61" t="n">
        <f aca="false">Assumptions!$F$49*K8*(K15+K13*Assumptions!$F$44+K19*Assumptions!$F$31*Assumptions!$F$32+K23*Assumptions!$F$38*Assumptions!$F$39+K25*Assumptions!$F$43)</f>
        <v>15661.6905480581</v>
      </c>
      <c r="L31" s="61" t="n">
        <f aca="false">Assumptions!$F$49*L8*(L15+L13*Assumptions!$F$44+L19*Assumptions!$F$31*Assumptions!$F$32+L23*Assumptions!$F$38*Assumptions!$F$39+L25*Assumptions!$F$43)</f>
        <v>16449.1758514569</v>
      </c>
      <c r="M31" s="61" t="n">
        <f aca="false">Assumptions!$F$49*M8*(M15+M13*Assumptions!$F$44+M19*Assumptions!$F$31*Assumptions!$F$32+M23*Assumptions!$F$38*Assumptions!$F$39+M25*Assumptions!$F$43)</f>
        <v>17282.0939411368</v>
      </c>
      <c r="N31" s="61" t="n">
        <f aca="false">Assumptions!$F$49*N8*(N15+N13*Assumptions!$F$44+N19*Assumptions!$F$31*Assumptions!$F$32+N23*Assumptions!$F$38*Assumptions!$F$39+N25*Assumptions!$F$43)</f>
        <v>18162.9399761382</v>
      </c>
      <c r="O31" s="61" t="n">
        <f aca="false">Assumptions!$F$49*O8*(O15+O13*Assumptions!$F$44+O19*Assumptions!$F$31*Assumptions!$F$32+O23*Assumptions!$F$38*Assumptions!$F$39+O25*Assumptions!$F$43)</f>
        <v>19093.5816069566</v>
      </c>
      <c r="P31" s="61" t="n">
        <f aca="false">Assumptions!$F$49*P8*(P15+P13*Assumptions!$F$44+P19*Assumptions!$F$31*Assumptions!$F$32+P23*Assumptions!$F$38*Assumptions!$F$39+P25*Assumptions!$F$43)</f>
        <v>20075.6687548821</v>
      </c>
      <c r="Q31" s="61" t="n">
        <f aca="false">Assumptions!$F$49*Q8*(Q15+Q13*Assumptions!$F$44+Q19*Assumptions!$F$31*Assumptions!$F$32+Q23*Assumptions!$F$38*Assumptions!$F$39+Q25*Assumptions!$F$43)</f>
        <v>21110.8475300218</v>
      </c>
      <c r="R31" s="61" t="n">
        <f aca="false">Assumptions!$F$49*R8*(R15+R13*Assumptions!$F$44+R19*Assumptions!$F$31*Assumptions!$F$32+R23*Assumptions!$F$38*Assumptions!$F$39+R25*Assumptions!$F$43)</f>
        <v>22200.8820763792</v>
      </c>
      <c r="S31" s="61" t="n">
        <f aca="false">Assumptions!$F$49*S8*(S15+S13*Assumptions!$F$44+S19*Assumptions!$F$31*Assumptions!$F$32+S23*Assumptions!$F$38*Assumptions!$F$39+S25*Assumptions!$F$43)</f>
        <v>23347.7291507756</v>
      </c>
      <c r="T31" s="61" t="n">
        <f aca="false">Assumptions!$F$49*T8*(T15+T13*Assumptions!$F$44+T19*Assumptions!$F$31*Assumptions!$F$32+T23*Assumptions!$F$38*Assumptions!$F$39+T25*Assumptions!$F$43)</f>
        <v>24553.5873864381</v>
      </c>
      <c r="U31" s="61" t="n">
        <f aca="false">Assumptions!$F$49*U8*(U15+U13*Assumptions!$F$44+U19*Assumptions!$F$31*Assumptions!$F$32+U23*Assumptions!$F$38*Assumptions!$F$39+U25*Assumptions!$F$43)</f>
        <v>25787.7793366759</v>
      </c>
      <c r="V31" s="61" t="n">
        <f aca="false">Assumptions!$F$49*V8*(V15+V13*Assumptions!$F$44+V19*Assumptions!$F$31*Assumptions!$F$32+V23*Assumptions!$F$38*Assumptions!$F$39+V25*Assumptions!$F$43)</f>
        <v>27043.0886381607</v>
      </c>
      <c r="W31" s="61" t="n">
        <f aca="false">Assumptions!$F$49*W8*(W15+W13*Assumptions!$F$44+W19*Assumptions!$F$31*Assumptions!$F$32+W23*Assumptions!$F$38*Assumptions!$F$39+W25*Assumptions!$F$43)</f>
        <v>28323.3116489241</v>
      </c>
      <c r="X31" s="61" t="n">
        <f aca="false">Assumptions!$F$49*X8*(X15+X13*Assumptions!$F$44+X19*Assumptions!$F$31*Assumptions!$F$32+X23*Assumptions!$F$38*Assumptions!$F$39+X25*Assumptions!$F$43)</f>
        <v>29630.0688443226</v>
      </c>
      <c r="Y31" s="61" t="n">
        <f aca="false">Assumptions!$F$49*Y8*(Y15+Y13*Assumptions!$F$44+Y19*Assumptions!$F$31*Assumptions!$F$32+Y23*Assumptions!$F$38*Assumptions!$F$39+Y25*Assumptions!$F$43)</f>
        <v>30964.9001549781</v>
      </c>
      <c r="Z31" s="61" t="n">
        <f aca="false">Assumptions!$F$49*Z8*(Z15+Z13*Assumptions!$F$44+Z19*Assumptions!$F$31*Assumptions!$F$32+Z23*Assumptions!$F$38*Assumptions!$F$39+Z25*Assumptions!$F$43)</f>
        <v>32046.7403782599</v>
      </c>
      <c r="AA31" s="61" t="n">
        <f aca="false">Assumptions!$F$49*AA8*(AA15+AA13*Assumptions!$F$44+AA19*Assumptions!$F$31*Assumptions!$F$32+AA23*Assumptions!$F$38*Assumptions!$F$39+AA25*Assumptions!$F$43)</f>
        <v>32303.38435515</v>
      </c>
      <c r="AB31" s="61" t="n">
        <f aca="false">Assumptions!$F$49*AB8*(AB15+AB13*Assumptions!$F$44+AB19*Assumptions!$F$31*Assumptions!$F$32+AB23*Assumptions!$F$38*Assumptions!$F$39+AB25*Assumptions!$F$43)</f>
        <v>32461.564097201</v>
      </c>
      <c r="AC31" s="61" t="n">
        <f aca="false">Assumptions!$F$49*AC8*(AC15+AC13*Assumptions!$F$44+AC19*Assumptions!$F$31*Assumptions!$F$32+AC23*Assumptions!$F$38*Assumptions!$F$39+AC25*Assumptions!$F$43)</f>
        <v>32625.2921260155</v>
      </c>
      <c r="AD31" s="61" t="n">
        <f aca="false">Assumptions!$F$49*AD8*(AD15+AD13*Assumptions!$F$44+AD19*Assumptions!$F$31*Assumptions!$F$32+AD23*Assumptions!$F$38*Assumptions!$F$39+AD25*Assumptions!$F$43)</f>
        <v>32811.8256148248</v>
      </c>
      <c r="AE31" s="61" t="n">
        <f aca="false">Assumptions!$F$49*AE8*(AE15+AE13*Assumptions!$F$44+AE19*Assumptions!$F$31*Assumptions!$F$32+AE23*Assumptions!$F$38*Assumptions!$F$39+AE25*Assumptions!$F$43)</f>
        <v>33025.672479402</v>
      </c>
      <c r="AF31" s="61" t="n">
        <f aca="false">Assumptions!$F$49*AF8*(AF15+AF13*Assumptions!$F$44+AF19*Assumptions!$F$31*Assumptions!$F$32+AF23*Assumptions!$F$38*Assumptions!$F$39+AF25*Assumptions!$F$43)</f>
        <v>33269.7522719236</v>
      </c>
      <c r="AG31" s="61" t="n">
        <f aca="false">Assumptions!$F$49*AG8*(AG15+AG13*Assumptions!$F$44+AG19*Assumptions!$F$31*Assumptions!$F$32+AG23*Assumptions!$F$38*Assumptions!$F$39+AG25*Assumptions!$F$43)</f>
        <v>33547.1015661831</v>
      </c>
      <c r="AH31" s="61" t="n">
        <f aca="false">Assumptions!$F$49*AH8*(AH15+AH13*Assumptions!$F$44+AH19*Assumptions!$F$31*Assumptions!$F$32+AH23*Assumptions!$F$38*Assumptions!$F$39+AH25*Assumptions!$F$43)</f>
        <v>33861.1611009092</v>
      </c>
      <c r="AI31" s="61" t="n">
        <f aca="false">Assumptions!$F$49*AI8*(AI15+AI13*Assumptions!$F$44+AI19*Assumptions!$F$31*Assumptions!$F$32+AI23*Assumptions!$F$38*Assumptions!$F$39+AI25*Assumptions!$F$43)</f>
        <v>34215.8548084571</v>
      </c>
      <c r="AJ31" s="61" t="n">
        <f aca="false">Assumptions!$F$49*AJ8*(AJ15+AJ13*Assumptions!$F$44+AJ19*Assumptions!$F$31*Assumptions!$F$32+AJ23*Assumptions!$F$38*Assumptions!$F$39+AJ25*Assumptions!$F$43)</f>
        <v>34615.6432743215</v>
      </c>
      <c r="AK31" s="61" t="n">
        <f aca="false">Assumptions!$F$49*AK8*(AK15+AK13*Assumptions!$F$44+AK19*Assumptions!$F$31*Assumptions!$F$32+AK23*Assumptions!$F$38*Assumptions!$F$39+AK25*Assumptions!$F$43)</f>
        <v>35065.5795829188</v>
      </c>
      <c r="AL31" s="61" t="n">
        <f aca="false">Assumptions!$F$49*AL8*(AL15+AL13*Assumptions!$F$44+AL19*Assumptions!$F$31*Assumptions!$F$32+AL23*Assumptions!$F$38*Assumptions!$F$39+AL25*Assumptions!$F$43)</f>
        <v>35571.37232279</v>
      </c>
      <c r="AM31" s="61" t="n">
        <f aca="false">SUM(C31:AL31)</f>
        <v>878635.363132845</v>
      </c>
    </row>
    <row r="32" customFormat="false" ht="15" hidden="false" customHeight="false" outlineLevel="0" collapsed="false">
      <c r="A32" s="37" t="s">
        <v>767</v>
      </c>
      <c r="B32" s="9" t="s">
        <v>51</v>
      </c>
      <c r="C32" s="71" t="n">
        <f aca="false">MIN(C31,C30)</f>
        <v>0</v>
      </c>
      <c r="D32" s="71" t="n">
        <f aca="false">MIN(D31,D30)</f>
        <v>15000</v>
      </c>
      <c r="E32" s="71" t="n">
        <f aca="false">MIN(E31,E30)</f>
        <v>11908.4600512</v>
      </c>
      <c r="F32" s="71" t="n">
        <f aca="false">MIN(F31,F30)</f>
        <v>12379.3521509965</v>
      </c>
      <c r="G32" s="71" t="n">
        <f aca="false">MIN(G31,G30)</f>
        <v>12744.7368367941</v>
      </c>
      <c r="H32" s="71" t="n">
        <f aca="false">MIN(H31,H30)</f>
        <v>13507.3144506071</v>
      </c>
      <c r="I32" s="71" t="n">
        <f aca="false">MIN(I31,I30)</f>
        <v>14203.1767072697</v>
      </c>
      <c r="J32" s="71" t="n">
        <f aca="false">MIN(J31,J30)</f>
        <v>14915.6322491584</v>
      </c>
      <c r="K32" s="71" t="n">
        <f aca="false">MIN(K31,K30)</f>
        <v>15661.6905480581</v>
      </c>
      <c r="L32" s="71" t="n">
        <f aca="false">MIN(L31,L30)</f>
        <v>16449.1758514569</v>
      </c>
      <c r="M32" s="71" t="n">
        <f aca="false">MIN(M31,M30)</f>
        <v>17282.0939411368</v>
      </c>
      <c r="N32" s="71" t="n">
        <f aca="false">MIN(N31,N30)</f>
        <v>18162.9399761382</v>
      </c>
      <c r="O32" s="71" t="n">
        <f aca="false">MIN(O31,O30)</f>
        <v>19093.5816069566</v>
      </c>
      <c r="P32" s="71" t="n">
        <f aca="false">MIN(P31,P30)</f>
        <v>20075.6687548821</v>
      </c>
      <c r="Q32" s="71" t="n">
        <f aca="false">MIN(Q31,Q30)</f>
        <v>21110.8475300218</v>
      </c>
      <c r="R32" s="71" t="n">
        <f aca="false">MIN(R31,R30)</f>
        <v>22200.8820763792</v>
      </c>
      <c r="S32" s="71" t="n">
        <f aca="false">MIN(S31,S30)</f>
        <v>23347.7291507756</v>
      </c>
      <c r="T32" s="71" t="n">
        <f aca="false">MIN(T31,T30)</f>
        <v>24553.5873864381</v>
      </c>
      <c r="U32" s="71" t="n">
        <f aca="false">MIN(U31,U30)</f>
        <v>25787.7793366759</v>
      </c>
      <c r="V32" s="71" t="n">
        <f aca="false">MIN(V31,V30)</f>
        <v>27043.0886381607</v>
      </c>
      <c r="W32" s="71" t="n">
        <f aca="false">MIN(W31,W30)</f>
        <v>28323.3116489241</v>
      </c>
      <c r="X32" s="71" t="n">
        <f aca="false">MIN(X31,X30)</f>
        <v>29630.0688443226</v>
      </c>
      <c r="Y32" s="71" t="n">
        <f aca="false">MIN(Y31,Y30)</f>
        <v>30964.9001549781</v>
      </c>
      <c r="Z32" s="71" t="n">
        <f aca="false">MIN(Z31,Z30)</f>
        <v>32046.7403782599</v>
      </c>
      <c r="AA32" s="71" t="n">
        <f aca="false">MIN(AA31,AA30)</f>
        <v>32303.38435515</v>
      </c>
      <c r="AB32" s="71" t="n">
        <f aca="false">MIN(AB31,AB30)</f>
        <v>32461.564097201</v>
      </c>
      <c r="AC32" s="71" t="n">
        <f aca="false">MIN(AC31,AC30)</f>
        <v>32625.2921260155</v>
      </c>
      <c r="AD32" s="71" t="n">
        <f aca="false">MIN(AD31,AD30)</f>
        <v>32811.8256148248</v>
      </c>
      <c r="AE32" s="71" t="n">
        <f aca="false">MIN(AE31,AE30)</f>
        <v>33025.672479402</v>
      </c>
      <c r="AF32" s="71" t="n">
        <f aca="false">MIN(AF31,AF30)</f>
        <v>33269.7522719236</v>
      </c>
      <c r="AG32" s="71" t="n">
        <f aca="false">MIN(AG31,AG30)</f>
        <v>33547.1015661831</v>
      </c>
      <c r="AH32" s="71" t="n">
        <f aca="false">MIN(AH31,AH30)</f>
        <v>33861.1611009092</v>
      </c>
      <c r="AI32" s="71" t="n">
        <f aca="false">MIN(AI31,AI30)</f>
        <v>34215.8548084571</v>
      </c>
      <c r="AJ32" s="71" t="n">
        <f aca="false">MIN(AJ31,AJ30)</f>
        <v>34615.6432743215</v>
      </c>
      <c r="AK32" s="71" t="n">
        <f aca="false">MIN(AK31,AK30)</f>
        <v>35065.5795829188</v>
      </c>
      <c r="AL32" s="71" t="n">
        <f aca="false">MIN(AL31,AL30)</f>
        <v>35571.37232279</v>
      </c>
      <c r="AM32" s="71" t="n">
        <f aca="false">SUM(C32:AL32)</f>
        <v>869766.961869687</v>
      </c>
    </row>
    <row r="33" customFormat="false" ht="15" hidden="false" customHeight="false" outlineLevel="0" collapsed="false">
      <c r="A33" s="10" t="s">
        <v>768</v>
      </c>
      <c r="B33" s="9" t="s">
        <v>51</v>
      </c>
      <c r="C33" s="61" t="n">
        <f aca="false">MAX(0,C31-C30)</f>
        <v>0</v>
      </c>
      <c r="D33" s="61" t="n">
        <f aca="false">MAX(0,D31-D30)</f>
        <v>8868.4012631579</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8868.4012631579</v>
      </c>
    </row>
    <row r="34" customFormat="false" ht="15" hidden="false" customHeight="false" outlineLevel="0" collapsed="false">
      <c r="A34" s="10" t="s">
        <v>769</v>
      </c>
      <c r="B34" s="9" t="s">
        <v>51</v>
      </c>
      <c r="C34" s="61" t="n">
        <f aca="false">C32*Assumptions!$F$51</f>
        <v>0</v>
      </c>
      <c r="D34" s="61" t="n">
        <f aca="false">D32*Assumptions!$F$51</f>
        <v>7500</v>
      </c>
      <c r="E34" s="61" t="n">
        <f aca="false">E32*Assumptions!$F$51</f>
        <v>5954.2300256</v>
      </c>
      <c r="F34" s="61" t="n">
        <f aca="false">F32*Assumptions!$F$51</f>
        <v>6189.67607549827</v>
      </c>
      <c r="G34" s="61" t="n">
        <f aca="false">G32*Assumptions!$F$51</f>
        <v>6372.36841839705</v>
      </c>
      <c r="H34" s="61" t="n">
        <f aca="false">H32*Assumptions!$F$51</f>
        <v>6753.65722530353</v>
      </c>
      <c r="I34" s="61" t="n">
        <f aca="false">I32*Assumptions!$F$51</f>
        <v>7101.58835363485</v>
      </c>
      <c r="J34" s="61" t="n">
        <f aca="false">J32*Assumptions!$F$51</f>
        <v>7457.81612457922</v>
      </c>
      <c r="K34" s="61" t="n">
        <f aca="false">K32*Assumptions!$F$51</f>
        <v>7830.84527402903</v>
      </c>
      <c r="L34" s="61" t="n">
        <f aca="false">L32*Assumptions!$F$51</f>
        <v>8224.58792572847</v>
      </c>
      <c r="M34" s="61" t="n">
        <f aca="false">M32*Assumptions!$F$51</f>
        <v>8641.04697056838</v>
      </c>
      <c r="N34" s="61" t="n">
        <f aca="false">N32*Assumptions!$F$51</f>
        <v>9081.46998806908</v>
      </c>
      <c r="O34" s="61" t="n">
        <f aca="false">O32*Assumptions!$F$51</f>
        <v>9546.79080347828</v>
      </c>
      <c r="P34" s="61" t="n">
        <f aca="false">P32*Assumptions!$F$51</f>
        <v>10037.834377441</v>
      </c>
      <c r="Q34" s="61" t="n">
        <f aca="false">Q32*Assumptions!$F$51</f>
        <v>10555.4237650109</v>
      </c>
      <c r="R34" s="61" t="n">
        <f aca="false">R32*Assumptions!$F$51</f>
        <v>11100.4410381896</v>
      </c>
      <c r="S34" s="61" t="n">
        <f aca="false">S32*Assumptions!$F$51</f>
        <v>11673.8645753878</v>
      </c>
      <c r="T34" s="61" t="n">
        <f aca="false">T32*Assumptions!$F$51</f>
        <v>12276.7936932191</v>
      </c>
      <c r="U34" s="61" t="n">
        <f aca="false">U32*Assumptions!$F$51</f>
        <v>12893.8896683379</v>
      </c>
      <c r="V34" s="61" t="n">
        <f aca="false">V32*Assumptions!$F$51</f>
        <v>13521.5443190804</v>
      </c>
      <c r="W34" s="61" t="n">
        <f aca="false">W32*Assumptions!$F$51</f>
        <v>14161.6558244621</v>
      </c>
      <c r="X34" s="61" t="n">
        <f aca="false">X32*Assumptions!$F$51</f>
        <v>14815.0344221613</v>
      </c>
      <c r="Y34" s="61" t="n">
        <f aca="false">Y32*Assumptions!$F$51</f>
        <v>15482.450077489</v>
      </c>
      <c r="Z34" s="61" t="n">
        <f aca="false">Z32*Assumptions!$F$51</f>
        <v>16023.3701891299</v>
      </c>
      <c r="AA34" s="61" t="n">
        <f aca="false">AA32*Assumptions!$F$51</f>
        <v>16151.692177575</v>
      </c>
      <c r="AB34" s="61" t="n">
        <f aca="false">AB32*Assumptions!$F$51</f>
        <v>16230.7820486005</v>
      </c>
      <c r="AC34" s="61" t="n">
        <f aca="false">AC32*Assumptions!$F$51</f>
        <v>16312.6460630077</v>
      </c>
      <c r="AD34" s="61" t="n">
        <f aca="false">AD32*Assumptions!$F$51</f>
        <v>16405.9128074124</v>
      </c>
      <c r="AE34" s="61" t="n">
        <f aca="false">AE32*Assumptions!$F$51</f>
        <v>16512.836239701</v>
      </c>
      <c r="AF34" s="61" t="n">
        <f aca="false">AF32*Assumptions!$F$51</f>
        <v>16634.8761359618</v>
      </c>
      <c r="AG34" s="61" t="n">
        <f aca="false">AG32*Assumptions!$F$51</f>
        <v>16773.5507830915</v>
      </c>
      <c r="AH34" s="61" t="n">
        <f aca="false">AH32*Assumptions!$F$51</f>
        <v>16930.5805504546</v>
      </c>
      <c r="AI34" s="61" t="n">
        <f aca="false">AI32*Assumptions!$F$51</f>
        <v>17107.9274042286</v>
      </c>
      <c r="AJ34" s="61" t="n">
        <f aca="false">AJ32*Assumptions!$F$51</f>
        <v>17307.8216371608</v>
      </c>
      <c r="AK34" s="61" t="n">
        <f aca="false">AK32*Assumptions!$F$51</f>
        <v>17532.7897914594</v>
      </c>
      <c r="AL34" s="61" t="n">
        <f aca="false">AL32*Assumptions!$F$51</f>
        <v>17785.686161395</v>
      </c>
      <c r="AM34" s="61" t="n">
        <f aca="false">SUM(C34:AL34)</f>
        <v>434883.480934844</v>
      </c>
    </row>
    <row r="35" customFormat="false" ht="15" hidden="false" customHeight="false" outlineLevel="0" collapsed="false">
      <c r="A35" s="10" t="s">
        <v>770</v>
      </c>
      <c r="B35" s="9" t="s">
        <v>51</v>
      </c>
      <c r="C35" s="61" t="n">
        <f aca="false">C32*(1-Assumptions!$F$51)</f>
        <v>0</v>
      </c>
      <c r="D35" s="61" t="n">
        <f aca="false">D32*(1-Assumptions!$F$51)</f>
        <v>7500</v>
      </c>
      <c r="E35" s="61" t="n">
        <f aca="false">E32*(1-Assumptions!$F$51)</f>
        <v>5954.2300256</v>
      </c>
      <c r="F35" s="61" t="n">
        <f aca="false">F32*(1-Assumptions!$F$51)</f>
        <v>6189.67607549827</v>
      </c>
      <c r="G35" s="61" t="n">
        <f aca="false">G32*(1-Assumptions!$F$51)</f>
        <v>6372.36841839705</v>
      </c>
      <c r="H35" s="61" t="n">
        <f aca="false">H32*(1-Assumptions!$F$51)</f>
        <v>6753.65722530353</v>
      </c>
      <c r="I35" s="61" t="n">
        <f aca="false">I32*(1-Assumptions!$F$51)</f>
        <v>7101.58835363485</v>
      </c>
      <c r="J35" s="61" t="n">
        <f aca="false">J32*(1-Assumptions!$F$51)</f>
        <v>7457.81612457922</v>
      </c>
      <c r="K35" s="61" t="n">
        <f aca="false">K32*(1-Assumptions!$F$51)</f>
        <v>7830.84527402903</v>
      </c>
      <c r="L35" s="61" t="n">
        <f aca="false">L32*(1-Assumptions!$F$51)</f>
        <v>8224.58792572847</v>
      </c>
      <c r="M35" s="61" t="n">
        <f aca="false">M32*(1-Assumptions!$F$51)</f>
        <v>8641.04697056838</v>
      </c>
      <c r="N35" s="61" t="n">
        <f aca="false">N32*(1-Assumptions!$F$51)</f>
        <v>9081.46998806908</v>
      </c>
      <c r="O35" s="61" t="n">
        <f aca="false">O32*(1-Assumptions!$F$51)</f>
        <v>9546.79080347828</v>
      </c>
      <c r="P35" s="61" t="n">
        <f aca="false">P32*(1-Assumptions!$F$51)</f>
        <v>10037.834377441</v>
      </c>
      <c r="Q35" s="61" t="n">
        <f aca="false">Q32*(1-Assumptions!$F$51)</f>
        <v>10555.4237650109</v>
      </c>
      <c r="R35" s="61" t="n">
        <f aca="false">R32*(1-Assumptions!$F$51)</f>
        <v>11100.4410381896</v>
      </c>
      <c r="S35" s="61" t="n">
        <f aca="false">S32*(1-Assumptions!$F$51)</f>
        <v>11673.8645753878</v>
      </c>
      <c r="T35" s="61" t="n">
        <f aca="false">T32*(1-Assumptions!$F$51)</f>
        <v>12276.7936932191</v>
      </c>
      <c r="U35" s="61" t="n">
        <f aca="false">U32*(1-Assumptions!$F$51)</f>
        <v>12893.8896683379</v>
      </c>
      <c r="V35" s="61" t="n">
        <f aca="false">V32*(1-Assumptions!$F$51)</f>
        <v>13521.5443190804</v>
      </c>
      <c r="W35" s="61" t="n">
        <f aca="false">W32*(1-Assumptions!$F$51)</f>
        <v>14161.6558244621</v>
      </c>
      <c r="X35" s="61" t="n">
        <f aca="false">X32*(1-Assumptions!$F$51)</f>
        <v>14815.0344221613</v>
      </c>
      <c r="Y35" s="61" t="n">
        <f aca="false">Y32*(1-Assumptions!$F$51)</f>
        <v>15482.450077489</v>
      </c>
      <c r="Z35" s="61" t="n">
        <f aca="false">Z32*(1-Assumptions!$F$51)</f>
        <v>16023.3701891299</v>
      </c>
      <c r="AA35" s="61" t="n">
        <f aca="false">AA32*(1-Assumptions!$F$51)</f>
        <v>16151.692177575</v>
      </c>
      <c r="AB35" s="61" t="n">
        <f aca="false">AB32*(1-Assumptions!$F$51)</f>
        <v>16230.7820486005</v>
      </c>
      <c r="AC35" s="61" t="n">
        <f aca="false">AC32*(1-Assumptions!$F$51)</f>
        <v>16312.6460630077</v>
      </c>
      <c r="AD35" s="61" t="n">
        <f aca="false">AD32*(1-Assumptions!$F$51)</f>
        <v>16405.9128074124</v>
      </c>
      <c r="AE35" s="61" t="n">
        <f aca="false">AE32*(1-Assumptions!$F$51)</f>
        <v>16512.836239701</v>
      </c>
      <c r="AF35" s="61" t="n">
        <f aca="false">AF32*(1-Assumptions!$F$51)</f>
        <v>16634.8761359618</v>
      </c>
      <c r="AG35" s="61" t="n">
        <f aca="false">AG32*(1-Assumptions!$F$51)</f>
        <v>16773.5507830915</v>
      </c>
      <c r="AH35" s="61" t="n">
        <f aca="false">AH32*(1-Assumptions!$F$51)</f>
        <v>16930.5805504546</v>
      </c>
      <c r="AI35" s="61" t="n">
        <f aca="false">AI32*(1-Assumptions!$F$51)</f>
        <v>17107.9274042286</v>
      </c>
      <c r="AJ35" s="61" t="n">
        <f aca="false">AJ32*(1-Assumptions!$F$51)</f>
        <v>17307.8216371608</v>
      </c>
      <c r="AK35" s="61" t="n">
        <f aca="false">AK32*(1-Assumptions!$F$51)</f>
        <v>17532.7897914594</v>
      </c>
      <c r="AL35" s="61" t="n">
        <f aca="false">AL32*(1-Assumptions!$F$51)</f>
        <v>17785.686161395</v>
      </c>
      <c r="AM35" s="61" t="n">
        <f aca="false">SUM(C35:AL35)</f>
        <v>434883.480934844</v>
      </c>
    </row>
    <row r="36" customFormat="false" ht="15" hidden="false" customHeight="false" outlineLevel="0" collapsed="false">
      <c r="A36" s="37" t="s">
        <v>771</v>
      </c>
      <c r="B36" s="9" t="s">
        <v>51</v>
      </c>
      <c r="C36" s="71" t="n">
        <f aca="false">C34</f>
        <v>0</v>
      </c>
      <c r="D36" s="71" t="n">
        <f aca="false">C36*(1-Assumptions!$F$52)+D34</f>
        <v>7500</v>
      </c>
      <c r="E36" s="71" t="n">
        <f aca="false">D36*(1-Assumptions!$F$52)+E34</f>
        <v>13041.7300256</v>
      </c>
      <c r="F36" s="71" t="n">
        <f aca="false">E36*(1-Assumptions!$F$52)+F34</f>
        <v>18514.1109496903</v>
      </c>
      <c r="G36" s="71" t="n">
        <f aca="false">F36*(1-Assumptions!$F$52)+G34</f>
        <v>23868.2032658544</v>
      </c>
      <c r="H36" s="71" t="n">
        <f aca="false">G36*(1-Assumptions!$F$52)+H34</f>
        <v>29309.1093115359</v>
      </c>
      <c r="I36" s="71" t="n">
        <f aca="false">H36*(1-Assumptions!$F$52)+I34</f>
        <v>34798.6966530363</v>
      </c>
      <c r="J36" s="71" t="n">
        <f aca="false">I36*(1-Assumptions!$F$52)+J34</f>
        <v>40342.5844616985</v>
      </c>
      <c r="K36" s="71" t="n">
        <f aca="false">J36*(1-Assumptions!$F$52)+K34</f>
        <v>45954.5875903341</v>
      </c>
      <c r="L36" s="71" t="n">
        <f aca="false">K36*(1-Assumptions!$F$52)+L34</f>
        <v>51651.6731985942</v>
      </c>
      <c r="M36" s="71" t="n">
        <f aca="false">L36*(1-Assumptions!$F$52)+M34</f>
        <v>57451.8781432399</v>
      </c>
      <c r="N36" s="71" t="n">
        <f aca="false">M36*(1-Assumptions!$F$52)+N34</f>
        <v>63373.4948334308</v>
      </c>
      <c r="O36" s="71" t="n">
        <f aca="false">N36*(1-Assumptions!$F$52)+O34</f>
        <v>69434.7434210704</v>
      </c>
      <c r="P36" s="71" t="n">
        <f aca="false">O36*(1-Assumptions!$F$52)+P34</f>
        <v>75653.6669103526</v>
      </c>
      <c r="Q36" s="71" t="n">
        <f aca="false">P36*(1-Assumptions!$F$52)+Q34</f>
        <v>82048.1389952941</v>
      </c>
      <c r="R36" s="71" t="n">
        <f aca="false">Q36*(1-Assumptions!$F$52)+R34</f>
        <v>88635.9323887425</v>
      </c>
      <c r="S36" s="71" t="n">
        <f aca="false">R36*(1-Assumptions!$F$52)+S34</f>
        <v>95434.8206827495</v>
      </c>
      <c r="T36" s="71" t="n">
        <f aca="false">S36*(1-Assumptions!$F$52)+T34</f>
        <v>102462.699238417</v>
      </c>
      <c r="U36" s="71" t="n">
        <f aca="false">T36*(1-Assumptions!$F$52)+U34</f>
        <v>109721.140448642</v>
      </c>
      <c r="V36" s="71" t="n">
        <f aca="false">U36*(1-Assumptions!$F$52)+V34</f>
        <v>117208.022043047</v>
      </c>
      <c r="W36" s="71" t="n">
        <f aca="false">V36*(1-Assumptions!$F$52)+W34</f>
        <v>124923.236655142</v>
      </c>
      <c r="X36" s="71" t="n">
        <f aca="false">W36*(1-Assumptions!$F$52)+X34</f>
        <v>132867.49306127</v>
      </c>
      <c r="Y36" s="71" t="n">
        <f aca="false">X36*(1-Assumptions!$F$52)+Y34</f>
        <v>141042.231020389</v>
      </c>
      <c r="Z36" s="71" t="n">
        <f aca="false">Y36*(1-Assumptions!$F$52)+Z34</f>
        <v>149308.278503398</v>
      </c>
      <c r="AA36" s="71" t="n">
        <f aca="false">Z36*(1-Assumptions!$F$52)+AA34</f>
        <v>157248.015363286</v>
      </c>
      <c r="AB36" s="71" t="n">
        <f aca="false">AA36*(1-Assumptions!$F$52)+AB34</f>
        <v>164830.156566906</v>
      </c>
      <c r="AC36" s="71" t="n">
        <f aca="false">AB36*(1-Assumptions!$F$52)+AC34</f>
        <v>172077.144018734</v>
      </c>
      <c r="AD36" s="71" t="n">
        <f aca="false">AC36*(1-Assumptions!$F$52)+AD34</f>
        <v>179018.813905116</v>
      </c>
      <c r="AE36" s="71" t="n">
        <f aca="false">AD36*(1-Assumptions!$F$52)+AE34</f>
        <v>185685.615380035</v>
      </c>
      <c r="AF36" s="71" t="n">
        <f aca="false">AE36*(1-Assumptions!$F$52)+AF34</f>
        <v>192107.782670095</v>
      </c>
      <c r="AG36" s="71" t="n">
        <f aca="false">AF36*(1-Assumptions!$F$52)+AG34</f>
        <v>198315.405406332</v>
      </c>
      <c r="AH36" s="71" t="n">
        <f aca="false">AG36*(1-Assumptions!$F$52)+AH34</f>
        <v>204338.638659438</v>
      </c>
      <c r="AI36" s="71" t="n">
        <f aca="false">AH36*(1-Assumptions!$F$52)+AI34</f>
        <v>210207.940937397</v>
      </c>
      <c r="AJ36" s="71" t="n">
        <f aca="false">AI36*(1-Assumptions!$F$52)+AJ34</f>
        <v>215954.325823001</v>
      </c>
      <c r="AK36" s="71" t="n">
        <f aca="false">AJ36*(1-Assumptions!$F$52)+AK34</f>
        <v>221609.627694196</v>
      </c>
      <c r="AL36" s="71" t="n">
        <f aca="false">AK36*(1-Assumptions!$F$52)+AL34</f>
        <v>227206.78433241</v>
      </c>
      <c r="AM36" s="71" t="n">
        <f aca="false">AL36</f>
        <v>227206.78433241</v>
      </c>
    </row>
    <row r="37" customFormat="false" ht="15" hidden="false" customHeight="false" outlineLevel="0" collapsed="false">
      <c r="A37" s="10" t="s">
        <v>772</v>
      </c>
      <c r="B37" s="9" t="s">
        <v>51</v>
      </c>
      <c r="C37" s="61" t="n">
        <f aca="false">0</f>
        <v>0</v>
      </c>
      <c r="D37" s="61" t="n">
        <f aca="false">C36*Assumptions!$F$52</f>
        <v>0</v>
      </c>
      <c r="E37" s="61" t="n">
        <f aca="false">D36*Assumptions!$F$52</f>
        <v>412.5</v>
      </c>
      <c r="F37" s="61" t="n">
        <f aca="false">E36*Assumptions!$F$52</f>
        <v>717.295151408</v>
      </c>
      <c r="G37" s="61" t="n">
        <f aca="false">F36*Assumptions!$F$52</f>
        <v>1018.27610223297</v>
      </c>
      <c r="H37" s="61" t="n">
        <f aca="false">G36*Assumptions!$F$52</f>
        <v>1312.75117962199</v>
      </c>
      <c r="I37" s="61" t="n">
        <f aca="false">H36*Assumptions!$F$52</f>
        <v>1612.00101213447</v>
      </c>
      <c r="J37" s="61" t="n">
        <f aca="false">I36*Assumptions!$F$52</f>
        <v>1913.92831591699</v>
      </c>
      <c r="K37" s="61" t="n">
        <f aca="false">J36*Assumptions!$F$52</f>
        <v>2218.84214539342</v>
      </c>
      <c r="L37" s="61" t="n">
        <f aca="false">K36*Assumptions!$F$52</f>
        <v>2527.50231746838</v>
      </c>
      <c r="M37" s="61" t="n">
        <f aca="false">L36*Assumptions!$F$52</f>
        <v>2840.84202592268</v>
      </c>
      <c r="N37" s="61" t="n">
        <f aca="false">M36*Assumptions!$F$52</f>
        <v>3159.85329787819</v>
      </c>
      <c r="O37" s="61" t="n">
        <f aca="false">N36*Assumptions!$F$52</f>
        <v>3485.54221583869</v>
      </c>
      <c r="P37" s="61" t="n">
        <f aca="false">O36*Assumptions!$F$52</f>
        <v>3818.91088815887</v>
      </c>
      <c r="Q37" s="61" t="n">
        <f aca="false">P36*Assumptions!$F$52</f>
        <v>4160.95168006939</v>
      </c>
      <c r="R37" s="61" t="n">
        <f aca="false">Q36*Assumptions!$F$52</f>
        <v>4512.64764474117</v>
      </c>
      <c r="S37" s="61" t="n">
        <f aca="false">R36*Assumptions!$F$52</f>
        <v>4874.97628138084</v>
      </c>
      <c r="T37" s="61" t="n">
        <f aca="false">S36*Assumptions!$F$52</f>
        <v>5248.91513755122</v>
      </c>
      <c r="U37" s="61" t="n">
        <f aca="false">T36*Assumptions!$F$52</f>
        <v>5635.44845811295</v>
      </c>
      <c r="V37" s="61" t="n">
        <f aca="false">U36*Assumptions!$F$52</f>
        <v>6034.66272467533</v>
      </c>
      <c r="W37" s="61" t="n">
        <f aca="false">V36*Assumptions!$F$52</f>
        <v>6446.4412123676</v>
      </c>
      <c r="X37" s="61" t="n">
        <f aca="false">W36*Assumptions!$F$52</f>
        <v>6870.7780160328</v>
      </c>
      <c r="Y37" s="61" t="n">
        <f aca="false">X36*Assumptions!$F$52</f>
        <v>7307.71211836987</v>
      </c>
      <c r="Z37" s="61" t="n">
        <f aca="false">Y36*Assumptions!$F$52</f>
        <v>7757.32270612142</v>
      </c>
      <c r="AA37" s="61" t="n">
        <f aca="false">Z36*Assumptions!$F$52</f>
        <v>8211.95531768689</v>
      </c>
      <c r="AB37" s="61" t="n">
        <f aca="false">AA36*Assumptions!$F$52</f>
        <v>8648.64084498074</v>
      </c>
      <c r="AC37" s="61" t="n">
        <f aca="false">AB36*Assumptions!$F$52</f>
        <v>9065.65861117982</v>
      </c>
      <c r="AD37" s="61" t="n">
        <f aca="false">AC36*Assumptions!$F$52</f>
        <v>9464.24292103035</v>
      </c>
      <c r="AE37" s="61" t="n">
        <f aca="false">AD36*Assumptions!$F$52</f>
        <v>9846.03476478137</v>
      </c>
      <c r="AF37" s="61" t="n">
        <f aca="false">AE36*Assumptions!$F$52</f>
        <v>10212.7088459019</v>
      </c>
      <c r="AG37" s="61" t="n">
        <f aca="false">AF36*Assumptions!$F$52</f>
        <v>10565.9280468552</v>
      </c>
      <c r="AH37" s="61" t="n">
        <f aca="false">AG36*Assumptions!$F$52</f>
        <v>10907.3472973482</v>
      </c>
      <c r="AI37" s="61" t="n">
        <f aca="false">AH36*Assumptions!$F$52</f>
        <v>11238.6251262691</v>
      </c>
      <c r="AJ37" s="61" t="n">
        <f aca="false">AI36*Assumptions!$F$52</f>
        <v>11561.4367515569</v>
      </c>
      <c r="AK37" s="61" t="n">
        <f aca="false">AJ36*Assumptions!$F$52</f>
        <v>11877.4879202651</v>
      </c>
      <c r="AL37" s="61" t="n">
        <f aca="false">AK36*Assumptions!$F$52</f>
        <v>12188.5295231808</v>
      </c>
      <c r="AM37" s="61" t="n">
        <f aca="false">SUM(C37:AL37)</f>
        <v>207676.696602434</v>
      </c>
    </row>
    <row r="38" customFormat="false" ht="15" hidden="false" customHeight="false" outlineLevel="0" collapsed="false">
      <c r="A38" s="10" t="s">
        <v>773</v>
      </c>
      <c r="B38" s="9" t="s">
        <v>51</v>
      </c>
      <c r="C38" s="61" t="n">
        <f aca="false">0</f>
        <v>0</v>
      </c>
      <c r="D38" s="61" t="n">
        <f aca="false">C35*Assumptions!$F$53</f>
        <v>0</v>
      </c>
      <c r="E38" s="61" t="n">
        <f aca="false">D35*Assumptions!$F$53</f>
        <v>1050</v>
      </c>
      <c r="F38" s="61" t="n">
        <f aca="false">E35*Assumptions!$F$53</f>
        <v>833.592203584</v>
      </c>
      <c r="G38" s="61" t="n">
        <f aca="false">F35*Assumptions!$F$53</f>
        <v>866.554650569758</v>
      </c>
      <c r="H38" s="61" t="n">
        <f aca="false">G35*Assumptions!$F$53</f>
        <v>892.131578575588</v>
      </c>
      <c r="I38" s="61" t="n">
        <f aca="false">H35*Assumptions!$F$53</f>
        <v>945.512011542494</v>
      </c>
      <c r="J38" s="61" t="n">
        <f aca="false">I35*Assumptions!$F$53</f>
        <v>994.222369508879</v>
      </c>
      <c r="K38" s="61" t="n">
        <f aca="false">J35*Assumptions!$F$53</f>
        <v>1044.09425744109</v>
      </c>
      <c r="L38" s="61" t="n">
        <f aca="false">K35*Assumptions!$F$53</f>
        <v>1096.31833836406</v>
      </c>
      <c r="M38" s="61" t="n">
        <f aca="false">L35*Assumptions!$F$53</f>
        <v>1151.44230960199</v>
      </c>
      <c r="N38" s="61" t="n">
        <f aca="false">M35*Assumptions!$F$53</f>
        <v>1209.74657587957</v>
      </c>
      <c r="O38" s="61" t="n">
        <f aca="false">N35*Assumptions!$F$53</f>
        <v>1271.40579832967</v>
      </c>
      <c r="P38" s="61" t="n">
        <f aca="false">O35*Assumptions!$F$53</f>
        <v>1336.55071248696</v>
      </c>
      <c r="Q38" s="61" t="n">
        <f aca="false">P35*Assumptions!$F$53</f>
        <v>1405.29681284175</v>
      </c>
      <c r="R38" s="61" t="n">
        <f aca="false">Q35*Assumptions!$F$53</f>
        <v>1477.75932710153</v>
      </c>
      <c r="S38" s="61" t="n">
        <f aca="false">R35*Assumptions!$F$53</f>
        <v>1554.06174534654</v>
      </c>
      <c r="T38" s="61" t="n">
        <f aca="false">S35*Assumptions!$F$53</f>
        <v>1634.34104055429</v>
      </c>
      <c r="U38" s="61" t="n">
        <f aca="false">T35*Assumptions!$F$53</f>
        <v>1718.75111705067</v>
      </c>
      <c r="V38" s="61" t="n">
        <f aca="false">U35*Assumptions!$F$53</f>
        <v>1805.14455356731</v>
      </c>
      <c r="W38" s="61" t="n">
        <f aca="false">V35*Assumptions!$F$53</f>
        <v>1893.01620467125</v>
      </c>
      <c r="X38" s="61" t="n">
        <f aca="false">W35*Assumptions!$F$53</f>
        <v>1982.63181542469</v>
      </c>
      <c r="Y38" s="61" t="n">
        <f aca="false">X35*Assumptions!$F$53</f>
        <v>2074.10481910258</v>
      </c>
      <c r="Z38" s="61" t="n">
        <f aca="false">Y35*Assumptions!$F$53</f>
        <v>2167.54301084847</v>
      </c>
      <c r="AA38" s="61" t="n">
        <f aca="false">Z35*Assumptions!$F$53</f>
        <v>2243.27182647819</v>
      </c>
      <c r="AB38" s="61" t="n">
        <f aca="false">AA35*Assumptions!$F$53</f>
        <v>2261.2369048605</v>
      </c>
      <c r="AC38" s="61" t="n">
        <f aca="false">AB35*Assumptions!$F$53</f>
        <v>2272.30948680407</v>
      </c>
      <c r="AD38" s="61" t="n">
        <f aca="false">AC35*Assumptions!$F$53</f>
        <v>2283.77044882108</v>
      </c>
      <c r="AE38" s="61" t="n">
        <f aca="false">AD35*Assumptions!$F$53</f>
        <v>2296.82779303774</v>
      </c>
      <c r="AF38" s="61" t="n">
        <f aca="false">AE35*Assumptions!$F$53</f>
        <v>2311.79707355814</v>
      </c>
      <c r="AG38" s="61" t="n">
        <f aca="false">AF35*Assumptions!$F$53</f>
        <v>2328.88265903465</v>
      </c>
      <c r="AH38" s="61" t="n">
        <f aca="false">AG35*Assumptions!$F$53</f>
        <v>2348.29710963282</v>
      </c>
      <c r="AI38" s="61" t="n">
        <f aca="false">AH35*Assumptions!$F$53</f>
        <v>2370.28127706364</v>
      </c>
      <c r="AJ38" s="61" t="n">
        <f aca="false">AI35*Assumptions!$F$53</f>
        <v>2395.109836592</v>
      </c>
      <c r="AK38" s="61" t="n">
        <f aca="false">AJ35*Assumptions!$F$53</f>
        <v>2423.09502920251</v>
      </c>
      <c r="AL38" s="61" t="n">
        <f aca="false">AK35*Assumptions!$F$53</f>
        <v>2454.59057080432</v>
      </c>
      <c r="AM38" s="61" t="n">
        <f aca="false">SUM(C38:AL38)</f>
        <v>58393.6912682828</v>
      </c>
    </row>
    <row r="39" customFormat="false" ht="15" hidden="false" customHeight="false" outlineLevel="0" collapsed="false">
      <c r="A39" s="37" t="s">
        <v>774</v>
      </c>
      <c r="B39" s="9" t="s">
        <v>51</v>
      </c>
      <c r="C39" s="71" t="n">
        <f aca="false">C35+C36+C38</f>
        <v>0</v>
      </c>
      <c r="D39" s="71" t="n">
        <f aca="false">D35+D36+D38</f>
        <v>15000</v>
      </c>
      <c r="E39" s="71" t="n">
        <f aca="false">E35+E36+E38</f>
        <v>20045.9600512</v>
      </c>
      <c r="F39" s="71" t="n">
        <f aca="false">F35+F36+F38</f>
        <v>25537.3792287725</v>
      </c>
      <c r="G39" s="71" t="n">
        <f aca="false">G35+G36+G38</f>
        <v>31107.1263348212</v>
      </c>
      <c r="H39" s="71" t="n">
        <f aca="false">H35+H36+H38</f>
        <v>36954.898115415</v>
      </c>
      <c r="I39" s="71" t="n">
        <f aca="false">I35+I36+I38</f>
        <v>42845.7970182136</v>
      </c>
      <c r="J39" s="71" t="n">
        <f aca="false">J35+J36+J38</f>
        <v>48794.6229557866</v>
      </c>
      <c r="K39" s="71" t="n">
        <f aca="false">K35+K36+K38</f>
        <v>54829.5271218042</v>
      </c>
      <c r="L39" s="71" t="n">
        <f aca="false">L35+L36+L38</f>
        <v>60972.5794626867</v>
      </c>
      <c r="M39" s="71" t="n">
        <f aca="false">M35+M36+M38</f>
        <v>67244.3674234103</v>
      </c>
      <c r="N39" s="71" t="n">
        <f aca="false">N35+N36+N38</f>
        <v>73664.7113973795</v>
      </c>
      <c r="O39" s="71" t="n">
        <f aca="false">O35+O36+O38</f>
        <v>80252.9400228783</v>
      </c>
      <c r="P39" s="71" t="n">
        <f aca="false">P35+P36+P38</f>
        <v>87028.0520002806</v>
      </c>
      <c r="Q39" s="71" t="n">
        <f aca="false">Q35+Q36+Q38</f>
        <v>94008.8595731467</v>
      </c>
      <c r="R39" s="71" t="n">
        <f aca="false">R35+R36+R38</f>
        <v>101214.132754034</v>
      </c>
      <c r="S39" s="71" t="n">
        <f aca="false">S35+S36+S38</f>
        <v>108662.747003484</v>
      </c>
      <c r="T39" s="71" t="n">
        <f aca="false">T35+T36+T38</f>
        <v>116373.833972191</v>
      </c>
      <c r="U39" s="71" t="n">
        <f aca="false">U35+U36+U38</f>
        <v>124333.781234031</v>
      </c>
      <c r="V39" s="71" t="n">
        <f aca="false">V35+V36+V38</f>
        <v>132534.710915695</v>
      </c>
      <c r="W39" s="71" t="n">
        <f aca="false">W35+W36+W38</f>
        <v>140977.908684275</v>
      </c>
      <c r="X39" s="71" t="n">
        <f aca="false">X35+X36+X38</f>
        <v>149665.159298856</v>
      </c>
      <c r="Y39" s="71" t="n">
        <f aca="false">Y35+Y36+Y38</f>
        <v>158598.785916981</v>
      </c>
      <c r="Z39" s="71" t="n">
        <f aca="false">Z35+Z36+Z38</f>
        <v>167499.191703376</v>
      </c>
      <c r="AA39" s="71" t="n">
        <f aca="false">AA35+AA36+AA38</f>
        <v>175642.979367339</v>
      </c>
      <c r="AB39" s="71" t="n">
        <f aca="false">AB35+AB36+AB38</f>
        <v>183322.175520367</v>
      </c>
      <c r="AC39" s="71" t="n">
        <f aca="false">AC35+AC36+AC38</f>
        <v>190662.099568546</v>
      </c>
      <c r="AD39" s="71" t="n">
        <f aca="false">AD35+AD36+AD38</f>
        <v>197708.497161349</v>
      </c>
      <c r="AE39" s="71" t="n">
        <f aca="false">AE35+AE36+AE38</f>
        <v>204495.279412774</v>
      </c>
      <c r="AF39" s="71" t="n">
        <f aca="false">AF35+AF36+AF38</f>
        <v>211054.455879615</v>
      </c>
      <c r="AG39" s="71" t="n">
        <f aca="false">AG35+AG36+AG38</f>
        <v>217417.838848458</v>
      </c>
      <c r="AH39" s="71" t="n">
        <f aca="false">AH35+AH36+AH38</f>
        <v>223617.516319525</v>
      </c>
      <c r="AI39" s="71" t="n">
        <f aca="false">AI35+AI36+AI38</f>
        <v>229686.14961869</v>
      </c>
      <c r="AJ39" s="71" t="n">
        <f aca="false">AJ35+AJ36+AJ38</f>
        <v>235657.257296754</v>
      </c>
      <c r="AK39" s="71" t="n">
        <f aca="false">AK35+AK36+AK38</f>
        <v>241565.512514857</v>
      </c>
      <c r="AL39" s="71" t="n">
        <f aca="false">AL35+AL36+AL38</f>
        <v>247447.061064609</v>
      </c>
      <c r="AM39" s="71" t="n">
        <f aca="false">SUM(C39:AL39)</f>
        <v>4496423.8947616</v>
      </c>
    </row>
    <row r="40" customFormat="false" ht="15" hidden="false" customHeight="false" outlineLevel="0" collapsed="false">
      <c r="A40" s="10" t="s">
        <v>775</v>
      </c>
      <c r="B40" s="9" t="s">
        <v>97</v>
      </c>
      <c r="C40" s="70" t="n">
        <f aca="false">C39*Assumptions!$F$50</f>
        <v>0</v>
      </c>
      <c r="D40" s="70" t="n">
        <f aca="false">D39*Assumptions!$F$50</f>
        <v>1320000</v>
      </c>
      <c r="E40" s="70" t="n">
        <f aca="false">E39*Assumptions!$F$50</f>
        <v>1764044.4845056</v>
      </c>
      <c r="F40" s="70" t="n">
        <f aca="false">F39*Assumptions!$F$50</f>
        <v>2247289.37213198</v>
      </c>
      <c r="G40" s="70" t="n">
        <f aca="false">G39*Assumptions!$F$50</f>
        <v>2737427.11746426</v>
      </c>
      <c r="H40" s="70" t="n">
        <f aca="false">H39*Assumptions!$F$50</f>
        <v>3252031.03415652</v>
      </c>
      <c r="I40" s="70" t="n">
        <f aca="false">I39*Assumptions!$F$50</f>
        <v>3770430.1376028</v>
      </c>
      <c r="J40" s="70" t="n">
        <f aca="false">J39*Assumptions!$F$50</f>
        <v>4293926.82010922</v>
      </c>
      <c r="K40" s="70" t="n">
        <f aca="false">K39*Assumptions!$F$50</f>
        <v>4824998.38671877</v>
      </c>
      <c r="L40" s="70" t="n">
        <f aca="false">L39*Assumptions!$F$50</f>
        <v>5365586.99271643</v>
      </c>
      <c r="M40" s="70" t="n">
        <f aca="false">M39*Assumptions!$F$50</f>
        <v>5917504.3332601</v>
      </c>
      <c r="N40" s="70" t="n">
        <f aca="false">N39*Assumptions!$F$50</f>
        <v>6482494.60296939</v>
      </c>
      <c r="O40" s="70" t="n">
        <f aca="false">O39*Assumptions!$F$50</f>
        <v>7062258.72201329</v>
      </c>
      <c r="P40" s="70" t="n">
        <f aca="false">P39*Assumptions!$F$50</f>
        <v>7658468.57602469</v>
      </c>
      <c r="Q40" s="70" t="n">
        <f aca="false">Q39*Assumptions!$F$50</f>
        <v>8272779.64243691</v>
      </c>
      <c r="R40" s="70" t="n">
        <f aca="false">R39*Assumptions!$F$50</f>
        <v>8906843.68235496</v>
      </c>
      <c r="S40" s="70" t="n">
        <f aca="false">S39*Assumptions!$F$50</f>
        <v>9562321.73630658</v>
      </c>
      <c r="T40" s="70" t="n">
        <f aca="false">T39*Assumptions!$F$50</f>
        <v>10240897.3895528</v>
      </c>
      <c r="U40" s="70" t="n">
        <f aca="false">U39*Assumptions!$F$50</f>
        <v>10941372.7485947</v>
      </c>
      <c r="V40" s="70" t="n">
        <f aca="false">V39*Assumptions!$F$50</f>
        <v>11663054.5605812</v>
      </c>
      <c r="W40" s="70" t="n">
        <f aca="false">W39*Assumptions!$F$50</f>
        <v>12406055.9642162</v>
      </c>
      <c r="X40" s="70" t="n">
        <f aca="false">X39*Assumptions!$F$50</f>
        <v>13170534.0182994</v>
      </c>
      <c r="Y40" s="70" t="n">
        <f aca="false">Y39*Assumptions!$F$50</f>
        <v>13956693.1606943</v>
      </c>
      <c r="Z40" s="70" t="n">
        <f aca="false">Z39*Assumptions!$F$50</f>
        <v>14739928.8698971</v>
      </c>
      <c r="AA40" s="70" t="n">
        <f aca="false">AA39*Assumptions!$F$50</f>
        <v>15456582.1843259</v>
      </c>
      <c r="AB40" s="70" t="n">
        <f aca="false">AB39*Assumptions!$F$50</f>
        <v>16132351.4457923</v>
      </c>
      <c r="AC40" s="70" t="n">
        <f aca="false">AC39*Assumptions!$F$50</f>
        <v>16778264.762032</v>
      </c>
      <c r="AD40" s="70" t="n">
        <f aca="false">AD39*Assumptions!$F$50</f>
        <v>17398347.7501987</v>
      </c>
      <c r="AE40" s="70" t="n">
        <f aca="false">AE39*Assumptions!$F$50</f>
        <v>17995584.5883241</v>
      </c>
      <c r="AF40" s="70" t="n">
        <f aca="false">AF39*Assumptions!$F$50</f>
        <v>18572792.1174061</v>
      </c>
      <c r="AG40" s="70" t="n">
        <f aca="false">AG39*Assumptions!$F$50</f>
        <v>19132769.8186643</v>
      </c>
      <c r="AH40" s="70" t="n">
        <f aca="false">AH39*Assumptions!$F$50</f>
        <v>19678341.4361182</v>
      </c>
      <c r="AI40" s="70" t="n">
        <f aca="false">AI39*Assumptions!$F$50</f>
        <v>20212381.1664447</v>
      </c>
      <c r="AJ40" s="70" t="n">
        <f aca="false">AJ39*Assumptions!$F$50</f>
        <v>20737838.6421144</v>
      </c>
      <c r="AK40" s="70" t="n">
        <f aca="false">AK39*Assumptions!$F$50</f>
        <v>21257765.1013075</v>
      </c>
      <c r="AL40" s="70" t="n">
        <f aca="false">AL39*Assumptions!$F$50</f>
        <v>21775341.3736856</v>
      </c>
      <c r="AM40" s="70" t="n">
        <f aca="false">SUM(C40:AL40)</f>
        <v>395685302.739021</v>
      </c>
    </row>
    <row r="41" customFormat="false" ht="15" hidden="false" customHeight="false" outlineLevel="0" collapsed="false">
      <c r="A41" s="10" t="s">
        <v>776</v>
      </c>
      <c r="B41" s="9" t="s">
        <v>97</v>
      </c>
      <c r="C41" s="70" t="n">
        <f aca="false">-C40*Assumptions!$F$80</f>
        <v>-0</v>
      </c>
      <c r="D41" s="70" t="n">
        <f aca="false">-D40*Assumptions!$F$80</f>
        <v>-29040</v>
      </c>
      <c r="E41" s="70" t="n">
        <f aca="false">-E40*Assumptions!$F$80</f>
        <v>-38808.9786591232</v>
      </c>
      <c r="F41" s="70" t="n">
        <f aca="false">-F40*Assumptions!$F$80</f>
        <v>-49440.3661869036</v>
      </c>
      <c r="G41" s="70" t="n">
        <f aca="false">-G40*Assumptions!$F$80</f>
        <v>-60223.3965842138</v>
      </c>
      <c r="H41" s="70" t="n">
        <f aca="false">-H40*Assumptions!$F$80</f>
        <v>-71544.6827514435</v>
      </c>
      <c r="I41" s="70" t="n">
        <f aca="false">-I40*Assumptions!$F$80</f>
        <v>-82949.4630272616</v>
      </c>
      <c r="J41" s="70" t="n">
        <f aca="false">-J40*Assumptions!$F$80</f>
        <v>-94466.3900424028</v>
      </c>
      <c r="K41" s="70" t="n">
        <f aca="false">-K40*Assumptions!$F$80</f>
        <v>-106149.964507813</v>
      </c>
      <c r="L41" s="70" t="n">
        <f aca="false">-L40*Assumptions!$F$80</f>
        <v>-118042.913839761</v>
      </c>
      <c r="M41" s="70" t="n">
        <f aca="false">-M40*Assumptions!$F$80</f>
        <v>-130185.095331722</v>
      </c>
      <c r="N41" s="70" t="n">
        <f aca="false">-N40*Assumptions!$F$80</f>
        <v>-142614.881265327</v>
      </c>
      <c r="O41" s="70" t="n">
        <f aca="false">-O40*Assumptions!$F$80</f>
        <v>-155369.691884292</v>
      </c>
      <c r="P41" s="70" t="n">
        <f aca="false">-P40*Assumptions!$F$80</f>
        <v>-168486.308672543</v>
      </c>
      <c r="Q41" s="70" t="n">
        <f aca="false">-Q40*Assumptions!$F$80</f>
        <v>-182001.152133612</v>
      </c>
      <c r="R41" s="70" t="n">
        <f aca="false">-R40*Assumptions!$F$80</f>
        <v>-195950.561011809</v>
      </c>
      <c r="S41" s="70" t="n">
        <f aca="false">-S40*Assumptions!$F$80</f>
        <v>-210371.078198745</v>
      </c>
      <c r="T41" s="70" t="n">
        <f aca="false">-T40*Assumptions!$F$80</f>
        <v>-225299.742570161</v>
      </c>
      <c r="U41" s="70" t="n">
        <f aca="false">-U40*Assumptions!$F$80</f>
        <v>-240710.200469084</v>
      </c>
      <c r="V41" s="70" t="n">
        <f aca="false">-V40*Assumptions!$F$80</f>
        <v>-256587.200332786</v>
      </c>
      <c r="W41" s="70" t="n">
        <f aca="false">-W40*Assumptions!$F$80</f>
        <v>-272933.231212757</v>
      </c>
      <c r="X41" s="70" t="n">
        <f aca="false">-X40*Assumptions!$F$80</f>
        <v>-289751.748402586</v>
      </c>
      <c r="Y41" s="70" t="n">
        <f aca="false">-Y40*Assumptions!$F$80</f>
        <v>-307047.249535275</v>
      </c>
      <c r="Z41" s="70" t="n">
        <f aca="false">-Z40*Assumptions!$F$80</f>
        <v>-324278.435137737</v>
      </c>
      <c r="AA41" s="70" t="n">
        <f aca="false">-AA40*Assumptions!$F$80</f>
        <v>-340044.808055169</v>
      </c>
      <c r="AB41" s="70" t="n">
        <f aca="false">-AB40*Assumptions!$F$80</f>
        <v>-354911.73180743</v>
      </c>
      <c r="AC41" s="70" t="n">
        <f aca="false">-AC40*Assumptions!$F$80</f>
        <v>-369121.824764704</v>
      </c>
      <c r="AD41" s="70" t="n">
        <f aca="false">-AD40*Assumptions!$F$80</f>
        <v>-382763.650504372</v>
      </c>
      <c r="AE41" s="70" t="n">
        <f aca="false">-AE40*Assumptions!$F$80</f>
        <v>-395902.860943131</v>
      </c>
      <c r="AF41" s="70" t="n">
        <f aca="false">-AF40*Assumptions!$F$80</f>
        <v>-408601.426582935</v>
      </c>
      <c r="AG41" s="70" t="n">
        <f aca="false">-AG40*Assumptions!$F$80</f>
        <v>-420920.936010614</v>
      </c>
      <c r="AH41" s="70" t="n">
        <f aca="false">-AH40*Assumptions!$F$80</f>
        <v>-432923.511594601</v>
      </c>
      <c r="AI41" s="70" t="n">
        <f aca="false">-AI40*Assumptions!$F$80</f>
        <v>-444672.385661783</v>
      </c>
      <c r="AJ41" s="70" t="n">
        <f aca="false">-AJ40*Assumptions!$F$80</f>
        <v>-456232.450126516</v>
      </c>
      <c r="AK41" s="70" t="n">
        <f aca="false">-AK40*Assumptions!$F$80</f>
        <v>-467670.832228764</v>
      </c>
      <c r="AL41" s="70" t="n">
        <f aca="false">-AL40*Assumptions!$F$80</f>
        <v>-479057.510221083</v>
      </c>
      <c r="AM41" s="70" t="n">
        <f aca="false">SUM(C41:AL41)</f>
        <v>-8705076.66025846</v>
      </c>
    </row>
    <row r="42" customFormat="false" ht="15" hidden="false" customHeight="false" outlineLevel="0" collapsed="false">
      <c r="A42" s="37" t="s">
        <v>777</v>
      </c>
      <c r="B42" s="9" t="s">
        <v>97</v>
      </c>
      <c r="C42" s="53" t="n">
        <f aca="false">C40+C41</f>
        <v>0</v>
      </c>
      <c r="D42" s="53" t="n">
        <f aca="false">D40+D41</f>
        <v>1290960</v>
      </c>
      <c r="E42" s="53" t="n">
        <f aca="false">E40+E41</f>
        <v>1725235.50584648</v>
      </c>
      <c r="F42" s="53" t="n">
        <f aca="false">F40+F41</f>
        <v>2197849.00594508</v>
      </c>
      <c r="G42" s="53" t="n">
        <f aca="false">G40+G41</f>
        <v>2677203.72088005</v>
      </c>
      <c r="H42" s="53" t="n">
        <f aca="false">H40+H41</f>
        <v>3180486.35140508</v>
      </c>
      <c r="I42" s="53" t="n">
        <f aca="false">I40+I41</f>
        <v>3687480.67457554</v>
      </c>
      <c r="J42" s="53" t="n">
        <f aca="false">J40+J41</f>
        <v>4199460.43006682</v>
      </c>
      <c r="K42" s="53" t="n">
        <f aca="false">K40+K41</f>
        <v>4718848.42221096</v>
      </c>
      <c r="L42" s="53" t="n">
        <f aca="false">L40+L41</f>
        <v>5247544.07887667</v>
      </c>
      <c r="M42" s="53" t="n">
        <f aca="false">M40+M41</f>
        <v>5787319.23792838</v>
      </c>
      <c r="N42" s="53" t="n">
        <f aca="false">N40+N41</f>
        <v>6339879.72170407</v>
      </c>
      <c r="O42" s="53" t="n">
        <f aca="false">O40+O41</f>
        <v>6906889.030129</v>
      </c>
      <c r="P42" s="53" t="n">
        <f aca="false">P40+P41</f>
        <v>7489982.26735215</v>
      </c>
      <c r="Q42" s="53" t="n">
        <f aca="false">Q40+Q41</f>
        <v>8090778.4903033</v>
      </c>
      <c r="R42" s="53" t="n">
        <f aca="false">R40+R41</f>
        <v>8710893.12134315</v>
      </c>
      <c r="S42" s="53" t="n">
        <f aca="false">S40+S41</f>
        <v>9351950.65810783</v>
      </c>
      <c r="T42" s="53" t="n">
        <f aca="false">T40+T41</f>
        <v>10015597.6469826</v>
      </c>
      <c r="U42" s="53" t="n">
        <f aca="false">U40+U41</f>
        <v>10700662.5481256</v>
      </c>
      <c r="V42" s="53" t="n">
        <f aca="false">V40+V41</f>
        <v>11406467.3602484</v>
      </c>
      <c r="W42" s="53" t="n">
        <f aca="false">W40+W41</f>
        <v>12133122.7330035</v>
      </c>
      <c r="X42" s="53" t="n">
        <f aca="false">X40+X41</f>
        <v>12880782.2698968</v>
      </c>
      <c r="Y42" s="53" t="n">
        <f aca="false">Y40+Y41</f>
        <v>13649645.9111591</v>
      </c>
      <c r="Z42" s="53" t="n">
        <f aca="false">Z40+Z41</f>
        <v>14415650.4347594</v>
      </c>
      <c r="AA42" s="53" t="n">
        <f aca="false">AA40+AA41</f>
        <v>15116537.3762707</v>
      </c>
      <c r="AB42" s="53" t="n">
        <f aca="false">AB40+AB41</f>
        <v>15777439.7139849</v>
      </c>
      <c r="AC42" s="53" t="n">
        <f aca="false">AC40+AC41</f>
        <v>16409142.9372673</v>
      </c>
      <c r="AD42" s="53" t="n">
        <f aca="false">AD40+AD41</f>
        <v>17015584.0996944</v>
      </c>
      <c r="AE42" s="53" t="n">
        <f aca="false">AE40+AE41</f>
        <v>17599681.727381</v>
      </c>
      <c r="AF42" s="53" t="n">
        <f aca="false">AF40+AF41</f>
        <v>18164190.6908232</v>
      </c>
      <c r="AG42" s="53" t="n">
        <f aca="false">AG40+AG41</f>
        <v>18711848.8826537</v>
      </c>
      <c r="AH42" s="53" t="n">
        <f aca="false">AH40+AH41</f>
        <v>19245417.9245236</v>
      </c>
      <c r="AI42" s="53" t="n">
        <f aca="false">AI40+AI41</f>
        <v>19767708.7807829</v>
      </c>
      <c r="AJ42" s="53" t="n">
        <f aca="false">AJ40+AJ41</f>
        <v>20281606.1919878</v>
      </c>
      <c r="AK42" s="53" t="n">
        <f aca="false">AK40+AK41</f>
        <v>20790094.2690787</v>
      </c>
      <c r="AL42" s="53" t="n">
        <f aca="false">AL40+AL41</f>
        <v>21296283.8634645</v>
      </c>
      <c r="AM42" s="53" t="n">
        <f aca="false">SUM(C42:AL42)</f>
        <v>386980226.078763</v>
      </c>
    </row>
    <row r="43" customFormat="false" ht="15" hidden="false" customHeight="false" outlineLevel="0" collapsed="false">
      <c r="A43" s="10" t="s">
        <v>778</v>
      </c>
      <c r="B43" s="9" t="s">
        <v>97</v>
      </c>
      <c r="C43" s="70" t="n">
        <f aca="false">-C40*Assumptions!$F$55</f>
        <v>-0</v>
      </c>
      <c r="D43" s="70" t="n">
        <f aca="false">-D40*Assumptions!$F$55</f>
        <v>-422400</v>
      </c>
      <c r="E43" s="70" t="n">
        <f aca="false">-E40*Assumptions!$F$55</f>
        <v>-564494.235041792</v>
      </c>
      <c r="F43" s="70" t="n">
        <f aca="false">-F40*Assumptions!$F$55</f>
        <v>-719132.599082235</v>
      </c>
      <c r="G43" s="70" t="n">
        <f aca="false">-G40*Assumptions!$F$55</f>
        <v>-875976.677588564</v>
      </c>
      <c r="H43" s="70" t="n">
        <f aca="false">-H40*Assumptions!$F$55</f>
        <v>-1040649.93093009</v>
      </c>
      <c r="I43" s="70" t="n">
        <f aca="false">-I40*Assumptions!$F$55</f>
        <v>-1206537.6440329</v>
      </c>
      <c r="J43" s="70" t="n">
        <f aca="false">-J40*Assumptions!$F$55</f>
        <v>-1374056.58243495</v>
      </c>
      <c r="K43" s="70" t="n">
        <f aca="false">-K40*Assumptions!$F$55</f>
        <v>-1543999.48375001</v>
      </c>
      <c r="L43" s="70" t="n">
        <f aca="false">-L40*Assumptions!$F$55</f>
        <v>-1716987.83766926</v>
      </c>
      <c r="M43" s="70" t="n">
        <f aca="false">-M40*Assumptions!$F$55</f>
        <v>-1893601.38664323</v>
      </c>
      <c r="N43" s="70" t="n">
        <f aca="false">-N40*Assumptions!$F$55</f>
        <v>-2074398.27295021</v>
      </c>
      <c r="O43" s="70" t="n">
        <f aca="false">-O40*Assumptions!$F$55</f>
        <v>-2259922.79104425</v>
      </c>
      <c r="P43" s="70" t="n">
        <f aca="false">-P40*Assumptions!$F$55</f>
        <v>-2450709.9443279</v>
      </c>
      <c r="Q43" s="70" t="n">
        <f aca="false">-Q40*Assumptions!$F$55</f>
        <v>-2647289.48557981</v>
      </c>
      <c r="R43" s="70" t="n">
        <f aca="false">-R40*Assumptions!$F$55</f>
        <v>-2850189.97835359</v>
      </c>
      <c r="S43" s="70" t="n">
        <f aca="false">-S40*Assumptions!$F$55</f>
        <v>-3059942.9556181</v>
      </c>
      <c r="T43" s="70" t="n">
        <f aca="false">-T40*Assumptions!$F$55</f>
        <v>-3277087.16465689</v>
      </c>
      <c r="U43" s="70" t="n">
        <f aca="false">-U40*Assumptions!$F$55</f>
        <v>-3501239.27955031</v>
      </c>
      <c r="V43" s="70" t="n">
        <f aca="false">-V40*Assumptions!$F$55</f>
        <v>-3732177.45938597</v>
      </c>
      <c r="W43" s="70" t="n">
        <f aca="false">-W40*Assumptions!$F$55</f>
        <v>-3969937.90854919</v>
      </c>
      <c r="X43" s="70" t="n">
        <f aca="false">-X40*Assumptions!$F$55</f>
        <v>-4214570.88585579</v>
      </c>
      <c r="Y43" s="70" t="n">
        <f aca="false">-Y40*Assumptions!$F$55</f>
        <v>-4466141.81142219</v>
      </c>
      <c r="Z43" s="70" t="n">
        <f aca="false">-Z40*Assumptions!$F$55</f>
        <v>-4716777.23836708</v>
      </c>
      <c r="AA43" s="70" t="n">
        <f aca="false">-AA40*Assumptions!$F$55</f>
        <v>-4946106.29898427</v>
      </c>
      <c r="AB43" s="70" t="n">
        <f aca="false">-AB40*Assumptions!$F$55</f>
        <v>-5162352.46265353</v>
      </c>
      <c r="AC43" s="70" t="n">
        <f aca="false">-AC40*Assumptions!$F$55</f>
        <v>-5369044.72385024</v>
      </c>
      <c r="AD43" s="70" t="n">
        <f aca="false">-AD40*Assumptions!$F$55</f>
        <v>-5567471.2800636</v>
      </c>
      <c r="AE43" s="70" t="n">
        <f aca="false">-AE40*Assumptions!$F$55</f>
        <v>-5758587.06826372</v>
      </c>
      <c r="AF43" s="70" t="n">
        <f aca="false">-AF40*Assumptions!$F$55</f>
        <v>-5943293.47756996</v>
      </c>
      <c r="AG43" s="70" t="n">
        <f aca="false">-AG40*Assumptions!$F$55</f>
        <v>-6122486.34197257</v>
      </c>
      <c r="AH43" s="70" t="n">
        <f aca="false">-AH40*Assumptions!$F$55</f>
        <v>-6297069.25955783</v>
      </c>
      <c r="AI43" s="70" t="n">
        <f aca="false">-AI40*Assumptions!$F$55</f>
        <v>-6467961.9732623</v>
      </c>
      <c r="AJ43" s="70" t="n">
        <f aca="false">-AJ40*Assumptions!$F$55</f>
        <v>-6636108.36547659</v>
      </c>
      <c r="AK43" s="70" t="n">
        <f aca="false">-AK40*Assumptions!$F$55</f>
        <v>-6802484.83241839</v>
      </c>
      <c r="AL43" s="70" t="n">
        <f aca="false">-AL40*Assumptions!$F$55</f>
        <v>-6968109.23957939</v>
      </c>
      <c r="AM43" s="70" t="n">
        <f aca="false">SUM(C43:AL43)</f>
        <v>-126619296.876487</v>
      </c>
    </row>
    <row r="44" customFormat="false" ht="15" hidden="false" customHeight="false" outlineLevel="0" collapsed="false">
      <c r="A44" s="10" t="s">
        <v>779</v>
      </c>
      <c r="B44" s="9" t="s">
        <v>97</v>
      </c>
      <c r="C44" s="70" t="n">
        <f aca="false">-C39*Assumptions!$F$56</f>
        <v>-0</v>
      </c>
      <c r="D44" s="70" t="n">
        <f aca="false">-D39*Assumptions!$F$56</f>
        <v>-0</v>
      </c>
      <c r="E44" s="70" t="n">
        <f aca="false">-E39*Assumptions!$F$56</f>
        <v>-0</v>
      </c>
      <c r="F44" s="70" t="n">
        <f aca="false">-F39*Assumptions!$F$56</f>
        <v>-0</v>
      </c>
      <c r="G44" s="70" t="n">
        <f aca="false">-G39*Assumptions!$F$56</f>
        <v>-0</v>
      </c>
      <c r="H44" s="70" t="n">
        <f aca="false">-H39*Assumptions!$F$56</f>
        <v>-0</v>
      </c>
      <c r="I44" s="70" t="n">
        <f aca="false">-I39*Assumptions!$F$56</f>
        <v>-0</v>
      </c>
      <c r="J44" s="70" t="n">
        <f aca="false">-J39*Assumptions!$F$56</f>
        <v>-0</v>
      </c>
      <c r="K44" s="70" t="n">
        <f aca="false">-K39*Assumptions!$F$56</f>
        <v>-0</v>
      </c>
      <c r="L44" s="70" t="n">
        <f aca="false">-L39*Assumptions!$F$56</f>
        <v>-0</v>
      </c>
      <c r="M44" s="70" t="n">
        <f aca="false">-M39*Assumptions!$F$56</f>
        <v>-0</v>
      </c>
      <c r="N44" s="70" t="n">
        <f aca="false">-N39*Assumptions!$F$56</f>
        <v>-0</v>
      </c>
      <c r="O44" s="70" t="n">
        <f aca="false">-O39*Assumptions!$F$56</f>
        <v>-0</v>
      </c>
      <c r="P44" s="70" t="n">
        <f aca="false">-P39*Assumptions!$F$56</f>
        <v>-0</v>
      </c>
      <c r="Q44" s="70" t="n">
        <f aca="false">-Q39*Assumptions!$F$56</f>
        <v>-0</v>
      </c>
      <c r="R44" s="70" t="n">
        <f aca="false">-R39*Assumptions!$F$56</f>
        <v>-0</v>
      </c>
      <c r="S44" s="70" t="n">
        <f aca="false">-S39*Assumptions!$F$56</f>
        <v>-0</v>
      </c>
      <c r="T44" s="70" t="n">
        <f aca="false">-T39*Assumptions!$F$56</f>
        <v>-0</v>
      </c>
      <c r="U44" s="70" t="n">
        <f aca="false">-U39*Assumptions!$F$56</f>
        <v>-0</v>
      </c>
      <c r="V44" s="70" t="n">
        <f aca="false">-V39*Assumptions!$F$56</f>
        <v>-0</v>
      </c>
      <c r="W44" s="70" t="n">
        <f aca="false">-W39*Assumptions!$F$56</f>
        <v>-0</v>
      </c>
      <c r="X44" s="70" t="n">
        <f aca="false">-X39*Assumptions!$F$56</f>
        <v>-0</v>
      </c>
      <c r="Y44" s="70" t="n">
        <f aca="false">-Y39*Assumptions!$F$56</f>
        <v>-0</v>
      </c>
      <c r="Z44" s="70" t="n">
        <f aca="false">-Z39*Assumptions!$F$56</f>
        <v>-0</v>
      </c>
      <c r="AA44" s="70" t="n">
        <f aca="false">-AA39*Assumptions!$F$56</f>
        <v>-0</v>
      </c>
      <c r="AB44" s="70" t="n">
        <f aca="false">-AB39*Assumptions!$F$56</f>
        <v>-0</v>
      </c>
      <c r="AC44" s="70" t="n">
        <f aca="false">-AC39*Assumptions!$F$56</f>
        <v>-0</v>
      </c>
      <c r="AD44" s="70" t="n">
        <f aca="false">-AD39*Assumptions!$F$56</f>
        <v>-0</v>
      </c>
      <c r="AE44" s="70" t="n">
        <f aca="false">-AE39*Assumptions!$F$56</f>
        <v>-0</v>
      </c>
      <c r="AF44" s="70" t="n">
        <f aca="false">-AF39*Assumptions!$F$56</f>
        <v>-0</v>
      </c>
      <c r="AG44" s="70" t="n">
        <f aca="false">-AG39*Assumptions!$F$56</f>
        <v>-0</v>
      </c>
      <c r="AH44" s="70" t="n">
        <f aca="false">-AH39*Assumptions!$F$56</f>
        <v>-0</v>
      </c>
      <c r="AI44" s="70" t="n">
        <f aca="false">-AI39*Assumptions!$F$56</f>
        <v>-0</v>
      </c>
      <c r="AJ44" s="70" t="n">
        <f aca="false">-AJ39*Assumptions!$F$56</f>
        <v>-0</v>
      </c>
      <c r="AK44" s="70" t="n">
        <f aca="false">-AK39*Assumptions!$F$56</f>
        <v>-0</v>
      </c>
      <c r="AL44" s="70" t="n">
        <f aca="false">-AL39*Assumptions!$F$56</f>
        <v>-0</v>
      </c>
      <c r="AM44" s="70" t="n">
        <f aca="false">SUM(C44:AL44)</f>
        <v>0</v>
      </c>
    </row>
    <row r="45" customFormat="false" ht="15" hidden="false" customHeight="false" outlineLevel="0" collapsed="false">
      <c r="A45" s="10" t="s">
        <v>780</v>
      </c>
      <c r="B45" s="9" t="s">
        <v>97</v>
      </c>
      <c r="C45" s="70" t="n">
        <f aca="false">-C42*Assumptions!$F$79</f>
        <v>-0</v>
      </c>
      <c r="D45" s="70" t="n">
        <f aca="false">-D42*Assumptions!$F$79</f>
        <v>-34855.92</v>
      </c>
      <c r="E45" s="70" t="n">
        <f aca="false">-E42*Assumptions!$F$79</f>
        <v>-46581.3586578549</v>
      </c>
      <c r="F45" s="70" t="n">
        <f aca="false">-F42*Assumptions!$F$79</f>
        <v>-59341.9231605172</v>
      </c>
      <c r="G45" s="70" t="n">
        <f aca="false">-G42*Assumptions!$F$79</f>
        <v>-72284.5004637613</v>
      </c>
      <c r="H45" s="70" t="n">
        <f aca="false">-H42*Assumptions!$F$79</f>
        <v>-85873.1314879371</v>
      </c>
      <c r="I45" s="70" t="n">
        <f aca="false">-I42*Assumptions!$F$79</f>
        <v>-99561.9782135395</v>
      </c>
      <c r="J45" s="70" t="n">
        <f aca="false">-J42*Assumptions!$F$79</f>
        <v>-113385.431611804</v>
      </c>
      <c r="K45" s="70" t="n">
        <f aca="false">-K42*Assumptions!$F$79</f>
        <v>-127408.907399696</v>
      </c>
      <c r="L45" s="70" t="n">
        <f aca="false">-L42*Assumptions!$F$79</f>
        <v>-141683.69012967</v>
      </c>
      <c r="M45" s="70" t="n">
        <f aca="false">-M42*Assumptions!$F$79</f>
        <v>-156257.619424066</v>
      </c>
      <c r="N45" s="70" t="n">
        <f aca="false">-N42*Assumptions!$F$79</f>
        <v>-171176.75248601</v>
      </c>
      <c r="O45" s="70" t="n">
        <f aca="false">-O42*Assumptions!$F$79</f>
        <v>-186486.003813483</v>
      </c>
      <c r="P45" s="70" t="n">
        <f aca="false">-P42*Assumptions!$F$79</f>
        <v>-202229.521218508</v>
      </c>
      <c r="Q45" s="70" t="n">
        <f aca="false">-Q42*Assumptions!$F$79</f>
        <v>-218451.019238189</v>
      </c>
      <c r="R45" s="70" t="n">
        <f aca="false">-R42*Assumptions!$F$79</f>
        <v>-235194.114276265</v>
      </c>
      <c r="S45" s="70" t="n">
        <f aca="false">-S42*Assumptions!$F$79</f>
        <v>-252502.667768911</v>
      </c>
      <c r="T45" s="70" t="n">
        <f aca="false">-T42*Assumptions!$F$79</f>
        <v>-270421.136468531</v>
      </c>
      <c r="U45" s="70" t="n">
        <f aca="false">-U42*Assumptions!$F$79</f>
        <v>-288917.888799392</v>
      </c>
      <c r="V45" s="70" t="n">
        <f aca="false">-V42*Assumptions!$F$79</f>
        <v>-307974.618726706</v>
      </c>
      <c r="W45" s="70" t="n">
        <f aca="false">-W42*Assumptions!$F$79</f>
        <v>-327594.313791093</v>
      </c>
      <c r="X45" s="70" t="n">
        <f aca="false">-X42*Assumptions!$F$79</f>
        <v>-347781.121287213</v>
      </c>
      <c r="Y45" s="70" t="n">
        <f aca="false">-Y42*Assumptions!$F$79</f>
        <v>-368540.439601295</v>
      </c>
      <c r="Z45" s="70" t="n">
        <f aca="false">-Z42*Assumptions!$F$79</f>
        <v>-389222.561738503</v>
      </c>
      <c r="AA45" s="70" t="n">
        <f aca="false">-AA42*Assumptions!$F$79</f>
        <v>-408146.509159309</v>
      </c>
      <c r="AB45" s="70" t="n">
        <f aca="false">-AB42*Assumptions!$F$79</f>
        <v>-425990.872277591</v>
      </c>
      <c r="AC45" s="70" t="n">
        <f aca="false">-AC42*Assumptions!$F$79</f>
        <v>-443046.859306217</v>
      </c>
      <c r="AD45" s="70" t="n">
        <f aca="false">-AD42*Assumptions!$F$79</f>
        <v>-459420.770691748</v>
      </c>
      <c r="AE45" s="70" t="n">
        <f aca="false">-AE42*Assumptions!$F$79</f>
        <v>-475191.406639287</v>
      </c>
      <c r="AF45" s="70" t="n">
        <f aca="false">-AF42*Assumptions!$F$79</f>
        <v>-490433.148652226</v>
      </c>
      <c r="AG45" s="70" t="n">
        <f aca="false">-AG42*Assumptions!$F$79</f>
        <v>-505219.919831649</v>
      </c>
      <c r="AH45" s="70" t="n">
        <f aca="false">-AH42*Assumptions!$F$79</f>
        <v>-519626.283962138</v>
      </c>
      <c r="AI45" s="70" t="n">
        <f aca="false">-AI42*Assumptions!$F$79</f>
        <v>-533728.137081138</v>
      </c>
      <c r="AJ45" s="70" t="n">
        <f aca="false">-AJ42*Assumptions!$F$79</f>
        <v>-547603.367183672</v>
      </c>
      <c r="AK45" s="70" t="n">
        <f aca="false">-AK42*Assumptions!$F$79</f>
        <v>-561332.545265125</v>
      </c>
      <c r="AL45" s="70" t="n">
        <f aca="false">-AL42*Assumptions!$F$79</f>
        <v>-574999.664313542</v>
      </c>
      <c r="AM45" s="70" t="n">
        <f aca="false">SUM(C45:AL45)</f>
        <v>-10448466.1041266</v>
      </c>
    </row>
    <row r="46" customFormat="false" ht="15" hidden="false" customHeight="false" outlineLevel="0" collapsed="false">
      <c r="A46" s="37" t="s">
        <v>781</v>
      </c>
      <c r="B46" s="9" t="s">
        <v>97</v>
      </c>
      <c r="C46" s="53" t="n">
        <f aca="false">C42+C43+C44+C45</f>
        <v>0</v>
      </c>
      <c r="D46" s="53" t="n">
        <f aca="false">D42+D43+D44+D45</f>
        <v>833704.08</v>
      </c>
      <c r="E46" s="53" t="n">
        <f aca="false">E42+E43+E44+E45</f>
        <v>1114159.91214683</v>
      </c>
      <c r="F46" s="53" t="n">
        <f aca="false">F42+F43+F44+F45</f>
        <v>1419374.48370233</v>
      </c>
      <c r="G46" s="53" t="n">
        <f aca="false">G42+G43+G44+G45</f>
        <v>1728942.54282772</v>
      </c>
      <c r="H46" s="53" t="n">
        <f aca="false">H42+H43+H44+H45</f>
        <v>2053963.28898705</v>
      </c>
      <c r="I46" s="53" t="n">
        <f aca="false">I42+I43+I44+I45</f>
        <v>2381381.0523291</v>
      </c>
      <c r="J46" s="53" t="n">
        <f aca="false">J42+J43+J44+J45</f>
        <v>2712018.41602006</v>
      </c>
      <c r="K46" s="53" t="n">
        <f aca="false">K42+K43+K44+K45</f>
        <v>3047440.03106126</v>
      </c>
      <c r="L46" s="53" t="n">
        <f aca="false">L42+L43+L44+L45</f>
        <v>3388872.55107774</v>
      </c>
      <c r="M46" s="53" t="n">
        <f aca="false">M42+M43+M44+M45</f>
        <v>3737460.23186108</v>
      </c>
      <c r="N46" s="53" t="n">
        <f aca="false">N42+N43+N44+N45</f>
        <v>4094304.69626785</v>
      </c>
      <c r="O46" s="53" t="n">
        <f aca="false">O42+O43+O44+O45</f>
        <v>4460480.23527127</v>
      </c>
      <c r="P46" s="53" t="n">
        <f aca="false">P42+P43+P44+P45</f>
        <v>4837042.80180574</v>
      </c>
      <c r="Q46" s="53" t="n">
        <f aca="false">Q42+Q43+Q44+Q45</f>
        <v>5225037.9854853</v>
      </c>
      <c r="R46" s="53" t="n">
        <f aca="false">R42+R43+R44+R45</f>
        <v>5625509.02871329</v>
      </c>
      <c r="S46" s="53" t="n">
        <f aca="false">S42+S43+S44+S45</f>
        <v>6039505.03472082</v>
      </c>
      <c r="T46" s="53" t="n">
        <f aca="false">T42+T43+T44+T45</f>
        <v>6468089.3458572</v>
      </c>
      <c r="U46" s="53" t="n">
        <f aca="false">U42+U43+U44+U45</f>
        <v>6910505.37977593</v>
      </c>
      <c r="V46" s="53" t="n">
        <f aca="false">V42+V43+V44+V45</f>
        <v>7366315.2821357</v>
      </c>
      <c r="W46" s="53" t="n">
        <f aca="false">W42+W43+W44+W45</f>
        <v>7835590.51066317</v>
      </c>
      <c r="X46" s="53" t="n">
        <f aca="false">X42+X43+X44+X45</f>
        <v>8318430.26275376</v>
      </c>
      <c r="Y46" s="53" t="n">
        <f aca="false">Y42+Y43+Y44+Y45</f>
        <v>8814963.66013558</v>
      </c>
      <c r="Z46" s="53" t="n">
        <f aca="false">Z42+Z43+Z44+Z45</f>
        <v>9309650.6346538</v>
      </c>
      <c r="AA46" s="53" t="n">
        <f aca="false">AA42+AA43+AA44+AA45</f>
        <v>9762284.56812711</v>
      </c>
      <c r="AB46" s="53" t="n">
        <f aca="false">AB42+AB43+AB44+AB45</f>
        <v>10189096.3790537</v>
      </c>
      <c r="AC46" s="53" t="n">
        <f aca="false">AC42+AC43+AC44+AC45</f>
        <v>10597051.3541108</v>
      </c>
      <c r="AD46" s="53" t="n">
        <f aca="false">AD42+AD43+AD44+AD45</f>
        <v>10988692.048939</v>
      </c>
      <c r="AE46" s="53" t="n">
        <f aca="false">AE42+AE43+AE44+AE45</f>
        <v>11365903.252478</v>
      </c>
      <c r="AF46" s="53" t="n">
        <f aca="false">AF42+AF43+AF44+AF45</f>
        <v>11730464.064601</v>
      </c>
      <c r="AG46" s="53" t="n">
        <f aca="false">AG42+AG43+AG44+AG45</f>
        <v>12084142.6208495</v>
      </c>
      <c r="AH46" s="53" t="n">
        <f aca="false">AH42+AH43+AH44+AH45</f>
        <v>12428722.3810037</v>
      </c>
      <c r="AI46" s="53" t="n">
        <f aca="false">AI42+AI43+AI44+AI45</f>
        <v>12766018.6704395</v>
      </c>
      <c r="AJ46" s="53" t="n">
        <f aca="false">AJ42+AJ43+AJ44+AJ45</f>
        <v>13097894.4593276</v>
      </c>
      <c r="AK46" s="53" t="n">
        <f aca="false">AK42+AK43+AK44+AK45</f>
        <v>13426276.8913952</v>
      </c>
      <c r="AL46" s="53" t="n">
        <f aca="false">AL42+AL43+AL44+AL45</f>
        <v>13753174.9595716</v>
      </c>
      <c r="AM46" s="53" t="n">
        <f aca="false">SUM(C46:AL46)</f>
        <v>249912463.098149</v>
      </c>
    </row>
    <row r="47" customFormat="false" ht="15" hidden="false" customHeight="false" outlineLevel="0" collapsed="false">
      <c r="A47" s="10" t="s">
        <v>782</v>
      </c>
      <c r="B47" s="9" t="s">
        <v>61</v>
      </c>
      <c r="C47" s="62" t="n">
        <f aca="false">IFERROR(C46/C42,0)</f>
        <v>0</v>
      </c>
      <c r="D47" s="62" t="n">
        <f aca="false">IFERROR(D46/D42,0)</f>
        <v>0.64580163599182</v>
      </c>
      <c r="E47" s="62" t="n">
        <f aca="false">IFERROR(E46/E42,0)</f>
        <v>0.64580163599182</v>
      </c>
      <c r="F47" s="62" t="n">
        <f aca="false">IFERROR(F46/F42,0)</f>
        <v>0.64580163599182</v>
      </c>
      <c r="G47" s="62" t="n">
        <f aca="false">IFERROR(G46/G42,0)</f>
        <v>0.64580163599182</v>
      </c>
      <c r="H47" s="62" t="n">
        <f aca="false">IFERROR(H46/H42,0)</f>
        <v>0.64580163599182</v>
      </c>
      <c r="I47" s="62" t="n">
        <f aca="false">IFERROR(I46/I42,0)</f>
        <v>0.64580163599182</v>
      </c>
      <c r="J47" s="62" t="n">
        <f aca="false">IFERROR(J46/J42,0)</f>
        <v>0.64580163599182</v>
      </c>
      <c r="K47" s="62" t="n">
        <f aca="false">IFERROR(K46/K42,0)</f>
        <v>0.64580163599182</v>
      </c>
      <c r="L47" s="62" t="n">
        <f aca="false">IFERROR(L46/L42,0)</f>
        <v>0.64580163599182</v>
      </c>
      <c r="M47" s="62" t="n">
        <f aca="false">IFERROR(M46/M42,0)</f>
        <v>0.64580163599182</v>
      </c>
      <c r="N47" s="62" t="n">
        <f aca="false">IFERROR(N46/N42,0)</f>
        <v>0.64580163599182</v>
      </c>
      <c r="O47" s="62" t="n">
        <f aca="false">IFERROR(O46/O42,0)</f>
        <v>0.64580163599182</v>
      </c>
      <c r="P47" s="62" t="n">
        <f aca="false">IFERROR(P46/P42,0)</f>
        <v>0.64580163599182</v>
      </c>
      <c r="Q47" s="62" t="n">
        <f aca="false">IFERROR(Q46/Q42,0)</f>
        <v>0.64580163599182</v>
      </c>
      <c r="R47" s="62" t="n">
        <f aca="false">IFERROR(R46/R42,0)</f>
        <v>0.64580163599182</v>
      </c>
      <c r="S47" s="62" t="n">
        <f aca="false">IFERROR(S46/S42,0)</f>
        <v>0.64580163599182</v>
      </c>
      <c r="T47" s="62" t="n">
        <f aca="false">IFERROR(T46/T42,0)</f>
        <v>0.64580163599182</v>
      </c>
      <c r="U47" s="62" t="n">
        <f aca="false">IFERROR(U46/U42,0)</f>
        <v>0.64580163599182</v>
      </c>
      <c r="V47" s="62" t="n">
        <f aca="false">IFERROR(V46/V42,0)</f>
        <v>0.64580163599182</v>
      </c>
      <c r="W47" s="62" t="n">
        <f aca="false">IFERROR(W46/W42,0)</f>
        <v>0.64580163599182</v>
      </c>
      <c r="X47" s="62" t="n">
        <f aca="false">IFERROR(X46/X42,0)</f>
        <v>0.64580163599182</v>
      </c>
      <c r="Y47" s="62" t="n">
        <f aca="false">IFERROR(Y46/Y42,0)</f>
        <v>0.64580163599182</v>
      </c>
      <c r="Z47" s="62" t="n">
        <f aca="false">IFERROR(Z46/Z42,0)</f>
        <v>0.64580163599182</v>
      </c>
      <c r="AA47" s="62" t="n">
        <f aca="false">IFERROR(AA46/AA42,0)</f>
        <v>0.64580163599182</v>
      </c>
      <c r="AB47" s="62" t="n">
        <f aca="false">IFERROR(AB46/AB42,0)</f>
        <v>0.64580163599182</v>
      </c>
      <c r="AC47" s="62" t="n">
        <f aca="false">IFERROR(AC46/AC42,0)</f>
        <v>0.64580163599182</v>
      </c>
      <c r="AD47" s="62" t="n">
        <f aca="false">IFERROR(AD46/AD42,0)</f>
        <v>0.64580163599182</v>
      </c>
      <c r="AE47" s="62" t="n">
        <f aca="false">IFERROR(AE46/AE42,0)</f>
        <v>0.64580163599182</v>
      </c>
      <c r="AF47" s="62" t="n">
        <f aca="false">IFERROR(AF46/AF42,0)</f>
        <v>0.64580163599182</v>
      </c>
      <c r="AG47" s="62" t="n">
        <f aca="false">IFERROR(AG46/AG42,0)</f>
        <v>0.64580163599182</v>
      </c>
      <c r="AH47" s="62" t="n">
        <f aca="false">IFERROR(AH46/AH42,0)</f>
        <v>0.64580163599182</v>
      </c>
      <c r="AI47" s="62" t="n">
        <f aca="false">IFERROR(AI46/AI42,0)</f>
        <v>0.64580163599182</v>
      </c>
      <c r="AJ47" s="62" t="n">
        <f aca="false">IFERROR(AJ46/AJ42,0)</f>
        <v>0.64580163599182</v>
      </c>
      <c r="AK47" s="62" t="n">
        <f aca="false">IFERROR(AK46/AK42,0)</f>
        <v>0.64580163599182</v>
      </c>
      <c r="AL47" s="62" t="n">
        <f aca="false">IFERROR(AL46/AL42,0)</f>
        <v>0.64580163599182</v>
      </c>
      <c r="AM47" s="62" t="n">
        <f aca="false">AVERAGE(N47:AL47)</f>
        <v>0.64580163599182</v>
      </c>
    </row>
    <row r="48" customFormat="false" ht="15" hidden="false" customHeight="false" outlineLevel="0" collapsed="false">
      <c r="A48" s="10" t="s">
        <v>783</v>
      </c>
      <c r="B48" s="9" t="s">
        <v>61</v>
      </c>
      <c r="C48" s="62" t="n">
        <f aca="false">IF(C9=0,0,MIN(Assumptions!$F$63,Assumptions!$F$61+Assumptions!$F$62*(C$5-Assumptions!$F$7)))</f>
        <v>0</v>
      </c>
      <c r="D48" s="62" t="n">
        <f aca="false">IF(D9=0,0,MIN(Assumptions!$F$63,Assumptions!$F$61+Assumptions!$F$62*(D$5-Assumptions!$F$7)))</f>
        <v>0</v>
      </c>
      <c r="E48" s="62" t="n">
        <f aca="false">IF(E9=0,0,MIN(Assumptions!$F$63,Assumptions!$F$61+Assumptions!$F$62*(E$5-Assumptions!$F$7)))</f>
        <v>0</v>
      </c>
      <c r="F48" s="62" t="n">
        <f aca="false">IF(F9=0,0,MIN(Assumptions!$F$63,Assumptions!$F$61+Assumptions!$F$62*(F$5-Assumptions!$F$7)))</f>
        <v>0</v>
      </c>
      <c r="G48" s="62" t="n">
        <f aca="false">IF(G9=0,0,MIN(Assumptions!$F$63,Assumptions!$F$61+Assumptions!$F$62*(G$5-Assumptions!$F$7)))</f>
        <v>0.45</v>
      </c>
      <c r="H48" s="62" t="n">
        <f aca="false">IF(H9=0,0,MIN(Assumptions!$F$63,Assumptions!$F$61+Assumptions!$F$62*(H$5-Assumptions!$F$7)))</f>
        <v>0.485</v>
      </c>
      <c r="I48" s="62" t="n">
        <f aca="false">IF(I9=0,0,MIN(Assumptions!$F$63,Assumptions!$F$61+Assumptions!$F$62*(I$5-Assumptions!$F$7)))</f>
        <v>0.52</v>
      </c>
      <c r="J48" s="62" t="n">
        <f aca="false">IF(J9=0,0,MIN(Assumptions!$F$63,Assumptions!$F$61+Assumptions!$F$62*(J$5-Assumptions!$F$7)))</f>
        <v>0.555</v>
      </c>
      <c r="K48" s="62" t="n">
        <f aca="false">IF(K9=0,0,MIN(Assumptions!$F$63,Assumptions!$F$61+Assumptions!$F$62*(K$5-Assumptions!$F$7)))</f>
        <v>0.59</v>
      </c>
      <c r="L48" s="62" t="n">
        <f aca="false">IF(L9=0,0,MIN(Assumptions!$F$63,Assumptions!$F$61+Assumptions!$F$62*(L$5-Assumptions!$F$7)))</f>
        <v>0.625</v>
      </c>
      <c r="M48" s="62" t="n">
        <f aca="false">IF(M9=0,0,MIN(Assumptions!$F$63,Assumptions!$F$61+Assumptions!$F$62*(M$5-Assumptions!$F$7)))</f>
        <v>0.66</v>
      </c>
      <c r="N48" s="62" t="n">
        <f aca="false">IF(N9=0,0,MIN(Assumptions!$F$63,Assumptions!$F$61+Assumptions!$F$62*(N$5-Assumptions!$F$7)))</f>
        <v>0.695</v>
      </c>
      <c r="O48" s="62" t="n">
        <f aca="false">IF(O9=0,0,MIN(Assumptions!$F$63,Assumptions!$F$61+Assumptions!$F$62*(O$5-Assumptions!$F$7)))</f>
        <v>0.73</v>
      </c>
      <c r="P48" s="62" t="n">
        <f aca="false">IF(P9=0,0,MIN(Assumptions!$F$63,Assumptions!$F$61+Assumptions!$F$62*(P$5-Assumptions!$F$7)))</f>
        <v>0.765</v>
      </c>
      <c r="Q48" s="62" t="n">
        <f aca="false">IF(Q9=0,0,MIN(Assumptions!$F$63,Assumptions!$F$61+Assumptions!$F$62*(Q$5-Assumptions!$F$7)))</f>
        <v>0.8</v>
      </c>
      <c r="R48" s="62" t="n">
        <f aca="false">IF(R9=0,0,MIN(Assumptions!$F$63,Assumptions!$F$61+Assumptions!$F$62*(R$5-Assumptions!$F$7)))</f>
        <v>0.835</v>
      </c>
      <c r="S48" s="62" t="n">
        <f aca="false">IF(S9=0,0,MIN(Assumptions!$F$63,Assumptions!$F$61+Assumptions!$F$62*(S$5-Assumptions!$F$7)))</f>
        <v>0.87</v>
      </c>
      <c r="T48" s="62" t="n">
        <f aca="false">IF(T9=0,0,MIN(Assumptions!$F$63,Assumptions!$F$61+Assumptions!$F$62*(T$5-Assumptions!$F$7)))</f>
        <v>0.88</v>
      </c>
      <c r="U48" s="62" t="n">
        <f aca="false">IF(U9=0,0,MIN(Assumptions!$F$63,Assumptions!$F$61+Assumptions!$F$62*(U$5-Assumptions!$F$7)))</f>
        <v>0.88</v>
      </c>
      <c r="V48" s="62" t="n">
        <f aca="false">IF(V9=0,0,MIN(Assumptions!$F$63,Assumptions!$F$61+Assumptions!$F$62*(V$5-Assumptions!$F$7)))</f>
        <v>0.88</v>
      </c>
      <c r="W48" s="62" t="n">
        <f aca="false">IF(W9=0,0,MIN(Assumptions!$F$63,Assumptions!$F$61+Assumptions!$F$62*(W$5-Assumptions!$F$7)))</f>
        <v>0.88</v>
      </c>
      <c r="X48" s="62" t="n">
        <f aca="false">IF(X9=0,0,MIN(Assumptions!$F$63,Assumptions!$F$61+Assumptions!$F$62*(X$5-Assumptions!$F$7)))</f>
        <v>0.88</v>
      </c>
      <c r="Y48" s="62" t="n">
        <f aca="false">IF(Y9=0,0,MIN(Assumptions!$F$63,Assumptions!$F$61+Assumptions!$F$62*(Y$5-Assumptions!$F$7)))</f>
        <v>0.88</v>
      </c>
      <c r="Z48" s="62" t="n">
        <f aca="false">IF(Z9=0,0,MIN(Assumptions!$F$63,Assumptions!$F$61+Assumptions!$F$62*(Z$5-Assumptions!$F$7)))</f>
        <v>0.88</v>
      </c>
      <c r="AA48" s="62" t="n">
        <f aca="false">IF(AA9=0,0,MIN(Assumptions!$F$63,Assumptions!$F$61+Assumptions!$F$62*(AA$5-Assumptions!$F$7)))</f>
        <v>0.88</v>
      </c>
      <c r="AB48" s="62" t="n">
        <f aca="false">IF(AB9=0,0,MIN(Assumptions!$F$63,Assumptions!$F$61+Assumptions!$F$62*(AB$5-Assumptions!$F$7)))</f>
        <v>0.88</v>
      </c>
      <c r="AC48" s="62" t="n">
        <f aca="false">IF(AC9=0,0,MIN(Assumptions!$F$63,Assumptions!$F$61+Assumptions!$F$62*(AC$5-Assumptions!$F$7)))</f>
        <v>0.88</v>
      </c>
      <c r="AD48" s="62" t="n">
        <f aca="false">IF(AD9=0,0,MIN(Assumptions!$F$63,Assumptions!$F$61+Assumptions!$F$62*(AD$5-Assumptions!$F$7)))</f>
        <v>0.88</v>
      </c>
      <c r="AE48" s="62" t="n">
        <f aca="false">IF(AE9=0,0,MIN(Assumptions!$F$63,Assumptions!$F$61+Assumptions!$F$62*(AE$5-Assumptions!$F$7)))</f>
        <v>0.88</v>
      </c>
      <c r="AF48" s="62" t="n">
        <f aca="false">IF(AF9=0,0,MIN(Assumptions!$F$63,Assumptions!$F$61+Assumptions!$F$62*(AF$5-Assumptions!$F$7)))</f>
        <v>0.88</v>
      </c>
      <c r="AG48" s="62" t="n">
        <f aca="false">IF(AG9=0,0,MIN(Assumptions!$F$63,Assumptions!$F$61+Assumptions!$F$62*(AG$5-Assumptions!$F$7)))</f>
        <v>0.88</v>
      </c>
      <c r="AH48" s="62" t="n">
        <f aca="false">IF(AH9=0,0,MIN(Assumptions!$F$63,Assumptions!$F$61+Assumptions!$F$62*(AH$5-Assumptions!$F$7)))</f>
        <v>0.88</v>
      </c>
      <c r="AI48" s="62" t="n">
        <f aca="false">IF(AI9=0,0,MIN(Assumptions!$F$63,Assumptions!$F$61+Assumptions!$F$62*(AI$5-Assumptions!$F$7)))</f>
        <v>0.88</v>
      </c>
      <c r="AJ48" s="62" t="n">
        <f aca="false">IF(AJ9=0,0,MIN(Assumptions!$F$63,Assumptions!$F$61+Assumptions!$F$62*(AJ$5-Assumptions!$F$7)))</f>
        <v>0.88</v>
      </c>
      <c r="AK48" s="62" t="n">
        <f aca="false">IF(AK9=0,0,MIN(Assumptions!$F$63,Assumptions!$F$61+Assumptions!$F$62*(AK$5-Assumptions!$F$7)))</f>
        <v>0.88</v>
      </c>
      <c r="AL48" s="62" t="n">
        <f aca="false">IF(AL9=0,0,MIN(Assumptions!$F$63,Assumptions!$F$61+Assumptions!$F$62*(AL$5-Assumptions!$F$7)))</f>
        <v>0.88</v>
      </c>
      <c r="AM48" s="62" t="n">
        <f aca="false">AL48</f>
        <v>0.88</v>
      </c>
    </row>
    <row r="49" customFormat="false" ht="15" hidden="false" customHeight="false" outlineLevel="0" collapsed="false">
      <c r="A49" s="10" t="s">
        <v>784</v>
      </c>
      <c r="B49" s="9" t="s">
        <v>84</v>
      </c>
      <c r="C49" s="61" t="n">
        <f aca="false">C15+C19+C23+(C13+C25)*Assumptions!$F$45</f>
        <v>14098.4713081849</v>
      </c>
      <c r="D49" s="61" t="n">
        <f aca="false">D15+D19+D23+(D13+D25)*Assumptions!$F$45</f>
        <v>468850.944736842</v>
      </c>
      <c r="E49" s="61" t="n">
        <f aca="false">E15+E19+E23+(E13+E25)*Assumptions!$F$45</f>
        <v>351623.7056</v>
      </c>
      <c r="F49" s="61" t="n">
        <f aca="false">F15+F19+F23+(F13+F25)*Assumptions!$F$45</f>
        <v>377450.320586223</v>
      </c>
      <c r="G49" s="61" t="n">
        <f aca="false">G15+G19+G23+(G13+G25)*Assumptions!$F$45</f>
        <v>401034.904156169</v>
      </c>
      <c r="H49" s="61" t="n">
        <f aca="false">H15+H19+H23+(H13+H25)*Assumptions!$F$45</f>
        <v>438071.605430891</v>
      </c>
      <c r="I49" s="61" t="n">
        <f aca="false">I15+I19+I23+(I13+I25)*Assumptions!$F$45</f>
        <v>472766.30295303</v>
      </c>
      <c r="J49" s="61" t="n">
        <f aca="false">J15+J19+J23+(J13+J25)*Assumptions!$F$45</f>
        <v>507047.734324459</v>
      </c>
      <c r="K49" s="61" t="n">
        <f aca="false">K15+K19+K23+(K13+K25)*Assumptions!$F$45</f>
        <v>541909.247147618</v>
      </c>
      <c r="L49" s="61" t="n">
        <f aca="false">L15+L19+L23+(L13+L25)*Assumptions!$F$45</f>
        <v>577802.97081032</v>
      </c>
      <c r="M49" s="61" t="n">
        <f aca="false">M15+M19+M23+(M13+M25)*Assumptions!$F$45</f>
        <v>614995.241702557</v>
      </c>
      <c r="N49" s="61" t="n">
        <f aca="false">N15+N19+N23+(N13+N25)*Assumptions!$F$45</f>
        <v>653672.127036068</v>
      </c>
      <c r="O49" s="61" t="n">
        <f aca="false">O15+O19+O23+(O13+O25)*Assumptions!$F$45</f>
        <v>693981.20876577</v>
      </c>
      <c r="P49" s="61" t="n">
        <f aca="false">P15+P19+P23+(P13+P25)*Assumptions!$F$45</f>
        <v>736051.142997673</v>
      </c>
      <c r="Q49" s="61" t="n">
        <f aca="false">Q15+Q19+Q23+(Q13+Q25)*Assumptions!$F$45</f>
        <v>780002.254021706</v>
      </c>
      <c r="R49" s="61" t="n">
        <f aca="false">R15+R19+R23+(R13+R25)*Assumptions!$F$45</f>
        <v>825952.916902948</v>
      </c>
      <c r="S49" s="61" t="n">
        <f aca="false">S15+S19+S23+(S13+S25)*Assumptions!$F$45</f>
        <v>874023.744363969</v>
      </c>
      <c r="T49" s="61" t="n">
        <f aca="false">T15+T19+T23+(T13+T25)*Assumptions!$F$45</f>
        <v>924340.556999143</v>
      </c>
      <c r="U49" s="61" t="n">
        <f aca="false">U15+U19+U23+(U13+U25)*Assumptions!$F$45</f>
        <v>975793.400281245</v>
      </c>
      <c r="V49" s="61" t="n">
        <f aca="false">V15+V19+V23+(V13+V25)*Assumptions!$F$45</f>
        <v>1028053.45472333</v>
      </c>
      <c r="W49" s="61" t="n">
        <f aca="false">W15+W19+W23+(W13+W25)*Assumptions!$F$45</f>
        <v>1081270.10347565</v>
      </c>
      <c r="X49" s="61" t="n">
        <f aca="false">X15+X19+X23+(X13+X25)*Assumptions!$F$45</f>
        <v>1135542.0362584</v>
      </c>
      <c r="Y49" s="61" t="n">
        <f aca="false">Y15+Y19+Y23+(Y13+Y25)*Assumptions!$F$45</f>
        <v>1190957.64704293</v>
      </c>
      <c r="Z49" s="61" t="n">
        <f aca="false">Z15+Z19+Z23+(Z13+Z25)*Assumptions!$F$45</f>
        <v>1237006.62027759</v>
      </c>
      <c r="AA49" s="61" t="n">
        <f aca="false">AA15+AA19+AA23+(AA13+AA25)*Assumptions!$F$45</f>
        <v>1251437.66021193</v>
      </c>
      <c r="AB49" s="61" t="n">
        <f aca="false">AB15+AB19+AB23+(AB13+AB25)*Assumptions!$F$45</f>
        <v>1259855.11262687</v>
      </c>
      <c r="AC49" s="61" t="n">
        <f aca="false">AC15+AC19+AC23+(AC13+AC25)*Assumptions!$F$45</f>
        <v>1268287.29505802</v>
      </c>
      <c r="AD49" s="61" t="n">
        <f aca="false">AD15+AD19+AD23+(AD13+AD25)*Assumptions!$F$45</f>
        <v>1277728.21811432</v>
      </c>
      <c r="AE49" s="61" t="n">
        <f aca="false">AE15+AE19+AE23+(AE13+AE25)*Assumptions!$F$45</f>
        <v>1288427.71385814</v>
      </c>
      <c r="AF49" s="61" t="n">
        <f aca="false">AF15+AF19+AF23+(AF13+AF25)*Assumptions!$F$45</f>
        <v>1300538.49314866</v>
      </c>
      <c r="AG49" s="61" t="n">
        <f aca="false">AG15+AG19+AG23+(AG13+AG25)*Assumptions!$F$45</f>
        <v>1314214.92824676</v>
      </c>
      <c r="AH49" s="61" t="n">
        <f aca="false">AH15+AH19+AH23+(AH13+AH25)*Assumptions!$F$45</f>
        <v>1329629.52674287</v>
      </c>
      <c r="AI49" s="61" t="n">
        <f aca="false">AI15+AI19+AI23+(AI13+AI25)*Assumptions!$F$45</f>
        <v>1346977.2570884</v>
      </c>
      <c r="AJ49" s="61" t="n">
        <f aca="false">AJ15+AJ19+AJ23+(AJ13+AJ25)*Assumptions!$F$45</f>
        <v>1366478.30824985</v>
      </c>
      <c r="AK49" s="61" t="n">
        <f aca="false">AK15+AK19+AK23+(AK13+AK25)*Assumptions!$F$45</f>
        <v>1388380.90181252</v>
      </c>
      <c r="AL49" s="61" t="n">
        <f aca="false">AL15+AL19+AL23+(AL13+AL25)*Assumptions!$F$45</f>
        <v>1412964.42945234</v>
      </c>
      <c r="AM49" s="61" t="n">
        <f aca="false">SUM(C49:AL49)</f>
        <v>32707218.5065134</v>
      </c>
    </row>
    <row r="50" customFormat="false" ht="15" hidden="false" customHeight="false" outlineLevel="0" collapsed="false">
      <c r="A50" s="10" t="s">
        <v>785</v>
      </c>
      <c r="B50" s="9" t="s">
        <v>51</v>
      </c>
      <c r="C50" s="61" t="n">
        <f aca="false">C49*Assumptions!$F$58*C9</f>
        <v>0</v>
      </c>
      <c r="D50" s="61" t="n">
        <f aca="false">D49*Assumptions!$F$58*D9</f>
        <v>0</v>
      </c>
      <c r="E50" s="61" t="n">
        <f aca="false">E49*Assumptions!$F$58*E9</f>
        <v>0</v>
      </c>
      <c r="F50" s="61" t="n">
        <f aca="false">F49*Assumptions!$F$58*F9</f>
        <v>0</v>
      </c>
      <c r="G50" s="61" t="n">
        <f aca="false">G49*Assumptions!$F$58*G9</f>
        <v>10025.8726039042</v>
      </c>
      <c r="H50" s="61" t="n">
        <f aca="false">H49*Assumptions!$F$58*H9</f>
        <v>10951.7901357723</v>
      </c>
      <c r="I50" s="61" t="n">
        <f aca="false">I49*Assumptions!$F$58*I9</f>
        <v>11819.1575738257</v>
      </c>
      <c r="J50" s="61" t="n">
        <f aca="false">J49*Assumptions!$F$58*J9</f>
        <v>12676.1933581115</v>
      </c>
      <c r="K50" s="61" t="n">
        <f aca="false">K49*Assumptions!$F$58*K9</f>
        <v>13547.7311786904</v>
      </c>
      <c r="L50" s="61" t="n">
        <f aca="false">L49*Assumptions!$F$58*L9</f>
        <v>14445.074270258</v>
      </c>
      <c r="M50" s="61" t="n">
        <f aca="false">M49*Assumptions!$F$58*M9</f>
        <v>15374.8810425639</v>
      </c>
      <c r="N50" s="61" t="n">
        <f aca="false">N49*Assumptions!$F$58*N9</f>
        <v>16341.8031759017</v>
      </c>
      <c r="O50" s="61" t="n">
        <f aca="false">O49*Assumptions!$F$58*O9</f>
        <v>17349.5302191443</v>
      </c>
      <c r="P50" s="61" t="n">
        <f aca="false">P49*Assumptions!$F$58*P9</f>
        <v>18401.2785749418</v>
      </c>
      <c r="Q50" s="61" t="n">
        <f aca="false">Q49*Assumptions!$F$58*Q9</f>
        <v>19500.0563505427</v>
      </c>
      <c r="R50" s="61" t="n">
        <f aca="false">R49*Assumptions!$F$58*R9</f>
        <v>20648.8229225737</v>
      </c>
      <c r="S50" s="61" t="n">
        <f aca="false">S49*Assumptions!$F$58*S9</f>
        <v>21850.5936090992</v>
      </c>
      <c r="T50" s="61" t="n">
        <f aca="false">T49*Assumptions!$F$58*T9</f>
        <v>23108.5139249786</v>
      </c>
      <c r="U50" s="61" t="n">
        <f aca="false">U49*Assumptions!$F$58*U9</f>
        <v>24394.8350070311</v>
      </c>
      <c r="V50" s="61" t="n">
        <f aca="false">V49*Assumptions!$F$58*V9</f>
        <v>25701.3363680833</v>
      </c>
      <c r="W50" s="61" t="n">
        <f aca="false">W49*Assumptions!$F$58*W9</f>
        <v>27031.7525868913</v>
      </c>
      <c r="X50" s="61" t="n">
        <f aca="false">X49*Assumptions!$F$58*X9</f>
        <v>28388.55090646</v>
      </c>
      <c r="Y50" s="61" t="n">
        <f aca="false">Y49*Assumptions!$F$58*Y9</f>
        <v>29773.9411760734</v>
      </c>
      <c r="Z50" s="61" t="n">
        <f aca="false">Z49*Assumptions!$F$58*Z9</f>
        <v>30925.1655069397</v>
      </c>
      <c r="AA50" s="61" t="n">
        <f aca="false">AA49*Assumptions!$F$58*AA9</f>
        <v>31285.9415052982</v>
      </c>
      <c r="AB50" s="61" t="n">
        <f aca="false">AB49*Assumptions!$F$58*AB9</f>
        <v>31496.3778156718</v>
      </c>
      <c r="AC50" s="61" t="n">
        <f aca="false">AC49*Assumptions!$F$58*AC9</f>
        <v>31707.1823764506</v>
      </c>
      <c r="AD50" s="61" t="n">
        <f aca="false">AD49*Assumptions!$F$58*AD9</f>
        <v>31943.2054528581</v>
      </c>
      <c r="AE50" s="61" t="n">
        <f aca="false">AE49*Assumptions!$F$58*AE9</f>
        <v>32210.6928464535</v>
      </c>
      <c r="AF50" s="61" t="n">
        <f aca="false">AF49*Assumptions!$F$58*AF9</f>
        <v>32513.4623287164</v>
      </c>
      <c r="AG50" s="61" t="n">
        <f aca="false">AG49*Assumptions!$F$58*AG9</f>
        <v>32855.373206169</v>
      </c>
      <c r="AH50" s="61" t="n">
        <f aca="false">AH49*Assumptions!$F$58*AH9</f>
        <v>33240.7381685718</v>
      </c>
      <c r="AI50" s="61" t="n">
        <f aca="false">AI49*Assumptions!$F$58*AI9</f>
        <v>33674.43142721</v>
      </c>
      <c r="AJ50" s="61" t="n">
        <f aca="false">AJ49*Assumptions!$F$58*AJ9</f>
        <v>34161.9577062463</v>
      </c>
      <c r="AK50" s="61" t="n">
        <f aca="false">AK49*Assumptions!$F$58*AK9</f>
        <v>34709.5225453131</v>
      </c>
      <c r="AL50" s="61" t="n">
        <f aca="false">AL49*Assumptions!$F$58*AL9</f>
        <v>35324.1107363085</v>
      </c>
      <c r="AM50" s="61" t="n">
        <f aca="false">SUM(C50:AL50)</f>
        <v>787379.876607054</v>
      </c>
    </row>
    <row r="51" customFormat="false" ht="15" hidden="false" customHeight="false" outlineLevel="0" collapsed="false">
      <c r="A51" s="10" t="s">
        <v>786</v>
      </c>
      <c r="B51" s="9" t="s">
        <v>51</v>
      </c>
      <c r="C51" s="61" t="n">
        <f aca="false">C50*Assumptions!$F$59</f>
        <v>0</v>
      </c>
      <c r="D51" s="61" t="n">
        <f aca="false">D50*Assumptions!$F$59</f>
        <v>0</v>
      </c>
      <c r="E51" s="61" t="n">
        <f aca="false">E50*Assumptions!$F$59</f>
        <v>0</v>
      </c>
      <c r="F51" s="61" t="n">
        <f aca="false">F50*Assumptions!$F$59</f>
        <v>0</v>
      </c>
      <c r="G51" s="61" t="n">
        <f aca="false">G50*Assumptions!$F$59</f>
        <v>7619.6631789672</v>
      </c>
      <c r="H51" s="61" t="n">
        <f aca="false">H50*Assumptions!$F$59</f>
        <v>8323.36050318693</v>
      </c>
      <c r="I51" s="61" t="n">
        <f aca="false">I50*Assumptions!$F$59</f>
        <v>8982.55975610756</v>
      </c>
      <c r="J51" s="61" t="n">
        <f aca="false">J50*Assumptions!$F$59</f>
        <v>9633.90695216472</v>
      </c>
      <c r="K51" s="61" t="n">
        <f aca="false">K50*Assumptions!$F$59</f>
        <v>10296.2756958047</v>
      </c>
      <c r="L51" s="61" t="n">
        <f aca="false">L50*Assumptions!$F$59</f>
        <v>10978.2564453961</v>
      </c>
      <c r="M51" s="61" t="n">
        <f aca="false">M50*Assumptions!$F$59</f>
        <v>11684.9095923486</v>
      </c>
      <c r="N51" s="61" t="n">
        <f aca="false">N50*Assumptions!$F$59</f>
        <v>12419.7704136853</v>
      </c>
      <c r="O51" s="61" t="n">
        <f aca="false">O50*Assumptions!$F$59</f>
        <v>13185.6429665496</v>
      </c>
      <c r="P51" s="61" t="n">
        <f aca="false">P50*Assumptions!$F$59</f>
        <v>13984.9717169558</v>
      </c>
      <c r="Q51" s="61" t="n">
        <f aca="false">Q50*Assumptions!$F$59</f>
        <v>14820.0428264124</v>
      </c>
      <c r="R51" s="61" t="n">
        <f aca="false">R50*Assumptions!$F$59</f>
        <v>15693.105421156</v>
      </c>
      <c r="S51" s="61" t="n">
        <f aca="false">S50*Assumptions!$F$59</f>
        <v>16606.4511429154</v>
      </c>
      <c r="T51" s="61" t="n">
        <f aca="false">T50*Assumptions!$F$59</f>
        <v>17562.4705829837</v>
      </c>
      <c r="U51" s="61" t="n">
        <f aca="false">U50*Assumptions!$F$59</f>
        <v>18540.0746053437</v>
      </c>
      <c r="V51" s="61" t="n">
        <f aca="false">V50*Assumptions!$F$59</f>
        <v>19533.0156397433</v>
      </c>
      <c r="W51" s="61" t="n">
        <f aca="false">W50*Assumptions!$F$59</f>
        <v>20544.1319660374</v>
      </c>
      <c r="X51" s="61" t="n">
        <f aca="false">X50*Assumptions!$F$59</f>
        <v>21575.2986889096</v>
      </c>
      <c r="Y51" s="61" t="n">
        <f aca="false">Y50*Assumptions!$F$59</f>
        <v>22628.1952938158</v>
      </c>
      <c r="Z51" s="61" t="n">
        <f aca="false">Z50*Assumptions!$F$59</f>
        <v>23503.1257852742</v>
      </c>
      <c r="AA51" s="61" t="n">
        <f aca="false">AA50*Assumptions!$F$59</f>
        <v>23777.3155440266</v>
      </c>
      <c r="AB51" s="61" t="n">
        <f aca="false">AB50*Assumptions!$F$59</f>
        <v>23937.2471399105</v>
      </c>
      <c r="AC51" s="61" t="n">
        <f aca="false">AC50*Assumptions!$F$59</f>
        <v>24097.4586061024</v>
      </c>
      <c r="AD51" s="61" t="n">
        <f aca="false">AD50*Assumptions!$F$59</f>
        <v>24276.8361441722</v>
      </c>
      <c r="AE51" s="61" t="n">
        <f aca="false">AE50*Assumptions!$F$59</f>
        <v>24480.1265633047</v>
      </c>
      <c r="AF51" s="61" t="n">
        <f aca="false">AF50*Assumptions!$F$59</f>
        <v>24710.2313698245</v>
      </c>
      <c r="AG51" s="61" t="n">
        <f aca="false">AG50*Assumptions!$F$59</f>
        <v>24970.0836366885</v>
      </c>
      <c r="AH51" s="61" t="n">
        <f aca="false">AH50*Assumptions!$F$59</f>
        <v>25262.9610081146</v>
      </c>
      <c r="AI51" s="61" t="n">
        <f aca="false">AI50*Assumptions!$F$59</f>
        <v>25592.5678846796</v>
      </c>
      <c r="AJ51" s="61" t="n">
        <f aca="false">AJ50*Assumptions!$F$59</f>
        <v>25963.0878567472</v>
      </c>
      <c r="AK51" s="61" t="n">
        <f aca="false">AK50*Assumptions!$F$59</f>
        <v>26379.2371344379</v>
      </c>
      <c r="AL51" s="61" t="n">
        <f aca="false">AL50*Assumptions!$F$59</f>
        <v>26846.3241595944</v>
      </c>
      <c r="AM51" s="61" t="n">
        <f aca="false">SUM(C51:AL51)</f>
        <v>598408.706221361</v>
      </c>
    </row>
    <row r="52" customFormat="false" ht="15" hidden="false" customHeight="false" outlineLevel="0" collapsed="false">
      <c r="A52" s="10" t="s">
        <v>787</v>
      </c>
      <c r="B52" s="9" t="s">
        <v>51</v>
      </c>
      <c r="C52" s="61" t="n">
        <f aca="false">C51*Assumptions!$F$60*C48</f>
        <v>0</v>
      </c>
      <c r="D52" s="61" t="n">
        <f aca="false">D51*Assumptions!$F$60*D48</f>
        <v>0</v>
      </c>
      <c r="E52" s="61" t="n">
        <f aca="false">E51*Assumptions!$F$60*E48</f>
        <v>0</v>
      </c>
      <c r="F52" s="61" t="n">
        <f aca="false">F51*Assumptions!$F$60*F48</f>
        <v>0</v>
      </c>
      <c r="G52" s="61" t="n">
        <f aca="false">G51*Assumptions!$F$60*G48</f>
        <v>2194.46299554256</v>
      </c>
      <c r="H52" s="61" t="n">
        <f aca="false">H51*Assumptions!$F$60*H48</f>
        <v>2583.57110018922</v>
      </c>
      <c r="I52" s="61" t="n">
        <f aca="false">I51*Assumptions!$F$60*I48</f>
        <v>2989.3958868326</v>
      </c>
      <c r="J52" s="61" t="n">
        <f aca="false">J51*Assumptions!$F$60*J48</f>
        <v>3421.96374940891</v>
      </c>
      <c r="K52" s="61" t="n">
        <f aca="false">K51*Assumptions!$F$60*K48</f>
        <v>3887.87370273587</v>
      </c>
      <c r="L52" s="61" t="n">
        <f aca="false">L51*Assumptions!$F$60*L48</f>
        <v>4391.30257815843</v>
      </c>
      <c r="M52" s="61" t="n">
        <f aca="false">M51*Assumptions!$F$60*M48</f>
        <v>4935.70581180804</v>
      </c>
      <c r="N52" s="61" t="n">
        <f aca="false">N51*Assumptions!$F$60*N48</f>
        <v>5524.31388000722</v>
      </c>
      <c r="O52" s="61" t="n">
        <f aca="false">O51*Assumptions!$F$60*O48</f>
        <v>6160.33239397199</v>
      </c>
      <c r="P52" s="61" t="n">
        <f aca="false">P51*Assumptions!$F$60*P48</f>
        <v>6847.04215262155</v>
      </c>
      <c r="Q52" s="61" t="n">
        <f aca="false">Q51*Assumptions!$F$60*Q48</f>
        <v>7587.86192712316</v>
      </c>
      <c r="R52" s="61" t="n">
        <f aca="false">R51*Assumptions!$F$60*R48</f>
        <v>8386.39553706577</v>
      </c>
      <c r="S52" s="61" t="n">
        <f aca="false">S51*Assumptions!$F$60*S48</f>
        <v>9246.47199637531</v>
      </c>
      <c r="T52" s="61" t="n">
        <f aca="false">T51*Assumptions!$F$60*T48</f>
        <v>9891.18343233643</v>
      </c>
      <c r="U52" s="61" t="n">
        <f aca="false">U51*Assumptions!$F$60*U48</f>
        <v>10441.7700177295</v>
      </c>
      <c r="V52" s="61" t="n">
        <f aca="false">V51*Assumptions!$F$60*V48</f>
        <v>11000.9944083035</v>
      </c>
      <c r="W52" s="61" t="n">
        <f aca="false">W51*Assumptions!$F$60*W48</f>
        <v>11570.4551232723</v>
      </c>
      <c r="X52" s="61" t="n">
        <f aca="false">X51*Assumptions!$F$60*X48</f>
        <v>12151.2082215939</v>
      </c>
      <c r="Y52" s="61" t="n">
        <f aca="false">Y51*Assumptions!$F$60*Y48</f>
        <v>12744.199589477</v>
      </c>
      <c r="Z52" s="61" t="n">
        <f aca="false">Z51*Assumptions!$F$60*Z48</f>
        <v>13236.9604422664</v>
      </c>
      <c r="AA52" s="61" t="n">
        <f aca="false">AA51*Assumptions!$F$60*AA48</f>
        <v>13391.3841143958</v>
      </c>
      <c r="AB52" s="61" t="n">
        <f aca="false">AB51*Assumptions!$F$60*AB48</f>
        <v>13481.4575891976</v>
      </c>
      <c r="AC52" s="61" t="n">
        <f aca="false">AC51*Assumptions!$F$60*AC48</f>
        <v>13571.6886869569</v>
      </c>
      <c r="AD52" s="61" t="n">
        <f aca="false">AD51*Assumptions!$F$60*AD48</f>
        <v>13672.7141163978</v>
      </c>
      <c r="AE52" s="61" t="n">
        <f aca="false">AE51*Assumptions!$F$60*AE48</f>
        <v>13787.2072804532</v>
      </c>
      <c r="AF52" s="61" t="n">
        <f aca="false">AF51*Assumptions!$F$60*AF48</f>
        <v>13916.8023074851</v>
      </c>
      <c r="AG52" s="61" t="n">
        <f aca="false">AG51*Assumptions!$F$60*AG48</f>
        <v>14063.1511041829</v>
      </c>
      <c r="AH52" s="61" t="n">
        <f aca="false">AH51*Assumptions!$F$60*AH48</f>
        <v>14228.0996397701</v>
      </c>
      <c r="AI52" s="61" t="n">
        <f aca="false">AI51*Assumptions!$F$60*AI48</f>
        <v>14413.7342326516</v>
      </c>
      <c r="AJ52" s="61" t="n">
        <f aca="false">AJ51*Assumptions!$F$60*AJ48</f>
        <v>14622.41108092</v>
      </c>
      <c r="AK52" s="61" t="n">
        <f aca="false">AK51*Assumptions!$F$60*AK48</f>
        <v>14856.7863541154</v>
      </c>
      <c r="AL52" s="61" t="n">
        <f aca="false">AL51*Assumptions!$F$60*AL48</f>
        <v>15119.8497666836</v>
      </c>
      <c r="AM52" s="61" t="n">
        <f aca="false">SUM(C52:AL52)</f>
        <v>318318.75122003</v>
      </c>
    </row>
    <row r="53" customFormat="false" ht="15" hidden="false" customHeight="false" outlineLevel="0" collapsed="false">
      <c r="A53" s="10" t="s">
        <v>788</v>
      </c>
      <c r="B53" s="9" t="s">
        <v>51</v>
      </c>
      <c r="C53" s="61" t="n">
        <f aca="false">C52*Assumptions!$F$64</f>
        <v>0</v>
      </c>
      <c r="D53" s="61" t="n">
        <f aca="false">D52*Assumptions!$F$64</f>
        <v>0</v>
      </c>
      <c r="E53" s="61" t="n">
        <f aca="false">E52*Assumptions!$F$64</f>
        <v>0</v>
      </c>
      <c r="F53" s="61" t="n">
        <f aca="false">F52*Assumptions!$F$64</f>
        <v>0</v>
      </c>
      <c r="G53" s="61" t="n">
        <f aca="false">G52*Assumptions!$F$64</f>
        <v>1360.56705723638</v>
      </c>
      <c r="H53" s="61" t="n">
        <f aca="false">H52*Assumptions!$F$64</f>
        <v>1601.81408211732</v>
      </c>
      <c r="I53" s="61" t="n">
        <f aca="false">I52*Assumptions!$F$64</f>
        <v>1853.42544983621</v>
      </c>
      <c r="J53" s="61" t="n">
        <f aca="false">J52*Assumptions!$F$64</f>
        <v>2121.61752463352</v>
      </c>
      <c r="K53" s="61" t="n">
        <f aca="false">K52*Assumptions!$F$64</f>
        <v>2410.48169569624</v>
      </c>
      <c r="L53" s="61" t="n">
        <f aca="false">L52*Assumptions!$F$64</f>
        <v>2722.60759845823</v>
      </c>
      <c r="M53" s="61" t="n">
        <f aca="false">M52*Assumptions!$F$64</f>
        <v>3060.13760332099</v>
      </c>
      <c r="N53" s="61" t="n">
        <f aca="false">N52*Assumptions!$F$64</f>
        <v>3425.07460560448</v>
      </c>
      <c r="O53" s="61" t="n">
        <f aca="false">O52*Assumptions!$F$64</f>
        <v>3819.40608426263</v>
      </c>
      <c r="P53" s="61" t="n">
        <f aca="false">P52*Assumptions!$F$64</f>
        <v>4245.16613462536</v>
      </c>
      <c r="Q53" s="61" t="n">
        <f aca="false">Q52*Assumptions!$F$64</f>
        <v>4704.47439481636</v>
      </c>
      <c r="R53" s="61" t="n">
        <f aca="false">R52*Assumptions!$F$64</f>
        <v>5199.56523298078</v>
      </c>
      <c r="S53" s="61" t="n">
        <f aca="false">S52*Assumptions!$F$64</f>
        <v>5732.81263775269</v>
      </c>
      <c r="T53" s="61" t="n">
        <f aca="false">T52*Assumptions!$F$64</f>
        <v>6132.53372804859</v>
      </c>
      <c r="U53" s="61" t="n">
        <f aca="false">U52*Assumptions!$F$64</f>
        <v>6473.89741099232</v>
      </c>
      <c r="V53" s="61" t="n">
        <f aca="false">V52*Assumptions!$F$64</f>
        <v>6820.61653314814</v>
      </c>
      <c r="W53" s="61" t="n">
        <f aca="false">W52*Assumptions!$F$64</f>
        <v>7173.6821764288</v>
      </c>
      <c r="X53" s="61" t="n">
        <f aca="false">X52*Assumptions!$F$64</f>
        <v>7533.7490973882</v>
      </c>
      <c r="Y53" s="61" t="n">
        <f aca="false">Y52*Assumptions!$F$64</f>
        <v>7901.40374547576</v>
      </c>
      <c r="Z53" s="61" t="n">
        <f aca="false">Z52*Assumptions!$F$64</f>
        <v>8206.91547420517</v>
      </c>
      <c r="AA53" s="61" t="n">
        <f aca="false">AA52*Assumptions!$F$64</f>
        <v>8302.65815092539</v>
      </c>
      <c r="AB53" s="61" t="n">
        <f aca="false">AB52*Assumptions!$F$64</f>
        <v>8358.50370530252</v>
      </c>
      <c r="AC53" s="61" t="n">
        <f aca="false">AC52*Assumptions!$F$64</f>
        <v>8414.44698591327</v>
      </c>
      <c r="AD53" s="61" t="n">
        <f aca="false">AD52*Assumptions!$F$64</f>
        <v>8477.08275216661</v>
      </c>
      <c r="AE53" s="61" t="n">
        <f aca="false">AE52*Assumptions!$F$64</f>
        <v>8548.06851388098</v>
      </c>
      <c r="AF53" s="61" t="n">
        <f aca="false">AF52*Assumptions!$F$64</f>
        <v>8628.41743064079</v>
      </c>
      <c r="AG53" s="61" t="n">
        <f aca="false">AG52*Assumptions!$F$64</f>
        <v>8719.15368459343</v>
      </c>
      <c r="AH53" s="61" t="n">
        <f aca="false">AH52*Assumptions!$F$64</f>
        <v>8821.42177665748</v>
      </c>
      <c r="AI53" s="61" t="n">
        <f aca="false">AI52*Assumptions!$F$64</f>
        <v>8936.51522424397</v>
      </c>
      <c r="AJ53" s="61" t="n">
        <f aca="false">AJ52*Assumptions!$F$64</f>
        <v>9065.8948701704</v>
      </c>
      <c r="AK53" s="61" t="n">
        <f aca="false">AK52*Assumptions!$F$64</f>
        <v>9211.20753955158</v>
      </c>
      <c r="AL53" s="61" t="n">
        <f aca="false">AL52*Assumptions!$F$64</f>
        <v>9374.30685534382</v>
      </c>
      <c r="AM53" s="61" t="n">
        <f aca="false">SUM(C53:AL53)</f>
        <v>197357.625756418</v>
      </c>
    </row>
    <row r="54" customFormat="false" ht="15" hidden="false" customHeight="false" outlineLevel="0" collapsed="false">
      <c r="A54" s="10" t="s">
        <v>789</v>
      </c>
      <c r="B54" s="9" t="s">
        <v>51</v>
      </c>
      <c r="C54" s="61" t="n">
        <f aca="false">C53*Assumptions!$F$65</f>
        <v>0</v>
      </c>
      <c r="D54" s="61" t="n">
        <f aca="false">D53*Assumptions!$F$65</f>
        <v>0</v>
      </c>
      <c r="E54" s="61" t="n">
        <f aca="false">E53*Assumptions!$F$65</f>
        <v>0</v>
      </c>
      <c r="F54" s="61" t="n">
        <f aca="false">F53*Assumptions!$F$65</f>
        <v>0</v>
      </c>
      <c r="G54" s="61" t="n">
        <f aca="false">G53*Assumptions!$F$65</f>
        <v>1197.29901036802</v>
      </c>
      <c r="H54" s="61" t="n">
        <f aca="false">H53*Assumptions!$F$65</f>
        <v>1409.59639226324</v>
      </c>
      <c r="I54" s="61" t="n">
        <f aca="false">I53*Assumptions!$F$65</f>
        <v>1631.01439585586</v>
      </c>
      <c r="J54" s="61" t="n">
        <f aca="false">J53*Assumptions!$F$65</f>
        <v>1867.0234216775</v>
      </c>
      <c r="K54" s="61" t="n">
        <f aca="false">K53*Assumptions!$F$65</f>
        <v>2121.22389221269</v>
      </c>
      <c r="L54" s="61" t="n">
        <f aca="false">L53*Assumptions!$F$65</f>
        <v>2395.89468664324</v>
      </c>
      <c r="M54" s="61" t="n">
        <f aca="false">M53*Assumptions!$F$65</f>
        <v>2692.92109092247</v>
      </c>
      <c r="N54" s="61" t="n">
        <f aca="false">N53*Assumptions!$F$65</f>
        <v>3014.06565293194</v>
      </c>
      <c r="O54" s="61" t="n">
        <f aca="false">O53*Assumptions!$F$65</f>
        <v>3361.07735415112</v>
      </c>
      <c r="P54" s="61" t="n">
        <f aca="false">P53*Assumptions!$F$65</f>
        <v>3735.74619847032</v>
      </c>
      <c r="Q54" s="61" t="n">
        <f aca="false">Q53*Assumptions!$F$65</f>
        <v>4139.9374674384</v>
      </c>
      <c r="R54" s="61" t="n">
        <f aca="false">R53*Assumptions!$F$65</f>
        <v>4575.61740502308</v>
      </c>
      <c r="S54" s="61" t="n">
        <f aca="false">S53*Assumptions!$F$65</f>
        <v>5044.87512122237</v>
      </c>
      <c r="T54" s="61" t="n">
        <f aca="false">T53*Assumptions!$F$65</f>
        <v>5396.62968068276</v>
      </c>
      <c r="U54" s="61" t="n">
        <f aca="false">U53*Assumptions!$F$65</f>
        <v>5697.02972167324</v>
      </c>
      <c r="V54" s="61" t="n">
        <f aca="false">V53*Assumptions!$F$65</f>
        <v>6002.14254917036</v>
      </c>
      <c r="W54" s="61" t="n">
        <f aca="false">W53*Assumptions!$F$65</f>
        <v>6312.84031525735</v>
      </c>
      <c r="X54" s="61" t="n">
        <f aca="false">X53*Assumptions!$F$65</f>
        <v>6629.69920570162</v>
      </c>
      <c r="Y54" s="61" t="n">
        <f aca="false">Y53*Assumptions!$F$65</f>
        <v>6953.23529601867</v>
      </c>
      <c r="Z54" s="61" t="n">
        <f aca="false">Z53*Assumptions!$F$65</f>
        <v>7222.08561730055</v>
      </c>
      <c r="AA54" s="61" t="n">
        <f aca="false">AA53*Assumptions!$F$65</f>
        <v>7306.33917281434</v>
      </c>
      <c r="AB54" s="61" t="n">
        <f aca="false">AB53*Assumptions!$F$65</f>
        <v>7355.48326066622</v>
      </c>
      <c r="AC54" s="61" t="n">
        <f aca="false">AC53*Assumptions!$F$65</f>
        <v>7404.71334760368</v>
      </c>
      <c r="AD54" s="61" t="n">
        <f aca="false">AD53*Assumptions!$F$65</f>
        <v>7459.83282190662</v>
      </c>
      <c r="AE54" s="61" t="n">
        <f aca="false">AE53*Assumptions!$F$65</f>
        <v>7522.30029221526</v>
      </c>
      <c r="AF54" s="61" t="n">
        <f aca="false">AF53*Assumptions!$F$65</f>
        <v>7593.00733896389</v>
      </c>
      <c r="AG54" s="61" t="n">
        <f aca="false">AG53*Assumptions!$F$65</f>
        <v>7672.85524244222</v>
      </c>
      <c r="AH54" s="61" t="n">
        <f aca="false">AH53*Assumptions!$F$65</f>
        <v>7762.85116345858</v>
      </c>
      <c r="AI54" s="61" t="n">
        <f aca="false">AI53*Assumptions!$F$65</f>
        <v>7864.13339733469</v>
      </c>
      <c r="AJ54" s="61" t="n">
        <f aca="false">AJ53*Assumptions!$F$65</f>
        <v>7977.98748574995</v>
      </c>
      <c r="AK54" s="61" t="n">
        <f aca="false">AK53*Assumptions!$F$65</f>
        <v>8105.86263480539</v>
      </c>
      <c r="AL54" s="61" t="n">
        <f aca="false">AL53*Assumptions!$F$65</f>
        <v>8249.39003270256</v>
      </c>
      <c r="AM54" s="61" t="n">
        <f aca="false">SUM(C54:AL54)</f>
        <v>173674.710665648</v>
      </c>
    </row>
    <row r="55" customFormat="false" ht="15" hidden="false" customHeight="false" outlineLevel="0" collapsed="false">
      <c r="A55" s="10" t="s">
        <v>790</v>
      </c>
      <c r="B55" s="9" t="s">
        <v>51</v>
      </c>
      <c r="C55" s="61" t="n">
        <f aca="false">C54*Assumptions!$F$66</f>
        <v>0</v>
      </c>
      <c r="D55" s="61" t="n">
        <f aca="false">D54*Assumptions!$F$66</f>
        <v>0</v>
      </c>
      <c r="E55" s="61" t="n">
        <f aca="false">E54*Assumptions!$F$66</f>
        <v>0</v>
      </c>
      <c r="F55" s="61" t="n">
        <f aca="false">F54*Assumptions!$F$66</f>
        <v>0</v>
      </c>
      <c r="G55" s="61" t="n">
        <f aca="false">G54*Assumptions!$F$66</f>
        <v>814.163327050252</v>
      </c>
      <c r="H55" s="61" t="n">
        <f aca="false">H54*Assumptions!$F$66</f>
        <v>958.525546739004</v>
      </c>
      <c r="I55" s="61" t="n">
        <f aca="false">I54*Assumptions!$F$66</f>
        <v>1109.08978918199</v>
      </c>
      <c r="J55" s="61" t="n">
        <f aca="false">J54*Assumptions!$F$66</f>
        <v>1269.5759267407</v>
      </c>
      <c r="K55" s="61" t="n">
        <f aca="false">K54*Assumptions!$F$66</f>
        <v>1442.43224670463</v>
      </c>
      <c r="L55" s="61" t="n">
        <f aca="false">L54*Assumptions!$F$66</f>
        <v>1629.2083869174</v>
      </c>
      <c r="M55" s="61" t="n">
        <f aca="false">M54*Assumptions!$F$66</f>
        <v>1831.18634182728</v>
      </c>
      <c r="N55" s="61" t="n">
        <f aca="false">N54*Assumptions!$F$66</f>
        <v>2049.56464399372</v>
      </c>
      <c r="O55" s="61" t="n">
        <f aca="false">O54*Assumptions!$F$66</f>
        <v>2285.53260082276</v>
      </c>
      <c r="P55" s="61" t="n">
        <f aca="false">P54*Assumptions!$F$66</f>
        <v>2540.30741495982</v>
      </c>
      <c r="Q55" s="61" t="n">
        <f aca="false">Q54*Assumptions!$F$66</f>
        <v>2815.15747785811</v>
      </c>
      <c r="R55" s="61" t="n">
        <f aca="false">R54*Assumptions!$F$66</f>
        <v>3111.4198354157</v>
      </c>
      <c r="S55" s="61" t="n">
        <f aca="false">S54*Assumptions!$F$66</f>
        <v>3430.51508243121</v>
      </c>
      <c r="T55" s="61" t="n">
        <f aca="false">T54*Assumptions!$F$66</f>
        <v>3669.70818286427</v>
      </c>
      <c r="U55" s="61" t="n">
        <f aca="false">U54*Assumptions!$F$66</f>
        <v>3873.9802107378</v>
      </c>
      <c r="V55" s="61" t="n">
        <f aca="false">V54*Assumptions!$F$66</f>
        <v>4081.45693343585</v>
      </c>
      <c r="W55" s="61" t="n">
        <f aca="false">W54*Assumptions!$F$66</f>
        <v>4292.73141437499</v>
      </c>
      <c r="X55" s="61" t="n">
        <f aca="false">X54*Assumptions!$F$66</f>
        <v>4508.1954598771</v>
      </c>
      <c r="Y55" s="61" t="n">
        <f aca="false">Y54*Assumptions!$F$66</f>
        <v>4728.2000012927</v>
      </c>
      <c r="Z55" s="61" t="n">
        <f aca="false">Z54*Assumptions!$F$66</f>
        <v>4911.01821976437</v>
      </c>
      <c r="AA55" s="61" t="n">
        <f aca="false">AA54*Assumptions!$F$66</f>
        <v>4968.31063751375</v>
      </c>
      <c r="AB55" s="61" t="n">
        <f aca="false">AB54*Assumptions!$F$66</f>
        <v>5001.72861725303</v>
      </c>
      <c r="AC55" s="61" t="n">
        <f aca="false">AC54*Assumptions!$F$66</f>
        <v>5035.2050763705</v>
      </c>
      <c r="AD55" s="61" t="n">
        <f aca="false">AD54*Assumptions!$F$66</f>
        <v>5072.6863188965</v>
      </c>
      <c r="AE55" s="61" t="n">
        <f aca="false">AE54*Assumptions!$F$66</f>
        <v>5115.16419870638</v>
      </c>
      <c r="AF55" s="61" t="n">
        <f aca="false">AF54*Assumptions!$F$66</f>
        <v>5163.24499049545</v>
      </c>
      <c r="AG55" s="61" t="n">
        <f aca="false">AG54*Assumptions!$F$66</f>
        <v>5217.54156486071</v>
      </c>
      <c r="AH55" s="61" t="n">
        <f aca="false">AH54*Assumptions!$F$66</f>
        <v>5278.73879115183</v>
      </c>
      <c r="AI55" s="61" t="n">
        <f aca="false">AI54*Assumptions!$F$66</f>
        <v>5347.61071018759</v>
      </c>
      <c r="AJ55" s="61" t="n">
        <f aca="false">AJ54*Assumptions!$F$66</f>
        <v>5425.03149030997</v>
      </c>
      <c r="AK55" s="61" t="n">
        <f aca="false">AK54*Assumptions!$F$66</f>
        <v>5511.98659166766</v>
      </c>
      <c r="AL55" s="61" t="n">
        <f aca="false">AL54*Assumptions!$F$66</f>
        <v>5609.58522223774</v>
      </c>
      <c r="AM55" s="61" t="n">
        <f aca="false">SUM(C55:AL55)</f>
        <v>118098.803252641</v>
      </c>
    </row>
    <row r="56" customFormat="false" ht="15" hidden="false" customHeight="false" outlineLevel="0" collapsed="false">
      <c r="A56" s="10" t="s">
        <v>791</v>
      </c>
      <c r="B56" s="9" t="s">
        <v>51</v>
      </c>
      <c r="C56" s="61" t="n">
        <f aca="false">C55*Assumptions!$F$67</f>
        <v>0</v>
      </c>
      <c r="D56" s="61" t="n">
        <f aca="false">D55*Assumptions!$F$67</f>
        <v>0</v>
      </c>
      <c r="E56" s="61" t="n">
        <f aca="false">E55*Assumptions!$F$67</f>
        <v>0</v>
      </c>
      <c r="F56" s="61" t="n">
        <f aca="false">F55*Assumptions!$F$67</f>
        <v>0</v>
      </c>
      <c r="G56" s="61" t="n">
        <f aca="false">G55*Assumptions!$F$67</f>
        <v>569.914328935177</v>
      </c>
      <c r="H56" s="61" t="n">
        <f aca="false">H55*Assumptions!$F$67</f>
        <v>670.967882717303</v>
      </c>
      <c r="I56" s="61" t="n">
        <f aca="false">I55*Assumptions!$F$67</f>
        <v>776.362852427392</v>
      </c>
      <c r="J56" s="61" t="n">
        <f aca="false">J55*Assumptions!$F$67</f>
        <v>888.70314871849</v>
      </c>
      <c r="K56" s="61" t="n">
        <f aca="false">K55*Assumptions!$F$67</f>
        <v>1009.70257269324</v>
      </c>
      <c r="L56" s="61" t="n">
        <f aca="false">L55*Assumptions!$F$67</f>
        <v>1140.44587084218</v>
      </c>
      <c r="M56" s="61" t="n">
        <f aca="false">M55*Assumptions!$F$67</f>
        <v>1281.8304392791</v>
      </c>
      <c r="N56" s="61" t="n">
        <f aca="false">N55*Assumptions!$F$67</f>
        <v>1434.6952507956</v>
      </c>
      <c r="O56" s="61" t="n">
        <f aca="false">O55*Assumptions!$F$67</f>
        <v>1599.87282057593</v>
      </c>
      <c r="P56" s="61" t="n">
        <f aca="false">P55*Assumptions!$F$67</f>
        <v>1778.21519047187</v>
      </c>
      <c r="Q56" s="61" t="n">
        <f aca="false">Q55*Assumptions!$F$67</f>
        <v>1970.61023450068</v>
      </c>
      <c r="R56" s="61" t="n">
        <f aca="false">R55*Assumptions!$F$67</f>
        <v>2177.99388479099</v>
      </c>
      <c r="S56" s="61" t="n">
        <f aca="false">S55*Assumptions!$F$67</f>
        <v>2401.36055770185</v>
      </c>
      <c r="T56" s="61" t="n">
        <f aca="false">T55*Assumptions!$F$67</f>
        <v>2568.79572800499</v>
      </c>
      <c r="U56" s="61" t="n">
        <f aca="false">U55*Assumptions!$F$67</f>
        <v>2711.78614751646</v>
      </c>
      <c r="V56" s="61" t="n">
        <f aca="false">V55*Assumptions!$F$67</f>
        <v>2857.01985340509</v>
      </c>
      <c r="W56" s="61" t="n">
        <f aca="false">W55*Assumptions!$F$67</f>
        <v>3004.9119900625</v>
      </c>
      <c r="X56" s="61" t="n">
        <f aca="false">X55*Assumptions!$F$67</f>
        <v>3155.73682191397</v>
      </c>
      <c r="Y56" s="61" t="n">
        <f aca="false">Y55*Assumptions!$F$67</f>
        <v>3309.74000090489</v>
      </c>
      <c r="Z56" s="61" t="n">
        <f aca="false">Z55*Assumptions!$F$67</f>
        <v>3437.71275383506</v>
      </c>
      <c r="AA56" s="61" t="n">
        <f aca="false">AA55*Assumptions!$F$67</f>
        <v>3477.81744625963</v>
      </c>
      <c r="AB56" s="61" t="n">
        <f aca="false">AB55*Assumptions!$F$67</f>
        <v>3501.21003207712</v>
      </c>
      <c r="AC56" s="61" t="n">
        <f aca="false">AC55*Assumptions!$F$67</f>
        <v>3524.64355345935</v>
      </c>
      <c r="AD56" s="61" t="n">
        <f aca="false">AD55*Assumptions!$F$67</f>
        <v>3550.88042322755</v>
      </c>
      <c r="AE56" s="61" t="n">
        <f aca="false">AE55*Assumptions!$F$67</f>
        <v>3580.61493909446</v>
      </c>
      <c r="AF56" s="61" t="n">
        <f aca="false">AF55*Assumptions!$F$67</f>
        <v>3614.27149334681</v>
      </c>
      <c r="AG56" s="61" t="n">
        <f aca="false">AG55*Assumptions!$F$67</f>
        <v>3652.27909540249</v>
      </c>
      <c r="AH56" s="61" t="n">
        <f aca="false">AH55*Assumptions!$F$67</f>
        <v>3695.11715380628</v>
      </c>
      <c r="AI56" s="61" t="n">
        <f aca="false">AI55*Assumptions!$F$67</f>
        <v>3743.32749713131</v>
      </c>
      <c r="AJ56" s="61" t="n">
        <f aca="false">AJ55*Assumptions!$F$67</f>
        <v>3797.52204321698</v>
      </c>
      <c r="AK56" s="61" t="n">
        <f aca="false">AK55*Assumptions!$F$67</f>
        <v>3858.39061416736</v>
      </c>
      <c r="AL56" s="61" t="n">
        <f aca="false">AL55*Assumptions!$F$67</f>
        <v>3926.70965556642</v>
      </c>
      <c r="AM56" s="61" t="n">
        <f aca="false">SUM(C56:AL56)</f>
        <v>82669.1622768485</v>
      </c>
    </row>
    <row r="57" customFormat="false" ht="15" hidden="false" customHeight="false" outlineLevel="0" collapsed="false">
      <c r="A57" s="37" t="s">
        <v>792</v>
      </c>
      <c r="B57" s="9" t="s">
        <v>51</v>
      </c>
      <c r="C57" s="71" t="n">
        <f aca="false">C56</f>
        <v>0</v>
      </c>
      <c r="D57" s="71" t="n">
        <f aca="false">C57*(1-Assumptions!$F$68)+D56</f>
        <v>0</v>
      </c>
      <c r="E57" s="71" t="n">
        <f aca="false">D57*(1-Assumptions!$F$68)+E56</f>
        <v>0</v>
      </c>
      <c r="F57" s="71" t="n">
        <f aca="false">E57*(1-Assumptions!$F$68)+F56</f>
        <v>0</v>
      </c>
      <c r="G57" s="71" t="n">
        <f aca="false">F57*(1-Assumptions!$F$68)+G56</f>
        <v>569.914328935177</v>
      </c>
      <c r="H57" s="71" t="n">
        <f aca="false">G57*(1-Assumptions!$F$68)+H56</f>
        <v>1186.74035040364</v>
      </c>
      <c r="I57" s="71" t="n">
        <f aca="false">H57*(1-Assumptions!$F$68)+I56</f>
        <v>1850.36286954268</v>
      </c>
      <c r="J57" s="71" t="n">
        <f aca="false">I57*(1-Assumptions!$F$68)+J56</f>
        <v>2563.28154565462</v>
      </c>
      <c r="K57" s="71" t="n">
        <f aca="false">J57*(1-Assumptions!$F$68)+K56</f>
        <v>3329.47237151067</v>
      </c>
      <c r="L57" s="71" t="n">
        <f aca="false">K57*(1-Assumptions!$F$68)+L56</f>
        <v>4153.61836705934</v>
      </c>
      <c r="M57" s="71" t="n">
        <f aca="false">L57*(1-Assumptions!$F$68)+M56</f>
        <v>5040.8550614678</v>
      </c>
      <c r="N57" s="71" t="n">
        <f aca="false">M57*(1-Assumptions!$F$68)+N56</f>
        <v>5996.66908142396</v>
      </c>
      <c r="O57" s="71" t="n">
        <f aca="false">N57*(1-Assumptions!$F$68)+O56</f>
        <v>7026.85833926462</v>
      </c>
      <c r="P57" s="71" t="n">
        <f aca="false">O57*(1-Assumptions!$F$68)+P56</f>
        <v>8137.52198750635</v>
      </c>
      <c r="Q57" s="71" t="n">
        <f aca="false">P57*(1-Assumptions!$F$68)+Q56</f>
        <v>9335.06763319392</v>
      </c>
      <c r="R57" s="71" t="n">
        <f aca="false">Q57*(1-Assumptions!$F$68)+R56</f>
        <v>10626.2300928315</v>
      </c>
      <c r="S57" s="71" t="n">
        <f aca="false">R57*(1-Assumptions!$F$68)+S56</f>
        <v>12018.0987917143</v>
      </c>
      <c r="T57" s="71" t="n">
        <f aca="false">S57*(1-Assumptions!$F$68)+T56</f>
        <v>13445.1751345065</v>
      </c>
      <c r="U57" s="71" t="n">
        <f aca="false">T57*(1-Assumptions!$F$68)+U56</f>
        <v>14879.6696442448</v>
      </c>
      <c r="V57" s="71" t="n">
        <f aca="false">U57*(1-Assumptions!$F$68)+V56</f>
        <v>16323.1208814467</v>
      </c>
      <c r="W57" s="71" t="n">
        <f aca="false">V57*(1-Assumptions!$F$68)+W56</f>
        <v>17777.3363877717</v>
      </c>
      <c r="X57" s="71" t="n">
        <f aca="false">W57*(1-Assumptions!$F$68)+X56</f>
        <v>19244.2262528474</v>
      </c>
      <c r="Y57" s="71" t="n">
        <f aca="false">X57*(1-Assumptions!$F$68)+Y56</f>
        <v>20725.7647597318</v>
      </c>
      <c r="Z57" s="71" t="n">
        <f aca="false">Y57*(1-Assumptions!$F$68)+Z56</f>
        <v>22194.5298613923</v>
      </c>
      <c r="AA57" s="71" t="n">
        <f aca="false">Z57*(1-Assumptions!$F$68)+AA56</f>
        <v>23563.8669708197</v>
      </c>
      <c r="AB57" s="71" t="n">
        <f aca="false">AA57*(1-Assumptions!$F$68)+AB56</f>
        <v>24826.5096406689</v>
      </c>
      <c r="AC57" s="71" t="n">
        <f aca="false">AB57*(1-Assumptions!$F$68)+AC56</f>
        <v>25992.6347782647</v>
      </c>
      <c r="AD57" s="71" t="n">
        <f aca="false">AC57*(1-Assumptions!$F$68)+AD56</f>
        <v>27074.2148975571</v>
      </c>
      <c r="AE57" s="71" t="n">
        <f aca="false">AD57*(1-Assumptions!$F$68)+AE56</f>
        <v>28082.7794213837</v>
      </c>
      <c r="AF57" s="71" t="n">
        <f aca="false">AE57*(1-Assumptions!$F$68)+AF56</f>
        <v>29029.186869699</v>
      </c>
      <c r="AG57" s="71" t="n">
        <f aca="false">AF57*(1-Assumptions!$F$68)+AG56</f>
        <v>29923.6932124801</v>
      </c>
      <c r="AH57" s="71" t="n">
        <f aca="false">AG57*(1-Assumptions!$F$68)+AH56</f>
        <v>30776.0595111008</v>
      </c>
      <c r="AI57" s="71" t="n">
        <f aca="false">AH57*(1-Assumptions!$F$68)+AI56</f>
        <v>31595.6613546775</v>
      </c>
      <c r="AJ57" s="71" t="n">
        <f aca="false">AI57*(1-Assumptions!$F$68)+AJ56</f>
        <v>32391.5955692001</v>
      </c>
      <c r="AK57" s="71" t="n">
        <f aca="false">AJ57*(1-Assumptions!$F$68)+AK56</f>
        <v>33172.7846042935</v>
      </c>
      <c r="AL57" s="71" t="n">
        <f aca="false">AK57*(1-Assumptions!$F$68)+AL56</f>
        <v>33948.079722452</v>
      </c>
      <c r="AM57" s="71" t="n">
        <f aca="false">AL57</f>
        <v>33948.079722452</v>
      </c>
    </row>
    <row r="58" customFormat="false" ht="15" hidden="false" customHeight="false" outlineLevel="0" collapsed="false">
      <c r="A58" s="10" t="s">
        <v>793</v>
      </c>
      <c r="B58" s="9" t="s">
        <v>51</v>
      </c>
      <c r="C58" s="61" t="n">
        <f aca="false">0</f>
        <v>0</v>
      </c>
      <c r="D58" s="61" t="n">
        <f aca="false">C57*Assumptions!$F$68</f>
        <v>0</v>
      </c>
      <c r="E58" s="61" t="n">
        <f aca="false">D57*Assumptions!$F$68</f>
        <v>0</v>
      </c>
      <c r="F58" s="61" t="n">
        <f aca="false">E57*Assumptions!$F$68</f>
        <v>0</v>
      </c>
      <c r="G58" s="61" t="n">
        <f aca="false">F57*Assumptions!$F$68</f>
        <v>0</v>
      </c>
      <c r="H58" s="61" t="n">
        <f aca="false">G57*Assumptions!$F$68</f>
        <v>54.1418612488418</v>
      </c>
      <c r="I58" s="61" t="n">
        <f aca="false">H57*Assumptions!$F$68</f>
        <v>112.740333288346</v>
      </c>
      <c r="J58" s="61" t="n">
        <f aca="false">I57*Assumptions!$F$68</f>
        <v>175.784472606555</v>
      </c>
      <c r="K58" s="61" t="n">
        <f aca="false">J57*Assumptions!$F$68</f>
        <v>243.511746837189</v>
      </c>
      <c r="L58" s="61" t="n">
        <f aca="false">K57*Assumptions!$F$68</f>
        <v>316.299875293514</v>
      </c>
      <c r="M58" s="61" t="n">
        <f aca="false">L57*Assumptions!$F$68</f>
        <v>394.593744870637</v>
      </c>
      <c r="N58" s="61" t="n">
        <f aca="false">M57*Assumptions!$F$68</f>
        <v>478.881230839441</v>
      </c>
      <c r="O58" s="61" t="n">
        <f aca="false">N57*Assumptions!$F$68</f>
        <v>569.683562735276</v>
      </c>
      <c r="P58" s="61" t="n">
        <f aca="false">O57*Assumptions!$F$68</f>
        <v>667.551542230139</v>
      </c>
      <c r="Q58" s="61" t="n">
        <f aca="false">P57*Assumptions!$F$68</f>
        <v>773.064588813103</v>
      </c>
      <c r="R58" s="61" t="n">
        <f aca="false">Q57*Assumptions!$F$68</f>
        <v>886.831425153423</v>
      </c>
      <c r="S58" s="61" t="n">
        <f aca="false">R57*Assumptions!$F$68</f>
        <v>1009.49185881899</v>
      </c>
      <c r="T58" s="61" t="n">
        <f aca="false">S57*Assumptions!$F$68</f>
        <v>1141.71938521286</v>
      </c>
      <c r="U58" s="61" t="n">
        <f aca="false">T57*Assumptions!$F$68</f>
        <v>1277.29163777812</v>
      </c>
      <c r="V58" s="61" t="n">
        <f aca="false">U57*Assumptions!$F$68</f>
        <v>1413.56861620326</v>
      </c>
      <c r="W58" s="61" t="n">
        <f aca="false">V57*Assumptions!$F$68</f>
        <v>1550.69648373743</v>
      </c>
      <c r="X58" s="61" t="n">
        <f aca="false">W57*Assumptions!$F$68</f>
        <v>1688.84695683831</v>
      </c>
      <c r="Y58" s="61" t="n">
        <f aca="false">X57*Assumptions!$F$68</f>
        <v>1828.2014940205</v>
      </c>
      <c r="Z58" s="61" t="n">
        <f aca="false">Y57*Assumptions!$F$68</f>
        <v>1968.94765217452</v>
      </c>
      <c r="AA58" s="61" t="n">
        <f aca="false">Z57*Assumptions!$F$68</f>
        <v>2108.48033683227</v>
      </c>
      <c r="AB58" s="61" t="n">
        <f aca="false">AA57*Assumptions!$F$68</f>
        <v>2238.56736222787</v>
      </c>
      <c r="AC58" s="61" t="n">
        <f aca="false">AB57*Assumptions!$F$68</f>
        <v>2358.51841586355</v>
      </c>
      <c r="AD58" s="61" t="n">
        <f aca="false">AC57*Assumptions!$F$68</f>
        <v>2469.30030393515</v>
      </c>
      <c r="AE58" s="61" t="n">
        <f aca="false">AD57*Assumptions!$F$68</f>
        <v>2572.05041526793</v>
      </c>
      <c r="AF58" s="61" t="n">
        <f aca="false">AE57*Assumptions!$F$68</f>
        <v>2667.86404503145</v>
      </c>
      <c r="AG58" s="61" t="n">
        <f aca="false">AF57*Assumptions!$F$68</f>
        <v>2757.77275262141</v>
      </c>
      <c r="AH58" s="61" t="n">
        <f aca="false">AG57*Assumptions!$F$68</f>
        <v>2842.75085518561</v>
      </c>
      <c r="AI58" s="61" t="n">
        <f aca="false">AH57*Assumptions!$F$68</f>
        <v>2923.72565355458</v>
      </c>
      <c r="AJ58" s="61" t="n">
        <f aca="false">AI57*Assumptions!$F$68</f>
        <v>3001.58782869437</v>
      </c>
      <c r="AK58" s="61" t="n">
        <f aca="false">AJ57*Assumptions!$F$68</f>
        <v>3077.20157907401</v>
      </c>
      <c r="AL58" s="61" t="n">
        <f aca="false">AK57*Assumptions!$F$68</f>
        <v>3151.41453740788</v>
      </c>
      <c r="AM58" s="61" t="n">
        <f aca="false">SUM(C58:AL58)</f>
        <v>48721.0825543965</v>
      </c>
    </row>
    <row r="59" customFormat="false" ht="15" hidden="false" customHeight="false" outlineLevel="0" collapsed="false">
      <c r="A59" s="10" t="s">
        <v>794</v>
      </c>
      <c r="B59" s="9" t="s">
        <v>97</v>
      </c>
      <c r="C59" s="70" t="n">
        <f aca="false">C57*Assumptions!$F$70</f>
        <v>0</v>
      </c>
      <c r="D59" s="70" t="n">
        <f aca="false">D57*Assumptions!$F$70</f>
        <v>0</v>
      </c>
      <c r="E59" s="70" t="n">
        <f aca="false">E57*Assumptions!$F$70</f>
        <v>0</v>
      </c>
      <c r="F59" s="70" t="n">
        <f aca="false">F57*Assumptions!$F$70</f>
        <v>0</v>
      </c>
      <c r="G59" s="70" t="n">
        <f aca="false">G57*Assumptions!$F$70</f>
        <v>170404.384351618</v>
      </c>
      <c r="H59" s="70" t="n">
        <f aca="false">H57*Assumptions!$F$70</f>
        <v>354835.364770688</v>
      </c>
      <c r="I59" s="70" t="n">
        <f aca="false">I57*Assumptions!$F$70</f>
        <v>553258.497993262</v>
      </c>
      <c r="J59" s="70" t="n">
        <f aca="false">J57*Assumptions!$F$70</f>
        <v>766421.182150731</v>
      </c>
      <c r="K59" s="70" t="n">
        <f aca="false">K57*Assumptions!$F$70</f>
        <v>995512.239081691</v>
      </c>
      <c r="L59" s="70" t="n">
        <f aca="false">L57*Assumptions!$F$70</f>
        <v>1241931.89175074</v>
      </c>
      <c r="M59" s="70" t="n">
        <f aca="false">M57*Assumptions!$F$70</f>
        <v>1507215.66337887</v>
      </c>
      <c r="N59" s="70" t="n">
        <f aca="false">N57*Assumptions!$F$70</f>
        <v>1793004.05534576</v>
      </c>
      <c r="O59" s="70" t="n">
        <f aca="false">O57*Assumptions!$F$70</f>
        <v>2101030.64344012</v>
      </c>
      <c r="P59" s="70" t="n">
        <f aca="false">P57*Assumptions!$F$70</f>
        <v>2433119.0742644</v>
      </c>
      <c r="Q59" s="70" t="n">
        <f aca="false">Q57*Assumptions!$F$70</f>
        <v>2791185.22232498</v>
      </c>
      <c r="R59" s="70" t="n">
        <f aca="false">R57*Assumptions!$F$70</f>
        <v>3177242.79775661</v>
      </c>
      <c r="S59" s="70" t="n">
        <f aca="false">S57*Assumptions!$F$70</f>
        <v>3593411.53872259</v>
      </c>
      <c r="T59" s="70" t="n">
        <f aca="false">T57*Assumptions!$F$70</f>
        <v>4020107.36521744</v>
      </c>
      <c r="U59" s="70" t="n">
        <f aca="false">U57*Assumptions!$F$70</f>
        <v>4449021.2236292</v>
      </c>
      <c r="V59" s="70" t="n">
        <f aca="false">V57*Assumptions!$F$70</f>
        <v>4880613.14355255</v>
      </c>
      <c r="W59" s="70" t="n">
        <f aca="false">W57*Assumptions!$F$70</f>
        <v>5315423.57994374</v>
      </c>
      <c r="X59" s="70" t="n">
        <f aca="false">X57*Assumptions!$F$70</f>
        <v>5754023.64960137</v>
      </c>
      <c r="Y59" s="70" t="n">
        <f aca="false">Y57*Assumptions!$F$70</f>
        <v>6197003.6631598</v>
      </c>
      <c r="Z59" s="70" t="n">
        <f aca="false">Z57*Assumptions!$F$70</f>
        <v>6636164.4285563</v>
      </c>
      <c r="AA59" s="70" t="n">
        <f aca="false">AA57*Assumptions!$F$70</f>
        <v>7045596.22427508</v>
      </c>
      <c r="AB59" s="70" t="n">
        <f aca="false">AB57*Assumptions!$F$70</f>
        <v>7423126.38256001</v>
      </c>
      <c r="AC59" s="70" t="n">
        <f aca="false">AC57*Assumptions!$F$70</f>
        <v>7771797.79870115</v>
      </c>
      <c r="AD59" s="70" t="n">
        <f aca="false">AD57*Assumptions!$F$70</f>
        <v>8095190.25436958</v>
      </c>
      <c r="AE59" s="70" t="n">
        <f aca="false">AE57*Assumptions!$F$70</f>
        <v>8396751.04699371</v>
      </c>
      <c r="AF59" s="70" t="n">
        <f aca="false">AF57*Assumptions!$F$70</f>
        <v>8679726.87404001</v>
      </c>
      <c r="AG59" s="70" t="n">
        <f aca="false">AG57*Assumptions!$F$70</f>
        <v>8947184.27053155</v>
      </c>
      <c r="AH59" s="70" t="n">
        <f aca="false">AH57*Assumptions!$F$70</f>
        <v>9202041.79381914</v>
      </c>
      <c r="AI59" s="70" t="n">
        <f aca="false">AI57*Assumptions!$F$70</f>
        <v>9447102.74504858</v>
      </c>
      <c r="AJ59" s="70" t="n">
        <f aca="false">AJ57*Assumptions!$F$70</f>
        <v>9685087.07519084</v>
      </c>
      <c r="AK59" s="70" t="n">
        <f aca="false">AK57*Assumptions!$F$70</f>
        <v>9918662.59668375</v>
      </c>
      <c r="AL59" s="70" t="n">
        <f aca="false">AL57*Assumptions!$F$70</f>
        <v>10150475.8370132</v>
      </c>
      <c r="AM59" s="70" t="n">
        <f aca="false">SUM(C59:AL59)</f>
        <v>163493672.508219</v>
      </c>
    </row>
    <row r="60" customFormat="false" ht="15" hidden="false" customHeight="false" outlineLevel="0" collapsed="false">
      <c r="A60" s="10" t="s">
        <v>795</v>
      </c>
      <c r="B60" s="9" t="s">
        <v>97</v>
      </c>
      <c r="C60" s="70" t="n">
        <f aca="false">C53*Assumptions!$F$71</f>
        <v>0</v>
      </c>
      <c r="D60" s="70" t="n">
        <f aca="false">D53*Assumptions!$F$71</f>
        <v>0</v>
      </c>
      <c r="E60" s="70" t="n">
        <f aca="false">E53*Assumptions!$F$71</f>
        <v>0</v>
      </c>
      <c r="F60" s="70" t="n">
        <f aca="false">F53*Assumptions!$F$71</f>
        <v>0</v>
      </c>
      <c r="G60" s="70" t="n">
        <f aca="false">G53*Assumptions!$F$71</f>
        <v>107484.797521674</v>
      </c>
      <c r="H60" s="70" t="n">
        <f aca="false">H53*Assumptions!$F$71</f>
        <v>126543.312487268</v>
      </c>
      <c r="I60" s="70" t="n">
        <f aca="false">I53*Assumptions!$F$71</f>
        <v>146420.610537061</v>
      </c>
      <c r="J60" s="70" t="n">
        <f aca="false">J53*Assumptions!$F$71</f>
        <v>167607.784446048</v>
      </c>
      <c r="K60" s="70" t="n">
        <f aca="false">K53*Assumptions!$F$71</f>
        <v>190428.053960003</v>
      </c>
      <c r="L60" s="70" t="n">
        <f aca="false">L53*Assumptions!$F$71</f>
        <v>215086.0002782</v>
      </c>
      <c r="M60" s="70" t="n">
        <f aca="false">M53*Assumptions!$F$71</f>
        <v>241750.870662358</v>
      </c>
      <c r="N60" s="70" t="n">
        <f aca="false">N53*Assumptions!$F$71</f>
        <v>270580.893842754</v>
      </c>
      <c r="O60" s="70" t="n">
        <f aca="false">O53*Assumptions!$F$71</f>
        <v>301733.080656748</v>
      </c>
      <c r="P60" s="70" t="n">
        <f aca="false">P53*Assumptions!$F$71</f>
        <v>335368.124635404</v>
      </c>
      <c r="Q60" s="70" t="n">
        <f aca="false">Q53*Assumptions!$F$71</f>
        <v>371653.477190492</v>
      </c>
      <c r="R60" s="70" t="n">
        <f aca="false">R53*Assumptions!$F$71</f>
        <v>410765.653405481</v>
      </c>
      <c r="S60" s="70" t="n">
        <f aca="false">S53*Assumptions!$F$71</f>
        <v>452892.198382462</v>
      </c>
      <c r="T60" s="70" t="n">
        <f aca="false">T53*Assumptions!$F$71</f>
        <v>484470.164515838</v>
      </c>
      <c r="U60" s="70" t="n">
        <f aca="false">U53*Assumptions!$F$71</f>
        <v>511437.895468393</v>
      </c>
      <c r="V60" s="70" t="n">
        <f aca="false">V53*Assumptions!$F$71</f>
        <v>538828.706118703</v>
      </c>
      <c r="W60" s="70" t="n">
        <f aca="false">W53*Assumptions!$F$71</f>
        <v>566720.891937875</v>
      </c>
      <c r="X60" s="70" t="n">
        <f aca="false">X53*Assumptions!$F$71</f>
        <v>595166.178693668</v>
      </c>
      <c r="Y60" s="70" t="n">
        <f aca="false">Y53*Assumptions!$F$71</f>
        <v>624210.895892585</v>
      </c>
      <c r="Z60" s="70" t="n">
        <f aca="false">Z53*Assumptions!$F$71</f>
        <v>648346.322462208</v>
      </c>
      <c r="AA60" s="70" t="n">
        <f aca="false">AA53*Assumptions!$F$71</f>
        <v>655909.993923105</v>
      </c>
      <c r="AB60" s="70" t="n">
        <f aca="false">AB53*Assumptions!$F$71</f>
        <v>660321.792718899</v>
      </c>
      <c r="AC60" s="70" t="n">
        <f aca="false">AC53*Assumptions!$F$71</f>
        <v>664741.311887148</v>
      </c>
      <c r="AD60" s="70" t="n">
        <f aca="false">AD53*Assumptions!$F$71</f>
        <v>669689.537421162</v>
      </c>
      <c r="AE60" s="70" t="n">
        <f aca="false">AE53*Assumptions!$F$71</f>
        <v>675297.412596597</v>
      </c>
      <c r="AF60" s="70" t="n">
        <f aca="false">AF53*Assumptions!$F$71</f>
        <v>681644.977020622</v>
      </c>
      <c r="AG60" s="70" t="n">
        <f aca="false">AG53*Assumptions!$F$71</f>
        <v>688813.141082881</v>
      </c>
      <c r="AH60" s="70" t="n">
        <f aca="false">AH53*Assumptions!$F$71</f>
        <v>696892.320355941</v>
      </c>
      <c r="AI60" s="70" t="n">
        <f aca="false">AI53*Assumptions!$F$71</f>
        <v>705984.702715273</v>
      </c>
      <c r="AJ60" s="70" t="n">
        <f aca="false">AJ53*Assumptions!$F$71</f>
        <v>716205.694743461</v>
      </c>
      <c r="AK60" s="70" t="n">
        <f aca="false">AK53*Assumptions!$F$71</f>
        <v>727685.395624575</v>
      </c>
      <c r="AL60" s="70" t="n">
        <f aca="false">AL53*Assumptions!$F$71</f>
        <v>740570.241572162</v>
      </c>
      <c r="AM60" s="70" t="n">
        <f aca="false">SUM(C60:AL60)</f>
        <v>15591252.4347571</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277889.181873292</v>
      </c>
      <c r="H61" s="70" t="n">
        <f aca="false">H59+H60</f>
        <v>481378.677257956</v>
      </c>
      <c r="I61" s="70" t="n">
        <f aca="false">I59+I60</f>
        <v>699679.108530323</v>
      </c>
      <c r="J61" s="70" t="n">
        <f aca="false">J59+J60</f>
        <v>934028.966596779</v>
      </c>
      <c r="K61" s="70" t="n">
        <f aca="false">K59+K60</f>
        <v>1185940.29304169</v>
      </c>
      <c r="L61" s="70" t="n">
        <f aca="false">L59+L60</f>
        <v>1457017.89202894</v>
      </c>
      <c r="M61" s="70" t="n">
        <f aca="false">M59+M60</f>
        <v>1748966.53404123</v>
      </c>
      <c r="N61" s="70" t="n">
        <f aca="false">N59+N60</f>
        <v>2063584.94918852</v>
      </c>
      <c r="O61" s="70" t="n">
        <f aca="false">O59+O60</f>
        <v>2402763.72409687</v>
      </c>
      <c r="P61" s="70" t="n">
        <f aca="false">P59+P60</f>
        <v>2768487.1988998</v>
      </c>
      <c r="Q61" s="70" t="n">
        <f aca="false">Q59+Q60</f>
        <v>3162838.69951548</v>
      </c>
      <c r="R61" s="70" t="n">
        <f aca="false">R59+R60</f>
        <v>3588008.4511621</v>
      </c>
      <c r="S61" s="70" t="n">
        <f aca="false">S59+S60</f>
        <v>4046303.73710505</v>
      </c>
      <c r="T61" s="70" t="n">
        <f aca="false">T59+T60</f>
        <v>4504577.52973327</v>
      </c>
      <c r="U61" s="70" t="n">
        <f aca="false">U59+U60</f>
        <v>4960459.1190976</v>
      </c>
      <c r="V61" s="70" t="n">
        <f aca="false">V59+V60</f>
        <v>5419441.84967125</v>
      </c>
      <c r="W61" s="70" t="n">
        <f aca="false">W59+W60</f>
        <v>5882144.47188162</v>
      </c>
      <c r="X61" s="70" t="n">
        <f aca="false">X59+X60</f>
        <v>6349189.82829503</v>
      </c>
      <c r="Y61" s="70" t="n">
        <f aca="false">Y59+Y60</f>
        <v>6821214.55905238</v>
      </c>
      <c r="Z61" s="70" t="n">
        <f aca="false">Z59+Z60</f>
        <v>7284510.75101851</v>
      </c>
      <c r="AA61" s="70" t="n">
        <f aca="false">AA59+AA60</f>
        <v>7701506.21819819</v>
      </c>
      <c r="AB61" s="70" t="n">
        <f aca="false">AB59+AB60</f>
        <v>8083448.17527891</v>
      </c>
      <c r="AC61" s="70" t="n">
        <f aca="false">AC59+AC60</f>
        <v>8436539.1105883</v>
      </c>
      <c r="AD61" s="70" t="n">
        <f aca="false">AD59+AD60</f>
        <v>8764879.79179074</v>
      </c>
      <c r="AE61" s="70" t="n">
        <f aca="false">AE59+AE60</f>
        <v>9072048.45959031</v>
      </c>
      <c r="AF61" s="70" t="n">
        <f aca="false">AF59+AF60</f>
        <v>9361371.85106063</v>
      </c>
      <c r="AG61" s="70" t="n">
        <f aca="false">AG59+AG60</f>
        <v>9635997.41161443</v>
      </c>
      <c r="AH61" s="70" t="n">
        <f aca="false">AH59+AH60</f>
        <v>9898934.11417508</v>
      </c>
      <c r="AI61" s="70" t="n">
        <f aca="false">AI59+AI60</f>
        <v>10153087.4477639</v>
      </c>
      <c r="AJ61" s="70" t="n">
        <f aca="false">AJ59+AJ60</f>
        <v>10401292.7699343</v>
      </c>
      <c r="AK61" s="70" t="n">
        <f aca="false">AK59+AK60</f>
        <v>10646347.9923083</v>
      </c>
      <c r="AL61" s="70" t="n">
        <f aca="false">AL59+AL60</f>
        <v>10891046.0785853</v>
      </c>
      <c r="AM61" s="70" t="n">
        <f aca="false">SUM(C61:AL61)</f>
        <v>179084924.942976</v>
      </c>
    </row>
    <row r="62" customFormat="false" ht="15" hidden="false" customHeight="false" outlineLevel="0" collapsed="false">
      <c r="A62" s="10" t="s">
        <v>797</v>
      </c>
      <c r="B62" s="9" t="s">
        <v>97</v>
      </c>
      <c r="C62" s="70" t="n">
        <f aca="false">-C61*Assumptions!$F$80</f>
        <v>-0</v>
      </c>
      <c r="D62" s="70" t="n">
        <f aca="false">-D61*Assumptions!$F$80</f>
        <v>-0</v>
      </c>
      <c r="E62" s="70" t="n">
        <f aca="false">-E61*Assumptions!$F$80</f>
        <v>-0</v>
      </c>
      <c r="F62" s="70" t="n">
        <f aca="false">-F61*Assumptions!$F$80</f>
        <v>-0</v>
      </c>
      <c r="G62" s="70" t="n">
        <f aca="false">-G61*Assumptions!$F$80</f>
        <v>-6113.56200121243</v>
      </c>
      <c r="H62" s="70" t="n">
        <f aca="false">-H61*Assumptions!$F$80</f>
        <v>-10590.330899675</v>
      </c>
      <c r="I62" s="70" t="n">
        <f aca="false">-I61*Assumptions!$F$80</f>
        <v>-15392.9403876671</v>
      </c>
      <c r="J62" s="70" t="n">
        <f aca="false">-J61*Assumptions!$F$80</f>
        <v>-20548.6372651291</v>
      </c>
      <c r="K62" s="70" t="n">
        <f aca="false">-K61*Assumptions!$F$80</f>
        <v>-26090.6864469173</v>
      </c>
      <c r="L62" s="70" t="n">
        <f aca="false">-L61*Assumptions!$F$80</f>
        <v>-32054.3936246367</v>
      </c>
      <c r="M62" s="70" t="n">
        <f aca="false">-M61*Assumptions!$F$80</f>
        <v>-38477.263748907</v>
      </c>
      <c r="N62" s="70" t="n">
        <f aca="false">-N61*Assumptions!$F$80</f>
        <v>-45398.8688821474</v>
      </c>
      <c r="O62" s="70" t="n">
        <f aca="false">-O61*Assumptions!$F$80</f>
        <v>-52860.8019301311</v>
      </c>
      <c r="P62" s="70" t="n">
        <f aca="false">-P61*Assumptions!$F$80</f>
        <v>-60906.7183757956</v>
      </c>
      <c r="Q62" s="70" t="n">
        <f aca="false">-Q61*Assumptions!$F$80</f>
        <v>-69582.4513893405</v>
      </c>
      <c r="R62" s="70" t="n">
        <f aca="false">-R61*Assumptions!$F$80</f>
        <v>-78936.1859255661</v>
      </c>
      <c r="S62" s="70" t="n">
        <f aca="false">-S61*Assumptions!$F$80</f>
        <v>-89018.6822163111</v>
      </c>
      <c r="T62" s="70" t="n">
        <f aca="false">-T61*Assumptions!$F$80</f>
        <v>-99100.705654132</v>
      </c>
      <c r="U62" s="70" t="n">
        <f aca="false">-U61*Assumptions!$F$80</f>
        <v>-109130.100620147</v>
      </c>
      <c r="V62" s="70" t="n">
        <f aca="false">-V61*Assumptions!$F$80</f>
        <v>-119227.720692768</v>
      </c>
      <c r="W62" s="70" t="n">
        <f aca="false">-W61*Assumptions!$F$80</f>
        <v>-129407.178381396</v>
      </c>
      <c r="X62" s="70" t="n">
        <f aca="false">-X61*Assumptions!$F$80</f>
        <v>-139682.176222491</v>
      </c>
      <c r="Y62" s="70" t="n">
        <f aca="false">-Y61*Assumptions!$F$80</f>
        <v>-150066.720299152</v>
      </c>
      <c r="Z62" s="70" t="n">
        <f aca="false">-Z61*Assumptions!$F$80</f>
        <v>-160259.236522407</v>
      </c>
      <c r="AA62" s="70" t="n">
        <f aca="false">-AA61*Assumptions!$F$80</f>
        <v>-169433.13680036</v>
      </c>
      <c r="AB62" s="70" t="n">
        <f aca="false">-AB61*Assumptions!$F$80</f>
        <v>-177835.859856136</v>
      </c>
      <c r="AC62" s="70" t="n">
        <f aca="false">-AC61*Assumptions!$F$80</f>
        <v>-185603.860432943</v>
      </c>
      <c r="AD62" s="70" t="n">
        <f aca="false">-AD61*Assumptions!$F$80</f>
        <v>-192827.355419396</v>
      </c>
      <c r="AE62" s="70" t="n">
        <f aca="false">-AE61*Assumptions!$F$80</f>
        <v>-199585.066110987</v>
      </c>
      <c r="AF62" s="70" t="n">
        <f aca="false">-AF61*Assumptions!$F$80</f>
        <v>-205950.180723334</v>
      </c>
      <c r="AG62" s="70" t="n">
        <f aca="false">-AG61*Assumptions!$F$80</f>
        <v>-211991.943055518</v>
      </c>
      <c r="AH62" s="70" t="n">
        <f aca="false">-AH61*Assumptions!$F$80</f>
        <v>-217776.550511852</v>
      </c>
      <c r="AI62" s="70" t="n">
        <f aca="false">-AI61*Assumptions!$F$80</f>
        <v>-223367.923850805</v>
      </c>
      <c r="AJ62" s="70" t="n">
        <f aca="false">-AJ61*Assumptions!$F$80</f>
        <v>-228828.440938555</v>
      </c>
      <c r="AK62" s="70" t="n">
        <f aca="false">-AK61*Assumptions!$F$80</f>
        <v>-234219.655830783</v>
      </c>
      <c r="AL62" s="70" t="n">
        <f aca="false">-AL61*Assumptions!$F$80</f>
        <v>-239603.013728877</v>
      </c>
      <c r="AM62" s="70" t="n">
        <f aca="false">SUM(C62:AL62)</f>
        <v>-3939868.34874547</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271775.61987208</v>
      </c>
      <c r="H63" s="53" t="n">
        <f aca="false">H61+H62</f>
        <v>470788.346358281</v>
      </c>
      <c r="I63" s="53" t="n">
        <f aca="false">I61+I62</f>
        <v>684286.168142656</v>
      </c>
      <c r="J63" s="53" t="n">
        <f aca="false">J61+J62</f>
        <v>913480.32933165</v>
      </c>
      <c r="K63" s="53" t="n">
        <f aca="false">K61+K62</f>
        <v>1159849.60659478</v>
      </c>
      <c r="L63" s="53" t="n">
        <f aca="false">L61+L62</f>
        <v>1424963.49840431</v>
      </c>
      <c r="M63" s="53" t="n">
        <f aca="false">M61+M62</f>
        <v>1710489.27029232</v>
      </c>
      <c r="N63" s="53" t="n">
        <f aca="false">N61+N62</f>
        <v>2018186.08030637</v>
      </c>
      <c r="O63" s="53" t="n">
        <f aca="false">O61+O62</f>
        <v>2349902.92216674</v>
      </c>
      <c r="P63" s="53" t="n">
        <f aca="false">P61+P62</f>
        <v>2707580.48052401</v>
      </c>
      <c r="Q63" s="53" t="n">
        <f aca="false">Q61+Q62</f>
        <v>3093256.24812614</v>
      </c>
      <c r="R63" s="53" t="n">
        <f aca="false">R61+R62</f>
        <v>3509072.26523653</v>
      </c>
      <c r="S63" s="53" t="n">
        <f aca="false">S61+S62</f>
        <v>3957285.05488874</v>
      </c>
      <c r="T63" s="53" t="n">
        <f aca="false">T61+T62</f>
        <v>4405476.82407914</v>
      </c>
      <c r="U63" s="53" t="n">
        <f aca="false">U61+U62</f>
        <v>4851329.01847745</v>
      </c>
      <c r="V63" s="53" t="n">
        <f aca="false">V61+V62</f>
        <v>5300214.12897849</v>
      </c>
      <c r="W63" s="53" t="n">
        <f aca="false">W61+W62</f>
        <v>5752737.29350022</v>
      </c>
      <c r="X63" s="53" t="n">
        <f aca="false">X61+X62</f>
        <v>6209507.65207254</v>
      </c>
      <c r="Y63" s="53" t="n">
        <f aca="false">Y61+Y62</f>
        <v>6671147.83875323</v>
      </c>
      <c r="Z63" s="53" t="n">
        <f aca="false">Z61+Z62</f>
        <v>7124251.5144961</v>
      </c>
      <c r="AA63" s="53" t="n">
        <f aca="false">AA61+AA62</f>
        <v>7532073.08139783</v>
      </c>
      <c r="AB63" s="53" t="n">
        <f aca="false">AB61+AB62</f>
        <v>7905612.31542277</v>
      </c>
      <c r="AC63" s="53" t="n">
        <f aca="false">AC61+AC62</f>
        <v>8250935.25015536</v>
      </c>
      <c r="AD63" s="53" t="n">
        <f aca="false">AD61+AD62</f>
        <v>8572052.43637135</v>
      </c>
      <c r="AE63" s="53" t="n">
        <f aca="false">AE61+AE62</f>
        <v>8872463.39347932</v>
      </c>
      <c r="AF63" s="53" t="n">
        <f aca="false">AF61+AF62</f>
        <v>9155421.6703373</v>
      </c>
      <c r="AG63" s="53" t="n">
        <f aca="false">AG61+AG62</f>
        <v>9424005.46855892</v>
      </c>
      <c r="AH63" s="53" t="n">
        <f aca="false">AH61+AH62</f>
        <v>9681157.56366322</v>
      </c>
      <c r="AI63" s="53" t="n">
        <f aca="false">AI61+AI62</f>
        <v>9929719.52391305</v>
      </c>
      <c r="AJ63" s="53" t="n">
        <f aca="false">AJ61+AJ62</f>
        <v>10172464.3289958</v>
      </c>
      <c r="AK63" s="53" t="n">
        <f aca="false">AK61+AK62</f>
        <v>10412128.3364775</v>
      </c>
      <c r="AL63" s="53" t="n">
        <f aca="false">AL61+AL62</f>
        <v>10651443.0648564</v>
      </c>
      <c r="AM63" s="53" t="n">
        <f aca="false">SUM(C63:AL63)</f>
        <v>175145056.594231</v>
      </c>
    </row>
    <row r="64" customFormat="false" ht="15" hidden="false" customHeight="false" outlineLevel="0" collapsed="false">
      <c r="A64" s="10" t="s">
        <v>799</v>
      </c>
      <c r="B64" s="9" t="s">
        <v>97</v>
      </c>
      <c r="C64" s="70" t="n">
        <f aca="false">-C57*Assumptions!$F$73</f>
        <v>-0</v>
      </c>
      <c r="D64" s="70" t="n">
        <f aca="false">-D57*Assumptions!$F$73</f>
        <v>-0</v>
      </c>
      <c r="E64" s="70" t="n">
        <f aca="false">-E57*Assumptions!$F$73</f>
        <v>-0</v>
      </c>
      <c r="F64" s="70" t="n">
        <f aca="false">-F57*Assumptions!$F$73</f>
        <v>-0</v>
      </c>
      <c r="G64" s="70" t="n">
        <f aca="false">-G57*Assumptions!$F$73</f>
        <v>-42743.5746701382</v>
      </c>
      <c r="H64" s="70" t="n">
        <f aca="false">-H57*Assumptions!$F$73</f>
        <v>-89005.5262802728</v>
      </c>
      <c r="I64" s="70" t="n">
        <f aca="false">-I57*Assumptions!$F$73</f>
        <v>-138777.215215701</v>
      </c>
      <c r="J64" s="70" t="n">
        <f aca="false">-J57*Assumptions!$F$73</f>
        <v>-192246.115924096</v>
      </c>
      <c r="K64" s="70" t="n">
        <f aca="false">-K57*Assumptions!$F$73</f>
        <v>-249710.4278633</v>
      </c>
      <c r="L64" s="70" t="n">
        <f aca="false">-L57*Assumptions!$F$73</f>
        <v>-311521.37752945</v>
      </c>
      <c r="M64" s="70" t="n">
        <f aca="false">-M57*Assumptions!$F$73</f>
        <v>-378064.129610085</v>
      </c>
      <c r="N64" s="70" t="n">
        <f aca="false">-N57*Assumptions!$F$73</f>
        <v>-449750.181106797</v>
      </c>
      <c r="O64" s="70" t="n">
        <f aca="false">-O57*Assumptions!$F$73</f>
        <v>-527014.375444846</v>
      </c>
      <c r="P64" s="70" t="n">
        <f aca="false">-P57*Assumptions!$F$73</f>
        <v>-610314.149062976</v>
      </c>
      <c r="Q64" s="70" t="n">
        <f aca="false">-Q57*Assumptions!$F$73</f>
        <v>-700130.072489544</v>
      </c>
      <c r="R64" s="70" t="n">
        <f aca="false">-R57*Assumptions!$F$73</f>
        <v>-796967.256962362</v>
      </c>
      <c r="S64" s="70" t="n">
        <f aca="false">-S57*Assumptions!$F$73</f>
        <v>-901357.409378576</v>
      </c>
      <c r="T64" s="70" t="n">
        <f aca="false">-T57*Assumptions!$F$73</f>
        <v>-1008388.13508799</v>
      </c>
      <c r="U64" s="70" t="n">
        <f aca="false">-U57*Assumptions!$F$73</f>
        <v>-1115975.22331836</v>
      </c>
      <c r="V64" s="70" t="n">
        <f aca="false">-V57*Assumptions!$F$73</f>
        <v>-1224234.0661085</v>
      </c>
      <c r="W64" s="70" t="n">
        <f aca="false">-W57*Assumptions!$F$73</f>
        <v>-1333300.22908288</v>
      </c>
      <c r="X64" s="70" t="n">
        <f aca="false">-X57*Assumptions!$F$73</f>
        <v>-1443316.96896355</v>
      </c>
      <c r="Y64" s="70" t="n">
        <f aca="false">-Y57*Assumptions!$F$73</f>
        <v>-1554432.35697988</v>
      </c>
      <c r="Z64" s="70" t="n">
        <f aca="false">-Z57*Assumptions!$F$73</f>
        <v>-1664589.73960442</v>
      </c>
      <c r="AA64" s="70" t="n">
        <f aca="false">-AA57*Assumptions!$F$73</f>
        <v>-1767290.02281148</v>
      </c>
      <c r="AB64" s="70" t="n">
        <f aca="false">-AB57*Assumptions!$F$73</f>
        <v>-1861988.22305017</v>
      </c>
      <c r="AC64" s="70" t="n">
        <f aca="false">-AC57*Assumptions!$F$73</f>
        <v>-1949447.60836985</v>
      </c>
      <c r="AD64" s="70" t="n">
        <f aca="false">-AD57*Assumptions!$F$73</f>
        <v>-2030566.11731678</v>
      </c>
      <c r="AE64" s="70" t="n">
        <f aca="false">-AE57*Assumptions!$F$73</f>
        <v>-2106208.45660377</v>
      </c>
      <c r="AF64" s="70" t="n">
        <f aca="false">-AF57*Assumptions!$F$73</f>
        <v>-2177189.01522743</v>
      </c>
      <c r="AG64" s="70" t="n">
        <f aca="false">-AG57*Assumptions!$F$73</f>
        <v>-2244276.99093601</v>
      </c>
      <c r="AH64" s="70" t="n">
        <f aca="false">-AH57*Assumptions!$F$73</f>
        <v>-2308204.46333256</v>
      </c>
      <c r="AI64" s="70" t="n">
        <f aca="false">-AI57*Assumptions!$F$73</f>
        <v>-2369674.60160081</v>
      </c>
      <c r="AJ64" s="70" t="n">
        <f aca="false">-AJ57*Assumptions!$F$73</f>
        <v>-2429369.66769001</v>
      </c>
      <c r="AK64" s="70" t="n">
        <f aca="false">-AK57*Assumptions!$F$73</f>
        <v>-2487958.84532201</v>
      </c>
      <c r="AL64" s="70" t="n">
        <f aca="false">-AL57*Assumptions!$F$73</f>
        <v>-2546105.9791839</v>
      </c>
      <c r="AM64" s="70" t="n">
        <f aca="false">SUM(C64:AL64)</f>
        <v>-41010118.5221285</v>
      </c>
    </row>
    <row r="65" customFormat="false" ht="15" hidden="false" customHeight="false" outlineLevel="0" collapsed="false">
      <c r="A65" s="10" t="s">
        <v>800</v>
      </c>
      <c r="B65" s="9" t="s">
        <v>97</v>
      </c>
      <c r="C65" s="70" t="n">
        <f aca="false">-C54*Assumptions!$F$74</f>
        <v>-0</v>
      </c>
      <c r="D65" s="70" t="n">
        <f aca="false">-D54*Assumptions!$F$74</f>
        <v>-0</v>
      </c>
      <c r="E65" s="70" t="n">
        <f aca="false">-E54*Assumptions!$F$74</f>
        <v>-0</v>
      </c>
      <c r="F65" s="70" t="n">
        <f aca="false">-F54*Assumptions!$F$74</f>
        <v>-0</v>
      </c>
      <c r="G65" s="70" t="n">
        <f aca="false">-G54*Assumptions!$F$74</f>
        <v>-38313.5683317766</v>
      </c>
      <c r="H65" s="70" t="n">
        <f aca="false">-H54*Assumptions!$F$74</f>
        <v>-45107.0845524237</v>
      </c>
      <c r="I65" s="70" t="n">
        <f aca="false">-I54*Assumptions!$F$74</f>
        <v>-52192.4606673877</v>
      </c>
      <c r="J65" s="70" t="n">
        <f aca="false">-J54*Assumptions!$F$74</f>
        <v>-59744.74949368</v>
      </c>
      <c r="K65" s="70" t="n">
        <f aca="false">-K54*Assumptions!$F$74</f>
        <v>-67879.1645508061</v>
      </c>
      <c r="L65" s="70" t="n">
        <f aca="false">-L54*Assumptions!$F$74</f>
        <v>-76668.6299725836</v>
      </c>
      <c r="M65" s="70" t="n">
        <f aca="false">-M54*Assumptions!$F$74</f>
        <v>-86173.474909519</v>
      </c>
      <c r="N65" s="70" t="n">
        <f aca="false">-N54*Assumptions!$F$74</f>
        <v>-96450.1008938221</v>
      </c>
      <c r="O65" s="70" t="n">
        <f aca="false">-O54*Assumptions!$F$74</f>
        <v>-107554.475332836</v>
      </c>
      <c r="P65" s="70" t="n">
        <f aca="false">-P54*Assumptions!$F$74</f>
        <v>-119543.87835105</v>
      </c>
      <c r="Q65" s="70" t="n">
        <f aca="false">-Q54*Assumptions!$F$74</f>
        <v>-132477.998958029</v>
      </c>
      <c r="R65" s="70" t="n">
        <f aca="false">-R54*Assumptions!$F$74</f>
        <v>-146419.756960739</v>
      </c>
      <c r="S65" s="70" t="n">
        <f aca="false">-S54*Assumptions!$F$74</f>
        <v>-161436.003879116</v>
      </c>
      <c r="T65" s="70" t="n">
        <f aca="false">-T54*Assumptions!$F$74</f>
        <v>-172692.149781848</v>
      </c>
      <c r="U65" s="70" t="n">
        <f aca="false">-U54*Assumptions!$F$74</f>
        <v>-182304.951093544</v>
      </c>
      <c r="V65" s="70" t="n">
        <f aca="false">-V54*Assumptions!$F$74</f>
        <v>-192068.561573452</v>
      </c>
      <c r="W65" s="70" t="n">
        <f aca="false">-W54*Assumptions!$F$74</f>
        <v>-202010.890088235</v>
      </c>
      <c r="X65" s="70" t="n">
        <f aca="false">-X54*Assumptions!$F$74</f>
        <v>-212150.374582452</v>
      </c>
      <c r="Y65" s="70" t="n">
        <f aca="false">-Y54*Assumptions!$F$74</f>
        <v>-222503.529472598</v>
      </c>
      <c r="Z65" s="70" t="n">
        <f aca="false">-Z54*Assumptions!$F$74</f>
        <v>-231106.739753618</v>
      </c>
      <c r="AA65" s="70" t="n">
        <f aca="false">-AA54*Assumptions!$F$74</f>
        <v>-233802.853530059</v>
      </c>
      <c r="AB65" s="70" t="n">
        <f aca="false">-AB54*Assumptions!$F$74</f>
        <v>-235375.464341319</v>
      </c>
      <c r="AC65" s="70" t="n">
        <f aca="false">-AC54*Assumptions!$F$74</f>
        <v>-236950.827123318</v>
      </c>
      <c r="AD65" s="70" t="n">
        <f aca="false">-AD54*Assumptions!$F$74</f>
        <v>-238714.650301012</v>
      </c>
      <c r="AE65" s="70" t="n">
        <f aca="false">-AE54*Assumptions!$F$74</f>
        <v>-240713.609350888</v>
      </c>
      <c r="AF65" s="70" t="n">
        <f aca="false">-AF54*Assumptions!$F$74</f>
        <v>-242976.234846845</v>
      </c>
      <c r="AG65" s="70" t="n">
        <f aca="false">-AG54*Assumptions!$F$74</f>
        <v>-245531.367758151</v>
      </c>
      <c r="AH65" s="70" t="n">
        <f aca="false">-AH54*Assumptions!$F$74</f>
        <v>-248411.237230674</v>
      </c>
      <c r="AI65" s="70" t="n">
        <f aca="false">-AI54*Assumptions!$F$74</f>
        <v>-251652.26871471</v>
      </c>
      <c r="AJ65" s="70" t="n">
        <f aca="false">-AJ54*Assumptions!$F$74</f>
        <v>-255295.599543998</v>
      </c>
      <c r="AK65" s="70" t="n">
        <f aca="false">-AK54*Assumptions!$F$74</f>
        <v>-259387.604313772</v>
      </c>
      <c r="AL65" s="70" t="n">
        <f aca="false">-AL54*Assumptions!$F$74</f>
        <v>-263980.481046482</v>
      </c>
      <c r="AM65" s="70" t="n">
        <f aca="false">SUM(C65:AL65)</f>
        <v>-5557590.74130074</v>
      </c>
    </row>
    <row r="66" customFormat="false" ht="15" hidden="false" customHeight="false" outlineLevel="0" collapsed="false">
      <c r="A66" s="10" t="s">
        <v>801</v>
      </c>
      <c r="B66" s="9" t="s">
        <v>97</v>
      </c>
      <c r="C66" s="70" t="n">
        <f aca="false">-C57*Assumptions!$F$75</f>
        <v>-0</v>
      </c>
      <c r="D66" s="70" t="n">
        <f aca="false">-D57*Assumptions!$F$75</f>
        <v>-0</v>
      </c>
      <c r="E66" s="70" t="n">
        <f aca="false">-E57*Assumptions!$F$75</f>
        <v>-0</v>
      </c>
      <c r="F66" s="70" t="n">
        <f aca="false">-F57*Assumptions!$F$75</f>
        <v>-0</v>
      </c>
      <c r="G66" s="70" t="n">
        <f aca="false">-G57*Assumptions!$F$75</f>
        <v>-3704.44313807865</v>
      </c>
      <c r="H66" s="70" t="n">
        <f aca="false">-H57*Assumptions!$F$75</f>
        <v>-7713.81227762364</v>
      </c>
      <c r="I66" s="70" t="n">
        <f aca="false">-I57*Assumptions!$F$75</f>
        <v>-12027.3586520274</v>
      </c>
      <c r="J66" s="70" t="n">
        <f aca="false">-J57*Assumptions!$F$75</f>
        <v>-16661.330046755</v>
      </c>
      <c r="K66" s="70" t="n">
        <f aca="false">-K57*Assumptions!$F$75</f>
        <v>-21641.5704148194</v>
      </c>
      <c r="L66" s="70" t="n">
        <f aca="false">-L57*Assumptions!$F$75</f>
        <v>-26998.5193858857</v>
      </c>
      <c r="M66" s="70" t="n">
        <f aca="false">-M57*Assumptions!$F$75</f>
        <v>-32765.5578995407</v>
      </c>
      <c r="N66" s="70" t="n">
        <f aca="false">-N57*Assumptions!$F$75</f>
        <v>-38978.3490292557</v>
      </c>
      <c r="O66" s="70" t="n">
        <f aca="false">-O57*Assumptions!$F$75</f>
        <v>-45674.57920522</v>
      </c>
      <c r="P66" s="70" t="n">
        <f aca="false">-P57*Assumptions!$F$75</f>
        <v>-52893.8929187913</v>
      </c>
      <c r="Q66" s="70" t="n">
        <f aca="false">-Q57*Assumptions!$F$75</f>
        <v>-60677.9396157605</v>
      </c>
      <c r="R66" s="70" t="n">
        <f aca="false">-R57*Assumptions!$F$75</f>
        <v>-69070.4956034047</v>
      </c>
      <c r="S66" s="70" t="n">
        <f aca="false">-S57*Assumptions!$F$75</f>
        <v>-78117.6421461432</v>
      </c>
      <c r="T66" s="70" t="n">
        <f aca="false">-T57*Assumptions!$F$75</f>
        <v>-87393.6383742921</v>
      </c>
      <c r="U66" s="70" t="n">
        <f aca="false">-U57*Assumptions!$F$75</f>
        <v>-96717.8526875913</v>
      </c>
      <c r="V66" s="70" t="n">
        <f aca="false">-V57*Assumptions!$F$75</f>
        <v>-106100.285729403</v>
      </c>
      <c r="W66" s="70" t="n">
        <f aca="false">-W57*Assumptions!$F$75</f>
        <v>-115552.686520516</v>
      </c>
      <c r="X66" s="70" t="n">
        <f aca="false">-X57*Assumptions!$F$75</f>
        <v>-125087.470643508</v>
      </c>
      <c r="Y66" s="70" t="n">
        <f aca="false">-Y57*Assumptions!$F$75</f>
        <v>-134717.470938256</v>
      </c>
      <c r="Z66" s="70" t="n">
        <f aca="false">-Z57*Assumptions!$F$75</f>
        <v>-144264.44409905</v>
      </c>
      <c r="AA66" s="70" t="n">
        <f aca="false">-AA57*Assumptions!$F$75</f>
        <v>-153165.135310328</v>
      </c>
      <c r="AB66" s="70" t="n">
        <f aca="false">-AB57*Assumptions!$F$75</f>
        <v>-161372.312664348</v>
      </c>
      <c r="AC66" s="70" t="n">
        <f aca="false">-AC57*Assumptions!$F$75</f>
        <v>-168952.126058721</v>
      </c>
      <c r="AD66" s="70" t="n">
        <f aca="false">-AD57*Assumptions!$F$75</f>
        <v>-175982.396834121</v>
      </c>
      <c r="AE66" s="70" t="n">
        <f aca="false">-AE57*Assumptions!$F$75</f>
        <v>-182538.066238994</v>
      </c>
      <c r="AF66" s="70" t="n">
        <f aca="false">-AF57*Assumptions!$F$75</f>
        <v>-188689.714653044</v>
      </c>
      <c r="AG66" s="70" t="n">
        <f aca="false">-AG57*Assumptions!$F$75</f>
        <v>-194504.005881121</v>
      </c>
      <c r="AH66" s="70" t="n">
        <f aca="false">-AH57*Assumptions!$F$75</f>
        <v>-200044.386822155</v>
      </c>
      <c r="AI66" s="70" t="n">
        <f aca="false">-AI57*Assumptions!$F$75</f>
        <v>-205371.798805404</v>
      </c>
      <c r="AJ66" s="70" t="n">
        <f aca="false">-AJ57*Assumptions!$F$75</f>
        <v>-210545.371199801</v>
      </c>
      <c r="AK66" s="70" t="n">
        <f aca="false">-AK57*Assumptions!$F$75</f>
        <v>-215623.099927908</v>
      </c>
      <c r="AL66" s="70" t="n">
        <f aca="false">-AL57*Assumptions!$F$75</f>
        <v>-220662.518195938</v>
      </c>
      <c r="AM66" s="70" t="n">
        <f aca="false">SUM(C66:AL66)</f>
        <v>-3554210.27191781</v>
      </c>
    </row>
    <row r="67" customFormat="false" ht="15" hidden="false" customHeight="false" outlineLevel="0" collapsed="false">
      <c r="A67" s="10" t="s">
        <v>802</v>
      </c>
      <c r="B67" s="9" t="s">
        <v>97</v>
      </c>
      <c r="C67" s="70" t="n">
        <f aca="false">-C57*Assumptions!$F$76</f>
        <v>-0</v>
      </c>
      <c r="D67" s="70" t="n">
        <f aca="false">-D57*Assumptions!$F$76</f>
        <v>-0</v>
      </c>
      <c r="E67" s="70" t="n">
        <f aca="false">-E57*Assumptions!$F$76</f>
        <v>-0</v>
      </c>
      <c r="F67" s="70" t="n">
        <f aca="false">-F57*Assumptions!$F$76</f>
        <v>-0</v>
      </c>
      <c r="G67" s="70" t="n">
        <f aca="false">-G57*Assumptions!$F$76</f>
        <v>-8548.71493402765</v>
      </c>
      <c r="H67" s="70" t="n">
        <f aca="false">-H57*Assumptions!$F$76</f>
        <v>-17801.1052560546</v>
      </c>
      <c r="I67" s="70" t="n">
        <f aca="false">-I57*Assumptions!$F$76</f>
        <v>-27755.4430431403</v>
      </c>
      <c r="J67" s="70" t="n">
        <f aca="false">-J57*Assumptions!$F$76</f>
        <v>-38449.2231848193</v>
      </c>
      <c r="K67" s="70" t="n">
        <f aca="false">-K57*Assumptions!$F$76</f>
        <v>-49942.0855726601</v>
      </c>
      <c r="L67" s="70" t="n">
        <f aca="false">-L57*Assumptions!$F$76</f>
        <v>-62304.2755058901</v>
      </c>
      <c r="M67" s="70" t="n">
        <f aca="false">-M57*Assumptions!$F$76</f>
        <v>-75612.8259220169</v>
      </c>
      <c r="N67" s="70" t="n">
        <f aca="false">-N57*Assumptions!$F$76</f>
        <v>-89950.0362213594</v>
      </c>
      <c r="O67" s="70" t="n">
        <f aca="false">-O57*Assumptions!$F$76</f>
        <v>-105402.875088969</v>
      </c>
      <c r="P67" s="70" t="n">
        <f aca="false">-P57*Assumptions!$F$76</f>
        <v>-122062.829812595</v>
      </c>
      <c r="Q67" s="70" t="n">
        <f aca="false">-Q57*Assumptions!$F$76</f>
        <v>-140026.014497909</v>
      </c>
      <c r="R67" s="70" t="n">
        <f aca="false">-R57*Assumptions!$F$76</f>
        <v>-159393.451392472</v>
      </c>
      <c r="S67" s="70" t="n">
        <f aca="false">-S57*Assumptions!$F$76</f>
        <v>-180271.481875715</v>
      </c>
      <c r="T67" s="70" t="n">
        <f aca="false">-T57*Assumptions!$F$76</f>
        <v>-201677.627017597</v>
      </c>
      <c r="U67" s="70" t="n">
        <f aca="false">-U57*Assumptions!$F$76</f>
        <v>-223195.044663672</v>
      </c>
      <c r="V67" s="70" t="n">
        <f aca="false">-V57*Assumptions!$F$76</f>
        <v>-244846.8132217</v>
      </c>
      <c r="W67" s="70" t="n">
        <f aca="false">-W57*Assumptions!$F$76</f>
        <v>-266660.045816576</v>
      </c>
      <c r="X67" s="70" t="n">
        <f aca="false">-X57*Assumptions!$F$76</f>
        <v>-288663.393792711</v>
      </c>
      <c r="Y67" s="70" t="n">
        <f aca="false">-Y57*Assumptions!$F$76</f>
        <v>-310886.471395976</v>
      </c>
      <c r="Z67" s="70" t="n">
        <f aca="false">-Z57*Assumptions!$F$76</f>
        <v>-332917.947920885</v>
      </c>
      <c r="AA67" s="70" t="n">
        <f aca="false">-AA57*Assumptions!$F$76</f>
        <v>-353458.004562295</v>
      </c>
      <c r="AB67" s="70" t="n">
        <f aca="false">-AB57*Assumptions!$F$76</f>
        <v>-372397.644610034</v>
      </c>
      <c r="AC67" s="70" t="n">
        <f aca="false">-AC57*Assumptions!$F$76</f>
        <v>-389889.521673971</v>
      </c>
      <c r="AD67" s="70" t="n">
        <f aca="false">-AD57*Assumptions!$F$76</f>
        <v>-406113.223463357</v>
      </c>
      <c r="AE67" s="70" t="n">
        <f aca="false">-AE57*Assumptions!$F$76</f>
        <v>-421241.691320755</v>
      </c>
      <c r="AF67" s="70" t="n">
        <f aca="false">-AF57*Assumptions!$F$76</f>
        <v>-435437.803045485</v>
      </c>
      <c r="AG67" s="70" t="n">
        <f aca="false">-AG57*Assumptions!$F$76</f>
        <v>-448855.398187202</v>
      </c>
      <c r="AH67" s="70" t="n">
        <f aca="false">-AH57*Assumptions!$F$76</f>
        <v>-461640.892666512</v>
      </c>
      <c r="AI67" s="70" t="n">
        <f aca="false">-AI57*Assumptions!$F$76</f>
        <v>-473934.920320163</v>
      </c>
      <c r="AJ67" s="70" t="n">
        <f aca="false">-AJ57*Assumptions!$F$76</f>
        <v>-485873.933538002</v>
      </c>
      <c r="AK67" s="70" t="n">
        <f aca="false">-AK57*Assumptions!$F$76</f>
        <v>-497591.769064402</v>
      </c>
      <c r="AL67" s="70" t="n">
        <f aca="false">-AL57*Assumptions!$F$76</f>
        <v>-509221.19583678</v>
      </c>
      <c r="AM67" s="70" t="n">
        <f aca="false">SUM(C67:AL67)</f>
        <v>-8202023.7044257</v>
      </c>
    </row>
    <row r="68" customFormat="false" ht="15" hidden="false" customHeight="false" outlineLevel="0" collapsed="false">
      <c r="A68" s="10" t="s">
        <v>803</v>
      </c>
      <c r="B68" s="9" t="s">
        <v>97</v>
      </c>
      <c r="C68" s="70" t="n">
        <f aca="false">-C57*Assumptions!$F$77</f>
        <v>-0</v>
      </c>
      <c r="D68" s="70" t="n">
        <f aca="false">-D57*Assumptions!$F$77</f>
        <v>-0</v>
      </c>
      <c r="E68" s="70" t="n">
        <f aca="false">-E57*Assumptions!$F$77</f>
        <v>-0</v>
      </c>
      <c r="F68" s="70" t="n">
        <f aca="false">-F57*Assumptions!$F$77</f>
        <v>-0</v>
      </c>
      <c r="G68" s="70" t="n">
        <f aca="false">-G57*Assumptions!$F$77</f>
        <v>-1994.70015127312</v>
      </c>
      <c r="H68" s="70" t="n">
        <f aca="false">-H57*Assumptions!$F$77</f>
        <v>-4153.59122641273</v>
      </c>
      <c r="I68" s="70" t="n">
        <f aca="false">-I57*Assumptions!$F$77</f>
        <v>-6476.27004339939</v>
      </c>
      <c r="J68" s="70" t="n">
        <f aca="false">-J57*Assumptions!$F$77</f>
        <v>-8971.48540979117</v>
      </c>
      <c r="K68" s="70" t="n">
        <f aca="false">-K57*Assumptions!$F$77</f>
        <v>-11653.1533002873</v>
      </c>
      <c r="L68" s="70" t="n">
        <f aca="false">-L57*Assumptions!$F$77</f>
        <v>-14537.6642847077</v>
      </c>
      <c r="M68" s="70" t="n">
        <f aca="false">-M57*Assumptions!$F$77</f>
        <v>-17642.9927151373</v>
      </c>
      <c r="N68" s="70" t="n">
        <f aca="false">-N57*Assumptions!$F$77</f>
        <v>-20988.3417849839</v>
      </c>
      <c r="O68" s="70" t="n">
        <f aca="false">-O57*Assumptions!$F$77</f>
        <v>-24594.0041874262</v>
      </c>
      <c r="P68" s="70" t="n">
        <f aca="false">-P57*Assumptions!$F$77</f>
        <v>-28481.3269562722</v>
      </c>
      <c r="Q68" s="70" t="n">
        <f aca="false">-Q57*Assumptions!$F$77</f>
        <v>-32672.7367161787</v>
      </c>
      <c r="R68" s="70" t="n">
        <f aca="false">-R57*Assumptions!$F$77</f>
        <v>-37191.8053249102</v>
      </c>
      <c r="S68" s="70" t="n">
        <f aca="false">-S57*Assumptions!$F$77</f>
        <v>-42063.3457710002</v>
      </c>
      <c r="T68" s="70" t="n">
        <f aca="false">-T57*Assumptions!$F$77</f>
        <v>-47058.1129707727</v>
      </c>
      <c r="U68" s="70" t="n">
        <f aca="false">-U57*Assumptions!$F$77</f>
        <v>-52078.8437548569</v>
      </c>
      <c r="V68" s="70" t="n">
        <f aca="false">-V57*Assumptions!$F$77</f>
        <v>-57130.9230850633</v>
      </c>
      <c r="W68" s="70" t="n">
        <f aca="false">-W57*Assumptions!$F$77</f>
        <v>-62220.677357201</v>
      </c>
      <c r="X68" s="70" t="n">
        <f aca="false">-X57*Assumptions!$F$77</f>
        <v>-67354.7918849658</v>
      </c>
      <c r="Y68" s="70" t="n">
        <f aca="false">-Y57*Assumptions!$F$77</f>
        <v>-72540.1766590612</v>
      </c>
      <c r="Z68" s="70" t="n">
        <f aca="false">-Z57*Assumptions!$F$77</f>
        <v>-77680.8545148731</v>
      </c>
      <c r="AA68" s="70" t="n">
        <f aca="false">-AA57*Assumptions!$F$77</f>
        <v>-82473.5343978688</v>
      </c>
      <c r="AB68" s="70" t="n">
        <f aca="false">-AB57*Assumptions!$F$77</f>
        <v>-86892.7837423412</v>
      </c>
      <c r="AC68" s="70" t="n">
        <f aca="false">-AC57*Assumptions!$F$77</f>
        <v>-90974.2217239265</v>
      </c>
      <c r="AD68" s="70" t="n">
        <f aca="false">-AD57*Assumptions!$F$77</f>
        <v>-94759.7521414499</v>
      </c>
      <c r="AE68" s="70" t="n">
        <f aca="false">-AE57*Assumptions!$F$77</f>
        <v>-98289.7279748428</v>
      </c>
      <c r="AF68" s="70" t="n">
        <f aca="false">-AF57*Assumptions!$F$77</f>
        <v>-101602.154043947</v>
      </c>
      <c r="AG68" s="70" t="n">
        <f aca="false">-AG57*Assumptions!$F$77</f>
        <v>-104732.92624368</v>
      </c>
      <c r="AH68" s="70" t="n">
        <f aca="false">-AH57*Assumptions!$F$77</f>
        <v>-107716.208288853</v>
      </c>
      <c r="AI68" s="70" t="n">
        <f aca="false">-AI57*Assumptions!$F$77</f>
        <v>-110584.814741371</v>
      </c>
      <c r="AJ68" s="70" t="n">
        <f aca="false">-AJ57*Assumptions!$F$77</f>
        <v>-113370.5844922</v>
      </c>
      <c r="AK68" s="70" t="n">
        <f aca="false">-AK57*Assumptions!$F$77</f>
        <v>-116104.746115027</v>
      </c>
      <c r="AL68" s="70" t="n">
        <f aca="false">-AL57*Assumptions!$F$77</f>
        <v>-118818.279028582</v>
      </c>
      <c r="AM68" s="70" t="n">
        <f aca="false">SUM(C68:AL68)</f>
        <v>-1913805.53103266</v>
      </c>
    </row>
    <row r="69" customFormat="false" ht="15" hidden="false" customHeight="false" outlineLevel="0" collapsed="false">
      <c r="A69" s="10" t="s">
        <v>804</v>
      </c>
      <c r="B69" s="9" t="s">
        <v>97</v>
      </c>
      <c r="C69" s="70" t="n">
        <f aca="false">-C63*Assumptions!$F$79</f>
        <v>-0</v>
      </c>
      <c r="D69" s="70" t="n">
        <f aca="false">-D63*Assumptions!$F$79</f>
        <v>-0</v>
      </c>
      <c r="E69" s="70" t="n">
        <f aca="false">-E63*Assumptions!$F$79</f>
        <v>-0</v>
      </c>
      <c r="F69" s="70" t="n">
        <f aca="false">-F63*Assumptions!$F$79</f>
        <v>-0</v>
      </c>
      <c r="G69" s="70" t="n">
        <f aca="false">-G63*Assumptions!$F$79</f>
        <v>-7337.94173654615</v>
      </c>
      <c r="H69" s="70" t="n">
        <f aca="false">-H63*Assumptions!$F$79</f>
        <v>-12711.2853516736</v>
      </c>
      <c r="I69" s="70" t="n">
        <f aca="false">-I63*Assumptions!$F$79</f>
        <v>-18475.7265398517</v>
      </c>
      <c r="J69" s="70" t="n">
        <f aca="false">-J63*Assumptions!$F$79</f>
        <v>-24663.9688919546</v>
      </c>
      <c r="K69" s="70" t="n">
        <f aca="false">-K63*Assumptions!$F$79</f>
        <v>-31315.939378059</v>
      </c>
      <c r="L69" s="70" t="n">
        <f aca="false">-L63*Assumptions!$F$79</f>
        <v>-38474.0144569162</v>
      </c>
      <c r="M69" s="70" t="n">
        <f aca="false">-M63*Assumptions!$F$79</f>
        <v>-46183.2102978927</v>
      </c>
      <c r="N69" s="70" t="n">
        <f aca="false">-N63*Assumptions!$F$79</f>
        <v>-54491.024168272</v>
      </c>
      <c r="O69" s="70" t="n">
        <f aca="false">-O63*Assumptions!$F$79</f>
        <v>-63447.3788985019</v>
      </c>
      <c r="P69" s="70" t="n">
        <f aca="false">-P63*Assumptions!$F$79</f>
        <v>-73104.6729741482</v>
      </c>
      <c r="Q69" s="70" t="n">
        <f aca="false">-Q63*Assumptions!$F$79</f>
        <v>-83517.9186994057</v>
      </c>
      <c r="R69" s="70" t="n">
        <f aca="false">-R63*Assumptions!$F$79</f>
        <v>-94744.9511613863</v>
      </c>
      <c r="S69" s="70" t="n">
        <f aca="false">-S63*Assumptions!$F$79</f>
        <v>-106846.696481996</v>
      </c>
      <c r="T69" s="70" t="n">
        <f aca="false">-T63*Assumptions!$F$79</f>
        <v>-118947.874250137</v>
      </c>
      <c r="U69" s="70" t="n">
        <f aca="false">-U63*Assumptions!$F$79</f>
        <v>-130985.883498891</v>
      </c>
      <c r="V69" s="70" t="n">
        <f aca="false">-V63*Assumptions!$F$79</f>
        <v>-143105.781482419</v>
      </c>
      <c r="W69" s="70" t="n">
        <f aca="false">-W63*Assumptions!$F$79</f>
        <v>-155323.906924506</v>
      </c>
      <c r="X69" s="70" t="n">
        <f aca="false">-X63*Assumptions!$F$79</f>
        <v>-167656.706605959</v>
      </c>
      <c r="Y69" s="70" t="n">
        <f aca="false">-Y63*Assumptions!$F$79</f>
        <v>-180120.991646337</v>
      </c>
      <c r="Z69" s="70" t="n">
        <f aca="false">-Z63*Assumptions!$F$79</f>
        <v>-192354.790891395</v>
      </c>
      <c r="AA69" s="70" t="n">
        <f aca="false">-AA63*Assumptions!$F$79</f>
        <v>-203365.973197741</v>
      </c>
      <c r="AB69" s="70" t="n">
        <f aca="false">-AB63*Assumptions!$F$79</f>
        <v>-213451.532516415</v>
      </c>
      <c r="AC69" s="70" t="n">
        <f aca="false">-AC63*Assumptions!$F$79</f>
        <v>-222775.251754195</v>
      </c>
      <c r="AD69" s="70" t="n">
        <f aca="false">-AD63*Assumptions!$F$79</f>
        <v>-231445.415782026</v>
      </c>
      <c r="AE69" s="70" t="n">
        <f aca="false">-AE63*Assumptions!$F$79</f>
        <v>-239556.511623942</v>
      </c>
      <c r="AF69" s="70" t="n">
        <f aca="false">-AF63*Assumptions!$F$79</f>
        <v>-247196.385099107</v>
      </c>
      <c r="AG69" s="70" t="n">
        <f aca="false">-AG63*Assumptions!$F$79</f>
        <v>-254448.147651091</v>
      </c>
      <c r="AH69" s="70" t="n">
        <f aca="false">-AH63*Assumptions!$F$79</f>
        <v>-261391.254218907</v>
      </c>
      <c r="AI69" s="70" t="n">
        <f aca="false">-AI63*Assumptions!$F$79</f>
        <v>-268102.427145652</v>
      </c>
      <c r="AJ69" s="70" t="n">
        <f aca="false">-AJ63*Assumptions!$F$79</f>
        <v>-274656.536882885</v>
      </c>
      <c r="AK69" s="70" t="n">
        <f aca="false">-AK63*Assumptions!$F$79</f>
        <v>-281127.465084894</v>
      </c>
      <c r="AL69" s="70" t="n">
        <f aca="false">-AL63*Assumptions!$F$79</f>
        <v>-287588.962751124</v>
      </c>
      <c r="AM69" s="70" t="n">
        <f aca="false">SUM(C69:AL69)</f>
        <v>-4728916.52804423</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169132.676910239</v>
      </c>
      <c r="H70" s="53" t="n">
        <f aca="false">H63+H64+H65+H66+H67+H68+H69</f>
        <v>294295.94141382</v>
      </c>
      <c r="I70" s="53" t="n">
        <f aca="false">I63+I64+I65+I66+I67+I68+I69</f>
        <v>428581.693981148</v>
      </c>
      <c r="J70" s="53" t="n">
        <f aca="false">J63+J64+J65+J66+J67+J68+J69</f>
        <v>572743.456380554</v>
      </c>
      <c r="K70" s="53" t="n">
        <f aca="false">K63+K64+K65+K66+K67+K68+K69</f>
        <v>727707.265514844</v>
      </c>
      <c r="L70" s="53" t="n">
        <f aca="false">L63+L64+L65+L66+L67+L68+L69</f>
        <v>894459.017268872</v>
      </c>
      <c r="M70" s="53" t="n">
        <f aca="false">M63+M64+M65+M66+M67+M68+M69</f>
        <v>1074047.07893813</v>
      </c>
      <c r="N70" s="53" t="n">
        <f aca="false">N63+N64+N65+N66+N67+N68+N69</f>
        <v>1267578.04710188</v>
      </c>
      <c r="O70" s="53" t="n">
        <f aca="false">O63+O64+O65+O66+O67+O68+O69</f>
        <v>1476215.23400894</v>
      </c>
      <c r="P70" s="53" t="n">
        <f aca="false">P63+P64+P65+P66+P67+P68+P69</f>
        <v>1701179.73044817</v>
      </c>
      <c r="Q70" s="53" t="n">
        <f aca="false">Q63+Q64+Q65+Q66+Q67+Q68+Q69</f>
        <v>1943753.56714931</v>
      </c>
      <c r="R70" s="53" t="n">
        <f aca="false">R63+R64+R65+R66+R67+R68+R69</f>
        <v>2205284.54783126</v>
      </c>
      <c r="S70" s="53" t="n">
        <f aca="false">S63+S64+S65+S66+S67+S68+S69</f>
        <v>2487192.47535619</v>
      </c>
      <c r="T70" s="53" t="n">
        <f aca="false">T63+T64+T65+T66+T67+T68+T69</f>
        <v>2769319.28659651</v>
      </c>
      <c r="U70" s="53" t="n">
        <f aca="false">U63+U64+U65+U66+U67+U68+U69</f>
        <v>3050071.21946053</v>
      </c>
      <c r="V70" s="53" t="n">
        <f aca="false">V63+V64+V65+V66+V67+V68+V69</f>
        <v>3332727.69777795</v>
      </c>
      <c r="W70" s="53" t="n">
        <f aca="false">W63+W64+W65+W66+W67+W68+W69</f>
        <v>3617668.85771031</v>
      </c>
      <c r="X70" s="53" t="n">
        <f aca="false">X63+X64+X65+X66+X67+X68+X69</f>
        <v>3905277.94559939</v>
      </c>
      <c r="Y70" s="53" t="n">
        <f aca="false">Y63+Y64+Y65+Y66+Y67+Y68+Y69</f>
        <v>4195946.84166112</v>
      </c>
      <c r="Z70" s="53" t="n">
        <f aca="false">Z63+Z64+Z65+Z66+Z67+Z68+Z69</f>
        <v>4481336.99771186</v>
      </c>
      <c r="AA70" s="53" t="n">
        <f aca="false">AA63+AA64+AA65+AA66+AA67+AA68+AA69</f>
        <v>4738517.55758806</v>
      </c>
      <c r="AB70" s="53" t="n">
        <f aca="false">AB63+AB64+AB65+AB66+AB67+AB68+AB69</f>
        <v>4974134.35449814</v>
      </c>
      <c r="AC70" s="53" t="n">
        <f aca="false">AC63+AC64+AC65+AC66+AC67+AC68+AC69</f>
        <v>5191945.69345137</v>
      </c>
      <c r="AD70" s="53" t="n">
        <f aca="false">AD63+AD64+AD65+AD66+AD67+AD68+AD69</f>
        <v>5394470.8805326</v>
      </c>
      <c r="AE70" s="53" t="n">
        <f aca="false">AE63+AE64+AE65+AE66+AE67+AE68+AE69</f>
        <v>5583915.33036613</v>
      </c>
      <c r="AF70" s="53" t="n">
        <f aca="false">AF63+AF64+AF65+AF66+AF67+AF68+AF69</f>
        <v>5762330.36342144</v>
      </c>
      <c r="AG70" s="53" t="n">
        <f aca="false">AG63+AG64+AG65+AG66+AG67+AG68+AG69</f>
        <v>5931656.63190166</v>
      </c>
      <c r="AH70" s="53" t="n">
        <f aca="false">AH63+AH64+AH65+AH66+AH67+AH68+AH69</f>
        <v>6093749.12110356</v>
      </c>
      <c r="AI70" s="53" t="n">
        <f aca="false">AI63+AI64+AI65+AI66+AI67+AI68+AI69</f>
        <v>6250398.69258494</v>
      </c>
      <c r="AJ70" s="53" t="n">
        <f aca="false">AJ63+AJ64+AJ65+AJ66+AJ67+AJ68+AJ69</f>
        <v>6403352.63564885</v>
      </c>
      <c r="AK70" s="53" t="n">
        <f aca="false">AK63+AK64+AK65+AK66+AK67+AK68+AK69</f>
        <v>6554334.80664953</v>
      </c>
      <c r="AL70" s="53" t="n">
        <f aca="false">AL63+AL64+AL65+AL66+AL67+AL68+AL69</f>
        <v>6705065.64881363</v>
      </c>
      <c r="AM70" s="53" t="n">
        <f aca="false">SUM(C70:AL70)</f>
        <v>110178391.295381</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0.622324684568275</v>
      </c>
      <c r="H71" s="62" t="n">
        <f aca="false">IFERROR(H70/H63,0)</f>
        <v>0.625113054922251</v>
      </c>
      <c r="I71" s="62" t="n">
        <f aca="false">IFERROR(I70/I63,0)</f>
        <v>0.626319387902343</v>
      </c>
      <c r="J71" s="62" t="n">
        <f aca="false">IFERROR(J70/J63,0)</f>
        <v>0.626990464917403</v>
      </c>
      <c r="K71" s="62" t="n">
        <f aca="false">IFERROR(K70/K63,0)</f>
        <v>0.627415193639918</v>
      </c>
      <c r="L71" s="62" t="n">
        <f aca="false">IFERROR(L70/L63,0)</f>
        <v>0.627706617236511</v>
      </c>
      <c r="M71" s="62" t="n">
        <f aca="false">IFERROR(M70/M63,0)</f>
        <v>0.627918045200351</v>
      </c>
      <c r="N71" s="62" t="n">
        <f aca="false">IFERROR(N70/N63,0)</f>
        <v>0.628077886113185</v>
      </c>
      <c r="O71" s="62" t="n">
        <f aca="false">IFERROR(O70/O63,0)</f>
        <v>0.628202646196034</v>
      </c>
      <c r="P71" s="62" t="n">
        <f aca="false">IFERROR(P70/P63,0)</f>
        <v>0.628302553768942</v>
      </c>
      <c r="Q71" s="62" t="n">
        <f aca="false">IFERROR(Q70/Q63,0)</f>
        <v>0.628384269271844</v>
      </c>
      <c r="R71" s="62" t="n">
        <f aca="false">IFERROR(R70/R63,0)</f>
        <v>0.628452303384698</v>
      </c>
      <c r="S71" s="62" t="n">
        <f aca="false">IFERROR(S70/S63,0)</f>
        <v>0.628509809341021</v>
      </c>
      <c r="T71" s="62" t="n">
        <f aca="false">IFERROR(T70/T63,0)</f>
        <v>0.62860829762176</v>
      </c>
      <c r="U71" s="62" t="n">
        <f aca="false">IFERROR(U70/U63,0)</f>
        <v>0.628708382351229</v>
      </c>
      <c r="V71" s="62" t="n">
        <f aca="false">IFERROR(V70/V63,0)</f>
        <v>0.628791142523193</v>
      </c>
      <c r="W71" s="62" t="n">
        <f aca="false">IFERROR(W70/W63,0)</f>
        <v>0.628860431676198</v>
      </c>
      <c r="X71" s="62" t="n">
        <f aca="false">IFERROR(X70/X63,0)</f>
        <v>0.628919097039188</v>
      </c>
      <c r="Y71" s="62" t="n">
        <f aca="false">IFERROR(Y70/Y63,0)</f>
        <v>0.628969248333327</v>
      </c>
      <c r="Z71" s="62" t="n">
        <f aca="false">IFERROR(Z70/Z63,0)</f>
        <v>0.629025658147167</v>
      </c>
      <c r="AA71" s="62" t="n">
        <f aca="false">IFERROR(AA70/AA63,0)</f>
        <v>0.629111999628749</v>
      </c>
      <c r="AB71" s="62" t="n">
        <f aca="false">IFERROR(AB70/AB63,0)</f>
        <v>0.629190270916054</v>
      </c>
      <c r="AC71" s="62" t="n">
        <f aca="false">IFERROR(AC70/AC63,0)</f>
        <v>0.629255416027367</v>
      </c>
      <c r="AD71" s="62" t="n">
        <f aca="false">IFERROR(AD70/AD63,0)</f>
        <v>0.629309132273127</v>
      </c>
      <c r="AE71" s="62" t="n">
        <f aca="false">IFERROR(AE70/AE63,0)</f>
        <v>0.62935343688991</v>
      </c>
      <c r="AF71" s="62" t="n">
        <f aca="false">IFERROR(AF70/AF63,0)</f>
        <v>0.629389947389409</v>
      </c>
      <c r="AG71" s="62" t="n">
        <f aca="false">IFERROR(AG70/AG63,0)</f>
        <v>0.629419905547732</v>
      </c>
      <c r="AH71" s="62" t="n">
        <f aca="false">IFERROR(AH70/AH63,0)</f>
        <v>0.629444266455856</v>
      </c>
      <c r="AI71" s="62" t="n">
        <f aca="false">IFERROR(AI70/AI63,0)</f>
        <v>0.629463770606263</v>
      </c>
      <c r="AJ71" s="62" t="n">
        <f aca="false">IFERROR(AJ70/AJ63,0)</f>
        <v>0.629478996293616</v>
      </c>
      <c r="AK71" s="62" t="n">
        <f aca="false">IFERROR(AK70/AK63,0)</f>
        <v>0.629490397624784</v>
      </c>
      <c r="AL71" s="62" t="n">
        <f aca="false">IFERROR(AL70/AL63,0)</f>
        <v>0.629498332572085</v>
      </c>
      <c r="AM71" s="62" t="n">
        <f aca="false">AVERAGE(N71:AL71)</f>
        <v>0.62896870391971</v>
      </c>
    </row>
    <row r="72" customFormat="false" ht="15" hidden="false" customHeight="false" outlineLevel="0" collapsed="false">
      <c r="A72" s="37" t="s">
        <v>807</v>
      </c>
      <c r="B72" s="9" t="s">
        <v>97</v>
      </c>
      <c r="C72" s="53" t="n">
        <f aca="false">C42+C63</f>
        <v>0</v>
      </c>
      <c r="D72" s="53" t="n">
        <f aca="false">D42+D63</f>
        <v>1290960</v>
      </c>
      <c r="E72" s="53" t="n">
        <f aca="false">E42+E63</f>
        <v>1725235.50584648</v>
      </c>
      <c r="F72" s="53" t="n">
        <f aca="false">F42+F63</f>
        <v>2197849.00594508</v>
      </c>
      <c r="G72" s="53" t="n">
        <f aca="false">G42+G63</f>
        <v>2948979.34075213</v>
      </c>
      <c r="H72" s="53" t="n">
        <f aca="false">H42+H63</f>
        <v>3651274.69776336</v>
      </c>
      <c r="I72" s="53" t="n">
        <f aca="false">I42+I63</f>
        <v>4371766.84271819</v>
      </c>
      <c r="J72" s="53" t="n">
        <f aca="false">J42+J63</f>
        <v>5112940.75939847</v>
      </c>
      <c r="K72" s="53" t="n">
        <f aca="false">K42+K63</f>
        <v>5878698.02880574</v>
      </c>
      <c r="L72" s="53" t="n">
        <f aca="false">L42+L63</f>
        <v>6672507.57728098</v>
      </c>
      <c r="M72" s="53" t="n">
        <f aca="false">M42+M63</f>
        <v>7497808.5082207</v>
      </c>
      <c r="N72" s="53" t="n">
        <f aca="false">N42+N63</f>
        <v>8358065.80201044</v>
      </c>
      <c r="O72" s="53" t="n">
        <f aca="false">O42+O63</f>
        <v>9256791.95229574</v>
      </c>
      <c r="P72" s="53" t="n">
        <f aca="false">P42+P63</f>
        <v>10197562.7478762</v>
      </c>
      <c r="Q72" s="53" t="n">
        <f aca="false">Q42+Q63</f>
        <v>11184034.7384294</v>
      </c>
      <c r="R72" s="53" t="n">
        <f aca="false">R42+R63</f>
        <v>12219965.3865797</v>
      </c>
      <c r="S72" s="53" t="n">
        <f aca="false">S42+S63</f>
        <v>13309235.7129966</v>
      </c>
      <c r="T72" s="53" t="n">
        <f aca="false">T42+T63</f>
        <v>14421074.4710618</v>
      </c>
      <c r="U72" s="53" t="n">
        <f aca="false">U42+U63</f>
        <v>15551991.5666031</v>
      </c>
      <c r="V72" s="53" t="n">
        <f aca="false">V42+V63</f>
        <v>16706681.4892269</v>
      </c>
      <c r="W72" s="53" t="n">
        <f aca="false">W42+W63</f>
        <v>17885860.0265037</v>
      </c>
      <c r="X72" s="53" t="n">
        <f aca="false">X42+X63</f>
        <v>19090289.9219693</v>
      </c>
      <c r="Y72" s="53" t="n">
        <f aca="false">Y42+Y63</f>
        <v>20320793.7499123</v>
      </c>
      <c r="Z72" s="53" t="n">
        <f aca="false">Z42+Z63</f>
        <v>21539901.9492555</v>
      </c>
      <c r="AA72" s="53" t="n">
        <f aca="false">AA42+AA63</f>
        <v>22648610.4576685</v>
      </c>
      <c r="AB72" s="53" t="n">
        <f aca="false">AB42+AB63</f>
        <v>23683052.0294076</v>
      </c>
      <c r="AC72" s="53" t="n">
        <f aca="false">AC42+AC63</f>
        <v>24660078.1874227</v>
      </c>
      <c r="AD72" s="53" t="n">
        <f aca="false">AD42+AD63</f>
        <v>25587636.5360657</v>
      </c>
      <c r="AE72" s="53" t="n">
        <f aca="false">AE42+AE63</f>
        <v>26472145.1208603</v>
      </c>
      <c r="AF72" s="53" t="n">
        <f aca="false">AF42+AF63</f>
        <v>27319612.3611605</v>
      </c>
      <c r="AG72" s="53" t="n">
        <f aca="false">AG42+AG63</f>
        <v>28135854.3512126</v>
      </c>
      <c r="AH72" s="53" t="n">
        <f aca="false">AH42+AH63</f>
        <v>28926575.4881869</v>
      </c>
      <c r="AI72" s="53" t="n">
        <f aca="false">AI42+AI63</f>
        <v>29697428.304696</v>
      </c>
      <c r="AJ72" s="53" t="n">
        <f aca="false">AJ42+AJ63</f>
        <v>30454070.5209836</v>
      </c>
      <c r="AK72" s="53" t="n">
        <f aca="false">AK42+AK63</f>
        <v>31202222.6055562</v>
      </c>
      <c r="AL72" s="53" t="n">
        <f aca="false">AL42+AL63</f>
        <v>31947726.928321</v>
      </c>
      <c r="AM72" s="53" t="n">
        <f aca="false">SUM(C72:AL72)</f>
        <v>562125282.672993</v>
      </c>
    </row>
    <row r="73" customFormat="false" ht="15" hidden="false" customHeight="false" outlineLevel="0" collapsed="false">
      <c r="A73" s="37" t="s">
        <v>808</v>
      </c>
      <c r="B73" s="9" t="s">
        <v>97</v>
      </c>
      <c r="C73" s="53" t="n">
        <f aca="false">C46+C70</f>
        <v>0</v>
      </c>
      <c r="D73" s="53" t="n">
        <f aca="false">D46+D70</f>
        <v>833704.08</v>
      </c>
      <c r="E73" s="53" t="n">
        <f aca="false">E46+E70</f>
        <v>1114159.91214683</v>
      </c>
      <c r="F73" s="53" t="n">
        <f aca="false">F46+F70</f>
        <v>1419374.48370233</v>
      </c>
      <c r="G73" s="53" t="n">
        <f aca="false">G46+G70</f>
        <v>1898075.21973796</v>
      </c>
      <c r="H73" s="53" t="n">
        <f aca="false">H46+H70</f>
        <v>2348259.23040087</v>
      </c>
      <c r="I73" s="53" t="n">
        <f aca="false">I46+I70</f>
        <v>2809962.74631025</v>
      </c>
      <c r="J73" s="53" t="n">
        <f aca="false">J46+J70</f>
        <v>3284761.87240062</v>
      </c>
      <c r="K73" s="53" t="n">
        <f aca="false">K46+K70</f>
        <v>3775147.2965761</v>
      </c>
      <c r="L73" s="53" t="n">
        <f aca="false">L46+L70</f>
        <v>4283331.56834661</v>
      </c>
      <c r="M73" s="53" t="n">
        <f aca="false">M46+M70</f>
        <v>4811507.31079921</v>
      </c>
      <c r="N73" s="53" t="n">
        <f aca="false">N46+N70</f>
        <v>5361882.74336973</v>
      </c>
      <c r="O73" s="53" t="n">
        <f aca="false">O46+O70</f>
        <v>5936695.4692802</v>
      </c>
      <c r="P73" s="53" t="n">
        <f aca="false">P46+P70</f>
        <v>6538222.53225391</v>
      </c>
      <c r="Q73" s="53" t="n">
        <f aca="false">Q46+Q70</f>
        <v>7168791.55263461</v>
      </c>
      <c r="R73" s="53" t="n">
        <f aca="false">R46+R70</f>
        <v>7830793.57654455</v>
      </c>
      <c r="S73" s="53" t="n">
        <f aca="false">S46+S70</f>
        <v>8526697.51007701</v>
      </c>
      <c r="T73" s="53" t="n">
        <f aca="false">T46+T70</f>
        <v>9237408.63245371</v>
      </c>
      <c r="U73" s="53" t="n">
        <f aca="false">U46+U70</f>
        <v>9960576.59923647</v>
      </c>
      <c r="V73" s="53" t="n">
        <f aca="false">V46+V70</f>
        <v>10699042.9799136</v>
      </c>
      <c r="W73" s="53" t="n">
        <f aca="false">W46+W70</f>
        <v>11453259.3683735</v>
      </c>
      <c r="X73" s="53" t="n">
        <f aca="false">X46+X70</f>
        <v>12223708.2083532</v>
      </c>
      <c r="Y73" s="53" t="n">
        <f aca="false">Y46+Y70</f>
        <v>13010910.5017967</v>
      </c>
      <c r="Z73" s="53" t="n">
        <f aca="false">Z46+Z70</f>
        <v>13790987.6323657</v>
      </c>
      <c r="AA73" s="53" t="n">
        <f aca="false">AA46+AA70</f>
        <v>14500802.1257152</v>
      </c>
      <c r="AB73" s="53" t="n">
        <f aca="false">AB46+AB70</f>
        <v>15163230.7335519</v>
      </c>
      <c r="AC73" s="53" t="n">
        <f aca="false">AC46+AC70</f>
        <v>15788997.0475622</v>
      </c>
      <c r="AD73" s="53" t="n">
        <f aca="false">AD46+AD70</f>
        <v>16383162.9294716</v>
      </c>
      <c r="AE73" s="53" t="n">
        <f aca="false">AE46+AE70</f>
        <v>16949818.5828441</v>
      </c>
      <c r="AF73" s="53" t="n">
        <f aca="false">AF46+AF70</f>
        <v>17492794.4280225</v>
      </c>
      <c r="AG73" s="53" t="n">
        <f aca="false">AG46+AG70</f>
        <v>18015799.2527511</v>
      </c>
      <c r="AH73" s="53" t="n">
        <f aca="false">AH46+AH70</f>
        <v>18522471.5021072</v>
      </c>
      <c r="AI73" s="53" t="n">
        <f aca="false">AI46+AI70</f>
        <v>19016417.3630244</v>
      </c>
      <c r="AJ73" s="53" t="n">
        <f aca="false">AJ46+AJ70</f>
        <v>19501247.0949764</v>
      </c>
      <c r="AK73" s="53" t="n">
        <f aca="false">AK46+AK70</f>
        <v>19980611.6980447</v>
      </c>
      <c r="AL73" s="53" t="n">
        <f aca="false">AL46+AL70</f>
        <v>20458240.6083852</v>
      </c>
      <c r="AM73" s="53" t="n">
        <f aca="false">SUM(C73:AL73)</f>
        <v>360090854.39353</v>
      </c>
    </row>
    <row r="74" customFormat="false" ht="15" hidden="false" customHeight="false" outlineLevel="0" collapsed="false">
      <c r="A74" s="37" t="s">
        <v>809</v>
      </c>
      <c r="B74" s="9" t="s">
        <v>61</v>
      </c>
      <c r="C74" s="52" t="n">
        <f aca="false">IFERROR(C73/C72,0)</f>
        <v>0</v>
      </c>
      <c r="D74" s="52" t="n">
        <f aca="false">IFERROR(D73/D72,0)</f>
        <v>0.64580163599182</v>
      </c>
      <c r="E74" s="52" t="n">
        <f aca="false">IFERROR(E73/E72,0)</f>
        <v>0.64580163599182</v>
      </c>
      <c r="F74" s="52" t="n">
        <f aca="false">IFERROR(F73/F72,0)</f>
        <v>0.64580163599182</v>
      </c>
      <c r="G74" s="52" t="n">
        <f aca="false">IFERROR(G73/G72,0)</f>
        <v>0.643638018587768</v>
      </c>
      <c r="H74" s="52" t="n">
        <f aca="false">IFERROR(H73/H72,0)</f>
        <v>0.64313409008622</v>
      </c>
      <c r="I74" s="52" t="n">
        <f aca="false">IFERROR(I73/I72,0)</f>
        <v>0.642752197773458</v>
      </c>
      <c r="J74" s="52" t="n">
        <f aca="false">IFERROR(J73/J72,0)</f>
        <v>0.642440823583308</v>
      </c>
      <c r="K74" s="52" t="n">
        <f aca="false">IFERROR(K73/K72,0)</f>
        <v>0.642174045694779</v>
      </c>
      <c r="L74" s="52" t="n">
        <f aca="false">IFERROR(L73/L72,0)</f>
        <v>0.641937310484413</v>
      </c>
      <c r="M74" s="52" t="n">
        <f aca="false">IFERROR(M73/M72,0)</f>
        <v>0.641721818518546</v>
      </c>
      <c r="N74" s="52" t="n">
        <f aca="false">IFERROR(N73/N72,0)</f>
        <v>0.641521958594774</v>
      </c>
      <c r="O74" s="52" t="n">
        <f aca="false">IFERROR(O73/O72,0)</f>
        <v>0.641334006411138</v>
      </c>
      <c r="P74" s="52" t="n">
        <f aca="false">IFERROR(P73/P72,0)</f>
        <v>0.641155410749066</v>
      </c>
      <c r="Q74" s="52" t="n">
        <f aca="false">IFERROR(Q73/Q72,0)</f>
        <v>0.640984378204937</v>
      </c>
      <c r="R74" s="52" t="n">
        <f aca="false">IFERROR(R73/R72,0)</f>
        <v>0.640819620090296</v>
      </c>
      <c r="S74" s="52" t="n">
        <f aca="false">IFERROR(S73/S72,0)</f>
        <v>0.640660192211535</v>
      </c>
      <c r="T74" s="52" t="n">
        <f aca="false">IFERROR(T73/T72,0)</f>
        <v>0.640549263578804</v>
      </c>
      <c r="U74" s="52" t="n">
        <f aca="false">IFERROR(U73/U72,0)</f>
        <v>0.640469521641599</v>
      </c>
      <c r="V74" s="52" t="n">
        <f aca="false">IFERROR(V73/V72,0)</f>
        <v>0.640405037159104</v>
      </c>
      <c r="W74" s="52" t="n">
        <f aca="false">IFERROR(W73/W72,0)</f>
        <v>0.640352734025749</v>
      </c>
      <c r="X74" s="52" t="n">
        <f aca="false">IFERROR(X73/X72,0)</f>
        <v>0.640310244544059</v>
      </c>
      <c r="Y74" s="52" t="n">
        <f aca="false">IFERROR(Y73/Y72,0)</f>
        <v>0.640275702904216</v>
      </c>
      <c r="Z74" s="52" t="n">
        <f aca="false">IFERROR(Z73/Z72,0)</f>
        <v>0.640253036659823</v>
      </c>
      <c r="AA74" s="52" t="n">
        <f aca="false">IFERROR(AA73/AA72,0)</f>
        <v>0.64025129280306</v>
      </c>
      <c r="AB74" s="52" t="n">
        <f aca="false">IFERROR(AB73/AB72,0)</f>
        <v>0.640256615351917</v>
      </c>
      <c r="AC74" s="52" t="n">
        <f aca="false">IFERROR(AC73/AC72,0)</f>
        <v>0.640265490140054</v>
      </c>
      <c r="AD74" s="52" t="n">
        <f aca="false">IFERROR(AD73/AD72,0)</f>
        <v>0.640276522076574</v>
      </c>
      <c r="AE74" s="52" t="n">
        <f aca="false">IFERROR(AE73/AE72,0)</f>
        <v>0.640288820775899</v>
      </c>
      <c r="AF74" s="52" t="n">
        <f aca="false">IFERROR(AF73/AF72,0)</f>
        <v>0.640301706948502</v>
      </c>
      <c r="AG74" s="52" t="n">
        <f aca="false">IFERROR(AG73/AG72,0)</f>
        <v>0.640314632989799</v>
      </c>
      <c r="AH74" s="52" t="n">
        <f aca="false">IFERROR(AH73/AH72,0)</f>
        <v>0.64032714517733</v>
      </c>
      <c r="AI74" s="52" t="n">
        <f aca="false">IFERROR(AI73/AI72,0)</f>
        <v>0.640338859241135</v>
      </c>
      <c r="AJ74" s="52" t="n">
        <f aca="false">IFERROR(AJ73/AJ72,0)</f>
        <v>0.640349442992837</v>
      </c>
      <c r="AK74" s="52" t="n">
        <f aca="false">IFERROR(AK73/AK72,0)</f>
        <v>0.640358603636355</v>
      </c>
      <c r="AL74" s="52" t="n">
        <f aca="false">IFERROR(AL73/AL72,0)</f>
        <v>0.640366078447022</v>
      </c>
      <c r="AM74" s="52" t="n">
        <f aca="false">AVERAGE(N74:AL74)</f>
        <v>0.640511452694223</v>
      </c>
    </row>
    <row r="75" customFormat="false" ht="15" hidden="false" customHeight="false" outlineLevel="0" collapsed="false">
      <c r="A75" s="10" t="s">
        <v>810</v>
      </c>
      <c r="B75" s="9" t="s">
        <v>97</v>
      </c>
      <c r="C75" s="70" t="n">
        <f aca="false">-Assumptions!$F$82</f>
        <v>-600</v>
      </c>
      <c r="D75" s="70" t="n">
        <f aca="false">-Assumptions!$F$82</f>
        <v>-600</v>
      </c>
      <c r="E75" s="70" t="n">
        <f aca="false">-Assumptions!$F$82</f>
        <v>-600</v>
      </c>
      <c r="F75" s="70" t="n">
        <f aca="false">-Assumptions!$F$82</f>
        <v>-600</v>
      </c>
      <c r="G75" s="70" t="n">
        <f aca="false">-Assumptions!$F$82</f>
        <v>-600</v>
      </c>
      <c r="H75" s="70" t="n">
        <f aca="false">-Assumptions!$F$82</f>
        <v>-600</v>
      </c>
      <c r="I75" s="70" t="n">
        <f aca="false">-Assumptions!$F$82</f>
        <v>-600</v>
      </c>
      <c r="J75" s="70" t="n">
        <f aca="false">-Assumptions!$F$82</f>
        <v>-600</v>
      </c>
      <c r="K75" s="70" t="n">
        <f aca="false">-Assumptions!$F$82</f>
        <v>-600</v>
      </c>
      <c r="L75" s="70" t="n">
        <f aca="false">-Assumptions!$F$82</f>
        <v>-600</v>
      </c>
      <c r="M75" s="70" t="n">
        <f aca="false">-Assumptions!$F$82</f>
        <v>-600</v>
      </c>
      <c r="N75" s="70" t="n">
        <f aca="false">-Assumptions!$F$82</f>
        <v>-600</v>
      </c>
      <c r="O75" s="70" t="n">
        <f aca="false">-Assumptions!$F$82</f>
        <v>-600</v>
      </c>
      <c r="P75" s="70" t="n">
        <f aca="false">-Assumptions!$F$82</f>
        <v>-600</v>
      </c>
      <c r="Q75" s="70" t="n">
        <f aca="false">-Assumptions!$F$82</f>
        <v>-600</v>
      </c>
      <c r="R75" s="70" t="n">
        <f aca="false">-Assumptions!$F$82</f>
        <v>-600</v>
      </c>
      <c r="S75" s="70" t="n">
        <f aca="false">-Assumptions!$F$82</f>
        <v>-600</v>
      </c>
      <c r="T75" s="70" t="n">
        <f aca="false">-Assumptions!$F$82</f>
        <v>-600</v>
      </c>
      <c r="U75" s="70" t="n">
        <f aca="false">-Assumptions!$F$82</f>
        <v>-600</v>
      </c>
      <c r="V75" s="70" t="n">
        <f aca="false">-Assumptions!$F$82</f>
        <v>-600</v>
      </c>
      <c r="W75" s="70" t="n">
        <f aca="false">-Assumptions!$F$82</f>
        <v>-600</v>
      </c>
      <c r="X75" s="70" t="n">
        <f aca="false">-Assumptions!$F$82</f>
        <v>-600</v>
      </c>
      <c r="Y75" s="70" t="n">
        <f aca="false">-Assumptions!$F$82</f>
        <v>-600</v>
      </c>
      <c r="Z75" s="70" t="n">
        <f aca="false">-Assumptions!$F$82</f>
        <v>-600</v>
      </c>
      <c r="AA75" s="70" t="n">
        <f aca="false">-Assumptions!$F$82</f>
        <v>-600</v>
      </c>
      <c r="AB75" s="70" t="n">
        <f aca="false">-Assumptions!$F$82</f>
        <v>-600</v>
      </c>
      <c r="AC75" s="70" t="n">
        <f aca="false">-Assumptions!$F$82</f>
        <v>-600</v>
      </c>
      <c r="AD75" s="70" t="n">
        <f aca="false">-Assumptions!$F$82</f>
        <v>-600</v>
      </c>
      <c r="AE75" s="70" t="n">
        <f aca="false">-Assumptions!$F$82</f>
        <v>-600</v>
      </c>
      <c r="AF75" s="70" t="n">
        <f aca="false">-Assumptions!$F$82</f>
        <v>-600</v>
      </c>
      <c r="AG75" s="70" t="n">
        <f aca="false">-Assumptions!$F$82</f>
        <v>-600</v>
      </c>
      <c r="AH75" s="70" t="n">
        <f aca="false">-Assumptions!$F$82</f>
        <v>-600</v>
      </c>
      <c r="AI75" s="70" t="n">
        <f aca="false">-Assumptions!$F$82</f>
        <v>-600</v>
      </c>
      <c r="AJ75" s="70" t="n">
        <f aca="false">-Assumptions!$F$82</f>
        <v>-600</v>
      </c>
      <c r="AK75" s="70" t="n">
        <f aca="false">-Assumptions!$F$82</f>
        <v>-600</v>
      </c>
      <c r="AL75" s="70" t="n">
        <f aca="false">-Assumptions!$F$82</f>
        <v>-600</v>
      </c>
      <c r="AM75" s="70" t="n">
        <f aca="false">SUM(C75:AL75)</f>
        <v>-21600</v>
      </c>
    </row>
    <row r="76" customFormat="false" ht="15" hidden="false" customHeight="false" outlineLevel="0" collapsed="false">
      <c r="A76" s="10" t="s">
        <v>811</v>
      </c>
      <c r="B76" s="9" t="s">
        <v>97</v>
      </c>
      <c r="C76" s="70" t="n">
        <f aca="false">-Assumptions!$F$83</f>
        <v>-260</v>
      </c>
      <c r="D76" s="70" t="n">
        <f aca="false">-Assumptions!$F$83</f>
        <v>-260</v>
      </c>
      <c r="E76" s="70" t="n">
        <f aca="false">-Assumptions!$F$83</f>
        <v>-260</v>
      </c>
      <c r="F76" s="70" t="n">
        <f aca="false">-Assumptions!$F$83</f>
        <v>-260</v>
      </c>
      <c r="G76" s="70" t="n">
        <f aca="false">-Assumptions!$F$83</f>
        <v>-260</v>
      </c>
      <c r="H76" s="70" t="n">
        <f aca="false">-Assumptions!$F$83</f>
        <v>-260</v>
      </c>
      <c r="I76" s="70" t="n">
        <f aca="false">-Assumptions!$F$83</f>
        <v>-260</v>
      </c>
      <c r="J76" s="70" t="n">
        <f aca="false">-Assumptions!$F$83</f>
        <v>-260</v>
      </c>
      <c r="K76" s="70" t="n">
        <f aca="false">-Assumptions!$F$83</f>
        <v>-260</v>
      </c>
      <c r="L76" s="70" t="n">
        <f aca="false">-Assumptions!$F$83</f>
        <v>-260</v>
      </c>
      <c r="M76" s="70" t="n">
        <f aca="false">-Assumptions!$F$83</f>
        <v>-260</v>
      </c>
      <c r="N76" s="70" t="n">
        <f aca="false">-Assumptions!$F$83</f>
        <v>-260</v>
      </c>
      <c r="O76" s="70" t="n">
        <f aca="false">-Assumptions!$F$83</f>
        <v>-260</v>
      </c>
      <c r="P76" s="70" t="n">
        <f aca="false">-Assumptions!$F$83</f>
        <v>-260</v>
      </c>
      <c r="Q76" s="70" t="n">
        <f aca="false">-Assumptions!$F$83</f>
        <v>-260</v>
      </c>
      <c r="R76" s="70" t="n">
        <f aca="false">-Assumptions!$F$83</f>
        <v>-260</v>
      </c>
      <c r="S76" s="70" t="n">
        <f aca="false">-Assumptions!$F$83</f>
        <v>-260</v>
      </c>
      <c r="T76" s="70" t="n">
        <f aca="false">-Assumptions!$F$83</f>
        <v>-260</v>
      </c>
      <c r="U76" s="70" t="n">
        <f aca="false">-Assumptions!$F$83</f>
        <v>-260</v>
      </c>
      <c r="V76" s="70" t="n">
        <f aca="false">-Assumptions!$F$83</f>
        <v>-260</v>
      </c>
      <c r="W76" s="70" t="n">
        <f aca="false">-Assumptions!$F$83</f>
        <v>-260</v>
      </c>
      <c r="X76" s="70" t="n">
        <f aca="false">-Assumptions!$F$83</f>
        <v>-260</v>
      </c>
      <c r="Y76" s="70" t="n">
        <f aca="false">-Assumptions!$F$83</f>
        <v>-260</v>
      </c>
      <c r="Z76" s="70" t="n">
        <f aca="false">-Assumptions!$F$83</f>
        <v>-260</v>
      </c>
      <c r="AA76" s="70" t="n">
        <f aca="false">-Assumptions!$F$83</f>
        <v>-260</v>
      </c>
      <c r="AB76" s="70" t="n">
        <f aca="false">-Assumptions!$F$83</f>
        <v>-260</v>
      </c>
      <c r="AC76" s="70" t="n">
        <f aca="false">-Assumptions!$F$83</f>
        <v>-260</v>
      </c>
      <c r="AD76" s="70" t="n">
        <f aca="false">-Assumptions!$F$83</f>
        <v>-260</v>
      </c>
      <c r="AE76" s="70" t="n">
        <f aca="false">-Assumptions!$F$83</f>
        <v>-260</v>
      </c>
      <c r="AF76" s="70" t="n">
        <f aca="false">-Assumptions!$F$83</f>
        <v>-260</v>
      </c>
      <c r="AG76" s="70" t="n">
        <f aca="false">-Assumptions!$F$83</f>
        <v>-260</v>
      </c>
      <c r="AH76" s="70" t="n">
        <f aca="false">-Assumptions!$F$83</f>
        <v>-260</v>
      </c>
      <c r="AI76" s="70" t="n">
        <f aca="false">-Assumptions!$F$83</f>
        <v>-260</v>
      </c>
      <c r="AJ76" s="70" t="n">
        <f aca="false">-Assumptions!$F$83</f>
        <v>-260</v>
      </c>
      <c r="AK76" s="70" t="n">
        <f aca="false">-Assumptions!$F$83</f>
        <v>-260</v>
      </c>
      <c r="AL76" s="70" t="n">
        <f aca="false">-Assumptions!$F$83</f>
        <v>-260</v>
      </c>
      <c r="AM76" s="70" t="n">
        <f aca="false">SUM(C76:AL76)</f>
        <v>-9360</v>
      </c>
    </row>
    <row r="77" customFormat="false" ht="15" hidden="false" customHeight="false" outlineLevel="0" collapsed="false">
      <c r="A77" s="10" t="s">
        <v>812</v>
      </c>
      <c r="B77" s="9" t="s">
        <v>97</v>
      </c>
      <c r="C77" s="70" t="n">
        <f aca="false">-MAX(IF(C8=0,Assumptions!$F$84,IF(C$5&lt;=12,Assumptions!$F$85,IF(C$5&lt;=24,Assumptions!$F$86,Assumptions!$F$87))))</f>
        <v>-9000</v>
      </c>
      <c r="D77" s="70" t="n">
        <f aca="false">-MAX(IF(D8=0,Assumptions!$F$84,IF(D$5&lt;=12,Assumptions!$F$85,IF(D$5&lt;=24,Assumptions!$F$86,Assumptions!$F$87))),C72*Assumptions!$F$88)</f>
        <v>-26000</v>
      </c>
      <c r="E77" s="70" t="n">
        <f aca="false">-MAX(IF(E8=0,Assumptions!$F$84,IF(E$5&lt;=12,Assumptions!$F$85,IF(E$5&lt;=24,Assumptions!$F$86,Assumptions!$F$87))),D72*Assumptions!$F$88)</f>
        <v>-64548</v>
      </c>
      <c r="F77" s="70" t="n">
        <f aca="false">-MAX(IF(F8=0,Assumptions!$F$84,IF(F$5&lt;=12,Assumptions!$F$85,IF(F$5&lt;=24,Assumptions!$F$86,Assumptions!$F$87))),E72*Assumptions!$F$88)</f>
        <v>-86261.7752923238</v>
      </c>
      <c r="G77" s="70" t="n">
        <f aca="false">-MAX(IF(G8=0,Assumptions!$F$84,IF(G$5&lt;=12,Assumptions!$F$85,IF(G$5&lt;=24,Assumptions!$F$86,Assumptions!$F$87))),F72*Assumptions!$F$88)</f>
        <v>-109892.450297254</v>
      </c>
      <c r="H77" s="70" t="n">
        <f aca="false">-MAX(IF(H8=0,Assumptions!$F$84,IF(H$5&lt;=12,Assumptions!$F$85,IF(H$5&lt;=24,Assumptions!$F$86,Assumptions!$F$87))),G72*Assumptions!$F$88)</f>
        <v>-147448.967037606</v>
      </c>
      <c r="I77" s="70" t="n">
        <f aca="false">-MAX(IF(I8=0,Assumptions!$F$84,IF(I$5&lt;=12,Assumptions!$F$85,IF(I$5&lt;=24,Assumptions!$F$86,Assumptions!$F$87))),H72*Assumptions!$F$88)</f>
        <v>-182563.734888168</v>
      </c>
      <c r="J77" s="70" t="n">
        <f aca="false">-MAX(IF(J8=0,Assumptions!$F$84,IF(J$5&lt;=12,Assumptions!$F$85,IF(J$5&lt;=24,Assumptions!$F$86,Assumptions!$F$87))),I72*Assumptions!$F$88)</f>
        <v>-218588.34213591</v>
      </c>
      <c r="K77" s="70" t="n">
        <f aca="false">-MAX(IF(K8=0,Assumptions!$F$84,IF(K$5&lt;=12,Assumptions!$F$85,IF(K$5&lt;=24,Assumptions!$F$86,Assumptions!$F$87))),J72*Assumptions!$F$88)</f>
        <v>-255647.037969923</v>
      </c>
      <c r="L77" s="70" t="n">
        <f aca="false">-MAX(IF(L8=0,Assumptions!$F$84,IF(L$5&lt;=12,Assumptions!$F$85,IF(L$5&lt;=24,Assumptions!$F$86,Assumptions!$F$87))),K72*Assumptions!$F$88)</f>
        <v>-293934.901440287</v>
      </c>
      <c r="M77" s="70" t="n">
        <f aca="false">-MAX(IF(M8=0,Assumptions!$F$84,IF(M$5&lt;=12,Assumptions!$F$85,IF(M$5&lt;=24,Assumptions!$F$86,Assumptions!$F$87))),L72*Assumptions!$F$88)</f>
        <v>-333625.378864049</v>
      </c>
      <c r="N77" s="70" t="n">
        <f aca="false">-MAX(IF(N8=0,Assumptions!$F$84,IF(N$5&lt;=12,Assumptions!$F$85,IF(N$5&lt;=24,Assumptions!$F$86,Assumptions!$F$87))),M72*Assumptions!$F$88)</f>
        <v>-374890.425411035</v>
      </c>
      <c r="O77" s="70" t="n">
        <f aca="false">-MAX(IF(O8=0,Assumptions!$F$84,IF(O$5&lt;=12,Assumptions!$F$85,IF(O$5&lt;=24,Assumptions!$F$86,Assumptions!$F$87))),N72*Assumptions!$F$88)</f>
        <v>-417903.290100522</v>
      </c>
      <c r="P77" s="70" t="n">
        <f aca="false">-MAX(IF(P8=0,Assumptions!$F$84,IF(P$5&lt;=12,Assumptions!$F$85,IF(P$5&lt;=24,Assumptions!$F$86,Assumptions!$F$87))),O72*Assumptions!$F$88)</f>
        <v>-462839.597614787</v>
      </c>
      <c r="Q77" s="70" t="n">
        <f aca="false">-MAX(IF(Q8=0,Assumptions!$F$84,IF(Q$5&lt;=12,Assumptions!$F$85,IF(Q$5&lt;=24,Assumptions!$F$86,Assumptions!$F$87))),P72*Assumptions!$F$88)</f>
        <v>-509878.137393808</v>
      </c>
      <c r="R77" s="70" t="n">
        <f aca="false">-MAX(IF(R8=0,Assumptions!$F$84,IF(R$5&lt;=12,Assumptions!$F$85,IF(R$5&lt;=24,Assumptions!$F$86,Assumptions!$F$87))),Q72*Assumptions!$F$88)</f>
        <v>-559201.736921472</v>
      </c>
      <c r="S77" s="70" t="n">
        <f aca="false">-MAX(IF(S8=0,Assumptions!$F$84,IF(S$5&lt;=12,Assumptions!$F$85,IF(S$5&lt;=24,Assumptions!$F$86,Assumptions!$F$87))),R72*Assumptions!$F$88)</f>
        <v>-610998.269328984</v>
      </c>
      <c r="T77" s="70" t="n">
        <f aca="false">-MAX(IF(T8=0,Assumptions!$F$84,IF(T$5&lt;=12,Assumptions!$F$85,IF(T$5&lt;=24,Assumptions!$F$86,Assumptions!$F$87))),S72*Assumptions!$F$88)</f>
        <v>-665461.785649829</v>
      </c>
      <c r="U77" s="70" t="n">
        <f aca="false">-MAX(IF(U8=0,Assumptions!$F$84,IF(U$5&lt;=12,Assumptions!$F$85,IF(U$5&lt;=24,Assumptions!$F$86,Assumptions!$F$87))),T72*Assumptions!$F$88)</f>
        <v>-721053.723553088</v>
      </c>
      <c r="V77" s="70" t="n">
        <f aca="false">-MAX(IF(V8=0,Assumptions!$F$84,IF(V$5&lt;=12,Assumptions!$F$85,IF(V$5&lt;=24,Assumptions!$F$86,Assumptions!$F$87))),U72*Assumptions!$F$88)</f>
        <v>-777599.578330154</v>
      </c>
      <c r="W77" s="70" t="n">
        <f aca="false">-MAX(IF(W8=0,Assumptions!$F$84,IF(W$5&lt;=12,Assumptions!$F$85,IF(W$5&lt;=24,Assumptions!$F$86,Assumptions!$F$87))),V72*Assumptions!$F$88)</f>
        <v>-835334.074461343</v>
      </c>
      <c r="X77" s="70" t="n">
        <f aca="false">-MAX(IF(X8=0,Assumptions!$F$84,IF(X$5&lt;=12,Assumptions!$F$85,IF(X$5&lt;=24,Assumptions!$F$86,Assumptions!$F$87))),W72*Assumptions!$F$88)</f>
        <v>-894293.001325184</v>
      </c>
      <c r="Y77" s="70" t="n">
        <f aca="false">-MAX(IF(Y8=0,Assumptions!$F$84,IF(Y$5&lt;=12,Assumptions!$F$85,IF(Y$5&lt;=24,Assumptions!$F$86,Assumptions!$F$87))),X72*Assumptions!$F$88)</f>
        <v>-954514.496098466</v>
      </c>
      <c r="Z77" s="70" t="n">
        <f aca="false">-MAX(IF(Z8=0,Assumptions!$F$84,IF(Z$5&lt;=12,Assumptions!$F$85,IF(Z$5&lt;=24,Assumptions!$F$86,Assumptions!$F$87))),Y72*Assumptions!$F$88)</f>
        <v>-1016039.68749561</v>
      </c>
      <c r="AA77" s="70" t="n">
        <f aca="false">-MAX(IF(AA8=0,Assumptions!$F$84,IF(AA$5&lt;=12,Assumptions!$F$85,IF(AA$5&lt;=24,Assumptions!$F$86,Assumptions!$F$87))),Z72*Assumptions!$F$88)</f>
        <v>-1076995.09746277</v>
      </c>
      <c r="AB77" s="70" t="n">
        <f aca="false">-MAX(IF(AB8=0,Assumptions!$F$84,IF(AB$5&lt;=12,Assumptions!$F$85,IF(AB$5&lt;=24,Assumptions!$F$86,Assumptions!$F$87))),AA72*Assumptions!$F$88)</f>
        <v>-1132430.52288343</v>
      </c>
      <c r="AC77" s="70" t="n">
        <f aca="false">-MAX(IF(AC8=0,Assumptions!$F$84,IF(AC$5&lt;=12,Assumptions!$F$85,IF(AC$5&lt;=24,Assumptions!$F$86,Assumptions!$F$87))),AB72*Assumptions!$F$88)</f>
        <v>-1184152.60147038</v>
      </c>
      <c r="AD77" s="70" t="n">
        <f aca="false">-MAX(IF(AD8=0,Assumptions!$F$84,IF(AD$5&lt;=12,Assumptions!$F$85,IF(AD$5&lt;=24,Assumptions!$F$86,Assumptions!$F$87))),AC72*Assumptions!$F$88)</f>
        <v>-1233003.90937113</v>
      </c>
      <c r="AE77" s="70" t="n">
        <f aca="false">-MAX(IF(AE8=0,Assumptions!$F$84,IF(AE$5&lt;=12,Assumptions!$F$85,IF(AE$5&lt;=24,Assumptions!$F$86,Assumptions!$F$87))),AD72*Assumptions!$F$88)</f>
        <v>-1279381.82680329</v>
      </c>
      <c r="AF77" s="70" t="n">
        <f aca="false">-MAX(IF(AF8=0,Assumptions!$F$84,IF(AF$5&lt;=12,Assumptions!$F$85,IF(AF$5&lt;=24,Assumptions!$F$86,Assumptions!$F$87))),AE72*Assumptions!$F$88)</f>
        <v>-1323607.25604302</v>
      </c>
      <c r="AG77" s="70" t="n">
        <f aca="false">-MAX(IF(AG8=0,Assumptions!$F$84,IF(AG$5&lt;=12,Assumptions!$F$85,IF(AG$5&lt;=24,Assumptions!$F$86,Assumptions!$F$87))),AF72*Assumptions!$F$88)</f>
        <v>-1365980.61805803</v>
      </c>
      <c r="AH77" s="70" t="n">
        <f aca="false">-MAX(IF(AH8=0,Assumptions!$F$84,IF(AH$5&lt;=12,Assumptions!$F$85,IF(AH$5&lt;=24,Assumptions!$F$86,Assumptions!$F$87))),AG72*Assumptions!$F$88)</f>
        <v>-1406792.71756063</v>
      </c>
      <c r="AI77" s="70" t="n">
        <f aca="false">-MAX(IF(AI8=0,Assumptions!$F$84,IF(AI$5&lt;=12,Assumptions!$F$85,IF(AI$5&lt;=24,Assumptions!$F$86,Assumptions!$F$87))),AH72*Assumptions!$F$88)</f>
        <v>-1446328.77440934</v>
      </c>
      <c r="AJ77" s="70" t="n">
        <f aca="false">-MAX(IF(AJ8=0,Assumptions!$F$84,IF(AJ$5&lt;=12,Assumptions!$F$85,IF(AJ$5&lt;=24,Assumptions!$F$86,Assumptions!$F$87))),AI72*Assumptions!$F$88)</f>
        <v>-1484871.4152348</v>
      </c>
      <c r="AK77" s="70" t="n">
        <f aca="false">-MAX(IF(AK8=0,Assumptions!$F$84,IF(AK$5&lt;=12,Assumptions!$F$85,IF(AK$5&lt;=24,Assumptions!$F$86,Assumptions!$F$87))),AJ72*Assumptions!$F$88)</f>
        <v>-1522703.52604918</v>
      </c>
      <c r="AL77" s="70" t="n">
        <f aca="false">-MAX(IF(AL8=0,Assumptions!$F$84,IF(AL$5&lt;=12,Assumptions!$F$85,IF(AL$5&lt;=24,Assumptions!$F$86,Assumptions!$F$87))),AK72*Assumptions!$F$88)</f>
        <v>-1560111.13027781</v>
      </c>
      <c r="AM77" s="70" t="n">
        <f aca="false">SUM(C77:AL77)</f>
        <v>-26543877.7872336</v>
      </c>
    </row>
    <row r="78" customFormat="false" ht="15" hidden="false" customHeight="false" outlineLevel="0" collapsed="false">
      <c r="A78" s="10" t="s">
        <v>813</v>
      </c>
      <c r="B78" s="9" t="s">
        <v>97</v>
      </c>
      <c r="C78" s="70" t="n">
        <f aca="false">-IF(C$5&gt;=Assumptions!$F$7-2,Assumptions!$F$91,0)</f>
        <v>-0</v>
      </c>
      <c r="D78" s="70" t="n">
        <f aca="false">-IF(D$5&gt;=Assumptions!$F$7-2,Assumptions!$F$91,0)</f>
        <v>-0</v>
      </c>
      <c r="E78" s="70" t="n">
        <f aca="false">-IF(E$5&gt;=Assumptions!$F$7-2,Assumptions!$F$91,0)</f>
        <v>-14000</v>
      </c>
      <c r="F78" s="70" t="n">
        <f aca="false">-IF(F$5&gt;=Assumptions!$F$7-2,Assumptions!$F$91,0)</f>
        <v>-14000</v>
      </c>
      <c r="G78" s="70" t="n">
        <f aca="false">-IF(G$5&gt;=Assumptions!$F$7-2,Assumptions!$F$91,0)</f>
        <v>-14000</v>
      </c>
      <c r="H78" s="70" t="n">
        <f aca="false">-IF(H$5&gt;=Assumptions!$F$7-2,Assumptions!$F$91,0)</f>
        <v>-14000</v>
      </c>
      <c r="I78" s="70" t="n">
        <f aca="false">-IF(I$5&gt;=Assumptions!$F$7-2,Assumptions!$F$91,0)</f>
        <v>-14000</v>
      </c>
      <c r="J78" s="70" t="n">
        <f aca="false">-IF(J$5&gt;=Assumptions!$F$7-2,Assumptions!$F$91,0)</f>
        <v>-14000</v>
      </c>
      <c r="K78" s="70" t="n">
        <f aca="false">-IF(K$5&gt;=Assumptions!$F$7-2,Assumptions!$F$91,0)</f>
        <v>-14000</v>
      </c>
      <c r="L78" s="70" t="n">
        <f aca="false">-IF(L$5&gt;=Assumptions!$F$7-2,Assumptions!$F$91,0)</f>
        <v>-14000</v>
      </c>
      <c r="M78" s="70" t="n">
        <f aca="false">-IF(M$5&gt;=Assumptions!$F$7-2,Assumptions!$F$91,0)</f>
        <v>-14000</v>
      </c>
      <c r="N78" s="70" t="n">
        <f aca="false">-IF(N$5&gt;=Assumptions!$F$7-2,Assumptions!$F$91,0)</f>
        <v>-14000</v>
      </c>
      <c r="O78" s="70" t="n">
        <f aca="false">-IF(O$5&gt;=Assumptions!$F$7-2,Assumptions!$F$91,0)</f>
        <v>-14000</v>
      </c>
      <c r="P78" s="70" t="n">
        <f aca="false">-IF(P$5&gt;=Assumptions!$F$7-2,Assumptions!$F$91,0)</f>
        <v>-14000</v>
      </c>
      <c r="Q78" s="70" t="n">
        <f aca="false">-IF(Q$5&gt;=Assumptions!$F$7-2,Assumptions!$F$91,0)</f>
        <v>-14000</v>
      </c>
      <c r="R78" s="70" t="n">
        <f aca="false">-IF(R$5&gt;=Assumptions!$F$7-2,Assumptions!$F$91,0)</f>
        <v>-14000</v>
      </c>
      <c r="S78" s="70" t="n">
        <f aca="false">-IF(S$5&gt;=Assumptions!$F$7-2,Assumptions!$F$91,0)</f>
        <v>-14000</v>
      </c>
      <c r="T78" s="70" t="n">
        <f aca="false">-IF(T$5&gt;=Assumptions!$F$7-2,Assumptions!$F$91,0)</f>
        <v>-14000</v>
      </c>
      <c r="U78" s="70" t="n">
        <f aca="false">-IF(U$5&gt;=Assumptions!$F$7-2,Assumptions!$F$91,0)</f>
        <v>-14000</v>
      </c>
      <c r="V78" s="70" t="n">
        <f aca="false">-IF(V$5&gt;=Assumptions!$F$7-2,Assumptions!$F$91,0)</f>
        <v>-14000</v>
      </c>
      <c r="W78" s="70" t="n">
        <f aca="false">-IF(W$5&gt;=Assumptions!$F$7-2,Assumptions!$F$91,0)</f>
        <v>-14000</v>
      </c>
      <c r="X78" s="70" t="n">
        <f aca="false">-IF(X$5&gt;=Assumptions!$F$7-2,Assumptions!$F$91,0)</f>
        <v>-14000</v>
      </c>
      <c r="Y78" s="70" t="n">
        <f aca="false">-IF(Y$5&gt;=Assumptions!$F$7-2,Assumptions!$F$91,0)</f>
        <v>-14000</v>
      </c>
      <c r="Z78" s="70" t="n">
        <f aca="false">-IF(Z$5&gt;=Assumptions!$F$7-2,Assumptions!$F$91,0)</f>
        <v>-14000</v>
      </c>
      <c r="AA78" s="70" t="n">
        <f aca="false">-IF(AA$5&gt;=Assumptions!$F$7-2,Assumptions!$F$91,0)</f>
        <v>-14000</v>
      </c>
      <c r="AB78" s="70" t="n">
        <f aca="false">-IF(AB$5&gt;=Assumptions!$F$7-2,Assumptions!$F$91,0)</f>
        <v>-14000</v>
      </c>
      <c r="AC78" s="70" t="n">
        <f aca="false">-IF(AC$5&gt;=Assumptions!$F$7-2,Assumptions!$F$91,0)</f>
        <v>-14000</v>
      </c>
      <c r="AD78" s="70" t="n">
        <f aca="false">-IF(AD$5&gt;=Assumptions!$F$7-2,Assumptions!$F$91,0)</f>
        <v>-14000</v>
      </c>
      <c r="AE78" s="70" t="n">
        <f aca="false">-IF(AE$5&gt;=Assumptions!$F$7-2,Assumptions!$F$91,0)</f>
        <v>-14000</v>
      </c>
      <c r="AF78" s="70" t="n">
        <f aca="false">-IF(AF$5&gt;=Assumptions!$F$7-2,Assumptions!$F$91,0)</f>
        <v>-14000</v>
      </c>
      <c r="AG78" s="70" t="n">
        <f aca="false">-IF(AG$5&gt;=Assumptions!$F$7-2,Assumptions!$F$91,0)</f>
        <v>-14000</v>
      </c>
      <c r="AH78" s="70" t="n">
        <f aca="false">-IF(AH$5&gt;=Assumptions!$F$7-2,Assumptions!$F$91,0)</f>
        <v>-14000</v>
      </c>
      <c r="AI78" s="70" t="n">
        <f aca="false">-IF(AI$5&gt;=Assumptions!$F$7-2,Assumptions!$F$91,0)</f>
        <v>-14000</v>
      </c>
      <c r="AJ78" s="70" t="n">
        <f aca="false">-IF(AJ$5&gt;=Assumptions!$F$7-2,Assumptions!$F$91,0)</f>
        <v>-14000</v>
      </c>
      <c r="AK78" s="70" t="n">
        <f aca="false">-IF(AK$5&gt;=Assumptions!$F$7-2,Assumptions!$F$91,0)</f>
        <v>-14000</v>
      </c>
      <c r="AL78" s="70" t="n">
        <f aca="false">-IF(AL$5&gt;=Assumptions!$F$7-2,Assumptions!$F$91,0)</f>
        <v>-14000</v>
      </c>
      <c r="AM78" s="70" t="n">
        <f aca="false">SUM(C78:AL78)</f>
        <v>-476000</v>
      </c>
    </row>
    <row r="79" customFormat="false" ht="15" hidden="false" customHeight="false" outlineLevel="0" collapsed="false">
      <c r="A79" s="10" t="s">
        <v>814</v>
      </c>
      <c r="B79" s="9" t="s">
        <v>97</v>
      </c>
      <c r="C79" s="70" t="n">
        <f aca="false">-Assumptions!$F$92</f>
        <v>-2000</v>
      </c>
      <c r="D79" s="70" t="n">
        <f aca="false">-MAX(Assumptions!$F$92,C72*Assumptions!$F$90)</f>
        <v>-2000</v>
      </c>
      <c r="E79" s="70" t="n">
        <f aca="false">-MAX(Assumptions!$F$92,D72*Assumptions!$F$90)</f>
        <v>-7745.76</v>
      </c>
      <c r="F79" s="70" t="n">
        <f aca="false">-MAX(Assumptions!$F$92,E72*Assumptions!$F$90)</f>
        <v>-10351.4130350789</v>
      </c>
      <c r="G79" s="70" t="n">
        <f aca="false">-MAX(Assumptions!$F$92,F72*Assumptions!$F$90)</f>
        <v>-13187.0940356705</v>
      </c>
      <c r="H79" s="70" t="n">
        <f aca="false">-MAX(Assumptions!$F$92,G72*Assumptions!$F$90)</f>
        <v>-17693.8760445128</v>
      </c>
      <c r="I79" s="70" t="n">
        <f aca="false">-MAX(Assumptions!$F$92,H72*Assumptions!$F$90)</f>
        <v>-21907.6481865802</v>
      </c>
      <c r="J79" s="70" t="n">
        <f aca="false">-MAX(Assumptions!$F$92,I72*Assumptions!$F$90)</f>
        <v>-26230.6010563091</v>
      </c>
      <c r="K79" s="70" t="n">
        <f aca="false">-MAX(Assumptions!$F$92,J72*Assumptions!$F$90)</f>
        <v>-30677.6445563908</v>
      </c>
      <c r="L79" s="70" t="n">
        <f aca="false">-MAX(Assumptions!$F$92,K72*Assumptions!$F$90)</f>
        <v>-35272.1881728344</v>
      </c>
      <c r="M79" s="70" t="n">
        <f aca="false">-MAX(Assumptions!$F$92,L72*Assumptions!$F$90)</f>
        <v>-40035.0454636859</v>
      </c>
      <c r="N79" s="70" t="n">
        <f aca="false">-MAX(Assumptions!$F$92,M72*Assumptions!$F$90)</f>
        <v>-44986.8510493242</v>
      </c>
      <c r="O79" s="70" t="n">
        <f aca="false">-MAX(Assumptions!$F$92,N72*Assumptions!$F$90)</f>
        <v>-50148.3948120626</v>
      </c>
      <c r="P79" s="70" t="n">
        <f aca="false">-MAX(Assumptions!$F$92,O72*Assumptions!$F$90)</f>
        <v>-55540.7517137744</v>
      </c>
      <c r="Q79" s="70" t="n">
        <f aca="false">-MAX(Assumptions!$F$92,P72*Assumptions!$F$90)</f>
        <v>-61185.3764872569</v>
      </c>
      <c r="R79" s="70" t="n">
        <f aca="false">-MAX(Assumptions!$F$92,Q72*Assumptions!$F$90)</f>
        <v>-67104.2084305766</v>
      </c>
      <c r="S79" s="70" t="n">
        <f aca="false">-MAX(Assumptions!$F$92,R72*Assumptions!$F$90)</f>
        <v>-73319.7923194781</v>
      </c>
      <c r="T79" s="70" t="n">
        <f aca="false">-MAX(Assumptions!$F$92,S72*Assumptions!$F$90)</f>
        <v>-79855.4142779794</v>
      </c>
      <c r="U79" s="70" t="n">
        <f aca="false">-MAX(Assumptions!$F$92,T72*Assumptions!$F$90)</f>
        <v>-86526.4468263706</v>
      </c>
      <c r="V79" s="70" t="n">
        <f aca="false">-MAX(Assumptions!$F$92,U72*Assumptions!$F$90)</f>
        <v>-93311.9493996185</v>
      </c>
      <c r="W79" s="70" t="n">
        <f aca="false">-MAX(Assumptions!$F$92,V72*Assumptions!$F$90)</f>
        <v>-100240.088935361</v>
      </c>
      <c r="X79" s="70" t="n">
        <f aca="false">-MAX(Assumptions!$F$92,W72*Assumptions!$F$90)</f>
        <v>-107315.160159022</v>
      </c>
      <c r="Y79" s="70" t="n">
        <f aca="false">-MAX(Assumptions!$F$92,X72*Assumptions!$F$90)</f>
        <v>-114541.739531816</v>
      </c>
      <c r="Z79" s="70" t="n">
        <f aca="false">-MAX(Assumptions!$F$92,Y72*Assumptions!$F$90)</f>
        <v>-121924.762499474</v>
      </c>
      <c r="AA79" s="70" t="n">
        <f aca="false">-MAX(Assumptions!$F$92,Z72*Assumptions!$F$90)</f>
        <v>-129239.411695533</v>
      </c>
      <c r="AB79" s="70" t="n">
        <f aca="false">-MAX(Assumptions!$F$92,AA72*Assumptions!$F$90)</f>
        <v>-135891.662746011</v>
      </c>
      <c r="AC79" s="70" t="n">
        <f aca="false">-MAX(Assumptions!$F$92,AB72*Assumptions!$F$90)</f>
        <v>-142098.312176446</v>
      </c>
      <c r="AD79" s="70" t="n">
        <f aca="false">-MAX(Assumptions!$F$92,AC72*Assumptions!$F$90)</f>
        <v>-147960.469124536</v>
      </c>
      <c r="AE79" s="70" t="n">
        <f aca="false">-MAX(Assumptions!$F$92,AD72*Assumptions!$F$90)</f>
        <v>-153525.819216394</v>
      </c>
      <c r="AF79" s="70" t="n">
        <f aca="false">-MAX(Assumptions!$F$92,AE72*Assumptions!$F$90)</f>
        <v>-158832.870725162</v>
      </c>
      <c r="AG79" s="70" t="n">
        <f aca="false">-MAX(Assumptions!$F$92,AF72*Assumptions!$F$90)</f>
        <v>-163917.674166963</v>
      </c>
      <c r="AH79" s="70" t="n">
        <f aca="false">-MAX(Assumptions!$F$92,AG72*Assumptions!$F$90)</f>
        <v>-168815.126107276</v>
      </c>
      <c r="AI79" s="70" t="n">
        <f aca="false">-MAX(Assumptions!$F$92,AH72*Assumptions!$F$90)</f>
        <v>-173559.452929121</v>
      </c>
      <c r="AJ79" s="70" t="n">
        <f aca="false">-MAX(Assumptions!$F$92,AI72*Assumptions!$F$90)</f>
        <v>-178184.569828176</v>
      </c>
      <c r="AK79" s="70" t="n">
        <f aca="false">-MAX(Assumptions!$F$92,AJ72*Assumptions!$F$90)</f>
        <v>-182724.423125902</v>
      </c>
      <c r="AL79" s="70" t="n">
        <f aca="false">-MAX(Assumptions!$F$92,AK72*Assumptions!$F$90)</f>
        <v>-187213.335633337</v>
      </c>
      <c r="AM79" s="70" t="n">
        <f aca="false">SUM(C79:AL79)</f>
        <v>-3185065.33446803</v>
      </c>
    </row>
    <row r="80" customFormat="false" ht="15" hidden="false" customHeight="false" outlineLevel="0" collapsed="false">
      <c r="A80" s="10" t="s">
        <v>815</v>
      </c>
      <c r="B80" s="9" t="s">
        <v>97</v>
      </c>
      <c r="C80" s="70" t="n">
        <f aca="false">-IF(C$5&lt;=3,Assumptions!$F$93,Assumptions!$F$94)</f>
        <v>-20000</v>
      </c>
      <c r="D80" s="70" t="n">
        <f aca="false">-IF(D$5&lt;=3,Assumptions!$F$93,Assumptions!$F$94)</f>
        <v>-20000</v>
      </c>
      <c r="E80" s="70" t="n">
        <f aca="false">-IF(E$5&lt;=3,Assumptions!$F$93,Assumptions!$F$94)</f>
        <v>-20000</v>
      </c>
      <c r="F80" s="70" t="n">
        <f aca="false">-IF(F$5&lt;=3,Assumptions!$F$93,Assumptions!$F$94)</f>
        <v>-7000</v>
      </c>
      <c r="G80" s="70" t="n">
        <f aca="false">-IF(G$5&lt;=3,Assumptions!$F$93,Assumptions!$F$94)</f>
        <v>-7000</v>
      </c>
      <c r="H80" s="70" t="n">
        <f aca="false">-IF(H$5&lt;=3,Assumptions!$F$93,Assumptions!$F$94)</f>
        <v>-7000</v>
      </c>
      <c r="I80" s="70" t="n">
        <f aca="false">-IF(I$5&lt;=3,Assumptions!$F$93,Assumptions!$F$94)</f>
        <v>-7000</v>
      </c>
      <c r="J80" s="70" t="n">
        <f aca="false">-IF(J$5&lt;=3,Assumptions!$F$93,Assumptions!$F$94)</f>
        <v>-7000</v>
      </c>
      <c r="K80" s="70" t="n">
        <f aca="false">-IF(K$5&lt;=3,Assumptions!$F$93,Assumptions!$F$94)</f>
        <v>-7000</v>
      </c>
      <c r="L80" s="70" t="n">
        <f aca="false">-IF(L$5&lt;=3,Assumptions!$F$93,Assumptions!$F$94)</f>
        <v>-7000</v>
      </c>
      <c r="M80" s="70" t="n">
        <f aca="false">-IF(M$5&lt;=3,Assumptions!$F$93,Assumptions!$F$94)</f>
        <v>-7000</v>
      </c>
      <c r="N80" s="70" t="n">
        <f aca="false">-IF(N$5&lt;=3,Assumptions!$F$93,Assumptions!$F$94)</f>
        <v>-7000</v>
      </c>
      <c r="O80" s="70" t="n">
        <f aca="false">-IF(O$5&lt;=3,Assumptions!$F$93,Assumptions!$F$94)</f>
        <v>-7000</v>
      </c>
      <c r="P80" s="70" t="n">
        <f aca="false">-IF(P$5&lt;=3,Assumptions!$F$93,Assumptions!$F$94)</f>
        <v>-7000</v>
      </c>
      <c r="Q80" s="70" t="n">
        <f aca="false">-IF(Q$5&lt;=3,Assumptions!$F$93,Assumptions!$F$94)</f>
        <v>-7000</v>
      </c>
      <c r="R80" s="70" t="n">
        <f aca="false">-IF(R$5&lt;=3,Assumptions!$F$93,Assumptions!$F$94)</f>
        <v>-7000</v>
      </c>
      <c r="S80" s="70" t="n">
        <f aca="false">-IF(S$5&lt;=3,Assumptions!$F$93,Assumptions!$F$94)</f>
        <v>-7000</v>
      </c>
      <c r="T80" s="70" t="n">
        <f aca="false">-IF(T$5&lt;=3,Assumptions!$F$93,Assumptions!$F$94)</f>
        <v>-7000</v>
      </c>
      <c r="U80" s="70" t="n">
        <f aca="false">-IF(U$5&lt;=3,Assumptions!$F$93,Assumptions!$F$94)</f>
        <v>-7000</v>
      </c>
      <c r="V80" s="70" t="n">
        <f aca="false">-IF(V$5&lt;=3,Assumptions!$F$93,Assumptions!$F$94)</f>
        <v>-7000</v>
      </c>
      <c r="W80" s="70" t="n">
        <f aca="false">-IF(W$5&lt;=3,Assumptions!$F$93,Assumptions!$F$94)</f>
        <v>-7000</v>
      </c>
      <c r="X80" s="70" t="n">
        <f aca="false">-IF(X$5&lt;=3,Assumptions!$F$93,Assumptions!$F$94)</f>
        <v>-7000</v>
      </c>
      <c r="Y80" s="70" t="n">
        <f aca="false">-IF(Y$5&lt;=3,Assumptions!$F$93,Assumptions!$F$94)</f>
        <v>-7000</v>
      </c>
      <c r="Z80" s="70" t="n">
        <f aca="false">-IF(Z$5&lt;=3,Assumptions!$F$93,Assumptions!$F$94)</f>
        <v>-7000</v>
      </c>
      <c r="AA80" s="70" t="n">
        <f aca="false">-IF(AA$5&lt;=3,Assumptions!$F$93,Assumptions!$F$94)</f>
        <v>-7000</v>
      </c>
      <c r="AB80" s="70" t="n">
        <f aca="false">-IF(AB$5&lt;=3,Assumptions!$F$93,Assumptions!$F$94)</f>
        <v>-7000</v>
      </c>
      <c r="AC80" s="70" t="n">
        <f aca="false">-IF(AC$5&lt;=3,Assumptions!$F$93,Assumptions!$F$94)</f>
        <v>-7000</v>
      </c>
      <c r="AD80" s="70" t="n">
        <f aca="false">-IF(AD$5&lt;=3,Assumptions!$F$93,Assumptions!$F$94)</f>
        <v>-7000</v>
      </c>
      <c r="AE80" s="70" t="n">
        <f aca="false">-IF(AE$5&lt;=3,Assumptions!$F$93,Assumptions!$F$94)</f>
        <v>-7000</v>
      </c>
      <c r="AF80" s="70" t="n">
        <f aca="false">-IF(AF$5&lt;=3,Assumptions!$F$93,Assumptions!$F$94)</f>
        <v>-7000</v>
      </c>
      <c r="AG80" s="70" t="n">
        <f aca="false">-IF(AG$5&lt;=3,Assumptions!$F$93,Assumptions!$F$94)</f>
        <v>-7000</v>
      </c>
      <c r="AH80" s="70" t="n">
        <f aca="false">-IF(AH$5&lt;=3,Assumptions!$F$93,Assumptions!$F$94)</f>
        <v>-7000</v>
      </c>
      <c r="AI80" s="70" t="n">
        <f aca="false">-IF(AI$5&lt;=3,Assumptions!$F$93,Assumptions!$F$94)</f>
        <v>-7000</v>
      </c>
      <c r="AJ80" s="70" t="n">
        <f aca="false">-IF(AJ$5&lt;=3,Assumptions!$F$93,Assumptions!$F$94)</f>
        <v>-7000</v>
      </c>
      <c r="AK80" s="70" t="n">
        <f aca="false">-IF(AK$5&lt;=3,Assumptions!$F$93,Assumptions!$F$94)</f>
        <v>-7000</v>
      </c>
      <c r="AL80" s="70" t="n">
        <f aca="false">-IF(AL$5&lt;=3,Assumptions!$F$93,Assumptions!$F$94)</f>
        <v>-7000</v>
      </c>
      <c r="AM80" s="70" t="n">
        <f aca="false">SUM(C80:AL80)</f>
        <v>-291000</v>
      </c>
    </row>
    <row r="81" customFormat="false" ht="15" hidden="false" customHeight="false" outlineLevel="0" collapsed="false">
      <c r="A81" s="10" t="s">
        <v>816</v>
      </c>
      <c r="B81" s="9" t="s">
        <v>97</v>
      </c>
      <c r="C81" s="70" t="n">
        <f aca="false">-C8*Assumptions!$F$95</f>
        <v>-0</v>
      </c>
      <c r="D81" s="70" t="n">
        <f aca="false">-D8*Assumptions!$F$95</f>
        <v>-3500</v>
      </c>
      <c r="E81" s="70" t="n">
        <f aca="false">-E8*Assumptions!$F$95</f>
        <v>-3500</v>
      </c>
      <c r="F81" s="70" t="n">
        <f aca="false">-F8*Assumptions!$F$95</f>
        <v>-3500</v>
      </c>
      <c r="G81" s="70" t="n">
        <f aca="false">-G8*Assumptions!$F$95</f>
        <v>-3500</v>
      </c>
      <c r="H81" s="70" t="n">
        <f aca="false">-H8*Assumptions!$F$95</f>
        <v>-3500</v>
      </c>
      <c r="I81" s="70" t="n">
        <f aca="false">-I8*Assumptions!$F$95</f>
        <v>-3500</v>
      </c>
      <c r="J81" s="70" t="n">
        <f aca="false">-J8*Assumptions!$F$95</f>
        <v>-3500</v>
      </c>
      <c r="K81" s="70" t="n">
        <f aca="false">-K8*Assumptions!$F$95</f>
        <v>-3500</v>
      </c>
      <c r="L81" s="70" t="n">
        <f aca="false">-L8*Assumptions!$F$95</f>
        <v>-3500</v>
      </c>
      <c r="M81" s="70" t="n">
        <f aca="false">-M8*Assumptions!$F$95</f>
        <v>-3500</v>
      </c>
      <c r="N81" s="70" t="n">
        <f aca="false">-N8*Assumptions!$F$95</f>
        <v>-3500</v>
      </c>
      <c r="O81" s="70" t="n">
        <f aca="false">-O8*Assumptions!$F$95</f>
        <v>-3500</v>
      </c>
      <c r="P81" s="70" t="n">
        <f aca="false">-P8*Assumptions!$F$95</f>
        <v>-3500</v>
      </c>
      <c r="Q81" s="70" t="n">
        <f aca="false">-Q8*Assumptions!$F$95</f>
        <v>-3500</v>
      </c>
      <c r="R81" s="70" t="n">
        <f aca="false">-R8*Assumptions!$F$95</f>
        <v>-3500</v>
      </c>
      <c r="S81" s="70" t="n">
        <f aca="false">-S8*Assumptions!$F$95</f>
        <v>-3500</v>
      </c>
      <c r="T81" s="70" t="n">
        <f aca="false">-T8*Assumptions!$F$95</f>
        <v>-3500</v>
      </c>
      <c r="U81" s="70" t="n">
        <f aca="false">-U8*Assumptions!$F$95</f>
        <v>-3500</v>
      </c>
      <c r="V81" s="70" t="n">
        <f aca="false">-V8*Assumptions!$F$95</f>
        <v>-3500</v>
      </c>
      <c r="W81" s="70" t="n">
        <f aca="false">-W8*Assumptions!$F$95</f>
        <v>-3500</v>
      </c>
      <c r="X81" s="70" t="n">
        <f aca="false">-X8*Assumptions!$F$95</f>
        <v>-3500</v>
      </c>
      <c r="Y81" s="70" t="n">
        <f aca="false">-Y8*Assumptions!$F$95</f>
        <v>-3500</v>
      </c>
      <c r="Z81" s="70" t="n">
        <f aca="false">-Z8*Assumptions!$F$95</f>
        <v>-3500</v>
      </c>
      <c r="AA81" s="70" t="n">
        <f aca="false">-AA8*Assumptions!$F$95</f>
        <v>-3500</v>
      </c>
      <c r="AB81" s="70" t="n">
        <f aca="false">-AB8*Assumptions!$F$95</f>
        <v>-3500</v>
      </c>
      <c r="AC81" s="70" t="n">
        <f aca="false">-AC8*Assumptions!$F$95</f>
        <v>-3500</v>
      </c>
      <c r="AD81" s="70" t="n">
        <f aca="false">-AD8*Assumptions!$F$95</f>
        <v>-3500</v>
      </c>
      <c r="AE81" s="70" t="n">
        <f aca="false">-AE8*Assumptions!$F$95</f>
        <v>-3500</v>
      </c>
      <c r="AF81" s="70" t="n">
        <f aca="false">-AF8*Assumptions!$F$95</f>
        <v>-3500</v>
      </c>
      <c r="AG81" s="70" t="n">
        <f aca="false">-AG8*Assumptions!$F$95</f>
        <v>-3500</v>
      </c>
      <c r="AH81" s="70" t="n">
        <f aca="false">-AH8*Assumptions!$F$95</f>
        <v>-3500</v>
      </c>
      <c r="AI81" s="70" t="n">
        <f aca="false">-AI8*Assumptions!$F$95</f>
        <v>-3500</v>
      </c>
      <c r="AJ81" s="70" t="n">
        <f aca="false">-AJ8*Assumptions!$F$95</f>
        <v>-3500</v>
      </c>
      <c r="AK81" s="70" t="n">
        <f aca="false">-AK8*Assumptions!$F$95</f>
        <v>-3500</v>
      </c>
      <c r="AL81" s="70" t="n">
        <f aca="false">-AL8*Assumptions!$F$95</f>
        <v>-3500</v>
      </c>
      <c r="AM81" s="70" t="n">
        <f aca="false">SUM(C81:AL81)</f>
        <v>-122500</v>
      </c>
    </row>
    <row r="82" customFormat="false" ht="15" hidden="false" customHeight="false" outlineLevel="0" collapsed="false">
      <c r="A82" s="10" t="s">
        <v>817</v>
      </c>
      <c r="B82" s="9" t="s">
        <v>97</v>
      </c>
      <c r="C82" s="70" t="n">
        <f aca="false">-Assumptions!$F$96</f>
        <v>-12000</v>
      </c>
      <c r="D82" s="70" t="n">
        <f aca="false">-MAX(Assumptions!$F$96,C72*Assumptions!$F$89)</f>
        <v>-12000</v>
      </c>
      <c r="E82" s="70" t="n">
        <f aca="false">-MAX(Assumptions!$F$96,D72*Assumptions!$F$89)</f>
        <v>-25819.2</v>
      </c>
      <c r="F82" s="70" t="n">
        <f aca="false">-MAX(Assumptions!$F$96,E72*Assumptions!$F$89)</f>
        <v>-34504.7101169295</v>
      </c>
      <c r="G82" s="70" t="n">
        <f aca="false">-MAX(Assumptions!$F$96,F72*Assumptions!$F$89)</f>
        <v>-43956.9801189016</v>
      </c>
      <c r="H82" s="70" t="n">
        <f aca="false">-MAX(Assumptions!$F$96,G72*Assumptions!$F$89)</f>
        <v>-58979.5868150426</v>
      </c>
      <c r="I82" s="70" t="n">
        <f aca="false">-MAX(Assumptions!$F$96,H72*Assumptions!$F$89)</f>
        <v>-73025.4939552672</v>
      </c>
      <c r="J82" s="70" t="n">
        <f aca="false">-MAX(Assumptions!$F$96,I72*Assumptions!$F$89)</f>
        <v>-87435.3368543638</v>
      </c>
      <c r="K82" s="70" t="n">
        <f aca="false">-MAX(Assumptions!$F$96,J72*Assumptions!$F$89)</f>
        <v>-102258.815187969</v>
      </c>
      <c r="L82" s="70" t="n">
        <f aca="false">-MAX(Assumptions!$F$96,K72*Assumptions!$F$89)</f>
        <v>-117573.960576115</v>
      </c>
      <c r="M82" s="70" t="n">
        <f aca="false">-MAX(Assumptions!$F$96,L72*Assumptions!$F$89)</f>
        <v>-133450.15154562</v>
      </c>
      <c r="N82" s="70" t="n">
        <f aca="false">-MAX(Assumptions!$F$96,M72*Assumptions!$F$89)</f>
        <v>-149956.170164414</v>
      </c>
      <c r="O82" s="70" t="n">
        <f aca="false">-MAX(Assumptions!$F$96,N72*Assumptions!$F$89)</f>
        <v>-167161.316040209</v>
      </c>
      <c r="P82" s="70" t="n">
        <f aca="false">-MAX(Assumptions!$F$96,O72*Assumptions!$F$89)</f>
        <v>-185135.839045915</v>
      </c>
      <c r="Q82" s="70" t="n">
        <f aca="false">-MAX(Assumptions!$F$96,P72*Assumptions!$F$89)</f>
        <v>-203951.254957523</v>
      </c>
      <c r="R82" s="70" t="n">
        <f aca="false">-MAX(Assumptions!$F$96,Q72*Assumptions!$F$89)</f>
        <v>-223680.694768589</v>
      </c>
      <c r="S82" s="70" t="n">
        <f aca="false">-MAX(Assumptions!$F$96,R72*Assumptions!$F$89)</f>
        <v>-244399.307731594</v>
      </c>
      <c r="T82" s="70" t="n">
        <f aca="false">-MAX(Assumptions!$F$96,S72*Assumptions!$F$89)</f>
        <v>-266184.714259931</v>
      </c>
      <c r="U82" s="70" t="n">
        <f aca="false">-MAX(Assumptions!$F$96,T72*Assumptions!$F$89)</f>
        <v>-288421.489421235</v>
      </c>
      <c r="V82" s="70" t="n">
        <f aca="false">-MAX(Assumptions!$F$96,U72*Assumptions!$F$89)</f>
        <v>-311039.831332062</v>
      </c>
      <c r="W82" s="70" t="n">
        <f aca="false">-MAX(Assumptions!$F$96,V72*Assumptions!$F$89)</f>
        <v>-334133.629784537</v>
      </c>
      <c r="X82" s="70" t="n">
        <f aca="false">-MAX(Assumptions!$F$96,W72*Assumptions!$F$89)</f>
        <v>-357717.200530074</v>
      </c>
      <c r="Y82" s="70" t="n">
        <f aca="false">-MAX(Assumptions!$F$96,X72*Assumptions!$F$89)</f>
        <v>-381805.798439386</v>
      </c>
      <c r="Z82" s="70" t="n">
        <f aca="false">-MAX(Assumptions!$F$96,Y72*Assumptions!$F$89)</f>
        <v>-406415.874998246</v>
      </c>
      <c r="AA82" s="70" t="n">
        <f aca="false">-MAX(Assumptions!$F$96,Z72*Assumptions!$F$89)</f>
        <v>-430798.03898511</v>
      </c>
      <c r="AB82" s="70" t="n">
        <f aca="false">-MAX(Assumptions!$F$96,AA72*Assumptions!$F$89)</f>
        <v>-452972.20915337</v>
      </c>
      <c r="AC82" s="70" t="n">
        <f aca="false">-MAX(Assumptions!$F$96,AB72*Assumptions!$F$89)</f>
        <v>-473661.040588152</v>
      </c>
      <c r="AD82" s="70" t="n">
        <f aca="false">-MAX(Assumptions!$F$96,AC72*Assumptions!$F$89)</f>
        <v>-493201.563748453</v>
      </c>
      <c r="AE82" s="70" t="n">
        <f aca="false">-MAX(Assumptions!$F$96,AD72*Assumptions!$F$89)</f>
        <v>-511752.730721314</v>
      </c>
      <c r="AF82" s="70" t="n">
        <f aca="false">-MAX(Assumptions!$F$96,AE72*Assumptions!$F$89)</f>
        <v>-529442.902417206</v>
      </c>
      <c r="AG82" s="70" t="n">
        <f aca="false">-MAX(Assumptions!$F$96,AF72*Assumptions!$F$89)</f>
        <v>-546392.24722321</v>
      </c>
      <c r="AH82" s="70" t="n">
        <f aca="false">-MAX(Assumptions!$F$96,AG72*Assumptions!$F$89)</f>
        <v>-562717.087024252</v>
      </c>
      <c r="AI82" s="70" t="n">
        <f aca="false">-MAX(Assumptions!$F$96,AH72*Assumptions!$F$89)</f>
        <v>-578531.509763737</v>
      </c>
      <c r="AJ82" s="70" t="n">
        <f aca="false">-MAX(Assumptions!$F$96,AI72*Assumptions!$F$89)</f>
        <v>-593948.566093919</v>
      </c>
      <c r="AK82" s="70" t="n">
        <f aca="false">-MAX(Assumptions!$F$96,AJ72*Assumptions!$F$89)</f>
        <v>-609081.410419672</v>
      </c>
      <c r="AL82" s="70" t="n">
        <f aca="false">-MAX(Assumptions!$F$96,AK72*Assumptions!$F$89)</f>
        <v>-624044.452111125</v>
      </c>
      <c r="AM82" s="70" t="n">
        <f aca="false">SUM(C82:AL82)</f>
        <v>-10627551.1148934</v>
      </c>
    </row>
    <row r="83" customFormat="false" ht="15" hidden="false" customHeight="false" outlineLevel="0" collapsed="false">
      <c r="A83" s="10" t="s">
        <v>818</v>
      </c>
      <c r="B83" s="9" t="s">
        <v>97</v>
      </c>
      <c r="C83" s="70" t="n">
        <f aca="false">-C26</f>
        <v>-15000</v>
      </c>
      <c r="D83" s="70" t="n">
        <f aca="false">-D26</f>
        <v>-60000</v>
      </c>
      <c r="E83" s="70" t="n">
        <f aca="false">-E26</f>
        <v>-258192</v>
      </c>
      <c r="F83" s="70" t="n">
        <f aca="false">-F26</f>
        <v>-345047.101169295</v>
      </c>
      <c r="G83" s="70" t="n">
        <f aca="false">-G26</f>
        <v>-439569.801189016</v>
      </c>
      <c r="H83" s="70" t="n">
        <f aca="false">-H26</f>
        <v>-589795.868150426</v>
      </c>
      <c r="I83" s="70" t="n">
        <f aca="false">-I26</f>
        <v>-730254.939552672</v>
      </c>
      <c r="J83" s="70" t="n">
        <f aca="false">-J26</f>
        <v>-874353.368543638</v>
      </c>
      <c r="K83" s="70" t="n">
        <f aca="false">-K26</f>
        <v>-1022588.15187969</v>
      </c>
      <c r="L83" s="70" t="n">
        <f aca="false">-L26</f>
        <v>-1175739.60576115</v>
      </c>
      <c r="M83" s="70" t="n">
        <f aca="false">-M26</f>
        <v>-1334501.5154562</v>
      </c>
      <c r="N83" s="70" t="n">
        <f aca="false">-N26</f>
        <v>-1499561.70164414</v>
      </c>
      <c r="O83" s="70" t="n">
        <f aca="false">-O26</f>
        <v>-1671613.16040209</v>
      </c>
      <c r="P83" s="70" t="n">
        <f aca="false">-P26</f>
        <v>-1851358.39045915</v>
      </c>
      <c r="Q83" s="70" t="n">
        <f aca="false">-Q26</f>
        <v>-2039512.54957523</v>
      </c>
      <c r="R83" s="70" t="n">
        <f aca="false">-R26</f>
        <v>-2236806.94768589</v>
      </c>
      <c r="S83" s="70" t="n">
        <f aca="false">-S26</f>
        <v>-2443993.07731594</v>
      </c>
      <c r="T83" s="70" t="n">
        <f aca="false">-T26</f>
        <v>-2661847.14259931</v>
      </c>
      <c r="U83" s="70" t="n">
        <f aca="false">-U26</f>
        <v>-2884214.89421235</v>
      </c>
      <c r="V83" s="70" t="n">
        <f aca="false">-V26</f>
        <v>-3110398.31332062</v>
      </c>
      <c r="W83" s="70" t="n">
        <f aca="false">-W26</f>
        <v>-3341336.29784537</v>
      </c>
      <c r="X83" s="70" t="n">
        <f aca="false">-X26</f>
        <v>-3577172.00530074</v>
      </c>
      <c r="Y83" s="70" t="n">
        <f aca="false">-Y26</f>
        <v>-3818057.98439386</v>
      </c>
      <c r="Z83" s="70" t="n">
        <f aca="false">-Z26</f>
        <v>-4000000</v>
      </c>
      <c r="AA83" s="70" t="n">
        <f aca="false">-AA26</f>
        <v>-4000000</v>
      </c>
      <c r="AB83" s="70" t="n">
        <f aca="false">-AB26</f>
        <v>-4000000</v>
      </c>
      <c r="AC83" s="70" t="n">
        <f aca="false">-AC26</f>
        <v>-4000000</v>
      </c>
      <c r="AD83" s="70" t="n">
        <f aca="false">-AD26</f>
        <v>-4000000</v>
      </c>
      <c r="AE83" s="70" t="n">
        <f aca="false">-AE26</f>
        <v>-4000000</v>
      </c>
      <c r="AF83" s="70" t="n">
        <f aca="false">-AF26</f>
        <v>-4000000</v>
      </c>
      <c r="AG83" s="70" t="n">
        <f aca="false">-AG26</f>
        <v>-4000000</v>
      </c>
      <c r="AH83" s="70" t="n">
        <f aca="false">-AH26</f>
        <v>-4000000</v>
      </c>
      <c r="AI83" s="70" t="n">
        <f aca="false">-AI26</f>
        <v>-4000000</v>
      </c>
      <c r="AJ83" s="70" t="n">
        <f aca="false">-AJ26</f>
        <v>-4000000</v>
      </c>
      <c r="AK83" s="70" t="n">
        <f aca="false">-AK26</f>
        <v>-4000000</v>
      </c>
      <c r="AL83" s="70" t="n">
        <f aca="false">-AL26</f>
        <v>-4000000</v>
      </c>
      <c r="AM83" s="70" t="n">
        <f aca="false">SUM(C83:AL83)</f>
        <v>-89980914.8164568</v>
      </c>
    </row>
    <row r="84" customFormat="false" ht="15" hidden="false" customHeight="false" outlineLevel="0" collapsed="false">
      <c r="A84" s="10" t="s">
        <v>819</v>
      </c>
      <c r="B84" s="9" t="s">
        <v>97</v>
      </c>
      <c r="C84" s="70" t="n">
        <f aca="false">-IF(C$5=Assumptions!$F$6,Assumptions!$F$23,0)</f>
        <v>-0</v>
      </c>
      <c r="D84" s="70" t="n">
        <f aca="false">-IF(D$5=Assumptions!$F$6,Assumptions!$F$23,0)</f>
        <v>-150000</v>
      </c>
      <c r="E84" s="70" t="n">
        <f aca="false">-IF(E$5=Assumptions!$F$6,Assumptions!$F$23,0)</f>
        <v>-0</v>
      </c>
      <c r="F84" s="70" t="n">
        <f aca="false">-IF(F$5=Assumptions!$F$6,Assumptions!$F$23,0)</f>
        <v>-0</v>
      </c>
      <c r="G84" s="70" t="n">
        <f aca="false">-IF(G$5=Assumptions!$F$6,Assumptions!$F$23,0)</f>
        <v>-0</v>
      </c>
      <c r="H84" s="70" t="n">
        <f aca="false">-IF(H$5=Assumptions!$F$6,Assumptions!$F$23,0)</f>
        <v>-0</v>
      </c>
      <c r="I84" s="70" t="n">
        <f aca="false">-IF(I$5=Assumptions!$F$6,Assumptions!$F$23,0)</f>
        <v>-0</v>
      </c>
      <c r="J84" s="70" t="n">
        <f aca="false">-IF(J$5=Assumptions!$F$6,Assumptions!$F$23,0)</f>
        <v>-0</v>
      </c>
      <c r="K84" s="70" t="n">
        <f aca="false">-IF(K$5=Assumptions!$F$6,Assumptions!$F$23,0)</f>
        <v>-0</v>
      </c>
      <c r="L84" s="70" t="n">
        <f aca="false">-IF(L$5=Assumptions!$F$6,Assumptions!$F$23,0)</f>
        <v>-0</v>
      </c>
      <c r="M84" s="70" t="n">
        <f aca="false">-IF(M$5=Assumptions!$F$6,Assumptions!$F$23,0)</f>
        <v>-0</v>
      </c>
      <c r="N84" s="70" t="n">
        <f aca="false">-IF(N$5=Assumptions!$F$6,Assumptions!$F$23,0)</f>
        <v>-0</v>
      </c>
      <c r="O84" s="70" t="n">
        <f aca="false">-IF(O$5=Assumptions!$F$6,Assumptions!$F$23,0)</f>
        <v>-0</v>
      </c>
      <c r="P84" s="70" t="n">
        <f aca="false">-IF(P$5=Assumptions!$F$6,Assumptions!$F$23,0)</f>
        <v>-0</v>
      </c>
      <c r="Q84" s="70" t="n">
        <f aca="false">-IF(Q$5=Assumptions!$F$6,Assumptions!$F$23,0)</f>
        <v>-0</v>
      </c>
      <c r="R84" s="70" t="n">
        <f aca="false">-IF(R$5=Assumptions!$F$6,Assumptions!$F$23,0)</f>
        <v>-0</v>
      </c>
      <c r="S84" s="70" t="n">
        <f aca="false">-IF(S$5=Assumptions!$F$6,Assumptions!$F$23,0)</f>
        <v>-0</v>
      </c>
      <c r="T84" s="70" t="n">
        <f aca="false">-IF(T$5=Assumptions!$F$6,Assumptions!$F$23,0)</f>
        <v>-0</v>
      </c>
      <c r="U84" s="70" t="n">
        <f aca="false">-IF(U$5=Assumptions!$F$6,Assumptions!$F$23,0)</f>
        <v>-0</v>
      </c>
      <c r="V84" s="70" t="n">
        <f aca="false">-IF(V$5=Assumptions!$F$6,Assumptions!$F$23,0)</f>
        <v>-0</v>
      </c>
      <c r="W84" s="70" t="n">
        <f aca="false">-IF(W$5=Assumptions!$F$6,Assumptions!$F$23,0)</f>
        <v>-0</v>
      </c>
      <c r="X84" s="70" t="n">
        <f aca="false">-IF(X$5=Assumptions!$F$6,Assumptions!$F$23,0)</f>
        <v>-0</v>
      </c>
      <c r="Y84" s="70" t="n">
        <f aca="false">-IF(Y$5=Assumptions!$F$6,Assumptions!$F$23,0)</f>
        <v>-0</v>
      </c>
      <c r="Z84" s="70" t="n">
        <f aca="false">-IF(Z$5=Assumptions!$F$6,Assumptions!$F$23,0)</f>
        <v>-0</v>
      </c>
      <c r="AA84" s="70" t="n">
        <f aca="false">-IF(AA$5=Assumptions!$F$6,Assumptions!$F$23,0)</f>
        <v>-0</v>
      </c>
      <c r="AB84" s="70" t="n">
        <f aca="false">-IF(AB$5=Assumptions!$F$6,Assumptions!$F$23,0)</f>
        <v>-0</v>
      </c>
      <c r="AC84" s="70" t="n">
        <f aca="false">-IF(AC$5=Assumptions!$F$6,Assumptions!$F$23,0)</f>
        <v>-0</v>
      </c>
      <c r="AD84" s="70" t="n">
        <f aca="false">-IF(AD$5=Assumptions!$F$6,Assumptions!$F$23,0)</f>
        <v>-0</v>
      </c>
      <c r="AE84" s="70" t="n">
        <f aca="false">-IF(AE$5=Assumptions!$F$6,Assumptions!$F$23,0)</f>
        <v>-0</v>
      </c>
      <c r="AF84" s="70" t="n">
        <f aca="false">-IF(AF$5=Assumptions!$F$6,Assumptions!$F$23,0)</f>
        <v>-0</v>
      </c>
      <c r="AG84" s="70" t="n">
        <f aca="false">-IF(AG$5=Assumptions!$F$6,Assumptions!$F$23,0)</f>
        <v>-0</v>
      </c>
      <c r="AH84" s="70" t="n">
        <f aca="false">-IF(AH$5=Assumptions!$F$6,Assumptions!$F$23,0)</f>
        <v>-0</v>
      </c>
      <c r="AI84" s="70" t="n">
        <f aca="false">-IF(AI$5=Assumptions!$F$6,Assumptions!$F$23,0)</f>
        <v>-0</v>
      </c>
      <c r="AJ84" s="70" t="n">
        <f aca="false">-IF(AJ$5=Assumptions!$F$6,Assumptions!$F$23,0)</f>
        <v>-0</v>
      </c>
      <c r="AK84" s="70" t="n">
        <f aca="false">-IF(AK$5=Assumptions!$F$6,Assumptions!$F$23,0)</f>
        <v>-0</v>
      </c>
      <c r="AL84" s="70" t="n">
        <f aca="false">-IF(AL$5=Assumptions!$F$6,Assumptions!$F$23,0)</f>
        <v>-0</v>
      </c>
      <c r="AM84" s="70" t="n">
        <f aca="false">SUM(C84:AL84)</f>
        <v>-150000</v>
      </c>
    </row>
    <row r="85" customFormat="false" ht="15" hidden="false" customHeight="false" outlineLevel="0" collapsed="false">
      <c r="A85" s="10" t="s">
        <v>820</v>
      </c>
      <c r="B85" s="9" t="s">
        <v>97</v>
      </c>
      <c r="C85" s="70" t="n">
        <f aca="false">-C8*Assumptions!$F$98</f>
        <v>-0</v>
      </c>
      <c r="D85" s="70" t="n">
        <f aca="false">-D8*Assumptions!$F$98</f>
        <v>-25000</v>
      </c>
      <c r="E85" s="70" t="n">
        <f aca="false">-E8*Assumptions!$F$98</f>
        <v>-25000</v>
      </c>
      <c r="F85" s="70" t="n">
        <f aca="false">-F8*Assumptions!$F$98</f>
        <v>-25000</v>
      </c>
      <c r="G85" s="70" t="n">
        <f aca="false">-G8*Assumptions!$F$98</f>
        <v>-25000</v>
      </c>
      <c r="H85" s="70" t="n">
        <f aca="false">-H8*Assumptions!$F$98</f>
        <v>-25000</v>
      </c>
      <c r="I85" s="70" t="n">
        <f aca="false">-I8*Assumptions!$F$98</f>
        <v>-25000</v>
      </c>
      <c r="J85" s="70" t="n">
        <f aca="false">-J8*Assumptions!$F$98</f>
        <v>-25000</v>
      </c>
      <c r="K85" s="70" t="n">
        <f aca="false">-K8*Assumptions!$F$98</f>
        <v>-25000</v>
      </c>
      <c r="L85" s="70" t="n">
        <f aca="false">-L8*Assumptions!$F$98</f>
        <v>-25000</v>
      </c>
      <c r="M85" s="70" t="n">
        <f aca="false">-M8*Assumptions!$F$98</f>
        <v>-25000</v>
      </c>
      <c r="N85" s="70" t="n">
        <f aca="false">-N8*Assumptions!$F$98</f>
        <v>-25000</v>
      </c>
      <c r="O85" s="70" t="n">
        <f aca="false">-O8*Assumptions!$F$98</f>
        <v>-25000</v>
      </c>
      <c r="P85" s="70" t="n">
        <f aca="false">-P8*Assumptions!$F$98</f>
        <v>-25000</v>
      </c>
      <c r="Q85" s="70" t="n">
        <f aca="false">-Q8*Assumptions!$F$98</f>
        <v>-25000</v>
      </c>
      <c r="R85" s="70" t="n">
        <f aca="false">-R8*Assumptions!$F$98</f>
        <v>-25000</v>
      </c>
      <c r="S85" s="70" t="n">
        <f aca="false">-S8*Assumptions!$F$98</f>
        <v>-25000</v>
      </c>
      <c r="T85" s="70" t="n">
        <f aca="false">-T8*Assumptions!$F$98</f>
        <v>-25000</v>
      </c>
      <c r="U85" s="70" t="n">
        <f aca="false">-U8*Assumptions!$F$98</f>
        <v>-25000</v>
      </c>
      <c r="V85" s="70" t="n">
        <f aca="false">-V8*Assumptions!$F$98</f>
        <v>-25000</v>
      </c>
      <c r="W85" s="70" t="n">
        <f aca="false">-W8*Assumptions!$F$98</f>
        <v>-25000</v>
      </c>
      <c r="X85" s="70" t="n">
        <f aca="false">-X8*Assumptions!$F$98</f>
        <v>-25000</v>
      </c>
      <c r="Y85" s="70" t="n">
        <f aca="false">-Y8*Assumptions!$F$98</f>
        <v>-25000</v>
      </c>
      <c r="Z85" s="70" t="n">
        <f aca="false">-Z8*Assumptions!$F$98</f>
        <v>-25000</v>
      </c>
      <c r="AA85" s="70" t="n">
        <f aca="false">-AA8*Assumptions!$F$98</f>
        <v>-25000</v>
      </c>
      <c r="AB85" s="70" t="n">
        <f aca="false">-AB8*Assumptions!$F$98</f>
        <v>-25000</v>
      </c>
      <c r="AC85" s="70" t="n">
        <f aca="false">-AC8*Assumptions!$F$98</f>
        <v>-25000</v>
      </c>
      <c r="AD85" s="70" t="n">
        <f aca="false">-AD8*Assumptions!$F$98</f>
        <v>-25000</v>
      </c>
      <c r="AE85" s="70" t="n">
        <f aca="false">-AE8*Assumptions!$F$98</f>
        <v>-25000</v>
      </c>
      <c r="AF85" s="70" t="n">
        <f aca="false">-AF8*Assumptions!$F$98</f>
        <v>-25000</v>
      </c>
      <c r="AG85" s="70" t="n">
        <f aca="false">-AG8*Assumptions!$F$98</f>
        <v>-25000</v>
      </c>
      <c r="AH85" s="70" t="n">
        <f aca="false">-AH8*Assumptions!$F$98</f>
        <v>-25000</v>
      </c>
      <c r="AI85" s="70" t="n">
        <f aca="false">-AI8*Assumptions!$F$98</f>
        <v>-25000</v>
      </c>
      <c r="AJ85" s="70" t="n">
        <f aca="false">-AJ8*Assumptions!$F$98</f>
        <v>-25000</v>
      </c>
      <c r="AK85" s="70" t="n">
        <f aca="false">-AK8*Assumptions!$F$98</f>
        <v>-25000</v>
      </c>
      <c r="AL85" s="70" t="n">
        <f aca="false">-AL8*Assumptions!$F$98</f>
        <v>-25000</v>
      </c>
      <c r="AM85" s="70" t="n">
        <f aca="false">SUM(C85:AL85)</f>
        <v>-875000</v>
      </c>
    </row>
    <row r="86" customFormat="false" ht="15" hidden="false" customHeight="false" outlineLevel="0" collapsed="false">
      <c r="A86" s="10" t="s">
        <v>362</v>
      </c>
      <c r="B86" s="9" t="s">
        <v>97</v>
      </c>
      <c r="C86" s="70" t="n">
        <f aca="false">-C72*Assumptions!$F$99</f>
        <v>-0</v>
      </c>
      <c r="D86" s="70" t="n">
        <f aca="false">-D72*Assumptions!$F$99</f>
        <v>-64548</v>
      </c>
      <c r="E86" s="70" t="n">
        <f aca="false">-E72*Assumptions!$F$99</f>
        <v>-86261.7752923238</v>
      </c>
      <c r="F86" s="70" t="n">
        <f aca="false">-F72*Assumptions!$F$99</f>
        <v>-109892.450297254</v>
      </c>
      <c r="G86" s="70" t="n">
        <f aca="false">-G72*Assumptions!$F$99</f>
        <v>-147448.967037606</v>
      </c>
      <c r="H86" s="70" t="n">
        <f aca="false">-H72*Assumptions!$F$99</f>
        <v>-182563.734888168</v>
      </c>
      <c r="I86" s="70" t="n">
        <f aca="false">-I72*Assumptions!$F$99</f>
        <v>-218588.34213591</v>
      </c>
      <c r="J86" s="70" t="n">
        <f aca="false">-J72*Assumptions!$F$99</f>
        <v>-255647.037969923</v>
      </c>
      <c r="K86" s="70" t="n">
        <f aca="false">-K72*Assumptions!$F$99</f>
        <v>-293934.901440287</v>
      </c>
      <c r="L86" s="70" t="n">
        <f aca="false">-L72*Assumptions!$F$99</f>
        <v>-333625.378864049</v>
      </c>
      <c r="M86" s="70" t="n">
        <f aca="false">-M72*Assumptions!$F$99</f>
        <v>-374890.425411035</v>
      </c>
      <c r="N86" s="70" t="n">
        <f aca="false">-N72*Assumptions!$F$99</f>
        <v>-417903.290100522</v>
      </c>
      <c r="O86" s="70" t="n">
        <f aca="false">-O72*Assumptions!$F$99</f>
        <v>-462839.597614787</v>
      </c>
      <c r="P86" s="70" t="n">
        <f aca="false">-P72*Assumptions!$F$99</f>
        <v>-509878.137393808</v>
      </c>
      <c r="Q86" s="70" t="n">
        <f aca="false">-Q72*Assumptions!$F$99</f>
        <v>-559201.736921472</v>
      </c>
      <c r="R86" s="70" t="n">
        <f aca="false">-R72*Assumptions!$F$99</f>
        <v>-610998.269328984</v>
      </c>
      <c r="S86" s="70" t="n">
        <f aca="false">-S72*Assumptions!$F$99</f>
        <v>-665461.785649829</v>
      </c>
      <c r="T86" s="70" t="n">
        <f aca="false">-T72*Assumptions!$F$99</f>
        <v>-721053.723553088</v>
      </c>
      <c r="U86" s="70" t="n">
        <f aca="false">-U72*Assumptions!$F$99</f>
        <v>-777599.578330154</v>
      </c>
      <c r="V86" s="70" t="n">
        <f aca="false">-V72*Assumptions!$F$99</f>
        <v>-835334.074461343</v>
      </c>
      <c r="W86" s="70" t="n">
        <f aca="false">-W72*Assumptions!$F$99</f>
        <v>-894293.001325184</v>
      </c>
      <c r="X86" s="70" t="n">
        <f aca="false">-X72*Assumptions!$F$99</f>
        <v>-954514.496098466</v>
      </c>
      <c r="Y86" s="70" t="n">
        <f aca="false">-Y72*Assumptions!$F$99</f>
        <v>-1016039.68749561</v>
      </c>
      <c r="Z86" s="70" t="n">
        <f aca="false">-Z72*Assumptions!$F$99</f>
        <v>-1076995.09746277</v>
      </c>
      <c r="AA86" s="70" t="n">
        <f aca="false">-AA72*Assumptions!$F$99</f>
        <v>-1132430.52288343</v>
      </c>
      <c r="AB86" s="70" t="n">
        <f aca="false">-AB72*Assumptions!$F$99</f>
        <v>-1184152.60147038</v>
      </c>
      <c r="AC86" s="70" t="n">
        <f aca="false">-AC72*Assumptions!$F$99</f>
        <v>-1233003.90937113</v>
      </c>
      <c r="AD86" s="70" t="n">
        <f aca="false">-AD72*Assumptions!$F$99</f>
        <v>-1279381.82680329</v>
      </c>
      <c r="AE86" s="70" t="n">
        <f aca="false">-AE72*Assumptions!$F$99</f>
        <v>-1323607.25604302</v>
      </c>
      <c r="AF86" s="70" t="n">
        <f aca="false">-AF72*Assumptions!$F$99</f>
        <v>-1365980.61805803</v>
      </c>
      <c r="AG86" s="70" t="n">
        <f aca="false">-AG72*Assumptions!$F$99</f>
        <v>-1406792.71756063</v>
      </c>
      <c r="AH86" s="70" t="n">
        <f aca="false">-AH72*Assumptions!$F$99</f>
        <v>-1446328.77440934</v>
      </c>
      <c r="AI86" s="70" t="n">
        <f aca="false">-AI72*Assumptions!$F$99</f>
        <v>-1484871.4152348</v>
      </c>
      <c r="AJ86" s="70" t="n">
        <f aca="false">-AJ72*Assumptions!$F$99</f>
        <v>-1522703.52604918</v>
      </c>
      <c r="AK86" s="70" t="n">
        <f aca="false">-AK72*Assumptions!$F$99</f>
        <v>-1560111.13027781</v>
      </c>
      <c r="AL86" s="70" t="n">
        <f aca="false">-AL72*Assumptions!$F$99</f>
        <v>-1597386.34641605</v>
      </c>
      <c r="AM86" s="70" t="n">
        <f aca="false">SUM(C86:AL86)</f>
        <v>-28106264.1336497</v>
      </c>
    </row>
    <row r="87" customFormat="false" ht="15" hidden="false" customHeight="false" outlineLevel="0" collapsed="false">
      <c r="A87" s="37" t="s">
        <v>821</v>
      </c>
      <c r="B87" s="9" t="s">
        <v>97</v>
      </c>
      <c r="C87" s="53" t="n">
        <f aca="false">C75+C76+C77+C78+C79+C80+C81+C82+C83+C84+C85+C86</f>
        <v>-58860</v>
      </c>
      <c r="D87" s="53" t="n">
        <f aca="false">D75+D76+D77+D78+D79+D80+D81+D82+D83+D84+D85+D86</f>
        <v>-363908</v>
      </c>
      <c r="E87" s="53" t="n">
        <f aca="false">E75+E76+E77+E78+E79+E80+E81+E82+E83+E84+E85+E86</f>
        <v>-505926.735292324</v>
      </c>
      <c r="F87" s="53" t="n">
        <f aca="false">F75+F76+F77+F78+F79+F80+F81+F82+F83+F84+F85+F86</f>
        <v>-636417.449910882</v>
      </c>
      <c r="G87" s="53" t="n">
        <f aca="false">G75+G76+G77+G78+G79+G80+G81+G82+G83+G84+G85+G86</f>
        <v>-804415.292678449</v>
      </c>
      <c r="H87" s="53" t="n">
        <f aca="false">H75+H76+H77+H78+H79+H80+H81+H82+H83+H84+H85+H86</f>
        <v>-1046842.03293576</v>
      </c>
      <c r="I87" s="53" t="n">
        <f aca="false">I75+I76+I77+I78+I79+I80+I81+I82+I83+I84+I85+I86</f>
        <v>-1276700.1587186</v>
      </c>
      <c r="J87" s="53" t="n">
        <f aca="false">J75+J76+J77+J78+J79+J80+J81+J82+J83+J84+J85+J86</f>
        <v>-1512614.68656014</v>
      </c>
      <c r="K87" s="53" t="n">
        <f aca="false">K75+K76+K77+K78+K79+K80+K81+K82+K83+K84+K85+K86</f>
        <v>-1755466.55103426</v>
      </c>
      <c r="L87" s="53" t="n">
        <f aca="false">L75+L76+L77+L78+L79+L80+L81+L82+L83+L84+L85+L86</f>
        <v>-2006506.03481443</v>
      </c>
      <c r="M87" s="53" t="n">
        <f aca="false">M75+M76+M77+M78+M79+M80+M81+M82+M83+M84+M85+M86</f>
        <v>-2266862.51674058</v>
      </c>
      <c r="N87" s="53" t="n">
        <f aca="false">N75+N76+N77+N78+N79+N80+N81+N82+N83+N84+N85+N86</f>
        <v>-2537658.43836944</v>
      </c>
      <c r="O87" s="53" t="n">
        <f aca="false">O75+O76+O77+O78+O79+O80+O81+O82+O83+O84+O85+O86</f>
        <v>-2820025.75896967</v>
      </c>
      <c r="P87" s="53" t="n">
        <f aca="false">P75+P76+P77+P78+P79+P80+P81+P82+P83+P84+P85+P86</f>
        <v>-3115112.71622743</v>
      </c>
      <c r="Q87" s="53" t="n">
        <f aca="false">Q75+Q76+Q77+Q78+Q79+Q80+Q81+Q82+Q83+Q84+Q85+Q86</f>
        <v>-3424089.05533529</v>
      </c>
      <c r="R87" s="53" t="n">
        <f aca="false">R75+R76+R77+R78+R79+R80+R81+R82+R83+R84+R85+R86</f>
        <v>-3748151.85713551</v>
      </c>
      <c r="S87" s="53" t="n">
        <f aca="false">S75+S76+S77+S78+S79+S80+S81+S82+S83+S84+S85+S86</f>
        <v>-4088532.23234582</v>
      </c>
      <c r="T87" s="53" t="n">
        <f aca="false">T75+T76+T77+T78+T79+T80+T81+T82+T83+T84+T85+T86</f>
        <v>-4444762.78034014</v>
      </c>
      <c r="U87" s="53" t="n">
        <f aca="false">U75+U76+U77+U78+U79+U80+U81+U82+U83+U84+U85+U86</f>
        <v>-4808176.1323432</v>
      </c>
      <c r="V87" s="53" t="n">
        <f aca="false">V75+V76+V77+V78+V79+V80+V81+V82+V83+V84+V85+V86</f>
        <v>-5178043.74684379</v>
      </c>
      <c r="W87" s="53" t="n">
        <f aca="false">W75+W76+W77+W78+W79+W80+W81+W82+W83+W84+W85+W86</f>
        <v>-5555697.0923518</v>
      </c>
      <c r="X87" s="53" t="n">
        <f aca="false">X75+X76+X77+X78+X79+X80+X81+X82+X83+X84+X85+X86</f>
        <v>-5941371.86341348</v>
      </c>
      <c r="Y87" s="53" t="n">
        <f aca="false">Y75+Y76+Y77+Y78+Y79+Y80+Y81+Y82+Y83+Y84+Y85+Y86</f>
        <v>-6335319.70595914</v>
      </c>
      <c r="Z87" s="53" t="n">
        <f aca="false">Z75+Z76+Z77+Z78+Z79+Z80+Z81+Z82+Z83+Z84+Z85+Z86</f>
        <v>-6671735.42245611</v>
      </c>
      <c r="AA87" s="53" t="n">
        <f aca="false">AA75+AA76+AA77+AA78+AA79+AA80+AA81+AA82+AA83+AA84+AA85+AA86</f>
        <v>-6819823.07102684</v>
      </c>
      <c r="AB87" s="53" t="n">
        <f aca="false">AB75+AB76+AB77+AB78+AB79+AB80+AB81+AB82+AB83+AB84+AB85+AB86</f>
        <v>-6955806.99625319</v>
      </c>
      <c r="AC87" s="53" t="n">
        <f aca="false">AC75+AC76+AC77+AC78+AC79+AC80+AC81+AC82+AC83+AC84+AC85+AC86</f>
        <v>-7083275.86360611</v>
      </c>
      <c r="AD87" s="53" t="n">
        <f aca="false">AD75+AD76+AD77+AD78+AD79+AD80+AD81+AD82+AD83+AD84+AD85+AD86</f>
        <v>-7203907.76904741</v>
      </c>
      <c r="AE87" s="53" t="n">
        <f aca="false">AE75+AE76+AE77+AE78+AE79+AE80+AE81+AE82+AE83+AE84+AE85+AE86</f>
        <v>-7318627.63278401</v>
      </c>
      <c r="AF87" s="53" t="n">
        <f aca="false">AF75+AF76+AF77+AF78+AF79+AF80+AF81+AF82+AF83+AF84+AF85+AF86</f>
        <v>-7428223.64724341</v>
      </c>
      <c r="AG87" s="53" t="n">
        <f aca="false">AG75+AG76+AG77+AG78+AG79+AG80+AG81+AG82+AG83+AG84+AG85+AG86</f>
        <v>-7533443.25700883</v>
      </c>
      <c r="AH87" s="53" t="n">
        <f aca="false">AH75+AH76+AH77+AH78+AH79+AH80+AH81+AH82+AH83+AH84+AH85+AH86</f>
        <v>-7635013.7051015</v>
      </c>
      <c r="AI87" s="53" t="n">
        <f aca="false">AI75+AI76+AI77+AI78+AI79+AI80+AI81+AI82+AI83+AI84+AI85+AI86</f>
        <v>-7733651.152337</v>
      </c>
      <c r="AJ87" s="53" t="n">
        <f aca="false">AJ75+AJ76+AJ77+AJ78+AJ79+AJ80+AJ81+AJ82+AJ83+AJ84+AJ85+AJ86</f>
        <v>-7830068.07720607</v>
      </c>
      <c r="AK87" s="53" t="n">
        <f aca="false">AK75+AK76+AK77+AK78+AK79+AK80+AK81+AK82+AK83+AK84+AK85+AK86</f>
        <v>-7924980.48987257</v>
      </c>
      <c r="AL87" s="53" t="n">
        <f aca="false">AL75+AL76+AL77+AL78+AL79+AL80+AL81+AL82+AL83+AL84+AL85+AL86</f>
        <v>-8019115.26443832</v>
      </c>
      <c r="AM87" s="53" t="n">
        <f aca="false">SUM(C87:AL87)</f>
        <v>-160389133.186702</v>
      </c>
    </row>
    <row r="88" customFormat="false" ht="15" hidden="false" customHeight="false" outlineLevel="0" collapsed="false">
      <c r="A88" s="37" t="s">
        <v>822</v>
      </c>
      <c r="B88" s="9" t="s">
        <v>97</v>
      </c>
      <c r="C88" s="53" t="n">
        <f aca="false">C73+C87</f>
        <v>-58860</v>
      </c>
      <c r="D88" s="53" t="n">
        <f aca="false">D73+D87</f>
        <v>469796.08</v>
      </c>
      <c r="E88" s="53" t="n">
        <f aca="false">E73+E87</f>
        <v>608233.176854506</v>
      </c>
      <c r="F88" s="53" t="n">
        <f aca="false">F73+F87</f>
        <v>782957.033791447</v>
      </c>
      <c r="G88" s="53" t="n">
        <f aca="false">G73+G87</f>
        <v>1093659.92705951</v>
      </c>
      <c r="H88" s="53" t="n">
        <f aca="false">H73+H87</f>
        <v>1301417.19746512</v>
      </c>
      <c r="I88" s="53" t="n">
        <f aca="false">I73+I87</f>
        <v>1533262.58759165</v>
      </c>
      <c r="J88" s="53" t="n">
        <f aca="false">J73+J87</f>
        <v>1772147.18584047</v>
      </c>
      <c r="K88" s="53" t="n">
        <f aca="false">K73+K87</f>
        <v>2019680.74554184</v>
      </c>
      <c r="L88" s="53" t="n">
        <f aca="false">L73+L87</f>
        <v>2276825.53353218</v>
      </c>
      <c r="M88" s="53" t="n">
        <f aca="false">M73+M87</f>
        <v>2544644.79405863</v>
      </c>
      <c r="N88" s="53" t="n">
        <f aca="false">N73+N87</f>
        <v>2824224.30500029</v>
      </c>
      <c r="O88" s="53" t="n">
        <f aca="false">O73+O87</f>
        <v>3116669.71031054</v>
      </c>
      <c r="P88" s="53" t="n">
        <f aca="false">P73+P87</f>
        <v>3423109.81602648</v>
      </c>
      <c r="Q88" s="53" t="n">
        <f aca="false">Q73+Q87</f>
        <v>3744702.49729932</v>
      </c>
      <c r="R88" s="53" t="n">
        <f aca="false">R73+R87</f>
        <v>4082641.71940904</v>
      </c>
      <c r="S88" s="53" t="n">
        <f aca="false">S73+S87</f>
        <v>4438165.27773119</v>
      </c>
      <c r="T88" s="53" t="n">
        <f aca="false">T73+T87</f>
        <v>4792645.85211356</v>
      </c>
      <c r="U88" s="53" t="n">
        <f aca="false">U73+U87</f>
        <v>5152400.46689327</v>
      </c>
      <c r="V88" s="53" t="n">
        <f aca="false">V73+V87</f>
        <v>5520999.23306985</v>
      </c>
      <c r="W88" s="53" t="n">
        <f aca="false">W73+W87</f>
        <v>5897562.27602169</v>
      </c>
      <c r="X88" s="53" t="n">
        <f aca="false">X73+X87</f>
        <v>6282336.34493967</v>
      </c>
      <c r="Y88" s="53" t="n">
        <f aca="false">Y73+Y87</f>
        <v>6675590.79583755</v>
      </c>
      <c r="Z88" s="53" t="n">
        <f aca="false">Z73+Z87</f>
        <v>7119252.20990955</v>
      </c>
      <c r="AA88" s="53" t="n">
        <f aca="false">AA73+AA87</f>
        <v>7680979.05468832</v>
      </c>
      <c r="AB88" s="53" t="n">
        <f aca="false">AB73+AB87</f>
        <v>8207423.73729869</v>
      </c>
      <c r="AC88" s="53" t="n">
        <f aca="false">AC73+AC87</f>
        <v>8705721.18395611</v>
      </c>
      <c r="AD88" s="53" t="n">
        <f aca="false">AD73+AD87</f>
        <v>9179255.16042421</v>
      </c>
      <c r="AE88" s="53" t="n">
        <f aca="false">AE73+AE87</f>
        <v>9631190.95006011</v>
      </c>
      <c r="AF88" s="53" t="n">
        <f aca="false">AF73+AF87</f>
        <v>10064570.780779</v>
      </c>
      <c r="AG88" s="53" t="n">
        <f aca="false">AG73+AG87</f>
        <v>10482355.9957423</v>
      </c>
      <c r="AH88" s="53" t="n">
        <f aca="false">AH73+AH87</f>
        <v>10887457.7970057</v>
      </c>
      <c r="AI88" s="53" t="n">
        <f aca="false">AI73+AI87</f>
        <v>11282766.2106874</v>
      </c>
      <c r="AJ88" s="53" t="n">
        <f aca="false">AJ73+AJ87</f>
        <v>11671179.0177704</v>
      </c>
      <c r="AK88" s="53" t="n">
        <f aca="false">AK73+AK87</f>
        <v>12055631.2081721</v>
      </c>
      <c r="AL88" s="53" t="n">
        <f aca="false">AL73+AL87</f>
        <v>12439125.3439469</v>
      </c>
      <c r="AM88" s="53" t="n">
        <f aca="false">SUM(C88:AL88)</f>
        <v>199701721.206829</v>
      </c>
    </row>
    <row r="89" customFormat="false" ht="15" hidden="false" customHeight="false" outlineLevel="0" collapsed="false">
      <c r="A89" s="37" t="s">
        <v>823</v>
      </c>
      <c r="B89" s="9" t="s">
        <v>61</v>
      </c>
      <c r="C89" s="52" t="n">
        <f aca="false">IFERROR(C88/C72,0)</f>
        <v>0</v>
      </c>
      <c r="D89" s="52" t="n">
        <f aca="false">IFERROR(D88/D72,0)</f>
        <v>0.363912189378447</v>
      </c>
      <c r="E89" s="52" t="n">
        <f aca="false">IFERROR(E88/E72,0)</f>
        <v>0.352550811059317</v>
      </c>
      <c r="F89" s="52" t="n">
        <f aca="false">IFERROR(F88/F72,0)</f>
        <v>0.356237863326181</v>
      </c>
      <c r="G89" s="52" t="n">
        <f aca="false">IFERROR(G88/G72,0)</f>
        <v>0.370860491271051</v>
      </c>
      <c r="H89" s="52" t="n">
        <f aca="false">IFERROR(H88/H72,0)</f>
        <v>0.356428180619311</v>
      </c>
      <c r="I89" s="52" t="n">
        <f aca="false">IFERROR(I88/I72,0)</f>
        <v>0.350719204100631</v>
      </c>
      <c r="J89" s="52" t="n">
        <f aca="false">IFERROR(J88/J72,0)</f>
        <v>0.34660037525038</v>
      </c>
      <c r="K89" s="52" t="n">
        <f aca="false">IFERROR(K88/K72,0)</f>
        <v>0.343559192128148</v>
      </c>
      <c r="L89" s="52" t="n">
        <f aca="false">IFERROR(L88/L72,0)</f>
        <v>0.341224870434689</v>
      </c>
      <c r="M89" s="52" t="n">
        <f aca="false">IFERROR(M88/M72,0)</f>
        <v>0.339385140507209</v>
      </c>
      <c r="N89" s="52" t="n">
        <f aca="false">IFERROR(N88/N72,0)</f>
        <v>0.337904052432916</v>
      </c>
      <c r="O89" s="52" t="n">
        <f aca="false">IFERROR(O88/O72,0)</f>
        <v>0.336690046224663</v>
      </c>
      <c r="P89" s="52" t="n">
        <f aca="false">IFERROR(P88/P72,0)</f>
        <v>0.335679210872168</v>
      </c>
      <c r="Q89" s="52" t="n">
        <f aca="false">IFERROR(Q88/Q72,0)</f>
        <v>0.334825721207048</v>
      </c>
      <c r="R89" s="52" t="n">
        <f aca="false">IFERROR(R88/R72,0)</f>
        <v>0.334096013389099</v>
      </c>
      <c r="S89" s="52" t="n">
        <f aca="false">IFERROR(S88/S72,0)</f>
        <v>0.33346507443679</v>
      </c>
      <c r="T89" s="52" t="n">
        <f aca="false">IFERROR(T88/T72,0)</f>
        <v>0.33233625287289</v>
      </c>
      <c r="U89" s="52" t="n">
        <f aca="false">IFERROR(U88/U72,0)</f>
        <v>0.331301650005889</v>
      </c>
      <c r="V89" s="52" t="n">
        <f aca="false">IFERROR(V88/V72,0)</f>
        <v>0.330466540385654</v>
      </c>
      <c r="W89" s="52" t="n">
        <f aca="false">IFERROR(W88/W72,0)</f>
        <v>0.329733223187621</v>
      </c>
      <c r="X89" s="52" t="n">
        <f aca="false">IFERROR(X88/X72,0)</f>
        <v>0.329085434040994</v>
      </c>
      <c r="Y89" s="52" t="n">
        <f aca="false">IFERROR(Y88/Y72,0)</f>
        <v>0.328510336652886</v>
      </c>
      <c r="Z89" s="52" t="n">
        <f aca="false">IFERROR(Z88/Z72,0)</f>
        <v>0.330514606179794</v>
      </c>
      <c r="AA89" s="52" t="n">
        <f aca="false">IFERROR(AA88/AA72,0)</f>
        <v>0.339136878575597</v>
      </c>
      <c r="AB89" s="52" t="n">
        <f aca="false">IFERROR(AB88/AB72,0)</f>
        <v>0.346552620291819</v>
      </c>
      <c r="AC89" s="52" t="n">
        <f aca="false">IFERROR(AC88/AC72,0)</f>
        <v>0.353028936801842</v>
      </c>
      <c r="AD89" s="52" t="n">
        <f aca="false">IFERROR(AD88/AD72,0)</f>
        <v>0.358737906390302</v>
      </c>
      <c r="AE89" s="52" t="n">
        <f aca="false">IFERROR(AE88/AE72,0)</f>
        <v>0.363823592915809</v>
      </c>
      <c r="AF89" s="52" t="n">
        <f aca="false">IFERROR(AF88/AF72,0)</f>
        <v>0.368400936577254</v>
      </c>
      <c r="AG89" s="52" t="n">
        <f aca="false">IFERROR(AG88/AG72,0)</f>
        <v>0.372562207100369</v>
      </c>
      <c r="AH89" s="52" t="n">
        <f aca="false">IFERROR(AH88/AH72,0)</f>
        <v>0.37638253451232</v>
      </c>
      <c r="AI89" s="52" t="n">
        <f aca="false">IFERROR(AI88/AI72,0)</f>
        <v>0.379924015471174</v>
      </c>
      <c r="AJ89" s="52" t="n">
        <f aca="false">IFERROR(AJ88/AJ72,0)</f>
        <v>0.383238720411074</v>
      </c>
      <c r="AK89" s="52" t="n">
        <f aca="false">IFERROR(AK88/AK72,0)</f>
        <v>0.386370912116542</v>
      </c>
      <c r="AL89" s="52" t="n">
        <f aca="false">IFERROR(AL88/AL72,0)</f>
        <v>0.389358697470269</v>
      </c>
      <c r="AM89" s="52" t="n">
        <f aca="false">AVERAGE(N89:AL89)</f>
        <v>0.349685044820911</v>
      </c>
    </row>
    <row r="90" customFormat="false" ht="15" hidden="false" customHeight="false" outlineLevel="0" collapsed="false">
      <c r="A90" s="10" t="s">
        <v>824</v>
      </c>
      <c r="B90" s="9" t="s">
        <v>97</v>
      </c>
      <c r="C90" s="70" t="n">
        <f aca="false">-C43*Assumptions!$F$102</f>
        <v>0</v>
      </c>
      <c r="D90" s="70" t="n">
        <f aca="false">-D43*Assumptions!$F$102</f>
        <v>0</v>
      </c>
      <c r="E90" s="70" t="n">
        <f aca="false">-E43*Assumptions!$F$102</f>
        <v>0</v>
      </c>
      <c r="F90" s="70" t="n">
        <f aca="false">-F43*Assumptions!$F$102</f>
        <v>0</v>
      </c>
      <c r="G90" s="70" t="n">
        <f aca="false">-G43*Assumptions!$F$102</f>
        <v>0</v>
      </c>
      <c r="H90" s="70" t="n">
        <f aca="false">-H43*Assumptions!$F$102</f>
        <v>0</v>
      </c>
      <c r="I90" s="70" t="n">
        <f aca="false">-I43*Assumptions!$F$102</f>
        <v>0</v>
      </c>
      <c r="J90" s="70" t="n">
        <f aca="false">-J43*Assumptions!$F$102</f>
        <v>0</v>
      </c>
      <c r="K90" s="70" t="n">
        <f aca="false">-K43*Assumptions!$F$102</f>
        <v>0</v>
      </c>
      <c r="L90" s="70" t="n">
        <f aca="false">-L43*Assumptions!$F$102</f>
        <v>0</v>
      </c>
      <c r="M90" s="70" t="n">
        <f aca="false">-M43*Assumptions!$F$102</f>
        <v>0</v>
      </c>
      <c r="N90" s="70" t="n">
        <f aca="false">-N43*Assumptions!$F$102</f>
        <v>0</v>
      </c>
      <c r="O90" s="70" t="n">
        <f aca="false">-O43*Assumptions!$F$102</f>
        <v>0</v>
      </c>
      <c r="P90" s="70" t="n">
        <f aca="false">-P43*Assumptions!$F$102</f>
        <v>0</v>
      </c>
      <c r="Q90" s="70" t="n">
        <f aca="false">-Q43*Assumptions!$F$102</f>
        <v>0</v>
      </c>
      <c r="R90" s="70" t="n">
        <f aca="false">-R43*Assumptions!$F$102</f>
        <v>0</v>
      </c>
      <c r="S90" s="70" t="n">
        <f aca="false">-S43*Assumptions!$F$102</f>
        <v>0</v>
      </c>
      <c r="T90" s="70" t="n">
        <f aca="false">-T43*Assumptions!$F$102</f>
        <v>0</v>
      </c>
      <c r="U90" s="70" t="n">
        <f aca="false">-U43*Assumptions!$F$102</f>
        <v>0</v>
      </c>
      <c r="V90" s="70" t="n">
        <f aca="false">-V43*Assumptions!$F$102</f>
        <v>0</v>
      </c>
      <c r="W90" s="70" t="n">
        <f aca="false">-W43*Assumptions!$F$102</f>
        <v>0</v>
      </c>
      <c r="X90" s="70" t="n">
        <f aca="false">-X43*Assumptions!$F$102</f>
        <v>0</v>
      </c>
      <c r="Y90" s="70" t="n">
        <f aca="false">-Y43*Assumptions!$F$102</f>
        <v>0</v>
      </c>
      <c r="Z90" s="70" t="n">
        <f aca="false">-Z43*Assumptions!$F$102</f>
        <v>0</v>
      </c>
      <c r="AA90" s="70" t="n">
        <f aca="false">-AA43*Assumptions!$F$102</f>
        <v>0</v>
      </c>
      <c r="AB90" s="70" t="n">
        <f aca="false">-AB43*Assumptions!$F$102</f>
        <v>0</v>
      </c>
      <c r="AC90" s="70" t="n">
        <f aca="false">-AC43*Assumptions!$F$102</f>
        <v>0</v>
      </c>
      <c r="AD90" s="70" t="n">
        <f aca="false">-AD43*Assumptions!$F$102</f>
        <v>0</v>
      </c>
      <c r="AE90" s="70" t="n">
        <f aca="false">-AE43*Assumptions!$F$102</f>
        <v>0</v>
      </c>
      <c r="AF90" s="70" t="n">
        <f aca="false">-AF43*Assumptions!$F$102</f>
        <v>0</v>
      </c>
      <c r="AG90" s="70" t="n">
        <f aca="false">-AG43*Assumptions!$F$102</f>
        <v>0</v>
      </c>
      <c r="AH90" s="70" t="n">
        <f aca="false">-AH43*Assumptions!$F$102</f>
        <v>0</v>
      </c>
      <c r="AI90" s="70" t="n">
        <f aca="false">-AI43*Assumptions!$F$102</f>
        <v>0</v>
      </c>
      <c r="AJ90" s="70" t="n">
        <f aca="false">-AJ43*Assumptions!$F$102</f>
        <v>0</v>
      </c>
      <c r="AK90" s="70" t="n">
        <f aca="false">-AK43*Assumptions!$F$102</f>
        <v>0</v>
      </c>
      <c r="AL90" s="70" t="n">
        <f aca="false">-AL43*Assumptions!$F$102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-58860</v>
      </c>
      <c r="D92" s="70" t="n">
        <f aca="false">D88+D91</f>
        <v>469796.08</v>
      </c>
      <c r="E92" s="70" t="n">
        <f aca="false">E88+E91</f>
        <v>608233.176854506</v>
      </c>
      <c r="F92" s="70" t="n">
        <f aca="false">F88+F91</f>
        <v>782957.033791447</v>
      </c>
      <c r="G92" s="70" t="n">
        <f aca="false">G88+G91</f>
        <v>1093659.92705951</v>
      </c>
      <c r="H92" s="70" t="n">
        <f aca="false">H88+H91</f>
        <v>1301417.19746512</v>
      </c>
      <c r="I92" s="70" t="n">
        <f aca="false">I88+I91</f>
        <v>1533262.58759165</v>
      </c>
      <c r="J92" s="70" t="n">
        <f aca="false">J88+J91</f>
        <v>1772147.18584047</v>
      </c>
      <c r="K92" s="70" t="n">
        <f aca="false">K88+K91</f>
        <v>2019680.74554184</v>
      </c>
      <c r="L92" s="70" t="n">
        <f aca="false">L88+L91</f>
        <v>2276825.53353218</v>
      </c>
      <c r="M92" s="70" t="n">
        <f aca="false">M88+M91</f>
        <v>2544644.79405863</v>
      </c>
      <c r="N92" s="70" t="n">
        <f aca="false">N88+N91</f>
        <v>2824224.30500029</v>
      </c>
      <c r="O92" s="70" t="n">
        <f aca="false">O88+O91</f>
        <v>3116669.71031054</v>
      </c>
      <c r="P92" s="70" t="n">
        <f aca="false">P88+P91</f>
        <v>3423109.81602648</v>
      </c>
      <c r="Q92" s="70" t="n">
        <f aca="false">Q88+Q91</f>
        <v>3744702.49729932</v>
      </c>
      <c r="R92" s="70" t="n">
        <f aca="false">R88+R91</f>
        <v>4082641.71940904</v>
      </c>
      <c r="S92" s="70" t="n">
        <f aca="false">S88+S91</f>
        <v>4438165.27773119</v>
      </c>
      <c r="T92" s="70" t="n">
        <f aca="false">T88+T91</f>
        <v>4792645.85211356</v>
      </c>
      <c r="U92" s="70" t="n">
        <f aca="false">U88+U91</f>
        <v>5152400.46689327</v>
      </c>
      <c r="V92" s="70" t="n">
        <f aca="false">V88+V91</f>
        <v>5520999.23306985</v>
      </c>
      <c r="W92" s="70" t="n">
        <f aca="false">W88+W91</f>
        <v>5897562.27602169</v>
      </c>
      <c r="X92" s="70" t="n">
        <f aca="false">X88+X91</f>
        <v>6282336.34493967</v>
      </c>
      <c r="Y92" s="70" t="n">
        <f aca="false">Y88+Y91</f>
        <v>6675590.79583755</v>
      </c>
      <c r="Z92" s="70" t="n">
        <f aca="false">Z88+Z91</f>
        <v>7119252.20990955</v>
      </c>
      <c r="AA92" s="70" t="n">
        <f aca="false">AA88+AA91</f>
        <v>7680979.05468832</v>
      </c>
      <c r="AB92" s="70" t="n">
        <f aca="false">AB88+AB91</f>
        <v>8207423.73729869</v>
      </c>
      <c r="AC92" s="70" t="n">
        <f aca="false">AC88+AC91</f>
        <v>8705721.18395611</v>
      </c>
      <c r="AD92" s="70" t="n">
        <f aca="false">AD88+AD91</f>
        <v>9179255.16042421</v>
      </c>
      <c r="AE92" s="70" t="n">
        <f aca="false">AE88+AE91</f>
        <v>9631190.95006011</v>
      </c>
      <c r="AF92" s="70" t="n">
        <f aca="false">AF88+AF91</f>
        <v>10064570.780779</v>
      </c>
      <c r="AG92" s="70" t="n">
        <f aca="false">AG88+AG91</f>
        <v>10482355.9957423</v>
      </c>
      <c r="AH92" s="70" t="n">
        <f aca="false">AH88+AH91</f>
        <v>10887457.7970057</v>
      </c>
      <c r="AI92" s="70" t="n">
        <f aca="false">AI88+AI91</f>
        <v>11282766.2106874</v>
      </c>
      <c r="AJ92" s="70" t="n">
        <f aca="false">AJ88+AJ91</f>
        <v>11671179.0177704</v>
      </c>
      <c r="AK92" s="70" t="n">
        <f aca="false">AK88+AK91</f>
        <v>12055631.2081721</v>
      </c>
      <c r="AL92" s="70" t="n">
        <f aca="false">AL88+AL91</f>
        <v>12439125.3439469</v>
      </c>
      <c r="AM92" s="70" t="n">
        <f aca="false">SUM(C92:AL92)</f>
        <v>199701721.206829</v>
      </c>
    </row>
    <row r="93" customFormat="false" ht="15" hidden="false" customHeight="false" outlineLevel="0" collapsed="false">
      <c r="A93" s="37" t="s">
        <v>827</v>
      </c>
      <c r="B93" s="9" t="s">
        <v>97</v>
      </c>
      <c r="C93" s="53" t="n">
        <f aca="false">C92</f>
        <v>-58860</v>
      </c>
      <c r="D93" s="53" t="n">
        <f aca="false">C93+D92</f>
        <v>410936.08</v>
      </c>
      <c r="E93" s="53" t="n">
        <f aca="false">D93+E92</f>
        <v>1019169.25685451</v>
      </c>
      <c r="F93" s="53" t="n">
        <f aca="false">E93+F92</f>
        <v>1802126.29064595</v>
      </c>
      <c r="G93" s="53" t="n">
        <f aca="false">F93+G92</f>
        <v>2895786.21770547</v>
      </c>
      <c r="H93" s="53" t="n">
        <f aca="false">G93+H92</f>
        <v>4197203.41517059</v>
      </c>
      <c r="I93" s="53" t="n">
        <f aca="false">H93+I92</f>
        <v>5730466.00276224</v>
      </c>
      <c r="J93" s="53" t="n">
        <f aca="false">I93+J92</f>
        <v>7502613.18860271</v>
      </c>
      <c r="K93" s="53" t="n">
        <f aca="false">J93+K92</f>
        <v>9522293.93414455</v>
      </c>
      <c r="L93" s="53" t="n">
        <f aca="false">K93+L92</f>
        <v>11799119.4676767</v>
      </c>
      <c r="M93" s="53" t="n">
        <f aca="false">L93+M92</f>
        <v>14343764.2617354</v>
      </c>
      <c r="N93" s="53" t="n">
        <f aca="false">M93+N92</f>
        <v>17167988.5667357</v>
      </c>
      <c r="O93" s="53" t="n">
        <f aca="false">N93+O92</f>
        <v>20284658.2770462</v>
      </c>
      <c r="P93" s="53" t="n">
        <f aca="false">O93+P92</f>
        <v>23707768.0930727</v>
      </c>
      <c r="Q93" s="53" t="n">
        <f aca="false">P93+Q92</f>
        <v>27452470.590372</v>
      </c>
      <c r="R93" s="53" t="n">
        <f aca="false">Q93+R92</f>
        <v>31535112.309781</v>
      </c>
      <c r="S93" s="53" t="n">
        <f aca="false">R93+S92</f>
        <v>35973277.5875122</v>
      </c>
      <c r="T93" s="53" t="n">
        <f aca="false">S93+T92</f>
        <v>40765923.4396258</v>
      </c>
      <c r="U93" s="53" t="n">
        <f aca="false">T93+U92</f>
        <v>45918323.9065191</v>
      </c>
      <c r="V93" s="53" t="n">
        <f aca="false">U93+V92</f>
        <v>51439323.1395889</v>
      </c>
      <c r="W93" s="53" t="n">
        <f aca="false">V93+W92</f>
        <v>57336885.4156106</v>
      </c>
      <c r="X93" s="53" t="n">
        <f aca="false">W93+X92</f>
        <v>63619221.7605503</v>
      </c>
      <c r="Y93" s="53" t="n">
        <f aca="false">X93+Y92</f>
        <v>70294812.5563878</v>
      </c>
      <c r="Z93" s="53" t="n">
        <f aca="false">Y93+Z92</f>
        <v>77414064.7662974</v>
      </c>
      <c r="AA93" s="53" t="n">
        <f aca="false">Z93+AA92</f>
        <v>85095043.8209857</v>
      </c>
      <c r="AB93" s="53" t="n">
        <f aca="false">AA93+AB92</f>
        <v>93302467.5582844</v>
      </c>
      <c r="AC93" s="53" t="n">
        <f aca="false">AB93+AC92</f>
        <v>102008188.74224</v>
      </c>
      <c r="AD93" s="53" t="n">
        <f aca="false">AC93+AD92</f>
        <v>111187443.902665</v>
      </c>
      <c r="AE93" s="53" t="n">
        <f aca="false">AD93+AE92</f>
        <v>120818634.852725</v>
      </c>
      <c r="AF93" s="53" t="n">
        <f aca="false">AE93+AF92</f>
        <v>130883205.633504</v>
      </c>
      <c r="AG93" s="53" t="n">
        <f aca="false">AF93+AG92</f>
        <v>141365561.629246</v>
      </c>
      <c r="AH93" s="53" t="n">
        <f aca="false">AG93+AH92</f>
        <v>152253019.426252</v>
      </c>
      <c r="AI93" s="53" t="n">
        <f aca="false">AH93+AI92</f>
        <v>163535785.636939</v>
      </c>
      <c r="AJ93" s="53" t="n">
        <f aca="false">AI93+AJ92</f>
        <v>175206964.65471</v>
      </c>
      <c r="AK93" s="53" t="n">
        <f aca="false">AJ93+AK92</f>
        <v>187262595.862882</v>
      </c>
      <c r="AL93" s="53" t="n">
        <f aca="false">AK93+AL92</f>
        <v>199701721.206829</v>
      </c>
      <c r="AM93" s="53" t="n">
        <f aca="false">AL93</f>
        <v>199701721.206829</v>
      </c>
    </row>
    <row r="94" customFormat="false" ht="15" hidden="false" customHeight="false" outlineLevel="0" collapsed="false">
      <c r="A94" s="10" t="s">
        <v>828</v>
      </c>
      <c r="B94" s="9" t="s">
        <v>51</v>
      </c>
      <c r="C94" s="69" t="n">
        <f aca="false">IF(C88&gt;0,C$5,999)</f>
        <v>999</v>
      </c>
      <c r="D94" s="69" t="n">
        <f aca="false">IF(D88&gt;0,D$5,999)</f>
        <v>2</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829</v>
      </c>
      <c r="B95" s="9" t="s">
        <v>51</v>
      </c>
      <c r="C95" s="61" t="n">
        <f aca="false">C32+C56</f>
        <v>0</v>
      </c>
      <c r="D95" s="61" t="n">
        <f aca="false">D32+D56</f>
        <v>15000</v>
      </c>
      <c r="E95" s="61" t="n">
        <f aca="false">E32+E56</f>
        <v>11908.4600512</v>
      </c>
      <c r="F95" s="61" t="n">
        <f aca="false">F32+F56</f>
        <v>12379.3521509965</v>
      </c>
      <c r="G95" s="61" t="n">
        <f aca="false">G32+G56</f>
        <v>13314.6511657293</v>
      </c>
      <c r="H95" s="61" t="n">
        <f aca="false">H32+H56</f>
        <v>14178.2823333244</v>
      </c>
      <c r="I95" s="61" t="n">
        <f aca="false">I32+I56</f>
        <v>14979.5395596971</v>
      </c>
      <c r="J95" s="61" t="n">
        <f aca="false">J32+J56</f>
        <v>15804.3353978769</v>
      </c>
      <c r="K95" s="61" t="n">
        <f aca="false">K32+K56</f>
        <v>16671.3931207513</v>
      </c>
      <c r="L95" s="61" t="n">
        <f aca="false">L32+L56</f>
        <v>17589.6217222991</v>
      </c>
      <c r="M95" s="61" t="n">
        <f aca="false">M32+M56</f>
        <v>18563.9243804159</v>
      </c>
      <c r="N95" s="61" t="n">
        <f aca="false">N32+N56</f>
        <v>19597.6352269338</v>
      </c>
      <c r="O95" s="61" t="n">
        <f aca="false">O32+O56</f>
        <v>20693.4544275325</v>
      </c>
      <c r="P95" s="61" t="n">
        <f aca="false">P32+P56</f>
        <v>21853.883945354</v>
      </c>
      <c r="Q95" s="61" t="n">
        <f aca="false">Q32+Q56</f>
        <v>23081.4577645225</v>
      </c>
      <c r="R95" s="61" t="n">
        <f aca="false">R32+R56</f>
        <v>24378.8759611702</v>
      </c>
      <c r="S95" s="61" t="n">
        <f aca="false">S32+S56</f>
        <v>25749.0897084775</v>
      </c>
      <c r="T95" s="61" t="n">
        <f aca="false">T32+T56</f>
        <v>27122.3831144431</v>
      </c>
      <c r="U95" s="61" t="n">
        <f aca="false">U32+U56</f>
        <v>28499.5654841923</v>
      </c>
      <c r="V95" s="61" t="n">
        <f aca="false">V32+V56</f>
        <v>29900.1084915658</v>
      </c>
      <c r="W95" s="61" t="n">
        <f aca="false">W32+W56</f>
        <v>31328.2236389866</v>
      </c>
      <c r="X95" s="61" t="n">
        <f aca="false">X32+X56</f>
        <v>32785.8056662366</v>
      </c>
      <c r="Y95" s="61" t="n">
        <f aca="false">Y32+Y56</f>
        <v>34274.640155883</v>
      </c>
      <c r="Z95" s="61" t="n">
        <f aca="false">Z32+Z56</f>
        <v>35484.4531320949</v>
      </c>
      <c r="AA95" s="61" t="n">
        <f aca="false">AA32+AA56</f>
        <v>35781.2018014097</v>
      </c>
      <c r="AB95" s="61" t="n">
        <f aca="false">AB32+AB56</f>
        <v>35962.7741292781</v>
      </c>
      <c r="AC95" s="61" t="n">
        <f aca="false">AC32+AC56</f>
        <v>36149.9356794748</v>
      </c>
      <c r="AD95" s="61" t="n">
        <f aca="false">AD32+AD56</f>
        <v>36362.7060380523</v>
      </c>
      <c r="AE95" s="61" t="n">
        <f aca="false">AE32+AE56</f>
        <v>36606.2874184965</v>
      </c>
      <c r="AF95" s="61" t="n">
        <f aca="false">AF32+AF56</f>
        <v>36884.0237652704</v>
      </c>
      <c r="AG95" s="61" t="n">
        <f aca="false">AG32+AG56</f>
        <v>37199.3806615856</v>
      </c>
      <c r="AH95" s="61" t="n">
        <f aca="false">AH32+AH56</f>
        <v>37556.2782547155</v>
      </c>
      <c r="AI95" s="61" t="n">
        <f aca="false">AI32+AI56</f>
        <v>37959.1823055885</v>
      </c>
      <c r="AJ95" s="61" t="n">
        <f aca="false">AJ32+AJ56</f>
        <v>38413.1653175385</v>
      </c>
      <c r="AK95" s="61" t="n">
        <f aca="false">AK32+AK56</f>
        <v>38923.9701970862</v>
      </c>
      <c r="AL95" s="61" t="n">
        <f aca="false">AL32+AL56</f>
        <v>39498.0819783565</v>
      </c>
      <c r="AM95" s="61" t="n">
        <f aca="false">SUM(C95:AL95)</f>
        <v>952436.124146536</v>
      </c>
    </row>
    <row r="96" customFormat="false" ht="15" hidden="false" customHeight="false" outlineLevel="0" collapsed="false">
      <c r="A96" s="37" t="s">
        <v>830</v>
      </c>
      <c r="B96" s="9" t="s">
        <v>97</v>
      </c>
      <c r="C96" s="51" t="n">
        <f aca="false">IFERROR((C26-C82)/C95,0)</f>
        <v>0</v>
      </c>
      <c r="D96" s="51" t="n">
        <f aca="false">IFERROR((D26-D82)/D95,0)</f>
        <v>4.8</v>
      </c>
      <c r="E96" s="51" t="n">
        <f aca="false">IFERROR((E26-E82)/E95,0)</f>
        <v>23.849532078783</v>
      </c>
      <c r="F96" s="51" t="n">
        <f aca="false">IFERROR((F26-F82)/F95,0)</f>
        <v>30.660070628629</v>
      </c>
      <c r="G96" s="51" t="n">
        <f aca="false">IFERROR((G26-G82)/G95,0)</f>
        <v>36.3153923666038</v>
      </c>
      <c r="H96" s="51" t="n">
        <f aca="false">IFERROR((H26-H82)/H95,0)</f>
        <v>45.758395813617</v>
      </c>
      <c r="I96" s="51" t="n">
        <f aca="false">IFERROR((I26-I82)/I95,0)</f>
        <v>53.6251752136087</v>
      </c>
      <c r="J96" s="51" t="n">
        <f aca="false">IFERROR((J26-J82)/J95,0)</f>
        <v>60.8560044560434</v>
      </c>
      <c r="K96" s="51" t="n">
        <f aca="false">IFERROR((K26-K82)/K95,0)</f>
        <v>67.4716839150975</v>
      </c>
      <c r="L96" s="51" t="n">
        <f aca="false">IFERROR((L26-L82)/L95,0)</f>
        <v>73.5270824328003</v>
      </c>
      <c r="M96" s="51" t="n">
        <f aca="false">IFERROR((M26-M82)/M95,0)</f>
        <v>79.0755034830049</v>
      </c>
      <c r="N96" s="51" t="n">
        <f aca="false">IFERROR((N26-N82)/N95,0)</f>
        <v>84.169230251901</v>
      </c>
      <c r="O96" s="51" t="n">
        <f aca="false">IFERROR((O26-O82)/O95,0)</f>
        <v>88.8577826810694</v>
      </c>
      <c r="P96" s="51" t="n">
        <f aca="false">IFERROR((P26-P82)/P95,0)</f>
        <v>93.1868328118404</v>
      </c>
      <c r="Q96" s="51" t="n">
        <f aca="false">IFERROR((Q26-Q82)/Q95,0)</f>
        <v>97.1976652177094</v>
      </c>
      <c r="R96" s="51" t="n">
        <f aca="false">IFERROR((R26-R82)/R95,0)</f>
        <v>100.927033977016</v>
      </c>
      <c r="S96" s="51" t="n">
        <f aca="false">IFERROR((S26-S82)/S95,0)</f>
        <v>104.407278683814</v>
      </c>
      <c r="T96" s="51" t="n">
        <f aca="false">IFERROR((T26-T82)/T95,0)</f>
        <v>107.956289995034</v>
      </c>
      <c r="U96" s="51" t="n">
        <f aca="false">IFERROR((U26-U82)/U95,0)</f>
        <v>111.322272102476</v>
      </c>
      <c r="V96" s="51" t="n">
        <f aca="false">IFERROR((V26-V82)/V95,0)</f>
        <v>114.428954183153</v>
      </c>
      <c r="W96" s="51" t="n">
        <f aca="false">IFERROR((W26-W82)/W95,0)</f>
        <v>117.321363955534</v>
      </c>
      <c r="X96" s="51" t="n">
        <f aca="false">IFERROR((X26-X82)/X95,0)</f>
        <v>120.018072634495</v>
      </c>
      <c r="Y96" s="51" t="n">
        <f aca="false">IFERROR((Y26-Y82)/Y95,0)</f>
        <v>122.535605442742</v>
      </c>
      <c r="Z96" s="51" t="n">
        <f aca="false">IFERROR((Z26-Z82)/Z95,0)</f>
        <v>124.178773689843</v>
      </c>
      <c r="AA96" s="51" t="n">
        <f aca="false">IFERROR((AA26-AA82)/AA95,0)</f>
        <v>123.830330338724</v>
      </c>
      <c r="AB96" s="51" t="n">
        <f aca="false">IFERROR((AB26-AB82)/AB95,0)</f>
        <v>123.821710559534</v>
      </c>
      <c r="AC96" s="51" t="n">
        <f aca="false">IFERROR((AC26-AC82)/AC95,0)</f>
        <v>123.752946070336</v>
      </c>
      <c r="AD96" s="51" t="n">
        <f aca="false">IFERROR((AD26-AD82)/AD95,0)</f>
        <v>123.566204315115</v>
      </c>
      <c r="AE96" s="51" t="n">
        <f aca="false">IFERROR((AE26-AE82)/AE95,0)</f>
        <v>123.250759606985</v>
      </c>
      <c r="AF96" s="51" t="n">
        <f aca="false">IFERROR((AF26-AF82)/AF95,0)</f>
        <v>122.802298665746</v>
      </c>
      <c r="AG96" s="51" t="n">
        <f aca="false">IFERROR((AG26-AG82)/AG95,0)</f>
        <v>122.216880129892</v>
      </c>
      <c r="AH96" s="51" t="n">
        <f aca="false">IFERROR((AH26-AH82)/AH95,0)</f>
        <v>121.490128922755</v>
      </c>
      <c r="AI96" s="51" t="n">
        <f aca="false">IFERROR((AI26-AI82)/AI95,0)</f>
        <v>120.6172322919</v>
      </c>
      <c r="AJ96" s="51" t="n">
        <f aca="false">IFERROR((AJ26-AJ82)/AJ95,0)</f>
        <v>119.593075137613</v>
      </c>
      <c r="AK96" s="51" t="n">
        <f aca="false">IFERROR((AK26-AK82)/AK95,0)</f>
        <v>118.412417517592</v>
      </c>
      <c r="AL96" s="51" t="n">
        <f aca="false">IFERROR((AL26-AL82)/AL95,0)</f>
        <v>117.070101141745</v>
      </c>
      <c r="AM96" s="51" t="n">
        <f aca="false">AVERAGE(N96:AL96)</f>
        <v>113.877249612983</v>
      </c>
    </row>
    <row r="97" customFormat="false" ht="15" hidden="false" customHeight="false" outlineLevel="0" collapsed="false">
      <c r="A97" s="10" t="s">
        <v>831</v>
      </c>
      <c r="B97" s="9" t="s">
        <v>97</v>
      </c>
      <c r="C97" s="63" t="n">
        <f aca="false">IFERROR(C18/(C19*Assumptions!$F$49*Assumptions!$F$31*Assumptions!$F$32),0)</f>
        <v>0</v>
      </c>
      <c r="D97" s="63" t="n">
        <f aca="false">IFERROR(D18/(D19*Assumptions!$F$49*Assumptions!$F$31*Assumptions!$F$32),0)</f>
        <v>25.4010695187166</v>
      </c>
      <c r="E97" s="63" t="n">
        <f aca="false">IFERROR(E18/(E19*Assumptions!$F$49*Assumptions!$F$31*Assumptions!$F$32),0)</f>
        <v>25.4010695187166</v>
      </c>
      <c r="F97" s="63" t="n">
        <f aca="false">IFERROR(F18/(F19*Assumptions!$F$49*Assumptions!$F$31*Assumptions!$F$32),0)</f>
        <v>25.4010695187166</v>
      </c>
      <c r="G97" s="63" t="n">
        <f aca="false">IFERROR(G18/(G19*Assumptions!$F$49*Assumptions!$F$31*Assumptions!$F$32),0)</f>
        <v>25.4010695187166</v>
      </c>
      <c r="H97" s="63" t="n">
        <f aca="false">IFERROR(H18/(H19*Assumptions!$F$49*Assumptions!$F$31*Assumptions!$F$32),0)</f>
        <v>25.4010695187166</v>
      </c>
      <c r="I97" s="63" t="n">
        <f aca="false">IFERROR(I18/(I19*Assumptions!$F$49*Assumptions!$F$31*Assumptions!$F$32),0)</f>
        <v>25.4010695187166</v>
      </c>
      <c r="J97" s="63" t="n">
        <f aca="false">IFERROR(J18/(J19*Assumptions!$F$49*Assumptions!$F$31*Assumptions!$F$32),0)</f>
        <v>25.4010695187166</v>
      </c>
      <c r="K97" s="63" t="n">
        <f aca="false">IFERROR(K18/(K19*Assumptions!$F$49*Assumptions!$F$31*Assumptions!$F$32),0)</f>
        <v>25.4010695187166</v>
      </c>
      <c r="L97" s="63" t="n">
        <f aca="false">IFERROR(L18/(L19*Assumptions!$F$49*Assumptions!$F$31*Assumptions!$F$32),0)</f>
        <v>25.4010695187166</v>
      </c>
      <c r="M97" s="63" t="n">
        <f aca="false">IFERROR(M18/(M19*Assumptions!$F$49*Assumptions!$F$31*Assumptions!$F$32),0)</f>
        <v>25.4010695187166</v>
      </c>
      <c r="N97" s="63" t="n">
        <f aca="false">IFERROR(N18/(N19*Assumptions!$F$49*Assumptions!$F$31*Assumptions!$F$32),0)</f>
        <v>25.4010695187166</v>
      </c>
      <c r="O97" s="63" t="n">
        <f aca="false">IFERROR(O18/(O19*Assumptions!$F$49*Assumptions!$F$31*Assumptions!$F$32),0)</f>
        <v>25.4010695187166</v>
      </c>
      <c r="P97" s="63" t="n">
        <f aca="false">IFERROR(P18/(P19*Assumptions!$F$49*Assumptions!$F$31*Assumptions!$F$32),0)</f>
        <v>25.4010695187166</v>
      </c>
      <c r="Q97" s="63" t="n">
        <f aca="false">IFERROR(Q18/(Q19*Assumptions!$F$49*Assumptions!$F$31*Assumptions!$F$32),0)</f>
        <v>25.4010695187166</v>
      </c>
      <c r="R97" s="63" t="n">
        <f aca="false">IFERROR(R18/(R19*Assumptions!$F$49*Assumptions!$F$31*Assumptions!$F$32),0)</f>
        <v>25.4010695187166</v>
      </c>
      <c r="S97" s="63" t="n">
        <f aca="false">IFERROR(S18/(S19*Assumptions!$F$49*Assumptions!$F$31*Assumptions!$F$32),0)</f>
        <v>25.4010695187166</v>
      </c>
      <c r="T97" s="63" t="n">
        <f aca="false">IFERROR(T18/(T19*Assumptions!$F$49*Assumptions!$F$31*Assumptions!$F$32),0)</f>
        <v>25.4010695187166</v>
      </c>
      <c r="U97" s="63" t="n">
        <f aca="false">IFERROR(U18/(U19*Assumptions!$F$49*Assumptions!$F$31*Assumptions!$F$32),0)</f>
        <v>25.4010695187166</v>
      </c>
      <c r="V97" s="63" t="n">
        <f aca="false">IFERROR(V18/(V19*Assumptions!$F$49*Assumptions!$F$31*Assumptions!$F$32),0)</f>
        <v>25.4010695187166</v>
      </c>
      <c r="W97" s="63" t="n">
        <f aca="false">IFERROR(W18/(W19*Assumptions!$F$49*Assumptions!$F$31*Assumptions!$F$32),0)</f>
        <v>25.4010695187166</v>
      </c>
      <c r="X97" s="63" t="n">
        <f aca="false">IFERROR(X18/(X19*Assumptions!$F$49*Assumptions!$F$31*Assumptions!$F$32),0)</f>
        <v>25.4010695187166</v>
      </c>
      <c r="Y97" s="63" t="n">
        <f aca="false">IFERROR(Y18/(Y19*Assumptions!$F$49*Assumptions!$F$31*Assumptions!$F$32),0)</f>
        <v>25.4010695187166</v>
      </c>
      <c r="Z97" s="63" t="n">
        <f aca="false">IFERROR(Z18/(Z19*Assumptions!$F$49*Assumptions!$F$31*Assumptions!$F$32),0)</f>
        <v>25.4010695187166</v>
      </c>
      <c r="AA97" s="63" t="n">
        <f aca="false">IFERROR(AA18/(AA19*Assumptions!$F$49*Assumptions!$F$31*Assumptions!$F$32),0)</f>
        <v>25.4010695187166</v>
      </c>
      <c r="AB97" s="63" t="n">
        <f aca="false">IFERROR(AB18/(AB19*Assumptions!$F$49*Assumptions!$F$31*Assumptions!$F$32),0)</f>
        <v>25.4010695187166</v>
      </c>
      <c r="AC97" s="63" t="n">
        <f aca="false">IFERROR(AC18/(AC19*Assumptions!$F$49*Assumptions!$F$31*Assumptions!$F$32),0)</f>
        <v>25.4010695187166</v>
      </c>
      <c r="AD97" s="63" t="n">
        <f aca="false">IFERROR(AD18/(AD19*Assumptions!$F$49*Assumptions!$F$31*Assumptions!$F$32),0)</f>
        <v>25.4010695187166</v>
      </c>
      <c r="AE97" s="63" t="n">
        <f aca="false">IFERROR(AE18/(AE19*Assumptions!$F$49*Assumptions!$F$31*Assumptions!$F$32),0)</f>
        <v>25.4010695187166</v>
      </c>
      <c r="AF97" s="63" t="n">
        <f aca="false">IFERROR(AF18/(AF19*Assumptions!$F$49*Assumptions!$F$31*Assumptions!$F$32),0)</f>
        <v>25.4010695187166</v>
      </c>
      <c r="AG97" s="63" t="n">
        <f aca="false">IFERROR(AG18/(AG19*Assumptions!$F$49*Assumptions!$F$31*Assumptions!$F$32),0)</f>
        <v>25.4010695187166</v>
      </c>
      <c r="AH97" s="63" t="n">
        <f aca="false">IFERROR(AH18/(AH19*Assumptions!$F$49*Assumptions!$F$31*Assumptions!$F$32),0)</f>
        <v>25.4010695187166</v>
      </c>
      <c r="AI97" s="63" t="n">
        <f aca="false">IFERROR(AI18/(AI19*Assumptions!$F$49*Assumptions!$F$31*Assumptions!$F$32),0)</f>
        <v>25.4010695187166</v>
      </c>
      <c r="AJ97" s="63" t="n">
        <f aca="false">IFERROR(AJ18/(AJ19*Assumptions!$F$49*Assumptions!$F$31*Assumptions!$F$32),0)</f>
        <v>25.4010695187166</v>
      </c>
      <c r="AK97" s="63" t="n">
        <f aca="false">IFERROR(AK18/(AK19*Assumptions!$F$49*Assumptions!$F$31*Assumptions!$F$32),0)</f>
        <v>25.4010695187166</v>
      </c>
      <c r="AL97" s="63" t="n">
        <f aca="false">IFERROR(AL18/(AL19*Assumptions!$F$49*Assumptions!$F$31*Assumptions!$F$32),0)</f>
        <v>25.4010695187166</v>
      </c>
      <c r="AM97" s="63" t="n">
        <f aca="false">AVERAGE(N97:AL97)</f>
        <v>25.4010695187166</v>
      </c>
    </row>
    <row r="98" customFormat="false" ht="15" hidden="false" customHeight="false" outlineLevel="0" collapsed="false">
      <c r="A98" s="10" t="s">
        <v>832</v>
      </c>
      <c r="B98" s="9" t="s">
        <v>97</v>
      </c>
      <c r="C98" s="63" t="n">
        <f aca="false">IFERROR(C22/(C23*Assumptions!$F$49*Assumptions!$F$38*Assumptions!$F$39),0)</f>
        <v>0</v>
      </c>
      <c r="D98" s="63" t="n">
        <f aca="false">IFERROR(D22/(D23*Assumptions!$F$49*Assumptions!$F$38*Assumptions!$F$39),0)</f>
        <v>0</v>
      </c>
      <c r="E98" s="63" t="n">
        <f aca="false">IFERROR(E22/(E23*Assumptions!$F$49*Assumptions!$F$38*Assumptions!$F$39),0)</f>
        <v>65.1041666666667</v>
      </c>
      <c r="F98" s="63" t="n">
        <f aca="false">IFERROR(F22/(F23*Assumptions!$F$49*Assumptions!$F$38*Assumptions!$F$39),0)</f>
        <v>65.1041666666667</v>
      </c>
      <c r="G98" s="63" t="n">
        <f aca="false">IFERROR(G22/(G23*Assumptions!$F$49*Assumptions!$F$38*Assumptions!$F$39),0)</f>
        <v>65.1041666666667</v>
      </c>
      <c r="H98" s="63" t="n">
        <f aca="false">IFERROR(H22/(H23*Assumptions!$F$49*Assumptions!$F$38*Assumptions!$F$39),0)</f>
        <v>65.1041666666667</v>
      </c>
      <c r="I98" s="63" t="n">
        <f aca="false">IFERROR(I22/(I23*Assumptions!$F$49*Assumptions!$F$38*Assumptions!$F$39),0)</f>
        <v>65.1041666666667</v>
      </c>
      <c r="J98" s="63" t="n">
        <f aca="false">IFERROR(J22/(J23*Assumptions!$F$49*Assumptions!$F$38*Assumptions!$F$39),0)</f>
        <v>65.1041666666667</v>
      </c>
      <c r="K98" s="63" t="n">
        <f aca="false">IFERROR(K22/(K23*Assumptions!$F$49*Assumptions!$F$38*Assumptions!$F$39),0)</f>
        <v>65.1041666666667</v>
      </c>
      <c r="L98" s="63" t="n">
        <f aca="false">IFERROR(L22/(L23*Assumptions!$F$49*Assumptions!$F$38*Assumptions!$F$39),0)</f>
        <v>65.1041666666667</v>
      </c>
      <c r="M98" s="63" t="n">
        <f aca="false">IFERROR(M22/(M23*Assumptions!$F$49*Assumptions!$F$38*Assumptions!$F$39),0)</f>
        <v>65.1041666666667</v>
      </c>
      <c r="N98" s="63" t="n">
        <f aca="false">IFERROR(N22/(N23*Assumptions!$F$49*Assumptions!$F$38*Assumptions!$F$39),0)</f>
        <v>65.1041666666667</v>
      </c>
      <c r="O98" s="63" t="n">
        <f aca="false">IFERROR(O22/(O23*Assumptions!$F$49*Assumptions!$F$38*Assumptions!$F$39),0)</f>
        <v>65.1041666666667</v>
      </c>
      <c r="P98" s="63" t="n">
        <f aca="false">IFERROR(P22/(P23*Assumptions!$F$49*Assumptions!$F$38*Assumptions!$F$39),0)</f>
        <v>65.1041666666667</v>
      </c>
      <c r="Q98" s="63" t="n">
        <f aca="false">IFERROR(Q22/(Q23*Assumptions!$F$49*Assumptions!$F$38*Assumptions!$F$39),0)</f>
        <v>65.1041666666667</v>
      </c>
      <c r="R98" s="63" t="n">
        <f aca="false">IFERROR(R22/(R23*Assumptions!$F$49*Assumptions!$F$38*Assumptions!$F$39),0)</f>
        <v>65.1041666666667</v>
      </c>
      <c r="S98" s="63" t="n">
        <f aca="false">IFERROR(S22/(S23*Assumptions!$F$49*Assumptions!$F$38*Assumptions!$F$39),0)</f>
        <v>65.1041666666667</v>
      </c>
      <c r="T98" s="63" t="n">
        <f aca="false">IFERROR(T22/(T23*Assumptions!$F$49*Assumptions!$F$38*Assumptions!$F$39),0)</f>
        <v>65.1041666666667</v>
      </c>
      <c r="U98" s="63" t="n">
        <f aca="false">IFERROR(U22/(U23*Assumptions!$F$49*Assumptions!$F$38*Assumptions!$F$39),0)</f>
        <v>65.1041666666666</v>
      </c>
      <c r="V98" s="63" t="n">
        <f aca="false">IFERROR(V22/(V23*Assumptions!$F$49*Assumptions!$F$38*Assumptions!$F$39),0)</f>
        <v>65.1041666666667</v>
      </c>
      <c r="W98" s="63" t="n">
        <f aca="false">IFERROR(W22/(W23*Assumptions!$F$49*Assumptions!$F$38*Assumptions!$F$39),0)</f>
        <v>65.1041666666667</v>
      </c>
      <c r="X98" s="63" t="n">
        <f aca="false">IFERROR(X22/(X23*Assumptions!$F$49*Assumptions!$F$38*Assumptions!$F$39),0)</f>
        <v>65.1041666666667</v>
      </c>
      <c r="Y98" s="63" t="n">
        <f aca="false">IFERROR(Y22/(Y23*Assumptions!$F$49*Assumptions!$F$38*Assumptions!$F$39),0)</f>
        <v>65.1041666666667</v>
      </c>
      <c r="Z98" s="63" t="n">
        <f aca="false">IFERROR(Z22/(Z23*Assumptions!$F$49*Assumptions!$F$38*Assumptions!$F$39),0)</f>
        <v>65.1041666666667</v>
      </c>
      <c r="AA98" s="63" t="n">
        <f aca="false">IFERROR(AA22/(AA23*Assumptions!$F$49*Assumptions!$F$38*Assumptions!$F$39),0)</f>
        <v>65.1041666666667</v>
      </c>
      <c r="AB98" s="63" t="n">
        <f aca="false">IFERROR(AB22/(AB23*Assumptions!$F$49*Assumptions!$F$38*Assumptions!$F$39),0)</f>
        <v>65.1041666666667</v>
      </c>
      <c r="AC98" s="63" t="n">
        <f aca="false">IFERROR(AC22/(AC23*Assumptions!$F$49*Assumptions!$F$38*Assumptions!$F$39),0)</f>
        <v>65.1041666666667</v>
      </c>
      <c r="AD98" s="63" t="n">
        <f aca="false">IFERROR(AD22/(AD23*Assumptions!$F$49*Assumptions!$F$38*Assumptions!$F$39),0)</f>
        <v>65.1041666666667</v>
      </c>
      <c r="AE98" s="63" t="n">
        <f aca="false">IFERROR(AE22/(AE23*Assumptions!$F$49*Assumptions!$F$38*Assumptions!$F$39),0)</f>
        <v>65.1041666666667</v>
      </c>
      <c r="AF98" s="63" t="n">
        <f aca="false">IFERROR(AF22/(AF23*Assumptions!$F$49*Assumptions!$F$38*Assumptions!$F$39),0)</f>
        <v>65.1041666666667</v>
      </c>
      <c r="AG98" s="63" t="n">
        <f aca="false">IFERROR(AG22/(AG23*Assumptions!$F$49*Assumptions!$F$38*Assumptions!$F$39),0)</f>
        <v>65.1041666666667</v>
      </c>
      <c r="AH98" s="63" t="n">
        <f aca="false">IFERROR(AH22/(AH23*Assumptions!$F$49*Assumptions!$F$38*Assumptions!$F$39),0)</f>
        <v>65.1041666666667</v>
      </c>
      <c r="AI98" s="63" t="n">
        <f aca="false">IFERROR(AI22/(AI23*Assumptions!$F$49*Assumptions!$F$38*Assumptions!$F$39),0)</f>
        <v>65.1041666666667</v>
      </c>
      <c r="AJ98" s="63" t="n">
        <f aca="false">IFERROR(AJ22/(AJ23*Assumptions!$F$49*Assumptions!$F$38*Assumptions!$F$39),0)</f>
        <v>65.1041666666667</v>
      </c>
      <c r="AK98" s="63" t="n">
        <f aca="false">IFERROR(AK22/(AK23*Assumptions!$F$49*Assumptions!$F$38*Assumptions!$F$39),0)</f>
        <v>65.1041666666667</v>
      </c>
      <c r="AL98" s="63" t="n">
        <f aca="false">IFERROR(AL22/(AL23*Assumptions!$F$49*Assumptions!$F$38*Assumptions!$F$39),0)</f>
        <v>65.1041666666667</v>
      </c>
      <c r="AM98" s="63" t="n">
        <f aca="false">AVERAGE(N98:AL98)</f>
        <v>65.1041666666667</v>
      </c>
    </row>
    <row r="99" customFormat="false" ht="15" hidden="false" customHeight="false" outlineLevel="0" collapsed="false">
      <c r="A99" s="10" t="s">
        <v>833</v>
      </c>
      <c r="B99" s="9" t="s">
        <v>97</v>
      </c>
      <c r="C99" s="63" t="n">
        <f aca="false">IFERROR(C24/(C25*Assumptions!$F$49*Assumptions!$F$43),0)</f>
        <v>53.0736918224796</v>
      </c>
      <c r="D99" s="63" t="n">
        <f aca="false">IFERROR(D24/(D25*Assumptions!$F$49*Assumptions!$F$43),0)</f>
        <v>0</v>
      </c>
      <c r="E99" s="63" t="n">
        <f aca="false">IFERROR(E24/(E25*Assumptions!$F$49*Assumptions!$F$43),0)</f>
        <v>0</v>
      </c>
      <c r="F99" s="63" t="n">
        <f aca="false">IFERROR(F24/(F25*Assumptions!$F$49*Assumptions!$F$43),0)</f>
        <v>80.7477404316965</v>
      </c>
      <c r="G99" s="63" t="n">
        <f aca="false">IFERROR(G24/(G25*Assumptions!$F$49*Assumptions!$F$43),0)</f>
        <v>93.327647409383</v>
      </c>
      <c r="H99" s="63" t="n">
        <f aca="false">IFERROR(H24/(H25*Assumptions!$F$49*Assumptions!$F$43),0)</f>
        <v>105.819290503983</v>
      </c>
      <c r="I99" s="63" t="n">
        <f aca="false">IFERROR(I24/(I25*Assumptions!$F$49*Assumptions!$F$43),0)</f>
        <v>113.7673016903</v>
      </c>
      <c r="J99" s="63" t="n">
        <f aca="false">IFERROR(J24/(J25*Assumptions!$F$49*Assumptions!$F$43),0)</f>
        <v>120.293085122878</v>
      </c>
      <c r="K99" s="63" t="n">
        <f aca="false">IFERROR(K24/(K25*Assumptions!$F$49*Assumptions!$F$43),0)</f>
        <v>125.886260948094</v>
      </c>
      <c r="L99" s="63" t="n">
        <f aca="false">IFERROR(L24/(L25*Assumptions!$F$49*Assumptions!$F$43),0)</f>
        <v>130.844358424308</v>
      </c>
      <c r="M99" s="63" t="n">
        <f aca="false">IFERROR(M24/(M25*Assumptions!$F$49*Assumptions!$F$43),0)</f>
        <v>135.346130882348</v>
      </c>
      <c r="N99" s="63" t="n">
        <f aca="false">IFERROR(N24/(N25*Assumptions!$F$49*Assumptions!$F$43),0)</f>
        <v>139.508337576532</v>
      </c>
      <c r="O99" s="63" t="n">
        <f aca="false">IFERROR(O24/(O25*Assumptions!$F$49*Assumptions!$F$43),0)</f>
        <v>143.411459471201</v>
      </c>
      <c r="P99" s="63" t="n">
        <f aca="false">IFERROR(P24/(P25*Assumptions!$F$49*Assumptions!$F$43),0)</f>
        <v>147.113282931059</v>
      </c>
      <c r="Q99" s="63" t="n">
        <f aca="false">IFERROR(Q24/(Q25*Assumptions!$F$49*Assumptions!$F$43),0)</f>
        <v>150.656644390697</v>
      </c>
      <c r="R99" s="63" t="n">
        <f aca="false">IFERROR(R24/(R25*Assumptions!$F$49*Assumptions!$F$43),0)</f>
        <v>154.074129057813</v>
      </c>
      <c r="S99" s="63" t="n">
        <f aca="false">IFERROR(S24/(S25*Assumptions!$F$49*Assumptions!$F$43),0)</f>
        <v>157.391065766782</v>
      </c>
      <c r="T99" s="63" t="n">
        <f aca="false">IFERROR(T24/(T25*Assumptions!$F$49*Assumptions!$F$43),0)</f>
        <v>160.627514093738</v>
      </c>
      <c r="U99" s="63" t="n">
        <f aca="false">IFERROR(U24/(U25*Assumptions!$F$49*Assumptions!$F$43),0)</f>
        <v>163.699849877379</v>
      </c>
      <c r="V99" s="63" t="n">
        <f aca="false">IFERROR(V24/(V25*Assumptions!$F$49*Assumptions!$F$43),0)</f>
        <v>166.625194554542</v>
      </c>
      <c r="W99" s="63" t="n">
        <f aca="false">IFERROR(W24/(W25*Assumptions!$F$49*Assumptions!$F$43),0)</f>
        <v>169.434567884239</v>
      </c>
      <c r="X99" s="63" t="n">
        <f aca="false">IFERROR(X24/(X25*Assumptions!$F$49*Assumptions!$F$43),0)</f>
        <v>172.141627419778</v>
      </c>
      <c r="Y99" s="63" t="n">
        <f aca="false">IFERROR(Y24/(Y25*Assumptions!$F$49*Assumptions!$F$43),0)</f>
        <v>174.75817861592</v>
      </c>
      <c r="Z99" s="63" t="n">
        <f aca="false">IFERROR(Z24/(Z25*Assumptions!$F$49*Assumptions!$F$43),0)</f>
        <v>176.595521553449</v>
      </c>
      <c r="AA99" s="63" t="n">
        <f aca="false">IFERROR(AA24/(AA25*Assumptions!$F$49*Assumptions!$F$43),0)</f>
        <v>176.438619497998</v>
      </c>
      <c r="AB99" s="63" t="n">
        <f aca="false">IFERROR(AB24/(AB25*Assumptions!$F$49*Assumptions!$F$43),0)</f>
        <v>176.398896322901</v>
      </c>
      <c r="AC99" s="63" t="n">
        <f aca="false">IFERROR(AC24/(AC25*Assumptions!$F$49*Assumptions!$F$43),0)</f>
        <v>176.373344819717</v>
      </c>
      <c r="AD99" s="63" t="n">
        <f aca="false">IFERROR(AD24/(AD25*Assumptions!$F$49*Assumptions!$F$43),0)</f>
        <v>176.34621276565</v>
      </c>
      <c r="AE99" s="63" t="n">
        <f aca="false">IFERROR(AE24/(AE25*Assumptions!$F$49*Assumptions!$F$43),0)</f>
        <v>176.314866346445</v>
      </c>
      <c r="AF99" s="63" t="n">
        <f aca="false">IFERROR(AF24/(AF25*Assumptions!$F$49*Assumptions!$F$43),0)</f>
        <v>176.278588890821</v>
      </c>
      <c r="AG99" s="63" t="n">
        <f aca="false">IFERROR(AG24/(AG25*Assumptions!$F$49*Assumptions!$F$43),0)</f>
        <v>176.236889821771</v>
      </c>
      <c r="AH99" s="63" t="n">
        <f aca="false">IFERROR(AH24/(AH25*Assumptions!$F$49*Assumptions!$F$43),0)</f>
        <v>176.189245325965</v>
      </c>
      <c r="AI99" s="63" t="n">
        <f aca="false">IFERROR(AI24/(AI25*Assumptions!$F$49*Assumptions!$F$43),0)</f>
        <v>176.135053516698</v>
      </c>
      <c r="AJ99" s="63" t="n">
        <f aca="false">IFERROR(AJ24/(AJ25*Assumptions!$F$49*Assumptions!$F$43),0)</f>
        <v>176.073620693578</v>
      </c>
      <c r="AK99" s="63" t="n">
        <f aca="false">IFERROR(AK24/(AK25*Assumptions!$F$49*Assumptions!$F$43),0)</f>
        <v>176.004150959802</v>
      </c>
      <c r="AL99" s="63" t="n">
        <f aca="false">IFERROR(AL24/(AL25*Assumptions!$F$49*Assumptions!$F$43),0)</f>
        <v>175.925734865806</v>
      </c>
      <c r="AM99" s="63" t="n">
        <f aca="false">AVERAGE(N99:AL99)</f>
        <v>167.630103880811</v>
      </c>
    </row>
    <row r="100" customFormat="false" ht="15" hidden="false" customHeight="false" outlineLevel="0" collapsed="false">
      <c r="A100" s="37" t="s">
        <v>834</v>
      </c>
      <c r="B100" s="9" t="s">
        <v>97</v>
      </c>
      <c r="C100" s="51" t="n">
        <f aca="false">IFERROR(C26/((C19*Assumptions!$F$31*Assumptions!$F$32+C23*Assumptions!$F$38*Assumptions!$F$39+C25*Assumptions!$F$43)*Assumptions!$F$49),0)</f>
        <v>53.0736918224796</v>
      </c>
      <c r="D100" s="51" t="n">
        <f aca="false">IFERROR(D26/((D19*Assumptions!$F$31*Assumptions!$F$32+D23*Assumptions!$F$38*Assumptions!$F$39+D25*Assumptions!$F$43)*Assumptions!$F$49),0)</f>
        <v>25.4010695187166</v>
      </c>
      <c r="E100" s="51" t="n">
        <f aca="false">IFERROR(E26/((E19*Assumptions!$F$31*Assumptions!$F$32+E23*Assumptions!$F$38*Assumptions!$F$39+E25*Assumptions!$F$43)*Assumptions!$F$49),0)</f>
        <v>54.1531290052451</v>
      </c>
      <c r="F100" s="51" t="n">
        <f aca="false">IFERROR(F26/((F19*Assumptions!$F$31*Assumptions!$F$32+F23*Assumptions!$F$38*Assumptions!$F$39+F25*Assumptions!$F$43)*Assumptions!$F$49),0)</f>
        <v>60.0692844283518</v>
      </c>
      <c r="G100" s="51" t="n">
        <f aca="false">IFERROR(G26/((G19*Assumptions!$F$31*Assumptions!$F$32+G23*Assumptions!$F$38*Assumptions!$F$39+G25*Assumptions!$F$43)*Assumptions!$F$49),0)</f>
        <v>67.1972875596581</v>
      </c>
      <c r="H100" s="51" t="n">
        <f aca="false">IFERROR(H26/((H19*Assumptions!$F$31*Assumptions!$F$32+H23*Assumptions!$F$38*Assumptions!$F$39+H25*Assumptions!$F$43)*Assumptions!$F$49),0)</f>
        <v>76.8717780402939</v>
      </c>
      <c r="I100" s="51" t="n">
        <f aca="false">IFERROR(I26/((I19*Assumptions!$F$31*Assumptions!$F$32+I23*Assumptions!$F$38*Assumptions!$F$39+I25*Assumptions!$F$43)*Assumptions!$F$49),0)</f>
        <v>84.1141236396806</v>
      </c>
      <c r="J100" s="51" t="n">
        <f aca="false">IFERROR(J26/((J19*Assumptions!$F$31*Assumptions!$F$32+J23*Assumptions!$F$38*Assumptions!$F$39+J25*Assumptions!$F$43)*Assumptions!$F$49),0)</f>
        <v>90.5142813030559</v>
      </c>
      <c r="K100" s="51" t="n">
        <f aca="false">IFERROR(K26/((K19*Assumptions!$F$31*Assumptions!$F$32+K23*Assumptions!$F$38*Assumptions!$F$39+K25*Assumptions!$F$43)*Assumptions!$F$49),0)</f>
        <v>96.197777194195</v>
      </c>
      <c r="L100" s="51" t="n">
        <f aca="false">IFERROR(L26/((L19*Assumptions!$F$31*Assumptions!$F$32+L23*Assumptions!$F$38*Assumptions!$F$39+L25*Assumptions!$F$43)*Assumptions!$F$49),0)</f>
        <v>101.30885078369</v>
      </c>
      <c r="M100" s="51" t="n">
        <f aca="false">IFERROR(M26/((M19*Assumptions!$F$31*Assumptions!$F$32+M23*Assumptions!$F$38*Assumptions!$F$39+M25*Assumptions!$F$43)*Assumptions!$F$49),0)</f>
        <v>105.957836140704</v>
      </c>
      <c r="N100" s="51" t="n">
        <f aca="false">IFERROR(N26/((N19*Assumptions!$F$31*Assumptions!$F$32+N23*Assumptions!$F$38*Assumptions!$F$39+N25*Assumptions!$F$43)*Assumptions!$F$49),0)</f>
        <v>110.231128588668</v>
      </c>
      <c r="O100" s="51" t="n">
        <f aca="false">IFERROR(O26/((O19*Assumptions!$F$31*Assumptions!$F$32+O23*Assumptions!$F$38*Assumptions!$F$39+O25*Assumptions!$F$43)*Assumptions!$F$49),0)</f>
        <v>114.196875783636</v>
      </c>
      <c r="P100" s="51" t="n">
        <f aca="false">IFERROR(P26/((P19*Assumptions!$F$31*Assumptions!$F$32+P23*Assumptions!$F$38*Assumptions!$F$39+P25*Assumptions!$F$43)*Assumptions!$F$49),0)</f>
        <v>117.909330149665</v>
      </c>
      <c r="Q100" s="51" t="n">
        <f aca="false">IFERROR(Q26/((Q19*Assumptions!$F$31*Assumptions!$F$32+Q23*Assumptions!$F$38*Assumptions!$F$39+Q25*Assumptions!$F$43)*Assumptions!$F$49),0)</f>
        <v>121.41205981554</v>
      </c>
      <c r="R100" s="51" t="n">
        <f aca="false">IFERROR(R26/((R19*Assumptions!$F$31*Assumptions!$F$32+R23*Assumptions!$F$38*Assumptions!$F$39+R25*Assumptions!$F$43)*Assumptions!$F$49),0)</f>
        <v>124.740330236251</v>
      </c>
      <c r="S100" s="51" t="n">
        <f aca="false">IFERROR(S26/((S19*Assumptions!$F$31*Assumptions!$F$32+S23*Assumptions!$F$38*Assumptions!$F$39+S25*Assumptions!$F$43)*Assumptions!$F$49),0)</f>
        <v>127.922890395749</v>
      </c>
      <c r="T100" s="51" t="n">
        <f aca="false">IFERROR(T26/((T19*Assumptions!$F$31*Assumptions!$F$32+T23*Assumptions!$F$38*Assumptions!$F$39+T25*Assumptions!$F$43)*Assumptions!$F$49),0)</f>
        <v>130.983329339324</v>
      </c>
      <c r="U100" s="51" t="n">
        <f aca="false">IFERROR(U26/((U19*Assumptions!$F$31*Assumptions!$F$32+U23*Assumptions!$F$38*Assumptions!$F$39+U25*Assumptions!$F$43)*Assumptions!$F$49),0)</f>
        <v>133.824217044377</v>
      </c>
      <c r="V100" s="51" t="n">
        <f aca="false">IFERROR(V26/((V19*Assumptions!$F$31*Assumptions!$F$32+V23*Assumptions!$F$38*Assumptions!$F$39+V25*Assumptions!$F$43)*Assumptions!$F$49),0)</f>
        <v>136.485781810308</v>
      </c>
      <c r="W100" s="51" t="n">
        <f aca="false">IFERROR(W26/((W19*Assumptions!$F$31*Assumptions!$F$32+W23*Assumptions!$F$38*Assumptions!$F$39+W25*Assumptions!$F$43)*Assumptions!$F$49),0)</f>
        <v>139.009316230676</v>
      </c>
      <c r="X100" s="51" t="n">
        <f aca="false">IFERROR(X26/((X19*Assumptions!$F$31*Assumptions!$F$32+X23*Assumptions!$F$38*Assumptions!$F$39+X25*Assumptions!$F$43)*Assumptions!$F$49),0)</f>
        <v>141.408781949132</v>
      </c>
      <c r="Y100" s="51" t="n">
        <f aca="false">IFERROR(Y26/((Y19*Assumptions!$F$31*Assumptions!$F$32+Y23*Assumptions!$F$38*Assumptions!$F$39+Y25*Assumptions!$F$43)*Assumptions!$F$49),0)</f>
        <v>143.697335042771</v>
      </c>
      <c r="Z100" s="51" t="n">
        <f aca="false">IFERROR(Z26/((Z19*Assumptions!$F$31*Assumptions!$F$32+Z23*Assumptions!$F$38*Assumptions!$F$39+Z25*Assumptions!$F$43)*Assumptions!$F$49),0)</f>
        <v>145.055745839422</v>
      </c>
      <c r="AA100" s="51" t="n">
        <f aca="false">IFERROR(AA26/((AA19*Assumptions!$F$31*Assumptions!$F$32+AA23*Assumptions!$F$38*Assumptions!$F$39+AA25*Assumptions!$F$43)*Assumptions!$F$49),0)</f>
        <v>144.19536965248</v>
      </c>
      <c r="AB100" s="51" t="n">
        <f aca="false">IFERROR(AB26/((AB19*Assumptions!$F$31*Assumptions!$F$32+AB23*Assumptions!$F$38*Assumptions!$F$39+AB25*Assumptions!$F$43)*Assumptions!$F$49),0)</f>
        <v>143.939202030917</v>
      </c>
      <c r="AC100" s="51" t="n">
        <f aca="false">IFERROR(AC26/((AC19*Assumptions!$F$31*Assumptions!$F$32+AC23*Assumptions!$F$38*Assumptions!$F$39+AC25*Assumptions!$F$43)*Assumptions!$F$49),0)</f>
        <v>143.747807609223</v>
      </c>
      <c r="AD100" s="51" t="n">
        <f aca="false">IFERROR(AD26/((AD19*Assumptions!$F$31*Assumptions!$F$32+AD23*Assumptions!$F$38*Assumptions!$F$39+AD25*Assumptions!$F$43)*Assumptions!$F$49),0)</f>
        <v>143.539307661224</v>
      </c>
      <c r="AE100" s="51" t="n">
        <f aca="false">IFERROR(AE26/((AE19*Assumptions!$F$31*Assumptions!$F$32+AE23*Assumptions!$F$38*Assumptions!$F$39+AE25*Assumptions!$F$43)*Assumptions!$F$49),0)</f>
        <v>143.299648724032</v>
      </c>
      <c r="AF100" s="51" t="n">
        <f aca="false">IFERROR(AF26/((AF19*Assumptions!$F$31*Assumptions!$F$32+AF23*Assumptions!$F$38*Assumptions!$F$39+AF25*Assumptions!$F$43)*Assumptions!$F$49),0)</f>
        <v>143.024607320148</v>
      </c>
      <c r="AG100" s="51" t="n">
        <f aca="false">IFERROR(AG26/((AG19*Assumptions!$F$31*Assumptions!$F$32+AG23*Assumptions!$F$38*Assumptions!$F$39+AG25*Assumptions!$F$43)*Assumptions!$F$49),0)</f>
        <v>142.711081086434</v>
      </c>
      <c r="AH100" s="51" t="n">
        <f aca="false">IFERROR(AH26/((AH19*Assumptions!$F$31*Assumptions!$F$32+AH23*Assumptions!$F$38*Assumptions!$F$39+AH25*Assumptions!$F$43)*Assumptions!$F$49),0)</f>
        <v>142.355771778967</v>
      </c>
      <c r="AI100" s="51" t="n">
        <f aca="false">IFERROR(AI26/((AI19*Assumptions!$F$31*Assumptions!$F$32+AI23*Assumptions!$F$38*Assumptions!$F$39+AI25*Assumptions!$F$43)*Assumptions!$F$49),0)</f>
        <v>141.954977147834</v>
      </c>
      <c r="AJ100" s="51" t="n">
        <f aca="false">IFERROR(AJ26/((AJ19*Assumptions!$F$31*Assumptions!$F$32+AJ23*Assumptions!$F$38*Assumptions!$F$39+AJ25*Assumptions!$F$43)*Assumptions!$F$49),0)</f>
        <v>141.50454886565</v>
      </c>
      <c r="AK100" s="51" t="n">
        <f aca="false">IFERROR(AK26/((AK19*Assumptions!$F$31*Assumptions!$F$32+AK23*Assumptions!$F$38*Assumptions!$F$39+AK25*Assumptions!$F$43)*Assumptions!$F$49),0)</f>
        <v>140.999875878139</v>
      </c>
      <c r="AL100" s="51" t="n">
        <f aca="false">IFERROR(AL26/((AL19*Assumptions!$F$31*Assumptions!$F$32+AL23*Assumptions!$F$38*Assumptions!$F$39+AL25*Assumptions!$F$43)*Assumptions!$F$49),0)</f>
        <v>140.435873178508</v>
      </c>
      <c r="AM100" s="51" t="n">
        <f aca="false">AVERAGE(N100:AL100)</f>
        <v>135.943407726363</v>
      </c>
    </row>
    <row r="101" customFormat="false" ht="15" hidden="false" customHeight="false" outlineLevel="0" collapsed="false">
      <c r="A101" s="37" t="s">
        <v>835</v>
      </c>
      <c r="B101" s="9" t="s">
        <v>370</v>
      </c>
      <c r="C101" s="72" t="n">
        <f aca="false">IFERROR(C100/C104,0)</f>
        <v>0.954901620893105</v>
      </c>
      <c r="D101" s="72" t="n">
        <f aca="false">IFERROR(D100/D104,0)</f>
        <v>0.457015926779138</v>
      </c>
      <c r="E101" s="72" t="n">
        <f aca="false">IFERROR(E100/E104,0)</f>
        <v>0.974322849755846</v>
      </c>
      <c r="F101" s="72" t="n">
        <f aca="false">IFERROR(F100/F104,0)</f>
        <v>1.08076629111048</v>
      </c>
      <c r="G101" s="72" t="n">
        <f aca="false">IFERROR(G100/G104,0)</f>
        <v>1.20901329089678</v>
      </c>
      <c r="H101" s="72" t="n">
        <f aca="false">IFERROR(H100/H104,0)</f>
        <v>1.38307667944291</v>
      </c>
      <c r="I101" s="72" t="n">
        <f aca="false">IFERROR(I100/I104,0)</f>
        <v>1.51338092839273</v>
      </c>
      <c r="J101" s="72" t="n">
        <f aca="false">IFERROR(J100/J104,0)</f>
        <v>1.62853253584394</v>
      </c>
      <c r="K101" s="72" t="n">
        <f aca="false">IFERROR(K100/K104,0)</f>
        <v>1.73078996796192</v>
      </c>
      <c r="L101" s="72" t="n">
        <f aca="false">IFERROR(L100/L104,0)</f>
        <v>1.82274838064287</v>
      </c>
      <c r="M101" s="72" t="n">
        <f aca="false">IFERROR(M100/M104,0)</f>
        <v>1.90639290395527</v>
      </c>
      <c r="N101" s="72" t="n">
        <f aca="false">IFERROR(N100/N104,0)</f>
        <v>1.98327796216376</v>
      </c>
      <c r="O101" s="72" t="n">
        <f aca="false">IFERROR(O100/O104,0)</f>
        <v>2.05462966758487</v>
      </c>
      <c r="P101" s="72" t="n">
        <f aca="false">IFERROR(P100/P104,0)</f>
        <v>2.12142412958442</v>
      </c>
      <c r="Q101" s="72" t="n">
        <f aca="false">IFERROR(Q100/Q104,0)</f>
        <v>2.18444522573657</v>
      </c>
      <c r="R101" s="72" t="n">
        <f aca="false">IFERROR(R100/R104,0)</f>
        <v>2.24432745194646</v>
      </c>
      <c r="S101" s="72" t="n">
        <f aca="false">IFERROR(S100/S104,0)</f>
        <v>2.30158805980203</v>
      </c>
      <c r="T101" s="72" t="n">
        <f aca="false">IFERROR(T100/T104,0)</f>
        <v>2.35665146329841</v>
      </c>
      <c r="U101" s="72" t="n">
        <f aca="false">IFERROR(U100/U104,0)</f>
        <v>2.40776470191397</v>
      </c>
      <c r="V101" s="72" t="n">
        <f aca="false">IFERROR(V100/V104,0)</f>
        <v>2.45565156302775</v>
      </c>
      <c r="W101" s="72" t="n">
        <f aca="false">IFERROR(W100/W104,0)</f>
        <v>2.50105498279454</v>
      </c>
      <c r="X101" s="72" t="n">
        <f aca="false">IFERROR(X100/X104,0)</f>
        <v>2.54422615904313</v>
      </c>
      <c r="Y101" s="72" t="n">
        <f aca="false">IFERROR(Y100/Y104,0)</f>
        <v>2.58540179585251</v>
      </c>
      <c r="Z101" s="72" t="n">
        <f aca="false">IFERROR(Z100/Z104,0)</f>
        <v>2.60984231670226</v>
      </c>
      <c r="AA101" s="72" t="n">
        <f aca="false">IFERROR(AA100/AA104,0)</f>
        <v>2.59436243227597</v>
      </c>
      <c r="AB101" s="72" t="n">
        <f aca="false">IFERROR(AB100/AB104,0)</f>
        <v>2.58975346559867</v>
      </c>
      <c r="AC101" s="72" t="n">
        <f aca="false">IFERROR(AC100/AC104,0)</f>
        <v>2.58630989803761</v>
      </c>
      <c r="AD101" s="72" t="n">
        <f aca="false">IFERROR(AD100/AD104,0)</f>
        <v>2.5825585679254</v>
      </c>
      <c r="AE101" s="72" t="n">
        <f aca="false">IFERROR(AE100/AE104,0)</f>
        <v>2.57824662542191</v>
      </c>
      <c r="AF101" s="72" t="n">
        <f aca="false">IFERROR(AF100/AF104,0)</f>
        <v>2.5732980817393</v>
      </c>
      <c r="AG101" s="72" t="n">
        <f aca="false">IFERROR(AG100/AG104,0)</f>
        <v>2.56765711917413</v>
      </c>
      <c r="AH101" s="72" t="n">
        <f aca="false">IFERROR(AH100/AH104,0)</f>
        <v>2.56126439573681</v>
      </c>
      <c r="AI101" s="72" t="n">
        <f aca="false">IFERROR(AI100/AI104,0)</f>
        <v>2.5540533005638</v>
      </c>
      <c r="AJ101" s="72" t="n">
        <f aca="false">IFERROR(AJ100/AJ104,0)</f>
        <v>2.54594919696777</v>
      </c>
      <c r="AK101" s="72" t="n">
        <f aca="false">IFERROR(AK100/AK104,0)</f>
        <v>2.5368691228812</v>
      </c>
      <c r="AL101" s="72" t="n">
        <f aca="false">IFERROR(AL100/AL104,0)</f>
        <v>2.52672158888514</v>
      </c>
      <c r="AM101" s="72" t="n">
        <f aca="false">AVERAGE(N101:AL101)</f>
        <v>2.44589317098634</v>
      </c>
    </row>
    <row r="102" customFormat="false" ht="15" hidden="false" customHeight="false" outlineLevel="0" collapsed="false">
      <c r="A102" s="10" t="s">
        <v>836</v>
      </c>
      <c r="B102" s="9" t="s">
        <v>97</v>
      </c>
      <c r="C102" s="63" t="n">
        <f aca="false">Assumptions!$F$70*(1-Assumptions!$F$80)*(1-Assumptions!$F$79)-Assumptions!$F$73-Assumptions!$F$75-Assumptions!$F$76-Assumptions!$F$77</f>
        <v>184.526606</v>
      </c>
      <c r="D102" s="63" t="n">
        <f aca="false">Assumptions!$F$70*(1-Assumptions!$F$80)*(1-Assumptions!$F$79)-Assumptions!$F$73-Assumptions!$F$75-Assumptions!$F$76-Assumptions!$F$77</f>
        <v>184.526606</v>
      </c>
      <c r="E102" s="63" t="n">
        <f aca="false">Assumptions!$F$70*(1-Assumptions!$F$80)*(1-Assumptions!$F$79)-Assumptions!$F$73-Assumptions!$F$75-Assumptions!$F$76-Assumptions!$F$77</f>
        <v>184.526606</v>
      </c>
      <c r="F102" s="63" t="n">
        <f aca="false">Assumptions!$F$70*(1-Assumptions!$F$80)*(1-Assumptions!$F$79)-Assumptions!$F$73-Assumptions!$F$75-Assumptions!$F$76-Assumptions!$F$77</f>
        <v>184.526606</v>
      </c>
      <c r="G102" s="63" t="n">
        <f aca="false">Assumptions!$F$70*(1-Assumptions!$F$80)*(1-Assumptions!$F$79)-Assumptions!$F$73-Assumptions!$F$75-Assumptions!$F$76-Assumptions!$F$77</f>
        <v>184.526606</v>
      </c>
      <c r="H102" s="63" t="n">
        <f aca="false">Assumptions!$F$70*(1-Assumptions!$F$80)*(1-Assumptions!$F$79)-Assumptions!$F$73-Assumptions!$F$75-Assumptions!$F$76-Assumptions!$F$77</f>
        <v>184.526606</v>
      </c>
      <c r="I102" s="63" t="n">
        <f aca="false">Assumptions!$F$70*(1-Assumptions!$F$80)*(1-Assumptions!$F$79)-Assumptions!$F$73-Assumptions!$F$75-Assumptions!$F$76-Assumptions!$F$77</f>
        <v>184.526606</v>
      </c>
      <c r="J102" s="63" t="n">
        <f aca="false">Assumptions!$F$70*(1-Assumptions!$F$80)*(1-Assumptions!$F$79)-Assumptions!$F$73-Assumptions!$F$75-Assumptions!$F$76-Assumptions!$F$77</f>
        <v>184.526606</v>
      </c>
      <c r="K102" s="63" t="n">
        <f aca="false">Assumptions!$F$70*(1-Assumptions!$F$80)*(1-Assumptions!$F$79)-Assumptions!$F$73-Assumptions!$F$75-Assumptions!$F$76-Assumptions!$F$77</f>
        <v>184.526606</v>
      </c>
      <c r="L102" s="63" t="n">
        <f aca="false">Assumptions!$F$70*(1-Assumptions!$F$80)*(1-Assumptions!$F$79)-Assumptions!$F$73-Assumptions!$F$75-Assumptions!$F$76-Assumptions!$F$77</f>
        <v>184.526606</v>
      </c>
      <c r="M102" s="63" t="n">
        <f aca="false">Assumptions!$F$70*(1-Assumptions!$F$80)*(1-Assumptions!$F$79)-Assumptions!$F$73-Assumptions!$F$75-Assumptions!$F$76-Assumptions!$F$77</f>
        <v>184.526606</v>
      </c>
      <c r="N102" s="63" t="n">
        <f aca="false">Assumptions!$F$70*(1-Assumptions!$F$80)*(1-Assumptions!$F$79)-Assumptions!$F$73-Assumptions!$F$75-Assumptions!$F$76-Assumptions!$F$77</f>
        <v>184.526606</v>
      </c>
      <c r="O102" s="63" t="n">
        <f aca="false">Assumptions!$F$70*(1-Assumptions!$F$80)*(1-Assumptions!$F$79)-Assumptions!$F$73-Assumptions!$F$75-Assumptions!$F$76-Assumptions!$F$77</f>
        <v>184.526606</v>
      </c>
      <c r="P102" s="63" t="n">
        <f aca="false">Assumptions!$F$70*(1-Assumptions!$F$80)*(1-Assumptions!$F$79)-Assumptions!$F$73-Assumptions!$F$75-Assumptions!$F$76-Assumptions!$F$77</f>
        <v>184.526606</v>
      </c>
      <c r="Q102" s="63" t="n">
        <f aca="false">Assumptions!$F$70*(1-Assumptions!$F$80)*(1-Assumptions!$F$79)-Assumptions!$F$73-Assumptions!$F$75-Assumptions!$F$76-Assumptions!$F$77</f>
        <v>184.526606</v>
      </c>
      <c r="R102" s="63" t="n">
        <f aca="false">Assumptions!$F$70*(1-Assumptions!$F$80)*(1-Assumptions!$F$79)-Assumptions!$F$73-Assumptions!$F$75-Assumptions!$F$76-Assumptions!$F$77</f>
        <v>184.526606</v>
      </c>
      <c r="S102" s="63" t="n">
        <f aca="false">Assumptions!$F$70*(1-Assumptions!$F$80)*(1-Assumptions!$F$79)-Assumptions!$F$73-Assumptions!$F$75-Assumptions!$F$76-Assumptions!$F$77</f>
        <v>184.526606</v>
      </c>
      <c r="T102" s="63" t="n">
        <f aca="false">Assumptions!$F$70*(1-Assumptions!$F$80)*(1-Assumptions!$F$79)-Assumptions!$F$73-Assumptions!$F$75-Assumptions!$F$76-Assumptions!$F$77</f>
        <v>184.526606</v>
      </c>
      <c r="U102" s="63" t="n">
        <f aca="false">Assumptions!$F$70*(1-Assumptions!$F$80)*(1-Assumptions!$F$79)-Assumptions!$F$73-Assumptions!$F$75-Assumptions!$F$76-Assumptions!$F$77</f>
        <v>184.526606</v>
      </c>
      <c r="V102" s="63" t="n">
        <f aca="false">Assumptions!$F$70*(1-Assumptions!$F$80)*(1-Assumptions!$F$79)-Assumptions!$F$73-Assumptions!$F$75-Assumptions!$F$76-Assumptions!$F$77</f>
        <v>184.526606</v>
      </c>
      <c r="W102" s="63" t="n">
        <f aca="false">Assumptions!$F$70*(1-Assumptions!$F$80)*(1-Assumptions!$F$79)-Assumptions!$F$73-Assumptions!$F$75-Assumptions!$F$76-Assumptions!$F$77</f>
        <v>184.526606</v>
      </c>
      <c r="X102" s="63" t="n">
        <f aca="false">Assumptions!$F$70*(1-Assumptions!$F$80)*(1-Assumptions!$F$79)-Assumptions!$F$73-Assumptions!$F$75-Assumptions!$F$76-Assumptions!$F$77</f>
        <v>184.526606</v>
      </c>
      <c r="Y102" s="63" t="n">
        <f aca="false">Assumptions!$F$70*(1-Assumptions!$F$80)*(1-Assumptions!$F$79)-Assumptions!$F$73-Assumptions!$F$75-Assumptions!$F$76-Assumptions!$F$77</f>
        <v>184.526606</v>
      </c>
      <c r="Z102" s="63" t="n">
        <f aca="false">Assumptions!$F$70*(1-Assumptions!$F$80)*(1-Assumptions!$F$79)-Assumptions!$F$73-Assumptions!$F$75-Assumptions!$F$76-Assumptions!$F$77</f>
        <v>184.526606</v>
      </c>
      <c r="AA102" s="63" t="n">
        <f aca="false">Assumptions!$F$70*(1-Assumptions!$F$80)*(1-Assumptions!$F$79)-Assumptions!$F$73-Assumptions!$F$75-Assumptions!$F$76-Assumptions!$F$77</f>
        <v>184.526606</v>
      </c>
      <c r="AB102" s="63" t="n">
        <f aca="false">Assumptions!$F$70*(1-Assumptions!$F$80)*(1-Assumptions!$F$79)-Assumptions!$F$73-Assumptions!$F$75-Assumptions!$F$76-Assumptions!$F$77</f>
        <v>184.526606</v>
      </c>
      <c r="AC102" s="63" t="n">
        <f aca="false">Assumptions!$F$70*(1-Assumptions!$F$80)*(1-Assumptions!$F$79)-Assumptions!$F$73-Assumptions!$F$75-Assumptions!$F$76-Assumptions!$F$77</f>
        <v>184.526606</v>
      </c>
      <c r="AD102" s="63" t="n">
        <f aca="false">Assumptions!$F$70*(1-Assumptions!$F$80)*(1-Assumptions!$F$79)-Assumptions!$F$73-Assumptions!$F$75-Assumptions!$F$76-Assumptions!$F$77</f>
        <v>184.526606</v>
      </c>
      <c r="AE102" s="63" t="n">
        <f aca="false">Assumptions!$F$70*(1-Assumptions!$F$80)*(1-Assumptions!$F$79)-Assumptions!$F$73-Assumptions!$F$75-Assumptions!$F$76-Assumptions!$F$77</f>
        <v>184.526606</v>
      </c>
      <c r="AF102" s="63" t="n">
        <f aca="false">Assumptions!$F$70*(1-Assumptions!$F$80)*(1-Assumptions!$F$79)-Assumptions!$F$73-Assumptions!$F$75-Assumptions!$F$76-Assumptions!$F$77</f>
        <v>184.526606</v>
      </c>
      <c r="AG102" s="63" t="n">
        <f aca="false">Assumptions!$F$70*(1-Assumptions!$F$80)*(1-Assumptions!$F$79)-Assumptions!$F$73-Assumptions!$F$75-Assumptions!$F$76-Assumptions!$F$77</f>
        <v>184.526606</v>
      </c>
      <c r="AH102" s="63" t="n">
        <f aca="false">Assumptions!$F$70*(1-Assumptions!$F$80)*(1-Assumptions!$F$79)-Assumptions!$F$73-Assumptions!$F$75-Assumptions!$F$76-Assumptions!$F$77</f>
        <v>184.526606</v>
      </c>
      <c r="AI102" s="63" t="n">
        <f aca="false">Assumptions!$F$70*(1-Assumptions!$F$80)*(1-Assumptions!$F$79)-Assumptions!$F$73-Assumptions!$F$75-Assumptions!$F$76-Assumptions!$F$77</f>
        <v>184.526606</v>
      </c>
      <c r="AJ102" s="63" t="n">
        <f aca="false">Assumptions!$F$70*(1-Assumptions!$F$80)*(1-Assumptions!$F$79)-Assumptions!$F$73-Assumptions!$F$75-Assumptions!$F$76-Assumptions!$F$77</f>
        <v>184.526606</v>
      </c>
      <c r="AK102" s="63" t="n">
        <f aca="false">Assumptions!$F$70*(1-Assumptions!$F$80)*(1-Assumptions!$F$79)-Assumptions!$F$73-Assumptions!$F$75-Assumptions!$F$76-Assumptions!$F$77</f>
        <v>184.526606</v>
      </c>
      <c r="AL102" s="63" t="n">
        <f aca="false">Assumptions!$F$70*(1-Assumptions!$F$80)*(1-Assumptions!$F$79)-Assumptions!$F$73-Assumptions!$F$75-Assumptions!$F$76-Assumptions!$F$77</f>
        <v>184.526606</v>
      </c>
      <c r="AM102" s="63" t="n">
        <f aca="false">AVERAGE(N102:AL102)</f>
        <v>184.526606</v>
      </c>
    </row>
    <row r="103" customFormat="false" ht="15" hidden="false" customHeight="false" outlineLevel="0" collapsed="false">
      <c r="A103" s="10" t="s">
        <v>837</v>
      </c>
      <c r="B103" s="9" t="s">
        <v>97</v>
      </c>
      <c r="C103" s="70" t="n">
        <f aca="false">C102/Assumptions!$F$68</f>
        <v>1942.38532631579</v>
      </c>
      <c r="D103" s="70" t="n">
        <f aca="false">D102/Assumptions!$F$68</f>
        <v>1942.38532631579</v>
      </c>
      <c r="E103" s="70" t="n">
        <f aca="false">E102/Assumptions!$F$68</f>
        <v>1942.38532631579</v>
      </c>
      <c r="F103" s="70" t="n">
        <f aca="false">F102/Assumptions!$F$68</f>
        <v>1942.38532631579</v>
      </c>
      <c r="G103" s="70" t="n">
        <f aca="false">G102/Assumptions!$F$68</f>
        <v>1942.38532631579</v>
      </c>
      <c r="H103" s="70" t="n">
        <f aca="false">H102/Assumptions!$F$68</f>
        <v>1942.38532631579</v>
      </c>
      <c r="I103" s="70" t="n">
        <f aca="false">I102/Assumptions!$F$68</f>
        <v>1942.38532631579</v>
      </c>
      <c r="J103" s="70" t="n">
        <f aca="false">J102/Assumptions!$F$68</f>
        <v>1942.38532631579</v>
      </c>
      <c r="K103" s="70" t="n">
        <f aca="false">K102/Assumptions!$F$68</f>
        <v>1942.38532631579</v>
      </c>
      <c r="L103" s="70" t="n">
        <f aca="false">L102/Assumptions!$F$68</f>
        <v>1942.38532631579</v>
      </c>
      <c r="M103" s="70" t="n">
        <f aca="false">M102/Assumptions!$F$68</f>
        <v>1942.38532631579</v>
      </c>
      <c r="N103" s="70" t="n">
        <f aca="false">N102/Assumptions!$F$68</f>
        <v>1942.38532631579</v>
      </c>
      <c r="O103" s="70" t="n">
        <f aca="false">O102/Assumptions!$F$68</f>
        <v>1942.38532631579</v>
      </c>
      <c r="P103" s="70" t="n">
        <f aca="false">P102/Assumptions!$F$68</f>
        <v>1942.38532631579</v>
      </c>
      <c r="Q103" s="70" t="n">
        <f aca="false">Q102/Assumptions!$F$68</f>
        <v>1942.38532631579</v>
      </c>
      <c r="R103" s="70" t="n">
        <f aca="false">R102/Assumptions!$F$68</f>
        <v>1942.38532631579</v>
      </c>
      <c r="S103" s="70" t="n">
        <f aca="false">S102/Assumptions!$F$68</f>
        <v>1942.38532631579</v>
      </c>
      <c r="T103" s="70" t="n">
        <f aca="false">T102/Assumptions!$F$68</f>
        <v>1942.38532631579</v>
      </c>
      <c r="U103" s="70" t="n">
        <f aca="false">U102/Assumptions!$F$68</f>
        <v>1942.38532631579</v>
      </c>
      <c r="V103" s="70" t="n">
        <f aca="false">V102/Assumptions!$F$68</f>
        <v>1942.38532631579</v>
      </c>
      <c r="W103" s="70" t="n">
        <f aca="false">W102/Assumptions!$F$68</f>
        <v>1942.38532631579</v>
      </c>
      <c r="X103" s="70" t="n">
        <f aca="false">X102/Assumptions!$F$68</f>
        <v>1942.38532631579</v>
      </c>
      <c r="Y103" s="70" t="n">
        <f aca="false">Y102/Assumptions!$F$68</f>
        <v>1942.38532631579</v>
      </c>
      <c r="Z103" s="70" t="n">
        <f aca="false">Z102/Assumptions!$F$68</f>
        <v>1942.38532631579</v>
      </c>
      <c r="AA103" s="70" t="n">
        <f aca="false">AA102/Assumptions!$F$68</f>
        <v>1942.38532631579</v>
      </c>
      <c r="AB103" s="70" t="n">
        <f aca="false">AB102/Assumptions!$F$68</f>
        <v>1942.38532631579</v>
      </c>
      <c r="AC103" s="70" t="n">
        <f aca="false">AC102/Assumptions!$F$68</f>
        <v>1942.38532631579</v>
      </c>
      <c r="AD103" s="70" t="n">
        <f aca="false">AD102/Assumptions!$F$68</f>
        <v>1942.38532631579</v>
      </c>
      <c r="AE103" s="70" t="n">
        <f aca="false">AE102/Assumptions!$F$68</f>
        <v>1942.38532631579</v>
      </c>
      <c r="AF103" s="70" t="n">
        <f aca="false">AF102/Assumptions!$F$68</f>
        <v>1942.38532631579</v>
      </c>
      <c r="AG103" s="70" t="n">
        <f aca="false">AG102/Assumptions!$F$68</f>
        <v>1942.38532631579</v>
      </c>
      <c r="AH103" s="70" t="n">
        <f aca="false">AH102/Assumptions!$F$68</f>
        <v>1942.38532631579</v>
      </c>
      <c r="AI103" s="70" t="n">
        <f aca="false">AI102/Assumptions!$F$68</f>
        <v>1942.38532631579</v>
      </c>
      <c r="AJ103" s="70" t="n">
        <f aca="false">AJ102/Assumptions!$F$68</f>
        <v>1942.38532631579</v>
      </c>
      <c r="AK103" s="70" t="n">
        <f aca="false">AK102/Assumptions!$F$68</f>
        <v>1942.38532631579</v>
      </c>
      <c r="AL103" s="70" t="n">
        <f aca="false">AL102/Assumptions!$F$68</f>
        <v>1942.38532631579</v>
      </c>
      <c r="AM103" s="70" t="n">
        <f aca="false">AVERAGE(N103:AL103)</f>
        <v>1942.38532631579</v>
      </c>
    </row>
    <row r="104" customFormat="false" ht="15" hidden="false" customHeight="false" outlineLevel="0" collapsed="false">
      <c r="A104" s="10" t="s">
        <v>402</v>
      </c>
      <c r="B104" s="9" t="s">
        <v>97</v>
      </c>
      <c r="C104" s="63" t="n">
        <f aca="false">Assumptions!$F$50*(1-Assumptions!$F$80)*(1-Assumptions!$F$79)-Assumptions!$F$50*Assumptions!$F$55-Assumptions!$F$56</f>
        <v>55.580272</v>
      </c>
      <c r="D104" s="63" t="n">
        <f aca="false">Assumptions!$F$50*(1-Assumptions!$F$80)*(1-Assumptions!$F$79)-Assumptions!$F$50*Assumptions!$F$55-Assumptions!$F$56</f>
        <v>55.580272</v>
      </c>
      <c r="E104" s="63" t="n">
        <f aca="false">Assumptions!$F$50*(1-Assumptions!$F$80)*(1-Assumptions!$F$79)-Assumptions!$F$50*Assumptions!$F$55-Assumptions!$F$56</f>
        <v>55.580272</v>
      </c>
      <c r="F104" s="63" t="n">
        <f aca="false">Assumptions!$F$50*(1-Assumptions!$F$80)*(1-Assumptions!$F$79)-Assumptions!$F$50*Assumptions!$F$55-Assumptions!$F$56</f>
        <v>55.580272</v>
      </c>
      <c r="G104" s="63" t="n">
        <f aca="false">Assumptions!$F$50*(1-Assumptions!$F$80)*(1-Assumptions!$F$79)-Assumptions!$F$50*Assumptions!$F$55-Assumptions!$F$56</f>
        <v>55.580272</v>
      </c>
      <c r="H104" s="63" t="n">
        <f aca="false">Assumptions!$F$50*(1-Assumptions!$F$80)*(1-Assumptions!$F$79)-Assumptions!$F$50*Assumptions!$F$55-Assumptions!$F$56</f>
        <v>55.580272</v>
      </c>
      <c r="I104" s="63" t="n">
        <f aca="false">Assumptions!$F$50*(1-Assumptions!$F$80)*(1-Assumptions!$F$79)-Assumptions!$F$50*Assumptions!$F$55-Assumptions!$F$56</f>
        <v>55.580272</v>
      </c>
      <c r="J104" s="63" t="n">
        <f aca="false">Assumptions!$F$50*(1-Assumptions!$F$80)*(1-Assumptions!$F$79)-Assumptions!$F$50*Assumptions!$F$55-Assumptions!$F$56</f>
        <v>55.580272</v>
      </c>
      <c r="K104" s="63" t="n">
        <f aca="false">Assumptions!$F$50*(1-Assumptions!$F$80)*(1-Assumptions!$F$79)-Assumptions!$F$50*Assumptions!$F$55-Assumptions!$F$56</f>
        <v>55.580272</v>
      </c>
      <c r="L104" s="63" t="n">
        <f aca="false">Assumptions!$F$50*(1-Assumptions!$F$80)*(1-Assumptions!$F$79)-Assumptions!$F$50*Assumptions!$F$55-Assumptions!$F$56</f>
        <v>55.580272</v>
      </c>
      <c r="M104" s="63" t="n">
        <f aca="false">Assumptions!$F$50*(1-Assumptions!$F$80)*(1-Assumptions!$F$79)-Assumptions!$F$50*Assumptions!$F$55-Assumptions!$F$56</f>
        <v>55.580272</v>
      </c>
      <c r="N104" s="63" t="n">
        <f aca="false">Assumptions!$F$50*(1-Assumptions!$F$80)*(1-Assumptions!$F$79)-Assumptions!$F$50*Assumptions!$F$55-Assumptions!$F$56</f>
        <v>55.580272</v>
      </c>
      <c r="O104" s="63" t="n">
        <f aca="false">Assumptions!$F$50*(1-Assumptions!$F$80)*(1-Assumptions!$F$79)-Assumptions!$F$50*Assumptions!$F$55-Assumptions!$F$56</f>
        <v>55.580272</v>
      </c>
      <c r="P104" s="63" t="n">
        <f aca="false">Assumptions!$F$50*(1-Assumptions!$F$80)*(1-Assumptions!$F$79)-Assumptions!$F$50*Assumptions!$F$55-Assumptions!$F$56</f>
        <v>55.580272</v>
      </c>
      <c r="Q104" s="63" t="n">
        <f aca="false">Assumptions!$F$50*(1-Assumptions!$F$80)*(1-Assumptions!$F$79)-Assumptions!$F$50*Assumptions!$F$55-Assumptions!$F$56</f>
        <v>55.580272</v>
      </c>
      <c r="R104" s="63" t="n">
        <f aca="false">Assumptions!$F$50*(1-Assumptions!$F$80)*(1-Assumptions!$F$79)-Assumptions!$F$50*Assumptions!$F$55-Assumptions!$F$56</f>
        <v>55.580272</v>
      </c>
      <c r="S104" s="63" t="n">
        <f aca="false">Assumptions!$F$50*(1-Assumptions!$F$80)*(1-Assumptions!$F$79)-Assumptions!$F$50*Assumptions!$F$55-Assumptions!$F$56</f>
        <v>55.580272</v>
      </c>
      <c r="T104" s="63" t="n">
        <f aca="false">Assumptions!$F$50*(1-Assumptions!$F$80)*(1-Assumptions!$F$79)-Assumptions!$F$50*Assumptions!$F$55-Assumptions!$F$56</f>
        <v>55.580272</v>
      </c>
      <c r="U104" s="63" t="n">
        <f aca="false">Assumptions!$F$50*(1-Assumptions!$F$80)*(1-Assumptions!$F$79)-Assumptions!$F$50*Assumptions!$F$55-Assumptions!$F$56</f>
        <v>55.580272</v>
      </c>
      <c r="V104" s="63" t="n">
        <f aca="false">Assumptions!$F$50*(1-Assumptions!$F$80)*(1-Assumptions!$F$79)-Assumptions!$F$50*Assumptions!$F$55-Assumptions!$F$56</f>
        <v>55.580272</v>
      </c>
      <c r="W104" s="63" t="n">
        <f aca="false">Assumptions!$F$50*(1-Assumptions!$F$80)*(1-Assumptions!$F$79)-Assumptions!$F$50*Assumptions!$F$55-Assumptions!$F$56</f>
        <v>55.580272</v>
      </c>
      <c r="X104" s="63" t="n">
        <f aca="false">Assumptions!$F$50*(1-Assumptions!$F$80)*(1-Assumptions!$F$79)-Assumptions!$F$50*Assumptions!$F$55-Assumptions!$F$56</f>
        <v>55.580272</v>
      </c>
      <c r="Y104" s="63" t="n">
        <f aca="false">Assumptions!$F$50*(1-Assumptions!$F$80)*(1-Assumptions!$F$79)-Assumptions!$F$50*Assumptions!$F$55-Assumptions!$F$56</f>
        <v>55.580272</v>
      </c>
      <c r="Z104" s="63" t="n">
        <f aca="false">Assumptions!$F$50*(1-Assumptions!$F$80)*(1-Assumptions!$F$79)-Assumptions!$F$50*Assumptions!$F$55-Assumptions!$F$56</f>
        <v>55.580272</v>
      </c>
      <c r="AA104" s="63" t="n">
        <f aca="false">Assumptions!$F$50*(1-Assumptions!$F$80)*(1-Assumptions!$F$79)-Assumptions!$F$50*Assumptions!$F$55-Assumptions!$F$56</f>
        <v>55.580272</v>
      </c>
      <c r="AB104" s="63" t="n">
        <f aca="false">Assumptions!$F$50*(1-Assumptions!$F$80)*(1-Assumptions!$F$79)-Assumptions!$F$50*Assumptions!$F$55-Assumptions!$F$56</f>
        <v>55.580272</v>
      </c>
      <c r="AC104" s="63" t="n">
        <f aca="false">Assumptions!$F$50*(1-Assumptions!$F$80)*(1-Assumptions!$F$79)-Assumptions!$F$50*Assumptions!$F$55-Assumptions!$F$56</f>
        <v>55.580272</v>
      </c>
      <c r="AD104" s="63" t="n">
        <f aca="false">Assumptions!$F$50*(1-Assumptions!$F$80)*(1-Assumptions!$F$79)-Assumptions!$F$50*Assumptions!$F$55-Assumptions!$F$56</f>
        <v>55.580272</v>
      </c>
      <c r="AE104" s="63" t="n">
        <f aca="false">Assumptions!$F$50*(1-Assumptions!$F$80)*(1-Assumptions!$F$79)-Assumptions!$F$50*Assumptions!$F$55-Assumptions!$F$56</f>
        <v>55.580272</v>
      </c>
      <c r="AF104" s="63" t="n">
        <f aca="false">Assumptions!$F$50*(1-Assumptions!$F$80)*(1-Assumptions!$F$79)-Assumptions!$F$50*Assumptions!$F$55-Assumptions!$F$56</f>
        <v>55.580272</v>
      </c>
      <c r="AG104" s="63" t="n">
        <f aca="false">Assumptions!$F$50*(1-Assumptions!$F$80)*(1-Assumptions!$F$79)-Assumptions!$F$50*Assumptions!$F$55-Assumptions!$F$56</f>
        <v>55.580272</v>
      </c>
      <c r="AH104" s="63" t="n">
        <f aca="false">Assumptions!$F$50*(1-Assumptions!$F$80)*(1-Assumptions!$F$79)-Assumptions!$F$50*Assumptions!$F$55-Assumptions!$F$56</f>
        <v>55.580272</v>
      </c>
      <c r="AI104" s="63" t="n">
        <f aca="false">Assumptions!$F$50*(1-Assumptions!$F$80)*(1-Assumptions!$F$79)-Assumptions!$F$50*Assumptions!$F$55-Assumptions!$F$56</f>
        <v>55.580272</v>
      </c>
      <c r="AJ104" s="63" t="n">
        <f aca="false">Assumptions!$F$50*(1-Assumptions!$F$80)*(1-Assumptions!$F$79)-Assumptions!$F$50*Assumptions!$F$55-Assumptions!$F$56</f>
        <v>55.580272</v>
      </c>
      <c r="AK104" s="63" t="n">
        <f aca="false">Assumptions!$F$50*(1-Assumptions!$F$80)*(1-Assumptions!$F$79)-Assumptions!$F$50*Assumptions!$F$55-Assumptions!$F$56</f>
        <v>55.580272</v>
      </c>
      <c r="AL104" s="63" t="n">
        <f aca="false">Assumptions!$F$50*(1-Assumptions!$F$80)*(1-Assumptions!$F$79)-Assumptions!$F$50*Assumptions!$F$55-Assumptions!$F$56</f>
        <v>55.580272</v>
      </c>
      <c r="AM104" s="63" t="n">
        <f aca="false">AVERAGE(N104:AL104)</f>
        <v>55.580272</v>
      </c>
    </row>
    <row r="105" customFormat="false" ht="15" hidden="false" customHeight="false" outlineLevel="0" collapsed="false">
      <c r="A105" s="10" t="s">
        <v>403</v>
      </c>
      <c r="B105" s="9" t="s">
        <v>97</v>
      </c>
      <c r="C105" s="70" t="n">
        <f aca="false">C104/Assumptions!$F$52</f>
        <v>1010.5504</v>
      </c>
      <c r="D105" s="70" t="n">
        <f aca="false">D104/Assumptions!$F$52</f>
        <v>1010.5504</v>
      </c>
      <c r="E105" s="70" t="n">
        <f aca="false">E104/Assumptions!$F$52</f>
        <v>1010.5504</v>
      </c>
      <c r="F105" s="70" t="n">
        <f aca="false">F104/Assumptions!$F$52</f>
        <v>1010.5504</v>
      </c>
      <c r="G105" s="70" t="n">
        <f aca="false">G104/Assumptions!$F$52</f>
        <v>1010.5504</v>
      </c>
      <c r="H105" s="70" t="n">
        <f aca="false">H104/Assumptions!$F$52</f>
        <v>1010.5504</v>
      </c>
      <c r="I105" s="70" t="n">
        <f aca="false">I104/Assumptions!$F$52</f>
        <v>1010.5504</v>
      </c>
      <c r="J105" s="70" t="n">
        <f aca="false">J104/Assumptions!$F$52</f>
        <v>1010.5504</v>
      </c>
      <c r="K105" s="70" t="n">
        <f aca="false">K104/Assumptions!$F$52</f>
        <v>1010.5504</v>
      </c>
      <c r="L105" s="70" t="n">
        <f aca="false">L104/Assumptions!$F$52</f>
        <v>1010.5504</v>
      </c>
      <c r="M105" s="70" t="n">
        <f aca="false">M104/Assumptions!$F$52</f>
        <v>1010.5504</v>
      </c>
      <c r="N105" s="70" t="n">
        <f aca="false">N104/Assumptions!$F$52</f>
        <v>1010.5504</v>
      </c>
      <c r="O105" s="70" t="n">
        <f aca="false">O104/Assumptions!$F$52</f>
        <v>1010.5504</v>
      </c>
      <c r="P105" s="70" t="n">
        <f aca="false">P104/Assumptions!$F$52</f>
        <v>1010.5504</v>
      </c>
      <c r="Q105" s="70" t="n">
        <f aca="false">Q104/Assumptions!$F$52</f>
        <v>1010.5504</v>
      </c>
      <c r="R105" s="70" t="n">
        <f aca="false">R104/Assumptions!$F$52</f>
        <v>1010.5504</v>
      </c>
      <c r="S105" s="70" t="n">
        <f aca="false">S104/Assumptions!$F$52</f>
        <v>1010.5504</v>
      </c>
      <c r="T105" s="70" t="n">
        <f aca="false">T104/Assumptions!$F$52</f>
        <v>1010.5504</v>
      </c>
      <c r="U105" s="70" t="n">
        <f aca="false">U104/Assumptions!$F$52</f>
        <v>1010.5504</v>
      </c>
      <c r="V105" s="70" t="n">
        <f aca="false">V104/Assumptions!$F$52</f>
        <v>1010.5504</v>
      </c>
      <c r="W105" s="70" t="n">
        <f aca="false">W104/Assumptions!$F$52</f>
        <v>1010.5504</v>
      </c>
      <c r="X105" s="70" t="n">
        <f aca="false">X104/Assumptions!$F$52</f>
        <v>1010.5504</v>
      </c>
      <c r="Y105" s="70" t="n">
        <f aca="false">Y104/Assumptions!$F$52</f>
        <v>1010.5504</v>
      </c>
      <c r="Z105" s="70" t="n">
        <f aca="false">Z104/Assumptions!$F$52</f>
        <v>1010.5504</v>
      </c>
      <c r="AA105" s="70" t="n">
        <f aca="false">AA104/Assumptions!$F$52</f>
        <v>1010.5504</v>
      </c>
      <c r="AB105" s="70" t="n">
        <f aca="false">AB104/Assumptions!$F$52</f>
        <v>1010.5504</v>
      </c>
      <c r="AC105" s="70" t="n">
        <f aca="false">AC104/Assumptions!$F$52</f>
        <v>1010.5504</v>
      </c>
      <c r="AD105" s="70" t="n">
        <f aca="false">AD104/Assumptions!$F$52</f>
        <v>1010.5504</v>
      </c>
      <c r="AE105" s="70" t="n">
        <f aca="false">AE104/Assumptions!$F$52</f>
        <v>1010.5504</v>
      </c>
      <c r="AF105" s="70" t="n">
        <f aca="false">AF104/Assumptions!$F$52</f>
        <v>1010.5504</v>
      </c>
      <c r="AG105" s="70" t="n">
        <f aca="false">AG104/Assumptions!$F$52</f>
        <v>1010.5504</v>
      </c>
      <c r="AH105" s="70" t="n">
        <f aca="false">AH104/Assumptions!$F$52</f>
        <v>1010.5504</v>
      </c>
      <c r="AI105" s="70" t="n">
        <f aca="false">AI104/Assumptions!$F$52</f>
        <v>1010.5504</v>
      </c>
      <c r="AJ105" s="70" t="n">
        <f aca="false">AJ104/Assumptions!$F$52</f>
        <v>1010.5504</v>
      </c>
      <c r="AK105" s="70" t="n">
        <f aca="false">AK104/Assumptions!$F$52</f>
        <v>1010.5504</v>
      </c>
      <c r="AL105" s="70" t="n">
        <f aca="false">AL104/Assumptions!$F$52</f>
        <v>1010.5504</v>
      </c>
      <c r="AM105" s="70" t="n">
        <f aca="false">AVERAGE(N105:AL105)</f>
        <v>1010.5504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840</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IF(C$5&gt;=Assumptions!$G$6,1,0)</f>
        <v>0</v>
      </c>
      <c r="D8" s="69" t="n">
        <f aca="false">IF(D$5&gt;=Assumptions!$G$6,1,0)</f>
        <v>1</v>
      </c>
      <c r="E8" s="69" t="n">
        <f aca="false">IF(E$5&gt;=Assumptions!$G$6,1,0)</f>
        <v>1</v>
      </c>
      <c r="F8" s="69" t="n">
        <f aca="false">IF(F$5&gt;=Assumptions!$G$6,1,0)</f>
        <v>1</v>
      </c>
      <c r="G8" s="69" t="n">
        <f aca="false">IF(G$5&gt;=Assumptions!$G$6,1,0)</f>
        <v>1</v>
      </c>
      <c r="H8" s="69" t="n">
        <f aca="false">IF(H$5&gt;=Assumptions!$G$6,1,0)</f>
        <v>1</v>
      </c>
      <c r="I8" s="69" t="n">
        <f aca="false">IF(I$5&gt;=Assumptions!$G$6,1,0)</f>
        <v>1</v>
      </c>
      <c r="J8" s="69" t="n">
        <f aca="false">IF(J$5&gt;=Assumptions!$G$6,1,0)</f>
        <v>1</v>
      </c>
      <c r="K8" s="69" t="n">
        <f aca="false">IF(K$5&gt;=Assumptions!$G$6,1,0)</f>
        <v>1</v>
      </c>
      <c r="L8" s="69" t="n">
        <f aca="false">IF(L$5&gt;=Assumptions!$G$6,1,0)</f>
        <v>1</v>
      </c>
      <c r="M8" s="69" t="n">
        <f aca="false">IF(M$5&gt;=Assumptions!$G$6,1,0)</f>
        <v>1</v>
      </c>
      <c r="N8" s="69" t="n">
        <f aca="false">IF(N$5&gt;=Assumptions!$G$6,1,0)</f>
        <v>1</v>
      </c>
      <c r="O8" s="69" t="n">
        <f aca="false">IF(O$5&gt;=Assumptions!$G$6,1,0)</f>
        <v>1</v>
      </c>
      <c r="P8" s="69" t="n">
        <f aca="false">IF(P$5&gt;=Assumptions!$G$6,1,0)</f>
        <v>1</v>
      </c>
      <c r="Q8" s="69" t="n">
        <f aca="false">IF(Q$5&gt;=Assumptions!$G$6,1,0)</f>
        <v>1</v>
      </c>
      <c r="R8" s="69" t="n">
        <f aca="false">IF(R$5&gt;=Assumptions!$G$6,1,0)</f>
        <v>1</v>
      </c>
      <c r="S8" s="69" t="n">
        <f aca="false">IF(S$5&gt;=Assumptions!$G$6,1,0)</f>
        <v>1</v>
      </c>
      <c r="T8" s="69" t="n">
        <f aca="false">IF(T$5&gt;=Assumptions!$G$6,1,0)</f>
        <v>1</v>
      </c>
      <c r="U8" s="69" t="n">
        <f aca="false">IF(U$5&gt;=Assumptions!$G$6,1,0)</f>
        <v>1</v>
      </c>
      <c r="V8" s="69" t="n">
        <f aca="false">IF(V$5&gt;=Assumptions!$G$6,1,0)</f>
        <v>1</v>
      </c>
      <c r="W8" s="69" t="n">
        <f aca="false">IF(W$5&gt;=Assumptions!$G$6,1,0)</f>
        <v>1</v>
      </c>
      <c r="X8" s="69" t="n">
        <f aca="false">IF(X$5&gt;=Assumptions!$G$6,1,0)</f>
        <v>1</v>
      </c>
      <c r="Y8" s="69" t="n">
        <f aca="false">IF(Y$5&gt;=Assumptions!$G$6,1,0)</f>
        <v>1</v>
      </c>
      <c r="Z8" s="69" t="n">
        <f aca="false">IF(Z$5&gt;=Assumptions!$G$6,1,0)</f>
        <v>1</v>
      </c>
      <c r="AA8" s="69" t="n">
        <f aca="false">IF(AA$5&gt;=Assumptions!$G$6,1,0)</f>
        <v>1</v>
      </c>
      <c r="AB8" s="69" t="n">
        <f aca="false">IF(AB$5&gt;=Assumptions!$G$6,1,0)</f>
        <v>1</v>
      </c>
      <c r="AC8" s="69" t="n">
        <f aca="false">IF(AC$5&gt;=Assumptions!$G$6,1,0)</f>
        <v>1</v>
      </c>
      <c r="AD8" s="69" t="n">
        <f aca="false">IF(AD$5&gt;=Assumptions!$G$6,1,0)</f>
        <v>1</v>
      </c>
      <c r="AE8" s="69" t="n">
        <f aca="false">IF(AE$5&gt;=Assumptions!$G$6,1,0)</f>
        <v>1</v>
      </c>
      <c r="AF8" s="69" t="n">
        <f aca="false">IF(AF$5&gt;=Assumptions!$G$6,1,0)</f>
        <v>1</v>
      </c>
      <c r="AG8" s="69" t="n">
        <f aca="false">IF(AG$5&gt;=Assumptions!$G$6,1,0)</f>
        <v>1</v>
      </c>
      <c r="AH8" s="69" t="n">
        <f aca="false">IF(AH$5&gt;=Assumptions!$G$6,1,0)</f>
        <v>1</v>
      </c>
      <c r="AI8" s="69" t="n">
        <f aca="false">IF(AI$5&gt;=Assumptions!$G$6,1,0)</f>
        <v>1</v>
      </c>
      <c r="AJ8" s="69" t="n">
        <f aca="false">IF(AJ$5&gt;=Assumptions!$G$6,1,0)</f>
        <v>1</v>
      </c>
      <c r="AK8" s="69" t="n">
        <f aca="false">IF(AK$5&gt;=Assumptions!$G$6,1,0)</f>
        <v>1</v>
      </c>
      <c r="AL8" s="69" t="n">
        <f aca="false">IF(AL$5&gt;=Assumptions!$G$6,1,0)</f>
        <v>1</v>
      </c>
      <c r="AM8" s="69"/>
    </row>
    <row r="9" customFormat="false" ht="15" hidden="false" customHeight="false" outlineLevel="0" collapsed="false">
      <c r="A9" s="10" t="s">
        <v>743</v>
      </c>
      <c r="B9" s="9" t="s">
        <v>742</v>
      </c>
      <c r="C9" s="69" t="n">
        <f aca="false">IF(C$5&gt;=Assumptions!$G$7,1,0)</f>
        <v>0</v>
      </c>
      <c r="D9" s="69" t="n">
        <f aca="false">IF(D$5&gt;=Assumptions!$G$7,1,0)</f>
        <v>0</v>
      </c>
      <c r="E9" s="69" t="n">
        <f aca="false">IF(E$5&gt;=Assumptions!$G$7,1,0)</f>
        <v>0</v>
      </c>
      <c r="F9" s="69" t="n">
        <f aca="false">IF(F$5&gt;=Assumptions!$G$7,1,0)</f>
        <v>0</v>
      </c>
      <c r="G9" s="69" t="n">
        <f aca="false">IF(G$5&gt;=Assumptions!$G$7,1,0)</f>
        <v>0</v>
      </c>
      <c r="H9" s="69" t="n">
        <f aca="false">IF(H$5&gt;=Assumptions!$G$7,1,0)</f>
        <v>0</v>
      </c>
      <c r="I9" s="69" t="n">
        <f aca="false">IF(I$5&gt;=Assumptions!$G$7,1,0)</f>
        <v>1</v>
      </c>
      <c r="J9" s="69" t="n">
        <f aca="false">IF(J$5&gt;=Assumptions!$G$7,1,0)</f>
        <v>1</v>
      </c>
      <c r="K9" s="69" t="n">
        <f aca="false">IF(K$5&gt;=Assumptions!$G$7,1,0)</f>
        <v>1</v>
      </c>
      <c r="L9" s="69" t="n">
        <f aca="false">IF(L$5&gt;=Assumptions!$G$7,1,0)</f>
        <v>1</v>
      </c>
      <c r="M9" s="69" t="n">
        <f aca="false">IF(M$5&gt;=Assumptions!$G$7,1,0)</f>
        <v>1</v>
      </c>
      <c r="N9" s="69" t="n">
        <f aca="false">IF(N$5&gt;=Assumptions!$G$7,1,0)</f>
        <v>1</v>
      </c>
      <c r="O9" s="69" t="n">
        <f aca="false">IF(O$5&gt;=Assumptions!$G$7,1,0)</f>
        <v>1</v>
      </c>
      <c r="P9" s="69" t="n">
        <f aca="false">IF(P$5&gt;=Assumptions!$G$7,1,0)</f>
        <v>1</v>
      </c>
      <c r="Q9" s="69" t="n">
        <f aca="false">IF(Q$5&gt;=Assumptions!$G$7,1,0)</f>
        <v>1</v>
      </c>
      <c r="R9" s="69" t="n">
        <f aca="false">IF(R$5&gt;=Assumptions!$G$7,1,0)</f>
        <v>1</v>
      </c>
      <c r="S9" s="69" t="n">
        <f aca="false">IF(S$5&gt;=Assumptions!$G$7,1,0)</f>
        <v>1</v>
      </c>
      <c r="T9" s="69" t="n">
        <f aca="false">IF(T$5&gt;=Assumptions!$G$7,1,0)</f>
        <v>1</v>
      </c>
      <c r="U9" s="69" t="n">
        <f aca="false">IF(U$5&gt;=Assumptions!$G$7,1,0)</f>
        <v>1</v>
      </c>
      <c r="V9" s="69" t="n">
        <f aca="false">IF(V$5&gt;=Assumptions!$G$7,1,0)</f>
        <v>1</v>
      </c>
      <c r="W9" s="69" t="n">
        <f aca="false">IF(W$5&gt;=Assumptions!$G$7,1,0)</f>
        <v>1</v>
      </c>
      <c r="X9" s="69" t="n">
        <f aca="false">IF(X$5&gt;=Assumptions!$G$7,1,0)</f>
        <v>1</v>
      </c>
      <c r="Y9" s="69" t="n">
        <f aca="false">IF(Y$5&gt;=Assumptions!$G$7,1,0)</f>
        <v>1</v>
      </c>
      <c r="Z9" s="69" t="n">
        <f aca="false">IF(Z$5&gt;=Assumptions!$G$7,1,0)</f>
        <v>1</v>
      </c>
      <c r="AA9" s="69" t="n">
        <f aca="false">IF(AA$5&gt;=Assumptions!$G$7,1,0)</f>
        <v>1</v>
      </c>
      <c r="AB9" s="69" t="n">
        <f aca="false">IF(AB$5&gt;=Assumptions!$G$7,1,0)</f>
        <v>1</v>
      </c>
      <c r="AC9" s="69" t="n">
        <f aca="false">IF(AC$5&gt;=Assumptions!$G$7,1,0)</f>
        <v>1</v>
      </c>
      <c r="AD9" s="69" t="n">
        <f aca="false">IF(AD$5&gt;=Assumptions!$G$7,1,0)</f>
        <v>1</v>
      </c>
      <c r="AE9" s="69" t="n">
        <f aca="false">IF(AE$5&gt;=Assumptions!$G$7,1,0)</f>
        <v>1</v>
      </c>
      <c r="AF9" s="69" t="n">
        <f aca="false">IF(AF$5&gt;=Assumptions!$G$7,1,0)</f>
        <v>1</v>
      </c>
      <c r="AG9" s="69" t="n">
        <f aca="false">IF(AG$5&gt;=Assumptions!$G$7,1,0)</f>
        <v>1</v>
      </c>
      <c r="AH9" s="69" t="n">
        <f aca="false">IF(AH$5&gt;=Assumptions!$G$7,1,0)</f>
        <v>1</v>
      </c>
      <c r="AI9" s="69" t="n">
        <f aca="false">IF(AI$5&gt;=Assumptions!$G$7,1,0)</f>
        <v>1</v>
      </c>
      <c r="AJ9" s="69" t="n">
        <f aca="false">IF(AJ$5&gt;=Assumptions!$G$7,1,0)</f>
        <v>1</v>
      </c>
      <c r="AK9" s="69" t="n">
        <f aca="false">IF(AK$5&gt;=Assumptions!$G$7,1,0)</f>
        <v>1</v>
      </c>
      <c r="AL9" s="69" t="n">
        <f aca="false">IF(AL$5&gt;=Assumptions!$G$7,1,0)</f>
        <v>1</v>
      </c>
      <c r="AM9" s="69"/>
    </row>
    <row r="10" customFormat="false" ht="15" hidden="false" customHeight="false" outlineLevel="0" collapsed="false">
      <c r="A10" s="10" t="s">
        <v>744</v>
      </c>
      <c r="B10" s="9" t="s">
        <v>51</v>
      </c>
      <c r="C10" s="69" t="n">
        <f aca="false">MAX(0,C$5-Assumptions!$G$6)</f>
        <v>0</v>
      </c>
      <c r="D10" s="69" t="n">
        <f aca="false">MAX(0,D$5-Assumptions!$G$6)</f>
        <v>0</v>
      </c>
      <c r="E10" s="69" t="n">
        <f aca="false">MAX(0,E$5-Assumptions!$G$6)</f>
        <v>1</v>
      </c>
      <c r="F10" s="69" t="n">
        <f aca="false">MAX(0,F$5-Assumptions!$G$6)</f>
        <v>2</v>
      </c>
      <c r="G10" s="69" t="n">
        <f aca="false">MAX(0,G$5-Assumptions!$G$6)</f>
        <v>3</v>
      </c>
      <c r="H10" s="69" t="n">
        <f aca="false">MAX(0,H$5-Assumptions!$G$6)</f>
        <v>4</v>
      </c>
      <c r="I10" s="69" t="n">
        <f aca="false">MAX(0,I$5-Assumptions!$G$6)</f>
        <v>5</v>
      </c>
      <c r="J10" s="69" t="n">
        <f aca="false">MAX(0,J$5-Assumptions!$G$6)</f>
        <v>6</v>
      </c>
      <c r="K10" s="69" t="n">
        <f aca="false">MAX(0,K$5-Assumptions!$G$6)</f>
        <v>7</v>
      </c>
      <c r="L10" s="69" t="n">
        <f aca="false">MAX(0,L$5-Assumptions!$G$6)</f>
        <v>8</v>
      </c>
      <c r="M10" s="69" t="n">
        <f aca="false">MAX(0,M$5-Assumptions!$G$6)</f>
        <v>9</v>
      </c>
      <c r="N10" s="69" t="n">
        <f aca="false">MAX(0,N$5-Assumptions!$G$6)</f>
        <v>10</v>
      </c>
      <c r="O10" s="69" t="n">
        <f aca="false">MAX(0,O$5-Assumptions!$G$6)</f>
        <v>11</v>
      </c>
      <c r="P10" s="69" t="n">
        <f aca="false">MAX(0,P$5-Assumptions!$G$6)</f>
        <v>12</v>
      </c>
      <c r="Q10" s="69" t="n">
        <f aca="false">MAX(0,Q$5-Assumptions!$G$6)</f>
        <v>13</v>
      </c>
      <c r="R10" s="69" t="n">
        <f aca="false">MAX(0,R$5-Assumptions!$G$6)</f>
        <v>14</v>
      </c>
      <c r="S10" s="69" t="n">
        <f aca="false">MAX(0,S$5-Assumptions!$G$6)</f>
        <v>15</v>
      </c>
      <c r="T10" s="69" t="n">
        <f aca="false">MAX(0,T$5-Assumptions!$G$6)</f>
        <v>16</v>
      </c>
      <c r="U10" s="69" t="n">
        <f aca="false">MAX(0,U$5-Assumptions!$G$6)</f>
        <v>17</v>
      </c>
      <c r="V10" s="69" t="n">
        <f aca="false">MAX(0,V$5-Assumptions!$G$6)</f>
        <v>18</v>
      </c>
      <c r="W10" s="69" t="n">
        <f aca="false">MAX(0,W$5-Assumptions!$G$6)</f>
        <v>19</v>
      </c>
      <c r="X10" s="69" t="n">
        <f aca="false">MAX(0,X$5-Assumptions!$G$6)</f>
        <v>20</v>
      </c>
      <c r="Y10" s="69" t="n">
        <f aca="false">MAX(0,Y$5-Assumptions!$G$6)</f>
        <v>21</v>
      </c>
      <c r="Z10" s="69" t="n">
        <f aca="false">MAX(0,Z$5-Assumptions!$G$6)</f>
        <v>22</v>
      </c>
      <c r="AA10" s="69" t="n">
        <f aca="false">MAX(0,AA$5-Assumptions!$G$6)</f>
        <v>23</v>
      </c>
      <c r="AB10" s="69" t="n">
        <f aca="false">MAX(0,AB$5-Assumptions!$G$6)</f>
        <v>24</v>
      </c>
      <c r="AC10" s="69" t="n">
        <f aca="false">MAX(0,AC$5-Assumptions!$G$6)</f>
        <v>25</v>
      </c>
      <c r="AD10" s="69" t="n">
        <f aca="false">MAX(0,AD$5-Assumptions!$G$6)</f>
        <v>26</v>
      </c>
      <c r="AE10" s="69" t="n">
        <f aca="false">MAX(0,AE$5-Assumptions!$G$6)</f>
        <v>27</v>
      </c>
      <c r="AF10" s="69" t="n">
        <f aca="false">MAX(0,AF$5-Assumptions!$G$6)</f>
        <v>28</v>
      </c>
      <c r="AG10" s="69" t="n">
        <f aca="false">MAX(0,AG$5-Assumptions!$G$6)</f>
        <v>29</v>
      </c>
      <c r="AH10" s="69" t="n">
        <f aca="false">MAX(0,AH$5-Assumptions!$G$6)</f>
        <v>30</v>
      </c>
      <c r="AI10" s="69" t="n">
        <f aca="false">MAX(0,AI$5-Assumptions!$G$6)</f>
        <v>31</v>
      </c>
      <c r="AJ10" s="69" t="n">
        <f aca="false">MAX(0,AJ$5-Assumptions!$G$6)</f>
        <v>32</v>
      </c>
      <c r="AK10" s="69" t="n">
        <f aca="false">MAX(0,AK$5-Assumptions!$G$6)</f>
        <v>33</v>
      </c>
      <c r="AL10" s="69" t="n">
        <f aca="false">MAX(0,AL$5-Assumptions!$G$6)</f>
        <v>34</v>
      </c>
      <c r="AM10" s="69"/>
    </row>
    <row r="11" customFormat="false" ht="15" hidden="false" customHeight="false" outlineLevel="0" collapsed="false">
      <c r="A11" s="10" t="s">
        <v>745</v>
      </c>
      <c r="B11" s="9" t="s">
        <v>84</v>
      </c>
      <c r="C11" s="61" t="n">
        <f aca="false">Assumptions!$G$9*Assumptions!$G$10*Assumptions!$G$11*Assumptions!$G$12</f>
        <v>0</v>
      </c>
      <c r="D11" s="61" t="n">
        <f aca="false">Assumptions!$G$9*Assumptions!$G$10*Assumptions!$G$11*Assumptions!$G$12</f>
        <v>0</v>
      </c>
      <c r="E11" s="61" t="n">
        <f aca="false">Assumptions!$G$9*Assumptions!$G$10*Assumptions!$G$11*Assumptions!$G$12</f>
        <v>0</v>
      </c>
      <c r="F11" s="61" t="n">
        <f aca="false">Assumptions!$G$9*Assumptions!$G$10*Assumptions!$G$11*Assumptions!$G$12</f>
        <v>0</v>
      </c>
      <c r="G11" s="61" t="n">
        <f aca="false">Assumptions!$G$9*Assumptions!$G$10*Assumptions!$G$11*Assumptions!$G$12</f>
        <v>0</v>
      </c>
      <c r="H11" s="61" t="n">
        <f aca="false">Assumptions!$G$9*Assumptions!$G$10*Assumptions!$G$11*Assumptions!$G$12</f>
        <v>0</v>
      </c>
      <c r="I11" s="61" t="n">
        <f aca="false">Assumptions!$G$9*Assumptions!$G$10*Assumptions!$G$11*Assumptions!$G$12</f>
        <v>0</v>
      </c>
      <c r="J11" s="61" t="n">
        <f aca="false">Assumptions!$G$9*Assumptions!$G$10*Assumptions!$G$11*Assumptions!$G$12</f>
        <v>0</v>
      </c>
      <c r="K11" s="61" t="n">
        <f aca="false">Assumptions!$G$9*Assumptions!$G$10*Assumptions!$G$11*Assumptions!$G$12</f>
        <v>0</v>
      </c>
      <c r="L11" s="61" t="n">
        <f aca="false">Assumptions!$G$9*Assumptions!$G$10*Assumptions!$G$11*Assumptions!$G$12</f>
        <v>0</v>
      </c>
      <c r="M11" s="61" t="n">
        <f aca="false">Assumptions!$G$9*Assumptions!$G$10*Assumptions!$G$11*Assumptions!$G$12</f>
        <v>0</v>
      </c>
      <c r="N11" s="61" t="n">
        <f aca="false">Assumptions!$G$9*Assumptions!$G$10*Assumptions!$G$11*Assumptions!$G$12</f>
        <v>0</v>
      </c>
      <c r="O11" s="61" t="n">
        <f aca="false">Assumptions!$G$9*Assumptions!$G$10*Assumptions!$G$11*Assumptions!$G$12</f>
        <v>0</v>
      </c>
      <c r="P11" s="61" t="n">
        <f aca="false">Assumptions!$G$9*Assumptions!$G$10*Assumptions!$G$11*Assumptions!$G$12</f>
        <v>0</v>
      </c>
      <c r="Q11" s="61" t="n">
        <f aca="false">Assumptions!$G$9*Assumptions!$G$10*Assumptions!$G$11*Assumptions!$G$12</f>
        <v>0</v>
      </c>
      <c r="R11" s="61" t="n">
        <f aca="false">Assumptions!$G$9*Assumptions!$G$10*Assumptions!$G$11*Assumptions!$G$12</f>
        <v>0</v>
      </c>
      <c r="S11" s="61" t="n">
        <f aca="false">Assumptions!$G$9*Assumptions!$G$10*Assumptions!$G$11*Assumptions!$G$12</f>
        <v>0</v>
      </c>
      <c r="T11" s="61" t="n">
        <f aca="false">Assumptions!$G$9*Assumptions!$G$10*Assumptions!$G$11*Assumptions!$G$12</f>
        <v>0</v>
      </c>
      <c r="U11" s="61" t="n">
        <f aca="false">Assumptions!$G$9*Assumptions!$G$10*Assumptions!$G$11*Assumptions!$G$12</f>
        <v>0</v>
      </c>
      <c r="V11" s="61" t="n">
        <f aca="false">Assumptions!$G$9*Assumptions!$G$10*Assumptions!$G$11*Assumptions!$G$12</f>
        <v>0</v>
      </c>
      <c r="W11" s="61" t="n">
        <f aca="false">Assumptions!$G$9*Assumptions!$G$10*Assumptions!$G$11*Assumptions!$G$12</f>
        <v>0</v>
      </c>
      <c r="X11" s="61" t="n">
        <f aca="false">Assumptions!$G$9*Assumptions!$G$10*Assumptions!$G$11*Assumptions!$G$12</f>
        <v>0</v>
      </c>
      <c r="Y11" s="61" t="n">
        <f aca="false">Assumptions!$G$9*Assumptions!$G$10*Assumptions!$G$11*Assumptions!$G$12</f>
        <v>0</v>
      </c>
      <c r="Z11" s="61" t="n">
        <f aca="false">Assumptions!$G$9*Assumptions!$G$10*Assumptions!$G$11*Assumptions!$G$12</f>
        <v>0</v>
      </c>
      <c r="AA11" s="61" t="n">
        <f aca="false">Assumptions!$G$9*Assumptions!$G$10*Assumptions!$G$11*Assumptions!$G$12</f>
        <v>0</v>
      </c>
      <c r="AB11" s="61" t="n">
        <f aca="false">Assumptions!$G$9*Assumptions!$G$10*Assumptions!$G$11*Assumptions!$G$12</f>
        <v>0</v>
      </c>
      <c r="AC11" s="61" t="n">
        <f aca="false">Assumptions!$G$9*Assumptions!$G$10*Assumptions!$G$11*Assumptions!$G$12</f>
        <v>0</v>
      </c>
      <c r="AD11" s="61" t="n">
        <f aca="false">Assumptions!$G$9*Assumptions!$G$10*Assumptions!$G$11*Assumptions!$G$12</f>
        <v>0</v>
      </c>
      <c r="AE11" s="61" t="n">
        <f aca="false">Assumptions!$G$9*Assumptions!$G$10*Assumptions!$G$11*Assumptions!$G$12</f>
        <v>0</v>
      </c>
      <c r="AF11" s="61" t="n">
        <f aca="false">Assumptions!$G$9*Assumptions!$G$10*Assumptions!$G$11*Assumptions!$G$12</f>
        <v>0</v>
      </c>
      <c r="AG11" s="61" t="n">
        <f aca="false">Assumptions!$G$9*Assumptions!$G$10*Assumptions!$G$11*Assumptions!$G$12</f>
        <v>0</v>
      </c>
      <c r="AH11" s="61" t="n">
        <f aca="false">Assumptions!$G$9*Assumptions!$G$10*Assumptions!$G$11*Assumptions!$G$12</f>
        <v>0</v>
      </c>
      <c r="AI11" s="61" t="n">
        <f aca="false">Assumptions!$G$9*Assumptions!$G$10*Assumptions!$G$11*Assumptions!$G$12</f>
        <v>0</v>
      </c>
      <c r="AJ11" s="61" t="n">
        <f aca="false">Assumptions!$G$9*Assumptions!$G$10*Assumptions!$G$11*Assumptions!$G$12</f>
        <v>0</v>
      </c>
      <c r="AK11" s="61" t="n">
        <f aca="false">Assumptions!$G$9*Assumptions!$G$10*Assumptions!$G$11*Assumptions!$G$12</f>
        <v>0</v>
      </c>
      <c r="AL11" s="61" t="n">
        <f aca="false">Assumptions!$G$9*Assumptions!$G$10*Assumptions!$G$11*Assumptions!$G$12</f>
        <v>0</v>
      </c>
      <c r="AM11" s="61"/>
    </row>
    <row r="12" customFormat="false" ht="15" hidden="false" customHeight="false" outlineLevel="0" collapsed="false">
      <c r="A12" s="10" t="s">
        <v>746</v>
      </c>
      <c r="B12" s="9" t="s">
        <v>78</v>
      </c>
      <c r="C12" s="57" t="n">
        <f aca="false">IF(C8=0,0,IF(C10=0,Assumptions!$G$15,Assumptions!$G$14+(1-Assumptions!$G$14)*Assumptions!$G$13^C10))</f>
        <v>0</v>
      </c>
      <c r="D12" s="57" t="n">
        <f aca="false">IF(D8=0,0,IF(D10=0,Assumptions!$G$15,Assumptions!$G$14+(1-Assumptions!$G$14)*Assumptions!$G$13^D10))</f>
        <v>1</v>
      </c>
      <c r="E12" s="57" t="n">
        <f aca="false">IF(E8=0,0,IF(E10=0,Assumptions!$G$15,Assumptions!$G$14+(1-Assumptions!$G$14)*Assumptions!$G$13^E10))</f>
        <v>0.876</v>
      </c>
      <c r="F12" s="57" t="n">
        <f aca="false">IF(F8=0,0,IF(F10=0,Assumptions!$G$15,Assumptions!$G$14+(1-Assumptions!$G$14)*Assumptions!$G$13^F10))</f>
        <v>0.7768</v>
      </c>
      <c r="G12" s="57" t="n">
        <f aca="false">IF(G8=0,0,IF(G10=0,Assumptions!$G$15,Assumptions!$G$14+(1-Assumptions!$G$14)*Assumptions!$G$13^G10))</f>
        <v>0.69744</v>
      </c>
      <c r="H12" s="57" t="n">
        <f aca="false">IF(H8=0,0,IF(H10=0,Assumptions!$G$15,Assumptions!$G$14+(1-Assumptions!$G$14)*Assumptions!$G$13^H10))</f>
        <v>0.633952</v>
      </c>
      <c r="I12" s="57" t="n">
        <f aca="false">IF(I8=0,0,IF(I10=0,Assumptions!$G$15,Assumptions!$G$14+(1-Assumptions!$G$14)*Assumptions!$G$13^I10))</f>
        <v>0.5831616</v>
      </c>
      <c r="J12" s="57" t="n">
        <f aca="false">IF(J8=0,0,IF(J10=0,Assumptions!$G$15,Assumptions!$G$14+(1-Assumptions!$G$14)*Assumptions!$G$13^J10))</f>
        <v>0.54252928</v>
      </c>
      <c r="K12" s="57" t="n">
        <f aca="false">IF(K8=0,0,IF(K10=0,Assumptions!$G$15,Assumptions!$G$14+(1-Assumptions!$G$14)*Assumptions!$G$13^K10))</f>
        <v>0.510023424</v>
      </c>
      <c r="L12" s="57" t="n">
        <f aca="false">IF(L8=0,0,IF(L10=0,Assumptions!$G$15,Assumptions!$G$14+(1-Assumptions!$G$14)*Assumptions!$G$13^L10))</f>
        <v>0.4840187392</v>
      </c>
      <c r="M12" s="57" t="n">
        <f aca="false">IF(M8=0,0,IF(M10=0,Assumptions!$G$15,Assumptions!$G$14+(1-Assumptions!$G$14)*Assumptions!$G$13^M10))</f>
        <v>0.46321499136</v>
      </c>
      <c r="N12" s="57" t="n">
        <f aca="false">IF(N8=0,0,IF(N10=0,Assumptions!$G$15,Assumptions!$G$14+(1-Assumptions!$G$14)*Assumptions!$G$13^N10))</f>
        <v>0.446571993088</v>
      </c>
      <c r="O12" s="57" t="n">
        <f aca="false">IF(O8=0,0,IF(O10=0,Assumptions!$G$15,Assumptions!$G$14+(1-Assumptions!$G$14)*Assumptions!$G$13^O10))</f>
        <v>0.4332575944704</v>
      </c>
      <c r="P12" s="57" t="n">
        <f aca="false">IF(P8=0,0,IF(P10=0,Assumptions!$G$15,Assumptions!$G$14+(1-Assumptions!$G$14)*Assumptions!$G$13^P10))</f>
        <v>0.42260607557632</v>
      </c>
      <c r="Q12" s="57" t="n">
        <f aca="false">IF(Q8=0,0,IF(Q10=0,Assumptions!$G$15,Assumptions!$G$14+(1-Assumptions!$G$14)*Assumptions!$G$13^Q10))</f>
        <v>0.414084860461056</v>
      </c>
      <c r="R12" s="57" t="n">
        <f aca="false">IF(R8=0,0,IF(R10=0,Assumptions!$G$15,Assumptions!$G$14+(1-Assumptions!$G$14)*Assumptions!$G$13^R10))</f>
        <v>0.407267888368845</v>
      </c>
      <c r="S12" s="57" t="n">
        <f aca="false">IF(S8=0,0,IF(S10=0,Assumptions!$G$15,Assumptions!$G$14+(1-Assumptions!$G$14)*Assumptions!$G$13^S10))</f>
        <v>0.401814310695076</v>
      </c>
      <c r="T12" s="57" t="n">
        <f aca="false">IF(T8=0,0,IF(T10=0,Assumptions!$G$15,Assumptions!$G$14+(1-Assumptions!$G$14)*Assumptions!$G$13^T10))</f>
        <v>0.397451448556061</v>
      </c>
      <c r="U12" s="57" t="n">
        <f aca="false">IF(U8=0,0,IF(U10=0,Assumptions!$G$15,Assumptions!$G$14+(1-Assumptions!$G$14)*Assumptions!$G$13^U10))</f>
        <v>0.393961158844849</v>
      </c>
      <c r="V12" s="57" t="n">
        <f aca="false">IF(V8=0,0,IF(V10=0,Assumptions!$G$15,Assumptions!$G$14+(1-Assumptions!$G$14)*Assumptions!$G$13^V10))</f>
        <v>0.391168927075879</v>
      </c>
      <c r="W12" s="57" t="n">
        <f aca="false">IF(W8=0,0,IF(W10=0,Assumptions!$G$15,Assumptions!$G$14+(1-Assumptions!$G$14)*Assumptions!$G$13^W10))</f>
        <v>0.388935141660703</v>
      </c>
      <c r="X12" s="57" t="n">
        <f aca="false">IF(X8=0,0,IF(X10=0,Assumptions!$G$15,Assumptions!$G$14+(1-Assumptions!$G$14)*Assumptions!$G$13^X10))</f>
        <v>0.387148113328562</v>
      </c>
      <c r="Y12" s="57" t="n">
        <f aca="false">IF(Y8=0,0,IF(Y10=0,Assumptions!$G$15,Assumptions!$G$14+(1-Assumptions!$G$14)*Assumptions!$G$13^Y10))</f>
        <v>0.38571849066285</v>
      </c>
      <c r="Z12" s="57" t="n">
        <f aca="false">IF(Z8=0,0,IF(Z10=0,Assumptions!$G$15,Assumptions!$G$14+(1-Assumptions!$G$14)*Assumptions!$G$13^Z10))</f>
        <v>0.38457479253028</v>
      </c>
      <c r="AA12" s="57" t="n">
        <f aca="false">IF(AA8=0,0,IF(AA10=0,Assumptions!$G$15,Assumptions!$G$14+(1-Assumptions!$G$14)*Assumptions!$G$13^AA10))</f>
        <v>0.383659834024224</v>
      </c>
      <c r="AB12" s="57" t="n">
        <f aca="false">IF(AB8=0,0,IF(AB10=0,Assumptions!$G$15,Assumptions!$G$14+(1-Assumptions!$G$14)*Assumptions!$G$13^AB10))</f>
        <v>0.382927867219379</v>
      </c>
      <c r="AC12" s="57" t="n">
        <f aca="false">IF(AC8=0,0,IF(AC10=0,Assumptions!$G$15,Assumptions!$G$14+(1-Assumptions!$G$14)*Assumptions!$G$13^AC10))</f>
        <v>0.382342293775503</v>
      </c>
      <c r="AD12" s="57" t="n">
        <f aca="false">IF(AD8=0,0,IF(AD10=0,Assumptions!$G$15,Assumptions!$G$14+(1-Assumptions!$G$14)*Assumptions!$G$13^AD10))</f>
        <v>0.381873835020403</v>
      </c>
      <c r="AE12" s="57" t="n">
        <f aca="false">IF(AE8=0,0,IF(AE10=0,Assumptions!$G$15,Assumptions!$G$14+(1-Assumptions!$G$14)*Assumptions!$G$13^AE10))</f>
        <v>0.381499068016322</v>
      </c>
      <c r="AF12" s="57" t="n">
        <f aca="false">IF(AF8=0,0,IF(AF10=0,Assumptions!$G$15,Assumptions!$G$14+(1-Assumptions!$G$14)*Assumptions!$G$13^AF10))</f>
        <v>0.381199254413058</v>
      </c>
      <c r="AG12" s="57" t="n">
        <f aca="false">IF(AG8=0,0,IF(AG10=0,Assumptions!$G$15,Assumptions!$G$14+(1-Assumptions!$G$14)*Assumptions!$G$13^AG10))</f>
        <v>0.380959403530446</v>
      </c>
      <c r="AH12" s="57" t="n">
        <f aca="false">IF(AH8=0,0,IF(AH10=0,Assumptions!$G$15,Assumptions!$G$14+(1-Assumptions!$G$14)*Assumptions!$G$13^AH10))</f>
        <v>0.380767522824357</v>
      </c>
      <c r="AI12" s="57" t="n">
        <f aca="false">IF(AI8=0,0,IF(AI10=0,Assumptions!$G$15,Assumptions!$G$14+(1-Assumptions!$G$14)*Assumptions!$G$13^AI10))</f>
        <v>0.380614018259486</v>
      </c>
      <c r="AJ12" s="57" t="n">
        <f aca="false">IF(AJ8=0,0,IF(AJ10=0,Assumptions!$G$15,Assumptions!$G$14+(1-Assumptions!$G$14)*Assumptions!$G$13^AJ10))</f>
        <v>0.380491214607588</v>
      </c>
      <c r="AK12" s="57" t="n">
        <f aca="false">IF(AK8=0,0,IF(AK10=0,Assumptions!$G$15,Assumptions!$G$14+(1-Assumptions!$G$14)*Assumptions!$G$13^AK10))</f>
        <v>0.380392971686071</v>
      </c>
      <c r="AL12" s="57" t="n">
        <f aca="false">IF(AL8=0,0,IF(AL10=0,Assumptions!$G$15,Assumptions!$G$14+(1-Assumptions!$G$14)*Assumptions!$G$13^AL10))</f>
        <v>0.380314377348857</v>
      </c>
      <c r="AM12" s="57"/>
    </row>
    <row r="13" customFormat="false" ht="15" hidden="false" customHeight="false" outlineLevel="0" collapsed="false">
      <c r="A13" s="10" t="s">
        <v>747</v>
      </c>
      <c r="B13" s="9" t="s">
        <v>84</v>
      </c>
      <c r="C13" s="61" t="n">
        <f aca="false">C11*C12</f>
        <v>0</v>
      </c>
      <c r="D13" s="61" t="n">
        <f aca="false">D11*D12</f>
        <v>0</v>
      </c>
      <c r="E13" s="61" t="n">
        <f aca="false">E11*E12</f>
        <v>0</v>
      </c>
      <c r="F13" s="61" t="n">
        <f aca="false">F11*F12</f>
        <v>0</v>
      </c>
      <c r="G13" s="61" t="n">
        <f aca="false">G11*G12</f>
        <v>0</v>
      </c>
      <c r="H13" s="61" t="n">
        <f aca="false">H11*H12</f>
        <v>0</v>
      </c>
      <c r="I13" s="61" t="n">
        <f aca="false">I11*I12</f>
        <v>0</v>
      </c>
      <c r="J13" s="61" t="n">
        <f aca="false">J11*J12</f>
        <v>0</v>
      </c>
      <c r="K13" s="61" t="n">
        <f aca="false">K11*K12</f>
        <v>0</v>
      </c>
      <c r="L13" s="61" t="n">
        <f aca="false">L11*L12</f>
        <v>0</v>
      </c>
      <c r="M13" s="61" t="n">
        <f aca="false">M11*M12</f>
        <v>0</v>
      </c>
      <c r="N13" s="61" t="n">
        <f aca="false">N11*N12</f>
        <v>0</v>
      </c>
      <c r="O13" s="61" t="n">
        <f aca="false">O11*O12</f>
        <v>0</v>
      </c>
      <c r="P13" s="61" t="n">
        <f aca="false">P11*P12</f>
        <v>0</v>
      </c>
      <c r="Q13" s="61" t="n">
        <f aca="false">Q11*Q12</f>
        <v>0</v>
      </c>
      <c r="R13" s="61" t="n">
        <f aca="false">R11*R12</f>
        <v>0</v>
      </c>
      <c r="S13" s="61" t="n">
        <f aca="false">S11*S12</f>
        <v>0</v>
      </c>
      <c r="T13" s="61" t="n">
        <f aca="false">T11*T12</f>
        <v>0</v>
      </c>
      <c r="U13" s="61" t="n">
        <f aca="false">U11*U12</f>
        <v>0</v>
      </c>
      <c r="V13" s="61" t="n">
        <f aca="false">V11*V12</f>
        <v>0</v>
      </c>
      <c r="W13" s="61" t="n">
        <f aca="false">W11*W12</f>
        <v>0</v>
      </c>
      <c r="X13" s="61" t="n">
        <f aca="false">X11*X12</f>
        <v>0</v>
      </c>
      <c r="Y13" s="61" t="n">
        <f aca="false">Y11*Y12</f>
        <v>0</v>
      </c>
      <c r="Z13" s="61" t="n">
        <f aca="false">Z11*Z12</f>
        <v>0</v>
      </c>
      <c r="AA13" s="61" t="n">
        <f aca="false">AA11*AA12</f>
        <v>0</v>
      </c>
      <c r="AB13" s="61" t="n">
        <f aca="false">AB11*AB12</f>
        <v>0</v>
      </c>
      <c r="AC13" s="61" t="n">
        <f aca="false">AC11*AC12</f>
        <v>0</v>
      </c>
      <c r="AD13" s="61" t="n">
        <f aca="false">AD11*AD12</f>
        <v>0</v>
      </c>
      <c r="AE13" s="61" t="n">
        <f aca="false">AE11*AE12</f>
        <v>0</v>
      </c>
      <c r="AF13" s="61" t="n">
        <f aca="false">AF11*AF12</f>
        <v>0</v>
      </c>
      <c r="AG13" s="61" t="n">
        <f aca="false">AG11*AG12</f>
        <v>0</v>
      </c>
      <c r="AH13" s="61" t="n">
        <f aca="false">AH11*AH12</f>
        <v>0</v>
      </c>
      <c r="AI13" s="61" t="n">
        <f aca="false">AI11*AI12</f>
        <v>0</v>
      </c>
      <c r="AJ13" s="61" t="n">
        <f aca="false">AJ11*AJ12</f>
        <v>0</v>
      </c>
      <c r="AK13" s="61" t="n">
        <f aca="false">AK11*AK12</f>
        <v>0</v>
      </c>
      <c r="AL13" s="61" t="n">
        <f aca="false">AL11*AL12</f>
        <v>0</v>
      </c>
      <c r="AM13" s="61" t="n">
        <f aca="false">SUM(C13:AL13)</f>
        <v>0</v>
      </c>
    </row>
    <row r="14" customFormat="false" ht="15" hidden="false" customHeight="false" outlineLevel="0" collapsed="false">
      <c r="A14" s="10" t="s">
        <v>748</v>
      </c>
      <c r="B14" s="9" t="s">
        <v>749</v>
      </c>
      <c r="C14" s="61" t="n">
        <f aca="false">Assumptions!$G$9*Assumptions!$G$10*Assumptions!$G$11*C12</f>
        <v>0</v>
      </c>
      <c r="D14" s="61" t="n">
        <f aca="false">Assumptions!$G$9*Assumptions!$G$10*Assumptions!$G$11*D12</f>
        <v>0</v>
      </c>
      <c r="E14" s="61" t="n">
        <f aca="false">Assumptions!$G$9*Assumptions!$G$10*Assumptions!$G$11*E12</f>
        <v>0</v>
      </c>
      <c r="F14" s="61" t="n">
        <f aca="false">Assumptions!$G$9*Assumptions!$G$10*Assumptions!$G$11*F12</f>
        <v>0</v>
      </c>
      <c r="G14" s="61" t="n">
        <f aca="false">Assumptions!$G$9*Assumptions!$G$10*Assumptions!$G$11*G12</f>
        <v>0</v>
      </c>
      <c r="H14" s="61" t="n">
        <f aca="false">Assumptions!$G$9*Assumptions!$G$10*Assumptions!$G$11*H12</f>
        <v>0</v>
      </c>
      <c r="I14" s="61" t="n">
        <f aca="false">Assumptions!$G$9*Assumptions!$G$10*Assumptions!$G$11*I12</f>
        <v>0</v>
      </c>
      <c r="J14" s="61" t="n">
        <f aca="false">Assumptions!$G$9*Assumptions!$G$10*Assumptions!$G$11*J12</f>
        <v>0</v>
      </c>
      <c r="K14" s="61" t="n">
        <f aca="false">Assumptions!$G$9*Assumptions!$G$10*Assumptions!$G$11*K12</f>
        <v>0</v>
      </c>
      <c r="L14" s="61" t="n">
        <f aca="false">Assumptions!$G$9*Assumptions!$G$10*Assumptions!$G$11*L12</f>
        <v>0</v>
      </c>
      <c r="M14" s="61" t="n">
        <f aca="false">Assumptions!$G$9*Assumptions!$G$10*Assumptions!$G$11*M12</f>
        <v>0</v>
      </c>
      <c r="N14" s="61" t="n">
        <f aca="false">Assumptions!$G$9*Assumptions!$G$10*Assumptions!$G$11*N12</f>
        <v>0</v>
      </c>
      <c r="O14" s="61" t="n">
        <f aca="false">Assumptions!$G$9*Assumptions!$G$10*Assumptions!$G$11*O12</f>
        <v>0</v>
      </c>
      <c r="P14" s="61" t="n">
        <f aca="false">Assumptions!$G$9*Assumptions!$G$10*Assumptions!$G$11*P12</f>
        <v>0</v>
      </c>
      <c r="Q14" s="61" t="n">
        <f aca="false">Assumptions!$G$9*Assumptions!$G$10*Assumptions!$G$11*Q12</f>
        <v>0</v>
      </c>
      <c r="R14" s="61" t="n">
        <f aca="false">Assumptions!$G$9*Assumptions!$G$10*Assumptions!$G$11*R12</f>
        <v>0</v>
      </c>
      <c r="S14" s="61" t="n">
        <f aca="false">Assumptions!$G$9*Assumptions!$G$10*Assumptions!$G$11*S12</f>
        <v>0</v>
      </c>
      <c r="T14" s="61" t="n">
        <f aca="false">Assumptions!$G$9*Assumptions!$G$10*Assumptions!$G$11*T12</f>
        <v>0</v>
      </c>
      <c r="U14" s="61" t="n">
        <f aca="false">Assumptions!$G$9*Assumptions!$G$10*Assumptions!$G$11*U12</f>
        <v>0</v>
      </c>
      <c r="V14" s="61" t="n">
        <f aca="false">Assumptions!$G$9*Assumptions!$G$10*Assumptions!$G$11*V12</f>
        <v>0</v>
      </c>
      <c r="W14" s="61" t="n">
        <f aca="false">Assumptions!$G$9*Assumptions!$G$10*Assumptions!$G$11*W12</f>
        <v>0</v>
      </c>
      <c r="X14" s="61" t="n">
        <f aca="false">Assumptions!$G$9*Assumptions!$G$10*Assumptions!$G$11*X12</f>
        <v>0</v>
      </c>
      <c r="Y14" s="61" t="n">
        <f aca="false">Assumptions!$G$9*Assumptions!$G$10*Assumptions!$G$11*Y12</f>
        <v>0</v>
      </c>
      <c r="Z14" s="61" t="n">
        <f aca="false">Assumptions!$G$9*Assumptions!$G$10*Assumptions!$G$11*Z12</f>
        <v>0</v>
      </c>
      <c r="AA14" s="61" t="n">
        <f aca="false">Assumptions!$G$9*Assumptions!$G$10*Assumptions!$G$11*AA12</f>
        <v>0</v>
      </c>
      <c r="AB14" s="61" t="n">
        <f aca="false">Assumptions!$G$9*Assumptions!$G$10*Assumptions!$G$11*AB12</f>
        <v>0</v>
      </c>
      <c r="AC14" s="61" t="n">
        <f aca="false">Assumptions!$G$9*Assumptions!$G$10*Assumptions!$G$11*AC12</f>
        <v>0</v>
      </c>
      <c r="AD14" s="61" t="n">
        <f aca="false">Assumptions!$G$9*Assumptions!$G$10*Assumptions!$G$11*AD12</f>
        <v>0</v>
      </c>
      <c r="AE14" s="61" t="n">
        <f aca="false">Assumptions!$G$9*Assumptions!$G$10*Assumptions!$G$11*AE12</f>
        <v>0</v>
      </c>
      <c r="AF14" s="61" t="n">
        <f aca="false">Assumptions!$G$9*Assumptions!$G$10*Assumptions!$G$11*AF12</f>
        <v>0</v>
      </c>
      <c r="AG14" s="61" t="n">
        <f aca="false">Assumptions!$G$9*Assumptions!$G$10*Assumptions!$G$11*AG12</f>
        <v>0</v>
      </c>
      <c r="AH14" s="61" t="n">
        <f aca="false">Assumptions!$G$9*Assumptions!$G$10*Assumptions!$G$11*AH12</f>
        <v>0</v>
      </c>
      <c r="AI14" s="61" t="n">
        <f aca="false">Assumptions!$G$9*Assumptions!$G$10*Assumptions!$G$11*AI12</f>
        <v>0</v>
      </c>
      <c r="AJ14" s="61" t="n">
        <f aca="false">Assumptions!$G$9*Assumptions!$G$10*Assumptions!$G$11*AJ12</f>
        <v>0</v>
      </c>
      <c r="AK14" s="61" t="n">
        <f aca="false">Assumptions!$G$9*Assumptions!$G$10*Assumptions!$G$11*AK12</f>
        <v>0</v>
      </c>
      <c r="AL14" s="61" t="n">
        <f aca="false">Assumptions!$G$9*Assumptions!$G$10*Assumptions!$G$11*AL12</f>
        <v>0</v>
      </c>
      <c r="AM14" s="61" t="n">
        <f aca="false">SUM(C14:AL14)</f>
        <v>0</v>
      </c>
    </row>
    <row r="15" customFormat="false" ht="15" hidden="false" customHeight="false" outlineLevel="0" collapsed="false">
      <c r="A15" s="10" t="s">
        <v>750</v>
      </c>
      <c r="B15" s="9" t="s">
        <v>84</v>
      </c>
      <c r="C15" s="61" t="n">
        <f aca="false">MIN(Assumptions!$G$19,Assumptions!$G$17*(1+Assumptions!$G$18)^(C$5-1))</f>
        <v>2200</v>
      </c>
      <c r="D15" s="61" t="n">
        <f aca="false">MIN(Assumptions!$G$19,Assumptions!$G$17*(1+Assumptions!$G$18)^(D$5-1))</f>
        <v>2398</v>
      </c>
      <c r="E15" s="61" t="n">
        <f aca="false">MIN(Assumptions!$G$19,Assumptions!$G$17*(1+Assumptions!$G$18)^(E$5-1))</f>
        <v>2613.82</v>
      </c>
      <c r="F15" s="61" t="n">
        <f aca="false">MIN(Assumptions!$G$19,Assumptions!$G$17*(1+Assumptions!$G$18)^(F$5-1))</f>
        <v>2849.0638</v>
      </c>
      <c r="G15" s="61" t="n">
        <f aca="false">MIN(Assumptions!$G$19,Assumptions!$G$17*(1+Assumptions!$G$18)^(G$5-1))</f>
        <v>3105.479542</v>
      </c>
      <c r="H15" s="61" t="n">
        <f aca="false">MIN(Assumptions!$G$19,Assumptions!$G$17*(1+Assumptions!$G$18)^(H$5-1))</f>
        <v>3384.97270078</v>
      </c>
      <c r="I15" s="61" t="n">
        <f aca="false">MIN(Assumptions!$G$19,Assumptions!$G$17*(1+Assumptions!$G$18)^(I$5-1))</f>
        <v>3689.6202438502</v>
      </c>
      <c r="J15" s="61" t="n">
        <f aca="false">MIN(Assumptions!$G$19,Assumptions!$G$17*(1+Assumptions!$G$18)^(J$5-1))</f>
        <v>4021.68606579672</v>
      </c>
      <c r="K15" s="61" t="n">
        <f aca="false">MIN(Assumptions!$G$19,Assumptions!$G$17*(1+Assumptions!$G$18)^(K$5-1))</f>
        <v>4383.63781171843</v>
      </c>
      <c r="L15" s="61" t="n">
        <f aca="false">MIN(Assumptions!$G$19,Assumptions!$G$17*(1+Assumptions!$G$18)^(L$5-1))</f>
        <v>4778.16521477308</v>
      </c>
      <c r="M15" s="61" t="n">
        <f aca="false">MIN(Assumptions!$G$19,Assumptions!$G$17*(1+Assumptions!$G$18)^(M$5-1))</f>
        <v>5208.20008410266</v>
      </c>
      <c r="N15" s="61" t="n">
        <f aca="false">MIN(Assumptions!$G$19,Assumptions!$G$17*(1+Assumptions!$G$18)^(N$5-1))</f>
        <v>5676.9380916719</v>
      </c>
      <c r="O15" s="61" t="n">
        <f aca="false">MIN(Assumptions!$G$19,Assumptions!$G$17*(1+Assumptions!$G$18)^(O$5-1))</f>
        <v>6187.86251992237</v>
      </c>
      <c r="P15" s="61" t="n">
        <f aca="false">MIN(Assumptions!$G$19,Assumptions!$G$17*(1+Assumptions!$G$18)^(P$5-1))</f>
        <v>6744.77014671539</v>
      </c>
      <c r="Q15" s="61" t="n">
        <f aca="false">MIN(Assumptions!$G$19,Assumptions!$G$17*(1+Assumptions!$G$18)^(Q$5-1))</f>
        <v>7351.79945991977</v>
      </c>
      <c r="R15" s="61" t="n">
        <f aca="false">MIN(Assumptions!$G$19,Assumptions!$G$17*(1+Assumptions!$G$18)^(R$5-1))</f>
        <v>8013.46141131255</v>
      </c>
      <c r="S15" s="61" t="n">
        <f aca="false">MIN(Assumptions!$G$19,Assumptions!$G$17*(1+Assumptions!$G$18)^(S$5-1))</f>
        <v>8734.67293833068</v>
      </c>
      <c r="T15" s="61" t="n">
        <f aca="false">MIN(Assumptions!$G$19,Assumptions!$G$17*(1+Assumptions!$G$18)^(T$5-1))</f>
        <v>9520.79350278045</v>
      </c>
      <c r="U15" s="61" t="n">
        <f aca="false">MIN(Assumptions!$G$19,Assumptions!$G$17*(1+Assumptions!$G$18)^(U$5-1))</f>
        <v>10377.6649180307</v>
      </c>
      <c r="V15" s="61" t="n">
        <f aca="false">MIN(Assumptions!$G$19,Assumptions!$G$17*(1+Assumptions!$G$18)^(V$5-1))</f>
        <v>11311.6547606535</v>
      </c>
      <c r="W15" s="61" t="n">
        <f aca="false">MIN(Assumptions!$G$19,Assumptions!$G$17*(1+Assumptions!$G$18)^(W$5-1))</f>
        <v>12329.7036891123</v>
      </c>
      <c r="X15" s="61" t="n">
        <f aca="false">MIN(Assumptions!$G$19,Assumptions!$G$17*(1+Assumptions!$G$18)^(X$5-1))</f>
        <v>13439.3770211324</v>
      </c>
      <c r="Y15" s="61" t="n">
        <f aca="false">MIN(Assumptions!$G$19,Assumptions!$G$17*(1+Assumptions!$G$18)^(Y$5-1))</f>
        <v>14648.9209530343</v>
      </c>
      <c r="Z15" s="61" t="n">
        <f aca="false">MIN(Assumptions!$G$19,Assumptions!$G$17*(1+Assumptions!$G$18)^(Z$5-1))</f>
        <v>15967.3238388074</v>
      </c>
      <c r="AA15" s="61" t="n">
        <f aca="false">MIN(Assumptions!$G$19,Assumptions!$G$17*(1+Assumptions!$G$18)^(AA$5-1))</f>
        <v>17404.3829843</v>
      </c>
      <c r="AB15" s="61" t="n">
        <f aca="false">MIN(Assumptions!$G$19,Assumptions!$G$17*(1+Assumptions!$G$18)^(AB$5-1))</f>
        <v>18970.777452887</v>
      </c>
      <c r="AC15" s="61" t="n">
        <f aca="false">MIN(Assumptions!$G$19,Assumptions!$G$17*(1+Assumptions!$G$18)^(AC$5-1))</f>
        <v>20678.1474236469</v>
      </c>
      <c r="AD15" s="61" t="n">
        <f aca="false">MIN(Assumptions!$G$19,Assumptions!$G$17*(1+Assumptions!$G$18)^(AD$5-1))</f>
        <v>22539.1806917751</v>
      </c>
      <c r="AE15" s="61" t="n">
        <f aca="false">MIN(Assumptions!$G$19,Assumptions!$G$17*(1+Assumptions!$G$18)^(AE$5-1))</f>
        <v>24567.7069540349</v>
      </c>
      <c r="AF15" s="61" t="n">
        <f aca="false">MIN(Assumptions!$G$19,Assumptions!$G$17*(1+Assumptions!$G$18)^(AF$5-1))</f>
        <v>26778.800579898</v>
      </c>
      <c r="AG15" s="61" t="n">
        <f aca="false">MIN(Assumptions!$G$19,Assumptions!$G$17*(1+Assumptions!$G$18)^(AG$5-1))</f>
        <v>29188.8926320888</v>
      </c>
      <c r="AH15" s="61" t="n">
        <f aca="false">MIN(Assumptions!$G$19,Assumptions!$G$17*(1+Assumptions!$G$18)^(AH$5-1))</f>
        <v>31815.8929689768</v>
      </c>
      <c r="AI15" s="61" t="n">
        <f aca="false">MIN(Assumptions!$G$19,Assumptions!$G$17*(1+Assumptions!$G$18)^(AI$5-1))</f>
        <v>34679.3233361847</v>
      </c>
      <c r="AJ15" s="61" t="n">
        <f aca="false">MIN(Assumptions!$G$19,Assumptions!$G$17*(1+Assumptions!$G$18)^(AJ$5-1))</f>
        <v>37800.4624364413</v>
      </c>
      <c r="AK15" s="61" t="n">
        <f aca="false">MIN(Assumptions!$G$19,Assumptions!$G$17*(1+Assumptions!$G$18)^(AK$5-1))</f>
        <v>41202.5040557211</v>
      </c>
      <c r="AL15" s="61" t="n">
        <f aca="false">MIN(Assumptions!$G$19,Assumptions!$G$17*(1+Assumptions!$G$18)^(AL$5-1))</f>
        <v>44910.729420736</v>
      </c>
      <c r="AM15" s="61" t="n">
        <f aca="false">SUM(C15:AL15)</f>
        <v>519474.389651135</v>
      </c>
    </row>
    <row r="16" customFormat="false" ht="15" hidden="false" customHeight="false" outlineLevel="0" collapsed="false">
      <c r="A16" s="37" t="s">
        <v>751</v>
      </c>
      <c r="B16" s="9" t="s">
        <v>97</v>
      </c>
      <c r="C16" s="53" t="n">
        <f aca="false">Assumptions!$G$20</f>
        <v>8000</v>
      </c>
      <c r="D16" s="53" t="n">
        <f aca="false">IF(D8=0,Assumptions!$G$20,MIN(Assumptions!$G$24,MAX(Assumptions!$G$21,C72*Assumptions!$G$22)))</f>
        <v>30000</v>
      </c>
      <c r="E16" s="53" t="n">
        <f aca="false">IF(E8=0,Assumptions!$G$20,MIN(Assumptions!$G$24,MAX(Assumptions!$G$21,D72*Assumptions!$G$22)))</f>
        <v>30000</v>
      </c>
      <c r="F16" s="53" t="n">
        <f aca="false">IF(F8=0,Assumptions!$G$20,MIN(Assumptions!$G$24,MAX(Assumptions!$G$21,E72*Assumptions!$G$22)))</f>
        <v>30000</v>
      </c>
      <c r="G16" s="53" t="n">
        <f aca="false">IF(G8=0,Assumptions!$G$20,MIN(Assumptions!$G$24,MAX(Assumptions!$G$21,F72*Assumptions!$G$22)))</f>
        <v>30000</v>
      </c>
      <c r="H16" s="53" t="n">
        <f aca="false">IF(H8=0,Assumptions!$G$20,MIN(Assumptions!$G$24,MAX(Assumptions!$G$21,G72*Assumptions!$G$22)))</f>
        <v>30000</v>
      </c>
      <c r="I16" s="53" t="n">
        <f aca="false">IF(I8=0,Assumptions!$G$20,MIN(Assumptions!$G$24,MAX(Assumptions!$G$21,H72*Assumptions!$G$22)))</f>
        <v>30000</v>
      </c>
      <c r="J16" s="53" t="n">
        <f aca="false">IF(J8=0,Assumptions!$G$20,MIN(Assumptions!$G$24,MAX(Assumptions!$G$21,I72*Assumptions!$G$22)))</f>
        <v>30000</v>
      </c>
      <c r="K16" s="53" t="n">
        <f aca="false">IF(K8=0,Assumptions!$G$20,MIN(Assumptions!$G$24,MAX(Assumptions!$G$21,J72*Assumptions!$G$22)))</f>
        <v>30000</v>
      </c>
      <c r="L16" s="53" t="n">
        <f aca="false">IF(L8=0,Assumptions!$G$20,MIN(Assumptions!$G$24,MAX(Assumptions!$G$21,K72*Assumptions!$G$22)))</f>
        <v>30000</v>
      </c>
      <c r="M16" s="53" t="n">
        <f aca="false">IF(M8=0,Assumptions!$G$20,MIN(Assumptions!$G$24,MAX(Assumptions!$G$21,L72*Assumptions!$G$22)))</f>
        <v>30000</v>
      </c>
      <c r="N16" s="53" t="n">
        <f aca="false">IF(N8=0,Assumptions!$G$20,MIN(Assumptions!$G$24,MAX(Assumptions!$G$21,M72*Assumptions!$G$22)))</f>
        <v>30000</v>
      </c>
      <c r="O16" s="53" t="n">
        <f aca="false">IF(O8=0,Assumptions!$G$20,MIN(Assumptions!$G$24,MAX(Assumptions!$G$21,N72*Assumptions!$G$22)))</f>
        <v>30000</v>
      </c>
      <c r="P16" s="53" t="n">
        <f aca="false">IF(P8=0,Assumptions!$G$20,MIN(Assumptions!$G$24,MAX(Assumptions!$G$21,O72*Assumptions!$G$22)))</f>
        <v>30000</v>
      </c>
      <c r="Q16" s="53" t="n">
        <f aca="false">IF(Q8=0,Assumptions!$G$20,MIN(Assumptions!$G$24,MAX(Assumptions!$G$21,P72*Assumptions!$G$22)))</f>
        <v>30000</v>
      </c>
      <c r="R16" s="53" t="n">
        <f aca="false">IF(R8=0,Assumptions!$G$20,MIN(Assumptions!$G$24,MAX(Assumptions!$G$21,Q72*Assumptions!$G$22)))</f>
        <v>30000</v>
      </c>
      <c r="S16" s="53" t="n">
        <f aca="false">IF(S8=0,Assumptions!$G$20,MIN(Assumptions!$G$24,MAX(Assumptions!$G$21,R72*Assumptions!$G$22)))</f>
        <v>30000</v>
      </c>
      <c r="T16" s="53" t="n">
        <f aca="false">IF(T8=0,Assumptions!$G$20,MIN(Assumptions!$G$24,MAX(Assumptions!$G$21,S72*Assumptions!$G$22)))</f>
        <v>30000</v>
      </c>
      <c r="U16" s="53" t="n">
        <f aca="false">IF(U8=0,Assumptions!$G$20,MIN(Assumptions!$G$24,MAX(Assumptions!$G$21,T72*Assumptions!$G$22)))</f>
        <v>31328.6351269562</v>
      </c>
      <c r="V16" s="53" t="n">
        <f aca="false">IF(V8=0,Assumptions!$G$20,MIN(Assumptions!$G$24,MAX(Assumptions!$G$21,U72*Assumptions!$G$22)))</f>
        <v>33379.7587964508</v>
      </c>
      <c r="W16" s="53" t="n">
        <f aca="false">IF(W8=0,Assumptions!$G$20,MIN(Assumptions!$G$24,MAX(Assumptions!$G$21,V72*Assumptions!$G$22)))</f>
        <v>35668.9846541144</v>
      </c>
      <c r="X16" s="53" t="n">
        <f aca="false">IF(X8=0,Assumptions!$G$20,MIN(Assumptions!$G$24,MAX(Assumptions!$G$21,W72*Assumptions!$G$22)))</f>
        <v>38182.8209132527</v>
      </c>
      <c r="Y16" s="53" t="n">
        <f aca="false">IF(Y8=0,Assumptions!$G$20,MIN(Assumptions!$G$24,MAX(Assumptions!$G$21,X72*Assumptions!$G$22)))</f>
        <v>40935.7005421088</v>
      </c>
      <c r="Z16" s="53" t="n">
        <f aca="false">IF(Z8=0,Assumptions!$G$20,MIN(Assumptions!$G$24,MAX(Assumptions!$G$21,Y72*Assumptions!$G$22)))</f>
        <v>43948.8198142219</v>
      </c>
      <c r="AA16" s="53" t="n">
        <f aca="false">IF(AA8=0,Assumptions!$G$20,MIN(Assumptions!$G$24,MAX(Assumptions!$G$21,Z72*Assumptions!$G$22)))</f>
        <v>47245.9626422005</v>
      </c>
      <c r="AB16" s="53" t="n">
        <f aca="false">IF(AB8=0,Assumptions!$G$20,MIN(Assumptions!$G$24,MAX(Assumptions!$G$21,AA72*Assumptions!$G$22)))</f>
        <v>50853.198240775</v>
      </c>
      <c r="AC16" s="53" t="n">
        <f aca="false">IF(AC8=0,Assumptions!$G$20,MIN(Assumptions!$G$24,MAX(Assumptions!$G$21,AB72*Assumptions!$G$22)))</f>
        <v>54726.9498085041</v>
      </c>
      <c r="AD16" s="53" t="n">
        <f aca="false">IF(AD8=0,Assumptions!$G$20,MIN(Assumptions!$G$24,MAX(Assumptions!$G$21,AC72*Assumptions!$G$22)))</f>
        <v>58862.5791637876</v>
      </c>
      <c r="AE16" s="53" t="n">
        <f aca="false">IF(AE8=0,Assumptions!$G$20,MIN(Assumptions!$G$24,MAX(Assumptions!$G$21,AD72*Assumptions!$G$22)))</f>
        <v>63300.7914452138</v>
      </c>
      <c r="AF16" s="53" t="n">
        <f aca="false">IF(AF8=0,Assumptions!$G$20,MIN(Assumptions!$G$24,MAX(Assumptions!$G$21,AE72*Assumptions!$G$22)))</f>
        <v>68069.2514659728</v>
      </c>
      <c r="AG16" s="53" t="n">
        <f aca="false">IF(AG8=0,Assumptions!$G$20,MIN(Assumptions!$G$24,MAX(Assumptions!$G$21,AF72*Assumptions!$G$22)))</f>
        <v>73197.374670564</v>
      </c>
      <c r="AH16" s="53" t="n">
        <f aca="false">IF(AH8=0,Assumptions!$G$20,MIN(Assumptions!$G$24,MAX(Assumptions!$G$21,AG72*Assumptions!$G$22)))</f>
        <v>78716.830107155</v>
      </c>
      <c r="AI16" s="53" t="n">
        <f aca="false">IF(AI8=0,Assumptions!$G$20,MIN(Assumptions!$G$24,MAX(Assumptions!$G$21,AH72*Assumptions!$G$22)))</f>
        <v>84661.8577815704</v>
      </c>
      <c r="AJ16" s="53" t="n">
        <f aca="false">IF(AJ8=0,Assumptions!$G$20,MIN(Assumptions!$G$24,MAX(Assumptions!$G$21,AI72*Assumptions!$G$22)))</f>
        <v>91069.5124435563</v>
      </c>
      <c r="AK16" s="53" t="n">
        <f aca="false">IF(AK8=0,Assumptions!$G$20,MIN(Assumptions!$G$24,MAX(Assumptions!$G$21,AJ72*Assumptions!$G$22)))</f>
        <v>97979.9184399668</v>
      </c>
      <c r="AL16" s="53" t="n">
        <f aca="false">IF(AL8=0,Assumptions!$G$20,MIN(Assumptions!$G$24,MAX(Assumptions!$G$21,AK72*Assumptions!$G$22)))</f>
        <v>105436.544613764</v>
      </c>
      <c r="AM16" s="53" t="n">
        <f aca="false">SUM(C16:AL16)</f>
        <v>1615565.49067013</v>
      </c>
    </row>
    <row r="17" customFormat="false" ht="15" hidden="false" customHeight="false" outlineLevel="0" collapsed="false">
      <c r="A17" s="10" t="s">
        <v>752</v>
      </c>
      <c r="B17" s="9" t="s">
        <v>84</v>
      </c>
      <c r="C17" s="61" t="n">
        <f aca="false">(C14*Assumptions!$G$27+C15*Assumptions!$G$28)*Assumptions!$G$29*C8</f>
        <v>0</v>
      </c>
      <c r="D17" s="61" t="n">
        <f aca="false">(D14*Assumptions!$G$27+D15*Assumptions!$G$28)*Assumptions!$G$29*D8</f>
        <v>124.696</v>
      </c>
      <c r="E17" s="61" t="n">
        <f aca="false">(E14*Assumptions!$G$27+E15*Assumptions!$G$28)*Assumptions!$G$29*E8</f>
        <v>135.91864</v>
      </c>
      <c r="F17" s="61" t="n">
        <f aca="false">(F14*Assumptions!$G$27+F15*Assumptions!$G$28)*Assumptions!$G$29*F8</f>
        <v>148.1513176</v>
      </c>
      <c r="G17" s="61" t="n">
        <f aca="false">(G14*Assumptions!$G$27+G15*Assumptions!$G$28)*Assumptions!$G$29*G8</f>
        <v>161.484936184</v>
      </c>
      <c r="H17" s="61" t="n">
        <f aca="false">(H14*Assumptions!$G$27+H15*Assumptions!$G$28)*Assumptions!$G$29*H8</f>
        <v>176.01858044056</v>
      </c>
      <c r="I17" s="61" t="n">
        <f aca="false">(I14*Assumptions!$G$27+I15*Assumptions!$G$28)*Assumptions!$G$29*I8</f>
        <v>191.860252680211</v>
      </c>
      <c r="J17" s="61" t="n">
        <f aca="false">(J14*Assumptions!$G$27+J15*Assumptions!$G$28)*Assumptions!$G$29*J8</f>
        <v>209.127675421429</v>
      </c>
      <c r="K17" s="61" t="n">
        <f aca="false">(K14*Assumptions!$G$27+K15*Assumptions!$G$28)*Assumptions!$G$29*K8</f>
        <v>227.949166209358</v>
      </c>
      <c r="L17" s="61" t="n">
        <f aca="false">(L14*Assumptions!$G$27+L15*Assumptions!$G$28)*Assumptions!$G$29*L8</f>
        <v>248.4645911682</v>
      </c>
      <c r="M17" s="61" t="n">
        <f aca="false">(M14*Assumptions!$G$27+M15*Assumptions!$G$28)*Assumptions!$G$29*M8</f>
        <v>270.826404373338</v>
      </c>
      <c r="N17" s="61" t="n">
        <f aca="false">(N14*Assumptions!$G$27+N15*Assumptions!$G$28)*Assumptions!$G$29*N8</f>
        <v>295.200780766939</v>
      </c>
      <c r="O17" s="61" t="n">
        <f aca="false">(O14*Assumptions!$G$27+O15*Assumptions!$G$28)*Assumptions!$G$29*O8</f>
        <v>321.768851035963</v>
      </c>
      <c r="P17" s="61" t="n">
        <f aca="false">(P14*Assumptions!$G$27+P15*Assumptions!$G$28)*Assumptions!$G$29*P8</f>
        <v>350.7280476292</v>
      </c>
      <c r="Q17" s="61" t="n">
        <f aca="false">(Q14*Assumptions!$G$27+Q15*Assumptions!$G$28)*Assumptions!$G$29*Q8</f>
        <v>382.293571915828</v>
      </c>
      <c r="R17" s="61" t="n">
        <f aca="false">(R14*Assumptions!$G$27+R15*Assumptions!$G$28)*Assumptions!$G$29*R8</f>
        <v>416.699993388253</v>
      </c>
      <c r="S17" s="61" t="n">
        <f aca="false">(S14*Assumptions!$G$27+S15*Assumptions!$G$28)*Assumptions!$G$29*S8</f>
        <v>454.202992793196</v>
      </c>
      <c r="T17" s="61" t="n">
        <f aca="false">(T14*Assumptions!$G$27+T15*Assumptions!$G$28)*Assumptions!$G$29*T8</f>
        <v>495.081262144583</v>
      </c>
      <c r="U17" s="61" t="n">
        <f aca="false">(U14*Assumptions!$G$27+U15*Assumptions!$G$28)*Assumptions!$G$29*U8</f>
        <v>539.638575737596</v>
      </c>
      <c r="V17" s="61" t="n">
        <f aca="false">(V14*Assumptions!$G$27+V15*Assumptions!$G$28)*Assumptions!$G$29*V8</f>
        <v>588.206047553979</v>
      </c>
      <c r="W17" s="61" t="n">
        <f aca="false">(W14*Assumptions!$G$27+W15*Assumptions!$G$28)*Assumptions!$G$29*W8</f>
        <v>641.144591833838</v>
      </c>
      <c r="X17" s="61" t="n">
        <f aca="false">(X14*Assumptions!$G$27+X15*Assumptions!$G$28)*Assumptions!$G$29*X8</f>
        <v>698.847605098883</v>
      </c>
      <c r="Y17" s="61" t="n">
        <f aca="false">(Y14*Assumptions!$G$27+Y15*Assumptions!$G$28)*Assumptions!$G$29*Y8</f>
        <v>761.743889557783</v>
      </c>
      <c r="Z17" s="61" t="n">
        <f aca="false">(Z14*Assumptions!$G$27+Z15*Assumptions!$G$28)*Assumptions!$G$29*Z8</f>
        <v>830.300839617983</v>
      </c>
      <c r="AA17" s="61" t="n">
        <f aca="false">(AA14*Assumptions!$G$27+AA15*Assumptions!$G$28)*Assumptions!$G$29*AA8</f>
        <v>905.027915183602</v>
      </c>
      <c r="AB17" s="61" t="n">
        <f aca="false">(AB14*Assumptions!$G$27+AB15*Assumptions!$G$28)*Assumptions!$G$29*AB8</f>
        <v>986.480427550126</v>
      </c>
      <c r="AC17" s="61" t="n">
        <f aca="false">(AC14*Assumptions!$G$27+AC15*Assumptions!$G$28)*Assumptions!$G$29*AC8</f>
        <v>1075.26366602964</v>
      </c>
      <c r="AD17" s="61" t="n">
        <f aca="false">(AD14*Assumptions!$G$27+AD15*Assumptions!$G$28)*Assumptions!$G$29*AD8</f>
        <v>1172.0373959723</v>
      </c>
      <c r="AE17" s="61" t="n">
        <f aca="false">(AE14*Assumptions!$G$27+AE15*Assumptions!$G$28)*Assumptions!$G$29*AE8</f>
        <v>1277.52076160981</v>
      </c>
      <c r="AF17" s="61" t="n">
        <f aca="false">(AF14*Assumptions!$G$27+AF15*Assumptions!$G$28)*Assumptions!$G$29*AF8</f>
        <v>1392.4976301547</v>
      </c>
      <c r="AG17" s="61" t="n">
        <f aca="false">(AG14*Assumptions!$G$27+AG15*Assumptions!$G$28)*Assumptions!$G$29*AG8</f>
        <v>1517.82241686862</v>
      </c>
      <c r="AH17" s="61" t="n">
        <f aca="false">(AH14*Assumptions!$G$27+AH15*Assumptions!$G$28)*Assumptions!$G$29*AH8</f>
        <v>1654.42643438679</v>
      </c>
      <c r="AI17" s="61" t="n">
        <f aca="false">(AI14*Assumptions!$G$27+AI15*Assumptions!$G$28)*Assumptions!$G$29*AI8</f>
        <v>1803.32481348161</v>
      </c>
      <c r="AJ17" s="61" t="n">
        <f aca="false">(AJ14*Assumptions!$G$27+AJ15*Assumptions!$G$28)*Assumptions!$G$29*AJ8</f>
        <v>1965.62404669495</v>
      </c>
      <c r="AK17" s="61" t="n">
        <f aca="false">(AK14*Assumptions!$G$27+AK15*Assumptions!$G$28)*Assumptions!$G$29*AK8</f>
        <v>2142.5302108975</v>
      </c>
      <c r="AL17" s="61" t="n">
        <f aca="false">(AL14*Assumptions!$G$27+AL15*Assumptions!$G$28)*Assumptions!$G$29*AL8</f>
        <v>2335.35792987827</v>
      </c>
      <c r="AM17" s="61" t="n">
        <f aca="false">SUM(C17:AL17)</f>
        <v>26898.268261859</v>
      </c>
    </row>
    <row r="18" customFormat="false" ht="15" hidden="false" customHeight="false" outlineLevel="0" collapsed="false">
      <c r="A18" s="10" t="s">
        <v>753</v>
      </c>
      <c r="B18" s="9" t="s">
        <v>97</v>
      </c>
      <c r="C18" s="70" t="n">
        <f aca="false">MIN(C16,C17*Assumptions!$G$30)</f>
        <v>0</v>
      </c>
      <c r="D18" s="70" t="n">
        <f aca="false">MIN(D16,D17*Assumptions!$G$30)</f>
        <v>137.1656</v>
      </c>
      <c r="E18" s="70" t="n">
        <f aca="false">MIN(E16,E17*Assumptions!$G$30)</f>
        <v>149.510504</v>
      </c>
      <c r="F18" s="70" t="n">
        <f aca="false">MIN(F16,F17*Assumptions!$G$30)</f>
        <v>162.96644936</v>
      </c>
      <c r="G18" s="70" t="n">
        <f aca="false">MIN(G16,G17*Assumptions!$G$30)</f>
        <v>177.6334298024</v>
      </c>
      <c r="H18" s="70" t="n">
        <f aca="false">MIN(H16,H17*Assumptions!$G$30)</f>
        <v>193.620438484616</v>
      </c>
      <c r="I18" s="70" t="n">
        <f aca="false">MIN(I16,I17*Assumptions!$G$30)</f>
        <v>211.046277948232</v>
      </c>
      <c r="J18" s="70" t="n">
        <f aca="false">MIN(J16,J17*Assumptions!$G$30)</f>
        <v>230.040442963572</v>
      </c>
      <c r="K18" s="70" t="n">
        <f aca="false">MIN(K16,K17*Assumptions!$G$30)</f>
        <v>250.744082830294</v>
      </c>
      <c r="L18" s="70" t="n">
        <f aca="false">MIN(L16,L17*Assumptions!$G$30)</f>
        <v>273.31105028502</v>
      </c>
      <c r="M18" s="70" t="n">
        <f aca="false">MIN(M16,M17*Assumptions!$G$30)</f>
        <v>297.909044810672</v>
      </c>
      <c r="N18" s="70" t="n">
        <f aca="false">MIN(N16,N17*Assumptions!$G$30)</f>
        <v>324.720858843633</v>
      </c>
      <c r="O18" s="70" t="n">
        <f aca="false">MIN(O16,O17*Assumptions!$G$30)</f>
        <v>353.94573613956</v>
      </c>
      <c r="P18" s="70" t="n">
        <f aca="false">MIN(P16,P17*Assumptions!$G$30)</f>
        <v>385.80085239212</v>
      </c>
      <c r="Q18" s="70" t="n">
        <f aca="false">MIN(Q16,Q17*Assumptions!$G$30)</f>
        <v>420.522929107411</v>
      </c>
      <c r="R18" s="70" t="n">
        <f aca="false">MIN(R16,R17*Assumptions!$G$30)</f>
        <v>458.369992727078</v>
      </c>
      <c r="S18" s="70" t="n">
        <f aca="false">MIN(S16,S17*Assumptions!$G$30)</f>
        <v>499.623292072515</v>
      </c>
      <c r="T18" s="70" t="n">
        <f aca="false">MIN(T16,T17*Assumptions!$G$30)</f>
        <v>544.589388359042</v>
      </c>
      <c r="U18" s="70" t="n">
        <f aca="false">MIN(U16,U17*Assumptions!$G$30)</f>
        <v>593.602433311355</v>
      </c>
      <c r="V18" s="70" t="n">
        <f aca="false">MIN(V16,V17*Assumptions!$G$30)</f>
        <v>647.026652309377</v>
      </c>
      <c r="W18" s="70" t="n">
        <f aca="false">MIN(W16,W17*Assumptions!$G$30)</f>
        <v>705.259051017221</v>
      </c>
      <c r="X18" s="70" t="n">
        <f aca="false">MIN(X16,X17*Assumptions!$G$30)</f>
        <v>768.732365608771</v>
      </c>
      <c r="Y18" s="70" t="n">
        <f aca="false">MIN(Y16,Y17*Assumptions!$G$30)</f>
        <v>837.918278513561</v>
      </c>
      <c r="Z18" s="70" t="n">
        <f aca="false">MIN(Z16,Z17*Assumptions!$G$30)</f>
        <v>913.330923579781</v>
      </c>
      <c r="AA18" s="70" t="n">
        <f aca="false">MIN(AA16,AA17*Assumptions!$G$30)</f>
        <v>995.530706701962</v>
      </c>
      <c r="AB18" s="70" t="n">
        <f aca="false">MIN(AB16,AB17*Assumptions!$G$30)</f>
        <v>1085.12847030514</v>
      </c>
      <c r="AC18" s="70" t="n">
        <f aca="false">MIN(AC16,AC17*Assumptions!$G$30)</f>
        <v>1182.7900326326</v>
      </c>
      <c r="AD18" s="70" t="n">
        <f aca="false">MIN(AD16,AD17*Assumptions!$G$30)</f>
        <v>1289.24113556954</v>
      </c>
      <c r="AE18" s="70" t="n">
        <f aca="false">MIN(AE16,AE17*Assumptions!$G$30)</f>
        <v>1405.27283777079</v>
      </c>
      <c r="AF18" s="70" t="n">
        <f aca="false">MIN(AF16,AF17*Assumptions!$G$30)</f>
        <v>1531.74739317017</v>
      </c>
      <c r="AG18" s="70" t="n">
        <f aca="false">MIN(AG16,AG17*Assumptions!$G$30)</f>
        <v>1669.60465855548</v>
      </c>
      <c r="AH18" s="70" t="n">
        <f aca="false">MIN(AH16,AH17*Assumptions!$G$30)</f>
        <v>1819.86907782547</v>
      </c>
      <c r="AI18" s="70" t="n">
        <f aca="false">MIN(AI16,AI17*Assumptions!$G$30)</f>
        <v>1983.65729482977</v>
      </c>
      <c r="AJ18" s="70" t="n">
        <f aca="false">MIN(AJ16,AJ17*Assumptions!$G$30)</f>
        <v>2162.18645136445</v>
      </c>
      <c r="AK18" s="70" t="n">
        <f aca="false">MIN(AK16,AK17*Assumptions!$G$30)</f>
        <v>2356.78323198725</v>
      </c>
      <c r="AL18" s="70" t="n">
        <f aca="false">MIN(AL16,AL17*Assumptions!$G$30)</f>
        <v>2568.8937228661</v>
      </c>
      <c r="AM18" s="70" t="n">
        <f aca="false">SUM(C18:AL18)</f>
        <v>29588.0950880449</v>
      </c>
    </row>
    <row r="19" customFormat="false" ht="15" hidden="false" customHeight="false" outlineLevel="0" collapsed="false">
      <c r="A19" s="10" t="s">
        <v>754</v>
      </c>
      <c r="B19" s="9" t="s">
        <v>84</v>
      </c>
      <c r="C19" s="61" t="n">
        <f aca="false">C18/Assumptions!$G$30</f>
        <v>0</v>
      </c>
      <c r="D19" s="61" t="n">
        <f aca="false">D18/Assumptions!$G$30</f>
        <v>124.696</v>
      </c>
      <c r="E19" s="61" t="n">
        <f aca="false">E18/Assumptions!$G$30</f>
        <v>135.91864</v>
      </c>
      <c r="F19" s="61" t="n">
        <f aca="false">F18/Assumptions!$G$30</f>
        <v>148.1513176</v>
      </c>
      <c r="G19" s="61" t="n">
        <f aca="false">G18/Assumptions!$G$30</f>
        <v>161.484936184</v>
      </c>
      <c r="H19" s="61" t="n">
        <f aca="false">H18/Assumptions!$G$30</f>
        <v>176.01858044056</v>
      </c>
      <c r="I19" s="61" t="n">
        <f aca="false">I18/Assumptions!$G$30</f>
        <v>191.860252680211</v>
      </c>
      <c r="J19" s="61" t="n">
        <f aca="false">J18/Assumptions!$G$30</f>
        <v>209.127675421429</v>
      </c>
      <c r="K19" s="61" t="n">
        <f aca="false">K18/Assumptions!$G$30</f>
        <v>227.949166209358</v>
      </c>
      <c r="L19" s="61" t="n">
        <f aca="false">L18/Assumptions!$G$30</f>
        <v>248.4645911682</v>
      </c>
      <c r="M19" s="61" t="n">
        <f aca="false">M18/Assumptions!$G$30</f>
        <v>270.826404373338</v>
      </c>
      <c r="N19" s="61" t="n">
        <f aca="false">N18/Assumptions!$G$30</f>
        <v>295.200780766939</v>
      </c>
      <c r="O19" s="61" t="n">
        <f aca="false">O18/Assumptions!$G$30</f>
        <v>321.768851035963</v>
      </c>
      <c r="P19" s="61" t="n">
        <f aca="false">P18/Assumptions!$G$30</f>
        <v>350.7280476292</v>
      </c>
      <c r="Q19" s="61" t="n">
        <f aca="false">Q18/Assumptions!$G$30</f>
        <v>382.293571915828</v>
      </c>
      <c r="R19" s="61" t="n">
        <f aca="false">R18/Assumptions!$G$30</f>
        <v>416.699993388253</v>
      </c>
      <c r="S19" s="61" t="n">
        <f aca="false">S18/Assumptions!$G$30</f>
        <v>454.202992793196</v>
      </c>
      <c r="T19" s="61" t="n">
        <f aca="false">T18/Assumptions!$G$30</f>
        <v>495.081262144583</v>
      </c>
      <c r="U19" s="61" t="n">
        <f aca="false">U18/Assumptions!$G$30</f>
        <v>539.638575737596</v>
      </c>
      <c r="V19" s="61" t="n">
        <f aca="false">V18/Assumptions!$G$30</f>
        <v>588.206047553979</v>
      </c>
      <c r="W19" s="61" t="n">
        <f aca="false">W18/Assumptions!$G$30</f>
        <v>641.144591833838</v>
      </c>
      <c r="X19" s="61" t="n">
        <f aca="false">X18/Assumptions!$G$30</f>
        <v>698.847605098883</v>
      </c>
      <c r="Y19" s="61" t="n">
        <f aca="false">Y18/Assumptions!$G$30</f>
        <v>761.743889557783</v>
      </c>
      <c r="Z19" s="61" t="n">
        <f aca="false">Z18/Assumptions!$G$30</f>
        <v>830.300839617983</v>
      </c>
      <c r="AA19" s="61" t="n">
        <f aca="false">AA18/Assumptions!$G$30</f>
        <v>905.027915183602</v>
      </c>
      <c r="AB19" s="61" t="n">
        <f aca="false">AB18/Assumptions!$G$30</f>
        <v>986.480427550126</v>
      </c>
      <c r="AC19" s="61" t="n">
        <f aca="false">AC18/Assumptions!$G$30</f>
        <v>1075.26366602964</v>
      </c>
      <c r="AD19" s="61" t="n">
        <f aca="false">AD18/Assumptions!$G$30</f>
        <v>1172.0373959723</v>
      </c>
      <c r="AE19" s="61" t="n">
        <f aca="false">AE18/Assumptions!$G$30</f>
        <v>1277.52076160981</v>
      </c>
      <c r="AF19" s="61" t="n">
        <f aca="false">AF18/Assumptions!$G$30</f>
        <v>1392.4976301547</v>
      </c>
      <c r="AG19" s="61" t="n">
        <f aca="false">AG18/Assumptions!$G$30</f>
        <v>1517.82241686862</v>
      </c>
      <c r="AH19" s="61" t="n">
        <f aca="false">AH18/Assumptions!$G$30</f>
        <v>1654.42643438679</v>
      </c>
      <c r="AI19" s="61" t="n">
        <f aca="false">AI18/Assumptions!$G$30</f>
        <v>1803.32481348161</v>
      </c>
      <c r="AJ19" s="61" t="n">
        <f aca="false">AJ18/Assumptions!$G$30</f>
        <v>1965.62404669495</v>
      </c>
      <c r="AK19" s="61" t="n">
        <f aca="false">AK18/Assumptions!$G$30</f>
        <v>2142.5302108975</v>
      </c>
      <c r="AL19" s="61" t="n">
        <f aca="false">AL18/Assumptions!$G$30</f>
        <v>2335.35792987827</v>
      </c>
      <c r="AM19" s="61" t="n">
        <f aca="false">SUM(C19:AL19)</f>
        <v>26898.268261859</v>
      </c>
    </row>
    <row r="20" customFormat="false" ht="15" hidden="false" customHeight="false" outlineLevel="0" collapsed="false">
      <c r="A20" s="10" t="s">
        <v>755</v>
      </c>
      <c r="B20" s="9" t="s">
        <v>51</v>
      </c>
      <c r="C20" s="61" t="n">
        <f aca="false">C8*(Assumptions!$G$35*C14)</f>
        <v>0</v>
      </c>
      <c r="D20" s="61" t="n">
        <f aca="false">D8*(Assumptions!$G$35*D14+Assumptions!$G$34*C29)</f>
        <v>3850.17639486682</v>
      </c>
      <c r="E20" s="61" t="n">
        <f aca="false">E8*(Assumptions!$G$35*E14+Assumptions!$G$34*D29)</f>
        <v>8670.87891725404</v>
      </c>
      <c r="F20" s="61" t="n">
        <f aca="false">F8*(Assumptions!$G$35*F14+Assumptions!$G$34*E29)</f>
        <v>9147.07340635962</v>
      </c>
      <c r="G20" s="61" t="n">
        <f aca="false">G8*(Assumptions!$G$35*G14+Assumptions!$G$34*F29)</f>
        <v>9315.41616260374</v>
      </c>
      <c r="H20" s="61" t="n">
        <f aca="false">H8*(Assumptions!$G$35*H14+Assumptions!$G$34*G29)</f>
        <v>9473.38444355746</v>
      </c>
      <c r="I20" s="61" t="n">
        <f aca="false">I8*(Assumptions!$G$35*I14+Assumptions!$G$34*H29)</f>
        <v>9643.70586910504</v>
      </c>
      <c r="J20" s="61" t="n">
        <f aca="false">J8*(Assumptions!$G$35*J14+Assumptions!$G$34*I29)</f>
        <v>9829.21023902729</v>
      </c>
      <c r="K20" s="61" t="n">
        <f aca="false">K8*(Assumptions!$G$35*K14+Assumptions!$G$34*J29)</f>
        <v>10031.3867682086</v>
      </c>
      <c r="L20" s="61" t="n">
        <f aca="false">L8*(Assumptions!$G$35*L14+Assumptions!$G$34*K29)</f>
        <v>10251.742424081</v>
      </c>
      <c r="M20" s="61" t="n">
        <f aca="false">M8*(Assumptions!$G$35*M14+Assumptions!$G$34*L29)</f>
        <v>10491.9108833363</v>
      </c>
      <c r="N20" s="61" t="n">
        <f aca="false">N8*(Assumptions!$G$35*N14+Assumptions!$G$34*M29)</f>
        <v>10753.6716344333</v>
      </c>
      <c r="O20" s="61" t="n">
        <f aca="false">O8*(Assumptions!$G$35*O14+Assumptions!$G$34*N29)</f>
        <v>11038.963544105</v>
      </c>
      <c r="P20" s="61" t="n">
        <f aca="false">P8*(Assumptions!$G$35*P14+Assumptions!$G$34*O29)</f>
        <v>11349.8990944603</v>
      </c>
      <c r="Q20" s="61" t="n">
        <f aca="false">Q8*(Assumptions!$G$35*Q14+Assumptions!$G$34*P29)</f>
        <v>11688.7798322353</v>
      </c>
      <c r="R20" s="61" t="n">
        <f aca="false">R8*(Assumptions!$G$35*R14+Assumptions!$G$34*Q29)</f>
        <v>12058.1131676468</v>
      </c>
      <c r="S20" s="61" t="n">
        <f aca="false">S8*(Assumptions!$G$35*S14+Assumptions!$G$34*R29)</f>
        <v>12460.6306382571</v>
      </c>
      <c r="T20" s="61" t="n">
        <f aca="false">T8*(Assumptions!$G$35*T14+Assumptions!$G$34*S29)</f>
        <v>12899.3077591558</v>
      </c>
      <c r="U20" s="61" t="n">
        <f aca="false">U8*(Assumptions!$G$35*U14+Assumptions!$G$34*T29)</f>
        <v>13377.3855888099</v>
      </c>
      <c r="V20" s="61" t="n">
        <f aca="false">V8*(Assumptions!$G$35*V14+Assumptions!$G$34*U29)</f>
        <v>14139.1296886925</v>
      </c>
      <c r="W20" s="61" t="n">
        <f aca="false">W8*(Assumptions!$G$35*W14+Assumptions!$G$34*V29)</f>
        <v>15091.4873046022</v>
      </c>
      <c r="X20" s="61" t="n">
        <f aca="false">X8*(Assumptions!$G$35*X14+Assumptions!$G$34*W29)</f>
        <v>16142.3309634347</v>
      </c>
      <c r="Y20" s="61" t="n">
        <f aca="false">Y8*(Assumptions!$G$35*Y14+Assumptions!$G$34*X29)</f>
        <v>17285.6879246022</v>
      </c>
      <c r="Z20" s="61" t="n">
        <f aca="false">Z8*(Assumptions!$G$35*Z14+Assumptions!$G$34*Y29)</f>
        <v>18527.0785587061</v>
      </c>
      <c r="AA20" s="61" t="n">
        <f aca="false">AA8*(Assumptions!$G$35*AA14+Assumptions!$G$34*Z29)</f>
        <v>19874.3163461666</v>
      </c>
      <c r="AB20" s="61" t="n">
        <f aca="false">AB8*(Assumptions!$G$35*AB14+Assumptions!$G$34*AA29)</f>
        <v>21336.1143768238</v>
      </c>
      <c r="AC20" s="61" t="n">
        <f aca="false">AC8*(Assumptions!$G$35*AC14+Assumptions!$G$34*AB29)</f>
        <v>22921.950790085</v>
      </c>
      <c r="AD20" s="61" t="n">
        <f aca="false">AD8*(Assumptions!$G$35*AD14+Assumptions!$G$34*AC29)</f>
        <v>24630.8907212911</v>
      </c>
      <c r="AE20" s="61" t="n">
        <f aca="false">AE8*(Assumptions!$G$35*AE14+Assumptions!$G$34*AD29)</f>
        <v>26468.3459670822</v>
      </c>
      <c r="AF20" s="61" t="n">
        <f aca="false">AF8*(Assumptions!$G$35*AF14+Assumptions!$G$34*AE29)</f>
        <v>28447.8386520057</v>
      </c>
      <c r="AG20" s="61" t="n">
        <f aca="false">AG8*(Assumptions!$G$35*AG14+Assumptions!$G$34*AF29)</f>
        <v>30582.0155346478</v>
      </c>
      <c r="AH20" s="61" t="n">
        <f aca="false">AH8*(Assumptions!$G$35*AH14+Assumptions!$G$34*AG29)</f>
        <v>32884.3220188576</v>
      </c>
      <c r="AI20" s="61" t="n">
        <f aca="false">AI8*(Assumptions!$G$35*AI14+Assumptions!$G$34*AH29)</f>
        <v>35369.2709590035</v>
      </c>
      <c r="AJ20" s="61" t="n">
        <f aca="false">AJ8*(Assumptions!$G$35*AJ14+Assumptions!$G$34*AI29)</f>
        <v>38052.5723931018</v>
      </c>
      <c r="AK20" s="61" t="n">
        <f aca="false">AK8*(Assumptions!$G$35*AK14+Assumptions!$G$34*AJ29)</f>
        <v>40951.2455271222</v>
      </c>
      <c r="AL20" s="61" t="n">
        <f aca="false">AL8*(Assumptions!$G$35*AL14+Assumptions!$G$34*AK29)</f>
        <v>44083.7363243795</v>
      </c>
      <c r="AM20" s="61" t="n">
        <f aca="false">AL20</f>
        <v>44083.7363243795</v>
      </c>
    </row>
    <row r="21" customFormat="false" ht="15" hidden="false" customHeight="false" outlineLevel="0" collapsed="false">
      <c r="A21" s="10" t="s">
        <v>756</v>
      </c>
      <c r="B21" s="9" t="s">
        <v>84</v>
      </c>
      <c r="C21" s="61" t="n">
        <f aca="false">C20*Assumptions!$G$36</f>
        <v>0</v>
      </c>
      <c r="D21" s="61" t="n">
        <f aca="false">D20*Assumptions!$G$36</f>
        <v>962.544098716705</v>
      </c>
      <c r="E21" s="61" t="n">
        <f aca="false">E20*Assumptions!$G$36</f>
        <v>2167.71972931351</v>
      </c>
      <c r="F21" s="61" t="n">
        <f aca="false">F20*Assumptions!$G$36</f>
        <v>2286.76835158991</v>
      </c>
      <c r="G21" s="61" t="n">
        <f aca="false">G20*Assumptions!$G$36</f>
        <v>2328.85404065093</v>
      </c>
      <c r="H21" s="61" t="n">
        <f aca="false">H20*Assumptions!$G$36</f>
        <v>2368.34611088937</v>
      </c>
      <c r="I21" s="61" t="n">
        <f aca="false">I20*Assumptions!$G$36</f>
        <v>2410.92646727626</v>
      </c>
      <c r="J21" s="61" t="n">
        <f aca="false">J20*Assumptions!$G$36</f>
        <v>2457.30255975682</v>
      </c>
      <c r="K21" s="61" t="n">
        <f aca="false">K20*Assumptions!$G$36</f>
        <v>2507.84669205215</v>
      </c>
      <c r="L21" s="61" t="n">
        <f aca="false">L20*Assumptions!$G$36</f>
        <v>2562.93560602024</v>
      </c>
      <c r="M21" s="61" t="n">
        <f aca="false">M20*Assumptions!$G$36</f>
        <v>2622.97772083409</v>
      </c>
      <c r="N21" s="61" t="n">
        <f aca="false">N20*Assumptions!$G$36</f>
        <v>2688.41790860833</v>
      </c>
      <c r="O21" s="61" t="n">
        <f aca="false">O20*Assumptions!$G$36</f>
        <v>2759.74088602625</v>
      </c>
      <c r="P21" s="61" t="n">
        <f aca="false">P20*Assumptions!$G$36</f>
        <v>2837.47477361508</v>
      </c>
      <c r="Q21" s="61" t="n">
        <f aca="false">Q20*Assumptions!$G$36</f>
        <v>2922.19495805883</v>
      </c>
      <c r="R21" s="61" t="n">
        <f aca="false">R20*Assumptions!$G$36</f>
        <v>3014.5282919117</v>
      </c>
      <c r="S21" s="61" t="n">
        <f aca="false">S20*Assumptions!$G$36</f>
        <v>3115.15765956427</v>
      </c>
      <c r="T21" s="61" t="n">
        <f aca="false">T20*Assumptions!$G$36</f>
        <v>3224.82693978894</v>
      </c>
      <c r="U21" s="61" t="n">
        <f aca="false">U20*Assumptions!$G$36</f>
        <v>3344.34639720247</v>
      </c>
      <c r="V21" s="61" t="n">
        <f aca="false">V20*Assumptions!$G$36</f>
        <v>3534.78242217313</v>
      </c>
      <c r="W21" s="61" t="n">
        <f aca="false">W20*Assumptions!$G$36</f>
        <v>3772.87182615054</v>
      </c>
      <c r="X21" s="61" t="n">
        <f aca="false">X20*Assumptions!$G$36</f>
        <v>4035.58274085868</v>
      </c>
      <c r="Y21" s="61" t="n">
        <f aca="false">Y20*Assumptions!$G$36</f>
        <v>4321.42198115056</v>
      </c>
      <c r="Z21" s="61" t="n">
        <f aca="false">Z20*Assumptions!$G$36</f>
        <v>4631.76963967652</v>
      </c>
      <c r="AA21" s="61" t="n">
        <f aca="false">AA20*Assumptions!$G$36</f>
        <v>4968.57908654166</v>
      </c>
      <c r="AB21" s="61" t="n">
        <f aca="false">AB20*Assumptions!$G$36</f>
        <v>5334.02859420596</v>
      </c>
      <c r="AC21" s="61" t="n">
        <f aca="false">AC20*Assumptions!$G$36</f>
        <v>5730.48769752125</v>
      </c>
      <c r="AD21" s="61" t="n">
        <f aca="false">AD20*Assumptions!$G$36</f>
        <v>6157.72268032277</v>
      </c>
      <c r="AE21" s="61" t="n">
        <f aca="false">AE20*Assumptions!$G$36</f>
        <v>6617.08649177055</v>
      </c>
      <c r="AF21" s="61" t="n">
        <f aca="false">AF20*Assumptions!$G$36</f>
        <v>7111.95966300143</v>
      </c>
      <c r="AG21" s="61" t="n">
        <f aca="false">AG20*Assumptions!$G$36</f>
        <v>7645.50388366194</v>
      </c>
      <c r="AH21" s="61" t="n">
        <f aca="false">AH20*Assumptions!$G$36</f>
        <v>8221.0805047144</v>
      </c>
      <c r="AI21" s="61" t="n">
        <f aca="false">AI20*Assumptions!$G$36</f>
        <v>8842.31773975088</v>
      </c>
      <c r="AJ21" s="61" t="n">
        <f aca="false">AJ20*Assumptions!$G$36</f>
        <v>9513.14309827546</v>
      </c>
      <c r="AK21" s="61" t="n">
        <f aca="false">AK20*Assumptions!$G$36</f>
        <v>10237.8113817805</v>
      </c>
      <c r="AL21" s="61" t="n">
        <f aca="false">AL20*Assumptions!$G$36</f>
        <v>11020.9340810949</v>
      </c>
      <c r="AM21" s="61" t="n">
        <f aca="false">SUM(C21:AL21)</f>
        <v>158279.992704527</v>
      </c>
    </row>
    <row r="22" customFormat="false" ht="15" hidden="false" customHeight="false" outlineLevel="0" collapsed="false">
      <c r="A22" s="10" t="s">
        <v>757</v>
      </c>
      <c r="B22" s="9" t="s">
        <v>97</v>
      </c>
      <c r="C22" s="70" t="n">
        <f aca="false">MIN(MAX(0,C16-C18),C21*Assumptions!$G$37)</f>
        <v>0</v>
      </c>
      <c r="D22" s="70" t="n">
        <f aca="false">MIN(MAX(0,D16-D18),D21*Assumptions!$G$37)</f>
        <v>1395.68894313922</v>
      </c>
      <c r="E22" s="70" t="n">
        <f aca="false">MIN(MAX(0,E16-E18),E21*Assumptions!$G$37)</f>
        <v>3143.19360750459</v>
      </c>
      <c r="F22" s="70" t="n">
        <f aca="false">MIN(MAX(0,F16-F18),F21*Assumptions!$G$37)</f>
        <v>3315.81410980536</v>
      </c>
      <c r="G22" s="70" t="n">
        <f aca="false">MIN(MAX(0,G16-G18),G21*Assumptions!$G$37)</f>
        <v>3376.83835894386</v>
      </c>
      <c r="H22" s="70" t="n">
        <f aca="false">MIN(MAX(0,H16-H18),H21*Assumptions!$G$37)</f>
        <v>3434.10186078958</v>
      </c>
      <c r="I22" s="70" t="n">
        <f aca="false">MIN(MAX(0,I16-I18),I21*Assumptions!$G$37)</f>
        <v>3495.84337755058</v>
      </c>
      <c r="J22" s="70" t="n">
        <f aca="false">MIN(MAX(0,J16-J18),J21*Assumptions!$G$37)</f>
        <v>3563.08871164739</v>
      </c>
      <c r="K22" s="70" t="n">
        <f aca="false">MIN(MAX(0,K16-K18),K21*Assumptions!$G$37)</f>
        <v>3636.37770347562</v>
      </c>
      <c r="L22" s="70" t="n">
        <f aca="false">MIN(MAX(0,L16-L18),L21*Assumptions!$G$37)</f>
        <v>3716.25662872935</v>
      </c>
      <c r="M22" s="70" t="n">
        <f aca="false">MIN(MAX(0,M16-M18),M21*Assumptions!$G$37)</f>
        <v>3803.31769520942</v>
      </c>
      <c r="N22" s="70" t="n">
        <f aca="false">MIN(MAX(0,N16-N18),N21*Assumptions!$G$37)</f>
        <v>3898.20596748208</v>
      </c>
      <c r="O22" s="70" t="n">
        <f aca="false">MIN(MAX(0,O16-O18),O21*Assumptions!$G$37)</f>
        <v>4001.62428473807</v>
      </c>
      <c r="P22" s="70" t="n">
        <f aca="false">MIN(MAX(0,P16-P18),P21*Assumptions!$G$37)</f>
        <v>4114.33842174186</v>
      </c>
      <c r="Q22" s="70" t="n">
        <f aca="false">MIN(MAX(0,Q16-Q18),Q21*Assumptions!$G$37)</f>
        <v>4237.1826891853</v>
      </c>
      <c r="R22" s="70" t="n">
        <f aca="false">MIN(MAX(0,R16-R18),R21*Assumptions!$G$37)</f>
        <v>4371.06602327197</v>
      </c>
      <c r="S22" s="70" t="n">
        <f aca="false">MIN(MAX(0,S16-S18),S21*Assumptions!$G$37)</f>
        <v>4516.9786063682</v>
      </c>
      <c r="T22" s="70" t="n">
        <f aca="false">MIN(MAX(0,T16-T18),T21*Assumptions!$G$37)</f>
        <v>4675.99906269396</v>
      </c>
      <c r="U22" s="70" t="n">
        <f aca="false">MIN(MAX(0,U16-U18),U21*Assumptions!$G$37)</f>
        <v>4849.30227594358</v>
      </c>
      <c r="V22" s="70" t="n">
        <f aca="false">MIN(MAX(0,V16-V18),V21*Assumptions!$G$37)</f>
        <v>5125.43451215104</v>
      </c>
      <c r="W22" s="70" t="n">
        <f aca="false">MIN(MAX(0,W16-W18),W21*Assumptions!$G$37)</f>
        <v>5470.66414791828</v>
      </c>
      <c r="X22" s="70" t="n">
        <f aca="false">MIN(MAX(0,X16-X18),X21*Assumptions!$G$37)</f>
        <v>5851.59497424509</v>
      </c>
      <c r="Y22" s="70" t="n">
        <f aca="false">MIN(MAX(0,Y16-Y18),Y21*Assumptions!$G$37)</f>
        <v>6266.06187266831</v>
      </c>
      <c r="Z22" s="70" t="n">
        <f aca="false">MIN(MAX(0,Z16-Z18),Z21*Assumptions!$G$37)</f>
        <v>6716.06597753095</v>
      </c>
      <c r="AA22" s="70" t="n">
        <f aca="false">MIN(MAX(0,AA16-AA18),AA21*Assumptions!$G$37)</f>
        <v>7204.4396754854</v>
      </c>
      <c r="AB22" s="70" t="n">
        <f aca="false">MIN(MAX(0,AB16-AB18),AB21*Assumptions!$G$37)</f>
        <v>7734.34146159864</v>
      </c>
      <c r="AC22" s="70" t="n">
        <f aca="false">MIN(MAX(0,AC16-AC18),AC21*Assumptions!$G$37)</f>
        <v>8309.20716140582</v>
      </c>
      <c r="AD22" s="70" t="n">
        <f aca="false">MIN(MAX(0,AD16-AD18),AD21*Assumptions!$G$37)</f>
        <v>8928.69788646802</v>
      </c>
      <c r="AE22" s="70" t="n">
        <f aca="false">MIN(MAX(0,AE16-AE18),AE21*Assumptions!$G$37)</f>
        <v>9594.77541306729</v>
      </c>
      <c r="AF22" s="70" t="n">
        <f aca="false">MIN(MAX(0,AF16-AF18),AF21*Assumptions!$G$37)</f>
        <v>10312.3415113521</v>
      </c>
      <c r="AG22" s="70" t="n">
        <f aca="false">MIN(MAX(0,AG16-AG18),AG21*Assumptions!$G$37)</f>
        <v>11085.9806313098</v>
      </c>
      <c r="AH22" s="70" t="n">
        <f aca="false">MIN(MAX(0,AH16-AH18),AH21*Assumptions!$G$37)</f>
        <v>11920.5667318359</v>
      </c>
      <c r="AI22" s="70" t="n">
        <f aca="false">MIN(MAX(0,AI16-AI18),AI21*Assumptions!$G$37)</f>
        <v>12821.3607226388</v>
      </c>
      <c r="AJ22" s="70" t="n">
        <f aca="false">MIN(MAX(0,AJ16-AJ18),AJ21*Assumptions!$G$37)</f>
        <v>13794.0574924994</v>
      </c>
      <c r="AK22" s="70" t="n">
        <f aca="false">MIN(MAX(0,AK16-AK18),AK21*Assumptions!$G$37)</f>
        <v>14844.8265035818</v>
      </c>
      <c r="AL22" s="70" t="n">
        <f aca="false">MIN(MAX(0,AL16-AL18),AL21*Assumptions!$G$37)</f>
        <v>15980.3544175876</v>
      </c>
      <c r="AM22" s="70" t="n">
        <f aca="false">SUM(C22:AL22)</f>
        <v>229505.989421564</v>
      </c>
    </row>
    <row r="23" customFormat="false" ht="15" hidden="false" customHeight="false" outlineLevel="0" collapsed="false">
      <c r="A23" s="10" t="s">
        <v>758</v>
      </c>
      <c r="B23" s="9" t="s">
        <v>84</v>
      </c>
      <c r="C23" s="61" t="n">
        <f aca="false">C22/Assumptions!$G$37</f>
        <v>0</v>
      </c>
      <c r="D23" s="61" t="n">
        <f aca="false">D22/Assumptions!$G$37</f>
        <v>962.544098716705</v>
      </c>
      <c r="E23" s="61" t="n">
        <f aca="false">E22/Assumptions!$G$37</f>
        <v>2167.71972931351</v>
      </c>
      <c r="F23" s="61" t="n">
        <f aca="false">F22/Assumptions!$G$37</f>
        <v>2286.76835158991</v>
      </c>
      <c r="G23" s="61" t="n">
        <f aca="false">G22/Assumptions!$G$37</f>
        <v>2328.85404065093</v>
      </c>
      <c r="H23" s="61" t="n">
        <f aca="false">H22/Assumptions!$G$37</f>
        <v>2368.34611088937</v>
      </c>
      <c r="I23" s="61" t="n">
        <f aca="false">I22/Assumptions!$G$37</f>
        <v>2410.92646727626</v>
      </c>
      <c r="J23" s="61" t="n">
        <f aca="false">J22/Assumptions!$G$37</f>
        <v>2457.30255975682</v>
      </c>
      <c r="K23" s="61" t="n">
        <f aca="false">K22/Assumptions!$G$37</f>
        <v>2507.84669205215</v>
      </c>
      <c r="L23" s="61" t="n">
        <f aca="false">L22/Assumptions!$G$37</f>
        <v>2562.93560602024</v>
      </c>
      <c r="M23" s="61" t="n">
        <f aca="false">M22/Assumptions!$G$37</f>
        <v>2622.97772083409</v>
      </c>
      <c r="N23" s="61" t="n">
        <f aca="false">N22/Assumptions!$G$37</f>
        <v>2688.41790860833</v>
      </c>
      <c r="O23" s="61" t="n">
        <f aca="false">O22/Assumptions!$G$37</f>
        <v>2759.74088602625</v>
      </c>
      <c r="P23" s="61" t="n">
        <f aca="false">P22/Assumptions!$G$37</f>
        <v>2837.47477361507</v>
      </c>
      <c r="Q23" s="61" t="n">
        <f aca="false">Q22/Assumptions!$G$37</f>
        <v>2922.19495805883</v>
      </c>
      <c r="R23" s="61" t="n">
        <f aca="false">R22/Assumptions!$G$37</f>
        <v>3014.5282919117</v>
      </c>
      <c r="S23" s="61" t="n">
        <f aca="false">S22/Assumptions!$G$37</f>
        <v>3115.15765956427</v>
      </c>
      <c r="T23" s="61" t="n">
        <f aca="false">T22/Assumptions!$G$37</f>
        <v>3224.82693978894</v>
      </c>
      <c r="U23" s="61" t="n">
        <f aca="false">U22/Assumptions!$G$37</f>
        <v>3344.34639720247</v>
      </c>
      <c r="V23" s="61" t="n">
        <f aca="false">V22/Assumptions!$G$37</f>
        <v>3534.78242217313</v>
      </c>
      <c r="W23" s="61" t="n">
        <f aca="false">W22/Assumptions!$G$37</f>
        <v>3772.87182615054</v>
      </c>
      <c r="X23" s="61" t="n">
        <f aca="false">X22/Assumptions!$G$37</f>
        <v>4035.58274085868</v>
      </c>
      <c r="Y23" s="61" t="n">
        <f aca="false">Y22/Assumptions!$G$37</f>
        <v>4321.42198115056</v>
      </c>
      <c r="Z23" s="61" t="n">
        <f aca="false">Z22/Assumptions!$G$37</f>
        <v>4631.76963967652</v>
      </c>
      <c r="AA23" s="61" t="n">
        <f aca="false">AA22/Assumptions!$G$37</f>
        <v>4968.57908654166</v>
      </c>
      <c r="AB23" s="61" t="n">
        <f aca="false">AB22/Assumptions!$G$37</f>
        <v>5334.02859420596</v>
      </c>
      <c r="AC23" s="61" t="n">
        <f aca="false">AC22/Assumptions!$G$37</f>
        <v>5730.48769752125</v>
      </c>
      <c r="AD23" s="61" t="n">
        <f aca="false">AD22/Assumptions!$G$37</f>
        <v>6157.72268032277</v>
      </c>
      <c r="AE23" s="61" t="n">
        <f aca="false">AE22/Assumptions!$G$37</f>
        <v>6617.08649177055</v>
      </c>
      <c r="AF23" s="61" t="n">
        <f aca="false">AF22/Assumptions!$G$37</f>
        <v>7111.95966300143</v>
      </c>
      <c r="AG23" s="61" t="n">
        <f aca="false">AG22/Assumptions!$G$37</f>
        <v>7645.50388366194</v>
      </c>
      <c r="AH23" s="61" t="n">
        <f aca="false">AH22/Assumptions!$G$37</f>
        <v>8221.0805047144</v>
      </c>
      <c r="AI23" s="61" t="n">
        <f aca="false">AI22/Assumptions!$G$37</f>
        <v>8842.31773975088</v>
      </c>
      <c r="AJ23" s="61" t="n">
        <f aca="false">AJ22/Assumptions!$G$37</f>
        <v>9513.14309827546</v>
      </c>
      <c r="AK23" s="61" t="n">
        <f aca="false">AK22/Assumptions!$G$37</f>
        <v>10237.8113817805</v>
      </c>
      <c r="AL23" s="61" t="n">
        <f aca="false">AL22/Assumptions!$G$37</f>
        <v>11020.9340810949</v>
      </c>
      <c r="AM23" s="61" t="n">
        <f aca="false">SUM(C23:AL23)</f>
        <v>158279.992704527</v>
      </c>
    </row>
    <row r="24" customFormat="false" ht="15" hidden="false" customHeight="false" outlineLevel="0" collapsed="false">
      <c r="A24" s="10" t="s">
        <v>759</v>
      </c>
      <c r="B24" s="9" t="s">
        <v>97</v>
      </c>
      <c r="C24" s="70" t="n">
        <f aca="false">MAX(0,C16-C18-C22)</f>
        <v>8000</v>
      </c>
      <c r="D24" s="70" t="n">
        <f aca="false">MAX(0,D16-D18-D22)</f>
        <v>28467.1454568608</v>
      </c>
      <c r="E24" s="70" t="n">
        <f aca="false">MAX(0,E16-E18-E22)</f>
        <v>26707.2958884954</v>
      </c>
      <c r="F24" s="70" t="n">
        <f aca="false">MAX(0,F16-F18-F22)</f>
        <v>26521.2194408346</v>
      </c>
      <c r="G24" s="70" t="n">
        <f aca="false">MAX(0,G16-G18-G22)</f>
        <v>26445.5282112537</v>
      </c>
      <c r="H24" s="70" t="n">
        <f aca="false">MAX(0,H16-H18-H22)</f>
        <v>26372.2777007258</v>
      </c>
      <c r="I24" s="70" t="n">
        <f aca="false">MAX(0,I16-I18-I22)</f>
        <v>26293.1103445012</v>
      </c>
      <c r="J24" s="70" t="n">
        <f aca="false">MAX(0,J16-J18-J22)</f>
        <v>26206.870845389</v>
      </c>
      <c r="K24" s="70" t="n">
        <f aca="false">MAX(0,K16-K18-K22)</f>
        <v>26112.8782136941</v>
      </c>
      <c r="L24" s="70" t="n">
        <f aca="false">MAX(0,L16-L18-L22)</f>
        <v>26010.4323209856</v>
      </c>
      <c r="M24" s="70" t="n">
        <f aca="false">MAX(0,M16-M18-M22)</f>
        <v>25898.7732599799</v>
      </c>
      <c r="N24" s="70" t="n">
        <f aca="false">MAX(0,N16-N18-N22)</f>
        <v>25777.0731736743</v>
      </c>
      <c r="O24" s="70" t="n">
        <f aca="false">MAX(0,O16-O18-O22)</f>
        <v>25644.4299791224</v>
      </c>
      <c r="P24" s="70" t="n">
        <f aca="false">MAX(0,P16-P18-P22)</f>
        <v>25499.860725866</v>
      </c>
      <c r="Q24" s="70" t="n">
        <f aca="false">MAX(0,Q16-Q18-Q22)</f>
        <v>25342.2943817073</v>
      </c>
      <c r="R24" s="70" t="n">
        <f aca="false">MAX(0,R16-R18-R22)</f>
        <v>25170.563984001</v>
      </c>
      <c r="S24" s="70" t="n">
        <f aca="false">MAX(0,S16-S18-S22)</f>
        <v>24983.3981015593</v>
      </c>
      <c r="T24" s="70" t="n">
        <f aca="false">MAX(0,T16-T18-T22)</f>
        <v>24779.411548947</v>
      </c>
      <c r="U24" s="70" t="n">
        <f aca="false">MAX(0,U16-U18-U22)</f>
        <v>25885.7304177013</v>
      </c>
      <c r="V24" s="70" t="n">
        <f aca="false">MAX(0,V16-V18-V22)</f>
        <v>27607.2976319904</v>
      </c>
      <c r="W24" s="70" t="n">
        <f aca="false">MAX(0,W16-W18-W22)</f>
        <v>29493.0614551789</v>
      </c>
      <c r="X24" s="70" t="n">
        <f aca="false">MAX(0,X16-X18-X22)</f>
        <v>31562.4935733989</v>
      </c>
      <c r="Y24" s="70" t="n">
        <f aca="false">MAX(0,Y16-Y18-Y22)</f>
        <v>33831.7203909269</v>
      </c>
      <c r="Z24" s="70" t="n">
        <f aca="false">MAX(0,Z16-Z18-Z22)</f>
        <v>36319.4229131112</v>
      </c>
      <c r="AA24" s="70" t="n">
        <f aca="false">MAX(0,AA16-AA18-AA22)</f>
        <v>39045.9922600131</v>
      </c>
      <c r="AB24" s="70" t="n">
        <f aca="false">MAX(0,AB16-AB18-AB22)</f>
        <v>42033.7283088712</v>
      </c>
      <c r="AC24" s="70" t="n">
        <f aca="false">MAX(0,AC16-AC18-AC22)</f>
        <v>45234.9526144656</v>
      </c>
      <c r="AD24" s="70" t="n">
        <f aca="false">MAX(0,AD16-AD18-AD22)</f>
        <v>48644.6401417501</v>
      </c>
      <c r="AE24" s="70" t="n">
        <f aca="false">MAX(0,AE16-AE18-AE22)</f>
        <v>52300.7431943757</v>
      </c>
      <c r="AF24" s="70" t="n">
        <f aca="false">MAX(0,AF16-AF18-AF22)</f>
        <v>56225.1625614506</v>
      </c>
      <c r="AG24" s="70" t="n">
        <f aca="false">MAX(0,AG16-AG18-AG22)</f>
        <v>60441.7893806987</v>
      </c>
      <c r="AH24" s="70" t="n">
        <f aca="false">MAX(0,AH16-AH18-AH22)</f>
        <v>64976.3942974937</v>
      </c>
      <c r="AI24" s="70" t="n">
        <f aca="false">MAX(0,AI16-AI18-AI22)</f>
        <v>69856.8397641019</v>
      </c>
      <c r="AJ24" s="70" t="n">
        <f aca="false">MAX(0,AJ16-AJ18-AJ22)</f>
        <v>75113.2684996925</v>
      </c>
      <c r="AK24" s="70" t="n">
        <f aca="false">MAX(0,AK16-AK18-AK22)</f>
        <v>80778.3087043978</v>
      </c>
      <c r="AL24" s="70" t="n">
        <f aca="false">MAX(0,AL16-AL18-AL22)</f>
        <v>86887.2964733099</v>
      </c>
      <c r="AM24" s="70" t="n">
        <f aca="false">SUM(C24:AL24)</f>
        <v>1356471.40616053</v>
      </c>
    </row>
    <row r="25" customFormat="false" ht="15" hidden="false" customHeight="false" outlineLevel="0" collapsed="false">
      <c r="A25" s="10" t="s">
        <v>760</v>
      </c>
      <c r="B25" s="9" t="s">
        <v>84</v>
      </c>
      <c r="C25" s="61" t="n">
        <f aca="false">(Assumptions!$G$21/(Assumptions!$G$41*Assumptions!$G$42))*(C24/Assumptions!$G$21)^Assumptions!$G$25</f>
        <v>4800.32071793967</v>
      </c>
      <c r="D25" s="61" t="n">
        <f aca="false">(Assumptions!$G$21/(Assumptions!$G$41*Assumptions!$G$42))*(D24/Assumptions!$G$21)^Assumptions!$G$25</f>
        <v>12279.9942962906</v>
      </c>
      <c r="E25" s="61" t="n">
        <f aca="false">(Assumptions!$G$21/(Assumptions!$G$41*Assumptions!$G$42))*(E24/Assumptions!$G$21)^Assumptions!$G$25</f>
        <v>11713.584187704</v>
      </c>
      <c r="F25" s="61" t="n">
        <f aca="false">(Assumptions!$G$21/(Assumptions!$G$41*Assumptions!$G$42))*(F24/Assumptions!$G$21)^Assumptions!$G$25</f>
        <v>11653.1368264533</v>
      </c>
      <c r="G25" s="61" t="n">
        <f aca="false">(Assumptions!$G$21/(Assumptions!$G$41*Assumptions!$G$42))*(G24/Assumptions!$G$21)^Assumptions!$G$25</f>
        <v>11628.5168330877</v>
      </c>
      <c r="H25" s="61" t="n">
        <f aca="false">(Assumptions!$G$21/(Assumptions!$G$41*Assumptions!$G$42))*(H24/Assumptions!$G$21)^Assumptions!$G$25</f>
        <v>11604.6732789901</v>
      </c>
      <c r="I25" s="61" t="n">
        <f aca="false">(Assumptions!$G$21/(Assumptions!$G$41*Assumptions!$G$42))*(I24/Assumptions!$G$21)^Assumptions!$G$25</f>
        <v>11578.8843798793</v>
      </c>
      <c r="J25" s="61" t="n">
        <f aca="false">(Assumptions!$G$21/(Assumptions!$G$41*Assumptions!$G$42))*(J24/Assumptions!$G$21)^Assumptions!$G$25</f>
        <v>11550.7687321316</v>
      </c>
      <c r="K25" s="61" t="n">
        <f aca="false">(Assumptions!$G$21/(Assumptions!$G$41*Assumptions!$G$42))*(K24/Assumptions!$G$21)^Assumptions!$G$25</f>
        <v>11520.0980101673</v>
      </c>
      <c r="L25" s="61" t="n">
        <f aca="false">(Assumptions!$G$21/(Assumptions!$G$41*Assumptions!$G$42))*(L24/Assumptions!$G$21)^Assumptions!$G$25</f>
        <v>11486.6361941045</v>
      </c>
      <c r="M25" s="61" t="n">
        <f aca="false">(Assumptions!$G$21/(Assumptions!$G$41*Assumptions!$G$42))*(M24/Assumptions!$G$21)^Assumptions!$G$25</f>
        <v>11450.1260351141</v>
      </c>
      <c r="N25" s="61" t="n">
        <f aca="false">(Assumptions!$G$21/(Assumptions!$G$41*Assumptions!$G$42))*(N24/Assumptions!$G$21)^Assumptions!$G$25</f>
        <v>11410.2860264165</v>
      </c>
      <c r="O25" s="61" t="n">
        <f aca="false">(Assumptions!$G$21/(Assumptions!$G$41*Assumptions!$G$42))*(O24/Assumptions!$G$21)^Assumptions!$G$25</f>
        <v>11366.8079147614</v>
      </c>
      <c r="P25" s="61" t="n">
        <f aca="false">(Assumptions!$G$21/(Assumptions!$G$41*Assumptions!$G$42))*(P24/Assumptions!$G$21)^Assumptions!$G$25</f>
        <v>11319.3539997409</v>
      </c>
      <c r="Q25" s="61" t="n">
        <f aca="false">(Assumptions!$G$21/(Assumptions!$G$41*Assumptions!$G$42))*(Q24/Assumptions!$G$21)^Assumptions!$G$25</f>
        <v>11267.5541330998</v>
      </c>
      <c r="R25" s="61" t="n">
        <f aca="false">(Assumptions!$G$21/(Assumptions!$G$41*Assumptions!$G$42))*(R24/Assumptions!$G$21)^Assumptions!$G$25</f>
        <v>11211.0023729458</v>
      </c>
      <c r="S25" s="61" t="n">
        <f aca="false">(Assumptions!$G$21/(Assumptions!$G$41*Assumptions!$G$42))*(S24/Assumptions!$G$21)^Assumptions!$G$25</f>
        <v>11149.2532441405</v>
      </c>
      <c r="T25" s="61" t="n">
        <f aca="false">(Assumptions!$G$21/(Assumptions!$G$41*Assumptions!$G$42))*(T24/Assumptions!$G$21)^Assumptions!$G$25</f>
        <v>11081.8175476676</v>
      </c>
      <c r="U25" s="61" t="n">
        <f aca="false">(Assumptions!$G$21/(Assumptions!$G$41*Assumptions!$G$42))*(U24/Assumptions!$G$21)^Assumptions!$G$25</f>
        <v>11445.8586339248</v>
      </c>
      <c r="V25" s="61" t="n">
        <f aca="false">(Assumptions!$G$21/(Assumptions!$G$41*Assumptions!$G$42))*(V24/Assumptions!$G$21)^Assumptions!$G$25</f>
        <v>12004.4245961688</v>
      </c>
      <c r="W25" s="61" t="n">
        <f aca="false">(Assumptions!$G$21/(Assumptions!$G$41*Assumptions!$G$42))*(W24/Assumptions!$G$21)^Assumptions!$G$25</f>
        <v>12605.9725536938</v>
      </c>
      <c r="X25" s="61" t="n">
        <f aca="false">(Assumptions!$G$21/(Assumptions!$G$41*Assumptions!$G$42))*(X24/Assumptions!$G$21)^Assumptions!$G$25</f>
        <v>13254.7161321869</v>
      </c>
      <c r="Y25" s="61" t="n">
        <f aca="false">(Assumptions!$G$21/(Assumptions!$G$41*Assumptions!$G$42))*(Y24/Assumptions!$G$21)^Assumptions!$G$25</f>
        <v>13953.510555723</v>
      </c>
      <c r="Z25" s="61" t="n">
        <f aca="false">(Assumptions!$G$21/(Assumptions!$G$41*Assumptions!$G$42))*(Z24/Assumptions!$G$21)^Assumptions!$G$25</f>
        <v>14705.726311292</v>
      </c>
      <c r="AA25" s="61" t="n">
        <f aca="false">(Assumptions!$G$21/(Assumptions!$G$41*Assumptions!$G$42))*(AA24/Assumptions!$G$21)^Assumptions!$G$25</f>
        <v>15514.9452445635</v>
      </c>
      <c r="AB25" s="61" t="n">
        <f aca="false">(Assumptions!$G$21/(Assumptions!$G$41*Assumptions!$G$42))*(AB24/Assumptions!$G$21)^Assumptions!$G$25</f>
        <v>16384.9876891478</v>
      </c>
      <c r="AC25" s="61" t="n">
        <f aca="false">(Assumptions!$G$21/(Assumptions!$G$41*Assumptions!$G$42))*(AC24/Assumptions!$G$21)^Assumptions!$G$25</f>
        <v>17299.5388878769</v>
      </c>
      <c r="AD25" s="61" t="n">
        <f aca="false">(Assumptions!$G$21/(Assumptions!$G$41*Assumptions!$G$42))*(AD24/Assumptions!$G$21)^Assumptions!$G$25</f>
        <v>18255.3246266247</v>
      </c>
      <c r="AE25" s="61" t="n">
        <f aca="false">(Assumptions!$G$21/(Assumptions!$G$41*Assumptions!$G$42))*(AE24/Assumptions!$G$21)^Assumptions!$G$25</f>
        <v>19261.0287962316</v>
      </c>
      <c r="AF25" s="61" t="n">
        <f aca="false">(Assumptions!$G$21/(Assumptions!$G$41*Assumptions!$G$42))*(AF24/Assumptions!$G$21)^Assumptions!$G$25</f>
        <v>20320.4067353964</v>
      </c>
      <c r="AG25" s="61" t="n">
        <f aca="false">(Assumptions!$G$21/(Assumptions!$G$41*Assumptions!$G$42))*(AG24/Assumptions!$G$21)^Assumptions!$G$25</f>
        <v>21437.4574653035</v>
      </c>
      <c r="AH25" s="61" t="n">
        <f aca="false">(Assumptions!$G$21/(Assumptions!$G$41*Assumptions!$G$42))*(AH24/Assumptions!$G$21)^Assumptions!$G$25</f>
        <v>22616.3654719284</v>
      </c>
      <c r="AI25" s="61" t="n">
        <f aca="false">(Assumptions!$G$21/(Assumptions!$G$41*Assumptions!$G$42))*(AI24/Assumptions!$G$21)^Assumptions!$G$25</f>
        <v>23861.5293707679</v>
      </c>
      <c r="AJ25" s="61" t="n">
        <f aca="false">(Assumptions!$G$21/(Assumptions!$G$41*Assumptions!$G$42))*(AJ24/Assumptions!$G$21)^Assumptions!$G$25</f>
        <v>25177.5804679013</v>
      </c>
      <c r="AK25" s="61" t="n">
        <f aca="false">(Assumptions!$G$21/(Assumptions!$G$41*Assumptions!$G$42))*(AK24/Assumptions!$G$21)^Assumptions!$G$25</f>
        <v>26569.4022141091</v>
      </c>
      <c r="AL25" s="61" t="n">
        <f aca="false">(Assumptions!$G$21/(Assumptions!$G$41*Assumptions!$G$42))*(AL24/Assumptions!$G$21)^Assumptions!$G$25</f>
        <v>28042.1504015055</v>
      </c>
      <c r="AM25" s="61" t="n">
        <f aca="false">SUM(C25:AL25)</f>
        <v>532783.740884981</v>
      </c>
    </row>
    <row r="26" customFormat="false" ht="15" hidden="false" customHeight="false" outlineLevel="0" collapsed="false">
      <c r="A26" s="37" t="s">
        <v>761</v>
      </c>
      <c r="B26" s="9" t="s">
        <v>97</v>
      </c>
      <c r="C26" s="53" t="n">
        <f aca="false">C18+C22+C24</f>
        <v>8000</v>
      </c>
      <c r="D26" s="53" t="n">
        <f aca="false">D18+D22+D24</f>
        <v>30000</v>
      </c>
      <c r="E26" s="53" t="n">
        <f aca="false">E18+E22+E24</f>
        <v>30000</v>
      </c>
      <c r="F26" s="53" t="n">
        <f aca="false">F18+F22+F24</f>
        <v>30000</v>
      </c>
      <c r="G26" s="53" t="n">
        <f aca="false">G18+G22+G24</f>
        <v>30000</v>
      </c>
      <c r="H26" s="53" t="n">
        <f aca="false">H18+H22+H24</f>
        <v>30000</v>
      </c>
      <c r="I26" s="53" t="n">
        <f aca="false">I18+I22+I24</f>
        <v>30000</v>
      </c>
      <c r="J26" s="53" t="n">
        <f aca="false">J18+J22+J24</f>
        <v>30000</v>
      </c>
      <c r="K26" s="53" t="n">
        <f aca="false">K18+K22+K24</f>
        <v>30000</v>
      </c>
      <c r="L26" s="53" t="n">
        <f aca="false">L18+L22+L24</f>
        <v>30000</v>
      </c>
      <c r="M26" s="53" t="n">
        <f aca="false">M18+M22+M24</f>
        <v>30000</v>
      </c>
      <c r="N26" s="53" t="n">
        <f aca="false">N18+N22+N24</f>
        <v>30000</v>
      </c>
      <c r="O26" s="53" t="n">
        <f aca="false">O18+O22+O24</f>
        <v>30000</v>
      </c>
      <c r="P26" s="53" t="n">
        <f aca="false">P18+P22+P24</f>
        <v>30000</v>
      </c>
      <c r="Q26" s="53" t="n">
        <f aca="false">Q18+Q22+Q24</f>
        <v>30000</v>
      </c>
      <c r="R26" s="53" t="n">
        <f aca="false">R18+R22+R24</f>
        <v>30000</v>
      </c>
      <c r="S26" s="53" t="n">
        <f aca="false">S18+S22+S24</f>
        <v>30000</v>
      </c>
      <c r="T26" s="53" t="n">
        <f aca="false">T18+T22+T24</f>
        <v>30000</v>
      </c>
      <c r="U26" s="53" t="n">
        <f aca="false">U18+U22+U24</f>
        <v>31328.6351269562</v>
      </c>
      <c r="V26" s="53" t="n">
        <f aca="false">V18+V22+V24</f>
        <v>33379.7587964508</v>
      </c>
      <c r="W26" s="53" t="n">
        <f aca="false">W18+W22+W24</f>
        <v>35668.9846541144</v>
      </c>
      <c r="X26" s="53" t="n">
        <f aca="false">X18+X22+X24</f>
        <v>38182.8209132527</v>
      </c>
      <c r="Y26" s="53" t="n">
        <f aca="false">Y18+Y22+Y24</f>
        <v>40935.7005421088</v>
      </c>
      <c r="Z26" s="53" t="n">
        <f aca="false">Z18+Z22+Z24</f>
        <v>43948.8198142219</v>
      </c>
      <c r="AA26" s="53" t="n">
        <f aca="false">AA18+AA22+AA24</f>
        <v>47245.9626422005</v>
      </c>
      <c r="AB26" s="53" t="n">
        <f aca="false">AB18+AB22+AB24</f>
        <v>50853.198240775</v>
      </c>
      <c r="AC26" s="53" t="n">
        <f aca="false">AC18+AC22+AC24</f>
        <v>54726.9498085041</v>
      </c>
      <c r="AD26" s="53" t="n">
        <f aca="false">AD18+AD22+AD24</f>
        <v>58862.5791637876</v>
      </c>
      <c r="AE26" s="53" t="n">
        <f aca="false">AE18+AE22+AE24</f>
        <v>63300.7914452138</v>
      </c>
      <c r="AF26" s="53" t="n">
        <f aca="false">AF18+AF22+AF24</f>
        <v>68069.2514659728</v>
      </c>
      <c r="AG26" s="53" t="n">
        <f aca="false">AG18+AG22+AG24</f>
        <v>73197.374670564</v>
      </c>
      <c r="AH26" s="53" t="n">
        <f aca="false">AH18+AH22+AH24</f>
        <v>78716.830107155</v>
      </c>
      <c r="AI26" s="53" t="n">
        <f aca="false">AI18+AI22+AI24</f>
        <v>84661.8577815704</v>
      </c>
      <c r="AJ26" s="53" t="n">
        <f aca="false">AJ18+AJ22+AJ24</f>
        <v>91069.5124435563</v>
      </c>
      <c r="AK26" s="53" t="n">
        <f aca="false">AK18+AK22+AK24</f>
        <v>97979.9184399668</v>
      </c>
      <c r="AL26" s="53" t="n">
        <f aca="false">AL18+AL22+AL24</f>
        <v>105436.544613764</v>
      </c>
      <c r="AM26" s="53" t="n">
        <f aca="false">SUM(C26:AL26)</f>
        <v>1615565.49067013</v>
      </c>
    </row>
    <row r="27" customFormat="false" ht="15" hidden="false" customHeight="false" outlineLevel="0" collapsed="false">
      <c r="A27" s="10" t="s">
        <v>762</v>
      </c>
      <c r="B27" s="9" t="s">
        <v>84</v>
      </c>
      <c r="C27" s="61" t="n">
        <f aca="false">C19+C23+C25</f>
        <v>4800.32071793967</v>
      </c>
      <c r="D27" s="61" t="n">
        <f aca="false">D19+D23+D25</f>
        <v>13367.2343950073</v>
      </c>
      <c r="E27" s="61" t="n">
        <f aca="false">E19+E23+E25</f>
        <v>14017.2225570175</v>
      </c>
      <c r="F27" s="61" t="n">
        <f aca="false">F19+F23+F25</f>
        <v>14088.0564956432</v>
      </c>
      <c r="G27" s="61" t="n">
        <f aca="false">G19+G23+G25</f>
        <v>14118.8558099227</v>
      </c>
      <c r="H27" s="61" t="n">
        <f aca="false">H19+H23+H25</f>
        <v>14149.0379703201</v>
      </c>
      <c r="I27" s="61" t="n">
        <f aca="false">I19+I23+I25</f>
        <v>14181.6710998358</v>
      </c>
      <c r="J27" s="61" t="n">
        <f aca="false">J19+J23+J25</f>
        <v>14217.1989673098</v>
      </c>
      <c r="K27" s="61" t="n">
        <f aca="false">K19+K23+K25</f>
        <v>14255.8938684288</v>
      </c>
      <c r="L27" s="61" t="n">
        <f aca="false">L19+L23+L25</f>
        <v>14298.036391293</v>
      </c>
      <c r="M27" s="61" t="n">
        <f aca="false">M19+M23+M25</f>
        <v>14343.9301603215</v>
      </c>
      <c r="N27" s="61" t="n">
        <f aca="false">N19+N23+N25</f>
        <v>14393.9047157918</v>
      </c>
      <c r="O27" s="61" t="n">
        <f aca="false">O19+O23+O25</f>
        <v>14448.3176518236</v>
      </c>
      <c r="P27" s="61" t="n">
        <f aca="false">P19+P23+P25</f>
        <v>14507.5568209852</v>
      </c>
      <c r="Q27" s="61" t="n">
        <f aca="false">Q19+Q23+Q25</f>
        <v>14572.0426630744</v>
      </c>
      <c r="R27" s="61" t="n">
        <f aca="false">R19+R23+R25</f>
        <v>14642.2306582458</v>
      </c>
      <c r="S27" s="61" t="n">
        <f aca="false">S19+S23+S25</f>
        <v>14718.613896498</v>
      </c>
      <c r="T27" s="61" t="n">
        <f aca="false">T19+T23+T25</f>
        <v>14801.7257496012</v>
      </c>
      <c r="U27" s="61" t="n">
        <f aca="false">U19+U23+U25</f>
        <v>15329.8436068648</v>
      </c>
      <c r="V27" s="61" t="n">
        <f aca="false">V19+V23+V25</f>
        <v>16127.4130658959</v>
      </c>
      <c r="W27" s="61" t="n">
        <f aca="false">W19+W23+W25</f>
        <v>17019.9889716781</v>
      </c>
      <c r="X27" s="61" t="n">
        <f aca="false">X19+X23+X25</f>
        <v>17989.1464781444</v>
      </c>
      <c r="Y27" s="61" t="n">
        <f aca="false">Y19+Y23+Y25</f>
        <v>19036.6764264313</v>
      </c>
      <c r="Z27" s="61" t="n">
        <f aca="false">Z19+Z23+Z25</f>
        <v>20167.7967905865</v>
      </c>
      <c r="AA27" s="61" t="n">
        <f aca="false">AA19+AA23+AA25</f>
        <v>21388.5522462887</v>
      </c>
      <c r="AB27" s="61" t="n">
        <f aca="false">AB19+AB23+AB25</f>
        <v>22705.4967109039</v>
      </c>
      <c r="AC27" s="61" t="n">
        <f aca="false">AC19+AC23+AC25</f>
        <v>24105.2902514278</v>
      </c>
      <c r="AD27" s="61" t="n">
        <f aca="false">AD19+AD23+AD25</f>
        <v>25585.0847029198</v>
      </c>
      <c r="AE27" s="61" t="n">
        <f aca="false">AE19+AE23+AE25</f>
        <v>27155.6360496119</v>
      </c>
      <c r="AF27" s="61" t="n">
        <f aca="false">AF19+AF23+AF25</f>
        <v>28824.8640285525</v>
      </c>
      <c r="AG27" s="61" t="n">
        <f aca="false">AG19+AG23+AG25</f>
        <v>30600.7837658341</v>
      </c>
      <c r="AH27" s="61" t="n">
        <f aca="false">AH19+AH23+AH25</f>
        <v>32491.8724110296</v>
      </c>
      <c r="AI27" s="61" t="n">
        <f aca="false">AI19+AI23+AI25</f>
        <v>34507.1719240004</v>
      </c>
      <c r="AJ27" s="61" t="n">
        <f aca="false">AJ19+AJ23+AJ25</f>
        <v>36656.3476128717</v>
      </c>
      <c r="AK27" s="61" t="n">
        <f aca="false">AK19+AK23+AK25</f>
        <v>38949.7438067871</v>
      </c>
      <c r="AL27" s="61" t="n">
        <f aca="false">AL19+AL23+AL25</f>
        <v>41398.4424124786</v>
      </c>
      <c r="AM27" s="61" t="n">
        <f aca="false">SUM(C27:AL27)</f>
        <v>717962.001851367</v>
      </c>
    </row>
    <row r="28" customFormat="false" ht="15" hidden="false" customHeight="false" outlineLevel="0" collapsed="false">
      <c r="A28" s="10" t="s">
        <v>763</v>
      </c>
      <c r="B28" s="9" t="s">
        <v>97</v>
      </c>
      <c r="C28" s="63" t="n">
        <f aca="false">IFERROR(C26/C27,0)</f>
        <v>1.66655531371113</v>
      </c>
      <c r="D28" s="63" t="n">
        <f aca="false">IFERROR(D26/D27,0)</f>
        <v>2.24429370455305</v>
      </c>
      <c r="E28" s="63" t="n">
        <f aca="false">IFERROR(E26/E27,0)</f>
        <v>2.14022427609819</v>
      </c>
      <c r="F28" s="63" t="n">
        <f aca="false">IFERROR(F26/F27,0)</f>
        <v>2.12946335140534</v>
      </c>
      <c r="G28" s="63" t="n">
        <f aca="false">IFERROR(G26/G27,0)</f>
        <v>2.1248180733538</v>
      </c>
      <c r="H28" s="63" t="n">
        <f aca="false">IFERROR(H26/H27,0)</f>
        <v>2.1202854966486</v>
      </c>
      <c r="I28" s="63" t="n">
        <f aca="false">IFERROR(I26/I27,0)</f>
        <v>2.11540655461594</v>
      </c>
      <c r="J28" s="63" t="n">
        <f aca="false">IFERROR(J26/J27,0)</f>
        <v>2.11012028944521</v>
      </c>
      <c r="K28" s="63" t="n">
        <f aca="false">IFERROR(K26/K27,0)</f>
        <v>2.10439277093934</v>
      </c>
      <c r="L28" s="63" t="n">
        <f aca="false">IFERROR(L26/L27,0)</f>
        <v>2.09819021150827</v>
      </c>
      <c r="M28" s="63" t="n">
        <f aca="false">IFERROR(M26/M27,0)</f>
        <v>2.09147699861134</v>
      </c>
      <c r="N28" s="63" t="n">
        <f aca="false">IFERROR(N26/N27,0)</f>
        <v>2.08421554764682</v>
      </c>
      <c r="O28" s="63" t="n">
        <f aca="false">IFERROR(O26/O27,0)</f>
        <v>2.0763663094169</v>
      </c>
      <c r="P28" s="63" t="n">
        <f aca="false">IFERROR(P26/P27,0)</f>
        <v>2.06788781668634</v>
      </c>
      <c r="Q28" s="63" t="n">
        <f aca="false">IFERROR(Q26/Q27,0)</f>
        <v>2.05873676694758</v>
      </c>
      <c r="R28" s="63" t="n">
        <f aca="false">IFERROR(R26/R27,0)</f>
        <v>2.04886814722492</v>
      </c>
      <c r="S28" s="63" t="n">
        <f aca="false">IFERROR(S26/S27,0)</f>
        <v>2.03823540796447</v>
      </c>
      <c r="T28" s="63" t="n">
        <f aca="false">IFERROR(T26/T27,0)</f>
        <v>2.02679069370059</v>
      </c>
      <c r="U28" s="63" t="n">
        <f aca="false">IFERROR(U26/U27,0)</f>
        <v>2.04363696919432</v>
      </c>
      <c r="V28" s="63" t="n">
        <f aca="false">IFERROR(V26/V27,0)</f>
        <v>2.06975282768926</v>
      </c>
      <c r="W28" s="63" t="n">
        <f aca="false">IFERROR(W26/W27,0)</f>
        <v>2.09571138462363</v>
      </c>
      <c r="X28" s="63" t="n">
        <f aca="false">IFERROR(X26/X27,0)</f>
        <v>2.12254766837561</v>
      </c>
      <c r="Y28" s="63" t="n">
        <f aca="false">IFERROR(Y26/Y27,0)</f>
        <v>2.15035963343223</v>
      </c>
      <c r="Z28" s="63" t="n">
        <f aca="false">IFERROR(Z26/Z27,0)</f>
        <v>2.17915820307826</v>
      </c>
      <c r="AA28" s="63" t="n">
        <f aca="false">IFERROR(AA26/AA27,0)</f>
        <v>2.20893691626082</v>
      </c>
      <c r="AB28" s="63" t="n">
        <f aca="false">IFERROR(AB26/AB27,0)</f>
        <v>2.23968666654862</v>
      </c>
      <c r="AC28" s="63" t="n">
        <f aca="false">IFERROR(AC26/AC27,0)</f>
        <v>2.27032942717885</v>
      </c>
      <c r="AD28" s="63" t="n">
        <f aca="false">IFERROR(AD26/AD27,0)</f>
        <v>2.30065992930132</v>
      </c>
      <c r="AE28" s="63" t="n">
        <f aca="false">IFERROR(AE26/AE27,0)</f>
        <v>2.33103696520187</v>
      </c>
      <c r="AF28" s="63" t="n">
        <f aca="false">IFERROR(AF26/AF27,0)</f>
        <v>2.36147693180952</v>
      </c>
      <c r="AG28" s="63" t="n">
        <f aca="false">IFERROR(AG26/AG27,0)</f>
        <v>2.39200980049044</v>
      </c>
      <c r="AH28" s="63" t="n">
        <f aca="false">IFERROR(AH26/AH27,0)</f>
        <v>2.42266216952256</v>
      </c>
      <c r="AI28" s="63" t="n">
        <f aca="false">IFERROR(AI26/AI27,0)</f>
        <v>2.45345686305537</v>
      </c>
      <c r="AJ28" s="63" t="n">
        <f aca="false">IFERROR(AJ26/AJ27,0)</f>
        <v>2.48441316099855</v>
      </c>
      <c r="AK28" s="63" t="n">
        <f aca="false">IFERROR(AK26/AK27,0)</f>
        <v>2.51554718629224</v>
      </c>
      <c r="AL28" s="63" t="n">
        <f aca="false">IFERROR(AL26/AL27,0)</f>
        <v>2.54687226063322</v>
      </c>
      <c r="AM28" s="63" t="n">
        <f aca="false">AVERAGE(N28:AL28)</f>
        <v>2.22357422613097</v>
      </c>
    </row>
    <row r="29" customFormat="false" ht="15" hidden="false" customHeight="false" outlineLevel="0" collapsed="false">
      <c r="A29" s="37" t="s">
        <v>764</v>
      </c>
      <c r="B29" s="9" t="s">
        <v>84</v>
      </c>
      <c r="C29" s="71" t="n">
        <f aca="false">C13+C15+C27</f>
        <v>7000.32071793967</v>
      </c>
      <c r="D29" s="71" t="n">
        <f aca="false">D13+D15+D27</f>
        <v>15765.2343950073</v>
      </c>
      <c r="E29" s="71" t="n">
        <f aca="false">E13+E15+E27</f>
        <v>16631.0425570175</v>
      </c>
      <c r="F29" s="71" t="n">
        <f aca="false">F13+F15+F27</f>
        <v>16937.1202956432</v>
      </c>
      <c r="G29" s="71" t="n">
        <f aca="false">G13+G15+G27</f>
        <v>17224.3353519227</v>
      </c>
      <c r="H29" s="71" t="n">
        <f aca="false">H13+H15+H27</f>
        <v>17534.0106711001</v>
      </c>
      <c r="I29" s="71" t="n">
        <f aca="false">I13+I15+I27</f>
        <v>17871.291343686</v>
      </c>
      <c r="J29" s="71" t="n">
        <f aca="false">J13+J15+J27</f>
        <v>18238.8850331065</v>
      </c>
      <c r="K29" s="71" t="n">
        <f aca="false">K13+K15+K27</f>
        <v>18639.5316801472</v>
      </c>
      <c r="L29" s="71" t="n">
        <f aca="false">L13+L15+L27</f>
        <v>19076.2016060661</v>
      </c>
      <c r="M29" s="71" t="n">
        <f aca="false">M13+M15+M27</f>
        <v>19552.1302444242</v>
      </c>
      <c r="N29" s="71" t="n">
        <f aca="false">N13+N15+N27</f>
        <v>20070.8428074637</v>
      </c>
      <c r="O29" s="71" t="n">
        <f aca="false">O13+O15+O27</f>
        <v>20636.180171746</v>
      </c>
      <c r="P29" s="71" t="n">
        <f aca="false">P13+P15+P27</f>
        <v>21252.3269677006</v>
      </c>
      <c r="Q29" s="71" t="n">
        <f aca="false">Q13+Q15+Q27</f>
        <v>21923.8421229942</v>
      </c>
      <c r="R29" s="71" t="n">
        <f aca="false">R13+R15+R27</f>
        <v>22655.6920695584</v>
      </c>
      <c r="S29" s="71" t="n">
        <f aca="false">S13+S15+S27</f>
        <v>23453.2868348286</v>
      </c>
      <c r="T29" s="71" t="n">
        <f aca="false">T13+T15+T27</f>
        <v>24322.5192523816</v>
      </c>
      <c r="U29" s="71" t="n">
        <f aca="false">U13+U15+U27</f>
        <v>25707.5085248955</v>
      </c>
      <c r="V29" s="71" t="n">
        <f aca="false">V13+V15+V27</f>
        <v>27439.0678265494</v>
      </c>
      <c r="W29" s="71" t="n">
        <f aca="false">W13+W15+W27</f>
        <v>29349.6926607904</v>
      </c>
      <c r="X29" s="71" t="n">
        <f aca="false">X13+X15+X27</f>
        <v>31428.5234992768</v>
      </c>
      <c r="Y29" s="71" t="n">
        <f aca="false">Y13+Y15+Y27</f>
        <v>33685.5973794656</v>
      </c>
      <c r="Z29" s="71" t="n">
        <f aca="false">Z13+Z15+Z27</f>
        <v>36135.1206293939</v>
      </c>
      <c r="AA29" s="71" t="n">
        <f aca="false">AA13+AA15+AA27</f>
        <v>38792.9352305888</v>
      </c>
      <c r="AB29" s="71" t="n">
        <f aca="false">AB13+AB15+AB27</f>
        <v>41676.2741637909</v>
      </c>
      <c r="AC29" s="71" t="n">
        <f aca="false">AC13+AC15+AC27</f>
        <v>44783.4376750747</v>
      </c>
      <c r="AD29" s="71" t="n">
        <f aca="false">AD13+AD15+AD27</f>
        <v>48124.2653946949</v>
      </c>
      <c r="AE29" s="71" t="n">
        <f aca="false">AE13+AE15+AE27</f>
        <v>51723.3430036468</v>
      </c>
      <c r="AF29" s="71" t="n">
        <f aca="false">AF13+AF15+AF27</f>
        <v>55603.6646084505</v>
      </c>
      <c r="AG29" s="71" t="n">
        <f aca="false">AG13+AG15+AG27</f>
        <v>59789.6763979229</v>
      </c>
      <c r="AH29" s="71" t="n">
        <f aca="false">AH13+AH15+AH27</f>
        <v>64307.7653800064</v>
      </c>
      <c r="AI29" s="71" t="n">
        <f aca="false">AI13+AI15+AI27</f>
        <v>69186.4952601851</v>
      </c>
      <c r="AJ29" s="71" t="n">
        <f aca="false">AJ13+AJ15+AJ27</f>
        <v>74456.810049313</v>
      </c>
      <c r="AK29" s="71" t="n">
        <f aca="false">AK13+AK15+AK27</f>
        <v>80152.2478625082</v>
      </c>
      <c r="AL29" s="71" t="n">
        <f aca="false">AL13+AL15+AL27</f>
        <v>86309.1718332146</v>
      </c>
      <c r="AM29" s="71" t="n">
        <f aca="false">SUM(C29:AL29)</f>
        <v>1237436.3915025</v>
      </c>
    </row>
    <row r="30" customFormat="false" ht="15" hidden="false" customHeight="false" outlineLevel="0" collapsed="false">
      <c r="A30" s="10" t="s">
        <v>765</v>
      </c>
      <c r="B30" s="9" t="s">
        <v>51</v>
      </c>
      <c r="C30" s="61" t="n">
        <f aca="false">C8*Assumptions!$G$47*Assumptions!$G$48^C10</f>
        <v>0</v>
      </c>
      <c r="D30" s="61" t="n">
        <f aca="false">D8*Assumptions!$G$47*Assumptions!$G$48^D10</f>
        <v>8000</v>
      </c>
      <c r="E30" s="61" t="n">
        <f aca="false">E8*Assumptions!$G$47*Assumptions!$G$48^E10</f>
        <v>11600</v>
      </c>
      <c r="F30" s="61" t="n">
        <f aca="false">F8*Assumptions!$G$47*Assumptions!$G$48^F10</f>
        <v>16820</v>
      </c>
      <c r="G30" s="61" t="n">
        <f aca="false">G8*Assumptions!$G$47*Assumptions!$G$48^G10</f>
        <v>24389</v>
      </c>
      <c r="H30" s="61" t="n">
        <f aca="false">H8*Assumptions!$G$47*Assumptions!$G$48^H10</f>
        <v>35364.05</v>
      </c>
      <c r="I30" s="61" t="n">
        <f aca="false">I8*Assumptions!$G$47*Assumptions!$G$48^I10</f>
        <v>51277.8725</v>
      </c>
      <c r="J30" s="61" t="n">
        <f aca="false">J8*Assumptions!$G$47*Assumptions!$G$48^J10</f>
        <v>74352.915125</v>
      </c>
      <c r="K30" s="61" t="n">
        <f aca="false">K8*Assumptions!$G$47*Assumptions!$G$48^K10</f>
        <v>107811.72693125</v>
      </c>
      <c r="L30" s="61" t="n">
        <f aca="false">L8*Assumptions!$G$47*Assumptions!$G$48^L10</f>
        <v>156327.004050312</v>
      </c>
      <c r="M30" s="61" t="n">
        <f aca="false">M8*Assumptions!$G$47*Assumptions!$G$48^M10</f>
        <v>226674.155872953</v>
      </c>
      <c r="N30" s="61" t="n">
        <f aca="false">N8*Assumptions!$G$47*Assumptions!$G$48^N10</f>
        <v>328677.526015782</v>
      </c>
      <c r="O30" s="61" t="n">
        <f aca="false">O8*Assumptions!$G$47*Assumptions!$G$48^O10</f>
        <v>476582.412722884</v>
      </c>
      <c r="P30" s="61" t="n">
        <f aca="false">P8*Assumptions!$G$47*Assumptions!$G$48^P10</f>
        <v>691044.498448181</v>
      </c>
      <c r="Q30" s="61" t="n">
        <f aca="false">Q8*Assumptions!$G$47*Assumptions!$G$48^Q10</f>
        <v>1002014.52274986</v>
      </c>
      <c r="R30" s="61" t="n">
        <f aca="false">R8*Assumptions!$G$47*Assumptions!$G$48^R10</f>
        <v>1452921.0579873</v>
      </c>
      <c r="S30" s="61" t="n">
        <f aca="false">S8*Assumptions!$G$47*Assumptions!$G$48^S10</f>
        <v>2106735.53408159</v>
      </c>
      <c r="T30" s="61" t="n">
        <f aca="false">T8*Assumptions!$G$47*Assumptions!$G$48^T10</f>
        <v>3054766.5244183</v>
      </c>
      <c r="U30" s="61" t="n">
        <f aca="false">U8*Assumptions!$G$47*Assumptions!$G$48^U10</f>
        <v>4429411.46040654</v>
      </c>
      <c r="V30" s="61" t="n">
        <f aca="false">V8*Assumptions!$G$47*Assumptions!$G$48^V10</f>
        <v>6422646.61758948</v>
      </c>
      <c r="W30" s="61" t="n">
        <f aca="false">W8*Assumptions!$G$47*Assumptions!$G$48^W10</f>
        <v>9312837.59550474</v>
      </c>
      <c r="X30" s="61" t="n">
        <f aca="false">X8*Assumptions!$G$47*Assumptions!$G$48^X10</f>
        <v>13503614.5134819</v>
      </c>
      <c r="Y30" s="61" t="n">
        <f aca="false">Y8*Assumptions!$G$47*Assumptions!$G$48^Y10</f>
        <v>19580241.0445487</v>
      </c>
      <c r="Z30" s="61" t="n">
        <f aca="false">Z8*Assumptions!$G$47*Assumptions!$G$48^Z10</f>
        <v>28391349.5145956</v>
      </c>
      <c r="AA30" s="61" t="n">
        <f aca="false">AA8*Assumptions!$G$47*Assumptions!$G$48^AA10</f>
        <v>41167456.7961637</v>
      </c>
      <c r="AB30" s="61" t="n">
        <f aca="false">AB8*Assumptions!$G$47*Assumptions!$G$48^AB10</f>
        <v>59692812.3544373</v>
      </c>
      <c r="AC30" s="61" t="n">
        <f aca="false">AC8*Assumptions!$G$47*Assumptions!$G$48^AC10</f>
        <v>86554577.9139341</v>
      </c>
      <c r="AD30" s="61" t="n">
        <f aca="false">AD8*Assumptions!$G$47*Assumptions!$G$48^AD10</f>
        <v>125504137.975204</v>
      </c>
      <c r="AE30" s="61" t="n">
        <f aca="false">AE8*Assumptions!$G$47*Assumptions!$G$48^AE10</f>
        <v>181981000.064047</v>
      </c>
      <c r="AF30" s="61" t="n">
        <f aca="false">AF8*Assumptions!$G$47*Assumptions!$G$48^AF10</f>
        <v>263872450.092867</v>
      </c>
      <c r="AG30" s="61" t="n">
        <f aca="false">AG8*Assumptions!$G$47*Assumptions!$G$48^AG10</f>
        <v>382615052.634658</v>
      </c>
      <c r="AH30" s="61" t="n">
        <f aca="false">AH8*Assumptions!$G$47*Assumptions!$G$48^AH10</f>
        <v>554791826.320254</v>
      </c>
      <c r="AI30" s="61" t="n">
        <f aca="false">AI8*Assumptions!$G$47*Assumptions!$G$48^AI10</f>
        <v>804448148.164368</v>
      </c>
      <c r="AJ30" s="61" t="n">
        <f aca="false">AJ8*Assumptions!$G$47*Assumptions!$G$48^AJ10</f>
        <v>1166449814.83833</v>
      </c>
      <c r="AK30" s="61" t="n">
        <f aca="false">AK8*Assumptions!$G$47*Assumptions!$G$48^AK10</f>
        <v>1691352231.51558</v>
      </c>
      <c r="AL30" s="61" t="n">
        <f aca="false">AL8*Assumptions!$G$47*Assumptions!$G$48^AL10</f>
        <v>2452460735.6976</v>
      </c>
      <c r="AM30" s="61" t="n">
        <f aca="false">AL30</f>
        <v>2452460735.6976</v>
      </c>
    </row>
    <row r="31" customFormat="false" ht="15" hidden="false" customHeight="false" outlineLevel="0" collapsed="false">
      <c r="A31" s="10" t="s">
        <v>766</v>
      </c>
      <c r="B31" s="9" t="s">
        <v>51</v>
      </c>
      <c r="C31" s="61" t="n">
        <f aca="false">Assumptions!$G$49*C8*(C15+C13*Assumptions!$G$44+C19*Assumptions!$G$31*Assumptions!$G$32+C23*Assumptions!$G$38*Assumptions!$G$39+C25*Assumptions!$G$43)</f>
        <v>0</v>
      </c>
      <c r="D31" s="61" t="n">
        <f aca="false">Assumptions!$G$49*D8*(D15+D13*Assumptions!$G$44+D19*Assumptions!$G$31*Assumptions!$G$32+D23*Assumptions!$G$38*Assumptions!$G$39+D25*Assumptions!$G$43)</f>
        <v>231.18956573281</v>
      </c>
      <c r="E31" s="61" t="n">
        <f aca="false">Assumptions!$G$49*E8*(E15+E13*Assumptions!$G$44+E19*Assumptions!$G$31*Assumptions!$G$32+E23*Assumptions!$G$38*Assumptions!$G$39+E25*Assumptions!$G$43)</f>
        <v>236.989402675381</v>
      </c>
      <c r="F31" s="61" t="n">
        <f aca="false">Assumptions!$G$49*F8*(F15+F13*Assumptions!$G$44+F19*Assumptions!$G$31*Assumptions!$G$32+F23*Assumptions!$G$38*Assumptions!$G$39+F25*Assumptions!$G$43)</f>
        <v>240.913984463748</v>
      </c>
      <c r="G31" s="61" t="n">
        <f aca="false">Assumptions!$G$49*G8*(G15+G13*Assumptions!$G$44+G19*Assumptions!$G$31*Assumptions!$G$32+G23*Assumptions!$G$38*Assumptions!$G$39+G25*Assumptions!$G$43)</f>
        <v>245.021697286052</v>
      </c>
      <c r="H31" s="61" t="n">
        <f aca="false">Assumptions!$G$49*H8*(H15+H13*Assumptions!$G$44+H19*Assumptions!$G$31*Assumptions!$G$32+H23*Assumptions!$G$38*Assumptions!$G$39+H25*Assumptions!$G$43)</f>
        <v>249.486555864883</v>
      </c>
      <c r="I31" s="61" t="n">
        <f aca="false">Assumptions!$G$49*I8*(I15+I13*Assumptions!$G$44+I19*Assumptions!$G$31*Assumptions!$G$32+I23*Assumptions!$G$38*Assumptions!$G$39+I25*Assumptions!$G$43)</f>
        <v>254.352066337085</v>
      </c>
      <c r="J31" s="61" t="n">
        <f aca="false">Assumptions!$G$49*J8*(J15+J13*Assumptions!$G$44+J19*Assumptions!$G$31*Assumptions!$G$32+J23*Assumptions!$G$38*Assumptions!$G$39+J25*Assumptions!$G$43)</f>
        <v>259.655058072201</v>
      </c>
      <c r="K31" s="61" t="n">
        <f aca="false">Assumptions!$G$49*K8*(K15+K13*Assumptions!$G$44+K19*Assumptions!$G$31*Assumptions!$G$32+K23*Assumptions!$G$38*Assumptions!$G$39+K25*Assumptions!$G$43)</f>
        <v>265.434896798112</v>
      </c>
      <c r="L31" s="61" t="n">
        <f aca="false">Assumptions!$G$49*L8*(L15+L13*Assumptions!$G$44+L19*Assumptions!$G$31*Assumptions!$G$32+L23*Assumptions!$G$38*Assumptions!$G$39+L25*Assumptions!$G$43)</f>
        <v>271.734422360426</v>
      </c>
      <c r="M31" s="61" t="n">
        <f aca="false">Assumptions!$G$49*M8*(M15+M13*Assumptions!$G$44+M19*Assumptions!$G$31*Assumptions!$G$32+M23*Assumptions!$G$38*Assumptions!$G$39+M25*Assumptions!$G$43)</f>
        <v>278.600310318415</v>
      </c>
      <c r="N31" s="61" t="n">
        <f aca="false">Assumptions!$G$49*N8*(N15+N13*Assumptions!$G$44+N19*Assumptions!$G$31*Assumptions!$G$32+N23*Assumptions!$G$38*Assumptions!$G$39+N25*Assumptions!$G$43)</f>
        <v>286.083417705296</v>
      </c>
      <c r="O31" s="61" t="n">
        <f aca="false">Assumptions!$G$49*O8*(O15+O13*Assumptions!$G$44+O19*Assumptions!$G$31*Assumptions!$G$32+O23*Assumptions!$G$38*Assumptions!$G$39+O25*Assumptions!$G$43)</f>
        <v>294.239155779073</v>
      </c>
      <c r="P31" s="61" t="n">
        <f aca="false">Assumptions!$G$49*P8*(P15+P13*Assumptions!$G$44+P19*Assumptions!$G$31*Assumptions!$G$32+P23*Assumptions!$G$38*Assumptions!$G$39+P25*Assumptions!$G$43)</f>
        <v>303.127895259572</v>
      </c>
      <c r="Q31" s="61" t="n">
        <f aca="false">Assumptions!$G$49*Q8*(Q15+Q13*Assumptions!$G$44+Q19*Assumptions!$G$31*Assumptions!$G$32+Q23*Assumptions!$G$38*Assumptions!$G$39+Q25*Assumptions!$G$43)</f>
        <v>312.815407027032</v>
      </c>
      <c r="R31" s="61" t="n">
        <f aca="false">Assumptions!$G$49*R8*(R15+R13*Assumptions!$G$44+R19*Assumptions!$G$31*Assumptions!$G$32+R23*Assumptions!$G$38*Assumptions!$G$39+R25*Assumptions!$G$43)</f>
        <v>323.373341266119</v>
      </c>
      <c r="S31" s="61" t="n">
        <f aca="false">Assumptions!$G$49*S8*(S15+S13*Assumptions!$G$44+S19*Assumptions!$G$31*Assumptions!$G$32+S23*Assumptions!$G$38*Assumptions!$G$39+S25*Assumptions!$G$43)</f>
        <v>334.879748236938</v>
      </c>
      <c r="T31" s="61" t="n">
        <f aca="false">Assumptions!$G$49*T8*(T15+T13*Assumptions!$G$44+T19*Assumptions!$G$31*Assumptions!$G$32+T23*Assumptions!$G$38*Assumptions!$G$39+T25*Assumptions!$G$43)</f>
        <v>347.419644069354</v>
      </c>
      <c r="U31" s="61" t="n">
        <f aca="false">Assumptions!$G$49*U8*(U15+U13*Assumptions!$G$44+U19*Assumptions!$G$31*Assumptions!$G$32+U23*Assumptions!$G$38*Assumptions!$G$39+U25*Assumptions!$G$43)</f>
        <v>367.651139935594</v>
      </c>
      <c r="V31" s="61" t="n">
        <f aca="false">Assumptions!$G$49*V8*(V15+V13*Assumptions!$G$44+V19*Assumptions!$G$31*Assumptions!$G$32+V23*Assumptions!$G$38*Assumptions!$G$39+V25*Assumptions!$G$43)</f>
        <v>392.671326450662</v>
      </c>
      <c r="W31" s="61" t="n">
        <f aca="false">Assumptions!$G$49*W8*(W15+W13*Assumptions!$G$44+W19*Assumptions!$G$31*Assumptions!$G$32+W23*Assumptions!$G$38*Assumptions!$G$39+W25*Assumptions!$G$43)</f>
        <v>420.108622863105</v>
      </c>
      <c r="X31" s="61" t="n">
        <f aca="false">Assumptions!$G$49*X8*(X15+X13*Assumptions!$G$44+X19*Assumptions!$G$31*Assumptions!$G$32+X23*Assumptions!$G$38*Assumptions!$G$39+X25*Assumptions!$G$43)</f>
        <v>449.939861703886</v>
      </c>
      <c r="Y31" s="61" t="n">
        <f aca="false">Assumptions!$G$49*Y8*(Y15+Y13*Assumptions!$G$44+Y19*Assumptions!$G$31*Assumptions!$G$32+Y23*Assumptions!$G$38*Assumptions!$G$39+Y25*Assumptions!$G$43)</f>
        <v>482.326229974356</v>
      </c>
      <c r="Z31" s="61" t="n">
        <f aca="false">Assumptions!$G$49*Z8*(Z15+Z13*Assumptions!$G$44+Z19*Assumptions!$G$31*Assumptions!$G$32+Z23*Assumptions!$G$38*Assumptions!$G$39+Z25*Assumptions!$G$43)</f>
        <v>517.474364877359</v>
      </c>
      <c r="AA31" s="61" t="n">
        <f aca="false">Assumptions!$G$49*AA8*(AA15+AA13*Assumptions!$G$44+AA19*Assumptions!$G$31*Assumptions!$G$32+AA23*Assumptions!$G$38*Assumptions!$G$39+AA25*Assumptions!$G$43)</f>
        <v>555.612162808798</v>
      </c>
      <c r="AB31" s="61" t="n">
        <f aca="false">Assumptions!$G$49*AB8*(AB15+AB13*Assumptions!$G$44+AB19*Assumptions!$G$31*Assumptions!$G$32+AB23*Assumptions!$G$38*Assumptions!$G$39+AB25*Assumptions!$G$43)</f>
        <v>596.987214559074</v>
      </c>
      <c r="AC31" s="61" t="n">
        <f aca="false">Assumptions!$G$49*AC8*(AC15+AC13*Assumptions!$G$44+AC19*Assumptions!$G$31*Assumptions!$G$32+AC23*Assumptions!$G$38*Assumptions!$G$39+AC25*Assumptions!$G$43)</f>
        <v>641.562167238508</v>
      </c>
      <c r="AD31" s="61" t="n">
        <f aca="false">Assumptions!$G$49*AD8*(AD15+AD13*Assumptions!$G$44+AD19*Assumptions!$G$31*Assumptions!$G$32+AD23*Assumptions!$G$38*Assumptions!$G$39+AD25*Assumptions!$G$43)</f>
        <v>689.488590682779</v>
      </c>
      <c r="AE31" s="61" t="n">
        <f aca="false">Assumptions!$G$49*AE8*(AE15+AE13*Assumptions!$G$44+AE19*Assumptions!$G$31*Assumptions!$G$32+AE23*Assumptions!$G$38*Assumptions!$G$39+AE25*Assumptions!$G$43)</f>
        <v>741.129957074357</v>
      </c>
      <c r="AF31" s="61" t="n">
        <f aca="false">Assumptions!$G$49*AF8*(AF15+AF13*Assumptions!$G$44+AF19*Assumptions!$G$31*Assumptions!$G$32+AF23*Assumptions!$G$38*Assumptions!$G$39+AF25*Assumptions!$G$43)</f>
        <v>796.813951906352</v>
      </c>
      <c r="AG31" s="61" t="n">
        <f aca="false">Assumptions!$G$49*AG8*(AG15+AG13*Assumptions!$G$44+AG19*Assumptions!$G$31*Assumptions!$G$32+AG23*Assumptions!$G$38*Assumptions!$G$39+AG25*Assumptions!$G$43)</f>
        <v>856.891630092659</v>
      </c>
      <c r="AH31" s="61" t="n">
        <f aca="false">Assumptions!$G$49*AH8*(AH15+AH13*Assumptions!$G$44+AH19*Assumptions!$G$31*Assumptions!$G$32+AH23*Assumptions!$G$38*Assumptions!$G$39+AH25*Assumptions!$G$43)</f>
        <v>921.742260765918</v>
      </c>
      <c r="AI31" s="61" t="n">
        <f aca="false">Assumptions!$G$49*AI8*(AI15+AI13*Assumptions!$G$44+AI19*Assumptions!$G$31*Assumptions!$G$32+AI23*Assumptions!$G$38*Assumptions!$G$39+AI25*Assumptions!$G$43)</f>
        <v>991.77648923685</v>
      </c>
      <c r="AJ31" s="61" t="n">
        <f aca="false">Assumptions!$G$49*AJ8*(AJ15+AJ13*Assumptions!$G$44+AJ19*Assumptions!$G$31*Assumptions!$G$32+AJ23*Assumptions!$G$38*Assumptions!$G$39+AJ25*Assumptions!$G$43)</f>
        <v>1067.43922593215</v>
      </c>
      <c r="AK31" s="61" t="n">
        <f aca="false">Assumptions!$G$49*AK8*(AK15+AK13*Assumptions!$G$44+AK19*Assumptions!$G$31*Assumptions!$G$32+AK23*Assumptions!$G$38*Assumptions!$G$39+AK25*Assumptions!$G$43)</f>
        <v>1149.21271746944</v>
      </c>
      <c r="AL31" s="61" t="n">
        <f aca="false">Assumptions!$G$49*AL8*(AL15+AL13*Assumptions!$G$44+AL19*Assumptions!$G$31*Assumptions!$G$32+AL23*Assumptions!$G$38*Assumptions!$G$39+AL25*Assumptions!$G$43)</f>
        <v>1237.61986893818</v>
      </c>
      <c r="AM31" s="61" t="n">
        <f aca="false">SUM(C31:AL31)</f>
        <v>17611.7643517625</v>
      </c>
    </row>
    <row r="32" customFormat="false" ht="15" hidden="false" customHeight="false" outlineLevel="0" collapsed="false">
      <c r="A32" s="37" t="s">
        <v>767</v>
      </c>
      <c r="B32" s="9" t="s">
        <v>51</v>
      </c>
      <c r="C32" s="71" t="n">
        <f aca="false">MIN(C31,C30)</f>
        <v>0</v>
      </c>
      <c r="D32" s="71" t="n">
        <f aca="false">MIN(D31,D30)</f>
        <v>231.18956573281</v>
      </c>
      <c r="E32" s="71" t="n">
        <f aca="false">MIN(E31,E30)</f>
        <v>236.989402675381</v>
      </c>
      <c r="F32" s="71" t="n">
        <f aca="false">MIN(F31,F30)</f>
        <v>240.913984463748</v>
      </c>
      <c r="G32" s="71" t="n">
        <f aca="false">MIN(G31,G30)</f>
        <v>245.021697286052</v>
      </c>
      <c r="H32" s="71" t="n">
        <f aca="false">MIN(H31,H30)</f>
        <v>249.486555864883</v>
      </c>
      <c r="I32" s="71" t="n">
        <f aca="false">MIN(I31,I30)</f>
        <v>254.352066337085</v>
      </c>
      <c r="J32" s="71" t="n">
        <f aca="false">MIN(J31,J30)</f>
        <v>259.655058072201</v>
      </c>
      <c r="K32" s="71" t="n">
        <f aca="false">MIN(K31,K30)</f>
        <v>265.434896798112</v>
      </c>
      <c r="L32" s="71" t="n">
        <f aca="false">MIN(L31,L30)</f>
        <v>271.734422360426</v>
      </c>
      <c r="M32" s="71" t="n">
        <f aca="false">MIN(M31,M30)</f>
        <v>278.600310318415</v>
      </c>
      <c r="N32" s="71" t="n">
        <f aca="false">MIN(N31,N30)</f>
        <v>286.083417705296</v>
      </c>
      <c r="O32" s="71" t="n">
        <f aca="false">MIN(O31,O30)</f>
        <v>294.239155779073</v>
      </c>
      <c r="P32" s="71" t="n">
        <f aca="false">MIN(P31,P30)</f>
        <v>303.127895259572</v>
      </c>
      <c r="Q32" s="71" t="n">
        <f aca="false">MIN(Q31,Q30)</f>
        <v>312.815407027032</v>
      </c>
      <c r="R32" s="71" t="n">
        <f aca="false">MIN(R31,R30)</f>
        <v>323.373341266119</v>
      </c>
      <c r="S32" s="71" t="n">
        <f aca="false">MIN(S31,S30)</f>
        <v>334.879748236938</v>
      </c>
      <c r="T32" s="71" t="n">
        <f aca="false">MIN(T31,T30)</f>
        <v>347.419644069354</v>
      </c>
      <c r="U32" s="71" t="n">
        <f aca="false">MIN(U31,U30)</f>
        <v>367.651139935594</v>
      </c>
      <c r="V32" s="71" t="n">
        <f aca="false">MIN(V31,V30)</f>
        <v>392.671326450662</v>
      </c>
      <c r="W32" s="71" t="n">
        <f aca="false">MIN(W31,W30)</f>
        <v>420.108622863105</v>
      </c>
      <c r="X32" s="71" t="n">
        <f aca="false">MIN(X31,X30)</f>
        <v>449.939861703886</v>
      </c>
      <c r="Y32" s="71" t="n">
        <f aca="false">MIN(Y31,Y30)</f>
        <v>482.326229974356</v>
      </c>
      <c r="Z32" s="71" t="n">
        <f aca="false">MIN(Z31,Z30)</f>
        <v>517.474364877359</v>
      </c>
      <c r="AA32" s="71" t="n">
        <f aca="false">MIN(AA31,AA30)</f>
        <v>555.612162808798</v>
      </c>
      <c r="AB32" s="71" t="n">
        <f aca="false">MIN(AB31,AB30)</f>
        <v>596.987214559074</v>
      </c>
      <c r="AC32" s="71" t="n">
        <f aca="false">MIN(AC31,AC30)</f>
        <v>641.562167238508</v>
      </c>
      <c r="AD32" s="71" t="n">
        <f aca="false">MIN(AD31,AD30)</f>
        <v>689.488590682779</v>
      </c>
      <c r="AE32" s="71" t="n">
        <f aca="false">MIN(AE31,AE30)</f>
        <v>741.129957074357</v>
      </c>
      <c r="AF32" s="71" t="n">
        <f aca="false">MIN(AF31,AF30)</f>
        <v>796.813951906352</v>
      </c>
      <c r="AG32" s="71" t="n">
        <f aca="false">MIN(AG31,AG30)</f>
        <v>856.891630092659</v>
      </c>
      <c r="AH32" s="71" t="n">
        <f aca="false">MIN(AH31,AH30)</f>
        <v>921.742260765918</v>
      </c>
      <c r="AI32" s="71" t="n">
        <f aca="false">MIN(AI31,AI30)</f>
        <v>991.77648923685</v>
      </c>
      <c r="AJ32" s="71" t="n">
        <f aca="false">MIN(AJ31,AJ30)</f>
        <v>1067.43922593215</v>
      </c>
      <c r="AK32" s="71" t="n">
        <f aca="false">MIN(AK31,AK30)</f>
        <v>1149.21271746944</v>
      </c>
      <c r="AL32" s="71" t="n">
        <f aca="false">MIN(AL31,AL30)</f>
        <v>1237.61986893818</v>
      </c>
      <c r="AM32" s="71" t="n">
        <f aca="false">SUM(C32:AL32)</f>
        <v>17611.7643517625</v>
      </c>
    </row>
    <row r="33" customFormat="false" ht="15" hidden="false" customHeight="false" outlineLevel="0" collapsed="false">
      <c r="A33" s="10" t="s">
        <v>768</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769</v>
      </c>
      <c r="B34" s="9" t="s">
        <v>51</v>
      </c>
      <c r="C34" s="61" t="n">
        <f aca="false">C32*Assumptions!$G$51</f>
        <v>0</v>
      </c>
      <c r="D34" s="61" t="n">
        <f aca="false">D32*Assumptions!$G$51</f>
        <v>92.4758262931239</v>
      </c>
      <c r="E34" s="61" t="n">
        <f aca="false">E32*Assumptions!$G$51</f>
        <v>94.7957610701525</v>
      </c>
      <c r="F34" s="61" t="n">
        <f aca="false">F32*Assumptions!$G$51</f>
        <v>96.3655937854992</v>
      </c>
      <c r="G34" s="61" t="n">
        <f aca="false">G32*Assumptions!$G$51</f>
        <v>98.0086789144207</v>
      </c>
      <c r="H34" s="61" t="n">
        <f aca="false">H32*Assumptions!$G$51</f>
        <v>99.7946223459532</v>
      </c>
      <c r="I34" s="61" t="n">
        <f aca="false">I32*Assumptions!$G$51</f>
        <v>101.740826534834</v>
      </c>
      <c r="J34" s="61" t="n">
        <f aca="false">J32*Assumptions!$G$51</f>
        <v>103.86202322888</v>
      </c>
      <c r="K34" s="61" t="n">
        <f aca="false">K32*Assumptions!$G$51</f>
        <v>106.173958719245</v>
      </c>
      <c r="L34" s="61" t="n">
        <f aca="false">L32*Assumptions!$G$51</f>
        <v>108.69376894417</v>
      </c>
      <c r="M34" s="61" t="n">
        <f aca="false">M32*Assumptions!$G$51</f>
        <v>111.440124127366</v>
      </c>
      <c r="N34" s="61" t="n">
        <f aca="false">N32*Assumptions!$G$51</f>
        <v>114.433367082118</v>
      </c>
      <c r="O34" s="61" t="n">
        <f aca="false">O32*Assumptions!$G$51</f>
        <v>117.695662311629</v>
      </c>
      <c r="P34" s="61" t="n">
        <f aca="false">P32*Assumptions!$G$51</f>
        <v>121.251158103829</v>
      </c>
      <c r="Q34" s="61" t="n">
        <f aca="false">Q32*Assumptions!$G$51</f>
        <v>125.126162810813</v>
      </c>
      <c r="R34" s="61" t="n">
        <f aca="false">R32*Assumptions!$G$51</f>
        <v>129.349336506448</v>
      </c>
      <c r="S34" s="61" t="n">
        <f aca="false">S32*Assumptions!$G$51</f>
        <v>133.951899294775</v>
      </c>
      <c r="T34" s="61" t="n">
        <f aca="false">T32*Assumptions!$G$51</f>
        <v>138.967857627742</v>
      </c>
      <c r="U34" s="61" t="n">
        <f aca="false">U32*Assumptions!$G$51</f>
        <v>147.060455974238</v>
      </c>
      <c r="V34" s="61" t="n">
        <f aca="false">V32*Assumptions!$G$51</f>
        <v>157.068530580265</v>
      </c>
      <c r="W34" s="61" t="n">
        <f aca="false">W32*Assumptions!$G$51</f>
        <v>168.043449145242</v>
      </c>
      <c r="X34" s="61" t="n">
        <f aca="false">X32*Assumptions!$G$51</f>
        <v>179.975944681554</v>
      </c>
      <c r="Y34" s="61" t="n">
        <f aca="false">Y32*Assumptions!$G$51</f>
        <v>192.930491989742</v>
      </c>
      <c r="Z34" s="61" t="n">
        <f aca="false">Z32*Assumptions!$G$51</f>
        <v>206.989745950944</v>
      </c>
      <c r="AA34" s="61" t="n">
        <f aca="false">AA32*Assumptions!$G$51</f>
        <v>222.244865123519</v>
      </c>
      <c r="AB34" s="61" t="n">
        <f aca="false">AB32*Assumptions!$G$51</f>
        <v>238.79488582363</v>
      </c>
      <c r="AC34" s="61" t="n">
        <f aca="false">AC32*Assumptions!$G$51</f>
        <v>256.624866895403</v>
      </c>
      <c r="AD34" s="61" t="n">
        <f aca="false">AD32*Assumptions!$G$51</f>
        <v>275.795436273111</v>
      </c>
      <c r="AE34" s="61" t="n">
        <f aca="false">AE32*Assumptions!$G$51</f>
        <v>296.451982829743</v>
      </c>
      <c r="AF34" s="61" t="n">
        <f aca="false">AF32*Assumptions!$G$51</f>
        <v>318.725580762541</v>
      </c>
      <c r="AG34" s="61" t="n">
        <f aca="false">AG32*Assumptions!$G$51</f>
        <v>342.756652037064</v>
      </c>
      <c r="AH34" s="61" t="n">
        <f aca="false">AH32*Assumptions!$G$51</f>
        <v>368.696904306367</v>
      </c>
      <c r="AI34" s="61" t="n">
        <f aca="false">AI32*Assumptions!$G$51</f>
        <v>396.71059569474</v>
      </c>
      <c r="AJ34" s="61" t="n">
        <f aca="false">AJ32*Assumptions!$G$51</f>
        <v>426.975690372861</v>
      </c>
      <c r="AK34" s="61" t="n">
        <f aca="false">AK32*Assumptions!$G$51</f>
        <v>459.685086987776</v>
      </c>
      <c r="AL34" s="61" t="n">
        <f aca="false">AL32*Assumptions!$G$51</f>
        <v>495.04794757527</v>
      </c>
      <c r="AM34" s="61" t="n">
        <f aca="false">SUM(C34:AL34)</f>
        <v>7044.70574070501</v>
      </c>
    </row>
    <row r="35" customFormat="false" ht="15" hidden="false" customHeight="false" outlineLevel="0" collapsed="false">
      <c r="A35" s="10" t="s">
        <v>770</v>
      </c>
      <c r="B35" s="9" t="s">
        <v>51</v>
      </c>
      <c r="C35" s="61" t="n">
        <f aca="false">C32*(1-Assumptions!$G$51)</f>
        <v>0</v>
      </c>
      <c r="D35" s="61" t="n">
        <f aca="false">D32*(1-Assumptions!$G$51)</f>
        <v>138.713739439686</v>
      </c>
      <c r="E35" s="61" t="n">
        <f aca="false">E32*(1-Assumptions!$G$51)</f>
        <v>142.193641605229</v>
      </c>
      <c r="F35" s="61" t="n">
        <f aca="false">F32*(1-Assumptions!$G$51)</f>
        <v>144.548390678249</v>
      </c>
      <c r="G35" s="61" t="n">
        <f aca="false">G32*(1-Assumptions!$G$51)</f>
        <v>147.013018371631</v>
      </c>
      <c r="H35" s="61" t="n">
        <f aca="false">H32*(1-Assumptions!$G$51)</f>
        <v>149.69193351893</v>
      </c>
      <c r="I35" s="61" t="n">
        <f aca="false">I32*(1-Assumptions!$G$51)</f>
        <v>152.611239802251</v>
      </c>
      <c r="J35" s="61" t="n">
        <f aca="false">J32*(1-Assumptions!$G$51)</f>
        <v>155.793034843321</v>
      </c>
      <c r="K35" s="61" t="n">
        <f aca="false">K32*(1-Assumptions!$G$51)</f>
        <v>159.260938078867</v>
      </c>
      <c r="L35" s="61" t="n">
        <f aca="false">L32*(1-Assumptions!$G$51)</f>
        <v>163.040653416255</v>
      </c>
      <c r="M35" s="61" t="n">
        <f aca="false">M32*(1-Assumptions!$G$51)</f>
        <v>167.160186191049</v>
      </c>
      <c r="N35" s="61" t="n">
        <f aca="false">N32*(1-Assumptions!$G$51)</f>
        <v>171.650050623178</v>
      </c>
      <c r="O35" s="61" t="n">
        <f aca="false">O32*(1-Assumptions!$G$51)</f>
        <v>176.543493467444</v>
      </c>
      <c r="P35" s="61" t="n">
        <f aca="false">P32*(1-Assumptions!$G$51)</f>
        <v>181.876737155743</v>
      </c>
      <c r="Q35" s="61" t="n">
        <f aca="false">Q32*(1-Assumptions!$G$51)</f>
        <v>187.689244216219</v>
      </c>
      <c r="R35" s="61" t="n">
        <f aca="false">R32*(1-Assumptions!$G$51)</f>
        <v>194.024004759672</v>
      </c>
      <c r="S35" s="61" t="n">
        <f aca="false">S32*(1-Assumptions!$G$51)</f>
        <v>200.927848942162</v>
      </c>
      <c r="T35" s="61" t="n">
        <f aca="false">T32*(1-Assumptions!$G$51)</f>
        <v>208.451786441613</v>
      </c>
      <c r="U35" s="61" t="n">
        <f aca="false">U32*(1-Assumptions!$G$51)</f>
        <v>220.590683961357</v>
      </c>
      <c r="V35" s="61" t="n">
        <f aca="false">V32*(1-Assumptions!$G$51)</f>
        <v>235.602795870397</v>
      </c>
      <c r="W35" s="61" t="n">
        <f aca="false">W32*(1-Assumptions!$G$51)</f>
        <v>252.065173717863</v>
      </c>
      <c r="X35" s="61" t="n">
        <f aca="false">X32*(1-Assumptions!$G$51)</f>
        <v>269.963917022331</v>
      </c>
      <c r="Y35" s="61" t="n">
        <f aca="false">Y32*(1-Assumptions!$G$51)</f>
        <v>289.395737984613</v>
      </c>
      <c r="Z35" s="61" t="n">
        <f aca="false">Z32*(1-Assumptions!$G$51)</f>
        <v>310.484618926415</v>
      </c>
      <c r="AA35" s="61" t="n">
        <f aca="false">AA32*(1-Assumptions!$G$51)</f>
        <v>333.367297685279</v>
      </c>
      <c r="AB35" s="61" t="n">
        <f aca="false">AB32*(1-Assumptions!$G$51)</f>
        <v>358.192328735444</v>
      </c>
      <c r="AC35" s="61" t="n">
        <f aca="false">AC32*(1-Assumptions!$G$51)</f>
        <v>384.937300343105</v>
      </c>
      <c r="AD35" s="61" t="n">
        <f aca="false">AD32*(1-Assumptions!$G$51)</f>
        <v>413.693154409667</v>
      </c>
      <c r="AE35" s="61" t="n">
        <f aca="false">AE32*(1-Assumptions!$G$51)</f>
        <v>444.677974244614</v>
      </c>
      <c r="AF35" s="61" t="n">
        <f aca="false">AF32*(1-Assumptions!$G$51)</f>
        <v>478.088371143811</v>
      </c>
      <c r="AG35" s="61" t="n">
        <f aca="false">AG32*(1-Assumptions!$G$51)</f>
        <v>514.134978055595</v>
      </c>
      <c r="AH35" s="61" t="n">
        <f aca="false">AH32*(1-Assumptions!$G$51)</f>
        <v>553.045356459551</v>
      </c>
      <c r="AI35" s="61" t="n">
        <f aca="false">AI32*(1-Assumptions!$G$51)</f>
        <v>595.06589354211</v>
      </c>
      <c r="AJ35" s="61" t="n">
        <f aca="false">AJ32*(1-Assumptions!$G$51)</f>
        <v>640.463535559292</v>
      </c>
      <c r="AK35" s="61" t="n">
        <f aca="false">AK32*(1-Assumptions!$G$51)</f>
        <v>689.527630481664</v>
      </c>
      <c r="AL35" s="61" t="n">
        <f aca="false">AL32*(1-Assumptions!$G$51)</f>
        <v>742.571921362905</v>
      </c>
      <c r="AM35" s="61" t="n">
        <f aca="false">SUM(C35:AL35)</f>
        <v>10567.0586110575</v>
      </c>
    </row>
    <row r="36" customFormat="false" ht="15" hidden="false" customHeight="false" outlineLevel="0" collapsed="false">
      <c r="A36" s="37" t="s">
        <v>771</v>
      </c>
      <c r="B36" s="9" t="s">
        <v>51</v>
      </c>
      <c r="C36" s="71" t="n">
        <f aca="false">C34</f>
        <v>0</v>
      </c>
      <c r="D36" s="71" t="n">
        <f aca="false">C36*(1-Assumptions!$G$52)+D34</f>
        <v>92.4758262931239</v>
      </c>
      <c r="E36" s="71" t="n">
        <f aca="false">D36*(1-Assumptions!$G$52)+E34</f>
        <v>180.798279522758</v>
      </c>
      <c r="F36" s="71" t="n">
        <f aca="false">E36*(1-Assumptions!$G$52)+F34</f>
        <v>264.507993741664</v>
      </c>
      <c r="G36" s="71" t="n">
        <f aca="false">F36*(1-Assumptions!$G$52)+G34</f>
        <v>344.001113094168</v>
      </c>
      <c r="H36" s="71" t="n">
        <f aca="false">G36*(1-Assumptions!$G$52)+H34</f>
        <v>419.71565752353</v>
      </c>
      <c r="I36" s="71" t="n">
        <f aca="false">H36*(1-Assumptions!$G$52)+I34</f>
        <v>492.076388031716</v>
      </c>
      <c r="J36" s="71" t="n">
        <f aca="false">I36*(1-Assumptions!$G$52)+J34</f>
        <v>561.493064098377</v>
      </c>
      <c r="K36" s="71" t="n">
        <f aca="false">J36*(1-Assumptions!$G$52)+K34</f>
        <v>628.362508330735</v>
      </c>
      <c r="L36" s="71" t="n">
        <f aca="false">K36*(1-Assumptions!$G$52)+L34</f>
        <v>693.070901691754</v>
      </c>
      <c r="M36" s="71" t="n">
        <f aca="false">L36*(1-Assumptions!$G$52)+M34</f>
        <v>755.996062700697</v>
      </c>
      <c r="N36" s="71" t="n">
        <f aca="false">M36*(1-Assumptions!$G$52)+N34</f>
        <v>817.509705393767</v>
      </c>
      <c r="O36" s="71" t="n">
        <f aca="false">N36*(1-Assumptions!$G$52)+O34</f>
        <v>877.979688327832</v>
      </c>
      <c r="P36" s="71" t="n">
        <f aca="false">O36*(1-Assumptions!$G$52)+P34</f>
        <v>937.772268248712</v>
      </c>
      <c r="Q36" s="71" t="n">
        <f aca="false">P36*(1-Assumptions!$G$52)+Q34</f>
        <v>997.254372282115</v>
      </c>
      <c r="R36" s="71" t="n">
        <f aca="false">Q36*(1-Assumptions!$G$52)+R34</f>
        <v>1056.79590272881</v>
      </c>
      <c r="S36" s="71" t="n">
        <f aca="false">R36*(1-Assumptions!$G$52)+S34</f>
        <v>1116.77208883257</v>
      </c>
      <c r="T36" s="71" t="n">
        <f aca="false">S36*(1-Assumptions!$G$52)+T34</f>
        <v>1177.56590024203</v>
      </c>
      <c r="U36" s="71" t="n">
        <f aca="false">T36*(1-Assumptions!$G$52)+U34</f>
        <v>1242.19674319933</v>
      </c>
      <c r="V36" s="71" t="n">
        <f aca="false">U36*(1-Assumptions!$G$52)+V34</f>
        <v>1312.31150175564</v>
      </c>
      <c r="W36" s="71" t="n">
        <f aca="false">V36*(1-Assumptions!$G$52)+W34</f>
        <v>1388.49314577799</v>
      </c>
      <c r="X36" s="71" t="n">
        <f aca="false">W36*(1-Assumptions!$G$52)+X34</f>
        <v>1471.27457025508</v>
      </c>
      <c r="Y36" s="71" t="n">
        <f aca="false">X36*(1-Assumptions!$G$52)+Y34</f>
        <v>1561.21584232697</v>
      </c>
      <c r="Z36" s="71" t="n">
        <f aca="false">Y36*(1-Assumptions!$G$52)+Z34</f>
        <v>1658.92047931502</v>
      </c>
      <c r="AA36" s="71" t="n">
        <f aca="false">Z36*(1-Assumptions!$G$52)+AA34</f>
        <v>1765.04091088649</v>
      </c>
      <c r="AB36" s="71" t="n">
        <f aca="false">AA36*(1-Assumptions!$G$52)+AB34</f>
        <v>1880.28293294807</v>
      </c>
      <c r="AC36" s="71" t="n">
        <f aca="false">AB36*(1-Assumptions!$G$52)+AC34</f>
        <v>2005.28799453711</v>
      </c>
      <c r="AD36" s="71" t="n">
        <f aca="false">AC36*(1-Assumptions!$G$52)+AD34</f>
        <v>2140.71327119262</v>
      </c>
      <c r="AE36" s="71" t="n">
        <f aca="false">AD36*(1-Assumptions!$G$52)+AE34</f>
        <v>2287.31532503888</v>
      </c>
      <c r="AF36" s="71" t="n">
        <f aca="false">AE36*(1-Assumptions!$G$52)+AF34</f>
        <v>2445.9288330487</v>
      </c>
      <c r="AG36" s="71" t="n">
        <f aca="false">AF36*(1-Assumptions!$G$52)+AG34</f>
        <v>2617.47046677235</v>
      </c>
      <c r="AH36" s="71" t="n">
        <f aca="false">AG36*(1-Assumptions!$G$52)+AH34</f>
        <v>2802.94443840465</v>
      </c>
      <c r="AI36" s="71" t="n">
        <f aca="false">AH36*(1-Assumptions!$G$52)+AI34</f>
        <v>3003.44892341107</v>
      </c>
      <c r="AJ36" s="71" t="n">
        <f aca="false">AI36*(1-Assumptions!$G$52)+AJ34</f>
        <v>3220.18318914516</v>
      </c>
      <c r="AK36" s="71" t="n">
        <f aca="false">AJ36*(1-Assumptions!$G$52)+AK34</f>
        <v>3454.45545289277</v>
      </c>
      <c r="AL36" s="71" t="n">
        <f aca="false">AK36*(1-Assumptions!$G$52)+AL34</f>
        <v>3707.69151876555</v>
      </c>
      <c r="AM36" s="71" t="n">
        <f aca="false">AL36</f>
        <v>3707.69151876555</v>
      </c>
    </row>
    <row r="37" customFormat="false" ht="15" hidden="false" customHeight="false" outlineLevel="0" collapsed="false">
      <c r="A37" s="10" t="s">
        <v>772</v>
      </c>
      <c r="B37" s="9" t="s">
        <v>51</v>
      </c>
      <c r="C37" s="61" t="n">
        <f aca="false">0</f>
        <v>0</v>
      </c>
      <c r="D37" s="61" t="n">
        <f aca="false">C36*Assumptions!$G$52</f>
        <v>0</v>
      </c>
      <c r="E37" s="61" t="n">
        <f aca="false">D36*Assumptions!$G$52</f>
        <v>6.47330784051867</v>
      </c>
      <c r="F37" s="61" t="n">
        <f aca="false">E36*Assumptions!$G$52</f>
        <v>12.655879566593</v>
      </c>
      <c r="G37" s="61" t="n">
        <f aca="false">F36*Assumptions!$G$52</f>
        <v>18.5155595619165</v>
      </c>
      <c r="H37" s="61" t="n">
        <f aca="false">G36*Assumptions!$G$52</f>
        <v>24.0800779165918</v>
      </c>
      <c r="I37" s="61" t="n">
        <f aca="false">H36*Assumptions!$G$52</f>
        <v>29.3800960266471</v>
      </c>
      <c r="J37" s="61" t="n">
        <f aca="false">I36*Assumptions!$G$52</f>
        <v>34.4453471622202</v>
      </c>
      <c r="K37" s="61" t="n">
        <f aca="false">J36*Assumptions!$G$52</f>
        <v>39.3045144868864</v>
      </c>
      <c r="L37" s="61" t="n">
        <f aca="false">K36*Assumptions!$G$52</f>
        <v>43.9853755831515</v>
      </c>
      <c r="M37" s="61" t="n">
        <f aca="false">L36*Assumptions!$G$52</f>
        <v>48.5149631184228</v>
      </c>
      <c r="N37" s="61" t="n">
        <f aca="false">M36*Assumptions!$G$52</f>
        <v>52.9197243890488</v>
      </c>
      <c r="O37" s="61" t="n">
        <f aca="false">N36*Assumptions!$G$52</f>
        <v>57.2256793775637</v>
      </c>
      <c r="P37" s="61" t="n">
        <f aca="false">O36*Assumptions!$G$52</f>
        <v>61.4585781829482</v>
      </c>
      <c r="Q37" s="61" t="n">
        <f aca="false">P36*Assumptions!$G$52</f>
        <v>65.6440587774099</v>
      </c>
      <c r="R37" s="61" t="n">
        <f aca="false">Q36*Assumptions!$G$52</f>
        <v>69.8078060597481</v>
      </c>
      <c r="S37" s="61" t="n">
        <f aca="false">R36*Assumptions!$G$52</f>
        <v>73.975713191017</v>
      </c>
      <c r="T37" s="61" t="n">
        <f aca="false">S36*Assumptions!$G$52</f>
        <v>78.1740462182801</v>
      </c>
      <c r="U37" s="61" t="n">
        <f aca="false">T36*Assumptions!$G$52</f>
        <v>82.4296130169424</v>
      </c>
      <c r="V37" s="61" t="n">
        <f aca="false">U36*Assumptions!$G$52</f>
        <v>86.9537720239531</v>
      </c>
      <c r="W37" s="61" t="n">
        <f aca="false">V36*Assumptions!$G$52</f>
        <v>91.8618051228949</v>
      </c>
      <c r="X37" s="61" t="n">
        <f aca="false">W36*Assumptions!$G$52</f>
        <v>97.1945202044592</v>
      </c>
      <c r="Y37" s="61" t="n">
        <f aca="false">X36*Assumptions!$G$52</f>
        <v>102.989219917856</v>
      </c>
      <c r="Z37" s="61" t="n">
        <f aca="false">Y36*Assumptions!$G$52</f>
        <v>109.285108962888</v>
      </c>
      <c r="AA37" s="61" t="n">
        <f aca="false">Z36*Assumptions!$G$52</f>
        <v>116.124433552052</v>
      </c>
      <c r="AB37" s="61" t="n">
        <f aca="false">AA36*Assumptions!$G$52</f>
        <v>123.552863762054</v>
      </c>
      <c r="AC37" s="61" t="n">
        <f aca="false">AB36*Assumptions!$G$52</f>
        <v>131.619805306365</v>
      </c>
      <c r="AD37" s="61" t="n">
        <f aca="false">AC36*Assumptions!$G$52</f>
        <v>140.370159617597</v>
      </c>
      <c r="AE37" s="61" t="n">
        <f aca="false">AD36*Assumptions!$G$52</f>
        <v>149.849928983483</v>
      </c>
      <c r="AF37" s="61" t="n">
        <f aca="false">AE36*Assumptions!$G$52</f>
        <v>160.112072752722</v>
      </c>
      <c r="AG37" s="61" t="n">
        <f aca="false">AF36*Assumptions!$G$52</f>
        <v>171.215018313409</v>
      </c>
      <c r="AH37" s="61" t="n">
        <f aca="false">AG36*Assumptions!$G$52</f>
        <v>183.222932674065</v>
      </c>
      <c r="AI37" s="61" t="n">
        <f aca="false">AH36*Assumptions!$G$52</f>
        <v>196.206110688326</v>
      </c>
      <c r="AJ37" s="61" t="n">
        <f aca="false">AI36*Assumptions!$G$52</f>
        <v>210.241424638775</v>
      </c>
      <c r="AK37" s="61" t="n">
        <f aca="false">AJ36*Assumptions!$G$52</f>
        <v>225.412823240161</v>
      </c>
      <c r="AL37" s="61" t="n">
        <f aca="false">AK36*Assumptions!$G$52</f>
        <v>241.811881702494</v>
      </c>
      <c r="AM37" s="61" t="n">
        <f aca="false">SUM(C37:AL37)</f>
        <v>3337.01422193946</v>
      </c>
    </row>
    <row r="38" customFormat="false" ht="15" hidden="false" customHeight="false" outlineLevel="0" collapsed="false">
      <c r="A38" s="10" t="s">
        <v>773</v>
      </c>
      <c r="B38" s="9" t="s">
        <v>51</v>
      </c>
      <c r="C38" s="61" t="n">
        <f aca="false">0</f>
        <v>0</v>
      </c>
      <c r="D38" s="61" t="n">
        <f aca="false">C35*Assumptions!$G$53</f>
        <v>0</v>
      </c>
      <c r="E38" s="61" t="n">
        <f aca="false">D35*Assumptions!$G$53</f>
        <v>15.2585113383654</v>
      </c>
      <c r="F38" s="61" t="n">
        <f aca="false">E35*Assumptions!$G$53</f>
        <v>15.6413005765752</v>
      </c>
      <c r="G38" s="61" t="n">
        <f aca="false">F35*Assumptions!$G$53</f>
        <v>15.9003229746074</v>
      </c>
      <c r="H38" s="61" t="n">
        <f aca="false">G35*Assumptions!$G$53</f>
        <v>16.1714320208794</v>
      </c>
      <c r="I38" s="61" t="n">
        <f aca="false">H35*Assumptions!$G$53</f>
        <v>16.4661126870823</v>
      </c>
      <c r="J38" s="61" t="n">
        <f aca="false">I35*Assumptions!$G$53</f>
        <v>16.7872363782476</v>
      </c>
      <c r="K38" s="61" t="n">
        <f aca="false">J35*Assumptions!$G$53</f>
        <v>17.1372338327653</v>
      </c>
      <c r="L38" s="61" t="n">
        <f aca="false">K35*Assumptions!$G$53</f>
        <v>17.5187031886754</v>
      </c>
      <c r="M38" s="61" t="n">
        <f aca="false">L35*Assumptions!$G$53</f>
        <v>17.9344718757881</v>
      </c>
      <c r="N38" s="61" t="n">
        <f aca="false">M35*Assumptions!$G$53</f>
        <v>18.3876204810154</v>
      </c>
      <c r="O38" s="61" t="n">
        <f aca="false">N35*Assumptions!$G$53</f>
        <v>18.8815055685495</v>
      </c>
      <c r="P38" s="61" t="n">
        <f aca="false">O35*Assumptions!$G$53</f>
        <v>19.4197842814188</v>
      </c>
      <c r="Q38" s="61" t="n">
        <f aca="false">P35*Assumptions!$G$53</f>
        <v>20.0064410871317</v>
      </c>
      <c r="R38" s="61" t="n">
        <f aca="false">Q35*Assumptions!$G$53</f>
        <v>20.6458168637841</v>
      </c>
      <c r="S38" s="61" t="n">
        <f aca="false">R35*Assumptions!$G$53</f>
        <v>21.3426405235639</v>
      </c>
      <c r="T38" s="61" t="n">
        <f aca="false">S35*Assumptions!$G$53</f>
        <v>22.1020633836379</v>
      </c>
      <c r="U38" s="61" t="n">
        <f aca="false">T35*Assumptions!$G$53</f>
        <v>22.9296965085774</v>
      </c>
      <c r="V38" s="61" t="n">
        <f aca="false">U35*Assumptions!$G$53</f>
        <v>24.2649752357492</v>
      </c>
      <c r="W38" s="61" t="n">
        <f aca="false">V35*Assumptions!$G$53</f>
        <v>25.9163075457437</v>
      </c>
      <c r="X38" s="61" t="n">
        <f aca="false">W35*Assumptions!$G$53</f>
        <v>27.7271691089649</v>
      </c>
      <c r="Y38" s="61" t="n">
        <f aca="false">X35*Assumptions!$G$53</f>
        <v>29.6960308724565</v>
      </c>
      <c r="Z38" s="61" t="n">
        <f aca="false">Y35*Assumptions!$G$53</f>
        <v>31.8335311783075</v>
      </c>
      <c r="AA38" s="61" t="n">
        <f aca="false">Z35*Assumptions!$G$53</f>
        <v>34.1533080819057</v>
      </c>
      <c r="AB38" s="61" t="n">
        <f aca="false">AA35*Assumptions!$G$53</f>
        <v>36.6704027453806</v>
      </c>
      <c r="AC38" s="61" t="n">
        <f aca="false">AB35*Assumptions!$G$53</f>
        <v>39.4011561608989</v>
      </c>
      <c r="AD38" s="61" t="n">
        <f aca="false">AC35*Assumptions!$G$53</f>
        <v>42.3431030377416</v>
      </c>
      <c r="AE38" s="61" t="n">
        <f aca="false">AD35*Assumptions!$G$53</f>
        <v>45.5062469850634</v>
      </c>
      <c r="AF38" s="61" t="n">
        <f aca="false">AE35*Assumptions!$G$53</f>
        <v>48.9145771669076</v>
      </c>
      <c r="AG38" s="61" t="n">
        <f aca="false">AF35*Assumptions!$G$53</f>
        <v>52.5897208258192</v>
      </c>
      <c r="AH38" s="61" t="n">
        <f aca="false">AG35*Assumptions!$G$53</f>
        <v>56.5548475861155</v>
      </c>
      <c r="AI38" s="61" t="n">
        <f aca="false">AH35*Assumptions!$G$53</f>
        <v>60.8349892105506</v>
      </c>
      <c r="AJ38" s="61" t="n">
        <f aca="false">AI35*Assumptions!$G$53</f>
        <v>65.4572482896321</v>
      </c>
      <c r="AK38" s="61" t="n">
        <f aca="false">AJ35*Assumptions!$G$53</f>
        <v>70.4509889115221</v>
      </c>
      <c r="AL38" s="61" t="n">
        <f aca="false">AK35*Assumptions!$G$53</f>
        <v>75.848039352983</v>
      </c>
      <c r="AM38" s="61" t="n">
        <f aca="false">SUM(C38:AL38)</f>
        <v>1080.69353586641</v>
      </c>
    </row>
    <row r="39" customFormat="false" ht="15" hidden="false" customHeight="false" outlineLevel="0" collapsed="false">
      <c r="A39" s="37" t="s">
        <v>774</v>
      </c>
      <c r="B39" s="9" t="s">
        <v>51</v>
      </c>
      <c r="C39" s="71" t="n">
        <f aca="false">C35+C36+C38</f>
        <v>0</v>
      </c>
      <c r="D39" s="71" t="n">
        <f aca="false">D35+D36+D38</f>
        <v>231.18956573281</v>
      </c>
      <c r="E39" s="71" t="n">
        <f aca="false">E35+E36+E38</f>
        <v>338.250432466352</v>
      </c>
      <c r="F39" s="71" t="n">
        <f aca="false">F35+F36+F38</f>
        <v>424.697684996488</v>
      </c>
      <c r="G39" s="71" t="n">
        <f aca="false">G35+G36+G38</f>
        <v>506.914454440407</v>
      </c>
      <c r="H39" s="71" t="n">
        <f aca="false">H35+H36+H38</f>
        <v>585.579023063339</v>
      </c>
      <c r="I39" s="71" t="n">
        <f aca="false">I35+I36+I38</f>
        <v>661.15374052105</v>
      </c>
      <c r="J39" s="71" t="n">
        <f aca="false">J35+J36+J38</f>
        <v>734.073335319945</v>
      </c>
      <c r="K39" s="71" t="n">
        <f aca="false">K35+K36+K38</f>
        <v>804.760680242367</v>
      </c>
      <c r="L39" s="71" t="n">
        <f aca="false">L35+L36+L38</f>
        <v>873.630258296685</v>
      </c>
      <c r="M39" s="71" t="n">
        <f aca="false">M35+M36+M38</f>
        <v>941.090720767534</v>
      </c>
      <c r="N39" s="71" t="n">
        <f aca="false">N35+N36+N38</f>
        <v>1007.54737649796</v>
      </c>
      <c r="O39" s="71" t="n">
        <f aca="false">O35+O36+O38</f>
        <v>1073.40468736383</v>
      </c>
      <c r="P39" s="71" t="n">
        <f aca="false">P35+P36+P38</f>
        <v>1139.06878968587</v>
      </c>
      <c r="Q39" s="71" t="n">
        <f aca="false">Q35+Q36+Q38</f>
        <v>1204.95005758547</v>
      </c>
      <c r="R39" s="71" t="n">
        <f aca="false">R35+R36+R38</f>
        <v>1271.46572435227</v>
      </c>
      <c r="S39" s="71" t="n">
        <f aca="false">S35+S36+S38</f>
        <v>1339.0425782983</v>
      </c>
      <c r="T39" s="71" t="n">
        <f aca="false">T35+T36+T38</f>
        <v>1408.11975006728</v>
      </c>
      <c r="U39" s="71" t="n">
        <f aca="false">U35+U36+U38</f>
        <v>1485.71712366926</v>
      </c>
      <c r="V39" s="71" t="n">
        <f aca="false">V35+V36+V38</f>
        <v>1572.17927286179</v>
      </c>
      <c r="W39" s="71" t="n">
        <f aca="false">W35+W36+W38</f>
        <v>1666.47462704159</v>
      </c>
      <c r="X39" s="71" t="n">
        <f aca="false">X35+X36+X38</f>
        <v>1768.96565638638</v>
      </c>
      <c r="Y39" s="71" t="n">
        <f aca="false">Y35+Y36+Y38</f>
        <v>1880.30761118404</v>
      </c>
      <c r="Z39" s="71" t="n">
        <f aca="false">Z35+Z36+Z38</f>
        <v>2001.23862941975</v>
      </c>
      <c r="AA39" s="71" t="n">
        <f aca="false">AA35+AA36+AA38</f>
        <v>2132.56151665368</v>
      </c>
      <c r="AB39" s="71" t="n">
        <f aca="false">AB35+AB36+AB38</f>
        <v>2275.14566442889</v>
      </c>
      <c r="AC39" s="71" t="n">
        <f aca="false">AC35+AC36+AC38</f>
        <v>2429.62645104111</v>
      </c>
      <c r="AD39" s="71" t="n">
        <f aca="false">AD35+AD36+AD38</f>
        <v>2596.74952864003</v>
      </c>
      <c r="AE39" s="71" t="n">
        <f aca="false">AE35+AE36+AE38</f>
        <v>2777.49954626856</v>
      </c>
      <c r="AF39" s="71" t="n">
        <f aca="false">AF35+AF36+AF38</f>
        <v>2972.93178135942</v>
      </c>
      <c r="AG39" s="71" t="n">
        <f aca="false">AG35+AG36+AG38</f>
        <v>3184.19516565377</v>
      </c>
      <c r="AH39" s="71" t="n">
        <f aca="false">AH35+AH36+AH38</f>
        <v>3412.54464245032</v>
      </c>
      <c r="AI39" s="71" t="n">
        <f aca="false">AI35+AI36+AI38</f>
        <v>3659.34980616373</v>
      </c>
      <c r="AJ39" s="71" t="n">
        <f aca="false">AJ35+AJ36+AJ38</f>
        <v>3926.10397299408</v>
      </c>
      <c r="AK39" s="71" t="n">
        <f aca="false">AK35+AK36+AK38</f>
        <v>4214.43407228596</v>
      </c>
      <c r="AL39" s="71" t="n">
        <f aca="false">AL35+AL36+AL38</f>
        <v>4526.11147948143</v>
      </c>
      <c r="AM39" s="71" t="n">
        <f aca="false">SUM(C39:AL39)</f>
        <v>63027.0754076817</v>
      </c>
    </row>
    <row r="40" customFormat="false" ht="15" hidden="false" customHeight="false" outlineLevel="0" collapsed="false">
      <c r="A40" s="10" t="s">
        <v>775</v>
      </c>
      <c r="B40" s="9" t="s">
        <v>97</v>
      </c>
      <c r="C40" s="70" t="n">
        <f aca="false">C39*Assumptions!$G$50</f>
        <v>0</v>
      </c>
      <c r="D40" s="70" t="n">
        <f aca="false">D39*Assumptions!$G$50</f>
        <v>18032.7861271592</v>
      </c>
      <c r="E40" s="70" t="n">
        <f aca="false">E39*Assumptions!$G$50</f>
        <v>26383.5337323755</v>
      </c>
      <c r="F40" s="70" t="n">
        <f aca="false">F39*Assumptions!$G$50</f>
        <v>33126.4194297261</v>
      </c>
      <c r="G40" s="70" t="n">
        <f aca="false">G39*Assumptions!$G$50</f>
        <v>39539.3274463517</v>
      </c>
      <c r="H40" s="70" t="n">
        <f aca="false">H39*Assumptions!$G$50</f>
        <v>45675.1637989404</v>
      </c>
      <c r="I40" s="70" t="n">
        <f aca="false">I39*Assumptions!$G$50</f>
        <v>51569.9917606419</v>
      </c>
      <c r="J40" s="70" t="n">
        <f aca="false">J39*Assumptions!$G$50</f>
        <v>57257.7201549557</v>
      </c>
      <c r="K40" s="70" t="n">
        <f aca="false">K39*Assumptions!$G$50</f>
        <v>62771.3330589047</v>
      </c>
      <c r="L40" s="70" t="n">
        <f aca="false">L39*Assumptions!$G$50</f>
        <v>68143.1601471414</v>
      </c>
      <c r="M40" s="70" t="n">
        <f aca="false">M39*Assumptions!$G$50</f>
        <v>73405.0762198676</v>
      </c>
      <c r="N40" s="70" t="n">
        <f aca="false">N39*Assumptions!$G$50</f>
        <v>78588.6953668408</v>
      </c>
      <c r="O40" s="70" t="n">
        <f aca="false">O39*Assumptions!$G$50</f>
        <v>83725.5656143784</v>
      </c>
      <c r="P40" s="70" t="n">
        <f aca="false">P39*Assumptions!$G$50</f>
        <v>88847.3655954982</v>
      </c>
      <c r="Q40" s="70" t="n">
        <f aca="false">Q39*Assumptions!$G$50</f>
        <v>93986.1044916663</v>
      </c>
      <c r="R40" s="70" t="n">
        <f aca="false">R39*Assumptions!$G$50</f>
        <v>99174.3264994771</v>
      </c>
      <c r="S40" s="70" t="n">
        <f aca="false">S39*Assumptions!$G$50</f>
        <v>104445.321107267</v>
      </c>
      <c r="T40" s="70" t="n">
        <f aca="false">T39*Assumptions!$G$50</f>
        <v>109833.340505248</v>
      </c>
      <c r="U40" s="70" t="n">
        <f aca="false">U39*Assumptions!$G$50</f>
        <v>115885.935646203</v>
      </c>
      <c r="V40" s="70" t="n">
        <f aca="false">V39*Assumptions!$G$50</f>
        <v>122629.983283219</v>
      </c>
      <c r="W40" s="70" t="n">
        <f aca="false">W39*Assumptions!$G$50</f>
        <v>129985.020909244</v>
      </c>
      <c r="X40" s="70" t="n">
        <f aca="false">X39*Assumptions!$G$50</f>
        <v>137979.321198138</v>
      </c>
      <c r="Y40" s="70" t="n">
        <f aca="false">Y39*Assumptions!$G$50</f>
        <v>146663.993672355</v>
      </c>
      <c r="Z40" s="70" t="n">
        <f aca="false">Z39*Assumptions!$G$50</f>
        <v>156096.61309474</v>
      </c>
      <c r="AA40" s="70" t="n">
        <f aca="false">AA39*Assumptions!$G$50</f>
        <v>166339.798298987</v>
      </c>
      <c r="AB40" s="70" t="n">
        <f aca="false">AB39*Assumptions!$G$50</f>
        <v>177461.361825454</v>
      </c>
      <c r="AC40" s="70" t="n">
        <f aca="false">AC39*Assumptions!$G$50</f>
        <v>189510.863181207</v>
      </c>
      <c r="AD40" s="70" t="n">
        <f aca="false">AD39*Assumptions!$G$50</f>
        <v>202546.463233922</v>
      </c>
      <c r="AE40" s="70" t="n">
        <f aca="false">AE39*Assumptions!$G$50</f>
        <v>216644.964608947</v>
      </c>
      <c r="AF40" s="70" t="n">
        <f aca="false">AF39*Assumptions!$G$50</f>
        <v>231888.678946034</v>
      </c>
      <c r="AG40" s="70" t="n">
        <f aca="false">AG39*Assumptions!$G$50</f>
        <v>248367.222920994</v>
      </c>
      <c r="AH40" s="70" t="n">
        <f aca="false">AH39*Assumptions!$G$50</f>
        <v>266178.482111125</v>
      </c>
      <c r="AI40" s="70" t="n">
        <f aca="false">AI39*Assumptions!$G$50</f>
        <v>285429.284880771</v>
      </c>
      <c r="AJ40" s="70" t="n">
        <f aca="false">AJ39*Assumptions!$G$50</f>
        <v>306236.109893538</v>
      </c>
      <c r="AK40" s="70" t="n">
        <f aca="false">AK39*Assumptions!$G$50</f>
        <v>328725.857638305</v>
      </c>
      <c r="AL40" s="70" t="n">
        <f aca="false">AL39*Assumptions!$G$50</f>
        <v>353036.695399552</v>
      </c>
      <c r="AM40" s="70" t="n">
        <f aca="false">SUM(C40:AL40)</f>
        <v>4916111.88179917</v>
      </c>
    </row>
    <row r="41" customFormat="false" ht="15" hidden="false" customHeight="false" outlineLevel="0" collapsed="false">
      <c r="A41" s="10" t="s">
        <v>776</v>
      </c>
      <c r="B41" s="9" t="s">
        <v>97</v>
      </c>
      <c r="C41" s="70" t="n">
        <f aca="false">-C40*Assumptions!$G$80</f>
        <v>-0</v>
      </c>
      <c r="D41" s="70" t="n">
        <f aca="false">-D40*Assumptions!$G$80</f>
        <v>-540.983583814775</v>
      </c>
      <c r="E41" s="70" t="n">
        <f aca="false">-E40*Assumptions!$G$80</f>
        <v>-791.506011971264</v>
      </c>
      <c r="F41" s="70" t="n">
        <f aca="false">-F40*Assumptions!$G$80</f>
        <v>-993.792582891782</v>
      </c>
      <c r="G41" s="70" t="n">
        <f aca="false">-G40*Assumptions!$G$80</f>
        <v>-1186.17982339055</v>
      </c>
      <c r="H41" s="70" t="n">
        <f aca="false">-H40*Assumptions!$G$80</f>
        <v>-1370.25491396821</v>
      </c>
      <c r="I41" s="70" t="n">
        <f aca="false">-I40*Assumptions!$G$80</f>
        <v>-1547.09975281926</v>
      </c>
      <c r="J41" s="70" t="n">
        <f aca="false">-J40*Assumptions!$G$80</f>
        <v>-1717.73160464867</v>
      </c>
      <c r="K41" s="70" t="n">
        <f aca="false">-K40*Assumptions!$G$80</f>
        <v>-1883.13999176714</v>
      </c>
      <c r="L41" s="70" t="n">
        <f aca="false">-L40*Assumptions!$G$80</f>
        <v>-2044.29480441424</v>
      </c>
      <c r="M41" s="70" t="n">
        <f aca="false">-M40*Assumptions!$G$80</f>
        <v>-2202.15228659603</v>
      </c>
      <c r="N41" s="70" t="n">
        <f aca="false">-N40*Assumptions!$G$80</f>
        <v>-2357.66086100523</v>
      </c>
      <c r="O41" s="70" t="n">
        <f aca="false">-O40*Assumptions!$G$80</f>
        <v>-2511.76696843135</v>
      </c>
      <c r="P41" s="70" t="n">
        <f aca="false">-P40*Assumptions!$G$80</f>
        <v>-2665.42096786495</v>
      </c>
      <c r="Q41" s="70" t="n">
        <f aca="false">-Q40*Assumptions!$G$80</f>
        <v>-2819.58313474999</v>
      </c>
      <c r="R41" s="70" t="n">
        <f aca="false">-R40*Assumptions!$G$80</f>
        <v>-2975.22979498431</v>
      </c>
      <c r="S41" s="70" t="n">
        <f aca="false">-S40*Assumptions!$G$80</f>
        <v>-3133.35963321802</v>
      </c>
      <c r="T41" s="70" t="n">
        <f aca="false">-T40*Assumptions!$G$80</f>
        <v>-3295.00021515745</v>
      </c>
      <c r="U41" s="70" t="n">
        <f aca="false">-U40*Assumptions!$G$80</f>
        <v>-3476.57806938608</v>
      </c>
      <c r="V41" s="70" t="n">
        <f aca="false">-V40*Assumptions!$G$80</f>
        <v>-3678.89949849658</v>
      </c>
      <c r="W41" s="70" t="n">
        <f aca="false">-W40*Assumptions!$G$80</f>
        <v>-3899.55062727733</v>
      </c>
      <c r="X41" s="70" t="n">
        <f aca="false">-X40*Assumptions!$G$80</f>
        <v>-4139.37963594413</v>
      </c>
      <c r="Y41" s="70" t="n">
        <f aca="false">-Y40*Assumptions!$G$80</f>
        <v>-4399.91981017065</v>
      </c>
      <c r="Z41" s="70" t="n">
        <f aca="false">-Z40*Assumptions!$G$80</f>
        <v>-4682.89839284221</v>
      </c>
      <c r="AA41" s="70" t="n">
        <f aca="false">-AA40*Assumptions!$G$80</f>
        <v>-4990.1939489696</v>
      </c>
      <c r="AB41" s="70" t="n">
        <f aca="false">-AB40*Assumptions!$G$80</f>
        <v>-5323.84085476361</v>
      </c>
      <c r="AC41" s="70" t="n">
        <f aca="false">-AC40*Assumptions!$G$80</f>
        <v>-5685.3258954362</v>
      </c>
      <c r="AD41" s="70" t="n">
        <f aca="false">-AD40*Assumptions!$G$80</f>
        <v>-6076.39389701767</v>
      </c>
      <c r="AE41" s="70" t="n">
        <f aca="false">-AE40*Assumptions!$G$80</f>
        <v>-6499.34893826842</v>
      </c>
      <c r="AF41" s="70" t="n">
        <f aca="false">-AF40*Assumptions!$G$80</f>
        <v>-6956.66036838103</v>
      </c>
      <c r="AG41" s="70" t="n">
        <f aca="false">-AG40*Assumptions!$G$80</f>
        <v>-7451.01668762981</v>
      </c>
      <c r="AH41" s="70" t="n">
        <f aca="false">-AH40*Assumptions!$G$80</f>
        <v>-7985.35446333375</v>
      </c>
      <c r="AI41" s="70" t="n">
        <f aca="false">-AI40*Assumptions!$G$80</f>
        <v>-8562.87854642313</v>
      </c>
      <c r="AJ41" s="70" t="n">
        <f aca="false">-AJ40*Assumptions!$G$80</f>
        <v>-9187.08329680614</v>
      </c>
      <c r="AK41" s="70" t="n">
        <f aca="false">-AK40*Assumptions!$G$80</f>
        <v>-9861.77572914914</v>
      </c>
      <c r="AL41" s="70" t="n">
        <f aca="false">-AL40*Assumptions!$G$80</f>
        <v>-10591.1008619866</v>
      </c>
      <c r="AM41" s="70" t="n">
        <f aca="false">SUM(C41:AL41)</f>
        <v>-147483.356453975</v>
      </c>
    </row>
    <row r="42" customFormat="false" ht="15" hidden="false" customHeight="false" outlineLevel="0" collapsed="false">
      <c r="A42" s="37" t="s">
        <v>777</v>
      </c>
      <c r="B42" s="9" t="s">
        <v>97</v>
      </c>
      <c r="C42" s="53" t="n">
        <f aca="false">C40+C41</f>
        <v>0</v>
      </c>
      <c r="D42" s="53" t="n">
        <f aca="false">D40+D41</f>
        <v>17491.8025433444</v>
      </c>
      <c r="E42" s="53" t="n">
        <f aca="false">E40+E41</f>
        <v>25592.0277204042</v>
      </c>
      <c r="F42" s="53" t="n">
        <f aca="false">F40+F41</f>
        <v>32132.6268468343</v>
      </c>
      <c r="G42" s="53" t="n">
        <f aca="false">G40+G41</f>
        <v>38353.1476229612</v>
      </c>
      <c r="H42" s="53" t="n">
        <f aca="false">H40+H41</f>
        <v>44304.9088849722</v>
      </c>
      <c r="I42" s="53" t="n">
        <f aca="false">I40+I41</f>
        <v>50022.8920078226</v>
      </c>
      <c r="J42" s="53" t="n">
        <f aca="false">J40+J41</f>
        <v>55539.988550307</v>
      </c>
      <c r="K42" s="53" t="n">
        <f aca="false">K40+K41</f>
        <v>60888.1930671375</v>
      </c>
      <c r="L42" s="53" t="n">
        <f aca="false">L40+L41</f>
        <v>66098.8653427272</v>
      </c>
      <c r="M42" s="53" t="n">
        <f aca="false">M40+M41</f>
        <v>71202.9239332716</v>
      </c>
      <c r="N42" s="53" t="n">
        <f aca="false">N40+N41</f>
        <v>76231.0345058356</v>
      </c>
      <c r="O42" s="53" t="n">
        <f aca="false">O40+O41</f>
        <v>81213.798645947</v>
      </c>
      <c r="P42" s="53" t="n">
        <f aca="false">P40+P41</f>
        <v>86181.9446276333</v>
      </c>
      <c r="Q42" s="53" t="n">
        <f aca="false">Q40+Q41</f>
        <v>91166.5213569164</v>
      </c>
      <c r="R42" s="53" t="n">
        <f aca="false">R40+R41</f>
        <v>96199.0967044928</v>
      </c>
      <c r="S42" s="53" t="n">
        <f aca="false">S40+S41</f>
        <v>101311.961474049</v>
      </c>
      <c r="T42" s="53" t="n">
        <f aca="false">T40+T41</f>
        <v>106538.340290091</v>
      </c>
      <c r="U42" s="53" t="n">
        <f aca="false">U40+U41</f>
        <v>112409.357576816</v>
      </c>
      <c r="V42" s="53" t="n">
        <f aca="false">V40+V41</f>
        <v>118951.083784723</v>
      </c>
      <c r="W42" s="53" t="n">
        <f aca="false">W40+W41</f>
        <v>126085.470281967</v>
      </c>
      <c r="X42" s="53" t="n">
        <f aca="false">X40+X41</f>
        <v>133839.941562193</v>
      </c>
      <c r="Y42" s="53" t="n">
        <f aca="false">Y40+Y41</f>
        <v>142264.073862184</v>
      </c>
      <c r="Z42" s="53" t="n">
        <f aca="false">Z40+Z41</f>
        <v>151413.714701898</v>
      </c>
      <c r="AA42" s="53" t="n">
        <f aca="false">AA40+AA41</f>
        <v>161349.604350017</v>
      </c>
      <c r="AB42" s="53" t="n">
        <f aca="false">AB40+AB41</f>
        <v>172137.52097069</v>
      </c>
      <c r="AC42" s="53" t="n">
        <f aca="false">AC40+AC41</f>
        <v>183825.53728577</v>
      </c>
      <c r="AD42" s="53" t="n">
        <f aca="false">AD40+AD41</f>
        <v>196470.069336905</v>
      </c>
      <c r="AE42" s="53" t="n">
        <f aca="false">AE40+AE41</f>
        <v>210145.615670679</v>
      </c>
      <c r="AF42" s="53" t="n">
        <f aca="false">AF40+AF41</f>
        <v>224932.018577653</v>
      </c>
      <c r="AG42" s="53" t="n">
        <f aca="false">AG40+AG41</f>
        <v>240916.206233364</v>
      </c>
      <c r="AH42" s="53" t="n">
        <f aca="false">AH40+AH41</f>
        <v>258193.127647791</v>
      </c>
      <c r="AI42" s="53" t="n">
        <f aca="false">AI40+AI41</f>
        <v>276866.406334348</v>
      </c>
      <c r="AJ42" s="53" t="n">
        <f aca="false">AJ40+AJ41</f>
        <v>297049.026596732</v>
      </c>
      <c r="AK42" s="53" t="n">
        <f aca="false">AK40+AK41</f>
        <v>318864.081909156</v>
      </c>
      <c r="AL42" s="53" t="n">
        <f aca="false">AL40+AL41</f>
        <v>342445.594537565</v>
      </c>
      <c r="AM42" s="53" t="n">
        <f aca="false">SUM(C42:AL42)</f>
        <v>4768628.5253452</v>
      </c>
    </row>
    <row r="43" customFormat="false" ht="15" hidden="false" customHeight="false" outlineLevel="0" collapsed="false">
      <c r="A43" s="10" t="s">
        <v>778</v>
      </c>
      <c r="B43" s="9" t="s">
        <v>97</v>
      </c>
      <c r="C43" s="70" t="n">
        <f aca="false">-C40*Assumptions!$G$55</f>
        <v>-0</v>
      </c>
      <c r="D43" s="70" t="n">
        <f aca="false">-D40*Assumptions!$G$55</f>
        <v>-6672.13086704889</v>
      </c>
      <c r="E43" s="70" t="n">
        <f aca="false">-E40*Assumptions!$G$55</f>
        <v>-9761.90748097892</v>
      </c>
      <c r="F43" s="70" t="n">
        <f aca="false">-F40*Assumptions!$G$55</f>
        <v>-12256.7751889986</v>
      </c>
      <c r="G43" s="70" t="n">
        <f aca="false">-G40*Assumptions!$G$55</f>
        <v>-14629.5511551501</v>
      </c>
      <c r="H43" s="70" t="n">
        <f aca="false">-H40*Assumptions!$G$55</f>
        <v>-16899.810605608</v>
      </c>
      <c r="I43" s="70" t="n">
        <f aca="false">-I40*Assumptions!$G$55</f>
        <v>-19080.8969514375</v>
      </c>
      <c r="J43" s="70" t="n">
        <f aca="false">-J40*Assumptions!$G$55</f>
        <v>-21185.3564573336</v>
      </c>
      <c r="K43" s="70" t="n">
        <f aca="false">-K40*Assumptions!$G$55</f>
        <v>-23225.3932317947</v>
      </c>
      <c r="L43" s="70" t="n">
        <f aca="false">-L40*Assumptions!$G$55</f>
        <v>-25212.9692544423</v>
      </c>
      <c r="M43" s="70" t="n">
        <f aca="false">-M40*Assumptions!$G$55</f>
        <v>-27159.878201351</v>
      </c>
      <c r="N43" s="70" t="n">
        <f aca="false">-N40*Assumptions!$G$55</f>
        <v>-29077.8172857311</v>
      </c>
      <c r="O43" s="70" t="n">
        <f aca="false">-O40*Assumptions!$G$55</f>
        <v>-30978.45927732</v>
      </c>
      <c r="P43" s="70" t="n">
        <f aca="false">-P40*Assumptions!$G$55</f>
        <v>-32873.5252703343</v>
      </c>
      <c r="Q43" s="70" t="n">
        <f aca="false">-Q40*Assumptions!$G$55</f>
        <v>-34774.8586619165</v>
      </c>
      <c r="R43" s="70" t="n">
        <f aca="false">-R40*Assumptions!$G$55</f>
        <v>-36694.5008048065</v>
      </c>
      <c r="S43" s="70" t="n">
        <f aca="false">-S40*Assumptions!$G$55</f>
        <v>-38644.7688096889</v>
      </c>
      <c r="T43" s="70" t="n">
        <f aca="false">-T40*Assumptions!$G$55</f>
        <v>-40638.3359869418</v>
      </c>
      <c r="U43" s="70" t="n">
        <f aca="false">-U40*Assumptions!$G$55</f>
        <v>-42877.7961890949</v>
      </c>
      <c r="V43" s="70" t="n">
        <f aca="false">-V40*Assumptions!$G$55</f>
        <v>-45373.0938147912</v>
      </c>
      <c r="W43" s="70" t="n">
        <f aca="false">-W40*Assumptions!$G$55</f>
        <v>-48094.4577364204</v>
      </c>
      <c r="X43" s="70" t="n">
        <f aca="false">-X40*Assumptions!$G$55</f>
        <v>-51052.3488433109</v>
      </c>
      <c r="Y43" s="70" t="n">
        <f aca="false">-Y40*Assumptions!$G$55</f>
        <v>-54265.6776587714</v>
      </c>
      <c r="Z43" s="70" t="n">
        <f aca="false">-Z40*Assumptions!$G$55</f>
        <v>-57755.7468450539</v>
      </c>
      <c r="AA43" s="70" t="n">
        <f aca="false">-AA40*Assumptions!$G$55</f>
        <v>-61545.7253706251</v>
      </c>
      <c r="AB43" s="70" t="n">
        <f aca="false">-AB40*Assumptions!$G$55</f>
        <v>-65660.7038754178</v>
      </c>
      <c r="AC43" s="70" t="n">
        <f aca="false">-AC40*Assumptions!$G$55</f>
        <v>-70119.0193770464</v>
      </c>
      <c r="AD43" s="70" t="n">
        <f aca="false">-AD40*Assumptions!$G$55</f>
        <v>-74942.1913965512</v>
      </c>
      <c r="AE43" s="70" t="n">
        <f aca="false">-AE40*Assumptions!$G$55</f>
        <v>-80158.6369053105</v>
      </c>
      <c r="AF43" s="70" t="n">
        <f aca="false">-AF40*Assumptions!$G$55</f>
        <v>-85798.8112100327</v>
      </c>
      <c r="AG43" s="70" t="n">
        <f aca="false">-AG40*Assumptions!$G$55</f>
        <v>-91895.8724807677</v>
      </c>
      <c r="AH43" s="70" t="n">
        <f aca="false">-AH40*Assumptions!$G$55</f>
        <v>-98486.0383811163</v>
      </c>
      <c r="AI43" s="70" t="n">
        <f aca="false">-AI40*Assumptions!$G$55</f>
        <v>-105608.835405885</v>
      </c>
      <c r="AJ43" s="70" t="n">
        <f aca="false">-AJ40*Assumptions!$G$55</f>
        <v>-113307.360660609</v>
      </c>
      <c r="AK43" s="70" t="n">
        <f aca="false">-AK40*Assumptions!$G$55</f>
        <v>-121628.567326173</v>
      </c>
      <c r="AL43" s="70" t="n">
        <f aca="false">-AL40*Assumptions!$G$55</f>
        <v>-130623.577297834</v>
      </c>
      <c r="AM43" s="70" t="n">
        <f aca="false">SUM(C43:AL43)</f>
        <v>-1818961.39626569</v>
      </c>
    </row>
    <row r="44" customFormat="false" ht="15" hidden="false" customHeight="false" outlineLevel="0" collapsed="false">
      <c r="A44" s="10" t="s">
        <v>779</v>
      </c>
      <c r="B44" s="9" t="s">
        <v>97</v>
      </c>
      <c r="C44" s="70" t="n">
        <f aca="false">-C39*Assumptions!$G$56</f>
        <v>-0</v>
      </c>
      <c r="D44" s="70" t="n">
        <f aca="false">-D39*Assumptions!$G$56</f>
        <v>-0</v>
      </c>
      <c r="E44" s="70" t="n">
        <f aca="false">-E39*Assumptions!$G$56</f>
        <v>-0</v>
      </c>
      <c r="F44" s="70" t="n">
        <f aca="false">-F39*Assumptions!$G$56</f>
        <v>-0</v>
      </c>
      <c r="G44" s="70" t="n">
        <f aca="false">-G39*Assumptions!$G$56</f>
        <v>-0</v>
      </c>
      <c r="H44" s="70" t="n">
        <f aca="false">-H39*Assumptions!$G$56</f>
        <v>-0</v>
      </c>
      <c r="I44" s="70" t="n">
        <f aca="false">-I39*Assumptions!$G$56</f>
        <v>-0</v>
      </c>
      <c r="J44" s="70" t="n">
        <f aca="false">-J39*Assumptions!$G$56</f>
        <v>-0</v>
      </c>
      <c r="K44" s="70" t="n">
        <f aca="false">-K39*Assumptions!$G$56</f>
        <v>-0</v>
      </c>
      <c r="L44" s="70" t="n">
        <f aca="false">-L39*Assumptions!$G$56</f>
        <v>-0</v>
      </c>
      <c r="M44" s="70" t="n">
        <f aca="false">-M39*Assumptions!$G$56</f>
        <v>-0</v>
      </c>
      <c r="N44" s="70" t="n">
        <f aca="false">-N39*Assumptions!$G$56</f>
        <v>-0</v>
      </c>
      <c r="O44" s="70" t="n">
        <f aca="false">-O39*Assumptions!$G$56</f>
        <v>-0</v>
      </c>
      <c r="P44" s="70" t="n">
        <f aca="false">-P39*Assumptions!$G$56</f>
        <v>-0</v>
      </c>
      <c r="Q44" s="70" t="n">
        <f aca="false">-Q39*Assumptions!$G$56</f>
        <v>-0</v>
      </c>
      <c r="R44" s="70" t="n">
        <f aca="false">-R39*Assumptions!$G$56</f>
        <v>-0</v>
      </c>
      <c r="S44" s="70" t="n">
        <f aca="false">-S39*Assumptions!$G$56</f>
        <v>-0</v>
      </c>
      <c r="T44" s="70" t="n">
        <f aca="false">-T39*Assumptions!$G$56</f>
        <v>-0</v>
      </c>
      <c r="U44" s="70" t="n">
        <f aca="false">-U39*Assumptions!$G$56</f>
        <v>-0</v>
      </c>
      <c r="V44" s="70" t="n">
        <f aca="false">-V39*Assumptions!$G$56</f>
        <v>-0</v>
      </c>
      <c r="W44" s="70" t="n">
        <f aca="false">-W39*Assumptions!$G$56</f>
        <v>-0</v>
      </c>
      <c r="X44" s="70" t="n">
        <f aca="false">-X39*Assumptions!$G$56</f>
        <v>-0</v>
      </c>
      <c r="Y44" s="70" t="n">
        <f aca="false">-Y39*Assumptions!$G$56</f>
        <v>-0</v>
      </c>
      <c r="Z44" s="70" t="n">
        <f aca="false">-Z39*Assumptions!$G$56</f>
        <v>-0</v>
      </c>
      <c r="AA44" s="70" t="n">
        <f aca="false">-AA39*Assumptions!$G$56</f>
        <v>-0</v>
      </c>
      <c r="AB44" s="70" t="n">
        <f aca="false">-AB39*Assumptions!$G$56</f>
        <v>-0</v>
      </c>
      <c r="AC44" s="70" t="n">
        <f aca="false">-AC39*Assumptions!$G$56</f>
        <v>-0</v>
      </c>
      <c r="AD44" s="70" t="n">
        <f aca="false">-AD39*Assumptions!$G$56</f>
        <v>-0</v>
      </c>
      <c r="AE44" s="70" t="n">
        <f aca="false">-AE39*Assumptions!$G$56</f>
        <v>-0</v>
      </c>
      <c r="AF44" s="70" t="n">
        <f aca="false">-AF39*Assumptions!$G$56</f>
        <v>-0</v>
      </c>
      <c r="AG44" s="70" t="n">
        <f aca="false">-AG39*Assumptions!$G$56</f>
        <v>-0</v>
      </c>
      <c r="AH44" s="70" t="n">
        <f aca="false">-AH39*Assumptions!$G$56</f>
        <v>-0</v>
      </c>
      <c r="AI44" s="70" t="n">
        <f aca="false">-AI39*Assumptions!$G$56</f>
        <v>-0</v>
      </c>
      <c r="AJ44" s="70" t="n">
        <f aca="false">-AJ39*Assumptions!$G$56</f>
        <v>-0</v>
      </c>
      <c r="AK44" s="70" t="n">
        <f aca="false">-AK39*Assumptions!$G$56</f>
        <v>-0</v>
      </c>
      <c r="AL44" s="70" t="n">
        <f aca="false">-AL39*Assumptions!$G$56</f>
        <v>-0</v>
      </c>
      <c r="AM44" s="70" t="n">
        <f aca="false">SUM(C44:AL44)</f>
        <v>0</v>
      </c>
    </row>
    <row r="45" customFormat="false" ht="15" hidden="false" customHeight="false" outlineLevel="0" collapsed="false">
      <c r="A45" s="10" t="s">
        <v>780</v>
      </c>
      <c r="B45" s="9" t="s">
        <v>97</v>
      </c>
      <c r="C45" s="70" t="n">
        <f aca="false">-C42*Assumptions!$G$79</f>
        <v>-0</v>
      </c>
      <c r="D45" s="70" t="n">
        <f aca="false">-D42*Assumptions!$G$79</f>
        <v>-507.262273756987</v>
      </c>
      <c r="E45" s="70" t="n">
        <f aca="false">-E42*Assumptions!$G$79</f>
        <v>-742.168803891722</v>
      </c>
      <c r="F45" s="70" t="n">
        <f aca="false">-F42*Assumptions!$G$79</f>
        <v>-931.846178558194</v>
      </c>
      <c r="G45" s="70" t="n">
        <f aca="false">-G42*Assumptions!$G$79</f>
        <v>-1112.24128106587</v>
      </c>
      <c r="H45" s="70" t="n">
        <f aca="false">-H42*Assumptions!$G$79</f>
        <v>-1284.84235766419</v>
      </c>
      <c r="I45" s="70" t="n">
        <f aca="false">-I42*Assumptions!$G$79</f>
        <v>-1450.66386822686</v>
      </c>
      <c r="J45" s="70" t="n">
        <f aca="false">-J42*Assumptions!$G$79</f>
        <v>-1610.6596679589</v>
      </c>
      <c r="K45" s="70" t="n">
        <f aca="false">-K42*Assumptions!$G$79</f>
        <v>-1765.75759894699</v>
      </c>
      <c r="L45" s="70" t="n">
        <f aca="false">-L42*Assumptions!$G$79</f>
        <v>-1916.86709493909</v>
      </c>
      <c r="M45" s="70" t="n">
        <f aca="false">-M42*Assumptions!$G$79</f>
        <v>-2064.88479406488</v>
      </c>
      <c r="N45" s="70" t="n">
        <f aca="false">-N42*Assumptions!$G$79</f>
        <v>-2210.70000066923</v>
      </c>
      <c r="O45" s="70" t="n">
        <f aca="false">-O42*Assumptions!$G$79</f>
        <v>-2355.20016073246</v>
      </c>
      <c r="P45" s="70" t="n">
        <f aca="false">-P42*Assumptions!$G$79</f>
        <v>-2499.27639420136</v>
      </c>
      <c r="Q45" s="70" t="n">
        <f aca="false">-Q42*Assumptions!$G$79</f>
        <v>-2643.82911935057</v>
      </c>
      <c r="R45" s="70" t="n">
        <f aca="false">-R42*Assumptions!$G$79</f>
        <v>-2789.77380443029</v>
      </c>
      <c r="S45" s="70" t="n">
        <f aca="false">-S42*Assumptions!$G$79</f>
        <v>-2938.04688274743</v>
      </c>
      <c r="T45" s="70" t="n">
        <f aca="false">-T42*Assumptions!$G$79</f>
        <v>-3089.61186841263</v>
      </c>
      <c r="U45" s="70" t="n">
        <f aca="false">-U42*Assumptions!$G$79</f>
        <v>-3259.87136972768</v>
      </c>
      <c r="V45" s="70" t="n">
        <f aca="false">-V42*Assumptions!$G$79</f>
        <v>-3449.58142975696</v>
      </c>
      <c r="W45" s="70" t="n">
        <f aca="false">-W42*Assumptions!$G$79</f>
        <v>-3656.47863817704</v>
      </c>
      <c r="X45" s="70" t="n">
        <f aca="false">-X42*Assumptions!$G$79</f>
        <v>-3881.35830530361</v>
      </c>
      <c r="Y45" s="70" t="n">
        <f aca="false">-Y42*Assumptions!$G$79</f>
        <v>-4125.65814200335</v>
      </c>
      <c r="Z45" s="70" t="n">
        <f aca="false">-Z42*Assumptions!$G$79</f>
        <v>-4390.99772635505</v>
      </c>
      <c r="AA45" s="70" t="n">
        <f aca="false">-AA42*Assumptions!$G$79</f>
        <v>-4679.1385261505</v>
      </c>
      <c r="AB45" s="70" t="n">
        <f aca="false">-AB42*Assumptions!$G$79</f>
        <v>-4991.98810815001</v>
      </c>
      <c r="AC45" s="70" t="n">
        <f aca="false">-AC42*Assumptions!$G$79</f>
        <v>-5330.94058128734</v>
      </c>
      <c r="AD45" s="70" t="n">
        <f aca="false">-AD42*Assumptions!$G$79</f>
        <v>-5697.63201077023</v>
      </c>
      <c r="AE45" s="70" t="n">
        <f aca="false">-AE42*Assumptions!$G$79</f>
        <v>-6094.22285444969</v>
      </c>
      <c r="AF45" s="70" t="n">
        <f aca="false">-AF42*Assumptions!$G$79</f>
        <v>-6523.02853875195</v>
      </c>
      <c r="AG45" s="70" t="n">
        <f aca="false">-AG42*Assumptions!$G$79</f>
        <v>-6986.56998076756</v>
      </c>
      <c r="AH45" s="70" t="n">
        <f aca="false">-AH42*Assumptions!$G$79</f>
        <v>-7487.60070178595</v>
      </c>
      <c r="AI45" s="70" t="n">
        <f aca="false">-AI42*Assumptions!$G$79</f>
        <v>-8029.12578369609</v>
      </c>
      <c r="AJ45" s="70" t="n">
        <f aca="false">-AJ42*Assumptions!$G$79</f>
        <v>-8614.42177130523</v>
      </c>
      <c r="AK45" s="70" t="n">
        <f aca="false">-AK42*Assumptions!$G$79</f>
        <v>-9247.05837536551</v>
      </c>
      <c r="AL45" s="70" t="n">
        <f aca="false">-AL42*Assumptions!$G$79</f>
        <v>-9930.92224158939</v>
      </c>
      <c r="AM45" s="70" t="n">
        <f aca="false">SUM(C45:AL45)</f>
        <v>-138290.227235011</v>
      </c>
    </row>
    <row r="46" customFormat="false" ht="15" hidden="false" customHeight="false" outlineLevel="0" collapsed="false">
      <c r="A46" s="37" t="s">
        <v>781</v>
      </c>
      <c r="B46" s="9" t="s">
        <v>97</v>
      </c>
      <c r="C46" s="53" t="n">
        <f aca="false">C42+C43+C44+C45</f>
        <v>0</v>
      </c>
      <c r="D46" s="53" t="n">
        <f aca="false">D42+D43+D44+D45</f>
        <v>10312.4094025385</v>
      </c>
      <c r="E46" s="53" t="n">
        <f aca="false">E42+E43+E44+E45</f>
        <v>15087.9514355335</v>
      </c>
      <c r="F46" s="53" t="n">
        <f aca="false">F42+F43+F44+F45</f>
        <v>18944.0054792774</v>
      </c>
      <c r="G46" s="53" t="n">
        <f aca="false">G42+G43+G44+G45</f>
        <v>22611.3551867452</v>
      </c>
      <c r="H46" s="53" t="n">
        <f aca="false">H42+H43+H44+H45</f>
        <v>26120.2559217001</v>
      </c>
      <c r="I46" s="53" t="n">
        <f aca="false">I42+I43+I44+I45</f>
        <v>29491.3311881583</v>
      </c>
      <c r="J46" s="53" t="n">
        <f aca="false">J42+J43+J44+J45</f>
        <v>32743.9724250145</v>
      </c>
      <c r="K46" s="53" t="n">
        <f aca="false">K42+K43+K44+K45</f>
        <v>35897.0422363958</v>
      </c>
      <c r="L46" s="53" t="n">
        <f aca="false">L42+L43+L44+L45</f>
        <v>38969.0289933458</v>
      </c>
      <c r="M46" s="53" t="n">
        <f aca="false">M42+M43+M44+M45</f>
        <v>41978.1609378557</v>
      </c>
      <c r="N46" s="53" t="n">
        <f aca="false">N42+N43+N44+N45</f>
        <v>44942.5172194353</v>
      </c>
      <c r="O46" s="53" t="n">
        <f aca="false">O42+O43+O44+O45</f>
        <v>47880.1392078946</v>
      </c>
      <c r="P46" s="53" t="n">
        <f aca="false">P42+P43+P44+P45</f>
        <v>50809.1429630976</v>
      </c>
      <c r="Q46" s="53" t="n">
        <f aca="false">Q42+Q43+Q44+Q45</f>
        <v>53747.8335756492</v>
      </c>
      <c r="R46" s="53" t="n">
        <f aca="false">R42+R43+R44+R45</f>
        <v>56714.822095256</v>
      </c>
      <c r="S46" s="53" t="n">
        <f aca="false">S42+S43+S44+S45</f>
        <v>59729.145781613</v>
      </c>
      <c r="T46" s="53" t="n">
        <f aca="false">T42+T43+T44+T45</f>
        <v>62810.3924347363</v>
      </c>
      <c r="U46" s="53" t="n">
        <f aca="false">U42+U43+U44+U45</f>
        <v>66271.6900179939</v>
      </c>
      <c r="V46" s="53" t="n">
        <f aca="false">V42+V43+V44+V45</f>
        <v>70128.4085401747</v>
      </c>
      <c r="W46" s="53" t="n">
        <f aca="false">W42+W43+W44+W45</f>
        <v>74334.5339073696</v>
      </c>
      <c r="X46" s="53" t="n">
        <f aca="false">X42+X43+X44+X45</f>
        <v>78906.234413579</v>
      </c>
      <c r="Y46" s="53" t="n">
        <f aca="false">Y42+Y43+Y44+Y45</f>
        <v>83872.7380614097</v>
      </c>
      <c r="Z46" s="53" t="n">
        <f aca="false">Z42+Z43+Z44+Z45</f>
        <v>89266.9701304892</v>
      </c>
      <c r="AA46" s="53" t="n">
        <f aca="false">AA42+AA43+AA44+AA45</f>
        <v>95124.7404532416</v>
      </c>
      <c r="AB46" s="53" t="n">
        <f aca="false">AB42+AB43+AB44+AB45</f>
        <v>101484.828987122</v>
      </c>
      <c r="AC46" s="53" t="n">
        <f aca="false">AC42+AC43+AC44+AC45</f>
        <v>108375.577327437</v>
      </c>
      <c r="AD46" s="53" t="n">
        <f aca="false">AD42+AD43+AD44+AD45</f>
        <v>115830.245929583</v>
      </c>
      <c r="AE46" s="53" t="n">
        <f aca="false">AE42+AE43+AE44+AE45</f>
        <v>123892.755910919</v>
      </c>
      <c r="AF46" s="53" t="n">
        <f aca="false">AF42+AF43+AF44+AF45</f>
        <v>132610.178828869</v>
      </c>
      <c r="AG46" s="53" t="n">
        <f aca="false">AG42+AG43+AG44+AG45</f>
        <v>142033.763771829</v>
      </c>
      <c r="AH46" s="53" t="n">
        <f aca="false">AH42+AH43+AH44+AH45</f>
        <v>152219.488564889</v>
      </c>
      <c r="AI46" s="53" t="n">
        <f aca="false">AI42+AI43+AI44+AI45</f>
        <v>163228.445144766</v>
      </c>
      <c r="AJ46" s="53" t="n">
        <f aca="false">AJ42+AJ43+AJ44+AJ45</f>
        <v>175127.244164818</v>
      </c>
      <c r="AK46" s="53" t="n">
        <f aca="false">AK42+AK43+AK44+AK45</f>
        <v>187988.456207617</v>
      </c>
      <c r="AL46" s="53" t="n">
        <f aca="false">AL42+AL43+AL44+AL45</f>
        <v>201891.094998142</v>
      </c>
      <c r="AM46" s="53" t="n">
        <f aca="false">SUM(C46:AL46)</f>
        <v>2811376.90184449</v>
      </c>
    </row>
    <row r="47" customFormat="false" ht="15" hidden="false" customHeight="false" outlineLevel="0" collapsed="false">
      <c r="A47" s="10" t="s">
        <v>782</v>
      </c>
      <c r="B47" s="9" t="s">
        <v>61</v>
      </c>
      <c r="C47" s="62" t="n">
        <f aca="false">IFERROR(C46/C42,0)</f>
        <v>0</v>
      </c>
      <c r="D47" s="62" t="n">
        <f aca="false">IFERROR(D46/D42,0)</f>
        <v>0.589556701030928</v>
      </c>
      <c r="E47" s="62" t="n">
        <f aca="false">IFERROR(E46/E42,0)</f>
        <v>0.589556701030928</v>
      </c>
      <c r="F47" s="62" t="n">
        <f aca="false">IFERROR(F46/F42,0)</f>
        <v>0.589556701030928</v>
      </c>
      <c r="G47" s="62" t="n">
        <f aca="false">IFERROR(G46/G42,0)</f>
        <v>0.589556701030928</v>
      </c>
      <c r="H47" s="62" t="n">
        <f aca="false">IFERROR(H46/H42,0)</f>
        <v>0.589556701030928</v>
      </c>
      <c r="I47" s="62" t="n">
        <f aca="false">IFERROR(I46/I42,0)</f>
        <v>0.589556701030928</v>
      </c>
      <c r="J47" s="62" t="n">
        <f aca="false">IFERROR(J46/J42,0)</f>
        <v>0.589556701030928</v>
      </c>
      <c r="K47" s="62" t="n">
        <f aca="false">IFERROR(K46/K42,0)</f>
        <v>0.589556701030928</v>
      </c>
      <c r="L47" s="62" t="n">
        <f aca="false">IFERROR(L46/L42,0)</f>
        <v>0.589556701030928</v>
      </c>
      <c r="M47" s="62" t="n">
        <f aca="false">IFERROR(M46/M42,0)</f>
        <v>0.589556701030928</v>
      </c>
      <c r="N47" s="62" t="n">
        <f aca="false">IFERROR(N46/N42,0)</f>
        <v>0.589556701030928</v>
      </c>
      <c r="O47" s="62" t="n">
        <f aca="false">IFERROR(O46/O42,0)</f>
        <v>0.589556701030928</v>
      </c>
      <c r="P47" s="62" t="n">
        <f aca="false">IFERROR(P46/P42,0)</f>
        <v>0.589556701030928</v>
      </c>
      <c r="Q47" s="62" t="n">
        <f aca="false">IFERROR(Q46/Q42,0)</f>
        <v>0.589556701030928</v>
      </c>
      <c r="R47" s="62" t="n">
        <f aca="false">IFERROR(R46/R42,0)</f>
        <v>0.589556701030928</v>
      </c>
      <c r="S47" s="62" t="n">
        <f aca="false">IFERROR(S46/S42,0)</f>
        <v>0.589556701030928</v>
      </c>
      <c r="T47" s="62" t="n">
        <f aca="false">IFERROR(T46/T42,0)</f>
        <v>0.589556701030928</v>
      </c>
      <c r="U47" s="62" t="n">
        <f aca="false">IFERROR(U46/U42,0)</f>
        <v>0.589556701030928</v>
      </c>
      <c r="V47" s="62" t="n">
        <f aca="false">IFERROR(V46/V42,0)</f>
        <v>0.589556701030928</v>
      </c>
      <c r="W47" s="62" t="n">
        <f aca="false">IFERROR(W46/W42,0)</f>
        <v>0.589556701030928</v>
      </c>
      <c r="X47" s="62" t="n">
        <f aca="false">IFERROR(X46/X42,0)</f>
        <v>0.589556701030928</v>
      </c>
      <c r="Y47" s="62" t="n">
        <f aca="false">IFERROR(Y46/Y42,0)</f>
        <v>0.589556701030928</v>
      </c>
      <c r="Z47" s="62" t="n">
        <f aca="false">IFERROR(Z46/Z42,0)</f>
        <v>0.589556701030928</v>
      </c>
      <c r="AA47" s="62" t="n">
        <f aca="false">IFERROR(AA46/AA42,0)</f>
        <v>0.589556701030928</v>
      </c>
      <c r="AB47" s="62" t="n">
        <f aca="false">IFERROR(AB46/AB42,0)</f>
        <v>0.589556701030928</v>
      </c>
      <c r="AC47" s="62" t="n">
        <f aca="false">IFERROR(AC46/AC42,0)</f>
        <v>0.589556701030928</v>
      </c>
      <c r="AD47" s="62" t="n">
        <f aca="false">IFERROR(AD46/AD42,0)</f>
        <v>0.589556701030928</v>
      </c>
      <c r="AE47" s="62" t="n">
        <f aca="false">IFERROR(AE46/AE42,0)</f>
        <v>0.589556701030928</v>
      </c>
      <c r="AF47" s="62" t="n">
        <f aca="false">IFERROR(AF46/AF42,0)</f>
        <v>0.589556701030928</v>
      </c>
      <c r="AG47" s="62" t="n">
        <f aca="false">IFERROR(AG46/AG42,0)</f>
        <v>0.589556701030928</v>
      </c>
      <c r="AH47" s="62" t="n">
        <f aca="false">IFERROR(AH46/AH42,0)</f>
        <v>0.589556701030928</v>
      </c>
      <c r="AI47" s="62" t="n">
        <f aca="false">IFERROR(AI46/AI42,0)</f>
        <v>0.589556701030928</v>
      </c>
      <c r="AJ47" s="62" t="n">
        <f aca="false">IFERROR(AJ46/AJ42,0)</f>
        <v>0.589556701030928</v>
      </c>
      <c r="AK47" s="62" t="n">
        <f aca="false">IFERROR(AK46/AK42,0)</f>
        <v>0.589556701030928</v>
      </c>
      <c r="AL47" s="62" t="n">
        <f aca="false">IFERROR(AL46/AL42,0)</f>
        <v>0.589556701030928</v>
      </c>
      <c r="AM47" s="62" t="n">
        <f aca="false">AVERAGE(N47:AL47)</f>
        <v>0.589556701030928</v>
      </c>
    </row>
    <row r="48" customFormat="false" ht="15" hidden="false" customHeight="false" outlineLevel="0" collapsed="false">
      <c r="A48" s="10" t="s">
        <v>783</v>
      </c>
      <c r="B48" s="9" t="s">
        <v>61</v>
      </c>
      <c r="C48" s="62" t="n">
        <f aca="false">IF(C9=0,0,MIN(Assumptions!$G$63,Assumptions!$G$61+Assumptions!$G$62*(C$5-Assumptions!$G$7)))</f>
        <v>0</v>
      </c>
      <c r="D48" s="62" t="n">
        <f aca="false">IF(D9=0,0,MIN(Assumptions!$G$63,Assumptions!$G$61+Assumptions!$G$62*(D$5-Assumptions!$G$7)))</f>
        <v>0</v>
      </c>
      <c r="E48" s="62" t="n">
        <f aca="false">IF(E9=0,0,MIN(Assumptions!$G$63,Assumptions!$G$61+Assumptions!$G$62*(E$5-Assumptions!$G$7)))</f>
        <v>0</v>
      </c>
      <c r="F48" s="62" t="n">
        <f aca="false">IF(F9=0,0,MIN(Assumptions!$G$63,Assumptions!$G$61+Assumptions!$G$62*(F$5-Assumptions!$G$7)))</f>
        <v>0</v>
      </c>
      <c r="G48" s="62" t="n">
        <f aca="false">IF(G9=0,0,MIN(Assumptions!$G$63,Assumptions!$G$61+Assumptions!$G$62*(G$5-Assumptions!$G$7)))</f>
        <v>0</v>
      </c>
      <c r="H48" s="62" t="n">
        <f aca="false">IF(H9=0,0,MIN(Assumptions!$G$63,Assumptions!$G$61+Assumptions!$G$62*(H$5-Assumptions!$G$7)))</f>
        <v>0</v>
      </c>
      <c r="I48" s="62" t="n">
        <f aca="false">IF(I9=0,0,MIN(Assumptions!$G$63,Assumptions!$G$61+Assumptions!$G$62*(I$5-Assumptions!$G$7)))</f>
        <v>0.36</v>
      </c>
      <c r="J48" s="62" t="n">
        <f aca="false">IF(J9=0,0,MIN(Assumptions!$G$63,Assumptions!$G$61+Assumptions!$G$62*(J$5-Assumptions!$G$7)))</f>
        <v>0.385</v>
      </c>
      <c r="K48" s="62" t="n">
        <f aca="false">IF(K9=0,0,MIN(Assumptions!$G$63,Assumptions!$G$61+Assumptions!$G$62*(K$5-Assumptions!$G$7)))</f>
        <v>0.41</v>
      </c>
      <c r="L48" s="62" t="n">
        <f aca="false">IF(L9=0,0,MIN(Assumptions!$G$63,Assumptions!$G$61+Assumptions!$G$62*(L$5-Assumptions!$G$7)))</f>
        <v>0.435</v>
      </c>
      <c r="M48" s="62" t="n">
        <f aca="false">IF(M9=0,0,MIN(Assumptions!$G$63,Assumptions!$G$61+Assumptions!$G$62*(M$5-Assumptions!$G$7)))</f>
        <v>0.46</v>
      </c>
      <c r="N48" s="62" t="n">
        <f aca="false">IF(N9=0,0,MIN(Assumptions!$G$63,Assumptions!$G$61+Assumptions!$G$62*(N$5-Assumptions!$G$7)))</f>
        <v>0.485</v>
      </c>
      <c r="O48" s="62" t="n">
        <f aca="false">IF(O9=0,0,MIN(Assumptions!$G$63,Assumptions!$G$61+Assumptions!$G$62*(O$5-Assumptions!$G$7)))</f>
        <v>0.51</v>
      </c>
      <c r="P48" s="62" t="n">
        <f aca="false">IF(P9=0,0,MIN(Assumptions!$G$63,Assumptions!$G$61+Assumptions!$G$62*(P$5-Assumptions!$G$7)))</f>
        <v>0.535</v>
      </c>
      <c r="Q48" s="62" t="n">
        <f aca="false">IF(Q9=0,0,MIN(Assumptions!$G$63,Assumptions!$G$61+Assumptions!$G$62*(Q$5-Assumptions!$G$7)))</f>
        <v>0.56</v>
      </c>
      <c r="R48" s="62" t="n">
        <f aca="false">IF(R9=0,0,MIN(Assumptions!$G$63,Assumptions!$G$61+Assumptions!$G$62*(R$5-Assumptions!$G$7)))</f>
        <v>0.585</v>
      </c>
      <c r="S48" s="62" t="n">
        <f aca="false">IF(S9=0,0,MIN(Assumptions!$G$63,Assumptions!$G$61+Assumptions!$G$62*(S$5-Assumptions!$G$7)))</f>
        <v>0.61</v>
      </c>
      <c r="T48" s="62" t="n">
        <f aca="false">IF(T9=0,0,MIN(Assumptions!$G$63,Assumptions!$G$61+Assumptions!$G$62*(T$5-Assumptions!$G$7)))</f>
        <v>0.635</v>
      </c>
      <c r="U48" s="62" t="n">
        <f aca="false">IF(U9=0,0,MIN(Assumptions!$G$63,Assumptions!$G$61+Assumptions!$G$62*(U$5-Assumptions!$G$7)))</f>
        <v>0.66</v>
      </c>
      <c r="V48" s="62" t="n">
        <f aca="false">IF(V9=0,0,MIN(Assumptions!$G$63,Assumptions!$G$61+Assumptions!$G$62*(V$5-Assumptions!$G$7)))</f>
        <v>0.685</v>
      </c>
      <c r="W48" s="62" t="n">
        <f aca="false">IF(W9=0,0,MIN(Assumptions!$G$63,Assumptions!$G$61+Assumptions!$G$62*(W$5-Assumptions!$G$7)))</f>
        <v>0.71</v>
      </c>
      <c r="X48" s="62" t="n">
        <f aca="false">IF(X9=0,0,MIN(Assumptions!$G$63,Assumptions!$G$61+Assumptions!$G$62*(X$5-Assumptions!$G$7)))</f>
        <v>0.735</v>
      </c>
      <c r="Y48" s="62" t="n">
        <f aca="false">IF(Y9=0,0,MIN(Assumptions!$G$63,Assumptions!$G$61+Assumptions!$G$62*(Y$5-Assumptions!$G$7)))</f>
        <v>0.76</v>
      </c>
      <c r="Z48" s="62" t="n">
        <f aca="false">IF(Z9=0,0,MIN(Assumptions!$G$63,Assumptions!$G$61+Assumptions!$G$62*(Z$5-Assumptions!$G$7)))</f>
        <v>0.785</v>
      </c>
      <c r="AA48" s="62" t="n">
        <f aca="false">IF(AA9=0,0,MIN(Assumptions!$G$63,Assumptions!$G$61+Assumptions!$G$62*(AA$5-Assumptions!$G$7)))</f>
        <v>0.81</v>
      </c>
      <c r="AB48" s="62" t="n">
        <f aca="false">IF(AB9=0,0,MIN(Assumptions!$G$63,Assumptions!$G$61+Assumptions!$G$62*(AB$5-Assumptions!$G$7)))</f>
        <v>0.82</v>
      </c>
      <c r="AC48" s="62" t="n">
        <f aca="false">IF(AC9=0,0,MIN(Assumptions!$G$63,Assumptions!$G$61+Assumptions!$G$62*(AC$5-Assumptions!$G$7)))</f>
        <v>0.82</v>
      </c>
      <c r="AD48" s="62" t="n">
        <f aca="false">IF(AD9=0,0,MIN(Assumptions!$G$63,Assumptions!$G$61+Assumptions!$G$62*(AD$5-Assumptions!$G$7)))</f>
        <v>0.82</v>
      </c>
      <c r="AE48" s="62" t="n">
        <f aca="false">IF(AE9=0,0,MIN(Assumptions!$G$63,Assumptions!$G$61+Assumptions!$G$62*(AE$5-Assumptions!$G$7)))</f>
        <v>0.82</v>
      </c>
      <c r="AF48" s="62" t="n">
        <f aca="false">IF(AF9=0,0,MIN(Assumptions!$G$63,Assumptions!$G$61+Assumptions!$G$62*(AF$5-Assumptions!$G$7)))</f>
        <v>0.82</v>
      </c>
      <c r="AG48" s="62" t="n">
        <f aca="false">IF(AG9=0,0,MIN(Assumptions!$G$63,Assumptions!$G$61+Assumptions!$G$62*(AG$5-Assumptions!$G$7)))</f>
        <v>0.82</v>
      </c>
      <c r="AH48" s="62" t="n">
        <f aca="false">IF(AH9=0,0,MIN(Assumptions!$G$63,Assumptions!$G$61+Assumptions!$G$62*(AH$5-Assumptions!$G$7)))</f>
        <v>0.82</v>
      </c>
      <c r="AI48" s="62" t="n">
        <f aca="false">IF(AI9=0,0,MIN(Assumptions!$G$63,Assumptions!$G$61+Assumptions!$G$62*(AI$5-Assumptions!$G$7)))</f>
        <v>0.82</v>
      </c>
      <c r="AJ48" s="62" t="n">
        <f aca="false">IF(AJ9=0,0,MIN(Assumptions!$G$63,Assumptions!$G$61+Assumptions!$G$62*(AJ$5-Assumptions!$G$7)))</f>
        <v>0.82</v>
      </c>
      <c r="AK48" s="62" t="n">
        <f aca="false">IF(AK9=0,0,MIN(Assumptions!$G$63,Assumptions!$G$61+Assumptions!$G$62*(AK$5-Assumptions!$G$7)))</f>
        <v>0.82</v>
      </c>
      <c r="AL48" s="62" t="n">
        <f aca="false">IF(AL9=0,0,MIN(Assumptions!$G$63,Assumptions!$G$61+Assumptions!$G$62*(AL$5-Assumptions!$G$7)))</f>
        <v>0.82</v>
      </c>
      <c r="AM48" s="62" t="n">
        <f aca="false">AL48</f>
        <v>0.82</v>
      </c>
    </row>
    <row r="49" customFormat="false" ht="15" hidden="false" customHeight="false" outlineLevel="0" collapsed="false">
      <c r="A49" s="10" t="s">
        <v>784</v>
      </c>
      <c r="B49" s="9" t="s">
        <v>84</v>
      </c>
      <c r="C49" s="61" t="n">
        <f aca="false">C15+C19+C23+(C13+C25)*Assumptions!$G$45</f>
        <v>5080.1924307638</v>
      </c>
      <c r="D49" s="61" t="n">
        <f aca="false">D15+D19+D23+(D13+D25)*Assumptions!$G$45</f>
        <v>10853.2366764911</v>
      </c>
      <c r="E49" s="61" t="n">
        <f aca="false">E15+E19+E23+(E13+E25)*Assumptions!$G$45</f>
        <v>11945.6088819359</v>
      </c>
      <c r="F49" s="61" t="n">
        <f aca="false">F15+F19+F23+(F13+F25)*Assumptions!$G$45</f>
        <v>12275.8655650619</v>
      </c>
      <c r="G49" s="61" t="n">
        <f aca="false">G15+G19+G23+(G13+G25)*Assumptions!$G$45</f>
        <v>12572.9286186876</v>
      </c>
      <c r="H49" s="61" t="n">
        <f aca="false">H15+H19+H23+(H13+H25)*Assumptions!$G$45</f>
        <v>12892.141359504</v>
      </c>
      <c r="I49" s="61" t="n">
        <f aca="false">I15+I19+I23+(I13+I25)*Assumptions!$G$45</f>
        <v>13239.7375917343</v>
      </c>
      <c r="J49" s="61" t="n">
        <f aca="false">J15+J19+J23+(J13+J25)*Assumptions!$G$45</f>
        <v>13618.5775402539</v>
      </c>
      <c r="K49" s="61" t="n">
        <f aca="false">K15+K19+K23+(K13+K25)*Assumptions!$G$45</f>
        <v>14031.4924760803</v>
      </c>
      <c r="L49" s="61" t="n">
        <f aca="false">L15+L19+L23+(L13+L25)*Assumptions!$G$45</f>
        <v>14481.5471284243</v>
      </c>
      <c r="M49" s="61" t="n">
        <f aca="false">M15+M19+M23+(M13+M25)*Assumptions!$G$45</f>
        <v>14972.0798303786</v>
      </c>
      <c r="N49" s="61" t="n">
        <f aca="false">N15+N19+N23+(N13+N25)*Assumptions!$G$45</f>
        <v>15506.7283968971</v>
      </c>
      <c r="O49" s="61" t="n">
        <f aca="false">O15+O19+O23+(O13+O25)*Assumptions!$G$45</f>
        <v>16089.4570058414</v>
      </c>
      <c r="P49" s="61" t="n">
        <f aca="false">P15+P19+P23+(P13+P25)*Assumptions!$G$45</f>
        <v>16724.5853678042</v>
      </c>
      <c r="Q49" s="61" t="n">
        <f aca="false">Q15+Q19+Q23+(Q13+Q25)*Assumptions!$G$45</f>
        <v>17416.8204697543</v>
      </c>
      <c r="R49" s="61" t="n">
        <f aca="false">R15+R19+R23+(R13+R25)*Assumptions!$G$45</f>
        <v>18171.29112038</v>
      </c>
      <c r="S49" s="61" t="n">
        <f aca="false">S15+S19+S23+(S13+S25)*Assumptions!$G$45</f>
        <v>18993.5855371724</v>
      </c>
      <c r="T49" s="61" t="n">
        <f aca="false">T15+T19+T23+(T13+T25)*Assumptions!$G$45</f>
        <v>19889.7922333145</v>
      </c>
      <c r="U49" s="61" t="n">
        <f aca="false">U15+U19+U23+(U13+U25)*Assumptions!$G$45</f>
        <v>21129.1650713256</v>
      </c>
      <c r="V49" s="61" t="n">
        <f aca="false">V15+V19+V23+(V13+V25)*Assumptions!$G$45</f>
        <v>22637.2979880818</v>
      </c>
      <c r="W49" s="61" t="n">
        <f aca="false">W15+W19+W23+(W13+W25)*Assumptions!$G$45</f>
        <v>24307.3036393129</v>
      </c>
      <c r="X49" s="61" t="n">
        <f aca="false">X15+X19+X23+(X13+X25)*Assumptions!$G$45</f>
        <v>26126.6370464021</v>
      </c>
      <c r="Y49" s="61" t="n">
        <f aca="false">Y15+Y19+Y23+(Y13+Y25)*Assumptions!$G$45</f>
        <v>28104.1931571764</v>
      </c>
      <c r="Z49" s="61" t="n">
        <f aca="false">Z15+Z19+Z23+(Z13+Z25)*Assumptions!$G$45</f>
        <v>30252.8301048771</v>
      </c>
      <c r="AA49" s="61" t="n">
        <f aca="false">AA15+AA19+AA23+(AA13+AA25)*Assumptions!$G$45</f>
        <v>32586.9571327634</v>
      </c>
      <c r="AB49" s="61" t="n">
        <f aca="false">AB15+AB19+AB23+(AB13+AB25)*Assumptions!$G$45</f>
        <v>35122.2790881318</v>
      </c>
      <c r="AC49" s="61" t="n">
        <f aca="false">AC15+AC19+AC23+(AC13+AC25)*Assumptions!$G$45</f>
        <v>37863.6221199239</v>
      </c>
      <c r="AD49" s="61" t="n">
        <f aca="false">AD15+AD19+AD23+(AD13+AD25)*Assumptions!$G$45</f>
        <v>40822.135544045</v>
      </c>
      <c r="AE49" s="61" t="n">
        <f aca="false">AE15+AE19+AE23+(AE13+AE25)*Assumptions!$G$45</f>
        <v>44018.9314851542</v>
      </c>
      <c r="AF49" s="61" t="n">
        <f aca="false">AF15+AF19+AF23+(AF13+AF25)*Assumptions!$G$45</f>
        <v>47475.5019142919</v>
      </c>
      <c r="AG49" s="61" t="n">
        <f aca="false">AG15+AG19+AG23+(AG13+AG25)*Assumptions!$G$45</f>
        <v>51214.6934118015</v>
      </c>
      <c r="AH49" s="61" t="n">
        <f aca="false">AH15+AH19+AH23+(AH13+AH25)*Assumptions!$G$45</f>
        <v>55261.219191235</v>
      </c>
      <c r="AI49" s="61" t="n">
        <f aca="false">AI15+AI19+AI23+(AI13+AI25)*Assumptions!$G$45</f>
        <v>59641.883511878</v>
      </c>
      <c r="AJ49" s="61" t="n">
        <f aca="false">AJ15+AJ19+AJ23+(AJ13+AJ25)*Assumptions!$G$45</f>
        <v>64385.7778621525</v>
      </c>
      <c r="AK49" s="61" t="n">
        <f aca="false">AK15+AK19+AK23+(AK13+AK25)*Assumptions!$G$45</f>
        <v>69524.4869768646</v>
      </c>
      <c r="AL49" s="61" t="n">
        <f aca="false">AL15+AL19+AL23+(AL13+AL25)*Assumptions!$G$45</f>
        <v>75092.3116726124</v>
      </c>
      <c r="AM49" s="61" t="n">
        <f aca="false">SUM(C49:AL49)</f>
        <v>1024322.89514851</v>
      </c>
    </row>
    <row r="50" customFormat="false" ht="15" hidden="false" customHeight="false" outlineLevel="0" collapsed="false">
      <c r="A50" s="10" t="s">
        <v>785</v>
      </c>
      <c r="B50" s="9" t="s">
        <v>51</v>
      </c>
      <c r="C50" s="61" t="n">
        <f aca="false">C49*Assumptions!$G$58*C9</f>
        <v>0</v>
      </c>
      <c r="D50" s="61" t="n">
        <f aca="false">D49*Assumptions!$G$58*D9</f>
        <v>0</v>
      </c>
      <c r="E50" s="61" t="n">
        <f aca="false">E49*Assumptions!$G$58*E9</f>
        <v>0</v>
      </c>
      <c r="F50" s="61" t="n">
        <f aca="false">F49*Assumptions!$G$58*F9</f>
        <v>0</v>
      </c>
      <c r="G50" s="61" t="n">
        <f aca="false">G49*Assumptions!$G$58*G9</f>
        <v>0</v>
      </c>
      <c r="H50" s="61" t="n">
        <f aca="false">H49*Assumptions!$G$58*H9</f>
        <v>0</v>
      </c>
      <c r="I50" s="61" t="n">
        <f aca="false">I49*Assumptions!$G$58*I9</f>
        <v>238.315276651217</v>
      </c>
      <c r="J50" s="61" t="n">
        <f aca="false">J49*Assumptions!$G$58*J9</f>
        <v>245.13439572457</v>
      </c>
      <c r="K50" s="61" t="n">
        <f aca="false">K49*Assumptions!$G$58*K9</f>
        <v>252.566864569446</v>
      </c>
      <c r="L50" s="61" t="n">
        <f aca="false">L49*Assumptions!$G$58*L9</f>
        <v>260.667848311637</v>
      </c>
      <c r="M50" s="61" t="n">
        <f aca="false">M49*Assumptions!$G$58*M9</f>
        <v>269.497436946814</v>
      </c>
      <c r="N50" s="61" t="n">
        <f aca="false">N49*Assumptions!$G$58*N9</f>
        <v>279.121111144147</v>
      </c>
      <c r="O50" s="61" t="n">
        <f aca="false">O49*Assumptions!$G$58*O9</f>
        <v>289.610226105146</v>
      </c>
      <c r="P50" s="61" t="n">
        <f aca="false">P49*Assumptions!$G$58*P9</f>
        <v>301.042536620476</v>
      </c>
      <c r="Q50" s="61" t="n">
        <f aca="false">Q49*Assumptions!$G$58*Q9</f>
        <v>313.502768455577</v>
      </c>
      <c r="R50" s="61" t="n">
        <f aca="false">R49*Assumptions!$G$58*R9</f>
        <v>327.08324016684</v>
      </c>
      <c r="S50" s="61" t="n">
        <f aca="false">S49*Assumptions!$G$58*S9</f>
        <v>341.884539669104</v>
      </c>
      <c r="T50" s="61" t="n">
        <f aca="false">T49*Assumptions!$G$58*T9</f>
        <v>358.016260199662</v>
      </c>
      <c r="U50" s="61" t="n">
        <f aca="false">U49*Assumptions!$G$58*U9</f>
        <v>380.324971283861</v>
      </c>
      <c r="V50" s="61" t="n">
        <f aca="false">V49*Assumptions!$G$58*V9</f>
        <v>407.471363785473</v>
      </c>
      <c r="W50" s="61" t="n">
        <f aca="false">W49*Assumptions!$G$58*W9</f>
        <v>437.531465507632</v>
      </c>
      <c r="X50" s="61" t="n">
        <f aca="false">X49*Assumptions!$G$58*X9</f>
        <v>470.279466835237</v>
      </c>
      <c r="Y50" s="61" t="n">
        <f aca="false">Y49*Assumptions!$G$58*Y9</f>
        <v>505.875476829175</v>
      </c>
      <c r="Z50" s="61" t="n">
        <f aca="false">Z49*Assumptions!$G$58*Z9</f>
        <v>544.550941887787</v>
      </c>
      <c r="AA50" s="61" t="n">
        <f aca="false">AA49*Assumptions!$G$58*AA9</f>
        <v>586.565228389741</v>
      </c>
      <c r="AB50" s="61" t="n">
        <f aca="false">AB49*Assumptions!$G$58*AB9</f>
        <v>632.201023586373</v>
      </c>
      <c r="AC50" s="61" t="n">
        <f aca="false">AC49*Assumptions!$G$58*AC9</f>
        <v>681.545198158631</v>
      </c>
      <c r="AD50" s="61" t="n">
        <f aca="false">AD49*Assumptions!$G$58*AD9</f>
        <v>734.79843979281</v>
      </c>
      <c r="AE50" s="61" t="n">
        <f aca="false">AE49*Assumptions!$G$58*AE9</f>
        <v>792.340766732775</v>
      </c>
      <c r="AF50" s="61" t="n">
        <f aca="false">AF49*Assumptions!$G$58*AF9</f>
        <v>854.559034457255</v>
      </c>
      <c r="AG50" s="61" t="n">
        <f aca="false">AG49*Assumptions!$G$58*AG9</f>
        <v>921.864481412426</v>
      </c>
      <c r="AH50" s="61" t="n">
        <f aca="false">AH49*Assumptions!$G$58*AH9</f>
        <v>994.70194544223</v>
      </c>
      <c r="AI50" s="61" t="n">
        <f aca="false">AI49*Assumptions!$G$58*AI9</f>
        <v>1073.5539032138</v>
      </c>
      <c r="AJ50" s="61" t="n">
        <f aca="false">AJ49*Assumptions!$G$58*AJ9</f>
        <v>1158.94400151875</v>
      </c>
      <c r="AK50" s="61" t="n">
        <f aca="false">AK49*Assumptions!$G$58*AK9</f>
        <v>1251.44076558356</v>
      </c>
      <c r="AL50" s="61" t="n">
        <f aca="false">AL49*Assumptions!$G$58*AL9</f>
        <v>1351.66161010702</v>
      </c>
      <c r="AM50" s="61" t="n">
        <f aca="false">SUM(C50:AL50)</f>
        <v>17256.6525890892</v>
      </c>
    </row>
    <row r="51" customFormat="false" ht="15" hidden="false" customHeight="false" outlineLevel="0" collapsed="false">
      <c r="A51" s="10" t="s">
        <v>786</v>
      </c>
      <c r="B51" s="9" t="s">
        <v>51</v>
      </c>
      <c r="C51" s="61" t="n">
        <f aca="false">C50*Assumptions!$G$59</f>
        <v>0</v>
      </c>
      <c r="D51" s="61" t="n">
        <f aca="false">D50*Assumptions!$G$59</f>
        <v>0</v>
      </c>
      <c r="E51" s="61" t="n">
        <f aca="false">E50*Assumptions!$G$59</f>
        <v>0</v>
      </c>
      <c r="F51" s="61" t="n">
        <f aca="false">F50*Assumptions!$G$59</f>
        <v>0</v>
      </c>
      <c r="G51" s="61" t="n">
        <f aca="false">G50*Assumptions!$G$59</f>
        <v>0</v>
      </c>
      <c r="H51" s="61" t="n">
        <f aca="false">H50*Assumptions!$G$59</f>
        <v>0</v>
      </c>
      <c r="I51" s="61" t="n">
        <f aca="false">I50*Assumptions!$G$59</f>
        <v>166.820693655852</v>
      </c>
      <c r="J51" s="61" t="n">
        <f aca="false">J50*Assumptions!$G$59</f>
        <v>171.594077007199</v>
      </c>
      <c r="K51" s="61" t="n">
        <f aca="false">K50*Assumptions!$G$59</f>
        <v>176.796805198612</v>
      </c>
      <c r="L51" s="61" t="n">
        <f aca="false">L50*Assumptions!$G$59</f>
        <v>182.467493818146</v>
      </c>
      <c r="M51" s="61" t="n">
        <f aca="false">M50*Assumptions!$G$59</f>
        <v>188.64820586277</v>
      </c>
      <c r="N51" s="61" t="n">
        <f aca="false">N50*Assumptions!$G$59</f>
        <v>195.384777800903</v>
      </c>
      <c r="O51" s="61" t="n">
        <f aca="false">O50*Assumptions!$G$59</f>
        <v>202.727158273602</v>
      </c>
      <c r="P51" s="61" t="n">
        <f aca="false">P50*Assumptions!$G$59</f>
        <v>210.729775634333</v>
      </c>
      <c r="Q51" s="61" t="n">
        <f aca="false">Q50*Assumptions!$G$59</f>
        <v>219.451937918904</v>
      </c>
      <c r="R51" s="61" t="n">
        <f aca="false">R50*Assumptions!$G$59</f>
        <v>228.958268116788</v>
      </c>
      <c r="S51" s="61" t="n">
        <f aca="false">S50*Assumptions!$G$59</f>
        <v>239.319177768373</v>
      </c>
      <c r="T51" s="61" t="n">
        <f aca="false">T50*Assumptions!$G$59</f>
        <v>250.611382139763</v>
      </c>
      <c r="U51" s="61" t="n">
        <f aca="false">U50*Assumptions!$G$59</f>
        <v>266.227479898703</v>
      </c>
      <c r="V51" s="61" t="n">
        <f aca="false">V50*Assumptions!$G$59</f>
        <v>285.229954649831</v>
      </c>
      <c r="W51" s="61" t="n">
        <f aca="false">W50*Assumptions!$G$59</f>
        <v>306.272025855342</v>
      </c>
      <c r="X51" s="61" t="n">
        <f aca="false">X50*Assumptions!$G$59</f>
        <v>329.195626784666</v>
      </c>
      <c r="Y51" s="61" t="n">
        <f aca="false">Y50*Assumptions!$G$59</f>
        <v>354.112833780423</v>
      </c>
      <c r="Z51" s="61" t="n">
        <f aca="false">Z50*Assumptions!$G$59</f>
        <v>381.185659321451</v>
      </c>
      <c r="AA51" s="61" t="n">
        <f aca="false">AA50*Assumptions!$G$59</f>
        <v>410.595659872819</v>
      </c>
      <c r="AB51" s="61" t="n">
        <f aca="false">AB50*Assumptions!$G$59</f>
        <v>442.540716510461</v>
      </c>
      <c r="AC51" s="61" t="n">
        <f aca="false">AC50*Assumptions!$G$59</f>
        <v>477.081638711041</v>
      </c>
      <c r="AD51" s="61" t="n">
        <f aca="false">AD50*Assumptions!$G$59</f>
        <v>514.358907854967</v>
      </c>
      <c r="AE51" s="61" t="n">
        <f aca="false">AE50*Assumptions!$G$59</f>
        <v>554.638536712942</v>
      </c>
      <c r="AF51" s="61" t="n">
        <f aca="false">AF50*Assumptions!$G$59</f>
        <v>598.191324120078</v>
      </c>
      <c r="AG51" s="61" t="n">
        <f aca="false">AG50*Assumptions!$G$59</f>
        <v>645.305136988699</v>
      </c>
      <c r="AH51" s="61" t="n">
        <f aca="false">AH50*Assumptions!$G$59</f>
        <v>696.291361809561</v>
      </c>
      <c r="AI51" s="61" t="n">
        <f aca="false">AI50*Assumptions!$G$59</f>
        <v>751.487732249662</v>
      </c>
      <c r="AJ51" s="61" t="n">
        <f aca="false">AJ50*Assumptions!$G$59</f>
        <v>811.260801063122</v>
      </c>
      <c r="AK51" s="61" t="n">
        <f aca="false">AK50*Assumptions!$G$59</f>
        <v>876.008535908493</v>
      </c>
      <c r="AL51" s="61" t="n">
        <f aca="false">AL50*Assumptions!$G$59</f>
        <v>946.163127074916</v>
      </c>
      <c r="AM51" s="61" t="n">
        <f aca="false">SUM(C51:AL51)</f>
        <v>12079.6568123624</v>
      </c>
    </row>
    <row r="52" customFormat="false" ht="15" hidden="false" customHeight="false" outlineLevel="0" collapsed="false">
      <c r="A52" s="10" t="s">
        <v>787</v>
      </c>
      <c r="B52" s="9" t="s">
        <v>51</v>
      </c>
      <c r="C52" s="61" t="n">
        <f aca="false">C51*Assumptions!$G$60*C48</f>
        <v>0</v>
      </c>
      <c r="D52" s="61" t="n">
        <f aca="false">D51*Assumptions!$G$60*D48</f>
        <v>0</v>
      </c>
      <c r="E52" s="61" t="n">
        <f aca="false">E51*Assumptions!$G$60*E48</f>
        <v>0</v>
      </c>
      <c r="F52" s="61" t="n">
        <f aca="false">F51*Assumptions!$G$60*F48</f>
        <v>0</v>
      </c>
      <c r="G52" s="61" t="n">
        <f aca="false">G51*Assumptions!$G$60*G48</f>
        <v>0</v>
      </c>
      <c r="H52" s="61" t="n">
        <f aca="false">H51*Assumptions!$G$60*H48</f>
        <v>0</v>
      </c>
      <c r="I52" s="61" t="n">
        <f aca="false">I51*Assumptions!$G$60*I48</f>
        <v>34.8321608353418</v>
      </c>
      <c r="J52" s="61" t="n">
        <f aca="false">J51*Assumptions!$G$60*J48</f>
        <v>38.3169573957076</v>
      </c>
      <c r="K52" s="61" t="n">
        <f aca="false">K51*Assumptions!$G$60*K48</f>
        <v>42.0422802762299</v>
      </c>
      <c r="L52" s="61" t="n">
        <f aca="false">L51*Assumptions!$G$60*L48</f>
        <v>46.0365486903181</v>
      </c>
      <c r="M52" s="61" t="n">
        <f aca="false">M51*Assumptions!$G$60*M48</f>
        <v>50.331341324187</v>
      </c>
      <c r="N52" s="61" t="n">
        <f aca="false">N51*Assumptions!$G$60*N48</f>
        <v>54.961737995394</v>
      </c>
      <c r="O52" s="61" t="n">
        <f aca="false">O51*Assumptions!$G$60*O48</f>
        <v>59.9666934173315</v>
      </c>
      <c r="P52" s="61" t="n">
        <f aca="false">P51*Assumptions!$G$60*P48</f>
        <v>65.3894493793335</v>
      </c>
      <c r="Q52" s="61" t="n">
        <f aca="false">Q51*Assumptions!$G$60*Q48</f>
        <v>71.27798943606</v>
      </c>
      <c r="R52" s="61" t="n">
        <f aca="false">R51*Assumptions!$G$60*R48</f>
        <v>77.6855403720262</v>
      </c>
      <c r="S52" s="61" t="n">
        <f aca="false">S51*Assumptions!$G$60*S48</f>
        <v>84.6711250944503</v>
      </c>
      <c r="T52" s="61" t="n">
        <f aca="false">T51*Assumptions!$G$60*T48</f>
        <v>92.3001720420748</v>
      </c>
      <c r="U52" s="61" t="n">
        <f aca="false">U51*Assumptions!$G$60*U48</f>
        <v>101.911879305223</v>
      </c>
      <c r="V52" s="61" t="n">
        <f aca="false">V51*Assumptions!$G$60*V48</f>
        <v>113.321860982378</v>
      </c>
      <c r="W52" s="61" t="n">
        <f aca="false">W51*Assumptions!$G$60*W48</f>
        <v>126.12282024723</v>
      </c>
      <c r="X52" s="61" t="n">
        <f aca="false">X51*Assumptions!$G$60*X48</f>
        <v>140.336095698303</v>
      </c>
      <c r="Y52" s="61" t="n">
        <f aca="false">Y51*Assumptions!$G$60*Y48</f>
        <v>156.09293713041</v>
      </c>
      <c r="Z52" s="61" t="n">
        <f aca="false">Z51*Assumptions!$G$60*Z48</f>
        <v>173.553830689057</v>
      </c>
      <c r="AA52" s="61" t="n">
        <f aca="false">AA51*Assumptions!$G$60*AA48</f>
        <v>192.89784100825</v>
      </c>
      <c r="AB52" s="61" t="n">
        <f aca="false">AB51*Assumptions!$G$60*AB48</f>
        <v>210.472364772375</v>
      </c>
      <c r="AC52" s="61" t="n">
        <f aca="false">AC51*Assumptions!$G$60*AC48</f>
        <v>226.900027370971</v>
      </c>
      <c r="AD52" s="61" t="n">
        <f aca="false">AD51*Assumptions!$G$60*AD48</f>
        <v>244.629096575822</v>
      </c>
      <c r="AE52" s="61" t="n">
        <f aca="false">AE51*Assumptions!$G$60*AE48</f>
        <v>263.786088060675</v>
      </c>
      <c r="AF52" s="61" t="n">
        <f aca="false">AF51*Assumptions!$G$60*AF48</f>
        <v>284.499793751509</v>
      </c>
      <c r="AG52" s="61" t="n">
        <f aca="false">AG51*Assumptions!$G$60*AG48</f>
        <v>306.907123151825</v>
      </c>
      <c r="AH52" s="61" t="n">
        <f aca="false">AH51*Assumptions!$G$60*AH48</f>
        <v>331.156171676627</v>
      </c>
      <c r="AI52" s="61" t="n">
        <f aca="false">AI51*Assumptions!$G$60*AI48</f>
        <v>357.407565457939</v>
      </c>
      <c r="AJ52" s="61" t="n">
        <f aca="false">AJ51*Assumptions!$G$60*AJ48</f>
        <v>385.835636985621</v>
      </c>
      <c r="AK52" s="61" t="n">
        <f aca="false">AK51*Assumptions!$G$60*AK48</f>
        <v>416.629659678079</v>
      </c>
      <c r="AL52" s="61" t="n">
        <f aca="false">AL51*Assumptions!$G$60*AL48</f>
        <v>449.99518323683</v>
      </c>
      <c r="AM52" s="61" t="n">
        <f aca="false">SUM(C52:AL52)</f>
        <v>5200.26797203758</v>
      </c>
    </row>
    <row r="53" customFormat="false" ht="15" hidden="false" customHeight="false" outlineLevel="0" collapsed="false">
      <c r="A53" s="10" t="s">
        <v>788</v>
      </c>
      <c r="B53" s="9" t="s">
        <v>51</v>
      </c>
      <c r="C53" s="61" t="n">
        <f aca="false">C52*Assumptions!$G$64</f>
        <v>0</v>
      </c>
      <c r="D53" s="61" t="n">
        <f aca="false">D52*Assumptions!$G$64</f>
        <v>0</v>
      </c>
      <c r="E53" s="61" t="n">
        <f aca="false">E52*Assumptions!$G$64</f>
        <v>0</v>
      </c>
      <c r="F53" s="61" t="n">
        <f aca="false">F52*Assumptions!$G$64</f>
        <v>0</v>
      </c>
      <c r="G53" s="61" t="n">
        <f aca="false">G52*Assumptions!$G$64</f>
        <v>0</v>
      </c>
      <c r="H53" s="61" t="n">
        <f aca="false">H52*Assumptions!$G$64</f>
        <v>0</v>
      </c>
      <c r="I53" s="61" t="n">
        <f aca="false">I52*Assumptions!$G$64</f>
        <v>19.5060100677914</v>
      </c>
      <c r="J53" s="61" t="n">
        <f aca="false">J52*Assumptions!$G$64</f>
        <v>21.4574961415963</v>
      </c>
      <c r="K53" s="61" t="n">
        <f aca="false">K52*Assumptions!$G$64</f>
        <v>23.5436769546888</v>
      </c>
      <c r="L53" s="61" t="n">
        <f aca="false">L52*Assumptions!$G$64</f>
        <v>25.7804672665782</v>
      </c>
      <c r="M53" s="61" t="n">
        <f aca="false">M52*Assumptions!$G$64</f>
        <v>28.1855511415447</v>
      </c>
      <c r="N53" s="61" t="n">
        <f aca="false">N52*Assumptions!$G$64</f>
        <v>30.7785732774206</v>
      </c>
      <c r="O53" s="61" t="n">
        <f aca="false">O52*Assumptions!$G$64</f>
        <v>33.5813483137056</v>
      </c>
      <c r="P53" s="61" t="n">
        <f aca="false">P52*Assumptions!$G$64</f>
        <v>36.6180916524268</v>
      </c>
      <c r="Q53" s="61" t="n">
        <f aca="false">Q52*Assumptions!$G$64</f>
        <v>39.9156740841936</v>
      </c>
      <c r="R53" s="61" t="n">
        <f aca="false">R52*Assumptions!$G$64</f>
        <v>43.5039026083347</v>
      </c>
      <c r="S53" s="61" t="n">
        <f aca="false">S52*Assumptions!$G$64</f>
        <v>47.4158300528922</v>
      </c>
      <c r="T53" s="61" t="n">
        <f aca="false">T52*Assumptions!$G$64</f>
        <v>51.6880963435619</v>
      </c>
      <c r="U53" s="61" t="n">
        <f aca="false">U52*Assumptions!$G$64</f>
        <v>57.0706524109251</v>
      </c>
      <c r="V53" s="61" t="n">
        <f aca="false">V52*Assumptions!$G$64</f>
        <v>63.4602421501317</v>
      </c>
      <c r="W53" s="61" t="n">
        <f aca="false">W52*Assumptions!$G$64</f>
        <v>70.6287793384488</v>
      </c>
      <c r="X53" s="61" t="n">
        <f aca="false">X52*Assumptions!$G$64</f>
        <v>78.5882135910497</v>
      </c>
      <c r="Y53" s="61" t="n">
        <f aca="false">Y52*Assumptions!$G$64</f>
        <v>87.4120447930298</v>
      </c>
      <c r="Z53" s="61" t="n">
        <f aca="false">Z52*Assumptions!$G$64</f>
        <v>97.1901451858717</v>
      </c>
      <c r="AA53" s="61" t="n">
        <f aca="false">AA52*Assumptions!$G$64</f>
        <v>108.02279096462</v>
      </c>
      <c r="AB53" s="61" t="n">
        <f aca="false">AB52*Assumptions!$G$64</f>
        <v>117.86452427253</v>
      </c>
      <c r="AC53" s="61" t="n">
        <f aca="false">AC52*Assumptions!$G$64</f>
        <v>127.064015327744</v>
      </c>
      <c r="AD53" s="61" t="n">
        <f aca="false">AD52*Assumptions!$G$64</f>
        <v>136.99229408246</v>
      </c>
      <c r="AE53" s="61" t="n">
        <f aca="false">AE52*Assumptions!$G$64</f>
        <v>147.720209313978</v>
      </c>
      <c r="AF53" s="61" t="n">
        <f aca="false">AF52*Assumptions!$G$64</f>
        <v>159.319884500845</v>
      </c>
      <c r="AG53" s="61" t="n">
        <f aca="false">AG52*Assumptions!$G$64</f>
        <v>171.867988965022</v>
      </c>
      <c r="AH53" s="61" t="n">
        <f aca="false">AH52*Assumptions!$G$64</f>
        <v>185.447456138911</v>
      </c>
      <c r="AI53" s="61" t="n">
        <f aca="false">AI52*Assumptions!$G$64</f>
        <v>200.148236656446</v>
      </c>
      <c r="AJ53" s="61" t="n">
        <f aca="false">AJ52*Assumptions!$G$64</f>
        <v>216.067956711948</v>
      </c>
      <c r="AK53" s="61" t="n">
        <f aca="false">AK52*Assumptions!$G$64</f>
        <v>233.312609419724</v>
      </c>
      <c r="AL53" s="61" t="n">
        <f aca="false">AL52*Assumptions!$G$64</f>
        <v>251.997302612625</v>
      </c>
      <c r="AM53" s="61" t="n">
        <f aca="false">SUM(C53:AL53)</f>
        <v>2912.15006434105</v>
      </c>
    </row>
    <row r="54" customFormat="false" ht="15" hidden="false" customHeight="false" outlineLevel="0" collapsed="false">
      <c r="A54" s="10" t="s">
        <v>789</v>
      </c>
      <c r="B54" s="9" t="s">
        <v>51</v>
      </c>
      <c r="C54" s="61" t="n">
        <f aca="false">C53*Assumptions!$G$65</f>
        <v>0</v>
      </c>
      <c r="D54" s="61" t="n">
        <f aca="false">D53*Assumptions!$G$65</f>
        <v>0</v>
      </c>
      <c r="E54" s="61" t="n">
        <f aca="false">E53*Assumptions!$G$65</f>
        <v>0</v>
      </c>
      <c r="F54" s="61" t="n">
        <f aca="false">F53*Assumptions!$G$65</f>
        <v>0</v>
      </c>
      <c r="G54" s="61" t="n">
        <f aca="false">G53*Assumptions!$G$65</f>
        <v>0</v>
      </c>
      <c r="H54" s="61" t="n">
        <f aca="false">H53*Assumptions!$G$65</f>
        <v>0</v>
      </c>
      <c r="I54" s="61" t="n">
        <f aca="false">I53*Assumptions!$G$65</f>
        <v>16.1899883562669</v>
      </c>
      <c r="J54" s="61" t="n">
        <f aca="false">J53*Assumptions!$G$65</f>
        <v>17.8097217975249</v>
      </c>
      <c r="K54" s="61" t="n">
        <f aca="false">K53*Assumptions!$G$65</f>
        <v>19.5412518723917</v>
      </c>
      <c r="L54" s="61" t="n">
        <f aca="false">L53*Assumptions!$G$65</f>
        <v>21.3977878312599</v>
      </c>
      <c r="M54" s="61" t="n">
        <f aca="false">M53*Assumptions!$G$65</f>
        <v>23.3940074474821</v>
      </c>
      <c r="N54" s="61" t="n">
        <f aca="false">N53*Assumptions!$G$65</f>
        <v>25.5462158202591</v>
      </c>
      <c r="O54" s="61" t="n">
        <f aca="false">O53*Assumptions!$G$65</f>
        <v>27.8725191003757</v>
      </c>
      <c r="P54" s="61" t="n">
        <f aca="false">P53*Assumptions!$G$65</f>
        <v>30.3930160715142</v>
      </c>
      <c r="Q54" s="61" t="n">
        <f aca="false">Q53*Assumptions!$G$65</f>
        <v>33.1300094898807</v>
      </c>
      <c r="R54" s="61" t="n">
        <f aca="false">R53*Assumptions!$G$65</f>
        <v>36.1082391649178</v>
      </c>
      <c r="S54" s="61" t="n">
        <f aca="false">S53*Assumptions!$G$65</f>
        <v>39.3551389439005</v>
      </c>
      <c r="T54" s="61" t="n">
        <f aca="false">T53*Assumptions!$G$65</f>
        <v>42.9011199651564</v>
      </c>
      <c r="U54" s="61" t="n">
        <f aca="false">U53*Assumptions!$G$65</f>
        <v>47.3686415010678</v>
      </c>
      <c r="V54" s="61" t="n">
        <f aca="false">V53*Assumptions!$G$65</f>
        <v>52.6720009846093</v>
      </c>
      <c r="W54" s="61" t="n">
        <f aca="false">W53*Assumptions!$G$65</f>
        <v>58.6218868509125</v>
      </c>
      <c r="X54" s="61" t="n">
        <f aca="false">X53*Assumptions!$G$65</f>
        <v>65.2282172805713</v>
      </c>
      <c r="Y54" s="61" t="n">
        <f aca="false">Y53*Assumptions!$G$65</f>
        <v>72.5519971782147</v>
      </c>
      <c r="Z54" s="61" t="n">
        <f aca="false">Z53*Assumptions!$G$65</f>
        <v>80.6678205042735</v>
      </c>
      <c r="AA54" s="61" t="n">
        <f aca="false">AA53*Assumptions!$G$65</f>
        <v>89.6589165006347</v>
      </c>
      <c r="AB54" s="61" t="n">
        <f aca="false">AB53*Assumptions!$G$65</f>
        <v>97.8275551461999</v>
      </c>
      <c r="AC54" s="61" t="n">
        <f aca="false">AC53*Assumptions!$G$65</f>
        <v>105.463132722027</v>
      </c>
      <c r="AD54" s="61" t="n">
        <f aca="false">AD53*Assumptions!$G$65</f>
        <v>113.703604088442</v>
      </c>
      <c r="AE54" s="61" t="n">
        <f aca="false">AE53*Assumptions!$G$65</f>
        <v>122.607773730602</v>
      </c>
      <c r="AF54" s="61" t="n">
        <f aca="false">AF53*Assumptions!$G$65</f>
        <v>132.235504135701</v>
      </c>
      <c r="AG54" s="61" t="n">
        <f aca="false">AG53*Assumptions!$G$65</f>
        <v>142.650430840968</v>
      </c>
      <c r="AH54" s="61" t="n">
        <f aca="false">AH53*Assumptions!$G$65</f>
        <v>153.921388595296</v>
      </c>
      <c r="AI54" s="61" t="n">
        <f aca="false">AI53*Assumptions!$G$65</f>
        <v>166.12303642485</v>
      </c>
      <c r="AJ54" s="61" t="n">
        <f aca="false">AJ53*Assumptions!$G$65</f>
        <v>179.336404070916</v>
      </c>
      <c r="AK54" s="61" t="n">
        <f aca="false">AK53*Assumptions!$G$65</f>
        <v>193.649465818371</v>
      </c>
      <c r="AL54" s="61" t="n">
        <f aca="false">AL53*Assumptions!$G$65</f>
        <v>209.157761168479</v>
      </c>
      <c r="AM54" s="61" t="n">
        <f aca="false">SUM(C54:AL54)</f>
        <v>2417.08455340307</v>
      </c>
    </row>
    <row r="55" customFormat="false" ht="15" hidden="false" customHeight="false" outlineLevel="0" collapsed="false">
      <c r="A55" s="10" t="s">
        <v>790</v>
      </c>
      <c r="B55" s="9" t="s">
        <v>51</v>
      </c>
      <c r="C55" s="61" t="n">
        <f aca="false">C54*Assumptions!$G$66</f>
        <v>0</v>
      </c>
      <c r="D55" s="61" t="n">
        <f aca="false">D54*Assumptions!$G$66</f>
        <v>0</v>
      </c>
      <c r="E55" s="61" t="n">
        <f aca="false">E54*Assumptions!$G$66</f>
        <v>0</v>
      </c>
      <c r="F55" s="61" t="n">
        <f aca="false">F54*Assumptions!$G$66</f>
        <v>0</v>
      </c>
      <c r="G55" s="61" t="n">
        <f aca="false">G54*Assumptions!$G$66</f>
        <v>0</v>
      </c>
      <c r="H55" s="61" t="n">
        <f aca="false">H54*Assumptions!$G$66</f>
        <v>0</v>
      </c>
      <c r="I55" s="61" t="n">
        <f aca="false">I54*Assumptions!$G$66</f>
        <v>10.0377927808855</v>
      </c>
      <c r="J55" s="61" t="n">
        <f aca="false">J54*Assumptions!$G$66</f>
        <v>11.0420275144654</v>
      </c>
      <c r="K55" s="61" t="n">
        <f aca="false">K54*Assumptions!$G$66</f>
        <v>12.1155761608828</v>
      </c>
      <c r="L55" s="61" t="n">
        <f aca="false">L54*Assumptions!$G$66</f>
        <v>13.2666284553811</v>
      </c>
      <c r="M55" s="61" t="n">
        <f aca="false">M54*Assumptions!$G$66</f>
        <v>14.5042846174389</v>
      </c>
      <c r="N55" s="61" t="n">
        <f aca="false">N54*Assumptions!$G$66</f>
        <v>15.8386538085607</v>
      </c>
      <c r="O55" s="61" t="n">
        <f aca="false">O54*Assumptions!$G$66</f>
        <v>17.2809618422329</v>
      </c>
      <c r="P55" s="61" t="n">
        <f aca="false">P54*Assumptions!$G$66</f>
        <v>18.8436699643388</v>
      </c>
      <c r="Q55" s="61" t="n">
        <f aca="false">Q54*Assumptions!$G$66</f>
        <v>20.540605883726</v>
      </c>
      <c r="R55" s="61" t="n">
        <f aca="false">R54*Assumptions!$G$66</f>
        <v>22.387108282249</v>
      </c>
      <c r="S55" s="61" t="n">
        <f aca="false">S54*Assumptions!$G$66</f>
        <v>24.4001861452183</v>
      </c>
      <c r="T55" s="61" t="n">
        <f aca="false">T54*Assumptions!$G$66</f>
        <v>26.598694378397</v>
      </c>
      <c r="U55" s="61" t="n">
        <f aca="false">U54*Assumptions!$G$66</f>
        <v>29.368557730662</v>
      </c>
      <c r="V55" s="61" t="n">
        <f aca="false">V54*Assumptions!$G$66</f>
        <v>32.6566406104578</v>
      </c>
      <c r="W55" s="61" t="n">
        <f aca="false">W54*Assumptions!$G$66</f>
        <v>36.3455698475658</v>
      </c>
      <c r="X55" s="61" t="n">
        <f aca="false">X54*Assumptions!$G$66</f>
        <v>40.4414947139542</v>
      </c>
      <c r="Y55" s="61" t="n">
        <f aca="false">Y54*Assumptions!$G$66</f>
        <v>44.9822382504931</v>
      </c>
      <c r="Z55" s="61" t="n">
        <f aca="false">Z54*Assumptions!$G$66</f>
        <v>50.0140487126496</v>
      </c>
      <c r="AA55" s="61" t="n">
        <f aca="false">AA54*Assumptions!$G$66</f>
        <v>55.5885282303935</v>
      </c>
      <c r="AB55" s="61" t="n">
        <f aca="false">AB54*Assumptions!$G$66</f>
        <v>60.653084190644</v>
      </c>
      <c r="AC55" s="61" t="n">
        <f aca="false">AC54*Assumptions!$G$66</f>
        <v>65.387142287657</v>
      </c>
      <c r="AD55" s="61" t="n">
        <f aca="false">AD54*Assumptions!$G$66</f>
        <v>70.4962345348341</v>
      </c>
      <c r="AE55" s="61" t="n">
        <f aca="false">AE54*Assumptions!$G$66</f>
        <v>76.0168197129732</v>
      </c>
      <c r="AF55" s="61" t="n">
        <f aca="false">AF54*Assumptions!$G$66</f>
        <v>81.9860125641349</v>
      </c>
      <c r="AG55" s="61" t="n">
        <f aca="false">AG54*Assumptions!$G$66</f>
        <v>88.4432671214003</v>
      </c>
      <c r="AH55" s="61" t="n">
        <f aca="false">AH54*Assumptions!$G$66</f>
        <v>95.4312609290837</v>
      </c>
      <c r="AI55" s="61" t="n">
        <f aca="false">AI54*Assumptions!$G$66</f>
        <v>102.996282583407</v>
      </c>
      <c r="AJ55" s="61" t="n">
        <f aca="false">AJ54*Assumptions!$G$66</f>
        <v>111.188570523968</v>
      </c>
      <c r="AK55" s="61" t="n">
        <f aca="false">AK54*Assumptions!$G$66</f>
        <v>120.06266880739</v>
      </c>
      <c r="AL55" s="61" t="n">
        <f aca="false">AL54*Assumptions!$G$66</f>
        <v>129.677811924457</v>
      </c>
      <c r="AM55" s="61" t="n">
        <f aca="false">SUM(C55:AL55)</f>
        <v>1498.5924231099</v>
      </c>
    </row>
    <row r="56" customFormat="false" ht="15" hidden="false" customHeight="false" outlineLevel="0" collapsed="false">
      <c r="A56" s="10" t="s">
        <v>791</v>
      </c>
      <c r="B56" s="9" t="s">
        <v>51</v>
      </c>
      <c r="C56" s="61" t="n">
        <f aca="false">C55*Assumptions!$G$67</f>
        <v>0</v>
      </c>
      <c r="D56" s="61" t="n">
        <f aca="false">D55*Assumptions!$G$67</f>
        <v>0</v>
      </c>
      <c r="E56" s="61" t="n">
        <f aca="false">E55*Assumptions!$G$67</f>
        <v>0</v>
      </c>
      <c r="F56" s="61" t="n">
        <f aca="false">F55*Assumptions!$G$67</f>
        <v>0</v>
      </c>
      <c r="G56" s="61" t="n">
        <f aca="false">G55*Assumptions!$G$67</f>
        <v>0</v>
      </c>
      <c r="H56" s="61" t="n">
        <f aca="false">H55*Assumptions!$G$67</f>
        <v>0</v>
      </c>
      <c r="I56" s="61" t="n">
        <f aca="false">I55*Assumptions!$G$67</f>
        <v>6.62494323538441</v>
      </c>
      <c r="J56" s="61" t="n">
        <f aca="false">J55*Assumptions!$G$67</f>
        <v>7.28773815954719</v>
      </c>
      <c r="K56" s="61" t="n">
        <f aca="false">K55*Assumptions!$G$67</f>
        <v>7.99628026618267</v>
      </c>
      <c r="L56" s="61" t="n">
        <f aca="false">L55*Assumptions!$G$67</f>
        <v>8.75597478055154</v>
      </c>
      <c r="M56" s="61" t="n">
        <f aca="false">M55*Assumptions!$G$67</f>
        <v>9.57282784750968</v>
      </c>
      <c r="N56" s="61" t="n">
        <f aca="false">N55*Assumptions!$G$67</f>
        <v>10.45351151365</v>
      </c>
      <c r="O56" s="61" t="n">
        <f aca="false">O55*Assumptions!$G$67</f>
        <v>11.4054348158737</v>
      </c>
      <c r="P56" s="61" t="n">
        <f aca="false">P55*Assumptions!$G$67</f>
        <v>12.4368221764636</v>
      </c>
      <c r="Q56" s="61" t="n">
        <f aca="false">Q55*Assumptions!$G$67</f>
        <v>13.5567998832592</v>
      </c>
      <c r="R56" s="61" t="n">
        <f aca="false">R55*Assumptions!$G$67</f>
        <v>14.7754914662844</v>
      </c>
      <c r="S56" s="61" t="n">
        <f aca="false">S55*Assumptions!$G$67</f>
        <v>16.1041228558441</v>
      </c>
      <c r="T56" s="61" t="n">
        <f aca="false">T55*Assumptions!$G$67</f>
        <v>17.555138289742</v>
      </c>
      <c r="U56" s="61" t="n">
        <f aca="false">U55*Assumptions!$G$67</f>
        <v>19.3832481022369</v>
      </c>
      <c r="V56" s="61" t="n">
        <f aca="false">V55*Assumptions!$G$67</f>
        <v>21.5533828029021</v>
      </c>
      <c r="W56" s="61" t="n">
        <f aca="false">W55*Assumptions!$G$67</f>
        <v>23.9880760993934</v>
      </c>
      <c r="X56" s="61" t="n">
        <f aca="false">X55*Assumptions!$G$67</f>
        <v>26.6913865112098</v>
      </c>
      <c r="Y56" s="61" t="n">
        <f aca="false">Y55*Assumptions!$G$67</f>
        <v>29.6882772453255</v>
      </c>
      <c r="Z56" s="61" t="n">
        <f aca="false">Z55*Assumptions!$G$67</f>
        <v>33.0092721503487</v>
      </c>
      <c r="AA56" s="61" t="n">
        <f aca="false">AA55*Assumptions!$G$67</f>
        <v>36.6884286320597</v>
      </c>
      <c r="AB56" s="61" t="n">
        <f aca="false">AB55*Assumptions!$G$67</f>
        <v>40.031035565825</v>
      </c>
      <c r="AC56" s="61" t="n">
        <f aca="false">AC55*Assumptions!$G$67</f>
        <v>43.1555139098536</v>
      </c>
      <c r="AD56" s="61" t="n">
        <f aca="false">AD55*Assumptions!$G$67</f>
        <v>46.5275147929905</v>
      </c>
      <c r="AE56" s="61" t="n">
        <f aca="false">AE55*Assumptions!$G$67</f>
        <v>50.1711010105623</v>
      </c>
      <c r="AF56" s="61" t="n">
        <f aca="false">AF55*Assumptions!$G$67</f>
        <v>54.110768292329</v>
      </c>
      <c r="AG56" s="61" t="n">
        <f aca="false">AG55*Assumptions!$G$67</f>
        <v>58.3725563001242</v>
      </c>
      <c r="AH56" s="61" t="n">
        <f aca="false">AH55*Assumptions!$G$67</f>
        <v>62.9846322131953</v>
      </c>
      <c r="AI56" s="61" t="n">
        <f aca="false">AI55*Assumptions!$G$67</f>
        <v>67.9775465050487</v>
      </c>
      <c r="AJ56" s="61" t="n">
        <f aca="false">AJ55*Assumptions!$G$67</f>
        <v>73.384456545819</v>
      </c>
      <c r="AK56" s="61" t="n">
        <f aca="false">AK55*Assumptions!$G$67</f>
        <v>79.2413614128775</v>
      </c>
      <c r="AL56" s="61" t="n">
        <f aca="false">AL55*Assumptions!$G$67</f>
        <v>85.5873558701415</v>
      </c>
      <c r="AM56" s="61" t="n">
        <f aca="false">SUM(C56:AL56)</f>
        <v>989.070999252535</v>
      </c>
    </row>
    <row r="57" customFormat="false" ht="15" hidden="false" customHeight="false" outlineLevel="0" collapsed="false">
      <c r="A57" s="37" t="s">
        <v>792</v>
      </c>
      <c r="B57" s="9" t="s">
        <v>51</v>
      </c>
      <c r="C57" s="71" t="n">
        <f aca="false">C56</f>
        <v>0</v>
      </c>
      <c r="D57" s="71" t="n">
        <f aca="false">C57*(1-Assumptions!$G$68)+D56</f>
        <v>0</v>
      </c>
      <c r="E57" s="71" t="n">
        <f aca="false">D57*(1-Assumptions!$G$68)+E56</f>
        <v>0</v>
      </c>
      <c r="F57" s="71" t="n">
        <f aca="false">E57*(1-Assumptions!$G$68)+F56</f>
        <v>0</v>
      </c>
      <c r="G57" s="71" t="n">
        <f aca="false">F57*(1-Assumptions!$G$68)+G56</f>
        <v>0</v>
      </c>
      <c r="H57" s="71" t="n">
        <f aca="false">G57*(1-Assumptions!$G$68)+H56</f>
        <v>0</v>
      </c>
      <c r="I57" s="71" t="n">
        <f aca="false">H57*(1-Assumptions!$G$68)+I56</f>
        <v>6.62494323538441</v>
      </c>
      <c r="J57" s="71" t="n">
        <f aca="false">I57*(1-Assumptions!$G$68)+J56</f>
        <v>13.1839376390393</v>
      </c>
      <c r="K57" s="71" t="n">
        <f aca="false">J57*(1-Assumptions!$G$68)+K56</f>
        <v>19.7299847649277</v>
      </c>
      <c r="L57" s="71" t="n">
        <f aca="false">K57*(1-Assumptions!$G$68)+L56</f>
        <v>26.3156612213372</v>
      </c>
      <c r="M57" s="71" t="n">
        <f aca="false">L57*(1-Assumptions!$G$68)+M56</f>
        <v>32.9937663344997</v>
      </c>
      <c r="N57" s="71" t="n">
        <f aca="false">M57*(1-Assumptions!$G$68)+N56</f>
        <v>39.8179635513548</v>
      </c>
      <c r="O57" s="71" t="n">
        <f aca="false">N57*(1-Assumptions!$G$68)+O56</f>
        <v>46.8434223765795</v>
      </c>
      <c r="P57" s="71" t="n">
        <f aca="false">O57*(1-Assumptions!$G$68)+P56</f>
        <v>54.1274680916194</v>
      </c>
      <c r="Q57" s="71" t="n">
        <f aca="false">P57*(1-Assumptions!$G$68)+Q56</f>
        <v>61.7302464848004</v>
      </c>
      <c r="R57" s="71" t="n">
        <f aca="false">Q57*(1-Assumptions!$G$68)+R56</f>
        <v>69.7154108377568</v>
      </c>
      <c r="S57" s="71" t="n">
        <f aca="false">R57*(1-Assumptions!$G$68)+S56</f>
        <v>78.1508385014476</v>
      </c>
      <c r="T57" s="71" t="n">
        <f aca="false">S57*(1-Assumptions!$G$68)+T56</f>
        <v>87.1093845560304</v>
      </c>
      <c r="U57" s="71" t="n">
        <f aca="false">T57*(1-Assumptions!$G$68)+U56</f>
        <v>96.910600357104</v>
      </c>
      <c r="V57" s="71" t="n">
        <f aca="false">U57*(1-Assumptions!$G$68)+V56</f>
        <v>107.803817120725</v>
      </c>
      <c r="W57" s="71" t="n">
        <f aca="false">V57*(1-Assumptions!$G$68)+W56</f>
        <v>119.933473336838</v>
      </c>
      <c r="X57" s="71" t="n">
        <f aca="false">W57*(1-Assumptions!$G$68)+X56</f>
        <v>133.432177780996</v>
      </c>
      <c r="Y57" s="71" t="n">
        <f aca="false">X57*(1-Assumptions!$G$68)+Y56</f>
        <v>148.442915470412</v>
      </c>
      <c r="Z57" s="71" t="n">
        <f aca="false">Y57*(1-Assumptions!$G$68)+Z56</f>
        <v>165.123466919015</v>
      </c>
      <c r="AA57" s="71" t="n">
        <f aca="false">Z57*(1-Assumptions!$G$68)+AA56</f>
        <v>183.648314189983</v>
      </c>
      <c r="AB57" s="71" t="n">
        <f aca="false">AA57*(1-Assumptions!$G$68)+AB56</f>
        <v>203.47803519491</v>
      </c>
      <c r="AC57" s="71" t="n">
        <f aca="false">AB57*(1-Assumptions!$G$68)+AC56</f>
        <v>224.250965233324</v>
      </c>
      <c r="AD57" s="71" t="n">
        <f aca="false">AC57*(1-Assumptions!$G$68)+AD56</f>
        <v>246.110873850649</v>
      </c>
      <c r="AE57" s="71" t="n">
        <f aca="false">AD57*(1-Assumptions!$G$68)+AE56</f>
        <v>269.20977873764</v>
      </c>
      <c r="AF57" s="71" t="n">
        <f aca="false">AE57*(1-Assumptions!$G$68)+AF56</f>
        <v>293.707471368828</v>
      </c>
      <c r="AG57" s="71" t="n">
        <f aca="false">AF57*(1-Assumptions!$G$68)+AG56</f>
        <v>319.772205818381</v>
      </c>
      <c r="AH57" s="71" t="n">
        <f aca="false">AG57*(1-Assumptions!$G$68)+AH56</f>
        <v>347.581895391555</v>
      </c>
      <c r="AI57" s="71" t="n">
        <f aca="false">AH57*(1-Assumptions!$G$68)+AI56</f>
        <v>377.325433403532</v>
      </c>
      <c r="AJ57" s="71" t="n">
        <f aca="false">AI57*(1-Assumptions!$G$68)+AJ56</f>
        <v>409.204092274963</v>
      </c>
      <c r="AK57" s="71" t="n">
        <f aca="false">AJ57*(1-Assumptions!$G$68)+AK56</f>
        <v>443.433003537594</v>
      </c>
      <c r="AL57" s="71" t="n">
        <f aca="false">AK57*(1-Assumptions!$G$68)+AL56</f>
        <v>480.242729018601</v>
      </c>
      <c r="AM57" s="71" t="n">
        <f aca="false">AL57</f>
        <v>480.242729018601</v>
      </c>
    </row>
    <row r="58" customFormat="false" ht="15" hidden="false" customHeight="false" outlineLevel="0" collapsed="false">
      <c r="A58" s="10" t="s">
        <v>793</v>
      </c>
      <c r="B58" s="9" t="s">
        <v>51</v>
      </c>
      <c r="C58" s="61" t="n">
        <f aca="false">0</f>
        <v>0</v>
      </c>
      <c r="D58" s="61" t="n">
        <f aca="false">C57*Assumptions!$G$68</f>
        <v>0</v>
      </c>
      <c r="E58" s="61" t="n">
        <f aca="false">D57*Assumptions!$G$68</f>
        <v>0</v>
      </c>
      <c r="F58" s="61" t="n">
        <f aca="false">E57*Assumptions!$G$68</f>
        <v>0</v>
      </c>
      <c r="G58" s="61" t="n">
        <f aca="false">F57*Assumptions!$G$68</f>
        <v>0</v>
      </c>
      <c r="H58" s="61" t="n">
        <f aca="false">G57*Assumptions!$G$68</f>
        <v>0</v>
      </c>
      <c r="I58" s="61" t="n">
        <f aca="false">H57*Assumptions!$G$68</f>
        <v>0</v>
      </c>
      <c r="J58" s="61" t="n">
        <f aca="false">I57*Assumptions!$G$68</f>
        <v>0.728743755892285</v>
      </c>
      <c r="K58" s="61" t="n">
        <f aca="false">J57*Assumptions!$G$68</f>
        <v>1.45023314029432</v>
      </c>
      <c r="L58" s="61" t="n">
        <f aca="false">K57*Assumptions!$G$68</f>
        <v>2.17029832414204</v>
      </c>
      <c r="M58" s="61" t="n">
        <f aca="false">L57*Assumptions!$G$68</f>
        <v>2.89472273434709</v>
      </c>
      <c r="N58" s="61" t="n">
        <f aca="false">M57*Assumptions!$G$68</f>
        <v>3.62931429679497</v>
      </c>
      <c r="O58" s="61" t="n">
        <f aca="false">N57*Assumptions!$G$68</f>
        <v>4.37997599064903</v>
      </c>
      <c r="P58" s="61" t="n">
        <f aca="false">O57*Assumptions!$G$68</f>
        <v>5.15277646142375</v>
      </c>
      <c r="Q58" s="61" t="n">
        <f aca="false">P57*Assumptions!$G$68</f>
        <v>5.95402149007813</v>
      </c>
      <c r="R58" s="61" t="n">
        <f aca="false">Q57*Assumptions!$G$68</f>
        <v>6.79032711332805</v>
      </c>
      <c r="S58" s="61" t="n">
        <f aca="false">R57*Assumptions!$G$68</f>
        <v>7.66869519215324</v>
      </c>
      <c r="T58" s="61" t="n">
        <f aca="false">S57*Assumptions!$G$68</f>
        <v>8.59659223515924</v>
      </c>
      <c r="U58" s="61" t="n">
        <f aca="false">T57*Assumptions!$G$68</f>
        <v>9.58203230116334</v>
      </c>
      <c r="V58" s="61" t="n">
        <f aca="false">U57*Assumptions!$G$68</f>
        <v>10.6601660392814</v>
      </c>
      <c r="W58" s="61" t="n">
        <f aca="false">V57*Assumptions!$G$68</f>
        <v>11.8584198832797</v>
      </c>
      <c r="X58" s="61" t="n">
        <f aca="false">W57*Assumptions!$G$68</f>
        <v>13.1926820670522</v>
      </c>
      <c r="Y58" s="61" t="n">
        <f aca="false">X57*Assumptions!$G$68</f>
        <v>14.6775395559095</v>
      </c>
      <c r="Z58" s="61" t="n">
        <f aca="false">Y57*Assumptions!$G$68</f>
        <v>16.3287207017453</v>
      </c>
      <c r="AA58" s="61" t="n">
        <f aca="false">Z57*Assumptions!$G$68</f>
        <v>18.1635813610917</v>
      </c>
      <c r="AB58" s="61" t="n">
        <f aca="false">AA57*Assumptions!$G$68</f>
        <v>20.2013145608982</v>
      </c>
      <c r="AC58" s="61" t="n">
        <f aca="false">AB57*Assumptions!$G$68</f>
        <v>22.3825838714401</v>
      </c>
      <c r="AD58" s="61" t="n">
        <f aca="false">AC57*Assumptions!$G$68</f>
        <v>24.6676061756656</v>
      </c>
      <c r="AE58" s="61" t="n">
        <f aca="false">AD57*Assumptions!$G$68</f>
        <v>27.0721961235713</v>
      </c>
      <c r="AF58" s="61" t="n">
        <f aca="false">AE57*Assumptions!$G$68</f>
        <v>29.6130756611404</v>
      </c>
      <c r="AG58" s="61" t="n">
        <f aca="false">AF57*Assumptions!$G$68</f>
        <v>32.3078218505711</v>
      </c>
      <c r="AH58" s="61" t="n">
        <f aca="false">AG57*Assumptions!$G$68</f>
        <v>35.1749426400219</v>
      </c>
      <c r="AI58" s="61" t="n">
        <f aca="false">AH57*Assumptions!$G$68</f>
        <v>38.234008493071</v>
      </c>
      <c r="AJ58" s="61" t="n">
        <f aca="false">AI57*Assumptions!$G$68</f>
        <v>41.5057976743886</v>
      </c>
      <c r="AK58" s="61" t="n">
        <f aca="false">AJ57*Assumptions!$G$68</f>
        <v>45.0124501502459</v>
      </c>
      <c r="AL58" s="61" t="n">
        <f aca="false">AK57*Assumptions!$G$68</f>
        <v>48.7776303891354</v>
      </c>
      <c r="AM58" s="61" t="n">
        <f aca="false">SUM(C58:AL58)</f>
        <v>508.828270233935</v>
      </c>
    </row>
    <row r="59" customFormat="false" ht="15" hidden="false" customHeight="false" outlineLevel="0" collapsed="false">
      <c r="A59" s="10" t="s">
        <v>794</v>
      </c>
      <c r="B59" s="9" t="s">
        <v>97</v>
      </c>
      <c r="C59" s="70" t="n">
        <f aca="false">C57*Assumptions!$G$70</f>
        <v>0</v>
      </c>
      <c r="D59" s="70" t="n">
        <f aca="false">D57*Assumptions!$G$70</f>
        <v>0</v>
      </c>
      <c r="E59" s="70" t="n">
        <f aca="false">E57*Assumptions!$G$70</f>
        <v>0</v>
      </c>
      <c r="F59" s="70" t="n">
        <f aca="false">F57*Assumptions!$G$70</f>
        <v>0</v>
      </c>
      <c r="G59" s="70" t="n">
        <f aca="false">G57*Assumptions!$G$70</f>
        <v>0</v>
      </c>
      <c r="H59" s="70" t="n">
        <f aca="false">H57*Assumptions!$G$70</f>
        <v>0</v>
      </c>
      <c r="I59" s="70" t="n">
        <f aca="false">I57*Assumptions!$G$70</f>
        <v>1649.61086561072</v>
      </c>
      <c r="J59" s="70" t="n">
        <f aca="false">J57*Assumptions!$G$70</f>
        <v>3282.80047212079</v>
      </c>
      <c r="K59" s="70" t="n">
        <f aca="false">K57*Assumptions!$G$70</f>
        <v>4912.76620646699</v>
      </c>
      <c r="L59" s="70" t="n">
        <f aca="false">L57*Assumptions!$G$70</f>
        <v>6552.59964411295</v>
      </c>
      <c r="M59" s="70" t="n">
        <f aca="false">M57*Assumptions!$G$70</f>
        <v>8215.44781729044</v>
      </c>
      <c r="N59" s="70" t="n">
        <f aca="false">N57*Assumptions!$G$70</f>
        <v>9914.67292428735</v>
      </c>
      <c r="O59" s="70" t="n">
        <f aca="false">O57*Assumptions!$G$70</f>
        <v>11664.0121717683</v>
      </c>
      <c r="P59" s="70" t="n">
        <f aca="false">P57*Assumptions!$G$70</f>
        <v>13477.7395548132</v>
      </c>
      <c r="Q59" s="70" t="n">
        <f aca="false">Q57*Assumptions!$G$70</f>
        <v>15370.8313747153</v>
      </c>
      <c r="R59" s="70" t="n">
        <f aca="false">R57*Assumptions!$G$70</f>
        <v>17359.1372986014</v>
      </c>
      <c r="S59" s="70" t="n">
        <f aca="false">S57*Assumptions!$G$70</f>
        <v>19459.5587868605</v>
      </c>
      <c r="T59" s="70" t="n">
        <f aca="false">T57*Assumptions!$G$70</f>
        <v>21690.2367544516</v>
      </c>
      <c r="U59" s="70" t="n">
        <f aca="false">U57*Assumptions!$G$70</f>
        <v>24130.7394889189</v>
      </c>
      <c r="V59" s="70" t="n">
        <f aca="false">V57*Assumptions!$G$70</f>
        <v>26843.1504630604</v>
      </c>
      <c r="W59" s="70" t="n">
        <f aca="false">W57*Assumptions!$G$70</f>
        <v>29863.4348608727</v>
      </c>
      <c r="X59" s="70" t="n">
        <f aca="false">X57*Assumptions!$G$70</f>
        <v>33224.612267468</v>
      </c>
      <c r="Y59" s="70" t="n">
        <f aca="false">Y57*Assumptions!$G$70</f>
        <v>36962.2859521325</v>
      </c>
      <c r="Z59" s="70" t="n">
        <f aca="false">Z57*Assumptions!$G$70</f>
        <v>41115.7432628348</v>
      </c>
      <c r="AA59" s="70" t="n">
        <f aca="false">AA57*Assumptions!$G$70</f>
        <v>45728.4302333058</v>
      </c>
      <c r="AB59" s="70" t="n">
        <f aca="false">AB57*Assumptions!$G$70</f>
        <v>50666.0307635326</v>
      </c>
      <c r="AC59" s="70" t="n">
        <f aca="false">AC57*Assumptions!$G$70</f>
        <v>55838.4903430976</v>
      </c>
      <c r="AD59" s="70" t="n">
        <f aca="false">AD57*Assumptions!$G$70</f>
        <v>61281.6075888115</v>
      </c>
      <c r="AE59" s="70" t="n">
        <f aca="false">AE57*Assumptions!$G$70</f>
        <v>67033.2349056723</v>
      </c>
      <c r="AF59" s="70" t="n">
        <f aca="false">AF57*Assumptions!$G$70</f>
        <v>73133.1603708382</v>
      </c>
      <c r="AG59" s="70" t="n">
        <f aca="false">AG57*Assumptions!$G$70</f>
        <v>79623.279248777</v>
      </c>
      <c r="AH59" s="70" t="n">
        <f aca="false">AH57*Assumptions!$G$70</f>
        <v>86547.8919524971</v>
      </c>
      <c r="AI59" s="70" t="n">
        <f aca="false">AI57*Assumptions!$G$70</f>
        <v>93954.0329174796</v>
      </c>
      <c r="AJ59" s="70" t="n">
        <f aca="false">AJ57*Assumptions!$G$70</f>
        <v>101891.818976466</v>
      </c>
      <c r="AK59" s="70" t="n">
        <f aca="false">AK57*Assumptions!$G$70</f>
        <v>110414.817880861</v>
      </c>
      <c r="AL59" s="70" t="n">
        <f aca="false">AL57*Assumptions!$G$70</f>
        <v>119580.439525632</v>
      </c>
      <c r="AM59" s="70" t="n">
        <f aca="false">SUM(C59:AL59)</f>
        <v>1271382.61487336</v>
      </c>
    </row>
    <row r="60" customFormat="false" ht="15" hidden="false" customHeight="false" outlineLevel="0" collapsed="false">
      <c r="A60" s="10" t="s">
        <v>795</v>
      </c>
      <c r="B60" s="9" t="s">
        <v>97</v>
      </c>
      <c r="C60" s="70" t="n">
        <f aca="false">C53*Assumptions!$G$71</f>
        <v>0</v>
      </c>
      <c r="D60" s="70" t="n">
        <f aca="false">D53*Assumptions!$G$71</f>
        <v>0</v>
      </c>
      <c r="E60" s="70" t="n">
        <f aca="false">E53*Assumptions!$G$71</f>
        <v>0</v>
      </c>
      <c r="F60" s="70" t="n">
        <f aca="false">F53*Assumptions!$G$71</f>
        <v>0</v>
      </c>
      <c r="G60" s="70" t="n">
        <f aca="false">G53*Assumptions!$G$71</f>
        <v>0</v>
      </c>
      <c r="H60" s="70" t="n">
        <f aca="false">H53*Assumptions!$G$71</f>
        <v>0</v>
      </c>
      <c r="I60" s="70" t="n">
        <f aca="false">I53*Assumptions!$G$71</f>
        <v>1150.85459399969</v>
      </c>
      <c r="J60" s="70" t="n">
        <f aca="false">J53*Assumptions!$G$71</f>
        <v>1265.99227235418</v>
      </c>
      <c r="K60" s="70" t="n">
        <f aca="false">K53*Assumptions!$G$71</f>
        <v>1389.07694032664</v>
      </c>
      <c r="L60" s="70" t="n">
        <f aca="false">L53*Assumptions!$G$71</f>
        <v>1521.04756872811</v>
      </c>
      <c r="M60" s="70" t="n">
        <f aca="false">M53*Assumptions!$G$71</f>
        <v>1662.94751735114</v>
      </c>
      <c r="N60" s="70" t="n">
        <f aca="false">N53*Assumptions!$G$71</f>
        <v>1815.93582336782</v>
      </c>
      <c r="O60" s="70" t="n">
        <f aca="false">O53*Assumptions!$G$71</f>
        <v>1981.29955050863</v>
      </c>
      <c r="P60" s="70" t="n">
        <f aca="false">P53*Assumptions!$G$71</f>
        <v>2160.46740749318</v>
      </c>
      <c r="Q60" s="70" t="n">
        <f aca="false">Q53*Assumptions!$G$71</f>
        <v>2355.02477096742</v>
      </c>
      <c r="R60" s="70" t="n">
        <f aca="false">R53*Assumptions!$G$71</f>
        <v>2566.73025389175</v>
      </c>
      <c r="S60" s="70" t="n">
        <f aca="false">S53*Assumptions!$G$71</f>
        <v>2797.53397312064</v>
      </c>
      <c r="T60" s="70" t="n">
        <f aca="false">T53*Assumptions!$G$71</f>
        <v>3049.59768427015</v>
      </c>
      <c r="U60" s="70" t="n">
        <f aca="false">U53*Assumptions!$G$71</f>
        <v>3367.16849224458</v>
      </c>
      <c r="V60" s="70" t="n">
        <f aca="false">V53*Assumptions!$G$71</f>
        <v>3744.15428685777</v>
      </c>
      <c r="W60" s="70" t="n">
        <f aca="false">W53*Assumptions!$G$71</f>
        <v>4167.09798096848</v>
      </c>
      <c r="X60" s="70" t="n">
        <f aca="false">X53*Assumptions!$G$71</f>
        <v>4636.70460187193</v>
      </c>
      <c r="Y60" s="70" t="n">
        <f aca="false">Y53*Assumptions!$G$71</f>
        <v>5157.31064278876</v>
      </c>
      <c r="Z60" s="70" t="n">
        <f aca="false">Z53*Assumptions!$G$71</f>
        <v>5734.21856596643</v>
      </c>
      <c r="AA60" s="70" t="n">
        <f aca="false">AA53*Assumptions!$G$71</f>
        <v>6373.34466691259</v>
      </c>
      <c r="AB60" s="70" t="n">
        <f aca="false">AB53*Assumptions!$G$71</f>
        <v>6954.00693207927</v>
      </c>
      <c r="AC60" s="70" t="n">
        <f aca="false">AC53*Assumptions!$G$71</f>
        <v>7496.77690433689</v>
      </c>
      <c r="AD60" s="70" t="n">
        <f aca="false">AD53*Assumptions!$G$71</f>
        <v>8082.54535086517</v>
      </c>
      <c r="AE60" s="70" t="n">
        <f aca="false">AE53*Assumptions!$G$71</f>
        <v>8715.49234952471</v>
      </c>
      <c r="AF60" s="70" t="n">
        <f aca="false">AF53*Assumptions!$G$71</f>
        <v>9399.87318554987</v>
      </c>
      <c r="AG60" s="70" t="n">
        <f aca="false">AG53*Assumptions!$G$71</f>
        <v>10140.2113489363</v>
      </c>
      <c r="AH60" s="70" t="n">
        <f aca="false">AH53*Assumptions!$G$71</f>
        <v>10941.3999121958</v>
      </c>
      <c r="AI60" s="70" t="n">
        <f aca="false">AI53*Assumptions!$G$71</f>
        <v>11808.7459627303</v>
      </c>
      <c r="AJ60" s="70" t="n">
        <f aca="false">AJ53*Assumptions!$G$71</f>
        <v>12748.0094460049</v>
      </c>
      <c r="AK60" s="70" t="n">
        <f aca="false">AK53*Assumptions!$G$71</f>
        <v>13765.4439557637</v>
      </c>
      <c r="AL60" s="70" t="n">
        <f aca="false">AL53*Assumptions!$G$71</f>
        <v>14867.8408541449</v>
      </c>
      <c r="AM60" s="70" t="n">
        <f aca="false">SUM(C60:AL60)</f>
        <v>171816.853796122</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2800.46545961041</v>
      </c>
      <c r="J61" s="70" t="n">
        <f aca="false">J59+J60</f>
        <v>4548.79274447497</v>
      </c>
      <c r="K61" s="70" t="n">
        <f aca="false">K59+K60</f>
        <v>6301.84314679362</v>
      </c>
      <c r="L61" s="70" t="n">
        <f aca="false">L59+L60</f>
        <v>8073.64721284106</v>
      </c>
      <c r="M61" s="70" t="n">
        <f aca="false">M59+M60</f>
        <v>9878.39533464158</v>
      </c>
      <c r="N61" s="70" t="n">
        <f aca="false">N59+N60</f>
        <v>11730.6087476552</v>
      </c>
      <c r="O61" s="70" t="n">
        <f aca="false">O59+O60</f>
        <v>13645.3117222769</v>
      </c>
      <c r="P61" s="70" t="n">
        <f aca="false">P59+P60</f>
        <v>15638.2069623064</v>
      </c>
      <c r="Q61" s="70" t="n">
        <f aca="false">Q59+Q60</f>
        <v>17725.8561456827</v>
      </c>
      <c r="R61" s="70" t="n">
        <f aca="false">R59+R60</f>
        <v>19925.8675524932</v>
      </c>
      <c r="S61" s="70" t="n">
        <f aca="false">S59+S60</f>
        <v>22257.0927599811</v>
      </c>
      <c r="T61" s="70" t="n">
        <f aca="false">T59+T60</f>
        <v>24739.8344387217</v>
      </c>
      <c r="U61" s="70" t="n">
        <f aca="false">U59+U60</f>
        <v>27497.9079811635</v>
      </c>
      <c r="V61" s="70" t="n">
        <f aca="false">V59+V60</f>
        <v>30587.3047499182</v>
      </c>
      <c r="W61" s="70" t="n">
        <f aca="false">W59+W60</f>
        <v>34030.5328418412</v>
      </c>
      <c r="X61" s="70" t="n">
        <f aca="false">X59+X60</f>
        <v>37861.3168693399</v>
      </c>
      <c r="Y61" s="70" t="n">
        <f aca="false">Y59+Y60</f>
        <v>42119.5965949213</v>
      </c>
      <c r="Z61" s="70" t="n">
        <f aca="false">Z59+Z60</f>
        <v>46849.9618288012</v>
      </c>
      <c r="AA61" s="70" t="n">
        <f aca="false">AA59+AA60</f>
        <v>52101.7749002184</v>
      </c>
      <c r="AB61" s="70" t="n">
        <f aca="false">AB59+AB60</f>
        <v>57620.0376956119</v>
      </c>
      <c r="AC61" s="70" t="n">
        <f aca="false">AC59+AC60</f>
        <v>63335.2672474345</v>
      </c>
      <c r="AD61" s="70" t="n">
        <f aca="false">AD59+AD60</f>
        <v>69364.1529396767</v>
      </c>
      <c r="AE61" s="70" t="n">
        <f aca="false">AE59+AE60</f>
        <v>75748.727255197</v>
      </c>
      <c r="AF61" s="70" t="n">
        <f aca="false">AF59+AF60</f>
        <v>82533.0335563881</v>
      </c>
      <c r="AG61" s="70" t="n">
        <f aca="false">AG59+AG60</f>
        <v>89763.4905977132</v>
      </c>
      <c r="AH61" s="70" t="n">
        <f aca="false">AH59+AH60</f>
        <v>97489.2918646929</v>
      </c>
      <c r="AI61" s="70" t="n">
        <f aca="false">AI59+AI60</f>
        <v>105762.77888021</v>
      </c>
      <c r="AJ61" s="70" t="n">
        <f aca="false">AJ59+AJ60</f>
        <v>114639.828422471</v>
      </c>
      <c r="AK61" s="70" t="n">
        <f aca="false">AK59+AK60</f>
        <v>124180.261836625</v>
      </c>
      <c r="AL61" s="70" t="n">
        <f aca="false">AL59+AL60</f>
        <v>134448.280379776</v>
      </c>
      <c r="AM61" s="70" t="n">
        <f aca="false">SUM(C61:AL61)</f>
        <v>1443199.46866948</v>
      </c>
    </row>
    <row r="62" customFormat="false" ht="15" hidden="false" customHeight="false" outlineLevel="0" collapsed="false">
      <c r="A62" s="10" t="s">
        <v>797</v>
      </c>
      <c r="B62" s="9" t="s">
        <v>97</v>
      </c>
      <c r="C62" s="70" t="n">
        <f aca="false">-C61*Assumptions!$G$80</f>
        <v>-0</v>
      </c>
      <c r="D62" s="70" t="n">
        <f aca="false">-D61*Assumptions!$G$80</f>
        <v>-0</v>
      </c>
      <c r="E62" s="70" t="n">
        <f aca="false">-E61*Assumptions!$G$80</f>
        <v>-0</v>
      </c>
      <c r="F62" s="70" t="n">
        <f aca="false">-F61*Assumptions!$G$80</f>
        <v>-0</v>
      </c>
      <c r="G62" s="70" t="n">
        <f aca="false">-G61*Assumptions!$G$80</f>
        <v>-0</v>
      </c>
      <c r="H62" s="70" t="n">
        <f aca="false">-H61*Assumptions!$G$80</f>
        <v>-0</v>
      </c>
      <c r="I62" s="70" t="n">
        <f aca="false">-I61*Assumptions!$G$80</f>
        <v>-84.0139637883123</v>
      </c>
      <c r="J62" s="70" t="n">
        <f aca="false">-J61*Assumptions!$G$80</f>
        <v>-136.463782334249</v>
      </c>
      <c r="K62" s="70" t="n">
        <f aca="false">-K61*Assumptions!$G$80</f>
        <v>-189.055294403809</v>
      </c>
      <c r="L62" s="70" t="n">
        <f aca="false">-L61*Assumptions!$G$80</f>
        <v>-242.209416385232</v>
      </c>
      <c r="M62" s="70" t="n">
        <f aca="false">-M61*Assumptions!$G$80</f>
        <v>-296.351860039247</v>
      </c>
      <c r="N62" s="70" t="n">
        <f aca="false">-N61*Assumptions!$G$80</f>
        <v>-351.918262429655</v>
      </c>
      <c r="O62" s="70" t="n">
        <f aca="false">-O61*Assumptions!$G$80</f>
        <v>-409.359351668308</v>
      </c>
      <c r="P62" s="70" t="n">
        <f aca="false">-P61*Assumptions!$G$80</f>
        <v>-469.146208869192</v>
      </c>
      <c r="Q62" s="70" t="n">
        <f aca="false">-Q61*Assumptions!$G$80</f>
        <v>-531.775684370482</v>
      </c>
      <c r="R62" s="70" t="n">
        <f aca="false">-R61*Assumptions!$G$80</f>
        <v>-597.776026574795</v>
      </c>
      <c r="S62" s="70" t="n">
        <f aca="false">-S61*Assumptions!$G$80</f>
        <v>-667.712782799433</v>
      </c>
      <c r="T62" s="70" t="n">
        <f aca="false">-T61*Assumptions!$G$80</f>
        <v>-742.195033161651</v>
      </c>
      <c r="U62" s="70" t="n">
        <f aca="false">-U61*Assumptions!$G$80</f>
        <v>-824.937239434904</v>
      </c>
      <c r="V62" s="70" t="n">
        <f aca="false">-V61*Assumptions!$G$80</f>
        <v>-917.619142497546</v>
      </c>
      <c r="W62" s="70" t="n">
        <f aca="false">-W61*Assumptions!$G$80</f>
        <v>-1020.91598525524</v>
      </c>
      <c r="X62" s="70" t="n">
        <f aca="false">-X61*Assumptions!$G$80</f>
        <v>-1135.8395060802</v>
      </c>
      <c r="Y62" s="70" t="n">
        <f aca="false">-Y61*Assumptions!$G$80</f>
        <v>-1263.58789784764</v>
      </c>
      <c r="Z62" s="70" t="n">
        <f aca="false">-Z61*Assumptions!$G$80</f>
        <v>-1405.49885486404</v>
      </c>
      <c r="AA62" s="70" t="n">
        <f aca="false">-AA61*Assumptions!$G$80</f>
        <v>-1563.05324700655</v>
      </c>
      <c r="AB62" s="70" t="n">
        <f aca="false">-AB61*Assumptions!$G$80</f>
        <v>-1728.60113086836</v>
      </c>
      <c r="AC62" s="70" t="n">
        <f aca="false">-AC61*Assumptions!$G$80</f>
        <v>-1900.05801742303</v>
      </c>
      <c r="AD62" s="70" t="n">
        <f aca="false">-AD61*Assumptions!$G$80</f>
        <v>-2080.9245881903</v>
      </c>
      <c r="AE62" s="70" t="n">
        <f aca="false">-AE61*Assumptions!$G$80</f>
        <v>-2272.46181765591</v>
      </c>
      <c r="AF62" s="70" t="n">
        <f aca="false">-AF61*Assumptions!$G$80</f>
        <v>-2475.99100669164</v>
      </c>
      <c r="AG62" s="70" t="n">
        <f aca="false">-AG61*Assumptions!$G$80</f>
        <v>-2692.9047179314</v>
      </c>
      <c r="AH62" s="70" t="n">
        <f aca="false">-AH61*Assumptions!$G$80</f>
        <v>-2924.67875594079</v>
      </c>
      <c r="AI62" s="70" t="n">
        <f aca="false">-AI61*Assumptions!$G$80</f>
        <v>-3172.8833664063</v>
      </c>
      <c r="AJ62" s="70" t="n">
        <f aca="false">-AJ61*Assumptions!$G$80</f>
        <v>-3439.19485267412</v>
      </c>
      <c r="AK62" s="70" t="n">
        <f aca="false">-AK61*Assumptions!$G$80</f>
        <v>-3725.40785509874</v>
      </c>
      <c r="AL62" s="70" t="n">
        <f aca="false">-AL61*Assumptions!$G$80</f>
        <v>-4033.44841139329</v>
      </c>
      <c r="AM62" s="70" t="n">
        <f aca="false">SUM(C62:AL62)</f>
        <v>-43295.9840600844</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2716.4514958221</v>
      </c>
      <c r="J63" s="53" t="n">
        <f aca="false">J61+J62</f>
        <v>4412.32896214072</v>
      </c>
      <c r="K63" s="53" t="n">
        <f aca="false">K61+K62</f>
        <v>6112.78785238981</v>
      </c>
      <c r="L63" s="53" t="n">
        <f aca="false">L61+L62</f>
        <v>7831.43779645583</v>
      </c>
      <c r="M63" s="53" t="n">
        <f aca="false">M61+M62</f>
        <v>9582.04347460233</v>
      </c>
      <c r="N63" s="53" t="n">
        <f aca="false">N61+N62</f>
        <v>11378.6904852255</v>
      </c>
      <c r="O63" s="53" t="n">
        <f aca="false">O61+O62</f>
        <v>13235.9523706086</v>
      </c>
      <c r="P63" s="53" t="n">
        <f aca="false">P61+P62</f>
        <v>15169.0607534372</v>
      </c>
      <c r="Q63" s="53" t="n">
        <f aca="false">Q61+Q62</f>
        <v>17194.0804613123</v>
      </c>
      <c r="R63" s="53" t="n">
        <f aca="false">R61+R62</f>
        <v>19328.0915259184</v>
      </c>
      <c r="S63" s="53" t="n">
        <f aca="false">S61+S62</f>
        <v>21589.3799771817</v>
      </c>
      <c r="T63" s="53" t="n">
        <f aca="false">T61+T62</f>
        <v>23997.6394055601</v>
      </c>
      <c r="U63" s="53" t="n">
        <f aca="false">U61+U62</f>
        <v>26672.9707417286</v>
      </c>
      <c r="V63" s="53" t="n">
        <f aca="false">V61+V62</f>
        <v>29669.6856074207</v>
      </c>
      <c r="W63" s="53" t="n">
        <f aca="false">W61+W62</f>
        <v>33009.616856586</v>
      </c>
      <c r="X63" s="53" t="n">
        <f aca="false">X61+X62</f>
        <v>36725.4773632597</v>
      </c>
      <c r="Y63" s="53" t="n">
        <f aca="false">Y61+Y62</f>
        <v>40856.0086970737</v>
      </c>
      <c r="Z63" s="53" t="n">
        <f aca="false">Z61+Z62</f>
        <v>45444.4629739372</v>
      </c>
      <c r="AA63" s="53" t="n">
        <f aca="false">AA61+AA62</f>
        <v>50538.7216532119</v>
      </c>
      <c r="AB63" s="53" t="n">
        <f aca="false">AB61+AB62</f>
        <v>55891.4365647435</v>
      </c>
      <c r="AC63" s="53" t="n">
        <f aca="false">AC61+AC62</f>
        <v>61435.2092300114</v>
      </c>
      <c r="AD63" s="53" t="n">
        <f aca="false">AD61+AD62</f>
        <v>67283.2283514864</v>
      </c>
      <c r="AE63" s="53" t="n">
        <f aca="false">AE61+AE62</f>
        <v>73476.2654375411</v>
      </c>
      <c r="AF63" s="53" t="n">
        <f aca="false">AF61+AF62</f>
        <v>80057.0425496965</v>
      </c>
      <c r="AG63" s="53" t="n">
        <f aca="false">AG61+AG62</f>
        <v>87070.5858797819</v>
      </c>
      <c r="AH63" s="53" t="n">
        <f aca="false">AH61+AH62</f>
        <v>94564.6131087521</v>
      </c>
      <c r="AI63" s="53" t="n">
        <f aca="false">AI61+AI62</f>
        <v>102589.895513804</v>
      </c>
      <c r="AJ63" s="53" t="n">
        <f aca="false">AJ61+AJ62</f>
        <v>111200.633569797</v>
      </c>
      <c r="AK63" s="53" t="n">
        <f aca="false">AK61+AK62</f>
        <v>120454.853981526</v>
      </c>
      <c r="AL63" s="53" t="n">
        <f aca="false">AL61+AL62</f>
        <v>130414.831968383</v>
      </c>
      <c r="AM63" s="53" t="n">
        <f aca="false">SUM(C63:AL63)</f>
        <v>1399903.48460939</v>
      </c>
    </row>
    <row r="64" customFormat="false" ht="15" hidden="false" customHeight="false" outlineLevel="0" collapsed="false">
      <c r="A64" s="10" t="s">
        <v>799</v>
      </c>
      <c r="B64" s="9" t="s">
        <v>97</v>
      </c>
      <c r="C64" s="70" t="n">
        <f aca="false">-C57*Assumptions!$G$73</f>
        <v>-0</v>
      </c>
      <c r="D64" s="70" t="n">
        <f aca="false">-D57*Assumptions!$G$73</f>
        <v>-0</v>
      </c>
      <c r="E64" s="70" t="n">
        <f aca="false">-E57*Assumptions!$G$73</f>
        <v>-0</v>
      </c>
      <c r="F64" s="70" t="n">
        <f aca="false">-F57*Assumptions!$G$73</f>
        <v>-0</v>
      </c>
      <c r="G64" s="70" t="n">
        <f aca="false">-G57*Assumptions!$G$73</f>
        <v>-0</v>
      </c>
      <c r="H64" s="70" t="n">
        <f aca="false">-H57*Assumptions!$G$73</f>
        <v>-0</v>
      </c>
      <c r="I64" s="70" t="n">
        <f aca="false">-I57*Assumptions!$G$73</f>
        <v>-582.995004713828</v>
      </c>
      <c r="J64" s="70" t="n">
        <f aca="false">-J57*Assumptions!$G$73</f>
        <v>-1160.18651223546</v>
      </c>
      <c r="K64" s="70" t="n">
        <f aca="false">-K57*Assumptions!$G$73</f>
        <v>-1736.23865931363</v>
      </c>
      <c r="L64" s="70" t="n">
        <f aca="false">-L57*Assumptions!$G$73</f>
        <v>-2315.77818747767</v>
      </c>
      <c r="M64" s="70" t="n">
        <f aca="false">-M57*Assumptions!$G$73</f>
        <v>-2903.45143743598</v>
      </c>
      <c r="N64" s="70" t="n">
        <f aca="false">-N57*Assumptions!$G$73</f>
        <v>-3503.98079251922</v>
      </c>
      <c r="O64" s="70" t="n">
        <f aca="false">-O57*Assumptions!$G$73</f>
        <v>-4122.221169139</v>
      </c>
      <c r="P64" s="70" t="n">
        <f aca="false">-P57*Assumptions!$G$73</f>
        <v>-4763.21719206251</v>
      </c>
      <c r="Q64" s="70" t="n">
        <f aca="false">-Q57*Assumptions!$G$73</f>
        <v>-5432.26169066244</v>
      </c>
      <c r="R64" s="70" t="n">
        <f aca="false">-R57*Assumptions!$G$73</f>
        <v>-6134.95615372259</v>
      </c>
      <c r="S64" s="70" t="n">
        <f aca="false">-S57*Assumptions!$G$73</f>
        <v>-6877.27378812739</v>
      </c>
      <c r="T64" s="70" t="n">
        <f aca="false">-T57*Assumptions!$G$73</f>
        <v>-7665.62584093067</v>
      </c>
      <c r="U64" s="70" t="n">
        <f aca="false">-U57*Assumptions!$G$73</f>
        <v>-8528.13283142515</v>
      </c>
      <c r="V64" s="70" t="n">
        <f aca="false">-V57*Assumptions!$G$73</f>
        <v>-9486.73590662377</v>
      </c>
      <c r="W64" s="70" t="n">
        <f aca="false">-W57*Assumptions!$G$73</f>
        <v>-10554.1456536418</v>
      </c>
      <c r="X64" s="70" t="n">
        <f aca="false">-X57*Assumptions!$G$73</f>
        <v>-11742.0316447276</v>
      </c>
      <c r="Y64" s="70" t="n">
        <f aca="false">-Y57*Assumptions!$G$73</f>
        <v>-13062.9765613962</v>
      </c>
      <c r="Z64" s="70" t="n">
        <f aca="false">-Z57*Assumptions!$G$73</f>
        <v>-14530.8650888733</v>
      </c>
      <c r="AA64" s="70" t="n">
        <f aca="false">-AA57*Assumptions!$G$73</f>
        <v>-16161.0516487185</v>
      </c>
      <c r="AB64" s="70" t="n">
        <f aca="false">-AB57*Assumptions!$G$73</f>
        <v>-17906.0670971521</v>
      </c>
      <c r="AC64" s="70" t="n">
        <f aca="false">-AC57*Assumptions!$G$73</f>
        <v>-19734.0849405325</v>
      </c>
      <c r="AD64" s="70" t="n">
        <f aca="false">-AD57*Assumptions!$G$73</f>
        <v>-21657.7568988571</v>
      </c>
      <c r="AE64" s="70" t="n">
        <f aca="false">-AE57*Assumptions!$G$73</f>
        <v>-23690.4605289123</v>
      </c>
      <c r="AF64" s="70" t="n">
        <f aca="false">-AF57*Assumptions!$G$73</f>
        <v>-25846.2574804569</v>
      </c>
      <c r="AG64" s="70" t="n">
        <f aca="false">-AG57*Assumptions!$G$73</f>
        <v>-28139.9541120176</v>
      </c>
      <c r="AH64" s="70" t="n">
        <f aca="false">-AH57*Assumptions!$G$73</f>
        <v>-30587.2067944568</v>
      </c>
      <c r="AI64" s="70" t="n">
        <f aca="false">-AI57*Assumptions!$G$73</f>
        <v>-33204.6381395109</v>
      </c>
      <c r="AJ64" s="70" t="n">
        <f aca="false">-AJ57*Assumptions!$G$73</f>
        <v>-36009.9601201967</v>
      </c>
      <c r="AK64" s="70" t="n">
        <f aca="false">-AK57*Assumptions!$G$73</f>
        <v>-39022.1043113083</v>
      </c>
      <c r="AL64" s="70" t="n">
        <f aca="false">-AL57*Assumptions!$G$73</f>
        <v>-42261.3601536369</v>
      </c>
      <c r="AM64" s="70" t="n">
        <f aca="false">SUM(C64:AL64)</f>
        <v>-449323.976340785</v>
      </c>
    </row>
    <row r="65" customFormat="false" ht="15" hidden="false" customHeight="false" outlineLevel="0" collapsed="false">
      <c r="A65" s="10" t="s">
        <v>800</v>
      </c>
      <c r="B65" s="9" t="s">
        <v>97</v>
      </c>
      <c r="C65" s="70" t="n">
        <f aca="false">-C54*Assumptions!$G$74</f>
        <v>-0</v>
      </c>
      <c r="D65" s="70" t="n">
        <f aca="false">-D54*Assumptions!$G$74</f>
        <v>-0</v>
      </c>
      <c r="E65" s="70" t="n">
        <f aca="false">-E54*Assumptions!$G$74</f>
        <v>-0</v>
      </c>
      <c r="F65" s="70" t="n">
        <f aca="false">-F54*Assumptions!$G$74</f>
        <v>-0</v>
      </c>
      <c r="G65" s="70" t="n">
        <f aca="false">-G54*Assumptions!$G$74</f>
        <v>-0</v>
      </c>
      <c r="H65" s="70" t="n">
        <f aca="false">-H54*Assumptions!$G$74</f>
        <v>-0</v>
      </c>
      <c r="I65" s="70" t="n">
        <f aca="false">-I54*Assumptions!$G$74</f>
        <v>-615.219557538141</v>
      </c>
      <c r="J65" s="70" t="n">
        <f aca="false">-J54*Assumptions!$G$74</f>
        <v>-676.769428305946</v>
      </c>
      <c r="K65" s="70" t="n">
        <f aca="false">-K54*Assumptions!$G$74</f>
        <v>-742.567571150883</v>
      </c>
      <c r="L65" s="70" t="n">
        <f aca="false">-L54*Assumptions!$G$74</f>
        <v>-813.115937587875</v>
      </c>
      <c r="M65" s="70" t="n">
        <f aca="false">-M54*Assumptions!$G$74</f>
        <v>-888.97228300432</v>
      </c>
      <c r="N65" s="70" t="n">
        <f aca="false">-N54*Assumptions!$G$74</f>
        <v>-970.756201169847</v>
      </c>
      <c r="O65" s="70" t="n">
        <f aca="false">-O54*Assumptions!$G$74</f>
        <v>-1059.15572581428</v>
      </c>
      <c r="P65" s="70" t="n">
        <f aca="false">-P54*Assumptions!$G$74</f>
        <v>-1154.93461071754</v>
      </c>
      <c r="Q65" s="70" t="n">
        <f aca="false">-Q54*Assumptions!$G$74</f>
        <v>-1258.94036061547</v>
      </c>
      <c r="R65" s="70" t="n">
        <f aca="false">-R54*Assumptions!$G$74</f>
        <v>-1372.11308826688</v>
      </c>
      <c r="S65" s="70" t="n">
        <f aca="false">-S54*Assumptions!$G$74</f>
        <v>-1495.49527986822</v>
      </c>
      <c r="T65" s="70" t="n">
        <f aca="false">-T54*Assumptions!$G$74</f>
        <v>-1630.24255867594</v>
      </c>
      <c r="U65" s="70" t="n">
        <f aca="false">-U54*Assumptions!$G$74</f>
        <v>-1800.00837704058</v>
      </c>
      <c r="V65" s="70" t="n">
        <f aca="false">-V54*Assumptions!$G$74</f>
        <v>-2001.53603741515</v>
      </c>
      <c r="W65" s="70" t="n">
        <f aca="false">-W54*Assumptions!$G$74</f>
        <v>-2227.63170033468</v>
      </c>
      <c r="X65" s="70" t="n">
        <f aca="false">-X54*Assumptions!$G$74</f>
        <v>-2478.67225666171</v>
      </c>
      <c r="Y65" s="70" t="n">
        <f aca="false">-Y54*Assumptions!$G$74</f>
        <v>-2756.97589277216</v>
      </c>
      <c r="Z65" s="70" t="n">
        <f aca="false">-Z54*Assumptions!$G$74</f>
        <v>-3065.37717916239</v>
      </c>
      <c r="AA65" s="70" t="n">
        <f aca="false">-AA54*Assumptions!$G$74</f>
        <v>-3407.03882702412</v>
      </c>
      <c r="AB65" s="70" t="n">
        <f aca="false">-AB54*Assumptions!$G$74</f>
        <v>-3717.4470955556</v>
      </c>
      <c r="AC65" s="70" t="n">
        <f aca="false">-AC54*Assumptions!$G$74</f>
        <v>-4007.59904343704</v>
      </c>
      <c r="AD65" s="70" t="n">
        <f aca="false">-AD54*Assumptions!$G$74</f>
        <v>-4320.7369553608</v>
      </c>
      <c r="AE65" s="70" t="n">
        <f aca="false">-AE54*Assumptions!$G$74</f>
        <v>-4659.09540176287</v>
      </c>
      <c r="AF65" s="70" t="n">
        <f aca="false">-AF54*Assumptions!$G$74</f>
        <v>-5024.94915715666</v>
      </c>
      <c r="AG65" s="70" t="n">
        <f aca="false">-AG54*Assumptions!$G$74</f>
        <v>-5420.71637195679</v>
      </c>
      <c r="AH65" s="70" t="n">
        <f aca="false">-AH54*Assumptions!$G$74</f>
        <v>-5849.01276662126</v>
      </c>
      <c r="AI65" s="70" t="n">
        <f aca="false">-AI54*Assumptions!$G$74</f>
        <v>-6312.67538414431</v>
      </c>
      <c r="AJ65" s="70" t="n">
        <f aca="false">-AJ54*Assumptions!$G$74</f>
        <v>-6814.78335469483</v>
      </c>
      <c r="AK65" s="70" t="n">
        <f aca="false">-AK54*Assumptions!$G$74</f>
        <v>-7358.67970109811</v>
      </c>
      <c r="AL65" s="70" t="n">
        <f aca="false">-AL54*Assumptions!$G$74</f>
        <v>-7947.99492440219</v>
      </c>
      <c r="AM65" s="70" t="n">
        <f aca="false">SUM(C65:AL65)</f>
        <v>-91849.2130293166</v>
      </c>
    </row>
    <row r="66" customFormat="false" ht="15" hidden="false" customHeight="false" outlineLevel="0" collapsed="false">
      <c r="A66" s="10" t="s">
        <v>801</v>
      </c>
      <c r="B66" s="9" t="s">
        <v>97</v>
      </c>
      <c r="C66" s="70" t="n">
        <f aca="false">-C57*Assumptions!$G$75</f>
        <v>-0</v>
      </c>
      <c r="D66" s="70" t="n">
        <f aca="false">-D57*Assumptions!$G$75</f>
        <v>-0</v>
      </c>
      <c r="E66" s="70" t="n">
        <f aca="false">-E57*Assumptions!$G$75</f>
        <v>-0</v>
      </c>
      <c r="F66" s="70" t="n">
        <f aca="false">-F57*Assumptions!$G$75</f>
        <v>-0</v>
      </c>
      <c r="G66" s="70" t="n">
        <f aca="false">-G57*Assumptions!$G$75</f>
        <v>-0</v>
      </c>
      <c r="H66" s="70" t="n">
        <f aca="false">-H57*Assumptions!$G$75</f>
        <v>-0</v>
      </c>
      <c r="I66" s="70" t="n">
        <f aca="false">-I57*Assumptions!$G$75</f>
        <v>-52.9995458830753</v>
      </c>
      <c r="J66" s="70" t="n">
        <f aca="false">-J57*Assumptions!$G$75</f>
        <v>-105.471501112314</v>
      </c>
      <c r="K66" s="70" t="n">
        <f aca="false">-K57*Assumptions!$G$75</f>
        <v>-157.839878119421</v>
      </c>
      <c r="L66" s="70" t="n">
        <f aca="false">-L57*Assumptions!$G$75</f>
        <v>-210.525289770697</v>
      </c>
      <c r="M66" s="70" t="n">
        <f aca="false">-M57*Assumptions!$G$75</f>
        <v>-263.950130675998</v>
      </c>
      <c r="N66" s="70" t="n">
        <f aca="false">-N57*Assumptions!$G$75</f>
        <v>-318.543708410839</v>
      </c>
      <c r="O66" s="70" t="n">
        <f aca="false">-O57*Assumptions!$G$75</f>
        <v>-374.747379012636</v>
      </c>
      <c r="P66" s="70" t="n">
        <f aca="false">-P57*Assumptions!$G$75</f>
        <v>-433.019744732955</v>
      </c>
      <c r="Q66" s="70" t="n">
        <f aca="false">-Q57*Assumptions!$G$75</f>
        <v>-493.841971878403</v>
      </c>
      <c r="R66" s="70" t="n">
        <f aca="false">-R57*Assumptions!$G$75</f>
        <v>-557.723286702054</v>
      </c>
      <c r="S66" s="70" t="n">
        <f aca="false">-S57*Assumptions!$G$75</f>
        <v>-625.206708011581</v>
      </c>
      <c r="T66" s="70" t="n">
        <f aca="false">-T57*Assumptions!$G$75</f>
        <v>-696.875076448243</v>
      </c>
      <c r="U66" s="70" t="n">
        <f aca="false">-U57*Assumptions!$G$75</f>
        <v>-775.284802856832</v>
      </c>
      <c r="V66" s="70" t="n">
        <f aca="false">-V57*Assumptions!$G$75</f>
        <v>-862.430536965797</v>
      </c>
      <c r="W66" s="70" t="n">
        <f aca="false">-W57*Assumptions!$G$75</f>
        <v>-959.467786694707</v>
      </c>
      <c r="X66" s="70" t="n">
        <f aca="false">-X57*Assumptions!$G$75</f>
        <v>-1067.45742224797</v>
      </c>
      <c r="Y66" s="70" t="n">
        <f aca="false">-Y57*Assumptions!$G$75</f>
        <v>-1187.54332376329</v>
      </c>
      <c r="Z66" s="70" t="n">
        <f aca="false">-Z57*Assumptions!$G$75</f>
        <v>-1320.98773535212</v>
      </c>
      <c r="AA66" s="70" t="n">
        <f aca="false">-AA57*Assumptions!$G$75</f>
        <v>-1469.18651351987</v>
      </c>
      <c r="AB66" s="70" t="n">
        <f aca="false">-AB57*Assumptions!$G$75</f>
        <v>-1627.82428155928</v>
      </c>
      <c r="AC66" s="70" t="n">
        <f aca="false">-AC57*Assumptions!$G$75</f>
        <v>-1794.00772186659</v>
      </c>
      <c r="AD66" s="70" t="n">
        <f aca="false">-AD57*Assumptions!$G$75</f>
        <v>-1968.88699080519</v>
      </c>
      <c r="AE66" s="70" t="n">
        <f aca="false">-AE57*Assumptions!$G$75</f>
        <v>-2153.67822990112</v>
      </c>
      <c r="AF66" s="70" t="n">
        <f aca="false">-AF57*Assumptions!$G$75</f>
        <v>-2349.65977095063</v>
      </c>
      <c r="AG66" s="70" t="n">
        <f aca="false">-AG57*Assumptions!$G$75</f>
        <v>-2558.17764654705</v>
      </c>
      <c r="AH66" s="70" t="n">
        <f aca="false">-AH57*Assumptions!$G$75</f>
        <v>-2780.65516313244</v>
      </c>
      <c r="AI66" s="70" t="n">
        <f aca="false">-AI57*Assumptions!$G$75</f>
        <v>-3018.60346722826</v>
      </c>
      <c r="AJ66" s="70" t="n">
        <f aca="false">-AJ57*Assumptions!$G$75</f>
        <v>-3273.6327381997</v>
      </c>
      <c r="AK66" s="70" t="n">
        <f aca="false">-AK57*Assumptions!$G$75</f>
        <v>-3547.46402830076</v>
      </c>
      <c r="AL66" s="70" t="n">
        <f aca="false">-AL57*Assumptions!$G$75</f>
        <v>-3841.9418321488</v>
      </c>
      <c r="AM66" s="70" t="n">
        <f aca="false">SUM(C66:AL66)</f>
        <v>-40847.6342127986</v>
      </c>
    </row>
    <row r="67" customFormat="false" ht="15" hidden="false" customHeight="false" outlineLevel="0" collapsed="false">
      <c r="A67" s="10" t="s">
        <v>802</v>
      </c>
      <c r="B67" s="9" t="s">
        <v>97</v>
      </c>
      <c r="C67" s="70" t="n">
        <f aca="false">-C57*Assumptions!$G$76</f>
        <v>-0</v>
      </c>
      <c r="D67" s="70" t="n">
        <f aca="false">-D57*Assumptions!$G$76</f>
        <v>-0</v>
      </c>
      <c r="E67" s="70" t="n">
        <f aca="false">-E57*Assumptions!$G$76</f>
        <v>-0</v>
      </c>
      <c r="F67" s="70" t="n">
        <f aca="false">-F57*Assumptions!$G$76</f>
        <v>-0</v>
      </c>
      <c r="G67" s="70" t="n">
        <f aca="false">-G57*Assumptions!$G$76</f>
        <v>-0</v>
      </c>
      <c r="H67" s="70" t="n">
        <f aca="false">-H57*Assumptions!$G$76</f>
        <v>-0</v>
      </c>
      <c r="I67" s="70" t="n">
        <f aca="false">-I57*Assumptions!$G$76</f>
        <v>-119.248978236919</v>
      </c>
      <c r="J67" s="70" t="n">
        <f aca="false">-J57*Assumptions!$G$76</f>
        <v>-237.310877502708</v>
      </c>
      <c r="K67" s="70" t="n">
        <f aca="false">-K57*Assumptions!$G$76</f>
        <v>-355.139725768698</v>
      </c>
      <c r="L67" s="70" t="n">
        <f aca="false">-L57*Assumptions!$G$76</f>
        <v>-473.681901984069</v>
      </c>
      <c r="M67" s="70" t="n">
        <f aca="false">-M57*Assumptions!$G$76</f>
        <v>-593.887794020995</v>
      </c>
      <c r="N67" s="70" t="n">
        <f aca="false">-N57*Assumptions!$G$76</f>
        <v>-716.723343924387</v>
      </c>
      <c r="O67" s="70" t="n">
        <f aca="false">-O57*Assumptions!$G$76</f>
        <v>-843.181602778431</v>
      </c>
      <c r="P67" s="70" t="n">
        <f aca="false">-P57*Assumptions!$G$76</f>
        <v>-974.294425649149</v>
      </c>
      <c r="Q67" s="70" t="n">
        <f aca="false">-Q57*Assumptions!$G$76</f>
        <v>-1111.14443672641</v>
      </c>
      <c r="R67" s="70" t="n">
        <f aca="false">-R57*Assumptions!$G$76</f>
        <v>-1254.87739507962</v>
      </c>
      <c r="S67" s="70" t="n">
        <f aca="false">-S57*Assumptions!$G$76</f>
        <v>-1406.71509302606</v>
      </c>
      <c r="T67" s="70" t="n">
        <f aca="false">-T57*Assumptions!$G$76</f>
        <v>-1567.96892200855</v>
      </c>
      <c r="U67" s="70" t="n">
        <f aca="false">-U57*Assumptions!$G$76</f>
        <v>-1744.39080642787</v>
      </c>
      <c r="V67" s="70" t="n">
        <f aca="false">-V57*Assumptions!$G$76</f>
        <v>-1940.46870817304</v>
      </c>
      <c r="W67" s="70" t="n">
        <f aca="false">-W57*Assumptions!$G$76</f>
        <v>-2158.80252006309</v>
      </c>
      <c r="X67" s="70" t="n">
        <f aca="false">-X57*Assumptions!$G$76</f>
        <v>-2401.77920005793</v>
      </c>
      <c r="Y67" s="70" t="n">
        <f aca="false">-Y57*Assumptions!$G$76</f>
        <v>-2671.97247846741</v>
      </c>
      <c r="Z67" s="70" t="n">
        <f aca="false">-Z57*Assumptions!$G$76</f>
        <v>-2972.22240454227</v>
      </c>
      <c r="AA67" s="70" t="n">
        <f aca="false">-AA57*Assumptions!$G$76</f>
        <v>-3305.6696554197</v>
      </c>
      <c r="AB67" s="70" t="n">
        <f aca="false">-AB57*Assumptions!$G$76</f>
        <v>-3662.60463350838</v>
      </c>
      <c r="AC67" s="70" t="n">
        <f aca="false">-AC57*Assumptions!$G$76</f>
        <v>-4036.51737419983</v>
      </c>
      <c r="AD67" s="70" t="n">
        <f aca="false">-AD57*Assumptions!$G$76</f>
        <v>-4429.99572931167</v>
      </c>
      <c r="AE67" s="70" t="n">
        <f aca="false">-AE57*Assumptions!$G$76</f>
        <v>-4845.77601727751</v>
      </c>
      <c r="AF67" s="70" t="n">
        <f aca="false">-AF57*Assumptions!$G$76</f>
        <v>-5286.73448463891</v>
      </c>
      <c r="AG67" s="70" t="n">
        <f aca="false">-AG57*Assumptions!$G$76</f>
        <v>-5755.89970473086</v>
      </c>
      <c r="AH67" s="70" t="n">
        <f aca="false">-AH57*Assumptions!$G$76</f>
        <v>-6256.47411704798</v>
      </c>
      <c r="AI67" s="70" t="n">
        <f aca="false">-AI57*Assumptions!$G$76</f>
        <v>-6791.85780126358</v>
      </c>
      <c r="AJ67" s="70" t="n">
        <f aca="false">-AJ57*Assumptions!$G$76</f>
        <v>-7365.67366094933</v>
      </c>
      <c r="AK67" s="70" t="n">
        <f aca="false">-AK57*Assumptions!$G$76</f>
        <v>-7981.7940636767</v>
      </c>
      <c r="AL67" s="70" t="n">
        <f aca="false">-AL57*Assumptions!$G$76</f>
        <v>-8644.36912233481</v>
      </c>
      <c r="AM67" s="70" t="n">
        <f aca="false">SUM(C67:AL67)</f>
        <v>-91907.1769787969</v>
      </c>
    </row>
    <row r="68" customFormat="false" ht="15" hidden="false" customHeight="false" outlineLevel="0" collapsed="false">
      <c r="A68" s="10" t="s">
        <v>803</v>
      </c>
      <c r="B68" s="9" t="s">
        <v>97</v>
      </c>
      <c r="C68" s="70" t="n">
        <f aca="false">-C57*Assumptions!$G$77</f>
        <v>-0</v>
      </c>
      <c r="D68" s="70" t="n">
        <f aca="false">-D57*Assumptions!$G$77</f>
        <v>-0</v>
      </c>
      <c r="E68" s="70" t="n">
        <f aca="false">-E57*Assumptions!$G$77</f>
        <v>-0</v>
      </c>
      <c r="F68" s="70" t="n">
        <f aca="false">-F57*Assumptions!$G$77</f>
        <v>-0</v>
      </c>
      <c r="G68" s="70" t="n">
        <f aca="false">-G57*Assumptions!$G$77</f>
        <v>-0</v>
      </c>
      <c r="H68" s="70" t="n">
        <f aca="false">-H57*Assumptions!$G$77</f>
        <v>-0</v>
      </c>
      <c r="I68" s="70" t="n">
        <f aca="false">-I57*Assumptions!$G$77</f>
        <v>-29.8122445592298</v>
      </c>
      <c r="J68" s="70" t="n">
        <f aca="false">-J57*Assumptions!$G$77</f>
        <v>-59.3277193756769</v>
      </c>
      <c r="K68" s="70" t="n">
        <f aca="false">-K57*Assumptions!$G$77</f>
        <v>-88.7849314421744</v>
      </c>
      <c r="L68" s="70" t="n">
        <f aca="false">-L57*Assumptions!$G$77</f>
        <v>-118.420475496017</v>
      </c>
      <c r="M68" s="70" t="n">
        <f aca="false">-M57*Assumptions!$G$77</f>
        <v>-148.471948505249</v>
      </c>
      <c r="N68" s="70" t="n">
        <f aca="false">-N57*Assumptions!$G$77</f>
        <v>-179.180835981097</v>
      </c>
      <c r="O68" s="70" t="n">
        <f aca="false">-O57*Assumptions!$G$77</f>
        <v>-210.795400694608</v>
      </c>
      <c r="P68" s="70" t="n">
        <f aca="false">-P57*Assumptions!$G$77</f>
        <v>-243.573606412287</v>
      </c>
      <c r="Q68" s="70" t="n">
        <f aca="false">-Q57*Assumptions!$G$77</f>
        <v>-277.786109181602</v>
      </c>
      <c r="R68" s="70" t="n">
        <f aca="false">-R57*Assumptions!$G$77</f>
        <v>-313.719348769905</v>
      </c>
      <c r="S68" s="70" t="n">
        <f aca="false">-S57*Assumptions!$G$77</f>
        <v>-351.678773256514</v>
      </c>
      <c r="T68" s="70" t="n">
        <f aca="false">-T57*Assumptions!$G$77</f>
        <v>-391.992230502137</v>
      </c>
      <c r="U68" s="70" t="n">
        <f aca="false">-U57*Assumptions!$G$77</f>
        <v>-436.097701606968</v>
      </c>
      <c r="V68" s="70" t="n">
        <f aca="false">-V57*Assumptions!$G$77</f>
        <v>-485.117177043261</v>
      </c>
      <c r="W68" s="70" t="n">
        <f aca="false">-W57*Assumptions!$G$77</f>
        <v>-539.700630015773</v>
      </c>
      <c r="X68" s="70" t="n">
        <f aca="false">-X57*Assumptions!$G$77</f>
        <v>-600.444800014482</v>
      </c>
      <c r="Y68" s="70" t="n">
        <f aca="false">-Y57*Assumptions!$G$77</f>
        <v>-667.993119616853</v>
      </c>
      <c r="Z68" s="70" t="n">
        <f aca="false">-Z57*Assumptions!$G$77</f>
        <v>-743.055601135569</v>
      </c>
      <c r="AA68" s="70" t="n">
        <f aca="false">-AA57*Assumptions!$G$77</f>
        <v>-826.417413854925</v>
      </c>
      <c r="AB68" s="70" t="n">
        <f aca="false">-AB57*Assumptions!$G$77</f>
        <v>-915.651158377096</v>
      </c>
      <c r="AC68" s="70" t="n">
        <f aca="false">-AC57*Assumptions!$G$77</f>
        <v>-1009.12934354996</v>
      </c>
      <c r="AD68" s="70" t="n">
        <f aca="false">-AD57*Assumptions!$G$77</f>
        <v>-1107.49893232792</v>
      </c>
      <c r="AE68" s="70" t="n">
        <f aca="false">-AE57*Assumptions!$G$77</f>
        <v>-1211.44400431938</v>
      </c>
      <c r="AF68" s="70" t="n">
        <f aca="false">-AF57*Assumptions!$G$77</f>
        <v>-1321.68362115973</v>
      </c>
      <c r="AG68" s="70" t="n">
        <f aca="false">-AG57*Assumptions!$G$77</f>
        <v>-1438.97492618272</v>
      </c>
      <c r="AH68" s="70" t="n">
        <f aca="false">-AH57*Assumptions!$G$77</f>
        <v>-1564.118529262</v>
      </c>
      <c r="AI68" s="70" t="n">
        <f aca="false">-AI57*Assumptions!$G$77</f>
        <v>-1697.9644503159</v>
      </c>
      <c r="AJ68" s="70" t="n">
        <f aca="false">-AJ57*Assumptions!$G$77</f>
        <v>-1841.41841523733</v>
      </c>
      <c r="AK68" s="70" t="n">
        <f aca="false">-AK57*Assumptions!$G$77</f>
        <v>-1995.44851591918</v>
      </c>
      <c r="AL68" s="70" t="n">
        <f aca="false">-AL57*Assumptions!$G$77</f>
        <v>-2161.0922805837</v>
      </c>
      <c r="AM68" s="70" t="n">
        <f aca="false">SUM(C68:AL68)</f>
        <v>-22976.7942446992</v>
      </c>
    </row>
    <row r="69" customFormat="false" ht="15" hidden="false" customHeight="false" outlineLevel="0" collapsed="false">
      <c r="A69" s="10" t="s">
        <v>804</v>
      </c>
      <c r="B69" s="9" t="s">
        <v>97</v>
      </c>
      <c r="C69" s="70" t="n">
        <f aca="false">-C63*Assumptions!$G$79</f>
        <v>-0</v>
      </c>
      <c r="D69" s="70" t="n">
        <f aca="false">-D63*Assumptions!$G$79</f>
        <v>-0</v>
      </c>
      <c r="E69" s="70" t="n">
        <f aca="false">-E63*Assumptions!$G$79</f>
        <v>-0</v>
      </c>
      <c r="F69" s="70" t="n">
        <f aca="false">-F63*Assumptions!$G$79</f>
        <v>-0</v>
      </c>
      <c r="G69" s="70" t="n">
        <f aca="false">-G63*Assumptions!$G$79</f>
        <v>-0</v>
      </c>
      <c r="H69" s="70" t="n">
        <f aca="false">-H63*Assumptions!$G$79</f>
        <v>-0</v>
      </c>
      <c r="I69" s="70" t="n">
        <f aca="false">-I63*Assumptions!$G$79</f>
        <v>-78.7770933788409</v>
      </c>
      <c r="J69" s="70" t="n">
        <f aca="false">-J63*Assumptions!$G$79</f>
        <v>-127.957539902081</v>
      </c>
      <c r="K69" s="70" t="n">
        <f aca="false">-K63*Assumptions!$G$79</f>
        <v>-177.270847719305</v>
      </c>
      <c r="L69" s="70" t="n">
        <f aca="false">-L63*Assumptions!$G$79</f>
        <v>-227.111696097219</v>
      </c>
      <c r="M69" s="70" t="n">
        <f aca="false">-M63*Assumptions!$G$79</f>
        <v>-277.879260763468</v>
      </c>
      <c r="N69" s="70" t="n">
        <f aca="false">-N63*Assumptions!$G$79</f>
        <v>-329.98202407154</v>
      </c>
      <c r="O69" s="70" t="n">
        <f aca="false">-O63*Assumptions!$G$79</f>
        <v>-383.84261874765</v>
      </c>
      <c r="P69" s="70" t="n">
        <f aca="false">-P63*Assumptions!$G$79</f>
        <v>-439.902761849679</v>
      </c>
      <c r="Q69" s="70" t="n">
        <f aca="false">-Q63*Assumptions!$G$79</f>
        <v>-498.628333378055</v>
      </c>
      <c r="R69" s="70" t="n">
        <f aca="false">-R63*Assumptions!$G$79</f>
        <v>-560.514654251633</v>
      </c>
      <c r="S69" s="70" t="n">
        <f aca="false">-S63*Assumptions!$G$79</f>
        <v>-626.092019338268</v>
      </c>
      <c r="T69" s="70" t="n">
        <f aca="false">-T63*Assumptions!$G$79</f>
        <v>-695.931542761242</v>
      </c>
      <c r="U69" s="70" t="n">
        <f aca="false">-U63*Assumptions!$G$79</f>
        <v>-773.516151510128</v>
      </c>
      <c r="V69" s="70" t="n">
        <f aca="false">-V63*Assumptions!$G$79</f>
        <v>-860.420882615199</v>
      </c>
      <c r="W69" s="70" t="n">
        <f aca="false">-W63*Assumptions!$G$79</f>
        <v>-957.278888840994</v>
      </c>
      <c r="X69" s="70" t="n">
        <f aca="false">-X63*Assumptions!$G$79</f>
        <v>-1065.03884353453</v>
      </c>
      <c r="Y69" s="70" t="n">
        <f aca="false">-Y63*Assumptions!$G$79</f>
        <v>-1184.82425221514</v>
      </c>
      <c r="Z69" s="70" t="n">
        <f aca="false">-Z63*Assumptions!$G$79</f>
        <v>-1317.88942624418</v>
      </c>
      <c r="AA69" s="70" t="n">
        <f aca="false">-AA63*Assumptions!$G$79</f>
        <v>-1465.62292794314</v>
      </c>
      <c r="AB69" s="70" t="n">
        <f aca="false">-AB63*Assumptions!$G$79</f>
        <v>-1620.85166037756</v>
      </c>
      <c r="AC69" s="70" t="n">
        <f aca="false">-AC63*Assumptions!$G$79</f>
        <v>-1781.62106767033</v>
      </c>
      <c r="AD69" s="70" t="n">
        <f aca="false">-AD63*Assumptions!$G$79</f>
        <v>-1951.2136221931</v>
      </c>
      <c r="AE69" s="70" t="n">
        <f aca="false">-AE63*Assumptions!$G$79</f>
        <v>-2130.81169768869</v>
      </c>
      <c r="AF69" s="70" t="n">
        <f aca="false">-AF63*Assumptions!$G$79</f>
        <v>-2321.6542339412</v>
      </c>
      <c r="AG69" s="70" t="n">
        <f aca="false">-AG63*Assumptions!$G$79</f>
        <v>-2525.04699051367</v>
      </c>
      <c r="AH69" s="70" t="n">
        <f aca="false">-AH63*Assumptions!$G$79</f>
        <v>-2742.37378015381</v>
      </c>
      <c r="AI69" s="70" t="n">
        <f aca="false">-AI63*Assumptions!$G$79</f>
        <v>-2975.1069699003</v>
      </c>
      <c r="AJ69" s="70" t="n">
        <f aca="false">-AJ63*Assumptions!$G$79</f>
        <v>-3224.8183735241</v>
      </c>
      <c r="AK69" s="70" t="n">
        <f aca="false">-AK63*Assumptions!$G$79</f>
        <v>-3493.19076546425</v>
      </c>
      <c r="AL69" s="70" t="n">
        <f aca="false">-AL63*Assumptions!$G$79</f>
        <v>-3782.03012708311</v>
      </c>
      <c r="AM69" s="70" t="n">
        <f aca="false">SUM(C69:AL69)</f>
        <v>-40597.2010536724</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1237.39907151206</v>
      </c>
      <c r="J70" s="53" t="n">
        <f aca="false">J63+J64+J65+J66+J67+J68+J69</f>
        <v>2045.30538370653</v>
      </c>
      <c r="K70" s="53" t="n">
        <f aca="false">K63+K64+K65+K66+K67+K68+K69</f>
        <v>2854.9462388757</v>
      </c>
      <c r="L70" s="53" t="n">
        <f aca="false">L63+L64+L65+L66+L67+L68+L69</f>
        <v>3672.80430804228</v>
      </c>
      <c r="M70" s="53" t="n">
        <f aca="false">M63+M64+M65+M66+M67+M68+M69</f>
        <v>4505.43062019632</v>
      </c>
      <c r="N70" s="53" t="n">
        <f aca="false">N63+N64+N65+N66+N67+N68+N69</f>
        <v>5359.52357914858</v>
      </c>
      <c r="O70" s="53" t="n">
        <f aca="false">O63+O64+O65+O66+O67+O68+O69</f>
        <v>6242.00847442203</v>
      </c>
      <c r="P70" s="53" t="n">
        <f aca="false">P63+P64+P65+P66+P67+P68+P69</f>
        <v>7160.11841201309</v>
      </c>
      <c r="Q70" s="53" t="n">
        <f aca="false">Q63+Q64+Q65+Q66+Q67+Q68+Q69</f>
        <v>8121.47755886988</v>
      </c>
      <c r="R70" s="53" t="n">
        <f aca="false">R63+R64+R65+R66+R67+R68+R69</f>
        <v>9134.1875991257</v>
      </c>
      <c r="S70" s="53" t="n">
        <f aca="false">S63+S64+S65+S66+S67+S68+S69</f>
        <v>10206.9183155536</v>
      </c>
      <c r="T70" s="53" t="n">
        <f aca="false">T63+T64+T65+T66+T67+T68+T69</f>
        <v>11349.0032342333</v>
      </c>
      <c r="U70" s="53" t="n">
        <f aca="false">U63+U64+U65+U66+U67+U68+U69</f>
        <v>12615.540070861</v>
      </c>
      <c r="V70" s="53" t="n">
        <f aca="false">V63+V64+V65+V66+V67+V68+V69</f>
        <v>14032.9763585844</v>
      </c>
      <c r="W70" s="53" t="n">
        <f aca="false">W63+W64+W65+W66+W67+W68+W69</f>
        <v>15612.589676995</v>
      </c>
      <c r="X70" s="53" t="n">
        <f aca="false">X63+X64+X65+X66+X67+X68+X69</f>
        <v>17370.0531960155</v>
      </c>
      <c r="Y70" s="53" t="n">
        <f aca="false">Y63+Y64+Y65+Y66+Y67+Y68+Y69</f>
        <v>19323.7230688426</v>
      </c>
      <c r="Z70" s="53" t="n">
        <f aca="false">Z63+Z64+Z65+Z66+Z67+Z68+Z69</f>
        <v>21494.0655386273</v>
      </c>
      <c r="AA70" s="53" t="n">
        <f aca="false">AA63+AA64+AA65+AA66+AA67+AA68+AA69</f>
        <v>23903.7346667316</v>
      </c>
      <c r="AB70" s="53" t="n">
        <f aca="false">AB63+AB64+AB65+AB66+AB67+AB68+AB69</f>
        <v>26440.9906382135</v>
      </c>
      <c r="AC70" s="53" t="n">
        <f aca="false">AC63+AC64+AC65+AC66+AC67+AC68+AC69</f>
        <v>29072.2497387552</v>
      </c>
      <c r="AD70" s="53" t="n">
        <f aca="false">AD63+AD64+AD65+AD66+AD67+AD68+AD69</f>
        <v>31847.1392226306</v>
      </c>
      <c r="AE70" s="53" t="n">
        <f aca="false">AE63+AE64+AE65+AE66+AE67+AE68+AE69</f>
        <v>34784.9995576792</v>
      </c>
      <c r="AF70" s="53" t="n">
        <f aca="false">AF63+AF64+AF65+AF66+AF67+AF68+AF69</f>
        <v>37906.1038013925</v>
      </c>
      <c r="AG70" s="53" t="n">
        <f aca="false">AG63+AG64+AG65+AG66+AG67+AG68+AG69</f>
        <v>41231.8161278332</v>
      </c>
      <c r="AH70" s="53" t="n">
        <f aca="false">AH63+AH64+AH65+AH66+AH67+AH68+AH69</f>
        <v>44784.7719580778</v>
      </c>
      <c r="AI70" s="53" t="n">
        <f aca="false">AI63+AI64+AI65+AI66+AI67+AI68+AI69</f>
        <v>48589.0493014404</v>
      </c>
      <c r="AJ70" s="53" t="n">
        <f aca="false">AJ63+AJ64+AJ65+AJ66+AJ67+AJ68+AJ69</f>
        <v>52670.3469069945</v>
      </c>
      <c r="AK70" s="53" t="n">
        <f aca="false">AK63+AK64+AK65+AK66+AK67+AK68+AK69</f>
        <v>57056.1725957587</v>
      </c>
      <c r="AL70" s="53" t="n">
        <f aca="false">AL63+AL64+AL65+AL66+AL67+AL68+AL69</f>
        <v>61776.0435281936</v>
      </c>
      <c r="AM70" s="53" t="n">
        <f aca="false">SUM(C70:AL70)</f>
        <v>662401.488749326</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0.463543267343833</v>
      </c>
      <c r="K71" s="62" t="n">
        <f aca="false">IFERROR(K70/K63,0)</f>
        <v>0.467044875074398</v>
      </c>
      <c r="L71" s="62" t="n">
        <f aca="false">IFERROR(L70/L63,0)</f>
        <v>0.468982120972018</v>
      </c>
      <c r="M71" s="62" t="n">
        <f aca="false">IFERROR(M70/M63,0)</f>
        <v>0.470195176231269</v>
      </c>
      <c r="N71" s="62" t="n">
        <f aca="false">IFERROR(N70/N63,0)</f>
        <v>0.471014093063483</v>
      </c>
      <c r="O71" s="62" t="n">
        <f aca="false">IFERROR(O70/O63,0)</f>
        <v>0.471594963448407</v>
      </c>
      <c r="P71" s="62" t="n">
        <f aca="false">IFERROR(P70/P63,0)</f>
        <v>0.472021210040355</v>
      </c>
      <c r="Q71" s="62" t="n">
        <f aca="false">IFERROR(Q70/Q63,0)</f>
        <v>0.472341488522385</v>
      </c>
      <c r="R71" s="62" t="n">
        <f aca="false">IFERROR(R70/R63,0)</f>
        <v>0.47258611057781</v>
      </c>
      <c r="S71" s="62" t="n">
        <f aca="false">IFERROR(S70/S63,0)</f>
        <v>0.472774962798449</v>
      </c>
      <c r="T71" s="62" t="n">
        <f aca="false">IFERROR(T70/T63,0)</f>
        <v>0.472921650435493</v>
      </c>
      <c r="U71" s="62" t="n">
        <f aca="false">IFERROR(U70/U63,0)</f>
        <v>0.472970940995509</v>
      </c>
      <c r="V71" s="62" t="n">
        <f aca="false">IFERROR(V70/V63,0)</f>
        <v>0.472973544252004</v>
      </c>
      <c r="W71" s="62" t="n">
        <f aca="false">IFERROR(W70/W63,0)</f>
        <v>0.472970944946911</v>
      </c>
      <c r="X71" s="62" t="n">
        <f aca="false">IFERROR(X70/X63,0)</f>
        <v>0.472970113477477</v>
      </c>
      <c r="Y71" s="62" t="n">
        <f aca="false">IFERROR(Y70/Y63,0)</f>
        <v>0.472971386219297</v>
      </c>
      <c r="Z71" s="62" t="n">
        <f aca="false">IFERROR(Z70/Z63,0)</f>
        <v>0.472974354454455</v>
      </c>
      <c r="AA71" s="62" t="n">
        <f aca="false">IFERROR(AA70/AA63,0)</f>
        <v>0.472978616886176</v>
      </c>
      <c r="AB71" s="62" t="n">
        <f aca="false">IFERROR(AB70/AB63,0)</f>
        <v>0.473077670987841</v>
      </c>
      <c r="AC71" s="62" t="n">
        <f aca="false">IFERROR(AC70/AC63,0)</f>
        <v>0.473218047161029</v>
      </c>
      <c r="AD71" s="62" t="n">
        <f aca="false">IFERROR(AD70/AD63,0)</f>
        <v>0.473329535501206</v>
      </c>
      <c r="AE71" s="62" t="n">
        <f aca="false">IFERROR(AE70/AE63,0)</f>
        <v>0.473418175931225</v>
      </c>
      <c r="AF71" s="62" t="n">
        <f aca="false">IFERROR(AF70/AF63,0)</f>
        <v>0.473488684994349</v>
      </c>
      <c r="AG71" s="62" t="n">
        <f aca="false">IFERROR(AG70/AG63,0)</f>
        <v>0.473544719048541</v>
      </c>
      <c r="AH71" s="62" t="n">
        <f aca="false">IFERROR(AH70/AH63,0)</f>
        <v>0.473589120557962</v>
      </c>
      <c r="AI71" s="62" t="n">
        <f aca="false">IFERROR(AI70/AI63,0)</f>
        <v>0.473624123097997</v>
      </c>
      <c r="AJ71" s="62" t="n">
        <f aca="false">IFERROR(AJ70/AJ63,0)</f>
        <v>0.473651500141276</v>
      </c>
      <c r="AK71" s="62" t="n">
        <f aca="false">IFERROR(AK70/AK63,0)</f>
        <v>0.473672672456266</v>
      </c>
      <c r="AL71" s="62" t="n">
        <f aca="false">IFERROR(AL70/AL63,0)</f>
        <v>0.473688786741451</v>
      </c>
      <c r="AM71" s="62" t="n">
        <f aca="false">AVERAGE(N71:AL71)</f>
        <v>0.472974696669494</v>
      </c>
    </row>
    <row r="72" customFormat="false" ht="15" hidden="false" customHeight="false" outlineLevel="0" collapsed="false">
      <c r="A72" s="37" t="s">
        <v>807</v>
      </c>
      <c r="B72" s="9" t="s">
        <v>97</v>
      </c>
      <c r="C72" s="53" t="n">
        <f aca="false">C42+C63</f>
        <v>0</v>
      </c>
      <c r="D72" s="53" t="n">
        <f aca="false">D42+D63</f>
        <v>17491.8025433444</v>
      </c>
      <c r="E72" s="53" t="n">
        <f aca="false">E42+E63</f>
        <v>25592.0277204042</v>
      </c>
      <c r="F72" s="53" t="n">
        <f aca="false">F42+F63</f>
        <v>32132.6268468343</v>
      </c>
      <c r="G72" s="53" t="n">
        <f aca="false">G42+G63</f>
        <v>38353.1476229612</v>
      </c>
      <c r="H72" s="53" t="n">
        <f aca="false">H42+H63</f>
        <v>44304.9088849722</v>
      </c>
      <c r="I72" s="53" t="n">
        <f aca="false">I42+I63</f>
        <v>52739.3435036447</v>
      </c>
      <c r="J72" s="53" t="n">
        <f aca="false">J42+J63</f>
        <v>59952.3175124477</v>
      </c>
      <c r="K72" s="53" t="n">
        <f aca="false">K42+K63</f>
        <v>67000.9809195273</v>
      </c>
      <c r="L72" s="53" t="n">
        <f aca="false">L42+L63</f>
        <v>73930.303139183</v>
      </c>
      <c r="M72" s="53" t="n">
        <f aca="false">M42+M63</f>
        <v>80784.9674078739</v>
      </c>
      <c r="N72" s="53" t="n">
        <f aca="false">N42+N63</f>
        <v>87609.7249910611</v>
      </c>
      <c r="O72" s="53" t="n">
        <f aca="false">O42+O63</f>
        <v>94449.7510165556</v>
      </c>
      <c r="P72" s="53" t="n">
        <f aca="false">P42+P63</f>
        <v>101351.00538107</v>
      </c>
      <c r="Q72" s="53" t="n">
        <f aca="false">Q42+Q63</f>
        <v>108360.601818229</v>
      </c>
      <c r="R72" s="53" t="n">
        <f aca="false">R42+R63</f>
        <v>115527.188230411</v>
      </c>
      <c r="S72" s="53" t="n">
        <f aca="false">S42+S63</f>
        <v>122901.341451231</v>
      </c>
      <c r="T72" s="53" t="n">
        <f aca="false">T42+T63</f>
        <v>130535.979695651</v>
      </c>
      <c r="U72" s="53" t="n">
        <f aca="false">U42+U63</f>
        <v>139082.328318545</v>
      </c>
      <c r="V72" s="53" t="n">
        <f aca="false">V42+V63</f>
        <v>148620.769392144</v>
      </c>
      <c r="W72" s="53" t="n">
        <f aca="false">W42+W63</f>
        <v>159095.087138553</v>
      </c>
      <c r="X72" s="53" t="n">
        <f aca="false">X42+X63</f>
        <v>170565.418925453</v>
      </c>
      <c r="Y72" s="53" t="n">
        <f aca="false">Y42+Y63</f>
        <v>183120.082559258</v>
      </c>
      <c r="Z72" s="53" t="n">
        <f aca="false">Z42+Z63</f>
        <v>196858.177675835</v>
      </c>
      <c r="AA72" s="53" t="n">
        <f aca="false">AA42+AA63</f>
        <v>211888.326003229</v>
      </c>
      <c r="AB72" s="53" t="n">
        <f aca="false">AB42+AB63</f>
        <v>228028.957535434</v>
      </c>
      <c r="AC72" s="53" t="n">
        <f aca="false">AC42+AC63</f>
        <v>245260.746515782</v>
      </c>
      <c r="AD72" s="53" t="n">
        <f aca="false">AD42+AD63</f>
        <v>263753.297688391</v>
      </c>
      <c r="AE72" s="53" t="n">
        <f aca="false">AE42+AE63</f>
        <v>283621.88110822</v>
      </c>
      <c r="AF72" s="53" t="n">
        <f aca="false">AF42+AF63</f>
        <v>304989.06112735</v>
      </c>
      <c r="AG72" s="53" t="n">
        <f aca="false">AG42+AG63</f>
        <v>327986.792113146</v>
      </c>
      <c r="AH72" s="53" t="n">
        <f aca="false">AH42+AH63</f>
        <v>352757.740756543</v>
      </c>
      <c r="AI72" s="53" t="n">
        <f aca="false">AI42+AI63</f>
        <v>379456.301848151</v>
      </c>
      <c r="AJ72" s="53" t="n">
        <f aca="false">AJ42+AJ63</f>
        <v>408249.660166529</v>
      </c>
      <c r="AK72" s="53" t="n">
        <f aca="false">AK42+AK63</f>
        <v>439318.935890681</v>
      </c>
      <c r="AL72" s="53" t="n">
        <f aca="false">AL42+AL63</f>
        <v>472860.426505948</v>
      </c>
      <c r="AM72" s="53" t="n">
        <f aca="false">SUM(C72:AL72)</f>
        <v>6168532.00995459</v>
      </c>
    </row>
    <row r="73" customFormat="false" ht="15" hidden="false" customHeight="false" outlineLevel="0" collapsed="false">
      <c r="A73" s="37" t="s">
        <v>808</v>
      </c>
      <c r="B73" s="9" t="s">
        <v>97</v>
      </c>
      <c r="C73" s="53" t="n">
        <f aca="false">C46+C70</f>
        <v>0</v>
      </c>
      <c r="D73" s="53" t="n">
        <f aca="false">D46+D70</f>
        <v>10312.4094025385</v>
      </c>
      <c r="E73" s="53" t="n">
        <f aca="false">E46+E70</f>
        <v>15087.9514355335</v>
      </c>
      <c r="F73" s="53" t="n">
        <f aca="false">F46+F70</f>
        <v>18944.0054792774</v>
      </c>
      <c r="G73" s="53" t="n">
        <f aca="false">G46+G70</f>
        <v>22611.3551867452</v>
      </c>
      <c r="H73" s="53" t="n">
        <f aca="false">H46+H70</f>
        <v>26120.2559217001</v>
      </c>
      <c r="I73" s="53" t="n">
        <f aca="false">I46+I70</f>
        <v>30728.7302596703</v>
      </c>
      <c r="J73" s="53" t="n">
        <f aca="false">J46+J70</f>
        <v>34789.277808721</v>
      </c>
      <c r="K73" s="53" t="n">
        <f aca="false">K46+K70</f>
        <v>38751.9884752715</v>
      </c>
      <c r="L73" s="53" t="n">
        <f aca="false">L46+L70</f>
        <v>42641.8333013881</v>
      </c>
      <c r="M73" s="53" t="n">
        <f aca="false">M46+M70</f>
        <v>46483.591558052</v>
      </c>
      <c r="N73" s="53" t="n">
        <f aca="false">N46+N70</f>
        <v>50302.0407985839</v>
      </c>
      <c r="O73" s="53" t="n">
        <f aca="false">O46+O70</f>
        <v>54122.1476823166</v>
      </c>
      <c r="P73" s="53" t="n">
        <f aca="false">P46+P70</f>
        <v>57969.2613751107</v>
      </c>
      <c r="Q73" s="53" t="n">
        <f aca="false">Q46+Q70</f>
        <v>61869.3111345191</v>
      </c>
      <c r="R73" s="53" t="n">
        <f aca="false">R46+R70</f>
        <v>65849.0096943817</v>
      </c>
      <c r="S73" s="53" t="n">
        <f aca="false">S46+S70</f>
        <v>69936.0640971666</v>
      </c>
      <c r="T73" s="53" t="n">
        <f aca="false">T46+T70</f>
        <v>74159.3956689696</v>
      </c>
      <c r="U73" s="53" t="n">
        <f aca="false">U46+U70</f>
        <v>78887.2300888549</v>
      </c>
      <c r="V73" s="53" t="n">
        <f aca="false">V46+V70</f>
        <v>84161.3848987591</v>
      </c>
      <c r="W73" s="53" t="n">
        <f aca="false">W46+W70</f>
        <v>89947.1235843646</v>
      </c>
      <c r="X73" s="53" t="n">
        <f aca="false">X46+X70</f>
        <v>96276.2876095944</v>
      </c>
      <c r="Y73" s="53" t="n">
        <f aca="false">Y46+Y70</f>
        <v>103196.461130252</v>
      </c>
      <c r="Z73" s="53" t="n">
        <f aca="false">Z46+Z70</f>
        <v>110761.035669116</v>
      </c>
      <c r="AA73" s="53" t="n">
        <f aca="false">AA46+AA70</f>
        <v>119028.475119973</v>
      </c>
      <c r="AB73" s="53" t="n">
        <f aca="false">AB46+AB70</f>
        <v>127925.819625336</v>
      </c>
      <c r="AC73" s="53" t="n">
        <f aca="false">AC46+AC70</f>
        <v>137447.827066192</v>
      </c>
      <c r="AD73" s="53" t="n">
        <f aca="false">AD46+AD70</f>
        <v>147677.385152214</v>
      </c>
      <c r="AE73" s="53" t="n">
        <f aca="false">AE46+AE70</f>
        <v>158677.755468598</v>
      </c>
      <c r="AF73" s="53" t="n">
        <f aca="false">AF46+AF70</f>
        <v>170516.282630261</v>
      </c>
      <c r="AG73" s="53" t="n">
        <f aca="false">AG46+AG70</f>
        <v>183265.579899662</v>
      </c>
      <c r="AH73" s="53" t="n">
        <f aca="false">AH46+AH70</f>
        <v>197004.260522967</v>
      </c>
      <c r="AI73" s="53" t="n">
        <f aca="false">AI46+AI70</f>
        <v>211817.494446207</v>
      </c>
      <c r="AJ73" s="53" t="n">
        <f aca="false">AJ46+AJ70</f>
        <v>227797.591071812</v>
      </c>
      <c r="AK73" s="53" t="n">
        <f aca="false">AK46+AK70</f>
        <v>245044.628803376</v>
      </c>
      <c r="AL73" s="53" t="n">
        <f aca="false">AL46+AL70</f>
        <v>263667.138526335</v>
      </c>
      <c r="AM73" s="53" t="n">
        <f aca="false">SUM(C73:AL73)</f>
        <v>3473778.39059382</v>
      </c>
    </row>
    <row r="74" customFormat="false" ht="15" hidden="false" customHeight="false" outlineLevel="0" collapsed="false">
      <c r="A74" s="37" t="s">
        <v>809</v>
      </c>
      <c r="B74" s="9" t="s">
        <v>61</v>
      </c>
      <c r="C74" s="52" t="n">
        <f aca="false">IFERROR(C73/C72,0)</f>
        <v>0</v>
      </c>
      <c r="D74" s="52" t="n">
        <f aca="false">IFERROR(D73/D72,0)</f>
        <v>0.589556701030928</v>
      </c>
      <c r="E74" s="52" t="n">
        <f aca="false">IFERROR(E73/E72,0)</f>
        <v>0.589556701030928</v>
      </c>
      <c r="F74" s="52" t="n">
        <f aca="false">IFERROR(F73/F72,0)</f>
        <v>0.589556701030928</v>
      </c>
      <c r="G74" s="52" t="n">
        <f aca="false">IFERROR(G73/G72,0)</f>
        <v>0.589556701030928</v>
      </c>
      <c r="H74" s="52" t="n">
        <f aca="false">IFERROR(H73/H72,0)</f>
        <v>0.589556701030928</v>
      </c>
      <c r="I74" s="52" t="n">
        <f aca="false">IFERROR(I73/I72,0)</f>
        <v>0.582652877686025</v>
      </c>
      <c r="J74" s="52" t="n">
        <f aca="false">IFERROR(J73/J72,0)</f>
        <v>0.580282451991916</v>
      </c>
      <c r="K74" s="52" t="n">
        <f aca="false">IFERROR(K73/K72,0)</f>
        <v>0.578379419874692</v>
      </c>
      <c r="L74" s="52" t="n">
        <f aca="false">IFERROR(L73/L72,0)</f>
        <v>0.576784234485141</v>
      </c>
      <c r="M74" s="52" t="n">
        <f aca="false">IFERROR(M73/M72,0)</f>
        <v>0.575399025951967</v>
      </c>
      <c r="N74" s="52" t="n">
        <f aca="false">IFERROR(N73/N72,0)</f>
        <v>0.574160469099934</v>
      </c>
      <c r="O74" s="52" t="n">
        <f aca="false">IFERROR(O73/O72,0)</f>
        <v>0.573025837546462</v>
      </c>
      <c r="P74" s="52" t="n">
        <f aca="false">IFERROR(P73/P72,0)</f>
        <v>0.571965331346754</v>
      </c>
      <c r="Q74" s="52" t="n">
        <f aca="false">IFERROR(Q73/Q72,0)</f>
        <v>0.570957618326104</v>
      </c>
      <c r="R74" s="52" t="n">
        <f aca="false">IFERROR(R73/R72,0)</f>
        <v>0.569987123403802</v>
      </c>
      <c r="S74" s="52" t="n">
        <f aca="false">IFERROR(S73/S72,0)</f>
        <v>0.569042316962165</v>
      </c>
      <c r="T74" s="52" t="n">
        <f aca="false">IFERROR(T73/T72,0)</f>
        <v>0.568114598303661</v>
      </c>
      <c r="U74" s="52" t="n">
        <f aca="false">IFERROR(U73/U72,0)</f>
        <v>0.567198083628401</v>
      </c>
      <c r="V74" s="52" t="n">
        <f aca="false">IFERROR(V73/V72,0)</f>
        <v>0.566282796428641</v>
      </c>
      <c r="W74" s="52" t="n">
        <f aca="false">IFERROR(W73/W72,0)</f>
        <v>0.565367071995323</v>
      </c>
      <c r="X74" s="52" t="n">
        <f aca="false">IFERROR(X73/X72,0)</f>
        <v>0.564453734034287</v>
      </c>
      <c r="Y74" s="52" t="n">
        <f aca="false">IFERROR(Y73/Y72,0)</f>
        <v>0.563545296004646</v>
      </c>
      <c r="Z74" s="52" t="n">
        <f aca="false">IFERROR(Z73/Z72,0)</f>
        <v>0.562643812803681</v>
      </c>
      <c r="AA74" s="52" t="n">
        <f aca="false">IFERROR(AA73/AA72,0)</f>
        <v>0.561750981590931</v>
      </c>
      <c r="AB74" s="52" t="n">
        <f aca="false">IFERROR(AB73/AB72,0)</f>
        <v>0.561006904596567</v>
      </c>
      <c r="AC74" s="52" t="n">
        <f aca="false">IFERROR(AC73/AC72,0)</f>
        <v>0.560415105224951</v>
      </c>
      <c r="AD74" s="52" t="n">
        <f aca="false">IFERROR(AD73/AD72,0)</f>
        <v>0.559907255933861</v>
      </c>
      <c r="AE74" s="52" t="n">
        <f aca="false">IFERROR(AE73/AE72,0)</f>
        <v>0.559469371152123</v>
      </c>
      <c r="AF74" s="52" t="n">
        <f aca="false">IFERROR(AF73/AF72,0)</f>
        <v>0.559089830959744</v>
      </c>
      <c r="AG74" s="52" t="n">
        <f aca="false">IFERROR(AG73/AG72,0)</f>
        <v>0.558759024163512</v>
      </c>
      <c r="AH74" s="52" t="n">
        <f aca="false">IFERROR(AH73/AH72,0)</f>
        <v>0.558468993764562</v>
      </c>
      <c r="AI74" s="52" t="n">
        <f aca="false">IFERROR(AI73/AI72,0)</f>
        <v>0.558213141841483</v>
      </c>
      <c r="AJ74" s="52" t="n">
        <f aca="false">IFERROR(AJ73/AJ72,0)</f>
        <v>0.557985990677596</v>
      </c>
      <c r="AK74" s="52" t="n">
        <f aca="false">IFERROR(AK73/AK72,0)</f>
        <v>0.557782988130409</v>
      </c>
      <c r="AL74" s="52" t="n">
        <f aca="false">IFERROR(AL73/AL72,0)</f>
        <v>0.557600348319735</v>
      </c>
      <c r="AM74" s="52" t="n">
        <f aca="false">AVERAGE(N74:AL74)</f>
        <v>0.563887761049573</v>
      </c>
    </row>
    <row r="75" customFormat="false" ht="15" hidden="false" customHeight="false" outlineLevel="0" collapsed="false">
      <c r="A75" s="10" t="s">
        <v>810</v>
      </c>
      <c r="B75" s="9" t="s">
        <v>97</v>
      </c>
      <c r="C75" s="70" t="n">
        <f aca="false">-Assumptions!$G$82</f>
        <v>-600</v>
      </c>
      <c r="D75" s="70" t="n">
        <f aca="false">-Assumptions!$G$82</f>
        <v>-600</v>
      </c>
      <c r="E75" s="70" t="n">
        <f aca="false">-Assumptions!$G$82</f>
        <v>-600</v>
      </c>
      <c r="F75" s="70" t="n">
        <f aca="false">-Assumptions!$G$82</f>
        <v>-600</v>
      </c>
      <c r="G75" s="70" t="n">
        <f aca="false">-Assumptions!$G$82</f>
        <v>-600</v>
      </c>
      <c r="H75" s="70" t="n">
        <f aca="false">-Assumptions!$G$82</f>
        <v>-600</v>
      </c>
      <c r="I75" s="70" t="n">
        <f aca="false">-Assumptions!$G$82</f>
        <v>-600</v>
      </c>
      <c r="J75" s="70" t="n">
        <f aca="false">-Assumptions!$G$82</f>
        <v>-600</v>
      </c>
      <c r="K75" s="70" t="n">
        <f aca="false">-Assumptions!$G$82</f>
        <v>-600</v>
      </c>
      <c r="L75" s="70" t="n">
        <f aca="false">-Assumptions!$G$82</f>
        <v>-600</v>
      </c>
      <c r="M75" s="70" t="n">
        <f aca="false">-Assumptions!$G$82</f>
        <v>-600</v>
      </c>
      <c r="N75" s="70" t="n">
        <f aca="false">-Assumptions!$G$82</f>
        <v>-600</v>
      </c>
      <c r="O75" s="70" t="n">
        <f aca="false">-Assumptions!$G$82</f>
        <v>-600</v>
      </c>
      <c r="P75" s="70" t="n">
        <f aca="false">-Assumptions!$G$82</f>
        <v>-600</v>
      </c>
      <c r="Q75" s="70" t="n">
        <f aca="false">-Assumptions!$G$82</f>
        <v>-600</v>
      </c>
      <c r="R75" s="70" t="n">
        <f aca="false">-Assumptions!$G$82</f>
        <v>-600</v>
      </c>
      <c r="S75" s="70" t="n">
        <f aca="false">-Assumptions!$G$82</f>
        <v>-600</v>
      </c>
      <c r="T75" s="70" t="n">
        <f aca="false">-Assumptions!$G$82</f>
        <v>-600</v>
      </c>
      <c r="U75" s="70" t="n">
        <f aca="false">-Assumptions!$G$82</f>
        <v>-600</v>
      </c>
      <c r="V75" s="70" t="n">
        <f aca="false">-Assumptions!$G$82</f>
        <v>-600</v>
      </c>
      <c r="W75" s="70" t="n">
        <f aca="false">-Assumptions!$G$82</f>
        <v>-600</v>
      </c>
      <c r="X75" s="70" t="n">
        <f aca="false">-Assumptions!$G$82</f>
        <v>-600</v>
      </c>
      <c r="Y75" s="70" t="n">
        <f aca="false">-Assumptions!$G$82</f>
        <v>-600</v>
      </c>
      <c r="Z75" s="70" t="n">
        <f aca="false">-Assumptions!$G$82</f>
        <v>-600</v>
      </c>
      <c r="AA75" s="70" t="n">
        <f aca="false">-Assumptions!$G$82</f>
        <v>-600</v>
      </c>
      <c r="AB75" s="70" t="n">
        <f aca="false">-Assumptions!$G$82</f>
        <v>-600</v>
      </c>
      <c r="AC75" s="70" t="n">
        <f aca="false">-Assumptions!$G$82</f>
        <v>-600</v>
      </c>
      <c r="AD75" s="70" t="n">
        <f aca="false">-Assumptions!$G$82</f>
        <v>-600</v>
      </c>
      <c r="AE75" s="70" t="n">
        <f aca="false">-Assumptions!$G$82</f>
        <v>-600</v>
      </c>
      <c r="AF75" s="70" t="n">
        <f aca="false">-Assumptions!$G$82</f>
        <v>-600</v>
      </c>
      <c r="AG75" s="70" t="n">
        <f aca="false">-Assumptions!$G$82</f>
        <v>-600</v>
      </c>
      <c r="AH75" s="70" t="n">
        <f aca="false">-Assumptions!$G$82</f>
        <v>-600</v>
      </c>
      <c r="AI75" s="70" t="n">
        <f aca="false">-Assumptions!$G$82</f>
        <v>-600</v>
      </c>
      <c r="AJ75" s="70" t="n">
        <f aca="false">-Assumptions!$G$82</f>
        <v>-600</v>
      </c>
      <c r="AK75" s="70" t="n">
        <f aca="false">-Assumptions!$G$82</f>
        <v>-600</v>
      </c>
      <c r="AL75" s="70" t="n">
        <f aca="false">-Assumptions!$G$82</f>
        <v>-600</v>
      </c>
      <c r="AM75" s="70" t="n">
        <f aca="false">SUM(C75:AL75)</f>
        <v>-21600</v>
      </c>
    </row>
    <row r="76" customFormat="false" ht="15" hidden="false" customHeight="false" outlineLevel="0" collapsed="false">
      <c r="A76" s="10" t="s">
        <v>811</v>
      </c>
      <c r="B76" s="9" t="s">
        <v>97</v>
      </c>
      <c r="C76" s="70" t="n">
        <f aca="false">-Assumptions!$G$83</f>
        <v>-280</v>
      </c>
      <c r="D76" s="70" t="n">
        <f aca="false">-Assumptions!$G$83</f>
        <v>-280</v>
      </c>
      <c r="E76" s="70" t="n">
        <f aca="false">-Assumptions!$G$83</f>
        <v>-280</v>
      </c>
      <c r="F76" s="70" t="n">
        <f aca="false">-Assumptions!$G$83</f>
        <v>-280</v>
      </c>
      <c r="G76" s="70" t="n">
        <f aca="false">-Assumptions!$G$83</f>
        <v>-280</v>
      </c>
      <c r="H76" s="70" t="n">
        <f aca="false">-Assumptions!$G$83</f>
        <v>-280</v>
      </c>
      <c r="I76" s="70" t="n">
        <f aca="false">-Assumptions!$G$83</f>
        <v>-280</v>
      </c>
      <c r="J76" s="70" t="n">
        <f aca="false">-Assumptions!$G$83</f>
        <v>-280</v>
      </c>
      <c r="K76" s="70" t="n">
        <f aca="false">-Assumptions!$G$83</f>
        <v>-280</v>
      </c>
      <c r="L76" s="70" t="n">
        <f aca="false">-Assumptions!$G$83</f>
        <v>-280</v>
      </c>
      <c r="M76" s="70" t="n">
        <f aca="false">-Assumptions!$G$83</f>
        <v>-280</v>
      </c>
      <c r="N76" s="70" t="n">
        <f aca="false">-Assumptions!$G$83</f>
        <v>-280</v>
      </c>
      <c r="O76" s="70" t="n">
        <f aca="false">-Assumptions!$G$83</f>
        <v>-280</v>
      </c>
      <c r="P76" s="70" t="n">
        <f aca="false">-Assumptions!$G$83</f>
        <v>-280</v>
      </c>
      <c r="Q76" s="70" t="n">
        <f aca="false">-Assumptions!$G$83</f>
        <v>-280</v>
      </c>
      <c r="R76" s="70" t="n">
        <f aca="false">-Assumptions!$G$83</f>
        <v>-280</v>
      </c>
      <c r="S76" s="70" t="n">
        <f aca="false">-Assumptions!$G$83</f>
        <v>-280</v>
      </c>
      <c r="T76" s="70" t="n">
        <f aca="false">-Assumptions!$G$83</f>
        <v>-280</v>
      </c>
      <c r="U76" s="70" t="n">
        <f aca="false">-Assumptions!$G$83</f>
        <v>-280</v>
      </c>
      <c r="V76" s="70" t="n">
        <f aca="false">-Assumptions!$G$83</f>
        <v>-280</v>
      </c>
      <c r="W76" s="70" t="n">
        <f aca="false">-Assumptions!$G$83</f>
        <v>-280</v>
      </c>
      <c r="X76" s="70" t="n">
        <f aca="false">-Assumptions!$G$83</f>
        <v>-280</v>
      </c>
      <c r="Y76" s="70" t="n">
        <f aca="false">-Assumptions!$G$83</f>
        <v>-280</v>
      </c>
      <c r="Z76" s="70" t="n">
        <f aca="false">-Assumptions!$G$83</f>
        <v>-280</v>
      </c>
      <c r="AA76" s="70" t="n">
        <f aca="false">-Assumptions!$G$83</f>
        <v>-280</v>
      </c>
      <c r="AB76" s="70" t="n">
        <f aca="false">-Assumptions!$G$83</f>
        <v>-280</v>
      </c>
      <c r="AC76" s="70" t="n">
        <f aca="false">-Assumptions!$G$83</f>
        <v>-280</v>
      </c>
      <c r="AD76" s="70" t="n">
        <f aca="false">-Assumptions!$G$83</f>
        <v>-280</v>
      </c>
      <c r="AE76" s="70" t="n">
        <f aca="false">-Assumptions!$G$83</f>
        <v>-280</v>
      </c>
      <c r="AF76" s="70" t="n">
        <f aca="false">-Assumptions!$G$83</f>
        <v>-280</v>
      </c>
      <c r="AG76" s="70" t="n">
        <f aca="false">-Assumptions!$G$83</f>
        <v>-280</v>
      </c>
      <c r="AH76" s="70" t="n">
        <f aca="false">-Assumptions!$G$83</f>
        <v>-280</v>
      </c>
      <c r="AI76" s="70" t="n">
        <f aca="false">-Assumptions!$G$83</f>
        <v>-280</v>
      </c>
      <c r="AJ76" s="70" t="n">
        <f aca="false">-Assumptions!$G$83</f>
        <v>-280</v>
      </c>
      <c r="AK76" s="70" t="n">
        <f aca="false">-Assumptions!$G$83</f>
        <v>-280</v>
      </c>
      <c r="AL76" s="70" t="n">
        <f aca="false">-Assumptions!$G$83</f>
        <v>-280</v>
      </c>
      <c r="AM76" s="70" t="n">
        <f aca="false">SUM(C76:AL76)</f>
        <v>-10080</v>
      </c>
    </row>
    <row r="77" customFormat="false" ht="15" hidden="false" customHeight="false" outlineLevel="0" collapsed="false">
      <c r="A77" s="10" t="s">
        <v>812</v>
      </c>
      <c r="B77" s="9" t="s">
        <v>97</v>
      </c>
      <c r="C77" s="70" t="n">
        <f aca="false">-MAX(IF(C8=0,Assumptions!$G$84,IF(C$5&lt;=12,Assumptions!$G$85,IF(C$5&lt;=24,Assumptions!$G$86,Assumptions!$G$87))))</f>
        <v>-6000</v>
      </c>
      <c r="D77" s="70" t="n">
        <f aca="false">-MAX(IF(D8=0,Assumptions!$G$84,IF(D$5&lt;=12,Assumptions!$G$85,IF(D$5&lt;=24,Assumptions!$G$86,Assumptions!$G$87))),C72*Assumptions!$G$88)</f>
        <v>-16000</v>
      </c>
      <c r="E77" s="70" t="n">
        <f aca="false">-MAX(IF(E8=0,Assumptions!$G$84,IF(E$5&lt;=12,Assumptions!$G$85,IF(E$5&lt;=24,Assumptions!$G$86,Assumptions!$G$87))),D72*Assumptions!$G$88)</f>
        <v>-16000</v>
      </c>
      <c r="F77" s="70" t="n">
        <f aca="false">-MAX(IF(F8=0,Assumptions!$G$84,IF(F$5&lt;=12,Assumptions!$G$85,IF(F$5&lt;=24,Assumptions!$G$86,Assumptions!$G$87))),E72*Assumptions!$G$88)</f>
        <v>-16000</v>
      </c>
      <c r="G77" s="70" t="n">
        <f aca="false">-MAX(IF(G8=0,Assumptions!$G$84,IF(G$5&lt;=12,Assumptions!$G$85,IF(G$5&lt;=24,Assumptions!$G$86,Assumptions!$G$87))),F72*Assumptions!$G$88)</f>
        <v>-16000</v>
      </c>
      <c r="H77" s="70" t="n">
        <f aca="false">-MAX(IF(H8=0,Assumptions!$G$84,IF(H$5&lt;=12,Assumptions!$G$85,IF(H$5&lt;=24,Assumptions!$G$86,Assumptions!$G$87))),G72*Assumptions!$G$88)</f>
        <v>-16000</v>
      </c>
      <c r="I77" s="70" t="n">
        <f aca="false">-MAX(IF(I8=0,Assumptions!$G$84,IF(I$5&lt;=12,Assumptions!$G$85,IF(I$5&lt;=24,Assumptions!$G$86,Assumptions!$G$87))),H72*Assumptions!$G$88)</f>
        <v>-16000</v>
      </c>
      <c r="J77" s="70" t="n">
        <f aca="false">-MAX(IF(J8=0,Assumptions!$G$84,IF(J$5&lt;=12,Assumptions!$G$85,IF(J$5&lt;=24,Assumptions!$G$86,Assumptions!$G$87))),I72*Assumptions!$G$88)</f>
        <v>-16000</v>
      </c>
      <c r="K77" s="70" t="n">
        <f aca="false">-MAX(IF(K8=0,Assumptions!$G$84,IF(K$5&lt;=12,Assumptions!$G$85,IF(K$5&lt;=24,Assumptions!$G$86,Assumptions!$G$87))),J72*Assumptions!$G$88)</f>
        <v>-16000</v>
      </c>
      <c r="L77" s="70" t="n">
        <f aca="false">-MAX(IF(L8=0,Assumptions!$G$84,IF(L$5&lt;=12,Assumptions!$G$85,IF(L$5&lt;=24,Assumptions!$G$86,Assumptions!$G$87))),K72*Assumptions!$G$88)</f>
        <v>-16000</v>
      </c>
      <c r="M77" s="70" t="n">
        <f aca="false">-MAX(IF(M8=0,Assumptions!$G$84,IF(M$5&lt;=12,Assumptions!$G$85,IF(M$5&lt;=24,Assumptions!$G$86,Assumptions!$G$87))),L72*Assumptions!$G$88)</f>
        <v>-16000</v>
      </c>
      <c r="N77" s="70" t="n">
        <f aca="false">-MAX(IF(N8=0,Assumptions!$G$84,IF(N$5&lt;=12,Assumptions!$G$85,IF(N$5&lt;=24,Assumptions!$G$86,Assumptions!$G$87))),M72*Assumptions!$G$88)</f>
        <v>-16000</v>
      </c>
      <c r="O77" s="70" t="n">
        <f aca="false">-MAX(IF(O8=0,Assumptions!$G$84,IF(O$5&lt;=12,Assumptions!$G$85,IF(O$5&lt;=24,Assumptions!$G$86,Assumptions!$G$87))),N72*Assumptions!$G$88)</f>
        <v>-34000</v>
      </c>
      <c r="P77" s="70" t="n">
        <f aca="false">-MAX(IF(P8=0,Assumptions!$G$84,IF(P$5&lt;=12,Assumptions!$G$85,IF(P$5&lt;=24,Assumptions!$G$86,Assumptions!$G$87))),O72*Assumptions!$G$88)</f>
        <v>-34000</v>
      </c>
      <c r="Q77" s="70" t="n">
        <f aca="false">-MAX(IF(Q8=0,Assumptions!$G$84,IF(Q$5&lt;=12,Assumptions!$G$85,IF(Q$5&lt;=24,Assumptions!$G$86,Assumptions!$G$87))),P72*Assumptions!$G$88)</f>
        <v>-34000</v>
      </c>
      <c r="R77" s="70" t="n">
        <f aca="false">-MAX(IF(R8=0,Assumptions!$G$84,IF(R$5&lt;=12,Assumptions!$G$85,IF(R$5&lt;=24,Assumptions!$G$86,Assumptions!$G$87))),Q72*Assumptions!$G$88)</f>
        <v>-34000</v>
      </c>
      <c r="S77" s="70" t="n">
        <f aca="false">-MAX(IF(S8=0,Assumptions!$G$84,IF(S$5&lt;=12,Assumptions!$G$85,IF(S$5&lt;=24,Assumptions!$G$86,Assumptions!$G$87))),R72*Assumptions!$G$88)</f>
        <v>-34000</v>
      </c>
      <c r="T77" s="70" t="n">
        <f aca="false">-MAX(IF(T8=0,Assumptions!$G$84,IF(T$5&lt;=12,Assumptions!$G$85,IF(T$5&lt;=24,Assumptions!$G$86,Assumptions!$G$87))),S72*Assumptions!$G$88)</f>
        <v>-34000</v>
      </c>
      <c r="U77" s="70" t="n">
        <f aca="false">-MAX(IF(U8=0,Assumptions!$G$84,IF(U$5&lt;=12,Assumptions!$G$85,IF(U$5&lt;=24,Assumptions!$G$86,Assumptions!$G$87))),T72*Assumptions!$G$88)</f>
        <v>-34000</v>
      </c>
      <c r="V77" s="70" t="n">
        <f aca="false">-MAX(IF(V8=0,Assumptions!$G$84,IF(V$5&lt;=12,Assumptions!$G$85,IF(V$5&lt;=24,Assumptions!$G$86,Assumptions!$G$87))),U72*Assumptions!$G$88)</f>
        <v>-34000</v>
      </c>
      <c r="W77" s="70" t="n">
        <f aca="false">-MAX(IF(W8=0,Assumptions!$G$84,IF(W$5&lt;=12,Assumptions!$G$85,IF(W$5&lt;=24,Assumptions!$G$86,Assumptions!$G$87))),V72*Assumptions!$G$88)</f>
        <v>-34000</v>
      </c>
      <c r="X77" s="70" t="n">
        <f aca="false">-MAX(IF(X8=0,Assumptions!$G$84,IF(X$5&lt;=12,Assumptions!$G$85,IF(X$5&lt;=24,Assumptions!$G$86,Assumptions!$G$87))),W72*Assumptions!$G$88)</f>
        <v>-34000</v>
      </c>
      <c r="Y77" s="70" t="n">
        <f aca="false">-MAX(IF(Y8=0,Assumptions!$G$84,IF(Y$5&lt;=12,Assumptions!$G$85,IF(Y$5&lt;=24,Assumptions!$G$86,Assumptions!$G$87))),X72*Assumptions!$G$88)</f>
        <v>-34000</v>
      </c>
      <c r="Z77" s="70" t="n">
        <f aca="false">-MAX(IF(Z8=0,Assumptions!$G$84,IF(Z$5&lt;=12,Assumptions!$G$85,IF(Z$5&lt;=24,Assumptions!$G$86,Assumptions!$G$87))),Y72*Assumptions!$G$88)</f>
        <v>-34000</v>
      </c>
      <c r="AA77" s="70" t="n">
        <f aca="false">-MAX(IF(AA8=0,Assumptions!$G$84,IF(AA$5&lt;=12,Assumptions!$G$85,IF(AA$5&lt;=24,Assumptions!$G$86,Assumptions!$G$87))),Z72*Assumptions!$G$88)</f>
        <v>-55000</v>
      </c>
      <c r="AB77" s="70" t="n">
        <f aca="false">-MAX(IF(AB8=0,Assumptions!$G$84,IF(AB$5&lt;=12,Assumptions!$G$85,IF(AB$5&lt;=24,Assumptions!$G$86,Assumptions!$G$87))),AA72*Assumptions!$G$88)</f>
        <v>-55000</v>
      </c>
      <c r="AC77" s="70" t="n">
        <f aca="false">-MAX(IF(AC8=0,Assumptions!$G$84,IF(AC$5&lt;=12,Assumptions!$G$85,IF(AC$5&lt;=24,Assumptions!$G$86,Assumptions!$G$87))),AB72*Assumptions!$G$88)</f>
        <v>-55000</v>
      </c>
      <c r="AD77" s="70" t="n">
        <f aca="false">-MAX(IF(AD8=0,Assumptions!$G$84,IF(AD$5&lt;=12,Assumptions!$G$85,IF(AD$5&lt;=24,Assumptions!$G$86,Assumptions!$G$87))),AC72*Assumptions!$G$88)</f>
        <v>-55000</v>
      </c>
      <c r="AE77" s="70" t="n">
        <f aca="false">-MAX(IF(AE8=0,Assumptions!$G$84,IF(AE$5&lt;=12,Assumptions!$G$85,IF(AE$5&lt;=24,Assumptions!$G$86,Assumptions!$G$87))),AD72*Assumptions!$G$88)</f>
        <v>-55000</v>
      </c>
      <c r="AF77" s="70" t="n">
        <f aca="false">-MAX(IF(AF8=0,Assumptions!$G$84,IF(AF$5&lt;=12,Assumptions!$G$85,IF(AF$5&lt;=24,Assumptions!$G$86,Assumptions!$G$87))),AE72*Assumptions!$G$88)</f>
        <v>-55000</v>
      </c>
      <c r="AG77" s="70" t="n">
        <f aca="false">-MAX(IF(AG8=0,Assumptions!$G$84,IF(AG$5&lt;=12,Assumptions!$G$85,IF(AG$5&lt;=24,Assumptions!$G$86,Assumptions!$G$87))),AF72*Assumptions!$G$88)</f>
        <v>-55000</v>
      </c>
      <c r="AH77" s="70" t="n">
        <f aca="false">-MAX(IF(AH8=0,Assumptions!$G$84,IF(AH$5&lt;=12,Assumptions!$G$85,IF(AH$5&lt;=24,Assumptions!$G$86,Assumptions!$G$87))),AG72*Assumptions!$G$88)</f>
        <v>-55000</v>
      </c>
      <c r="AI77" s="70" t="n">
        <f aca="false">-MAX(IF(AI8=0,Assumptions!$G$84,IF(AI$5&lt;=12,Assumptions!$G$85,IF(AI$5&lt;=24,Assumptions!$G$86,Assumptions!$G$87))),AH72*Assumptions!$G$88)</f>
        <v>-55000</v>
      </c>
      <c r="AJ77" s="70" t="n">
        <f aca="false">-MAX(IF(AJ8=0,Assumptions!$G$84,IF(AJ$5&lt;=12,Assumptions!$G$85,IF(AJ$5&lt;=24,Assumptions!$G$86,Assumptions!$G$87))),AI72*Assumptions!$G$88)</f>
        <v>-55000</v>
      </c>
      <c r="AK77" s="70" t="n">
        <f aca="false">-MAX(IF(AK8=0,Assumptions!$G$84,IF(AK$5&lt;=12,Assumptions!$G$85,IF(AK$5&lt;=24,Assumptions!$G$86,Assumptions!$G$87))),AJ72*Assumptions!$G$88)</f>
        <v>-55000</v>
      </c>
      <c r="AL77" s="70" t="n">
        <f aca="false">-MAX(IF(AL8=0,Assumptions!$G$84,IF(AL$5&lt;=12,Assumptions!$G$85,IF(AL$5&lt;=24,Assumptions!$G$86,Assumptions!$G$87))),AK72*Assumptions!$G$88)</f>
        <v>-55000</v>
      </c>
      <c r="AM77" s="70" t="n">
        <f aca="false">SUM(C77:AL77)</f>
        <v>-1250000</v>
      </c>
    </row>
    <row r="78" customFormat="false" ht="15" hidden="false" customHeight="false" outlineLevel="0" collapsed="false">
      <c r="A78" s="10" t="s">
        <v>813</v>
      </c>
      <c r="B78" s="9" t="s">
        <v>97</v>
      </c>
      <c r="C78" s="70" t="n">
        <f aca="false">-IF(C$5&gt;=Assumptions!$G$7-2,Assumptions!$G$91,0)</f>
        <v>-0</v>
      </c>
      <c r="D78" s="70" t="n">
        <f aca="false">-IF(D$5&gt;=Assumptions!$G$7-2,Assumptions!$G$91,0)</f>
        <v>-0</v>
      </c>
      <c r="E78" s="70" t="n">
        <f aca="false">-IF(E$5&gt;=Assumptions!$G$7-2,Assumptions!$G$91,0)</f>
        <v>-0</v>
      </c>
      <c r="F78" s="70" t="n">
        <f aca="false">-IF(F$5&gt;=Assumptions!$G$7-2,Assumptions!$G$91,0)</f>
        <v>-0</v>
      </c>
      <c r="G78" s="70" t="n">
        <f aca="false">-IF(G$5&gt;=Assumptions!$G$7-2,Assumptions!$G$91,0)</f>
        <v>-9000</v>
      </c>
      <c r="H78" s="70" t="n">
        <f aca="false">-IF(H$5&gt;=Assumptions!$G$7-2,Assumptions!$G$91,0)</f>
        <v>-9000</v>
      </c>
      <c r="I78" s="70" t="n">
        <f aca="false">-IF(I$5&gt;=Assumptions!$G$7-2,Assumptions!$G$91,0)</f>
        <v>-9000</v>
      </c>
      <c r="J78" s="70" t="n">
        <f aca="false">-IF(J$5&gt;=Assumptions!$G$7-2,Assumptions!$G$91,0)</f>
        <v>-9000</v>
      </c>
      <c r="K78" s="70" t="n">
        <f aca="false">-IF(K$5&gt;=Assumptions!$G$7-2,Assumptions!$G$91,0)</f>
        <v>-9000</v>
      </c>
      <c r="L78" s="70" t="n">
        <f aca="false">-IF(L$5&gt;=Assumptions!$G$7-2,Assumptions!$G$91,0)</f>
        <v>-9000</v>
      </c>
      <c r="M78" s="70" t="n">
        <f aca="false">-IF(M$5&gt;=Assumptions!$G$7-2,Assumptions!$G$91,0)</f>
        <v>-9000</v>
      </c>
      <c r="N78" s="70" t="n">
        <f aca="false">-IF(N$5&gt;=Assumptions!$G$7-2,Assumptions!$G$91,0)</f>
        <v>-9000</v>
      </c>
      <c r="O78" s="70" t="n">
        <f aca="false">-IF(O$5&gt;=Assumptions!$G$7-2,Assumptions!$G$91,0)</f>
        <v>-9000</v>
      </c>
      <c r="P78" s="70" t="n">
        <f aca="false">-IF(P$5&gt;=Assumptions!$G$7-2,Assumptions!$G$91,0)</f>
        <v>-9000</v>
      </c>
      <c r="Q78" s="70" t="n">
        <f aca="false">-IF(Q$5&gt;=Assumptions!$G$7-2,Assumptions!$G$91,0)</f>
        <v>-9000</v>
      </c>
      <c r="R78" s="70" t="n">
        <f aca="false">-IF(R$5&gt;=Assumptions!$G$7-2,Assumptions!$G$91,0)</f>
        <v>-9000</v>
      </c>
      <c r="S78" s="70" t="n">
        <f aca="false">-IF(S$5&gt;=Assumptions!$G$7-2,Assumptions!$G$91,0)</f>
        <v>-9000</v>
      </c>
      <c r="T78" s="70" t="n">
        <f aca="false">-IF(T$5&gt;=Assumptions!$G$7-2,Assumptions!$G$91,0)</f>
        <v>-9000</v>
      </c>
      <c r="U78" s="70" t="n">
        <f aca="false">-IF(U$5&gt;=Assumptions!$G$7-2,Assumptions!$G$91,0)</f>
        <v>-9000</v>
      </c>
      <c r="V78" s="70" t="n">
        <f aca="false">-IF(V$5&gt;=Assumptions!$G$7-2,Assumptions!$G$91,0)</f>
        <v>-9000</v>
      </c>
      <c r="W78" s="70" t="n">
        <f aca="false">-IF(W$5&gt;=Assumptions!$G$7-2,Assumptions!$G$91,0)</f>
        <v>-9000</v>
      </c>
      <c r="X78" s="70" t="n">
        <f aca="false">-IF(X$5&gt;=Assumptions!$G$7-2,Assumptions!$G$91,0)</f>
        <v>-9000</v>
      </c>
      <c r="Y78" s="70" t="n">
        <f aca="false">-IF(Y$5&gt;=Assumptions!$G$7-2,Assumptions!$G$91,0)</f>
        <v>-9000</v>
      </c>
      <c r="Z78" s="70" t="n">
        <f aca="false">-IF(Z$5&gt;=Assumptions!$G$7-2,Assumptions!$G$91,0)</f>
        <v>-9000</v>
      </c>
      <c r="AA78" s="70" t="n">
        <f aca="false">-IF(AA$5&gt;=Assumptions!$G$7-2,Assumptions!$G$91,0)</f>
        <v>-9000</v>
      </c>
      <c r="AB78" s="70" t="n">
        <f aca="false">-IF(AB$5&gt;=Assumptions!$G$7-2,Assumptions!$G$91,0)</f>
        <v>-9000</v>
      </c>
      <c r="AC78" s="70" t="n">
        <f aca="false">-IF(AC$5&gt;=Assumptions!$G$7-2,Assumptions!$G$91,0)</f>
        <v>-9000</v>
      </c>
      <c r="AD78" s="70" t="n">
        <f aca="false">-IF(AD$5&gt;=Assumptions!$G$7-2,Assumptions!$G$91,0)</f>
        <v>-9000</v>
      </c>
      <c r="AE78" s="70" t="n">
        <f aca="false">-IF(AE$5&gt;=Assumptions!$G$7-2,Assumptions!$G$91,0)</f>
        <v>-9000</v>
      </c>
      <c r="AF78" s="70" t="n">
        <f aca="false">-IF(AF$5&gt;=Assumptions!$G$7-2,Assumptions!$G$91,0)</f>
        <v>-9000</v>
      </c>
      <c r="AG78" s="70" t="n">
        <f aca="false">-IF(AG$5&gt;=Assumptions!$G$7-2,Assumptions!$G$91,0)</f>
        <v>-9000</v>
      </c>
      <c r="AH78" s="70" t="n">
        <f aca="false">-IF(AH$5&gt;=Assumptions!$G$7-2,Assumptions!$G$91,0)</f>
        <v>-9000</v>
      </c>
      <c r="AI78" s="70" t="n">
        <f aca="false">-IF(AI$5&gt;=Assumptions!$G$7-2,Assumptions!$G$91,0)</f>
        <v>-9000</v>
      </c>
      <c r="AJ78" s="70" t="n">
        <f aca="false">-IF(AJ$5&gt;=Assumptions!$G$7-2,Assumptions!$G$91,0)</f>
        <v>-9000</v>
      </c>
      <c r="AK78" s="70" t="n">
        <f aca="false">-IF(AK$5&gt;=Assumptions!$G$7-2,Assumptions!$G$91,0)</f>
        <v>-9000</v>
      </c>
      <c r="AL78" s="70" t="n">
        <f aca="false">-IF(AL$5&gt;=Assumptions!$G$7-2,Assumptions!$G$91,0)</f>
        <v>-9000</v>
      </c>
      <c r="AM78" s="70" t="n">
        <f aca="false">SUM(C78:AL78)</f>
        <v>-288000</v>
      </c>
    </row>
    <row r="79" customFormat="false" ht="15" hidden="false" customHeight="false" outlineLevel="0" collapsed="false">
      <c r="A79" s="10" t="s">
        <v>814</v>
      </c>
      <c r="B79" s="9" t="s">
        <v>97</v>
      </c>
      <c r="C79" s="70" t="n">
        <f aca="false">-Assumptions!$G$92</f>
        <v>-1200</v>
      </c>
      <c r="D79" s="70" t="n">
        <f aca="false">-MAX(Assumptions!$G$92,C72*Assumptions!$G$90)</f>
        <v>-1200</v>
      </c>
      <c r="E79" s="70" t="n">
        <f aca="false">-MAX(Assumptions!$G$92,D72*Assumptions!$G$90)</f>
        <v>-1200</v>
      </c>
      <c r="F79" s="70" t="n">
        <f aca="false">-MAX(Assumptions!$G$92,E72*Assumptions!$G$90)</f>
        <v>-1200</v>
      </c>
      <c r="G79" s="70" t="n">
        <f aca="false">-MAX(Assumptions!$G$92,F72*Assumptions!$G$90)</f>
        <v>-1200</v>
      </c>
      <c r="H79" s="70" t="n">
        <f aca="false">-MAX(Assumptions!$G$92,G72*Assumptions!$G$90)</f>
        <v>-1200</v>
      </c>
      <c r="I79" s="70" t="n">
        <f aca="false">-MAX(Assumptions!$G$92,H72*Assumptions!$G$90)</f>
        <v>-1200</v>
      </c>
      <c r="J79" s="70" t="n">
        <f aca="false">-MAX(Assumptions!$G$92,I72*Assumptions!$G$90)</f>
        <v>-1200</v>
      </c>
      <c r="K79" s="70" t="n">
        <f aca="false">-MAX(Assumptions!$G$92,J72*Assumptions!$G$90)</f>
        <v>-1200</v>
      </c>
      <c r="L79" s="70" t="n">
        <f aca="false">-MAX(Assumptions!$G$92,K72*Assumptions!$G$90)</f>
        <v>-1200</v>
      </c>
      <c r="M79" s="70" t="n">
        <f aca="false">-MAX(Assumptions!$G$92,L72*Assumptions!$G$90)</f>
        <v>-1200</v>
      </c>
      <c r="N79" s="70" t="n">
        <f aca="false">-MAX(Assumptions!$G$92,M72*Assumptions!$G$90)</f>
        <v>-1200</v>
      </c>
      <c r="O79" s="70" t="n">
        <f aca="false">-MAX(Assumptions!$G$92,N72*Assumptions!$G$90)</f>
        <v>-1200</v>
      </c>
      <c r="P79" s="70" t="n">
        <f aca="false">-MAX(Assumptions!$G$92,O72*Assumptions!$G$90)</f>
        <v>-1200</v>
      </c>
      <c r="Q79" s="70" t="n">
        <f aca="false">-MAX(Assumptions!$G$92,P72*Assumptions!$G$90)</f>
        <v>-1200</v>
      </c>
      <c r="R79" s="70" t="n">
        <f aca="false">-MAX(Assumptions!$G$92,Q72*Assumptions!$G$90)</f>
        <v>-1200</v>
      </c>
      <c r="S79" s="70" t="n">
        <f aca="false">-MAX(Assumptions!$G$92,R72*Assumptions!$G$90)</f>
        <v>-1200</v>
      </c>
      <c r="T79" s="70" t="n">
        <f aca="false">-MAX(Assumptions!$G$92,S72*Assumptions!$G$90)</f>
        <v>-1200</v>
      </c>
      <c r="U79" s="70" t="n">
        <f aca="false">-MAX(Assumptions!$G$92,T72*Assumptions!$G$90)</f>
        <v>-1200</v>
      </c>
      <c r="V79" s="70" t="n">
        <f aca="false">-MAX(Assumptions!$G$92,U72*Assumptions!$G$90)</f>
        <v>-1200</v>
      </c>
      <c r="W79" s="70" t="n">
        <f aca="false">-MAX(Assumptions!$G$92,V72*Assumptions!$G$90)</f>
        <v>-1200</v>
      </c>
      <c r="X79" s="70" t="n">
        <f aca="false">-MAX(Assumptions!$G$92,W72*Assumptions!$G$90)</f>
        <v>-1272.76069710842</v>
      </c>
      <c r="Y79" s="70" t="n">
        <f aca="false">-MAX(Assumptions!$G$92,X72*Assumptions!$G$90)</f>
        <v>-1364.52335140363</v>
      </c>
      <c r="Z79" s="70" t="n">
        <f aca="false">-MAX(Assumptions!$G$92,Y72*Assumptions!$G$90)</f>
        <v>-1464.96066047406</v>
      </c>
      <c r="AA79" s="70" t="n">
        <f aca="false">-MAX(Assumptions!$G$92,Z72*Assumptions!$G$90)</f>
        <v>-1574.86542140668</v>
      </c>
      <c r="AB79" s="70" t="n">
        <f aca="false">-MAX(Assumptions!$G$92,AA72*Assumptions!$G$90)</f>
        <v>-1695.10660802583</v>
      </c>
      <c r="AC79" s="70" t="n">
        <f aca="false">-MAX(Assumptions!$G$92,AB72*Assumptions!$G$90)</f>
        <v>-1824.23166028347</v>
      </c>
      <c r="AD79" s="70" t="n">
        <f aca="false">-MAX(Assumptions!$G$92,AC72*Assumptions!$G$90)</f>
        <v>-1962.08597212625</v>
      </c>
      <c r="AE79" s="70" t="n">
        <f aca="false">-MAX(Assumptions!$G$92,AD72*Assumptions!$G$90)</f>
        <v>-2110.02638150713</v>
      </c>
      <c r="AF79" s="70" t="n">
        <f aca="false">-MAX(Assumptions!$G$92,AE72*Assumptions!$G$90)</f>
        <v>-2268.97504886576</v>
      </c>
      <c r="AG79" s="70" t="n">
        <f aca="false">-MAX(Assumptions!$G$92,AF72*Assumptions!$G$90)</f>
        <v>-2439.9124890188</v>
      </c>
      <c r="AH79" s="70" t="n">
        <f aca="false">-MAX(Assumptions!$G$92,AG72*Assumptions!$G$90)</f>
        <v>-2623.89433690517</v>
      </c>
      <c r="AI79" s="70" t="n">
        <f aca="false">-MAX(Assumptions!$G$92,AH72*Assumptions!$G$90)</f>
        <v>-2822.06192605235</v>
      </c>
      <c r="AJ79" s="70" t="n">
        <f aca="false">-MAX(Assumptions!$G$92,AI72*Assumptions!$G$90)</f>
        <v>-3035.65041478521</v>
      </c>
      <c r="AK79" s="70" t="n">
        <f aca="false">-MAX(Assumptions!$G$92,AJ72*Assumptions!$G$90)</f>
        <v>-3265.99728133223</v>
      </c>
      <c r="AL79" s="70" t="n">
        <f aca="false">-MAX(Assumptions!$G$92,AK72*Assumptions!$G$90)</f>
        <v>-3514.55148712545</v>
      </c>
      <c r="AM79" s="70" t="n">
        <f aca="false">SUM(C79:AL79)</f>
        <v>-58439.6037364204</v>
      </c>
    </row>
    <row r="80" customFormat="false" ht="15" hidden="false" customHeight="false" outlineLevel="0" collapsed="false">
      <c r="A80" s="10" t="s">
        <v>815</v>
      </c>
      <c r="B80" s="9" t="s">
        <v>97</v>
      </c>
      <c r="C80" s="70" t="n">
        <f aca="false">-IF(C$5&lt;=3,Assumptions!$G$93,Assumptions!$G$94)</f>
        <v>-15000</v>
      </c>
      <c r="D80" s="70" t="n">
        <f aca="false">-IF(D$5&lt;=3,Assumptions!$G$93,Assumptions!$G$94)</f>
        <v>-15000</v>
      </c>
      <c r="E80" s="70" t="n">
        <f aca="false">-IF(E$5&lt;=3,Assumptions!$G$93,Assumptions!$G$94)</f>
        <v>-15000</v>
      </c>
      <c r="F80" s="70" t="n">
        <f aca="false">-IF(F$5&lt;=3,Assumptions!$G$93,Assumptions!$G$94)</f>
        <v>-4500</v>
      </c>
      <c r="G80" s="70" t="n">
        <f aca="false">-IF(G$5&lt;=3,Assumptions!$G$93,Assumptions!$G$94)</f>
        <v>-4500</v>
      </c>
      <c r="H80" s="70" t="n">
        <f aca="false">-IF(H$5&lt;=3,Assumptions!$G$93,Assumptions!$G$94)</f>
        <v>-4500</v>
      </c>
      <c r="I80" s="70" t="n">
        <f aca="false">-IF(I$5&lt;=3,Assumptions!$G$93,Assumptions!$G$94)</f>
        <v>-4500</v>
      </c>
      <c r="J80" s="70" t="n">
        <f aca="false">-IF(J$5&lt;=3,Assumptions!$G$93,Assumptions!$G$94)</f>
        <v>-4500</v>
      </c>
      <c r="K80" s="70" t="n">
        <f aca="false">-IF(K$5&lt;=3,Assumptions!$G$93,Assumptions!$G$94)</f>
        <v>-4500</v>
      </c>
      <c r="L80" s="70" t="n">
        <f aca="false">-IF(L$5&lt;=3,Assumptions!$G$93,Assumptions!$G$94)</f>
        <v>-4500</v>
      </c>
      <c r="M80" s="70" t="n">
        <f aca="false">-IF(M$5&lt;=3,Assumptions!$G$93,Assumptions!$G$94)</f>
        <v>-4500</v>
      </c>
      <c r="N80" s="70" t="n">
        <f aca="false">-IF(N$5&lt;=3,Assumptions!$G$93,Assumptions!$G$94)</f>
        <v>-4500</v>
      </c>
      <c r="O80" s="70" t="n">
        <f aca="false">-IF(O$5&lt;=3,Assumptions!$G$93,Assumptions!$G$94)</f>
        <v>-4500</v>
      </c>
      <c r="P80" s="70" t="n">
        <f aca="false">-IF(P$5&lt;=3,Assumptions!$G$93,Assumptions!$G$94)</f>
        <v>-4500</v>
      </c>
      <c r="Q80" s="70" t="n">
        <f aca="false">-IF(Q$5&lt;=3,Assumptions!$G$93,Assumptions!$G$94)</f>
        <v>-4500</v>
      </c>
      <c r="R80" s="70" t="n">
        <f aca="false">-IF(R$5&lt;=3,Assumptions!$G$93,Assumptions!$G$94)</f>
        <v>-4500</v>
      </c>
      <c r="S80" s="70" t="n">
        <f aca="false">-IF(S$5&lt;=3,Assumptions!$G$93,Assumptions!$G$94)</f>
        <v>-4500</v>
      </c>
      <c r="T80" s="70" t="n">
        <f aca="false">-IF(T$5&lt;=3,Assumptions!$G$93,Assumptions!$G$94)</f>
        <v>-4500</v>
      </c>
      <c r="U80" s="70" t="n">
        <f aca="false">-IF(U$5&lt;=3,Assumptions!$G$93,Assumptions!$G$94)</f>
        <v>-4500</v>
      </c>
      <c r="V80" s="70" t="n">
        <f aca="false">-IF(V$5&lt;=3,Assumptions!$G$93,Assumptions!$G$94)</f>
        <v>-4500</v>
      </c>
      <c r="W80" s="70" t="n">
        <f aca="false">-IF(W$5&lt;=3,Assumptions!$G$93,Assumptions!$G$94)</f>
        <v>-4500</v>
      </c>
      <c r="X80" s="70" t="n">
        <f aca="false">-IF(X$5&lt;=3,Assumptions!$G$93,Assumptions!$G$94)</f>
        <v>-4500</v>
      </c>
      <c r="Y80" s="70" t="n">
        <f aca="false">-IF(Y$5&lt;=3,Assumptions!$G$93,Assumptions!$G$94)</f>
        <v>-4500</v>
      </c>
      <c r="Z80" s="70" t="n">
        <f aca="false">-IF(Z$5&lt;=3,Assumptions!$G$93,Assumptions!$G$94)</f>
        <v>-4500</v>
      </c>
      <c r="AA80" s="70" t="n">
        <f aca="false">-IF(AA$5&lt;=3,Assumptions!$G$93,Assumptions!$G$94)</f>
        <v>-4500</v>
      </c>
      <c r="AB80" s="70" t="n">
        <f aca="false">-IF(AB$5&lt;=3,Assumptions!$G$93,Assumptions!$G$94)</f>
        <v>-4500</v>
      </c>
      <c r="AC80" s="70" t="n">
        <f aca="false">-IF(AC$5&lt;=3,Assumptions!$G$93,Assumptions!$G$94)</f>
        <v>-4500</v>
      </c>
      <c r="AD80" s="70" t="n">
        <f aca="false">-IF(AD$5&lt;=3,Assumptions!$G$93,Assumptions!$G$94)</f>
        <v>-4500</v>
      </c>
      <c r="AE80" s="70" t="n">
        <f aca="false">-IF(AE$5&lt;=3,Assumptions!$G$93,Assumptions!$G$94)</f>
        <v>-4500</v>
      </c>
      <c r="AF80" s="70" t="n">
        <f aca="false">-IF(AF$5&lt;=3,Assumptions!$G$93,Assumptions!$G$94)</f>
        <v>-4500</v>
      </c>
      <c r="AG80" s="70" t="n">
        <f aca="false">-IF(AG$5&lt;=3,Assumptions!$G$93,Assumptions!$G$94)</f>
        <v>-4500</v>
      </c>
      <c r="AH80" s="70" t="n">
        <f aca="false">-IF(AH$5&lt;=3,Assumptions!$G$93,Assumptions!$G$94)</f>
        <v>-4500</v>
      </c>
      <c r="AI80" s="70" t="n">
        <f aca="false">-IF(AI$5&lt;=3,Assumptions!$G$93,Assumptions!$G$94)</f>
        <v>-4500</v>
      </c>
      <c r="AJ80" s="70" t="n">
        <f aca="false">-IF(AJ$5&lt;=3,Assumptions!$G$93,Assumptions!$G$94)</f>
        <v>-4500</v>
      </c>
      <c r="AK80" s="70" t="n">
        <f aca="false">-IF(AK$5&lt;=3,Assumptions!$G$93,Assumptions!$G$94)</f>
        <v>-4500</v>
      </c>
      <c r="AL80" s="70" t="n">
        <f aca="false">-IF(AL$5&lt;=3,Assumptions!$G$93,Assumptions!$G$94)</f>
        <v>-4500</v>
      </c>
      <c r="AM80" s="70" t="n">
        <f aca="false">SUM(C80:AL80)</f>
        <v>-193500</v>
      </c>
    </row>
    <row r="81" customFormat="false" ht="15" hidden="false" customHeight="false" outlineLevel="0" collapsed="false">
      <c r="A81" s="10" t="s">
        <v>816</v>
      </c>
      <c r="B81" s="9" t="s">
        <v>97</v>
      </c>
      <c r="C81" s="70" t="n">
        <f aca="false">-C8*Assumptions!$G$95</f>
        <v>-0</v>
      </c>
      <c r="D81" s="70" t="n">
        <f aca="false">-D8*Assumptions!$G$95</f>
        <v>-2500</v>
      </c>
      <c r="E81" s="70" t="n">
        <f aca="false">-E8*Assumptions!$G$95</f>
        <v>-2500</v>
      </c>
      <c r="F81" s="70" t="n">
        <f aca="false">-F8*Assumptions!$G$95</f>
        <v>-2500</v>
      </c>
      <c r="G81" s="70" t="n">
        <f aca="false">-G8*Assumptions!$G$95</f>
        <v>-2500</v>
      </c>
      <c r="H81" s="70" t="n">
        <f aca="false">-H8*Assumptions!$G$95</f>
        <v>-2500</v>
      </c>
      <c r="I81" s="70" t="n">
        <f aca="false">-I8*Assumptions!$G$95</f>
        <v>-2500</v>
      </c>
      <c r="J81" s="70" t="n">
        <f aca="false">-J8*Assumptions!$G$95</f>
        <v>-2500</v>
      </c>
      <c r="K81" s="70" t="n">
        <f aca="false">-K8*Assumptions!$G$95</f>
        <v>-2500</v>
      </c>
      <c r="L81" s="70" t="n">
        <f aca="false">-L8*Assumptions!$G$95</f>
        <v>-2500</v>
      </c>
      <c r="M81" s="70" t="n">
        <f aca="false">-M8*Assumptions!$G$95</f>
        <v>-2500</v>
      </c>
      <c r="N81" s="70" t="n">
        <f aca="false">-N8*Assumptions!$G$95</f>
        <v>-2500</v>
      </c>
      <c r="O81" s="70" t="n">
        <f aca="false">-O8*Assumptions!$G$95</f>
        <v>-2500</v>
      </c>
      <c r="P81" s="70" t="n">
        <f aca="false">-P8*Assumptions!$G$95</f>
        <v>-2500</v>
      </c>
      <c r="Q81" s="70" t="n">
        <f aca="false">-Q8*Assumptions!$G$95</f>
        <v>-2500</v>
      </c>
      <c r="R81" s="70" t="n">
        <f aca="false">-R8*Assumptions!$G$95</f>
        <v>-2500</v>
      </c>
      <c r="S81" s="70" t="n">
        <f aca="false">-S8*Assumptions!$G$95</f>
        <v>-2500</v>
      </c>
      <c r="T81" s="70" t="n">
        <f aca="false">-T8*Assumptions!$G$95</f>
        <v>-2500</v>
      </c>
      <c r="U81" s="70" t="n">
        <f aca="false">-U8*Assumptions!$G$95</f>
        <v>-2500</v>
      </c>
      <c r="V81" s="70" t="n">
        <f aca="false">-V8*Assumptions!$G$95</f>
        <v>-2500</v>
      </c>
      <c r="W81" s="70" t="n">
        <f aca="false">-W8*Assumptions!$G$95</f>
        <v>-2500</v>
      </c>
      <c r="X81" s="70" t="n">
        <f aca="false">-X8*Assumptions!$G$95</f>
        <v>-2500</v>
      </c>
      <c r="Y81" s="70" t="n">
        <f aca="false">-Y8*Assumptions!$G$95</f>
        <v>-2500</v>
      </c>
      <c r="Z81" s="70" t="n">
        <f aca="false">-Z8*Assumptions!$G$95</f>
        <v>-2500</v>
      </c>
      <c r="AA81" s="70" t="n">
        <f aca="false">-AA8*Assumptions!$G$95</f>
        <v>-2500</v>
      </c>
      <c r="AB81" s="70" t="n">
        <f aca="false">-AB8*Assumptions!$G$95</f>
        <v>-2500</v>
      </c>
      <c r="AC81" s="70" t="n">
        <f aca="false">-AC8*Assumptions!$G$95</f>
        <v>-2500</v>
      </c>
      <c r="AD81" s="70" t="n">
        <f aca="false">-AD8*Assumptions!$G$95</f>
        <v>-2500</v>
      </c>
      <c r="AE81" s="70" t="n">
        <f aca="false">-AE8*Assumptions!$G$95</f>
        <v>-2500</v>
      </c>
      <c r="AF81" s="70" t="n">
        <f aca="false">-AF8*Assumptions!$G$95</f>
        <v>-2500</v>
      </c>
      <c r="AG81" s="70" t="n">
        <f aca="false">-AG8*Assumptions!$G$95</f>
        <v>-2500</v>
      </c>
      <c r="AH81" s="70" t="n">
        <f aca="false">-AH8*Assumptions!$G$95</f>
        <v>-2500</v>
      </c>
      <c r="AI81" s="70" t="n">
        <f aca="false">-AI8*Assumptions!$G$95</f>
        <v>-2500</v>
      </c>
      <c r="AJ81" s="70" t="n">
        <f aca="false">-AJ8*Assumptions!$G$95</f>
        <v>-2500</v>
      </c>
      <c r="AK81" s="70" t="n">
        <f aca="false">-AK8*Assumptions!$G$95</f>
        <v>-2500</v>
      </c>
      <c r="AL81" s="70" t="n">
        <f aca="false">-AL8*Assumptions!$G$95</f>
        <v>-2500</v>
      </c>
      <c r="AM81" s="70" t="n">
        <f aca="false">SUM(C81:AL81)</f>
        <v>-87500</v>
      </c>
    </row>
    <row r="82" customFormat="false" ht="15" hidden="false" customHeight="false" outlineLevel="0" collapsed="false">
      <c r="A82" s="10" t="s">
        <v>817</v>
      </c>
      <c r="B82" s="9" t="s">
        <v>97</v>
      </c>
      <c r="C82" s="70" t="n">
        <f aca="false">-Assumptions!$G$96</f>
        <v>-12000</v>
      </c>
      <c r="D82" s="70" t="n">
        <f aca="false">-MAX(Assumptions!$G$96,C72*Assumptions!$G$89)</f>
        <v>-12000</v>
      </c>
      <c r="E82" s="70" t="n">
        <f aca="false">-MAX(Assumptions!$G$96,D72*Assumptions!$G$89)</f>
        <v>-12000</v>
      </c>
      <c r="F82" s="70" t="n">
        <f aca="false">-MAX(Assumptions!$G$96,E72*Assumptions!$G$89)</f>
        <v>-12000</v>
      </c>
      <c r="G82" s="70" t="n">
        <f aca="false">-MAX(Assumptions!$G$96,F72*Assumptions!$G$89)</f>
        <v>-12000</v>
      </c>
      <c r="H82" s="70" t="n">
        <f aca="false">-MAX(Assumptions!$G$96,G72*Assumptions!$G$89)</f>
        <v>-12000</v>
      </c>
      <c r="I82" s="70" t="n">
        <f aca="false">-MAX(Assumptions!$G$96,H72*Assumptions!$G$89)</f>
        <v>-12000</v>
      </c>
      <c r="J82" s="70" t="n">
        <f aca="false">-MAX(Assumptions!$G$96,I72*Assumptions!$G$89)</f>
        <v>-12000</v>
      </c>
      <c r="K82" s="70" t="n">
        <f aca="false">-MAX(Assumptions!$G$96,J72*Assumptions!$G$89)</f>
        <v>-12000</v>
      </c>
      <c r="L82" s="70" t="n">
        <f aca="false">-MAX(Assumptions!$G$96,K72*Assumptions!$G$89)</f>
        <v>-12000</v>
      </c>
      <c r="M82" s="70" t="n">
        <f aca="false">-MAX(Assumptions!$G$96,L72*Assumptions!$G$89)</f>
        <v>-12000</v>
      </c>
      <c r="N82" s="70" t="n">
        <f aca="false">-MAX(Assumptions!$G$96,M72*Assumptions!$G$89)</f>
        <v>-12000</v>
      </c>
      <c r="O82" s="70" t="n">
        <f aca="false">-MAX(Assumptions!$G$96,N72*Assumptions!$G$89)</f>
        <v>-12000</v>
      </c>
      <c r="P82" s="70" t="n">
        <f aca="false">-MAX(Assumptions!$G$96,O72*Assumptions!$G$89)</f>
        <v>-12000</v>
      </c>
      <c r="Q82" s="70" t="n">
        <f aca="false">-MAX(Assumptions!$G$96,P72*Assumptions!$G$89)</f>
        <v>-12000</v>
      </c>
      <c r="R82" s="70" t="n">
        <f aca="false">-MAX(Assumptions!$G$96,Q72*Assumptions!$G$89)</f>
        <v>-12000</v>
      </c>
      <c r="S82" s="70" t="n">
        <f aca="false">-MAX(Assumptions!$G$96,R72*Assumptions!$G$89)</f>
        <v>-12000</v>
      </c>
      <c r="T82" s="70" t="n">
        <f aca="false">-MAX(Assumptions!$G$96,S72*Assumptions!$G$89)</f>
        <v>-12000</v>
      </c>
      <c r="U82" s="70" t="n">
        <f aca="false">-MAX(Assumptions!$G$96,T72*Assumptions!$G$89)</f>
        <v>-12000</v>
      </c>
      <c r="V82" s="70" t="n">
        <f aca="false">-MAX(Assumptions!$G$96,U72*Assumptions!$G$89)</f>
        <v>-12000</v>
      </c>
      <c r="W82" s="70" t="n">
        <f aca="false">-MAX(Assumptions!$G$96,V72*Assumptions!$G$89)</f>
        <v>-12000</v>
      </c>
      <c r="X82" s="70" t="n">
        <f aca="false">-MAX(Assumptions!$G$96,W72*Assumptions!$G$89)</f>
        <v>-12000</v>
      </c>
      <c r="Y82" s="70" t="n">
        <f aca="false">-MAX(Assumptions!$G$96,X72*Assumptions!$G$89)</f>
        <v>-12000</v>
      </c>
      <c r="Z82" s="70" t="n">
        <f aca="false">-MAX(Assumptions!$G$96,Y72*Assumptions!$G$89)</f>
        <v>-12000</v>
      </c>
      <c r="AA82" s="70" t="n">
        <f aca="false">-MAX(Assumptions!$G$96,Z72*Assumptions!$G$89)</f>
        <v>-12000</v>
      </c>
      <c r="AB82" s="70" t="n">
        <f aca="false">-MAX(Assumptions!$G$96,AA72*Assumptions!$G$89)</f>
        <v>-12000</v>
      </c>
      <c r="AC82" s="70" t="n">
        <f aca="false">-MAX(Assumptions!$G$96,AB72*Assumptions!$G$89)</f>
        <v>-12000</v>
      </c>
      <c r="AD82" s="70" t="n">
        <f aca="false">-MAX(Assumptions!$G$96,AC72*Assumptions!$G$89)</f>
        <v>-12000</v>
      </c>
      <c r="AE82" s="70" t="n">
        <f aca="false">-MAX(Assumptions!$G$96,AD72*Assumptions!$G$89)</f>
        <v>-12000</v>
      </c>
      <c r="AF82" s="70" t="n">
        <f aca="false">-MAX(Assumptions!$G$96,AE72*Assumptions!$G$89)</f>
        <v>-12000</v>
      </c>
      <c r="AG82" s="70" t="n">
        <f aca="false">-MAX(Assumptions!$G$96,AF72*Assumptions!$G$89)</f>
        <v>-12000</v>
      </c>
      <c r="AH82" s="70" t="n">
        <f aca="false">-MAX(Assumptions!$G$96,AG72*Assumptions!$G$89)</f>
        <v>-12000</v>
      </c>
      <c r="AI82" s="70" t="n">
        <f aca="false">-MAX(Assumptions!$G$96,AH72*Assumptions!$G$89)</f>
        <v>-12000</v>
      </c>
      <c r="AJ82" s="70" t="n">
        <f aca="false">-MAX(Assumptions!$G$96,AI72*Assumptions!$G$89)</f>
        <v>-12000</v>
      </c>
      <c r="AK82" s="70" t="n">
        <f aca="false">-MAX(Assumptions!$G$96,AJ72*Assumptions!$G$89)</f>
        <v>-12000</v>
      </c>
      <c r="AL82" s="70" t="n">
        <f aca="false">-MAX(Assumptions!$G$96,AK72*Assumptions!$G$89)</f>
        <v>-12000</v>
      </c>
      <c r="AM82" s="70" t="n">
        <f aca="false">SUM(C82:AL82)</f>
        <v>-432000</v>
      </c>
    </row>
    <row r="83" customFormat="false" ht="15" hidden="false" customHeight="false" outlineLevel="0" collapsed="false">
      <c r="A83" s="10" t="s">
        <v>818</v>
      </c>
      <c r="B83" s="9" t="s">
        <v>97</v>
      </c>
      <c r="C83" s="70" t="n">
        <f aca="false">-C26</f>
        <v>-8000</v>
      </c>
      <c r="D83" s="70" t="n">
        <f aca="false">-D26</f>
        <v>-30000</v>
      </c>
      <c r="E83" s="70" t="n">
        <f aca="false">-E26</f>
        <v>-30000</v>
      </c>
      <c r="F83" s="70" t="n">
        <f aca="false">-F26</f>
        <v>-30000</v>
      </c>
      <c r="G83" s="70" t="n">
        <f aca="false">-G26</f>
        <v>-30000</v>
      </c>
      <c r="H83" s="70" t="n">
        <f aca="false">-H26</f>
        <v>-30000</v>
      </c>
      <c r="I83" s="70" t="n">
        <f aca="false">-I26</f>
        <v>-30000</v>
      </c>
      <c r="J83" s="70" t="n">
        <f aca="false">-J26</f>
        <v>-30000</v>
      </c>
      <c r="K83" s="70" t="n">
        <f aca="false">-K26</f>
        <v>-30000</v>
      </c>
      <c r="L83" s="70" t="n">
        <f aca="false">-L26</f>
        <v>-30000</v>
      </c>
      <c r="M83" s="70" t="n">
        <f aca="false">-M26</f>
        <v>-30000</v>
      </c>
      <c r="N83" s="70" t="n">
        <f aca="false">-N26</f>
        <v>-30000</v>
      </c>
      <c r="O83" s="70" t="n">
        <f aca="false">-O26</f>
        <v>-30000</v>
      </c>
      <c r="P83" s="70" t="n">
        <f aca="false">-P26</f>
        <v>-30000</v>
      </c>
      <c r="Q83" s="70" t="n">
        <f aca="false">-Q26</f>
        <v>-30000</v>
      </c>
      <c r="R83" s="70" t="n">
        <f aca="false">-R26</f>
        <v>-30000</v>
      </c>
      <c r="S83" s="70" t="n">
        <f aca="false">-S26</f>
        <v>-30000</v>
      </c>
      <c r="T83" s="70" t="n">
        <f aca="false">-T26</f>
        <v>-30000</v>
      </c>
      <c r="U83" s="70" t="n">
        <f aca="false">-U26</f>
        <v>-31328.6351269562</v>
      </c>
      <c r="V83" s="70" t="n">
        <f aca="false">-V26</f>
        <v>-33379.7587964508</v>
      </c>
      <c r="W83" s="70" t="n">
        <f aca="false">-W26</f>
        <v>-35668.9846541144</v>
      </c>
      <c r="X83" s="70" t="n">
        <f aca="false">-X26</f>
        <v>-38182.8209132527</v>
      </c>
      <c r="Y83" s="70" t="n">
        <f aca="false">-Y26</f>
        <v>-40935.7005421088</v>
      </c>
      <c r="Z83" s="70" t="n">
        <f aca="false">-Z26</f>
        <v>-43948.8198142219</v>
      </c>
      <c r="AA83" s="70" t="n">
        <f aca="false">-AA26</f>
        <v>-47245.9626422005</v>
      </c>
      <c r="AB83" s="70" t="n">
        <f aca="false">-AB26</f>
        <v>-50853.198240775</v>
      </c>
      <c r="AC83" s="70" t="n">
        <f aca="false">-AC26</f>
        <v>-54726.9498085041</v>
      </c>
      <c r="AD83" s="70" t="n">
        <f aca="false">-AD26</f>
        <v>-58862.5791637876</v>
      </c>
      <c r="AE83" s="70" t="n">
        <f aca="false">-AE26</f>
        <v>-63300.7914452138</v>
      </c>
      <c r="AF83" s="70" t="n">
        <f aca="false">-AF26</f>
        <v>-68069.2514659728</v>
      </c>
      <c r="AG83" s="70" t="n">
        <f aca="false">-AG26</f>
        <v>-73197.374670564</v>
      </c>
      <c r="AH83" s="70" t="n">
        <f aca="false">-AH26</f>
        <v>-78716.830107155</v>
      </c>
      <c r="AI83" s="70" t="n">
        <f aca="false">-AI26</f>
        <v>-84661.8577815704</v>
      </c>
      <c r="AJ83" s="70" t="n">
        <f aca="false">-AJ26</f>
        <v>-91069.5124435563</v>
      </c>
      <c r="AK83" s="70" t="n">
        <f aca="false">-AK26</f>
        <v>-97979.9184399668</v>
      </c>
      <c r="AL83" s="70" t="n">
        <f aca="false">-AL26</f>
        <v>-105436.544613764</v>
      </c>
      <c r="AM83" s="70" t="n">
        <f aca="false">SUM(C83:AL83)</f>
        <v>-1615565.49067013</v>
      </c>
    </row>
    <row r="84" customFormat="false" ht="15" hidden="false" customHeight="false" outlineLevel="0" collapsed="false">
      <c r="A84" s="10" t="s">
        <v>819</v>
      </c>
      <c r="B84" s="9" t="s">
        <v>97</v>
      </c>
      <c r="C84" s="70" t="n">
        <f aca="false">-IF(C$5=Assumptions!$G$6,Assumptions!$G$23,0)</f>
        <v>-0</v>
      </c>
      <c r="D84" s="70" t="n">
        <f aca="false">-IF(D$5=Assumptions!$G$6,Assumptions!$G$23,0)</f>
        <v>-20000</v>
      </c>
      <c r="E84" s="70" t="n">
        <f aca="false">-IF(E$5=Assumptions!$G$6,Assumptions!$G$23,0)</f>
        <v>-0</v>
      </c>
      <c r="F84" s="70" t="n">
        <f aca="false">-IF(F$5=Assumptions!$G$6,Assumptions!$G$23,0)</f>
        <v>-0</v>
      </c>
      <c r="G84" s="70" t="n">
        <f aca="false">-IF(G$5=Assumptions!$G$6,Assumptions!$G$23,0)</f>
        <v>-0</v>
      </c>
      <c r="H84" s="70" t="n">
        <f aca="false">-IF(H$5=Assumptions!$G$6,Assumptions!$G$23,0)</f>
        <v>-0</v>
      </c>
      <c r="I84" s="70" t="n">
        <f aca="false">-IF(I$5=Assumptions!$G$6,Assumptions!$G$23,0)</f>
        <v>-0</v>
      </c>
      <c r="J84" s="70" t="n">
        <f aca="false">-IF(J$5=Assumptions!$G$6,Assumptions!$G$23,0)</f>
        <v>-0</v>
      </c>
      <c r="K84" s="70" t="n">
        <f aca="false">-IF(K$5=Assumptions!$G$6,Assumptions!$G$23,0)</f>
        <v>-0</v>
      </c>
      <c r="L84" s="70" t="n">
        <f aca="false">-IF(L$5=Assumptions!$G$6,Assumptions!$G$23,0)</f>
        <v>-0</v>
      </c>
      <c r="M84" s="70" t="n">
        <f aca="false">-IF(M$5=Assumptions!$G$6,Assumptions!$G$23,0)</f>
        <v>-0</v>
      </c>
      <c r="N84" s="70" t="n">
        <f aca="false">-IF(N$5=Assumptions!$G$6,Assumptions!$G$23,0)</f>
        <v>-0</v>
      </c>
      <c r="O84" s="70" t="n">
        <f aca="false">-IF(O$5=Assumptions!$G$6,Assumptions!$G$23,0)</f>
        <v>-0</v>
      </c>
      <c r="P84" s="70" t="n">
        <f aca="false">-IF(P$5=Assumptions!$G$6,Assumptions!$G$23,0)</f>
        <v>-0</v>
      </c>
      <c r="Q84" s="70" t="n">
        <f aca="false">-IF(Q$5=Assumptions!$G$6,Assumptions!$G$23,0)</f>
        <v>-0</v>
      </c>
      <c r="R84" s="70" t="n">
        <f aca="false">-IF(R$5=Assumptions!$G$6,Assumptions!$G$23,0)</f>
        <v>-0</v>
      </c>
      <c r="S84" s="70" t="n">
        <f aca="false">-IF(S$5=Assumptions!$G$6,Assumptions!$G$23,0)</f>
        <v>-0</v>
      </c>
      <c r="T84" s="70" t="n">
        <f aca="false">-IF(T$5=Assumptions!$G$6,Assumptions!$G$23,0)</f>
        <v>-0</v>
      </c>
      <c r="U84" s="70" t="n">
        <f aca="false">-IF(U$5=Assumptions!$G$6,Assumptions!$G$23,0)</f>
        <v>-0</v>
      </c>
      <c r="V84" s="70" t="n">
        <f aca="false">-IF(V$5=Assumptions!$G$6,Assumptions!$G$23,0)</f>
        <v>-0</v>
      </c>
      <c r="W84" s="70" t="n">
        <f aca="false">-IF(W$5=Assumptions!$G$6,Assumptions!$G$23,0)</f>
        <v>-0</v>
      </c>
      <c r="X84" s="70" t="n">
        <f aca="false">-IF(X$5=Assumptions!$G$6,Assumptions!$G$23,0)</f>
        <v>-0</v>
      </c>
      <c r="Y84" s="70" t="n">
        <f aca="false">-IF(Y$5=Assumptions!$G$6,Assumptions!$G$23,0)</f>
        <v>-0</v>
      </c>
      <c r="Z84" s="70" t="n">
        <f aca="false">-IF(Z$5=Assumptions!$G$6,Assumptions!$G$23,0)</f>
        <v>-0</v>
      </c>
      <c r="AA84" s="70" t="n">
        <f aca="false">-IF(AA$5=Assumptions!$G$6,Assumptions!$G$23,0)</f>
        <v>-0</v>
      </c>
      <c r="AB84" s="70" t="n">
        <f aca="false">-IF(AB$5=Assumptions!$G$6,Assumptions!$G$23,0)</f>
        <v>-0</v>
      </c>
      <c r="AC84" s="70" t="n">
        <f aca="false">-IF(AC$5=Assumptions!$G$6,Assumptions!$G$23,0)</f>
        <v>-0</v>
      </c>
      <c r="AD84" s="70" t="n">
        <f aca="false">-IF(AD$5=Assumptions!$G$6,Assumptions!$G$23,0)</f>
        <v>-0</v>
      </c>
      <c r="AE84" s="70" t="n">
        <f aca="false">-IF(AE$5=Assumptions!$G$6,Assumptions!$G$23,0)</f>
        <v>-0</v>
      </c>
      <c r="AF84" s="70" t="n">
        <f aca="false">-IF(AF$5=Assumptions!$G$6,Assumptions!$G$23,0)</f>
        <v>-0</v>
      </c>
      <c r="AG84" s="70" t="n">
        <f aca="false">-IF(AG$5=Assumptions!$G$6,Assumptions!$G$23,0)</f>
        <v>-0</v>
      </c>
      <c r="AH84" s="70" t="n">
        <f aca="false">-IF(AH$5=Assumptions!$G$6,Assumptions!$G$23,0)</f>
        <v>-0</v>
      </c>
      <c r="AI84" s="70" t="n">
        <f aca="false">-IF(AI$5=Assumptions!$G$6,Assumptions!$G$23,0)</f>
        <v>-0</v>
      </c>
      <c r="AJ84" s="70" t="n">
        <f aca="false">-IF(AJ$5=Assumptions!$G$6,Assumptions!$G$23,0)</f>
        <v>-0</v>
      </c>
      <c r="AK84" s="70" t="n">
        <f aca="false">-IF(AK$5=Assumptions!$G$6,Assumptions!$G$23,0)</f>
        <v>-0</v>
      </c>
      <c r="AL84" s="70" t="n">
        <f aca="false">-IF(AL$5=Assumptions!$G$6,Assumptions!$G$23,0)</f>
        <v>-0</v>
      </c>
      <c r="AM84" s="70" t="n">
        <f aca="false">SUM(C84:AL84)</f>
        <v>-20000</v>
      </c>
    </row>
    <row r="85" customFormat="false" ht="15" hidden="false" customHeight="false" outlineLevel="0" collapsed="false">
      <c r="A85" s="10" t="s">
        <v>820</v>
      </c>
      <c r="B85" s="9" t="s">
        <v>97</v>
      </c>
      <c r="C85" s="70" t="n">
        <f aca="false">-C8*Assumptions!$G$98</f>
        <v>-0</v>
      </c>
      <c r="D85" s="70" t="n">
        <f aca="false">-D8*Assumptions!$G$98</f>
        <v>-0</v>
      </c>
      <c r="E85" s="70" t="n">
        <f aca="false">-E8*Assumptions!$G$98</f>
        <v>-0</v>
      </c>
      <c r="F85" s="70" t="n">
        <f aca="false">-F8*Assumptions!$G$98</f>
        <v>-0</v>
      </c>
      <c r="G85" s="70" t="n">
        <f aca="false">-G8*Assumptions!$G$98</f>
        <v>-0</v>
      </c>
      <c r="H85" s="70" t="n">
        <f aca="false">-H8*Assumptions!$G$98</f>
        <v>-0</v>
      </c>
      <c r="I85" s="70" t="n">
        <f aca="false">-I8*Assumptions!$G$98</f>
        <v>-0</v>
      </c>
      <c r="J85" s="70" t="n">
        <f aca="false">-J8*Assumptions!$G$98</f>
        <v>-0</v>
      </c>
      <c r="K85" s="70" t="n">
        <f aca="false">-K8*Assumptions!$G$98</f>
        <v>-0</v>
      </c>
      <c r="L85" s="70" t="n">
        <f aca="false">-L8*Assumptions!$G$98</f>
        <v>-0</v>
      </c>
      <c r="M85" s="70" t="n">
        <f aca="false">-M8*Assumptions!$G$98</f>
        <v>-0</v>
      </c>
      <c r="N85" s="70" t="n">
        <f aca="false">-N8*Assumptions!$G$98</f>
        <v>-0</v>
      </c>
      <c r="O85" s="70" t="n">
        <f aca="false">-O8*Assumptions!$G$98</f>
        <v>-0</v>
      </c>
      <c r="P85" s="70" t="n">
        <f aca="false">-P8*Assumptions!$G$98</f>
        <v>-0</v>
      </c>
      <c r="Q85" s="70" t="n">
        <f aca="false">-Q8*Assumptions!$G$98</f>
        <v>-0</v>
      </c>
      <c r="R85" s="70" t="n">
        <f aca="false">-R8*Assumptions!$G$98</f>
        <v>-0</v>
      </c>
      <c r="S85" s="70" t="n">
        <f aca="false">-S8*Assumptions!$G$98</f>
        <v>-0</v>
      </c>
      <c r="T85" s="70" t="n">
        <f aca="false">-T8*Assumptions!$G$98</f>
        <v>-0</v>
      </c>
      <c r="U85" s="70" t="n">
        <f aca="false">-U8*Assumptions!$G$98</f>
        <v>-0</v>
      </c>
      <c r="V85" s="70" t="n">
        <f aca="false">-V8*Assumptions!$G$98</f>
        <v>-0</v>
      </c>
      <c r="W85" s="70" t="n">
        <f aca="false">-W8*Assumptions!$G$98</f>
        <v>-0</v>
      </c>
      <c r="X85" s="70" t="n">
        <f aca="false">-X8*Assumptions!$G$98</f>
        <v>-0</v>
      </c>
      <c r="Y85" s="70" t="n">
        <f aca="false">-Y8*Assumptions!$G$98</f>
        <v>-0</v>
      </c>
      <c r="Z85" s="70" t="n">
        <f aca="false">-Z8*Assumptions!$G$98</f>
        <v>-0</v>
      </c>
      <c r="AA85" s="70" t="n">
        <f aca="false">-AA8*Assumptions!$G$98</f>
        <v>-0</v>
      </c>
      <c r="AB85" s="70" t="n">
        <f aca="false">-AB8*Assumptions!$G$98</f>
        <v>-0</v>
      </c>
      <c r="AC85" s="70" t="n">
        <f aca="false">-AC8*Assumptions!$G$98</f>
        <v>-0</v>
      </c>
      <c r="AD85" s="70" t="n">
        <f aca="false">-AD8*Assumptions!$G$98</f>
        <v>-0</v>
      </c>
      <c r="AE85" s="70" t="n">
        <f aca="false">-AE8*Assumptions!$G$98</f>
        <v>-0</v>
      </c>
      <c r="AF85" s="70" t="n">
        <f aca="false">-AF8*Assumptions!$G$98</f>
        <v>-0</v>
      </c>
      <c r="AG85" s="70" t="n">
        <f aca="false">-AG8*Assumptions!$G$98</f>
        <v>-0</v>
      </c>
      <c r="AH85" s="70" t="n">
        <f aca="false">-AH8*Assumptions!$G$98</f>
        <v>-0</v>
      </c>
      <c r="AI85" s="70" t="n">
        <f aca="false">-AI8*Assumptions!$G$98</f>
        <v>-0</v>
      </c>
      <c r="AJ85" s="70" t="n">
        <f aca="false">-AJ8*Assumptions!$G$98</f>
        <v>-0</v>
      </c>
      <c r="AK85" s="70" t="n">
        <f aca="false">-AK8*Assumptions!$G$98</f>
        <v>-0</v>
      </c>
      <c r="AL85" s="70" t="n">
        <f aca="false">-AL8*Assumptions!$G$98</f>
        <v>-0</v>
      </c>
      <c r="AM85" s="70" t="n">
        <f aca="false">SUM(C85:AL85)</f>
        <v>0</v>
      </c>
    </row>
    <row r="86" customFormat="false" ht="15" hidden="false" customHeight="false" outlineLevel="0" collapsed="false">
      <c r="A86" s="10" t="s">
        <v>362</v>
      </c>
      <c r="B86" s="9" t="s">
        <v>97</v>
      </c>
      <c r="C86" s="70" t="n">
        <f aca="false">-C72*Assumptions!$G$99</f>
        <v>-0</v>
      </c>
      <c r="D86" s="70" t="n">
        <f aca="false">-D72*Assumptions!$G$99</f>
        <v>-0</v>
      </c>
      <c r="E86" s="70" t="n">
        <f aca="false">-E72*Assumptions!$G$99</f>
        <v>-0</v>
      </c>
      <c r="F86" s="70" t="n">
        <f aca="false">-F72*Assumptions!$G$99</f>
        <v>-0</v>
      </c>
      <c r="G86" s="70" t="n">
        <f aca="false">-G72*Assumptions!$G$99</f>
        <v>-0</v>
      </c>
      <c r="H86" s="70" t="n">
        <f aca="false">-H72*Assumptions!$G$99</f>
        <v>-0</v>
      </c>
      <c r="I86" s="70" t="n">
        <f aca="false">-I72*Assumptions!$G$99</f>
        <v>-0</v>
      </c>
      <c r="J86" s="70" t="n">
        <f aca="false">-J72*Assumptions!$G$99</f>
        <v>-0</v>
      </c>
      <c r="K86" s="70" t="n">
        <f aca="false">-K72*Assumptions!$G$99</f>
        <v>-0</v>
      </c>
      <c r="L86" s="70" t="n">
        <f aca="false">-L72*Assumptions!$G$99</f>
        <v>-0</v>
      </c>
      <c r="M86" s="70" t="n">
        <f aca="false">-M72*Assumptions!$G$99</f>
        <v>-0</v>
      </c>
      <c r="N86" s="70" t="n">
        <f aca="false">-N72*Assumptions!$G$99</f>
        <v>-0</v>
      </c>
      <c r="O86" s="70" t="n">
        <f aca="false">-O72*Assumptions!$G$99</f>
        <v>-0</v>
      </c>
      <c r="P86" s="70" t="n">
        <f aca="false">-P72*Assumptions!$G$99</f>
        <v>-0</v>
      </c>
      <c r="Q86" s="70" t="n">
        <f aca="false">-Q72*Assumptions!$G$99</f>
        <v>-0</v>
      </c>
      <c r="R86" s="70" t="n">
        <f aca="false">-R72*Assumptions!$G$99</f>
        <v>-0</v>
      </c>
      <c r="S86" s="70" t="n">
        <f aca="false">-S72*Assumptions!$G$99</f>
        <v>-0</v>
      </c>
      <c r="T86" s="70" t="n">
        <f aca="false">-T72*Assumptions!$G$99</f>
        <v>-0</v>
      </c>
      <c r="U86" s="70" t="n">
        <f aca="false">-U72*Assumptions!$G$99</f>
        <v>-0</v>
      </c>
      <c r="V86" s="70" t="n">
        <f aca="false">-V72*Assumptions!$G$99</f>
        <v>-0</v>
      </c>
      <c r="W86" s="70" t="n">
        <f aca="false">-W72*Assumptions!$G$99</f>
        <v>-0</v>
      </c>
      <c r="X86" s="70" t="n">
        <f aca="false">-X72*Assumptions!$G$99</f>
        <v>-0</v>
      </c>
      <c r="Y86" s="70" t="n">
        <f aca="false">-Y72*Assumptions!$G$99</f>
        <v>-0</v>
      </c>
      <c r="Z86" s="70" t="n">
        <f aca="false">-Z72*Assumptions!$G$99</f>
        <v>-0</v>
      </c>
      <c r="AA86" s="70" t="n">
        <f aca="false">-AA72*Assumptions!$G$99</f>
        <v>-0</v>
      </c>
      <c r="AB86" s="70" t="n">
        <f aca="false">-AB72*Assumptions!$G$99</f>
        <v>-0</v>
      </c>
      <c r="AC86" s="70" t="n">
        <f aca="false">-AC72*Assumptions!$G$99</f>
        <v>-0</v>
      </c>
      <c r="AD86" s="70" t="n">
        <f aca="false">-AD72*Assumptions!$G$99</f>
        <v>-0</v>
      </c>
      <c r="AE86" s="70" t="n">
        <f aca="false">-AE72*Assumptions!$G$99</f>
        <v>-0</v>
      </c>
      <c r="AF86" s="70" t="n">
        <f aca="false">-AF72*Assumptions!$G$99</f>
        <v>-0</v>
      </c>
      <c r="AG86" s="70" t="n">
        <f aca="false">-AG72*Assumptions!$G$99</f>
        <v>-0</v>
      </c>
      <c r="AH86" s="70" t="n">
        <f aca="false">-AH72*Assumptions!$G$99</f>
        <v>-0</v>
      </c>
      <c r="AI86" s="70" t="n">
        <f aca="false">-AI72*Assumptions!$G$99</f>
        <v>-0</v>
      </c>
      <c r="AJ86" s="70" t="n">
        <f aca="false">-AJ72*Assumptions!$G$99</f>
        <v>-0</v>
      </c>
      <c r="AK86" s="70" t="n">
        <f aca="false">-AK72*Assumptions!$G$99</f>
        <v>-0</v>
      </c>
      <c r="AL86" s="70" t="n">
        <f aca="false">-AL72*Assumptions!$G$99</f>
        <v>-0</v>
      </c>
      <c r="AM86" s="70" t="n">
        <f aca="false">SUM(C86:AL86)</f>
        <v>0</v>
      </c>
    </row>
    <row r="87" customFormat="false" ht="15" hidden="false" customHeight="false" outlineLevel="0" collapsed="false">
      <c r="A87" s="37" t="s">
        <v>821</v>
      </c>
      <c r="B87" s="9" t="s">
        <v>97</v>
      </c>
      <c r="C87" s="53" t="n">
        <f aca="false">C75+C76+C77+C78+C79+C80+C81+C82+C83+C84+C85+C86</f>
        <v>-43080</v>
      </c>
      <c r="D87" s="53" t="n">
        <f aca="false">D75+D76+D77+D78+D79+D80+D81+D82+D83+D84+D85+D86</f>
        <v>-97580</v>
      </c>
      <c r="E87" s="53" t="n">
        <f aca="false">E75+E76+E77+E78+E79+E80+E81+E82+E83+E84+E85+E86</f>
        <v>-77580</v>
      </c>
      <c r="F87" s="53" t="n">
        <f aca="false">F75+F76+F77+F78+F79+F80+F81+F82+F83+F84+F85+F86</f>
        <v>-67080</v>
      </c>
      <c r="G87" s="53" t="n">
        <f aca="false">G75+G76+G77+G78+G79+G80+G81+G82+G83+G84+G85+G86</f>
        <v>-76080</v>
      </c>
      <c r="H87" s="53" t="n">
        <f aca="false">H75+H76+H77+H78+H79+H80+H81+H82+H83+H84+H85+H86</f>
        <v>-76080</v>
      </c>
      <c r="I87" s="53" t="n">
        <f aca="false">I75+I76+I77+I78+I79+I80+I81+I82+I83+I84+I85+I86</f>
        <v>-76080</v>
      </c>
      <c r="J87" s="53" t="n">
        <f aca="false">J75+J76+J77+J78+J79+J80+J81+J82+J83+J84+J85+J86</f>
        <v>-76080</v>
      </c>
      <c r="K87" s="53" t="n">
        <f aca="false">K75+K76+K77+K78+K79+K80+K81+K82+K83+K84+K85+K86</f>
        <v>-76080</v>
      </c>
      <c r="L87" s="53" t="n">
        <f aca="false">L75+L76+L77+L78+L79+L80+L81+L82+L83+L84+L85+L86</f>
        <v>-76080</v>
      </c>
      <c r="M87" s="53" t="n">
        <f aca="false">M75+M76+M77+M78+M79+M80+M81+M82+M83+M84+M85+M86</f>
        <v>-76080</v>
      </c>
      <c r="N87" s="53" t="n">
        <f aca="false">N75+N76+N77+N78+N79+N80+N81+N82+N83+N84+N85+N86</f>
        <v>-76080</v>
      </c>
      <c r="O87" s="53" t="n">
        <f aca="false">O75+O76+O77+O78+O79+O80+O81+O82+O83+O84+O85+O86</f>
        <v>-94080</v>
      </c>
      <c r="P87" s="53" t="n">
        <f aca="false">P75+P76+P77+P78+P79+P80+P81+P82+P83+P84+P85+P86</f>
        <v>-94080</v>
      </c>
      <c r="Q87" s="53" t="n">
        <f aca="false">Q75+Q76+Q77+Q78+Q79+Q80+Q81+Q82+Q83+Q84+Q85+Q86</f>
        <v>-94080</v>
      </c>
      <c r="R87" s="53" t="n">
        <f aca="false">R75+R76+R77+R78+R79+R80+R81+R82+R83+R84+R85+R86</f>
        <v>-94080</v>
      </c>
      <c r="S87" s="53" t="n">
        <f aca="false">S75+S76+S77+S78+S79+S80+S81+S82+S83+S84+S85+S86</f>
        <v>-94080</v>
      </c>
      <c r="T87" s="53" t="n">
        <f aca="false">T75+T76+T77+T78+T79+T80+T81+T82+T83+T84+T85+T86</f>
        <v>-94080</v>
      </c>
      <c r="U87" s="53" t="n">
        <f aca="false">U75+U76+U77+U78+U79+U80+U81+U82+U83+U84+U85+U86</f>
        <v>-95408.6351269562</v>
      </c>
      <c r="V87" s="53" t="n">
        <f aca="false">V75+V76+V77+V78+V79+V80+V81+V82+V83+V84+V85+V86</f>
        <v>-97459.7587964508</v>
      </c>
      <c r="W87" s="53" t="n">
        <f aca="false">W75+W76+W77+W78+W79+W80+W81+W82+W83+W84+W85+W86</f>
        <v>-99748.9846541144</v>
      </c>
      <c r="X87" s="53" t="n">
        <f aca="false">X75+X76+X77+X78+X79+X80+X81+X82+X83+X84+X85+X86</f>
        <v>-102335.581610361</v>
      </c>
      <c r="Y87" s="53" t="n">
        <f aca="false">Y75+Y76+Y77+Y78+Y79+Y80+Y81+Y82+Y83+Y84+Y85+Y86</f>
        <v>-105180.223893512</v>
      </c>
      <c r="Z87" s="53" t="n">
        <f aca="false">Z75+Z76+Z77+Z78+Z79+Z80+Z81+Z82+Z83+Z84+Z85+Z86</f>
        <v>-108293.780474696</v>
      </c>
      <c r="AA87" s="53" t="n">
        <f aca="false">AA75+AA76+AA77+AA78+AA79+AA80+AA81+AA82+AA83+AA84+AA85+AA86</f>
        <v>-132700.828063607</v>
      </c>
      <c r="AB87" s="53" t="n">
        <f aca="false">AB75+AB76+AB77+AB78+AB79+AB80+AB81+AB82+AB83+AB84+AB85+AB86</f>
        <v>-136428.304848801</v>
      </c>
      <c r="AC87" s="53" t="n">
        <f aca="false">AC75+AC76+AC77+AC78+AC79+AC80+AC81+AC82+AC83+AC84+AC85+AC86</f>
        <v>-140431.181468788</v>
      </c>
      <c r="AD87" s="53" t="n">
        <f aca="false">AD75+AD76+AD77+AD78+AD79+AD80+AD81+AD82+AD83+AD84+AD85+AD86</f>
        <v>-144704.665135914</v>
      </c>
      <c r="AE87" s="53" t="n">
        <f aca="false">AE75+AE76+AE77+AE78+AE79+AE80+AE81+AE82+AE83+AE84+AE85+AE86</f>
        <v>-149290.817826721</v>
      </c>
      <c r="AF87" s="53" t="n">
        <f aca="false">AF75+AF76+AF77+AF78+AF79+AF80+AF81+AF82+AF83+AF84+AF85+AF86</f>
        <v>-154218.226514839</v>
      </c>
      <c r="AG87" s="53" t="n">
        <f aca="false">AG75+AG76+AG77+AG78+AG79+AG80+AG81+AG82+AG83+AG84+AG85+AG86</f>
        <v>-159517.287159583</v>
      </c>
      <c r="AH87" s="53" t="n">
        <f aca="false">AH75+AH76+AH77+AH78+AH79+AH80+AH81+AH82+AH83+AH84+AH85+AH86</f>
        <v>-165220.72444406</v>
      </c>
      <c r="AI87" s="53" t="n">
        <f aca="false">AI75+AI76+AI77+AI78+AI79+AI80+AI81+AI82+AI83+AI84+AI85+AI86</f>
        <v>-171363.919707623</v>
      </c>
      <c r="AJ87" s="53" t="n">
        <f aca="false">AJ75+AJ76+AJ77+AJ78+AJ79+AJ80+AJ81+AJ82+AJ83+AJ84+AJ85+AJ86</f>
        <v>-177985.162858342</v>
      </c>
      <c r="AK87" s="53" t="n">
        <f aca="false">AK75+AK76+AK77+AK78+AK79+AK80+AK81+AK82+AK83+AK84+AK85+AK86</f>
        <v>-185125.915721299</v>
      </c>
      <c r="AL87" s="53" t="n">
        <f aca="false">AL75+AL76+AL77+AL78+AL79+AL80+AL81+AL82+AL83+AL84+AL85+AL86</f>
        <v>-192831.096100889</v>
      </c>
      <c r="AM87" s="53" t="n">
        <f aca="false">SUM(C87:AL87)</f>
        <v>-3976685.09440656</v>
      </c>
    </row>
    <row r="88" customFormat="false" ht="15" hidden="false" customHeight="false" outlineLevel="0" collapsed="false">
      <c r="A88" s="37" t="s">
        <v>822</v>
      </c>
      <c r="B88" s="9" t="s">
        <v>97</v>
      </c>
      <c r="C88" s="53" t="n">
        <f aca="false">C73+C87</f>
        <v>-43080</v>
      </c>
      <c r="D88" s="53" t="n">
        <f aca="false">D73+D87</f>
        <v>-87267.5905974615</v>
      </c>
      <c r="E88" s="53" t="n">
        <f aca="false">E73+E87</f>
        <v>-62492.0485644665</v>
      </c>
      <c r="F88" s="53" t="n">
        <f aca="false">F73+F87</f>
        <v>-48135.9945207226</v>
      </c>
      <c r="G88" s="53" t="n">
        <f aca="false">G73+G87</f>
        <v>-53468.6448132549</v>
      </c>
      <c r="H88" s="53" t="n">
        <f aca="false">H73+H87</f>
        <v>-49959.7440783</v>
      </c>
      <c r="I88" s="53" t="n">
        <f aca="false">I73+I87</f>
        <v>-45351.2697403297</v>
      </c>
      <c r="J88" s="53" t="n">
        <f aca="false">J73+J87</f>
        <v>-41290.722191279</v>
      </c>
      <c r="K88" s="53" t="n">
        <f aca="false">K73+K87</f>
        <v>-37328.0115247285</v>
      </c>
      <c r="L88" s="53" t="n">
        <f aca="false">L73+L87</f>
        <v>-33438.166698612</v>
      </c>
      <c r="M88" s="53" t="n">
        <f aca="false">M73+M87</f>
        <v>-29596.408441948</v>
      </c>
      <c r="N88" s="53" t="n">
        <f aca="false">N73+N87</f>
        <v>-25777.9592014161</v>
      </c>
      <c r="O88" s="53" t="n">
        <f aca="false">O73+O87</f>
        <v>-39957.8523176834</v>
      </c>
      <c r="P88" s="53" t="n">
        <f aca="false">P73+P87</f>
        <v>-36110.7386248894</v>
      </c>
      <c r="Q88" s="53" t="n">
        <f aca="false">Q73+Q87</f>
        <v>-32210.6888654809</v>
      </c>
      <c r="R88" s="53" t="n">
        <f aca="false">R73+R87</f>
        <v>-28230.9903056183</v>
      </c>
      <c r="S88" s="53" t="n">
        <f aca="false">S73+S87</f>
        <v>-24143.9359028334</v>
      </c>
      <c r="T88" s="53" t="n">
        <f aca="false">T73+T87</f>
        <v>-19920.6043310304</v>
      </c>
      <c r="U88" s="53" t="n">
        <f aca="false">U73+U87</f>
        <v>-16521.4050381013</v>
      </c>
      <c r="V88" s="53" t="n">
        <f aca="false">V73+V87</f>
        <v>-13298.3738976917</v>
      </c>
      <c r="W88" s="53" t="n">
        <f aca="false">W73+W87</f>
        <v>-9801.86106974988</v>
      </c>
      <c r="X88" s="53" t="n">
        <f aca="false">X73+X87</f>
        <v>-6059.29400076672</v>
      </c>
      <c r="Y88" s="53" t="n">
        <f aca="false">Y73+Y87</f>
        <v>-1983.76276326015</v>
      </c>
      <c r="Z88" s="53" t="n">
        <f aca="false">Z73+Z87</f>
        <v>2467.25519442048</v>
      </c>
      <c r="AA88" s="53" t="n">
        <f aca="false">AA73+AA87</f>
        <v>-13672.352943634</v>
      </c>
      <c r="AB88" s="53" t="n">
        <f aca="false">AB73+AB87</f>
        <v>-8502.4852234651</v>
      </c>
      <c r="AC88" s="53" t="n">
        <f aca="false">AC73+AC87</f>
        <v>-2983.35440259572</v>
      </c>
      <c r="AD88" s="53" t="n">
        <f aca="false">AD73+AD87</f>
        <v>2972.72001629981</v>
      </c>
      <c r="AE88" s="53" t="n">
        <f aca="false">AE73+AE87</f>
        <v>9386.93764187698</v>
      </c>
      <c r="AF88" s="53" t="n">
        <f aca="false">AF73+AF87</f>
        <v>16298.0561154226</v>
      </c>
      <c r="AG88" s="53" t="n">
        <f aca="false">AG73+AG87</f>
        <v>23748.2927400792</v>
      </c>
      <c r="AH88" s="53" t="n">
        <f aca="false">AH73+AH87</f>
        <v>31783.5360789067</v>
      </c>
      <c r="AI88" s="53" t="n">
        <f aca="false">AI73+AI87</f>
        <v>40453.5747385841</v>
      </c>
      <c r="AJ88" s="53" t="n">
        <f aca="false">AJ73+AJ87</f>
        <v>49812.4282134707</v>
      </c>
      <c r="AK88" s="53" t="n">
        <f aca="false">AK73+AK87</f>
        <v>59918.7130820769</v>
      </c>
      <c r="AL88" s="53" t="n">
        <f aca="false">AL73+AL87</f>
        <v>70836.0424254462</v>
      </c>
      <c r="AM88" s="53" t="n">
        <f aca="false">SUM(C88:AL88)</f>
        <v>-502906.703812735</v>
      </c>
    </row>
    <row r="89" customFormat="false" ht="15" hidden="false" customHeight="false" outlineLevel="0" collapsed="false">
      <c r="A89" s="37" t="s">
        <v>823</v>
      </c>
      <c r="B89" s="9" t="s">
        <v>61</v>
      </c>
      <c r="C89" s="52" t="n">
        <f aca="false">IFERROR(C88/C72,0)</f>
        <v>0</v>
      </c>
      <c r="D89" s="52" t="n">
        <f aca="false">IFERROR(D88/D72,0)</f>
        <v>-4.98905646694867</v>
      </c>
      <c r="E89" s="52" t="n">
        <f aca="false">IFERROR(E88/E72,0)</f>
        <v>-2.44185608296455</v>
      </c>
      <c r="F89" s="52" t="n">
        <f aca="false">IFERROR(F88/F72,0)</f>
        <v>-1.49804106431046</v>
      </c>
      <c r="G89" s="52" t="n">
        <f aca="false">IFERROR(G88/G72,0)</f>
        <v>-1.39411360284923</v>
      </c>
      <c r="H89" s="52" t="n">
        <f aca="false">IFERROR(H88/H72,0)</f>
        <v>-1.12763450677687</v>
      </c>
      <c r="I89" s="52" t="n">
        <f aca="false">IFERROR(I88/I72,0)</f>
        <v>-0.859913429472165</v>
      </c>
      <c r="J89" s="52" t="n">
        <f aca="false">IFERROR(J88/J72,0)</f>
        <v>-0.688726039367968</v>
      </c>
      <c r="K89" s="52" t="n">
        <f aca="false">IFERROR(K88/K72,0)</f>
        <v>-0.557126343710728</v>
      </c>
      <c r="L89" s="52" t="n">
        <f aca="false">IFERROR(L88/L72,0)</f>
        <v>-0.452293109574574</v>
      </c>
      <c r="M89" s="52" t="n">
        <f aca="false">IFERROR(M88/M72,0)</f>
        <v>-0.366360343905558</v>
      </c>
      <c r="N89" s="52" t="n">
        <f aca="false">IFERROR(N88/N72,0)</f>
        <v>-0.294236275756445</v>
      </c>
      <c r="O89" s="52" t="n">
        <f aca="false">IFERROR(O88/O72,0)</f>
        <v>-0.423059371651275</v>
      </c>
      <c r="P89" s="52" t="n">
        <f aca="false">IFERROR(P88/P72,0)</f>
        <v>-0.356293837334088</v>
      </c>
      <c r="Q89" s="52" t="n">
        <f aca="false">IFERROR(Q88/Q72,0)</f>
        <v>-0.297254613992577</v>
      </c>
      <c r="R89" s="52" t="n">
        <f aca="false">IFERROR(R88/R72,0)</f>
        <v>-0.244366635577709</v>
      </c>
      <c r="S89" s="52" t="n">
        <f aca="false">IFERROR(S88/S72,0)</f>
        <v>-0.196449734541051</v>
      </c>
      <c r="T89" s="52" t="n">
        <f aca="false">IFERROR(T88/T72,0)</f>
        <v>-0.152606234522283</v>
      </c>
      <c r="U89" s="52" t="n">
        <f aca="false">IFERROR(U88/U72,0)</f>
        <v>-0.118788671701424</v>
      </c>
      <c r="V89" s="52" t="n">
        <f aca="false">IFERROR(V88/V72,0)</f>
        <v>-0.0894785698666599</v>
      </c>
      <c r="W89" s="52" t="n">
        <f aca="false">IFERROR(W88/W72,0)</f>
        <v>-0.0616100801479408</v>
      </c>
      <c r="X89" s="52" t="n">
        <f aca="false">IFERROR(X88/X72,0)</f>
        <v>-0.0355247507902817</v>
      </c>
      <c r="Y89" s="52" t="n">
        <f aca="false">IFERROR(Y88/Y72,0)</f>
        <v>-0.0108331251031312</v>
      </c>
      <c r="Z89" s="52" t="n">
        <f aca="false">IFERROR(Z88/Z72,0)</f>
        <v>0.0125331607939767</v>
      </c>
      <c r="AA89" s="52" t="n">
        <f aca="false">IFERROR(AA88/AA72,0)</f>
        <v>-0.0645262209652156</v>
      </c>
      <c r="AB89" s="52" t="n">
        <f aca="false">IFERROR(AB88/AB72,0)</f>
        <v>-0.0372868661741959</v>
      </c>
      <c r="AC89" s="52" t="n">
        <f aca="false">IFERROR(AC88/AC72,0)</f>
        <v>-0.0121640109352099</v>
      </c>
      <c r="AD89" s="52" t="n">
        <f aca="false">IFERROR(AD88/AD72,0)</f>
        <v>0.011270835444916</v>
      </c>
      <c r="AE89" s="52" t="n">
        <f aca="false">IFERROR(AE88/AE72,0)</f>
        <v>0.0330966623773829</v>
      </c>
      <c r="AF89" s="52" t="n">
        <f aca="false">IFERROR(AF88/AF72,0)</f>
        <v>0.0534381661269395</v>
      </c>
      <c r="AG89" s="52" t="n">
        <f aca="false">IFERROR(AG88/AG72,0)</f>
        <v>0.0724062471756079</v>
      </c>
      <c r="AH89" s="52" t="n">
        <f aca="false">IFERROR(AH88/AH72,0)</f>
        <v>0.0901001803978617</v>
      </c>
      <c r="AI89" s="52" t="n">
        <f aca="false">IFERROR(AI88/AI72,0)</f>
        <v>0.10660931058874</v>
      </c>
      <c r="AJ89" s="52" t="n">
        <f aca="false">IFERROR(AJ88/AJ72,0)</f>
        <v>0.122014622604099</v>
      </c>
      <c r="AK89" s="52" t="n">
        <f aca="false">IFERROR(AK88/AK72,0)</f>
        <v>0.136390007775551</v>
      </c>
      <c r="AL89" s="52" t="n">
        <f aca="false">IFERROR(AL88/AL72,0)</f>
        <v>0.149803279053962</v>
      </c>
      <c r="AM89" s="52" t="n">
        <f aca="false">AVERAGE(N89:AL89)</f>
        <v>-0.064272661068818</v>
      </c>
    </row>
    <row r="90" customFormat="false" ht="15" hidden="false" customHeight="false" outlineLevel="0" collapsed="false">
      <c r="A90" s="10" t="s">
        <v>824</v>
      </c>
      <c r="B90" s="9" t="s">
        <v>97</v>
      </c>
      <c r="C90" s="70" t="n">
        <f aca="false">-C43*Assumptions!$G$102</f>
        <v>0</v>
      </c>
      <c r="D90" s="70" t="n">
        <f aca="false">-D43*Assumptions!$G$102</f>
        <v>0</v>
      </c>
      <c r="E90" s="70" t="n">
        <f aca="false">-E43*Assumptions!$G$102</f>
        <v>0</v>
      </c>
      <c r="F90" s="70" t="n">
        <f aca="false">-F43*Assumptions!$G$102</f>
        <v>0</v>
      </c>
      <c r="G90" s="70" t="n">
        <f aca="false">-G43*Assumptions!$G$102</f>
        <v>0</v>
      </c>
      <c r="H90" s="70" t="n">
        <f aca="false">-H43*Assumptions!$G$102</f>
        <v>0</v>
      </c>
      <c r="I90" s="70" t="n">
        <f aca="false">-I43*Assumptions!$G$102</f>
        <v>0</v>
      </c>
      <c r="J90" s="70" t="n">
        <f aca="false">-J43*Assumptions!$G$102</f>
        <v>0</v>
      </c>
      <c r="K90" s="70" t="n">
        <f aca="false">-K43*Assumptions!$G$102</f>
        <v>0</v>
      </c>
      <c r="L90" s="70" t="n">
        <f aca="false">-L43*Assumptions!$G$102</f>
        <v>0</v>
      </c>
      <c r="M90" s="70" t="n">
        <f aca="false">-M43*Assumptions!$G$102</f>
        <v>0</v>
      </c>
      <c r="N90" s="70" t="n">
        <f aca="false">-N43*Assumptions!$G$102</f>
        <v>0</v>
      </c>
      <c r="O90" s="70" t="n">
        <f aca="false">-O43*Assumptions!$G$102</f>
        <v>0</v>
      </c>
      <c r="P90" s="70" t="n">
        <f aca="false">-P43*Assumptions!$G$102</f>
        <v>0</v>
      </c>
      <c r="Q90" s="70" t="n">
        <f aca="false">-Q43*Assumptions!$G$102</f>
        <v>0</v>
      </c>
      <c r="R90" s="70" t="n">
        <f aca="false">-R43*Assumptions!$G$102</f>
        <v>0</v>
      </c>
      <c r="S90" s="70" t="n">
        <f aca="false">-S43*Assumptions!$G$102</f>
        <v>0</v>
      </c>
      <c r="T90" s="70" t="n">
        <f aca="false">-T43*Assumptions!$G$102</f>
        <v>0</v>
      </c>
      <c r="U90" s="70" t="n">
        <f aca="false">-U43*Assumptions!$G$102</f>
        <v>0</v>
      </c>
      <c r="V90" s="70" t="n">
        <f aca="false">-V43*Assumptions!$G$102</f>
        <v>0</v>
      </c>
      <c r="W90" s="70" t="n">
        <f aca="false">-W43*Assumptions!$G$102</f>
        <v>0</v>
      </c>
      <c r="X90" s="70" t="n">
        <f aca="false">-X43*Assumptions!$G$102</f>
        <v>0</v>
      </c>
      <c r="Y90" s="70" t="n">
        <f aca="false">-Y43*Assumptions!$G$102</f>
        <v>0</v>
      </c>
      <c r="Z90" s="70" t="n">
        <f aca="false">-Z43*Assumptions!$G$102</f>
        <v>0</v>
      </c>
      <c r="AA90" s="70" t="n">
        <f aca="false">-AA43*Assumptions!$G$102</f>
        <v>0</v>
      </c>
      <c r="AB90" s="70" t="n">
        <f aca="false">-AB43*Assumptions!$G$102</f>
        <v>0</v>
      </c>
      <c r="AC90" s="70" t="n">
        <f aca="false">-AC43*Assumptions!$G$102</f>
        <v>0</v>
      </c>
      <c r="AD90" s="70" t="n">
        <f aca="false">-AD43*Assumptions!$G$102</f>
        <v>0</v>
      </c>
      <c r="AE90" s="70" t="n">
        <f aca="false">-AE43*Assumptions!$G$102</f>
        <v>0</v>
      </c>
      <c r="AF90" s="70" t="n">
        <f aca="false">-AF43*Assumptions!$G$102</f>
        <v>0</v>
      </c>
      <c r="AG90" s="70" t="n">
        <f aca="false">-AG43*Assumptions!$G$102</f>
        <v>0</v>
      </c>
      <c r="AH90" s="70" t="n">
        <f aca="false">-AH43*Assumptions!$G$102</f>
        <v>0</v>
      </c>
      <c r="AI90" s="70" t="n">
        <f aca="false">-AI43*Assumptions!$G$102</f>
        <v>0</v>
      </c>
      <c r="AJ90" s="70" t="n">
        <f aca="false">-AJ43*Assumptions!$G$102</f>
        <v>0</v>
      </c>
      <c r="AK90" s="70" t="n">
        <f aca="false">-AK43*Assumptions!$G$102</f>
        <v>0</v>
      </c>
      <c r="AL90" s="70" t="n">
        <f aca="false">-AL43*Assumptions!$G$102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-43080</v>
      </c>
      <c r="D92" s="70" t="n">
        <f aca="false">D88+D91</f>
        <v>-87267.5905974615</v>
      </c>
      <c r="E92" s="70" t="n">
        <f aca="false">E88+E91</f>
        <v>-62492.0485644665</v>
      </c>
      <c r="F92" s="70" t="n">
        <f aca="false">F88+F91</f>
        <v>-48135.9945207226</v>
      </c>
      <c r="G92" s="70" t="n">
        <f aca="false">G88+G91</f>
        <v>-53468.6448132549</v>
      </c>
      <c r="H92" s="70" t="n">
        <f aca="false">H88+H91</f>
        <v>-49959.7440783</v>
      </c>
      <c r="I92" s="70" t="n">
        <f aca="false">I88+I91</f>
        <v>-45351.2697403297</v>
      </c>
      <c r="J92" s="70" t="n">
        <f aca="false">J88+J91</f>
        <v>-41290.722191279</v>
      </c>
      <c r="K92" s="70" t="n">
        <f aca="false">K88+K91</f>
        <v>-37328.0115247285</v>
      </c>
      <c r="L92" s="70" t="n">
        <f aca="false">L88+L91</f>
        <v>-33438.166698612</v>
      </c>
      <c r="M92" s="70" t="n">
        <f aca="false">M88+M91</f>
        <v>-29596.408441948</v>
      </c>
      <c r="N92" s="70" t="n">
        <f aca="false">N88+N91</f>
        <v>-25777.9592014161</v>
      </c>
      <c r="O92" s="70" t="n">
        <f aca="false">O88+O91</f>
        <v>-39957.8523176834</v>
      </c>
      <c r="P92" s="70" t="n">
        <f aca="false">P88+P91</f>
        <v>-36110.7386248894</v>
      </c>
      <c r="Q92" s="70" t="n">
        <f aca="false">Q88+Q91</f>
        <v>-32210.6888654809</v>
      </c>
      <c r="R92" s="70" t="n">
        <f aca="false">R88+R91</f>
        <v>-28230.9903056183</v>
      </c>
      <c r="S92" s="70" t="n">
        <f aca="false">S88+S91</f>
        <v>-24143.9359028334</v>
      </c>
      <c r="T92" s="70" t="n">
        <f aca="false">T88+T91</f>
        <v>-19920.6043310304</v>
      </c>
      <c r="U92" s="70" t="n">
        <f aca="false">U88+U91</f>
        <v>-16521.4050381013</v>
      </c>
      <c r="V92" s="70" t="n">
        <f aca="false">V88+V91</f>
        <v>-13298.3738976917</v>
      </c>
      <c r="W92" s="70" t="n">
        <f aca="false">W88+W91</f>
        <v>-9801.86106974988</v>
      </c>
      <c r="X92" s="70" t="n">
        <f aca="false">X88+X91</f>
        <v>-6059.29400076672</v>
      </c>
      <c r="Y92" s="70" t="n">
        <f aca="false">Y88+Y91</f>
        <v>-1983.76276326015</v>
      </c>
      <c r="Z92" s="70" t="n">
        <f aca="false">Z88+Z91</f>
        <v>2467.25519442048</v>
      </c>
      <c r="AA92" s="70" t="n">
        <f aca="false">AA88+AA91</f>
        <v>-13672.352943634</v>
      </c>
      <c r="AB92" s="70" t="n">
        <f aca="false">AB88+AB91</f>
        <v>-8502.4852234651</v>
      </c>
      <c r="AC92" s="70" t="n">
        <f aca="false">AC88+AC91</f>
        <v>-2983.35440259572</v>
      </c>
      <c r="AD92" s="70" t="n">
        <f aca="false">AD88+AD91</f>
        <v>2972.72001629981</v>
      </c>
      <c r="AE92" s="70" t="n">
        <f aca="false">AE88+AE91</f>
        <v>9386.93764187698</v>
      </c>
      <c r="AF92" s="70" t="n">
        <f aca="false">AF88+AF91</f>
        <v>16298.0561154226</v>
      </c>
      <c r="AG92" s="70" t="n">
        <f aca="false">AG88+AG91</f>
        <v>23748.2927400792</v>
      </c>
      <c r="AH92" s="70" t="n">
        <f aca="false">AH88+AH91</f>
        <v>31783.5360789067</v>
      </c>
      <c r="AI92" s="70" t="n">
        <f aca="false">AI88+AI91</f>
        <v>40453.5747385841</v>
      </c>
      <c r="AJ92" s="70" t="n">
        <f aca="false">AJ88+AJ91</f>
        <v>49812.4282134707</v>
      </c>
      <c r="AK92" s="70" t="n">
        <f aca="false">AK88+AK91</f>
        <v>59918.7130820769</v>
      </c>
      <c r="AL92" s="70" t="n">
        <f aca="false">AL88+AL91</f>
        <v>70836.0424254462</v>
      </c>
      <c r="AM92" s="70" t="n">
        <f aca="false">SUM(C92:AL92)</f>
        <v>-502906.703812735</v>
      </c>
    </row>
    <row r="93" customFormat="false" ht="15" hidden="false" customHeight="false" outlineLevel="0" collapsed="false">
      <c r="A93" s="37" t="s">
        <v>827</v>
      </c>
      <c r="B93" s="9" t="s">
        <v>97</v>
      </c>
      <c r="C93" s="53" t="n">
        <f aca="false">C92</f>
        <v>-43080</v>
      </c>
      <c r="D93" s="53" t="n">
        <f aca="false">C93+D92</f>
        <v>-130347.590597461</v>
      </c>
      <c r="E93" s="53" t="n">
        <f aca="false">D93+E92</f>
        <v>-192839.639161928</v>
      </c>
      <c r="F93" s="53" t="n">
        <f aca="false">E93+F92</f>
        <v>-240975.633682651</v>
      </c>
      <c r="G93" s="53" t="n">
        <f aca="false">F93+G92</f>
        <v>-294444.278495905</v>
      </c>
      <c r="H93" s="53" t="n">
        <f aca="false">G93+H92</f>
        <v>-344404.022574205</v>
      </c>
      <c r="I93" s="53" t="n">
        <f aca="false">H93+I92</f>
        <v>-389755.292314535</v>
      </c>
      <c r="J93" s="53" t="n">
        <f aca="false">I93+J92</f>
        <v>-431046.014505814</v>
      </c>
      <c r="K93" s="53" t="n">
        <f aca="false">J93+K92</f>
        <v>-468374.026030542</v>
      </c>
      <c r="L93" s="53" t="n">
        <f aca="false">K93+L92</f>
        <v>-501812.192729154</v>
      </c>
      <c r="M93" s="53" t="n">
        <f aca="false">L93+M92</f>
        <v>-531408.601171102</v>
      </c>
      <c r="N93" s="53" t="n">
        <f aca="false">M93+N92</f>
        <v>-557186.560372519</v>
      </c>
      <c r="O93" s="53" t="n">
        <f aca="false">N93+O92</f>
        <v>-597144.412690202</v>
      </c>
      <c r="P93" s="53" t="n">
        <f aca="false">O93+P92</f>
        <v>-633255.151315091</v>
      </c>
      <c r="Q93" s="53" t="n">
        <f aca="false">P93+Q92</f>
        <v>-665465.840180572</v>
      </c>
      <c r="R93" s="53" t="n">
        <f aca="false">Q93+R92</f>
        <v>-693696.830486191</v>
      </c>
      <c r="S93" s="53" t="n">
        <f aca="false">R93+S92</f>
        <v>-717840.766389024</v>
      </c>
      <c r="T93" s="53" t="n">
        <f aca="false">S93+T92</f>
        <v>-737761.370720054</v>
      </c>
      <c r="U93" s="53" t="n">
        <f aca="false">T93+U92</f>
        <v>-754282.775758156</v>
      </c>
      <c r="V93" s="53" t="n">
        <f aca="false">U93+V92</f>
        <v>-767581.149655847</v>
      </c>
      <c r="W93" s="53" t="n">
        <f aca="false">V93+W92</f>
        <v>-777383.010725597</v>
      </c>
      <c r="X93" s="53" t="n">
        <f aca="false">W93+X92</f>
        <v>-783442.304726364</v>
      </c>
      <c r="Y93" s="53" t="n">
        <f aca="false">X93+Y92</f>
        <v>-785426.067489624</v>
      </c>
      <c r="Z93" s="53" t="n">
        <f aca="false">Y93+Z92</f>
        <v>-782958.812295204</v>
      </c>
      <c r="AA93" s="53" t="n">
        <f aca="false">Z93+AA92</f>
        <v>-796631.165238838</v>
      </c>
      <c r="AB93" s="53" t="n">
        <f aca="false">AA93+AB92</f>
        <v>-805133.650462303</v>
      </c>
      <c r="AC93" s="53" t="n">
        <f aca="false">AB93+AC92</f>
        <v>-808117.004864899</v>
      </c>
      <c r="AD93" s="53" t="n">
        <f aca="false">AC93+AD92</f>
        <v>-805144.284848599</v>
      </c>
      <c r="AE93" s="53" t="n">
        <f aca="false">AD93+AE92</f>
        <v>-795757.347206722</v>
      </c>
      <c r="AF93" s="53" t="n">
        <f aca="false">AE93+AF92</f>
        <v>-779459.291091299</v>
      </c>
      <c r="AG93" s="53" t="n">
        <f aca="false">AF93+AG92</f>
        <v>-755710.99835122</v>
      </c>
      <c r="AH93" s="53" t="n">
        <f aca="false">AG93+AH92</f>
        <v>-723927.462272313</v>
      </c>
      <c r="AI93" s="53" t="n">
        <f aca="false">AH93+AI92</f>
        <v>-683473.887533729</v>
      </c>
      <c r="AJ93" s="53" t="n">
        <f aca="false">AI93+AJ92</f>
        <v>-633661.459320259</v>
      </c>
      <c r="AK93" s="53" t="n">
        <f aca="false">AJ93+AK92</f>
        <v>-573742.746238182</v>
      </c>
      <c r="AL93" s="53" t="n">
        <f aca="false">AK93+AL92</f>
        <v>-502906.703812736</v>
      </c>
      <c r="AM93" s="53" t="n">
        <f aca="false">AL93</f>
        <v>-502906.703812736</v>
      </c>
    </row>
    <row r="94" customFormat="false" ht="15" hidden="false" customHeight="false" outlineLevel="0" collapsed="false">
      <c r="A94" s="10" t="s">
        <v>828</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24</v>
      </c>
      <c r="AA94" s="69" t="n">
        <f aca="false">IF(AA88&gt;0,AA$5,999)</f>
        <v>999</v>
      </c>
      <c r="AB94" s="69" t="n">
        <f aca="false">IF(AB88&gt;0,AB$5,999)</f>
        <v>999</v>
      </c>
      <c r="AC94" s="69" t="n">
        <f aca="false">IF(AC88&gt;0,AC$5,999)</f>
        <v>999</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829</v>
      </c>
      <c r="B95" s="9" t="s">
        <v>51</v>
      </c>
      <c r="C95" s="61" t="n">
        <f aca="false">C32+C56</f>
        <v>0</v>
      </c>
      <c r="D95" s="61" t="n">
        <f aca="false">D32+D56</f>
        <v>231.18956573281</v>
      </c>
      <c r="E95" s="61" t="n">
        <f aca="false">E32+E56</f>
        <v>236.989402675381</v>
      </c>
      <c r="F95" s="61" t="n">
        <f aca="false">F32+F56</f>
        <v>240.913984463748</v>
      </c>
      <c r="G95" s="61" t="n">
        <f aca="false">G32+G56</f>
        <v>245.021697286052</v>
      </c>
      <c r="H95" s="61" t="n">
        <f aca="false">H32+H56</f>
        <v>249.486555864883</v>
      </c>
      <c r="I95" s="61" t="n">
        <f aca="false">I32+I56</f>
        <v>260.977009572469</v>
      </c>
      <c r="J95" s="61" t="n">
        <f aca="false">J32+J56</f>
        <v>266.942796231748</v>
      </c>
      <c r="K95" s="61" t="n">
        <f aca="false">K32+K56</f>
        <v>273.431177064295</v>
      </c>
      <c r="L95" s="61" t="n">
        <f aca="false">L32+L56</f>
        <v>280.490397140977</v>
      </c>
      <c r="M95" s="61" t="n">
        <f aca="false">M32+M56</f>
        <v>288.173138165924</v>
      </c>
      <c r="N95" s="61" t="n">
        <f aca="false">N32+N56</f>
        <v>296.536929218946</v>
      </c>
      <c r="O95" s="61" t="n">
        <f aca="false">O32+O56</f>
        <v>305.644590594946</v>
      </c>
      <c r="P95" s="61" t="n">
        <f aca="false">P32+P56</f>
        <v>315.564717436035</v>
      </c>
      <c r="Q95" s="61" t="n">
        <f aca="false">Q32+Q56</f>
        <v>326.372206910291</v>
      </c>
      <c r="R95" s="61" t="n">
        <f aca="false">R32+R56</f>
        <v>338.148832732404</v>
      </c>
      <c r="S95" s="61" t="n">
        <f aca="false">S32+S56</f>
        <v>350.983871092782</v>
      </c>
      <c r="T95" s="61" t="n">
        <f aca="false">T32+T56</f>
        <v>364.974782359096</v>
      </c>
      <c r="U95" s="61" t="n">
        <f aca="false">U32+U56</f>
        <v>387.034388037831</v>
      </c>
      <c r="V95" s="61" t="n">
        <f aca="false">V32+V56</f>
        <v>414.224709253564</v>
      </c>
      <c r="W95" s="61" t="n">
        <f aca="false">W32+W56</f>
        <v>444.096698962498</v>
      </c>
      <c r="X95" s="61" t="n">
        <f aca="false">X32+X56</f>
        <v>476.631248215095</v>
      </c>
      <c r="Y95" s="61" t="n">
        <f aca="false">Y32+Y56</f>
        <v>512.014507219681</v>
      </c>
      <c r="Z95" s="61" t="n">
        <f aca="false">Z32+Z56</f>
        <v>550.483637027708</v>
      </c>
      <c r="AA95" s="61" t="n">
        <f aca="false">AA32+AA56</f>
        <v>592.300591440857</v>
      </c>
      <c r="AB95" s="61" t="n">
        <f aca="false">AB32+AB56</f>
        <v>637.018250124899</v>
      </c>
      <c r="AC95" s="61" t="n">
        <f aca="false">AC32+AC56</f>
        <v>684.717681148362</v>
      </c>
      <c r="AD95" s="61" t="n">
        <f aca="false">AD32+AD56</f>
        <v>736.016105475769</v>
      </c>
      <c r="AE95" s="61" t="n">
        <f aca="false">AE32+AE56</f>
        <v>791.301058084919</v>
      </c>
      <c r="AF95" s="61" t="n">
        <f aca="false">AF32+AF56</f>
        <v>850.924720198681</v>
      </c>
      <c r="AG95" s="61" t="n">
        <f aca="false">AG32+AG56</f>
        <v>915.264186392783</v>
      </c>
      <c r="AH95" s="61" t="n">
        <f aca="false">AH32+AH56</f>
        <v>984.726892979113</v>
      </c>
      <c r="AI95" s="61" t="n">
        <f aca="false">AI32+AI56</f>
        <v>1059.7540357419</v>
      </c>
      <c r="AJ95" s="61" t="n">
        <f aca="false">AJ32+AJ56</f>
        <v>1140.82368247797</v>
      </c>
      <c r="AK95" s="61" t="n">
        <f aca="false">AK32+AK56</f>
        <v>1228.45407888232</v>
      </c>
      <c r="AL95" s="61" t="n">
        <f aca="false">AL32+AL56</f>
        <v>1323.20722480832</v>
      </c>
      <c r="AM95" s="61" t="n">
        <f aca="false">SUM(C95:AL95)</f>
        <v>18600.8353510151</v>
      </c>
    </row>
    <row r="96" customFormat="false" ht="15" hidden="false" customHeight="false" outlineLevel="0" collapsed="false">
      <c r="A96" s="37" t="s">
        <v>830</v>
      </c>
      <c r="B96" s="9" t="s">
        <v>97</v>
      </c>
      <c r="C96" s="51" t="n">
        <f aca="false">IFERROR((C26-C82)/C95,0)</f>
        <v>0</v>
      </c>
      <c r="D96" s="51" t="n">
        <f aca="false">IFERROR((D26-D82)/D95,0)</f>
        <v>181.669098546343</v>
      </c>
      <c r="E96" s="51" t="n">
        <f aca="false">IFERROR((E26-E82)/E95,0)</f>
        <v>177.223114307478</v>
      </c>
      <c r="F96" s="51" t="n">
        <f aca="false">IFERROR((F26-F82)/F95,0)</f>
        <v>174.336081375633</v>
      </c>
      <c r="G96" s="51" t="n">
        <f aca="false">IFERROR((G26-G82)/G95,0)</f>
        <v>171.413390998459</v>
      </c>
      <c r="H96" s="51" t="n">
        <f aca="false">IFERROR((H26-H82)/H95,0)</f>
        <v>168.345744540826</v>
      </c>
      <c r="I96" s="51" t="n">
        <f aca="false">IFERROR((I26-I82)/I95,0)</f>
        <v>160.933716225824</v>
      </c>
      <c r="J96" s="51" t="n">
        <f aca="false">IFERROR((J26-J82)/J95,0)</f>
        <v>157.337079677316</v>
      </c>
      <c r="K96" s="51" t="n">
        <f aca="false">IFERROR((K26-K82)/K95,0)</f>
        <v>153.603551909972</v>
      </c>
      <c r="L96" s="51" t="n">
        <f aca="false">IFERROR((L26-L82)/L95,0)</f>
        <v>149.737746561393</v>
      </c>
      <c r="M96" s="51" t="n">
        <f aca="false">IFERROR((M26-M82)/M95,0)</f>
        <v>145.745714771712</v>
      </c>
      <c r="N96" s="51" t="n">
        <f aca="false">IFERROR((N26-N82)/N95,0)</f>
        <v>141.634973123329</v>
      </c>
      <c r="O96" s="51" t="n">
        <f aca="false">IFERROR((O26-O82)/O95,0)</f>
        <v>137.414504599102</v>
      </c>
      <c r="P96" s="51" t="n">
        <f aca="false">IFERROR((P26-P82)/P95,0)</f>
        <v>133.094727259911</v>
      </c>
      <c r="Q96" s="51" t="n">
        <f aca="false">IFERROR((Q26-Q82)/Q95,0)</f>
        <v>128.687428373901</v>
      </c>
      <c r="R96" s="51" t="n">
        <f aca="false">IFERROR((R26-R82)/R95,0)</f>
        <v>124.205663111772</v>
      </c>
      <c r="S96" s="51" t="n">
        <f aca="false">IFERROR((S26-S82)/S95,0)</f>
        <v>119.663618357259</v>
      </c>
      <c r="T96" s="51" t="n">
        <f aca="false">IFERROR((T26-T82)/T95,0)</f>
        <v>115.076443716258</v>
      </c>
      <c r="U96" s="51" t="n">
        <f aca="false">IFERROR((U26-U82)/U95,0)</f>
        <v>111.950349803855</v>
      </c>
      <c r="V96" s="51" t="n">
        <f aca="false">IFERROR((V26-V82)/V95,0)</f>
        <v>109.553480955362</v>
      </c>
      <c r="W96" s="51" t="n">
        <f aca="false">IFERROR((W26-W82)/W95,0)</f>
        <v>107.339200596355</v>
      </c>
      <c r="X96" s="51" t="n">
        <f aca="false">IFERROR((X26-X82)/X95,0)</f>
        <v>105.286468525047</v>
      </c>
      <c r="Y96" s="51" t="n">
        <f aca="false">IFERROR((Y26-Y82)/Y95,0)</f>
        <v>103.387110708167</v>
      </c>
      <c r="Z96" s="51" t="n">
        <f aca="false">IFERROR((Z26-Z82)/Z95,0)</f>
        <v>101.635754545427</v>
      </c>
      <c r="AA96" s="51" t="n">
        <f aca="false">IFERROR((AA26-AA82)/AA95,0)</f>
        <v>100.026850383647</v>
      </c>
      <c r="AB96" s="51" t="n">
        <f aca="false">IFERROR((AB26-AB82)/AB95,0)</f>
        <v>98.6678140358639</v>
      </c>
      <c r="AC96" s="51" t="n">
        <f aca="false">IFERROR((AC26-AC82)/AC95,0)</f>
        <v>97.4517697521614</v>
      </c>
      <c r="AD96" s="51" t="n">
        <f aca="false">IFERROR((AD26-AD82)/AD95,0)</f>
        <v>96.2785714016153</v>
      </c>
      <c r="AE96" s="51" t="n">
        <f aca="false">IFERROR((AE26-AE82)/AE95,0)</f>
        <v>95.1607364552934</v>
      </c>
      <c r="AF96" s="51" t="n">
        <f aca="false">IFERROR((AF26-AF82)/AF95,0)</f>
        <v>94.0967509408794</v>
      </c>
      <c r="AG96" s="51" t="n">
        <f aca="false">IFERROR((AG26-AG82)/AG95,0)</f>
        <v>93.0850086097455</v>
      </c>
      <c r="AH96" s="51" t="n">
        <f aca="false">IFERROR((AH26-AH82)/AH95,0)</f>
        <v>92.1238474890309</v>
      </c>
      <c r="AI96" s="51" t="n">
        <f aca="false">IFERROR((AI26-AI82)/AI95,0)</f>
        <v>91.2115967682073</v>
      </c>
      <c r="AJ96" s="51" t="n">
        <f aca="false">IFERROR((AJ26-AJ82)/AJ95,0)</f>
        <v>90.3465750462684</v>
      </c>
      <c r="AK96" s="51" t="n">
        <f aca="false">IFERROR((AK26-AK82)/AK95,0)</f>
        <v>89.5270896410143</v>
      </c>
      <c r="AL96" s="51" t="n">
        <f aca="false">IFERROR((AL26-AL82)/AL95,0)</f>
        <v>88.7514384837006</v>
      </c>
      <c r="AM96" s="51" t="n">
        <f aca="false">AVERAGE(N96:AL96)</f>
        <v>106.626310907327</v>
      </c>
    </row>
    <row r="97" customFormat="false" ht="15" hidden="false" customHeight="false" outlineLevel="0" collapsed="false">
      <c r="A97" s="10" t="s">
        <v>831</v>
      </c>
      <c r="B97" s="9" t="s">
        <v>97</v>
      </c>
      <c r="C97" s="63" t="n">
        <f aca="false">IFERROR(C18/(C19*Assumptions!$G$49*Assumptions!$G$31*Assumptions!$G$32),0)</f>
        <v>0</v>
      </c>
      <c r="D97" s="63" t="n">
        <f aca="false">IFERROR(D18/(D19*Assumptions!$G$49*Assumptions!$G$31*Assumptions!$G$32),0)</f>
        <v>58.2010582010582</v>
      </c>
      <c r="E97" s="63" t="n">
        <f aca="false">IFERROR(E18/(E19*Assumptions!$G$49*Assumptions!$G$31*Assumptions!$G$32),0)</f>
        <v>58.2010582010582</v>
      </c>
      <c r="F97" s="63" t="n">
        <f aca="false">IFERROR(F18/(F19*Assumptions!$G$49*Assumptions!$G$31*Assumptions!$G$32),0)</f>
        <v>58.2010582010582</v>
      </c>
      <c r="G97" s="63" t="n">
        <f aca="false">IFERROR(G18/(G19*Assumptions!$G$49*Assumptions!$G$31*Assumptions!$G$32),0)</f>
        <v>58.2010582010582</v>
      </c>
      <c r="H97" s="63" t="n">
        <f aca="false">IFERROR(H18/(H19*Assumptions!$G$49*Assumptions!$G$31*Assumptions!$G$32),0)</f>
        <v>58.2010582010582</v>
      </c>
      <c r="I97" s="63" t="n">
        <f aca="false">IFERROR(I18/(I19*Assumptions!$G$49*Assumptions!$G$31*Assumptions!$G$32),0)</f>
        <v>58.2010582010582</v>
      </c>
      <c r="J97" s="63" t="n">
        <f aca="false">IFERROR(J18/(J19*Assumptions!$G$49*Assumptions!$G$31*Assumptions!$G$32),0)</f>
        <v>58.2010582010582</v>
      </c>
      <c r="K97" s="63" t="n">
        <f aca="false">IFERROR(K18/(K19*Assumptions!$G$49*Assumptions!$G$31*Assumptions!$G$32),0)</f>
        <v>58.2010582010582</v>
      </c>
      <c r="L97" s="63" t="n">
        <f aca="false">IFERROR(L18/(L19*Assumptions!$G$49*Assumptions!$G$31*Assumptions!$G$32),0)</f>
        <v>58.2010582010582</v>
      </c>
      <c r="M97" s="63" t="n">
        <f aca="false">IFERROR(M18/(M19*Assumptions!$G$49*Assumptions!$G$31*Assumptions!$G$32),0)</f>
        <v>58.2010582010582</v>
      </c>
      <c r="N97" s="63" t="n">
        <f aca="false">IFERROR(N18/(N19*Assumptions!$G$49*Assumptions!$G$31*Assumptions!$G$32),0)</f>
        <v>58.2010582010582</v>
      </c>
      <c r="O97" s="63" t="n">
        <f aca="false">IFERROR(O18/(O19*Assumptions!$G$49*Assumptions!$G$31*Assumptions!$G$32),0)</f>
        <v>58.2010582010582</v>
      </c>
      <c r="P97" s="63" t="n">
        <f aca="false">IFERROR(P18/(P19*Assumptions!$G$49*Assumptions!$G$31*Assumptions!$G$32),0)</f>
        <v>58.2010582010582</v>
      </c>
      <c r="Q97" s="63" t="n">
        <f aca="false">IFERROR(Q18/(Q19*Assumptions!$G$49*Assumptions!$G$31*Assumptions!$G$32),0)</f>
        <v>58.2010582010582</v>
      </c>
      <c r="R97" s="63" t="n">
        <f aca="false">IFERROR(R18/(R19*Assumptions!$G$49*Assumptions!$G$31*Assumptions!$G$32),0)</f>
        <v>58.2010582010582</v>
      </c>
      <c r="S97" s="63" t="n">
        <f aca="false">IFERROR(S18/(S19*Assumptions!$G$49*Assumptions!$G$31*Assumptions!$G$32),0)</f>
        <v>58.2010582010582</v>
      </c>
      <c r="T97" s="63" t="n">
        <f aca="false">IFERROR(T18/(T19*Assumptions!$G$49*Assumptions!$G$31*Assumptions!$G$32),0)</f>
        <v>58.2010582010582</v>
      </c>
      <c r="U97" s="63" t="n">
        <f aca="false">IFERROR(U18/(U19*Assumptions!$G$49*Assumptions!$G$31*Assumptions!$G$32),0)</f>
        <v>58.2010582010582</v>
      </c>
      <c r="V97" s="63" t="n">
        <f aca="false">IFERROR(V18/(V19*Assumptions!$G$49*Assumptions!$G$31*Assumptions!$G$32),0)</f>
        <v>58.2010582010582</v>
      </c>
      <c r="W97" s="63" t="n">
        <f aca="false">IFERROR(W18/(W19*Assumptions!$G$49*Assumptions!$G$31*Assumptions!$G$32),0)</f>
        <v>58.2010582010582</v>
      </c>
      <c r="X97" s="63" t="n">
        <f aca="false">IFERROR(X18/(X19*Assumptions!$G$49*Assumptions!$G$31*Assumptions!$G$32),0)</f>
        <v>58.2010582010582</v>
      </c>
      <c r="Y97" s="63" t="n">
        <f aca="false">IFERROR(Y18/(Y19*Assumptions!$G$49*Assumptions!$G$31*Assumptions!$G$32),0)</f>
        <v>58.2010582010582</v>
      </c>
      <c r="Z97" s="63" t="n">
        <f aca="false">IFERROR(Z18/(Z19*Assumptions!$G$49*Assumptions!$G$31*Assumptions!$G$32),0)</f>
        <v>58.2010582010582</v>
      </c>
      <c r="AA97" s="63" t="n">
        <f aca="false">IFERROR(AA18/(AA19*Assumptions!$G$49*Assumptions!$G$31*Assumptions!$G$32),0)</f>
        <v>58.2010582010582</v>
      </c>
      <c r="AB97" s="63" t="n">
        <f aca="false">IFERROR(AB18/(AB19*Assumptions!$G$49*Assumptions!$G$31*Assumptions!$G$32),0)</f>
        <v>58.2010582010582</v>
      </c>
      <c r="AC97" s="63" t="n">
        <f aca="false">IFERROR(AC18/(AC19*Assumptions!$G$49*Assumptions!$G$31*Assumptions!$G$32),0)</f>
        <v>58.2010582010582</v>
      </c>
      <c r="AD97" s="63" t="n">
        <f aca="false">IFERROR(AD18/(AD19*Assumptions!$G$49*Assumptions!$G$31*Assumptions!$G$32),0)</f>
        <v>58.2010582010582</v>
      </c>
      <c r="AE97" s="63" t="n">
        <f aca="false">IFERROR(AE18/(AE19*Assumptions!$G$49*Assumptions!$G$31*Assumptions!$G$32),0)</f>
        <v>58.2010582010582</v>
      </c>
      <c r="AF97" s="63" t="n">
        <f aca="false">IFERROR(AF18/(AF19*Assumptions!$G$49*Assumptions!$G$31*Assumptions!$G$32),0)</f>
        <v>58.2010582010582</v>
      </c>
      <c r="AG97" s="63" t="n">
        <f aca="false">IFERROR(AG18/(AG19*Assumptions!$G$49*Assumptions!$G$31*Assumptions!$G$32),0)</f>
        <v>58.2010582010582</v>
      </c>
      <c r="AH97" s="63" t="n">
        <f aca="false">IFERROR(AH18/(AH19*Assumptions!$G$49*Assumptions!$G$31*Assumptions!$G$32),0)</f>
        <v>58.2010582010582</v>
      </c>
      <c r="AI97" s="63" t="n">
        <f aca="false">IFERROR(AI18/(AI19*Assumptions!$G$49*Assumptions!$G$31*Assumptions!$G$32),0)</f>
        <v>58.2010582010582</v>
      </c>
      <c r="AJ97" s="63" t="n">
        <f aca="false">IFERROR(AJ18/(AJ19*Assumptions!$G$49*Assumptions!$G$31*Assumptions!$G$32),0)</f>
        <v>58.2010582010582</v>
      </c>
      <c r="AK97" s="63" t="n">
        <f aca="false">IFERROR(AK18/(AK19*Assumptions!$G$49*Assumptions!$G$31*Assumptions!$G$32),0)</f>
        <v>58.2010582010582</v>
      </c>
      <c r="AL97" s="63" t="n">
        <f aca="false">IFERROR(AL18/(AL19*Assumptions!$G$49*Assumptions!$G$31*Assumptions!$G$32),0)</f>
        <v>58.2010582010582</v>
      </c>
      <c r="AM97" s="63" t="n">
        <f aca="false">AVERAGE(N97:AL97)</f>
        <v>58.2010582010582</v>
      </c>
    </row>
    <row r="98" customFormat="false" ht="15" hidden="false" customHeight="false" outlineLevel="0" collapsed="false">
      <c r="A98" s="10" t="s">
        <v>832</v>
      </c>
      <c r="B98" s="9" t="s">
        <v>97</v>
      </c>
      <c r="C98" s="63" t="n">
        <f aca="false">IFERROR(C22/(C23*Assumptions!$G$49*Assumptions!$G$38*Assumptions!$G$39),0)</f>
        <v>0</v>
      </c>
      <c r="D98" s="63" t="n">
        <f aca="false">IFERROR(D22/(D23*Assumptions!$G$49*Assumptions!$G$38*Assumptions!$G$39),0)</f>
        <v>161.111111111111</v>
      </c>
      <c r="E98" s="63" t="n">
        <f aca="false">IFERROR(E22/(E23*Assumptions!$G$49*Assumptions!$G$38*Assumptions!$G$39),0)</f>
        <v>161.111111111111</v>
      </c>
      <c r="F98" s="63" t="n">
        <f aca="false">IFERROR(F22/(F23*Assumptions!$G$49*Assumptions!$G$38*Assumptions!$G$39),0)</f>
        <v>161.111111111111</v>
      </c>
      <c r="G98" s="63" t="n">
        <f aca="false">IFERROR(G22/(G23*Assumptions!$G$49*Assumptions!$G$38*Assumptions!$G$39),0)</f>
        <v>161.111111111111</v>
      </c>
      <c r="H98" s="63" t="n">
        <f aca="false">IFERROR(H22/(H23*Assumptions!$G$49*Assumptions!$G$38*Assumptions!$G$39),0)</f>
        <v>161.111111111111</v>
      </c>
      <c r="I98" s="63" t="n">
        <f aca="false">IFERROR(I22/(I23*Assumptions!$G$49*Assumptions!$G$38*Assumptions!$G$39),0)</f>
        <v>161.111111111111</v>
      </c>
      <c r="J98" s="63" t="n">
        <f aca="false">IFERROR(J22/(J23*Assumptions!$G$49*Assumptions!$G$38*Assumptions!$G$39),0)</f>
        <v>161.111111111111</v>
      </c>
      <c r="K98" s="63" t="n">
        <f aca="false">IFERROR(K22/(K23*Assumptions!$G$49*Assumptions!$G$38*Assumptions!$G$39),0)</f>
        <v>161.111111111111</v>
      </c>
      <c r="L98" s="63" t="n">
        <f aca="false">IFERROR(L22/(L23*Assumptions!$G$49*Assumptions!$G$38*Assumptions!$G$39),0)</f>
        <v>161.111111111111</v>
      </c>
      <c r="M98" s="63" t="n">
        <f aca="false">IFERROR(M22/(M23*Assumptions!$G$49*Assumptions!$G$38*Assumptions!$G$39),0)</f>
        <v>161.111111111111</v>
      </c>
      <c r="N98" s="63" t="n">
        <f aca="false">IFERROR(N22/(N23*Assumptions!$G$49*Assumptions!$G$38*Assumptions!$G$39),0)</f>
        <v>161.111111111111</v>
      </c>
      <c r="O98" s="63" t="n">
        <f aca="false">IFERROR(O22/(O23*Assumptions!$G$49*Assumptions!$G$38*Assumptions!$G$39),0)</f>
        <v>161.111111111111</v>
      </c>
      <c r="P98" s="63" t="n">
        <f aca="false">IFERROR(P22/(P23*Assumptions!$G$49*Assumptions!$G$38*Assumptions!$G$39),0)</f>
        <v>161.111111111111</v>
      </c>
      <c r="Q98" s="63" t="n">
        <f aca="false">IFERROR(Q22/(Q23*Assumptions!$G$49*Assumptions!$G$38*Assumptions!$G$39),0)</f>
        <v>161.111111111111</v>
      </c>
      <c r="R98" s="63" t="n">
        <f aca="false">IFERROR(R22/(R23*Assumptions!$G$49*Assumptions!$G$38*Assumptions!$G$39),0)</f>
        <v>161.111111111111</v>
      </c>
      <c r="S98" s="63" t="n">
        <f aca="false">IFERROR(S22/(S23*Assumptions!$G$49*Assumptions!$G$38*Assumptions!$G$39),0)</f>
        <v>161.111111111111</v>
      </c>
      <c r="T98" s="63" t="n">
        <f aca="false">IFERROR(T22/(T23*Assumptions!$G$49*Assumptions!$G$38*Assumptions!$G$39),0)</f>
        <v>161.111111111111</v>
      </c>
      <c r="U98" s="63" t="n">
        <f aca="false">IFERROR(U22/(U23*Assumptions!$G$49*Assumptions!$G$38*Assumptions!$G$39),0)</f>
        <v>161.111111111111</v>
      </c>
      <c r="V98" s="63" t="n">
        <f aca="false">IFERROR(V22/(V23*Assumptions!$G$49*Assumptions!$G$38*Assumptions!$G$39),0)</f>
        <v>161.111111111111</v>
      </c>
      <c r="W98" s="63" t="n">
        <f aca="false">IFERROR(W22/(W23*Assumptions!$G$49*Assumptions!$G$38*Assumptions!$G$39),0)</f>
        <v>161.111111111111</v>
      </c>
      <c r="X98" s="63" t="n">
        <f aca="false">IFERROR(X22/(X23*Assumptions!$G$49*Assumptions!$G$38*Assumptions!$G$39),0)</f>
        <v>161.111111111111</v>
      </c>
      <c r="Y98" s="63" t="n">
        <f aca="false">IFERROR(Y22/(Y23*Assumptions!$G$49*Assumptions!$G$38*Assumptions!$G$39),0)</f>
        <v>161.111111111111</v>
      </c>
      <c r="Z98" s="63" t="n">
        <f aca="false">IFERROR(Z22/(Z23*Assumptions!$G$49*Assumptions!$G$38*Assumptions!$G$39),0)</f>
        <v>161.111111111111</v>
      </c>
      <c r="AA98" s="63" t="n">
        <f aca="false">IFERROR(AA22/(AA23*Assumptions!$G$49*Assumptions!$G$38*Assumptions!$G$39),0)</f>
        <v>161.111111111111</v>
      </c>
      <c r="AB98" s="63" t="n">
        <f aca="false">IFERROR(AB22/(AB23*Assumptions!$G$49*Assumptions!$G$38*Assumptions!$G$39),0)</f>
        <v>161.111111111111</v>
      </c>
      <c r="AC98" s="63" t="n">
        <f aca="false">IFERROR(AC22/(AC23*Assumptions!$G$49*Assumptions!$G$38*Assumptions!$G$39),0)</f>
        <v>161.111111111111</v>
      </c>
      <c r="AD98" s="63" t="n">
        <f aca="false">IFERROR(AD22/(AD23*Assumptions!$G$49*Assumptions!$G$38*Assumptions!$G$39),0)</f>
        <v>161.111111111111</v>
      </c>
      <c r="AE98" s="63" t="n">
        <f aca="false">IFERROR(AE22/(AE23*Assumptions!$G$49*Assumptions!$G$38*Assumptions!$G$39),0)</f>
        <v>161.111111111111</v>
      </c>
      <c r="AF98" s="63" t="n">
        <f aca="false">IFERROR(AF22/(AF23*Assumptions!$G$49*Assumptions!$G$38*Assumptions!$G$39),0)</f>
        <v>161.111111111111</v>
      </c>
      <c r="AG98" s="63" t="n">
        <f aca="false">IFERROR(AG22/(AG23*Assumptions!$G$49*Assumptions!$G$38*Assumptions!$G$39),0)</f>
        <v>161.111111111111</v>
      </c>
      <c r="AH98" s="63" t="n">
        <f aca="false">IFERROR(AH22/(AH23*Assumptions!$G$49*Assumptions!$G$38*Assumptions!$G$39),0)</f>
        <v>161.111111111111</v>
      </c>
      <c r="AI98" s="63" t="n">
        <f aca="false">IFERROR(AI22/(AI23*Assumptions!$G$49*Assumptions!$G$38*Assumptions!$G$39),0)</f>
        <v>161.111111111111</v>
      </c>
      <c r="AJ98" s="63" t="n">
        <f aca="false">IFERROR(AJ22/(AJ23*Assumptions!$G$49*Assumptions!$G$38*Assumptions!$G$39),0)</f>
        <v>161.111111111111</v>
      </c>
      <c r="AK98" s="63" t="n">
        <f aca="false">IFERROR(AK22/(AK23*Assumptions!$G$49*Assumptions!$G$38*Assumptions!$G$39),0)</f>
        <v>161.111111111111</v>
      </c>
      <c r="AL98" s="63" t="n">
        <f aca="false">IFERROR(AL22/(AL23*Assumptions!$G$49*Assumptions!$G$38*Assumptions!$G$39),0)</f>
        <v>161.111111111111</v>
      </c>
      <c r="AM98" s="63" t="n">
        <f aca="false">AVERAGE(N98:AL98)</f>
        <v>161.111111111111</v>
      </c>
    </row>
    <row r="99" customFormat="false" ht="15" hidden="false" customHeight="false" outlineLevel="0" collapsed="false">
      <c r="A99" s="10" t="s">
        <v>833</v>
      </c>
      <c r="B99" s="9" t="s">
        <v>97</v>
      </c>
      <c r="C99" s="63" t="n">
        <f aca="false">IFERROR(C24/(C25*Assumptions!$G$49*Assumptions!$G$43),0)</f>
        <v>111.103687580742</v>
      </c>
      <c r="D99" s="63" t="n">
        <f aca="false">IFERROR(D24/(D25*Assumptions!$G$49*Assumptions!$G$43),0)</f>
        <v>154.544835391114</v>
      </c>
      <c r="E99" s="63" t="n">
        <f aca="false">IFERROR(E24/(E25*Assumptions!$G$49*Assumptions!$G$43),0)</f>
        <v>152.001843674405</v>
      </c>
      <c r="F99" s="63" t="n">
        <f aca="false">IFERROR(F24/(F25*Assumptions!$G$49*Assumptions!$G$43),0)</f>
        <v>151.725781854891</v>
      </c>
      <c r="G99" s="63" t="n">
        <f aca="false">IFERROR(G24/(G25*Assumptions!$G$49*Assumptions!$G$43),0)</f>
        <v>151.613076662284</v>
      </c>
      <c r="H99" s="63" t="n">
        <f aca="false">IFERROR(H24/(H25*Assumptions!$G$49*Assumptions!$G$43),0)</f>
        <v>151.503778214775</v>
      </c>
      <c r="I99" s="63" t="n">
        <f aca="false">IFERROR(I24/(I25*Assumptions!$G$49*Assumptions!$G$43),0)</f>
        <v>151.385398235146</v>
      </c>
      <c r="J99" s="63" t="n">
        <f aca="false">IFERROR(J24/(J25*Assumptions!$G$49*Assumptions!$G$43),0)</f>
        <v>151.256142646665</v>
      </c>
      <c r="K99" s="63" t="n">
        <f aca="false">IFERROR(K24/(K25*Assumptions!$G$49*Assumptions!$G$43),0)</f>
        <v>151.11490770679</v>
      </c>
      <c r="L99" s="63" t="n">
        <f aca="false">IFERROR(L24/(L25*Assumptions!$G$49*Assumptions!$G$43),0)</f>
        <v>150.960541632634</v>
      </c>
      <c r="M99" s="63" t="n">
        <f aca="false">IFERROR(M24/(M25*Assumptions!$G$49*Assumptions!$G$43),0)</f>
        <v>150.791779820042</v>
      </c>
      <c r="N99" s="63" t="n">
        <f aca="false">IFERROR(N24/(N25*Assumptions!$G$49*Assumptions!$G$43),0)</f>
        <v>150.607227630675</v>
      </c>
      <c r="O99" s="63" t="n">
        <f aca="false">IFERROR(O24/(O25*Assumptions!$G$49*Assumptions!$G$43),0)</f>
        <v>150.405344938981</v>
      </c>
      <c r="P99" s="63" t="n">
        <f aca="false">IFERROR(P24/(P25*Assumptions!$G$49*Assumptions!$G$43),0)</f>
        <v>150.184428819582</v>
      </c>
      <c r="Q99" s="63" t="n">
        <f aca="false">IFERROR(Q24/(Q25*Assumptions!$G$49*Assumptions!$G$43),0)</f>
        <v>149.942593765825</v>
      </c>
      <c r="R99" s="63" t="n">
        <f aca="false">IFERROR(R24/(R25*Assumptions!$G$49*Assumptions!$G$43),0)</f>
        <v>149.677748974775</v>
      </c>
      <c r="S99" s="63" t="n">
        <f aca="false">IFERROR(S24/(S25*Assumptions!$G$49*Assumptions!$G$43),0)</f>
        <v>149.387572150863</v>
      </c>
      <c r="T99" s="63" t="n">
        <f aca="false">IFERROR(T24/(T25*Assumptions!$G$49*Assumptions!$G$43),0)</f>
        <v>149.069479155744</v>
      </c>
      <c r="U99" s="63" t="n">
        <f aca="false">IFERROR(U24/(U25*Assumptions!$G$49*Assumptions!$G$43),0)</f>
        <v>150.772031734271</v>
      </c>
      <c r="V99" s="63" t="n">
        <f aca="false">IFERROR(V24/(V25*Assumptions!$G$49*Assumptions!$G$43),0)</f>
        <v>153.317345121794</v>
      </c>
      <c r="W99" s="63" t="n">
        <f aca="false">IFERROR(W24/(W25*Assumptions!$G$49*Assumptions!$G$43),0)</f>
        <v>155.974010623702</v>
      </c>
      <c r="X99" s="63" t="n">
        <f aca="false">IFERROR(X24/(X25*Assumptions!$G$49*Assumptions!$G$43),0)</f>
        <v>158.74849504449</v>
      </c>
      <c r="Y99" s="63" t="n">
        <f aca="false">IFERROR(Y24/(Y25*Assumptions!$G$49*Assumptions!$G$43),0)</f>
        <v>161.640184887862</v>
      </c>
      <c r="Z99" s="63" t="n">
        <f aca="false">IFERROR(Z24/(Z25*Assumptions!$G$49*Assumptions!$G$43),0)</f>
        <v>164.649797610803</v>
      </c>
      <c r="AA99" s="63" t="n">
        <f aca="false">IFERROR(AA24/(AA25*Assumptions!$G$49*Assumptions!$G$43),0)</f>
        <v>167.777978564228</v>
      </c>
      <c r="AB99" s="63" t="n">
        <f aca="false">IFERROR(AB24/(AB25*Assumptions!$G$49*Assumptions!$G$43),0)</f>
        <v>171.025368287627</v>
      </c>
      <c r="AC99" s="63" t="n">
        <f aca="false">IFERROR(AC24/(AC25*Assumptions!$G$49*Assumptions!$G$43),0)</f>
        <v>174.320456006162</v>
      </c>
      <c r="AD99" s="63" t="n">
        <f aca="false">IFERROR(AD24/(AD25*Assumptions!$G$49*Assumptions!$G$43),0)</f>
        <v>177.645485674916</v>
      </c>
      <c r="AE99" s="63" t="n">
        <f aca="false">IFERROR(AE24/(AE25*Assumptions!$G$49*Assumptions!$G$43),0)</f>
        <v>181.024401647775</v>
      </c>
      <c r="AF99" s="63" t="n">
        <f aca="false">IFERROR(AF24/(AF25*Assumptions!$G$49*Assumptions!$G$43),0)</f>
        <v>184.462064149242</v>
      </c>
      <c r="AG99" s="63" t="n">
        <f aca="false">IFERROR(AG24/(AG25*Assumptions!$G$49*Assumptions!$G$43),0)</f>
        <v>187.963177625032</v>
      </c>
      <c r="AH99" s="63" t="n">
        <f aca="false">IFERROR(AH24/(AH25*Assumptions!$G$49*Assumptions!$G$43),0)</f>
        <v>191.53208437534</v>
      </c>
      <c r="AI99" s="63" t="n">
        <f aca="false">IFERROR(AI24/(AI25*Assumptions!$G$49*Assumptions!$G$43),0)</f>
        <v>195.172848251941</v>
      </c>
      <c r="AJ99" s="63" t="n">
        <f aca="false">IFERROR(AJ24/(AJ25*Assumptions!$G$49*Assumptions!$G$43),0)</f>
        <v>198.889295168649</v>
      </c>
      <c r="AK99" s="63" t="n">
        <f aca="false">IFERROR(AK24/(AK25*Assumptions!$G$49*Assumptions!$G$43),0)</f>
        <v>202.68504864718</v>
      </c>
      <c r="AL99" s="63" t="n">
        <f aca="false">IFERROR(AL24/(AL25*Assumptions!$G$49*Assumptions!$G$43),0)</f>
        <v>206.563560519346</v>
      </c>
      <c r="AM99" s="63" t="n">
        <f aca="false">AVERAGE(N99:AL99)</f>
        <v>169.337521175072</v>
      </c>
    </row>
    <row r="100" customFormat="false" ht="15" hidden="false" customHeight="false" outlineLevel="0" collapsed="false">
      <c r="A100" s="37" t="s">
        <v>834</v>
      </c>
      <c r="B100" s="9" t="s">
        <v>97</v>
      </c>
      <c r="C100" s="51" t="n">
        <f aca="false">IFERROR(C26/((C19*Assumptions!$G$31*Assumptions!$G$32+C23*Assumptions!$G$38*Assumptions!$G$39+C25*Assumptions!$G$43)*Assumptions!$G$49),0)</f>
        <v>111.103687580742</v>
      </c>
      <c r="D100" s="51" t="n">
        <f aca="false">IFERROR(D26/((D19*Assumptions!$G$31*Assumptions!$G$32+D23*Assumptions!$G$38*Assumptions!$G$39+D25*Assumptions!$G$43)*Assumptions!$G$49),0)</f>
        <v>153.673121274432</v>
      </c>
      <c r="E100" s="51" t="n">
        <f aca="false">IFERROR(E26/((E19*Assumptions!$G$31*Assumptions!$G$32+E23*Assumptions!$G$38*Assumptions!$G$39+E25*Assumptions!$G$43)*Assumptions!$G$49),0)</f>
        <v>151.682076356721</v>
      </c>
      <c r="F100" s="51" t="n">
        <f aca="false">IFERROR(F26/((F19*Assumptions!$G$31*Assumptions!$G$32+F23*Assumptions!$G$38*Assumptions!$G$39+F25*Assumptions!$G$43)*Assumptions!$G$49),0)</f>
        <v>151.379042288065</v>
      </c>
      <c r="G100" s="51" t="n">
        <f aca="false">IFERROR(G26/((G19*Assumptions!$G$31*Assumptions!$G$32+G23*Assumptions!$G$38*Assumptions!$G$39+G25*Assumptions!$G$43)*Assumptions!$G$49),0)</f>
        <v>151.179575496259</v>
      </c>
      <c r="H100" s="51" t="n">
        <f aca="false">IFERROR(H26/((H19*Assumptions!$G$31*Assumptions!$G$32+H23*Assumptions!$G$38*Assumptions!$G$39+H25*Assumptions!$G$43)*Assumptions!$G$49),0)</f>
        <v>150.972287686246</v>
      </c>
      <c r="I100" s="51" t="n">
        <f aca="false">IFERROR(I26/((I19*Assumptions!$G$31*Assumptions!$G$32+I23*Assumptions!$G$38*Assumptions!$G$39+I25*Assumptions!$G$43)*Assumptions!$G$49),0)</f>
        <v>150.747888404434</v>
      </c>
      <c r="J100" s="51" t="n">
        <f aca="false">IFERROR(J26/((J19*Assumptions!$G$31*Assumptions!$G$32+J23*Assumptions!$G$38*Assumptions!$G$39+J25*Assumptions!$G$43)*Assumptions!$G$49),0)</f>
        <v>150.504364895834</v>
      </c>
      <c r="K100" s="51" t="n">
        <f aca="false">IFERROR(K26/((K19*Assumptions!$G$31*Assumptions!$G$32+K23*Assumptions!$G$38*Assumptions!$G$39+K25*Assumptions!$G$43)*Assumptions!$G$49),0)</f>
        <v>150.240136606046</v>
      </c>
      <c r="L100" s="51" t="n">
        <f aca="false">IFERROR(L26/((L19*Assumptions!$G$31*Assumptions!$G$32+L23*Assumptions!$G$38*Assumptions!$G$39+L25*Assumptions!$G$43)*Assumptions!$G$49),0)</f>
        <v>149.953556280459</v>
      </c>
      <c r="M100" s="51" t="n">
        <f aca="false">IFERROR(M26/((M19*Assumptions!$G$31*Assumptions!$G$32+M23*Assumptions!$G$38*Assumptions!$G$39+M25*Assumptions!$G$43)*Assumptions!$G$49),0)</f>
        <v>149.642870513037</v>
      </c>
      <c r="N100" s="51" t="n">
        <f aca="false">IFERROR(N26/((N19*Assumptions!$G$31*Assumptions!$G$32+N23*Assumptions!$G$38*Assumptions!$G$39+N25*Assumptions!$G$43)*Assumptions!$G$49),0)</f>
        <v>149.306214089287</v>
      </c>
      <c r="O100" s="51" t="n">
        <f aca="false">IFERROR(O26/((O19*Assumptions!$G$31*Assumptions!$G$32+O23*Assumptions!$G$38*Assumptions!$G$39+O25*Assumptions!$G$43)*Assumptions!$G$49),0)</f>
        <v>148.941607546746</v>
      </c>
      <c r="P100" s="51" t="n">
        <f aca="false">IFERROR(P26/((P19*Assumptions!$G$31*Assumptions!$G$32+P23*Assumptions!$G$38*Assumptions!$G$39+P25*Assumptions!$G$43)*Assumptions!$G$49),0)</f>
        <v>148.546955968892</v>
      </c>
      <c r="Q100" s="51" t="n">
        <f aca="false">IFERROR(Q26/((Q19*Assumptions!$G$31*Assumptions!$G$32+Q23*Assumptions!$G$38*Assumptions!$G$39+Q25*Assumptions!$G$43)*Assumptions!$G$49),0)</f>
        <v>148.120049132436</v>
      </c>
      <c r="R100" s="51" t="n">
        <f aca="false">IFERROR(R26/((R19*Assumptions!$G$31*Assumptions!$G$32+R23*Assumptions!$G$38*Assumptions!$G$39+R25*Assumptions!$G$43)*Assumptions!$G$49),0)</f>
        <v>147.658563324316</v>
      </c>
      <c r="S100" s="51" t="n">
        <f aca="false">IFERROR(S26/((S19*Assumptions!$G$31*Assumptions!$G$32+S23*Assumptions!$G$38*Assumptions!$G$39+S25*Assumptions!$G$43)*Assumptions!$G$49),0)</f>
        <v>147.160065209193</v>
      </c>
      <c r="T100" s="51" t="n">
        <f aca="false">IFERROR(T26/((T19*Assumptions!$G$31*Assumptions!$G$32+T23*Assumptions!$G$38*Assumptions!$G$39+T25*Assumptions!$G$43)*Assumptions!$G$49),0)</f>
        <v>146.622018189601</v>
      </c>
      <c r="U100" s="51" t="n">
        <f aca="false">IFERROR(U26/((U19*Assumptions!$G$31*Assumptions!$G$32+U23*Assumptions!$G$38*Assumptions!$G$39+U25*Assumptions!$G$43)*Assumptions!$G$49),0)</f>
        <v>147.786224420662</v>
      </c>
      <c r="V100" s="51" t="n">
        <f aca="false">IFERROR(V26/((V19*Assumptions!$G$31*Assumptions!$G$32+V23*Assumptions!$G$38*Assumptions!$G$39+V25*Assumptions!$G$43)*Assumptions!$G$49),0)</f>
        <v>149.687362994028</v>
      </c>
      <c r="W100" s="51" t="n">
        <f aca="false">IFERROR(W26/((W19*Assumptions!$G$31*Assumptions!$G$32+W23*Assumptions!$G$38*Assumptions!$G$39+W25*Assumptions!$G$43)*Assumptions!$G$49),0)</f>
        <v>151.677663628482</v>
      </c>
      <c r="X100" s="51" t="n">
        <f aca="false">IFERROR(X26/((X19*Assumptions!$G$31*Assumptions!$G$32+X23*Assumptions!$G$38*Assumptions!$G$39+X25*Assumptions!$G$43)*Assumptions!$G$49),0)</f>
        <v>153.746498604744</v>
      </c>
      <c r="Y100" s="51" t="n">
        <f aca="false">IFERROR(Y26/((Y19*Assumptions!$G$31*Assumptions!$G$32+Y23*Assumptions!$G$38*Assumptions!$G$39+Y25*Assumptions!$G$43)*Assumptions!$G$49),0)</f>
        <v>155.890643057164</v>
      </c>
      <c r="Z100" s="51" t="n">
        <f aca="false">IFERROR(Z26/((Z19*Assumptions!$G$31*Assumptions!$G$32+Z23*Assumptions!$G$38*Assumptions!$G$39+Z25*Assumptions!$G$43)*Assumptions!$G$49),0)</f>
        <v>158.109465995744</v>
      </c>
      <c r="AA100" s="51" t="n">
        <f aca="false">IFERROR(AA26/((AA19*Assumptions!$G$31*Assumptions!$G$32+AA23*Assumptions!$G$38*Assumptions!$G$39+AA25*Assumptions!$G$43)*Assumptions!$G$49),0)</f>
        <v>160.40243488921</v>
      </c>
      <c r="AB100" s="51" t="n">
        <f aca="false">IFERROR(AB26/((AB19*Assumptions!$G$31*Assumptions!$G$32+AB23*Assumptions!$G$38*Assumptions!$G$39+AB25*Assumptions!$G$43)*Assumptions!$G$49),0)</f>
        <v>162.769011019085</v>
      </c>
      <c r="AC100" s="51" t="n">
        <f aca="false">IFERROR(AC26/((AC19*Assumptions!$G$31*Assumptions!$G$32+AC23*Assumptions!$G$38*Assumptions!$G$39+AC25*Assumptions!$G$43)*Assumptions!$G$49),0)</f>
        <v>165.143658812921</v>
      </c>
      <c r="AD100" s="51" t="n">
        <f aca="false">IFERROR(AD26/((AD19*Assumptions!$G$31*Assumptions!$G$32+AD23*Assumptions!$G$38*Assumptions!$G$39+AD25*Assumptions!$G$43)*Assumptions!$G$49),0)</f>
        <v>167.50834292875</v>
      </c>
      <c r="AE100" s="51" t="n">
        <f aca="false">IFERROR(AE26/((AE19*Assumptions!$G$31*Assumptions!$G$32+AE23*Assumptions!$G$38*Assumptions!$G$39+AE25*Assumptions!$G$43)*Assumptions!$G$49),0)</f>
        <v>169.882858713535</v>
      </c>
      <c r="AF100" s="51" t="n">
        <f aca="false">IFERROR(AF26/((AF19*Assumptions!$G$31*Assumptions!$G$32+AF23*Assumptions!$G$38*Assumptions!$G$39+AF25*Assumptions!$G$43)*Assumptions!$G$49),0)</f>
        <v>172.269675069426</v>
      </c>
      <c r="AG100" s="51" t="n">
        <f aca="false">IFERROR(AG26/((AG19*Assumptions!$G$31*Assumptions!$G$32+AG23*Assumptions!$G$38*Assumptions!$G$39+AG25*Assumptions!$G$43)*Assumptions!$G$49),0)</f>
        <v>174.67112581722</v>
      </c>
      <c r="AH100" s="51" t="n">
        <f aca="false">IFERROR(AH26/((AH19*Assumptions!$G$31*Assumptions!$G$32+AH23*Assumptions!$G$38*Assumptions!$G$39+AH25*Assumptions!$G$43)*Assumptions!$G$49),0)</f>
        <v>177.089191089736</v>
      </c>
      <c r="AI100" s="51" t="n">
        <f aca="false">IFERROR(AI26/((AI19*Assumptions!$G$31*Assumptions!$G$32+AI23*Assumptions!$G$38*Assumptions!$G$39+AI25*Assumptions!$G$43)*Assumptions!$G$49),0)</f>
        <v>179.525564859627</v>
      </c>
      <c r="AJ100" s="51" t="n">
        <f aca="false">IFERROR(AJ26/((AJ19*Assumptions!$G$31*Assumptions!$G$32+AJ23*Assumptions!$G$38*Assumptions!$G$39+AJ25*Assumptions!$G$43)*Assumptions!$G$49),0)</f>
        <v>181.981687383478</v>
      </c>
      <c r="AK100" s="51" t="n">
        <f aca="false">IFERROR(AK26/((AK19*Assumptions!$G$31*Assumptions!$G$32+AK23*Assumptions!$G$38*Assumptions!$G$39+AK25*Assumptions!$G$43)*Assumptions!$G$49),0)</f>
        <v>184.458774504675</v>
      </c>
      <c r="AL100" s="51" t="n">
        <f aca="false">IFERROR(AL26/((AL19*Assumptions!$G$31*Assumptions!$G$32+AL23*Assumptions!$G$38*Assumptions!$G$39+AL25*Assumptions!$G$43)*Assumptions!$G$49),0)</f>
        <v>186.957842936168</v>
      </c>
      <c r="AM100" s="51" t="n">
        <f aca="false">AVERAGE(N100:AL100)</f>
        <v>161.436540007405</v>
      </c>
    </row>
    <row r="101" customFormat="false" ht="15" hidden="false" customHeight="false" outlineLevel="0" collapsed="false">
      <c r="A101" s="37" t="s">
        <v>835</v>
      </c>
      <c r="B101" s="9" t="s">
        <v>370</v>
      </c>
      <c r="C101" s="72" t="n">
        <f aca="false">IFERROR(C100/C104,0)</f>
        <v>2.4907868065035</v>
      </c>
      <c r="D101" s="72" t="n">
        <f aca="false">IFERROR(D100/D104,0)</f>
        <v>3.44513302230765</v>
      </c>
      <c r="E101" s="72" t="n">
        <f aca="false">IFERROR(E100/E104,0)</f>
        <v>3.40049662436103</v>
      </c>
      <c r="F101" s="72" t="n">
        <f aca="false">IFERROR(F100/F104,0)</f>
        <v>3.39370303112786</v>
      </c>
      <c r="G101" s="72" t="n">
        <f aca="false">IFERROR(G100/G104,0)</f>
        <v>3.38923126908121</v>
      </c>
      <c r="H101" s="72" t="n">
        <f aca="false">IFERROR(H100/H104,0)</f>
        <v>3.38458417091937</v>
      </c>
      <c r="I101" s="72" t="n">
        <f aca="false">IFERROR(I100/I104,0)</f>
        <v>3.37955345787378</v>
      </c>
      <c r="J101" s="72" t="n">
        <f aca="false">IFERROR(J100/J104,0)</f>
        <v>3.37409400683752</v>
      </c>
      <c r="K101" s="72" t="n">
        <f aca="false">IFERROR(K100/K104,0)</f>
        <v>3.36817038402681</v>
      </c>
      <c r="L101" s="72" t="n">
        <f aca="false">IFERROR(L100/L104,0)</f>
        <v>3.36174566033384</v>
      </c>
      <c r="M101" s="72" t="n">
        <f aca="false">IFERROR(M100/M104,0)</f>
        <v>3.35478052688676</v>
      </c>
      <c r="N101" s="72" t="n">
        <f aca="false">IFERROR(N100/N104,0)</f>
        <v>3.34723316822694</v>
      </c>
      <c r="O101" s="72" t="n">
        <f aca="false">IFERROR(O100/O104,0)</f>
        <v>3.33905920761859</v>
      </c>
      <c r="P101" s="72" t="n">
        <f aca="false">IFERROR(P100/P104,0)</f>
        <v>3.33021168001001</v>
      </c>
      <c r="Q101" s="72" t="n">
        <f aca="false">IFERROR(Q100/Q104,0)</f>
        <v>3.32064103533564</v>
      </c>
      <c r="R101" s="72" t="n">
        <f aca="false">IFERROR(R100/R104,0)</f>
        <v>3.31029517925034</v>
      </c>
      <c r="S101" s="72" t="n">
        <f aca="false">IFERROR(S100/S104,0)</f>
        <v>3.29911955983345</v>
      </c>
      <c r="T101" s="72" t="n">
        <f aca="false">IFERROR(T100/T104,0)</f>
        <v>3.28705731017408</v>
      </c>
      <c r="U101" s="72" t="n">
        <f aca="false">IFERROR(U100/U104,0)</f>
        <v>3.31315715963467</v>
      </c>
      <c r="V101" s="72" t="n">
        <f aca="false">IFERROR(V100/V104,0)</f>
        <v>3.35577798509047</v>
      </c>
      <c r="W101" s="72" t="n">
        <f aca="false">IFERROR(W100/W104,0)</f>
        <v>3.40039769726404</v>
      </c>
      <c r="X101" s="72" t="n">
        <f aca="false">IFERROR(X100/X104,0)</f>
        <v>3.44677803779018</v>
      </c>
      <c r="Y101" s="72" t="n">
        <f aca="false">IFERROR(Y100/Y104,0)</f>
        <v>3.49484670976334</v>
      </c>
      <c r="Z101" s="72" t="n">
        <f aca="false">IFERROR(Z100/Z104,0)</f>
        <v>3.54458956728431</v>
      </c>
      <c r="AA101" s="72" t="n">
        <f aca="false">IFERROR(AA100/AA104,0)</f>
        <v>3.5959946717586</v>
      </c>
      <c r="AB101" s="72" t="n">
        <f aca="false">IFERROR(AB100/AB104,0)</f>
        <v>3.64904994588345</v>
      </c>
      <c r="AC101" s="72" t="n">
        <f aca="false">IFERROR(AC100/AC104,0)</f>
        <v>3.70228617524516</v>
      </c>
      <c r="AD101" s="72" t="n">
        <f aca="false">IFERROR(AD100/AD104,0)</f>
        <v>3.7552990331035</v>
      </c>
      <c r="AE101" s="72" t="n">
        <f aca="false">IFERROR(AE100/AE104,0)</f>
        <v>3.80853230300986</v>
      </c>
      <c r="AF101" s="72" t="n">
        <f aca="false">IFERROR(AF100/AF104,0)</f>
        <v>3.86204133424232</v>
      </c>
      <c r="AG101" s="72" t="n">
        <f aca="false">IFERROR(AG100/AG104,0)</f>
        <v>3.915878447747</v>
      </c>
      <c r="AH101" s="72" t="n">
        <f aca="false">IFERROR(AH100/AH104,0)</f>
        <v>3.9700880352881</v>
      </c>
      <c r="AI101" s="72" t="n">
        <f aca="false">IFERROR(AI100/AI104,0)</f>
        <v>4.02470807332551</v>
      </c>
      <c r="AJ101" s="72" t="n">
        <f aca="false">IFERROR(AJ100/AJ104,0)</f>
        <v>4.07977085036536</v>
      </c>
      <c r="AK101" s="72" t="n">
        <f aca="false">IFERROR(AK100/AK104,0)</f>
        <v>4.13530362388876</v>
      </c>
      <c r="AL101" s="72" t="n">
        <f aca="false">IFERROR(AL100/AL104,0)</f>
        <v>4.1913291871554</v>
      </c>
      <c r="AM101" s="72" t="n">
        <f aca="false">AVERAGE(N101:AL101)</f>
        <v>3.61917783913156</v>
      </c>
    </row>
    <row r="102" customFormat="false" ht="15" hidden="false" customHeight="false" outlineLevel="0" collapsed="false">
      <c r="A102" s="10" t="s">
        <v>836</v>
      </c>
      <c r="B102" s="9" t="s">
        <v>97</v>
      </c>
      <c r="C102" s="63" t="n">
        <f aca="false">Assumptions!$G$70*(1-Assumptions!$G$80)*(1-Assumptions!$G$79)-Assumptions!$G$73-Assumptions!$G$75-Assumptions!$G$76-Assumptions!$G$77</f>
        <v>116.02563</v>
      </c>
      <c r="D102" s="63" t="n">
        <f aca="false">Assumptions!$G$70*(1-Assumptions!$G$80)*(1-Assumptions!$G$79)-Assumptions!$G$73-Assumptions!$G$75-Assumptions!$G$76-Assumptions!$G$77</f>
        <v>116.02563</v>
      </c>
      <c r="E102" s="63" t="n">
        <f aca="false">Assumptions!$G$70*(1-Assumptions!$G$80)*(1-Assumptions!$G$79)-Assumptions!$G$73-Assumptions!$G$75-Assumptions!$G$76-Assumptions!$G$77</f>
        <v>116.02563</v>
      </c>
      <c r="F102" s="63" t="n">
        <f aca="false">Assumptions!$G$70*(1-Assumptions!$G$80)*(1-Assumptions!$G$79)-Assumptions!$G$73-Assumptions!$G$75-Assumptions!$G$76-Assumptions!$G$77</f>
        <v>116.02563</v>
      </c>
      <c r="G102" s="63" t="n">
        <f aca="false">Assumptions!$G$70*(1-Assumptions!$G$80)*(1-Assumptions!$G$79)-Assumptions!$G$73-Assumptions!$G$75-Assumptions!$G$76-Assumptions!$G$77</f>
        <v>116.02563</v>
      </c>
      <c r="H102" s="63" t="n">
        <f aca="false">Assumptions!$G$70*(1-Assumptions!$G$80)*(1-Assumptions!$G$79)-Assumptions!$G$73-Assumptions!$G$75-Assumptions!$G$76-Assumptions!$G$77</f>
        <v>116.02563</v>
      </c>
      <c r="I102" s="63" t="n">
        <f aca="false">Assumptions!$G$70*(1-Assumptions!$G$80)*(1-Assumptions!$G$79)-Assumptions!$G$73-Assumptions!$G$75-Assumptions!$G$76-Assumptions!$G$77</f>
        <v>116.02563</v>
      </c>
      <c r="J102" s="63" t="n">
        <f aca="false">Assumptions!$G$70*(1-Assumptions!$G$80)*(1-Assumptions!$G$79)-Assumptions!$G$73-Assumptions!$G$75-Assumptions!$G$76-Assumptions!$G$77</f>
        <v>116.02563</v>
      </c>
      <c r="K102" s="63" t="n">
        <f aca="false">Assumptions!$G$70*(1-Assumptions!$G$80)*(1-Assumptions!$G$79)-Assumptions!$G$73-Assumptions!$G$75-Assumptions!$G$76-Assumptions!$G$77</f>
        <v>116.02563</v>
      </c>
      <c r="L102" s="63" t="n">
        <f aca="false">Assumptions!$G$70*(1-Assumptions!$G$80)*(1-Assumptions!$G$79)-Assumptions!$G$73-Assumptions!$G$75-Assumptions!$G$76-Assumptions!$G$77</f>
        <v>116.02563</v>
      </c>
      <c r="M102" s="63" t="n">
        <f aca="false">Assumptions!$G$70*(1-Assumptions!$G$80)*(1-Assumptions!$G$79)-Assumptions!$G$73-Assumptions!$G$75-Assumptions!$G$76-Assumptions!$G$77</f>
        <v>116.02563</v>
      </c>
      <c r="N102" s="63" t="n">
        <f aca="false">Assumptions!$G$70*(1-Assumptions!$G$80)*(1-Assumptions!$G$79)-Assumptions!$G$73-Assumptions!$G$75-Assumptions!$G$76-Assumptions!$G$77</f>
        <v>116.02563</v>
      </c>
      <c r="O102" s="63" t="n">
        <f aca="false">Assumptions!$G$70*(1-Assumptions!$G$80)*(1-Assumptions!$G$79)-Assumptions!$G$73-Assumptions!$G$75-Assumptions!$G$76-Assumptions!$G$77</f>
        <v>116.02563</v>
      </c>
      <c r="P102" s="63" t="n">
        <f aca="false">Assumptions!$G$70*(1-Assumptions!$G$80)*(1-Assumptions!$G$79)-Assumptions!$G$73-Assumptions!$G$75-Assumptions!$G$76-Assumptions!$G$77</f>
        <v>116.02563</v>
      </c>
      <c r="Q102" s="63" t="n">
        <f aca="false">Assumptions!$G$70*(1-Assumptions!$G$80)*(1-Assumptions!$G$79)-Assumptions!$G$73-Assumptions!$G$75-Assumptions!$G$76-Assumptions!$G$77</f>
        <v>116.02563</v>
      </c>
      <c r="R102" s="63" t="n">
        <f aca="false">Assumptions!$G$70*(1-Assumptions!$G$80)*(1-Assumptions!$G$79)-Assumptions!$G$73-Assumptions!$G$75-Assumptions!$G$76-Assumptions!$G$77</f>
        <v>116.02563</v>
      </c>
      <c r="S102" s="63" t="n">
        <f aca="false">Assumptions!$G$70*(1-Assumptions!$G$80)*(1-Assumptions!$G$79)-Assumptions!$G$73-Assumptions!$G$75-Assumptions!$G$76-Assumptions!$G$77</f>
        <v>116.02563</v>
      </c>
      <c r="T102" s="63" t="n">
        <f aca="false">Assumptions!$G$70*(1-Assumptions!$G$80)*(1-Assumptions!$G$79)-Assumptions!$G$73-Assumptions!$G$75-Assumptions!$G$76-Assumptions!$G$77</f>
        <v>116.02563</v>
      </c>
      <c r="U102" s="63" t="n">
        <f aca="false">Assumptions!$G$70*(1-Assumptions!$G$80)*(1-Assumptions!$G$79)-Assumptions!$G$73-Assumptions!$G$75-Assumptions!$G$76-Assumptions!$G$77</f>
        <v>116.02563</v>
      </c>
      <c r="V102" s="63" t="n">
        <f aca="false">Assumptions!$G$70*(1-Assumptions!$G$80)*(1-Assumptions!$G$79)-Assumptions!$G$73-Assumptions!$G$75-Assumptions!$G$76-Assumptions!$G$77</f>
        <v>116.02563</v>
      </c>
      <c r="W102" s="63" t="n">
        <f aca="false">Assumptions!$G$70*(1-Assumptions!$G$80)*(1-Assumptions!$G$79)-Assumptions!$G$73-Assumptions!$G$75-Assumptions!$G$76-Assumptions!$G$77</f>
        <v>116.02563</v>
      </c>
      <c r="X102" s="63" t="n">
        <f aca="false">Assumptions!$G$70*(1-Assumptions!$G$80)*(1-Assumptions!$G$79)-Assumptions!$G$73-Assumptions!$G$75-Assumptions!$G$76-Assumptions!$G$77</f>
        <v>116.02563</v>
      </c>
      <c r="Y102" s="63" t="n">
        <f aca="false">Assumptions!$G$70*(1-Assumptions!$G$80)*(1-Assumptions!$G$79)-Assumptions!$G$73-Assumptions!$G$75-Assumptions!$G$76-Assumptions!$G$77</f>
        <v>116.02563</v>
      </c>
      <c r="Z102" s="63" t="n">
        <f aca="false">Assumptions!$G$70*(1-Assumptions!$G$80)*(1-Assumptions!$G$79)-Assumptions!$G$73-Assumptions!$G$75-Assumptions!$G$76-Assumptions!$G$77</f>
        <v>116.02563</v>
      </c>
      <c r="AA102" s="63" t="n">
        <f aca="false">Assumptions!$G$70*(1-Assumptions!$G$80)*(1-Assumptions!$G$79)-Assumptions!$G$73-Assumptions!$G$75-Assumptions!$G$76-Assumptions!$G$77</f>
        <v>116.02563</v>
      </c>
      <c r="AB102" s="63" t="n">
        <f aca="false">Assumptions!$G$70*(1-Assumptions!$G$80)*(1-Assumptions!$G$79)-Assumptions!$G$73-Assumptions!$G$75-Assumptions!$G$76-Assumptions!$G$77</f>
        <v>116.02563</v>
      </c>
      <c r="AC102" s="63" t="n">
        <f aca="false">Assumptions!$G$70*(1-Assumptions!$G$80)*(1-Assumptions!$G$79)-Assumptions!$G$73-Assumptions!$G$75-Assumptions!$G$76-Assumptions!$G$77</f>
        <v>116.02563</v>
      </c>
      <c r="AD102" s="63" t="n">
        <f aca="false">Assumptions!$G$70*(1-Assumptions!$G$80)*(1-Assumptions!$G$79)-Assumptions!$G$73-Assumptions!$G$75-Assumptions!$G$76-Assumptions!$G$77</f>
        <v>116.02563</v>
      </c>
      <c r="AE102" s="63" t="n">
        <f aca="false">Assumptions!$G$70*(1-Assumptions!$G$80)*(1-Assumptions!$G$79)-Assumptions!$G$73-Assumptions!$G$75-Assumptions!$G$76-Assumptions!$G$77</f>
        <v>116.02563</v>
      </c>
      <c r="AF102" s="63" t="n">
        <f aca="false">Assumptions!$G$70*(1-Assumptions!$G$80)*(1-Assumptions!$G$79)-Assumptions!$G$73-Assumptions!$G$75-Assumptions!$G$76-Assumptions!$G$77</f>
        <v>116.02563</v>
      </c>
      <c r="AG102" s="63" t="n">
        <f aca="false">Assumptions!$G$70*(1-Assumptions!$G$80)*(1-Assumptions!$G$79)-Assumptions!$G$73-Assumptions!$G$75-Assumptions!$G$76-Assumptions!$G$77</f>
        <v>116.02563</v>
      </c>
      <c r="AH102" s="63" t="n">
        <f aca="false">Assumptions!$G$70*(1-Assumptions!$G$80)*(1-Assumptions!$G$79)-Assumptions!$G$73-Assumptions!$G$75-Assumptions!$G$76-Assumptions!$G$77</f>
        <v>116.02563</v>
      </c>
      <c r="AI102" s="63" t="n">
        <f aca="false">Assumptions!$G$70*(1-Assumptions!$G$80)*(1-Assumptions!$G$79)-Assumptions!$G$73-Assumptions!$G$75-Assumptions!$G$76-Assumptions!$G$77</f>
        <v>116.02563</v>
      </c>
      <c r="AJ102" s="63" t="n">
        <f aca="false">Assumptions!$G$70*(1-Assumptions!$G$80)*(1-Assumptions!$G$79)-Assumptions!$G$73-Assumptions!$G$75-Assumptions!$G$76-Assumptions!$G$77</f>
        <v>116.02563</v>
      </c>
      <c r="AK102" s="63" t="n">
        <f aca="false">Assumptions!$G$70*(1-Assumptions!$G$80)*(1-Assumptions!$G$79)-Assumptions!$G$73-Assumptions!$G$75-Assumptions!$G$76-Assumptions!$G$77</f>
        <v>116.02563</v>
      </c>
      <c r="AL102" s="63" t="n">
        <f aca="false">Assumptions!$G$70*(1-Assumptions!$G$80)*(1-Assumptions!$G$79)-Assumptions!$G$73-Assumptions!$G$75-Assumptions!$G$76-Assumptions!$G$77</f>
        <v>116.02563</v>
      </c>
      <c r="AM102" s="63" t="n">
        <f aca="false">AVERAGE(N102:AL102)</f>
        <v>116.02563</v>
      </c>
    </row>
    <row r="103" customFormat="false" ht="15" hidden="false" customHeight="false" outlineLevel="0" collapsed="false">
      <c r="A103" s="10" t="s">
        <v>837</v>
      </c>
      <c r="B103" s="9" t="s">
        <v>97</v>
      </c>
      <c r="C103" s="70" t="n">
        <f aca="false">C102/Assumptions!$G$68</f>
        <v>1054.77845454545</v>
      </c>
      <c r="D103" s="70" t="n">
        <f aca="false">D102/Assumptions!$G$68</f>
        <v>1054.77845454545</v>
      </c>
      <c r="E103" s="70" t="n">
        <f aca="false">E102/Assumptions!$G$68</f>
        <v>1054.77845454545</v>
      </c>
      <c r="F103" s="70" t="n">
        <f aca="false">F102/Assumptions!$G$68</f>
        <v>1054.77845454545</v>
      </c>
      <c r="G103" s="70" t="n">
        <f aca="false">G102/Assumptions!$G$68</f>
        <v>1054.77845454545</v>
      </c>
      <c r="H103" s="70" t="n">
        <f aca="false">H102/Assumptions!$G$68</f>
        <v>1054.77845454545</v>
      </c>
      <c r="I103" s="70" t="n">
        <f aca="false">I102/Assumptions!$G$68</f>
        <v>1054.77845454545</v>
      </c>
      <c r="J103" s="70" t="n">
        <f aca="false">J102/Assumptions!$G$68</f>
        <v>1054.77845454545</v>
      </c>
      <c r="K103" s="70" t="n">
        <f aca="false">K102/Assumptions!$G$68</f>
        <v>1054.77845454545</v>
      </c>
      <c r="L103" s="70" t="n">
        <f aca="false">L102/Assumptions!$G$68</f>
        <v>1054.77845454545</v>
      </c>
      <c r="M103" s="70" t="n">
        <f aca="false">M102/Assumptions!$G$68</f>
        <v>1054.77845454545</v>
      </c>
      <c r="N103" s="70" t="n">
        <f aca="false">N102/Assumptions!$G$68</f>
        <v>1054.77845454545</v>
      </c>
      <c r="O103" s="70" t="n">
        <f aca="false">O102/Assumptions!$G$68</f>
        <v>1054.77845454545</v>
      </c>
      <c r="P103" s="70" t="n">
        <f aca="false">P102/Assumptions!$G$68</f>
        <v>1054.77845454545</v>
      </c>
      <c r="Q103" s="70" t="n">
        <f aca="false">Q102/Assumptions!$G$68</f>
        <v>1054.77845454545</v>
      </c>
      <c r="R103" s="70" t="n">
        <f aca="false">R102/Assumptions!$G$68</f>
        <v>1054.77845454545</v>
      </c>
      <c r="S103" s="70" t="n">
        <f aca="false">S102/Assumptions!$G$68</f>
        <v>1054.77845454545</v>
      </c>
      <c r="T103" s="70" t="n">
        <f aca="false">T102/Assumptions!$G$68</f>
        <v>1054.77845454545</v>
      </c>
      <c r="U103" s="70" t="n">
        <f aca="false">U102/Assumptions!$G$68</f>
        <v>1054.77845454545</v>
      </c>
      <c r="V103" s="70" t="n">
        <f aca="false">V102/Assumptions!$G$68</f>
        <v>1054.77845454545</v>
      </c>
      <c r="W103" s="70" t="n">
        <f aca="false">W102/Assumptions!$G$68</f>
        <v>1054.77845454545</v>
      </c>
      <c r="X103" s="70" t="n">
        <f aca="false">X102/Assumptions!$G$68</f>
        <v>1054.77845454545</v>
      </c>
      <c r="Y103" s="70" t="n">
        <f aca="false">Y102/Assumptions!$G$68</f>
        <v>1054.77845454545</v>
      </c>
      <c r="Z103" s="70" t="n">
        <f aca="false">Z102/Assumptions!$G$68</f>
        <v>1054.77845454545</v>
      </c>
      <c r="AA103" s="70" t="n">
        <f aca="false">AA102/Assumptions!$G$68</f>
        <v>1054.77845454545</v>
      </c>
      <c r="AB103" s="70" t="n">
        <f aca="false">AB102/Assumptions!$G$68</f>
        <v>1054.77845454545</v>
      </c>
      <c r="AC103" s="70" t="n">
        <f aca="false">AC102/Assumptions!$G$68</f>
        <v>1054.77845454545</v>
      </c>
      <c r="AD103" s="70" t="n">
        <f aca="false">AD102/Assumptions!$G$68</f>
        <v>1054.77845454545</v>
      </c>
      <c r="AE103" s="70" t="n">
        <f aca="false">AE102/Assumptions!$G$68</f>
        <v>1054.77845454545</v>
      </c>
      <c r="AF103" s="70" t="n">
        <f aca="false">AF102/Assumptions!$G$68</f>
        <v>1054.77845454545</v>
      </c>
      <c r="AG103" s="70" t="n">
        <f aca="false">AG102/Assumptions!$G$68</f>
        <v>1054.77845454545</v>
      </c>
      <c r="AH103" s="70" t="n">
        <f aca="false">AH102/Assumptions!$G$68</f>
        <v>1054.77845454545</v>
      </c>
      <c r="AI103" s="70" t="n">
        <f aca="false">AI102/Assumptions!$G$68</f>
        <v>1054.77845454545</v>
      </c>
      <c r="AJ103" s="70" t="n">
        <f aca="false">AJ102/Assumptions!$G$68</f>
        <v>1054.77845454545</v>
      </c>
      <c r="AK103" s="70" t="n">
        <f aca="false">AK102/Assumptions!$G$68</f>
        <v>1054.77845454545</v>
      </c>
      <c r="AL103" s="70" t="n">
        <f aca="false">AL102/Assumptions!$G$68</f>
        <v>1054.77845454545</v>
      </c>
      <c r="AM103" s="70" t="n">
        <f aca="false">AVERAGE(N103:AL103)</f>
        <v>1054.77845454545</v>
      </c>
    </row>
    <row r="104" customFormat="false" ht="15" hidden="false" customHeight="false" outlineLevel="0" collapsed="false">
      <c r="A104" s="10" t="s">
        <v>402</v>
      </c>
      <c r="B104" s="9" t="s">
        <v>97</v>
      </c>
      <c r="C104" s="63" t="n">
        <f aca="false">Assumptions!$G$50*(1-Assumptions!$G$80)*(1-Assumptions!$G$79)-Assumptions!$G$50*Assumptions!$G$55-Assumptions!$G$56</f>
        <v>44.60586</v>
      </c>
      <c r="D104" s="63" t="n">
        <f aca="false">Assumptions!$G$50*(1-Assumptions!$G$80)*(1-Assumptions!$G$79)-Assumptions!$G$50*Assumptions!$G$55-Assumptions!$G$56</f>
        <v>44.60586</v>
      </c>
      <c r="E104" s="63" t="n">
        <f aca="false">Assumptions!$G$50*(1-Assumptions!$G$80)*(1-Assumptions!$G$79)-Assumptions!$G$50*Assumptions!$G$55-Assumptions!$G$56</f>
        <v>44.60586</v>
      </c>
      <c r="F104" s="63" t="n">
        <f aca="false">Assumptions!$G$50*(1-Assumptions!$G$80)*(1-Assumptions!$G$79)-Assumptions!$G$50*Assumptions!$G$55-Assumptions!$G$56</f>
        <v>44.60586</v>
      </c>
      <c r="G104" s="63" t="n">
        <f aca="false">Assumptions!$G$50*(1-Assumptions!$G$80)*(1-Assumptions!$G$79)-Assumptions!$G$50*Assumptions!$G$55-Assumptions!$G$56</f>
        <v>44.60586</v>
      </c>
      <c r="H104" s="63" t="n">
        <f aca="false">Assumptions!$G$50*(1-Assumptions!$G$80)*(1-Assumptions!$G$79)-Assumptions!$G$50*Assumptions!$G$55-Assumptions!$G$56</f>
        <v>44.60586</v>
      </c>
      <c r="I104" s="63" t="n">
        <f aca="false">Assumptions!$G$50*(1-Assumptions!$G$80)*(1-Assumptions!$G$79)-Assumptions!$G$50*Assumptions!$G$55-Assumptions!$G$56</f>
        <v>44.60586</v>
      </c>
      <c r="J104" s="63" t="n">
        <f aca="false">Assumptions!$G$50*(1-Assumptions!$G$80)*(1-Assumptions!$G$79)-Assumptions!$G$50*Assumptions!$G$55-Assumptions!$G$56</f>
        <v>44.60586</v>
      </c>
      <c r="K104" s="63" t="n">
        <f aca="false">Assumptions!$G$50*(1-Assumptions!$G$80)*(1-Assumptions!$G$79)-Assumptions!$G$50*Assumptions!$G$55-Assumptions!$G$56</f>
        <v>44.60586</v>
      </c>
      <c r="L104" s="63" t="n">
        <f aca="false">Assumptions!$G$50*(1-Assumptions!$G$80)*(1-Assumptions!$G$79)-Assumptions!$G$50*Assumptions!$G$55-Assumptions!$G$56</f>
        <v>44.60586</v>
      </c>
      <c r="M104" s="63" t="n">
        <f aca="false">Assumptions!$G$50*(1-Assumptions!$G$80)*(1-Assumptions!$G$79)-Assumptions!$G$50*Assumptions!$G$55-Assumptions!$G$56</f>
        <v>44.60586</v>
      </c>
      <c r="N104" s="63" t="n">
        <f aca="false">Assumptions!$G$50*(1-Assumptions!$G$80)*(1-Assumptions!$G$79)-Assumptions!$G$50*Assumptions!$G$55-Assumptions!$G$56</f>
        <v>44.60586</v>
      </c>
      <c r="O104" s="63" t="n">
        <f aca="false">Assumptions!$G$50*(1-Assumptions!$G$80)*(1-Assumptions!$G$79)-Assumptions!$G$50*Assumptions!$G$55-Assumptions!$G$56</f>
        <v>44.60586</v>
      </c>
      <c r="P104" s="63" t="n">
        <f aca="false">Assumptions!$G$50*(1-Assumptions!$G$80)*(1-Assumptions!$G$79)-Assumptions!$G$50*Assumptions!$G$55-Assumptions!$G$56</f>
        <v>44.60586</v>
      </c>
      <c r="Q104" s="63" t="n">
        <f aca="false">Assumptions!$G$50*(1-Assumptions!$G$80)*(1-Assumptions!$G$79)-Assumptions!$G$50*Assumptions!$G$55-Assumptions!$G$56</f>
        <v>44.60586</v>
      </c>
      <c r="R104" s="63" t="n">
        <f aca="false">Assumptions!$G$50*(1-Assumptions!$G$80)*(1-Assumptions!$G$79)-Assumptions!$G$50*Assumptions!$G$55-Assumptions!$G$56</f>
        <v>44.60586</v>
      </c>
      <c r="S104" s="63" t="n">
        <f aca="false">Assumptions!$G$50*(1-Assumptions!$G$80)*(1-Assumptions!$G$79)-Assumptions!$G$50*Assumptions!$G$55-Assumptions!$G$56</f>
        <v>44.60586</v>
      </c>
      <c r="T104" s="63" t="n">
        <f aca="false">Assumptions!$G$50*(1-Assumptions!$G$80)*(1-Assumptions!$G$79)-Assumptions!$G$50*Assumptions!$G$55-Assumptions!$G$56</f>
        <v>44.60586</v>
      </c>
      <c r="U104" s="63" t="n">
        <f aca="false">Assumptions!$G$50*(1-Assumptions!$G$80)*(1-Assumptions!$G$79)-Assumptions!$G$50*Assumptions!$G$55-Assumptions!$G$56</f>
        <v>44.60586</v>
      </c>
      <c r="V104" s="63" t="n">
        <f aca="false">Assumptions!$G$50*(1-Assumptions!$G$80)*(1-Assumptions!$G$79)-Assumptions!$G$50*Assumptions!$G$55-Assumptions!$G$56</f>
        <v>44.60586</v>
      </c>
      <c r="W104" s="63" t="n">
        <f aca="false">Assumptions!$G$50*(1-Assumptions!$G$80)*(1-Assumptions!$G$79)-Assumptions!$G$50*Assumptions!$G$55-Assumptions!$G$56</f>
        <v>44.60586</v>
      </c>
      <c r="X104" s="63" t="n">
        <f aca="false">Assumptions!$G$50*(1-Assumptions!$G$80)*(1-Assumptions!$G$79)-Assumptions!$G$50*Assumptions!$G$55-Assumptions!$G$56</f>
        <v>44.60586</v>
      </c>
      <c r="Y104" s="63" t="n">
        <f aca="false">Assumptions!$G$50*(1-Assumptions!$G$80)*(1-Assumptions!$G$79)-Assumptions!$G$50*Assumptions!$G$55-Assumptions!$G$56</f>
        <v>44.60586</v>
      </c>
      <c r="Z104" s="63" t="n">
        <f aca="false">Assumptions!$G$50*(1-Assumptions!$G$80)*(1-Assumptions!$G$79)-Assumptions!$G$50*Assumptions!$G$55-Assumptions!$G$56</f>
        <v>44.60586</v>
      </c>
      <c r="AA104" s="63" t="n">
        <f aca="false">Assumptions!$G$50*(1-Assumptions!$G$80)*(1-Assumptions!$G$79)-Assumptions!$G$50*Assumptions!$G$55-Assumptions!$G$56</f>
        <v>44.60586</v>
      </c>
      <c r="AB104" s="63" t="n">
        <f aca="false">Assumptions!$G$50*(1-Assumptions!$G$80)*(1-Assumptions!$G$79)-Assumptions!$G$50*Assumptions!$G$55-Assumptions!$G$56</f>
        <v>44.60586</v>
      </c>
      <c r="AC104" s="63" t="n">
        <f aca="false">Assumptions!$G$50*(1-Assumptions!$G$80)*(1-Assumptions!$G$79)-Assumptions!$G$50*Assumptions!$G$55-Assumptions!$G$56</f>
        <v>44.60586</v>
      </c>
      <c r="AD104" s="63" t="n">
        <f aca="false">Assumptions!$G$50*(1-Assumptions!$G$80)*(1-Assumptions!$G$79)-Assumptions!$G$50*Assumptions!$G$55-Assumptions!$G$56</f>
        <v>44.60586</v>
      </c>
      <c r="AE104" s="63" t="n">
        <f aca="false">Assumptions!$G$50*(1-Assumptions!$G$80)*(1-Assumptions!$G$79)-Assumptions!$G$50*Assumptions!$G$55-Assumptions!$G$56</f>
        <v>44.60586</v>
      </c>
      <c r="AF104" s="63" t="n">
        <f aca="false">Assumptions!$G$50*(1-Assumptions!$G$80)*(1-Assumptions!$G$79)-Assumptions!$G$50*Assumptions!$G$55-Assumptions!$G$56</f>
        <v>44.60586</v>
      </c>
      <c r="AG104" s="63" t="n">
        <f aca="false">Assumptions!$G$50*(1-Assumptions!$G$80)*(1-Assumptions!$G$79)-Assumptions!$G$50*Assumptions!$G$55-Assumptions!$G$56</f>
        <v>44.60586</v>
      </c>
      <c r="AH104" s="63" t="n">
        <f aca="false">Assumptions!$G$50*(1-Assumptions!$G$80)*(1-Assumptions!$G$79)-Assumptions!$G$50*Assumptions!$G$55-Assumptions!$G$56</f>
        <v>44.60586</v>
      </c>
      <c r="AI104" s="63" t="n">
        <f aca="false">Assumptions!$G$50*(1-Assumptions!$G$80)*(1-Assumptions!$G$79)-Assumptions!$G$50*Assumptions!$G$55-Assumptions!$G$56</f>
        <v>44.60586</v>
      </c>
      <c r="AJ104" s="63" t="n">
        <f aca="false">Assumptions!$G$50*(1-Assumptions!$G$80)*(1-Assumptions!$G$79)-Assumptions!$G$50*Assumptions!$G$55-Assumptions!$G$56</f>
        <v>44.60586</v>
      </c>
      <c r="AK104" s="63" t="n">
        <f aca="false">Assumptions!$G$50*(1-Assumptions!$G$80)*(1-Assumptions!$G$79)-Assumptions!$G$50*Assumptions!$G$55-Assumptions!$G$56</f>
        <v>44.60586</v>
      </c>
      <c r="AL104" s="63" t="n">
        <f aca="false">Assumptions!$G$50*(1-Assumptions!$G$80)*(1-Assumptions!$G$79)-Assumptions!$G$50*Assumptions!$G$55-Assumptions!$G$56</f>
        <v>44.60586</v>
      </c>
      <c r="AM104" s="63" t="n">
        <f aca="false">AVERAGE(N104:AL104)</f>
        <v>44.60586</v>
      </c>
    </row>
    <row r="105" customFormat="false" ht="15" hidden="false" customHeight="false" outlineLevel="0" collapsed="false">
      <c r="A105" s="10" t="s">
        <v>403</v>
      </c>
      <c r="B105" s="9" t="s">
        <v>97</v>
      </c>
      <c r="C105" s="70" t="n">
        <f aca="false">C104/Assumptions!$G$52</f>
        <v>637.226571428571</v>
      </c>
      <c r="D105" s="70" t="n">
        <f aca="false">D104/Assumptions!$G$52</f>
        <v>637.226571428571</v>
      </c>
      <c r="E105" s="70" t="n">
        <f aca="false">E104/Assumptions!$G$52</f>
        <v>637.226571428571</v>
      </c>
      <c r="F105" s="70" t="n">
        <f aca="false">F104/Assumptions!$G$52</f>
        <v>637.226571428571</v>
      </c>
      <c r="G105" s="70" t="n">
        <f aca="false">G104/Assumptions!$G$52</f>
        <v>637.226571428571</v>
      </c>
      <c r="H105" s="70" t="n">
        <f aca="false">H104/Assumptions!$G$52</f>
        <v>637.226571428571</v>
      </c>
      <c r="I105" s="70" t="n">
        <f aca="false">I104/Assumptions!$G$52</f>
        <v>637.226571428571</v>
      </c>
      <c r="J105" s="70" t="n">
        <f aca="false">J104/Assumptions!$G$52</f>
        <v>637.226571428571</v>
      </c>
      <c r="K105" s="70" t="n">
        <f aca="false">K104/Assumptions!$G$52</f>
        <v>637.226571428571</v>
      </c>
      <c r="L105" s="70" t="n">
        <f aca="false">L104/Assumptions!$G$52</f>
        <v>637.226571428571</v>
      </c>
      <c r="M105" s="70" t="n">
        <f aca="false">M104/Assumptions!$G$52</f>
        <v>637.226571428571</v>
      </c>
      <c r="N105" s="70" t="n">
        <f aca="false">N104/Assumptions!$G$52</f>
        <v>637.226571428571</v>
      </c>
      <c r="O105" s="70" t="n">
        <f aca="false">O104/Assumptions!$G$52</f>
        <v>637.226571428571</v>
      </c>
      <c r="P105" s="70" t="n">
        <f aca="false">P104/Assumptions!$G$52</f>
        <v>637.226571428571</v>
      </c>
      <c r="Q105" s="70" t="n">
        <f aca="false">Q104/Assumptions!$G$52</f>
        <v>637.226571428571</v>
      </c>
      <c r="R105" s="70" t="n">
        <f aca="false">R104/Assumptions!$G$52</f>
        <v>637.226571428571</v>
      </c>
      <c r="S105" s="70" t="n">
        <f aca="false">S104/Assumptions!$G$52</f>
        <v>637.226571428571</v>
      </c>
      <c r="T105" s="70" t="n">
        <f aca="false">T104/Assumptions!$G$52</f>
        <v>637.226571428571</v>
      </c>
      <c r="U105" s="70" t="n">
        <f aca="false">U104/Assumptions!$G$52</f>
        <v>637.226571428571</v>
      </c>
      <c r="V105" s="70" t="n">
        <f aca="false">V104/Assumptions!$G$52</f>
        <v>637.226571428571</v>
      </c>
      <c r="W105" s="70" t="n">
        <f aca="false">W104/Assumptions!$G$52</f>
        <v>637.226571428571</v>
      </c>
      <c r="X105" s="70" t="n">
        <f aca="false">X104/Assumptions!$G$52</f>
        <v>637.226571428571</v>
      </c>
      <c r="Y105" s="70" t="n">
        <f aca="false">Y104/Assumptions!$G$52</f>
        <v>637.226571428571</v>
      </c>
      <c r="Z105" s="70" t="n">
        <f aca="false">Z104/Assumptions!$G$52</f>
        <v>637.226571428571</v>
      </c>
      <c r="AA105" s="70" t="n">
        <f aca="false">AA104/Assumptions!$G$52</f>
        <v>637.226571428571</v>
      </c>
      <c r="AB105" s="70" t="n">
        <f aca="false">AB104/Assumptions!$G$52</f>
        <v>637.226571428571</v>
      </c>
      <c r="AC105" s="70" t="n">
        <f aca="false">AC104/Assumptions!$G$52</f>
        <v>637.226571428571</v>
      </c>
      <c r="AD105" s="70" t="n">
        <f aca="false">AD104/Assumptions!$G$52</f>
        <v>637.226571428571</v>
      </c>
      <c r="AE105" s="70" t="n">
        <f aca="false">AE104/Assumptions!$G$52</f>
        <v>637.226571428571</v>
      </c>
      <c r="AF105" s="70" t="n">
        <f aca="false">AF104/Assumptions!$G$52</f>
        <v>637.226571428571</v>
      </c>
      <c r="AG105" s="70" t="n">
        <f aca="false">AG104/Assumptions!$G$52</f>
        <v>637.226571428571</v>
      </c>
      <c r="AH105" s="70" t="n">
        <f aca="false">AH104/Assumptions!$G$52</f>
        <v>637.226571428571</v>
      </c>
      <c r="AI105" s="70" t="n">
        <f aca="false">AI104/Assumptions!$G$52</f>
        <v>637.226571428571</v>
      </c>
      <c r="AJ105" s="70" t="n">
        <f aca="false">AJ104/Assumptions!$G$52</f>
        <v>637.226571428571</v>
      </c>
      <c r="AK105" s="70" t="n">
        <f aca="false">AK104/Assumptions!$G$52</f>
        <v>637.226571428571</v>
      </c>
      <c r="AL105" s="70" t="n">
        <f aca="false">AL104/Assumptions!$G$52</f>
        <v>637.226571428571</v>
      </c>
      <c r="AM105" s="70" t="n">
        <f aca="false">AVERAGE(N105:AL105)</f>
        <v>637.226571428571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841</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IF(C$5&gt;=Assumptions!$H$6,1,0)</f>
        <v>0</v>
      </c>
      <c r="D8" s="69" t="n">
        <f aca="false">IF(D$5&gt;=Assumptions!$H$6,1,0)</f>
        <v>1</v>
      </c>
      <c r="E8" s="69" t="n">
        <f aca="false">IF(E$5&gt;=Assumptions!$H$6,1,0)</f>
        <v>1</v>
      </c>
      <c r="F8" s="69" t="n">
        <f aca="false">IF(F$5&gt;=Assumptions!$H$6,1,0)</f>
        <v>1</v>
      </c>
      <c r="G8" s="69" t="n">
        <f aca="false">IF(G$5&gt;=Assumptions!$H$6,1,0)</f>
        <v>1</v>
      </c>
      <c r="H8" s="69" t="n">
        <f aca="false">IF(H$5&gt;=Assumptions!$H$6,1,0)</f>
        <v>1</v>
      </c>
      <c r="I8" s="69" t="n">
        <f aca="false">IF(I$5&gt;=Assumptions!$H$6,1,0)</f>
        <v>1</v>
      </c>
      <c r="J8" s="69" t="n">
        <f aca="false">IF(J$5&gt;=Assumptions!$H$6,1,0)</f>
        <v>1</v>
      </c>
      <c r="K8" s="69" t="n">
        <f aca="false">IF(K$5&gt;=Assumptions!$H$6,1,0)</f>
        <v>1</v>
      </c>
      <c r="L8" s="69" t="n">
        <f aca="false">IF(L$5&gt;=Assumptions!$H$6,1,0)</f>
        <v>1</v>
      </c>
      <c r="M8" s="69" t="n">
        <f aca="false">IF(M$5&gt;=Assumptions!$H$6,1,0)</f>
        <v>1</v>
      </c>
      <c r="N8" s="69" t="n">
        <f aca="false">IF(N$5&gt;=Assumptions!$H$6,1,0)</f>
        <v>1</v>
      </c>
      <c r="O8" s="69" t="n">
        <f aca="false">IF(O$5&gt;=Assumptions!$H$6,1,0)</f>
        <v>1</v>
      </c>
      <c r="P8" s="69" t="n">
        <f aca="false">IF(P$5&gt;=Assumptions!$H$6,1,0)</f>
        <v>1</v>
      </c>
      <c r="Q8" s="69" t="n">
        <f aca="false">IF(Q$5&gt;=Assumptions!$H$6,1,0)</f>
        <v>1</v>
      </c>
      <c r="R8" s="69" t="n">
        <f aca="false">IF(R$5&gt;=Assumptions!$H$6,1,0)</f>
        <v>1</v>
      </c>
      <c r="S8" s="69" t="n">
        <f aca="false">IF(S$5&gt;=Assumptions!$H$6,1,0)</f>
        <v>1</v>
      </c>
      <c r="T8" s="69" t="n">
        <f aca="false">IF(T$5&gt;=Assumptions!$H$6,1,0)</f>
        <v>1</v>
      </c>
      <c r="U8" s="69" t="n">
        <f aca="false">IF(U$5&gt;=Assumptions!$H$6,1,0)</f>
        <v>1</v>
      </c>
      <c r="V8" s="69" t="n">
        <f aca="false">IF(V$5&gt;=Assumptions!$H$6,1,0)</f>
        <v>1</v>
      </c>
      <c r="W8" s="69" t="n">
        <f aca="false">IF(W$5&gt;=Assumptions!$H$6,1,0)</f>
        <v>1</v>
      </c>
      <c r="X8" s="69" t="n">
        <f aca="false">IF(X$5&gt;=Assumptions!$H$6,1,0)</f>
        <v>1</v>
      </c>
      <c r="Y8" s="69" t="n">
        <f aca="false">IF(Y$5&gt;=Assumptions!$H$6,1,0)</f>
        <v>1</v>
      </c>
      <c r="Z8" s="69" t="n">
        <f aca="false">IF(Z$5&gt;=Assumptions!$H$6,1,0)</f>
        <v>1</v>
      </c>
      <c r="AA8" s="69" t="n">
        <f aca="false">IF(AA$5&gt;=Assumptions!$H$6,1,0)</f>
        <v>1</v>
      </c>
      <c r="AB8" s="69" t="n">
        <f aca="false">IF(AB$5&gt;=Assumptions!$H$6,1,0)</f>
        <v>1</v>
      </c>
      <c r="AC8" s="69" t="n">
        <f aca="false">IF(AC$5&gt;=Assumptions!$H$6,1,0)</f>
        <v>1</v>
      </c>
      <c r="AD8" s="69" t="n">
        <f aca="false">IF(AD$5&gt;=Assumptions!$H$6,1,0)</f>
        <v>1</v>
      </c>
      <c r="AE8" s="69" t="n">
        <f aca="false">IF(AE$5&gt;=Assumptions!$H$6,1,0)</f>
        <v>1</v>
      </c>
      <c r="AF8" s="69" t="n">
        <f aca="false">IF(AF$5&gt;=Assumptions!$H$6,1,0)</f>
        <v>1</v>
      </c>
      <c r="AG8" s="69" t="n">
        <f aca="false">IF(AG$5&gt;=Assumptions!$H$6,1,0)</f>
        <v>1</v>
      </c>
      <c r="AH8" s="69" t="n">
        <f aca="false">IF(AH$5&gt;=Assumptions!$H$6,1,0)</f>
        <v>1</v>
      </c>
      <c r="AI8" s="69" t="n">
        <f aca="false">IF(AI$5&gt;=Assumptions!$H$6,1,0)</f>
        <v>1</v>
      </c>
      <c r="AJ8" s="69" t="n">
        <f aca="false">IF(AJ$5&gt;=Assumptions!$H$6,1,0)</f>
        <v>1</v>
      </c>
      <c r="AK8" s="69" t="n">
        <f aca="false">IF(AK$5&gt;=Assumptions!$H$6,1,0)</f>
        <v>1</v>
      </c>
      <c r="AL8" s="69" t="n">
        <f aca="false">IF(AL$5&gt;=Assumptions!$H$6,1,0)</f>
        <v>1</v>
      </c>
      <c r="AM8" s="69"/>
    </row>
    <row r="9" customFormat="false" ht="15" hidden="false" customHeight="false" outlineLevel="0" collapsed="false">
      <c r="A9" s="10" t="s">
        <v>743</v>
      </c>
      <c r="B9" s="9" t="s">
        <v>742</v>
      </c>
      <c r="C9" s="69" t="n">
        <f aca="false">IF(C$5&gt;=Assumptions!$H$7,1,0)</f>
        <v>0</v>
      </c>
      <c r="D9" s="69" t="n">
        <f aca="false">IF(D$5&gt;=Assumptions!$H$7,1,0)</f>
        <v>0</v>
      </c>
      <c r="E9" s="69" t="n">
        <f aca="false">IF(E$5&gt;=Assumptions!$H$7,1,0)</f>
        <v>0</v>
      </c>
      <c r="F9" s="69" t="n">
        <f aca="false">IF(F$5&gt;=Assumptions!$H$7,1,0)</f>
        <v>0</v>
      </c>
      <c r="G9" s="69" t="n">
        <f aca="false">IF(G$5&gt;=Assumptions!$H$7,1,0)</f>
        <v>0</v>
      </c>
      <c r="H9" s="69" t="n">
        <f aca="false">IF(H$5&gt;=Assumptions!$H$7,1,0)</f>
        <v>0</v>
      </c>
      <c r="I9" s="69" t="n">
        <f aca="false">IF(I$5&gt;=Assumptions!$H$7,1,0)</f>
        <v>1</v>
      </c>
      <c r="J9" s="69" t="n">
        <f aca="false">IF(J$5&gt;=Assumptions!$H$7,1,0)</f>
        <v>1</v>
      </c>
      <c r="K9" s="69" t="n">
        <f aca="false">IF(K$5&gt;=Assumptions!$H$7,1,0)</f>
        <v>1</v>
      </c>
      <c r="L9" s="69" t="n">
        <f aca="false">IF(L$5&gt;=Assumptions!$H$7,1,0)</f>
        <v>1</v>
      </c>
      <c r="M9" s="69" t="n">
        <f aca="false">IF(M$5&gt;=Assumptions!$H$7,1,0)</f>
        <v>1</v>
      </c>
      <c r="N9" s="69" t="n">
        <f aca="false">IF(N$5&gt;=Assumptions!$H$7,1,0)</f>
        <v>1</v>
      </c>
      <c r="O9" s="69" t="n">
        <f aca="false">IF(O$5&gt;=Assumptions!$H$7,1,0)</f>
        <v>1</v>
      </c>
      <c r="P9" s="69" t="n">
        <f aca="false">IF(P$5&gt;=Assumptions!$H$7,1,0)</f>
        <v>1</v>
      </c>
      <c r="Q9" s="69" t="n">
        <f aca="false">IF(Q$5&gt;=Assumptions!$H$7,1,0)</f>
        <v>1</v>
      </c>
      <c r="R9" s="69" t="n">
        <f aca="false">IF(R$5&gt;=Assumptions!$H$7,1,0)</f>
        <v>1</v>
      </c>
      <c r="S9" s="69" t="n">
        <f aca="false">IF(S$5&gt;=Assumptions!$H$7,1,0)</f>
        <v>1</v>
      </c>
      <c r="T9" s="69" t="n">
        <f aca="false">IF(T$5&gt;=Assumptions!$H$7,1,0)</f>
        <v>1</v>
      </c>
      <c r="U9" s="69" t="n">
        <f aca="false">IF(U$5&gt;=Assumptions!$H$7,1,0)</f>
        <v>1</v>
      </c>
      <c r="V9" s="69" t="n">
        <f aca="false">IF(V$5&gt;=Assumptions!$H$7,1,0)</f>
        <v>1</v>
      </c>
      <c r="W9" s="69" t="n">
        <f aca="false">IF(W$5&gt;=Assumptions!$H$7,1,0)</f>
        <v>1</v>
      </c>
      <c r="X9" s="69" t="n">
        <f aca="false">IF(X$5&gt;=Assumptions!$H$7,1,0)</f>
        <v>1</v>
      </c>
      <c r="Y9" s="69" t="n">
        <f aca="false">IF(Y$5&gt;=Assumptions!$H$7,1,0)</f>
        <v>1</v>
      </c>
      <c r="Z9" s="69" t="n">
        <f aca="false">IF(Z$5&gt;=Assumptions!$H$7,1,0)</f>
        <v>1</v>
      </c>
      <c r="AA9" s="69" t="n">
        <f aca="false">IF(AA$5&gt;=Assumptions!$H$7,1,0)</f>
        <v>1</v>
      </c>
      <c r="AB9" s="69" t="n">
        <f aca="false">IF(AB$5&gt;=Assumptions!$H$7,1,0)</f>
        <v>1</v>
      </c>
      <c r="AC9" s="69" t="n">
        <f aca="false">IF(AC$5&gt;=Assumptions!$H$7,1,0)</f>
        <v>1</v>
      </c>
      <c r="AD9" s="69" t="n">
        <f aca="false">IF(AD$5&gt;=Assumptions!$H$7,1,0)</f>
        <v>1</v>
      </c>
      <c r="AE9" s="69" t="n">
        <f aca="false">IF(AE$5&gt;=Assumptions!$H$7,1,0)</f>
        <v>1</v>
      </c>
      <c r="AF9" s="69" t="n">
        <f aca="false">IF(AF$5&gt;=Assumptions!$H$7,1,0)</f>
        <v>1</v>
      </c>
      <c r="AG9" s="69" t="n">
        <f aca="false">IF(AG$5&gt;=Assumptions!$H$7,1,0)</f>
        <v>1</v>
      </c>
      <c r="AH9" s="69" t="n">
        <f aca="false">IF(AH$5&gt;=Assumptions!$H$7,1,0)</f>
        <v>1</v>
      </c>
      <c r="AI9" s="69" t="n">
        <f aca="false">IF(AI$5&gt;=Assumptions!$H$7,1,0)</f>
        <v>1</v>
      </c>
      <c r="AJ9" s="69" t="n">
        <f aca="false">IF(AJ$5&gt;=Assumptions!$H$7,1,0)</f>
        <v>1</v>
      </c>
      <c r="AK9" s="69" t="n">
        <f aca="false">IF(AK$5&gt;=Assumptions!$H$7,1,0)</f>
        <v>1</v>
      </c>
      <c r="AL9" s="69" t="n">
        <f aca="false">IF(AL$5&gt;=Assumptions!$H$7,1,0)</f>
        <v>1</v>
      </c>
      <c r="AM9" s="69"/>
    </row>
    <row r="10" customFormat="false" ht="15" hidden="false" customHeight="false" outlineLevel="0" collapsed="false">
      <c r="A10" s="10" t="s">
        <v>744</v>
      </c>
      <c r="B10" s="9" t="s">
        <v>51</v>
      </c>
      <c r="C10" s="69" t="n">
        <f aca="false">MAX(0,C$5-Assumptions!$H$6)</f>
        <v>0</v>
      </c>
      <c r="D10" s="69" t="n">
        <f aca="false">MAX(0,D$5-Assumptions!$H$6)</f>
        <v>0</v>
      </c>
      <c r="E10" s="69" t="n">
        <f aca="false">MAX(0,E$5-Assumptions!$H$6)</f>
        <v>1</v>
      </c>
      <c r="F10" s="69" t="n">
        <f aca="false">MAX(0,F$5-Assumptions!$H$6)</f>
        <v>2</v>
      </c>
      <c r="G10" s="69" t="n">
        <f aca="false">MAX(0,G$5-Assumptions!$H$6)</f>
        <v>3</v>
      </c>
      <c r="H10" s="69" t="n">
        <f aca="false">MAX(0,H$5-Assumptions!$H$6)</f>
        <v>4</v>
      </c>
      <c r="I10" s="69" t="n">
        <f aca="false">MAX(0,I$5-Assumptions!$H$6)</f>
        <v>5</v>
      </c>
      <c r="J10" s="69" t="n">
        <f aca="false">MAX(0,J$5-Assumptions!$H$6)</f>
        <v>6</v>
      </c>
      <c r="K10" s="69" t="n">
        <f aca="false">MAX(0,K$5-Assumptions!$H$6)</f>
        <v>7</v>
      </c>
      <c r="L10" s="69" t="n">
        <f aca="false">MAX(0,L$5-Assumptions!$H$6)</f>
        <v>8</v>
      </c>
      <c r="M10" s="69" t="n">
        <f aca="false">MAX(0,M$5-Assumptions!$H$6)</f>
        <v>9</v>
      </c>
      <c r="N10" s="69" t="n">
        <f aca="false">MAX(0,N$5-Assumptions!$H$6)</f>
        <v>10</v>
      </c>
      <c r="O10" s="69" t="n">
        <f aca="false">MAX(0,O$5-Assumptions!$H$6)</f>
        <v>11</v>
      </c>
      <c r="P10" s="69" t="n">
        <f aca="false">MAX(0,P$5-Assumptions!$H$6)</f>
        <v>12</v>
      </c>
      <c r="Q10" s="69" t="n">
        <f aca="false">MAX(0,Q$5-Assumptions!$H$6)</f>
        <v>13</v>
      </c>
      <c r="R10" s="69" t="n">
        <f aca="false">MAX(0,R$5-Assumptions!$H$6)</f>
        <v>14</v>
      </c>
      <c r="S10" s="69" t="n">
        <f aca="false">MAX(0,S$5-Assumptions!$H$6)</f>
        <v>15</v>
      </c>
      <c r="T10" s="69" t="n">
        <f aca="false">MAX(0,T$5-Assumptions!$H$6)</f>
        <v>16</v>
      </c>
      <c r="U10" s="69" t="n">
        <f aca="false">MAX(0,U$5-Assumptions!$H$6)</f>
        <v>17</v>
      </c>
      <c r="V10" s="69" t="n">
        <f aca="false">MAX(0,V$5-Assumptions!$H$6)</f>
        <v>18</v>
      </c>
      <c r="W10" s="69" t="n">
        <f aca="false">MAX(0,W$5-Assumptions!$H$6)</f>
        <v>19</v>
      </c>
      <c r="X10" s="69" t="n">
        <f aca="false">MAX(0,X$5-Assumptions!$H$6)</f>
        <v>20</v>
      </c>
      <c r="Y10" s="69" t="n">
        <f aca="false">MAX(0,Y$5-Assumptions!$H$6)</f>
        <v>21</v>
      </c>
      <c r="Z10" s="69" t="n">
        <f aca="false">MAX(0,Z$5-Assumptions!$H$6)</f>
        <v>22</v>
      </c>
      <c r="AA10" s="69" t="n">
        <f aca="false">MAX(0,AA$5-Assumptions!$H$6)</f>
        <v>23</v>
      </c>
      <c r="AB10" s="69" t="n">
        <f aca="false">MAX(0,AB$5-Assumptions!$H$6)</f>
        <v>24</v>
      </c>
      <c r="AC10" s="69" t="n">
        <f aca="false">MAX(0,AC$5-Assumptions!$H$6)</f>
        <v>25</v>
      </c>
      <c r="AD10" s="69" t="n">
        <f aca="false">MAX(0,AD$5-Assumptions!$H$6)</f>
        <v>26</v>
      </c>
      <c r="AE10" s="69" t="n">
        <f aca="false">MAX(0,AE$5-Assumptions!$H$6)</f>
        <v>27</v>
      </c>
      <c r="AF10" s="69" t="n">
        <f aca="false">MAX(0,AF$5-Assumptions!$H$6)</f>
        <v>28</v>
      </c>
      <c r="AG10" s="69" t="n">
        <f aca="false">MAX(0,AG$5-Assumptions!$H$6)</f>
        <v>29</v>
      </c>
      <c r="AH10" s="69" t="n">
        <f aca="false">MAX(0,AH$5-Assumptions!$H$6)</f>
        <v>30</v>
      </c>
      <c r="AI10" s="69" t="n">
        <f aca="false">MAX(0,AI$5-Assumptions!$H$6)</f>
        <v>31</v>
      </c>
      <c r="AJ10" s="69" t="n">
        <f aca="false">MAX(0,AJ$5-Assumptions!$H$6)</f>
        <v>32</v>
      </c>
      <c r="AK10" s="69" t="n">
        <f aca="false">MAX(0,AK$5-Assumptions!$H$6)</f>
        <v>33</v>
      </c>
      <c r="AL10" s="69" t="n">
        <f aca="false">MAX(0,AL$5-Assumptions!$H$6)</f>
        <v>34</v>
      </c>
      <c r="AM10" s="69"/>
    </row>
    <row r="11" customFormat="false" ht="15" hidden="false" customHeight="false" outlineLevel="0" collapsed="false">
      <c r="A11" s="10" t="s">
        <v>745</v>
      </c>
      <c r="B11" s="9" t="s">
        <v>84</v>
      </c>
      <c r="C11" s="61" t="n">
        <f aca="false">Assumptions!$H$9*Assumptions!$H$10*Assumptions!$H$11*Assumptions!$H$12</f>
        <v>22605</v>
      </c>
      <c r="D11" s="61" t="n">
        <f aca="false">Assumptions!$H$9*Assumptions!$H$10*Assumptions!$H$11*Assumptions!$H$12</f>
        <v>22605</v>
      </c>
      <c r="E11" s="61" t="n">
        <f aca="false">Assumptions!$H$9*Assumptions!$H$10*Assumptions!$H$11*Assumptions!$H$12</f>
        <v>22605</v>
      </c>
      <c r="F11" s="61" t="n">
        <f aca="false">Assumptions!$H$9*Assumptions!$H$10*Assumptions!$H$11*Assumptions!$H$12</f>
        <v>22605</v>
      </c>
      <c r="G11" s="61" t="n">
        <f aca="false">Assumptions!$H$9*Assumptions!$H$10*Assumptions!$H$11*Assumptions!$H$12</f>
        <v>22605</v>
      </c>
      <c r="H11" s="61" t="n">
        <f aca="false">Assumptions!$H$9*Assumptions!$H$10*Assumptions!$H$11*Assumptions!$H$12</f>
        <v>22605</v>
      </c>
      <c r="I11" s="61" t="n">
        <f aca="false">Assumptions!$H$9*Assumptions!$H$10*Assumptions!$H$11*Assumptions!$H$12</f>
        <v>22605</v>
      </c>
      <c r="J11" s="61" t="n">
        <f aca="false">Assumptions!$H$9*Assumptions!$H$10*Assumptions!$H$11*Assumptions!$H$12</f>
        <v>22605</v>
      </c>
      <c r="K11" s="61" t="n">
        <f aca="false">Assumptions!$H$9*Assumptions!$H$10*Assumptions!$H$11*Assumptions!$H$12</f>
        <v>22605</v>
      </c>
      <c r="L11" s="61" t="n">
        <f aca="false">Assumptions!$H$9*Assumptions!$H$10*Assumptions!$H$11*Assumptions!$H$12</f>
        <v>22605</v>
      </c>
      <c r="M11" s="61" t="n">
        <f aca="false">Assumptions!$H$9*Assumptions!$H$10*Assumptions!$H$11*Assumptions!$H$12</f>
        <v>22605</v>
      </c>
      <c r="N11" s="61" t="n">
        <f aca="false">Assumptions!$H$9*Assumptions!$H$10*Assumptions!$H$11*Assumptions!$H$12</f>
        <v>22605</v>
      </c>
      <c r="O11" s="61" t="n">
        <f aca="false">Assumptions!$H$9*Assumptions!$H$10*Assumptions!$H$11*Assumptions!$H$12</f>
        <v>22605</v>
      </c>
      <c r="P11" s="61" t="n">
        <f aca="false">Assumptions!$H$9*Assumptions!$H$10*Assumptions!$H$11*Assumptions!$H$12</f>
        <v>22605</v>
      </c>
      <c r="Q11" s="61" t="n">
        <f aca="false">Assumptions!$H$9*Assumptions!$H$10*Assumptions!$H$11*Assumptions!$H$12</f>
        <v>22605</v>
      </c>
      <c r="R11" s="61" t="n">
        <f aca="false">Assumptions!$H$9*Assumptions!$H$10*Assumptions!$H$11*Assumptions!$H$12</f>
        <v>22605</v>
      </c>
      <c r="S11" s="61" t="n">
        <f aca="false">Assumptions!$H$9*Assumptions!$H$10*Assumptions!$H$11*Assumptions!$H$12</f>
        <v>22605</v>
      </c>
      <c r="T11" s="61" t="n">
        <f aca="false">Assumptions!$H$9*Assumptions!$H$10*Assumptions!$H$11*Assumptions!$H$12</f>
        <v>22605</v>
      </c>
      <c r="U11" s="61" t="n">
        <f aca="false">Assumptions!$H$9*Assumptions!$H$10*Assumptions!$H$11*Assumptions!$H$12</f>
        <v>22605</v>
      </c>
      <c r="V11" s="61" t="n">
        <f aca="false">Assumptions!$H$9*Assumptions!$H$10*Assumptions!$H$11*Assumptions!$H$12</f>
        <v>22605</v>
      </c>
      <c r="W11" s="61" t="n">
        <f aca="false">Assumptions!$H$9*Assumptions!$H$10*Assumptions!$H$11*Assumptions!$H$12</f>
        <v>22605</v>
      </c>
      <c r="X11" s="61" t="n">
        <f aca="false">Assumptions!$H$9*Assumptions!$H$10*Assumptions!$H$11*Assumptions!$H$12</f>
        <v>22605</v>
      </c>
      <c r="Y11" s="61" t="n">
        <f aca="false">Assumptions!$H$9*Assumptions!$H$10*Assumptions!$H$11*Assumptions!$H$12</f>
        <v>22605</v>
      </c>
      <c r="Z11" s="61" t="n">
        <f aca="false">Assumptions!$H$9*Assumptions!$H$10*Assumptions!$H$11*Assumptions!$H$12</f>
        <v>22605</v>
      </c>
      <c r="AA11" s="61" t="n">
        <f aca="false">Assumptions!$H$9*Assumptions!$H$10*Assumptions!$H$11*Assumptions!$H$12</f>
        <v>22605</v>
      </c>
      <c r="AB11" s="61" t="n">
        <f aca="false">Assumptions!$H$9*Assumptions!$H$10*Assumptions!$H$11*Assumptions!$H$12</f>
        <v>22605</v>
      </c>
      <c r="AC11" s="61" t="n">
        <f aca="false">Assumptions!$H$9*Assumptions!$H$10*Assumptions!$H$11*Assumptions!$H$12</f>
        <v>22605</v>
      </c>
      <c r="AD11" s="61" t="n">
        <f aca="false">Assumptions!$H$9*Assumptions!$H$10*Assumptions!$H$11*Assumptions!$H$12</f>
        <v>22605</v>
      </c>
      <c r="AE11" s="61" t="n">
        <f aca="false">Assumptions!$H$9*Assumptions!$H$10*Assumptions!$H$11*Assumptions!$H$12</f>
        <v>22605</v>
      </c>
      <c r="AF11" s="61" t="n">
        <f aca="false">Assumptions!$H$9*Assumptions!$H$10*Assumptions!$H$11*Assumptions!$H$12</f>
        <v>22605</v>
      </c>
      <c r="AG11" s="61" t="n">
        <f aca="false">Assumptions!$H$9*Assumptions!$H$10*Assumptions!$H$11*Assumptions!$H$12</f>
        <v>22605</v>
      </c>
      <c r="AH11" s="61" t="n">
        <f aca="false">Assumptions!$H$9*Assumptions!$H$10*Assumptions!$H$11*Assumptions!$H$12</f>
        <v>22605</v>
      </c>
      <c r="AI11" s="61" t="n">
        <f aca="false">Assumptions!$H$9*Assumptions!$H$10*Assumptions!$H$11*Assumptions!$H$12</f>
        <v>22605</v>
      </c>
      <c r="AJ11" s="61" t="n">
        <f aca="false">Assumptions!$H$9*Assumptions!$H$10*Assumptions!$H$11*Assumptions!$H$12</f>
        <v>22605</v>
      </c>
      <c r="AK11" s="61" t="n">
        <f aca="false">Assumptions!$H$9*Assumptions!$H$10*Assumptions!$H$11*Assumptions!$H$12</f>
        <v>22605</v>
      </c>
      <c r="AL11" s="61" t="n">
        <f aca="false">Assumptions!$H$9*Assumptions!$H$10*Assumptions!$H$11*Assumptions!$H$12</f>
        <v>22605</v>
      </c>
      <c r="AM11" s="61"/>
    </row>
    <row r="12" customFormat="false" ht="15" hidden="false" customHeight="false" outlineLevel="0" collapsed="false">
      <c r="A12" s="10" t="s">
        <v>746</v>
      </c>
      <c r="B12" s="9" t="s">
        <v>78</v>
      </c>
      <c r="C12" s="57" t="n">
        <f aca="false">IF(C8=0,0,IF(C10=0,Assumptions!$H$15,Assumptions!$H$14+(1-Assumptions!$H$14)*Assumptions!$H$13^C10))</f>
        <v>0</v>
      </c>
      <c r="D12" s="57" t="n">
        <f aca="false">IF(D8=0,0,IF(D10=0,Assumptions!$H$15,Assumptions!$H$14+(1-Assumptions!$H$14)*Assumptions!$H$13^D10))</f>
        <v>1.8</v>
      </c>
      <c r="E12" s="57" t="n">
        <f aca="false">IF(E8=0,0,IF(E10=0,Assumptions!$H$15,Assumptions!$H$14+(1-Assumptions!$H$14)*Assumptions!$H$13^E10))</f>
        <v>0.864</v>
      </c>
      <c r="F12" s="57" t="n">
        <f aca="false">IF(F8=0,0,IF(F10=0,Assumptions!$H$15,Assumptions!$H$14+(1-Assumptions!$H$14)*Assumptions!$H$13^F10))</f>
        <v>0.7552</v>
      </c>
      <c r="G12" s="57" t="n">
        <f aca="false">IF(G8=0,0,IF(G10=0,Assumptions!$H$15,Assumptions!$H$14+(1-Assumptions!$H$14)*Assumptions!$H$13^G10))</f>
        <v>0.66816</v>
      </c>
      <c r="H12" s="57" t="n">
        <f aca="false">IF(H8=0,0,IF(H10=0,Assumptions!$H$15,Assumptions!$H$14+(1-Assumptions!$H$14)*Assumptions!$H$13^H10))</f>
        <v>0.598528</v>
      </c>
      <c r="I12" s="57" t="n">
        <f aca="false">IF(I8=0,0,IF(I10=0,Assumptions!$H$15,Assumptions!$H$14+(1-Assumptions!$H$14)*Assumptions!$H$13^I10))</f>
        <v>0.5428224</v>
      </c>
      <c r="J12" s="57" t="n">
        <f aca="false">IF(J8=0,0,IF(J10=0,Assumptions!$H$15,Assumptions!$H$14+(1-Assumptions!$H$14)*Assumptions!$H$13^J10))</f>
        <v>0.49825792</v>
      </c>
      <c r="K12" s="57" t="n">
        <f aca="false">IF(K8=0,0,IF(K10=0,Assumptions!$H$15,Assumptions!$H$14+(1-Assumptions!$H$14)*Assumptions!$H$13^K10))</f>
        <v>0.462606336</v>
      </c>
      <c r="L12" s="57" t="n">
        <f aca="false">IF(L8=0,0,IF(L10=0,Assumptions!$H$15,Assumptions!$H$14+(1-Assumptions!$H$14)*Assumptions!$H$13^L10))</f>
        <v>0.4340850688</v>
      </c>
      <c r="M12" s="57" t="n">
        <f aca="false">IF(M8=0,0,IF(M10=0,Assumptions!$H$15,Assumptions!$H$14+(1-Assumptions!$H$14)*Assumptions!$H$13^M10))</f>
        <v>0.41126805504</v>
      </c>
      <c r="N12" s="57" t="n">
        <f aca="false">IF(N8=0,0,IF(N10=0,Assumptions!$H$15,Assumptions!$H$14+(1-Assumptions!$H$14)*Assumptions!$H$13^N10))</f>
        <v>0.393014444032</v>
      </c>
      <c r="O12" s="57" t="n">
        <f aca="false">IF(O8=0,0,IF(O10=0,Assumptions!$H$15,Assumptions!$H$14+(1-Assumptions!$H$14)*Assumptions!$H$13^O10))</f>
        <v>0.3784115552256</v>
      </c>
      <c r="P12" s="57" t="n">
        <f aca="false">IF(P8=0,0,IF(P10=0,Assumptions!$H$15,Assumptions!$H$14+(1-Assumptions!$H$14)*Assumptions!$H$13^P10))</f>
        <v>0.36672924418048</v>
      </c>
      <c r="Q12" s="57" t="n">
        <f aca="false">IF(Q8=0,0,IF(Q10=0,Assumptions!$H$15,Assumptions!$H$14+(1-Assumptions!$H$14)*Assumptions!$H$13^Q10))</f>
        <v>0.357383395344384</v>
      </c>
      <c r="R12" s="57" t="n">
        <f aca="false">IF(R8=0,0,IF(R10=0,Assumptions!$H$15,Assumptions!$H$14+(1-Assumptions!$H$14)*Assumptions!$H$13^R10))</f>
        <v>0.349906716275507</v>
      </c>
      <c r="S12" s="57" t="n">
        <f aca="false">IF(S8=0,0,IF(S10=0,Assumptions!$H$15,Assumptions!$H$14+(1-Assumptions!$H$14)*Assumptions!$H$13^S10))</f>
        <v>0.343925373020406</v>
      </c>
      <c r="T12" s="57" t="n">
        <f aca="false">IF(T8=0,0,IF(T10=0,Assumptions!$H$15,Assumptions!$H$14+(1-Assumptions!$H$14)*Assumptions!$H$13^T10))</f>
        <v>0.339140298416325</v>
      </c>
      <c r="U12" s="57" t="n">
        <f aca="false">IF(U8=0,0,IF(U10=0,Assumptions!$H$15,Assumptions!$H$14+(1-Assumptions!$H$14)*Assumptions!$H$13^U10))</f>
        <v>0.33531223873306</v>
      </c>
      <c r="V12" s="57" t="n">
        <f aca="false">IF(V8=0,0,IF(V10=0,Assumptions!$H$15,Assumptions!$H$14+(1-Assumptions!$H$14)*Assumptions!$H$13^V10))</f>
        <v>0.332249790986448</v>
      </c>
      <c r="W12" s="57" t="n">
        <f aca="false">IF(W8=0,0,IF(W10=0,Assumptions!$H$15,Assumptions!$H$14+(1-Assumptions!$H$14)*Assumptions!$H$13^W10))</f>
        <v>0.329799832789158</v>
      </c>
      <c r="X12" s="57" t="n">
        <f aca="false">IF(X8=0,0,IF(X10=0,Assumptions!$H$15,Assumptions!$H$14+(1-Assumptions!$H$14)*Assumptions!$H$13^X10))</f>
        <v>0.327839866231327</v>
      </c>
      <c r="Y12" s="57" t="n">
        <f aca="false">IF(Y8=0,0,IF(Y10=0,Assumptions!$H$15,Assumptions!$H$14+(1-Assumptions!$H$14)*Assumptions!$H$13^Y10))</f>
        <v>0.326271892985061</v>
      </c>
      <c r="Z12" s="57" t="n">
        <f aca="false">IF(Z8=0,0,IF(Z10=0,Assumptions!$H$15,Assumptions!$H$14+(1-Assumptions!$H$14)*Assumptions!$H$13^Z10))</f>
        <v>0.325017514388049</v>
      </c>
      <c r="AA12" s="57" t="n">
        <f aca="false">IF(AA8=0,0,IF(AA10=0,Assumptions!$H$15,Assumptions!$H$14+(1-Assumptions!$H$14)*Assumptions!$H$13^AA10))</f>
        <v>0.324014011510439</v>
      </c>
      <c r="AB12" s="57" t="n">
        <f aca="false">IF(AB8=0,0,IF(AB10=0,Assumptions!$H$15,Assumptions!$H$14+(1-Assumptions!$H$14)*Assumptions!$H$13^AB10))</f>
        <v>0.323211209208351</v>
      </c>
      <c r="AC12" s="57" t="n">
        <f aca="false">IF(AC8=0,0,IF(AC10=0,Assumptions!$H$15,Assumptions!$H$14+(1-Assumptions!$H$14)*Assumptions!$H$13^AC10))</f>
        <v>0.322568967366681</v>
      </c>
      <c r="AD12" s="57" t="n">
        <f aca="false">IF(AD8=0,0,IF(AD10=0,Assumptions!$H$15,Assumptions!$H$14+(1-Assumptions!$H$14)*Assumptions!$H$13^AD10))</f>
        <v>0.322055173893345</v>
      </c>
      <c r="AE12" s="57" t="n">
        <f aca="false">IF(AE8=0,0,IF(AE10=0,Assumptions!$H$15,Assumptions!$H$14+(1-Assumptions!$H$14)*Assumptions!$H$13^AE10))</f>
        <v>0.321644139114676</v>
      </c>
      <c r="AF12" s="57" t="n">
        <f aca="false">IF(AF8=0,0,IF(AF10=0,Assumptions!$H$15,Assumptions!$H$14+(1-Assumptions!$H$14)*Assumptions!$H$13^AF10))</f>
        <v>0.321315311291741</v>
      </c>
      <c r="AG12" s="57" t="n">
        <f aca="false">IF(AG8=0,0,IF(AG10=0,Assumptions!$H$15,Assumptions!$H$14+(1-Assumptions!$H$14)*Assumptions!$H$13^AG10))</f>
        <v>0.321052249033393</v>
      </c>
      <c r="AH12" s="57" t="n">
        <f aca="false">IF(AH8=0,0,IF(AH10=0,Assumptions!$H$15,Assumptions!$H$14+(1-Assumptions!$H$14)*Assumptions!$H$13^AH10))</f>
        <v>0.320841799226714</v>
      </c>
      <c r="AI12" s="57" t="n">
        <f aca="false">IF(AI8=0,0,IF(AI10=0,Assumptions!$H$15,Assumptions!$H$14+(1-Assumptions!$H$14)*Assumptions!$H$13^AI10))</f>
        <v>0.320673439381371</v>
      </c>
      <c r="AJ12" s="57" t="n">
        <f aca="false">IF(AJ8=0,0,IF(AJ10=0,Assumptions!$H$15,Assumptions!$H$14+(1-Assumptions!$H$14)*Assumptions!$H$13^AJ10))</f>
        <v>0.320538751505097</v>
      </c>
      <c r="AK12" s="57" t="n">
        <f aca="false">IF(AK8=0,0,IF(AK10=0,Assumptions!$H$15,Assumptions!$H$14+(1-Assumptions!$H$14)*Assumptions!$H$13^AK10))</f>
        <v>0.320431001204078</v>
      </c>
      <c r="AL12" s="57" t="n">
        <f aca="false">IF(AL8=0,0,IF(AL10=0,Assumptions!$H$15,Assumptions!$H$14+(1-Assumptions!$H$14)*Assumptions!$H$13^AL10))</f>
        <v>0.320344800963262</v>
      </c>
      <c r="AM12" s="57"/>
    </row>
    <row r="13" customFormat="false" ht="15" hidden="false" customHeight="false" outlineLevel="0" collapsed="false">
      <c r="A13" s="10" t="s">
        <v>747</v>
      </c>
      <c r="B13" s="9" t="s">
        <v>84</v>
      </c>
      <c r="C13" s="61" t="n">
        <f aca="false">C11*C12</f>
        <v>0</v>
      </c>
      <c r="D13" s="61" t="n">
        <f aca="false">D11*D12</f>
        <v>40689</v>
      </c>
      <c r="E13" s="61" t="n">
        <f aca="false">E11*E12</f>
        <v>19530.72</v>
      </c>
      <c r="F13" s="61" t="n">
        <f aca="false">F11*F12</f>
        <v>17071.296</v>
      </c>
      <c r="G13" s="61" t="n">
        <f aca="false">G11*G12</f>
        <v>15103.7568</v>
      </c>
      <c r="H13" s="61" t="n">
        <f aca="false">H11*H12</f>
        <v>13529.72544</v>
      </c>
      <c r="I13" s="61" t="n">
        <f aca="false">I11*I12</f>
        <v>12270.500352</v>
      </c>
      <c r="J13" s="61" t="n">
        <f aca="false">J11*J12</f>
        <v>11263.1202816</v>
      </c>
      <c r="K13" s="61" t="n">
        <f aca="false">K11*K12</f>
        <v>10457.21622528</v>
      </c>
      <c r="L13" s="61" t="n">
        <f aca="false">L11*L12</f>
        <v>9812.492980224</v>
      </c>
      <c r="M13" s="61" t="n">
        <f aca="false">M11*M12</f>
        <v>9296.7143841792</v>
      </c>
      <c r="N13" s="61" t="n">
        <f aca="false">N11*N12</f>
        <v>8884.09150734336</v>
      </c>
      <c r="O13" s="61" t="n">
        <f aca="false">O11*O12</f>
        <v>8553.99320587469</v>
      </c>
      <c r="P13" s="61" t="n">
        <f aca="false">P11*P12</f>
        <v>8289.91456469975</v>
      </c>
      <c r="Q13" s="61" t="n">
        <f aca="false">Q11*Q12</f>
        <v>8078.6516517598</v>
      </c>
      <c r="R13" s="61" t="n">
        <f aca="false">R11*R12</f>
        <v>7909.64132140784</v>
      </c>
      <c r="S13" s="61" t="n">
        <f aca="false">S11*S12</f>
        <v>7774.43305712627</v>
      </c>
      <c r="T13" s="61" t="n">
        <f aca="false">T11*T12</f>
        <v>7666.26644570102</v>
      </c>
      <c r="U13" s="61" t="n">
        <f aca="false">U11*U12</f>
        <v>7579.73315656082</v>
      </c>
      <c r="V13" s="61" t="n">
        <f aca="false">V11*V12</f>
        <v>7510.50652524865</v>
      </c>
      <c r="W13" s="61" t="n">
        <f aca="false">W11*W12</f>
        <v>7455.12522019892</v>
      </c>
      <c r="X13" s="61" t="n">
        <f aca="false">X11*X12</f>
        <v>7410.82017615914</v>
      </c>
      <c r="Y13" s="61" t="n">
        <f aca="false">Y11*Y12</f>
        <v>7375.37614092731</v>
      </c>
      <c r="Z13" s="61" t="n">
        <f aca="false">Z11*Z12</f>
        <v>7347.02091274185</v>
      </c>
      <c r="AA13" s="61" t="n">
        <f aca="false">AA11*AA12</f>
        <v>7324.33673019348</v>
      </c>
      <c r="AB13" s="61" t="n">
        <f aca="false">AB11*AB12</f>
        <v>7306.18938415478</v>
      </c>
      <c r="AC13" s="61" t="n">
        <f aca="false">AC11*AC12</f>
        <v>7291.67150732383</v>
      </c>
      <c r="AD13" s="61" t="n">
        <f aca="false">AD11*AD12</f>
        <v>7280.05720585906</v>
      </c>
      <c r="AE13" s="61" t="n">
        <f aca="false">AE11*AE12</f>
        <v>7270.76576468725</v>
      </c>
      <c r="AF13" s="61" t="n">
        <f aca="false">AF11*AF12</f>
        <v>7263.3326117498</v>
      </c>
      <c r="AG13" s="61" t="n">
        <f aca="false">AG11*AG12</f>
        <v>7257.38608939984</v>
      </c>
      <c r="AH13" s="61" t="n">
        <f aca="false">AH11*AH12</f>
        <v>7252.62887151987</v>
      </c>
      <c r="AI13" s="61" t="n">
        <f aca="false">AI11*AI12</f>
        <v>7248.8230972159</v>
      </c>
      <c r="AJ13" s="61" t="n">
        <f aca="false">AJ11*AJ12</f>
        <v>7245.77847777272</v>
      </c>
      <c r="AK13" s="61" t="n">
        <f aca="false">AK11*AK12</f>
        <v>7243.34278221817</v>
      </c>
      <c r="AL13" s="61" t="n">
        <f aca="false">AL11*AL12</f>
        <v>7241.39422577454</v>
      </c>
      <c r="AM13" s="61" t="n">
        <f aca="false">SUM(C13:AL13)</f>
        <v>348085.823096902</v>
      </c>
    </row>
    <row r="14" customFormat="false" ht="15" hidden="false" customHeight="false" outlineLevel="0" collapsed="false">
      <c r="A14" s="10" t="s">
        <v>748</v>
      </c>
      <c r="B14" s="9" t="s">
        <v>749</v>
      </c>
      <c r="C14" s="61" t="n">
        <f aca="false">Assumptions!$H$9*Assumptions!$H$10*Assumptions!$H$11*C12</f>
        <v>0</v>
      </c>
      <c r="D14" s="61" t="n">
        <f aca="false">Assumptions!$H$9*Assumptions!$H$10*Assumptions!$H$11*D12</f>
        <v>8137800</v>
      </c>
      <c r="E14" s="61" t="n">
        <f aca="false">Assumptions!$H$9*Assumptions!$H$10*Assumptions!$H$11*E12</f>
        <v>3906144</v>
      </c>
      <c r="F14" s="61" t="n">
        <f aca="false">Assumptions!$H$9*Assumptions!$H$10*Assumptions!$H$11*F12</f>
        <v>3414259.2</v>
      </c>
      <c r="G14" s="61" t="n">
        <f aca="false">Assumptions!$H$9*Assumptions!$H$10*Assumptions!$H$11*G12</f>
        <v>3020751.36</v>
      </c>
      <c r="H14" s="61" t="n">
        <f aca="false">Assumptions!$H$9*Assumptions!$H$10*Assumptions!$H$11*H12</f>
        <v>2705945.088</v>
      </c>
      <c r="I14" s="61" t="n">
        <f aca="false">Assumptions!$H$9*Assumptions!$H$10*Assumptions!$H$11*I12</f>
        <v>2454100.0704</v>
      </c>
      <c r="J14" s="61" t="n">
        <f aca="false">Assumptions!$H$9*Assumptions!$H$10*Assumptions!$H$11*J12</f>
        <v>2252624.05632</v>
      </c>
      <c r="K14" s="61" t="n">
        <f aca="false">Assumptions!$H$9*Assumptions!$H$10*Assumptions!$H$11*K12</f>
        <v>2091443.245056</v>
      </c>
      <c r="L14" s="61" t="n">
        <f aca="false">Assumptions!$H$9*Assumptions!$H$10*Assumptions!$H$11*L12</f>
        <v>1962498.5960448</v>
      </c>
      <c r="M14" s="61" t="n">
        <f aca="false">Assumptions!$H$9*Assumptions!$H$10*Assumptions!$H$11*M12</f>
        <v>1859342.87683584</v>
      </c>
      <c r="N14" s="61" t="n">
        <f aca="false">Assumptions!$H$9*Assumptions!$H$10*Assumptions!$H$11*N12</f>
        <v>1776818.30146867</v>
      </c>
      <c r="O14" s="61" t="n">
        <f aca="false">Assumptions!$H$9*Assumptions!$H$10*Assumptions!$H$11*O12</f>
        <v>1710798.64117494</v>
      </c>
      <c r="P14" s="61" t="n">
        <f aca="false">Assumptions!$H$9*Assumptions!$H$10*Assumptions!$H$11*P12</f>
        <v>1657982.91293995</v>
      </c>
      <c r="Q14" s="61" t="n">
        <f aca="false">Assumptions!$H$9*Assumptions!$H$10*Assumptions!$H$11*Q12</f>
        <v>1615730.33035196</v>
      </c>
      <c r="R14" s="61" t="n">
        <f aca="false">Assumptions!$H$9*Assumptions!$H$10*Assumptions!$H$11*R12</f>
        <v>1581928.26428157</v>
      </c>
      <c r="S14" s="61" t="n">
        <f aca="false">Assumptions!$H$9*Assumptions!$H$10*Assumptions!$H$11*S12</f>
        <v>1554886.61142525</v>
      </c>
      <c r="T14" s="61" t="n">
        <f aca="false">Assumptions!$H$9*Assumptions!$H$10*Assumptions!$H$11*T12</f>
        <v>1533253.2891402</v>
      </c>
      <c r="U14" s="61" t="n">
        <f aca="false">Assumptions!$H$9*Assumptions!$H$10*Assumptions!$H$11*U12</f>
        <v>1515946.63131216</v>
      </c>
      <c r="V14" s="61" t="n">
        <f aca="false">Assumptions!$H$9*Assumptions!$H$10*Assumptions!$H$11*V12</f>
        <v>1502101.30504973</v>
      </c>
      <c r="W14" s="61" t="n">
        <f aca="false">Assumptions!$H$9*Assumptions!$H$10*Assumptions!$H$11*W12</f>
        <v>1491025.04403978</v>
      </c>
      <c r="X14" s="61" t="n">
        <f aca="false">Assumptions!$H$9*Assumptions!$H$10*Assumptions!$H$11*X12</f>
        <v>1482164.03523183</v>
      </c>
      <c r="Y14" s="61" t="n">
        <f aca="false">Assumptions!$H$9*Assumptions!$H$10*Assumptions!$H$11*Y12</f>
        <v>1475075.22818546</v>
      </c>
      <c r="Z14" s="61" t="n">
        <f aca="false">Assumptions!$H$9*Assumptions!$H$10*Assumptions!$H$11*Z12</f>
        <v>1469404.18254837</v>
      </c>
      <c r="AA14" s="61" t="n">
        <f aca="false">Assumptions!$H$9*Assumptions!$H$10*Assumptions!$H$11*AA12</f>
        <v>1464867.3460387</v>
      </c>
      <c r="AB14" s="61" t="n">
        <f aca="false">Assumptions!$H$9*Assumptions!$H$10*Assumptions!$H$11*AB12</f>
        <v>1461237.87683096</v>
      </c>
      <c r="AC14" s="61" t="n">
        <f aca="false">Assumptions!$H$9*Assumptions!$H$10*Assumptions!$H$11*AC12</f>
        <v>1458334.30146477</v>
      </c>
      <c r="AD14" s="61" t="n">
        <f aca="false">Assumptions!$H$9*Assumptions!$H$10*Assumptions!$H$11*AD12</f>
        <v>1456011.44117181</v>
      </c>
      <c r="AE14" s="61" t="n">
        <f aca="false">Assumptions!$H$9*Assumptions!$H$10*Assumptions!$H$11*AE12</f>
        <v>1454153.15293745</v>
      </c>
      <c r="AF14" s="61" t="n">
        <f aca="false">Assumptions!$H$9*Assumptions!$H$10*Assumptions!$H$11*AF12</f>
        <v>1452666.52234996</v>
      </c>
      <c r="AG14" s="61" t="n">
        <f aca="false">Assumptions!$H$9*Assumptions!$H$10*Assumptions!$H$11*AG12</f>
        <v>1451477.21787997</v>
      </c>
      <c r="AH14" s="61" t="n">
        <f aca="false">Assumptions!$H$9*Assumptions!$H$10*Assumptions!$H$11*AH12</f>
        <v>1450525.77430397</v>
      </c>
      <c r="AI14" s="61" t="n">
        <f aca="false">Assumptions!$H$9*Assumptions!$H$10*Assumptions!$H$11*AI12</f>
        <v>1449764.61944318</v>
      </c>
      <c r="AJ14" s="61" t="n">
        <f aca="false">Assumptions!$H$9*Assumptions!$H$10*Assumptions!$H$11*AJ12</f>
        <v>1449155.69555454</v>
      </c>
      <c r="AK14" s="61" t="n">
        <f aca="false">Assumptions!$H$9*Assumptions!$H$10*Assumptions!$H$11*AK12</f>
        <v>1448668.55644363</v>
      </c>
      <c r="AL14" s="61" t="n">
        <f aca="false">Assumptions!$H$9*Assumptions!$H$10*Assumptions!$H$11*AL12</f>
        <v>1448278.84515491</v>
      </c>
      <c r="AM14" s="61" t="n">
        <f aca="false">SUM(C14:AL14)</f>
        <v>69617164.6193804</v>
      </c>
    </row>
    <row r="15" customFormat="false" ht="15" hidden="false" customHeight="false" outlineLevel="0" collapsed="false">
      <c r="A15" s="10" t="s">
        <v>750</v>
      </c>
      <c r="B15" s="9" t="s">
        <v>84</v>
      </c>
      <c r="C15" s="61" t="n">
        <f aca="false">MIN(Assumptions!$H$19,Assumptions!$H$17*(1+Assumptions!$H$18)^(C$5-1))</f>
        <v>2200</v>
      </c>
      <c r="D15" s="61" t="n">
        <f aca="false">MIN(Assumptions!$H$19,Assumptions!$H$17*(1+Assumptions!$H$18)^(D$5-1))</f>
        <v>2398</v>
      </c>
      <c r="E15" s="61" t="n">
        <f aca="false">MIN(Assumptions!$H$19,Assumptions!$H$17*(1+Assumptions!$H$18)^(E$5-1))</f>
        <v>2613.82</v>
      </c>
      <c r="F15" s="61" t="n">
        <f aca="false">MIN(Assumptions!$H$19,Assumptions!$H$17*(1+Assumptions!$H$18)^(F$5-1))</f>
        <v>2849.0638</v>
      </c>
      <c r="G15" s="61" t="n">
        <f aca="false">MIN(Assumptions!$H$19,Assumptions!$H$17*(1+Assumptions!$H$18)^(G$5-1))</f>
        <v>3105.479542</v>
      </c>
      <c r="H15" s="61" t="n">
        <f aca="false">MIN(Assumptions!$H$19,Assumptions!$H$17*(1+Assumptions!$H$18)^(H$5-1))</f>
        <v>3384.97270078</v>
      </c>
      <c r="I15" s="61" t="n">
        <f aca="false">MIN(Assumptions!$H$19,Assumptions!$H$17*(1+Assumptions!$H$18)^(I$5-1))</f>
        <v>3689.6202438502</v>
      </c>
      <c r="J15" s="61" t="n">
        <f aca="false">MIN(Assumptions!$H$19,Assumptions!$H$17*(1+Assumptions!$H$18)^(J$5-1))</f>
        <v>4021.68606579672</v>
      </c>
      <c r="K15" s="61" t="n">
        <f aca="false">MIN(Assumptions!$H$19,Assumptions!$H$17*(1+Assumptions!$H$18)^(K$5-1))</f>
        <v>4383.63781171843</v>
      </c>
      <c r="L15" s="61" t="n">
        <f aca="false">MIN(Assumptions!$H$19,Assumptions!$H$17*(1+Assumptions!$H$18)^(L$5-1))</f>
        <v>4778.16521477308</v>
      </c>
      <c r="M15" s="61" t="n">
        <f aca="false">MIN(Assumptions!$H$19,Assumptions!$H$17*(1+Assumptions!$H$18)^(M$5-1))</f>
        <v>5208.20008410266</v>
      </c>
      <c r="N15" s="61" t="n">
        <f aca="false">MIN(Assumptions!$H$19,Assumptions!$H$17*(1+Assumptions!$H$18)^(N$5-1))</f>
        <v>5676.9380916719</v>
      </c>
      <c r="O15" s="61" t="n">
        <f aca="false">MIN(Assumptions!$H$19,Assumptions!$H$17*(1+Assumptions!$H$18)^(O$5-1))</f>
        <v>6187.86251992237</v>
      </c>
      <c r="P15" s="61" t="n">
        <f aca="false">MIN(Assumptions!$H$19,Assumptions!$H$17*(1+Assumptions!$H$18)^(P$5-1))</f>
        <v>6744.77014671539</v>
      </c>
      <c r="Q15" s="61" t="n">
        <f aca="false">MIN(Assumptions!$H$19,Assumptions!$H$17*(1+Assumptions!$H$18)^(Q$5-1))</f>
        <v>7351.79945991977</v>
      </c>
      <c r="R15" s="61" t="n">
        <f aca="false">MIN(Assumptions!$H$19,Assumptions!$H$17*(1+Assumptions!$H$18)^(R$5-1))</f>
        <v>8013.46141131255</v>
      </c>
      <c r="S15" s="61" t="n">
        <f aca="false">MIN(Assumptions!$H$19,Assumptions!$H$17*(1+Assumptions!$H$18)^(S$5-1))</f>
        <v>8734.67293833068</v>
      </c>
      <c r="T15" s="61" t="n">
        <f aca="false">MIN(Assumptions!$H$19,Assumptions!$H$17*(1+Assumptions!$H$18)^(T$5-1))</f>
        <v>9520.79350278045</v>
      </c>
      <c r="U15" s="61" t="n">
        <f aca="false">MIN(Assumptions!$H$19,Assumptions!$H$17*(1+Assumptions!$H$18)^(U$5-1))</f>
        <v>10377.6649180307</v>
      </c>
      <c r="V15" s="61" t="n">
        <f aca="false">MIN(Assumptions!$H$19,Assumptions!$H$17*(1+Assumptions!$H$18)^(V$5-1))</f>
        <v>11311.6547606535</v>
      </c>
      <c r="W15" s="61" t="n">
        <f aca="false">MIN(Assumptions!$H$19,Assumptions!$H$17*(1+Assumptions!$H$18)^(W$5-1))</f>
        <v>12329.7036891123</v>
      </c>
      <c r="X15" s="61" t="n">
        <f aca="false">MIN(Assumptions!$H$19,Assumptions!$H$17*(1+Assumptions!$H$18)^(X$5-1))</f>
        <v>13439.3770211324</v>
      </c>
      <c r="Y15" s="61" t="n">
        <f aca="false">MIN(Assumptions!$H$19,Assumptions!$H$17*(1+Assumptions!$H$18)^(Y$5-1))</f>
        <v>14648.9209530343</v>
      </c>
      <c r="Z15" s="61" t="n">
        <f aca="false">MIN(Assumptions!$H$19,Assumptions!$H$17*(1+Assumptions!$H$18)^(Z$5-1))</f>
        <v>15967.3238388074</v>
      </c>
      <c r="AA15" s="61" t="n">
        <f aca="false">MIN(Assumptions!$H$19,Assumptions!$H$17*(1+Assumptions!$H$18)^(AA$5-1))</f>
        <v>17404.3829843</v>
      </c>
      <c r="AB15" s="61" t="n">
        <f aca="false">MIN(Assumptions!$H$19,Assumptions!$H$17*(1+Assumptions!$H$18)^(AB$5-1))</f>
        <v>18970.777452887</v>
      </c>
      <c r="AC15" s="61" t="n">
        <f aca="false">MIN(Assumptions!$H$19,Assumptions!$H$17*(1+Assumptions!$H$18)^(AC$5-1))</f>
        <v>20678.1474236469</v>
      </c>
      <c r="AD15" s="61" t="n">
        <f aca="false">MIN(Assumptions!$H$19,Assumptions!$H$17*(1+Assumptions!$H$18)^(AD$5-1))</f>
        <v>22539.1806917751</v>
      </c>
      <c r="AE15" s="61" t="n">
        <f aca="false">MIN(Assumptions!$H$19,Assumptions!$H$17*(1+Assumptions!$H$18)^(AE$5-1))</f>
        <v>24567.7069540349</v>
      </c>
      <c r="AF15" s="61" t="n">
        <f aca="false">MIN(Assumptions!$H$19,Assumptions!$H$17*(1+Assumptions!$H$18)^(AF$5-1))</f>
        <v>26778.800579898</v>
      </c>
      <c r="AG15" s="61" t="n">
        <f aca="false">MIN(Assumptions!$H$19,Assumptions!$H$17*(1+Assumptions!$H$18)^(AG$5-1))</f>
        <v>29188.8926320888</v>
      </c>
      <c r="AH15" s="61" t="n">
        <f aca="false">MIN(Assumptions!$H$19,Assumptions!$H$17*(1+Assumptions!$H$18)^(AH$5-1))</f>
        <v>31815.8929689768</v>
      </c>
      <c r="AI15" s="61" t="n">
        <f aca="false">MIN(Assumptions!$H$19,Assumptions!$H$17*(1+Assumptions!$H$18)^(AI$5-1))</f>
        <v>34679.3233361847</v>
      </c>
      <c r="AJ15" s="61" t="n">
        <f aca="false">MIN(Assumptions!$H$19,Assumptions!$H$17*(1+Assumptions!$H$18)^(AJ$5-1))</f>
        <v>37800.4624364413</v>
      </c>
      <c r="AK15" s="61" t="n">
        <f aca="false">MIN(Assumptions!$H$19,Assumptions!$H$17*(1+Assumptions!$H$18)^(AK$5-1))</f>
        <v>41202.5040557211</v>
      </c>
      <c r="AL15" s="61" t="n">
        <f aca="false">MIN(Assumptions!$H$19,Assumptions!$H$17*(1+Assumptions!$H$18)^(AL$5-1))</f>
        <v>44910.729420736</v>
      </c>
      <c r="AM15" s="61" t="n">
        <f aca="false">SUM(C15:AL15)</f>
        <v>519474.389651135</v>
      </c>
    </row>
    <row r="16" customFormat="false" ht="15" hidden="false" customHeight="false" outlineLevel="0" collapsed="false">
      <c r="A16" s="37" t="s">
        <v>751</v>
      </c>
      <c r="B16" s="9" t="s">
        <v>97</v>
      </c>
      <c r="C16" s="53" t="n">
        <f aca="false">Assumptions!$H$20</f>
        <v>8000</v>
      </c>
      <c r="D16" s="53" t="n">
        <f aca="false">IF(D8=0,Assumptions!$H$20,MIN(Assumptions!$H$24,MAX(Assumptions!$H$21,C72*Assumptions!$H$22)))</f>
        <v>30000</v>
      </c>
      <c r="E16" s="53" t="n">
        <f aca="false">IF(E8=0,Assumptions!$H$20,MIN(Assumptions!$H$24,MAX(Assumptions!$H$21,D72*Assumptions!$H$22)))</f>
        <v>30000</v>
      </c>
      <c r="F16" s="53" t="n">
        <f aca="false">IF(F8=0,Assumptions!$H$20,MIN(Assumptions!$H$24,MAX(Assumptions!$H$21,E72*Assumptions!$H$22)))</f>
        <v>30000</v>
      </c>
      <c r="G16" s="53" t="n">
        <f aca="false">IF(G8=0,Assumptions!$H$20,MIN(Assumptions!$H$24,MAX(Assumptions!$H$21,F72*Assumptions!$H$22)))</f>
        <v>30000</v>
      </c>
      <c r="H16" s="53" t="n">
        <f aca="false">IF(H8=0,Assumptions!$H$20,MIN(Assumptions!$H$24,MAX(Assumptions!$H$21,G72*Assumptions!$H$22)))</f>
        <v>30000</v>
      </c>
      <c r="I16" s="53" t="n">
        <f aca="false">IF(I8=0,Assumptions!$H$20,MIN(Assumptions!$H$24,MAX(Assumptions!$H$21,H72*Assumptions!$H$22)))</f>
        <v>30000</v>
      </c>
      <c r="J16" s="53" t="n">
        <f aca="false">IF(J8=0,Assumptions!$H$20,MIN(Assumptions!$H$24,MAX(Assumptions!$H$21,I72*Assumptions!$H$22)))</f>
        <v>30000</v>
      </c>
      <c r="K16" s="53" t="n">
        <f aca="false">IF(K8=0,Assumptions!$H$20,MIN(Assumptions!$H$24,MAX(Assumptions!$H$21,J72*Assumptions!$H$22)))</f>
        <v>30000</v>
      </c>
      <c r="L16" s="53" t="n">
        <f aca="false">IF(L8=0,Assumptions!$H$20,MIN(Assumptions!$H$24,MAX(Assumptions!$H$21,K72*Assumptions!$H$22)))</f>
        <v>30052.4682988739</v>
      </c>
      <c r="M16" s="53" t="n">
        <f aca="false">IF(M8=0,Assumptions!$H$20,MIN(Assumptions!$H$24,MAX(Assumptions!$H$21,L72*Assumptions!$H$22)))</f>
        <v>31980.5055419907</v>
      </c>
      <c r="N16" s="53" t="n">
        <f aca="false">IF(N8=0,Assumptions!$H$20,MIN(Assumptions!$H$24,MAX(Assumptions!$H$21,M72*Assumptions!$H$22)))</f>
        <v>33991.5299236344</v>
      </c>
      <c r="O16" s="53" t="n">
        <f aca="false">IF(O8=0,Assumptions!$H$20,MIN(Assumptions!$H$24,MAX(Assumptions!$H$21,N72*Assumptions!$H$22)))</f>
        <v>36014.3913392812</v>
      </c>
      <c r="P16" s="53" t="n">
        <f aca="false">IF(P8=0,Assumptions!$H$20,MIN(Assumptions!$H$24,MAX(Assumptions!$H$21,O72*Assumptions!$H$22)))</f>
        <v>38053.5255933104</v>
      </c>
      <c r="Q16" s="53" t="n">
        <f aca="false">IF(Q8=0,Assumptions!$H$20,MIN(Assumptions!$H$24,MAX(Assumptions!$H$21,P72*Assumptions!$H$22)))</f>
        <v>40126.2172951047</v>
      </c>
      <c r="R16" s="53" t="n">
        <f aca="false">IF(R8=0,Assumptions!$H$20,MIN(Assumptions!$H$24,MAX(Assumptions!$H$21,Q72*Assumptions!$H$22)))</f>
        <v>42249.6361830115</v>
      </c>
      <c r="S16" s="53" t="n">
        <f aca="false">IF(S8=0,Assumptions!$H$20,MIN(Assumptions!$H$24,MAX(Assumptions!$H$21,R72*Assumptions!$H$22)))</f>
        <v>44440.2812566567</v>
      </c>
      <c r="T16" s="53" t="n">
        <f aca="false">IF(T8=0,Assumptions!$H$20,MIN(Assumptions!$H$24,MAX(Assumptions!$H$21,S72*Assumptions!$H$22)))</f>
        <v>46714.2241190579</v>
      </c>
      <c r="U16" s="53" t="n">
        <f aca="false">IF(U8=0,Assumptions!$H$20,MIN(Assumptions!$H$24,MAX(Assumptions!$H$21,T72*Assumptions!$H$22)))</f>
        <v>49087.4205371613</v>
      </c>
      <c r="V16" s="53" t="n">
        <f aca="false">IF(V8=0,Assumptions!$H$20,MIN(Assumptions!$H$24,MAX(Assumptions!$H$21,U72*Assumptions!$H$22)))</f>
        <v>51575.9991241854</v>
      </c>
      <c r="W16" s="53" t="n">
        <f aca="false">IF(W8=0,Assumptions!$H$20,MIN(Assumptions!$H$24,MAX(Assumptions!$H$21,V72*Assumptions!$H$22)))</f>
        <v>54196.5261134322</v>
      </c>
      <c r="X16" s="53" t="n">
        <f aca="false">IF(X8=0,Assumptions!$H$20,MIN(Assumptions!$H$24,MAX(Assumptions!$H$21,W72*Assumptions!$H$22)))</f>
        <v>56966.251870964</v>
      </c>
      <c r="Y16" s="53" t="n">
        <f aca="false">IF(Y8=0,Assumptions!$H$20,MIN(Assumptions!$H$24,MAX(Assumptions!$H$21,X72*Assumptions!$H$22)))</f>
        <v>59903.3447356923</v>
      </c>
      <c r="Z16" s="53" t="n">
        <f aca="false">IF(Z8=0,Assumptions!$H$20,MIN(Assumptions!$H$24,MAX(Assumptions!$H$21,Y72*Assumptions!$H$22)))</f>
        <v>63027.1171346061</v>
      </c>
      <c r="AA16" s="53" t="n">
        <f aca="false">IF(AA8=0,Assumptions!$H$20,MIN(Assumptions!$H$24,MAX(Assumptions!$H$21,Z72*Assumptions!$H$22)))</f>
        <v>66358.2483585598</v>
      </c>
      <c r="AB16" s="53" t="n">
        <f aca="false">IF(AB8=0,Assumptions!$H$20,MIN(Assumptions!$H$24,MAX(Assumptions!$H$21,AA72*Assumptions!$H$22)))</f>
        <v>69919.0079321546</v>
      </c>
      <c r="AC16" s="53" t="n">
        <f aca="false">IF(AC8=0,Assumptions!$H$20,MIN(Assumptions!$H$24,MAX(Assumptions!$H$21,AB72*Assumptions!$H$22)))</f>
        <v>73627.3424739896</v>
      </c>
      <c r="AD16" s="53" t="n">
        <f aca="false">IF(AD8=0,Assumptions!$H$20,MIN(Assumptions!$H$24,MAX(Assumptions!$H$21,AC72*Assumptions!$H$22)))</f>
        <v>77464.6437876609</v>
      </c>
      <c r="AE16" s="53" t="n">
        <f aca="false">IF(AE8=0,Assumptions!$H$20,MIN(Assumptions!$H$24,MAX(Assumptions!$H$21,AD72*Assumptions!$H$22)))</f>
        <v>81477.1073250131</v>
      </c>
      <c r="AF16" s="53" t="n">
        <f aca="false">IF(AF8=0,Assumptions!$H$20,MIN(Assumptions!$H$24,MAX(Assumptions!$H$21,AE72*Assumptions!$H$22)))</f>
        <v>85688.8643285074</v>
      </c>
      <c r="AG16" s="53" t="n">
        <f aca="false">IF(AG8=0,Assumptions!$H$20,MIN(Assumptions!$H$24,MAX(Assumptions!$H$21,AF72*Assumptions!$H$22)))</f>
        <v>90124.90149047</v>
      </c>
      <c r="AH16" s="53" t="n">
        <f aca="false">IF(AH8=0,Assumptions!$H$20,MIN(Assumptions!$H$24,MAX(Assumptions!$H$21,AG72*Assumptions!$H$22)))</f>
        <v>94811.699628846</v>
      </c>
      <c r="AI16" s="53" t="n">
        <f aca="false">IF(AI8=0,Assumptions!$H$20,MIN(Assumptions!$H$24,MAX(Assumptions!$H$21,AH72*Assumptions!$H$22)))</f>
        <v>99777.5568035194</v>
      </c>
      <c r="AJ16" s="53" t="n">
        <f aca="false">IF(AJ8=0,Assumptions!$H$20,MIN(Assumptions!$H$24,MAX(Assumptions!$H$21,AI72*Assumptions!$H$22)))</f>
        <v>105052.798937616</v>
      </c>
      <c r="AK16" s="53" t="n">
        <f aca="false">IF(AK8=0,Assumptions!$H$20,MIN(Assumptions!$H$24,MAX(Assumptions!$H$21,AJ72*Assumptions!$H$22)))</f>
        <v>110669.992772615</v>
      </c>
      <c r="AL16" s="53" t="n">
        <f aca="false">IF(AL8=0,Assumptions!$H$20,MIN(Assumptions!$H$24,MAX(Assumptions!$H$21,AK72*Assumptions!$H$22)))</f>
        <v>116664.17125909</v>
      </c>
      <c r="AM16" s="53" t="n">
        <f aca="false">SUM(C16:AL16)</f>
        <v>1998015.774165</v>
      </c>
    </row>
    <row r="17" customFormat="false" ht="15" hidden="false" customHeight="false" outlineLevel="0" collapsed="false">
      <c r="A17" s="10" t="s">
        <v>752</v>
      </c>
      <c r="B17" s="9" t="s">
        <v>84</v>
      </c>
      <c r="C17" s="61" t="n">
        <f aca="false">(C14*Assumptions!$H$27+C15*Assumptions!$H$28)*Assumptions!$H$29*C8</f>
        <v>0</v>
      </c>
      <c r="D17" s="61" t="n">
        <f aca="false">(D14*Assumptions!$H$27+D15*Assumptions!$H$28)*Assumptions!$H$29*D8</f>
        <v>8059.051</v>
      </c>
      <c r="E17" s="61" t="n">
        <f aca="false">(E14*Assumptions!$H$27+E15*Assumptions!$H$28)*Assumptions!$H$29*E8</f>
        <v>3944.40904</v>
      </c>
      <c r="F17" s="61" t="n">
        <f aca="false">(F14*Assumptions!$H$27+F15*Assumptions!$H$28)*Assumptions!$H$29*F8</f>
        <v>3477.0540376</v>
      </c>
      <c r="G17" s="61" t="n">
        <f aca="false">(G14*Assumptions!$H$27+G15*Assumptions!$H$28)*Assumptions!$H$29*G8</f>
        <v>3106.717512184</v>
      </c>
      <c r="H17" s="61" t="n">
        <f aca="false">(H14*Assumptions!$H$27+H15*Assumptions!$H$28)*Assumptions!$H$29*H8</f>
        <v>2814.31504124056</v>
      </c>
      <c r="I17" s="61" t="n">
        <f aca="false">(I14*Assumptions!$H$27+I15*Assumptions!$H$28)*Assumptions!$H$29*I8</f>
        <v>2584.60782132021</v>
      </c>
      <c r="J17" s="61" t="n">
        <f aca="false">(J14*Assumptions!$H$27+J15*Assumptions!$H$28)*Assumptions!$H$29*J8</f>
        <v>2405.43613033343</v>
      </c>
      <c r="K17" s="61" t="n">
        <f aca="false">(K14*Assumptions!$H$27+K15*Assumptions!$H$28)*Assumptions!$H$29*K8</f>
        <v>2267.10633013896</v>
      </c>
      <c r="L17" s="61" t="n">
        <f aca="false">(L14*Assumptions!$H$27+L15*Assumptions!$H$28)*Assumptions!$H$29*L8</f>
        <v>2161.90072231188</v>
      </c>
      <c r="M17" s="61" t="n">
        <f aca="false">(M14*Assumptions!$H$27+M15*Assumptions!$H$28)*Assumptions!$H$29*M8</f>
        <v>2083.68570928828</v>
      </c>
      <c r="N17" s="61" t="n">
        <f aca="false">(N14*Assumptions!$H$27+N15*Assumptions!$H$28)*Assumptions!$H$29*N8</f>
        <v>2027.59862469889</v>
      </c>
      <c r="O17" s="61" t="n">
        <f aca="false">(O14*Assumptions!$H$27+O15*Assumptions!$H$28)*Assumptions!$H$29*O8</f>
        <v>1989.79752618153</v>
      </c>
      <c r="P17" s="61" t="n">
        <f aca="false">(P14*Assumptions!$H$27+P15*Assumptions!$H$28)*Assumptions!$H$29*P8</f>
        <v>1967.26138774565</v>
      </c>
      <c r="Q17" s="61" t="n">
        <f aca="false">(Q14*Assumptions!$H$27+Q15*Assumptions!$H$28)*Assumptions!$H$29*Q8</f>
        <v>1957.63064400899</v>
      </c>
      <c r="R17" s="61" t="n">
        <f aca="false">(R14*Assumptions!$H$27+R15*Assumptions!$H$28)*Assumptions!$H$29*R8</f>
        <v>1959.08005106278</v>
      </c>
      <c r="S17" s="61" t="n">
        <f aca="false">(S14*Assumptions!$H$27+S15*Assumptions!$H$28)*Assumptions!$H$29*S8</f>
        <v>1970.21743893282</v>
      </c>
      <c r="T17" s="61" t="n">
        <f aca="false">(T14*Assumptions!$H$27+T15*Assumptions!$H$28)*Assumptions!$H$29*T8</f>
        <v>1990.00321905628</v>
      </c>
      <c r="U17" s="61" t="n">
        <f aca="false">(U14*Assumptions!$H$27+U15*Assumptions!$H$28)*Assumptions!$H$29*U8</f>
        <v>2017.68654126695</v>
      </c>
      <c r="V17" s="61" t="n">
        <f aca="false">(V14*Assumptions!$H$27+V15*Assumptions!$H$28)*Assumptions!$H$29*V8</f>
        <v>2052.75481997747</v>
      </c>
      <c r="W17" s="61" t="n">
        <f aca="false">(W14*Assumptions!$H$27+W15*Assumptions!$H$28)*Assumptions!$H$29*W8</f>
        <v>2094.89400977263</v>
      </c>
      <c r="X17" s="61" t="n">
        <f aca="false">(X14*Assumptions!$H$27+X15*Assumptions!$H$28)*Assumptions!$H$29*X8</f>
        <v>2143.95753944991</v>
      </c>
      <c r="Y17" s="61" t="n">
        <f aca="false">(Y14*Assumptions!$H$27+Y15*Assumptions!$H$28)*Assumptions!$H$29*Y8</f>
        <v>2199.94223703861</v>
      </c>
      <c r="Z17" s="61" t="n">
        <f aca="false">(Z14*Assumptions!$H$27+Z15*Assumptions!$H$28)*Assumptions!$H$29*Z8</f>
        <v>2262.96991760264</v>
      </c>
      <c r="AA17" s="61" t="n">
        <f aca="false">(AA14*Assumptions!$H$27+AA15*Assumptions!$H$28)*Assumptions!$H$29*AA8</f>
        <v>2333.27357757133</v>
      </c>
      <c r="AB17" s="61" t="n">
        <f aca="false">(AB14*Assumptions!$H$27+AB15*Assumptions!$H$28)*Assumptions!$H$29*AB8</f>
        <v>2411.18735746031</v>
      </c>
      <c r="AC17" s="61" t="n">
        <f aca="false">(AC14*Assumptions!$H$27+AC15*Assumptions!$H$28)*Assumptions!$H$29*AC8</f>
        <v>2497.13960995778</v>
      </c>
      <c r="AD17" s="61" t="n">
        <f aca="false">(AD14*Assumptions!$H$27+AD15*Assumptions!$H$28)*Assumptions!$H$29*AD8</f>
        <v>2591.64855111482</v>
      </c>
      <c r="AE17" s="61" t="n">
        <f aca="false">(AE14*Assumptions!$H$27+AE15*Assumptions!$H$28)*Assumptions!$H$29*AE8</f>
        <v>2695.32008572383</v>
      </c>
      <c r="AF17" s="61" t="n">
        <f aca="false">(AF14*Assumptions!$H$27+AF15*Assumptions!$H$28)*Assumptions!$H$29*AF8</f>
        <v>2808.84748944591</v>
      </c>
      <c r="AG17" s="61" t="n">
        <f aca="false">(AG14*Assumptions!$H$27+AG15*Assumptions!$H$28)*Assumptions!$H$29*AG8</f>
        <v>2933.01270430159</v>
      </c>
      <c r="AH17" s="61" t="n">
        <f aca="false">(AH14*Assumptions!$H$27+AH15*Assumptions!$H$28)*Assumptions!$H$29*AH8</f>
        <v>3068.68906433317</v>
      </c>
      <c r="AI17" s="61" t="n">
        <f aca="false">(AI14*Assumptions!$H$27+AI15*Assumptions!$H$28)*Assumptions!$H$29*AI8</f>
        <v>3216.84531743871</v>
      </c>
      <c r="AJ17" s="61" t="n">
        <f aca="false">(AJ14*Assumptions!$H$27+AJ15*Assumptions!$H$28)*Assumptions!$H$29*AJ8</f>
        <v>3378.55084986063</v>
      </c>
      <c r="AK17" s="61" t="n">
        <f aca="false">(AK14*Assumptions!$H$27+AK15*Assumptions!$H$28)*Assumptions!$H$29*AK8</f>
        <v>3554.98205343004</v>
      </c>
      <c r="AL17" s="61" t="n">
        <f aca="false">(AL14*Assumptions!$H$27+AL15*Assumptions!$H$28)*Assumptions!$H$29*AL8</f>
        <v>3747.42980390431</v>
      </c>
      <c r="AM17" s="61" t="n">
        <f aca="false">SUM(C17:AL17)</f>
        <v>94775.0037657549</v>
      </c>
    </row>
    <row r="18" customFormat="false" ht="15" hidden="false" customHeight="false" outlineLevel="0" collapsed="false">
      <c r="A18" s="10" t="s">
        <v>753</v>
      </c>
      <c r="B18" s="9" t="s">
        <v>97</v>
      </c>
      <c r="C18" s="70" t="n">
        <f aca="false">MIN(C16,C17*Assumptions!$H$30)</f>
        <v>0</v>
      </c>
      <c r="D18" s="70" t="n">
        <f aca="false">MIN(D16,D17*Assumptions!$H$30)</f>
        <v>8864.9561</v>
      </c>
      <c r="E18" s="70" t="n">
        <f aca="false">MIN(E16,E17*Assumptions!$H$30)</f>
        <v>4338.849944</v>
      </c>
      <c r="F18" s="70" t="n">
        <f aca="false">MIN(F16,F17*Assumptions!$H$30)</f>
        <v>3824.75944136</v>
      </c>
      <c r="G18" s="70" t="n">
        <f aca="false">MIN(G16,G17*Assumptions!$H$30)</f>
        <v>3417.3892634024</v>
      </c>
      <c r="H18" s="70" t="n">
        <f aca="false">MIN(H16,H17*Assumptions!$H$30)</f>
        <v>3095.74654536462</v>
      </c>
      <c r="I18" s="70" t="n">
        <f aca="false">MIN(I16,I17*Assumptions!$H$30)</f>
        <v>2843.06860345223</v>
      </c>
      <c r="J18" s="70" t="n">
        <f aca="false">MIN(J16,J17*Assumptions!$H$30)</f>
        <v>2645.97974336677</v>
      </c>
      <c r="K18" s="70" t="n">
        <f aca="false">MIN(K16,K17*Assumptions!$H$30)</f>
        <v>2493.81696315285</v>
      </c>
      <c r="L18" s="70" t="n">
        <f aca="false">MIN(L16,L17*Assumptions!$H$30)</f>
        <v>2378.09079454307</v>
      </c>
      <c r="M18" s="70" t="n">
        <f aca="false">MIN(M16,M17*Assumptions!$H$30)</f>
        <v>2292.05428021711</v>
      </c>
      <c r="N18" s="70" t="n">
        <f aca="false">MIN(N16,N17*Assumptions!$H$30)</f>
        <v>2230.35848716878</v>
      </c>
      <c r="O18" s="70" t="n">
        <f aca="false">MIN(O16,O17*Assumptions!$H$30)</f>
        <v>2188.77727879968</v>
      </c>
      <c r="P18" s="70" t="n">
        <f aca="false">MIN(P16,P17*Assumptions!$H$30)</f>
        <v>2163.98752652022</v>
      </c>
      <c r="Q18" s="70" t="n">
        <f aca="false">MIN(Q16,Q17*Assumptions!$H$30)</f>
        <v>2153.39370840989</v>
      </c>
      <c r="R18" s="70" t="n">
        <f aca="false">MIN(R16,R17*Assumptions!$H$30)</f>
        <v>2154.98805616906</v>
      </c>
      <c r="S18" s="70" t="n">
        <f aca="false">MIN(S16,S17*Assumptions!$H$30)</f>
        <v>2167.2391828261</v>
      </c>
      <c r="T18" s="70" t="n">
        <f aca="false">MIN(T16,T17*Assumptions!$H$30)</f>
        <v>2189.00354096191</v>
      </c>
      <c r="U18" s="70" t="n">
        <f aca="false">MIN(U16,U17*Assumptions!$H$30)</f>
        <v>2219.45519539365</v>
      </c>
      <c r="V18" s="70" t="n">
        <f aca="false">MIN(V16,V17*Assumptions!$H$30)</f>
        <v>2258.03030197521</v>
      </c>
      <c r="W18" s="70" t="n">
        <f aca="false">MIN(W16,W17*Assumptions!$H$30)</f>
        <v>2304.38341074989</v>
      </c>
      <c r="X18" s="70" t="n">
        <f aca="false">MIN(X16,X17*Assumptions!$H$30)</f>
        <v>2358.35329339491</v>
      </c>
      <c r="Y18" s="70" t="n">
        <f aca="false">MIN(Y16,Y17*Assumptions!$H$30)</f>
        <v>2419.93646074247</v>
      </c>
      <c r="Z18" s="70" t="n">
        <f aca="false">MIN(Z16,Z17*Assumptions!$H$30)</f>
        <v>2489.26690936291</v>
      </c>
      <c r="AA18" s="70" t="n">
        <f aca="false">MIN(AA16,AA17*Assumptions!$H$30)</f>
        <v>2566.60093532846</v>
      </c>
      <c r="AB18" s="70" t="n">
        <f aca="false">MIN(AB16,AB17*Assumptions!$H$30)</f>
        <v>2652.30609320634</v>
      </c>
      <c r="AC18" s="70" t="n">
        <f aca="false">MIN(AC16,AC17*Assumptions!$H$30)</f>
        <v>2746.85357095356</v>
      </c>
      <c r="AD18" s="70" t="n">
        <f aca="false">MIN(AD16,AD17*Assumptions!$H$30)</f>
        <v>2850.8134062263</v>
      </c>
      <c r="AE18" s="70" t="n">
        <f aca="false">MIN(AE16,AE17*Assumptions!$H$30)</f>
        <v>2964.85209429621</v>
      </c>
      <c r="AF18" s="70" t="n">
        <f aca="false">MIN(AF16,AF17*Assumptions!$H$30)</f>
        <v>3089.7322383905</v>
      </c>
      <c r="AG18" s="70" t="n">
        <f aca="false">MIN(AG16,AG17*Assumptions!$H$30)</f>
        <v>3226.31397473175</v>
      </c>
      <c r="AH18" s="70" t="n">
        <f aca="false">MIN(AH16,AH17*Assumptions!$H$30)</f>
        <v>3375.55797076649</v>
      </c>
      <c r="AI18" s="70" t="n">
        <f aca="false">MIN(AI16,AI17*Assumptions!$H$30)</f>
        <v>3538.52984918258</v>
      </c>
      <c r="AJ18" s="70" t="n">
        <f aca="false">MIN(AJ16,AJ17*Assumptions!$H$30)</f>
        <v>3716.40593484669</v>
      </c>
      <c r="AK18" s="70" t="n">
        <f aca="false">MIN(AK16,AK17*Assumptions!$H$30)</f>
        <v>3910.48025877304</v>
      </c>
      <c r="AL18" s="70" t="n">
        <f aca="false">MIN(AL16,AL17*Assumptions!$H$30)</f>
        <v>4122.17278429474</v>
      </c>
      <c r="AM18" s="70" t="n">
        <f aca="false">SUM(C18:AL18)</f>
        <v>104252.50414233</v>
      </c>
    </row>
    <row r="19" customFormat="false" ht="15" hidden="false" customHeight="false" outlineLevel="0" collapsed="false">
      <c r="A19" s="10" t="s">
        <v>754</v>
      </c>
      <c r="B19" s="9" t="s">
        <v>84</v>
      </c>
      <c r="C19" s="61" t="n">
        <f aca="false">C18/Assumptions!$H$30</f>
        <v>0</v>
      </c>
      <c r="D19" s="61" t="n">
        <f aca="false">D18/Assumptions!$H$30</f>
        <v>8059.051</v>
      </c>
      <c r="E19" s="61" t="n">
        <f aca="false">E18/Assumptions!$H$30</f>
        <v>3944.40904</v>
      </c>
      <c r="F19" s="61" t="n">
        <f aca="false">F18/Assumptions!$H$30</f>
        <v>3477.0540376</v>
      </c>
      <c r="G19" s="61" t="n">
        <f aca="false">G18/Assumptions!$H$30</f>
        <v>3106.717512184</v>
      </c>
      <c r="H19" s="61" t="n">
        <f aca="false">H18/Assumptions!$H$30</f>
        <v>2814.31504124056</v>
      </c>
      <c r="I19" s="61" t="n">
        <f aca="false">I18/Assumptions!$H$30</f>
        <v>2584.60782132021</v>
      </c>
      <c r="J19" s="61" t="n">
        <f aca="false">J18/Assumptions!$H$30</f>
        <v>2405.43613033343</v>
      </c>
      <c r="K19" s="61" t="n">
        <f aca="false">K18/Assumptions!$H$30</f>
        <v>2267.10633013896</v>
      </c>
      <c r="L19" s="61" t="n">
        <f aca="false">L18/Assumptions!$H$30</f>
        <v>2161.90072231188</v>
      </c>
      <c r="M19" s="61" t="n">
        <f aca="false">M18/Assumptions!$H$30</f>
        <v>2083.68570928828</v>
      </c>
      <c r="N19" s="61" t="n">
        <f aca="false">N18/Assumptions!$H$30</f>
        <v>2027.59862469889</v>
      </c>
      <c r="O19" s="61" t="n">
        <f aca="false">O18/Assumptions!$H$30</f>
        <v>1989.79752618153</v>
      </c>
      <c r="P19" s="61" t="n">
        <f aca="false">P18/Assumptions!$H$30</f>
        <v>1967.26138774565</v>
      </c>
      <c r="Q19" s="61" t="n">
        <f aca="false">Q18/Assumptions!$H$30</f>
        <v>1957.63064400899</v>
      </c>
      <c r="R19" s="61" t="n">
        <f aca="false">R18/Assumptions!$H$30</f>
        <v>1959.08005106278</v>
      </c>
      <c r="S19" s="61" t="n">
        <f aca="false">S18/Assumptions!$H$30</f>
        <v>1970.21743893282</v>
      </c>
      <c r="T19" s="61" t="n">
        <f aca="false">T18/Assumptions!$H$30</f>
        <v>1990.00321905628</v>
      </c>
      <c r="U19" s="61" t="n">
        <f aca="false">U18/Assumptions!$H$30</f>
        <v>2017.68654126695</v>
      </c>
      <c r="V19" s="61" t="n">
        <f aca="false">V18/Assumptions!$H$30</f>
        <v>2052.75481997747</v>
      </c>
      <c r="W19" s="61" t="n">
        <f aca="false">W18/Assumptions!$H$30</f>
        <v>2094.89400977263</v>
      </c>
      <c r="X19" s="61" t="n">
        <f aca="false">X18/Assumptions!$H$30</f>
        <v>2143.95753944991</v>
      </c>
      <c r="Y19" s="61" t="n">
        <f aca="false">Y18/Assumptions!$H$30</f>
        <v>2199.94223703861</v>
      </c>
      <c r="Z19" s="61" t="n">
        <f aca="false">Z18/Assumptions!$H$30</f>
        <v>2262.96991760264</v>
      </c>
      <c r="AA19" s="61" t="n">
        <f aca="false">AA18/Assumptions!$H$30</f>
        <v>2333.27357757133</v>
      </c>
      <c r="AB19" s="61" t="n">
        <f aca="false">AB18/Assumptions!$H$30</f>
        <v>2411.18735746031</v>
      </c>
      <c r="AC19" s="61" t="n">
        <f aca="false">AC18/Assumptions!$H$30</f>
        <v>2497.13960995778</v>
      </c>
      <c r="AD19" s="61" t="n">
        <f aca="false">AD18/Assumptions!$H$30</f>
        <v>2591.64855111482</v>
      </c>
      <c r="AE19" s="61" t="n">
        <f aca="false">AE18/Assumptions!$H$30</f>
        <v>2695.32008572383</v>
      </c>
      <c r="AF19" s="61" t="n">
        <f aca="false">AF18/Assumptions!$H$30</f>
        <v>2808.84748944591</v>
      </c>
      <c r="AG19" s="61" t="n">
        <f aca="false">AG18/Assumptions!$H$30</f>
        <v>2933.01270430159</v>
      </c>
      <c r="AH19" s="61" t="n">
        <f aca="false">AH18/Assumptions!$H$30</f>
        <v>3068.68906433317</v>
      </c>
      <c r="AI19" s="61" t="n">
        <f aca="false">AI18/Assumptions!$H$30</f>
        <v>3216.84531743871</v>
      </c>
      <c r="AJ19" s="61" t="n">
        <f aca="false">AJ18/Assumptions!$H$30</f>
        <v>3378.55084986063</v>
      </c>
      <c r="AK19" s="61" t="n">
        <f aca="false">AK18/Assumptions!$H$30</f>
        <v>3554.98205343004</v>
      </c>
      <c r="AL19" s="61" t="n">
        <f aca="false">AL18/Assumptions!$H$30</f>
        <v>3747.42980390431</v>
      </c>
      <c r="AM19" s="61" t="n">
        <f aca="false">SUM(C19:AL19)</f>
        <v>94775.0037657549</v>
      </c>
    </row>
    <row r="20" customFormat="false" ht="15" hidden="false" customHeight="false" outlineLevel="0" collapsed="false">
      <c r="A20" s="10" t="s">
        <v>755</v>
      </c>
      <c r="B20" s="9" t="s">
        <v>51</v>
      </c>
      <c r="C20" s="61" t="n">
        <f aca="false">C8*(Assumptions!$H$35*C14)</f>
        <v>0</v>
      </c>
      <c r="D20" s="61" t="n">
        <f aca="false">D8*(Assumptions!$H$35*D14+Assumptions!$H$34*C29)</f>
        <v>85888.2204935835</v>
      </c>
      <c r="E20" s="61" t="n">
        <f aca="false">E8*(Assumptions!$H$35*E14+Assumptions!$H$34*D29)</f>
        <v>75208.5088396552</v>
      </c>
      <c r="F20" s="61" t="n">
        <f aca="false">F8*(Assumptions!$H$35*F14+Assumptions!$H$34*E29)</f>
        <v>58225.0536484138</v>
      </c>
      <c r="G20" s="61" t="n">
        <f aca="false">G8*(Assumptions!$H$35*G14+Assumptions!$H$34*F29)</f>
        <v>53436.4196495501</v>
      </c>
      <c r="H20" s="61" t="n">
        <f aca="false">H8*(Assumptions!$H$35*H14+Assumptions!$H$34*G29)</f>
        <v>49187.1566683678</v>
      </c>
      <c r="I20" s="61" t="n">
        <f aca="false">I8*(Assumptions!$H$35*I14+Assumptions!$H$34*H29)</f>
        <v>45777.8241926518</v>
      </c>
      <c r="J20" s="61" t="n">
        <f aca="false">J8*(Assumptions!$H$35*J14+Assumptions!$H$34*I29)</f>
        <v>43073.9101312259</v>
      </c>
      <c r="K20" s="61" t="n">
        <f aca="false">K8*(Assumptions!$H$35*K14+Assumptions!$H$34*J29)</f>
        <v>40950.0497744302</v>
      </c>
      <c r="L20" s="61" t="n">
        <f aca="false">L8*(Assumptions!$H$35*L14+Assumptions!$H$34*K29)</f>
        <v>39300.5617517611</v>
      </c>
      <c r="M20" s="61" t="n">
        <f aca="false">M8*(Assumptions!$H$35*M14+Assumptions!$H$34*L29)</f>
        <v>38052.696794238</v>
      </c>
      <c r="N20" s="61" t="n">
        <f aca="false">N8*(Assumptions!$H$35*N14+Assumptions!$H$34*M29)</f>
        <v>37609.1508272794</v>
      </c>
      <c r="O20" s="61" t="n">
        <f aca="false">O8*(Assumptions!$H$35*O14+Assumptions!$H$34*N29)</f>
        <v>37448.496823516</v>
      </c>
      <c r="P20" s="61" t="n">
        <f aca="false">P8*(Assumptions!$H$35*P14+Assumptions!$H$34*O29)</f>
        <v>37493.1519123907</v>
      </c>
      <c r="Q20" s="61" t="n">
        <f aca="false">Q8*(Assumptions!$H$35*Q14+Assumptions!$H$34*P29)</f>
        <v>37710.240181966</v>
      </c>
      <c r="R20" s="61" t="n">
        <f aca="false">R8*(Assumptions!$H$35*R14+Assumptions!$H$34*Q29)</f>
        <v>38077.9360328326</v>
      </c>
      <c r="S20" s="61" t="n">
        <f aca="false">S8*(Assumptions!$H$35*S14+Assumptions!$H$34*R29)</f>
        <v>38579.8818433842</v>
      </c>
      <c r="T20" s="61" t="n">
        <f aca="false">T8*(Assumptions!$H$35*T14+Assumptions!$H$34*S29)</f>
        <v>39204.0065117768</v>
      </c>
      <c r="U20" s="61" t="n">
        <f aca="false">U8*(Assumptions!$H$35*U14+Assumptions!$H$34*T29)</f>
        <v>39941.8332213563</v>
      </c>
      <c r="V20" s="61" t="n">
        <f aca="false">V8*(Assumptions!$H$35*V14+Assumptions!$H$34*U29)</f>
        <v>40787.9285262485</v>
      </c>
      <c r="W20" s="61" t="n">
        <f aca="false">W8*(Assumptions!$H$35*W14+Assumptions!$H$34*V29)</f>
        <v>41739.4513349574</v>
      </c>
      <c r="X20" s="61" t="n">
        <f aca="false">X8*(Assumptions!$H$35*X14+Assumptions!$H$34*W29)</f>
        <v>42795.7894796409</v>
      </c>
      <c r="Y20" s="61" t="n">
        <f aca="false">Y8*(Assumptions!$H$35*Y14+Assumptions!$H$34*X29)</f>
        <v>43958.2724751321</v>
      </c>
      <c r="Z20" s="61" t="n">
        <f aca="false">Z8*(Assumptions!$H$35*Z14+Assumptions!$H$34*Y29)</f>
        <v>45229.9493080955</v>
      </c>
      <c r="AA20" s="61" t="n">
        <f aca="false">AA8*(Assumptions!$H$35*AA14+Assumptions!$H$34*Z29)</f>
        <v>46615.4211095005</v>
      </c>
      <c r="AB20" s="61" t="n">
        <f aca="false">AB8*(Assumptions!$H$35*AB14+Assumptions!$H$34*AA29)</f>
        <v>48120.7199343902</v>
      </c>
      <c r="AC20" s="61" t="n">
        <f aca="false">AC8*(Assumptions!$H$35*AC14+Assumptions!$H$34*AB29)</f>
        <v>49753.2262921117</v>
      </c>
      <c r="AD20" s="61" t="n">
        <f aca="false">AD8*(Assumptions!$H$35*AD14+Assumptions!$H$34*AC29)</f>
        <v>51501.7915365788</v>
      </c>
      <c r="AE20" s="61" t="n">
        <f aca="false">AE8*(Assumptions!$H$35*AE14+Assumptions!$H$34*AD29)</f>
        <v>53367.6439144955</v>
      </c>
      <c r="AF20" s="61" t="n">
        <f aca="false">AF8*(Assumptions!$H$35*AF14+Assumptions!$H$34*AE29)</f>
        <v>55365.7973833967</v>
      </c>
      <c r="AG20" s="61" t="n">
        <f aca="false">AG8*(Assumptions!$H$35*AG14+Assumptions!$H$34*AF29)</f>
        <v>57508.8223145239</v>
      </c>
      <c r="AH20" s="61" t="n">
        <f aca="false">AH8*(Assumptions!$H$35*AH14+Assumptions!$H$34*AG29)</f>
        <v>59810.0808991442</v>
      </c>
      <c r="AI20" s="61" t="n">
        <f aca="false">AI8*(Assumptions!$H$35*AI14+Assumptions!$H$34*AH29)</f>
        <v>62284.0967313515</v>
      </c>
      <c r="AJ20" s="61" t="n">
        <f aca="false">AJ8*(Assumptions!$H$35*AJ14+Assumptions!$H$34*AI29)</f>
        <v>64946.675988188</v>
      </c>
      <c r="AK20" s="61" t="n">
        <f aca="false">AK8*(Assumptions!$H$35*AK14+Assumptions!$H$34*AJ29)</f>
        <v>67815.0005966027</v>
      </c>
      <c r="AL20" s="61" t="n">
        <f aca="false">AL8*(Assumptions!$H$35*AL14+Assumptions!$H$34*AK29)</f>
        <v>70907.7295792812</v>
      </c>
      <c r="AM20" s="61" t="n">
        <f aca="false">AL20</f>
        <v>70907.7295792812</v>
      </c>
    </row>
    <row r="21" customFormat="false" ht="15" hidden="false" customHeight="false" outlineLevel="0" collapsed="false">
      <c r="A21" s="10" t="s">
        <v>756</v>
      </c>
      <c r="B21" s="9" t="s">
        <v>84</v>
      </c>
      <c r="C21" s="61" t="n">
        <f aca="false">C20*Assumptions!$H$36</f>
        <v>0</v>
      </c>
      <c r="D21" s="61" t="n">
        <f aca="false">D20*Assumptions!$H$36</f>
        <v>21472.0551233959</v>
      </c>
      <c r="E21" s="61" t="n">
        <f aca="false">E20*Assumptions!$H$36</f>
        <v>18802.1272099138</v>
      </c>
      <c r="F21" s="61" t="n">
        <f aca="false">F20*Assumptions!$H$36</f>
        <v>14556.2634121035</v>
      </c>
      <c r="G21" s="61" t="n">
        <f aca="false">G20*Assumptions!$H$36</f>
        <v>13359.1049123875</v>
      </c>
      <c r="H21" s="61" t="n">
        <f aca="false">H20*Assumptions!$H$36</f>
        <v>12296.789167092</v>
      </c>
      <c r="I21" s="61" t="n">
        <f aca="false">I20*Assumptions!$H$36</f>
        <v>11444.4560481629</v>
      </c>
      <c r="J21" s="61" t="n">
        <f aca="false">J20*Assumptions!$H$36</f>
        <v>10768.4775328065</v>
      </c>
      <c r="K21" s="61" t="n">
        <f aca="false">K20*Assumptions!$H$36</f>
        <v>10237.5124436076</v>
      </c>
      <c r="L21" s="61" t="n">
        <f aca="false">L20*Assumptions!$H$36</f>
        <v>9825.14043794028</v>
      </c>
      <c r="M21" s="61" t="n">
        <f aca="false">M20*Assumptions!$H$36</f>
        <v>9513.17419855949</v>
      </c>
      <c r="N21" s="61" t="n">
        <f aca="false">N20*Assumptions!$H$36</f>
        <v>9402.28770681986</v>
      </c>
      <c r="O21" s="61" t="n">
        <f aca="false">O20*Assumptions!$H$36</f>
        <v>9362.12420587899</v>
      </c>
      <c r="P21" s="61" t="n">
        <f aca="false">P20*Assumptions!$H$36</f>
        <v>9373.28797809768</v>
      </c>
      <c r="Q21" s="61" t="n">
        <f aca="false">Q20*Assumptions!$H$36</f>
        <v>9427.56004549149</v>
      </c>
      <c r="R21" s="61" t="n">
        <f aca="false">R20*Assumptions!$H$36</f>
        <v>9519.48400820816</v>
      </c>
      <c r="S21" s="61" t="n">
        <f aca="false">S20*Assumptions!$H$36</f>
        <v>9644.97046084605</v>
      </c>
      <c r="T21" s="61" t="n">
        <f aca="false">T20*Assumptions!$H$36</f>
        <v>9801.0016279442</v>
      </c>
      <c r="U21" s="61" t="n">
        <f aca="false">U20*Assumptions!$H$36</f>
        <v>9985.45830533908</v>
      </c>
      <c r="V21" s="61" t="n">
        <f aca="false">V20*Assumptions!$H$36</f>
        <v>10196.9821315621</v>
      </c>
      <c r="W21" s="61" t="n">
        <f aca="false">W20*Assumptions!$H$36</f>
        <v>10434.8628337394</v>
      </c>
      <c r="X21" s="61" t="n">
        <f aca="false">X20*Assumptions!$H$36</f>
        <v>10698.9473699102</v>
      </c>
      <c r="Y21" s="61" t="n">
        <f aca="false">Y20*Assumptions!$H$36</f>
        <v>10989.568118783</v>
      </c>
      <c r="Z21" s="61" t="n">
        <f aca="false">Z20*Assumptions!$H$36</f>
        <v>11307.4873270239</v>
      </c>
      <c r="AA21" s="61" t="n">
        <f aca="false">AA20*Assumptions!$H$36</f>
        <v>11653.8552773751</v>
      </c>
      <c r="AB21" s="61" t="n">
        <f aca="false">AB20*Assumptions!$H$36</f>
        <v>12030.1799835975</v>
      </c>
      <c r="AC21" s="61" t="n">
        <f aca="false">AC20*Assumptions!$H$36</f>
        <v>12438.3065730279</v>
      </c>
      <c r="AD21" s="61" t="n">
        <f aca="false">AD20*Assumptions!$H$36</f>
        <v>12875.4478841447</v>
      </c>
      <c r="AE21" s="61" t="n">
        <f aca="false">AE20*Assumptions!$H$36</f>
        <v>13341.9109786239</v>
      </c>
      <c r="AF21" s="61" t="n">
        <f aca="false">AF20*Assumptions!$H$36</f>
        <v>13841.4493458492</v>
      </c>
      <c r="AG21" s="61" t="n">
        <f aca="false">AG20*Assumptions!$H$36</f>
        <v>14377.205578631</v>
      </c>
      <c r="AH21" s="61" t="n">
        <f aca="false">AH20*Assumptions!$H$36</f>
        <v>14952.520224786</v>
      </c>
      <c r="AI21" s="61" t="n">
        <f aca="false">AI20*Assumptions!$H$36</f>
        <v>15571.0241828379</v>
      </c>
      <c r="AJ21" s="61" t="n">
        <f aca="false">AJ20*Assumptions!$H$36</f>
        <v>16236.668997047</v>
      </c>
      <c r="AK21" s="61" t="n">
        <f aca="false">AK20*Assumptions!$H$36</f>
        <v>16953.7501491507</v>
      </c>
      <c r="AL21" s="61" t="n">
        <f aca="false">AL20*Assumptions!$H$36</f>
        <v>17726.9323948203</v>
      </c>
      <c r="AM21" s="61" t="n">
        <f aca="false">SUM(C21:AL21)</f>
        <v>434418.374175505</v>
      </c>
    </row>
    <row r="22" customFormat="false" ht="15" hidden="false" customHeight="false" outlineLevel="0" collapsed="false">
      <c r="A22" s="10" t="s">
        <v>757</v>
      </c>
      <c r="B22" s="9" t="s">
        <v>97</v>
      </c>
      <c r="C22" s="70" t="n">
        <f aca="false">MIN(MAX(0,C16-C18),C21*Assumptions!$H$37)</f>
        <v>0</v>
      </c>
      <c r="D22" s="70" t="n">
        <f aca="false">MIN(MAX(0,D16-D18),D21*Assumptions!$H$37)</f>
        <v>21135.0439</v>
      </c>
      <c r="E22" s="70" t="n">
        <f aca="false">MIN(MAX(0,E16-E18),E21*Assumptions!$H$37)</f>
        <v>25661.150056</v>
      </c>
      <c r="F22" s="70" t="n">
        <f aca="false">MIN(MAX(0,F16-F18),F21*Assumptions!$H$37)</f>
        <v>21106.58194755</v>
      </c>
      <c r="G22" s="70" t="n">
        <f aca="false">MIN(MAX(0,G16-G18),G21*Assumptions!$H$37)</f>
        <v>19370.7021229619</v>
      </c>
      <c r="H22" s="70" t="n">
        <f aca="false">MIN(MAX(0,H16-H18),H21*Assumptions!$H$37)</f>
        <v>17830.3442922833</v>
      </c>
      <c r="I22" s="70" t="n">
        <f aca="false">MIN(MAX(0,I16-I18),I21*Assumptions!$H$37)</f>
        <v>16594.4612698363</v>
      </c>
      <c r="J22" s="70" t="n">
        <f aca="false">MIN(MAX(0,J16-J18),J21*Assumptions!$H$37)</f>
        <v>15614.2924225694</v>
      </c>
      <c r="K22" s="70" t="n">
        <f aca="false">MIN(MAX(0,K16-K18),K21*Assumptions!$H$37)</f>
        <v>14844.393043231</v>
      </c>
      <c r="L22" s="70" t="n">
        <f aca="false">MIN(MAX(0,L16-L18),L21*Assumptions!$H$37)</f>
        <v>14246.4536350134</v>
      </c>
      <c r="M22" s="70" t="n">
        <f aca="false">MIN(MAX(0,M16-M18),M21*Assumptions!$H$37)</f>
        <v>13794.1025879113</v>
      </c>
      <c r="N22" s="70" t="n">
        <f aca="false">MIN(MAX(0,N16-N18),N21*Assumptions!$H$37)</f>
        <v>13633.3171748888</v>
      </c>
      <c r="O22" s="70" t="n">
        <f aca="false">MIN(MAX(0,O16-O18),O21*Assumptions!$H$37)</f>
        <v>13575.0800985245</v>
      </c>
      <c r="P22" s="70" t="n">
        <f aca="false">MIN(MAX(0,P16-P18),P21*Assumptions!$H$37)</f>
        <v>13591.2675682416</v>
      </c>
      <c r="Q22" s="70" t="n">
        <f aca="false">MIN(MAX(0,Q16-Q18),Q21*Assumptions!$H$37)</f>
        <v>13669.9620659627</v>
      </c>
      <c r="R22" s="70" t="n">
        <f aca="false">MIN(MAX(0,R16-R18),R21*Assumptions!$H$37)</f>
        <v>13803.2518119018</v>
      </c>
      <c r="S22" s="70" t="n">
        <f aca="false">MIN(MAX(0,S16-S18),S21*Assumptions!$H$37)</f>
        <v>13985.2071682268</v>
      </c>
      <c r="T22" s="70" t="n">
        <f aca="false">MIN(MAX(0,T16-T18),T21*Assumptions!$H$37)</f>
        <v>14211.4523605191</v>
      </c>
      <c r="U22" s="70" t="n">
        <f aca="false">MIN(MAX(0,U16-U18),U21*Assumptions!$H$37)</f>
        <v>14478.9145427417</v>
      </c>
      <c r="V22" s="70" t="n">
        <f aca="false">MIN(MAX(0,V16-V18),V21*Assumptions!$H$37)</f>
        <v>14785.6240907651</v>
      </c>
      <c r="W22" s="70" t="n">
        <f aca="false">MIN(MAX(0,W16-W18),W21*Assumptions!$H$37)</f>
        <v>15130.5511089221</v>
      </c>
      <c r="X22" s="70" t="n">
        <f aca="false">MIN(MAX(0,X16-X18),X21*Assumptions!$H$37)</f>
        <v>15513.4736863698</v>
      </c>
      <c r="Y22" s="70" t="n">
        <f aca="false">MIN(MAX(0,Y16-Y18),Y21*Assumptions!$H$37)</f>
        <v>15934.8737722354</v>
      </c>
      <c r="Z22" s="70" t="n">
        <f aca="false">MIN(MAX(0,Z16-Z18),Z21*Assumptions!$H$37)</f>
        <v>16395.8566241846</v>
      </c>
      <c r="AA22" s="70" t="n">
        <f aca="false">MIN(MAX(0,AA16-AA18),AA21*Assumptions!$H$37)</f>
        <v>16898.0901521939</v>
      </c>
      <c r="AB22" s="70" t="n">
        <f aca="false">MIN(MAX(0,AB16-AB18),AB21*Assumptions!$H$37)</f>
        <v>17443.7609762164</v>
      </c>
      <c r="AC22" s="70" t="n">
        <f aca="false">MIN(MAX(0,AC16-AC18),AC21*Assumptions!$H$37)</f>
        <v>18035.5445308905</v>
      </c>
      <c r="AD22" s="70" t="n">
        <f aca="false">MIN(MAX(0,AD16-AD18),AD21*Assumptions!$H$37)</f>
        <v>18669.3994320098</v>
      </c>
      <c r="AE22" s="70" t="n">
        <f aca="false">MIN(MAX(0,AE16-AE18),AE21*Assumptions!$H$37)</f>
        <v>19345.7709190046</v>
      </c>
      <c r="AF22" s="70" t="n">
        <f aca="false">MIN(MAX(0,AF16-AF18),AF21*Assumptions!$H$37)</f>
        <v>20070.1015514813</v>
      </c>
      <c r="AG22" s="70" t="n">
        <f aca="false">MIN(MAX(0,AG16-AG18),AG21*Assumptions!$H$37)</f>
        <v>20846.9480890149</v>
      </c>
      <c r="AH22" s="70" t="n">
        <f aca="false">MIN(MAX(0,AH16-AH18),AH21*Assumptions!$H$37)</f>
        <v>21681.1543259398</v>
      </c>
      <c r="AI22" s="70" t="n">
        <f aca="false">MIN(MAX(0,AI16-AI18),AI21*Assumptions!$H$37)</f>
        <v>22577.9850651149</v>
      </c>
      <c r="AJ22" s="70" t="n">
        <f aca="false">MIN(MAX(0,AJ16-AJ18),AJ21*Assumptions!$H$37)</f>
        <v>23543.1700457181</v>
      </c>
      <c r="AK22" s="70" t="n">
        <f aca="false">MIN(MAX(0,AK16-AK18),AK21*Assumptions!$H$37)</f>
        <v>24582.9377162685</v>
      </c>
      <c r="AL22" s="70" t="n">
        <f aca="false">MIN(MAX(0,AL16-AL18),AL21*Assumptions!$H$37)</f>
        <v>25704.0519724894</v>
      </c>
      <c r="AM22" s="70" t="n">
        <f aca="false">SUM(C22:AL22)</f>
        <v>618305.272127183</v>
      </c>
    </row>
    <row r="23" customFormat="false" ht="15" hidden="false" customHeight="false" outlineLevel="0" collapsed="false">
      <c r="A23" s="10" t="s">
        <v>758</v>
      </c>
      <c r="B23" s="9" t="s">
        <v>84</v>
      </c>
      <c r="C23" s="61" t="n">
        <f aca="false">C22/Assumptions!$H$37</f>
        <v>0</v>
      </c>
      <c r="D23" s="61" t="n">
        <f aca="false">D22/Assumptions!$H$37</f>
        <v>14575.8923448276</v>
      </c>
      <c r="E23" s="61" t="n">
        <f aca="false">E22/Assumptions!$H$37</f>
        <v>17697.3448662069</v>
      </c>
      <c r="F23" s="61" t="n">
        <f aca="false">F22/Assumptions!$H$37</f>
        <v>14556.2634121035</v>
      </c>
      <c r="G23" s="61" t="n">
        <f aca="false">G22/Assumptions!$H$37</f>
        <v>13359.1049123875</v>
      </c>
      <c r="H23" s="61" t="n">
        <f aca="false">H22/Assumptions!$H$37</f>
        <v>12296.789167092</v>
      </c>
      <c r="I23" s="61" t="n">
        <f aca="false">I22/Assumptions!$H$37</f>
        <v>11444.4560481629</v>
      </c>
      <c r="J23" s="61" t="n">
        <f aca="false">J22/Assumptions!$H$37</f>
        <v>10768.4775328065</v>
      </c>
      <c r="K23" s="61" t="n">
        <f aca="false">K22/Assumptions!$H$37</f>
        <v>10237.5124436076</v>
      </c>
      <c r="L23" s="61" t="n">
        <f aca="false">L22/Assumptions!$H$37</f>
        <v>9825.14043794028</v>
      </c>
      <c r="M23" s="61" t="n">
        <f aca="false">M22/Assumptions!$H$37</f>
        <v>9513.17419855949</v>
      </c>
      <c r="N23" s="61" t="n">
        <f aca="false">N22/Assumptions!$H$37</f>
        <v>9402.28770681986</v>
      </c>
      <c r="O23" s="61" t="n">
        <f aca="false">O22/Assumptions!$H$37</f>
        <v>9362.12420587899</v>
      </c>
      <c r="P23" s="61" t="n">
        <f aca="false">P22/Assumptions!$H$37</f>
        <v>9373.28797809768</v>
      </c>
      <c r="Q23" s="61" t="n">
        <f aca="false">Q22/Assumptions!$H$37</f>
        <v>9427.56004549149</v>
      </c>
      <c r="R23" s="61" t="n">
        <f aca="false">R22/Assumptions!$H$37</f>
        <v>9519.48400820816</v>
      </c>
      <c r="S23" s="61" t="n">
        <f aca="false">S22/Assumptions!$H$37</f>
        <v>9644.97046084605</v>
      </c>
      <c r="T23" s="61" t="n">
        <f aca="false">T22/Assumptions!$H$37</f>
        <v>9801.0016279442</v>
      </c>
      <c r="U23" s="61" t="n">
        <f aca="false">U22/Assumptions!$H$37</f>
        <v>9985.45830533908</v>
      </c>
      <c r="V23" s="61" t="n">
        <f aca="false">V22/Assumptions!$H$37</f>
        <v>10196.9821315621</v>
      </c>
      <c r="W23" s="61" t="n">
        <f aca="false">W22/Assumptions!$H$37</f>
        <v>10434.8628337394</v>
      </c>
      <c r="X23" s="61" t="n">
        <f aca="false">X22/Assumptions!$H$37</f>
        <v>10698.9473699102</v>
      </c>
      <c r="Y23" s="61" t="n">
        <f aca="false">Y22/Assumptions!$H$37</f>
        <v>10989.568118783</v>
      </c>
      <c r="Z23" s="61" t="n">
        <f aca="false">Z22/Assumptions!$H$37</f>
        <v>11307.4873270239</v>
      </c>
      <c r="AA23" s="61" t="n">
        <f aca="false">AA22/Assumptions!$H$37</f>
        <v>11653.8552773751</v>
      </c>
      <c r="AB23" s="61" t="n">
        <f aca="false">AB22/Assumptions!$H$37</f>
        <v>12030.1799835975</v>
      </c>
      <c r="AC23" s="61" t="n">
        <f aca="false">AC22/Assumptions!$H$37</f>
        <v>12438.3065730279</v>
      </c>
      <c r="AD23" s="61" t="n">
        <f aca="false">AD22/Assumptions!$H$37</f>
        <v>12875.4478841447</v>
      </c>
      <c r="AE23" s="61" t="n">
        <f aca="false">AE22/Assumptions!$H$37</f>
        <v>13341.9109786239</v>
      </c>
      <c r="AF23" s="61" t="n">
        <f aca="false">AF22/Assumptions!$H$37</f>
        <v>13841.4493458492</v>
      </c>
      <c r="AG23" s="61" t="n">
        <f aca="false">AG22/Assumptions!$H$37</f>
        <v>14377.205578631</v>
      </c>
      <c r="AH23" s="61" t="n">
        <f aca="false">AH22/Assumptions!$H$37</f>
        <v>14952.520224786</v>
      </c>
      <c r="AI23" s="61" t="n">
        <f aca="false">AI22/Assumptions!$H$37</f>
        <v>15571.0241828379</v>
      </c>
      <c r="AJ23" s="61" t="n">
        <f aca="false">AJ22/Assumptions!$H$37</f>
        <v>16236.668997047</v>
      </c>
      <c r="AK23" s="61" t="n">
        <f aca="false">AK22/Assumptions!$H$37</f>
        <v>16953.7501491507</v>
      </c>
      <c r="AL23" s="61" t="n">
        <f aca="false">AL22/Assumptions!$H$37</f>
        <v>17726.9323948203</v>
      </c>
      <c r="AM23" s="61" t="n">
        <f aca="false">SUM(C23:AL23)</f>
        <v>426417.42905323</v>
      </c>
    </row>
    <row r="24" customFormat="false" ht="15" hidden="false" customHeight="false" outlineLevel="0" collapsed="false">
      <c r="A24" s="10" t="s">
        <v>759</v>
      </c>
      <c r="B24" s="9" t="s">
        <v>97</v>
      </c>
      <c r="C24" s="70" t="n">
        <f aca="false">MAX(0,C16-C18-C22)</f>
        <v>8000</v>
      </c>
      <c r="D24" s="70" t="n">
        <f aca="false">MAX(0,D16-D18-D22)</f>
        <v>0</v>
      </c>
      <c r="E24" s="70" t="n">
        <f aca="false">MAX(0,E16-E18-E22)</f>
        <v>0</v>
      </c>
      <c r="F24" s="70" t="n">
        <f aca="false">MAX(0,F16-F18-F22)</f>
        <v>5068.65861109</v>
      </c>
      <c r="G24" s="70" t="n">
        <f aca="false">MAX(0,G16-G18-G22)</f>
        <v>7211.90861363569</v>
      </c>
      <c r="H24" s="70" t="n">
        <f aca="false">MAX(0,H16-H18-H22)</f>
        <v>9073.90916235204</v>
      </c>
      <c r="I24" s="70" t="n">
        <f aca="false">MAX(0,I16-I18-I22)</f>
        <v>10562.4701267115</v>
      </c>
      <c r="J24" s="70" t="n">
        <f aca="false">MAX(0,J16-J18-J22)</f>
        <v>11739.7278340638</v>
      </c>
      <c r="K24" s="70" t="n">
        <f aca="false">MAX(0,K16-K18-K22)</f>
        <v>12661.7899936162</v>
      </c>
      <c r="L24" s="70" t="n">
        <f aca="false">MAX(0,L16-L18-L22)</f>
        <v>13427.9238693175</v>
      </c>
      <c r="M24" s="70" t="n">
        <f aca="false">MAX(0,M16-M18-M22)</f>
        <v>15894.3486738623</v>
      </c>
      <c r="N24" s="70" t="n">
        <f aca="false">MAX(0,N16-N18-N22)</f>
        <v>18127.8542615769</v>
      </c>
      <c r="O24" s="70" t="n">
        <f aca="false">MAX(0,O16-O18-O22)</f>
        <v>20250.533961957</v>
      </c>
      <c r="P24" s="70" t="n">
        <f aca="false">MAX(0,P16-P18-P22)</f>
        <v>22298.2704985485</v>
      </c>
      <c r="Q24" s="70" t="n">
        <f aca="false">MAX(0,Q16-Q18-Q22)</f>
        <v>24302.8615207322</v>
      </c>
      <c r="R24" s="70" t="n">
        <f aca="false">MAX(0,R16-R18-R22)</f>
        <v>26291.3963149406</v>
      </c>
      <c r="S24" s="70" t="n">
        <f aca="false">MAX(0,S16-S18-S22)</f>
        <v>28287.8349056038</v>
      </c>
      <c r="T24" s="70" t="n">
        <f aca="false">MAX(0,T16-T18-T22)</f>
        <v>30313.7682175769</v>
      </c>
      <c r="U24" s="70" t="n">
        <f aca="false">MAX(0,U16-U18-U22)</f>
        <v>32389.050799026</v>
      </c>
      <c r="V24" s="70" t="n">
        <f aca="false">MAX(0,V16-V18-V22)</f>
        <v>34532.3447314452</v>
      </c>
      <c r="W24" s="70" t="n">
        <f aca="false">MAX(0,W16-W18-W22)</f>
        <v>36761.5915937602</v>
      </c>
      <c r="X24" s="70" t="n">
        <f aca="false">MAX(0,X16-X18-X22)</f>
        <v>39094.4248911992</v>
      </c>
      <c r="Y24" s="70" t="n">
        <f aca="false">MAX(0,Y16-Y18-Y22)</f>
        <v>41548.5345027145</v>
      </c>
      <c r="Z24" s="70" t="n">
        <f aca="false">MAX(0,Z16-Z18-Z22)</f>
        <v>44141.9936010586</v>
      </c>
      <c r="AA24" s="70" t="n">
        <f aca="false">MAX(0,AA16-AA18-AA22)</f>
        <v>46893.5572710373</v>
      </c>
      <c r="AB24" s="70" t="n">
        <f aca="false">MAX(0,AB16-AB18-AB22)</f>
        <v>49822.9408627319</v>
      </c>
      <c r="AC24" s="70" t="n">
        <f aca="false">MAX(0,AC16-AC18-AC22)</f>
        <v>52844.9443721455</v>
      </c>
      <c r="AD24" s="70" t="n">
        <f aca="false">MAX(0,AD16-AD18-AD22)</f>
        <v>55944.4309494248</v>
      </c>
      <c r="AE24" s="70" t="n">
        <f aca="false">MAX(0,AE16-AE18-AE22)</f>
        <v>59166.4843117123</v>
      </c>
      <c r="AF24" s="70" t="n">
        <f aca="false">MAX(0,AF16-AF18-AF22)</f>
        <v>62529.0305386356</v>
      </c>
      <c r="AG24" s="70" t="n">
        <f aca="false">MAX(0,AG16-AG18-AG22)</f>
        <v>66051.6394267233</v>
      </c>
      <c r="AH24" s="70" t="n">
        <f aca="false">MAX(0,AH16-AH18-AH22)</f>
        <v>69754.9873321397</v>
      </c>
      <c r="AI24" s="70" t="n">
        <f aca="false">MAX(0,AI16-AI18-AI22)</f>
        <v>73661.0418892219</v>
      </c>
      <c r="AJ24" s="70" t="n">
        <f aca="false">MAX(0,AJ16-AJ18-AJ22)</f>
        <v>77793.2229570512</v>
      </c>
      <c r="AK24" s="70" t="n">
        <f aca="false">MAX(0,AK16-AK18-AK22)</f>
        <v>82176.574797573</v>
      </c>
      <c r="AL24" s="70" t="n">
        <f aca="false">MAX(0,AL16-AL18-AL22)</f>
        <v>86837.9465023062</v>
      </c>
      <c r="AM24" s="70" t="n">
        <f aca="false">SUM(C24:AL24)</f>
        <v>1275457.99789549</v>
      </c>
    </row>
    <row r="25" customFormat="false" ht="15" hidden="false" customHeight="false" outlineLevel="0" collapsed="false">
      <c r="A25" s="10" t="s">
        <v>760</v>
      </c>
      <c r="B25" s="9" t="s">
        <v>84</v>
      </c>
      <c r="C25" s="61" t="n">
        <f aca="false">(Assumptions!$H$21/(Assumptions!$H$41*Assumptions!$H$42))*(C24/Assumptions!$H$21)^Assumptions!$H$25</f>
        <v>6000.40089742459</v>
      </c>
      <c r="D25" s="61" t="n">
        <f aca="false">(Assumptions!$H$21/(Assumptions!$H$41*Assumptions!$H$42))*(D24/Assumptions!$H$21)^Assumptions!$H$25</f>
        <v>0</v>
      </c>
      <c r="E25" s="61" t="n">
        <f aca="false">(Assumptions!$H$21/(Assumptions!$H$41*Assumptions!$H$42))*(E24/Assumptions!$H$21)^Assumptions!$H$25</f>
        <v>0</v>
      </c>
      <c r="F25" s="61" t="n">
        <f aca="false">(Assumptions!$H$21/(Assumptions!$H$41*Assumptions!$H$42))*(F24/Assumptions!$H$21)^Assumptions!$H$25</f>
        <v>4280.69738584218</v>
      </c>
      <c r="G25" s="61" t="n">
        <f aca="false">(Assumptions!$H$21/(Assumptions!$H$41*Assumptions!$H$42))*(G24/Assumptions!$H$21)^Assumptions!$H$25</f>
        <v>5557.13357591544</v>
      </c>
      <c r="H25" s="61" t="n">
        <f aca="false">(Assumptions!$H$21/(Assumptions!$H$41*Assumptions!$H$42))*(H24/Assumptions!$H$21)^Assumptions!$H$25</f>
        <v>6586.60399389071</v>
      </c>
      <c r="I25" s="61" t="n">
        <f aca="false">(Assumptions!$H$21/(Assumptions!$H$41*Assumptions!$H$42))*(I24/Assumptions!$H$21)^Assumptions!$H$25</f>
        <v>7370.21474925921</v>
      </c>
      <c r="J25" s="61" t="n">
        <f aca="false">(Assumptions!$H$21/(Assumptions!$H$41*Assumptions!$H$42))*(J24/Assumptions!$H$21)^Assumptions!$H$25</f>
        <v>7969.67512377287</v>
      </c>
      <c r="K25" s="61" t="n">
        <f aca="false">(Assumptions!$H$21/(Assumptions!$H$41*Assumptions!$H$42))*(K24/Assumptions!$H$21)^Assumptions!$H$25</f>
        <v>8428.30135527891</v>
      </c>
      <c r="L25" s="61" t="n">
        <f aca="false">(Assumptions!$H$21/(Assumptions!$H$41*Assumptions!$H$42))*(L24/Assumptions!$H$21)^Assumptions!$H$25</f>
        <v>8802.78796453179</v>
      </c>
      <c r="M25" s="61" t="n">
        <f aca="false">(Assumptions!$H$21/(Assumptions!$H$41*Assumptions!$H$42))*(M24/Assumptions!$H$21)^Assumptions!$H$25</f>
        <v>9972.71255585714</v>
      </c>
      <c r="N25" s="61" t="n">
        <f aca="false">(Assumptions!$H$21/(Assumptions!$H$41*Assumptions!$H$42))*(N24/Assumptions!$H$21)^Assumptions!$H$25</f>
        <v>10991.830272678</v>
      </c>
      <c r="O25" s="61" t="n">
        <f aca="false">(Assumptions!$H$21/(Assumptions!$H$41*Assumptions!$H$42))*(O24/Assumptions!$H$21)^Assumptions!$H$25</f>
        <v>11930.4457839446</v>
      </c>
      <c r="P25" s="61" t="n">
        <f aca="false">(Assumptions!$H$21/(Assumptions!$H$41*Assumptions!$H$42))*(P24/Assumptions!$H$21)^Assumptions!$H$25</f>
        <v>12811.9238835531</v>
      </c>
      <c r="Q25" s="61" t="n">
        <f aca="false">(Assumptions!$H$21/(Assumptions!$H$41*Assumptions!$H$42))*(Q24/Assumptions!$H$21)^Assumptions!$H$25</f>
        <v>13654.6370897599</v>
      </c>
      <c r="R25" s="61" t="n">
        <f aca="false">(Assumptions!$H$21/(Assumptions!$H$41*Assumptions!$H$42))*(R24/Assumptions!$H$21)^Assumptions!$H$25</f>
        <v>14472.9072609753</v>
      </c>
      <c r="S25" s="61" t="n">
        <f aca="false">(Assumptions!$H$21/(Assumptions!$H$41*Assumptions!$H$42))*(S24/Assumptions!$H$21)^Assumptions!$H$25</f>
        <v>15278.3854145365</v>
      </c>
      <c r="T25" s="61" t="n">
        <f aca="false">(Assumptions!$H$21/(Assumptions!$H$41*Assumptions!$H$42))*(T24/Assumptions!$H$21)^Assumptions!$H$25</f>
        <v>16080.7841285811</v>
      </c>
      <c r="U25" s="61" t="n">
        <f aca="false">(Assumptions!$H$21/(Assumptions!$H$41*Assumptions!$H$42))*(U24/Assumptions!$H$21)^Assumptions!$H$25</f>
        <v>16888.394307441</v>
      </c>
      <c r="V25" s="61" t="n">
        <f aca="false">(Assumptions!$H$21/(Assumptions!$H$41*Assumptions!$H$42))*(V24/Assumptions!$H$21)^Assumptions!$H$25</f>
        <v>17708.4670253939</v>
      </c>
      <c r="W25" s="61" t="n">
        <f aca="false">(Assumptions!$H$21/(Assumptions!$H$41*Assumptions!$H$42))*(W24/Assumptions!$H$21)^Assumptions!$H$25</f>
        <v>18547.5035695816</v>
      </c>
      <c r="X25" s="61" t="n">
        <f aca="false">(Assumptions!$H$21/(Assumptions!$H$41*Assumptions!$H$42))*(X24/Assumptions!$H$21)^Assumptions!$H$25</f>
        <v>19411.4800629438</v>
      </c>
      <c r="Y25" s="61" t="n">
        <f aca="false">(Assumptions!$H$21/(Assumptions!$H$41*Assumptions!$H$42))*(Y24/Assumptions!$H$21)^Assumptions!$H$25</f>
        <v>20306.0243367837</v>
      </c>
      <c r="Z25" s="61" t="n">
        <f aca="false">(Assumptions!$H$21/(Assumptions!$H$41*Assumptions!$H$42))*(Z24/Assumptions!$H$21)^Assumptions!$H$25</f>
        <v>21236.557365849</v>
      </c>
      <c r="AA25" s="61" t="n">
        <f aca="false">(Assumptions!$H$21/(Assumptions!$H$41*Assumptions!$H$42))*(AA24/Assumptions!$H$21)^Assumptions!$H$25</f>
        <v>22208.4080961611</v>
      </c>
      <c r="AB25" s="61" t="n">
        <f aca="false">(Assumptions!$H$21/(Assumptions!$H$41*Assumptions!$H$42))*(AB24/Assumptions!$H$21)^Assumptions!$H$25</f>
        <v>23226.9081445623</v>
      </c>
      <c r="AC25" s="61" t="n">
        <f aca="false">(Assumptions!$H$21/(Assumptions!$H$41*Assumptions!$H$42))*(AC24/Assumptions!$H$21)^Assumptions!$H$25</f>
        <v>24261.4205676084</v>
      </c>
      <c r="AD25" s="61" t="n">
        <f aca="false">(Assumptions!$H$21/(Assumptions!$H$41*Assumptions!$H$42))*(AD24/Assumptions!$H$21)^Assumptions!$H$25</f>
        <v>25306.5972764173</v>
      </c>
      <c r="AE25" s="61" t="n">
        <f aca="false">(Assumptions!$H$21/(Assumptions!$H$41*Assumptions!$H$42))*(AE24/Assumptions!$H$21)^Assumptions!$H$25</f>
        <v>26377.2637803795</v>
      </c>
      <c r="AF25" s="61" t="n">
        <f aca="false">(Assumptions!$H$21/(Assumptions!$H$41*Assumptions!$H$42))*(AF24/Assumptions!$H$21)^Assumptions!$H$25</f>
        <v>27478.5702198284</v>
      </c>
      <c r="AG25" s="61" t="n">
        <f aca="false">(Assumptions!$H$21/(Assumptions!$H$41*Assumptions!$H$42))*(AG24/Assumptions!$H$21)^Assumptions!$H$25</f>
        <v>28615.9087339505</v>
      </c>
      <c r="AH25" s="61" t="n">
        <f aca="false">(Assumptions!$H$21/(Assumptions!$H$41*Assumptions!$H$42))*(AH24/Assumptions!$H$21)^Assumptions!$H$25</f>
        <v>29794.7243920563</v>
      </c>
      <c r="AI25" s="61" t="n">
        <f aca="false">(Assumptions!$H$21/(Assumptions!$H$41*Assumptions!$H$42))*(AI24/Assumptions!$H$21)^Assumptions!$H$25</f>
        <v>31020.5641256729</v>
      </c>
      <c r="AJ25" s="61" t="n">
        <f aca="false">(Assumptions!$H$21/(Assumptions!$H$41*Assumptions!$H$42))*(AJ24/Assumptions!$H$21)^Assumptions!$H$25</f>
        <v>32299.1120246352</v>
      </c>
      <c r="AK25" s="61" t="n">
        <f aca="false">(Assumptions!$H$21/(Assumptions!$H$41*Assumptions!$H$42))*(AK24/Assumptions!$H$21)^Assumptions!$H$25</f>
        <v>33636.2230099021</v>
      </c>
      <c r="AL25" s="61" t="n">
        <f aca="false">(Assumptions!$H$21/(Assumptions!$H$41*Assumptions!$H$42))*(AL24/Assumptions!$H$21)^Assumptions!$H$25</f>
        <v>35037.9541690503</v>
      </c>
      <c r="AM25" s="61" t="n">
        <f aca="false">SUM(C25:AL25)</f>
        <v>613551.522644019</v>
      </c>
    </row>
    <row r="26" customFormat="false" ht="15" hidden="false" customHeight="false" outlineLevel="0" collapsed="false">
      <c r="A26" s="37" t="s">
        <v>761</v>
      </c>
      <c r="B26" s="9" t="s">
        <v>97</v>
      </c>
      <c r="C26" s="53" t="n">
        <f aca="false">C18+C22+C24</f>
        <v>8000</v>
      </c>
      <c r="D26" s="53" t="n">
        <f aca="false">D18+D22+D24</f>
        <v>30000</v>
      </c>
      <c r="E26" s="53" t="n">
        <f aca="false">E18+E22+E24</f>
        <v>30000</v>
      </c>
      <c r="F26" s="53" t="n">
        <f aca="false">F18+F22+F24</f>
        <v>30000</v>
      </c>
      <c r="G26" s="53" t="n">
        <f aca="false">G18+G22+G24</f>
        <v>30000</v>
      </c>
      <c r="H26" s="53" t="n">
        <f aca="false">H18+H22+H24</f>
        <v>30000</v>
      </c>
      <c r="I26" s="53" t="n">
        <f aca="false">I18+I22+I24</f>
        <v>30000</v>
      </c>
      <c r="J26" s="53" t="n">
        <f aca="false">J18+J22+J24</f>
        <v>30000</v>
      </c>
      <c r="K26" s="53" t="n">
        <f aca="false">K18+K22+K24</f>
        <v>30000</v>
      </c>
      <c r="L26" s="53" t="n">
        <f aca="false">L18+L22+L24</f>
        <v>30052.4682988739</v>
      </c>
      <c r="M26" s="53" t="n">
        <f aca="false">M18+M22+M24</f>
        <v>31980.5055419907</v>
      </c>
      <c r="N26" s="53" t="n">
        <f aca="false">N18+N22+N24</f>
        <v>33991.5299236344</v>
      </c>
      <c r="O26" s="53" t="n">
        <f aca="false">O18+O22+O24</f>
        <v>36014.3913392812</v>
      </c>
      <c r="P26" s="53" t="n">
        <f aca="false">P18+P22+P24</f>
        <v>38053.5255933104</v>
      </c>
      <c r="Q26" s="53" t="n">
        <f aca="false">Q18+Q22+Q24</f>
        <v>40126.2172951047</v>
      </c>
      <c r="R26" s="53" t="n">
        <f aca="false">R18+R22+R24</f>
        <v>42249.6361830115</v>
      </c>
      <c r="S26" s="53" t="n">
        <f aca="false">S18+S22+S24</f>
        <v>44440.2812566567</v>
      </c>
      <c r="T26" s="53" t="n">
        <f aca="false">T18+T22+T24</f>
        <v>46714.2241190579</v>
      </c>
      <c r="U26" s="53" t="n">
        <f aca="false">U18+U22+U24</f>
        <v>49087.4205371613</v>
      </c>
      <c r="V26" s="53" t="n">
        <f aca="false">V18+V22+V24</f>
        <v>51575.9991241854</v>
      </c>
      <c r="W26" s="53" t="n">
        <f aca="false">W18+W22+W24</f>
        <v>54196.5261134322</v>
      </c>
      <c r="X26" s="53" t="n">
        <f aca="false">X18+X22+X24</f>
        <v>56966.251870964</v>
      </c>
      <c r="Y26" s="53" t="n">
        <f aca="false">Y18+Y22+Y24</f>
        <v>59903.3447356923</v>
      </c>
      <c r="Z26" s="53" t="n">
        <f aca="false">Z18+Z22+Z24</f>
        <v>63027.1171346061</v>
      </c>
      <c r="AA26" s="53" t="n">
        <f aca="false">AA18+AA22+AA24</f>
        <v>66358.2483585598</v>
      </c>
      <c r="AB26" s="53" t="n">
        <f aca="false">AB18+AB22+AB24</f>
        <v>69919.0079321546</v>
      </c>
      <c r="AC26" s="53" t="n">
        <f aca="false">AC18+AC22+AC24</f>
        <v>73627.3424739896</v>
      </c>
      <c r="AD26" s="53" t="n">
        <f aca="false">AD18+AD22+AD24</f>
        <v>77464.6437876609</v>
      </c>
      <c r="AE26" s="53" t="n">
        <f aca="false">AE18+AE22+AE24</f>
        <v>81477.1073250131</v>
      </c>
      <c r="AF26" s="53" t="n">
        <f aca="false">AF18+AF22+AF24</f>
        <v>85688.8643285074</v>
      </c>
      <c r="AG26" s="53" t="n">
        <f aca="false">AG18+AG22+AG24</f>
        <v>90124.90149047</v>
      </c>
      <c r="AH26" s="53" t="n">
        <f aca="false">AH18+AH22+AH24</f>
        <v>94811.699628846</v>
      </c>
      <c r="AI26" s="53" t="n">
        <f aca="false">AI18+AI22+AI24</f>
        <v>99777.5568035194</v>
      </c>
      <c r="AJ26" s="53" t="n">
        <f aca="false">AJ18+AJ22+AJ24</f>
        <v>105052.798937616</v>
      </c>
      <c r="AK26" s="53" t="n">
        <f aca="false">AK18+AK22+AK24</f>
        <v>110669.992772615</v>
      </c>
      <c r="AL26" s="53" t="n">
        <f aca="false">AL18+AL22+AL24</f>
        <v>116664.17125909</v>
      </c>
      <c r="AM26" s="53" t="n">
        <f aca="false">SUM(C26:AL26)</f>
        <v>1998015.774165</v>
      </c>
    </row>
    <row r="27" customFormat="false" ht="15" hidden="false" customHeight="false" outlineLevel="0" collapsed="false">
      <c r="A27" s="10" t="s">
        <v>762</v>
      </c>
      <c r="B27" s="9" t="s">
        <v>84</v>
      </c>
      <c r="C27" s="61" t="n">
        <f aca="false">C19+C23+C25</f>
        <v>6000.40089742459</v>
      </c>
      <c r="D27" s="61" t="n">
        <f aca="false">D19+D23+D25</f>
        <v>22634.9433448276</v>
      </c>
      <c r="E27" s="61" t="n">
        <f aca="false">E19+E23+E25</f>
        <v>21641.7539062069</v>
      </c>
      <c r="F27" s="61" t="n">
        <f aca="false">F19+F23+F25</f>
        <v>22314.0148355456</v>
      </c>
      <c r="G27" s="61" t="n">
        <f aca="false">G19+G23+G25</f>
        <v>22022.956000487</v>
      </c>
      <c r="H27" s="61" t="n">
        <f aca="false">H19+H23+H25</f>
        <v>21697.7082022232</v>
      </c>
      <c r="I27" s="61" t="n">
        <f aca="false">I19+I23+I25</f>
        <v>21399.2786187424</v>
      </c>
      <c r="J27" s="61" t="n">
        <f aca="false">J19+J23+J25</f>
        <v>21143.5887869128</v>
      </c>
      <c r="K27" s="61" t="n">
        <f aca="false">K19+K23+K25</f>
        <v>20932.9201290254</v>
      </c>
      <c r="L27" s="61" t="n">
        <f aca="false">L19+L23+L25</f>
        <v>20789.829124784</v>
      </c>
      <c r="M27" s="61" t="n">
        <f aca="false">M19+M23+M25</f>
        <v>21569.5724637049</v>
      </c>
      <c r="N27" s="61" t="n">
        <f aca="false">N19+N23+N25</f>
        <v>22421.7166041967</v>
      </c>
      <c r="O27" s="61" t="n">
        <f aca="false">O19+O23+O25</f>
        <v>23282.3675160051</v>
      </c>
      <c r="P27" s="61" t="n">
        <f aca="false">P19+P23+P25</f>
        <v>24152.4732493964</v>
      </c>
      <c r="Q27" s="61" t="n">
        <f aca="false">Q19+Q23+Q25</f>
        <v>25039.8277792603</v>
      </c>
      <c r="R27" s="61" t="n">
        <f aca="false">R19+R23+R25</f>
        <v>25951.4713202462</v>
      </c>
      <c r="S27" s="61" t="n">
        <f aca="false">S19+S23+S25</f>
        <v>26893.5733143154</v>
      </c>
      <c r="T27" s="61" t="n">
        <f aca="false">T19+T23+T25</f>
        <v>27871.7889755816</v>
      </c>
      <c r="U27" s="61" t="n">
        <f aca="false">U19+U23+U25</f>
        <v>28891.5391540471</v>
      </c>
      <c r="V27" s="61" t="n">
        <f aca="false">V19+V23+V25</f>
        <v>29958.2039769335</v>
      </c>
      <c r="W27" s="61" t="n">
        <f aca="false">W19+W23+W25</f>
        <v>31077.2604130936</v>
      </c>
      <c r="X27" s="61" t="n">
        <f aca="false">X19+X23+X25</f>
        <v>32254.384972304</v>
      </c>
      <c r="Y27" s="61" t="n">
        <f aca="false">Y19+Y23+Y25</f>
        <v>33495.5346926053</v>
      </c>
      <c r="Z27" s="61" t="n">
        <f aca="false">Z19+Z23+Z25</f>
        <v>34807.0146104755</v>
      </c>
      <c r="AA27" s="61" t="n">
        <f aca="false">AA19+AA23+AA25</f>
        <v>36195.5369511076</v>
      </c>
      <c r="AB27" s="61" t="n">
        <f aca="false">AB19+AB23+AB25</f>
        <v>37668.2754856202</v>
      </c>
      <c r="AC27" s="61" t="n">
        <f aca="false">AC19+AC23+AC25</f>
        <v>39196.8667505942</v>
      </c>
      <c r="AD27" s="61" t="n">
        <f aca="false">AD19+AD23+AD25</f>
        <v>40773.6937116768</v>
      </c>
      <c r="AE27" s="61" t="n">
        <f aca="false">AE19+AE23+AE25</f>
        <v>42414.4948447272</v>
      </c>
      <c r="AF27" s="61" t="n">
        <f aca="false">AF19+AF23+AF25</f>
        <v>44128.8670551235</v>
      </c>
      <c r="AG27" s="61" t="n">
        <f aca="false">AG19+AG23+AG25</f>
        <v>45926.1270168831</v>
      </c>
      <c r="AH27" s="61" t="n">
        <f aca="false">AH19+AH23+AH25</f>
        <v>47815.9336811755</v>
      </c>
      <c r="AI27" s="61" t="n">
        <f aca="false">AI19+AI23+AI25</f>
        <v>49808.4336259495</v>
      </c>
      <c r="AJ27" s="61" t="n">
        <f aca="false">AJ19+AJ23+AJ25</f>
        <v>51914.3318715429</v>
      </c>
      <c r="AK27" s="61" t="n">
        <f aca="false">AK19+AK23+AK25</f>
        <v>54144.9552124828</v>
      </c>
      <c r="AL27" s="61" t="n">
        <f aca="false">AL19+AL23+AL25</f>
        <v>56512.3163677749</v>
      </c>
      <c r="AM27" s="61" t="n">
        <f aca="false">SUM(C27:AL27)</f>
        <v>1134743.955463</v>
      </c>
    </row>
    <row r="28" customFormat="false" ht="15" hidden="false" customHeight="false" outlineLevel="0" collapsed="false">
      <c r="A28" s="10" t="s">
        <v>763</v>
      </c>
      <c r="B28" s="9" t="s">
        <v>97</v>
      </c>
      <c r="C28" s="63" t="n">
        <f aca="false">IFERROR(C26/C27,0)</f>
        <v>1.33324425096891</v>
      </c>
      <c r="D28" s="63" t="n">
        <f aca="false">IFERROR(D26/D27,0)</f>
        <v>1.32538436447447</v>
      </c>
      <c r="E28" s="63" t="n">
        <f aca="false">IFERROR(E26/E27,0)</f>
        <v>1.38620927536728</v>
      </c>
      <c r="F28" s="63" t="n">
        <f aca="false">IFERROR(F26/F27,0)</f>
        <v>1.34444653824514</v>
      </c>
      <c r="G28" s="63" t="n">
        <f aca="false">IFERROR(G26/G27,0)</f>
        <v>1.36221495422034</v>
      </c>
      <c r="H28" s="63" t="n">
        <f aca="false">IFERROR(H26/H27,0)</f>
        <v>1.382634503165</v>
      </c>
      <c r="I28" s="63" t="n">
        <f aca="false">IFERROR(I26/I27,0)</f>
        <v>1.40191641664616</v>
      </c>
      <c r="J28" s="63" t="n">
        <f aca="false">IFERROR(J26/J27,0)</f>
        <v>1.41886981923187</v>
      </c>
      <c r="K28" s="63" t="n">
        <f aca="false">IFERROR(K26/K27,0)</f>
        <v>1.43314930812745</v>
      </c>
      <c r="L28" s="63" t="n">
        <f aca="false">IFERROR(L26/L27,0)</f>
        <v>1.44553705172342</v>
      </c>
      <c r="M28" s="63" t="n">
        <f aca="false">IFERROR(M26/M27,0)</f>
        <v>1.48266756774175</v>
      </c>
      <c r="N28" s="63" t="n">
        <f aca="false">IFERROR(N26/N27,0)</f>
        <v>1.51600925672534</v>
      </c>
      <c r="O28" s="63" t="n">
        <f aca="false">IFERROR(O26/O27,0)</f>
        <v>1.54685262632864</v>
      </c>
      <c r="P28" s="63" t="n">
        <f aca="false">IFERROR(P26/P27,0)</f>
        <v>1.57555398986981</v>
      </c>
      <c r="Q28" s="63" t="n">
        <f aca="false">IFERROR(Q26/Q27,0)</f>
        <v>1.60249573794353</v>
      </c>
      <c r="R28" s="63" t="n">
        <f aca="false">IFERROR(R26/R27,0)</f>
        <v>1.62802469507963</v>
      </c>
      <c r="S28" s="63" t="n">
        <f aca="false">IFERROR(S26/S27,0)</f>
        <v>1.65244985250812</v>
      </c>
      <c r="T28" s="63" t="n">
        <f aca="false">IFERROR(T26/T27,0)</f>
        <v>1.67603967438129</v>
      </c>
      <c r="U28" s="63" t="n">
        <f aca="false">IFERROR(U26/U27,0)</f>
        <v>1.6990240732912</v>
      </c>
      <c r="V28" s="63" t="n">
        <f aca="false">IFERROR(V26/V27,0)</f>
        <v>1.7215985031645</v>
      </c>
      <c r="W28" s="63" t="n">
        <f aca="false">IFERROR(W26/W27,0)</f>
        <v>1.74392869233087</v>
      </c>
      <c r="X28" s="63" t="n">
        <f aca="false">IFERROR(X26/X27,0)</f>
        <v>1.76615526601668</v>
      </c>
      <c r="Y28" s="63" t="n">
        <f aca="false">IFERROR(Y26/Y27,0)</f>
        <v>1.78839792484092</v>
      </c>
      <c r="Z28" s="63" t="n">
        <f aca="false">IFERROR(Z26/Z27,0)</f>
        <v>1.81075906221608</v>
      </c>
      <c r="AA28" s="63" t="n">
        <f aca="false">IFERROR(AA26/AA27,0)</f>
        <v>1.83332681176123</v>
      </c>
      <c r="AB28" s="63" t="n">
        <f aca="false">IFERROR(AB26/AB27,0)</f>
        <v>1.85617756668596</v>
      </c>
      <c r="AC28" s="63" t="n">
        <f aca="false">IFERROR(AC26/AC27,0)</f>
        <v>1.87839867258965</v>
      </c>
      <c r="AD28" s="63" t="n">
        <f aca="false">IFERROR(AD26/AD27,0)</f>
        <v>1.89986819284603</v>
      </c>
      <c r="AE28" s="63" t="n">
        <f aca="false">IFERROR(AE26/AE27,0)</f>
        <v>1.92097318672044</v>
      </c>
      <c r="AF28" s="63" t="n">
        <f aca="false">IFERROR(AF26/AF27,0)</f>
        <v>1.94178708964971</v>
      </c>
      <c r="AG28" s="63" t="n">
        <f aca="false">IFERROR(AG26/AG27,0)</f>
        <v>1.96238845608163</v>
      </c>
      <c r="AH28" s="63" t="n">
        <f aca="false">IFERROR(AH26/AH27,0)</f>
        <v>1.98284739687457</v>
      </c>
      <c r="AI28" s="63" t="n">
        <f aca="false">IFERROR(AI26/AI27,0)</f>
        <v>2.00322615147521</v>
      </c>
      <c r="AJ28" s="63" t="n">
        <f aca="false">IFERROR(AJ26/AJ27,0)</f>
        <v>2.02357990848383</v>
      </c>
      <c r="AK28" s="63" t="n">
        <f aca="false">IFERROR(AK26/AK27,0)</f>
        <v>2.04395760118941</v>
      </c>
      <c r="AL28" s="63" t="n">
        <f aca="false">IFERROR(AL26/AL27,0)</f>
        <v>2.06440257199608</v>
      </c>
      <c r="AM28" s="63" t="n">
        <f aca="false">AVERAGE(N28:AL28)</f>
        <v>1.80552891844201</v>
      </c>
    </row>
    <row r="29" customFormat="false" ht="15" hidden="false" customHeight="false" outlineLevel="0" collapsed="false">
      <c r="A29" s="37" t="s">
        <v>764</v>
      </c>
      <c r="B29" s="9" t="s">
        <v>84</v>
      </c>
      <c r="C29" s="71" t="n">
        <f aca="false">C13+C15+C27</f>
        <v>8200.40089742459</v>
      </c>
      <c r="D29" s="71" t="n">
        <f aca="false">D13+D15+D27</f>
        <v>65721.9433448276</v>
      </c>
      <c r="E29" s="71" t="n">
        <f aca="false">E13+E15+E27</f>
        <v>43786.2939062069</v>
      </c>
      <c r="F29" s="71" t="n">
        <f aca="false">F13+F15+F27</f>
        <v>42234.3746355456</v>
      </c>
      <c r="G29" s="71" t="n">
        <f aca="false">G13+G15+G27</f>
        <v>40232.192342487</v>
      </c>
      <c r="H29" s="71" t="n">
        <f aca="false">H13+H15+H27</f>
        <v>38612.4063430032</v>
      </c>
      <c r="I29" s="71" t="n">
        <f aca="false">I13+I15+I27</f>
        <v>37359.3992145926</v>
      </c>
      <c r="J29" s="71" t="n">
        <f aca="false">J13+J15+J27</f>
        <v>36428.3951343095</v>
      </c>
      <c r="K29" s="71" t="n">
        <f aca="false">K13+K15+K27</f>
        <v>35773.7741660239</v>
      </c>
      <c r="L29" s="71" t="n">
        <f aca="false">L13+L15+L27</f>
        <v>35380.487319781</v>
      </c>
      <c r="M29" s="71" t="n">
        <f aca="false">M13+M15+M27</f>
        <v>36074.4869319868</v>
      </c>
      <c r="N29" s="71" t="n">
        <f aca="false">N13+N15+N27</f>
        <v>36982.746203212</v>
      </c>
      <c r="O29" s="71" t="n">
        <f aca="false">O13+O15+O27</f>
        <v>38024.2232418022</v>
      </c>
      <c r="P29" s="71" t="n">
        <f aca="false">P13+P15+P27</f>
        <v>39187.1579608116</v>
      </c>
      <c r="Q29" s="71" t="n">
        <f aca="false">Q13+Q15+Q27</f>
        <v>40470.2788909399</v>
      </c>
      <c r="R29" s="71" t="n">
        <f aca="false">R13+R15+R27</f>
        <v>41874.5740529666</v>
      </c>
      <c r="S29" s="71" t="n">
        <f aca="false">S13+S15+S27</f>
        <v>43402.6793097723</v>
      </c>
      <c r="T29" s="71" t="n">
        <f aca="false">T13+T15+T27</f>
        <v>45058.8489240631</v>
      </c>
      <c r="U29" s="71" t="n">
        <f aca="false">U13+U15+U27</f>
        <v>46848.9372286386</v>
      </c>
      <c r="V29" s="71" t="n">
        <f aca="false">V13+V15+V27</f>
        <v>48780.3652628356</v>
      </c>
      <c r="W29" s="71" t="n">
        <f aca="false">W13+W15+W27</f>
        <v>50862.0893224048</v>
      </c>
      <c r="X29" s="71" t="n">
        <f aca="false">X13+X15+X27</f>
        <v>53104.5821695955</v>
      </c>
      <c r="Y29" s="71" t="n">
        <f aca="false">Y13+Y15+Y27</f>
        <v>55519.8317865669</v>
      </c>
      <c r="Z29" s="71" t="n">
        <f aca="false">Z13+Z15+Z27</f>
        <v>58121.3593620247</v>
      </c>
      <c r="AA29" s="71" t="n">
        <f aca="false">AA13+AA15+AA27</f>
        <v>60924.2566656011</v>
      </c>
      <c r="AB29" s="71" t="n">
        <f aca="false">AB13+AB15+AB27</f>
        <v>63945.242322662</v>
      </c>
      <c r="AC29" s="71" t="n">
        <f aca="false">AC13+AC15+AC27</f>
        <v>67166.6856815649</v>
      </c>
      <c r="AD29" s="71" t="n">
        <f aca="false">AD13+AD15+AD27</f>
        <v>70592.931609311</v>
      </c>
      <c r="AE29" s="71" t="n">
        <f aca="false">AE13+AE15+AE27</f>
        <v>74252.9675634493</v>
      </c>
      <c r="AF29" s="71" t="n">
        <f aca="false">AF13+AF15+AF27</f>
        <v>78171.0002467713</v>
      </c>
      <c r="AG29" s="71" t="n">
        <f aca="false">AG13+AG15+AG27</f>
        <v>82372.4057383717</v>
      </c>
      <c r="AH29" s="71" t="n">
        <f aca="false">AH13+AH15+AH27</f>
        <v>86884.4555216721</v>
      </c>
      <c r="AI29" s="71" t="n">
        <f aca="false">AI13+AI15+AI27</f>
        <v>91736.5800593501</v>
      </c>
      <c r="AJ29" s="71" t="n">
        <f aca="false">AJ13+AJ15+AJ27</f>
        <v>96960.5727857569</v>
      </c>
      <c r="AK29" s="71" t="n">
        <f aca="false">AK13+AK15+AK27</f>
        <v>102590.802050422</v>
      </c>
      <c r="AL29" s="71" t="n">
        <f aca="false">AL13+AL15+AL27</f>
        <v>108664.440014285</v>
      </c>
      <c r="AM29" s="71" t="n">
        <f aca="false">SUM(C29:AL29)</f>
        <v>2002304.16821104</v>
      </c>
    </row>
    <row r="30" customFormat="false" ht="15" hidden="false" customHeight="false" outlineLevel="0" collapsed="false">
      <c r="A30" s="10" t="s">
        <v>765</v>
      </c>
      <c r="B30" s="9" t="s">
        <v>51</v>
      </c>
      <c r="C30" s="61" t="n">
        <f aca="false">C8*Assumptions!$H$47*Assumptions!$H$48^C10</f>
        <v>0</v>
      </c>
      <c r="D30" s="61" t="n">
        <f aca="false">D8*Assumptions!$H$47*Assumptions!$H$48^D10</f>
        <v>8000</v>
      </c>
      <c r="E30" s="61" t="n">
        <f aca="false">E8*Assumptions!$H$47*Assumptions!$H$48^E10</f>
        <v>11600</v>
      </c>
      <c r="F30" s="61" t="n">
        <f aca="false">F8*Assumptions!$H$47*Assumptions!$H$48^F10</f>
        <v>16820</v>
      </c>
      <c r="G30" s="61" t="n">
        <f aca="false">G8*Assumptions!$H$47*Assumptions!$H$48^G10</f>
        <v>24389</v>
      </c>
      <c r="H30" s="61" t="n">
        <f aca="false">H8*Assumptions!$H$47*Assumptions!$H$48^H10</f>
        <v>35364.05</v>
      </c>
      <c r="I30" s="61" t="n">
        <f aca="false">I8*Assumptions!$H$47*Assumptions!$H$48^I10</f>
        <v>51277.8725</v>
      </c>
      <c r="J30" s="61" t="n">
        <f aca="false">J8*Assumptions!$H$47*Assumptions!$H$48^J10</f>
        <v>74352.915125</v>
      </c>
      <c r="K30" s="61" t="n">
        <f aca="false">K8*Assumptions!$H$47*Assumptions!$H$48^K10</f>
        <v>107811.72693125</v>
      </c>
      <c r="L30" s="61" t="n">
        <f aca="false">L8*Assumptions!$H$47*Assumptions!$H$48^L10</f>
        <v>156327.004050312</v>
      </c>
      <c r="M30" s="61" t="n">
        <f aca="false">M8*Assumptions!$H$47*Assumptions!$H$48^M10</f>
        <v>226674.155872953</v>
      </c>
      <c r="N30" s="61" t="n">
        <f aca="false">N8*Assumptions!$H$47*Assumptions!$H$48^N10</f>
        <v>328677.526015782</v>
      </c>
      <c r="O30" s="61" t="n">
        <f aca="false">O8*Assumptions!$H$47*Assumptions!$H$48^O10</f>
        <v>476582.412722884</v>
      </c>
      <c r="P30" s="61" t="n">
        <f aca="false">P8*Assumptions!$H$47*Assumptions!$H$48^P10</f>
        <v>691044.498448181</v>
      </c>
      <c r="Q30" s="61" t="n">
        <f aca="false">Q8*Assumptions!$H$47*Assumptions!$H$48^Q10</f>
        <v>1002014.52274986</v>
      </c>
      <c r="R30" s="61" t="n">
        <f aca="false">R8*Assumptions!$H$47*Assumptions!$H$48^R10</f>
        <v>1452921.0579873</v>
      </c>
      <c r="S30" s="61" t="n">
        <f aca="false">S8*Assumptions!$H$47*Assumptions!$H$48^S10</f>
        <v>2106735.53408159</v>
      </c>
      <c r="T30" s="61" t="n">
        <f aca="false">T8*Assumptions!$H$47*Assumptions!$H$48^T10</f>
        <v>3054766.5244183</v>
      </c>
      <c r="U30" s="61" t="n">
        <f aca="false">U8*Assumptions!$H$47*Assumptions!$H$48^U10</f>
        <v>4429411.46040654</v>
      </c>
      <c r="V30" s="61" t="n">
        <f aca="false">V8*Assumptions!$H$47*Assumptions!$H$48^V10</f>
        <v>6422646.61758948</v>
      </c>
      <c r="W30" s="61" t="n">
        <f aca="false">W8*Assumptions!$H$47*Assumptions!$H$48^W10</f>
        <v>9312837.59550474</v>
      </c>
      <c r="X30" s="61" t="n">
        <f aca="false">X8*Assumptions!$H$47*Assumptions!$H$48^X10</f>
        <v>13503614.5134819</v>
      </c>
      <c r="Y30" s="61" t="n">
        <f aca="false">Y8*Assumptions!$H$47*Assumptions!$H$48^Y10</f>
        <v>19580241.0445487</v>
      </c>
      <c r="Z30" s="61" t="n">
        <f aca="false">Z8*Assumptions!$H$47*Assumptions!$H$48^Z10</f>
        <v>28391349.5145956</v>
      </c>
      <c r="AA30" s="61" t="n">
        <f aca="false">AA8*Assumptions!$H$47*Assumptions!$H$48^AA10</f>
        <v>41167456.7961637</v>
      </c>
      <c r="AB30" s="61" t="n">
        <f aca="false">AB8*Assumptions!$H$47*Assumptions!$H$48^AB10</f>
        <v>59692812.3544373</v>
      </c>
      <c r="AC30" s="61" t="n">
        <f aca="false">AC8*Assumptions!$H$47*Assumptions!$H$48^AC10</f>
        <v>86554577.9139341</v>
      </c>
      <c r="AD30" s="61" t="n">
        <f aca="false">AD8*Assumptions!$H$47*Assumptions!$H$48^AD10</f>
        <v>125504137.975204</v>
      </c>
      <c r="AE30" s="61" t="n">
        <f aca="false">AE8*Assumptions!$H$47*Assumptions!$H$48^AE10</f>
        <v>181981000.064047</v>
      </c>
      <c r="AF30" s="61" t="n">
        <f aca="false">AF8*Assumptions!$H$47*Assumptions!$H$48^AF10</f>
        <v>263872450.092867</v>
      </c>
      <c r="AG30" s="61" t="n">
        <f aca="false">AG8*Assumptions!$H$47*Assumptions!$H$48^AG10</f>
        <v>382615052.634658</v>
      </c>
      <c r="AH30" s="61" t="n">
        <f aca="false">AH8*Assumptions!$H$47*Assumptions!$H$48^AH10</f>
        <v>554791826.320254</v>
      </c>
      <c r="AI30" s="61" t="n">
        <f aca="false">AI8*Assumptions!$H$47*Assumptions!$H$48^AI10</f>
        <v>804448148.164368</v>
      </c>
      <c r="AJ30" s="61" t="n">
        <f aca="false">AJ8*Assumptions!$H$47*Assumptions!$H$48^AJ10</f>
        <v>1166449814.83833</v>
      </c>
      <c r="AK30" s="61" t="n">
        <f aca="false">AK8*Assumptions!$H$47*Assumptions!$H$48^AK10</f>
        <v>1691352231.51558</v>
      </c>
      <c r="AL30" s="61" t="n">
        <f aca="false">AL8*Assumptions!$H$47*Assumptions!$H$48^AL10</f>
        <v>2452460735.6976</v>
      </c>
      <c r="AM30" s="61" t="n">
        <f aca="false">AL30</f>
        <v>2452460735.6976</v>
      </c>
    </row>
    <row r="31" customFormat="false" ht="15" hidden="false" customHeight="false" outlineLevel="0" collapsed="false">
      <c r="A31" s="10" t="s">
        <v>766</v>
      </c>
      <c r="B31" s="9" t="s">
        <v>51</v>
      </c>
      <c r="C31" s="61" t="n">
        <f aca="false">Assumptions!$H$49*C8*(C15+C13*Assumptions!$H$44+C19*Assumptions!$H$31*Assumptions!$H$32+C23*Assumptions!$H$38*Assumptions!$H$39+C25*Assumptions!$H$43)</f>
        <v>0</v>
      </c>
      <c r="D31" s="61" t="n">
        <f aca="false">Assumptions!$H$49*D8*(D15+D13*Assumptions!$H$44+D19*Assumptions!$H$31*Assumptions!$H$32+D23*Assumptions!$H$38*Assumptions!$H$39+D25*Assumptions!$H$43)</f>
        <v>904.692396668966</v>
      </c>
      <c r="E31" s="61" t="n">
        <f aca="false">Assumptions!$H$49*E8*(E15+E13*Assumptions!$H$44+E19*Assumptions!$H$31*Assumptions!$H$32+E23*Assumptions!$H$38*Assumptions!$H$39+E25*Assumptions!$H$43)</f>
        <v>514.044063101241</v>
      </c>
      <c r="F31" s="61" t="n">
        <f aca="false">Assumptions!$H$49*F8*(F15+F13*Assumptions!$H$44+F19*Assumptions!$H$31*Assumptions!$H$32+F23*Assumptions!$H$38*Assumptions!$H$39+F25*Assumptions!$H$43)</f>
        <v>492.658105204803</v>
      </c>
      <c r="G31" s="61" t="n">
        <f aca="false">Assumptions!$H$49*G8*(G15+G13*Assumptions!$H$44+G19*Assumptions!$H$31*Assumptions!$H$32+G23*Assumptions!$H$38*Assumptions!$H$39+G25*Assumptions!$H$43)</f>
        <v>462.689266906998</v>
      </c>
      <c r="H31" s="61" t="n">
        <f aca="false">Assumptions!$H$49*H8*(H15+H13*Assumptions!$H$44+H19*Assumptions!$H$31*Assumptions!$H$32+H23*Assumptions!$H$38*Assumptions!$H$39+H25*Assumptions!$H$43)</f>
        <v>438.96220394889</v>
      </c>
      <c r="I31" s="61" t="n">
        <f aca="false">Assumptions!$H$49*I8*(I15+I13*Assumptions!$H$44+I19*Assumptions!$H$31*Assumptions!$H$32+I23*Assumptions!$H$38*Assumptions!$H$39+I25*Assumptions!$H$43)</f>
        <v>420.429650752706</v>
      </c>
      <c r="J31" s="61" t="n">
        <f aca="false">Assumptions!$H$49*J8*(J15+J13*Assumptions!$H$44+J19*Assumptions!$H$31*Assumptions!$H$32+J23*Assumptions!$H$38*Assumptions!$H$39+J25*Assumptions!$H$43)</f>
        <v>406.306017121936</v>
      </c>
      <c r="K31" s="61" t="n">
        <f aca="false">Assumptions!$H$49*K8*(K15+K13*Assumptions!$H$44+K19*Assumptions!$H$31*Assumptions!$H$32+K23*Assumptions!$H$38*Assumptions!$H$39+K25*Assumptions!$H$43)</f>
        <v>395.88268192113</v>
      </c>
      <c r="L31" s="61" t="n">
        <f aca="false">Assumptions!$H$49*L8*(L15+L13*Assumptions!$H$44+L19*Assumptions!$H$31*Assumptions!$H$32+L23*Assumptions!$H$38*Assumptions!$H$39+L25*Assumptions!$H$43)</f>
        <v>388.812704185628</v>
      </c>
      <c r="M31" s="61" t="n">
        <f aca="false">Assumptions!$H$49*M8*(M15+M13*Assumptions!$H$44+M19*Assumptions!$H$31*Assumptions!$H$32+M23*Assumptions!$H$38*Assumptions!$H$39+M25*Assumptions!$H$43)</f>
        <v>393.186756059034</v>
      </c>
      <c r="N31" s="61" t="n">
        <f aca="false">Assumptions!$H$49*N8*(N15+N13*Assumptions!$H$44+N19*Assumptions!$H$31*Assumptions!$H$32+N23*Assumptions!$H$38*Assumptions!$H$39+N25*Assumptions!$H$43)</f>
        <v>399.678708180461</v>
      </c>
      <c r="O31" s="61" t="n">
        <f aca="false">Assumptions!$H$49*O8*(O15+O13*Assumptions!$H$44+O19*Assumptions!$H$31*Assumptions!$H$32+O23*Assumptions!$H$38*Assumptions!$H$39+O25*Assumptions!$H$43)</f>
        <v>407.845161603701</v>
      </c>
      <c r="P31" s="61" t="n">
        <f aca="false">Assumptions!$H$49*P8*(P15+P13*Assumptions!$H$44+P19*Assumptions!$H$31*Assumptions!$H$32+P23*Assumptions!$H$38*Assumptions!$H$39+P25*Assumptions!$H$43)</f>
        <v>417.522709256762</v>
      </c>
      <c r="Q31" s="61" t="n">
        <f aca="false">Assumptions!$H$49*Q8*(Q15+Q13*Assumptions!$H$44+Q19*Assumptions!$H$31*Assumptions!$H$32+Q23*Assumptions!$H$38*Assumptions!$H$39+Q25*Assumptions!$H$43)</f>
        <v>428.632949964175</v>
      </c>
      <c r="R31" s="61" t="n">
        <f aca="false">Assumptions!$H$49*R8*(R15+R13*Assumptions!$H$44+R19*Assumptions!$H$31*Assumptions!$H$32+R23*Assumptions!$H$38*Assumptions!$H$39+R25*Assumptions!$H$43)</f>
        <v>441.128901879452</v>
      </c>
      <c r="S31" s="61" t="n">
        <f aca="false">Assumptions!$H$49*S8*(S15+S13*Assumptions!$H$44+S19*Assumptions!$H$31*Assumptions!$H$32+S23*Assumptions!$H$38*Assumptions!$H$39+S25*Assumptions!$H$43)</f>
        <v>454.990507995448</v>
      </c>
      <c r="T31" s="61" t="n">
        <f aca="false">Assumptions!$H$49*T8*(T15+T13*Assumptions!$H$44+T19*Assumptions!$H$31*Assumptions!$H$32+T23*Assumptions!$H$38*Assumptions!$H$39+T25*Assumptions!$H$43)</f>
        <v>470.222356218307</v>
      </c>
      <c r="U31" s="61" t="n">
        <f aca="false">Assumptions!$H$49*U8*(U15+U13*Assumptions!$H$44+U19*Assumptions!$H$31*Assumptions!$H$32+U23*Assumptions!$H$38*Assumptions!$H$39+U25*Assumptions!$H$43)</f>
        <v>486.851656168249</v>
      </c>
      <c r="V31" s="61" t="n">
        <f aca="false">Assumptions!$H$49*V8*(V15+V13*Assumptions!$H$44+V19*Assumptions!$H$31*Assumptions!$H$32+V23*Assumptions!$H$38*Assumptions!$H$39+V25*Assumptions!$H$43)</f>
        <v>504.92643231079</v>
      </c>
      <c r="W31" s="61" t="n">
        <f aca="false">Assumptions!$H$49*W8*(W15+W13*Assumptions!$H$44+W19*Assumptions!$H$31*Assumptions!$H$32+W23*Assumptions!$H$38*Assumptions!$H$39+W25*Assumptions!$H$43)</f>
        <v>524.514042855892</v>
      </c>
      <c r="X31" s="61" t="n">
        <f aca="false">Assumptions!$H$49*X8*(X15+X13*Assumptions!$H$44+X19*Assumptions!$H$31*Assumptions!$H$32+X23*Assumptions!$H$38*Assumptions!$H$39+X25*Assumptions!$H$43)</f>
        <v>545.700063051997</v>
      </c>
      <c r="Y31" s="61" t="n">
        <f aca="false">Assumptions!$H$49*Y8*(Y15+Y13*Assumptions!$H$44+Y19*Assumptions!$H$31*Assumptions!$H$32+Y23*Assumptions!$H$38*Assumptions!$H$39+Y25*Assumptions!$H$43)</f>
        <v>568.587528193329</v>
      </c>
      <c r="Z31" s="61" t="n">
        <f aca="false">Assumptions!$H$49*Z8*(Z15+Z13*Assumptions!$H$44+Z19*Assumptions!$H$31*Assumptions!$H$32+Z23*Assumptions!$H$38*Assumptions!$H$39+Z25*Assumptions!$H$43)</f>
        <v>593.296512487111</v>
      </c>
      <c r="AA31" s="61" t="n">
        <f aca="false">Assumptions!$H$49*AA8*(AA15+AA13*Assumptions!$H$44+AA19*Assumptions!$H$31*Assumptions!$H$32+AA23*Assumptions!$H$38*Assumptions!$H$39+AA25*Assumptions!$H$43)</f>
        <v>619.96401395955</v>
      </c>
      <c r="AB31" s="61" t="n">
        <f aca="false">Assumptions!$H$49*AB8*(AB15+AB13*Assumptions!$H$44+AB19*Assumptions!$H$31*Assumptions!$H$32+AB23*Assumptions!$H$38*Assumptions!$H$39+AB25*Assumptions!$H$43)</f>
        <v>648.74411611071</v>
      </c>
      <c r="AC31" s="61" t="n">
        <f aca="false">Assumptions!$H$49*AC8*(AC15+AC13*Assumptions!$H$44+AC19*Assumptions!$H$31*Assumptions!$H$32+AC23*Assumptions!$H$38*Assumptions!$H$39+AC25*Assumptions!$H$43)</f>
        <v>679.447894060694</v>
      </c>
      <c r="AD31" s="61" t="n">
        <f aca="false">Assumptions!$H$49*AD8*(AD15+AD13*Assumptions!$H$44+AD19*Assumptions!$H$31*Assumptions!$H$32+AD23*Assumptions!$H$38*Assumptions!$H$39+AD25*Assumptions!$H$43)</f>
        <v>712.126211230443</v>
      </c>
      <c r="AE31" s="61" t="n">
        <f aca="false">Assumptions!$H$49*AE8*(AE15+AE13*Assumptions!$H$44+AE19*Assumptions!$H$31*Assumptions!$H$32+AE23*Assumptions!$H$38*Assumptions!$H$39+AE25*Assumptions!$H$43)</f>
        <v>747.06522429569</v>
      </c>
      <c r="AF31" s="61" t="n">
        <f aca="false">Assumptions!$H$49*AF8*(AF15+AF13*Assumptions!$H$44+AF19*Assumptions!$H$31*Assumptions!$H$32+AF23*Assumptions!$H$38*Assumptions!$H$39+AF25*Assumptions!$H$43)</f>
        <v>784.490536839124</v>
      </c>
      <c r="AG31" s="61" t="n">
        <f aca="false">Assumptions!$H$49*AG8*(AG15+AG13*Assumptions!$H$44+AG19*Assumptions!$H$31*Assumptions!$H$32+AG23*Assumptions!$H$38*Assumptions!$H$39+AG25*Assumptions!$H$43)</f>
        <v>824.642770726176</v>
      </c>
      <c r="AH31" s="61" t="n">
        <f aca="false">Assumptions!$H$49*AH8*(AH15+AH13*Assumptions!$H$44+AH19*Assumptions!$H$31*Assumptions!$H$32+AH23*Assumptions!$H$38*Assumptions!$H$39+AH25*Assumptions!$H$43)</f>
        <v>867.781467985482</v>
      </c>
      <c r="AI31" s="61" t="n">
        <f aca="false">Assumptions!$H$49*AI8*(AI15+AI13*Assumptions!$H$44+AI19*Assumptions!$H$31*Assumptions!$H$32+AI23*Assumptions!$H$38*Assumptions!$H$39+AI25*Assumptions!$H$43)</f>
        <v>914.187263368001</v>
      </c>
      <c r="AJ31" s="61" t="n">
        <f aca="false">Assumptions!$H$49*AJ8*(AJ15+AJ13*Assumptions!$H$44+AJ19*Assumptions!$H$31*Assumptions!$H$32+AJ23*Assumptions!$H$38*Assumptions!$H$39+AJ25*Assumptions!$H$43)</f>
        <v>964.163733423428</v>
      </c>
      <c r="AK31" s="61" t="n">
        <f aca="false">Assumptions!$H$49*AK8*(AK15+AK13*Assumptions!$H$44+AK19*Assumptions!$H$31*Assumptions!$H$32+AK23*Assumptions!$H$38*Assumptions!$H$39+AK25*Assumptions!$H$43)</f>
        <v>1018.03937272206</v>
      </c>
      <c r="AL31" s="61" t="n">
        <f aca="false">Assumptions!$H$49*AL8*(AL15+AL13*Assumptions!$H$44+AL19*Assumptions!$H$31*Assumptions!$H$32+AL23*Assumptions!$H$38*Assumptions!$H$39+AL25*Assumptions!$H$43)</f>
        <v>1076.16974763415</v>
      </c>
      <c r="AM31" s="61" t="n">
        <f aca="false">SUM(C31:AL31)</f>
        <v>20918.3837283925</v>
      </c>
    </row>
    <row r="32" customFormat="false" ht="15" hidden="false" customHeight="false" outlineLevel="0" collapsed="false">
      <c r="A32" s="37" t="s">
        <v>767</v>
      </c>
      <c r="B32" s="9" t="s">
        <v>51</v>
      </c>
      <c r="C32" s="71" t="n">
        <f aca="false">MIN(C31,C30)</f>
        <v>0</v>
      </c>
      <c r="D32" s="71" t="n">
        <f aca="false">MIN(D31,D30)</f>
        <v>904.692396668966</v>
      </c>
      <c r="E32" s="71" t="n">
        <f aca="false">MIN(E31,E30)</f>
        <v>514.044063101241</v>
      </c>
      <c r="F32" s="71" t="n">
        <f aca="false">MIN(F31,F30)</f>
        <v>492.658105204803</v>
      </c>
      <c r="G32" s="71" t="n">
        <f aca="false">MIN(G31,G30)</f>
        <v>462.689266906998</v>
      </c>
      <c r="H32" s="71" t="n">
        <f aca="false">MIN(H31,H30)</f>
        <v>438.96220394889</v>
      </c>
      <c r="I32" s="71" t="n">
        <f aca="false">MIN(I31,I30)</f>
        <v>420.429650752706</v>
      </c>
      <c r="J32" s="71" t="n">
        <f aca="false">MIN(J31,J30)</f>
        <v>406.306017121936</v>
      </c>
      <c r="K32" s="71" t="n">
        <f aca="false">MIN(K31,K30)</f>
        <v>395.88268192113</v>
      </c>
      <c r="L32" s="71" t="n">
        <f aca="false">MIN(L31,L30)</f>
        <v>388.812704185628</v>
      </c>
      <c r="M32" s="71" t="n">
        <f aca="false">MIN(M31,M30)</f>
        <v>393.186756059034</v>
      </c>
      <c r="N32" s="71" t="n">
        <f aca="false">MIN(N31,N30)</f>
        <v>399.678708180461</v>
      </c>
      <c r="O32" s="71" t="n">
        <f aca="false">MIN(O31,O30)</f>
        <v>407.845161603701</v>
      </c>
      <c r="P32" s="71" t="n">
        <f aca="false">MIN(P31,P30)</f>
        <v>417.522709256762</v>
      </c>
      <c r="Q32" s="71" t="n">
        <f aca="false">MIN(Q31,Q30)</f>
        <v>428.632949964175</v>
      </c>
      <c r="R32" s="71" t="n">
        <f aca="false">MIN(R31,R30)</f>
        <v>441.128901879452</v>
      </c>
      <c r="S32" s="71" t="n">
        <f aca="false">MIN(S31,S30)</f>
        <v>454.990507995448</v>
      </c>
      <c r="T32" s="71" t="n">
        <f aca="false">MIN(T31,T30)</f>
        <v>470.222356218307</v>
      </c>
      <c r="U32" s="71" t="n">
        <f aca="false">MIN(U31,U30)</f>
        <v>486.851656168249</v>
      </c>
      <c r="V32" s="71" t="n">
        <f aca="false">MIN(V31,V30)</f>
        <v>504.92643231079</v>
      </c>
      <c r="W32" s="71" t="n">
        <f aca="false">MIN(W31,W30)</f>
        <v>524.514042855892</v>
      </c>
      <c r="X32" s="71" t="n">
        <f aca="false">MIN(X31,X30)</f>
        <v>545.700063051997</v>
      </c>
      <c r="Y32" s="71" t="n">
        <f aca="false">MIN(Y31,Y30)</f>
        <v>568.587528193329</v>
      </c>
      <c r="Z32" s="71" t="n">
        <f aca="false">MIN(Z31,Z30)</f>
        <v>593.296512487111</v>
      </c>
      <c r="AA32" s="71" t="n">
        <f aca="false">MIN(AA31,AA30)</f>
        <v>619.96401395955</v>
      </c>
      <c r="AB32" s="71" t="n">
        <f aca="false">MIN(AB31,AB30)</f>
        <v>648.74411611071</v>
      </c>
      <c r="AC32" s="71" t="n">
        <f aca="false">MIN(AC31,AC30)</f>
        <v>679.447894060694</v>
      </c>
      <c r="AD32" s="71" t="n">
        <f aca="false">MIN(AD31,AD30)</f>
        <v>712.126211230443</v>
      </c>
      <c r="AE32" s="71" t="n">
        <f aca="false">MIN(AE31,AE30)</f>
        <v>747.06522429569</v>
      </c>
      <c r="AF32" s="71" t="n">
        <f aca="false">MIN(AF31,AF30)</f>
        <v>784.490536839124</v>
      </c>
      <c r="AG32" s="71" t="n">
        <f aca="false">MIN(AG31,AG30)</f>
        <v>824.642770726176</v>
      </c>
      <c r="AH32" s="71" t="n">
        <f aca="false">MIN(AH31,AH30)</f>
        <v>867.781467985482</v>
      </c>
      <c r="AI32" s="71" t="n">
        <f aca="false">MIN(AI31,AI30)</f>
        <v>914.187263368001</v>
      </c>
      <c r="AJ32" s="71" t="n">
        <f aca="false">MIN(AJ31,AJ30)</f>
        <v>964.163733423428</v>
      </c>
      <c r="AK32" s="71" t="n">
        <f aca="false">MIN(AK31,AK30)</f>
        <v>1018.03937272206</v>
      </c>
      <c r="AL32" s="71" t="n">
        <f aca="false">MIN(AL31,AL30)</f>
        <v>1076.16974763415</v>
      </c>
      <c r="AM32" s="71" t="n">
        <f aca="false">SUM(C32:AL32)</f>
        <v>20918.3837283925</v>
      </c>
    </row>
    <row r="33" customFormat="false" ht="15" hidden="false" customHeight="false" outlineLevel="0" collapsed="false">
      <c r="A33" s="10" t="s">
        <v>768</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769</v>
      </c>
      <c r="B34" s="9" t="s">
        <v>51</v>
      </c>
      <c r="C34" s="61" t="n">
        <f aca="false">C32*Assumptions!$H$51</f>
        <v>0</v>
      </c>
      <c r="D34" s="61" t="n">
        <f aca="false">D32*Assumptions!$H$51</f>
        <v>361.876958667586</v>
      </c>
      <c r="E34" s="61" t="n">
        <f aca="false">E32*Assumptions!$H$51</f>
        <v>205.617625240497</v>
      </c>
      <c r="F34" s="61" t="n">
        <f aca="false">F32*Assumptions!$H$51</f>
        <v>197.063242081921</v>
      </c>
      <c r="G34" s="61" t="n">
        <f aca="false">G32*Assumptions!$H$51</f>
        <v>185.075706762799</v>
      </c>
      <c r="H34" s="61" t="n">
        <f aca="false">H32*Assumptions!$H$51</f>
        <v>175.584881579556</v>
      </c>
      <c r="I34" s="61" t="n">
        <f aca="false">I32*Assumptions!$H$51</f>
        <v>168.171860301083</v>
      </c>
      <c r="J34" s="61" t="n">
        <f aca="false">J32*Assumptions!$H$51</f>
        <v>162.522406848774</v>
      </c>
      <c r="K34" s="61" t="n">
        <f aca="false">K32*Assumptions!$H$51</f>
        <v>158.353072768452</v>
      </c>
      <c r="L34" s="61" t="n">
        <f aca="false">L32*Assumptions!$H$51</f>
        <v>155.525081674251</v>
      </c>
      <c r="M34" s="61" t="n">
        <f aca="false">M32*Assumptions!$H$51</f>
        <v>157.274702423614</v>
      </c>
      <c r="N34" s="61" t="n">
        <f aca="false">N32*Assumptions!$H$51</f>
        <v>159.871483272184</v>
      </c>
      <c r="O34" s="61" t="n">
        <f aca="false">O32*Assumptions!$H$51</f>
        <v>163.13806464148</v>
      </c>
      <c r="P34" s="61" t="n">
        <f aca="false">P32*Assumptions!$H$51</f>
        <v>167.009083702705</v>
      </c>
      <c r="Q34" s="61" t="n">
        <f aca="false">Q32*Assumptions!$H$51</f>
        <v>171.45317998567</v>
      </c>
      <c r="R34" s="61" t="n">
        <f aca="false">R32*Assumptions!$H$51</f>
        <v>176.451560751781</v>
      </c>
      <c r="S34" s="61" t="n">
        <f aca="false">S32*Assumptions!$H$51</f>
        <v>181.996203198179</v>
      </c>
      <c r="T34" s="61" t="n">
        <f aca="false">T32*Assumptions!$H$51</f>
        <v>188.088942487323</v>
      </c>
      <c r="U34" s="61" t="n">
        <f aca="false">U32*Assumptions!$H$51</f>
        <v>194.7406624673</v>
      </c>
      <c r="V34" s="61" t="n">
        <f aca="false">V32*Assumptions!$H$51</f>
        <v>201.970572924316</v>
      </c>
      <c r="W34" s="61" t="n">
        <f aca="false">W32*Assumptions!$H$51</f>
        <v>209.805617142357</v>
      </c>
      <c r="X34" s="61" t="n">
        <f aca="false">X32*Assumptions!$H$51</f>
        <v>218.280025220799</v>
      </c>
      <c r="Y34" s="61" t="n">
        <f aca="false">Y32*Assumptions!$H$51</f>
        <v>227.435011277332</v>
      </c>
      <c r="Z34" s="61" t="n">
        <f aca="false">Z32*Assumptions!$H$51</f>
        <v>237.318604994844</v>
      </c>
      <c r="AA34" s="61" t="n">
        <f aca="false">AA32*Assumptions!$H$51</f>
        <v>247.98560558382</v>
      </c>
      <c r="AB34" s="61" t="n">
        <f aca="false">AB32*Assumptions!$H$51</f>
        <v>259.497646444284</v>
      </c>
      <c r="AC34" s="61" t="n">
        <f aca="false">AC32*Assumptions!$H$51</f>
        <v>271.779157624278</v>
      </c>
      <c r="AD34" s="61" t="n">
        <f aca="false">AD32*Assumptions!$H$51</f>
        <v>284.850484492177</v>
      </c>
      <c r="AE34" s="61" t="n">
        <f aca="false">AE32*Assumptions!$H$51</f>
        <v>298.826089718276</v>
      </c>
      <c r="AF34" s="61" t="n">
        <f aca="false">AF32*Assumptions!$H$51</f>
        <v>313.79621473565</v>
      </c>
      <c r="AG34" s="61" t="n">
        <f aca="false">AG32*Assumptions!$H$51</f>
        <v>329.857108290471</v>
      </c>
      <c r="AH34" s="61" t="n">
        <f aca="false">AH32*Assumptions!$H$51</f>
        <v>347.112587194193</v>
      </c>
      <c r="AI34" s="61" t="n">
        <f aca="false">AI32*Assumptions!$H$51</f>
        <v>365.674905347201</v>
      </c>
      <c r="AJ34" s="61" t="n">
        <f aca="false">AJ32*Assumptions!$H$51</f>
        <v>385.665493369371</v>
      </c>
      <c r="AK34" s="61" t="n">
        <f aca="false">AK32*Assumptions!$H$51</f>
        <v>407.215749088825</v>
      </c>
      <c r="AL34" s="61" t="n">
        <f aca="false">AL32*Assumptions!$H$51</f>
        <v>430.467899053658</v>
      </c>
      <c r="AM34" s="61" t="n">
        <f aca="false">SUM(C34:AL34)</f>
        <v>8367.35349135701</v>
      </c>
    </row>
    <row r="35" customFormat="false" ht="15" hidden="false" customHeight="false" outlineLevel="0" collapsed="false">
      <c r="A35" s="10" t="s">
        <v>770</v>
      </c>
      <c r="B35" s="9" t="s">
        <v>51</v>
      </c>
      <c r="C35" s="61" t="n">
        <f aca="false">C32*(1-Assumptions!$H$51)</f>
        <v>0</v>
      </c>
      <c r="D35" s="61" t="n">
        <f aca="false">D32*(1-Assumptions!$H$51)</f>
        <v>542.815438001379</v>
      </c>
      <c r="E35" s="61" t="n">
        <f aca="false">E32*(1-Assumptions!$H$51)</f>
        <v>308.426437860745</v>
      </c>
      <c r="F35" s="61" t="n">
        <f aca="false">F32*(1-Assumptions!$H$51)</f>
        <v>295.594863122881</v>
      </c>
      <c r="G35" s="61" t="n">
        <f aca="false">G32*(1-Assumptions!$H$51)</f>
        <v>277.613560144199</v>
      </c>
      <c r="H35" s="61" t="n">
        <f aca="false">H32*(1-Assumptions!$H$51)</f>
        <v>263.377322369334</v>
      </c>
      <c r="I35" s="61" t="n">
        <f aca="false">I32*(1-Assumptions!$H$51)</f>
        <v>252.257790451624</v>
      </c>
      <c r="J35" s="61" t="n">
        <f aca="false">J32*(1-Assumptions!$H$51)</f>
        <v>243.783610273162</v>
      </c>
      <c r="K35" s="61" t="n">
        <f aca="false">K32*(1-Assumptions!$H$51)</f>
        <v>237.529609152678</v>
      </c>
      <c r="L35" s="61" t="n">
        <f aca="false">L32*(1-Assumptions!$H$51)</f>
        <v>233.287622511377</v>
      </c>
      <c r="M35" s="61" t="n">
        <f aca="false">M32*(1-Assumptions!$H$51)</f>
        <v>235.91205363542</v>
      </c>
      <c r="N35" s="61" t="n">
        <f aca="false">N32*(1-Assumptions!$H$51)</f>
        <v>239.807224908277</v>
      </c>
      <c r="O35" s="61" t="n">
        <f aca="false">O32*(1-Assumptions!$H$51)</f>
        <v>244.707096962221</v>
      </c>
      <c r="P35" s="61" t="n">
        <f aca="false">P32*(1-Assumptions!$H$51)</f>
        <v>250.513625554057</v>
      </c>
      <c r="Q35" s="61" t="n">
        <f aca="false">Q32*(1-Assumptions!$H$51)</f>
        <v>257.179769978505</v>
      </c>
      <c r="R35" s="61" t="n">
        <f aca="false">R32*(1-Assumptions!$H$51)</f>
        <v>264.677341127671</v>
      </c>
      <c r="S35" s="61" t="n">
        <f aca="false">S32*(1-Assumptions!$H$51)</f>
        <v>272.994304797269</v>
      </c>
      <c r="T35" s="61" t="n">
        <f aca="false">T32*(1-Assumptions!$H$51)</f>
        <v>282.133413730984</v>
      </c>
      <c r="U35" s="61" t="n">
        <f aca="false">U32*(1-Assumptions!$H$51)</f>
        <v>292.11099370095</v>
      </c>
      <c r="V35" s="61" t="n">
        <f aca="false">V32*(1-Assumptions!$H$51)</f>
        <v>302.955859386474</v>
      </c>
      <c r="W35" s="61" t="n">
        <f aca="false">W32*(1-Assumptions!$H$51)</f>
        <v>314.708425713535</v>
      </c>
      <c r="X35" s="61" t="n">
        <f aca="false">X32*(1-Assumptions!$H$51)</f>
        <v>327.420037831198</v>
      </c>
      <c r="Y35" s="61" t="n">
        <f aca="false">Y32*(1-Assumptions!$H$51)</f>
        <v>341.152516915997</v>
      </c>
      <c r="Z35" s="61" t="n">
        <f aca="false">Z32*(1-Assumptions!$H$51)</f>
        <v>355.977907492267</v>
      </c>
      <c r="AA35" s="61" t="n">
        <f aca="false">AA32*(1-Assumptions!$H$51)</f>
        <v>371.97840837573</v>
      </c>
      <c r="AB35" s="61" t="n">
        <f aca="false">AB32*(1-Assumptions!$H$51)</f>
        <v>389.246469666426</v>
      </c>
      <c r="AC35" s="61" t="n">
        <f aca="false">AC32*(1-Assumptions!$H$51)</f>
        <v>407.668736436416</v>
      </c>
      <c r="AD35" s="61" t="n">
        <f aca="false">AD32*(1-Assumptions!$H$51)</f>
        <v>427.275726738266</v>
      </c>
      <c r="AE35" s="61" t="n">
        <f aca="false">AE32*(1-Assumptions!$H$51)</f>
        <v>448.239134577414</v>
      </c>
      <c r="AF35" s="61" t="n">
        <f aca="false">AF32*(1-Assumptions!$H$51)</f>
        <v>470.694322103474</v>
      </c>
      <c r="AG35" s="61" t="n">
        <f aca="false">AG32*(1-Assumptions!$H$51)</f>
        <v>494.785662435706</v>
      </c>
      <c r="AH35" s="61" t="n">
        <f aca="false">AH32*(1-Assumptions!$H$51)</f>
        <v>520.668880791289</v>
      </c>
      <c r="AI35" s="61" t="n">
        <f aca="false">AI32*(1-Assumptions!$H$51)</f>
        <v>548.512358020801</v>
      </c>
      <c r="AJ35" s="61" t="n">
        <f aca="false">AJ32*(1-Assumptions!$H$51)</f>
        <v>578.498240054057</v>
      </c>
      <c r="AK35" s="61" t="n">
        <f aca="false">AK32*(1-Assumptions!$H$51)</f>
        <v>610.823623633238</v>
      </c>
      <c r="AL35" s="61" t="n">
        <f aca="false">AL32*(1-Assumptions!$H$51)</f>
        <v>645.701848580487</v>
      </c>
      <c r="AM35" s="61" t="n">
        <f aca="false">SUM(C35:AL35)</f>
        <v>12551.0302370355</v>
      </c>
    </row>
    <row r="36" customFormat="false" ht="15" hidden="false" customHeight="false" outlineLevel="0" collapsed="false">
      <c r="A36" s="37" t="s">
        <v>771</v>
      </c>
      <c r="B36" s="9" t="s">
        <v>51</v>
      </c>
      <c r="C36" s="71" t="n">
        <f aca="false">C34</f>
        <v>0</v>
      </c>
      <c r="D36" s="71" t="n">
        <f aca="false">C36*(1-Assumptions!$H$52)+D34</f>
        <v>361.876958667586</v>
      </c>
      <c r="E36" s="71" t="n">
        <f aca="false">D36*(1-Assumptions!$H$52)+E34</f>
        <v>542.163196801352</v>
      </c>
      <c r="F36" s="71" t="n">
        <f aca="false">E36*(1-Assumptions!$H$52)+F34</f>
        <v>701.275015107178</v>
      </c>
      <c r="G36" s="71" t="n">
        <f aca="false">F36*(1-Assumptions!$H$52)+G34</f>
        <v>837.261470812475</v>
      </c>
      <c r="H36" s="71" t="n">
        <f aca="false">G36*(1-Assumptions!$H$52)+H34</f>
        <v>954.238049435157</v>
      </c>
      <c r="I36" s="71" t="n">
        <f aca="false">H36*(1-Assumptions!$H$52)+I34</f>
        <v>1055.61324627578</v>
      </c>
      <c r="J36" s="71" t="n">
        <f aca="false">I36*(1-Assumptions!$H$52)+J34</f>
        <v>1144.24272588525</v>
      </c>
      <c r="K36" s="71" t="n">
        <f aca="false">J36*(1-Assumptions!$H$52)+K34</f>
        <v>1222.49880784173</v>
      </c>
      <c r="L36" s="71" t="n">
        <f aca="false">K36*(1-Assumptions!$H$52)+L34</f>
        <v>1292.44897296706</v>
      </c>
      <c r="M36" s="71" t="n">
        <f aca="false">L36*(1-Assumptions!$H$52)+M34</f>
        <v>1359.25224728298</v>
      </c>
      <c r="N36" s="71" t="n">
        <f aca="false">M36*(1-Assumptions!$H$52)+N34</f>
        <v>1423.97607324536</v>
      </c>
      <c r="O36" s="71" t="n">
        <f aca="false">N36*(1-Assumptions!$H$52)+O34</f>
        <v>1487.43581275966</v>
      </c>
      <c r="P36" s="71" t="n">
        <f aca="false">O36*(1-Assumptions!$H$52)+P34</f>
        <v>1550.32438956919</v>
      </c>
      <c r="Q36" s="71" t="n">
        <f aca="false">P36*(1-Assumptions!$H$52)+Q34</f>
        <v>1613.25486228502</v>
      </c>
      <c r="R36" s="71" t="n">
        <f aca="false">Q36*(1-Assumptions!$H$52)+R34</f>
        <v>1676.77858267685</v>
      </c>
      <c r="S36" s="71" t="n">
        <f aca="false">R36*(1-Assumptions!$H$52)+S34</f>
        <v>1741.40028508765</v>
      </c>
      <c r="T36" s="71" t="n">
        <f aca="false">S36*(1-Assumptions!$H$52)+T34</f>
        <v>1807.59120761883</v>
      </c>
      <c r="U36" s="71" t="n">
        <f aca="false">T36*(1-Assumptions!$H$52)+U34</f>
        <v>1875.80048555282</v>
      </c>
      <c r="V36" s="71" t="n">
        <f aca="false">U36*(1-Assumptions!$H$52)+V34</f>
        <v>1946.46502448843</v>
      </c>
      <c r="W36" s="71" t="n">
        <f aca="false">V36*(1-Assumptions!$H$52)+W34</f>
        <v>2020.0180899166</v>
      </c>
      <c r="X36" s="71" t="n">
        <f aca="false">W36*(1-Assumptions!$H$52)+X34</f>
        <v>2096.89684884324</v>
      </c>
      <c r="Y36" s="71" t="n">
        <f aca="false">X36*(1-Assumptions!$H$52)+Y34</f>
        <v>2177.54908070154</v>
      </c>
      <c r="Z36" s="71" t="n">
        <f aca="false">Y36*(1-Assumptions!$H$52)+Z34</f>
        <v>2262.43925004728</v>
      </c>
      <c r="AA36" s="71" t="n">
        <f aca="false">Z36*(1-Assumptions!$H$52)+AA34</f>
        <v>2352.05410812779</v>
      </c>
      <c r="AB36" s="71" t="n">
        <f aca="false">AA36*(1-Assumptions!$H$52)+AB34</f>
        <v>2446.90796700313</v>
      </c>
      <c r="AC36" s="71" t="n">
        <f aca="false">AB36*(1-Assumptions!$H$52)+AC34</f>
        <v>2547.40356693719</v>
      </c>
      <c r="AD36" s="71" t="n">
        <f aca="false">AC36*(1-Assumptions!$H$52)+AD34</f>
        <v>2653.93580174376</v>
      </c>
      <c r="AE36" s="71" t="n">
        <f aca="false">AD36*(1-Assumptions!$H$52)+AE34</f>
        <v>2766.98638533997</v>
      </c>
      <c r="AF36" s="71" t="n">
        <f aca="false">AE36*(1-Assumptions!$H$52)+AF34</f>
        <v>2887.09355310182</v>
      </c>
      <c r="AG36" s="71" t="n">
        <f aca="false">AF36*(1-Assumptions!$H$52)+AG34</f>
        <v>3014.85411267517</v>
      </c>
      <c r="AH36" s="71" t="n">
        <f aca="false">AG36*(1-Assumptions!$H$52)+AH34</f>
        <v>3150.9269119821</v>
      </c>
      <c r="AI36" s="71" t="n">
        <f aca="false">AH36*(1-Assumptions!$H$52)+AI34</f>
        <v>3296.03693349055</v>
      </c>
      <c r="AJ36" s="71" t="n">
        <f aca="false">AI36*(1-Assumptions!$H$52)+AJ34</f>
        <v>3450.97984151558</v>
      </c>
      <c r="AK36" s="71" t="n">
        <f aca="false">AJ36*(1-Assumptions!$H$52)+AK34</f>
        <v>3616.62700169832</v>
      </c>
      <c r="AL36" s="71" t="n">
        <f aca="false">AK36*(1-Assumptions!$H$52)+AL34</f>
        <v>3793.93101063309</v>
      </c>
      <c r="AM36" s="71" t="n">
        <f aca="false">AL36</f>
        <v>3793.93101063309</v>
      </c>
    </row>
    <row r="37" customFormat="false" ht="15" hidden="false" customHeight="false" outlineLevel="0" collapsed="false">
      <c r="A37" s="10" t="s">
        <v>772</v>
      </c>
      <c r="B37" s="9" t="s">
        <v>51</v>
      </c>
      <c r="C37" s="61" t="n">
        <f aca="false">0</f>
        <v>0</v>
      </c>
      <c r="D37" s="61" t="n">
        <f aca="false">C36*Assumptions!$H$52</f>
        <v>0</v>
      </c>
      <c r="E37" s="61" t="n">
        <f aca="false">D36*Assumptions!$H$52</f>
        <v>25.331387106731</v>
      </c>
      <c r="F37" s="61" t="n">
        <f aca="false">E36*Assumptions!$H$52</f>
        <v>37.9514237760946</v>
      </c>
      <c r="G37" s="61" t="n">
        <f aca="false">F36*Assumptions!$H$52</f>
        <v>49.0892510575025</v>
      </c>
      <c r="H37" s="61" t="n">
        <f aca="false">G36*Assumptions!$H$52</f>
        <v>58.6083029568732</v>
      </c>
      <c r="I37" s="61" t="n">
        <f aca="false">H36*Assumptions!$H$52</f>
        <v>66.796663460461</v>
      </c>
      <c r="J37" s="61" t="n">
        <f aca="false">I36*Assumptions!$H$52</f>
        <v>73.8929272393045</v>
      </c>
      <c r="K37" s="61" t="n">
        <f aca="false">J36*Assumptions!$H$52</f>
        <v>80.0969908119674</v>
      </c>
      <c r="L37" s="61" t="n">
        <f aca="false">K36*Assumptions!$H$52</f>
        <v>85.5749165489213</v>
      </c>
      <c r="M37" s="61" t="n">
        <f aca="false">L36*Assumptions!$H$52</f>
        <v>90.4714281076944</v>
      </c>
      <c r="N37" s="61" t="n">
        <f aca="false">M36*Assumptions!$H$52</f>
        <v>95.1476573098087</v>
      </c>
      <c r="O37" s="61" t="n">
        <f aca="false">N36*Assumptions!$H$52</f>
        <v>99.678325127175</v>
      </c>
      <c r="P37" s="61" t="n">
        <f aca="false">O36*Assumptions!$H$52</f>
        <v>104.120506893176</v>
      </c>
      <c r="Q37" s="61" t="n">
        <f aca="false">P36*Assumptions!$H$52</f>
        <v>108.522707269843</v>
      </c>
      <c r="R37" s="61" t="n">
        <f aca="false">Q36*Assumptions!$H$52</f>
        <v>112.927840359951</v>
      </c>
      <c r="S37" s="61" t="n">
        <f aca="false">R36*Assumptions!$H$52</f>
        <v>117.374500787379</v>
      </c>
      <c r="T37" s="61" t="n">
        <f aca="false">S36*Assumptions!$H$52</f>
        <v>121.898019956135</v>
      </c>
      <c r="U37" s="61" t="n">
        <f aca="false">T36*Assumptions!$H$52</f>
        <v>126.531384533318</v>
      </c>
      <c r="V37" s="61" t="n">
        <f aca="false">U36*Assumptions!$H$52</f>
        <v>131.306033988697</v>
      </c>
      <c r="W37" s="61" t="n">
        <f aca="false">V36*Assumptions!$H$52</f>
        <v>136.25255171419</v>
      </c>
      <c r="X37" s="61" t="n">
        <f aca="false">W36*Assumptions!$H$52</f>
        <v>141.401266294162</v>
      </c>
      <c r="Y37" s="61" t="n">
        <f aca="false">X36*Assumptions!$H$52</f>
        <v>146.782779419027</v>
      </c>
      <c r="Z37" s="61" t="n">
        <f aca="false">Y36*Assumptions!$H$52</f>
        <v>152.428435649108</v>
      </c>
      <c r="AA37" s="61" t="n">
        <f aca="false">Z36*Assumptions!$H$52</f>
        <v>158.370747503309</v>
      </c>
      <c r="AB37" s="61" t="n">
        <f aca="false">AA36*Assumptions!$H$52</f>
        <v>164.643787568945</v>
      </c>
      <c r="AC37" s="61" t="n">
        <f aca="false">AB36*Assumptions!$H$52</f>
        <v>171.283557690219</v>
      </c>
      <c r="AD37" s="61" t="n">
        <f aca="false">AC36*Assumptions!$H$52</f>
        <v>178.318249685603</v>
      </c>
      <c r="AE37" s="61" t="n">
        <f aca="false">AD36*Assumptions!$H$52</f>
        <v>185.775506122063</v>
      </c>
      <c r="AF37" s="61" t="n">
        <f aca="false">AE36*Assumptions!$H$52</f>
        <v>193.689046973798</v>
      </c>
      <c r="AG37" s="61" t="n">
        <f aca="false">AF36*Assumptions!$H$52</f>
        <v>202.096548717128</v>
      </c>
      <c r="AH37" s="61" t="n">
        <f aca="false">AG36*Assumptions!$H$52</f>
        <v>211.039787887262</v>
      </c>
      <c r="AI37" s="61" t="n">
        <f aca="false">AH36*Assumptions!$H$52</f>
        <v>220.564883838747</v>
      </c>
      <c r="AJ37" s="61" t="n">
        <f aca="false">AI36*Assumptions!$H$52</f>
        <v>230.722585344339</v>
      </c>
      <c r="AK37" s="61" t="n">
        <f aca="false">AJ36*Assumptions!$H$52</f>
        <v>241.568588906091</v>
      </c>
      <c r="AL37" s="61" t="n">
        <f aca="false">AK36*Assumptions!$H$52</f>
        <v>253.163890118882</v>
      </c>
      <c r="AM37" s="61" t="n">
        <f aca="false">SUM(C37:AL37)</f>
        <v>4573.42248072391</v>
      </c>
    </row>
    <row r="38" customFormat="false" ht="15" hidden="false" customHeight="false" outlineLevel="0" collapsed="false">
      <c r="A38" s="10" t="s">
        <v>773</v>
      </c>
      <c r="B38" s="9" t="s">
        <v>51</v>
      </c>
      <c r="C38" s="61" t="n">
        <f aca="false">0</f>
        <v>0</v>
      </c>
      <c r="D38" s="61" t="n">
        <f aca="false">C35*Assumptions!$H$53</f>
        <v>0</v>
      </c>
      <c r="E38" s="61" t="n">
        <f aca="false">D35*Assumptions!$H$53</f>
        <v>59.7096981801517</v>
      </c>
      <c r="F38" s="61" t="n">
        <f aca="false">E35*Assumptions!$H$53</f>
        <v>33.9269081646819</v>
      </c>
      <c r="G38" s="61" t="n">
        <f aca="false">F35*Assumptions!$H$53</f>
        <v>32.515434943517</v>
      </c>
      <c r="H38" s="61" t="n">
        <f aca="false">G35*Assumptions!$H$53</f>
        <v>30.5374916158619</v>
      </c>
      <c r="I38" s="61" t="n">
        <f aca="false">H35*Assumptions!$H$53</f>
        <v>28.9715054606267</v>
      </c>
      <c r="J38" s="61" t="n">
        <f aca="false">I35*Assumptions!$H$53</f>
        <v>27.7483569496786</v>
      </c>
      <c r="K38" s="61" t="n">
        <f aca="false">J35*Assumptions!$H$53</f>
        <v>26.8161971300478</v>
      </c>
      <c r="L38" s="61" t="n">
        <f aca="false">K35*Assumptions!$H$53</f>
        <v>26.1282570067946</v>
      </c>
      <c r="M38" s="61" t="n">
        <f aca="false">L35*Assumptions!$H$53</f>
        <v>25.6616384762515</v>
      </c>
      <c r="N38" s="61" t="n">
        <f aca="false">M35*Assumptions!$H$53</f>
        <v>25.9503258998962</v>
      </c>
      <c r="O38" s="61" t="n">
        <f aca="false">N35*Assumptions!$H$53</f>
        <v>26.3787947399104</v>
      </c>
      <c r="P38" s="61" t="n">
        <f aca="false">O35*Assumptions!$H$53</f>
        <v>26.9177806658443</v>
      </c>
      <c r="Q38" s="61" t="n">
        <f aca="false">P35*Assumptions!$H$53</f>
        <v>27.5564988109463</v>
      </c>
      <c r="R38" s="61" t="n">
        <f aca="false">Q35*Assumptions!$H$53</f>
        <v>28.2897746976356</v>
      </c>
      <c r="S38" s="61" t="n">
        <f aca="false">R35*Assumptions!$H$53</f>
        <v>29.1145075240438</v>
      </c>
      <c r="T38" s="61" t="n">
        <f aca="false">S35*Assumptions!$H$53</f>
        <v>30.0293735276996</v>
      </c>
      <c r="U38" s="61" t="n">
        <f aca="false">T35*Assumptions!$H$53</f>
        <v>31.0346755104083</v>
      </c>
      <c r="V38" s="61" t="n">
        <f aca="false">U35*Assumptions!$H$53</f>
        <v>32.1322093071045</v>
      </c>
      <c r="W38" s="61" t="n">
        <f aca="false">V35*Assumptions!$H$53</f>
        <v>33.3251445325121</v>
      </c>
      <c r="X38" s="61" t="n">
        <f aca="false">W35*Assumptions!$H$53</f>
        <v>34.6179268284889</v>
      </c>
      <c r="Y38" s="61" t="n">
        <f aca="false">X35*Assumptions!$H$53</f>
        <v>36.0162041614318</v>
      </c>
      <c r="Z38" s="61" t="n">
        <f aca="false">Y35*Assumptions!$H$53</f>
        <v>37.5267768607597</v>
      </c>
      <c r="AA38" s="61" t="n">
        <f aca="false">Z35*Assumptions!$H$53</f>
        <v>39.1575698241493</v>
      </c>
      <c r="AB38" s="61" t="n">
        <f aca="false">AA35*Assumptions!$H$53</f>
        <v>40.9176249213303</v>
      </c>
      <c r="AC38" s="61" t="n">
        <f aca="false">AB35*Assumptions!$H$53</f>
        <v>42.8171116633069</v>
      </c>
      <c r="AD38" s="61" t="n">
        <f aca="false">AC35*Assumptions!$H$53</f>
        <v>44.8435610080058</v>
      </c>
      <c r="AE38" s="61" t="n">
        <f aca="false">AD35*Assumptions!$H$53</f>
        <v>47.0003299412092</v>
      </c>
      <c r="AF38" s="61" t="n">
        <f aca="false">AE35*Assumptions!$H$53</f>
        <v>49.3063048035155</v>
      </c>
      <c r="AG38" s="61" t="n">
        <f aca="false">AF35*Assumptions!$H$53</f>
        <v>51.7763754313822</v>
      </c>
      <c r="AH38" s="61" t="n">
        <f aca="false">AG35*Assumptions!$H$53</f>
        <v>54.4264228679276</v>
      </c>
      <c r="AI38" s="61" t="n">
        <f aca="false">AH35*Assumptions!$H$53</f>
        <v>57.2735768870418</v>
      </c>
      <c r="AJ38" s="61" t="n">
        <f aca="false">AI35*Assumptions!$H$53</f>
        <v>60.3363593822881</v>
      </c>
      <c r="AK38" s="61" t="n">
        <f aca="false">AJ35*Assumptions!$H$53</f>
        <v>63.6348064059462</v>
      </c>
      <c r="AL38" s="61" t="n">
        <f aca="false">AK35*Assumptions!$H$53</f>
        <v>67.1905985996561</v>
      </c>
      <c r="AM38" s="61" t="n">
        <f aca="false">SUM(C38:AL38)</f>
        <v>1309.58612273005</v>
      </c>
    </row>
    <row r="39" customFormat="false" ht="15" hidden="false" customHeight="false" outlineLevel="0" collapsed="false">
      <c r="A39" s="37" t="s">
        <v>774</v>
      </c>
      <c r="B39" s="9" t="s">
        <v>51</v>
      </c>
      <c r="C39" s="71" t="n">
        <f aca="false">C35+C36+C38</f>
        <v>0</v>
      </c>
      <c r="D39" s="71" t="n">
        <f aca="false">D35+D36+D38</f>
        <v>904.692396668966</v>
      </c>
      <c r="E39" s="71" t="n">
        <f aca="false">E35+E36+E38</f>
        <v>910.299332842248</v>
      </c>
      <c r="F39" s="71" t="n">
        <f aca="false">F35+F36+F38</f>
        <v>1030.79678639474</v>
      </c>
      <c r="G39" s="71" t="n">
        <f aca="false">G35+G36+G38</f>
        <v>1147.39046590019</v>
      </c>
      <c r="H39" s="71" t="n">
        <f aca="false">H35+H36+H38</f>
        <v>1248.15286342035</v>
      </c>
      <c r="I39" s="71" t="n">
        <f aca="false">I35+I36+I38</f>
        <v>1336.84254218803</v>
      </c>
      <c r="J39" s="71" t="n">
        <f aca="false">J35+J36+J38</f>
        <v>1415.77469310809</v>
      </c>
      <c r="K39" s="71" t="n">
        <f aca="false">K35+K36+K38</f>
        <v>1486.84461412446</v>
      </c>
      <c r="L39" s="71" t="n">
        <f aca="false">L35+L36+L38</f>
        <v>1551.86485248523</v>
      </c>
      <c r="M39" s="71" t="n">
        <f aca="false">M35+M36+M38</f>
        <v>1620.82593939465</v>
      </c>
      <c r="N39" s="71" t="n">
        <f aca="false">N35+N36+N38</f>
        <v>1689.73362405353</v>
      </c>
      <c r="O39" s="71" t="n">
        <f aca="false">O35+O36+O38</f>
        <v>1758.52170446179</v>
      </c>
      <c r="P39" s="71" t="n">
        <f aca="false">P35+P36+P38</f>
        <v>1827.75579578909</v>
      </c>
      <c r="Q39" s="71" t="n">
        <f aca="false">Q35+Q36+Q38</f>
        <v>1897.99113107447</v>
      </c>
      <c r="R39" s="71" t="n">
        <f aca="false">R35+R36+R38</f>
        <v>1969.74569850215</v>
      </c>
      <c r="S39" s="71" t="n">
        <f aca="false">S35+S36+S38</f>
        <v>2043.50909740896</v>
      </c>
      <c r="T39" s="71" t="n">
        <f aca="false">T35+T36+T38</f>
        <v>2119.75399487752</v>
      </c>
      <c r="U39" s="71" t="n">
        <f aca="false">U35+U36+U38</f>
        <v>2198.94615476417</v>
      </c>
      <c r="V39" s="71" t="n">
        <f aca="false">V35+V36+V38</f>
        <v>2281.55309318201</v>
      </c>
      <c r="W39" s="71" t="n">
        <f aca="false">W35+W36+W38</f>
        <v>2368.05166016265</v>
      </c>
      <c r="X39" s="71" t="n">
        <f aca="false">X35+X36+X38</f>
        <v>2458.93481350292</v>
      </c>
      <c r="Y39" s="71" t="n">
        <f aca="false">Y35+Y36+Y38</f>
        <v>2554.71780177897</v>
      </c>
      <c r="Z39" s="71" t="n">
        <f aca="false">Z35+Z36+Z38</f>
        <v>2655.9439344003</v>
      </c>
      <c r="AA39" s="71" t="n">
        <f aca="false">AA35+AA36+AA38</f>
        <v>2763.19008632767</v>
      </c>
      <c r="AB39" s="71" t="n">
        <f aca="false">AB35+AB36+AB38</f>
        <v>2877.07206159088</v>
      </c>
      <c r="AC39" s="71" t="n">
        <f aca="false">AC35+AC36+AC38</f>
        <v>2997.88941503691</v>
      </c>
      <c r="AD39" s="71" t="n">
        <f aca="false">AD35+AD36+AD38</f>
        <v>3126.05508949003</v>
      </c>
      <c r="AE39" s="71" t="n">
        <f aca="false">AE35+AE36+AE38</f>
        <v>3262.2258498586</v>
      </c>
      <c r="AF39" s="71" t="n">
        <f aca="false">AF35+AF36+AF38</f>
        <v>3407.09418000881</v>
      </c>
      <c r="AG39" s="71" t="n">
        <f aca="false">AG35+AG36+AG38</f>
        <v>3561.41615054226</v>
      </c>
      <c r="AH39" s="71" t="n">
        <f aca="false">AH35+AH36+AH38</f>
        <v>3726.02221564131</v>
      </c>
      <c r="AI39" s="71" t="n">
        <f aca="false">AI35+AI36+AI38</f>
        <v>3901.82286839839</v>
      </c>
      <c r="AJ39" s="71" t="n">
        <f aca="false">AJ35+AJ36+AJ38</f>
        <v>4089.81444095193</v>
      </c>
      <c r="AK39" s="71" t="n">
        <f aca="false">AK35+AK36+AK38</f>
        <v>4291.0854317375</v>
      </c>
      <c r="AL39" s="71" t="n">
        <f aca="false">AL35+AL36+AL38</f>
        <v>4506.82345781324</v>
      </c>
      <c r="AM39" s="71" t="n">
        <f aca="false">SUM(C39:AL39)</f>
        <v>82989.154237883</v>
      </c>
    </row>
    <row r="40" customFormat="false" ht="15" hidden="false" customHeight="false" outlineLevel="0" collapsed="false">
      <c r="A40" s="10" t="s">
        <v>775</v>
      </c>
      <c r="B40" s="9" t="s">
        <v>97</v>
      </c>
      <c r="C40" s="70" t="n">
        <f aca="false">C39*Assumptions!$H$50</f>
        <v>0</v>
      </c>
      <c r="D40" s="70" t="n">
        <f aca="false">D39*Assumptions!$H$50</f>
        <v>70566.0069401793</v>
      </c>
      <c r="E40" s="70" t="n">
        <f aca="false">E39*Assumptions!$H$50</f>
        <v>71003.3479616954</v>
      </c>
      <c r="F40" s="70" t="n">
        <f aca="false">F39*Assumptions!$H$50</f>
        <v>80402.1493387898</v>
      </c>
      <c r="G40" s="70" t="n">
        <f aca="false">G39*Assumptions!$H$50</f>
        <v>89496.4563402149</v>
      </c>
      <c r="H40" s="70" t="n">
        <f aca="false">H39*Assumptions!$H$50</f>
        <v>97355.9233467875</v>
      </c>
      <c r="I40" s="70" t="n">
        <f aca="false">I39*Assumptions!$H$50</f>
        <v>104273.718290666</v>
      </c>
      <c r="J40" s="70" t="n">
        <f aca="false">J39*Assumptions!$H$50</f>
        <v>110430.426062431</v>
      </c>
      <c r="K40" s="70" t="n">
        <f aca="false">K39*Assumptions!$H$50</f>
        <v>115973.879901708</v>
      </c>
      <c r="L40" s="70" t="n">
        <f aca="false">L39*Assumptions!$H$50</f>
        <v>121045.458493848</v>
      </c>
      <c r="M40" s="70" t="n">
        <f aca="false">M39*Assumptions!$H$50</f>
        <v>126424.423272783</v>
      </c>
      <c r="N40" s="70" t="n">
        <f aca="false">N39*Assumptions!$H$50</f>
        <v>131799.222676175</v>
      </c>
      <c r="O40" s="70" t="n">
        <f aca="false">O39*Assumptions!$H$50</f>
        <v>137164.69294802</v>
      </c>
      <c r="P40" s="70" t="n">
        <f aca="false">P39*Assumptions!$H$50</f>
        <v>142564.952071549</v>
      </c>
      <c r="Q40" s="70" t="n">
        <f aca="false">Q39*Assumptions!$H$50</f>
        <v>148043.308223809</v>
      </c>
      <c r="R40" s="70" t="n">
        <f aca="false">R39*Assumptions!$H$50</f>
        <v>153640.164483168</v>
      </c>
      <c r="S40" s="70" t="n">
        <f aca="false">S39*Assumptions!$H$50</f>
        <v>159393.709597899</v>
      </c>
      <c r="T40" s="70" t="n">
        <f aca="false">T39*Assumptions!$H$50</f>
        <v>165340.811600446</v>
      </c>
      <c r="U40" s="70" t="n">
        <f aca="false">U39*Assumptions!$H$50</f>
        <v>171517.800071606</v>
      </c>
      <c r="V40" s="70" t="n">
        <f aca="false">V39*Assumptions!$H$50</f>
        <v>177961.141268197</v>
      </c>
      <c r="W40" s="70" t="n">
        <f aca="false">W39*Assumptions!$H$50</f>
        <v>184708.029492687</v>
      </c>
      <c r="X40" s="70" t="n">
        <f aca="false">X39*Assumptions!$H$50</f>
        <v>191796.915453228</v>
      </c>
      <c r="Y40" s="70" t="n">
        <f aca="false">Y39*Assumptions!$H$50</f>
        <v>199267.98853876</v>
      </c>
      <c r="Z40" s="70" t="n">
        <f aca="false">Z39*Assumptions!$H$50</f>
        <v>207163.626883224</v>
      </c>
      <c r="AA40" s="70" t="n">
        <f aca="false">AA39*Assumptions!$H$50</f>
        <v>215528.826733558</v>
      </c>
      <c r="AB40" s="70" t="n">
        <f aca="false">AB39*Assumptions!$H$50</f>
        <v>224411.620804089</v>
      </c>
      <c r="AC40" s="70" t="n">
        <f aca="false">AC39*Assumptions!$H$50</f>
        <v>233835.374372879</v>
      </c>
      <c r="AD40" s="70" t="n">
        <f aca="false">AD39*Assumptions!$H$50</f>
        <v>243832.296980222</v>
      </c>
      <c r="AE40" s="70" t="n">
        <f aca="false">AE39*Assumptions!$H$50</f>
        <v>254453.61628897</v>
      </c>
      <c r="AF40" s="70" t="n">
        <f aca="false">AF39*Assumptions!$H$50</f>
        <v>265753.346040687</v>
      </c>
      <c r="AG40" s="70" t="n">
        <f aca="false">AG39*Assumptions!$H$50</f>
        <v>277790.459742296</v>
      </c>
      <c r="AH40" s="70" t="n">
        <f aca="false">AH39*Assumptions!$H$50</f>
        <v>290629.732820023</v>
      </c>
      <c r="AI40" s="70" t="n">
        <f aca="false">AI39*Assumptions!$H$50</f>
        <v>304342.183735075</v>
      </c>
      <c r="AJ40" s="70" t="n">
        <f aca="false">AJ39*Assumptions!$H$50</f>
        <v>319005.52639425</v>
      </c>
      <c r="AK40" s="70" t="n">
        <f aca="false">AK39*Assumptions!$H$50</f>
        <v>334704.663675525</v>
      </c>
      <c r="AL40" s="70" t="n">
        <f aca="false">AL39*Assumptions!$H$50</f>
        <v>351532.229709432</v>
      </c>
      <c r="AM40" s="70" t="n">
        <f aca="false">SUM(C40:AL40)</f>
        <v>6473154.03055488</v>
      </c>
    </row>
    <row r="41" customFormat="false" ht="15" hidden="false" customHeight="false" outlineLevel="0" collapsed="false">
      <c r="A41" s="10" t="s">
        <v>776</v>
      </c>
      <c r="B41" s="9" t="s">
        <v>97</v>
      </c>
      <c r="C41" s="70" t="n">
        <f aca="false">-C40*Assumptions!$H$80</f>
        <v>-0</v>
      </c>
      <c r="D41" s="70" t="n">
        <f aca="false">-D40*Assumptions!$H$80</f>
        <v>-2116.98020820538</v>
      </c>
      <c r="E41" s="70" t="n">
        <f aca="false">-E40*Assumptions!$H$80</f>
        <v>-2130.10043885086</v>
      </c>
      <c r="F41" s="70" t="n">
        <f aca="false">-F40*Assumptions!$H$80</f>
        <v>-2412.06448016369</v>
      </c>
      <c r="G41" s="70" t="n">
        <f aca="false">-G40*Assumptions!$H$80</f>
        <v>-2684.89369020645</v>
      </c>
      <c r="H41" s="70" t="n">
        <f aca="false">-H40*Assumptions!$H$80</f>
        <v>-2920.67770040363</v>
      </c>
      <c r="I41" s="70" t="n">
        <f aca="false">-I40*Assumptions!$H$80</f>
        <v>-3128.21154871999</v>
      </c>
      <c r="J41" s="70" t="n">
        <f aca="false">-J40*Assumptions!$H$80</f>
        <v>-3312.91278187293</v>
      </c>
      <c r="K41" s="70" t="n">
        <f aca="false">-K40*Assumptions!$H$80</f>
        <v>-3479.21639705123</v>
      </c>
      <c r="L41" s="70" t="n">
        <f aca="false">-L40*Assumptions!$H$80</f>
        <v>-3631.36375481545</v>
      </c>
      <c r="M41" s="70" t="n">
        <f aca="false">-M40*Assumptions!$H$80</f>
        <v>-3792.73269818349</v>
      </c>
      <c r="N41" s="70" t="n">
        <f aca="false">-N40*Assumptions!$H$80</f>
        <v>-3953.97668028526</v>
      </c>
      <c r="O41" s="70" t="n">
        <f aca="false">-O40*Assumptions!$H$80</f>
        <v>-4114.9407884406</v>
      </c>
      <c r="P41" s="70" t="n">
        <f aca="false">-P40*Assumptions!$H$80</f>
        <v>-4276.94856214648</v>
      </c>
      <c r="Q41" s="70" t="n">
        <f aca="false">-Q40*Assumptions!$H$80</f>
        <v>-4441.29924671426</v>
      </c>
      <c r="R41" s="70" t="n">
        <f aca="false">-R40*Assumptions!$H$80</f>
        <v>-4609.20493449504</v>
      </c>
      <c r="S41" s="70" t="n">
        <f aca="false">-S40*Assumptions!$H$80</f>
        <v>-4781.81128793696</v>
      </c>
      <c r="T41" s="70" t="n">
        <f aca="false">-T40*Assumptions!$H$80</f>
        <v>-4960.22434801339</v>
      </c>
      <c r="U41" s="70" t="n">
        <f aca="false">-U40*Assumptions!$H$80</f>
        <v>-5145.53400214817</v>
      </c>
      <c r="V41" s="70" t="n">
        <f aca="false">-V40*Assumptions!$H$80</f>
        <v>-5338.83423804591</v>
      </c>
      <c r="W41" s="70" t="n">
        <f aca="false">-W40*Assumptions!$H$80</f>
        <v>-5541.2408847806</v>
      </c>
      <c r="X41" s="70" t="n">
        <f aca="false">-X40*Assumptions!$H$80</f>
        <v>-5753.90746359684</v>
      </c>
      <c r="Y41" s="70" t="n">
        <f aca="false">-Y40*Assumptions!$H$80</f>
        <v>-5978.03965616279</v>
      </c>
      <c r="Z41" s="70" t="n">
        <f aca="false">-Z40*Assumptions!$H$80</f>
        <v>-6214.90880649671</v>
      </c>
      <c r="AA41" s="70" t="n">
        <f aca="false">-AA40*Assumptions!$H$80</f>
        <v>-6465.86480200674</v>
      </c>
      <c r="AB41" s="70" t="n">
        <f aca="false">-AB40*Assumptions!$H$80</f>
        <v>-6732.34862412267</v>
      </c>
      <c r="AC41" s="70" t="n">
        <f aca="false">-AC40*Assumptions!$H$80</f>
        <v>-7015.06123118637</v>
      </c>
      <c r="AD41" s="70" t="n">
        <f aca="false">-AD40*Assumptions!$H$80</f>
        <v>-7314.96890940667</v>
      </c>
      <c r="AE41" s="70" t="n">
        <f aca="false">-AE40*Assumptions!$H$80</f>
        <v>-7633.60848866911</v>
      </c>
      <c r="AF41" s="70" t="n">
        <f aca="false">-AF40*Assumptions!$H$80</f>
        <v>-7972.60038122062</v>
      </c>
      <c r="AG41" s="70" t="n">
        <f aca="false">-AG40*Assumptions!$H$80</f>
        <v>-8333.71379226888</v>
      </c>
      <c r="AH41" s="70" t="n">
        <f aca="false">-AH40*Assumptions!$H$80</f>
        <v>-8718.89198460068</v>
      </c>
      <c r="AI41" s="70" t="n">
        <f aca="false">-AI40*Assumptions!$H$80</f>
        <v>-9130.26551205224</v>
      </c>
      <c r="AJ41" s="70" t="n">
        <f aca="false">-AJ40*Assumptions!$H$80</f>
        <v>-9570.16579182751</v>
      </c>
      <c r="AK41" s="70" t="n">
        <f aca="false">-AK40*Assumptions!$H$80</f>
        <v>-10041.1399102658</v>
      </c>
      <c r="AL41" s="70" t="n">
        <f aca="false">-AL40*Assumptions!$H$80</f>
        <v>-10545.966891283</v>
      </c>
      <c r="AM41" s="70" t="n">
        <f aca="false">SUM(C41:AL41)</f>
        <v>-194194.620916646</v>
      </c>
    </row>
    <row r="42" customFormat="false" ht="15" hidden="false" customHeight="false" outlineLevel="0" collapsed="false">
      <c r="A42" s="37" t="s">
        <v>777</v>
      </c>
      <c r="B42" s="9" t="s">
        <v>97</v>
      </c>
      <c r="C42" s="53" t="n">
        <f aca="false">C40+C41</f>
        <v>0</v>
      </c>
      <c r="D42" s="53" t="n">
        <f aca="false">D40+D41</f>
        <v>68449.0267319739</v>
      </c>
      <c r="E42" s="53" t="n">
        <f aca="false">E40+E41</f>
        <v>68873.2475228445</v>
      </c>
      <c r="F42" s="53" t="n">
        <f aca="false">F40+F41</f>
        <v>77990.0848586261</v>
      </c>
      <c r="G42" s="53" t="n">
        <f aca="false">G40+G41</f>
        <v>86811.5626500084</v>
      </c>
      <c r="H42" s="53" t="n">
        <f aca="false">H40+H41</f>
        <v>94435.2456463839</v>
      </c>
      <c r="I42" s="53" t="n">
        <f aca="false">I40+I41</f>
        <v>101145.506741946</v>
      </c>
      <c r="J42" s="53" t="n">
        <f aca="false">J40+J41</f>
        <v>107117.513280558</v>
      </c>
      <c r="K42" s="53" t="n">
        <f aca="false">K40+K41</f>
        <v>112494.663504657</v>
      </c>
      <c r="L42" s="53" t="n">
        <f aca="false">L40+L41</f>
        <v>117414.094739033</v>
      </c>
      <c r="M42" s="53" t="n">
        <f aca="false">M40+M41</f>
        <v>122631.690574599</v>
      </c>
      <c r="N42" s="53" t="n">
        <f aca="false">N40+N41</f>
        <v>127845.24599589</v>
      </c>
      <c r="O42" s="53" t="n">
        <f aca="false">O40+O41</f>
        <v>133049.752159579</v>
      </c>
      <c r="P42" s="53" t="n">
        <f aca="false">P40+P41</f>
        <v>138288.003509403</v>
      </c>
      <c r="Q42" s="53" t="n">
        <f aca="false">Q40+Q41</f>
        <v>143602.008977094</v>
      </c>
      <c r="R42" s="53" t="n">
        <f aca="false">R40+R41</f>
        <v>149030.959548673</v>
      </c>
      <c r="S42" s="53" t="n">
        <f aca="false">S40+S41</f>
        <v>154611.898309962</v>
      </c>
      <c r="T42" s="53" t="n">
        <f aca="false">T40+T41</f>
        <v>160380.587252433</v>
      </c>
      <c r="U42" s="53" t="n">
        <f aca="false">U40+U41</f>
        <v>166372.266069457</v>
      </c>
      <c r="V42" s="53" t="n">
        <f aca="false">V40+V41</f>
        <v>172622.307030151</v>
      </c>
      <c r="W42" s="53" t="n">
        <f aca="false">W40+W41</f>
        <v>179166.788607906</v>
      </c>
      <c r="X42" s="53" t="n">
        <f aca="false">X40+X41</f>
        <v>186043.007989631</v>
      </c>
      <c r="Y42" s="53" t="n">
        <f aca="false">Y40+Y41</f>
        <v>193289.948882597</v>
      </c>
      <c r="Z42" s="53" t="n">
        <f aca="false">Z40+Z41</f>
        <v>200948.718076727</v>
      </c>
      <c r="AA42" s="53" t="n">
        <f aca="false">AA40+AA41</f>
        <v>209062.961931551</v>
      </c>
      <c r="AB42" s="53" t="n">
        <f aca="false">AB40+AB41</f>
        <v>217679.272179966</v>
      </c>
      <c r="AC42" s="53" t="n">
        <f aca="false">AC40+AC41</f>
        <v>226820.313141693</v>
      </c>
      <c r="AD42" s="53" t="n">
        <f aca="false">AD40+AD41</f>
        <v>236517.328070816</v>
      </c>
      <c r="AE42" s="53" t="n">
        <f aca="false">AE40+AE41</f>
        <v>246820.007800301</v>
      </c>
      <c r="AF42" s="53" t="n">
        <f aca="false">AF40+AF41</f>
        <v>257780.745659467</v>
      </c>
      <c r="AG42" s="53" t="n">
        <f aca="false">AG40+AG41</f>
        <v>269456.745950027</v>
      </c>
      <c r="AH42" s="53" t="n">
        <f aca="false">AH40+AH41</f>
        <v>281910.840835422</v>
      </c>
      <c r="AI42" s="53" t="n">
        <f aca="false">AI40+AI41</f>
        <v>295211.918223023</v>
      </c>
      <c r="AJ42" s="53" t="n">
        <f aca="false">AJ40+AJ41</f>
        <v>309435.360602423</v>
      </c>
      <c r="AK42" s="53" t="n">
        <f aca="false">AK40+AK41</f>
        <v>324663.523765259</v>
      </c>
      <c r="AL42" s="53" t="n">
        <f aca="false">AL40+AL41</f>
        <v>340986.262818149</v>
      </c>
      <c r="AM42" s="53" t="n">
        <f aca="false">SUM(C42:AL42)</f>
        <v>6278959.40963823</v>
      </c>
    </row>
    <row r="43" customFormat="false" ht="15" hidden="false" customHeight="false" outlineLevel="0" collapsed="false">
      <c r="A43" s="10" t="s">
        <v>778</v>
      </c>
      <c r="B43" s="9" t="s">
        <v>97</v>
      </c>
      <c r="C43" s="70" t="n">
        <f aca="false">-C40*Assumptions!$H$55</f>
        <v>-0</v>
      </c>
      <c r="D43" s="70" t="n">
        <f aca="false">-D40*Assumptions!$H$55</f>
        <v>-26109.4225678663</v>
      </c>
      <c r="E43" s="70" t="n">
        <f aca="false">-E40*Assumptions!$H$55</f>
        <v>-26271.2387458273</v>
      </c>
      <c r="F43" s="70" t="n">
        <f aca="false">-F40*Assumptions!$H$55</f>
        <v>-29748.7952553522</v>
      </c>
      <c r="G43" s="70" t="n">
        <f aca="false">-G40*Assumptions!$H$55</f>
        <v>-33113.6888458795</v>
      </c>
      <c r="H43" s="70" t="n">
        <f aca="false">-H40*Assumptions!$H$55</f>
        <v>-36021.6916383114</v>
      </c>
      <c r="I43" s="70" t="n">
        <f aca="false">-I40*Assumptions!$H$55</f>
        <v>-38581.2757675465</v>
      </c>
      <c r="J43" s="70" t="n">
        <f aca="false">-J40*Assumptions!$H$55</f>
        <v>-40859.2576430994</v>
      </c>
      <c r="K43" s="70" t="n">
        <f aca="false">-K40*Assumptions!$H$55</f>
        <v>-42910.3355636319</v>
      </c>
      <c r="L43" s="70" t="n">
        <f aca="false">-L40*Assumptions!$H$55</f>
        <v>-44786.8196427238</v>
      </c>
      <c r="M43" s="70" t="n">
        <f aca="false">-M40*Assumptions!$H$55</f>
        <v>-46777.0366109297</v>
      </c>
      <c r="N43" s="70" t="n">
        <f aca="false">-N40*Assumptions!$H$55</f>
        <v>-48765.7123901849</v>
      </c>
      <c r="O43" s="70" t="n">
        <f aca="false">-O40*Assumptions!$H$55</f>
        <v>-50750.9363907674</v>
      </c>
      <c r="P43" s="70" t="n">
        <f aca="false">-P40*Assumptions!$H$55</f>
        <v>-52749.0322664732</v>
      </c>
      <c r="Q43" s="70" t="n">
        <f aca="false">-Q40*Assumptions!$H$55</f>
        <v>-54776.0240428092</v>
      </c>
      <c r="R43" s="70" t="n">
        <f aca="false">-R40*Assumptions!$H$55</f>
        <v>-56846.8608587721</v>
      </c>
      <c r="S43" s="70" t="n">
        <f aca="false">-S40*Assumptions!$H$55</f>
        <v>-58975.6725512226</v>
      </c>
      <c r="T43" s="70" t="n">
        <f aca="false">-T40*Assumptions!$H$55</f>
        <v>-61176.1002921652</v>
      </c>
      <c r="U43" s="70" t="n">
        <f aca="false">-U40*Assumptions!$H$55</f>
        <v>-63461.586026494</v>
      </c>
      <c r="V43" s="70" t="n">
        <f aca="false">-V40*Assumptions!$H$55</f>
        <v>-65845.6222692329</v>
      </c>
      <c r="W43" s="70" t="n">
        <f aca="false">-W40*Assumptions!$H$55</f>
        <v>-68341.970912294</v>
      </c>
      <c r="X43" s="70" t="n">
        <f aca="false">-X40*Assumptions!$H$55</f>
        <v>-70964.8587176944</v>
      </c>
      <c r="Y43" s="70" t="n">
        <f aca="false">-Y40*Assumptions!$H$55</f>
        <v>-73729.1557593411</v>
      </c>
      <c r="Z43" s="70" t="n">
        <f aca="false">-Z40*Assumptions!$H$55</f>
        <v>-76650.5419467928</v>
      </c>
      <c r="AA43" s="70" t="n">
        <f aca="false">-AA40*Assumptions!$H$55</f>
        <v>-79745.6658914165</v>
      </c>
      <c r="AB43" s="70" t="n">
        <f aca="false">-AB40*Assumptions!$H$55</f>
        <v>-83032.2996975129</v>
      </c>
      <c r="AC43" s="70" t="n">
        <f aca="false">-AC40*Assumptions!$H$55</f>
        <v>-86519.0885179652</v>
      </c>
      <c r="AD43" s="70" t="n">
        <f aca="false">-AD40*Assumptions!$H$55</f>
        <v>-90217.9498826823</v>
      </c>
      <c r="AE43" s="70" t="n">
        <f aca="false">-AE40*Assumptions!$H$55</f>
        <v>-94147.8380269191</v>
      </c>
      <c r="AF43" s="70" t="n">
        <f aca="false">-AF40*Assumptions!$H$55</f>
        <v>-98328.7380350544</v>
      </c>
      <c r="AG43" s="70" t="n">
        <f aca="false">-AG40*Assumptions!$H$55</f>
        <v>-102782.470104649</v>
      </c>
      <c r="AH43" s="70" t="n">
        <f aca="false">-AH40*Assumptions!$H$55</f>
        <v>-107533.001143408</v>
      </c>
      <c r="AI43" s="70" t="n">
        <f aca="false">-AI40*Assumptions!$H$55</f>
        <v>-112606.607981978</v>
      </c>
      <c r="AJ43" s="70" t="n">
        <f aca="false">-AJ40*Assumptions!$H$55</f>
        <v>-118032.044765873</v>
      </c>
      <c r="AK43" s="70" t="n">
        <f aca="false">-AK40*Assumptions!$H$55</f>
        <v>-123840.725559944</v>
      </c>
      <c r="AL43" s="70" t="n">
        <f aca="false">-AL40*Assumptions!$H$55</f>
        <v>-130066.92499249</v>
      </c>
      <c r="AM43" s="70" t="n">
        <f aca="false">SUM(C43:AL43)</f>
        <v>-2395066.9913053</v>
      </c>
    </row>
    <row r="44" customFormat="false" ht="15" hidden="false" customHeight="false" outlineLevel="0" collapsed="false">
      <c r="A44" s="10" t="s">
        <v>779</v>
      </c>
      <c r="B44" s="9" t="s">
        <v>97</v>
      </c>
      <c r="C44" s="70" t="n">
        <f aca="false">-C39*Assumptions!$H$56</f>
        <v>-0</v>
      </c>
      <c r="D44" s="70" t="n">
        <f aca="false">-D39*Assumptions!$H$56</f>
        <v>-0</v>
      </c>
      <c r="E44" s="70" t="n">
        <f aca="false">-E39*Assumptions!$H$56</f>
        <v>-0</v>
      </c>
      <c r="F44" s="70" t="n">
        <f aca="false">-F39*Assumptions!$H$56</f>
        <v>-0</v>
      </c>
      <c r="G44" s="70" t="n">
        <f aca="false">-G39*Assumptions!$H$56</f>
        <v>-0</v>
      </c>
      <c r="H44" s="70" t="n">
        <f aca="false">-H39*Assumptions!$H$56</f>
        <v>-0</v>
      </c>
      <c r="I44" s="70" t="n">
        <f aca="false">-I39*Assumptions!$H$56</f>
        <v>-0</v>
      </c>
      <c r="J44" s="70" t="n">
        <f aca="false">-J39*Assumptions!$H$56</f>
        <v>-0</v>
      </c>
      <c r="K44" s="70" t="n">
        <f aca="false">-K39*Assumptions!$H$56</f>
        <v>-0</v>
      </c>
      <c r="L44" s="70" t="n">
        <f aca="false">-L39*Assumptions!$H$56</f>
        <v>-0</v>
      </c>
      <c r="M44" s="70" t="n">
        <f aca="false">-M39*Assumptions!$H$56</f>
        <v>-0</v>
      </c>
      <c r="N44" s="70" t="n">
        <f aca="false">-N39*Assumptions!$H$56</f>
        <v>-0</v>
      </c>
      <c r="O44" s="70" t="n">
        <f aca="false">-O39*Assumptions!$H$56</f>
        <v>-0</v>
      </c>
      <c r="P44" s="70" t="n">
        <f aca="false">-P39*Assumptions!$H$56</f>
        <v>-0</v>
      </c>
      <c r="Q44" s="70" t="n">
        <f aca="false">-Q39*Assumptions!$H$56</f>
        <v>-0</v>
      </c>
      <c r="R44" s="70" t="n">
        <f aca="false">-R39*Assumptions!$H$56</f>
        <v>-0</v>
      </c>
      <c r="S44" s="70" t="n">
        <f aca="false">-S39*Assumptions!$H$56</f>
        <v>-0</v>
      </c>
      <c r="T44" s="70" t="n">
        <f aca="false">-T39*Assumptions!$H$56</f>
        <v>-0</v>
      </c>
      <c r="U44" s="70" t="n">
        <f aca="false">-U39*Assumptions!$H$56</f>
        <v>-0</v>
      </c>
      <c r="V44" s="70" t="n">
        <f aca="false">-V39*Assumptions!$H$56</f>
        <v>-0</v>
      </c>
      <c r="W44" s="70" t="n">
        <f aca="false">-W39*Assumptions!$H$56</f>
        <v>-0</v>
      </c>
      <c r="X44" s="70" t="n">
        <f aca="false">-X39*Assumptions!$H$56</f>
        <v>-0</v>
      </c>
      <c r="Y44" s="70" t="n">
        <f aca="false">-Y39*Assumptions!$H$56</f>
        <v>-0</v>
      </c>
      <c r="Z44" s="70" t="n">
        <f aca="false">-Z39*Assumptions!$H$56</f>
        <v>-0</v>
      </c>
      <c r="AA44" s="70" t="n">
        <f aca="false">-AA39*Assumptions!$H$56</f>
        <v>-0</v>
      </c>
      <c r="AB44" s="70" t="n">
        <f aca="false">-AB39*Assumptions!$H$56</f>
        <v>-0</v>
      </c>
      <c r="AC44" s="70" t="n">
        <f aca="false">-AC39*Assumptions!$H$56</f>
        <v>-0</v>
      </c>
      <c r="AD44" s="70" t="n">
        <f aca="false">-AD39*Assumptions!$H$56</f>
        <v>-0</v>
      </c>
      <c r="AE44" s="70" t="n">
        <f aca="false">-AE39*Assumptions!$H$56</f>
        <v>-0</v>
      </c>
      <c r="AF44" s="70" t="n">
        <f aca="false">-AF39*Assumptions!$H$56</f>
        <v>-0</v>
      </c>
      <c r="AG44" s="70" t="n">
        <f aca="false">-AG39*Assumptions!$H$56</f>
        <v>-0</v>
      </c>
      <c r="AH44" s="70" t="n">
        <f aca="false">-AH39*Assumptions!$H$56</f>
        <v>-0</v>
      </c>
      <c r="AI44" s="70" t="n">
        <f aca="false">-AI39*Assumptions!$H$56</f>
        <v>-0</v>
      </c>
      <c r="AJ44" s="70" t="n">
        <f aca="false">-AJ39*Assumptions!$H$56</f>
        <v>-0</v>
      </c>
      <c r="AK44" s="70" t="n">
        <f aca="false">-AK39*Assumptions!$H$56</f>
        <v>-0</v>
      </c>
      <c r="AL44" s="70" t="n">
        <f aca="false">-AL39*Assumptions!$H$56</f>
        <v>-0</v>
      </c>
      <c r="AM44" s="70" t="n">
        <f aca="false">SUM(C44:AL44)</f>
        <v>0</v>
      </c>
    </row>
    <row r="45" customFormat="false" ht="15" hidden="false" customHeight="false" outlineLevel="0" collapsed="false">
      <c r="A45" s="10" t="s">
        <v>780</v>
      </c>
      <c r="B45" s="9" t="s">
        <v>97</v>
      </c>
      <c r="C45" s="70" t="n">
        <f aca="false">-C42*Assumptions!$H$79</f>
        <v>-0</v>
      </c>
      <c r="D45" s="70" t="n">
        <f aca="false">-D42*Assumptions!$H$79</f>
        <v>-1985.02177522724</v>
      </c>
      <c r="E45" s="70" t="n">
        <f aca="false">-E42*Assumptions!$H$79</f>
        <v>-1997.32417816249</v>
      </c>
      <c r="F45" s="70" t="n">
        <f aca="false">-F42*Assumptions!$H$79</f>
        <v>-2261.71246090016</v>
      </c>
      <c r="G45" s="70" t="n">
        <f aca="false">-G42*Assumptions!$H$79</f>
        <v>-2517.53531685024</v>
      </c>
      <c r="H45" s="70" t="n">
        <f aca="false">-H42*Assumptions!$H$79</f>
        <v>-2738.62212374513</v>
      </c>
      <c r="I45" s="70" t="n">
        <f aca="false">-I42*Assumptions!$H$79</f>
        <v>-2933.21969551644</v>
      </c>
      <c r="J45" s="70" t="n">
        <f aca="false">-J42*Assumptions!$H$79</f>
        <v>-3106.40788513618</v>
      </c>
      <c r="K45" s="70" t="n">
        <f aca="false">-K42*Assumptions!$H$79</f>
        <v>-3262.34524163504</v>
      </c>
      <c r="L45" s="70" t="n">
        <f aca="false">-L42*Assumptions!$H$79</f>
        <v>-3405.00874743195</v>
      </c>
      <c r="M45" s="70" t="n">
        <f aca="false">-M42*Assumptions!$H$79</f>
        <v>-3556.31902666338</v>
      </c>
      <c r="N45" s="70" t="n">
        <f aca="false">-N42*Assumptions!$H$79</f>
        <v>-3707.51213388081</v>
      </c>
      <c r="O45" s="70" t="n">
        <f aca="false">-O42*Assumptions!$H$79</f>
        <v>-3858.4428126278</v>
      </c>
      <c r="P45" s="70" t="n">
        <f aca="false">-P42*Assumptions!$H$79</f>
        <v>-4010.35210177268</v>
      </c>
      <c r="Q45" s="70" t="n">
        <f aca="false">-Q42*Assumptions!$H$79</f>
        <v>-4164.45826033574</v>
      </c>
      <c r="R45" s="70" t="n">
        <f aca="false">-R42*Assumptions!$H$79</f>
        <v>-4321.89782691151</v>
      </c>
      <c r="S45" s="70" t="n">
        <f aca="false">-S42*Assumptions!$H$79</f>
        <v>-4483.74505098889</v>
      </c>
      <c r="T45" s="70" t="n">
        <f aca="false">-T42*Assumptions!$H$79</f>
        <v>-4651.03703032056</v>
      </c>
      <c r="U45" s="70" t="n">
        <f aca="false">-U42*Assumptions!$H$79</f>
        <v>-4824.79571601426</v>
      </c>
      <c r="V45" s="70" t="n">
        <f aca="false">-V42*Assumptions!$H$79</f>
        <v>-5006.04690387438</v>
      </c>
      <c r="W45" s="70" t="n">
        <f aca="false">-W42*Assumptions!$H$79</f>
        <v>-5195.83686962927</v>
      </c>
      <c r="X45" s="70" t="n">
        <f aca="false">-X42*Assumptions!$H$79</f>
        <v>-5395.24723169931</v>
      </c>
      <c r="Y45" s="70" t="n">
        <f aca="false">-Y42*Assumptions!$H$79</f>
        <v>-5605.40851759531</v>
      </c>
      <c r="Z45" s="70" t="n">
        <f aca="false">-Z42*Assumptions!$H$79</f>
        <v>-5827.51282422508</v>
      </c>
      <c r="AA45" s="70" t="n">
        <f aca="false">-AA42*Assumptions!$H$79</f>
        <v>-6062.82589601499</v>
      </c>
      <c r="AB45" s="70" t="n">
        <f aca="false">-AB42*Assumptions!$H$79</f>
        <v>-6312.69889321902</v>
      </c>
      <c r="AC45" s="70" t="n">
        <f aca="false">-AC42*Assumptions!$H$79</f>
        <v>-6577.78908110908</v>
      </c>
      <c r="AD45" s="70" t="n">
        <f aca="false">-AD42*Assumptions!$H$79</f>
        <v>-6859.00251405366</v>
      </c>
      <c r="AE45" s="70" t="n">
        <f aca="false">-AE42*Assumptions!$H$79</f>
        <v>-7157.78022620874</v>
      </c>
      <c r="AF45" s="70" t="n">
        <f aca="false">-AF42*Assumptions!$H$79</f>
        <v>-7475.64162412454</v>
      </c>
      <c r="AG45" s="70" t="n">
        <f aca="false">-AG42*Assumptions!$H$79</f>
        <v>-7814.24563255078</v>
      </c>
      <c r="AH45" s="70" t="n">
        <f aca="false">-AH42*Assumptions!$H$79</f>
        <v>-8175.41438422723</v>
      </c>
      <c r="AI45" s="70" t="n">
        <f aca="false">-AI42*Assumptions!$H$79</f>
        <v>-8561.14562846765</v>
      </c>
      <c r="AJ45" s="70" t="n">
        <f aca="false">-AJ42*Assumptions!$H$79</f>
        <v>-8973.62545747027</v>
      </c>
      <c r="AK45" s="70" t="n">
        <f aca="false">-AK42*Assumptions!$H$79</f>
        <v>-9415.24218919252</v>
      </c>
      <c r="AL45" s="70" t="n">
        <f aca="false">-AL42*Assumptions!$H$79</f>
        <v>-9888.60162172634</v>
      </c>
      <c r="AM45" s="70" t="n">
        <f aca="false">SUM(C45:AL45)</f>
        <v>-182089.822879509</v>
      </c>
    </row>
    <row r="46" customFormat="false" ht="15" hidden="false" customHeight="false" outlineLevel="0" collapsed="false">
      <c r="A46" s="37" t="s">
        <v>781</v>
      </c>
      <c r="B46" s="9" t="s">
        <v>97</v>
      </c>
      <c r="C46" s="53" t="n">
        <f aca="false">C42+C43+C44+C45</f>
        <v>0</v>
      </c>
      <c r="D46" s="53" t="n">
        <f aca="false">D42+D43+D44+D45</f>
        <v>40354.5823888803</v>
      </c>
      <c r="E46" s="53" t="n">
        <f aca="false">E42+E43+E44+E45</f>
        <v>40604.6845988547</v>
      </c>
      <c r="F46" s="53" t="n">
        <f aca="false">F42+F43+F44+F45</f>
        <v>45979.5771423737</v>
      </c>
      <c r="G46" s="53" t="n">
        <f aca="false">G42+G43+G44+G45</f>
        <v>51180.3384872787</v>
      </c>
      <c r="H46" s="53" t="n">
        <f aca="false">H42+H43+H44+H45</f>
        <v>55674.9318843274</v>
      </c>
      <c r="I46" s="53" t="n">
        <f aca="false">I42+I43+I44+I45</f>
        <v>59631.0112788833</v>
      </c>
      <c r="J46" s="53" t="n">
        <f aca="false">J42+J43+J44+J45</f>
        <v>63151.8477523224</v>
      </c>
      <c r="K46" s="53" t="n">
        <f aca="false">K42+K43+K44+K45</f>
        <v>66321.9826993896</v>
      </c>
      <c r="L46" s="53" t="n">
        <f aca="false">L42+L43+L44+L45</f>
        <v>69222.266348877</v>
      </c>
      <c r="M46" s="53" t="n">
        <f aca="false">M42+M43+M44+M45</f>
        <v>72298.3349370064</v>
      </c>
      <c r="N46" s="53" t="n">
        <f aca="false">N42+N43+N44+N45</f>
        <v>75372.0214718244</v>
      </c>
      <c r="O46" s="53" t="n">
        <f aca="false">O42+O43+O44+O45</f>
        <v>78440.3729561841</v>
      </c>
      <c r="P46" s="53" t="n">
        <f aca="false">P42+P43+P44+P45</f>
        <v>81528.6191411568</v>
      </c>
      <c r="Q46" s="53" t="n">
        <f aca="false">Q42+Q43+Q44+Q45</f>
        <v>84661.5266739494</v>
      </c>
      <c r="R46" s="53" t="n">
        <f aca="false">R42+R43+R44+R45</f>
        <v>87862.2008629892</v>
      </c>
      <c r="S46" s="53" t="n">
        <f aca="false">S42+S43+S44+S45</f>
        <v>91152.4807077504</v>
      </c>
      <c r="T46" s="53" t="n">
        <f aca="false">T42+T43+T44+T45</f>
        <v>94553.4499299473</v>
      </c>
      <c r="U46" s="53" t="n">
        <f aca="false">U42+U43+U44+U45</f>
        <v>98085.884326949</v>
      </c>
      <c r="V46" s="53" t="n">
        <f aca="false">V42+V43+V44+V45</f>
        <v>101770.637857044</v>
      </c>
      <c r="W46" s="53" t="n">
        <f aca="false">W42+W43+W44+W45</f>
        <v>105628.980825983</v>
      </c>
      <c r="X46" s="53" t="n">
        <f aca="false">X42+X43+X44+X45</f>
        <v>109682.902040238</v>
      </c>
      <c r="Y46" s="53" t="n">
        <f aca="false">Y42+Y43+Y44+Y45</f>
        <v>113955.384605661</v>
      </c>
      <c r="Z46" s="53" t="n">
        <f aca="false">Z42+Z43+Z44+Z45</f>
        <v>118470.663305709</v>
      </c>
      <c r="AA46" s="53" t="n">
        <f aca="false">AA42+AA43+AA44+AA45</f>
        <v>123254.47014412</v>
      </c>
      <c r="AB46" s="53" t="n">
        <f aca="false">AB42+AB43+AB44+AB45</f>
        <v>128334.273589234</v>
      </c>
      <c r="AC46" s="53" t="n">
        <f aca="false">AC42+AC43+AC44+AC45</f>
        <v>133723.435542618</v>
      </c>
      <c r="AD46" s="53" t="n">
        <f aca="false">AD42+AD43+AD44+AD45</f>
        <v>139440.37567408</v>
      </c>
      <c r="AE46" s="53" t="n">
        <f aca="false">AE42+AE43+AE44+AE45</f>
        <v>145514.389547174</v>
      </c>
      <c r="AF46" s="53" t="n">
        <f aca="false">AF42+AF43+AF44+AF45</f>
        <v>151976.366000288</v>
      </c>
      <c r="AG46" s="53" t="n">
        <f aca="false">AG42+AG43+AG44+AG45</f>
        <v>158860.030212827</v>
      </c>
      <c r="AH46" s="53" t="n">
        <f aca="false">AH42+AH43+AH44+AH45</f>
        <v>166202.425307786</v>
      </c>
      <c r="AI46" s="53" t="n">
        <f aca="false">AI42+AI43+AI44+AI45</f>
        <v>174044.164612577</v>
      </c>
      <c r="AJ46" s="53" t="n">
        <f aca="false">AJ42+AJ43+AJ44+AJ45</f>
        <v>182429.69037908</v>
      </c>
      <c r="AK46" s="53" t="n">
        <f aca="false">AK42+AK43+AK44+AK45</f>
        <v>191407.556016123</v>
      </c>
      <c r="AL46" s="53" t="n">
        <f aca="false">AL42+AL43+AL44+AL45</f>
        <v>201030.736203933</v>
      </c>
      <c r="AM46" s="53" t="n">
        <f aca="false">SUM(C46:AL46)</f>
        <v>3701802.59545342</v>
      </c>
    </row>
    <row r="47" customFormat="false" ht="15" hidden="false" customHeight="false" outlineLevel="0" collapsed="false">
      <c r="A47" s="10" t="s">
        <v>782</v>
      </c>
      <c r="B47" s="9" t="s">
        <v>61</v>
      </c>
      <c r="C47" s="62" t="n">
        <f aca="false">IFERROR(C46/C42,0)</f>
        <v>0</v>
      </c>
      <c r="D47" s="62" t="n">
        <f aca="false">IFERROR(D46/D42,0)</f>
        <v>0.589556701030928</v>
      </c>
      <c r="E47" s="62" t="n">
        <f aca="false">IFERROR(E46/E42,0)</f>
        <v>0.589556701030928</v>
      </c>
      <c r="F47" s="62" t="n">
        <f aca="false">IFERROR(F46/F42,0)</f>
        <v>0.589556701030928</v>
      </c>
      <c r="G47" s="62" t="n">
        <f aca="false">IFERROR(G46/G42,0)</f>
        <v>0.589556701030928</v>
      </c>
      <c r="H47" s="62" t="n">
        <f aca="false">IFERROR(H46/H42,0)</f>
        <v>0.589556701030928</v>
      </c>
      <c r="I47" s="62" t="n">
        <f aca="false">IFERROR(I46/I42,0)</f>
        <v>0.589556701030928</v>
      </c>
      <c r="J47" s="62" t="n">
        <f aca="false">IFERROR(J46/J42,0)</f>
        <v>0.589556701030928</v>
      </c>
      <c r="K47" s="62" t="n">
        <f aca="false">IFERROR(K46/K42,0)</f>
        <v>0.589556701030928</v>
      </c>
      <c r="L47" s="62" t="n">
        <f aca="false">IFERROR(L46/L42,0)</f>
        <v>0.589556701030928</v>
      </c>
      <c r="M47" s="62" t="n">
        <f aca="false">IFERROR(M46/M42,0)</f>
        <v>0.589556701030928</v>
      </c>
      <c r="N47" s="62" t="n">
        <f aca="false">IFERROR(N46/N42,0)</f>
        <v>0.589556701030928</v>
      </c>
      <c r="O47" s="62" t="n">
        <f aca="false">IFERROR(O46/O42,0)</f>
        <v>0.589556701030928</v>
      </c>
      <c r="P47" s="62" t="n">
        <f aca="false">IFERROR(P46/P42,0)</f>
        <v>0.589556701030928</v>
      </c>
      <c r="Q47" s="62" t="n">
        <f aca="false">IFERROR(Q46/Q42,0)</f>
        <v>0.589556701030928</v>
      </c>
      <c r="R47" s="62" t="n">
        <f aca="false">IFERROR(R46/R42,0)</f>
        <v>0.589556701030928</v>
      </c>
      <c r="S47" s="62" t="n">
        <f aca="false">IFERROR(S46/S42,0)</f>
        <v>0.589556701030928</v>
      </c>
      <c r="T47" s="62" t="n">
        <f aca="false">IFERROR(T46/T42,0)</f>
        <v>0.589556701030928</v>
      </c>
      <c r="U47" s="62" t="n">
        <f aca="false">IFERROR(U46/U42,0)</f>
        <v>0.589556701030928</v>
      </c>
      <c r="V47" s="62" t="n">
        <f aca="false">IFERROR(V46/V42,0)</f>
        <v>0.589556701030928</v>
      </c>
      <c r="W47" s="62" t="n">
        <f aca="false">IFERROR(W46/W42,0)</f>
        <v>0.589556701030928</v>
      </c>
      <c r="X47" s="62" t="n">
        <f aca="false">IFERROR(X46/X42,0)</f>
        <v>0.589556701030928</v>
      </c>
      <c r="Y47" s="62" t="n">
        <f aca="false">IFERROR(Y46/Y42,0)</f>
        <v>0.589556701030928</v>
      </c>
      <c r="Z47" s="62" t="n">
        <f aca="false">IFERROR(Z46/Z42,0)</f>
        <v>0.589556701030928</v>
      </c>
      <c r="AA47" s="62" t="n">
        <f aca="false">IFERROR(AA46/AA42,0)</f>
        <v>0.589556701030928</v>
      </c>
      <c r="AB47" s="62" t="n">
        <f aca="false">IFERROR(AB46/AB42,0)</f>
        <v>0.589556701030928</v>
      </c>
      <c r="AC47" s="62" t="n">
        <f aca="false">IFERROR(AC46/AC42,0)</f>
        <v>0.589556701030928</v>
      </c>
      <c r="AD47" s="62" t="n">
        <f aca="false">IFERROR(AD46/AD42,0)</f>
        <v>0.589556701030928</v>
      </c>
      <c r="AE47" s="62" t="n">
        <f aca="false">IFERROR(AE46/AE42,0)</f>
        <v>0.589556701030928</v>
      </c>
      <c r="AF47" s="62" t="n">
        <f aca="false">IFERROR(AF46/AF42,0)</f>
        <v>0.589556701030928</v>
      </c>
      <c r="AG47" s="62" t="n">
        <f aca="false">IFERROR(AG46/AG42,0)</f>
        <v>0.589556701030928</v>
      </c>
      <c r="AH47" s="62" t="n">
        <f aca="false">IFERROR(AH46/AH42,0)</f>
        <v>0.589556701030928</v>
      </c>
      <c r="AI47" s="62" t="n">
        <f aca="false">IFERROR(AI46/AI42,0)</f>
        <v>0.589556701030928</v>
      </c>
      <c r="AJ47" s="62" t="n">
        <f aca="false">IFERROR(AJ46/AJ42,0)</f>
        <v>0.589556701030928</v>
      </c>
      <c r="AK47" s="62" t="n">
        <f aca="false">IFERROR(AK46/AK42,0)</f>
        <v>0.589556701030928</v>
      </c>
      <c r="AL47" s="62" t="n">
        <f aca="false">IFERROR(AL46/AL42,0)</f>
        <v>0.589556701030928</v>
      </c>
      <c r="AM47" s="62" t="n">
        <f aca="false">AVERAGE(N47:AL47)</f>
        <v>0.589556701030928</v>
      </c>
    </row>
    <row r="48" customFormat="false" ht="15" hidden="false" customHeight="false" outlineLevel="0" collapsed="false">
      <c r="A48" s="10" t="s">
        <v>783</v>
      </c>
      <c r="B48" s="9" t="s">
        <v>61</v>
      </c>
      <c r="C48" s="62" t="n">
        <f aca="false">IF(C9=0,0,MIN(Assumptions!$H$63,Assumptions!$H$61+Assumptions!$H$62*(C$5-Assumptions!$H$7)))</f>
        <v>0</v>
      </c>
      <c r="D48" s="62" t="n">
        <f aca="false">IF(D9=0,0,MIN(Assumptions!$H$63,Assumptions!$H$61+Assumptions!$H$62*(D$5-Assumptions!$H$7)))</f>
        <v>0</v>
      </c>
      <c r="E48" s="62" t="n">
        <f aca="false">IF(E9=0,0,MIN(Assumptions!$H$63,Assumptions!$H$61+Assumptions!$H$62*(E$5-Assumptions!$H$7)))</f>
        <v>0</v>
      </c>
      <c r="F48" s="62" t="n">
        <f aca="false">IF(F9=0,0,MIN(Assumptions!$H$63,Assumptions!$H$61+Assumptions!$H$62*(F$5-Assumptions!$H$7)))</f>
        <v>0</v>
      </c>
      <c r="G48" s="62" t="n">
        <f aca="false">IF(G9=0,0,MIN(Assumptions!$H$63,Assumptions!$H$61+Assumptions!$H$62*(G$5-Assumptions!$H$7)))</f>
        <v>0</v>
      </c>
      <c r="H48" s="62" t="n">
        <f aca="false">IF(H9=0,0,MIN(Assumptions!$H$63,Assumptions!$H$61+Assumptions!$H$62*(H$5-Assumptions!$H$7)))</f>
        <v>0</v>
      </c>
      <c r="I48" s="62" t="n">
        <f aca="false">IF(I9=0,0,MIN(Assumptions!$H$63,Assumptions!$H$61+Assumptions!$H$62*(I$5-Assumptions!$H$7)))</f>
        <v>0.36</v>
      </c>
      <c r="J48" s="62" t="n">
        <f aca="false">IF(J9=0,0,MIN(Assumptions!$H$63,Assumptions!$H$61+Assumptions!$H$62*(J$5-Assumptions!$H$7)))</f>
        <v>0.385</v>
      </c>
      <c r="K48" s="62" t="n">
        <f aca="false">IF(K9=0,0,MIN(Assumptions!$H$63,Assumptions!$H$61+Assumptions!$H$62*(K$5-Assumptions!$H$7)))</f>
        <v>0.41</v>
      </c>
      <c r="L48" s="62" t="n">
        <f aca="false">IF(L9=0,0,MIN(Assumptions!$H$63,Assumptions!$H$61+Assumptions!$H$62*(L$5-Assumptions!$H$7)))</f>
        <v>0.435</v>
      </c>
      <c r="M48" s="62" t="n">
        <f aca="false">IF(M9=0,0,MIN(Assumptions!$H$63,Assumptions!$H$61+Assumptions!$H$62*(M$5-Assumptions!$H$7)))</f>
        <v>0.46</v>
      </c>
      <c r="N48" s="62" t="n">
        <f aca="false">IF(N9=0,0,MIN(Assumptions!$H$63,Assumptions!$H$61+Assumptions!$H$62*(N$5-Assumptions!$H$7)))</f>
        <v>0.485</v>
      </c>
      <c r="O48" s="62" t="n">
        <f aca="false">IF(O9=0,0,MIN(Assumptions!$H$63,Assumptions!$H$61+Assumptions!$H$62*(O$5-Assumptions!$H$7)))</f>
        <v>0.51</v>
      </c>
      <c r="P48" s="62" t="n">
        <f aca="false">IF(P9=0,0,MIN(Assumptions!$H$63,Assumptions!$H$61+Assumptions!$H$62*(P$5-Assumptions!$H$7)))</f>
        <v>0.535</v>
      </c>
      <c r="Q48" s="62" t="n">
        <f aca="false">IF(Q9=0,0,MIN(Assumptions!$H$63,Assumptions!$H$61+Assumptions!$H$62*(Q$5-Assumptions!$H$7)))</f>
        <v>0.56</v>
      </c>
      <c r="R48" s="62" t="n">
        <f aca="false">IF(R9=0,0,MIN(Assumptions!$H$63,Assumptions!$H$61+Assumptions!$H$62*(R$5-Assumptions!$H$7)))</f>
        <v>0.585</v>
      </c>
      <c r="S48" s="62" t="n">
        <f aca="false">IF(S9=0,0,MIN(Assumptions!$H$63,Assumptions!$H$61+Assumptions!$H$62*(S$5-Assumptions!$H$7)))</f>
        <v>0.61</v>
      </c>
      <c r="T48" s="62" t="n">
        <f aca="false">IF(T9=0,0,MIN(Assumptions!$H$63,Assumptions!$H$61+Assumptions!$H$62*(T$5-Assumptions!$H$7)))</f>
        <v>0.635</v>
      </c>
      <c r="U48" s="62" t="n">
        <f aca="false">IF(U9=0,0,MIN(Assumptions!$H$63,Assumptions!$H$61+Assumptions!$H$62*(U$5-Assumptions!$H$7)))</f>
        <v>0.66</v>
      </c>
      <c r="V48" s="62" t="n">
        <f aca="false">IF(V9=0,0,MIN(Assumptions!$H$63,Assumptions!$H$61+Assumptions!$H$62*(V$5-Assumptions!$H$7)))</f>
        <v>0.685</v>
      </c>
      <c r="W48" s="62" t="n">
        <f aca="false">IF(W9=0,0,MIN(Assumptions!$H$63,Assumptions!$H$61+Assumptions!$H$62*(W$5-Assumptions!$H$7)))</f>
        <v>0.71</v>
      </c>
      <c r="X48" s="62" t="n">
        <f aca="false">IF(X9=0,0,MIN(Assumptions!$H$63,Assumptions!$H$61+Assumptions!$H$62*(X$5-Assumptions!$H$7)))</f>
        <v>0.735</v>
      </c>
      <c r="Y48" s="62" t="n">
        <f aca="false">IF(Y9=0,0,MIN(Assumptions!$H$63,Assumptions!$H$61+Assumptions!$H$62*(Y$5-Assumptions!$H$7)))</f>
        <v>0.76</v>
      </c>
      <c r="Z48" s="62" t="n">
        <f aca="false">IF(Z9=0,0,MIN(Assumptions!$H$63,Assumptions!$H$61+Assumptions!$H$62*(Z$5-Assumptions!$H$7)))</f>
        <v>0.785</v>
      </c>
      <c r="AA48" s="62" t="n">
        <f aca="false">IF(AA9=0,0,MIN(Assumptions!$H$63,Assumptions!$H$61+Assumptions!$H$62*(AA$5-Assumptions!$H$7)))</f>
        <v>0.81</v>
      </c>
      <c r="AB48" s="62" t="n">
        <f aca="false">IF(AB9=0,0,MIN(Assumptions!$H$63,Assumptions!$H$61+Assumptions!$H$62*(AB$5-Assumptions!$H$7)))</f>
        <v>0.82</v>
      </c>
      <c r="AC48" s="62" t="n">
        <f aca="false">IF(AC9=0,0,MIN(Assumptions!$H$63,Assumptions!$H$61+Assumptions!$H$62*(AC$5-Assumptions!$H$7)))</f>
        <v>0.82</v>
      </c>
      <c r="AD48" s="62" t="n">
        <f aca="false">IF(AD9=0,0,MIN(Assumptions!$H$63,Assumptions!$H$61+Assumptions!$H$62*(AD$5-Assumptions!$H$7)))</f>
        <v>0.82</v>
      </c>
      <c r="AE48" s="62" t="n">
        <f aca="false">IF(AE9=0,0,MIN(Assumptions!$H$63,Assumptions!$H$61+Assumptions!$H$62*(AE$5-Assumptions!$H$7)))</f>
        <v>0.82</v>
      </c>
      <c r="AF48" s="62" t="n">
        <f aca="false">IF(AF9=0,0,MIN(Assumptions!$H$63,Assumptions!$H$61+Assumptions!$H$62*(AF$5-Assumptions!$H$7)))</f>
        <v>0.82</v>
      </c>
      <c r="AG48" s="62" t="n">
        <f aca="false">IF(AG9=0,0,MIN(Assumptions!$H$63,Assumptions!$H$61+Assumptions!$H$62*(AG$5-Assumptions!$H$7)))</f>
        <v>0.82</v>
      </c>
      <c r="AH48" s="62" t="n">
        <f aca="false">IF(AH9=0,0,MIN(Assumptions!$H$63,Assumptions!$H$61+Assumptions!$H$62*(AH$5-Assumptions!$H$7)))</f>
        <v>0.82</v>
      </c>
      <c r="AI48" s="62" t="n">
        <f aca="false">IF(AI9=0,0,MIN(Assumptions!$H$63,Assumptions!$H$61+Assumptions!$H$62*(AI$5-Assumptions!$H$7)))</f>
        <v>0.82</v>
      </c>
      <c r="AJ48" s="62" t="n">
        <f aca="false">IF(AJ9=0,0,MIN(Assumptions!$H$63,Assumptions!$H$61+Assumptions!$H$62*(AJ$5-Assumptions!$H$7)))</f>
        <v>0.82</v>
      </c>
      <c r="AK48" s="62" t="n">
        <f aca="false">IF(AK9=0,0,MIN(Assumptions!$H$63,Assumptions!$H$61+Assumptions!$H$62*(AK$5-Assumptions!$H$7)))</f>
        <v>0.82</v>
      </c>
      <c r="AL48" s="62" t="n">
        <f aca="false">IF(AL9=0,0,MIN(Assumptions!$H$63,Assumptions!$H$61+Assumptions!$H$62*(AL$5-Assumptions!$H$7)))</f>
        <v>0.82</v>
      </c>
      <c r="AM48" s="62" t="n">
        <f aca="false">AL48</f>
        <v>0.82</v>
      </c>
    </row>
    <row r="49" customFormat="false" ht="15" hidden="false" customHeight="false" outlineLevel="0" collapsed="false">
      <c r="A49" s="10" t="s">
        <v>784</v>
      </c>
      <c r="B49" s="9" t="s">
        <v>84</v>
      </c>
      <c r="C49" s="61" t="n">
        <f aca="false">C15+C19+C23+(C13+C25)*Assumptions!$H$45</f>
        <v>5800.24053845475</v>
      </c>
      <c r="D49" s="61" t="n">
        <f aca="false">D15+D19+D23+(D13+D25)*Assumptions!$H$45</f>
        <v>49446.3433448276</v>
      </c>
      <c r="E49" s="61" t="n">
        <f aca="false">E15+E19+E23+(E13+E25)*Assumptions!$H$45</f>
        <v>35974.0059062069</v>
      </c>
      <c r="F49" s="61" t="n">
        <f aca="false">F15+F19+F23+(F13+F25)*Assumptions!$H$45</f>
        <v>33693.5772812088</v>
      </c>
      <c r="G49" s="61" t="n">
        <f aca="false">G15+G19+G23+(G13+G25)*Assumptions!$H$45</f>
        <v>31967.8361921208</v>
      </c>
      <c r="H49" s="61" t="n">
        <f aca="false">H15+H19+H23+(H13+H25)*Assumptions!$H$45</f>
        <v>30565.8745694469</v>
      </c>
      <c r="I49" s="61" t="n">
        <f aca="false">I15+I19+I23+(I13+I25)*Assumptions!$H$45</f>
        <v>29503.1131740889</v>
      </c>
      <c r="J49" s="61" t="n">
        <f aca="false">J15+J19+J23+(J13+J25)*Assumptions!$H$45</f>
        <v>28735.2769721604</v>
      </c>
      <c r="K49" s="61" t="n">
        <f aca="false">K15+K19+K23+(K13+K25)*Assumptions!$H$45</f>
        <v>28219.5671338003</v>
      </c>
      <c r="L49" s="61" t="n">
        <f aca="false">L15+L19+L23+(L13+L25)*Assumptions!$H$45</f>
        <v>27934.3749418787</v>
      </c>
      <c r="M49" s="61" t="n">
        <f aca="false">M15+M19+M23+(M13+M25)*Assumptions!$H$45</f>
        <v>28366.7161559722</v>
      </c>
      <c r="N49" s="61" t="n">
        <f aca="false">N15+N19+N23+(N13+N25)*Assumptions!$H$45</f>
        <v>29032.3774912035</v>
      </c>
      <c r="O49" s="61" t="n">
        <f aca="false">O15+O19+O23+(O13+O25)*Assumptions!$H$45</f>
        <v>29830.4476458745</v>
      </c>
      <c r="P49" s="61" t="n">
        <f aca="false">P15+P19+P23+(P13+P25)*Assumptions!$H$45</f>
        <v>30746.4225815104</v>
      </c>
      <c r="Q49" s="61" t="n">
        <f aca="false">Q15+Q19+Q23+(Q13+Q25)*Assumptions!$H$45</f>
        <v>31776.9633943321</v>
      </c>
      <c r="R49" s="61" t="n">
        <f aca="false">R15+R19+R23+(R13+R25)*Assumptions!$H$45</f>
        <v>32921.5546200134</v>
      </c>
      <c r="S49" s="61" t="n">
        <f aca="false">S15+S19+S23+(S13+S25)*Assumptions!$H$45</f>
        <v>34181.5519211072</v>
      </c>
      <c r="T49" s="61" t="n">
        <f aca="false">T15+T19+T23+(T13+T25)*Assumptions!$H$45</f>
        <v>35560.0286943502</v>
      </c>
      <c r="U49" s="61" t="n">
        <f aca="false">U15+U19+U23+(U13+U25)*Assumptions!$H$45</f>
        <v>37061.6862430378</v>
      </c>
      <c r="V49" s="61" t="n">
        <f aca="false">V15+V19+V23+(V13+V25)*Assumptions!$H$45</f>
        <v>38692.7758425786</v>
      </c>
      <c r="W49" s="61" t="n">
        <f aca="false">W15+W19+W23+(W13+W25)*Assumptions!$H$45</f>
        <v>40461.0378064926</v>
      </c>
      <c r="X49" s="61" t="n">
        <f aca="false">X15+X19+X23+(X13+X25)*Assumptions!$H$45</f>
        <v>42375.6620739543</v>
      </c>
      <c r="Y49" s="61" t="n">
        <f aca="false">Y15+Y19+Y23+(Y13+Y25)*Assumptions!$H$45</f>
        <v>44447.2715954825</v>
      </c>
      <c r="Z49" s="61" t="n">
        <f aca="false">Z15+Z19+Z23+(Z13+Z25)*Assumptions!$H$45</f>
        <v>46687.9280505884</v>
      </c>
      <c r="AA49" s="61" t="n">
        <f aca="false">AA15+AA19+AA23+(AA13+AA25)*Assumptions!$H$45</f>
        <v>49111.1587350592</v>
      </c>
      <c r="AB49" s="61" t="n">
        <f aca="false">AB15+AB19+AB23+(AB13+AB25)*Assumptions!$H$45</f>
        <v>51732.0033111751</v>
      </c>
      <c r="AC49" s="61" t="n">
        <f aca="false">AC15+AC19+AC23+(AC13+AC25)*Assumptions!$H$45</f>
        <v>54545.4488515919</v>
      </c>
      <c r="AD49" s="61" t="n">
        <f aca="false">AD15+AD19+AD23+(AD13+AD25)*Assumptions!$H$45</f>
        <v>57558.2698164004</v>
      </c>
      <c r="AE49" s="61" t="n">
        <f aca="false">AE15+AE19+AE23+(AE13+AE25)*Assumptions!$H$45</f>
        <v>60793.7557454226</v>
      </c>
      <c r="AF49" s="61" t="n">
        <f aca="false">AF15+AF19+AF23+(AF13+AF25)*Assumptions!$H$45</f>
        <v>64274.23911414</v>
      </c>
      <c r="AG49" s="61" t="n">
        <f aca="false">AG15+AG19+AG23+(AG13+AG25)*Assumptions!$H$45</f>
        <v>68023.0878090316</v>
      </c>
      <c r="AH49" s="61" t="n">
        <f aca="false">AH15+AH19+AH23+(AH13+AH25)*Assumptions!$H$45</f>
        <v>72065.5142162417</v>
      </c>
      <c r="AI49" s="61" t="n">
        <f aca="false">AI15+AI19+AI23+(AI13+AI25)*Assumptions!$H$45</f>
        <v>76428.8251701946</v>
      </c>
      <c r="AJ49" s="61" t="n">
        <f aca="false">AJ15+AJ19+AJ23+(AJ13+AJ25)*Assumptions!$H$45</f>
        <v>81142.6165847937</v>
      </c>
      <c r="AK49" s="61" t="n">
        <f aca="false">AK15+AK19+AK23+(AK13+AK25)*Assumptions!$H$45</f>
        <v>86238.9757335739</v>
      </c>
      <c r="AL49" s="61" t="n">
        <f aca="false">AL15+AL19+AL23+(AL13+AL25)*Assumptions!$H$45</f>
        <v>91752.7006563555</v>
      </c>
      <c r="AM49" s="61" t="n">
        <f aca="false">SUM(C49:AL49)</f>
        <v>1617649.22991467</v>
      </c>
    </row>
    <row r="50" customFormat="false" ht="15" hidden="false" customHeight="false" outlineLevel="0" collapsed="false">
      <c r="A50" s="10" t="s">
        <v>785</v>
      </c>
      <c r="B50" s="9" t="s">
        <v>51</v>
      </c>
      <c r="C50" s="61" t="n">
        <f aca="false">C49*Assumptions!$H$58*C9</f>
        <v>0</v>
      </c>
      <c r="D50" s="61" t="n">
        <f aca="false">D49*Assumptions!$H$58*D9</f>
        <v>0</v>
      </c>
      <c r="E50" s="61" t="n">
        <f aca="false">E49*Assumptions!$H$58*E9</f>
        <v>0</v>
      </c>
      <c r="F50" s="61" t="n">
        <f aca="false">F49*Assumptions!$H$58*F9</f>
        <v>0</v>
      </c>
      <c r="G50" s="61" t="n">
        <f aca="false">G49*Assumptions!$H$58*G9</f>
        <v>0</v>
      </c>
      <c r="H50" s="61" t="n">
        <f aca="false">H49*Assumptions!$H$58*H9</f>
        <v>0</v>
      </c>
      <c r="I50" s="61" t="n">
        <f aca="false">I49*Assumptions!$H$58*I9</f>
        <v>531.0560371336</v>
      </c>
      <c r="J50" s="61" t="n">
        <f aca="false">J49*Assumptions!$H$58*J9</f>
        <v>517.234985498886</v>
      </c>
      <c r="K50" s="61" t="n">
        <f aca="false">K49*Assumptions!$H$58*K9</f>
        <v>507.952208408405</v>
      </c>
      <c r="L50" s="61" t="n">
        <f aca="false">L49*Assumptions!$H$58*L9</f>
        <v>502.818748953817</v>
      </c>
      <c r="M50" s="61" t="n">
        <f aca="false">M49*Assumptions!$H$58*M9</f>
        <v>510.6008908075</v>
      </c>
      <c r="N50" s="61" t="n">
        <f aca="false">N49*Assumptions!$H$58*N9</f>
        <v>522.582794841662</v>
      </c>
      <c r="O50" s="61" t="n">
        <f aca="false">O49*Assumptions!$H$58*O9</f>
        <v>536.948057625741</v>
      </c>
      <c r="P50" s="61" t="n">
        <f aca="false">P49*Assumptions!$H$58*P9</f>
        <v>553.435606467188</v>
      </c>
      <c r="Q50" s="61" t="n">
        <f aca="false">Q49*Assumptions!$H$58*Q9</f>
        <v>571.985341097977</v>
      </c>
      <c r="R50" s="61" t="n">
        <f aca="false">R49*Assumptions!$H$58*R9</f>
        <v>592.587983160241</v>
      </c>
      <c r="S50" s="61" t="n">
        <f aca="false">S49*Assumptions!$H$58*S9</f>
        <v>615.26793457993</v>
      </c>
      <c r="T50" s="61" t="n">
        <f aca="false">T49*Assumptions!$H$58*T9</f>
        <v>640.080516498304</v>
      </c>
      <c r="U50" s="61" t="n">
        <f aca="false">U49*Assumptions!$H$58*U9</f>
        <v>667.110352374681</v>
      </c>
      <c r="V50" s="61" t="n">
        <f aca="false">V49*Assumptions!$H$58*V9</f>
        <v>696.469965166415</v>
      </c>
      <c r="W50" s="61" t="n">
        <f aca="false">W49*Assumptions!$H$58*W9</f>
        <v>728.298680516866</v>
      </c>
      <c r="X50" s="61" t="n">
        <f aca="false">X49*Assumptions!$H$58*X9</f>
        <v>762.761917331177</v>
      </c>
      <c r="Y50" s="61" t="n">
        <f aca="false">Y49*Assumptions!$H$58*Y9</f>
        <v>800.050888718685</v>
      </c>
      <c r="Z50" s="61" t="n">
        <f aca="false">Z49*Assumptions!$H$58*Z9</f>
        <v>840.382704910591</v>
      </c>
      <c r="AA50" s="61" t="n">
        <f aca="false">AA49*Assumptions!$H$58*AA9</f>
        <v>884.000857231066</v>
      </c>
      <c r="AB50" s="61" t="n">
        <f aca="false">AB49*Assumptions!$H$58*AB9</f>
        <v>931.176059601152</v>
      </c>
      <c r="AC50" s="61" t="n">
        <f aca="false">AC49*Assumptions!$H$58*AC9</f>
        <v>981.818079328655</v>
      </c>
      <c r="AD50" s="61" t="n">
        <f aca="false">AD49*Assumptions!$H$58*AD9</f>
        <v>1036.04885669521</v>
      </c>
      <c r="AE50" s="61" t="n">
        <f aca="false">AE49*Assumptions!$H$58*AE9</f>
        <v>1094.28760341761</v>
      </c>
      <c r="AF50" s="61" t="n">
        <f aca="false">AF49*Assumptions!$H$58*AF9</f>
        <v>1156.93630405452</v>
      </c>
      <c r="AG50" s="61" t="n">
        <f aca="false">AG49*Assumptions!$H$58*AG9</f>
        <v>1224.41558056257</v>
      </c>
      <c r="AH50" s="61" t="n">
        <f aca="false">AH49*Assumptions!$H$58*AH9</f>
        <v>1297.17925589235</v>
      </c>
      <c r="AI50" s="61" t="n">
        <f aca="false">AI49*Assumptions!$H$58*AI9</f>
        <v>1375.7188530635</v>
      </c>
      <c r="AJ50" s="61" t="n">
        <f aca="false">AJ49*Assumptions!$H$58*AJ9</f>
        <v>1460.56709852629</v>
      </c>
      <c r="AK50" s="61" t="n">
        <f aca="false">AK49*Assumptions!$H$58*AK9</f>
        <v>1552.30156320433</v>
      </c>
      <c r="AL50" s="61" t="n">
        <f aca="false">AL49*Assumptions!$H$58*AL9</f>
        <v>1651.5486118144</v>
      </c>
      <c r="AM50" s="61" t="n">
        <f aca="false">SUM(C50:AL50)</f>
        <v>25743.6243374833</v>
      </c>
    </row>
    <row r="51" customFormat="false" ht="15" hidden="false" customHeight="false" outlineLevel="0" collapsed="false">
      <c r="A51" s="10" t="s">
        <v>786</v>
      </c>
      <c r="B51" s="9" t="s">
        <v>51</v>
      </c>
      <c r="C51" s="61" t="n">
        <f aca="false">C50*Assumptions!$H$59</f>
        <v>0</v>
      </c>
      <c r="D51" s="61" t="n">
        <f aca="false">D50*Assumptions!$H$59</f>
        <v>0</v>
      </c>
      <c r="E51" s="61" t="n">
        <f aca="false">E50*Assumptions!$H$59</f>
        <v>0</v>
      </c>
      <c r="F51" s="61" t="n">
        <f aca="false">F50*Assumptions!$H$59</f>
        <v>0</v>
      </c>
      <c r="G51" s="61" t="n">
        <f aca="false">G50*Assumptions!$H$59</f>
        <v>0</v>
      </c>
      <c r="H51" s="61" t="n">
        <f aca="false">H50*Assumptions!$H$59</f>
        <v>0</v>
      </c>
      <c r="I51" s="61" t="n">
        <f aca="false">I50*Assumptions!$H$59</f>
        <v>371.73922599352</v>
      </c>
      <c r="J51" s="61" t="n">
        <f aca="false">J50*Assumptions!$H$59</f>
        <v>362.06448984922</v>
      </c>
      <c r="K51" s="61" t="n">
        <f aca="false">K50*Assumptions!$H$59</f>
        <v>355.566545885884</v>
      </c>
      <c r="L51" s="61" t="n">
        <f aca="false">L50*Assumptions!$H$59</f>
        <v>351.973124267672</v>
      </c>
      <c r="M51" s="61" t="n">
        <f aca="false">M50*Assumptions!$H$59</f>
        <v>357.42062356525</v>
      </c>
      <c r="N51" s="61" t="n">
        <f aca="false">N50*Assumptions!$H$59</f>
        <v>365.807956389164</v>
      </c>
      <c r="O51" s="61" t="n">
        <f aca="false">O50*Assumptions!$H$59</f>
        <v>375.863640338018</v>
      </c>
      <c r="P51" s="61" t="n">
        <f aca="false">P50*Assumptions!$H$59</f>
        <v>387.404924527031</v>
      </c>
      <c r="Q51" s="61" t="n">
        <f aca="false">Q50*Assumptions!$H$59</f>
        <v>400.389738768584</v>
      </c>
      <c r="R51" s="61" t="n">
        <f aca="false">R50*Assumptions!$H$59</f>
        <v>414.811588212168</v>
      </c>
      <c r="S51" s="61" t="n">
        <f aca="false">S50*Assumptions!$H$59</f>
        <v>430.687554205951</v>
      </c>
      <c r="T51" s="61" t="n">
        <f aca="false">T50*Assumptions!$H$59</f>
        <v>448.056361548813</v>
      </c>
      <c r="U51" s="61" t="n">
        <f aca="false">U50*Assumptions!$H$59</f>
        <v>466.977246662277</v>
      </c>
      <c r="V51" s="61" t="n">
        <f aca="false">V50*Assumptions!$H$59</f>
        <v>487.52897561649</v>
      </c>
      <c r="W51" s="61" t="n">
        <f aca="false">W50*Assumptions!$H$59</f>
        <v>509.809076361806</v>
      </c>
      <c r="X51" s="61" t="n">
        <f aca="false">X50*Assumptions!$H$59</f>
        <v>533.933342131824</v>
      </c>
      <c r="Y51" s="61" t="n">
        <f aca="false">Y50*Assumptions!$H$59</f>
        <v>560.03562210308</v>
      </c>
      <c r="Z51" s="61" t="n">
        <f aca="false">Z50*Assumptions!$H$59</f>
        <v>588.267893437413</v>
      </c>
      <c r="AA51" s="61" t="n">
        <f aca="false">AA50*Assumptions!$H$59</f>
        <v>618.800600061746</v>
      </c>
      <c r="AB51" s="61" t="n">
        <f aca="false">AB50*Assumptions!$H$59</f>
        <v>651.823241720807</v>
      </c>
      <c r="AC51" s="61" t="n">
        <f aca="false">AC50*Assumptions!$H$59</f>
        <v>687.272655530058</v>
      </c>
      <c r="AD51" s="61" t="n">
        <f aca="false">AD50*Assumptions!$H$59</f>
        <v>725.234199686645</v>
      </c>
      <c r="AE51" s="61" t="n">
        <f aca="false">AE50*Assumptions!$H$59</f>
        <v>766.001322392325</v>
      </c>
      <c r="AF51" s="61" t="n">
        <f aca="false">AF50*Assumptions!$H$59</f>
        <v>809.855412838164</v>
      </c>
      <c r="AG51" s="61" t="n">
        <f aca="false">AG50*Assumptions!$H$59</f>
        <v>857.090906393798</v>
      </c>
      <c r="AH51" s="61" t="n">
        <f aca="false">AH50*Assumptions!$H$59</f>
        <v>908.025479124645</v>
      </c>
      <c r="AI51" s="61" t="n">
        <f aca="false">AI50*Assumptions!$H$59</f>
        <v>963.003197144451</v>
      </c>
      <c r="AJ51" s="61" t="n">
        <f aca="false">AJ50*Assumptions!$H$59</f>
        <v>1022.3969689684</v>
      </c>
      <c r="AK51" s="61" t="n">
        <f aca="false">AK50*Assumptions!$H$59</f>
        <v>1086.61109424303</v>
      </c>
      <c r="AL51" s="61" t="n">
        <f aca="false">AL50*Assumptions!$H$59</f>
        <v>1156.08402827008</v>
      </c>
      <c r="AM51" s="61" t="n">
        <f aca="false">SUM(C51:AL51)</f>
        <v>18020.5370362383</v>
      </c>
    </row>
    <row r="52" customFormat="false" ht="15" hidden="false" customHeight="false" outlineLevel="0" collapsed="false">
      <c r="A52" s="10" t="s">
        <v>787</v>
      </c>
      <c r="B52" s="9" t="s">
        <v>51</v>
      </c>
      <c r="C52" s="61" t="n">
        <f aca="false">C51*Assumptions!$H$60*C48</f>
        <v>0</v>
      </c>
      <c r="D52" s="61" t="n">
        <f aca="false">D51*Assumptions!$H$60*D48</f>
        <v>0</v>
      </c>
      <c r="E52" s="61" t="n">
        <f aca="false">E51*Assumptions!$H$60*E48</f>
        <v>0</v>
      </c>
      <c r="F52" s="61" t="n">
        <f aca="false">F51*Assumptions!$H$60*F48</f>
        <v>0</v>
      </c>
      <c r="G52" s="61" t="n">
        <f aca="false">G51*Assumptions!$H$60*G48</f>
        <v>0</v>
      </c>
      <c r="H52" s="61" t="n">
        <f aca="false">H51*Assumptions!$H$60*H48</f>
        <v>0</v>
      </c>
      <c r="I52" s="61" t="n">
        <f aca="false">I51*Assumptions!$H$60*I48</f>
        <v>77.619150387447</v>
      </c>
      <c r="J52" s="61" t="n">
        <f aca="false">J51*Assumptions!$H$60*J48</f>
        <v>80.8490005833309</v>
      </c>
      <c r="K52" s="61" t="n">
        <f aca="false">K51*Assumptions!$H$60*K48</f>
        <v>84.5537246116631</v>
      </c>
      <c r="L52" s="61" t="n">
        <f aca="false">L51*Assumptions!$H$60*L48</f>
        <v>88.8028192527336</v>
      </c>
      <c r="M52" s="61" t="n">
        <f aca="false">M51*Assumptions!$H$60*M48</f>
        <v>95.3598223672088</v>
      </c>
      <c r="N52" s="61" t="n">
        <f aca="false">N51*Assumptions!$H$60*N48</f>
        <v>102.901778132272</v>
      </c>
      <c r="O52" s="61" t="n">
        <f aca="false">O51*Assumptions!$H$60*O48</f>
        <v>111.180464811986</v>
      </c>
      <c r="P52" s="61" t="n">
        <f aca="false">P51*Assumptions!$H$60*P48</f>
        <v>120.211748080738</v>
      </c>
      <c r="Q52" s="61" t="n">
        <f aca="false">Q51*Assumptions!$H$60*Q48</f>
        <v>130.046587152036</v>
      </c>
      <c r="R52" s="61" t="n">
        <f aca="false">R51*Assumptions!$H$60*R48</f>
        <v>140.745571880389</v>
      </c>
      <c r="S52" s="61" t="n">
        <f aca="false">S51*Assumptions!$H$60*S48</f>
        <v>152.377256678065</v>
      </c>
      <c r="T52" s="61" t="n">
        <f aca="false">T51*Assumptions!$H$60*T48</f>
        <v>165.019157958428</v>
      </c>
      <c r="U52" s="61" t="n">
        <f aca="false">U51*Assumptions!$H$60*U48</f>
        <v>178.75889002232</v>
      </c>
      <c r="V52" s="61" t="n">
        <f aca="false">V51*Assumptions!$H$60*V48</f>
        <v>193.695262012432</v>
      </c>
      <c r="W52" s="61" t="n">
        <f aca="false">W51*Assumptions!$H$60*W48</f>
        <v>209.939377645792</v>
      </c>
      <c r="X52" s="61" t="n">
        <f aca="false">X51*Assumptions!$H$60*X48</f>
        <v>227.615783750796</v>
      </c>
      <c r="Y52" s="61" t="n">
        <f aca="false">Y51*Assumptions!$H$60*Y48</f>
        <v>246.863702223038</v>
      </c>
      <c r="Z52" s="61" t="n">
        <f aca="false">Z51*Assumptions!$H$60*Z48</f>
        <v>267.838371882054</v>
      </c>
      <c r="AA52" s="61" t="n">
        <f aca="false">AA51*Assumptions!$H$60*AA48</f>
        <v>290.712521909009</v>
      </c>
      <c r="AB52" s="61" t="n">
        <f aca="false">AB51*Assumptions!$H$60*AB48</f>
        <v>310.007133762416</v>
      </c>
      <c r="AC52" s="61" t="n">
        <f aca="false">AC51*Assumptions!$H$60*AC48</f>
        <v>326.866874970096</v>
      </c>
      <c r="AD52" s="61" t="n">
        <f aca="false">AD51*Assumptions!$H$60*AD48</f>
        <v>344.921385370968</v>
      </c>
      <c r="AE52" s="61" t="n">
        <f aca="false">AE51*Assumptions!$H$60*AE48</f>
        <v>364.31022892979</v>
      </c>
      <c r="AF52" s="61" t="n">
        <f aca="false">AF51*Assumptions!$H$60*AF48</f>
        <v>385.167234345831</v>
      </c>
      <c r="AG52" s="61" t="n">
        <f aca="false">AG51*Assumptions!$H$60*AG48</f>
        <v>407.63243508089</v>
      </c>
      <c r="AH52" s="61" t="n">
        <f aca="false">AH51*Assumptions!$H$60*AH48</f>
        <v>431.856917871681</v>
      </c>
      <c r="AI52" s="61" t="n">
        <f aca="false">AI51*Assumptions!$H$60*AI48</f>
        <v>458.004320561901</v>
      </c>
      <c r="AJ52" s="61" t="n">
        <f aca="false">AJ51*Assumptions!$H$60*AJ48</f>
        <v>486.251998441371</v>
      </c>
      <c r="AK52" s="61" t="n">
        <f aca="false">AK51*Assumptions!$H$60*AK48</f>
        <v>516.792236421986</v>
      </c>
      <c r="AL52" s="61" t="n">
        <f aca="false">AL51*Assumptions!$H$60*AL48</f>
        <v>549.833563845249</v>
      </c>
      <c r="AM52" s="61" t="n">
        <f aca="false">SUM(C52:AL52)</f>
        <v>7546.73532094391</v>
      </c>
    </row>
    <row r="53" customFormat="false" ht="15" hidden="false" customHeight="false" outlineLevel="0" collapsed="false">
      <c r="A53" s="10" t="s">
        <v>788</v>
      </c>
      <c r="B53" s="9" t="s">
        <v>51</v>
      </c>
      <c r="C53" s="61" t="n">
        <f aca="false">C52*Assumptions!$H$64</f>
        <v>0</v>
      </c>
      <c r="D53" s="61" t="n">
        <f aca="false">D52*Assumptions!$H$64</f>
        <v>0</v>
      </c>
      <c r="E53" s="61" t="n">
        <f aca="false">E52*Assumptions!$H$64</f>
        <v>0</v>
      </c>
      <c r="F53" s="61" t="n">
        <f aca="false">F52*Assumptions!$H$64</f>
        <v>0</v>
      </c>
      <c r="G53" s="61" t="n">
        <f aca="false">G52*Assumptions!$H$64</f>
        <v>0</v>
      </c>
      <c r="H53" s="61" t="n">
        <f aca="false">H52*Assumptions!$H$64</f>
        <v>0</v>
      </c>
      <c r="I53" s="61" t="n">
        <f aca="false">I52*Assumptions!$H$64</f>
        <v>43.4667242169703</v>
      </c>
      <c r="J53" s="61" t="n">
        <f aca="false">J52*Assumptions!$H$64</f>
        <v>45.2754403266653</v>
      </c>
      <c r="K53" s="61" t="n">
        <f aca="false">K52*Assumptions!$H$64</f>
        <v>47.3500857825313</v>
      </c>
      <c r="L53" s="61" t="n">
        <f aca="false">L52*Assumptions!$H$64</f>
        <v>49.7295787815308</v>
      </c>
      <c r="M53" s="61" t="n">
        <f aca="false">M52*Assumptions!$H$64</f>
        <v>53.4015005256369</v>
      </c>
      <c r="N53" s="61" t="n">
        <f aca="false">N52*Assumptions!$H$64</f>
        <v>57.6249957540722</v>
      </c>
      <c r="O53" s="61" t="n">
        <f aca="false">O52*Assumptions!$H$64</f>
        <v>62.2610602947121</v>
      </c>
      <c r="P53" s="61" t="n">
        <f aca="false">P52*Assumptions!$H$64</f>
        <v>67.3185789252132</v>
      </c>
      <c r="Q53" s="61" t="n">
        <f aca="false">Q52*Assumptions!$H$64</f>
        <v>72.8260888051402</v>
      </c>
      <c r="R53" s="61" t="n">
        <f aca="false">R52*Assumptions!$H$64</f>
        <v>78.8175202530177</v>
      </c>
      <c r="S53" s="61" t="n">
        <f aca="false">S52*Assumptions!$H$64</f>
        <v>85.3312637397166</v>
      </c>
      <c r="T53" s="61" t="n">
        <f aca="false">T52*Assumptions!$H$64</f>
        <v>92.4107284567195</v>
      </c>
      <c r="U53" s="61" t="n">
        <f aca="false">U52*Assumptions!$H$64</f>
        <v>100.104978412499</v>
      </c>
      <c r="V53" s="61" t="n">
        <f aca="false">V52*Assumptions!$H$64</f>
        <v>108.469346726962</v>
      </c>
      <c r="W53" s="61" t="n">
        <f aca="false">W52*Assumptions!$H$64</f>
        <v>117.566051481643</v>
      </c>
      <c r="X53" s="61" t="n">
        <f aca="false">X52*Assumptions!$H$64</f>
        <v>127.464838900446</v>
      </c>
      <c r="Y53" s="61" t="n">
        <f aca="false">Y52*Assumptions!$H$64</f>
        <v>138.243673244901</v>
      </c>
      <c r="Z53" s="61" t="n">
        <f aca="false">Z52*Assumptions!$H$64</f>
        <v>149.98948825395</v>
      </c>
      <c r="AA53" s="61" t="n">
        <f aca="false">AA52*Assumptions!$H$64</f>
        <v>162.799012269045</v>
      </c>
      <c r="AB53" s="61" t="n">
        <f aca="false">AB52*Assumptions!$H$64</f>
        <v>173.603994906953</v>
      </c>
      <c r="AC53" s="61" t="n">
        <f aca="false">AC52*Assumptions!$H$64</f>
        <v>183.045449983254</v>
      </c>
      <c r="AD53" s="61" t="n">
        <f aca="false">AD52*Assumptions!$H$64</f>
        <v>193.155975807742</v>
      </c>
      <c r="AE53" s="61" t="n">
        <f aca="false">AE52*Assumptions!$H$64</f>
        <v>204.013728200682</v>
      </c>
      <c r="AF53" s="61" t="n">
        <f aca="false">AF52*Assumptions!$H$64</f>
        <v>215.693651233665</v>
      </c>
      <c r="AG53" s="61" t="n">
        <f aca="false">AG52*Assumptions!$H$64</f>
        <v>228.274163645298</v>
      </c>
      <c r="AH53" s="61" t="n">
        <f aca="false">AH52*Assumptions!$H$64</f>
        <v>241.839874008142</v>
      </c>
      <c r="AI53" s="61" t="n">
        <f aca="false">AI52*Assumptions!$H$64</f>
        <v>256.482419514665</v>
      </c>
      <c r="AJ53" s="61" t="n">
        <f aca="false">AJ52*Assumptions!$H$64</f>
        <v>272.301119127168</v>
      </c>
      <c r="AK53" s="61" t="n">
        <f aca="false">AK52*Assumptions!$H$64</f>
        <v>289.403652396312</v>
      </c>
      <c r="AL53" s="61" t="n">
        <f aca="false">AL52*Assumptions!$H$64</f>
        <v>307.90679575334</v>
      </c>
      <c r="AM53" s="61" t="n">
        <f aca="false">SUM(C53:AL53)</f>
        <v>4226.17177972859</v>
      </c>
    </row>
    <row r="54" customFormat="false" ht="15" hidden="false" customHeight="false" outlineLevel="0" collapsed="false">
      <c r="A54" s="10" t="s">
        <v>789</v>
      </c>
      <c r="B54" s="9" t="s">
        <v>51</v>
      </c>
      <c r="C54" s="61" t="n">
        <f aca="false">C53*Assumptions!$H$65</f>
        <v>0</v>
      </c>
      <c r="D54" s="61" t="n">
        <f aca="false">D53*Assumptions!$H$65</f>
        <v>0</v>
      </c>
      <c r="E54" s="61" t="n">
        <f aca="false">E53*Assumptions!$H$65</f>
        <v>0</v>
      </c>
      <c r="F54" s="61" t="n">
        <f aca="false">F53*Assumptions!$H$65</f>
        <v>0</v>
      </c>
      <c r="G54" s="61" t="n">
        <f aca="false">G53*Assumptions!$H$65</f>
        <v>0</v>
      </c>
      <c r="H54" s="61" t="n">
        <f aca="false">H53*Assumptions!$H$65</f>
        <v>0</v>
      </c>
      <c r="I54" s="61" t="n">
        <f aca="false">I53*Assumptions!$H$65</f>
        <v>36.0773811000854</v>
      </c>
      <c r="J54" s="61" t="n">
        <f aca="false">J53*Assumptions!$H$65</f>
        <v>37.5786154711322</v>
      </c>
      <c r="K54" s="61" t="n">
        <f aca="false">K53*Assumptions!$H$65</f>
        <v>39.300571199501</v>
      </c>
      <c r="L54" s="61" t="n">
        <f aca="false">L53*Assumptions!$H$65</f>
        <v>41.2755503886706</v>
      </c>
      <c r="M54" s="61" t="n">
        <f aca="false">M53*Assumptions!$H$65</f>
        <v>44.3232454362786</v>
      </c>
      <c r="N54" s="61" t="n">
        <f aca="false">N53*Assumptions!$H$65</f>
        <v>47.8287464758799</v>
      </c>
      <c r="O54" s="61" t="n">
        <f aca="false">O53*Assumptions!$H$65</f>
        <v>51.676680044611</v>
      </c>
      <c r="P54" s="61" t="n">
        <f aca="false">P53*Assumptions!$H$65</f>
        <v>55.8744205079269</v>
      </c>
      <c r="Q54" s="61" t="n">
        <f aca="false">Q53*Assumptions!$H$65</f>
        <v>60.4456537082663</v>
      </c>
      <c r="R54" s="61" t="n">
        <f aca="false">R53*Assumptions!$H$65</f>
        <v>65.4185418100047</v>
      </c>
      <c r="S54" s="61" t="n">
        <f aca="false">S53*Assumptions!$H$65</f>
        <v>70.8249489039648</v>
      </c>
      <c r="T54" s="61" t="n">
        <f aca="false">T53*Assumptions!$H$65</f>
        <v>76.7009046190772</v>
      </c>
      <c r="U54" s="61" t="n">
        <f aca="false">U53*Assumptions!$H$65</f>
        <v>83.0871320823741</v>
      </c>
      <c r="V54" s="61" t="n">
        <f aca="false">V53*Assumptions!$H$65</f>
        <v>90.0295577833782</v>
      </c>
      <c r="W54" s="61" t="n">
        <f aca="false">W53*Assumptions!$H$65</f>
        <v>97.5798227297641</v>
      </c>
      <c r="X54" s="61" t="n">
        <f aca="false">X53*Assumptions!$H$65</f>
        <v>105.79581628737</v>
      </c>
      <c r="Y54" s="61" t="n">
        <f aca="false">Y53*Assumptions!$H$65</f>
        <v>114.742248793268</v>
      </c>
      <c r="Z54" s="61" t="n">
        <f aca="false">Z53*Assumptions!$H$65</f>
        <v>124.491275250779</v>
      </c>
      <c r="AA54" s="61" t="n">
        <f aca="false">AA53*Assumptions!$H$65</f>
        <v>135.123180183307</v>
      </c>
      <c r="AB54" s="61" t="n">
        <f aca="false">AB53*Assumptions!$H$65</f>
        <v>144.091315772771</v>
      </c>
      <c r="AC54" s="61" t="n">
        <f aca="false">AC53*Assumptions!$H$65</f>
        <v>151.927723486101</v>
      </c>
      <c r="AD54" s="61" t="n">
        <f aca="false">AD53*Assumptions!$H$65</f>
        <v>160.319459920426</v>
      </c>
      <c r="AE54" s="61" t="n">
        <f aca="false">AE53*Assumptions!$H$65</f>
        <v>169.331394406566</v>
      </c>
      <c r="AF54" s="61" t="n">
        <f aca="false">AF53*Assumptions!$H$65</f>
        <v>179.025730523942</v>
      </c>
      <c r="AG54" s="61" t="n">
        <f aca="false">AG53*Assumptions!$H$65</f>
        <v>189.467555825598</v>
      </c>
      <c r="AH54" s="61" t="n">
        <f aca="false">AH53*Assumptions!$H$65</f>
        <v>200.727095426757</v>
      </c>
      <c r="AI54" s="61" t="n">
        <f aca="false">AI53*Assumptions!$H$65</f>
        <v>212.880408197172</v>
      </c>
      <c r="AJ54" s="61" t="n">
        <f aca="false">AJ53*Assumptions!$H$65</f>
        <v>226.009928875549</v>
      </c>
      <c r="AK54" s="61" t="n">
        <f aca="false">AK53*Assumptions!$H$65</f>
        <v>240.205031488939</v>
      </c>
      <c r="AL54" s="61" t="n">
        <f aca="false">AL53*Assumptions!$H$65</f>
        <v>255.562640475272</v>
      </c>
      <c r="AM54" s="61" t="n">
        <f aca="false">SUM(C54:AL54)</f>
        <v>3507.72257717473</v>
      </c>
    </row>
    <row r="55" customFormat="false" ht="15" hidden="false" customHeight="false" outlineLevel="0" collapsed="false">
      <c r="A55" s="10" t="s">
        <v>790</v>
      </c>
      <c r="B55" s="9" t="s">
        <v>51</v>
      </c>
      <c r="C55" s="61" t="n">
        <f aca="false">C54*Assumptions!$H$66</f>
        <v>0</v>
      </c>
      <c r="D55" s="61" t="n">
        <f aca="false">D54*Assumptions!$H$66</f>
        <v>0</v>
      </c>
      <c r="E55" s="61" t="n">
        <f aca="false">E54*Assumptions!$H$66</f>
        <v>0</v>
      </c>
      <c r="F55" s="61" t="n">
        <f aca="false">F54*Assumptions!$H$66</f>
        <v>0</v>
      </c>
      <c r="G55" s="61" t="n">
        <f aca="false">G54*Assumptions!$H$66</f>
        <v>0</v>
      </c>
      <c r="H55" s="61" t="n">
        <f aca="false">H54*Assumptions!$H$66</f>
        <v>0</v>
      </c>
      <c r="I55" s="61" t="n">
        <f aca="false">I54*Assumptions!$H$66</f>
        <v>22.3679762820529</v>
      </c>
      <c r="J55" s="61" t="n">
        <f aca="false">J54*Assumptions!$H$66</f>
        <v>23.298741592102</v>
      </c>
      <c r="K55" s="61" t="n">
        <f aca="false">K54*Assumptions!$H$66</f>
        <v>24.3663541436906</v>
      </c>
      <c r="L55" s="61" t="n">
        <f aca="false">L54*Assumptions!$H$66</f>
        <v>25.5908412409758</v>
      </c>
      <c r="M55" s="61" t="n">
        <f aca="false">M54*Assumptions!$H$66</f>
        <v>27.4804121704927</v>
      </c>
      <c r="N55" s="61" t="n">
        <f aca="false">N54*Assumptions!$H$66</f>
        <v>29.6538228150455</v>
      </c>
      <c r="O55" s="61" t="n">
        <f aca="false">O54*Assumptions!$H$66</f>
        <v>32.0395416276588</v>
      </c>
      <c r="P55" s="61" t="n">
        <f aca="false">P54*Assumptions!$H$66</f>
        <v>34.6421407149147</v>
      </c>
      <c r="Q55" s="61" t="n">
        <f aca="false">Q54*Assumptions!$H$66</f>
        <v>37.4763052991251</v>
      </c>
      <c r="R55" s="61" t="n">
        <f aca="false">R54*Assumptions!$H$66</f>
        <v>40.5594959222029</v>
      </c>
      <c r="S55" s="61" t="n">
        <f aca="false">S54*Assumptions!$H$66</f>
        <v>43.9114683204582</v>
      </c>
      <c r="T55" s="61" t="n">
        <f aca="false">T54*Assumptions!$H$66</f>
        <v>47.5545608638279</v>
      </c>
      <c r="U55" s="61" t="n">
        <f aca="false">U54*Assumptions!$H$66</f>
        <v>51.514021891072</v>
      </c>
      <c r="V55" s="61" t="n">
        <f aca="false">V54*Assumptions!$H$66</f>
        <v>55.8183258256945</v>
      </c>
      <c r="W55" s="61" t="n">
        <f aca="false">W54*Assumptions!$H$66</f>
        <v>60.4994900924537</v>
      </c>
      <c r="X55" s="61" t="n">
        <f aca="false">X54*Assumptions!$H$66</f>
        <v>65.5934060981695</v>
      </c>
      <c r="Y55" s="61" t="n">
        <f aca="false">Y54*Assumptions!$H$66</f>
        <v>71.1401942518261</v>
      </c>
      <c r="Z55" s="61" t="n">
        <f aca="false">Z54*Assumptions!$H$66</f>
        <v>77.1845906554829</v>
      </c>
      <c r="AA55" s="61" t="n">
        <f aca="false">AA54*Assumptions!$H$66</f>
        <v>83.7763717136504</v>
      </c>
      <c r="AB55" s="61" t="n">
        <f aca="false">AB54*Assumptions!$H$66</f>
        <v>89.3366157791179</v>
      </c>
      <c r="AC55" s="61" t="n">
        <f aca="false">AC54*Assumptions!$H$66</f>
        <v>94.1951885613823</v>
      </c>
      <c r="AD55" s="61" t="n">
        <f aca="false">AD54*Assumptions!$H$66</f>
        <v>99.3980651506642</v>
      </c>
      <c r="AE55" s="61" t="n">
        <f aca="false">AE54*Assumptions!$H$66</f>
        <v>104.985464532071</v>
      </c>
      <c r="AF55" s="61" t="n">
        <f aca="false">AF54*Assumptions!$H$66</f>
        <v>110.995952924844</v>
      </c>
      <c r="AG55" s="61" t="n">
        <f aca="false">AG54*Assumptions!$H$66</f>
        <v>117.469884611871</v>
      </c>
      <c r="AH55" s="61" t="n">
        <f aca="false">AH54*Assumptions!$H$66</f>
        <v>124.45079916459</v>
      </c>
      <c r="AI55" s="61" t="n">
        <f aca="false">AI54*Assumptions!$H$66</f>
        <v>131.985853082246</v>
      </c>
      <c r="AJ55" s="61" t="n">
        <f aca="false">AJ54*Assumptions!$H$66</f>
        <v>140.126155902841</v>
      </c>
      <c r="AK55" s="61" t="n">
        <f aca="false">AK54*Assumptions!$H$66</f>
        <v>148.927119523142</v>
      </c>
      <c r="AL55" s="61" t="n">
        <f aca="false">AL54*Assumptions!$H$66</f>
        <v>158.448837094669</v>
      </c>
      <c r="AM55" s="61" t="n">
        <f aca="false">SUM(C55:AL55)</f>
        <v>2174.78799784833</v>
      </c>
    </row>
    <row r="56" customFormat="false" ht="15" hidden="false" customHeight="false" outlineLevel="0" collapsed="false">
      <c r="A56" s="10" t="s">
        <v>791</v>
      </c>
      <c r="B56" s="9" t="s">
        <v>51</v>
      </c>
      <c r="C56" s="61" t="n">
        <f aca="false">C55*Assumptions!$H$67</f>
        <v>0</v>
      </c>
      <c r="D56" s="61" t="n">
        <f aca="false">D55*Assumptions!$H$67</f>
        <v>0</v>
      </c>
      <c r="E56" s="61" t="n">
        <f aca="false">E55*Assumptions!$H$67</f>
        <v>0</v>
      </c>
      <c r="F56" s="61" t="n">
        <f aca="false">F55*Assumptions!$H$67</f>
        <v>0</v>
      </c>
      <c r="G56" s="61" t="n">
        <f aca="false">G55*Assumptions!$H$67</f>
        <v>0</v>
      </c>
      <c r="H56" s="61" t="n">
        <f aca="false">H55*Assumptions!$H$67</f>
        <v>0</v>
      </c>
      <c r="I56" s="61" t="n">
        <f aca="false">I55*Assumptions!$H$67</f>
        <v>14.7628643461549</v>
      </c>
      <c r="J56" s="61" t="n">
        <f aca="false">J55*Assumptions!$H$67</f>
        <v>15.3771694507873</v>
      </c>
      <c r="K56" s="61" t="n">
        <f aca="false">K55*Assumptions!$H$67</f>
        <v>16.0817937348358</v>
      </c>
      <c r="L56" s="61" t="n">
        <f aca="false">L55*Assumptions!$H$67</f>
        <v>16.889955219044</v>
      </c>
      <c r="M56" s="61" t="n">
        <f aca="false">M55*Assumptions!$H$67</f>
        <v>18.1370720325252</v>
      </c>
      <c r="N56" s="61" t="n">
        <f aca="false">N55*Assumptions!$H$67</f>
        <v>19.5715230579301</v>
      </c>
      <c r="O56" s="61" t="n">
        <f aca="false">O55*Assumptions!$H$67</f>
        <v>21.1460974742548</v>
      </c>
      <c r="P56" s="61" t="n">
        <f aca="false">P55*Assumptions!$H$67</f>
        <v>22.8638128718437</v>
      </c>
      <c r="Q56" s="61" t="n">
        <f aca="false">Q55*Assumptions!$H$67</f>
        <v>24.7343614974226</v>
      </c>
      <c r="R56" s="61" t="n">
        <f aca="false">R55*Assumptions!$H$67</f>
        <v>26.7692673086539</v>
      </c>
      <c r="S56" s="61" t="n">
        <f aca="false">S55*Assumptions!$H$67</f>
        <v>28.9815690915024</v>
      </c>
      <c r="T56" s="61" t="n">
        <f aca="false">T55*Assumptions!$H$67</f>
        <v>31.3860101701264</v>
      </c>
      <c r="U56" s="61" t="n">
        <f aca="false">U55*Assumptions!$H$67</f>
        <v>33.9992544481075</v>
      </c>
      <c r="V56" s="61" t="n">
        <f aca="false">V55*Assumptions!$H$67</f>
        <v>36.8400950449584</v>
      </c>
      <c r="W56" s="61" t="n">
        <f aca="false">W55*Assumptions!$H$67</f>
        <v>39.9296634610195</v>
      </c>
      <c r="X56" s="61" t="n">
        <f aca="false">X55*Assumptions!$H$67</f>
        <v>43.2916480247919</v>
      </c>
      <c r="Y56" s="61" t="n">
        <f aca="false">Y55*Assumptions!$H$67</f>
        <v>46.9525282062052</v>
      </c>
      <c r="Z56" s="61" t="n">
        <f aca="false">Z55*Assumptions!$H$67</f>
        <v>50.9418298326187</v>
      </c>
      <c r="AA56" s="61" t="n">
        <f aca="false">AA55*Assumptions!$H$67</f>
        <v>55.2924053310093</v>
      </c>
      <c r="AB56" s="61" t="n">
        <f aca="false">AB55*Assumptions!$H$67</f>
        <v>58.9621664142178</v>
      </c>
      <c r="AC56" s="61" t="n">
        <f aca="false">AC55*Assumptions!$H$67</f>
        <v>62.1688244505123</v>
      </c>
      <c r="AD56" s="61" t="n">
        <f aca="false">AD55*Assumptions!$H$67</f>
        <v>65.6027229994384</v>
      </c>
      <c r="AE56" s="61" t="n">
        <f aca="false">AE55*Assumptions!$H$67</f>
        <v>69.2904065911669</v>
      </c>
      <c r="AF56" s="61" t="n">
        <f aca="false">AF55*Assumptions!$H$67</f>
        <v>73.2573289303971</v>
      </c>
      <c r="AG56" s="61" t="n">
        <f aca="false">AG55*Assumptions!$H$67</f>
        <v>77.5301238438346</v>
      </c>
      <c r="AH56" s="61" t="n">
        <f aca="false">AH55*Assumptions!$H$67</f>
        <v>82.1375274486291</v>
      </c>
      <c r="AI56" s="61" t="n">
        <f aca="false">AI55*Assumptions!$H$67</f>
        <v>87.1106630342826</v>
      </c>
      <c r="AJ56" s="61" t="n">
        <f aca="false">AJ55*Assumptions!$H$67</f>
        <v>92.4832628958748</v>
      </c>
      <c r="AK56" s="61" t="n">
        <f aca="false">AK55*Assumptions!$H$67</f>
        <v>98.2918988852738</v>
      </c>
      <c r="AL56" s="61" t="n">
        <f aca="false">AL55*Assumptions!$H$67</f>
        <v>104.576232482481</v>
      </c>
      <c r="AM56" s="61" t="n">
        <f aca="false">SUM(C56:AL56)</f>
        <v>1435.3600785799</v>
      </c>
    </row>
    <row r="57" customFormat="false" ht="15" hidden="false" customHeight="false" outlineLevel="0" collapsed="false">
      <c r="A57" s="37" t="s">
        <v>792</v>
      </c>
      <c r="B57" s="9" t="s">
        <v>51</v>
      </c>
      <c r="C57" s="71" t="n">
        <f aca="false">C56</f>
        <v>0</v>
      </c>
      <c r="D57" s="71" t="n">
        <f aca="false">C57*(1-Assumptions!$H$68)+D56</f>
        <v>0</v>
      </c>
      <c r="E57" s="71" t="n">
        <f aca="false">D57*(1-Assumptions!$H$68)+E56</f>
        <v>0</v>
      </c>
      <c r="F57" s="71" t="n">
        <f aca="false">E57*(1-Assumptions!$H$68)+F56</f>
        <v>0</v>
      </c>
      <c r="G57" s="71" t="n">
        <f aca="false">F57*(1-Assumptions!$H$68)+G56</f>
        <v>0</v>
      </c>
      <c r="H57" s="71" t="n">
        <f aca="false">G57*(1-Assumptions!$H$68)+H56</f>
        <v>0</v>
      </c>
      <c r="I57" s="71" t="n">
        <f aca="false">H57*(1-Assumptions!$H$68)+I56</f>
        <v>14.7628643461549</v>
      </c>
      <c r="J57" s="71" t="n">
        <f aca="false">I57*(1-Assumptions!$H$68)+J56</f>
        <v>28.5161187188652</v>
      </c>
      <c r="K57" s="71" t="n">
        <f aca="false">J57*(1-Assumptions!$H$68)+K56</f>
        <v>41.4611393946258</v>
      </c>
      <c r="L57" s="71" t="n">
        <f aca="false">K57*(1-Assumptions!$H$68)+L56</f>
        <v>53.790369280261</v>
      </c>
      <c r="M57" s="71" t="n">
        <f aca="false">L57*(1-Assumptions!$H$68)+M56</f>
        <v>66.0105006919575</v>
      </c>
      <c r="N57" s="71" t="n">
        <f aca="false">M57*(1-Assumptions!$H$68)+N56</f>
        <v>78.3208686737722</v>
      </c>
      <c r="O57" s="71" t="n">
        <f aca="false">N57*(1-Assumptions!$H$68)+O56</f>
        <v>90.8516705939121</v>
      </c>
      <c r="P57" s="71" t="n">
        <f aca="false">O57*(1-Assumptions!$H$68)+P56</f>
        <v>103.721799700425</v>
      </c>
      <c r="Q57" s="71" t="n">
        <f aca="false">P57*(1-Assumptions!$H$68)+Q56</f>
        <v>117.046763230801</v>
      </c>
      <c r="R57" s="71" t="n">
        <f aca="false">Q57*(1-Assumptions!$H$68)+R56</f>
        <v>130.940886584067</v>
      </c>
      <c r="S57" s="71" t="n">
        <f aca="false">R57*(1-Assumptions!$H$68)+S56</f>
        <v>145.518958151322</v>
      </c>
      <c r="T57" s="71" t="n">
        <f aca="false">S57*(1-Assumptions!$H$68)+T56</f>
        <v>160.897882924803</v>
      </c>
      <c r="U57" s="71" t="n">
        <f aca="false">T57*(1-Assumptions!$H$68)+U56</f>
        <v>177.198370251182</v>
      </c>
      <c r="V57" s="71" t="n">
        <f aca="false">U57*(1-Assumptions!$H$68)+V56</f>
        <v>194.546644568511</v>
      </c>
      <c r="W57" s="71" t="n">
        <f aca="false">V57*(1-Assumptions!$H$68)+W56</f>
        <v>213.076177126994</v>
      </c>
      <c r="X57" s="71" t="n">
        <f aca="false">W57*(1-Assumptions!$H$68)+X56</f>
        <v>232.929445667816</v>
      </c>
      <c r="Y57" s="71" t="n">
        <f aca="false">X57*(1-Assumptions!$H$68)+Y56</f>
        <v>254.259734850562</v>
      </c>
      <c r="Z57" s="71" t="n">
        <f aca="false">Y57*(1-Assumptions!$H$68)+Z56</f>
        <v>277.232993849619</v>
      </c>
      <c r="AA57" s="71" t="n">
        <f aca="false">Z57*(1-Assumptions!$H$68)+AA56</f>
        <v>302.02976985717</v>
      </c>
      <c r="AB57" s="71" t="n">
        <f aca="false">AA57*(1-Assumptions!$H$68)+AB56</f>
        <v>327.768661587099</v>
      </c>
      <c r="AC57" s="71" t="n">
        <f aca="false">AB57*(1-Assumptions!$H$68)+AC56</f>
        <v>353.88293326303</v>
      </c>
      <c r="AD57" s="71" t="n">
        <f aca="false">AC57*(1-Assumptions!$H$68)+AD56</f>
        <v>380.558533603535</v>
      </c>
      <c r="AE57" s="71" t="n">
        <f aca="false">AD57*(1-Assumptions!$H$68)+AE56</f>
        <v>407.987501498313</v>
      </c>
      <c r="AF57" s="71" t="n">
        <f aca="false">AE57*(1-Assumptions!$H$68)+AF56</f>
        <v>436.366205263896</v>
      </c>
      <c r="AG57" s="71" t="n">
        <f aca="false">AF57*(1-Assumptions!$H$68)+AG56</f>
        <v>465.896046528702</v>
      </c>
      <c r="AH57" s="71" t="n">
        <f aca="false">AG57*(1-Assumptions!$H$68)+AH56</f>
        <v>496.785008859174</v>
      </c>
      <c r="AI57" s="71" t="n">
        <f aca="false">AH57*(1-Assumptions!$H$68)+AI56</f>
        <v>529.249320918947</v>
      </c>
      <c r="AJ57" s="71" t="n">
        <f aca="false">AI57*(1-Assumptions!$H$68)+AJ56</f>
        <v>563.515158513738</v>
      </c>
      <c r="AK57" s="71" t="n">
        <f aca="false">AJ57*(1-Assumptions!$H$68)+AK56</f>
        <v>599.820389962501</v>
      </c>
      <c r="AL57" s="71" t="n">
        <f aca="false">AK57*(1-Assumptions!$H$68)+AL56</f>
        <v>638.416379549107</v>
      </c>
      <c r="AM57" s="71" t="n">
        <f aca="false">AL57</f>
        <v>638.416379549107</v>
      </c>
    </row>
    <row r="58" customFormat="false" ht="15" hidden="false" customHeight="false" outlineLevel="0" collapsed="false">
      <c r="A58" s="10" t="s">
        <v>793</v>
      </c>
      <c r="B58" s="9" t="s">
        <v>51</v>
      </c>
      <c r="C58" s="61" t="n">
        <f aca="false">0</f>
        <v>0</v>
      </c>
      <c r="D58" s="61" t="n">
        <f aca="false">C57*Assumptions!$H$68</f>
        <v>0</v>
      </c>
      <c r="E58" s="61" t="n">
        <f aca="false">D57*Assumptions!$H$68</f>
        <v>0</v>
      </c>
      <c r="F58" s="61" t="n">
        <f aca="false">E57*Assumptions!$H$68</f>
        <v>0</v>
      </c>
      <c r="G58" s="61" t="n">
        <f aca="false">F57*Assumptions!$H$68</f>
        <v>0</v>
      </c>
      <c r="H58" s="61" t="n">
        <f aca="false">G57*Assumptions!$H$68</f>
        <v>0</v>
      </c>
      <c r="I58" s="61" t="n">
        <f aca="false">H57*Assumptions!$H$68</f>
        <v>0</v>
      </c>
      <c r="J58" s="61" t="n">
        <f aca="false">I57*Assumptions!$H$68</f>
        <v>1.62391507807704</v>
      </c>
      <c r="K58" s="61" t="n">
        <f aca="false">J57*Assumptions!$H$68</f>
        <v>3.13677305907517</v>
      </c>
      <c r="L58" s="61" t="n">
        <f aca="false">K57*Assumptions!$H$68</f>
        <v>4.56072533340884</v>
      </c>
      <c r="M58" s="61" t="n">
        <f aca="false">L57*Assumptions!$H$68</f>
        <v>5.91694062082871</v>
      </c>
      <c r="N58" s="61" t="n">
        <f aca="false">M57*Assumptions!$H$68</f>
        <v>7.26115507611532</v>
      </c>
      <c r="O58" s="61" t="n">
        <f aca="false">N57*Assumptions!$H$68</f>
        <v>8.61529555411495</v>
      </c>
      <c r="P58" s="61" t="n">
        <f aca="false">O57*Assumptions!$H$68</f>
        <v>9.99368376533033</v>
      </c>
      <c r="Q58" s="61" t="n">
        <f aca="false">P57*Assumptions!$H$68</f>
        <v>11.4093979670468</v>
      </c>
      <c r="R58" s="61" t="n">
        <f aca="false">Q57*Assumptions!$H$68</f>
        <v>12.8751439553881</v>
      </c>
      <c r="S58" s="61" t="n">
        <f aca="false">R57*Assumptions!$H$68</f>
        <v>14.4034975242474</v>
      </c>
      <c r="T58" s="61" t="n">
        <f aca="false">S57*Assumptions!$H$68</f>
        <v>16.0070853966454</v>
      </c>
      <c r="U58" s="61" t="n">
        <f aca="false">T57*Assumptions!$H$68</f>
        <v>17.6987671217283</v>
      </c>
      <c r="V58" s="61" t="n">
        <f aca="false">U57*Assumptions!$H$68</f>
        <v>19.49182072763</v>
      </c>
      <c r="W58" s="61" t="n">
        <f aca="false">V57*Assumptions!$H$68</f>
        <v>21.4001309025362</v>
      </c>
      <c r="X58" s="61" t="n">
        <f aca="false">W57*Assumptions!$H$68</f>
        <v>23.4383794839693</v>
      </c>
      <c r="Y58" s="61" t="n">
        <f aca="false">X57*Assumptions!$H$68</f>
        <v>25.6222390234598</v>
      </c>
      <c r="Z58" s="61" t="n">
        <f aca="false">Y57*Assumptions!$H$68</f>
        <v>27.9685708335618</v>
      </c>
      <c r="AA58" s="61" t="n">
        <f aca="false">Z57*Assumptions!$H$68</f>
        <v>30.4956293234581</v>
      </c>
      <c r="AB58" s="61" t="n">
        <f aca="false">AA57*Assumptions!$H$68</f>
        <v>33.2232746842887</v>
      </c>
      <c r="AC58" s="61" t="n">
        <f aca="false">AB57*Assumptions!$H$68</f>
        <v>36.0545527745809</v>
      </c>
      <c r="AD58" s="61" t="n">
        <f aca="false">AC57*Assumptions!$H$68</f>
        <v>38.9271226589333</v>
      </c>
      <c r="AE58" s="61" t="n">
        <f aca="false">AD57*Assumptions!$H$68</f>
        <v>41.8614386963889</v>
      </c>
      <c r="AF58" s="61" t="n">
        <f aca="false">AE57*Assumptions!$H$68</f>
        <v>44.8786251648145</v>
      </c>
      <c r="AG58" s="61" t="n">
        <f aca="false">AF57*Assumptions!$H$68</f>
        <v>48.0002825790286</v>
      </c>
      <c r="AH58" s="61" t="n">
        <f aca="false">AG57*Assumptions!$H$68</f>
        <v>51.2485651181572</v>
      </c>
      <c r="AI58" s="61" t="n">
        <f aca="false">AH57*Assumptions!$H$68</f>
        <v>54.6463509745091</v>
      </c>
      <c r="AJ58" s="61" t="n">
        <f aca="false">AI57*Assumptions!$H$68</f>
        <v>58.2174253010842</v>
      </c>
      <c r="AK58" s="61" t="n">
        <f aca="false">AJ57*Assumptions!$H$68</f>
        <v>61.9866674365112</v>
      </c>
      <c r="AL58" s="61" t="n">
        <f aca="false">AK57*Assumptions!$H$68</f>
        <v>65.9802428958751</v>
      </c>
      <c r="AM58" s="61" t="n">
        <f aca="false">SUM(C58:AL58)</f>
        <v>796.943699030793</v>
      </c>
    </row>
    <row r="59" customFormat="false" ht="15" hidden="false" customHeight="false" outlineLevel="0" collapsed="false">
      <c r="A59" s="10" t="s">
        <v>794</v>
      </c>
      <c r="B59" s="9" t="s">
        <v>97</v>
      </c>
      <c r="C59" s="70" t="n">
        <f aca="false">C57*Assumptions!$H$70</f>
        <v>0</v>
      </c>
      <c r="D59" s="70" t="n">
        <f aca="false">D57*Assumptions!$H$70</f>
        <v>0</v>
      </c>
      <c r="E59" s="70" t="n">
        <f aca="false">E57*Assumptions!$H$70</f>
        <v>0</v>
      </c>
      <c r="F59" s="70" t="n">
        <f aca="false">F57*Assumptions!$H$70</f>
        <v>0</v>
      </c>
      <c r="G59" s="70" t="n">
        <f aca="false">G57*Assumptions!$H$70</f>
        <v>0</v>
      </c>
      <c r="H59" s="70" t="n">
        <f aca="false">H57*Assumptions!$H$70</f>
        <v>0</v>
      </c>
      <c r="I59" s="70" t="n">
        <f aca="false">I57*Assumptions!$H$70</f>
        <v>3675.95322219258</v>
      </c>
      <c r="J59" s="70" t="n">
        <f aca="false">J57*Assumptions!$H$70</f>
        <v>7100.51356099743</v>
      </c>
      <c r="K59" s="70" t="n">
        <f aca="false">K57*Assumptions!$H$70</f>
        <v>10323.8237092618</v>
      </c>
      <c r="L59" s="70" t="n">
        <f aca="false">L57*Assumptions!$H$70</f>
        <v>13393.801950785</v>
      </c>
      <c r="M59" s="70" t="n">
        <f aca="false">M57*Assumptions!$H$70</f>
        <v>16436.6146722974</v>
      </c>
      <c r="N59" s="70" t="n">
        <f aca="false">N57*Assumptions!$H$70</f>
        <v>19501.8962997693</v>
      </c>
      <c r="O59" s="70" t="n">
        <f aca="false">O57*Assumptions!$H$70</f>
        <v>22622.0659778841</v>
      </c>
      <c r="P59" s="70" t="n">
        <f aca="false">P57*Assumptions!$H$70</f>
        <v>25826.728125406</v>
      </c>
      <c r="Q59" s="70" t="n">
        <f aca="false">Q57*Assumptions!$H$70</f>
        <v>29144.6440444695</v>
      </c>
      <c r="R59" s="70" t="n">
        <f aca="false">R57*Assumptions!$H$70</f>
        <v>32604.2807594327</v>
      </c>
      <c r="S59" s="70" t="n">
        <f aca="false">S57*Assumptions!$H$70</f>
        <v>36234.2205796792</v>
      </c>
      <c r="T59" s="70" t="n">
        <f aca="false">T57*Assumptions!$H$70</f>
        <v>40063.572848276</v>
      </c>
      <c r="U59" s="70" t="n">
        <f aca="false">U57*Assumptions!$H$70</f>
        <v>44122.3941925444</v>
      </c>
      <c r="V59" s="70" t="n">
        <f aca="false">V57*Assumptions!$H$70</f>
        <v>48442.1144975591</v>
      </c>
      <c r="W59" s="70" t="n">
        <f aca="false">W57*Assumptions!$H$70</f>
        <v>53055.9681046215</v>
      </c>
      <c r="X59" s="70" t="n">
        <f aca="false">X57*Assumptions!$H$70</f>
        <v>57999.4319712863</v>
      </c>
      <c r="Y59" s="70" t="n">
        <f aca="false">Y57*Assumptions!$H$70</f>
        <v>63310.6739777899</v>
      </c>
      <c r="Z59" s="70" t="n">
        <f aca="false">Z57*Assumptions!$H$70</f>
        <v>69031.015468555</v>
      </c>
      <c r="AA59" s="70" t="n">
        <f aca="false">AA57*Assumptions!$H$70</f>
        <v>75205.4126944353</v>
      </c>
      <c r="AB59" s="70" t="n">
        <f aca="false">AB57*Assumptions!$H$70</f>
        <v>81614.3967351876</v>
      </c>
      <c r="AC59" s="70" t="n">
        <f aca="false">AC57*Assumptions!$H$70</f>
        <v>88116.8503824946</v>
      </c>
      <c r="AD59" s="70" t="n">
        <f aca="false">AD57*Assumptions!$H$70</f>
        <v>94759.0748672803</v>
      </c>
      <c r="AE59" s="70" t="n">
        <f aca="false">AE57*Assumptions!$H$70</f>
        <v>101588.88787308</v>
      </c>
      <c r="AF59" s="70" t="n">
        <f aca="false">AF57*Assumptions!$H$70</f>
        <v>108655.18511071</v>
      </c>
      <c r="AG59" s="70" t="n">
        <f aca="false">AG57*Assumptions!$H$70</f>
        <v>116008.115585647</v>
      </c>
      <c r="AH59" s="70" t="n">
        <f aca="false">AH57*Assumptions!$H$70</f>
        <v>123699.467205934</v>
      </c>
      <c r="AI59" s="70" t="n">
        <f aca="false">AI57*Assumptions!$H$70</f>
        <v>131783.080908818</v>
      </c>
      <c r="AJ59" s="70" t="n">
        <f aca="false">AJ57*Assumptions!$H$70</f>
        <v>140315.274469921</v>
      </c>
      <c r="AK59" s="70" t="n">
        <f aca="false">AK57*Assumptions!$H$70</f>
        <v>149355.277100663</v>
      </c>
      <c r="AL59" s="70" t="n">
        <f aca="false">AL57*Assumptions!$H$70</f>
        <v>158965.678507728</v>
      </c>
      <c r="AM59" s="70" t="n">
        <f aca="false">SUM(C59:AL59)</f>
        <v>1962956.4154047</v>
      </c>
    </row>
    <row r="60" customFormat="false" ht="15" hidden="false" customHeight="false" outlineLevel="0" collapsed="false">
      <c r="A60" s="10" t="s">
        <v>795</v>
      </c>
      <c r="B60" s="9" t="s">
        <v>97</v>
      </c>
      <c r="C60" s="70" t="n">
        <f aca="false">C53*Assumptions!$H$71</f>
        <v>0</v>
      </c>
      <c r="D60" s="70" t="n">
        <f aca="false">D53*Assumptions!$H$71</f>
        <v>0</v>
      </c>
      <c r="E60" s="70" t="n">
        <f aca="false">E53*Assumptions!$H$71</f>
        <v>0</v>
      </c>
      <c r="F60" s="70" t="n">
        <f aca="false">F53*Assumptions!$H$71</f>
        <v>0</v>
      </c>
      <c r="G60" s="70" t="n">
        <f aca="false">G53*Assumptions!$H$71</f>
        <v>0</v>
      </c>
      <c r="H60" s="70" t="n">
        <f aca="false">H53*Assumptions!$H$71</f>
        <v>0</v>
      </c>
      <c r="I60" s="70" t="n">
        <f aca="false">I53*Assumptions!$H$71</f>
        <v>2564.53672880125</v>
      </c>
      <c r="J60" s="70" t="n">
        <f aca="false">J53*Assumptions!$H$71</f>
        <v>2671.25097927325</v>
      </c>
      <c r="K60" s="70" t="n">
        <f aca="false">K53*Assumptions!$H$71</f>
        <v>2793.65506116935</v>
      </c>
      <c r="L60" s="70" t="n">
        <f aca="false">L53*Assumptions!$H$71</f>
        <v>2934.04514811032</v>
      </c>
      <c r="M60" s="70" t="n">
        <f aca="false">M53*Assumptions!$H$71</f>
        <v>3150.68853101258</v>
      </c>
      <c r="N60" s="70" t="n">
        <f aca="false">N53*Assumptions!$H$71</f>
        <v>3399.87474949026</v>
      </c>
      <c r="O60" s="70" t="n">
        <f aca="false">O53*Assumptions!$H$71</f>
        <v>3673.40255738801</v>
      </c>
      <c r="P60" s="70" t="n">
        <f aca="false">P53*Assumptions!$H$71</f>
        <v>3971.79615658758</v>
      </c>
      <c r="Q60" s="70" t="n">
        <f aca="false">Q53*Assumptions!$H$71</f>
        <v>4296.73923950327</v>
      </c>
      <c r="R60" s="70" t="n">
        <f aca="false">R53*Assumptions!$H$71</f>
        <v>4650.23369492804</v>
      </c>
      <c r="S60" s="70" t="n">
        <f aca="false">S53*Assumptions!$H$71</f>
        <v>5034.54456064328</v>
      </c>
      <c r="T60" s="70" t="n">
        <f aca="false">T53*Assumptions!$H$71</f>
        <v>5452.23297894645</v>
      </c>
      <c r="U60" s="70" t="n">
        <f aca="false">U53*Assumptions!$H$71</f>
        <v>5906.19372633744</v>
      </c>
      <c r="V60" s="70" t="n">
        <f aca="false">V53*Assumptions!$H$71</f>
        <v>6399.69145689074</v>
      </c>
      <c r="W60" s="70" t="n">
        <f aca="false">W53*Assumptions!$H$71</f>
        <v>6936.39703741696</v>
      </c>
      <c r="X60" s="70" t="n">
        <f aca="false">X53*Assumptions!$H$71</f>
        <v>7520.42549512632</v>
      </c>
      <c r="Y60" s="70" t="n">
        <f aca="false">Y53*Assumptions!$H$71</f>
        <v>8156.37672144916</v>
      </c>
      <c r="Z60" s="70" t="n">
        <f aca="false">Z53*Assumptions!$H$71</f>
        <v>8849.37980698308</v>
      </c>
      <c r="AA60" s="70" t="n">
        <f aca="false">AA53*Assumptions!$H$71</f>
        <v>9605.14172387364</v>
      </c>
      <c r="AB60" s="70" t="n">
        <f aca="false">AB53*Assumptions!$H$71</f>
        <v>10242.6356995102</v>
      </c>
      <c r="AC60" s="70" t="n">
        <f aca="false">AC53*Assumptions!$H$71</f>
        <v>10799.681549012</v>
      </c>
      <c r="AD60" s="70" t="n">
        <f aca="false">AD53*Assumptions!$H$71</f>
        <v>11396.2025726568</v>
      </c>
      <c r="AE60" s="70" t="n">
        <f aca="false">AE53*Assumptions!$H$71</f>
        <v>12036.8099638402</v>
      </c>
      <c r="AF60" s="70" t="n">
        <f aca="false">AF53*Assumptions!$H$71</f>
        <v>12725.9254227862</v>
      </c>
      <c r="AG60" s="70" t="n">
        <f aca="false">AG53*Assumptions!$H$71</f>
        <v>13468.1756550726</v>
      </c>
      <c r="AH60" s="70" t="n">
        <f aca="false">AH53*Assumptions!$H$71</f>
        <v>14268.5525664803</v>
      </c>
      <c r="AI60" s="70" t="n">
        <f aca="false">AI53*Assumptions!$H$71</f>
        <v>15132.4627513652</v>
      </c>
      <c r="AJ60" s="70" t="n">
        <f aca="false">AJ53*Assumptions!$H$71</f>
        <v>16065.7660285029</v>
      </c>
      <c r="AK60" s="70" t="n">
        <f aca="false">AK53*Assumptions!$H$71</f>
        <v>17074.8154913824</v>
      </c>
      <c r="AL60" s="70" t="n">
        <f aca="false">AL53*Assumptions!$H$71</f>
        <v>18166.500949447</v>
      </c>
      <c r="AM60" s="70" t="n">
        <f aca="false">SUM(C60:AL60)</f>
        <v>249344.135003987</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6240.48995099383</v>
      </c>
      <c r="J61" s="70" t="n">
        <f aca="false">J59+J60</f>
        <v>9771.76454027069</v>
      </c>
      <c r="K61" s="70" t="n">
        <f aca="false">K59+K60</f>
        <v>13117.4787704312</v>
      </c>
      <c r="L61" s="70" t="n">
        <f aca="false">L59+L60</f>
        <v>16327.8470988953</v>
      </c>
      <c r="M61" s="70" t="n">
        <f aca="false">M59+M60</f>
        <v>19587.30320331</v>
      </c>
      <c r="N61" s="70" t="n">
        <f aca="false">N59+N60</f>
        <v>22901.7710492595</v>
      </c>
      <c r="O61" s="70" t="n">
        <f aca="false">O59+O60</f>
        <v>26295.4685352721</v>
      </c>
      <c r="P61" s="70" t="n">
        <f aca="false">P59+P60</f>
        <v>29798.5242819935</v>
      </c>
      <c r="Q61" s="70" t="n">
        <f aca="false">Q59+Q60</f>
        <v>33441.3832839728</v>
      </c>
      <c r="R61" s="70" t="n">
        <f aca="false">R59+R60</f>
        <v>37254.5144543607</v>
      </c>
      <c r="S61" s="70" t="n">
        <f aca="false">S59+S60</f>
        <v>41268.7651403225</v>
      </c>
      <c r="T61" s="70" t="n">
        <f aca="false">T59+T60</f>
        <v>45515.8058272224</v>
      </c>
      <c r="U61" s="70" t="n">
        <f aca="false">U59+U60</f>
        <v>50028.5879188818</v>
      </c>
      <c r="V61" s="70" t="n">
        <f aca="false">V59+V60</f>
        <v>54841.8059544499</v>
      </c>
      <c r="W61" s="70" t="n">
        <f aca="false">W59+W60</f>
        <v>59992.3651420384</v>
      </c>
      <c r="X61" s="70" t="n">
        <f aca="false">X59+X60</f>
        <v>65519.8574664126</v>
      </c>
      <c r="Y61" s="70" t="n">
        <f aca="false">Y59+Y60</f>
        <v>71467.050699239</v>
      </c>
      <c r="Z61" s="70" t="n">
        <f aca="false">Z59+Z60</f>
        <v>77880.3952755381</v>
      </c>
      <c r="AA61" s="70" t="n">
        <f aca="false">AA59+AA60</f>
        <v>84810.5544183089</v>
      </c>
      <c r="AB61" s="70" t="n">
        <f aca="false">AB59+AB60</f>
        <v>91857.0324346979</v>
      </c>
      <c r="AC61" s="70" t="n">
        <f aca="false">AC59+AC60</f>
        <v>98916.5319315065</v>
      </c>
      <c r="AD61" s="70" t="n">
        <f aca="false">AD59+AD60</f>
        <v>106155.277439937</v>
      </c>
      <c r="AE61" s="70" t="n">
        <f aca="false">AE59+AE60</f>
        <v>113625.69783692</v>
      </c>
      <c r="AF61" s="70" t="n">
        <f aca="false">AF59+AF60</f>
        <v>121381.110533496</v>
      </c>
      <c r="AG61" s="70" t="n">
        <f aca="false">AG59+AG60</f>
        <v>129476.291240719</v>
      </c>
      <c r="AH61" s="70" t="n">
        <f aca="false">AH59+AH60</f>
        <v>137968.019772415</v>
      </c>
      <c r="AI61" s="70" t="n">
        <f aca="false">AI59+AI60</f>
        <v>146915.543660183</v>
      </c>
      <c r="AJ61" s="70" t="n">
        <f aca="false">AJ59+AJ60</f>
        <v>156381.040498424</v>
      </c>
      <c r="AK61" s="70" t="n">
        <f aca="false">AK59+AK60</f>
        <v>166430.092592045</v>
      </c>
      <c r="AL61" s="70" t="n">
        <f aca="false">AL59+AL60</f>
        <v>177132.179457175</v>
      </c>
      <c r="AM61" s="70" t="n">
        <f aca="false">SUM(C61:AL61)</f>
        <v>2212300.55040869</v>
      </c>
    </row>
    <row r="62" customFormat="false" ht="15" hidden="false" customHeight="false" outlineLevel="0" collapsed="false">
      <c r="A62" s="10" t="s">
        <v>797</v>
      </c>
      <c r="B62" s="9" t="s">
        <v>97</v>
      </c>
      <c r="C62" s="70" t="n">
        <f aca="false">-C61*Assumptions!$H$80</f>
        <v>-0</v>
      </c>
      <c r="D62" s="70" t="n">
        <f aca="false">-D61*Assumptions!$H$80</f>
        <v>-0</v>
      </c>
      <c r="E62" s="70" t="n">
        <f aca="false">-E61*Assumptions!$H$80</f>
        <v>-0</v>
      </c>
      <c r="F62" s="70" t="n">
        <f aca="false">-F61*Assumptions!$H$80</f>
        <v>-0</v>
      </c>
      <c r="G62" s="70" t="n">
        <f aca="false">-G61*Assumptions!$H$80</f>
        <v>-0</v>
      </c>
      <c r="H62" s="70" t="n">
        <f aca="false">-H61*Assumptions!$H$80</f>
        <v>-0</v>
      </c>
      <c r="I62" s="70" t="n">
        <f aca="false">-I61*Assumptions!$H$80</f>
        <v>-187.214698529815</v>
      </c>
      <c r="J62" s="70" t="n">
        <f aca="false">-J61*Assumptions!$H$80</f>
        <v>-293.152936208121</v>
      </c>
      <c r="K62" s="70" t="n">
        <f aca="false">-K61*Assumptions!$H$80</f>
        <v>-393.524363112936</v>
      </c>
      <c r="L62" s="70" t="n">
        <f aca="false">-L61*Assumptions!$H$80</f>
        <v>-489.835412966859</v>
      </c>
      <c r="M62" s="70" t="n">
        <f aca="false">-M61*Assumptions!$H$80</f>
        <v>-587.6190960993</v>
      </c>
      <c r="N62" s="70" t="n">
        <f aca="false">-N61*Assumptions!$H$80</f>
        <v>-687.053131477786</v>
      </c>
      <c r="O62" s="70" t="n">
        <f aca="false">-O61*Assumptions!$H$80</f>
        <v>-788.864056058164</v>
      </c>
      <c r="P62" s="70" t="n">
        <f aca="false">-P61*Assumptions!$H$80</f>
        <v>-893.955728459806</v>
      </c>
      <c r="Q62" s="70" t="n">
        <f aca="false">-Q61*Assumptions!$H$80</f>
        <v>-1003.24149851918</v>
      </c>
      <c r="R62" s="70" t="n">
        <f aca="false">-R61*Assumptions!$H$80</f>
        <v>-1117.63543363082</v>
      </c>
      <c r="S62" s="70" t="n">
        <f aca="false">-S61*Assumptions!$H$80</f>
        <v>-1238.06295420967</v>
      </c>
      <c r="T62" s="70" t="n">
        <f aca="false">-T61*Assumptions!$H$80</f>
        <v>-1365.47417481667</v>
      </c>
      <c r="U62" s="70" t="n">
        <f aca="false">-U61*Assumptions!$H$80</f>
        <v>-1500.85763756645</v>
      </c>
      <c r="V62" s="70" t="n">
        <f aca="false">-V61*Assumptions!$H$80</f>
        <v>-1645.2541786335</v>
      </c>
      <c r="W62" s="70" t="n">
        <f aca="false">-W61*Assumptions!$H$80</f>
        <v>-1799.77095426115</v>
      </c>
      <c r="X62" s="70" t="n">
        <f aca="false">-X61*Assumptions!$H$80</f>
        <v>-1965.59572399238</v>
      </c>
      <c r="Y62" s="70" t="n">
        <f aca="false">-Y61*Assumptions!$H$80</f>
        <v>-2144.01152097717</v>
      </c>
      <c r="Z62" s="70" t="n">
        <f aca="false">-Z61*Assumptions!$H$80</f>
        <v>-2336.41185826614</v>
      </c>
      <c r="AA62" s="70" t="n">
        <f aca="false">-AA61*Assumptions!$H$80</f>
        <v>-2544.31663254927</v>
      </c>
      <c r="AB62" s="70" t="n">
        <f aca="false">-AB61*Assumptions!$H$80</f>
        <v>-2755.71097304094</v>
      </c>
      <c r="AC62" s="70" t="n">
        <f aca="false">-AC61*Assumptions!$H$80</f>
        <v>-2967.4959579452</v>
      </c>
      <c r="AD62" s="70" t="n">
        <f aca="false">-AD61*Assumptions!$H$80</f>
        <v>-3184.65832319811</v>
      </c>
      <c r="AE62" s="70" t="n">
        <f aca="false">-AE61*Assumptions!$H$80</f>
        <v>-3408.77093510761</v>
      </c>
      <c r="AF62" s="70" t="n">
        <f aca="false">-AF61*Assumptions!$H$80</f>
        <v>-3641.43331600489</v>
      </c>
      <c r="AG62" s="70" t="n">
        <f aca="false">-AG61*Assumptions!$H$80</f>
        <v>-3884.28873722158</v>
      </c>
      <c r="AH62" s="70" t="n">
        <f aca="false">-AH61*Assumptions!$H$80</f>
        <v>-4139.04059317244</v>
      </c>
      <c r="AI62" s="70" t="n">
        <f aca="false">-AI61*Assumptions!$H$80</f>
        <v>-4407.46630980549</v>
      </c>
      <c r="AJ62" s="70" t="n">
        <f aca="false">-AJ61*Assumptions!$H$80</f>
        <v>-4691.43121495271</v>
      </c>
      <c r="AK62" s="70" t="n">
        <f aca="false">-AK61*Assumptions!$H$80</f>
        <v>-4992.90277776135</v>
      </c>
      <c r="AL62" s="70" t="n">
        <f aca="false">-AL61*Assumptions!$H$80</f>
        <v>-5313.96538371524</v>
      </c>
      <c r="AM62" s="70" t="n">
        <f aca="false">SUM(C62:AL62)</f>
        <v>-66369.0165122608</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6053.27525246401</v>
      </c>
      <c r="J63" s="53" t="n">
        <f aca="false">J61+J62</f>
        <v>9478.61160406257</v>
      </c>
      <c r="K63" s="53" t="n">
        <f aca="false">K61+K62</f>
        <v>12723.9544073182</v>
      </c>
      <c r="L63" s="53" t="n">
        <f aca="false">L61+L62</f>
        <v>15838.0116859284</v>
      </c>
      <c r="M63" s="53" t="n">
        <f aca="false">M61+M62</f>
        <v>18999.6841072107</v>
      </c>
      <c r="N63" s="53" t="n">
        <f aca="false">N61+N62</f>
        <v>22214.7179177818</v>
      </c>
      <c r="O63" s="53" t="n">
        <f aca="false">O61+O62</f>
        <v>25506.604479214</v>
      </c>
      <c r="P63" s="53" t="n">
        <f aca="false">P61+P62</f>
        <v>28904.5685535337</v>
      </c>
      <c r="Q63" s="53" t="n">
        <f aca="false">Q61+Q62</f>
        <v>32438.1417854536</v>
      </c>
      <c r="R63" s="53" t="n">
        <f aca="false">R61+R62</f>
        <v>36136.8790207299</v>
      </c>
      <c r="S63" s="53" t="n">
        <f aca="false">S61+S62</f>
        <v>40030.7021861128</v>
      </c>
      <c r="T63" s="53" t="n">
        <f aca="false">T61+T62</f>
        <v>44150.3316524057</v>
      </c>
      <c r="U63" s="53" t="n">
        <f aca="false">U61+U62</f>
        <v>48527.7302813153</v>
      </c>
      <c r="V63" s="53" t="n">
        <f aca="false">V61+V62</f>
        <v>53196.5517758164</v>
      </c>
      <c r="W63" s="53" t="n">
        <f aca="false">W61+W62</f>
        <v>58192.5941877773</v>
      </c>
      <c r="X63" s="53" t="n">
        <f aca="false">X61+X62</f>
        <v>63554.2617424202</v>
      </c>
      <c r="Y63" s="53" t="n">
        <f aca="false">Y61+Y62</f>
        <v>69323.0391782619</v>
      </c>
      <c r="Z63" s="53" t="n">
        <f aca="false">Z61+Z62</f>
        <v>75543.983417272</v>
      </c>
      <c r="AA63" s="53" t="n">
        <f aca="false">AA61+AA62</f>
        <v>82266.2377857597</v>
      </c>
      <c r="AB63" s="53" t="n">
        <f aca="false">AB61+AB62</f>
        <v>89101.3214616569</v>
      </c>
      <c r="AC63" s="53" t="n">
        <f aca="false">AC61+AC62</f>
        <v>95949.0359735613</v>
      </c>
      <c r="AD63" s="53" t="n">
        <f aca="false">AD61+AD62</f>
        <v>102970.619116739</v>
      </c>
      <c r="AE63" s="53" t="n">
        <f aca="false">AE61+AE62</f>
        <v>110216.926901813</v>
      </c>
      <c r="AF63" s="53" t="n">
        <f aca="false">AF61+AF62</f>
        <v>117739.677217491</v>
      </c>
      <c r="AG63" s="53" t="n">
        <f aca="false">AG61+AG62</f>
        <v>125592.002503498</v>
      </c>
      <c r="AH63" s="53" t="n">
        <f aca="false">AH61+AH62</f>
        <v>133828.979179242</v>
      </c>
      <c r="AI63" s="53" t="n">
        <f aca="false">AI61+AI62</f>
        <v>142508.077350378</v>
      </c>
      <c r="AJ63" s="53" t="n">
        <f aca="false">AJ61+AJ62</f>
        <v>151689.609283471</v>
      </c>
      <c r="AK63" s="53" t="n">
        <f aca="false">AK61+AK62</f>
        <v>161437.189814284</v>
      </c>
      <c r="AL63" s="53" t="n">
        <f aca="false">AL61+AL62</f>
        <v>171818.214073459</v>
      </c>
      <c r="AM63" s="53" t="n">
        <f aca="false">SUM(C63:AL63)</f>
        <v>2145931.53389643</v>
      </c>
    </row>
    <row r="64" customFormat="false" ht="15" hidden="false" customHeight="false" outlineLevel="0" collapsed="false">
      <c r="A64" s="10" t="s">
        <v>799</v>
      </c>
      <c r="B64" s="9" t="s">
        <v>97</v>
      </c>
      <c r="C64" s="70" t="n">
        <f aca="false">-C57*Assumptions!$H$73</f>
        <v>-0</v>
      </c>
      <c r="D64" s="70" t="n">
        <f aca="false">-D57*Assumptions!$H$73</f>
        <v>-0</v>
      </c>
      <c r="E64" s="70" t="n">
        <f aca="false">-E57*Assumptions!$H$73</f>
        <v>-0</v>
      </c>
      <c r="F64" s="70" t="n">
        <f aca="false">-F57*Assumptions!$H$73</f>
        <v>-0</v>
      </c>
      <c r="G64" s="70" t="n">
        <f aca="false">-G57*Assumptions!$H$73</f>
        <v>-0</v>
      </c>
      <c r="H64" s="70" t="n">
        <f aca="false">-H57*Assumptions!$H$73</f>
        <v>-0</v>
      </c>
      <c r="I64" s="70" t="n">
        <f aca="false">-I57*Assumptions!$H$73</f>
        <v>-1299.13206246163</v>
      </c>
      <c r="J64" s="70" t="n">
        <f aca="false">-J57*Assumptions!$H$73</f>
        <v>-2509.41844726014</v>
      </c>
      <c r="K64" s="70" t="n">
        <f aca="false">-K57*Assumptions!$H$73</f>
        <v>-3648.58026672707</v>
      </c>
      <c r="L64" s="70" t="n">
        <f aca="false">-L57*Assumptions!$H$73</f>
        <v>-4733.55249666297</v>
      </c>
      <c r="M64" s="70" t="n">
        <f aca="false">-M57*Assumptions!$H$73</f>
        <v>-5808.92406089226</v>
      </c>
      <c r="N64" s="70" t="n">
        <f aca="false">-N57*Assumptions!$H$73</f>
        <v>-6892.23644329196</v>
      </c>
      <c r="O64" s="70" t="n">
        <f aca="false">-O57*Assumptions!$H$73</f>
        <v>-7994.94701226427</v>
      </c>
      <c r="P64" s="70" t="n">
        <f aca="false">-P57*Assumptions!$H$73</f>
        <v>-9127.51837363744</v>
      </c>
      <c r="Q64" s="70" t="n">
        <f aca="false">-Q57*Assumptions!$H$73</f>
        <v>-10300.1151643105</v>
      </c>
      <c r="R64" s="70" t="n">
        <f aca="false">-R57*Assumptions!$H$73</f>
        <v>-11522.7980193979</v>
      </c>
      <c r="S64" s="70" t="n">
        <f aca="false">-S57*Assumptions!$H$73</f>
        <v>-12805.6683173163</v>
      </c>
      <c r="T64" s="70" t="n">
        <f aca="false">-T57*Assumptions!$H$73</f>
        <v>-14159.0136973827</v>
      </c>
      <c r="U64" s="70" t="n">
        <f aca="false">-U57*Assumptions!$H$73</f>
        <v>-15593.456582104</v>
      </c>
      <c r="V64" s="70" t="n">
        <f aca="false">-V57*Assumptions!$H$73</f>
        <v>-17120.1047220289</v>
      </c>
      <c r="W64" s="70" t="n">
        <f aca="false">-W57*Assumptions!$H$73</f>
        <v>-18750.7035871755</v>
      </c>
      <c r="X64" s="70" t="n">
        <f aca="false">-X57*Assumptions!$H$73</f>
        <v>-20497.7912187678</v>
      </c>
      <c r="Y64" s="70" t="n">
        <f aca="false">-Y57*Assumptions!$H$73</f>
        <v>-22374.8566668494</v>
      </c>
      <c r="Z64" s="70" t="n">
        <f aca="false">-Z57*Assumptions!$H$73</f>
        <v>-24396.5034587664</v>
      </c>
      <c r="AA64" s="70" t="n">
        <f aca="false">-AA57*Assumptions!$H$73</f>
        <v>-26578.619747431</v>
      </c>
      <c r="AB64" s="70" t="n">
        <f aca="false">-AB57*Assumptions!$H$73</f>
        <v>-28843.6422196647</v>
      </c>
      <c r="AC64" s="70" t="n">
        <f aca="false">-AC57*Assumptions!$H$73</f>
        <v>-31141.6981271467</v>
      </c>
      <c r="AD64" s="70" t="n">
        <f aca="false">-AD57*Assumptions!$H$73</f>
        <v>-33489.1509571111</v>
      </c>
      <c r="AE64" s="70" t="n">
        <f aca="false">-AE57*Assumptions!$H$73</f>
        <v>-35902.9001318516</v>
      </c>
      <c r="AF64" s="70" t="n">
        <f aca="false">-AF57*Assumptions!$H$73</f>
        <v>-38400.2260632228</v>
      </c>
      <c r="AG64" s="70" t="n">
        <f aca="false">-AG57*Assumptions!$H$73</f>
        <v>-40998.8520945258</v>
      </c>
      <c r="AH64" s="70" t="n">
        <f aca="false">-AH57*Assumptions!$H$73</f>
        <v>-43717.0807796073</v>
      </c>
      <c r="AI64" s="70" t="n">
        <f aca="false">-AI57*Assumptions!$H$73</f>
        <v>-46573.9402408674</v>
      </c>
      <c r="AJ64" s="70" t="n">
        <f aca="false">-AJ57*Assumptions!$H$73</f>
        <v>-49589.3339492089</v>
      </c>
      <c r="AK64" s="70" t="n">
        <f aca="false">-AK57*Assumptions!$H$73</f>
        <v>-52784.1943167001</v>
      </c>
      <c r="AL64" s="70" t="n">
        <f aca="false">-AL57*Assumptions!$H$73</f>
        <v>-56180.6414003214</v>
      </c>
      <c r="AM64" s="70" t="n">
        <f aca="false">SUM(C64:AL64)</f>
        <v>-693735.600624956</v>
      </c>
    </row>
    <row r="65" customFormat="false" ht="15" hidden="false" customHeight="false" outlineLevel="0" collapsed="false">
      <c r="A65" s="10" t="s">
        <v>800</v>
      </c>
      <c r="B65" s="9" t="s">
        <v>97</v>
      </c>
      <c r="C65" s="70" t="n">
        <f aca="false">-C54*Assumptions!$H$74</f>
        <v>-0</v>
      </c>
      <c r="D65" s="70" t="n">
        <f aca="false">-D54*Assumptions!$H$74</f>
        <v>-0</v>
      </c>
      <c r="E65" s="70" t="n">
        <f aca="false">-E54*Assumptions!$H$74</f>
        <v>-0</v>
      </c>
      <c r="F65" s="70" t="n">
        <f aca="false">-F54*Assumptions!$H$74</f>
        <v>-0</v>
      </c>
      <c r="G65" s="70" t="n">
        <f aca="false">-G54*Assumptions!$H$74</f>
        <v>-0</v>
      </c>
      <c r="H65" s="70" t="n">
        <f aca="false">-H54*Assumptions!$H$74</f>
        <v>-0</v>
      </c>
      <c r="I65" s="70" t="n">
        <f aca="false">-I54*Assumptions!$H$74</f>
        <v>-1370.94048180324</v>
      </c>
      <c r="J65" s="70" t="n">
        <f aca="false">-J54*Assumptions!$H$74</f>
        <v>-1427.98738790302</v>
      </c>
      <c r="K65" s="70" t="n">
        <f aca="false">-K54*Assumptions!$H$74</f>
        <v>-1493.42170558104</v>
      </c>
      <c r="L65" s="70" t="n">
        <f aca="false">-L54*Assumptions!$H$74</f>
        <v>-1568.47091476948</v>
      </c>
      <c r="M65" s="70" t="n">
        <f aca="false">-M54*Assumptions!$H$74</f>
        <v>-1684.28332657859</v>
      </c>
      <c r="N65" s="70" t="n">
        <f aca="false">-N54*Assumptions!$H$74</f>
        <v>-1817.49236608344</v>
      </c>
      <c r="O65" s="70" t="n">
        <f aca="false">-O54*Assumptions!$H$74</f>
        <v>-1963.71384169522</v>
      </c>
      <c r="P65" s="70" t="n">
        <f aca="false">-P54*Assumptions!$H$74</f>
        <v>-2123.22797930122</v>
      </c>
      <c r="Q65" s="70" t="n">
        <f aca="false">-Q54*Assumptions!$H$74</f>
        <v>-2296.93484091412</v>
      </c>
      <c r="R65" s="70" t="n">
        <f aca="false">-R54*Assumptions!$H$74</f>
        <v>-2485.90458878018</v>
      </c>
      <c r="S65" s="70" t="n">
        <f aca="false">-S54*Assumptions!$H$74</f>
        <v>-2691.34805835066</v>
      </c>
      <c r="T65" s="70" t="n">
        <f aca="false">-T54*Assumptions!$H$74</f>
        <v>-2914.63437552493</v>
      </c>
      <c r="U65" s="70" t="n">
        <f aca="false">-U54*Assumptions!$H$74</f>
        <v>-3157.31101913022</v>
      </c>
      <c r="V65" s="70" t="n">
        <f aca="false">-V54*Assumptions!$H$74</f>
        <v>-3421.12319576837</v>
      </c>
      <c r="W65" s="70" t="n">
        <f aca="false">-W54*Assumptions!$H$74</f>
        <v>-3708.03326373103</v>
      </c>
      <c r="X65" s="70" t="n">
        <f aca="false">-X54*Assumptions!$H$74</f>
        <v>-4020.24101892007</v>
      </c>
      <c r="Y65" s="70" t="n">
        <f aca="false">-Y54*Assumptions!$H$74</f>
        <v>-4360.20545414418</v>
      </c>
      <c r="Z65" s="70" t="n">
        <f aca="false">-Z54*Assumptions!$H$74</f>
        <v>-4730.6684595296</v>
      </c>
      <c r="AA65" s="70" t="n">
        <f aca="false">-AA54*Assumptions!$H$74</f>
        <v>-5134.68084696567</v>
      </c>
      <c r="AB65" s="70" t="n">
        <f aca="false">-AB54*Assumptions!$H$74</f>
        <v>-5475.46999936529</v>
      </c>
      <c r="AC65" s="70" t="n">
        <f aca="false">-AC54*Assumptions!$H$74</f>
        <v>-5773.25349247182</v>
      </c>
      <c r="AD65" s="70" t="n">
        <f aca="false">-AD54*Assumptions!$H$74</f>
        <v>-6092.13947697619</v>
      </c>
      <c r="AE65" s="70" t="n">
        <f aca="false">-AE54*Assumptions!$H$74</f>
        <v>-6434.59298744952</v>
      </c>
      <c r="AF65" s="70" t="n">
        <f aca="false">-AF54*Assumptions!$H$74</f>
        <v>-6802.9777599098</v>
      </c>
      <c r="AG65" s="70" t="n">
        <f aca="false">-AG54*Assumptions!$H$74</f>
        <v>-7199.76712137271</v>
      </c>
      <c r="AH65" s="70" t="n">
        <f aca="false">-AH54*Assumptions!$H$74</f>
        <v>-7627.62962621678</v>
      </c>
      <c r="AI65" s="70" t="n">
        <f aca="false">-AI54*Assumptions!$H$74</f>
        <v>-8089.45551149252</v>
      </c>
      <c r="AJ65" s="70" t="n">
        <f aca="false">-AJ54*Assumptions!$H$74</f>
        <v>-8588.37729727088</v>
      </c>
      <c r="AK65" s="70" t="n">
        <f aca="false">-AK54*Assumptions!$H$74</f>
        <v>-9127.79119657968</v>
      </c>
      <c r="AL65" s="70" t="n">
        <f aca="false">-AL54*Assumptions!$H$74</f>
        <v>-9711.38033806033</v>
      </c>
      <c r="AM65" s="70" t="n">
        <f aca="false">SUM(C65:AL65)</f>
        <v>-133293.45793264</v>
      </c>
    </row>
    <row r="66" customFormat="false" ht="15" hidden="false" customHeight="false" outlineLevel="0" collapsed="false">
      <c r="A66" s="10" t="s">
        <v>801</v>
      </c>
      <c r="B66" s="9" t="s">
        <v>97</v>
      </c>
      <c r="C66" s="70" t="n">
        <f aca="false">-C57*Assumptions!$H$75</f>
        <v>-0</v>
      </c>
      <c r="D66" s="70" t="n">
        <f aca="false">-D57*Assumptions!$H$75</f>
        <v>-0</v>
      </c>
      <c r="E66" s="70" t="n">
        <f aca="false">-E57*Assumptions!$H$75</f>
        <v>-0</v>
      </c>
      <c r="F66" s="70" t="n">
        <f aca="false">-F57*Assumptions!$H$75</f>
        <v>-0</v>
      </c>
      <c r="G66" s="70" t="n">
        <f aca="false">-G57*Assumptions!$H$75</f>
        <v>-0</v>
      </c>
      <c r="H66" s="70" t="n">
        <f aca="false">-H57*Assumptions!$H$75</f>
        <v>-0</v>
      </c>
      <c r="I66" s="70" t="n">
        <f aca="false">-I57*Assumptions!$H$75</f>
        <v>-118.102914769239</v>
      </c>
      <c r="J66" s="70" t="n">
        <f aca="false">-J57*Assumptions!$H$75</f>
        <v>-228.128949750922</v>
      </c>
      <c r="K66" s="70" t="n">
        <f aca="false">-K57*Assumptions!$H$75</f>
        <v>-331.689115157007</v>
      </c>
      <c r="L66" s="70" t="n">
        <f aca="false">-L57*Assumptions!$H$75</f>
        <v>-430.322954242088</v>
      </c>
      <c r="M66" s="70" t="n">
        <f aca="false">-M57*Assumptions!$H$75</f>
        <v>-528.08400553566</v>
      </c>
      <c r="N66" s="70" t="n">
        <f aca="false">-N57*Assumptions!$H$75</f>
        <v>-626.566949390178</v>
      </c>
      <c r="O66" s="70" t="n">
        <f aca="false">-O57*Assumptions!$H$75</f>
        <v>-726.813364751297</v>
      </c>
      <c r="P66" s="70" t="n">
        <f aca="false">-P57*Assumptions!$H$75</f>
        <v>-829.774397603404</v>
      </c>
      <c r="Q66" s="70" t="n">
        <f aca="false">-Q57*Assumptions!$H$75</f>
        <v>-936.37410584641</v>
      </c>
      <c r="R66" s="70" t="n">
        <f aca="false">-R57*Assumptions!$H$75</f>
        <v>-1047.52709267254</v>
      </c>
      <c r="S66" s="70" t="n">
        <f aca="false">-S57*Assumptions!$H$75</f>
        <v>-1164.15166521058</v>
      </c>
      <c r="T66" s="70" t="n">
        <f aca="false">-T57*Assumptions!$H$75</f>
        <v>-1287.18306339842</v>
      </c>
      <c r="U66" s="70" t="n">
        <f aca="false">-U57*Assumptions!$H$75</f>
        <v>-1417.58696200946</v>
      </c>
      <c r="V66" s="70" t="n">
        <f aca="false">-V57*Assumptions!$H$75</f>
        <v>-1556.37315654808</v>
      </c>
      <c r="W66" s="70" t="n">
        <f aca="false">-W57*Assumptions!$H$75</f>
        <v>-1704.60941701595</v>
      </c>
      <c r="X66" s="70" t="n">
        <f aca="false">-X57*Assumptions!$H$75</f>
        <v>-1863.43556534253</v>
      </c>
      <c r="Y66" s="70" t="n">
        <f aca="false">-Y57*Assumptions!$H$75</f>
        <v>-2034.07787880449</v>
      </c>
      <c r="Z66" s="70" t="n">
        <f aca="false">-Z57*Assumptions!$H$75</f>
        <v>-2217.86395079695</v>
      </c>
      <c r="AA66" s="70" t="n">
        <f aca="false">-AA57*Assumptions!$H$75</f>
        <v>-2416.23815885736</v>
      </c>
      <c r="AB66" s="70" t="n">
        <f aca="false">-AB57*Assumptions!$H$75</f>
        <v>-2622.14929269679</v>
      </c>
      <c r="AC66" s="70" t="n">
        <f aca="false">-AC57*Assumptions!$H$75</f>
        <v>-2831.06346610424</v>
      </c>
      <c r="AD66" s="70" t="n">
        <f aca="false">-AD57*Assumptions!$H$75</f>
        <v>-3044.46826882828</v>
      </c>
      <c r="AE66" s="70" t="n">
        <f aca="false">-AE57*Assumptions!$H$75</f>
        <v>-3263.90001198651</v>
      </c>
      <c r="AF66" s="70" t="n">
        <f aca="false">-AF57*Assumptions!$H$75</f>
        <v>-3490.92964211117</v>
      </c>
      <c r="AG66" s="70" t="n">
        <f aca="false">-AG57*Assumptions!$H$75</f>
        <v>-3727.16837222962</v>
      </c>
      <c r="AH66" s="70" t="n">
        <f aca="false">-AH57*Assumptions!$H$75</f>
        <v>-3974.28007087339</v>
      </c>
      <c r="AI66" s="70" t="n">
        <f aca="false">-AI57*Assumptions!$H$75</f>
        <v>-4233.99456735158</v>
      </c>
      <c r="AJ66" s="70" t="n">
        <f aca="false">-AJ57*Assumptions!$H$75</f>
        <v>-4508.1212681099</v>
      </c>
      <c r="AK66" s="70" t="n">
        <f aca="false">-AK57*Assumptions!$H$75</f>
        <v>-4798.56311970001</v>
      </c>
      <c r="AL66" s="70" t="n">
        <f aca="false">-AL57*Assumptions!$H$75</f>
        <v>-5107.33103639285</v>
      </c>
      <c r="AM66" s="70" t="n">
        <f aca="false">SUM(C66:AL66)</f>
        <v>-63066.8727840869</v>
      </c>
    </row>
    <row r="67" customFormat="false" ht="15" hidden="false" customHeight="false" outlineLevel="0" collapsed="false">
      <c r="A67" s="10" t="s">
        <v>802</v>
      </c>
      <c r="B67" s="9" t="s">
        <v>97</v>
      </c>
      <c r="C67" s="70" t="n">
        <f aca="false">-C57*Assumptions!$H$76</f>
        <v>-0</v>
      </c>
      <c r="D67" s="70" t="n">
        <f aca="false">-D57*Assumptions!$H$76</f>
        <v>-0</v>
      </c>
      <c r="E67" s="70" t="n">
        <f aca="false">-E57*Assumptions!$H$76</f>
        <v>-0</v>
      </c>
      <c r="F67" s="70" t="n">
        <f aca="false">-F57*Assumptions!$H$76</f>
        <v>-0</v>
      </c>
      <c r="G67" s="70" t="n">
        <f aca="false">-G57*Assumptions!$H$76</f>
        <v>-0</v>
      </c>
      <c r="H67" s="70" t="n">
        <f aca="false">-H57*Assumptions!$H$76</f>
        <v>-0</v>
      </c>
      <c r="I67" s="70" t="n">
        <f aca="false">-I57*Assumptions!$H$76</f>
        <v>-265.731558230789</v>
      </c>
      <c r="J67" s="70" t="n">
        <f aca="false">-J57*Assumptions!$H$76</f>
        <v>-513.290136939573</v>
      </c>
      <c r="K67" s="70" t="n">
        <f aca="false">-K57*Assumptions!$H$76</f>
        <v>-746.300509103265</v>
      </c>
      <c r="L67" s="70" t="n">
        <f aca="false">-L57*Assumptions!$H$76</f>
        <v>-968.226647044698</v>
      </c>
      <c r="M67" s="70" t="n">
        <f aca="false">-M57*Assumptions!$H$76</f>
        <v>-1188.18901245524</v>
      </c>
      <c r="N67" s="70" t="n">
        <f aca="false">-N57*Assumptions!$H$76</f>
        <v>-1409.7756361279</v>
      </c>
      <c r="O67" s="70" t="n">
        <f aca="false">-O57*Assumptions!$H$76</f>
        <v>-1635.33007069042</v>
      </c>
      <c r="P67" s="70" t="n">
        <f aca="false">-P57*Assumptions!$H$76</f>
        <v>-1866.99239460766</v>
      </c>
      <c r="Q67" s="70" t="n">
        <f aca="false">-Q57*Assumptions!$H$76</f>
        <v>-2106.84173815442</v>
      </c>
      <c r="R67" s="70" t="n">
        <f aca="false">-R57*Assumptions!$H$76</f>
        <v>-2356.93595851321</v>
      </c>
      <c r="S67" s="70" t="n">
        <f aca="false">-S57*Assumptions!$H$76</f>
        <v>-2619.3412467238</v>
      </c>
      <c r="T67" s="70" t="n">
        <f aca="false">-T57*Assumptions!$H$76</f>
        <v>-2896.16189264645</v>
      </c>
      <c r="U67" s="70" t="n">
        <f aca="false">-U57*Assumptions!$H$76</f>
        <v>-3189.57066452128</v>
      </c>
      <c r="V67" s="70" t="n">
        <f aca="false">-V57*Assumptions!$H$76</f>
        <v>-3501.83960223319</v>
      </c>
      <c r="W67" s="70" t="n">
        <f aca="false">-W57*Assumptions!$H$76</f>
        <v>-3835.37118828589</v>
      </c>
      <c r="X67" s="70" t="n">
        <f aca="false">-X57*Assumptions!$H$76</f>
        <v>-4192.73002202069</v>
      </c>
      <c r="Y67" s="70" t="n">
        <f aca="false">-Y57*Assumptions!$H$76</f>
        <v>-4576.67522731011</v>
      </c>
      <c r="Z67" s="70" t="n">
        <f aca="false">-Z57*Assumptions!$H$76</f>
        <v>-4990.19388929314</v>
      </c>
      <c r="AA67" s="70" t="n">
        <f aca="false">-AA57*Assumptions!$H$76</f>
        <v>-5436.53585742906</v>
      </c>
      <c r="AB67" s="70" t="n">
        <f aca="false">-AB57*Assumptions!$H$76</f>
        <v>-5899.83590856778</v>
      </c>
      <c r="AC67" s="70" t="n">
        <f aca="false">-AC57*Assumptions!$H$76</f>
        <v>-6369.89279873455</v>
      </c>
      <c r="AD67" s="70" t="n">
        <f aca="false">-AD57*Assumptions!$H$76</f>
        <v>-6850.05360486364</v>
      </c>
      <c r="AE67" s="70" t="n">
        <f aca="false">-AE57*Assumptions!$H$76</f>
        <v>-7343.77502696964</v>
      </c>
      <c r="AF67" s="70" t="n">
        <f aca="false">-AF57*Assumptions!$H$76</f>
        <v>-7854.59169475013</v>
      </c>
      <c r="AG67" s="70" t="n">
        <f aca="false">-AG57*Assumptions!$H$76</f>
        <v>-8386.12883751664</v>
      </c>
      <c r="AH67" s="70" t="n">
        <f aca="false">-AH57*Assumptions!$H$76</f>
        <v>-8942.13015946513</v>
      </c>
      <c r="AI67" s="70" t="n">
        <f aca="false">-AI57*Assumptions!$H$76</f>
        <v>-9526.48777654105</v>
      </c>
      <c r="AJ67" s="70" t="n">
        <f aca="false">-AJ57*Assumptions!$H$76</f>
        <v>-10143.2728532473</v>
      </c>
      <c r="AK67" s="70" t="n">
        <f aca="false">-AK57*Assumptions!$H$76</f>
        <v>-10796.767019325</v>
      </c>
      <c r="AL67" s="70" t="n">
        <f aca="false">-AL57*Assumptions!$H$76</f>
        <v>-11491.4948318839</v>
      </c>
      <c r="AM67" s="70" t="n">
        <f aca="false">SUM(C67:AL67)</f>
        <v>-141900.463764196</v>
      </c>
    </row>
    <row r="68" customFormat="false" ht="15" hidden="false" customHeight="false" outlineLevel="0" collapsed="false">
      <c r="A68" s="10" t="s">
        <v>803</v>
      </c>
      <c r="B68" s="9" t="s">
        <v>97</v>
      </c>
      <c r="C68" s="70" t="n">
        <f aca="false">-C57*Assumptions!$H$77</f>
        <v>-0</v>
      </c>
      <c r="D68" s="70" t="n">
        <f aca="false">-D57*Assumptions!$H$77</f>
        <v>-0</v>
      </c>
      <c r="E68" s="70" t="n">
        <f aca="false">-E57*Assumptions!$H$77</f>
        <v>-0</v>
      </c>
      <c r="F68" s="70" t="n">
        <f aca="false">-F57*Assumptions!$H$77</f>
        <v>-0</v>
      </c>
      <c r="G68" s="70" t="n">
        <f aca="false">-G57*Assumptions!$H$77</f>
        <v>-0</v>
      </c>
      <c r="H68" s="70" t="n">
        <f aca="false">-H57*Assumptions!$H$77</f>
        <v>-0</v>
      </c>
      <c r="I68" s="70" t="n">
        <f aca="false">-I57*Assumptions!$H$77</f>
        <v>-66.4328895576972</v>
      </c>
      <c r="J68" s="70" t="n">
        <f aca="false">-J57*Assumptions!$H$77</f>
        <v>-128.322534234893</v>
      </c>
      <c r="K68" s="70" t="n">
        <f aca="false">-K57*Assumptions!$H$77</f>
        <v>-186.575127275816</v>
      </c>
      <c r="L68" s="70" t="n">
        <f aca="false">-L57*Assumptions!$H$77</f>
        <v>-242.056661761174</v>
      </c>
      <c r="M68" s="70" t="n">
        <f aca="false">-M57*Assumptions!$H$77</f>
        <v>-297.047253113809</v>
      </c>
      <c r="N68" s="70" t="n">
        <f aca="false">-N57*Assumptions!$H$77</f>
        <v>-352.443909031975</v>
      </c>
      <c r="O68" s="70" t="n">
        <f aca="false">-O57*Assumptions!$H$77</f>
        <v>-408.832517672605</v>
      </c>
      <c r="P68" s="70" t="n">
        <f aca="false">-P57*Assumptions!$H$77</f>
        <v>-466.748098651915</v>
      </c>
      <c r="Q68" s="70" t="n">
        <f aca="false">-Q57*Assumptions!$H$77</f>
        <v>-526.710434538606</v>
      </c>
      <c r="R68" s="70" t="n">
        <f aca="false">-R57*Assumptions!$H$77</f>
        <v>-589.233989628302</v>
      </c>
      <c r="S68" s="70" t="n">
        <f aca="false">-S57*Assumptions!$H$77</f>
        <v>-654.835311680949</v>
      </c>
      <c r="T68" s="70" t="n">
        <f aca="false">-T57*Assumptions!$H$77</f>
        <v>-724.040473161614</v>
      </c>
      <c r="U68" s="70" t="n">
        <f aca="false">-U57*Assumptions!$H$77</f>
        <v>-797.39266613032</v>
      </c>
      <c r="V68" s="70" t="n">
        <f aca="false">-V57*Assumptions!$H$77</f>
        <v>-875.459900558297</v>
      </c>
      <c r="W68" s="70" t="n">
        <f aca="false">-W57*Assumptions!$H$77</f>
        <v>-958.842797071472</v>
      </c>
      <c r="X68" s="70" t="n">
        <f aca="false">-X57*Assumptions!$H$77</f>
        <v>-1048.18250550517</v>
      </c>
      <c r="Y68" s="70" t="n">
        <f aca="false">-Y57*Assumptions!$H$77</f>
        <v>-1144.16880682753</v>
      </c>
      <c r="Z68" s="70" t="n">
        <f aca="false">-Z57*Assumptions!$H$77</f>
        <v>-1247.54847232328</v>
      </c>
      <c r="AA68" s="70" t="n">
        <f aca="false">-AA57*Assumptions!$H$77</f>
        <v>-1359.13396435726</v>
      </c>
      <c r="AB68" s="70" t="n">
        <f aca="false">-AB57*Assumptions!$H$77</f>
        <v>-1474.95897714195</v>
      </c>
      <c r="AC68" s="70" t="n">
        <f aca="false">-AC57*Assumptions!$H$77</f>
        <v>-1592.47319968364</v>
      </c>
      <c r="AD68" s="70" t="n">
        <f aca="false">-AD57*Assumptions!$H$77</f>
        <v>-1712.51340121591</v>
      </c>
      <c r="AE68" s="70" t="n">
        <f aca="false">-AE57*Assumptions!$H$77</f>
        <v>-1835.94375674241</v>
      </c>
      <c r="AF68" s="70" t="n">
        <f aca="false">-AF57*Assumptions!$H$77</f>
        <v>-1963.64792368753</v>
      </c>
      <c r="AG68" s="70" t="n">
        <f aca="false">-AG57*Assumptions!$H$77</f>
        <v>-2096.53220937916</v>
      </c>
      <c r="AH68" s="70" t="n">
        <f aca="false">-AH57*Assumptions!$H$77</f>
        <v>-2235.53253986628</v>
      </c>
      <c r="AI68" s="70" t="n">
        <f aca="false">-AI57*Assumptions!$H$77</f>
        <v>-2381.62194413526</v>
      </c>
      <c r="AJ68" s="70" t="n">
        <f aca="false">-AJ57*Assumptions!$H$77</f>
        <v>-2535.81821331182</v>
      </c>
      <c r="AK68" s="70" t="n">
        <f aca="false">-AK57*Assumptions!$H$77</f>
        <v>-2699.19175483125</v>
      </c>
      <c r="AL68" s="70" t="n">
        <f aca="false">-AL57*Assumptions!$H$77</f>
        <v>-2872.87370797098</v>
      </c>
      <c r="AM68" s="70" t="n">
        <f aca="false">SUM(C68:AL68)</f>
        <v>-35475.1159410489</v>
      </c>
    </row>
    <row r="69" customFormat="false" ht="15" hidden="false" customHeight="false" outlineLevel="0" collapsed="false">
      <c r="A69" s="10" t="s">
        <v>804</v>
      </c>
      <c r="B69" s="9" t="s">
        <v>97</v>
      </c>
      <c r="C69" s="70" t="n">
        <f aca="false">-C63*Assumptions!$H$79</f>
        <v>-0</v>
      </c>
      <c r="D69" s="70" t="n">
        <f aca="false">-D63*Assumptions!$H$79</f>
        <v>-0</v>
      </c>
      <c r="E69" s="70" t="n">
        <f aca="false">-E63*Assumptions!$H$79</f>
        <v>-0</v>
      </c>
      <c r="F69" s="70" t="n">
        <f aca="false">-F63*Assumptions!$H$79</f>
        <v>-0</v>
      </c>
      <c r="G69" s="70" t="n">
        <f aca="false">-G63*Assumptions!$H$79</f>
        <v>-0</v>
      </c>
      <c r="H69" s="70" t="n">
        <f aca="false">-H63*Assumptions!$H$79</f>
        <v>-0</v>
      </c>
      <c r="I69" s="70" t="n">
        <f aca="false">-I63*Assumptions!$H$79</f>
        <v>-175.544982321456</v>
      </c>
      <c r="J69" s="70" t="n">
        <f aca="false">-J63*Assumptions!$H$79</f>
        <v>-274.879736517814</v>
      </c>
      <c r="K69" s="70" t="n">
        <f aca="false">-K63*Assumptions!$H$79</f>
        <v>-368.994677812229</v>
      </c>
      <c r="L69" s="70" t="n">
        <f aca="false">-L63*Assumptions!$H$79</f>
        <v>-459.302338891925</v>
      </c>
      <c r="M69" s="70" t="n">
        <f aca="false">-M63*Assumptions!$H$79</f>
        <v>-550.99083910911</v>
      </c>
      <c r="N69" s="70" t="n">
        <f aca="false">-N63*Assumptions!$H$79</f>
        <v>-644.226819615671</v>
      </c>
      <c r="O69" s="70" t="n">
        <f aca="false">-O63*Assumptions!$H$79</f>
        <v>-739.691529897205</v>
      </c>
      <c r="P69" s="70" t="n">
        <f aca="false">-P63*Assumptions!$H$79</f>
        <v>-838.232488052478</v>
      </c>
      <c r="Q69" s="70" t="n">
        <f aca="false">-Q63*Assumptions!$H$79</f>
        <v>-940.706111778155</v>
      </c>
      <c r="R69" s="70" t="n">
        <f aca="false">-R63*Assumptions!$H$79</f>
        <v>-1047.96949160117</v>
      </c>
      <c r="S69" s="70" t="n">
        <f aca="false">-S63*Assumptions!$H$79</f>
        <v>-1160.89036339727</v>
      </c>
      <c r="T69" s="70" t="n">
        <f aca="false">-T63*Assumptions!$H$79</f>
        <v>-1280.35961791977</v>
      </c>
      <c r="U69" s="70" t="n">
        <f aca="false">-U63*Assumptions!$H$79</f>
        <v>-1407.30417815814</v>
      </c>
      <c r="V69" s="70" t="n">
        <f aca="false">-V63*Assumptions!$H$79</f>
        <v>-1542.70000149867</v>
      </c>
      <c r="W69" s="70" t="n">
        <f aca="false">-W63*Assumptions!$H$79</f>
        <v>-1687.58523144554</v>
      </c>
      <c r="X69" s="70" t="n">
        <f aca="false">-X63*Assumptions!$H$79</f>
        <v>-1843.07359053019</v>
      </c>
      <c r="Y69" s="70" t="n">
        <f aca="false">-Y63*Assumptions!$H$79</f>
        <v>-2010.36813616959</v>
      </c>
      <c r="Z69" s="70" t="n">
        <f aca="false">-Z63*Assumptions!$H$79</f>
        <v>-2190.77551910089</v>
      </c>
      <c r="AA69" s="70" t="n">
        <f aca="false">-AA63*Assumptions!$H$79</f>
        <v>-2385.72089578703</v>
      </c>
      <c r="AB69" s="70" t="n">
        <f aca="false">-AB63*Assumptions!$H$79</f>
        <v>-2583.93832238805</v>
      </c>
      <c r="AC69" s="70" t="n">
        <f aca="false">-AC63*Assumptions!$H$79</f>
        <v>-2782.52204323328</v>
      </c>
      <c r="AD69" s="70" t="n">
        <f aca="false">-AD63*Assumptions!$H$79</f>
        <v>-2986.14795438543</v>
      </c>
      <c r="AE69" s="70" t="n">
        <f aca="false">-AE63*Assumptions!$H$79</f>
        <v>-3196.29088015257</v>
      </c>
      <c r="AF69" s="70" t="n">
        <f aca="false">-AF63*Assumptions!$H$79</f>
        <v>-3414.45063930725</v>
      </c>
      <c r="AG69" s="70" t="n">
        <f aca="false">-AG63*Assumptions!$H$79</f>
        <v>-3642.16807260144</v>
      </c>
      <c r="AH69" s="70" t="n">
        <f aca="false">-AH63*Assumptions!$H$79</f>
        <v>-3881.04039619802</v>
      </c>
      <c r="AI69" s="70" t="n">
        <f aca="false">-AI63*Assumptions!$H$79</f>
        <v>-4132.73424316095</v>
      </c>
      <c r="AJ69" s="70" t="n">
        <f aca="false">-AJ63*Assumptions!$H$79</f>
        <v>-4398.99866922066</v>
      </c>
      <c r="AK69" s="70" t="n">
        <f aca="false">-AK63*Assumptions!$H$79</f>
        <v>-4681.67850461423</v>
      </c>
      <c r="AL69" s="70" t="n">
        <f aca="false">-AL63*Assumptions!$H$79</f>
        <v>-4982.72820813032</v>
      </c>
      <c r="AM69" s="70" t="n">
        <f aca="false">SUM(C69:AL69)</f>
        <v>-62232.0144829965</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2757.39036331995</v>
      </c>
      <c r="J70" s="53" t="n">
        <f aca="false">J63+J64+J65+J66+J67+J68+J69</f>
        <v>4396.5844114562</v>
      </c>
      <c r="K70" s="53" t="n">
        <f aca="false">K63+K64+K65+K66+K67+K68+K69</f>
        <v>5948.39300566182</v>
      </c>
      <c r="L70" s="53" t="n">
        <f aca="false">L63+L64+L65+L66+L67+L68+L69</f>
        <v>7436.07967255611</v>
      </c>
      <c r="M70" s="53" t="n">
        <f aca="false">M63+M64+M65+M66+M67+M68+M69</f>
        <v>8942.16560952603</v>
      </c>
      <c r="N70" s="53" t="n">
        <f aca="false">N63+N64+N65+N66+N67+N68+N69</f>
        <v>10471.9757942406</v>
      </c>
      <c r="O70" s="53" t="n">
        <f aca="false">O63+O64+O65+O66+O67+O68+O69</f>
        <v>12037.276142243</v>
      </c>
      <c r="P70" s="53" t="n">
        <f aca="false">P63+P64+P65+P66+P67+P68+P69</f>
        <v>13652.0748216796</v>
      </c>
      <c r="Q70" s="53" t="n">
        <f aca="false">Q63+Q64+Q65+Q66+Q67+Q68+Q69</f>
        <v>15330.4593899114</v>
      </c>
      <c r="R70" s="53" t="n">
        <f aca="false">R63+R64+R65+R66+R67+R68+R69</f>
        <v>17086.5098801366</v>
      </c>
      <c r="S70" s="53" t="n">
        <f aca="false">S63+S64+S65+S66+S67+S68+S69</f>
        <v>18934.4672234332</v>
      </c>
      <c r="T70" s="53" t="n">
        <f aca="false">T63+T64+T65+T66+T67+T68+T69</f>
        <v>20888.9385323719</v>
      </c>
      <c r="U70" s="53" t="n">
        <f aca="false">U63+U64+U65+U66+U67+U68+U69</f>
        <v>22965.1082092619</v>
      </c>
      <c r="V70" s="53" t="n">
        <f aca="false">V63+V64+V65+V66+V67+V68+V69</f>
        <v>25178.9511971808</v>
      </c>
      <c r="W70" s="53" t="n">
        <f aca="false">W63+W64+W65+W66+W67+W68+W69</f>
        <v>27547.4487030519</v>
      </c>
      <c r="X70" s="53" t="n">
        <f aca="false">X63+X64+X65+X66+X67+X68+X69</f>
        <v>30088.8078213337</v>
      </c>
      <c r="Y70" s="53" t="n">
        <f aca="false">Y63+Y64+Y65+Y66+Y67+Y68+Y69</f>
        <v>32822.6870081565</v>
      </c>
      <c r="Z70" s="53" t="n">
        <f aca="false">Z63+Z64+Z65+Z66+Z67+Z68+Z69</f>
        <v>35770.4296674617</v>
      </c>
      <c r="AA70" s="53" t="n">
        <f aca="false">AA63+AA64+AA65+AA66+AA67+AA68+AA69</f>
        <v>38955.3083149323</v>
      </c>
      <c r="AB70" s="53" t="n">
        <f aca="false">AB63+AB64+AB65+AB66+AB67+AB68+AB69</f>
        <v>42201.3267418324</v>
      </c>
      <c r="AC70" s="53" t="n">
        <f aca="false">AC63+AC64+AC65+AC66+AC67+AC68+AC69</f>
        <v>45458.1328461871</v>
      </c>
      <c r="AD70" s="53" t="n">
        <f aca="false">AD63+AD64+AD65+AD66+AD67+AD68+AD69</f>
        <v>48796.1454533584</v>
      </c>
      <c r="AE70" s="53" t="n">
        <f aca="false">AE63+AE64+AE65+AE66+AE67+AE68+AE69</f>
        <v>52239.5241066604</v>
      </c>
      <c r="AF70" s="53" t="n">
        <f aca="false">AF63+AF64+AF65+AF66+AF67+AF68+AF69</f>
        <v>55812.8534945027</v>
      </c>
      <c r="AG70" s="53" t="n">
        <f aca="false">AG63+AG64+AG65+AG66+AG67+AG68+AG69</f>
        <v>59541.3857958725</v>
      </c>
      <c r="AH70" s="53" t="n">
        <f aca="false">AH63+AH64+AH65+AH66+AH67+AH68+AH69</f>
        <v>63451.2856070153</v>
      </c>
      <c r="AI70" s="53" t="n">
        <f aca="false">AI63+AI64+AI65+AI66+AI67+AI68+AI69</f>
        <v>67569.8430668289</v>
      </c>
      <c r="AJ70" s="53" t="n">
        <f aca="false">AJ63+AJ64+AJ65+AJ66+AJ67+AJ68+AJ69</f>
        <v>71925.6870331015</v>
      </c>
      <c r="AK70" s="53" t="n">
        <f aca="false">AK63+AK64+AK65+AK66+AK67+AK68+AK69</f>
        <v>76549.0039025335</v>
      </c>
      <c r="AL70" s="53" t="n">
        <f aca="false">AL63+AL64+AL65+AL66+AL67+AL68+AL69</f>
        <v>81471.7645506996</v>
      </c>
      <c r="AM70" s="53" t="n">
        <f aca="false">SUM(C70:AL70)</f>
        <v>1016228.00836651</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0.463842659147655</v>
      </c>
      <c r="K71" s="62" t="n">
        <f aca="false">IFERROR(K70/K63,0)</f>
        <v>0.467495624020829</v>
      </c>
      <c r="L71" s="62" t="n">
        <f aca="false">IFERROR(L70/L63,0)</f>
        <v>0.469508409263445</v>
      </c>
      <c r="M71" s="62" t="n">
        <f aca="false">IFERROR(M70/M63,0)</f>
        <v>0.470648120203869</v>
      </c>
      <c r="N71" s="62" t="n">
        <f aca="false">IFERROR(N70/N63,0)</f>
        <v>0.471398098908938</v>
      </c>
      <c r="O71" s="62" t="n">
        <f aca="false">IFERROR(O70/O63,0)</f>
        <v>0.471927815874217</v>
      </c>
      <c r="P71" s="62" t="n">
        <f aca="false">IFERROR(P70/P63,0)</f>
        <v>0.472315467930088</v>
      </c>
      <c r="Q71" s="62" t="n">
        <f aca="false">IFERROR(Q70/Q63,0)</f>
        <v>0.472605967731052</v>
      </c>
      <c r="R71" s="62" t="n">
        <f aca="false">IFERROR(R70/R63,0)</f>
        <v>0.472827492112281</v>
      </c>
      <c r="S71" s="62" t="n">
        <f aca="false">IFERROR(S70/S63,0)</f>
        <v>0.47299862828791</v>
      </c>
      <c r="T71" s="62" t="n">
        <f aca="false">IFERROR(T70/T63,0)</f>
        <v>0.473132086454749</v>
      </c>
      <c r="U71" s="62" t="n">
        <f aca="false">IFERROR(U70/U63,0)</f>
        <v>0.473236808648027</v>
      </c>
      <c r="V71" s="62" t="n">
        <f aca="false">IFERROR(V70/V63,0)</f>
        <v>0.473319235113044</v>
      </c>
      <c r="W71" s="62" t="n">
        <f aca="false">IFERROR(W70/W63,0)</f>
        <v>0.473384097882991</v>
      </c>
      <c r="X71" s="62" t="n">
        <f aca="false">IFERROR(X70/X63,0)</f>
        <v>0.47343493569764</v>
      </c>
      <c r="Y71" s="62" t="n">
        <f aca="false">IFERROR(Y70/Y63,0)</f>
        <v>0.473474437895807</v>
      </c>
      <c r="Z71" s="62" t="n">
        <f aca="false">IFERROR(Z70/Z63,0)</f>
        <v>0.473504679649754</v>
      </c>
      <c r="AA71" s="62" t="n">
        <f aca="false">IFERROR(AA70/AA63,0)</f>
        <v>0.473527286082791</v>
      </c>
      <c r="AB71" s="62" t="n">
        <f aca="false">IFERROR(AB70/AB63,0)</f>
        <v>0.473633006217454</v>
      </c>
      <c r="AC71" s="62" t="n">
        <f aca="false">IFERROR(AC70/AC63,0)</f>
        <v>0.473773731908188</v>
      </c>
      <c r="AD71" s="62" t="n">
        <f aca="false">IFERROR(AD70/AD63,0)</f>
        <v>0.473884161054113</v>
      </c>
      <c r="AE71" s="62" t="n">
        <f aca="false">IFERROR(AE70/AE63,0)</f>
        <v>0.473970065897394</v>
      </c>
      <c r="AF71" s="62" t="n">
        <f aca="false">IFERROR(AF70/AF63,0)</f>
        <v>0.474036066800183</v>
      </c>
      <c r="AG71" s="62" t="n">
        <f aca="false">IFERROR(AG70/AG63,0)</f>
        <v>0.474085806492449</v>
      </c>
      <c r="AH71" s="62" t="n">
        <f aca="false">IFERROR(AH70/AH63,0)</f>
        <v>0.474122166933909</v>
      </c>
      <c r="AI71" s="62" t="n">
        <f aca="false">IFERROR(AI70/AI63,0)</f>
        <v>0.474147461134419</v>
      </c>
      <c r="AJ71" s="62" t="n">
        <f aca="false">IFERROR(AJ70/AJ63,0)</f>
        <v>0.474163572395324</v>
      </c>
      <c r="AK71" s="62" t="n">
        <f aca="false">IFERROR(AK70/AK63,0)</f>
        <v>0.47417205410101</v>
      </c>
      <c r="AL71" s="62" t="n">
        <f aca="false">IFERROR(AL70/AL63,0)</f>
        <v>0.474174202019508</v>
      </c>
      <c r="AM71" s="62" t="n">
        <f aca="false">AVERAGE(N71:AL71)</f>
        <v>0.47340997332893</v>
      </c>
    </row>
    <row r="72" customFormat="false" ht="15" hidden="false" customHeight="false" outlineLevel="0" collapsed="false">
      <c r="A72" s="37" t="s">
        <v>807</v>
      </c>
      <c r="B72" s="9" t="s">
        <v>97</v>
      </c>
      <c r="C72" s="53" t="n">
        <f aca="false">C42+C63</f>
        <v>0</v>
      </c>
      <c r="D72" s="53" t="n">
        <f aca="false">D42+D63</f>
        <v>68449.0267319739</v>
      </c>
      <c r="E72" s="53" t="n">
        <f aca="false">E42+E63</f>
        <v>68873.2475228445</v>
      </c>
      <c r="F72" s="53" t="n">
        <f aca="false">F42+F63</f>
        <v>77990.0848586261</v>
      </c>
      <c r="G72" s="53" t="n">
        <f aca="false">G42+G63</f>
        <v>86811.5626500084</v>
      </c>
      <c r="H72" s="53" t="n">
        <f aca="false">H42+H63</f>
        <v>94435.2456463839</v>
      </c>
      <c r="I72" s="53" t="n">
        <f aca="false">I42+I63</f>
        <v>107198.78199441</v>
      </c>
      <c r="J72" s="53" t="n">
        <f aca="false">J42+J63</f>
        <v>116596.124884621</v>
      </c>
      <c r="K72" s="53" t="n">
        <f aca="false">K42+K63</f>
        <v>125218.617911975</v>
      </c>
      <c r="L72" s="53" t="n">
        <f aca="false">L42+L63</f>
        <v>133252.106424961</v>
      </c>
      <c r="M72" s="53" t="n">
        <f aca="false">M42+M63</f>
        <v>141631.37468181</v>
      </c>
      <c r="N72" s="53" t="n">
        <f aca="false">N42+N63</f>
        <v>150059.963913672</v>
      </c>
      <c r="O72" s="53" t="n">
        <f aca="false">O42+O63</f>
        <v>158556.356638793</v>
      </c>
      <c r="P72" s="53" t="n">
        <f aca="false">P42+P63</f>
        <v>167192.572062936</v>
      </c>
      <c r="Q72" s="53" t="n">
        <f aca="false">Q42+Q63</f>
        <v>176040.150762548</v>
      </c>
      <c r="R72" s="53" t="n">
        <f aca="false">R42+R63</f>
        <v>185167.838569403</v>
      </c>
      <c r="S72" s="53" t="n">
        <f aca="false">S42+S63</f>
        <v>194642.600496075</v>
      </c>
      <c r="T72" s="53" t="n">
        <f aca="false">T42+T63</f>
        <v>204530.918904839</v>
      </c>
      <c r="U72" s="53" t="n">
        <f aca="false">U42+U63</f>
        <v>214899.996350773</v>
      </c>
      <c r="V72" s="53" t="n">
        <f aca="false">V42+V63</f>
        <v>225818.858805967</v>
      </c>
      <c r="W72" s="53" t="n">
        <f aca="false">W42+W63</f>
        <v>237359.382795683</v>
      </c>
      <c r="X72" s="53" t="n">
        <f aca="false">X42+X63</f>
        <v>249597.269732051</v>
      </c>
      <c r="Y72" s="53" t="n">
        <f aca="false">Y42+Y63</f>
        <v>262612.988060859</v>
      </c>
      <c r="Z72" s="53" t="n">
        <f aca="false">Z42+Z63</f>
        <v>276492.701493999</v>
      </c>
      <c r="AA72" s="53" t="n">
        <f aca="false">AA42+AA63</f>
        <v>291329.199717311</v>
      </c>
      <c r="AB72" s="53" t="n">
        <f aca="false">AB42+AB63</f>
        <v>306780.593641623</v>
      </c>
      <c r="AC72" s="53" t="n">
        <f aca="false">AC42+AC63</f>
        <v>322769.349115254</v>
      </c>
      <c r="AD72" s="53" t="n">
        <f aca="false">AD42+AD63</f>
        <v>339487.947187555</v>
      </c>
      <c r="AE72" s="53" t="n">
        <f aca="false">AE42+AE63</f>
        <v>357036.934702114</v>
      </c>
      <c r="AF72" s="53" t="n">
        <f aca="false">AF42+AF63</f>
        <v>375520.422876958</v>
      </c>
      <c r="AG72" s="53" t="n">
        <f aca="false">AG42+AG63</f>
        <v>395048.748453525</v>
      </c>
      <c r="AH72" s="53" t="n">
        <f aca="false">AH42+AH63</f>
        <v>415739.820014664</v>
      </c>
      <c r="AI72" s="53" t="n">
        <f aca="false">AI42+AI63</f>
        <v>437719.9955734</v>
      </c>
      <c r="AJ72" s="53" t="n">
        <f aca="false">AJ42+AJ63</f>
        <v>461124.969885894</v>
      </c>
      <c r="AK72" s="53" t="n">
        <f aca="false">AK42+AK63</f>
        <v>486100.713579543</v>
      </c>
      <c r="AL72" s="53" t="n">
        <f aca="false">AL42+AL63</f>
        <v>512804.476891609</v>
      </c>
      <c r="AM72" s="53" t="n">
        <f aca="false">SUM(C72:AL72)</f>
        <v>8424890.94353466</v>
      </c>
    </row>
    <row r="73" customFormat="false" ht="15" hidden="false" customHeight="false" outlineLevel="0" collapsed="false">
      <c r="A73" s="37" t="s">
        <v>808</v>
      </c>
      <c r="B73" s="9" t="s">
        <v>97</v>
      </c>
      <c r="C73" s="53" t="n">
        <f aca="false">C46+C70</f>
        <v>0</v>
      </c>
      <c r="D73" s="53" t="n">
        <f aca="false">D46+D70</f>
        <v>40354.5823888803</v>
      </c>
      <c r="E73" s="53" t="n">
        <f aca="false">E46+E70</f>
        <v>40604.6845988547</v>
      </c>
      <c r="F73" s="53" t="n">
        <f aca="false">F46+F70</f>
        <v>45979.5771423737</v>
      </c>
      <c r="G73" s="53" t="n">
        <f aca="false">G46+G70</f>
        <v>51180.3384872787</v>
      </c>
      <c r="H73" s="53" t="n">
        <f aca="false">H46+H70</f>
        <v>55674.9318843274</v>
      </c>
      <c r="I73" s="53" t="n">
        <f aca="false">I46+I70</f>
        <v>62388.4016422033</v>
      </c>
      <c r="J73" s="53" t="n">
        <f aca="false">J46+J70</f>
        <v>67548.4321637786</v>
      </c>
      <c r="K73" s="53" t="n">
        <f aca="false">K46+K70</f>
        <v>72270.3757050514</v>
      </c>
      <c r="L73" s="53" t="n">
        <f aca="false">L46+L70</f>
        <v>76658.3460214331</v>
      </c>
      <c r="M73" s="53" t="n">
        <f aca="false">M46+M70</f>
        <v>81240.5005465324</v>
      </c>
      <c r="N73" s="53" t="n">
        <f aca="false">N46+N70</f>
        <v>85843.997266065</v>
      </c>
      <c r="O73" s="53" t="n">
        <f aca="false">O46+O70</f>
        <v>90477.6490984271</v>
      </c>
      <c r="P73" s="53" t="n">
        <f aca="false">P46+P70</f>
        <v>95180.6939628364</v>
      </c>
      <c r="Q73" s="53" t="n">
        <f aca="false">Q46+Q70</f>
        <v>99991.9860638608</v>
      </c>
      <c r="R73" s="53" t="n">
        <f aca="false">R46+R70</f>
        <v>104948.710743126</v>
      </c>
      <c r="S73" s="53" t="n">
        <f aca="false">S46+S70</f>
        <v>110086.947931184</v>
      </c>
      <c r="T73" s="53" t="n">
        <f aca="false">T46+T70</f>
        <v>115442.388462319</v>
      </c>
      <c r="U73" s="53" t="n">
        <f aca="false">U46+U70</f>
        <v>121050.992536211</v>
      </c>
      <c r="V73" s="53" t="n">
        <f aca="false">V46+V70</f>
        <v>126949.589054225</v>
      </c>
      <c r="W73" s="53" t="n">
        <f aca="false">W46+W70</f>
        <v>133176.429529035</v>
      </c>
      <c r="X73" s="53" t="n">
        <f aca="false">X46+X70</f>
        <v>139771.709861571</v>
      </c>
      <c r="Y73" s="53" t="n">
        <f aca="false">Y46+Y70</f>
        <v>146778.071613817</v>
      </c>
      <c r="Z73" s="53" t="n">
        <f aca="false">Z46+Z70</f>
        <v>154241.092973171</v>
      </c>
      <c r="AA73" s="53" t="n">
        <f aca="false">AA46+AA70</f>
        <v>162209.778459052</v>
      </c>
      <c r="AB73" s="53" t="n">
        <f aca="false">AB46+AB70</f>
        <v>170535.600331067</v>
      </c>
      <c r="AC73" s="53" t="n">
        <f aca="false">AC46+AC70</f>
        <v>179181.568388805</v>
      </c>
      <c r="AD73" s="53" t="n">
        <f aca="false">AD46+AD70</f>
        <v>188236.521127438</v>
      </c>
      <c r="AE73" s="53" t="n">
        <f aca="false">AE46+AE70</f>
        <v>197753.913653834</v>
      </c>
      <c r="AF73" s="53" t="n">
        <f aca="false">AF46+AF70</f>
        <v>207789.219494791</v>
      </c>
      <c r="AG73" s="53" t="n">
        <f aca="false">AG46+AG70</f>
        <v>218401.416008699</v>
      </c>
      <c r="AH73" s="53" t="n">
        <f aca="false">AH46+AH70</f>
        <v>229653.710914802</v>
      </c>
      <c r="AI73" s="53" t="n">
        <f aca="false">AI46+AI70</f>
        <v>241614.007679406</v>
      </c>
      <c r="AJ73" s="53" t="n">
        <f aca="false">AJ46+AJ70</f>
        <v>254355.377412182</v>
      </c>
      <c r="AK73" s="53" t="n">
        <f aca="false">AK46+AK70</f>
        <v>267956.559918656</v>
      </c>
      <c r="AL73" s="53" t="n">
        <f aca="false">AL46+AL70</f>
        <v>282502.500754633</v>
      </c>
      <c r="AM73" s="53" t="n">
        <f aca="false">SUM(C73:AL73)</f>
        <v>4718030.60381993</v>
      </c>
    </row>
    <row r="74" customFormat="false" ht="15" hidden="false" customHeight="false" outlineLevel="0" collapsed="false">
      <c r="A74" s="37" t="s">
        <v>809</v>
      </c>
      <c r="B74" s="9" t="s">
        <v>61</v>
      </c>
      <c r="C74" s="52" t="n">
        <f aca="false">IFERROR(C73/C72,0)</f>
        <v>0</v>
      </c>
      <c r="D74" s="52" t="n">
        <f aca="false">IFERROR(D73/D72,0)</f>
        <v>0.589556701030928</v>
      </c>
      <c r="E74" s="52" t="n">
        <f aca="false">IFERROR(E73/E72,0)</f>
        <v>0.589556701030928</v>
      </c>
      <c r="F74" s="52" t="n">
        <f aca="false">IFERROR(F73/F72,0)</f>
        <v>0.589556701030928</v>
      </c>
      <c r="G74" s="52" t="n">
        <f aca="false">IFERROR(G73/G72,0)</f>
        <v>0.589556701030928</v>
      </c>
      <c r="H74" s="52" t="n">
        <f aca="false">IFERROR(H73/H72,0)</f>
        <v>0.589556701030928</v>
      </c>
      <c r="I74" s="52" t="n">
        <f aca="false">IFERROR(I73/I72,0)</f>
        <v>0.581987971145572</v>
      </c>
      <c r="J74" s="52" t="n">
        <f aca="false">IFERROR(J73/J72,0)</f>
        <v>0.579336853867332</v>
      </c>
      <c r="K74" s="52" t="n">
        <f aca="false">IFERROR(K73/K72,0)</f>
        <v>0.57715359672677</v>
      </c>
      <c r="L74" s="52" t="n">
        <f aca="false">IFERROR(L73/L72,0)</f>
        <v>0.575288061690807</v>
      </c>
      <c r="M74" s="52" t="n">
        <f aca="false">IFERROR(M73/M72,0)</f>
        <v>0.573605253278433</v>
      </c>
      <c r="N74" s="52" t="n">
        <f aca="false">IFERROR(N73/N72,0)</f>
        <v>0.572064626881094</v>
      </c>
      <c r="O74" s="52" t="n">
        <f aca="false">IFERROR(O73/O72,0)</f>
        <v>0.570634006837985</v>
      </c>
      <c r="P74" s="52" t="n">
        <f aca="false">IFERROR(P73/P72,0)</f>
        <v>0.569287814574726</v>
      </c>
      <c r="Q74" s="52" t="n">
        <f aca="false">IFERROR(Q73/Q72,0)</f>
        <v>0.568006705463092</v>
      </c>
      <c r="R74" s="52" t="n">
        <f aca="false">IFERROR(R73/R72,0)</f>
        <v>0.566776128910691</v>
      </c>
      <c r="S74" s="52" t="n">
        <f aca="false">IFERROR(S73/S72,0)</f>
        <v>0.565585065399924</v>
      </c>
      <c r="T74" s="52" t="n">
        <f aca="false">IFERROR(T73/T72,0)</f>
        <v>0.564425120076982</v>
      </c>
      <c r="U74" s="52" t="n">
        <f aca="false">IFERROR(U73/U72,0)</f>
        <v>0.563289877113931</v>
      </c>
      <c r="V74" s="52" t="n">
        <f aca="false">IFERROR(V73/V72,0)</f>
        <v>0.562174433638887</v>
      </c>
      <c r="W74" s="52" t="n">
        <f aca="false">IFERROR(W73/W72,0)</f>
        <v>0.561075058253213</v>
      </c>
      <c r="X74" s="52" t="n">
        <f aca="false">IFERROR(X73/X72,0)</f>
        <v>0.559988937425556</v>
      </c>
      <c r="Y74" s="52" t="n">
        <f aca="false">IFERROR(Y73/Y72,0)</f>
        <v>0.558913984786625</v>
      </c>
      <c r="Z74" s="52" t="n">
        <f aca="false">IFERROR(Z73/Z72,0)</f>
        <v>0.557848695968268</v>
      </c>
      <c r="AA74" s="52" t="n">
        <f aca="false">IFERROR(AA73/AA72,0)</f>
        <v>0.55679203669406</v>
      </c>
      <c r="AB74" s="52" t="n">
        <f aca="false">IFERROR(AB73/AB72,0)</f>
        <v>0.555887836015742</v>
      </c>
      <c r="AC74" s="52" t="n">
        <f aca="false">IFERROR(AC73/AC72,0)</f>
        <v>0.55513811605706</v>
      </c>
      <c r="AD74" s="52" t="n">
        <f aca="false">IFERROR(AD73/AD72,0)</f>
        <v>0.554471882394824</v>
      </c>
      <c r="AE74" s="52" t="n">
        <f aca="false">IFERROR(AE73/AE72,0)</f>
        <v>0.553875228115617</v>
      </c>
      <c r="AF74" s="52" t="n">
        <f aca="false">IFERROR(AF73/AF72,0)</f>
        <v>0.55333666782452</v>
      </c>
      <c r="AG74" s="52" t="n">
        <f aca="false">IFERROR(AG73/AG72,0)</f>
        <v>0.552846748315652</v>
      </c>
      <c r="AH74" s="52" t="n">
        <f aca="false">IFERROR(AH73/AH72,0)</f>
        <v>0.552397677246075</v>
      </c>
      <c r="AI74" s="52" t="n">
        <f aca="false">IFERROR(AI73/AI72,0)</f>
        <v>0.551983025959093</v>
      </c>
      <c r="AJ74" s="52" t="n">
        <f aca="false">IFERROR(AJ73/AJ72,0)</f>
        <v>0.551597493137537</v>
      </c>
      <c r="AK74" s="52" t="n">
        <f aca="false">IFERROR(AK73/AK72,0)</f>
        <v>0.551236713777852</v>
      </c>
      <c r="AL74" s="52" t="n">
        <f aca="false">IFERROR(AL73/AL72,0)</f>
        <v>0.550897103057751</v>
      </c>
      <c r="AM74" s="52" t="n">
        <f aca="false">AVERAGE(N74:AL74)</f>
        <v>0.55922123935707</v>
      </c>
    </row>
    <row r="75" customFormat="false" ht="15" hidden="false" customHeight="false" outlineLevel="0" collapsed="false">
      <c r="A75" s="10" t="s">
        <v>810</v>
      </c>
      <c r="B75" s="9" t="s">
        <v>97</v>
      </c>
      <c r="C75" s="70" t="n">
        <f aca="false">-Assumptions!$H$82</f>
        <v>-600</v>
      </c>
      <c r="D75" s="70" t="n">
        <f aca="false">-Assumptions!$H$82</f>
        <v>-600</v>
      </c>
      <c r="E75" s="70" t="n">
        <f aca="false">-Assumptions!$H$82</f>
        <v>-600</v>
      </c>
      <c r="F75" s="70" t="n">
        <f aca="false">-Assumptions!$H$82</f>
        <v>-600</v>
      </c>
      <c r="G75" s="70" t="n">
        <f aca="false">-Assumptions!$H$82</f>
        <v>-600</v>
      </c>
      <c r="H75" s="70" t="n">
        <f aca="false">-Assumptions!$H$82</f>
        <v>-600</v>
      </c>
      <c r="I75" s="70" t="n">
        <f aca="false">-Assumptions!$H$82</f>
        <v>-600</v>
      </c>
      <c r="J75" s="70" t="n">
        <f aca="false">-Assumptions!$H$82</f>
        <v>-600</v>
      </c>
      <c r="K75" s="70" t="n">
        <f aca="false">-Assumptions!$H$82</f>
        <v>-600</v>
      </c>
      <c r="L75" s="70" t="n">
        <f aca="false">-Assumptions!$H$82</f>
        <v>-600</v>
      </c>
      <c r="M75" s="70" t="n">
        <f aca="false">-Assumptions!$H$82</f>
        <v>-600</v>
      </c>
      <c r="N75" s="70" t="n">
        <f aca="false">-Assumptions!$H$82</f>
        <v>-600</v>
      </c>
      <c r="O75" s="70" t="n">
        <f aca="false">-Assumptions!$H$82</f>
        <v>-600</v>
      </c>
      <c r="P75" s="70" t="n">
        <f aca="false">-Assumptions!$H$82</f>
        <v>-600</v>
      </c>
      <c r="Q75" s="70" t="n">
        <f aca="false">-Assumptions!$H$82</f>
        <v>-600</v>
      </c>
      <c r="R75" s="70" t="n">
        <f aca="false">-Assumptions!$H$82</f>
        <v>-600</v>
      </c>
      <c r="S75" s="70" t="n">
        <f aca="false">-Assumptions!$H$82</f>
        <v>-600</v>
      </c>
      <c r="T75" s="70" t="n">
        <f aca="false">-Assumptions!$H$82</f>
        <v>-600</v>
      </c>
      <c r="U75" s="70" t="n">
        <f aca="false">-Assumptions!$H$82</f>
        <v>-600</v>
      </c>
      <c r="V75" s="70" t="n">
        <f aca="false">-Assumptions!$H$82</f>
        <v>-600</v>
      </c>
      <c r="W75" s="70" t="n">
        <f aca="false">-Assumptions!$H$82</f>
        <v>-600</v>
      </c>
      <c r="X75" s="70" t="n">
        <f aca="false">-Assumptions!$H$82</f>
        <v>-600</v>
      </c>
      <c r="Y75" s="70" t="n">
        <f aca="false">-Assumptions!$H$82</f>
        <v>-600</v>
      </c>
      <c r="Z75" s="70" t="n">
        <f aca="false">-Assumptions!$H$82</f>
        <v>-600</v>
      </c>
      <c r="AA75" s="70" t="n">
        <f aca="false">-Assumptions!$H$82</f>
        <v>-600</v>
      </c>
      <c r="AB75" s="70" t="n">
        <f aca="false">-Assumptions!$H$82</f>
        <v>-600</v>
      </c>
      <c r="AC75" s="70" t="n">
        <f aca="false">-Assumptions!$H$82</f>
        <v>-600</v>
      </c>
      <c r="AD75" s="70" t="n">
        <f aca="false">-Assumptions!$H$82</f>
        <v>-600</v>
      </c>
      <c r="AE75" s="70" t="n">
        <f aca="false">-Assumptions!$H$82</f>
        <v>-600</v>
      </c>
      <c r="AF75" s="70" t="n">
        <f aca="false">-Assumptions!$H$82</f>
        <v>-600</v>
      </c>
      <c r="AG75" s="70" t="n">
        <f aca="false">-Assumptions!$H$82</f>
        <v>-600</v>
      </c>
      <c r="AH75" s="70" t="n">
        <f aca="false">-Assumptions!$H$82</f>
        <v>-600</v>
      </c>
      <c r="AI75" s="70" t="n">
        <f aca="false">-Assumptions!$H$82</f>
        <v>-600</v>
      </c>
      <c r="AJ75" s="70" t="n">
        <f aca="false">-Assumptions!$H$82</f>
        <v>-600</v>
      </c>
      <c r="AK75" s="70" t="n">
        <f aca="false">-Assumptions!$H$82</f>
        <v>-600</v>
      </c>
      <c r="AL75" s="70" t="n">
        <f aca="false">-Assumptions!$H$82</f>
        <v>-600</v>
      </c>
      <c r="AM75" s="70" t="n">
        <f aca="false">SUM(C75:AL75)</f>
        <v>-21600</v>
      </c>
    </row>
    <row r="76" customFormat="false" ht="15" hidden="false" customHeight="false" outlineLevel="0" collapsed="false">
      <c r="A76" s="10" t="s">
        <v>811</v>
      </c>
      <c r="B76" s="9" t="s">
        <v>97</v>
      </c>
      <c r="C76" s="70" t="n">
        <f aca="false">-Assumptions!$H$83</f>
        <v>-280</v>
      </c>
      <c r="D76" s="70" t="n">
        <f aca="false">-Assumptions!$H$83</f>
        <v>-280</v>
      </c>
      <c r="E76" s="70" t="n">
        <f aca="false">-Assumptions!$H$83</f>
        <v>-280</v>
      </c>
      <c r="F76" s="70" t="n">
        <f aca="false">-Assumptions!$H$83</f>
        <v>-280</v>
      </c>
      <c r="G76" s="70" t="n">
        <f aca="false">-Assumptions!$H$83</f>
        <v>-280</v>
      </c>
      <c r="H76" s="70" t="n">
        <f aca="false">-Assumptions!$H$83</f>
        <v>-280</v>
      </c>
      <c r="I76" s="70" t="n">
        <f aca="false">-Assumptions!$H$83</f>
        <v>-280</v>
      </c>
      <c r="J76" s="70" t="n">
        <f aca="false">-Assumptions!$H$83</f>
        <v>-280</v>
      </c>
      <c r="K76" s="70" t="n">
        <f aca="false">-Assumptions!$H$83</f>
        <v>-280</v>
      </c>
      <c r="L76" s="70" t="n">
        <f aca="false">-Assumptions!$H$83</f>
        <v>-280</v>
      </c>
      <c r="M76" s="70" t="n">
        <f aca="false">-Assumptions!$H$83</f>
        <v>-280</v>
      </c>
      <c r="N76" s="70" t="n">
        <f aca="false">-Assumptions!$H$83</f>
        <v>-280</v>
      </c>
      <c r="O76" s="70" t="n">
        <f aca="false">-Assumptions!$H$83</f>
        <v>-280</v>
      </c>
      <c r="P76" s="70" t="n">
        <f aca="false">-Assumptions!$H$83</f>
        <v>-280</v>
      </c>
      <c r="Q76" s="70" t="n">
        <f aca="false">-Assumptions!$H$83</f>
        <v>-280</v>
      </c>
      <c r="R76" s="70" t="n">
        <f aca="false">-Assumptions!$H$83</f>
        <v>-280</v>
      </c>
      <c r="S76" s="70" t="n">
        <f aca="false">-Assumptions!$H$83</f>
        <v>-280</v>
      </c>
      <c r="T76" s="70" t="n">
        <f aca="false">-Assumptions!$H$83</f>
        <v>-280</v>
      </c>
      <c r="U76" s="70" t="n">
        <f aca="false">-Assumptions!$H$83</f>
        <v>-280</v>
      </c>
      <c r="V76" s="70" t="n">
        <f aca="false">-Assumptions!$H$83</f>
        <v>-280</v>
      </c>
      <c r="W76" s="70" t="n">
        <f aca="false">-Assumptions!$H$83</f>
        <v>-280</v>
      </c>
      <c r="X76" s="70" t="n">
        <f aca="false">-Assumptions!$H$83</f>
        <v>-280</v>
      </c>
      <c r="Y76" s="70" t="n">
        <f aca="false">-Assumptions!$H$83</f>
        <v>-280</v>
      </c>
      <c r="Z76" s="70" t="n">
        <f aca="false">-Assumptions!$H$83</f>
        <v>-280</v>
      </c>
      <c r="AA76" s="70" t="n">
        <f aca="false">-Assumptions!$H$83</f>
        <v>-280</v>
      </c>
      <c r="AB76" s="70" t="n">
        <f aca="false">-Assumptions!$H$83</f>
        <v>-280</v>
      </c>
      <c r="AC76" s="70" t="n">
        <f aca="false">-Assumptions!$H$83</f>
        <v>-280</v>
      </c>
      <c r="AD76" s="70" t="n">
        <f aca="false">-Assumptions!$H$83</f>
        <v>-280</v>
      </c>
      <c r="AE76" s="70" t="n">
        <f aca="false">-Assumptions!$H$83</f>
        <v>-280</v>
      </c>
      <c r="AF76" s="70" t="n">
        <f aca="false">-Assumptions!$H$83</f>
        <v>-280</v>
      </c>
      <c r="AG76" s="70" t="n">
        <f aca="false">-Assumptions!$H$83</f>
        <v>-280</v>
      </c>
      <c r="AH76" s="70" t="n">
        <f aca="false">-Assumptions!$H$83</f>
        <v>-280</v>
      </c>
      <c r="AI76" s="70" t="n">
        <f aca="false">-Assumptions!$H$83</f>
        <v>-280</v>
      </c>
      <c r="AJ76" s="70" t="n">
        <f aca="false">-Assumptions!$H$83</f>
        <v>-280</v>
      </c>
      <c r="AK76" s="70" t="n">
        <f aca="false">-Assumptions!$H$83</f>
        <v>-280</v>
      </c>
      <c r="AL76" s="70" t="n">
        <f aca="false">-Assumptions!$H$83</f>
        <v>-280</v>
      </c>
      <c r="AM76" s="70" t="n">
        <f aca="false">SUM(C76:AL76)</f>
        <v>-10080</v>
      </c>
    </row>
    <row r="77" customFormat="false" ht="15" hidden="false" customHeight="false" outlineLevel="0" collapsed="false">
      <c r="A77" s="10" t="s">
        <v>812</v>
      </c>
      <c r="B77" s="9" t="s">
        <v>97</v>
      </c>
      <c r="C77" s="70" t="n">
        <f aca="false">-MAX(IF(C8=0,Assumptions!$H$84,IF(C$5&lt;=12,Assumptions!$H$85,IF(C$5&lt;=24,Assumptions!$H$86,Assumptions!$H$87))))</f>
        <v>-6000</v>
      </c>
      <c r="D77" s="70" t="n">
        <f aca="false">-MAX(IF(D8=0,Assumptions!$H$84,IF(D$5&lt;=12,Assumptions!$H$85,IF(D$5&lt;=24,Assumptions!$H$86,Assumptions!$H$87))),C72*Assumptions!$H$88)</f>
        <v>-16000</v>
      </c>
      <c r="E77" s="70" t="n">
        <f aca="false">-MAX(IF(E8=0,Assumptions!$H$84,IF(E$5&lt;=12,Assumptions!$H$85,IF(E$5&lt;=24,Assumptions!$H$86,Assumptions!$H$87))),D72*Assumptions!$H$88)</f>
        <v>-16000</v>
      </c>
      <c r="F77" s="70" t="n">
        <f aca="false">-MAX(IF(F8=0,Assumptions!$H$84,IF(F$5&lt;=12,Assumptions!$H$85,IF(F$5&lt;=24,Assumptions!$H$86,Assumptions!$H$87))),E72*Assumptions!$H$88)</f>
        <v>-16000</v>
      </c>
      <c r="G77" s="70" t="n">
        <f aca="false">-MAX(IF(G8=0,Assumptions!$H$84,IF(G$5&lt;=12,Assumptions!$H$85,IF(G$5&lt;=24,Assumptions!$H$86,Assumptions!$H$87))),F72*Assumptions!$H$88)</f>
        <v>-16000</v>
      </c>
      <c r="H77" s="70" t="n">
        <f aca="false">-MAX(IF(H8=0,Assumptions!$H$84,IF(H$5&lt;=12,Assumptions!$H$85,IF(H$5&lt;=24,Assumptions!$H$86,Assumptions!$H$87))),G72*Assumptions!$H$88)</f>
        <v>-16000</v>
      </c>
      <c r="I77" s="70" t="n">
        <f aca="false">-MAX(IF(I8=0,Assumptions!$H$84,IF(I$5&lt;=12,Assumptions!$H$85,IF(I$5&lt;=24,Assumptions!$H$86,Assumptions!$H$87))),H72*Assumptions!$H$88)</f>
        <v>-16000</v>
      </c>
      <c r="J77" s="70" t="n">
        <f aca="false">-MAX(IF(J8=0,Assumptions!$H$84,IF(J$5&lt;=12,Assumptions!$H$85,IF(J$5&lt;=24,Assumptions!$H$86,Assumptions!$H$87))),I72*Assumptions!$H$88)</f>
        <v>-16000</v>
      </c>
      <c r="K77" s="70" t="n">
        <f aca="false">-MAX(IF(K8=0,Assumptions!$H$84,IF(K$5&lt;=12,Assumptions!$H$85,IF(K$5&lt;=24,Assumptions!$H$86,Assumptions!$H$87))),J72*Assumptions!$H$88)</f>
        <v>-16000</v>
      </c>
      <c r="L77" s="70" t="n">
        <f aca="false">-MAX(IF(L8=0,Assumptions!$H$84,IF(L$5&lt;=12,Assumptions!$H$85,IF(L$5&lt;=24,Assumptions!$H$86,Assumptions!$H$87))),K72*Assumptions!$H$88)</f>
        <v>-16000</v>
      </c>
      <c r="M77" s="70" t="n">
        <f aca="false">-MAX(IF(M8=0,Assumptions!$H$84,IF(M$5&lt;=12,Assumptions!$H$85,IF(M$5&lt;=24,Assumptions!$H$86,Assumptions!$H$87))),L72*Assumptions!$H$88)</f>
        <v>-16000</v>
      </c>
      <c r="N77" s="70" t="n">
        <f aca="false">-MAX(IF(N8=0,Assumptions!$H$84,IF(N$5&lt;=12,Assumptions!$H$85,IF(N$5&lt;=24,Assumptions!$H$86,Assumptions!$H$87))),M72*Assumptions!$H$88)</f>
        <v>-16000</v>
      </c>
      <c r="O77" s="70" t="n">
        <f aca="false">-MAX(IF(O8=0,Assumptions!$H$84,IF(O$5&lt;=12,Assumptions!$H$85,IF(O$5&lt;=24,Assumptions!$H$86,Assumptions!$H$87))),N72*Assumptions!$H$88)</f>
        <v>-34000</v>
      </c>
      <c r="P77" s="70" t="n">
        <f aca="false">-MAX(IF(P8=0,Assumptions!$H$84,IF(P$5&lt;=12,Assumptions!$H$85,IF(P$5&lt;=24,Assumptions!$H$86,Assumptions!$H$87))),O72*Assumptions!$H$88)</f>
        <v>-34000</v>
      </c>
      <c r="Q77" s="70" t="n">
        <f aca="false">-MAX(IF(Q8=0,Assumptions!$H$84,IF(Q$5&lt;=12,Assumptions!$H$85,IF(Q$5&lt;=24,Assumptions!$H$86,Assumptions!$H$87))),P72*Assumptions!$H$88)</f>
        <v>-34000</v>
      </c>
      <c r="R77" s="70" t="n">
        <f aca="false">-MAX(IF(R8=0,Assumptions!$H$84,IF(R$5&lt;=12,Assumptions!$H$85,IF(R$5&lt;=24,Assumptions!$H$86,Assumptions!$H$87))),Q72*Assumptions!$H$88)</f>
        <v>-34000</v>
      </c>
      <c r="S77" s="70" t="n">
        <f aca="false">-MAX(IF(S8=0,Assumptions!$H$84,IF(S$5&lt;=12,Assumptions!$H$85,IF(S$5&lt;=24,Assumptions!$H$86,Assumptions!$H$87))),R72*Assumptions!$H$88)</f>
        <v>-34000</v>
      </c>
      <c r="T77" s="70" t="n">
        <f aca="false">-MAX(IF(T8=0,Assumptions!$H$84,IF(T$5&lt;=12,Assumptions!$H$85,IF(T$5&lt;=24,Assumptions!$H$86,Assumptions!$H$87))),S72*Assumptions!$H$88)</f>
        <v>-34000</v>
      </c>
      <c r="U77" s="70" t="n">
        <f aca="false">-MAX(IF(U8=0,Assumptions!$H$84,IF(U$5&lt;=12,Assumptions!$H$85,IF(U$5&lt;=24,Assumptions!$H$86,Assumptions!$H$87))),T72*Assumptions!$H$88)</f>
        <v>-34000</v>
      </c>
      <c r="V77" s="70" t="n">
        <f aca="false">-MAX(IF(V8=0,Assumptions!$H$84,IF(V$5&lt;=12,Assumptions!$H$85,IF(V$5&lt;=24,Assumptions!$H$86,Assumptions!$H$87))),U72*Assumptions!$H$88)</f>
        <v>-34000</v>
      </c>
      <c r="W77" s="70" t="n">
        <f aca="false">-MAX(IF(W8=0,Assumptions!$H$84,IF(W$5&lt;=12,Assumptions!$H$85,IF(W$5&lt;=24,Assumptions!$H$86,Assumptions!$H$87))),V72*Assumptions!$H$88)</f>
        <v>-34000</v>
      </c>
      <c r="X77" s="70" t="n">
        <f aca="false">-MAX(IF(X8=0,Assumptions!$H$84,IF(X$5&lt;=12,Assumptions!$H$85,IF(X$5&lt;=24,Assumptions!$H$86,Assumptions!$H$87))),W72*Assumptions!$H$88)</f>
        <v>-34000</v>
      </c>
      <c r="Y77" s="70" t="n">
        <f aca="false">-MAX(IF(Y8=0,Assumptions!$H$84,IF(Y$5&lt;=12,Assumptions!$H$85,IF(Y$5&lt;=24,Assumptions!$H$86,Assumptions!$H$87))),X72*Assumptions!$H$88)</f>
        <v>-34000</v>
      </c>
      <c r="Z77" s="70" t="n">
        <f aca="false">-MAX(IF(Z8=0,Assumptions!$H$84,IF(Z$5&lt;=12,Assumptions!$H$85,IF(Z$5&lt;=24,Assumptions!$H$86,Assumptions!$H$87))),Y72*Assumptions!$H$88)</f>
        <v>-34000</v>
      </c>
      <c r="AA77" s="70" t="n">
        <f aca="false">-MAX(IF(AA8=0,Assumptions!$H$84,IF(AA$5&lt;=12,Assumptions!$H$85,IF(AA$5&lt;=24,Assumptions!$H$86,Assumptions!$H$87))),Z72*Assumptions!$H$88)</f>
        <v>-55000</v>
      </c>
      <c r="AB77" s="70" t="n">
        <f aca="false">-MAX(IF(AB8=0,Assumptions!$H$84,IF(AB$5&lt;=12,Assumptions!$H$85,IF(AB$5&lt;=24,Assumptions!$H$86,Assumptions!$H$87))),AA72*Assumptions!$H$88)</f>
        <v>-55000</v>
      </c>
      <c r="AC77" s="70" t="n">
        <f aca="false">-MAX(IF(AC8=0,Assumptions!$H$84,IF(AC$5&lt;=12,Assumptions!$H$85,IF(AC$5&lt;=24,Assumptions!$H$86,Assumptions!$H$87))),AB72*Assumptions!$H$88)</f>
        <v>-55000</v>
      </c>
      <c r="AD77" s="70" t="n">
        <f aca="false">-MAX(IF(AD8=0,Assumptions!$H$84,IF(AD$5&lt;=12,Assumptions!$H$85,IF(AD$5&lt;=24,Assumptions!$H$86,Assumptions!$H$87))),AC72*Assumptions!$H$88)</f>
        <v>-55000</v>
      </c>
      <c r="AE77" s="70" t="n">
        <f aca="false">-MAX(IF(AE8=0,Assumptions!$H$84,IF(AE$5&lt;=12,Assumptions!$H$85,IF(AE$5&lt;=24,Assumptions!$H$86,Assumptions!$H$87))),AD72*Assumptions!$H$88)</f>
        <v>-55000</v>
      </c>
      <c r="AF77" s="70" t="n">
        <f aca="false">-MAX(IF(AF8=0,Assumptions!$H$84,IF(AF$5&lt;=12,Assumptions!$H$85,IF(AF$5&lt;=24,Assumptions!$H$86,Assumptions!$H$87))),AE72*Assumptions!$H$88)</f>
        <v>-55000</v>
      </c>
      <c r="AG77" s="70" t="n">
        <f aca="false">-MAX(IF(AG8=0,Assumptions!$H$84,IF(AG$5&lt;=12,Assumptions!$H$85,IF(AG$5&lt;=24,Assumptions!$H$86,Assumptions!$H$87))),AF72*Assumptions!$H$88)</f>
        <v>-55000</v>
      </c>
      <c r="AH77" s="70" t="n">
        <f aca="false">-MAX(IF(AH8=0,Assumptions!$H$84,IF(AH$5&lt;=12,Assumptions!$H$85,IF(AH$5&lt;=24,Assumptions!$H$86,Assumptions!$H$87))),AG72*Assumptions!$H$88)</f>
        <v>-55000</v>
      </c>
      <c r="AI77" s="70" t="n">
        <f aca="false">-MAX(IF(AI8=0,Assumptions!$H$84,IF(AI$5&lt;=12,Assumptions!$H$85,IF(AI$5&lt;=24,Assumptions!$H$86,Assumptions!$H$87))),AH72*Assumptions!$H$88)</f>
        <v>-55000</v>
      </c>
      <c r="AJ77" s="70" t="n">
        <f aca="false">-MAX(IF(AJ8=0,Assumptions!$H$84,IF(AJ$5&lt;=12,Assumptions!$H$85,IF(AJ$5&lt;=24,Assumptions!$H$86,Assumptions!$H$87))),AI72*Assumptions!$H$88)</f>
        <v>-55000</v>
      </c>
      <c r="AK77" s="70" t="n">
        <f aca="false">-MAX(IF(AK8=0,Assumptions!$H$84,IF(AK$5&lt;=12,Assumptions!$H$85,IF(AK$5&lt;=24,Assumptions!$H$86,Assumptions!$H$87))),AJ72*Assumptions!$H$88)</f>
        <v>-55000</v>
      </c>
      <c r="AL77" s="70" t="n">
        <f aca="false">-MAX(IF(AL8=0,Assumptions!$H$84,IF(AL$5&lt;=12,Assumptions!$H$85,IF(AL$5&lt;=24,Assumptions!$H$86,Assumptions!$H$87))),AK72*Assumptions!$H$88)</f>
        <v>-55000</v>
      </c>
      <c r="AM77" s="70" t="n">
        <f aca="false">SUM(C77:AL77)</f>
        <v>-1250000</v>
      </c>
    </row>
    <row r="78" customFormat="false" ht="15" hidden="false" customHeight="false" outlineLevel="0" collapsed="false">
      <c r="A78" s="10" t="s">
        <v>813</v>
      </c>
      <c r="B78" s="9" t="s">
        <v>97</v>
      </c>
      <c r="C78" s="70" t="n">
        <f aca="false">-IF(C$5&gt;=Assumptions!$H$7-2,Assumptions!$H$91,0)</f>
        <v>-0</v>
      </c>
      <c r="D78" s="70" t="n">
        <f aca="false">-IF(D$5&gt;=Assumptions!$H$7-2,Assumptions!$H$91,0)</f>
        <v>-0</v>
      </c>
      <c r="E78" s="70" t="n">
        <f aca="false">-IF(E$5&gt;=Assumptions!$H$7-2,Assumptions!$H$91,0)</f>
        <v>-0</v>
      </c>
      <c r="F78" s="70" t="n">
        <f aca="false">-IF(F$5&gt;=Assumptions!$H$7-2,Assumptions!$H$91,0)</f>
        <v>-0</v>
      </c>
      <c r="G78" s="70" t="n">
        <f aca="false">-IF(G$5&gt;=Assumptions!$H$7-2,Assumptions!$H$91,0)</f>
        <v>-9000</v>
      </c>
      <c r="H78" s="70" t="n">
        <f aca="false">-IF(H$5&gt;=Assumptions!$H$7-2,Assumptions!$H$91,0)</f>
        <v>-9000</v>
      </c>
      <c r="I78" s="70" t="n">
        <f aca="false">-IF(I$5&gt;=Assumptions!$H$7-2,Assumptions!$H$91,0)</f>
        <v>-9000</v>
      </c>
      <c r="J78" s="70" t="n">
        <f aca="false">-IF(J$5&gt;=Assumptions!$H$7-2,Assumptions!$H$91,0)</f>
        <v>-9000</v>
      </c>
      <c r="K78" s="70" t="n">
        <f aca="false">-IF(K$5&gt;=Assumptions!$H$7-2,Assumptions!$H$91,0)</f>
        <v>-9000</v>
      </c>
      <c r="L78" s="70" t="n">
        <f aca="false">-IF(L$5&gt;=Assumptions!$H$7-2,Assumptions!$H$91,0)</f>
        <v>-9000</v>
      </c>
      <c r="M78" s="70" t="n">
        <f aca="false">-IF(M$5&gt;=Assumptions!$H$7-2,Assumptions!$H$91,0)</f>
        <v>-9000</v>
      </c>
      <c r="N78" s="70" t="n">
        <f aca="false">-IF(N$5&gt;=Assumptions!$H$7-2,Assumptions!$H$91,0)</f>
        <v>-9000</v>
      </c>
      <c r="O78" s="70" t="n">
        <f aca="false">-IF(O$5&gt;=Assumptions!$H$7-2,Assumptions!$H$91,0)</f>
        <v>-9000</v>
      </c>
      <c r="P78" s="70" t="n">
        <f aca="false">-IF(P$5&gt;=Assumptions!$H$7-2,Assumptions!$H$91,0)</f>
        <v>-9000</v>
      </c>
      <c r="Q78" s="70" t="n">
        <f aca="false">-IF(Q$5&gt;=Assumptions!$H$7-2,Assumptions!$H$91,0)</f>
        <v>-9000</v>
      </c>
      <c r="R78" s="70" t="n">
        <f aca="false">-IF(R$5&gt;=Assumptions!$H$7-2,Assumptions!$H$91,0)</f>
        <v>-9000</v>
      </c>
      <c r="S78" s="70" t="n">
        <f aca="false">-IF(S$5&gt;=Assumptions!$H$7-2,Assumptions!$H$91,0)</f>
        <v>-9000</v>
      </c>
      <c r="T78" s="70" t="n">
        <f aca="false">-IF(T$5&gt;=Assumptions!$H$7-2,Assumptions!$H$91,0)</f>
        <v>-9000</v>
      </c>
      <c r="U78" s="70" t="n">
        <f aca="false">-IF(U$5&gt;=Assumptions!$H$7-2,Assumptions!$H$91,0)</f>
        <v>-9000</v>
      </c>
      <c r="V78" s="70" t="n">
        <f aca="false">-IF(V$5&gt;=Assumptions!$H$7-2,Assumptions!$H$91,0)</f>
        <v>-9000</v>
      </c>
      <c r="W78" s="70" t="n">
        <f aca="false">-IF(W$5&gt;=Assumptions!$H$7-2,Assumptions!$H$91,0)</f>
        <v>-9000</v>
      </c>
      <c r="X78" s="70" t="n">
        <f aca="false">-IF(X$5&gt;=Assumptions!$H$7-2,Assumptions!$H$91,0)</f>
        <v>-9000</v>
      </c>
      <c r="Y78" s="70" t="n">
        <f aca="false">-IF(Y$5&gt;=Assumptions!$H$7-2,Assumptions!$H$91,0)</f>
        <v>-9000</v>
      </c>
      <c r="Z78" s="70" t="n">
        <f aca="false">-IF(Z$5&gt;=Assumptions!$H$7-2,Assumptions!$H$91,0)</f>
        <v>-9000</v>
      </c>
      <c r="AA78" s="70" t="n">
        <f aca="false">-IF(AA$5&gt;=Assumptions!$H$7-2,Assumptions!$H$91,0)</f>
        <v>-9000</v>
      </c>
      <c r="AB78" s="70" t="n">
        <f aca="false">-IF(AB$5&gt;=Assumptions!$H$7-2,Assumptions!$H$91,0)</f>
        <v>-9000</v>
      </c>
      <c r="AC78" s="70" t="n">
        <f aca="false">-IF(AC$5&gt;=Assumptions!$H$7-2,Assumptions!$H$91,0)</f>
        <v>-9000</v>
      </c>
      <c r="AD78" s="70" t="n">
        <f aca="false">-IF(AD$5&gt;=Assumptions!$H$7-2,Assumptions!$H$91,0)</f>
        <v>-9000</v>
      </c>
      <c r="AE78" s="70" t="n">
        <f aca="false">-IF(AE$5&gt;=Assumptions!$H$7-2,Assumptions!$H$91,0)</f>
        <v>-9000</v>
      </c>
      <c r="AF78" s="70" t="n">
        <f aca="false">-IF(AF$5&gt;=Assumptions!$H$7-2,Assumptions!$H$91,0)</f>
        <v>-9000</v>
      </c>
      <c r="AG78" s="70" t="n">
        <f aca="false">-IF(AG$5&gt;=Assumptions!$H$7-2,Assumptions!$H$91,0)</f>
        <v>-9000</v>
      </c>
      <c r="AH78" s="70" t="n">
        <f aca="false">-IF(AH$5&gt;=Assumptions!$H$7-2,Assumptions!$H$91,0)</f>
        <v>-9000</v>
      </c>
      <c r="AI78" s="70" t="n">
        <f aca="false">-IF(AI$5&gt;=Assumptions!$H$7-2,Assumptions!$H$91,0)</f>
        <v>-9000</v>
      </c>
      <c r="AJ78" s="70" t="n">
        <f aca="false">-IF(AJ$5&gt;=Assumptions!$H$7-2,Assumptions!$H$91,0)</f>
        <v>-9000</v>
      </c>
      <c r="AK78" s="70" t="n">
        <f aca="false">-IF(AK$5&gt;=Assumptions!$H$7-2,Assumptions!$H$91,0)</f>
        <v>-9000</v>
      </c>
      <c r="AL78" s="70" t="n">
        <f aca="false">-IF(AL$5&gt;=Assumptions!$H$7-2,Assumptions!$H$91,0)</f>
        <v>-9000</v>
      </c>
      <c r="AM78" s="70" t="n">
        <f aca="false">SUM(C78:AL78)</f>
        <v>-288000</v>
      </c>
    </row>
    <row r="79" customFormat="false" ht="15" hidden="false" customHeight="false" outlineLevel="0" collapsed="false">
      <c r="A79" s="10" t="s">
        <v>814</v>
      </c>
      <c r="B79" s="9" t="s">
        <v>97</v>
      </c>
      <c r="C79" s="70" t="n">
        <f aca="false">-Assumptions!$H$92</f>
        <v>-1200</v>
      </c>
      <c r="D79" s="70" t="n">
        <f aca="false">-MAX(Assumptions!$H$92,C72*Assumptions!$H$90)</f>
        <v>-1200</v>
      </c>
      <c r="E79" s="70" t="n">
        <f aca="false">-MAX(Assumptions!$H$92,D72*Assumptions!$H$90)</f>
        <v>-1200</v>
      </c>
      <c r="F79" s="70" t="n">
        <f aca="false">-MAX(Assumptions!$H$92,E72*Assumptions!$H$90)</f>
        <v>-1200</v>
      </c>
      <c r="G79" s="70" t="n">
        <f aca="false">-MAX(Assumptions!$H$92,F72*Assumptions!$H$90)</f>
        <v>-1200</v>
      </c>
      <c r="H79" s="70" t="n">
        <f aca="false">-MAX(Assumptions!$H$92,G72*Assumptions!$H$90)</f>
        <v>-1200</v>
      </c>
      <c r="I79" s="70" t="n">
        <f aca="false">-MAX(Assumptions!$H$92,H72*Assumptions!$H$90)</f>
        <v>-1200</v>
      </c>
      <c r="J79" s="70" t="n">
        <f aca="false">-MAX(Assumptions!$H$92,I72*Assumptions!$H$90)</f>
        <v>-1200</v>
      </c>
      <c r="K79" s="70" t="n">
        <f aca="false">-MAX(Assumptions!$H$92,J72*Assumptions!$H$90)</f>
        <v>-1200</v>
      </c>
      <c r="L79" s="70" t="n">
        <f aca="false">-MAX(Assumptions!$H$92,K72*Assumptions!$H$90)</f>
        <v>-1200</v>
      </c>
      <c r="M79" s="70" t="n">
        <f aca="false">-MAX(Assumptions!$H$92,L72*Assumptions!$H$90)</f>
        <v>-1200</v>
      </c>
      <c r="N79" s="70" t="n">
        <f aca="false">-MAX(Assumptions!$H$92,M72*Assumptions!$H$90)</f>
        <v>-1200</v>
      </c>
      <c r="O79" s="70" t="n">
        <f aca="false">-MAX(Assumptions!$H$92,N72*Assumptions!$H$90)</f>
        <v>-1200.47971130937</v>
      </c>
      <c r="P79" s="70" t="n">
        <f aca="false">-MAX(Assumptions!$H$92,O72*Assumptions!$H$90)</f>
        <v>-1268.45085311035</v>
      </c>
      <c r="Q79" s="70" t="n">
        <f aca="false">-MAX(Assumptions!$H$92,P72*Assumptions!$H$90)</f>
        <v>-1337.54057650349</v>
      </c>
      <c r="R79" s="70" t="n">
        <f aca="false">-MAX(Assumptions!$H$92,Q72*Assumptions!$H$90)</f>
        <v>-1408.32120610038</v>
      </c>
      <c r="S79" s="70" t="n">
        <f aca="false">-MAX(Assumptions!$H$92,R72*Assumptions!$H$90)</f>
        <v>-1481.34270855522</v>
      </c>
      <c r="T79" s="70" t="n">
        <f aca="false">-MAX(Assumptions!$H$92,S72*Assumptions!$H$90)</f>
        <v>-1557.1408039686</v>
      </c>
      <c r="U79" s="70" t="n">
        <f aca="false">-MAX(Assumptions!$H$92,T72*Assumptions!$H$90)</f>
        <v>-1636.24735123871</v>
      </c>
      <c r="V79" s="70" t="n">
        <f aca="false">-MAX(Assumptions!$H$92,U72*Assumptions!$H$90)</f>
        <v>-1719.19997080618</v>
      </c>
      <c r="W79" s="70" t="n">
        <f aca="false">-MAX(Assumptions!$H$92,V72*Assumptions!$H$90)</f>
        <v>-1806.55087044774</v>
      </c>
      <c r="X79" s="70" t="n">
        <f aca="false">-MAX(Assumptions!$H$92,W72*Assumptions!$H$90)</f>
        <v>-1898.87506236547</v>
      </c>
      <c r="Y79" s="70" t="n">
        <f aca="false">-MAX(Assumptions!$H$92,X72*Assumptions!$H$90)</f>
        <v>-1996.77815785641</v>
      </c>
      <c r="Z79" s="70" t="n">
        <f aca="false">-MAX(Assumptions!$H$92,Y72*Assumptions!$H$90)</f>
        <v>-2100.90390448687</v>
      </c>
      <c r="AA79" s="70" t="n">
        <f aca="false">-MAX(Assumptions!$H$92,Z72*Assumptions!$H$90)</f>
        <v>-2211.94161195199</v>
      </c>
      <c r="AB79" s="70" t="n">
        <f aca="false">-MAX(Assumptions!$H$92,AA72*Assumptions!$H$90)</f>
        <v>-2330.63359773849</v>
      </c>
      <c r="AC79" s="70" t="n">
        <f aca="false">-MAX(Assumptions!$H$92,AB72*Assumptions!$H$90)</f>
        <v>-2454.24474913299</v>
      </c>
      <c r="AD79" s="70" t="n">
        <f aca="false">-MAX(Assumptions!$H$92,AC72*Assumptions!$H$90)</f>
        <v>-2582.15479292203</v>
      </c>
      <c r="AE79" s="70" t="n">
        <f aca="false">-MAX(Assumptions!$H$92,AD72*Assumptions!$H$90)</f>
        <v>-2715.90357750044</v>
      </c>
      <c r="AF79" s="70" t="n">
        <f aca="false">-MAX(Assumptions!$H$92,AE72*Assumptions!$H$90)</f>
        <v>-2856.29547761691</v>
      </c>
      <c r="AG79" s="70" t="n">
        <f aca="false">-MAX(Assumptions!$H$92,AF72*Assumptions!$H$90)</f>
        <v>-3004.16338301567</v>
      </c>
      <c r="AH79" s="70" t="n">
        <f aca="false">-MAX(Assumptions!$H$92,AG72*Assumptions!$H$90)</f>
        <v>-3160.3899876282</v>
      </c>
      <c r="AI79" s="70" t="n">
        <f aca="false">-MAX(Assumptions!$H$92,AH72*Assumptions!$H$90)</f>
        <v>-3325.91856011731</v>
      </c>
      <c r="AJ79" s="70" t="n">
        <f aca="false">-MAX(Assumptions!$H$92,AI72*Assumptions!$H$90)</f>
        <v>-3501.7599645872</v>
      </c>
      <c r="AK79" s="70" t="n">
        <f aca="false">-MAX(Assumptions!$H$92,AJ72*Assumptions!$H$90)</f>
        <v>-3688.99975908715</v>
      </c>
      <c r="AL79" s="70" t="n">
        <f aca="false">-MAX(Assumptions!$H$92,AK72*Assumptions!$H$90)</f>
        <v>-3888.80570863635</v>
      </c>
      <c r="AM79" s="70" t="n">
        <f aca="false">SUM(C79:AL79)</f>
        <v>-69533.0423466835</v>
      </c>
    </row>
    <row r="80" customFormat="false" ht="15" hidden="false" customHeight="false" outlineLevel="0" collapsed="false">
      <c r="A80" s="10" t="s">
        <v>815</v>
      </c>
      <c r="B80" s="9" t="s">
        <v>97</v>
      </c>
      <c r="C80" s="70" t="n">
        <f aca="false">-IF(C$5&lt;=3,Assumptions!$H$93,Assumptions!$H$94)</f>
        <v>-15000</v>
      </c>
      <c r="D80" s="70" t="n">
        <f aca="false">-IF(D$5&lt;=3,Assumptions!$H$93,Assumptions!$H$94)</f>
        <v>-15000</v>
      </c>
      <c r="E80" s="70" t="n">
        <f aca="false">-IF(E$5&lt;=3,Assumptions!$H$93,Assumptions!$H$94)</f>
        <v>-15000</v>
      </c>
      <c r="F80" s="70" t="n">
        <f aca="false">-IF(F$5&lt;=3,Assumptions!$H$93,Assumptions!$H$94)</f>
        <v>-4500</v>
      </c>
      <c r="G80" s="70" t="n">
        <f aca="false">-IF(G$5&lt;=3,Assumptions!$H$93,Assumptions!$H$94)</f>
        <v>-4500</v>
      </c>
      <c r="H80" s="70" t="n">
        <f aca="false">-IF(H$5&lt;=3,Assumptions!$H$93,Assumptions!$H$94)</f>
        <v>-4500</v>
      </c>
      <c r="I80" s="70" t="n">
        <f aca="false">-IF(I$5&lt;=3,Assumptions!$H$93,Assumptions!$H$94)</f>
        <v>-4500</v>
      </c>
      <c r="J80" s="70" t="n">
        <f aca="false">-IF(J$5&lt;=3,Assumptions!$H$93,Assumptions!$H$94)</f>
        <v>-4500</v>
      </c>
      <c r="K80" s="70" t="n">
        <f aca="false">-IF(K$5&lt;=3,Assumptions!$H$93,Assumptions!$H$94)</f>
        <v>-4500</v>
      </c>
      <c r="L80" s="70" t="n">
        <f aca="false">-IF(L$5&lt;=3,Assumptions!$H$93,Assumptions!$H$94)</f>
        <v>-4500</v>
      </c>
      <c r="M80" s="70" t="n">
        <f aca="false">-IF(M$5&lt;=3,Assumptions!$H$93,Assumptions!$H$94)</f>
        <v>-4500</v>
      </c>
      <c r="N80" s="70" t="n">
        <f aca="false">-IF(N$5&lt;=3,Assumptions!$H$93,Assumptions!$H$94)</f>
        <v>-4500</v>
      </c>
      <c r="O80" s="70" t="n">
        <f aca="false">-IF(O$5&lt;=3,Assumptions!$H$93,Assumptions!$H$94)</f>
        <v>-4500</v>
      </c>
      <c r="P80" s="70" t="n">
        <f aca="false">-IF(P$5&lt;=3,Assumptions!$H$93,Assumptions!$H$94)</f>
        <v>-4500</v>
      </c>
      <c r="Q80" s="70" t="n">
        <f aca="false">-IF(Q$5&lt;=3,Assumptions!$H$93,Assumptions!$H$94)</f>
        <v>-4500</v>
      </c>
      <c r="R80" s="70" t="n">
        <f aca="false">-IF(R$5&lt;=3,Assumptions!$H$93,Assumptions!$H$94)</f>
        <v>-4500</v>
      </c>
      <c r="S80" s="70" t="n">
        <f aca="false">-IF(S$5&lt;=3,Assumptions!$H$93,Assumptions!$H$94)</f>
        <v>-4500</v>
      </c>
      <c r="T80" s="70" t="n">
        <f aca="false">-IF(T$5&lt;=3,Assumptions!$H$93,Assumptions!$H$94)</f>
        <v>-4500</v>
      </c>
      <c r="U80" s="70" t="n">
        <f aca="false">-IF(U$5&lt;=3,Assumptions!$H$93,Assumptions!$H$94)</f>
        <v>-4500</v>
      </c>
      <c r="V80" s="70" t="n">
        <f aca="false">-IF(V$5&lt;=3,Assumptions!$H$93,Assumptions!$H$94)</f>
        <v>-4500</v>
      </c>
      <c r="W80" s="70" t="n">
        <f aca="false">-IF(W$5&lt;=3,Assumptions!$H$93,Assumptions!$H$94)</f>
        <v>-4500</v>
      </c>
      <c r="X80" s="70" t="n">
        <f aca="false">-IF(X$5&lt;=3,Assumptions!$H$93,Assumptions!$H$94)</f>
        <v>-4500</v>
      </c>
      <c r="Y80" s="70" t="n">
        <f aca="false">-IF(Y$5&lt;=3,Assumptions!$H$93,Assumptions!$H$94)</f>
        <v>-4500</v>
      </c>
      <c r="Z80" s="70" t="n">
        <f aca="false">-IF(Z$5&lt;=3,Assumptions!$H$93,Assumptions!$H$94)</f>
        <v>-4500</v>
      </c>
      <c r="AA80" s="70" t="n">
        <f aca="false">-IF(AA$5&lt;=3,Assumptions!$H$93,Assumptions!$H$94)</f>
        <v>-4500</v>
      </c>
      <c r="AB80" s="70" t="n">
        <f aca="false">-IF(AB$5&lt;=3,Assumptions!$H$93,Assumptions!$H$94)</f>
        <v>-4500</v>
      </c>
      <c r="AC80" s="70" t="n">
        <f aca="false">-IF(AC$5&lt;=3,Assumptions!$H$93,Assumptions!$H$94)</f>
        <v>-4500</v>
      </c>
      <c r="AD80" s="70" t="n">
        <f aca="false">-IF(AD$5&lt;=3,Assumptions!$H$93,Assumptions!$H$94)</f>
        <v>-4500</v>
      </c>
      <c r="AE80" s="70" t="n">
        <f aca="false">-IF(AE$5&lt;=3,Assumptions!$H$93,Assumptions!$H$94)</f>
        <v>-4500</v>
      </c>
      <c r="AF80" s="70" t="n">
        <f aca="false">-IF(AF$5&lt;=3,Assumptions!$H$93,Assumptions!$H$94)</f>
        <v>-4500</v>
      </c>
      <c r="AG80" s="70" t="n">
        <f aca="false">-IF(AG$5&lt;=3,Assumptions!$H$93,Assumptions!$H$94)</f>
        <v>-4500</v>
      </c>
      <c r="AH80" s="70" t="n">
        <f aca="false">-IF(AH$5&lt;=3,Assumptions!$H$93,Assumptions!$H$94)</f>
        <v>-4500</v>
      </c>
      <c r="AI80" s="70" t="n">
        <f aca="false">-IF(AI$5&lt;=3,Assumptions!$H$93,Assumptions!$H$94)</f>
        <v>-4500</v>
      </c>
      <c r="AJ80" s="70" t="n">
        <f aca="false">-IF(AJ$5&lt;=3,Assumptions!$H$93,Assumptions!$H$94)</f>
        <v>-4500</v>
      </c>
      <c r="AK80" s="70" t="n">
        <f aca="false">-IF(AK$5&lt;=3,Assumptions!$H$93,Assumptions!$H$94)</f>
        <v>-4500</v>
      </c>
      <c r="AL80" s="70" t="n">
        <f aca="false">-IF(AL$5&lt;=3,Assumptions!$H$93,Assumptions!$H$94)</f>
        <v>-4500</v>
      </c>
      <c r="AM80" s="70" t="n">
        <f aca="false">SUM(C80:AL80)</f>
        <v>-193500</v>
      </c>
    </row>
    <row r="81" customFormat="false" ht="15" hidden="false" customHeight="false" outlineLevel="0" collapsed="false">
      <c r="A81" s="10" t="s">
        <v>816</v>
      </c>
      <c r="B81" s="9" t="s">
        <v>97</v>
      </c>
      <c r="C81" s="70" t="n">
        <f aca="false">-C8*Assumptions!$H$95</f>
        <v>-0</v>
      </c>
      <c r="D81" s="70" t="n">
        <f aca="false">-D8*Assumptions!$H$95</f>
        <v>-2500</v>
      </c>
      <c r="E81" s="70" t="n">
        <f aca="false">-E8*Assumptions!$H$95</f>
        <v>-2500</v>
      </c>
      <c r="F81" s="70" t="n">
        <f aca="false">-F8*Assumptions!$H$95</f>
        <v>-2500</v>
      </c>
      <c r="G81" s="70" t="n">
        <f aca="false">-G8*Assumptions!$H$95</f>
        <v>-2500</v>
      </c>
      <c r="H81" s="70" t="n">
        <f aca="false">-H8*Assumptions!$H$95</f>
        <v>-2500</v>
      </c>
      <c r="I81" s="70" t="n">
        <f aca="false">-I8*Assumptions!$H$95</f>
        <v>-2500</v>
      </c>
      <c r="J81" s="70" t="n">
        <f aca="false">-J8*Assumptions!$H$95</f>
        <v>-2500</v>
      </c>
      <c r="K81" s="70" t="n">
        <f aca="false">-K8*Assumptions!$H$95</f>
        <v>-2500</v>
      </c>
      <c r="L81" s="70" t="n">
        <f aca="false">-L8*Assumptions!$H$95</f>
        <v>-2500</v>
      </c>
      <c r="M81" s="70" t="n">
        <f aca="false">-M8*Assumptions!$H$95</f>
        <v>-2500</v>
      </c>
      <c r="N81" s="70" t="n">
        <f aca="false">-N8*Assumptions!$H$95</f>
        <v>-2500</v>
      </c>
      <c r="O81" s="70" t="n">
        <f aca="false">-O8*Assumptions!$H$95</f>
        <v>-2500</v>
      </c>
      <c r="P81" s="70" t="n">
        <f aca="false">-P8*Assumptions!$H$95</f>
        <v>-2500</v>
      </c>
      <c r="Q81" s="70" t="n">
        <f aca="false">-Q8*Assumptions!$H$95</f>
        <v>-2500</v>
      </c>
      <c r="R81" s="70" t="n">
        <f aca="false">-R8*Assumptions!$H$95</f>
        <v>-2500</v>
      </c>
      <c r="S81" s="70" t="n">
        <f aca="false">-S8*Assumptions!$H$95</f>
        <v>-2500</v>
      </c>
      <c r="T81" s="70" t="n">
        <f aca="false">-T8*Assumptions!$H$95</f>
        <v>-2500</v>
      </c>
      <c r="U81" s="70" t="n">
        <f aca="false">-U8*Assumptions!$H$95</f>
        <v>-2500</v>
      </c>
      <c r="V81" s="70" t="n">
        <f aca="false">-V8*Assumptions!$H$95</f>
        <v>-2500</v>
      </c>
      <c r="W81" s="70" t="n">
        <f aca="false">-W8*Assumptions!$H$95</f>
        <v>-2500</v>
      </c>
      <c r="X81" s="70" t="n">
        <f aca="false">-X8*Assumptions!$H$95</f>
        <v>-2500</v>
      </c>
      <c r="Y81" s="70" t="n">
        <f aca="false">-Y8*Assumptions!$H$95</f>
        <v>-2500</v>
      </c>
      <c r="Z81" s="70" t="n">
        <f aca="false">-Z8*Assumptions!$H$95</f>
        <v>-2500</v>
      </c>
      <c r="AA81" s="70" t="n">
        <f aca="false">-AA8*Assumptions!$H$95</f>
        <v>-2500</v>
      </c>
      <c r="AB81" s="70" t="n">
        <f aca="false">-AB8*Assumptions!$H$95</f>
        <v>-2500</v>
      </c>
      <c r="AC81" s="70" t="n">
        <f aca="false">-AC8*Assumptions!$H$95</f>
        <v>-2500</v>
      </c>
      <c r="AD81" s="70" t="n">
        <f aca="false">-AD8*Assumptions!$H$95</f>
        <v>-2500</v>
      </c>
      <c r="AE81" s="70" t="n">
        <f aca="false">-AE8*Assumptions!$H$95</f>
        <v>-2500</v>
      </c>
      <c r="AF81" s="70" t="n">
        <f aca="false">-AF8*Assumptions!$H$95</f>
        <v>-2500</v>
      </c>
      <c r="AG81" s="70" t="n">
        <f aca="false">-AG8*Assumptions!$H$95</f>
        <v>-2500</v>
      </c>
      <c r="AH81" s="70" t="n">
        <f aca="false">-AH8*Assumptions!$H$95</f>
        <v>-2500</v>
      </c>
      <c r="AI81" s="70" t="n">
        <f aca="false">-AI8*Assumptions!$H$95</f>
        <v>-2500</v>
      </c>
      <c r="AJ81" s="70" t="n">
        <f aca="false">-AJ8*Assumptions!$H$95</f>
        <v>-2500</v>
      </c>
      <c r="AK81" s="70" t="n">
        <f aca="false">-AK8*Assumptions!$H$95</f>
        <v>-2500</v>
      </c>
      <c r="AL81" s="70" t="n">
        <f aca="false">-AL8*Assumptions!$H$95</f>
        <v>-2500</v>
      </c>
      <c r="AM81" s="70" t="n">
        <f aca="false">SUM(C81:AL81)</f>
        <v>-87500</v>
      </c>
    </row>
    <row r="82" customFormat="false" ht="15" hidden="false" customHeight="false" outlineLevel="0" collapsed="false">
      <c r="A82" s="10" t="s">
        <v>817</v>
      </c>
      <c r="B82" s="9" t="s">
        <v>97</v>
      </c>
      <c r="C82" s="70" t="n">
        <f aca="false">-Assumptions!$H$96</f>
        <v>-6000</v>
      </c>
      <c r="D82" s="70" t="n">
        <f aca="false">-MAX(Assumptions!$H$96,C72*Assumptions!$H$89)</f>
        <v>-6000</v>
      </c>
      <c r="E82" s="70" t="n">
        <f aca="false">-MAX(Assumptions!$H$96,D72*Assumptions!$H$89)</f>
        <v>-6000</v>
      </c>
      <c r="F82" s="70" t="n">
        <f aca="false">-MAX(Assumptions!$H$96,E72*Assumptions!$H$89)</f>
        <v>-6000</v>
      </c>
      <c r="G82" s="70" t="n">
        <f aca="false">-MAX(Assumptions!$H$96,F72*Assumptions!$H$89)</f>
        <v>-6000</v>
      </c>
      <c r="H82" s="70" t="n">
        <f aca="false">-MAX(Assumptions!$H$96,G72*Assumptions!$H$89)</f>
        <v>-6000</v>
      </c>
      <c r="I82" s="70" t="n">
        <f aca="false">-MAX(Assumptions!$H$96,H72*Assumptions!$H$89)</f>
        <v>-6000</v>
      </c>
      <c r="J82" s="70" t="n">
        <f aca="false">-MAX(Assumptions!$H$96,I72*Assumptions!$H$89)</f>
        <v>-6000</v>
      </c>
      <c r="K82" s="70" t="n">
        <f aca="false">-MAX(Assumptions!$H$96,J72*Assumptions!$H$89)</f>
        <v>-6000</v>
      </c>
      <c r="L82" s="70" t="n">
        <f aca="false">-MAX(Assumptions!$H$96,K72*Assumptions!$H$89)</f>
        <v>-6000</v>
      </c>
      <c r="M82" s="70" t="n">
        <f aca="false">-MAX(Assumptions!$H$96,L72*Assumptions!$H$89)</f>
        <v>-6000</v>
      </c>
      <c r="N82" s="70" t="n">
        <f aca="false">-MAX(Assumptions!$H$96,M72*Assumptions!$H$89)</f>
        <v>-6000</v>
      </c>
      <c r="O82" s="70" t="n">
        <f aca="false">-MAX(Assumptions!$H$96,N72*Assumptions!$H$89)</f>
        <v>-6000</v>
      </c>
      <c r="P82" s="70" t="n">
        <f aca="false">-MAX(Assumptions!$H$96,O72*Assumptions!$H$89)</f>
        <v>-6000</v>
      </c>
      <c r="Q82" s="70" t="n">
        <f aca="false">-MAX(Assumptions!$H$96,P72*Assumptions!$H$89)</f>
        <v>-6000</v>
      </c>
      <c r="R82" s="70" t="n">
        <f aca="false">-MAX(Assumptions!$H$96,Q72*Assumptions!$H$89)</f>
        <v>-6000</v>
      </c>
      <c r="S82" s="70" t="n">
        <f aca="false">-MAX(Assumptions!$H$96,R72*Assumptions!$H$89)</f>
        <v>-6000</v>
      </c>
      <c r="T82" s="70" t="n">
        <f aca="false">-MAX(Assumptions!$H$96,S72*Assumptions!$H$89)</f>
        <v>-6000</v>
      </c>
      <c r="U82" s="70" t="n">
        <f aca="false">-MAX(Assumptions!$H$96,T72*Assumptions!$H$89)</f>
        <v>-6000</v>
      </c>
      <c r="V82" s="70" t="n">
        <f aca="false">-MAX(Assumptions!$H$96,U72*Assumptions!$H$89)</f>
        <v>-6000</v>
      </c>
      <c r="W82" s="70" t="n">
        <f aca="false">-MAX(Assumptions!$H$96,V72*Assumptions!$H$89)</f>
        <v>-6000</v>
      </c>
      <c r="X82" s="70" t="n">
        <f aca="false">-MAX(Assumptions!$H$96,W72*Assumptions!$H$89)</f>
        <v>-6000</v>
      </c>
      <c r="Y82" s="70" t="n">
        <f aca="false">-MAX(Assumptions!$H$96,X72*Assumptions!$H$89)</f>
        <v>-6239.93174330129</v>
      </c>
      <c r="Z82" s="70" t="n">
        <f aca="false">-MAX(Assumptions!$H$96,Y72*Assumptions!$H$89)</f>
        <v>-6565.32470152147</v>
      </c>
      <c r="AA82" s="70" t="n">
        <f aca="false">-MAX(Assumptions!$H$96,Z72*Assumptions!$H$89)</f>
        <v>-6912.31753734998</v>
      </c>
      <c r="AB82" s="70" t="n">
        <f aca="false">-MAX(Assumptions!$H$96,AA72*Assumptions!$H$89)</f>
        <v>-7283.22999293278</v>
      </c>
      <c r="AC82" s="70" t="n">
        <f aca="false">-MAX(Assumptions!$H$96,AB72*Assumptions!$H$89)</f>
        <v>-7669.51484104058</v>
      </c>
      <c r="AD82" s="70" t="n">
        <f aca="false">-MAX(Assumptions!$H$96,AC72*Assumptions!$H$89)</f>
        <v>-8069.23372788135</v>
      </c>
      <c r="AE82" s="70" t="n">
        <f aca="false">-MAX(Assumptions!$H$96,AD72*Assumptions!$H$89)</f>
        <v>-8487.19867968887</v>
      </c>
      <c r="AF82" s="70" t="n">
        <f aca="false">-MAX(Assumptions!$H$96,AE72*Assumptions!$H$89)</f>
        <v>-8925.92336755285</v>
      </c>
      <c r="AG82" s="70" t="n">
        <f aca="false">-MAX(Assumptions!$H$96,AF72*Assumptions!$H$89)</f>
        <v>-9388.01057192396</v>
      </c>
      <c r="AH82" s="70" t="n">
        <f aca="false">-MAX(Assumptions!$H$96,AG72*Assumptions!$H$89)</f>
        <v>-9876.21871133812</v>
      </c>
      <c r="AI82" s="70" t="n">
        <f aca="false">-MAX(Assumptions!$H$96,AH72*Assumptions!$H$89)</f>
        <v>-10393.4955003666</v>
      </c>
      <c r="AJ82" s="70" t="n">
        <f aca="false">-MAX(Assumptions!$H$96,AI72*Assumptions!$H$89)</f>
        <v>-10942.999889335</v>
      </c>
      <c r="AK82" s="70" t="n">
        <f aca="false">-MAX(Assumptions!$H$96,AJ72*Assumptions!$H$89)</f>
        <v>-11528.1242471473</v>
      </c>
      <c r="AL82" s="70" t="n">
        <f aca="false">-MAX(Assumptions!$H$96,AK72*Assumptions!$H$89)</f>
        <v>-12152.5178394886</v>
      </c>
      <c r="AM82" s="70" t="n">
        <f aca="false">SUM(C82:AL82)</f>
        <v>-256434.041350869</v>
      </c>
    </row>
    <row r="83" customFormat="false" ht="15" hidden="false" customHeight="false" outlineLevel="0" collapsed="false">
      <c r="A83" s="10" t="s">
        <v>818</v>
      </c>
      <c r="B83" s="9" t="s">
        <v>97</v>
      </c>
      <c r="C83" s="70" t="n">
        <f aca="false">-C26</f>
        <v>-8000</v>
      </c>
      <c r="D83" s="70" t="n">
        <f aca="false">-D26</f>
        <v>-30000</v>
      </c>
      <c r="E83" s="70" t="n">
        <f aca="false">-E26</f>
        <v>-30000</v>
      </c>
      <c r="F83" s="70" t="n">
        <f aca="false">-F26</f>
        <v>-30000</v>
      </c>
      <c r="G83" s="70" t="n">
        <f aca="false">-G26</f>
        <v>-30000</v>
      </c>
      <c r="H83" s="70" t="n">
        <f aca="false">-H26</f>
        <v>-30000</v>
      </c>
      <c r="I83" s="70" t="n">
        <f aca="false">-I26</f>
        <v>-30000</v>
      </c>
      <c r="J83" s="70" t="n">
        <f aca="false">-J26</f>
        <v>-30000</v>
      </c>
      <c r="K83" s="70" t="n">
        <f aca="false">-K26</f>
        <v>-30000</v>
      </c>
      <c r="L83" s="70" t="n">
        <f aca="false">-L26</f>
        <v>-30052.4682988739</v>
      </c>
      <c r="M83" s="70" t="n">
        <f aca="false">-M26</f>
        <v>-31980.5055419907</v>
      </c>
      <c r="N83" s="70" t="n">
        <f aca="false">-N26</f>
        <v>-33991.5299236344</v>
      </c>
      <c r="O83" s="70" t="n">
        <f aca="false">-O26</f>
        <v>-36014.3913392812</v>
      </c>
      <c r="P83" s="70" t="n">
        <f aca="false">-P26</f>
        <v>-38053.5255933104</v>
      </c>
      <c r="Q83" s="70" t="n">
        <f aca="false">-Q26</f>
        <v>-40126.2172951047</v>
      </c>
      <c r="R83" s="70" t="n">
        <f aca="false">-R26</f>
        <v>-42249.6361830115</v>
      </c>
      <c r="S83" s="70" t="n">
        <f aca="false">-S26</f>
        <v>-44440.2812566567</v>
      </c>
      <c r="T83" s="70" t="n">
        <f aca="false">-T26</f>
        <v>-46714.2241190579</v>
      </c>
      <c r="U83" s="70" t="n">
        <f aca="false">-U26</f>
        <v>-49087.4205371613</v>
      </c>
      <c r="V83" s="70" t="n">
        <f aca="false">-V26</f>
        <v>-51575.9991241854</v>
      </c>
      <c r="W83" s="70" t="n">
        <f aca="false">-W26</f>
        <v>-54196.5261134322</v>
      </c>
      <c r="X83" s="70" t="n">
        <f aca="false">-X26</f>
        <v>-56966.251870964</v>
      </c>
      <c r="Y83" s="70" t="n">
        <f aca="false">-Y26</f>
        <v>-59903.3447356923</v>
      </c>
      <c r="Z83" s="70" t="n">
        <f aca="false">-Z26</f>
        <v>-63027.1171346061</v>
      </c>
      <c r="AA83" s="70" t="n">
        <f aca="false">-AA26</f>
        <v>-66358.2483585598</v>
      </c>
      <c r="AB83" s="70" t="n">
        <f aca="false">-AB26</f>
        <v>-69919.0079321546</v>
      </c>
      <c r="AC83" s="70" t="n">
        <f aca="false">-AC26</f>
        <v>-73627.3424739896</v>
      </c>
      <c r="AD83" s="70" t="n">
        <f aca="false">-AD26</f>
        <v>-77464.6437876609</v>
      </c>
      <c r="AE83" s="70" t="n">
        <f aca="false">-AE26</f>
        <v>-81477.1073250131</v>
      </c>
      <c r="AF83" s="70" t="n">
        <f aca="false">-AF26</f>
        <v>-85688.8643285074</v>
      </c>
      <c r="AG83" s="70" t="n">
        <f aca="false">-AG26</f>
        <v>-90124.90149047</v>
      </c>
      <c r="AH83" s="70" t="n">
        <f aca="false">-AH26</f>
        <v>-94811.699628846</v>
      </c>
      <c r="AI83" s="70" t="n">
        <f aca="false">-AI26</f>
        <v>-99777.5568035194</v>
      </c>
      <c r="AJ83" s="70" t="n">
        <f aca="false">-AJ26</f>
        <v>-105052.798937616</v>
      </c>
      <c r="AK83" s="70" t="n">
        <f aca="false">-AK26</f>
        <v>-110669.992772615</v>
      </c>
      <c r="AL83" s="70" t="n">
        <f aca="false">-AL26</f>
        <v>-116664.17125909</v>
      </c>
      <c r="AM83" s="70" t="n">
        <f aca="false">SUM(C83:AL83)</f>
        <v>-1998015.774165</v>
      </c>
    </row>
    <row r="84" customFormat="false" ht="15" hidden="false" customHeight="false" outlineLevel="0" collapsed="false">
      <c r="A84" s="10" t="s">
        <v>819</v>
      </c>
      <c r="B84" s="9" t="s">
        <v>97</v>
      </c>
      <c r="C84" s="70" t="n">
        <f aca="false">-IF(C$5=Assumptions!$H$6,Assumptions!$H$23,0)</f>
        <v>-0</v>
      </c>
      <c r="D84" s="70" t="n">
        <f aca="false">-IF(D$5=Assumptions!$H$6,Assumptions!$H$23,0)</f>
        <v>-60000</v>
      </c>
      <c r="E84" s="70" t="n">
        <f aca="false">-IF(E$5=Assumptions!$H$6,Assumptions!$H$23,0)</f>
        <v>-0</v>
      </c>
      <c r="F84" s="70" t="n">
        <f aca="false">-IF(F$5=Assumptions!$H$6,Assumptions!$H$23,0)</f>
        <v>-0</v>
      </c>
      <c r="G84" s="70" t="n">
        <f aca="false">-IF(G$5=Assumptions!$H$6,Assumptions!$H$23,0)</f>
        <v>-0</v>
      </c>
      <c r="H84" s="70" t="n">
        <f aca="false">-IF(H$5=Assumptions!$H$6,Assumptions!$H$23,0)</f>
        <v>-0</v>
      </c>
      <c r="I84" s="70" t="n">
        <f aca="false">-IF(I$5=Assumptions!$H$6,Assumptions!$H$23,0)</f>
        <v>-0</v>
      </c>
      <c r="J84" s="70" t="n">
        <f aca="false">-IF(J$5=Assumptions!$H$6,Assumptions!$H$23,0)</f>
        <v>-0</v>
      </c>
      <c r="K84" s="70" t="n">
        <f aca="false">-IF(K$5=Assumptions!$H$6,Assumptions!$H$23,0)</f>
        <v>-0</v>
      </c>
      <c r="L84" s="70" t="n">
        <f aca="false">-IF(L$5=Assumptions!$H$6,Assumptions!$H$23,0)</f>
        <v>-0</v>
      </c>
      <c r="M84" s="70" t="n">
        <f aca="false">-IF(M$5=Assumptions!$H$6,Assumptions!$H$23,0)</f>
        <v>-0</v>
      </c>
      <c r="N84" s="70" t="n">
        <f aca="false">-IF(N$5=Assumptions!$H$6,Assumptions!$H$23,0)</f>
        <v>-0</v>
      </c>
      <c r="O84" s="70" t="n">
        <f aca="false">-IF(O$5=Assumptions!$H$6,Assumptions!$H$23,0)</f>
        <v>-0</v>
      </c>
      <c r="P84" s="70" t="n">
        <f aca="false">-IF(P$5=Assumptions!$H$6,Assumptions!$H$23,0)</f>
        <v>-0</v>
      </c>
      <c r="Q84" s="70" t="n">
        <f aca="false">-IF(Q$5=Assumptions!$H$6,Assumptions!$H$23,0)</f>
        <v>-0</v>
      </c>
      <c r="R84" s="70" t="n">
        <f aca="false">-IF(R$5=Assumptions!$H$6,Assumptions!$H$23,0)</f>
        <v>-0</v>
      </c>
      <c r="S84" s="70" t="n">
        <f aca="false">-IF(S$5=Assumptions!$H$6,Assumptions!$H$23,0)</f>
        <v>-0</v>
      </c>
      <c r="T84" s="70" t="n">
        <f aca="false">-IF(T$5=Assumptions!$H$6,Assumptions!$H$23,0)</f>
        <v>-0</v>
      </c>
      <c r="U84" s="70" t="n">
        <f aca="false">-IF(U$5=Assumptions!$H$6,Assumptions!$H$23,0)</f>
        <v>-0</v>
      </c>
      <c r="V84" s="70" t="n">
        <f aca="false">-IF(V$5=Assumptions!$H$6,Assumptions!$H$23,0)</f>
        <v>-0</v>
      </c>
      <c r="W84" s="70" t="n">
        <f aca="false">-IF(W$5=Assumptions!$H$6,Assumptions!$H$23,0)</f>
        <v>-0</v>
      </c>
      <c r="X84" s="70" t="n">
        <f aca="false">-IF(X$5=Assumptions!$H$6,Assumptions!$H$23,0)</f>
        <v>-0</v>
      </c>
      <c r="Y84" s="70" t="n">
        <f aca="false">-IF(Y$5=Assumptions!$H$6,Assumptions!$H$23,0)</f>
        <v>-0</v>
      </c>
      <c r="Z84" s="70" t="n">
        <f aca="false">-IF(Z$5=Assumptions!$H$6,Assumptions!$H$23,0)</f>
        <v>-0</v>
      </c>
      <c r="AA84" s="70" t="n">
        <f aca="false">-IF(AA$5=Assumptions!$H$6,Assumptions!$H$23,0)</f>
        <v>-0</v>
      </c>
      <c r="AB84" s="70" t="n">
        <f aca="false">-IF(AB$5=Assumptions!$H$6,Assumptions!$H$23,0)</f>
        <v>-0</v>
      </c>
      <c r="AC84" s="70" t="n">
        <f aca="false">-IF(AC$5=Assumptions!$H$6,Assumptions!$H$23,0)</f>
        <v>-0</v>
      </c>
      <c r="AD84" s="70" t="n">
        <f aca="false">-IF(AD$5=Assumptions!$H$6,Assumptions!$H$23,0)</f>
        <v>-0</v>
      </c>
      <c r="AE84" s="70" t="n">
        <f aca="false">-IF(AE$5=Assumptions!$H$6,Assumptions!$H$23,0)</f>
        <v>-0</v>
      </c>
      <c r="AF84" s="70" t="n">
        <f aca="false">-IF(AF$5=Assumptions!$H$6,Assumptions!$H$23,0)</f>
        <v>-0</v>
      </c>
      <c r="AG84" s="70" t="n">
        <f aca="false">-IF(AG$5=Assumptions!$H$6,Assumptions!$H$23,0)</f>
        <v>-0</v>
      </c>
      <c r="AH84" s="70" t="n">
        <f aca="false">-IF(AH$5=Assumptions!$H$6,Assumptions!$H$23,0)</f>
        <v>-0</v>
      </c>
      <c r="AI84" s="70" t="n">
        <f aca="false">-IF(AI$5=Assumptions!$H$6,Assumptions!$H$23,0)</f>
        <v>-0</v>
      </c>
      <c r="AJ84" s="70" t="n">
        <f aca="false">-IF(AJ$5=Assumptions!$H$6,Assumptions!$H$23,0)</f>
        <v>-0</v>
      </c>
      <c r="AK84" s="70" t="n">
        <f aca="false">-IF(AK$5=Assumptions!$H$6,Assumptions!$H$23,0)</f>
        <v>-0</v>
      </c>
      <c r="AL84" s="70" t="n">
        <f aca="false">-IF(AL$5=Assumptions!$H$6,Assumptions!$H$23,0)</f>
        <v>-0</v>
      </c>
      <c r="AM84" s="70" t="n">
        <f aca="false">SUM(C84:AL84)</f>
        <v>-60000</v>
      </c>
    </row>
    <row r="85" customFormat="false" ht="15" hidden="false" customHeight="false" outlineLevel="0" collapsed="false">
      <c r="A85" s="10" t="s">
        <v>820</v>
      </c>
      <c r="B85" s="9" t="s">
        <v>97</v>
      </c>
      <c r="C85" s="70" t="n">
        <f aca="false">-C8*Assumptions!$H$98</f>
        <v>-0</v>
      </c>
      <c r="D85" s="70" t="n">
        <f aca="false">-D8*Assumptions!$H$98</f>
        <v>-15000</v>
      </c>
      <c r="E85" s="70" t="n">
        <f aca="false">-E8*Assumptions!$H$98</f>
        <v>-15000</v>
      </c>
      <c r="F85" s="70" t="n">
        <f aca="false">-F8*Assumptions!$H$98</f>
        <v>-15000</v>
      </c>
      <c r="G85" s="70" t="n">
        <f aca="false">-G8*Assumptions!$H$98</f>
        <v>-15000</v>
      </c>
      <c r="H85" s="70" t="n">
        <f aca="false">-H8*Assumptions!$H$98</f>
        <v>-15000</v>
      </c>
      <c r="I85" s="70" t="n">
        <f aca="false">-I8*Assumptions!$H$98</f>
        <v>-15000</v>
      </c>
      <c r="J85" s="70" t="n">
        <f aca="false">-J8*Assumptions!$H$98</f>
        <v>-15000</v>
      </c>
      <c r="K85" s="70" t="n">
        <f aca="false">-K8*Assumptions!$H$98</f>
        <v>-15000</v>
      </c>
      <c r="L85" s="70" t="n">
        <f aca="false">-L8*Assumptions!$H$98</f>
        <v>-15000</v>
      </c>
      <c r="M85" s="70" t="n">
        <f aca="false">-M8*Assumptions!$H$98</f>
        <v>-15000</v>
      </c>
      <c r="N85" s="70" t="n">
        <f aca="false">-N8*Assumptions!$H$98</f>
        <v>-15000</v>
      </c>
      <c r="O85" s="70" t="n">
        <f aca="false">-O8*Assumptions!$H$98</f>
        <v>-15000</v>
      </c>
      <c r="P85" s="70" t="n">
        <f aca="false">-P8*Assumptions!$H$98</f>
        <v>-15000</v>
      </c>
      <c r="Q85" s="70" t="n">
        <f aca="false">-Q8*Assumptions!$H$98</f>
        <v>-15000</v>
      </c>
      <c r="R85" s="70" t="n">
        <f aca="false">-R8*Assumptions!$H$98</f>
        <v>-15000</v>
      </c>
      <c r="S85" s="70" t="n">
        <f aca="false">-S8*Assumptions!$H$98</f>
        <v>-15000</v>
      </c>
      <c r="T85" s="70" t="n">
        <f aca="false">-T8*Assumptions!$H$98</f>
        <v>-15000</v>
      </c>
      <c r="U85" s="70" t="n">
        <f aca="false">-U8*Assumptions!$H$98</f>
        <v>-15000</v>
      </c>
      <c r="V85" s="70" t="n">
        <f aca="false">-V8*Assumptions!$H$98</f>
        <v>-15000</v>
      </c>
      <c r="W85" s="70" t="n">
        <f aca="false">-W8*Assumptions!$H$98</f>
        <v>-15000</v>
      </c>
      <c r="X85" s="70" t="n">
        <f aca="false">-X8*Assumptions!$H$98</f>
        <v>-15000</v>
      </c>
      <c r="Y85" s="70" t="n">
        <f aca="false">-Y8*Assumptions!$H$98</f>
        <v>-15000</v>
      </c>
      <c r="Z85" s="70" t="n">
        <f aca="false">-Z8*Assumptions!$H$98</f>
        <v>-15000</v>
      </c>
      <c r="AA85" s="70" t="n">
        <f aca="false">-AA8*Assumptions!$H$98</f>
        <v>-15000</v>
      </c>
      <c r="AB85" s="70" t="n">
        <f aca="false">-AB8*Assumptions!$H$98</f>
        <v>-15000</v>
      </c>
      <c r="AC85" s="70" t="n">
        <f aca="false">-AC8*Assumptions!$H$98</f>
        <v>-15000</v>
      </c>
      <c r="AD85" s="70" t="n">
        <f aca="false">-AD8*Assumptions!$H$98</f>
        <v>-15000</v>
      </c>
      <c r="AE85" s="70" t="n">
        <f aca="false">-AE8*Assumptions!$H$98</f>
        <v>-15000</v>
      </c>
      <c r="AF85" s="70" t="n">
        <f aca="false">-AF8*Assumptions!$H$98</f>
        <v>-15000</v>
      </c>
      <c r="AG85" s="70" t="n">
        <f aca="false">-AG8*Assumptions!$H$98</f>
        <v>-15000</v>
      </c>
      <c r="AH85" s="70" t="n">
        <f aca="false">-AH8*Assumptions!$H$98</f>
        <v>-15000</v>
      </c>
      <c r="AI85" s="70" t="n">
        <f aca="false">-AI8*Assumptions!$H$98</f>
        <v>-15000</v>
      </c>
      <c r="AJ85" s="70" t="n">
        <f aca="false">-AJ8*Assumptions!$H$98</f>
        <v>-15000</v>
      </c>
      <c r="AK85" s="70" t="n">
        <f aca="false">-AK8*Assumptions!$H$98</f>
        <v>-15000</v>
      </c>
      <c r="AL85" s="70" t="n">
        <f aca="false">-AL8*Assumptions!$H$98</f>
        <v>-15000</v>
      </c>
      <c r="AM85" s="70" t="n">
        <f aca="false">SUM(C85:AL85)</f>
        <v>-525000</v>
      </c>
    </row>
    <row r="86" customFormat="false" ht="15" hidden="false" customHeight="false" outlineLevel="0" collapsed="false">
      <c r="A86" s="10" t="s">
        <v>362</v>
      </c>
      <c r="B86" s="9" t="s">
        <v>97</v>
      </c>
      <c r="C86" s="70" t="n">
        <f aca="false">-C72*Assumptions!$H$99</f>
        <v>-0</v>
      </c>
      <c r="D86" s="70" t="n">
        <f aca="false">-D72*Assumptions!$H$99</f>
        <v>-3422.4513365987</v>
      </c>
      <c r="E86" s="70" t="n">
        <f aca="false">-E72*Assumptions!$H$99</f>
        <v>-3443.66237614223</v>
      </c>
      <c r="F86" s="70" t="n">
        <f aca="false">-F72*Assumptions!$H$99</f>
        <v>-3899.50424293131</v>
      </c>
      <c r="G86" s="70" t="n">
        <f aca="false">-G72*Assumptions!$H$99</f>
        <v>-4340.57813250042</v>
      </c>
      <c r="H86" s="70" t="n">
        <f aca="false">-H72*Assumptions!$H$99</f>
        <v>-4721.7622823192</v>
      </c>
      <c r="I86" s="70" t="n">
        <f aca="false">-I72*Assumptions!$H$99</f>
        <v>-5359.93909972052</v>
      </c>
      <c r="J86" s="70" t="n">
        <f aca="false">-J72*Assumptions!$H$99</f>
        <v>-5829.80624423103</v>
      </c>
      <c r="K86" s="70" t="n">
        <f aca="false">-K72*Assumptions!$H$99</f>
        <v>-6260.93089559874</v>
      </c>
      <c r="L86" s="70" t="n">
        <f aca="false">-L72*Assumptions!$H$99</f>
        <v>-6662.60532124806</v>
      </c>
      <c r="M86" s="70" t="n">
        <f aca="false">-M72*Assumptions!$H$99</f>
        <v>-7081.56873409051</v>
      </c>
      <c r="N86" s="70" t="n">
        <f aca="false">-N72*Assumptions!$H$99</f>
        <v>-7502.99819568359</v>
      </c>
      <c r="O86" s="70" t="n">
        <f aca="false">-O72*Assumptions!$H$99</f>
        <v>-7927.81783193966</v>
      </c>
      <c r="P86" s="70" t="n">
        <f aca="false">-P72*Assumptions!$H$99</f>
        <v>-8359.62860314682</v>
      </c>
      <c r="Q86" s="70" t="n">
        <f aca="false">-Q72*Assumptions!$H$99</f>
        <v>-8802.0075381274</v>
      </c>
      <c r="R86" s="70" t="n">
        <f aca="false">-R72*Assumptions!$H$99</f>
        <v>-9258.39192847014</v>
      </c>
      <c r="S86" s="70" t="n">
        <f aca="false">-S72*Assumptions!$H$99</f>
        <v>-9732.13002480373</v>
      </c>
      <c r="T86" s="70" t="n">
        <f aca="false">-T72*Assumptions!$H$99</f>
        <v>-10226.5459452419</v>
      </c>
      <c r="U86" s="70" t="n">
        <f aca="false">-U72*Assumptions!$H$99</f>
        <v>-10744.9998175386</v>
      </c>
      <c r="V86" s="70" t="n">
        <f aca="false">-V72*Assumptions!$H$99</f>
        <v>-11290.9429402984</v>
      </c>
      <c r="W86" s="70" t="n">
        <f aca="false">-W72*Assumptions!$H$99</f>
        <v>-11867.9691397842</v>
      </c>
      <c r="X86" s="70" t="n">
        <f aca="false">-X72*Assumptions!$H$99</f>
        <v>-12479.8634866026</v>
      </c>
      <c r="Y86" s="70" t="n">
        <f aca="false">-Y72*Assumptions!$H$99</f>
        <v>-13130.6494030429</v>
      </c>
      <c r="Z86" s="70" t="n">
        <f aca="false">-Z72*Assumptions!$H$99</f>
        <v>-13824.6350747</v>
      </c>
      <c r="AA86" s="70" t="n">
        <f aca="false">-AA72*Assumptions!$H$99</f>
        <v>-14566.4599858656</v>
      </c>
      <c r="AB86" s="70" t="n">
        <f aca="false">-AB72*Assumptions!$H$99</f>
        <v>-15339.0296820812</v>
      </c>
      <c r="AC86" s="70" t="n">
        <f aca="false">-AC72*Assumptions!$H$99</f>
        <v>-16138.4674557627</v>
      </c>
      <c r="AD86" s="70" t="n">
        <f aca="false">-AD72*Assumptions!$H$99</f>
        <v>-16974.3973593777</v>
      </c>
      <c r="AE86" s="70" t="n">
        <f aca="false">-AE72*Assumptions!$H$99</f>
        <v>-17851.8467351057</v>
      </c>
      <c r="AF86" s="70" t="n">
        <f aca="false">-AF72*Assumptions!$H$99</f>
        <v>-18776.0211438479</v>
      </c>
      <c r="AG86" s="70" t="n">
        <f aca="false">-AG72*Assumptions!$H$99</f>
        <v>-19752.4374226762</v>
      </c>
      <c r="AH86" s="70" t="n">
        <f aca="false">-AH72*Assumptions!$H$99</f>
        <v>-20786.9910007332</v>
      </c>
      <c r="AI86" s="70" t="n">
        <f aca="false">-AI72*Assumptions!$H$99</f>
        <v>-21885.99977867</v>
      </c>
      <c r="AJ86" s="70" t="n">
        <f aca="false">-AJ72*Assumptions!$H$99</f>
        <v>-23056.2484942947</v>
      </c>
      <c r="AK86" s="70" t="n">
        <f aca="false">-AK72*Assumptions!$H$99</f>
        <v>-24305.0356789772</v>
      </c>
      <c r="AL86" s="70" t="n">
        <f aca="false">-AL72*Assumptions!$H$99</f>
        <v>-25640.2238445804</v>
      </c>
      <c r="AM86" s="70" t="n">
        <f aca="false">SUM(C86:AL86)</f>
        <v>-421244.547176733</v>
      </c>
    </row>
    <row r="87" customFormat="false" ht="15" hidden="false" customHeight="false" outlineLevel="0" collapsed="false">
      <c r="A87" s="37" t="s">
        <v>821</v>
      </c>
      <c r="B87" s="9" t="s">
        <v>97</v>
      </c>
      <c r="C87" s="53" t="n">
        <f aca="false">C75+C76+C77+C78+C79+C80+C81+C82+C83+C84+C85+C86</f>
        <v>-37080</v>
      </c>
      <c r="D87" s="53" t="n">
        <f aca="false">D75+D76+D77+D78+D79+D80+D81+D82+D83+D84+D85+D86</f>
        <v>-150002.451336599</v>
      </c>
      <c r="E87" s="53" t="n">
        <f aca="false">E75+E76+E77+E78+E79+E80+E81+E82+E83+E84+E85+E86</f>
        <v>-90023.6623761422</v>
      </c>
      <c r="F87" s="53" t="n">
        <f aca="false">F75+F76+F77+F78+F79+F80+F81+F82+F83+F84+F85+F86</f>
        <v>-79979.5042429313</v>
      </c>
      <c r="G87" s="53" t="n">
        <f aca="false">G75+G76+G77+G78+G79+G80+G81+G82+G83+G84+G85+G86</f>
        <v>-89420.5781325004</v>
      </c>
      <c r="H87" s="53" t="n">
        <f aca="false">H75+H76+H77+H78+H79+H80+H81+H82+H83+H84+H85+H86</f>
        <v>-89801.7622823192</v>
      </c>
      <c r="I87" s="53" t="n">
        <f aca="false">I75+I76+I77+I78+I79+I80+I81+I82+I83+I84+I85+I86</f>
        <v>-90439.9390997205</v>
      </c>
      <c r="J87" s="53" t="n">
        <f aca="false">J75+J76+J77+J78+J79+J80+J81+J82+J83+J84+J85+J86</f>
        <v>-90909.806244231</v>
      </c>
      <c r="K87" s="53" t="n">
        <f aca="false">K75+K76+K77+K78+K79+K80+K81+K82+K83+K84+K85+K86</f>
        <v>-91340.9308955987</v>
      </c>
      <c r="L87" s="53" t="n">
        <f aca="false">L75+L76+L77+L78+L79+L80+L81+L82+L83+L84+L85+L86</f>
        <v>-91795.073620122</v>
      </c>
      <c r="M87" s="53" t="n">
        <f aca="false">M75+M76+M77+M78+M79+M80+M81+M82+M83+M84+M85+M86</f>
        <v>-94142.0742760812</v>
      </c>
      <c r="N87" s="53" t="n">
        <f aca="false">N75+N76+N77+N78+N79+N80+N81+N82+N83+N84+N85+N86</f>
        <v>-96574.528119318</v>
      </c>
      <c r="O87" s="53" t="n">
        <f aca="false">O75+O76+O77+O78+O79+O80+O81+O82+O83+O84+O85+O86</f>
        <v>-117022.68888253</v>
      </c>
      <c r="P87" s="53" t="n">
        <f aca="false">P75+P76+P77+P78+P79+P80+P81+P82+P83+P84+P85+P86</f>
        <v>-119561.605049568</v>
      </c>
      <c r="Q87" s="53" t="n">
        <f aca="false">Q75+Q76+Q77+Q78+Q79+Q80+Q81+Q82+Q83+Q84+Q85+Q86</f>
        <v>-122145.765409736</v>
      </c>
      <c r="R87" s="53" t="n">
        <f aca="false">R75+R76+R77+R78+R79+R80+R81+R82+R83+R84+R85+R86</f>
        <v>-124796.349317582</v>
      </c>
      <c r="S87" s="53" t="n">
        <f aca="false">S75+S76+S77+S78+S79+S80+S81+S82+S83+S84+S85+S86</f>
        <v>-127533.753990016</v>
      </c>
      <c r="T87" s="53" t="n">
        <f aca="false">T75+T76+T77+T78+T79+T80+T81+T82+T83+T84+T85+T86</f>
        <v>-130377.910868268</v>
      </c>
      <c r="U87" s="53" t="n">
        <f aca="false">U75+U76+U77+U78+U79+U80+U81+U82+U83+U84+U85+U86</f>
        <v>-133348.667705939</v>
      </c>
      <c r="V87" s="53" t="n">
        <f aca="false">V75+V76+V77+V78+V79+V80+V81+V82+V83+V84+V85+V86</f>
        <v>-136466.14203529</v>
      </c>
      <c r="W87" s="53" t="n">
        <f aca="false">W75+W76+W77+W78+W79+W80+W81+W82+W83+W84+W85+W86</f>
        <v>-139751.046123664</v>
      </c>
      <c r="X87" s="53" t="n">
        <f aca="false">X75+X76+X77+X78+X79+X80+X81+X82+X83+X84+X85+X86</f>
        <v>-143224.990419932</v>
      </c>
      <c r="Y87" s="53" t="n">
        <f aca="false">Y75+Y76+Y77+Y78+Y79+Y80+Y81+Y82+Y83+Y84+Y85+Y86</f>
        <v>-147150.704039893</v>
      </c>
      <c r="Z87" s="53" t="n">
        <f aca="false">Z75+Z76+Z77+Z78+Z79+Z80+Z81+Z82+Z83+Z84+Z85+Z86</f>
        <v>-151397.980815314</v>
      </c>
      <c r="AA87" s="53" t="n">
        <f aca="false">AA75+AA76+AA77+AA78+AA79+AA80+AA81+AA82+AA83+AA84+AA85+AA86</f>
        <v>-176928.967493727</v>
      </c>
      <c r="AB87" s="53" t="n">
        <f aca="false">AB75+AB76+AB77+AB78+AB79+AB80+AB81+AB82+AB83+AB84+AB85+AB86</f>
        <v>-181751.901204907</v>
      </c>
      <c r="AC87" s="53" t="n">
        <f aca="false">AC75+AC76+AC77+AC78+AC79+AC80+AC81+AC82+AC83+AC84+AC85+AC86</f>
        <v>-186769.569519926</v>
      </c>
      <c r="AD87" s="53" t="n">
        <f aca="false">AD75+AD76+AD77+AD78+AD79+AD80+AD81+AD82+AD83+AD84+AD85+AD86</f>
        <v>-191970.429667842</v>
      </c>
      <c r="AE87" s="53" t="n">
        <f aca="false">AE75+AE76+AE77+AE78+AE79+AE80+AE81+AE82+AE83+AE84+AE85+AE86</f>
        <v>-197412.056317308</v>
      </c>
      <c r="AF87" s="53" t="n">
        <f aca="false">AF75+AF76+AF77+AF78+AF79+AF80+AF81+AF82+AF83+AF84+AF85+AF86</f>
        <v>-203127.104317525</v>
      </c>
      <c r="AG87" s="53" t="n">
        <f aca="false">AG75+AG76+AG77+AG78+AG79+AG80+AG81+AG82+AG83+AG84+AG85+AG86</f>
        <v>-209149.512868086</v>
      </c>
      <c r="AH87" s="53" t="n">
        <f aca="false">AH75+AH76+AH77+AH78+AH79+AH80+AH81+AH82+AH83+AH84+AH85+AH86</f>
        <v>-215515.299328546</v>
      </c>
      <c r="AI87" s="53" t="n">
        <f aca="false">AI75+AI76+AI77+AI78+AI79+AI80+AI81+AI82+AI83+AI84+AI85+AI86</f>
        <v>-222262.970642673</v>
      </c>
      <c r="AJ87" s="53" t="n">
        <f aca="false">AJ75+AJ76+AJ77+AJ78+AJ79+AJ80+AJ81+AJ82+AJ83+AJ84+AJ85+AJ86</f>
        <v>-229433.807285833</v>
      </c>
      <c r="AK87" s="53" t="n">
        <f aca="false">AK75+AK76+AK77+AK78+AK79+AK80+AK81+AK82+AK83+AK84+AK85+AK86</f>
        <v>-237072.152457826</v>
      </c>
      <c r="AL87" s="53" t="n">
        <f aca="false">AL75+AL76+AL77+AL78+AL79+AL80+AL81+AL82+AL83+AL84+AL85+AL86</f>
        <v>-245225.718651796</v>
      </c>
      <c r="AM87" s="53" t="n">
        <f aca="false">SUM(C87:AL87)</f>
        <v>-5180907.40503929</v>
      </c>
    </row>
    <row r="88" customFormat="false" ht="15" hidden="false" customHeight="false" outlineLevel="0" collapsed="false">
      <c r="A88" s="37" t="s">
        <v>822</v>
      </c>
      <c r="B88" s="9" t="s">
        <v>97</v>
      </c>
      <c r="C88" s="53" t="n">
        <f aca="false">C73+C87</f>
        <v>-37080</v>
      </c>
      <c r="D88" s="53" t="n">
        <f aca="false">D73+D87</f>
        <v>-109647.868947718</v>
      </c>
      <c r="E88" s="53" t="n">
        <f aca="false">E73+E87</f>
        <v>-49418.9777772875</v>
      </c>
      <c r="F88" s="53" t="n">
        <f aca="false">F73+F87</f>
        <v>-33999.9271005576</v>
      </c>
      <c r="G88" s="53" t="n">
        <f aca="false">G73+G87</f>
        <v>-38240.2396452218</v>
      </c>
      <c r="H88" s="53" t="n">
        <f aca="false">H73+H87</f>
        <v>-34126.8303979918</v>
      </c>
      <c r="I88" s="53" t="n">
        <f aca="false">I73+I87</f>
        <v>-28051.5374575172</v>
      </c>
      <c r="J88" s="53" t="n">
        <f aca="false">J73+J87</f>
        <v>-23361.3740804525</v>
      </c>
      <c r="K88" s="53" t="n">
        <f aca="false">K73+K87</f>
        <v>-19070.5551905473</v>
      </c>
      <c r="L88" s="53" t="n">
        <f aca="false">L73+L87</f>
        <v>-15136.7275986889</v>
      </c>
      <c r="M88" s="53" t="n">
        <f aca="false">M73+M87</f>
        <v>-12901.5737295488</v>
      </c>
      <c r="N88" s="53" t="n">
        <f aca="false">N73+N87</f>
        <v>-10730.530853253</v>
      </c>
      <c r="O88" s="53" t="n">
        <f aca="false">O73+O87</f>
        <v>-26545.0397841032</v>
      </c>
      <c r="P88" s="53" t="n">
        <f aca="false">P73+P87</f>
        <v>-24380.9110867311</v>
      </c>
      <c r="Q88" s="53" t="n">
        <f aca="false">Q73+Q87</f>
        <v>-22153.7793458748</v>
      </c>
      <c r="R88" s="53" t="n">
        <f aca="false">R73+R87</f>
        <v>-19847.6385744562</v>
      </c>
      <c r="S88" s="53" t="n">
        <f aca="false">S73+S87</f>
        <v>-17446.806058832</v>
      </c>
      <c r="T88" s="53" t="n">
        <f aca="false">T73+T87</f>
        <v>-14935.5224059493</v>
      </c>
      <c r="U88" s="53" t="n">
        <f aca="false">U73+U87</f>
        <v>-12297.6751697277</v>
      </c>
      <c r="V88" s="53" t="n">
        <f aca="false">V73+V87</f>
        <v>-9516.55298106541</v>
      </c>
      <c r="W88" s="53" t="n">
        <f aca="false">W73+W87</f>
        <v>-6574.61659462954</v>
      </c>
      <c r="X88" s="53" t="n">
        <f aca="false">X73+X87</f>
        <v>-3453.28055836074</v>
      </c>
      <c r="Y88" s="53" t="n">
        <f aca="false">Y73+Y87</f>
        <v>-372.632426075899</v>
      </c>
      <c r="Z88" s="53" t="n">
        <f aca="false">Z73+Z87</f>
        <v>2843.11215785646</v>
      </c>
      <c r="AA88" s="53" t="n">
        <f aca="false">AA73+AA87</f>
        <v>-14719.189034675</v>
      </c>
      <c r="AB88" s="53" t="n">
        <f aca="false">AB73+AB87</f>
        <v>-11216.3008738404</v>
      </c>
      <c r="AC88" s="53" t="n">
        <f aca="false">AC73+AC87</f>
        <v>-7588.00113112046</v>
      </c>
      <c r="AD88" s="53" t="n">
        <f aca="false">AD73+AD87</f>
        <v>-3733.90854040382</v>
      </c>
      <c r="AE88" s="53" t="n">
        <f aca="false">AE73+AE87</f>
        <v>341.857336525834</v>
      </c>
      <c r="AF88" s="53" t="n">
        <f aca="false">AF73+AF87</f>
        <v>4662.11517726566</v>
      </c>
      <c r="AG88" s="53" t="n">
        <f aca="false">AG73+AG87</f>
        <v>9251.90314061337</v>
      </c>
      <c r="AH88" s="53" t="n">
        <f aca="false">AH73+AH87</f>
        <v>14138.4115862561</v>
      </c>
      <c r="AI88" s="53" t="n">
        <f aca="false">AI73+AI87</f>
        <v>19351.0370367328</v>
      </c>
      <c r="AJ88" s="53" t="n">
        <f aca="false">AJ73+AJ87</f>
        <v>24921.5701263486</v>
      </c>
      <c r="AK88" s="53" t="n">
        <f aca="false">AK73+AK87</f>
        <v>30884.4074608299</v>
      </c>
      <c r="AL88" s="53" t="n">
        <f aca="false">AL73+AL87</f>
        <v>37276.782102837</v>
      </c>
      <c r="AM88" s="53" t="n">
        <f aca="false">SUM(C88:AL88)</f>
        <v>-462876.801219365</v>
      </c>
    </row>
    <row r="89" customFormat="false" ht="15" hidden="false" customHeight="false" outlineLevel="0" collapsed="false">
      <c r="A89" s="37" t="s">
        <v>823</v>
      </c>
      <c r="B89" s="9" t="s">
        <v>61</v>
      </c>
      <c r="C89" s="52" t="n">
        <f aca="false">IFERROR(C88/C72,0)</f>
        <v>0</v>
      </c>
      <c r="D89" s="52" t="n">
        <f aca="false">IFERROR(D88/D72,0)</f>
        <v>-1.60189084027545</v>
      </c>
      <c r="E89" s="52" t="n">
        <f aca="false">IFERROR(E88/E72,0)</f>
        <v>-0.717535175917119</v>
      </c>
      <c r="F89" s="52" t="n">
        <f aca="false">IFERROR(F88/F72,0)</f>
        <v>-0.435951918275122</v>
      </c>
      <c r="G89" s="52" t="n">
        <f aca="false">IFERROR(G88/G72,0)</f>
        <v>-0.440497077553966</v>
      </c>
      <c r="H89" s="52" t="n">
        <f aca="false">IFERROR(H88/H72,0)</f>
        <v>-0.361378107976559</v>
      </c>
      <c r="I89" s="52" t="n">
        <f aca="false">IFERROR(I88/I72,0)</f>
        <v>-0.26167776289641</v>
      </c>
      <c r="J89" s="52" t="n">
        <f aca="false">IFERROR(J88/J72,0)</f>
        <v>-0.200361496606942</v>
      </c>
      <c r="K89" s="52" t="n">
        <f aca="false">IFERROR(K88/K72,0)</f>
        <v>-0.152298080816971</v>
      </c>
      <c r="L89" s="52" t="n">
        <f aca="false">IFERROR(L88/L72,0)</f>
        <v>-0.113594659062391</v>
      </c>
      <c r="M89" s="52" t="n">
        <f aca="false">IFERROR(M88/M72,0)</f>
        <v>-0.0910926251936307</v>
      </c>
      <c r="N89" s="52" t="n">
        <f aca="false">IFERROR(N88/N72,0)</f>
        <v>-0.0715082862436658</v>
      </c>
      <c r="O89" s="52" t="n">
        <f aca="false">IFERROR(O88/O72,0)</f>
        <v>-0.167417064486259</v>
      </c>
      <c r="P89" s="52" t="n">
        <f aca="false">IFERROR(P88/P72,0)</f>
        <v>-0.145825324569763</v>
      </c>
      <c r="Q89" s="52" t="n">
        <f aca="false">IFERROR(Q88/Q72,0)</f>
        <v>-0.125845037338993</v>
      </c>
      <c r="R89" s="52" t="n">
        <f aca="false">IFERROR(R88/R72,0)</f>
        <v>-0.10718728872032</v>
      </c>
      <c r="S89" s="52" t="n">
        <f aca="false">IFERROR(S88/S72,0)</f>
        <v>-0.0896350850963064</v>
      </c>
      <c r="T89" s="52" t="n">
        <f aca="false">IFERROR(T88/T72,0)</f>
        <v>-0.0730232988045114</v>
      </c>
      <c r="U89" s="52" t="n">
        <f aca="false">IFERROR(U88/U72,0)</f>
        <v>-0.0572251064614013</v>
      </c>
      <c r="V89" s="52" t="n">
        <f aca="false">IFERROR(V88/V72,0)</f>
        <v>-0.0421424190671445</v>
      </c>
      <c r="W89" s="52" t="n">
        <f aca="false">IFERROR(W88/W72,0)</f>
        <v>-0.0276989960000398</v>
      </c>
      <c r="X89" s="52" t="n">
        <f aca="false">IFERROR(X88/X72,0)</f>
        <v>-0.0138354099869278</v>
      </c>
      <c r="Y89" s="52" t="n">
        <f aca="false">IFERROR(Y88/Y72,0)</f>
        <v>-0.00141894134340966</v>
      </c>
      <c r="Z89" s="52" t="n">
        <f aca="false">IFERROR(Z88/Z72,0)</f>
        <v>0.0102827747079543</v>
      </c>
      <c r="AA89" s="52" t="n">
        <f aca="false">IFERROR(AA88/AA72,0)</f>
        <v>-0.0505242490246693</v>
      </c>
      <c r="AB89" s="52" t="n">
        <f aca="false">IFERROR(AB88/AB72,0)</f>
        <v>-0.036561311589817</v>
      </c>
      <c r="AC89" s="52" t="n">
        <f aca="false">IFERROR(AC88/AC72,0)</f>
        <v>-0.0235090511286775</v>
      </c>
      <c r="AD89" s="52" t="n">
        <f aca="false">IFERROR(AD88/AD72,0)</f>
        <v>-0.0109986483212053</v>
      </c>
      <c r="AE89" s="52" t="n">
        <f aca="false">IFERROR(AE88/AE72,0)</f>
        <v>0.000957484515743604</v>
      </c>
      <c r="AF89" s="52" t="n">
        <f aca="false">IFERROR(AF88/AF72,0)</f>
        <v>0.0124150775650176</v>
      </c>
      <c r="AG89" s="52" t="n">
        <f aca="false">IFERROR(AG88/AG72,0)</f>
        <v>0.0234196492884265</v>
      </c>
      <c r="AH89" s="52" t="n">
        <f aca="false">IFERROR(AH88/AH72,0)</f>
        <v>0.0340078359242984</v>
      </c>
      <c r="AI89" s="52" t="n">
        <f aca="false">IFERROR(AI88/AI72,0)</f>
        <v>0.0442087115791535</v>
      </c>
      <c r="AJ89" s="52" t="n">
        <f aca="false">IFERROR(AJ88/AJ72,0)</f>
        <v>0.0540451542507348</v>
      </c>
      <c r="AK89" s="52" t="n">
        <f aca="false">IFERROR(AK88/AK72,0)</f>
        <v>0.0635349971683926</v>
      </c>
      <c r="AL89" s="52" t="n">
        <f aca="false">IFERROR(AL88/AL72,0)</f>
        <v>0.072691998183776</v>
      </c>
      <c r="AM89" s="52" t="n">
        <f aca="false">AVERAGE(N89:AL89)</f>
        <v>-0.0291516733999845</v>
      </c>
    </row>
    <row r="90" customFormat="false" ht="15" hidden="false" customHeight="false" outlineLevel="0" collapsed="false">
      <c r="A90" s="10" t="s">
        <v>824</v>
      </c>
      <c r="B90" s="9" t="s">
        <v>97</v>
      </c>
      <c r="C90" s="70" t="n">
        <f aca="false">-C43*Assumptions!$H$102</f>
        <v>0</v>
      </c>
      <c r="D90" s="70" t="n">
        <f aca="false">-D43*Assumptions!$H$102</f>
        <v>0</v>
      </c>
      <c r="E90" s="70" t="n">
        <f aca="false">-E43*Assumptions!$H$102</f>
        <v>0</v>
      </c>
      <c r="F90" s="70" t="n">
        <f aca="false">-F43*Assumptions!$H$102</f>
        <v>0</v>
      </c>
      <c r="G90" s="70" t="n">
        <f aca="false">-G43*Assumptions!$H$102</f>
        <v>0</v>
      </c>
      <c r="H90" s="70" t="n">
        <f aca="false">-H43*Assumptions!$H$102</f>
        <v>0</v>
      </c>
      <c r="I90" s="70" t="n">
        <f aca="false">-I43*Assumptions!$H$102</f>
        <v>0</v>
      </c>
      <c r="J90" s="70" t="n">
        <f aca="false">-J43*Assumptions!$H$102</f>
        <v>0</v>
      </c>
      <c r="K90" s="70" t="n">
        <f aca="false">-K43*Assumptions!$H$102</f>
        <v>0</v>
      </c>
      <c r="L90" s="70" t="n">
        <f aca="false">-L43*Assumptions!$H$102</f>
        <v>0</v>
      </c>
      <c r="M90" s="70" t="n">
        <f aca="false">-M43*Assumptions!$H$102</f>
        <v>0</v>
      </c>
      <c r="N90" s="70" t="n">
        <f aca="false">-N43*Assumptions!$H$102</f>
        <v>0</v>
      </c>
      <c r="O90" s="70" t="n">
        <f aca="false">-O43*Assumptions!$H$102</f>
        <v>0</v>
      </c>
      <c r="P90" s="70" t="n">
        <f aca="false">-P43*Assumptions!$H$102</f>
        <v>0</v>
      </c>
      <c r="Q90" s="70" t="n">
        <f aca="false">-Q43*Assumptions!$H$102</f>
        <v>0</v>
      </c>
      <c r="R90" s="70" t="n">
        <f aca="false">-R43*Assumptions!$H$102</f>
        <v>0</v>
      </c>
      <c r="S90" s="70" t="n">
        <f aca="false">-S43*Assumptions!$H$102</f>
        <v>0</v>
      </c>
      <c r="T90" s="70" t="n">
        <f aca="false">-T43*Assumptions!$H$102</f>
        <v>0</v>
      </c>
      <c r="U90" s="70" t="n">
        <f aca="false">-U43*Assumptions!$H$102</f>
        <v>0</v>
      </c>
      <c r="V90" s="70" t="n">
        <f aca="false">-V43*Assumptions!$H$102</f>
        <v>0</v>
      </c>
      <c r="W90" s="70" t="n">
        <f aca="false">-W43*Assumptions!$H$102</f>
        <v>0</v>
      </c>
      <c r="X90" s="70" t="n">
        <f aca="false">-X43*Assumptions!$H$102</f>
        <v>0</v>
      </c>
      <c r="Y90" s="70" t="n">
        <f aca="false">-Y43*Assumptions!$H$102</f>
        <v>0</v>
      </c>
      <c r="Z90" s="70" t="n">
        <f aca="false">-Z43*Assumptions!$H$102</f>
        <v>0</v>
      </c>
      <c r="AA90" s="70" t="n">
        <f aca="false">-AA43*Assumptions!$H$102</f>
        <v>0</v>
      </c>
      <c r="AB90" s="70" t="n">
        <f aca="false">-AB43*Assumptions!$H$102</f>
        <v>0</v>
      </c>
      <c r="AC90" s="70" t="n">
        <f aca="false">-AC43*Assumptions!$H$102</f>
        <v>0</v>
      </c>
      <c r="AD90" s="70" t="n">
        <f aca="false">-AD43*Assumptions!$H$102</f>
        <v>0</v>
      </c>
      <c r="AE90" s="70" t="n">
        <f aca="false">-AE43*Assumptions!$H$102</f>
        <v>0</v>
      </c>
      <c r="AF90" s="70" t="n">
        <f aca="false">-AF43*Assumptions!$H$102</f>
        <v>0</v>
      </c>
      <c r="AG90" s="70" t="n">
        <f aca="false">-AG43*Assumptions!$H$102</f>
        <v>0</v>
      </c>
      <c r="AH90" s="70" t="n">
        <f aca="false">-AH43*Assumptions!$H$102</f>
        <v>0</v>
      </c>
      <c r="AI90" s="70" t="n">
        <f aca="false">-AI43*Assumptions!$H$102</f>
        <v>0</v>
      </c>
      <c r="AJ90" s="70" t="n">
        <f aca="false">-AJ43*Assumptions!$H$102</f>
        <v>0</v>
      </c>
      <c r="AK90" s="70" t="n">
        <f aca="false">-AK43*Assumptions!$H$102</f>
        <v>0</v>
      </c>
      <c r="AL90" s="70" t="n">
        <f aca="false">-AL43*Assumptions!$H$102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-37080</v>
      </c>
      <c r="D92" s="70" t="n">
        <f aca="false">D88+D91</f>
        <v>-109647.868947718</v>
      </c>
      <c r="E92" s="70" t="n">
        <f aca="false">E88+E91</f>
        <v>-49418.9777772875</v>
      </c>
      <c r="F92" s="70" t="n">
        <f aca="false">F88+F91</f>
        <v>-33999.9271005576</v>
      </c>
      <c r="G92" s="70" t="n">
        <f aca="false">G88+G91</f>
        <v>-38240.2396452218</v>
      </c>
      <c r="H92" s="70" t="n">
        <f aca="false">H88+H91</f>
        <v>-34126.8303979918</v>
      </c>
      <c r="I92" s="70" t="n">
        <f aca="false">I88+I91</f>
        <v>-28051.5374575172</v>
      </c>
      <c r="J92" s="70" t="n">
        <f aca="false">J88+J91</f>
        <v>-23361.3740804525</v>
      </c>
      <c r="K92" s="70" t="n">
        <f aca="false">K88+K91</f>
        <v>-19070.5551905473</v>
      </c>
      <c r="L92" s="70" t="n">
        <f aca="false">L88+L91</f>
        <v>-15136.7275986889</v>
      </c>
      <c r="M92" s="70" t="n">
        <f aca="false">M88+M91</f>
        <v>-12901.5737295488</v>
      </c>
      <c r="N92" s="70" t="n">
        <f aca="false">N88+N91</f>
        <v>-10730.530853253</v>
      </c>
      <c r="O92" s="70" t="n">
        <f aca="false">O88+O91</f>
        <v>-26545.0397841032</v>
      </c>
      <c r="P92" s="70" t="n">
        <f aca="false">P88+P91</f>
        <v>-24380.9110867311</v>
      </c>
      <c r="Q92" s="70" t="n">
        <f aca="false">Q88+Q91</f>
        <v>-22153.7793458748</v>
      </c>
      <c r="R92" s="70" t="n">
        <f aca="false">R88+R91</f>
        <v>-19847.6385744562</v>
      </c>
      <c r="S92" s="70" t="n">
        <f aca="false">S88+S91</f>
        <v>-17446.806058832</v>
      </c>
      <c r="T92" s="70" t="n">
        <f aca="false">T88+T91</f>
        <v>-14935.5224059493</v>
      </c>
      <c r="U92" s="70" t="n">
        <f aca="false">U88+U91</f>
        <v>-12297.6751697277</v>
      </c>
      <c r="V92" s="70" t="n">
        <f aca="false">V88+V91</f>
        <v>-9516.55298106541</v>
      </c>
      <c r="W92" s="70" t="n">
        <f aca="false">W88+W91</f>
        <v>-6574.61659462954</v>
      </c>
      <c r="X92" s="70" t="n">
        <f aca="false">X88+X91</f>
        <v>-3453.28055836074</v>
      </c>
      <c r="Y92" s="70" t="n">
        <f aca="false">Y88+Y91</f>
        <v>-372.632426075899</v>
      </c>
      <c r="Z92" s="70" t="n">
        <f aca="false">Z88+Z91</f>
        <v>2843.11215785646</v>
      </c>
      <c r="AA92" s="70" t="n">
        <f aca="false">AA88+AA91</f>
        <v>-14719.189034675</v>
      </c>
      <c r="AB92" s="70" t="n">
        <f aca="false">AB88+AB91</f>
        <v>-11216.3008738404</v>
      </c>
      <c r="AC92" s="70" t="n">
        <f aca="false">AC88+AC91</f>
        <v>-7588.00113112046</v>
      </c>
      <c r="AD92" s="70" t="n">
        <f aca="false">AD88+AD91</f>
        <v>-3733.90854040382</v>
      </c>
      <c r="AE92" s="70" t="n">
        <f aca="false">AE88+AE91</f>
        <v>341.857336525834</v>
      </c>
      <c r="AF92" s="70" t="n">
        <f aca="false">AF88+AF91</f>
        <v>4662.11517726566</v>
      </c>
      <c r="AG92" s="70" t="n">
        <f aca="false">AG88+AG91</f>
        <v>9251.90314061337</v>
      </c>
      <c r="AH92" s="70" t="n">
        <f aca="false">AH88+AH91</f>
        <v>14138.4115862561</v>
      </c>
      <c r="AI92" s="70" t="n">
        <f aca="false">AI88+AI91</f>
        <v>19351.0370367328</v>
      </c>
      <c r="AJ92" s="70" t="n">
        <f aca="false">AJ88+AJ91</f>
        <v>24921.5701263486</v>
      </c>
      <c r="AK92" s="70" t="n">
        <f aca="false">AK88+AK91</f>
        <v>30884.4074608299</v>
      </c>
      <c r="AL92" s="70" t="n">
        <f aca="false">AL88+AL91</f>
        <v>37276.782102837</v>
      </c>
      <c r="AM92" s="70" t="n">
        <f aca="false">SUM(C92:AL92)</f>
        <v>-462876.801219365</v>
      </c>
    </row>
    <row r="93" customFormat="false" ht="15" hidden="false" customHeight="false" outlineLevel="0" collapsed="false">
      <c r="A93" s="37" t="s">
        <v>827</v>
      </c>
      <c r="B93" s="9" t="s">
        <v>97</v>
      </c>
      <c r="C93" s="53" t="n">
        <f aca="false">C92</f>
        <v>-37080</v>
      </c>
      <c r="D93" s="53" t="n">
        <f aca="false">C93+D92</f>
        <v>-146727.868947718</v>
      </c>
      <c r="E93" s="53" t="n">
        <f aca="false">D93+E92</f>
        <v>-196146.846725006</v>
      </c>
      <c r="F93" s="53" t="n">
        <f aca="false">E93+F92</f>
        <v>-230146.773825563</v>
      </c>
      <c r="G93" s="53" t="n">
        <f aca="false">F93+G92</f>
        <v>-268387.013470785</v>
      </c>
      <c r="H93" s="53" t="n">
        <f aca="false">G93+H92</f>
        <v>-302513.843868777</v>
      </c>
      <c r="I93" s="53" t="n">
        <f aca="false">H93+I92</f>
        <v>-330565.381326294</v>
      </c>
      <c r="J93" s="53" t="n">
        <f aca="false">I93+J92</f>
        <v>-353926.755406747</v>
      </c>
      <c r="K93" s="53" t="n">
        <f aca="false">J93+K92</f>
        <v>-372997.310597294</v>
      </c>
      <c r="L93" s="53" t="n">
        <f aca="false">K93+L92</f>
        <v>-388134.038195983</v>
      </c>
      <c r="M93" s="53" t="n">
        <f aca="false">L93+M92</f>
        <v>-401035.611925532</v>
      </c>
      <c r="N93" s="53" t="n">
        <f aca="false">M93+N92</f>
        <v>-411766.142778785</v>
      </c>
      <c r="O93" s="53" t="n">
        <f aca="false">N93+O92</f>
        <v>-438311.182562888</v>
      </c>
      <c r="P93" s="53" t="n">
        <f aca="false">O93+P92</f>
        <v>-462692.093649619</v>
      </c>
      <c r="Q93" s="53" t="n">
        <f aca="false">P93+Q92</f>
        <v>-484845.872995494</v>
      </c>
      <c r="R93" s="53" t="n">
        <f aca="false">Q93+R92</f>
        <v>-504693.51156995</v>
      </c>
      <c r="S93" s="53" t="n">
        <f aca="false">R93+S92</f>
        <v>-522140.317628782</v>
      </c>
      <c r="T93" s="53" t="n">
        <f aca="false">S93+T92</f>
        <v>-537075.840034731</v>
      </c>
      <c r="U93" s="53" t="n">
        <f aca="false">T93+U92</f>
        <v>-549373.515204459</v>
      </c>
      <c r="V93" s="53" t="n">
        <f aca="false">U93+V92</f>
        <v>-558890.068185524</v>
      </c>
      <c r="W93" s="53" t="n">
        <f aca="false">V93+W92</f>
        <v>-565464.684780154</v>
      </c>
      <c r="X93" s="53" t="n">
        <f aca="false">W93+X92</f>
        <v>-568917.965338515</v>
      </c>
      <c r="Y93" s="53" t="n">
        <f aca="false">X93+Y92</f>
        <v>-569290.597764591</v>
      </c>
      <c r="Z93" s="53" t="n">
        <f aca="false">Y93+Z92</f>
        <v>-566447.485606734</v>
      </c>
      <c r="AA93" s="53" t="n">
        <f aca="false">Z93+AA92</f>
        <v>-581166.674641409</v>
      </c>
      <c r="AB93" s="53" t="n">
        <f aca="false">AA93+AB92</f>
        <v>-592382.975515249</v>
      </c>
      <c r="AC93" s="53" t="n">
        <f aca="false">AB93+AC92</f>
        <v>-599970.97664637</v>
      </c>
      <c r="AD93" s="53" t="n">
        <f aca="false">AC93+AD92</f>
        <v>-603704.885186774</v>
      </c>
      <c r="AE93" s="53" t="n">
        <f aca="false">AD93+AE92</f>
        <v>-603363.027850248</v>
      </c>
      <c r="AF93" s="53" t="n">
        <f aca="false">AE93+AF92</f>
        <v>-598700.912672982</v>
      </c>
      <c r="AG93" s="53" t="n">
        <f aca="false">AF93+AG92</f>
        <v>-589449.009532369</v>
      </c>
      <c r="AH93" s="53" t="n">
        <f aca="false">AG93+AH92</f>
        <v>-575310.597946113</v>
      </c>
      <c r="AI93" s="53" t="n">
        <f aca="false">AH93+AI92</f>
        <v>-555959.56090938</v>
      </c>
      <c r="AJ93" s="53" t="n">
        <f aca="false">AI93+AJ92</f>
        <v>-531037.990783032</v>
      </c>
      <c r="AK93" s="53" t="n">
        <f aca="false">AJ93+AK92</f>
        <v>-500153.583322202</v>
      </c>
      <c r="AL93" s="53" t="n">
        <f aca="false">AK93+AL92</f>
        <v>-462876.801219365</v>
      </c>
      <c r="AM93" s="53" t="n">
        <f aca="false">AL93</f>
        <v>-462876.801219365</v>
      </c>
    </row>
    <row r="94" customFormat="false" ht="15" hidden="false" customHeight="false" outlineLevel="0" collapsed="false">
      <c r="A94" s="10" t="s">
        <v>828</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24</v>
      </c>
      <c r="AA94" s="69" t="n">
        <f aca="false">IF(AA88&gt;0,AA$5,999)</f>
        <v>999</v>
      </c>
      <c r="AB94" s="69" t="n">
        <f aca="false">IF(AB88&gt;0,AB$5,999)</f>
        <v>999</v>
      </c>
      <c r="AC94" s="69" t="n">
        <f aca="false">IF(AC88&gt;0,AC$5,999)</f>
        <v>999</v>
      </c>
      <c r="AD94" s="69" t="n">
        <f aca="false">IF(AD88&gt;0,AD$5,999)</f>
        <v>999</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829</v>
      </c>
      <c r="B95" s="9" t="s">
        <v>51</v>
      </c>
      <c r="C95" s="61" t="n">
        <f aca="false">C32+C56</f>
        <v>0</v>
      </c>
      <c r="D95" s="61" t="n">
        <f aca="false">D32+D56</f>
        <v>904.692396668966</v>
      </c>
      <c r="E95" s="61" t="n">
        <f aca="false">E32+E56</f>
        <v>514.044063101241</v>
      </c>
      <c r="F95" s="61" t="n">
        <f aca="false">F32+F56</f>
        <v>492.658105204803</v>
      </c>
      <c r="G95" s="61" t="n">
        <f aca="false">G32+G56</f>
        <v>462.689266906998</v>
      </c>
      <c r="H95" s="61" t="n">
        <f aca="false">H32+H56</f>
        <v>438.96220394889</v>
      </c>
      <c r="I95" s="61" t="n">
        <f aca="false">I32+I56</f>
        <v>435.192515098861</v>
      </c>
      <c r="J95" s="61" t="n">
        <f aca="false">J32+J56</f>
        <v>421.683186572723</v>
      </c>
      <c r="K95" s="61" t="n">
        <f aca="false">K32+K56</f>
        <v>411.964475655965</v>
      </c>
      <c r="L95" s="61" t="n">
        <f aca="false">L32+L56</f>
        <v>405.702659404672</v>
      </c>
      <c r="M95" s="61" t="n">
        <f aca="false">M32+M56</f>
        <v>411.323828091559</v>
      </c>
      <c r="N95" s="61" t="n">
        <f aca="false">N32+N56</f>
        <v>419.250231238391</v>
      </c>
      <c r="O95" s="61" t="n">
        <f aca="false">O32+O56</f>
        <v>428.991259077956</v>
      </c>
      <c r="P95" s="61" t="n">
        <f aca="false">P32+P56</f>
        <v>440.386522128606</v>
      </c>
      <c r="Q95" s="61" t="n">
        <f aca="false">Q32+Q56</f>
        <v>453.367311461598</v>
      </c>
      <c r="R95" s="61" t="n">
        <f aca="false">R32+R56</f>
        <v>467.898169188106</v>
      </c>
      <c r="S95" s="61" t="n">
        <f aca="false">S32+S56</f>
        <v>483.972077086951</v>
      </c>
      <c r="T95" s="61" t="n">
        <f aca="false">T32+T56</f>
        <v>501.608366388434</v>
      </c>
      <c r="U95" s="61" t="n">
        <f aca="false">U32+U56</f>
        <v>520.850910616357</v>
      </c>
      <c r="V95" s="61" t="n">
        <f aca="false">V32+V56</f>
        <v>541.766527355748</v>
      </c>
      <c r="W95" s="61" t="n">
        <f aca="false">W32+W56</f>
        <v>564.443706316911</v>
      </c>
      <c r="X95" s="61" t="n">
        <f aca="false">X32+X56</f>
        <v>588.991711076789</v>
      </c>
      <c r="Y95" s="61" t="n">
        <f aca="false">Y32+Y56</f>
        <v>615.540056399534</v>
      </c>
      <c r="Z95" s="61" t="n">
        <f aca="false">Z32+Z56</f>
        <v>644.23834231973</v>
      </c>
      <c r="AA95" s="61" t="n">
        <f aca="false">AA32+AA56</f>
        <v>675.25641929056</v>
      </c>
      <c r="AB95" s="61" t="n">
        <f aca="false">AB32+AB56</f>
        <v>707.706282524928</v>
      </c>
      <c r="AC95" s="61" t="n">
        <f aca="false">AC32+AC56</f>
        <v>741.616718511206</v>
      </c>
      <c r="AD95" s="61" t="n">
        <f aca="false">AD32+AD56</f>
        <v>777.728934229881</v>
      </c>
      <c r="AE95" s="61" t="n">
        <f aca="false">AE32+AE56</f>
        <v>816.355630886857</v>
      </c>
      <c r="AF95" s="61" t="n">
        <f aca="false">AF32+AF56</f>
        <v>857.747865769521</v>
      </c>
      <c r="AG95" s="61" t="n">
        <f aca="false">AG32+AG56</f>
        <v>902.172894570011</v>
      </c>
      <c r="AH95" s="61" t="n">
        <f aca="false">AH32+AH56</f>
        <v>949.918995434112</v>
      </c>
      <c r="AI95" s="61" t="n">
        <f aca="false">AI32+AI56</f>
        <v>1001.29792640228</v>
      </c>
      <c r="AJ95" s="61" t="n">
        <f aca="false">AJ32+AJ56</f>
        <v>1056.6469963193</v>
      </c>
      <c r="AK95" s="61" t="n">
        <f aca="false">AK32+AK56</f>
        <v>1116.33127160734</v>
      </c>
      <c r="AL95" s="61" t="n">
        <f aca="false">AL32+AL56</f>
        <v>1180.74598011663</v>
      </c>
      <c r="AM95" s="61" t="n">
        <f aca="false">SUM(C95:AL95)</f>
        <v>22353.7438069724</v>
      </c>
    </row>
    <row r="96" customFormat="false" ht="15" hidden="false" customHeight="false" outlineLevel="0" collapsed="false">
      <c r="A96" s="37" t="s">
        <v>830</v>
      </c>
      <c r="B96" s="9" t="s">
        <v>97</v>
      </c>
      <c r="C96" s="51" t="n">
        <f aca="false">IFERROR((C26-C82)/C95,0)</f>
        <v>0</v>
      </c>
      <c r="D96" s="51" t="n">
        <f aca="false">IFERROR((D26-D82)/D95,0)</f>
        <v>39.7925307348114</v>
      </c>
      <c r="E96" s="51" t="n">
        <f aca="false">IFERROR((E26-E82)/E95,0)</f>
        <v>70.0329068734129</v>
      </c>
      <c r="F96" s="51" t="n">
        <f aca="false">IFERROR((F26-F82)/F95,0)</f>
        <v>73.0729883862044</v>
      </c>
      <c r="G96" s="51" t="n">
        <f aca="false">IFERROR((G26-G82)/G95,0)</f>
        <v>77.805997620507</v>
      </c>
      <c r="H96" s="51" t="n">
        <f aca="false">IFERROR((H26-H82)/H95,0)</f>
        <v>82.0116166634511</v>
      </c>
      <c r="I96" s="51" t="n">
        <f aca="false">IFERROR((I26-I82)/I95,0)</f>
        <v>82.7220109514567</v>
      </c>
      <c r="J96" s="51" t="n">
        <f aca="false">IFERROR((J26-J82)/J95,0)</f>
        <v>85.3721493915705</v>
      </c>
      <c r="K96" s="51" t="n">
        <f aca="false">IFERROR((K26-K82)/K95,0)</f>
        <v>87.3861755741868</v>
      </c>
      <c r="L96" s="51" t="n">
        <f aca="false">IFERROR((L26-L82)/L95,0)</f>
        <v>88.8642641676969</v>
      </c>
      <c r="M96" s="51" t="n">
        <f aca="false">IFERROR((M26-M82)/M95,0)</f>
        <v>92.3372363770192</v>
      </c>
      <c r="N96" s="51" t="n">
        <f aca="false">IFERROR((N26-N82)/N95,0)</f>
        <v>95.3882119647413</v>
      </c>
      <c r="O96" s="51" t="n">
        <f aca="false">IFERROR((O26-O82)/O95,0)</f>
        <v>97.9376396376562</v>
      </c>
      <c r="P96" s="51" t="n">
        <f aca="false">IFERROR((P26-P82)/P95,0)</f>
        <v>100.033773468765</v>
      </c>
      <c r="Q96" s="51" t="n">
        <f aca="false">IFERROR((Q26-Q82)/Q95,0)</f>
        <v>101.741383044137</v>
      </c>
      <c r="R96" s="51" t="n">
        <f aca="false">IFERROR((R26-R82)/R95,0)</f>
        <v>103.119950793426</v>
      </c>
      <c r="S96" s="51" t="n">
        <f aca="false">IFERROR((S26-S82)/S95,0)</f>
        <v>104.221469883674</v>
      </c>
      <c r="T96" s="51" t="n">
        <f aca="false">IFERROR((T26-T82)/T95,0)</f>
        <v>105.090400502286</v>
      </c>
      <c r="U96" s="51" t="n">
        <f aca="false">IFERROR((U26-U82)/U95,0)</f>
        <v>105.764278057943</v>
      </c>
      <c r="V96" s="51" t="n">
        <f aca="false">IFERROR((V26-V82)/V95,0)</f>
        <v>106.274559643251</v>
      </c>
      <c r="W96" s="51" t="n">
        <f aca="false">IFERROR((W26-W82)/W95,0)</f>
        <v>106.64752824728</v>
      </c>
      <c r="X96" s="51" t="n">
        <f aca="false">IFERROR((X26-X82)/X95,0)</f>
        <v>106.905157894072</v>
      </c>
      <c r="Y96" s="51" t="n">
        <f aca="false">IFERROR((Y26-Y82)/Y95,0)</f>
        <v>107.45568187046</v>
      </c>
      <c r="Z96" s="51" t="n">
        <f aca="false">IFERROR((Z26-Z82)/Z95,0)</f>
        <v>108.022818985818</v>
      </c>
      <c r="AA96" s="51" t="n">
        <f aca="false">IFERROR((AA26-AA82)/AA95,0)</f>
        <v>108.507766535399</v>
      </c>
      <c r="AB96" s="51" t="n">
        <f aca="false">IFERROR((AB26-AB82)/AB95,0)</f>
        <v>109.087964642123</v>
      </c>
      <c r="AC96" s="51" t="n">
        <f aca="false">IFERROR((AC26-AC82)/AC95,0)</f>
        <v>109.621122725272</v>
      </c>
      <c r="AD96" s="51" t="n">
        <f aca="false">IFERROR((AD26-AD82)/AD95,0)</f>
        <v>109.97903479088</v>
      </c>
      <c r="AE96" s="51" t="n">
        <f aca="false">IFERROR((AE26-AE82)/AE95,0)</f>
        <v>110.202346380545</v>
      </c>
      <c r="AF96" s="51" t="n">
        <f aca="false">IFERROR((AF26-AF82)/AF95,0)</f>
        <v>110.306060174428</v>
      </c>
      <c r="AG96" s="51" t="n">
        <f aca="false">IFERROR((AG26-AG82)/AG95,0)</f>
        <v>110.303593314919</v>
      </c>
      <c r="AH96" s="51" t="n">
        <f aca="false">IFERROR((AH26-AH82)/AH95,0)</f>
        <v>110.207205923219</v>
      </c>
      <c r="AI96" s="51" t="n">
        <f aca="false">IFERROR((AI26-AI82)/AI95,0)</f>
        <v>110.028243741337</v>
      </c>
      <c r="AJ96" s="51" t="n">
        <f aca="false">IFERROR((AJ26-AJ82)/AJ95,0)</f>
        <v>109.777247492311</v>
      </c>
      <c r="AK96" s="51" t="n">
        <f aca="false">IFERROR((AK26-AK82)/AK95,0)</f>
        <v>109.464027504861</v>
      </c>
      <c r="AL96" s="51" t="n">
        <f aca="false">IFERROR((AL26-AL82)/AL95,0)</f>
        <v>109.097715569487</v>
      </c>
      <c r="AM96" s="51" t="n">
        <f aca="false">AVERAGE(N96:AL96)</f>
        <v>106.607407311532</v>
      </c>
    </row>
    <row r="97" customFormat="false" ht="15" hidden="false" customHeight="false" outlineLevel="0" collapsed="false">
      <c r="A97" s="10" t="s">
        <v>831</v>
      </c>
      <c r="B97" s="9" t="s">
        <v>97</v>
      </c>
      <c r="C97" s="63" t="n">
        <f aca="false">IFERROR(C18/(C19*Assumptions!$H$49*Assumptions!$H$31*Assumptions!$H$32),0)</f>
        <v>0</v>
      </c>
      <c r="D97" s="63" t="n">
        <f aca="false">IFERROR(D18/(D19*Assumptions!$H$49*Assumptions!$H$31*Assumptions!$H$32),0)</f>
        <v>87.3015873015873</v>
      </c>
      <c r="E97" s="63" t="n">
        <f aca="false">IFERROR(E18/(E19*Assumptions!$H$49*Assumptions!$H$31*Assumptions!$H$32),0)</f>
        <v>87.3015873015873</v>
      </c>
      <c r="F97" s="63" t="n">
        <f aca="false">IFERROR(F18/(F19*Assumptions!$H$49*Assumptions!$H$31*Assumptions!$H$32),0)</f>
        <v>87.3015873015873</v>
      </c>
      <c r="G97" s="63" t="n">
        <f aca="false">IFERROR(G18/(G19*Assumptions!$H$49*Assumptions!$H$31*Assumptions!$H$32),0)</f>
        <v>87.3015873015873</v>
      </c>
      <c r="H97" s="63" t="n">
        <f aca="false">IFERROR(H18/(H19*Assumptions!$H$49*Assumptions!$H$31*Assumptions!$H$32),0)</f>
        <v>87.3015873015873</v>
      </c>
      <c r="I97" s="63" t="n">
        <f aca="false">IFERROR(I18/(I19*Assumptions!$H$49*Assumptions!$H$31*Assumptions!$H$32),0)</f>
        <v>87.3015873015873</v>
      </c>
      <c r="J97" s="63" t="n">
        <f aca="false">IFERROR(J18/(J19*Assumptions!$H$49*Assumptions!$H$31*Assumptions!$H$32),0)</f>
        <v>87.3015873015873</v>
      </c>
      <c r="K97" s="63" t="n">
        <f aca="false">IFERROR(K18/(K19*Assumptions!$H$49*Assumptions!$H$31*Assumptions!$H$32),0)</f>
        <v>87.3015873015873</v>
      </c>
      <c r="L97" s="63" t="n">
        <f aca="false">IFERROR(L18/(L19*Assumptions!$H$49*Assumptions!$H$31*Assumptions!$H$32),0)</f>
        <v>87.3015873015873</v>
      </c>
      <c r="M97" s="63" t="n">
        <f aca="false">IFERROR(M18/(M19*Assumptions!$H$49*Assumptions!$H$31*Assumptions!$H$32),0)</f>
        <v>87.3015873015873</v>
      </c>
      <c r="N97" s="63" t="n">
        <f aca="false">IFERROR(N18/(N19*Assumptions!$H$49*Assumptions!$H$31*Assumptions!$H$32),0)</f>
        <v>87.3015873015873</v>
      </c>
      <c r="O97" s="63" t="n">
        <f aca="false">IFERROR(O18/(O19*Assumptions!$H$49*Assumptions!$H$31*Assumptions!$H$32),0)</f>
        <v>87.3015873015873</v>
      </c>
      <c r="P97" s="63" t="n">
        <f aca="false">IFERROR(P18/(P19*Assumptions!$H$49*Assumptions!$H$31*Assumptions!$H$32),0)</f>
        <v>87.3015873015873</v>
      </c>
      <c r="Q97" s="63" t="n">
        <f aca="false">IFERROR(Q18/(Q19*Assumptions!$H$49*Assumptions!$H$31*Assumptions!$H$32),0)</f>
        <v>87.3015873015873</v>
      </c>
      <c r="R97" s="63" t="n">
        <f aca="false">IFERROR(R18/(R19*Assumptions!$H$49*Assumptions!$H$31*Assumptions!$H$32),0)</f>
        <v>87.3015873015873</v>
      </c>
      <c r="S97" s="63" t="n">
        <f aca="false">IFERROR(S18/(S19*Assumptions!$H$49*Assumptions!$H$31*Assumptions!$H$32),0)</f>
        <v>87.3015873015873</v>
      </c>
      <c r="T97" s="63" t="n">
        <f aca="false">IFERROR(T18/(T19*Assumptions!$H$49*Assumptions!$H$31*Assumptions!$H$32),0)</f>
        <v>87.3015873015873</v>
      </c>
      <c r="U97" s="63" t="n">
        <f aca="false">IFERROR(U18/(U19*Assumptions!$H$49*Assumptions!$H$31*Assumptions!$H$32),0)</f>
        <v>87.3015873015873</v>
      </c>
      <c r="V97" s="63" t="n">
        <f aca="false">IFERROR(V18/(V19*Assumptions!$H$49*Assumptions!$H$31*Assumptions!$H$32),0)</f>
        <v>87.3015873015873</v>
      </c>
      <c r="W97" s="63" t="n">
        <f aca="false">IFERROR(W18/(W19*Assumptions!$H$49*Assumptions!$H$31*Assumptions!$H$32),0)</f>
        <v>87.3015873015873</v>
      </c>
      <c r="X97" s="63" t="n">
        <f aca="false">IFERROR(X18/(X19*Assumptions!$H$49*Assumptions!$H$31*Assumptions!$H$32),0)</f>
        <v>87.3015873015873</v>
      </c>
      <c r="Y97" s="63" t="n">
        <f aca="false">IFERROR(Y18/(Y19*Assumptions!$H$49*Assumptions!$H$31*Assumptions!$H$32),0)</f>
        <v>87.3015873015873</v>
      </c>
      <c r="Z97" s="63" t="n">
        <f aca="false">IFERROR(Z18/(Z19*Assumptions!$H$49*Assumptions!$H$31*Assumptions!$H$32),0)</f>
        <v>87.3015873015873</v>
      </c>
      <c r="AA97" s="63" t="n">
        <f aca="false">IFERROR(AA18/(AA19*Assumptions!$H$49*Assumptions!$H$31*Assumptions!$H$32),0)</f>
        <v>87.3015873015873</v>
      </c>
      <c r="AB97" s="63" t="n">
        <f aca="false">IFERROR(AB18/(AB19*Assumptions!$H$49*Assumptions!$H$31*Assumptions!$H$32),0)</f>
        <v>87.3015873015873</v>
      </c>
      <c r="AC97" s="63" t="n">
        <f aca="false">IFERROR(AC18/(AC19*Assumptions!$H$49*Assumptions!$H$31*Assumptions!$H$32),0)</f>
        <v>87.3015873015873</v>
      </c>
      <c r="AD97" s="63" t="n">
        <f aca="false">IFERROR(AD18/(AD19*Assumptions!$H$49*Assumptions!$H$31*Assumptions!$H$32),0)</f>
        <v>87.3015873015873</v>
      </c>
      <c r="AE97" s="63" t="n">
        <f aca="false">IFERROR(AE18/(AE19*Assumptions!$H$49*Assumptions!$H$31*Assumptions!$H$32),0)</f>
        <v>87.3015873015873</v>
      </c>
      <c r="AF97" s="63" t="n">
        <f aca="false">IFERROR(AF18/(AF19*Assumptions!$H$49*Assumptions!$H$31*Assumptions!$H$32),0)</f>
        <v>87.3015873015873</v>
      </c>
      <c r="AG97" s="63" t="n">
        <f aca="false">IFERROR(AG18/(AG19*Assumptions!$H$49*Assumptions!$H$31*Assumptions!$H$32),0)</f>
        <v>87.3015873015873</v>
      </c>
      <c r="AH97" s="63" t="n">
        <f aca="false">IFERROR(AH18/(AH19*Assumptions!$H$49*Assumptions!$H$31*Assumptions!$H$32),0)</f>
        <v>87.3015873015873</v>
      </c>
      <c r="AI97" s="63" t="n">
        <f aca="false">IFERROR(AI18/(AI19*Assumptions!$H$49*Assumptions!$H$31*Assumptions!$H$32),0)</f>
        <v>87.3015873015873</v>
      </c>
      <c r="AJ97" s="63" t="n">
        <f aca="false">IFERROR(AJ18/(AJ19*Assumptions!$H$49*Assumptions!$H$31*Assumptions!$H$32),0)</f>
        <v>87.3015873015873</v>
      </c>
      <c r="AK97" s="63" t="n">
        <f aca="false">IFERROR(AK18/(AK19*Assumptions!$H$49*Assumptions!$H$31*Assumptions!$H$32),0)</f>
        <v>87.3015873015873</v>
      </c>
      <c r="AL97" s="63" t="n">
        <f aca="false">IFERROR(AL18/(AL19*Assumptions!$H$49*Assumptions!$H$31*Assumptions!$H$32),0)</f>
        <v>87.3015873015873</v>
      </c>
      <c r="AM97" s="63" t="n">
        <f aca="false">AVERAGE(N97:AL97)</f>
        <v>87.3015873015873</v>
      </c>
    </row>
    <row r="98" customFormat="false" ht="15" hidden="false" customHeight="false" outlineLevel="0" collapsed="false">
      <c r="A98" s="10" t="s">
        <v>832</v>
      </c>
      <c r="B98" s="9" t="s">
        <v>97</v>
      </c>
      <c r="C98" s="63" t="n">
        <f aca="false">IFERROR(C22/(C23*Assumptions!$H$49*Assumptions!$H$38*Assumptions!$H$39),0)</f>
        <v>0</v>
      </c>
      <c r="D98" s="63" t="n">
        <f aca="false">IFERROR(D22/(D23*Assumptions!$H$49*Assumptions!$H$38*Assumptions!$H$39),0)</f>
        <v>241.666666666667</v>
      </c>
      <c r="E98" s="63" t="n">
        <f aca="false">IFERROR(E22/(E23*Assumptions!$H$49*Assumptions!$H$38*Assumptions!$H$39),0)</f>
        <v>241.666666666667</v>
      </c>
      <c r="F98" s="63" t="n">
        <f aca="false">IFERROR(F22/(F23*Assumptions!$H$49*Assumptions!$H$38*Assumptions!$H$39),0)</f>
        <v>241.666666666667</v>
      </c>
      <c r="G98" s="63" t="n">
        <f aca="false">IFERROR(G22/(G23*Assumptions!$H$49*Assumptions!$H$38*Assumptions!$H$39),0)</f>
        <v>241.666666666667</v>
      </c>
      <c r="H98" s="63" t="n">
        <f aca="false">IFERROR(H22/(H23*Assumptions!$H$49*Assumptions!$H$38*Assumptions!$H$39),0)</f>
        <v>241.666666666667</v>
      </c>
      <c r="I98" s="63" t="n">
        <f aca="false">IFERROR(I22/(I23*Assumptions!$H$49*Assumptions!$H$38*Assumptions!$H$39),0)</f>
        <v>241.666666666667</v>
      </c>
      <c r="J98" s="63" t="n">
        <f aca="false">IFERROR(J22/(J23*Assumptions!$H$49*Assumptions!$H$38*Assumptions!$H$39),0)</f>
        <v>241.666666666667</v>
      </c>
      <c r="K98" s="63" t="n">
        <f aca="false">IFERROR(K22/(K23*Assumptions!$H$49*Assumptions!$H$38*Assumptions!$H$39),0)</f>
        <v>241.666666666667</v>
      </c>
      <c r="L98" s="63" t="n">
        <f aca="false">IFERROR(L22/(L23*Assumptions!$H$49*Assumptions!$H$38*Assumptions!$H$39),0)</f>
        <v>241.666666666667</v>
      </c>
      <c r="M98" s="63" t="n">
        <f aca="false">IFERROR(M22/(M23*Assumptions!$H$49*Assumptions!$H$38*Assumptions!$H$39),0)</f>
        <v>241.666666666667</v>
      </c>
      <c r="N98" s="63" t="n">
        <f aca="false">IFERROR(N22/(N23*Assumptions!$H$49*Assumptions!$H$38*Assumptions!$H$39),0)</f>
        <v>241.666666666667</v>
      </c>
      <c r="O98" s="63" t="n">
        <f aca="false">IFERROR(O22/(O23*Assumptions!$H$49*Assumptions!$H$38*Assumptions!$H$39),0)</f>
        <v>241.666666666667</v>
      </c>
      <c r="P98" s="63" t="n">
        <f aca="false">IFERROR(P22/(P23*Assumptions!$H$49*Assumptions!$H$38*Assumptions!$H$39),0)</f>
        <v>241.666666666667</v>
      </c>
      <c r="Q98" s="63" t="n">
        <f aca="false">IFERROR(Q22/(Q23*Assumptions!$H$49*Assumptions!$H$38*Assumptions!$H$39),0)</f>
        <v>241.666666666667</v>
      </c>
      <c r="R98" s="63" t="n">
        <f aca="false">IFERROR(R22/(R23*Assumptions!$H$49*Assumptions!$H$38*Assumptions!$H$39),0)</f>
        <v>241.666666666667</v>
      </c>
      <c r="S98" s="63" t="n">
        <f aca="false">IFERROR(S22/(S23*Assumptions!$H$49*Assumptions!$H$38*Assumptions!$H$39),0)</f>
        <v>241.666666666667</v>
      </c>
      <c r="T98" s="63" t="n">
        <f aca="false">IFERROR(T22/(T23*Assumptions!$H$49*Assumptions!$H$38*Assumptions!$H$39),0)</f>
        <v>241.666666666667</v>
      </c>
      <c r="U98" s="63" t="n">
        <f aca="false">IFERROR(U22/(U23*Assumptions!$H$49*Assumptions!$H$38*Assumptions!$H$39),0)</f>
        <v>241.666666666667</v>
      </c>
      <c r="V98" s="63" t="n">
        <f aca="false">IFERROR(V22/(V23*Assumptions!$H$49*Assumptions!$H$38*Assumptions!$H$39),0)</f>
        <v>241.666666666667</v>
      </c>
      <c r="W98" s="63" t="n">
        <f aca="false">IFERROR(W22/(W23*Assumptions!$H$49*Assumptions!$H$38*Assumptions!$H$39),0)</f>
        <v>241.666666666667</v>
      </c>
      <c r="X98" s="63" t="n">
        <f aca="false">IFERROR(X22/(X23*Assumptions!$H$49*Assumptions!$H$38*Assumptions!$H$39),0)</f>
        <v>241.666666666667</v>
      </c>
      <c r="Y98" s="63" t="n">
        <f aca="false">IFERROR(Y22/(Y23*Assumptions!$H$49*Assumptions!$H$38*Assumptions!$H$39),0)</f>
        <v>241.666666666667</v>
      </c>
      <c r="Z98" s="63" t="n">
        <f aca="false">IFERROR(Z22/(Z23*Assumptions!$H$49*Assumptions!$H$38*Assumptions!$H$39),0)</f>
        <v>241.666666666667</v>
      </c>
      <c r="AA98" s="63" t="n">
        <f aca="false">IFERROR(AA22/(AA23*Assumptions!$H$49*Assumptions!$H$38*Assumptions!$H$39),0)</f>
        <v>241.666666666667</v>
      </c>
      <c r="AB98" s="63" t="n">
        <f aca="false">IFERROR(AB22/(AB23*Assumptions!$H$49*Assumptions!$H$38*Assumptions!$H$39),0)</f>
        <v>241.666666666667</v>
      </c>
      <c r="AC98" s="63" t="n">
        <f aca="false">IFERROR(AC22/(AC23*Assumptions!$H$49*Assumptions!$H$38*Assumptions!$H$39),0)</f>
        <v>241.666666666667</v>
      </c>
      <c r="AD98" s="63" t="n">
        <f aca="false">IFERROR(AD22/(AD23*Assumptions!$H$49*Assumptions!$H$38*Assumptions!$H$39),0)</f>
        <v>241.666666666667</v>
      </c>
      <c r="AE98" s="63" t="n">
        <f aca="false">IFERROR(AE22/(AE23*Assumptions!$H$49*Assumptions!$H$38*Assumptions!$H$39),0)</f>
        <v>241.666666666667</v>
      </c>
      <c r="AF98" s="63" t="n">
        <f aca="false">IFERROR(AF22/(AF23*Assumptions!$H$49*Assumptions!$H$38*Assumptions!$H$39),0)</f>
        <v>241.666666666667</v>
      </c>
      <c r="AG98" s="63" t="n">
        <f aca="false">IFERROR(AG22/(AG23*Assumptions!$H$49*Assumptions!$H$38*Assumptions!$H$39),0)</f>
        <v>241.666666666667</v>
      </c>
      <c r="AH98" s="63" t="n">
        <f aca="false">IFERROR(AH22/(AH23*Assumptions!$H$49*Assumptions!$H$38*Assumptions!$H$39),0)</f>
        <v>241.666666666667</v>
      </c>
      <c r="AI98" s="63" t="n">
        <f aca="false">IFERROR(AI22/(AI23*Assumptions!$H$49*Assumptions!$H$38*Assumptions!$H$39),0)</f>
        <v>241.666666666667</v>
      </c>
      <c r="AJ98" s="63" t="n">
        <f aca="false">IFERROR(AJ22/(AJ23*Assumptions!$H$49*Assumptions!$H$38*Assumptions!$H$39),0)</f>
        <v>241.666666666667</v>
      </c>
      <c r="AK98" s="63" t="n">
        <f aca="false">IFERROR(AK22/(AK23*Assumptions!$H$49*Assumptions!$H$38*Assumptions!$H$39),0)</f>
        <v>241.666666666667</v>
      </c>
      <c r="AL98" s="63" t="n">
        <f aca="false">IFERROR(AL22/(AL23*Assumptions!$H$49*Assumptions!$H$38*Assumptions!$H$39),0)</f>
        <v>241.666666666667</v>
      </c>
      <c r="AM98" s="63" t="n">
        <f aca="false">AVERAGE(N98:AL98)</f>
        <v>241.666666666667</v>
      </c>
    </row>
    <row r="99" customFormat="false" ht="15" hidden="false" customHeight="false" outlineLevel="0" collapsed="false">
      <c r="A99" s="10" t="s">
        <v>833</v>
      </c>
      <c r="B99" s="9" t="s">
        <v>97</v>
      </c>
      <c r="C99" s="63" t="n">
        <f aca="false">IFERROR(C24/(C25*Assumptions!$H$49*Assumptions!$H$43),0)</f>
        <v>133.324425096891</v>
      </c>
      <c r="D99" s="63" t="n">
        <f aca="false">IFERROR(D24/(D25*Assumptions!$H$49*Assumptions!$H$43),0)</f>
        <v>0</v>
      </c>
      <c r="E99" s="63" t="n">
        <f aca="false">IFERROR(E24/(E25*Assumptions!$H$49*Assumptions!$H$43),0)</f>
        <v>0</v>
      </c>
      <c r="F99" s="63" t="n">
        <f aca="false">IFERROR(F24/(F25*Assumptions!$H$49*Assumptions!$H$43),0)</f>
        <v>118.407309702711</v>
      </c>
      <c r="G99" s="63" t="n">
        <f aca="false">IFERROR(G24/(G25*Assumptions!$H$49*Assumptions!$H$43),0)</f>
        <v>129.777492570847</v>
      </c>
      <c r="H99" s="63" t="n">
        <f aca="false">IFERROR(H24/(H25*Assumptions!$H$49*Assumptions!$H$43),0)</f>
        <v>137.763089609887</v>
      </c>
      <c r="I99" s="63" t="n">
        <f aca="false">IFERROR(I24/(I25*Assumptions!$H$49*Assumptions!$H$43),0)</f>
        <v>143.312922161096</v>
      </c>
      <c r="J99" s="63" t="n">
        <f aca="false">IFERROR(J24/(J25*Assumptions!$H$49*Assumptions!$H$43),0)</f>
        <v>147.304973562162</v>
      </c>
      <c r="K99" s="63" t="n">
        <f aca="false">IFERROR(K24/(K25*Assumptions!$H$49*Assumptions!$H$43),0)</f>
        <v>150.229440783886</v>
      </c>
      <c r="L99" s="63" t="n">
        <f aca="false">IFERROR(L24/(L25*Assumptions!$H$49*Assumptions!$H$43),0)</f>
        <v>152.54171659503</v>
      </c>
      <c r="M99" s="63" t="n">
        <f aca="false">IFERROR(M24/(M25*Assumptions!$H$49*Assumptions!$H$43),0)</f>
        <v>159.378389629081</v>
      </c>
      <c r="N99" s="63" t="n">
        <f aca="false">IFERROR(N24/(N25*Assumptions!$H$49*Assumptions!$H$43),0)</f>
        <v>164.921162462239</v>
      </c>
      <c r="O99" s="63" t="n">
        <f aca="false">IFERROR(O24/(O25*Assumptions!$H$49*Assumptions!$H$43),0)</f>
        <v>169.738284123542</v>
      </c>
      <c r="P99" s="63" t="n">
        <f aca="false">IFERROR(P24/(P25*Assumptions!$H$49*Assumptions!$H$43),0)</f>
        <v>174.043107820623</v>
      </c>
      <c r="Q99" s="63" t="n">
        <f aca="false">IFERROR(Q24/(Q25*Assumptions!$H$49*Assumptions!$H$43),0)</f>
        <v>177.982478486798</v>
      </c>
      <c r="R99" s="63" t="n">
        <f aca="false">IFERROR(R24/(R25*Assumptions!$H$49*Assumptions!$H$43),0)</f>
        <v>181.659398770782</v>
      </c>
      <c r="S99" s="63" t="n">
        <f aca="false">IFERROR(S24/(S25*Assumptions!$H$49*Assumptions!$H$43),0)</f>
        <v>185.149373694223</v>
      </c>
      <c r="T99" s="63" t="n">
        <f aca="false">IFERROR(T24/(T25*Assumptions!$H$49*Assumptions!$H$43),0)</f>
        <v>188.509266558083</v>
      </c>
      <c r="U99" s="63" t="n">
        <f aca="false">IFERROR(U24/(U25*Assumptions!$H$49*Assumptions!$H$43),0)</f>
        <v>191.78289072014</v>
      </c>
      <c r="V99" s="63" t="n">
        <f aca="false">IFERROR(V24/(V25*Assumptions!$H$49*Assumptions!$H$43),0)</f>
        <v>195.004709791795</v>
      </c>
      <c r="W99" s="63" t="n">
        <f aca="false">IFERROR(W24/(W25*Assumptions!$H$49*Assumptions!$H$43),0)</f>
        <v>198.202369692761</v>
      </c>
      <c r="X99" s="63" t="n">
        <f aca="false">IFERROR(X24/(X25*Assumptions!$H$49*Assumptions!$H$43),0)</f>
        <v>201.398475358043</v>
      </c>
      <c r="Y99" s="63" t="n">
        <f aca="false">IFERROR(Y24/(Y25*Assumptions!$H$49*Assumptions!$H$43),0)</f>
        <v>204.611862044559</v>
      </c>
      <c r="Z99" s="63" t="n">
        <f aca="false">IFERROR(Z24/(Z25*Assumptions!$H$49*Assumptions!$H$43),0)</f>
        <v>207.85851887672</v>
      </c>
      <c r="AA99" s="63" t="n">
        <f aca="false">IFERROR(AA24/(AA25*Assumptions!$H$49*Assumptions!$H$43),0)</f>
        <v>211.152267501529</v>
      </c>
      <c r="AB99" s="63" t="n">
        <f aca="false">IFERROR(AB24/(AB25*Assumptions!$H$49*Assumptions!$H$43),0)</f>
        <v>214.505264982486</v>
      </c>
      <c r="AC99" s="63" t="n">
        <f aca="false">IFERROR(AC24/(AC25*Assumptions!$H$49*Assumptions!$H$43),0)</f>
        <v>217.814716268919</v>
      </c>
      <c r="AD99" s="63" t="n">
        <f aca="false">IFERROR(AD24/(AD25*Assumptions!$H$49*Assumptions!$H$43),0)</f>
        <v>221.066587255325</v>
      </c>
      <c r="AE99" s="63" t="n">
        <f aca="false">IFERROR(AE24/(AE25*Assumptions!$H$49*Assumptions!$H$43),0)</f>
        <v>224.308650072047</v>
      </c>
      <c r="AF99" s="63" t="n">
        <f aca="false">IFERROR(AF24/(AF25*Assumptions!$H$49*Assumptions!$H$43),0)</f>
        <v>227.555618936516</v>
      </c>
      <c r="AG99" s="63" t="n">
        <f aca="false">IFERROR(AG24/(AG25*Assumptions!$H$49*Assumptions!$H$43),0)</f>
        <v>230.82139393448</v>
      </c>
      <c r="AH99" s="63" t="n">
        <f aca="false">IFERROR(AH24/(AH25*Assumptions!$H$49*Assumptions!$H$43),0)</f>
        <v>234.118585606845</v>
      </c>
      <c r="AI99" s="63" t="n">
        <f aca="false">IFERROR(AI24/(AI25*Assumptions!$H$49*Assumptions!$H$43),0)</f>
        <v>237.458743789444</v>
      </c>
      <c r="AJ99" s="63" t="n">
        <f aca="false">IFERROR(AJ24/(AJ25*Assumptions!$H$49*Assumptions!$H$43),0)</f>
        <v>240.852512904121</v>
      </c>
      <c r="AK99" s="63" t="n">
        <f aca="false">IFERROR(AK24/(AK25*Assumptions!$H$49*Assumptions!$H$43),0)</f>
        <v>244.309757291659</v>
      </c>
      <c r="AL99" s="63" t="n">
        <f aca="false">IFERROR(AL24/(AL25*Assumptions!$H$49*Assumptions!$H$43),0)</f>
        <v>247.839660053588</v>
      </c>
      <c r="AM99" s="63" t="n">
        <f aca="false">AVERAGE(N99:AL99)</f>
        <v>207.706626279891</v>
      </c>
    </row>
    <row r="100" customFormat="false" ht="15" hidden="false" customHeight="false" outlineLevel="0" collapsed="false">
      <c r="A100" s="37" t="s">
        <v>834</v>
      </c>
      <c r="B100" s="9" t="s">
        <v>97</v>
      </c>
      <c r="C100" s="51" t="n">
        <f aca="false">IFERROR(C26/((C19*Assumptions!$H$31*Assumptions!$H$32+C23*Assumptions!$H$38*Assumptions!$H$39+C25*Assumptions!$H$43)*Assumptions!$H$49),0)</f>
        <v>133.324425096891</v>
      </c>
      <c r="D100" s="51" t="n">
        <f aca="false">IFERROR(D26/((D19*Assumptions!$H$31*Assumptions!$H$32+D23*Assumptions!$H$38*Assumptions!$H$39+D25*Assumptions!$H$43)*Assumptions!$H$49),0)</f>
        <v>158.730665434585</v>
      </c>
      <c r="E100" s="51" t="n">
        <f aca="false">IFERROR(E26/((E19*Assumptions!$H$31*Assumptions!$H$32+E23*Assumptions!$H$38*Assumptions!$H$39+E25*Assumptions!$H$43)*Assumptions!$H$49),0)</f>
        <v>192.451262057952</v>
      </c>
      <c r="F100" s="51" t="n">
        <f aca="false">IFERROR(F26/((F19*Assumptions!$H$31*Assumptions!$H$32+F23*Assumptions!$H$38*Assumptions!$H$39+F25*Assumptions!$H$43)*Assumptions!$H$49),0)</f>
        <v>172.457962952869</v>
      </c>
      <c r="G100" s="51" t="n">
        <f aca="false">IFERROR(G26/((G19*Assumptions!$H$31*Assumptions!$H$32+G23*Assumptions!$H$38*Assumptions!$H$39+G25*Assumptions!$H$43)*Assumptions!$H$49),0)</f>
        <v>171.555418635572</v>
      </c>
      <c r="H100" s="51" t="n">
        <f aca="false">IFERROR(H26/((H19*Assumptions!$H$31*Assumptions!$H$32+H23*Assumptions!$H$38*Assumptions!$H$39+H25*Assumptions!$H$43)*Assumptions!$H$49),0)</f>
        <v>171.32367781068</v>
      </c>
      <c r="I100" s="51" t="n">
        <f aca="false">IFERROR(I26/((I19*Assumptions!$H$31*Assumptions!$H$32+I23*Assumptions!$H$38*Assumptions!$H$39+I25*Assumptions!$H$43)*Assumptions!$H$49),0)</f>
        <v>171.492325091762</v>
      </c>
      <c r="J100" s="51" t="n">
        <f aca="false">IFERROR(J26/((J19*Assumptions!$H$31*Assumptions!$H$32+J23*Assumptions!$H$38*Assumptions!$H$39+J25*Assumptions!$H$43)*Assumptions!$H$49),0)</f>
        <v>171.805452039459</v>
      </c>
      <c r="K100" s="51" t="n">
        <f aca="false">IFERROR(K26/((K19*Assumptions!$H$31*Assumptions!$H$32+K23*Assumptions!$H$38*Assumptions!$H$39+K25*Assumptions!$H$43)*Assumptions!$H$49),0)</f>
        <v>172.143085266141</v>
      </c>
      <c r="L100" s="51" t="n">
        <f aca="false">IFERROR(L26/((L19*Assumptions!$H$31*Assumptions!$H$32+L23*Assumptions!$H$38*Assumptions!$H$39+L25*Assumptions!$H$43)*Assumptions!$H$49),0)</f>
        <v>172.498550596475</v>
      </c>
      <c r="M100" s="51" t="n">
        <f aca="false">IFERROR(M26/((M19*Assumptions!$H$31*Assumptions!$H$32+M23*Assumptions!$H$38*Assumptions!$H$39+M25*Assumptions!$H$43)*Assumptions!$H$49),0)</f>
        <v>174.698999538892</v>
      </c>
      <c r="N100" s="51" t="n">
        <f aca="false">IFERROR(N26/((N19*Assumptions!$H$31*Assumptions!$H$32+N23*Assumptions!$H$38*Assumptions!$H$39+N25*Assumptions!$H$43)*Assumptions!$H$49),0)</f>
        <v>177.150147893664</v>
      </c>
      <c r="O100" s="51" t="n">
        <f aca="false">IFERROR(O26/((O19*Assumptions!$H$31*Assumptions!$H$32+O23*Assumptions!$H$38*Assumptions!$H$39+O25*Assumptions!$H$43)*Assumptions!$H$49),0)</f>
        <v>179.579324005687</v>
      </c>
      <c r="P100" s="51" t="n">
        <f aca="false">IFERROR(P26/((P19*Assumptions!$H$31*Assumptions!$H$32+P23*Assumptions!$H$38*Assumptions!$H$39+P25*Assumptions!$H$43)*Assumptions!$H$49),0)</f>
        <v>181.946782932844</v>
      </c>
      <c r="Q100" s="51" t="n">
        <f aca="false">IFERROR(Q26/((Q19*Assumptions!$H$31*Assumptions!$H$32+Q23*Assumptions!$H$38*Assumptions!$H$39+Q25*Assumptions!$H$43)*Assumptions!$H$49),0)</f>
        <v>184.25295441089</v>
      </c>
      <c r="R100" s="51" t="n">
        <f aca="false">IFERROR(R26/((R19*Assumptions!$H$31*Assumptions!$H$32+R23*Assumptions!$H$38*Assumptions!$H$39+R25*Assumptions!$H$43)*Assumptions!$H$49),0)</f>
        <v>186.507589816761</v>
      </c>
      <c r="S100" s="51" t="n">
        <f aca="false">IFERROR(S26/((S19*Assumptions!$H$31*Assumptions!$H$32+S23*Assumptions!$H$38*Assumptions!$H$39+S25*Assumptions!$H$43)*Assumptions!$H$49),0)</f>
        <v>188.723373847079</v>
      </c>
      <c r="T100" s="51" t="n">
        <f aca="false">IFERROR(T26/((T19*Assumptions!$H$31*Assumptions!$H$32+T23*Assumptions!$H$38*Assumptions!$H$39+T25*Assumptions!$H$43)*Assumptions!$H$49),0)</f>
        <v>190.91350949572</v>
      </c>
      <c r="U100" s="51" t="n">
        <f aca="false">IFERROR(U26/((U19*Assumptions!$H$31*Assumptions!$H$32+U23*Assumptions!$H$38*Assumptions!$H$39+U25*Assumptions!$H$43)*Assumptions!$H$49),0)</f>
        <v>193.090664450352</v>
      </c>
      <c r="V100" s="51" t="n">
        <f aca="false">IFERROR(V26/((V19*Assumptions!$H$31*Assumptions!$H$32+V23*Assumptions!$H$38*Assumptions!$H$39+V25*Assumptions!$H$43)*Assumptions!$H$49),0)</f>
        <v>195.26653692707</v>
      </c>
      <c r="W100" s="51" t="n">
        <f aca="false">IFERROR(W26/((W19*Assumptions!$H$31*Assumptions!$H$32+W23*Assumptions!$H$38*Assumptions!$H$39+W25*Assumptions!$H$43)*Assumptions!$H$49),0)</f>
        <v>197.451728199801</v>
      </c>
      <c r="X100" s="51" t="n">
        <f aca="false">IFERROR(X26/((X19*Assumptions!$H$31*Assumptions!$H$32+X23*Assumptions!$H$38*Assumptions!$H$39+X25*Assumptions!$H$43)*Assumptions!$H$49),0)</f>
        <v>199.655764442278</v>
      </c>
      <c r="Y100" s="51" t="n">
        <f aca="false">IFERROR(Y26/((Y19*Assumptions!$H$31*Assumptions!$H$32+Y23*Assumptions!$H$38*Assumptions!$H$39+Y25*Assumptions!$H$43)*Assumptions!$H$49),0)</f>
        <v>201.887185517412</v>
      </c>
      <c r="Z100" s="51" t="n">
        <f aca="false">IFERROR(Z26/((Z19*Assumptions!$H$31*Assumptions!$H$32+Z23*Assumptions!$H$38*Assumptions!$H$39+Z25*Assumptions!$H$43)*Assumptions!$H$49),0)</f>
        <v>204.153657494402</v>
      </c>
      <c r="AA100" s="51" t="n">
        <f aca="false">IFERROR(AA26/((AA19*Assumptions!$H$31*Assumptions!$H$32+AA23*Assumptions!$H$38*Assumptions!$H$39+AA25*Assumptions!$H$43)*Assumptions!$H$49),0)</f>
        <v>206.462086729138</v>
      </c>
      <c r="AB100" s="51" t="n">
        <f aca="false">IFERROR(AB26/((AB19*Assumptions!$H$31*Assumptions!$H$32+AB23*Assumptions!$H$38*Assumptions!$H$39+AB25*Assumptions!$H$43)*Assumptions!$H$49),0)</f>
        <v>208.818724806177</v>
      </c>
      <c r="AC100" s="51" t="n">
        <f aca="false">IFERROR(AC26/((AC19*Assumptions!$H$31*Assumptions!$H$32+AC23*Assumptions!$H$38*Assumptions!$H$39+AC25*Assumptions!$H$43)*Assumptions!$H$49),0)</f>
        <v>211.14325334448</v>
      </c>
      <c r="AD100" s="51" t="n">
        <f aca="false">IFERROR(AD26/((AD19*Assumptions!$H$31*Assumptions!$H$32+AD23*Assumptions!$H$38*Assumptions!$H$39+AD25*Assumptions!$H$43)*Assumptions!$H$49),0)</f>
        <v>213.416842661782</v>
      </c>
      <c r="AE100" s="51" t="n">
        <f aca="false">IFERROR(AE26/((AE19*Assumptions!$H$31*Assumptions!$H$32+AE23*Assumptions!$H$38*Assumptions!$H$39+AE25*Assumptions!$H$43)*Assumptions!$H$49),0)</f>
        <v>215.670494675153</v>
      </c>
      <c r="AF100" s="51" t="n">
        <f aca="false">IFERROR(AF26/((AF19*Assumptions!$H$31*Assumptions!$H$32+AF23*Assumptions!$H$38*Assumptions!$H$39+AF25*Assumptions!$H$43)*Assumptions!$H$49),0)</f>
        <v>217.912577525688</v>
      </c>
      <c r="AG100" s="51" t="n">
        <f aca="false">IFERROR(AG26/((AG19*Assumptions!$H$31*Assumptions!$H$32+AG23*Assumptions!$H$38*Assumptions!$H$39+AG25*Assumptions!$H$43)*Assumptions!$H$49),0)</f>
        <v>220.150666751369</v>
      </c>
      <c r="AH100" s="51" t="n">
        <f aca="false">IFERROR(AH26/((AH19*Assumptions!$H$31*Assumptions!$H$32+AH23*Assumptions!$H$38*Assumptions!$H$39+AH25*Assumptions!$H$43)*Assumptions!$H$49),0)</f>
        <v>222.391523775189</v>
      </c>
      <c r="AI100" s="51" t="n">
        <f aca="false">IFERROR(AI26/((AI19*Assumptions!$H$31*Assumptions!$H$32+AI23*Assumptions!$H$38*Assumptions!$H$39+AI25*Assumptions!$H$43)*Assumptions!$H$49),0)</f>
        <v>224.641232545606</v>
      </c>
      <c r="AJ100" s="51" t="n">
        <f aca="false">IFERROR(AJ26/((AJ19*Assumptions!$H$31*Assumptions!$H$32+AJ23*Assumptions!$H$38*Assumptions!$H$39+AJ25*Assumptions!$H$43)*Assumptions!$H$49),0)</f>
        <v>226.905266771416</v>
      </c>
      <c r="AK100" s="51" t="n">
        <f aca="false">IFERROR(AK26/((AK19*Assumptions!$H$31*Assumptions!$H$32+AK23*Assumptions!$H$38*Assumptions!$H$39+AK25*Assumptions!$H$43)*Assumptions!$H$49),0)</f>
        <v>229.188545039106</v>
      </c>
      <c r="AL100" s="51" t="n">
        <f aca="false">IFERROR(AL26/((AL19*Assumptions!$H$31*Assumptions!$H$32+AL23*Assumptions!$H$38*Assumptions!$H$39+AL25*Assumptions!$H$43)*Assumptions!$H$49),0)</f>
        <v>231.495476348674</v>
      </c>
      <c r="AM100" s="51" t="n">
        <f aca="false">AVERAGE(N100:AL100)</f>
        <v>204.35103641631</v>
      </c>
    </row>
    <row r="101" customFormat="false" ht="15" hidden="false" customHeight="false" outlineLevel="0" collapsed="false">
      <c r="A101" s="37" t="s">
        <v>835</v>
      </c>
      <c r="B101" s="9" t="s">
        <v>370</v>
      </c>
      <c r="C101" s="72" t="n">
        <f aca="false">IFERROR(C100/C104,0)</f>
        <v>2.9889441678042</v>
      </c>
      <c r="D101" s="72" t="n">
        <f aca="false">IFERROR(D100/D104,0)</f>
        <v>3.55851597603062</v>
      </c>
      <c r="E101" s="72" t="n">
        <f aca="false">IFERROR(E100/E104,0)</f>
        <v>4.31448383817624</v>
      </c>
      <c r="F101" s="72" t="n">
        <f aca="false">IFERROR(F100/F104,0)</f>
        <v>3.86626248104776</v>
      </c>
      <c r="G101" s="72" t="n">
        <f aca="false">IFERROR(G100/G104,0)</f>
        <v>3.84602871989402</v>
      </c>
      <c r="H101" s="72" t="n">
        <f aca="false">IFERROR(H100/H104,0)</f>
        <v>3.8408334198843</v>
      </c>
      <c r="I101" s="72" t="n">
        <f aca="false">IFERROR(I100/I104,0)</f>
        <v>3.84461425229245</v>
      </c>
      <c r="J101" s="72" t="n">
        <f aca="false">IFERROR(J100/J104,0)</f>
        <v>3.85163411353261</v>
      </c>
      <c r="K101" s="72" t="n">
        <f aca="false">IFERROR(K100/K104,0)</f>
        <v>3.85920337072621</v>
      </c>
      <c r="L101" s="72" t="n">
        <f aca="false">IFERROR(L100/L104,0)</f>
        <v>3.86717239834575</v>
      </c>
      <c r="M101" s="72" t="n">
        <f aca="false">IFERROR(M100/M104,0)</f>
        <v>3.91650333698066</v>
      </c>
      <c r="N101" s="72" t="n">
        <f aca="false">IFERROR(N100/N104,0)</f>
        <v>3.97145460021763</v>
      </c>
      <c r="O101" s="72" t="n">
        <f aca="false">IFERROR(O100/O104,0)</f>
        <v>4.02591327699291</v>
      </c>
      <c r="P101" s="72" t="n">
        <f aca="false">IFERROR(P100/P104,0)</f>
        <v>4.07898834217846</v>
      </c>
      <c r="Q101" s="72" t="n">
        <f aca="false">IFERROR(Q100/Q104,0)</f>
        <v>4.13068942983927</v>
      </c>
      <c r="R101" s="72" t="n">
        <f aca="false">IFERROR(R100/R104,0)</f>
        <v>4.18123515199037</v>
      </c>
      <c r="S101" s="72" t="n">
        <f aca="false">IFERROR(S100/S104,0)</f>
        <v>4.23090988150613</v>
      </c>
      <c r="T101" s="72" t="n">
        <f aca="false">IFERROR(T100/T104,0)</f>
        <v>4.2800096107489</v>
      </c>
      <c r="U101" s="72" t="n">
        <f aca="false">IFERROR(U100/U104,0)</f>
        <v>4.32881833127648</v>
      </c>
      <c r="V101" s="72" t="n">
        <f aca="false">IFERROR(V100/V104,0)</f>
        <v>4.3775983004715</v>
      </c>
      <c r="W101" s="72" t="n">
        <f aca="false">IFERROR(W100/W104,0)</f>
        <v>4.42658718383192</v>
      </c>
      <c r="X101" s="72" t="n">
        <f aca="false">IFERROR(X100/X104,0)</f>
        <v>4.47599854463692</v>
      </c>
      <c r="Y101" s="72" t="n">
        <f aca="false">IFERROR(Y100/Y104,0)</f>
        <v>4.52602383447851</v>
      </c>
      <c r="Z101" s="72" t="n">
        <f aca="false">IFERROR(Z100/Z104,0)</f>
        <v>4.57683491573532</v>
      </c>
      <c r="AA101" s="72" t="n">
        <f aca="false">IFERROR(AA100/AA104,0)</f>
        <v>4.62858661909305</v>
      </c>
      <c r="AB101" s="72" t="n">
        <f aca="false">IFERROR(AB100/AB104,0)</f>
        <v>4.68141909619447</v>
      </c>
      <c r="AC101" s="72" t="n">
        <f aca="false">IFERROR(AC100/AC104,0)</f>
        <v>4.7335317230624</v>
      </c>
      <c r="AD101" s="72" t="n">
        <f aca="false">IFERROR(AD100/AD104,0)</f>
        <v>4.78450236497586</v>
      </c>
      <c r="AE101" s="72" t="n">
        <f aca="false">IFERROR(AE100/AE104,0)</f>
        <v>4.83502604086443</v>
      </c>
      <c r="AF101" s="72" t="n">
        <f aca="false">IFERROR(AF100/AF104,0)</f>
        <v>4.88529035256104</v>
      </c>
      <c r="AG101" s="72" t="n">
        <f aca="false">IFERROR(AG100/AG104,0)</f>
        <v>4.93546513286301</v>
      </c>
      <c r="AH101" s="72" t="n">
        <f aca="false">IFERROR(AH100/AH104,0)</f>
        <v>4.98570196326646</v>
      </c>
      <c r="AI101" s="72" t="n">
        <f aca="false">IFERROR(AI100/AI104,0)</f>
        <v>5.03613723725104</v>
      </c>
      <c r="AJ101" s="72" t="n">
        <f aca="false">IFERROR(AJ100/AJ104,0)</f>
        <v>5.08689366759023</v>
      </c>
      <c r="AK101" s="72" t="n">
        <f aca="false">IFERROR(AK100/AK104,0)</f>
        <v>5.1380815220042</v>
      </c>
      <c r="AL101" s="72" t="n">
        <f aca="false">IFERROR(AL100/AL104,0)</f>
        <v>5.18979964400808</v>
      </c>
      <c r="AM101" s="72" t="n">
        <f aca="false">AVERAGE(N101:AL101)</f>
        <v>4.58125987070554</v>
      </c>
    </row>
    <row r="102" customFormat="false" ht="15" hidden="false" customHeight="false" outlineLevel="0" collapsed="false">
      <c r="A102" s="10" t="s">
        <v>836</v>
      </c>
      <c r="B102" s="9" t="s">
        <v>97</v>
      </c>
      <c r="C102" s="63" t="n">
        <f aca="false">Assumptions!$H$70*(1-Assumptions!$H$80)*(1-Assumptions!$H$79)-Assumptions!$H$73-Assumptions!$H$75-Assumptions!$H$76-Assumptions!$H$77</f>
        <v>116.02563</v>
      </c>
      <c r="D102" s="63" t="n">
        <f aca="false">Assumptions!$H$70*(1-Assumptions!$H$80)*(1-Assumptions!$H$79)-Assumptions!$H$73-Assumptions!$H$75-Assumptions!$H$76-Assumptions!$H$77</f>
        <v>116.02563</v>
      </c>
      <c r="E102" s="63" t="n">
        <f aca="false">Assumptions!$H$70*(1-Assumptions!$H$80)*(1-Assumptions!$H$79)-Assumptions!$H$73-Assumptions!$H$75-Assumptions!$H$76-Assumptions!$H$77</f>
        <v>116.02563</v>
      </c>
      <c r="F102" s="63" t="n">
        <f aca="false">Assumptions!$H$70*(1-Assumptions!$H$80)*(1-Assumptions!$H$79)-Assumptions!$H$73-Assumptions!$H$75-Assumptions!$H$76-Assumptions!$H$77</f>
        <v>116.02563</v>
      </c>
      <c r="G102" s="63" t="n">
        <f aca="false">Assumptions!$H$70*(1-Assumptions!$H$80)*(1-Assumptions!$H$79)-Assumptions!$H$73-Assumptions!$H$75-Assumptions!$H$76-Assumptions!$H$77</f>
        <v>116.02563</v>
      </c>
      <c r="H102" s="63" t="n">
        <f aca="false">Assumptions!$H$70*(1-Assumptions!$H$80)*(1-Assumptions!$H$79)-Assumptions!$H$73-Assumptions!$H$75-Assumptions!$H$76-Assumptions!$H$77</f>
        <v>116.02563</v>
      </c>
      <c r="I102" s="63" t="n">
        <f aca="false">Assumptions!$H$70*(1-Assumptions!$H$80)*(1-Assumptions!$H$79)-Assumptions!$H$73-Assumptions!$H$75-Assumptions!$H$76-Assumptions!$H$77</f>
        <v>116.02563</v>
      </c>
      <c r="J102" s="63" t="n">
        <f aca="false">Assumptions!$H$70*(1-Assumptions!$H$80)*(1-Assumptions!$H$79)-Assumptions!$H$73-Assumptions!$H$75-Assumptions!$H$76-Assumptions!$H$77</f>
        <v>116.02563</v>
      </c>
      <c r="K102" s="63" t="n">
        <f aca="false">Assumptions!$H$70*(1-Assumptions!$H$80)*(1-Assumptions!$H$79)-Assumptions!$H$73-Assumptions!$H$75-Assumptions!$H$76-Assumptions!$H$77</f>
        <v>116.02563</v>
      </c>
      <c r="L102" s="63" t="n">
        <f aca="false">Assumptions!$H$70*(1-Assumptions!$H$80)*(1-Assumptions!$H$79)-Assumptions!$H$73-Assumptions!$H$75-Assumptions!$H$76-Assumptions!$H$77</f>
        <v>116.02563</v>
      </c>
      <c r="M102" s="63" t="n">
        <f aca="false">Assumptions!$H$70*(1-Assumptions!$H$80)*(1-Assumptions!$H$79)-Assumptions!$H$73-Assumptions!$H$75-Assumptions!$H$76-Assumptions!$H$77</f>
        <v>116.02563</v>
      </c>
      <c r="N102" s="63" t="n">
        <f aca="false">Assumptions!$H$70*(1-Assumptions!$H$80)*(1-Assumptions!$H$79)-Assumptions!$H$73-Assumptions!$H$75-Assumptions!$H$76-Assumptions!$H$77</f>
        <v>116.02563</v>
      </c>
      <c r="O102" s="63" t="n">
        <f aca="false">Assumptions!$H$70*(1-Assumptions!$H$80)*(1-Assumptions!$H$79)-Assumptions!$H$73-Assumptions!$H$75-Assumptions!$H$76-Assumptions!$H$77</f>
        <v>116.02563</v>
      </c>
      <c r="P102" s="63" t="n">
        <f aca="false">Assumptions!$H$70*(1-Assumptions!$H$80)*(1-Assumptions!$H$79)-Assumptions!$H$73-Assumptions!$H$75-Assumptions!$H$76-Assumptions!$H$77</f>
        <v>116.02563</v>
      </c>
      <c r="Q102" s="63" t="n">
        <f aca="false">Assumptions!$H$70*(1-Assumptions!$H$80)*(1-Assumptions!$H$79)-Assumptions!$H$73-Assumptions!$H$75-Assumptions!$H$76-Assumptions!$H$77</f>
        <v>116.02563</v>
      </c>
      <c r="R102" s="63" t="n">
        <f aca="false">Assumptions!$H$70*(1-Assumptions!$H$80)*(1-Assumptions!$H$79)-Assumptions!$H$73-Assumptions!$H$75-Assumptions!$H$76-Assumptions!$H$77</f>
        <v>116.02563</v>
      </c>
      <c r="S102" s="63" t="n">
        <f aca="false">Assumptions!$H$70*(1-Assumptions!$H$80)*(1-Assumptions!$H$79)-Assumptions!$H$73-Assumptions!$H$75-Assumptions!$H$76-Assumptions!$H$77</f>
        <v>116.02563</v>
      </c>
      <c r="T102" s="63" t="n">
        <f aca="false">Assumptions!$H$70*(1-Assumptions!$H$80)*(1-Assumptions!$H$79)-Assumptions!$H$73-Assumptions!$H$75-Assumptions!$H$76-Assumptions!$H$77</f>
        <v>116.02563</v>
      </c>
      <c r="U102" s="63" t="n">
        <f aca="false">Assumptions!$H$70*(1-Assumptions!$H$80)*(1-Assumptions!$H$79)-Assumptions!$H$73-Assumptions!$H$75-Assumptions!$H$76-Assumptions!$H$77</f>
        <v>116.02563</v>
      </c>
      <c r="V102" s="63" t="n">
        <f aca="false">Assumptions!$H$70*(1-Assumptions!$H$80)*(1-Assumptions!$H$79)-Assumptions!$H$73-Assumptions!$H$75-Assumptions!$H$76-Assumptions!$H$77</f>
        <v>116.02563</v>
      </c>
      <c r="W102" s="63" t="n">
        <f aca="false">Assumptions!$H$70*(1-Assumptions!$H$80)*(1-Assumptions!$H$79)-Assumptions!$H$73-Assumptions!$H$75-Assumptions!$H$76-Assumptions!$H$77</f>
        <v>116.02563</v>
      </c>
      <c r="X102" s="63" t="n">
        <f aca="false">Assumptions!$H$70*(1-Assumptions!$H$80)*(1-Assumptions!$H$79)-Assumptions!$H$73-Assumptions!$H$75-Assumptions!$H$76-Assumptions!$H$77</f>
        <v>116.02563</v>
      </c>
      <c r="Y102" s="63" t="n">
        <f aca="false">Assumptions!$H$70*(1-Assumptions!$H$80)*(1-Assumptions!$H$79)-Assumptions!$H$73-Assumptions!$H$75-Assumptions!$H$76-Assumptions!$H$77</f>
        <v>116.02563</v>
      </c>
      <c r="Z102" s="63" t="n">
        <f aca="false">Assumptions!$H$70*(1-Assumptions!$H$80)*(1-Assumptions!$H$79)-Assumptions!$H$73-Assumptions!$H$75-Assumptions!$H$76-Assumptions!$H$77</f>
        <v>116.02563</v>
      </c>
      <c r="AA102" s="63" t="n">
        <f aca="false">Assumptions!$H$70*(1-Assumptions!$H$80)*(1-Assumptions!$H$79)-Assumptions!$H$73-Assumptions!$H$75-Assumptions!$H$76-Assumptions!$H$77</f>
        <v>116.02563</v>
      </c>
      <c r="AB102" s="63" t="n">
        <f aca="false">Assumptions!$H$70*(1-Assumptions!$H$80)*(1-Assumptions!$H$79)-Assumptions!$H$73-Assumptions!$H$75-Assumptions!$H$76-Assumptions!$H$77</f>
        <v>116.02563</v>
      </c>
      <c r="AC102" s="63" t="n">
        <f aca="false">Assumptions!$H$70*(1-Assumptions!$H$80)*(1-Assumptions!$H$79)-Assumptions!$H$73-Assumptions!$H$75-Assumptions!$H$76-Assumptions!$H$77</f>
        <v>116.02563</v>
      </c>
      <c r="AD102" s="63" t="n">
        <f aca="false">Assumptions!$H$70*(1-Assumptions!$H$80)*(1-Assumptions!$H$79)-Assumptions!$H$73-Assumptions!$H$75-Assumptions!$H$76-Assumptions!$H$77</f>
        <v>116.02563</v>
      </c>
      <c r="AE102" s="63" t="n">
        <f aca="false">Assumptions!$H$70*(1-Assumptions!$H$80)*(1-Assumptions!$H$79)-Assumptions!$H$73-Assumptions!$H$75-Assumptions!$H$76-Assumptions!$H$77</f>
        <v>116.02563</v>
      </c>
      <c r="AF102" s="63" t="n">
        <f aca="false">Assumptions!$H$70*(1-Assumptions!$H$80)*(1-Assumptions!$H$79)-Assumptions!$H$73-Assumptions!$H$75-Assumptions!$H$76-Assumptions!$H$77</f>
        <v>116.02563</v>
      </c>
      <c r="AG102" s="63" t="n">
        <f aca="false">Assumptions!$H$70*(1-Assumptions!$H$80)*(1-Assumptions!$H$79)-Assumptions!$H$73-Assumptions!$H$75-Assumptions!$H$76-Assumptions!$H$77</f>
        <v>116.02563</v>
      </c>
      <c r="AH102" s="63" t="n">
        <f aca="false">Assumptions!$H$70*(1-Assumptions!$H$80)*(1-Assumptions!$H$79)-Assumptions!$H$73-Assumptions!$H$75-Assumptions!$H$76-Assumptions!$H$77</f>
        <v>116.02563</v>
      </c>
      <c r="AI102" s="63" t="n">
        <f aca="false">Assumptions!$H$70*(1-Assumptions!$H$80)*(1-Assumptions!$H$79)-Assumptions!$H$73-Assumptions!$H$75-Assumptions!$H$76-Assumptions!$H$77</f>
        <v>116.02563</v>
      </c>
      <c r="AJ102" s="63" t="n">
        <f aca="false">Assumptions!$H$70*(1-Assumptions!$H$80)*(1-Assumptions!$H$79)-Assumptions!$H$73-Assumptions!$H$75-Assumptions!$H$76-Assumptions!$H$77</f>
        <v>116.02563</v>
      </c>
      <c r="AK102" s="63" t="n">
        <f aca="false">Assumptions!$H$70*(1-Assumptions!$H$80)*(1-Assumptions!$H$79)-Assumptions!$H$73-Assumptions!$H$75-Assumptions!$H$76-Assumptions!$H$77</f>
        <v>116.02563</v>
      </c>
      <c r="AL102" s="63" t="n">
        <f aca="false">Assumptions!$H$70*(1-Assumptions!$H$80)*(1-Assumptions!$H$79)-Assumptions!$H$73-Assumptions!$H$75-Assumptions!$H$76-Assumptions!$H$77</f>
        <v>116.02563</v>
      </c>
      <c r="AM102" s="63" t="n">
        <f aca="false">AVERAGE(N102:AL102)</f>
        <v>116.02563</v>
      </c>
    </row>
    <row r="103" customFormat="false" ht="15" hidden="false" customHeight="false" outlineLevel="0" collapsed="false">
      <c r="A103" s="10" t="s">
        <v>837</v>
      </c>
      <c r="B103" s="9" t="s">
        <v>97</v>
      </c>
      <c r="C103" s="70" t="n">
        <f aca="false">C102/Assumptions!$H$68</f>
        <v>1054.77845454545</v>
      </c>
      <c r="D103" s="70" t="n">
        <f aca="false">D102/Assumptions!$H$68</f>
        <v>1054.77845454545</v>
      </c>
      <c r="E103" s="70" t="n">
        <f aca="false">E102/Assumptions!$H$68</f>
        <v>1054.77845454545</v>
      </c>
      <c r="F103" s="70" t="n">
        <f aca="false">F102/Assumptions!$H$68</f>
        <v>1054.77845454545</v>
      </c>
      <c r="G103" s="70" t="n">
        <f aca="false">G102/Assumptions!$H$68</f>
        <v>1054.77845454545</v>
      </c>
      <c r="H103" s="70" t="n">
        <f aca="false">H102/Assumptions!$H$68</f>
        <v>1054.77845454545</v>
      </c>
      <c r="I103" s="70" t="n">
        <f aca="false">I102/Assumptions!$H$68</f>
        <v>1054.77845454545</v>
      </c>
      <c r="J103" s="70" t="n">
        <f aca="false">J102/Assumptions!$H$68</f>
        <v>1054.77845454545</v>
      </c>
      <c r="K103" s="70" t="n">
        <f aca="false">K102/Assumptions!$H$68</f>
        <v>1054.77845454545</v>
      </c>
      <c r="L103" s="70" t="n">
        <f aca="false">L102/Assumptions!$H$68</f>
        <v>1054.77845454545</v>
      </c>
      <c r="M103" s="70" t="n">
        <f aca="false">M102/Assumptions!$H$68</f>
        <v>1054.77845454545</v>
      </c>
      <c r="N103" s="70" t="n">
        <f aca="false">N102/Assumptions!$H$68</f>
        <v>1054.77845454545</v>
      </c>
      <c r="O103" s="70" t="n">
        <f aca="false">O102/Assumptions!$H$68</f>
        <v>1054.77845454545</v>
      </c>
      <c r="P103" s="70" t="n">
        <f aca="false">P102/Assumptions!$H$68</f>
        <v>1054.77845454545</v>
      </c>
      <c r="Q103" s="70" t="n">
        <f aca="false">Q102/Assumptions!$H$68</f>
        <v>1054.77845454545</v>
      </c>
      <c r="R103" s="70" t="n">
        <f aca="false">R102/Assumptions!$H$68</f>
        <v>1054.77845454545</v>
      </c>
      <c r="S103" s="70" t="n">
        <f aca="false">S102/Assumptions!$H$68</f>
        <v>1054.77845454545</v>
      </c>
      <c r="T103" s="70" t="n">
        <f aca="false">T102/Assumptions!$H$68</f>
        <v>1054.77845454545</v>
      </c>
      <c r="U103" s="70" t="n">
        <f aca="false">U102/Assumptions!$H$68</f>
        <v>1054.77845454545</v>
      </c>
      <c r="V103" s="70" t="n">
        <f aca="false">V102/Assumptions!$H$68</f>
        <v>1054.77845454545</v>
      </c>
      <c r="W103" s="70" t="n">
        <f aca="false">W102/Assumptions!$H$68</f>
        <v>1054.77845454545</v>
      </c>
      <c r="X103" s="70" t="n">
        <f aca="false">X102/Assumptions!$H$68</f>
        <v>1054.77845454545</v>
      </c>
      <c r="Y103" s="70" t="n">
        <f aca="false">Y102/Assumptions!$H$68</f>
        <v>1054.77845454545</v>
      </c>
      <c r="Z103" s="70" t="n">
        <f aca="false">Z102/Assumptions!$H$68</f>
        <v>1054.77845454545</v>
      </c>
      <c r="AA103" s="70" t="n">
        <f aca="false">AA102/Assumptions!$H$68</f>
        <v>1054.77845454545</v>
      </c>
      <c r="AB103" s="70" t="n">
        <f aca="false">AB102/Assumptions!$H$68</f>
        <v>1054.77845454545</v>
      </c>
      <c r="AC103" s="70" t="n">
        <f aca="false">AC102/Assumptions!$H$68</f>
        <v>1054.77845454545</v>
      </c>
      <c r="AD103" s="70" t="n">
        <f aca="false">AD102/Assumptions!$H$68</f>
        <v>1054.77845454545</v>
      </c>
      <c r="AE103" s="70" t="n">
        <f aca="false">AE102/Assumptions!$H$68</f>
        <v>1054.77845454545</v>
      </c>
      <c r="AF103" s="70" t="n">
        <f aca="false">AF102/Assumptions!$H$68</f>
        <v>1054.77845454545</v>
      </c>
      <c r="AG103" s="70" t="n">
        <f aca="false">AG102/Assumptions!$H$68</f>
        <v>1054.77845454545</v>
      </c>
      <c r="AH103" s="70" t="n">
        <f aca="false">AH102/Assumptions!$H$68</f>
        <v>1054.77845454545</v>
      </c>
      <c r="AI103" s="70" t="n">
        <f aca="false">AI102/Assumptions!$H$68</f>
        <v>1054.77845454545</v>
      </c>
      <c r="AJ103" s="70" t="n">
        <f aca="false">AJ102/Assumptions!$H$68</f>
        <v>1054.77845454545</v>
      </c>
      <c r="AK103" s="70" t="n">
        <f aca="false">AK102/Assumptions!$H$68</f>
        <v>1054.77845454545</v>
      </c>
      <c r="AL103" s="70" t="n">
        <f aca="false">AL102/Assumptions!$H$68</f>
        <v>1054.77845454545</v>
      </c>
      <c r="AM103" s="70" t="n">
        <f aca="false">AVERAGE(N103:AL103)</f>
        <v>1054.77845454545</v>
      </c>
    </row>
    <row r="104" customFormat="false" ht="15" hidden="false" customHeight="false" outlineLevel="0" collapsed="false">
      <c r="A104" s="10" t="s">
        <v>402</v>
      </c>
      <c r="B104" s="9" t="s">
        <v>97</v>
      </c>
      <c r="C104" s="63" t="n">
        <f aca="false">Assumptions!$H$50*(1-Assumptions!$H$80)*(1-Assumptions!$H$79)-Assumptions!$H$50*Assumptions!$H$55-Assumptions!$H$56</f>
        <v>44.60586</v>
      </c>
      <c r="D104" s="63" t="n">
        <f aca="false">Assumptions!$H$50*(1-Assumptions!$H$80)*(1-Assumptions!$H$79)-Assumptions!$H$50*Assumptions!$H$55-Assumptions!$H$56</f>
        <v>44.60586</v>
      </c>
      <c r="E104" s="63" t="n">
        <f aca="false">Assumptions!$H$50*(1-Assumptions!$H$80)*(1-Assumptions!$H$79)-Assumptions!$H$50*Assumptions!$H$55-Assumptions!$H$56</f>
        <v>44.60586</v>
      </c>
      <c r="F104" s="63" t="n">
        <f aca="false">Assumptions!$H$50*(1-Assumptions!$H$80)*(1-Assumptions!$H$79)-Assumptions!$H$50*Assumptions!$H$55-Assumptions!$H$56</f>
        <v>44.60586</v>
      </c>
      <c r="G104" s="63" t="n">
        <f aca="false">Assumptions!$H$50*(1-Assumptions!$H$80)*(1-Assumptions!$H$79)-Assumptions!$H$50*Assumptions!$H$55-Assumptions!$H$56</f>
        <v>44.60586</v>
      </c>
      <c r="H104" s="63" t="n">
        <f aca="false">Assumptions!$H$50*(1-Assumptions!$H$80)*(1-Assumptions!$H$79)-Assumptions!$H$50*Assumptions!$H$55-Assumptions!$H$56</f>
        <v>44.60586</v>
      </c>
      <c r="I104" s="63" t="n">
        <f aca="false">Assumptions!$H$50*(1-Assumptions!$H$80)*(1-Assumptions!$H$79)-Assumptions!$H$50*Assumptions!$H$55-Assumptions!$H$56</f>
        <v>44.60586</v>
      </c>
      <c r="J104" s="63" t="n">
        <f aca="false">Assumptions!$H$50*(1-Assumptions!$H$80)*(1-Assumptions!$H$79)-Assumptions!$H$50*Assumptions!$H$55-Assumptions!$H$56</f>
        <v>44.60586</v>
      </c>
      <c r="K104" s="63" t="n">
        <f aca="false">Assumptions!$H$50*(1-Assumptions!$H$80)*(1-Assumptions!$H$79)-Assumptions!$H$50*Assumptions!$H$55-Assumptions!$H$56</f>
        <v>44.60586</v>
      </c>
      <c r="L104" s="63" t="n">
        <f aca="false">Assumptions!$H$50*(1-Assumptions!$H$80)*(1-Assumptions!$H$79)-Assumptions!$H$50*Assumptions!$H$55-Assumptions!$H$56</f>
        <v>44.60586</v>
      </c>
      <c r="M104" s="63" t="n">
        <f aca="false">Assumptions!$H$50*(1-Assumptions!$H$80)*(1-Assumptions!$H$79)-Assumptions!$H$50*Assumptions!$H$55-Assumptions!$H$56</f>
        <v>44.60586</v>
      </c>
      <c r="N104" s="63" t="n">
        <f aca="false">Assumptions!$H$50*(1-Assumptions!$H$80)*(1-Assumptions!$H$79)-Assumptions!$H$50*Assumptions!$H$55-Assumptions!$H$56</f>
        <v>44.60586</v>
      </c>
      <c r="O104" s="63" t="n">
        <f aca="false">Assumptions!$H$50*(1-Assumptions!$H$80)*(1-Assumptions!$H$79)-Assumptions!$H$50*Assumptions!$H$55-Assumptions!$H$56</f>
        <v>44.60586</v>
      </c>
      <c r="P104" s="63" t="n">
        <f aca="false">Assumptions!$H$50*(1-Assumptions!$H$80)*(1-Assumptions!$H$79)-Assumptions!$H$50*Assumptions!$H$55-Assumptions!$H$56</f>
        <v>44.60586</v>
      </c>
      <c r="Q104" s="63" t="n">
        <f aca="false">Assumptions!$H$50*(1-Assumptions!$H$80)*(1-Assumptions!$H$79)-Assumptions!$H$50*Assumptions!$H$55-Assumptions!$H$56</f>
        <v>44.60586</v>
      </c>
      <c r="R104" s="63" t="n">
        <f aca="false">Assumptions!$H$50*(1-Assumptions!$H$80)*(1-Assumptions!$H$79)-Assumptions!$H$50*Assumptions!$H$55-Assumptions!$H$56</f>
        <v>44.60586</v>
      </c>
      <c r="S104" s="63" t="n">
        <f aca="false">Assumptions!$H$50*(1-Assumptions!$H$80)*(1-Assumptions!$H$79)-Assumptions!$H$50*Assumptions!$H$55-Assumptions!$H$56</f>
        <v>44.60586</v>
      </c>
      <c r="T104" s="63" t="n">
        <f aca="false">Assumptions!$H$50*(1-Assumptions!$H$80)*(1-Assumptions!$H$79)-Assumptions!$H$50*Assumptions!$H$55-Assumptions!$H$56</f>
        <v>44.60586</v>
      </c>
      <c r="U104" s="63" t="n">
        <f aca="false">Assumptions!$H$50*(1-Assumptions!$H$80)*(1-Assumptions!$H$79)-Assumptions!$H$50*Assumptions!$H$55-Assumptions!$H$56</f>
        <v>44.60586</v>
      </c>
      <c r="V104" s="63" t="n">
        <f aca="false">Assumptions!$H$50*(1-Assumptions!$H$80)*(1-Assumptions!$H$79)-Assumptions!$H$50*Assumptions!$H$55-Assumptions!$H$56</f>
        <v>44.60586</v>
      </c>
      <c r="W104" s="63" t="n">
        <f aca="false">Assumptions!$H$50*(1-Assumptions!$H$80)*(1-Assumptions!$H$79)-Assumptions!$H$50*Assumptions!$H$55-Assumptions!$H$56</f>
        <v>44.60586</v>
      </c>
      <c r="X104" s="63" t="n">
        <f aca="false">Assumptions!$H$50*(1-Assumptions!$H$80)*(1-Assumptions!$H$79)-Assumptions!$H$50*Assumptions!$H$55-Assumptions!$H$56</f>
        <v>44.60586</v>
      </c>
      <c r="Y104" s="63" t="n">
        <f aca="false">Assumptions!$H$50*(1-Assumptions!$H$80)*(1-Assumptions!$H$79)-Assumptions!$H$50*Assumptions!$H$55-Assumptions!$H$56</f>
        <v>44.60586</v>
      </c>
      <c r="Z104" s="63" t="n">
        <f aca="false">Assumptions!$H$50*(1-Assumptions!$H$80)*(1-Assumptions!$H$79)-Assumptions!$H$50*Assumptions!$H$55-Assumptions!$H$56</f>
        <v>44.60586</v>
      </c>
      <c r="AA104" s="63" t="n">
        <f aca="false">Assumptions!$H$50*(1-Assumptions!$H$80)*(1-Assumptions!$H$79)-Assumptions!$H$50*Assumptions!$H$55-Assumptions!$H$56</f>
        <v>44.60586</v>
      </c>
      <c r="AB104" s="63" t="n">
        <f aca="false">Assumptions!$H$50*(1-Assumptions!$H$80)*(1-Assumptions!$H$79)-Assumptions!$H$50*Assumptions!$H$55-Assumptions!$H$56</f>
        <v>44.60586</v>
      </c>
      <c r="AC104" s="63" t="n">
        <f aca="false">Assumptions!$H$50*(1-Assumptions!$H$80)*(1-Assumptions!$H$79)-Assumptions!$H$50*Assumptions!$H$55-Assumptions!$H$56</f>
        <v>44.60586</v>
      </c>
      <c r="AD104" s="63" t="n">
        <f aca="false">Assumptions!$H$50*(1-Assumptions!$H$80)*(1-Assumptions!$H$79)-Assumptions!$H$50*Assumptions!$H$55-Assumptions!$H$56</f>
        <v>44.60586</v>
      </c>
      <c r="AE104" s="63" t="n">
        <f aca="false">Assumptions!$H$50*(1-Assumptions!$H$80)*(1-Assumptions!$H$79)-Assumptions!$H$50*Assumptions!$H$55-Assumptions!$H$56</f>
        <v>44.60586</v>
      </c>
      <c r="AF104" s="63" t="n">
        <f aca="false">Assumptions!$H$50*(1-Assumptions!$H$80)*(1-Assumptions!$H$79)-Assumptions!$H$50*Assumptions!$H$55-Assumptions!$H$56</f>
        <v>44.60586</v>
      </c>
      <c r="AG104" s="63" t="n">
        <f aca="false">Assumptions!$H$50*(1-Assumptions!$H$80)*(1-Assumptions!$H$79)-Assumptions!$H$50*Assumptions!$H$55-Assumptions!$H$56</f>
        <v>44.60586</v>
      </c>
      <c r="AH104" s="63" t="n">
        <f aca="false">Assumptions!$H$50*(1-Assumptions!$H$80)*(1-Assumptions!$H$79)-Assumptions!$H$50*Assumptions!$H$55-Assumptions!$H$56</f>
        <v>44.60586</v>
      </c>
      <c r="AI104" s="63" t="n">
        <f aca="false">Assumptions!$H$50*(1-Assumptions!$H$80)*(1-Assumptions!$H$79)-Assumptions!$H$50*Assumptions!$H$55-Assumptions!$H$56</f>
        <v>44.60586</v>
      </c>
      <c r="AJ104" s="63" t="n">
        <f aca="false">Assumptions!$H$50*(1-Assumptions!$H$80)*(1-Assumptions!$H$79)-Assumptions!$H$50*Assumptions!$H$55-Assumptions!$H$56</f>
        <v>44.60586</v>
      </c>
      <c r="AK104" s="63" t="n">
        <f aca="false">Assumptions!$H$50*(1-Assumptions!$H$80)*(1-Assumptions!$H$79)-Assumptions!$H$50*Assumptions!$H$55-Assumptions!$H$56</f>
        <v>44.60586</v>
      </c>
      <c r="AL104" s="63" t="n">
        <f aca="false">Assumptions!$H$50*(1-Assumptions!$H$80)*(1-Assumptions!$H$79)-Assumptions!$H$50*Assumptions!$H$55-Assumptions!$H$56</f>
        <v>44.60586</v>
      </c>
      <c r="AM104" s="63" t="n">
        <f aca="false">AVERAGE(N104:AL104)</f>
        <v>44.60586</v>
      </c>
    </row>
    <row r="105" customFormat="false" ht="15" hidden="false" customHeight="false" outlineLevel="0" collapsed="false">
      <c r="A105" s="10" t="s">
        <v>403</v>
      </c>
      <c r="B105" s="9" t="s">
        <v>97</v>
      </c>
      <c r="C105" s="70" t="n">
        <f aca="false">C104/Assumptions!$H$52</f>
        <v>637.226571428571</v>
      </c>
      <c r="D105" s="70" t="n">
        <f aca="false">D104/Assumptions!$H$52</f>
        <v>637.226571428571</v>
      </c>
      <c r="E105" s="70" t="n">
        <f aca="false">E104/Assumptions!$H$52</f>
        <v>637.226571428571</v>
      </c>
      <c r="F105" s="70" t="n">
        <f aca="false">F104/Assumptions!$H$52</f>
        <v>637.226571428571</v>
      </c>
      <c r="G105" s="70" t="n">
        <f aca="false">G104/Assumptions!$H$52</f>
        <v>637.226571428571</v>
      </c>
      <c r="H105" s="70" t="n">
        <f aca="false">H104/Assumptions!$H$52</f>
        <v>637.226571428571</v>
      </c>
      <c r="I105" s="70" t="n">
        <f aca="false">I104/Assumptions!$H$52</f>
        <v>637.226571428571</v>
      </c>
      <c r="J105" s="70" t="n">
        <f aca="false">J104/Assumptions!$H$52</f>
        <v>637.226571428571</v>
      </c>
      <c r="K105" s="70" t="n">
        <f aca="false">K104/Assumptions!$H$52</f>
        <v>637.226571428571</v>
      </c>
      <c r="L105" s="70" t="n">
        <f aca="false">L104/Assumptions!$H$52</f>
        <v>637.226571428571</v>
      </c>
      <c r="M105" s="70" t="n">
        <f aca="false">M104/Assumptions!$H$52</f>
        <v>637.226571428571</v>
      </c>
      <c r="N105" s="70" t="n">
        <f aca="false">N104/Assumptions!$H$52</f>
        <v>637.226571428571</v>
      </c>
      <c r="O105" s="70" t="n">
        <f aca="false">O104/Assumptions!$H$52</f>
        <v>637.226571428571</v>
      </c>
      <c r="P105" s="70" t="n">
        <f aca="false">P104/Assumptions!$H$52</f>
        <v>637.226571428571</v>
      </c>
      <c r="Q105" s="70" t="n">
        <f aca="false">Q104/Assumptions!$H$52</f>
        <v>637.226571428571</v>
      </c>
      <c r="R105" s="70" t="n">
        <f aca="false">R104/Assumptions!$H$52</f>
        <v>637.226571428571</v>
      </c>
      <c r="S105" s="70" t="n">
        <f aca="false">S104/Assumptions!$H$52</f>
        <v>637.226571428571</v>
      </c>
      <c r="T105" s="70" t="n">
        <f aca="false">T104/Assumptions!$H$52</f>
        <v>637.226571428571</v>
      </c>
      <c r="U105" s="70" t="n">
        <f aca="false">U104/Assumptions!$H$52</f>
        <v>637.226571428571</v>
      </c>
      <c r="V105" s="70" t="n">
        <f aca="false">V104/Assumptions!$H$52</f>
        <v>637.226571428571</v>
      </c>
      <c r="W105" s="70" t="n">
        <f aca="false">W104/Assumptions!$H$52</f>
        <v>637.226571428571</v>
      </c>
      <c r="X105" s="70" t="n">
        <f aca="false">X104/Assumptions!$H$52</f>
        <v>637.226571428571</v>
      </c>
      <c r="Y105" s="70" t="n">
        <f aca="false">Y104/Assumptions!$H$52</f>
        <v>637.226571428571</v>
      </c>
      <c r="Z105" s="70" t="n">
        <f aca="false">Z104/Assumptions!$H$52</f>
        <v>637.226571428571</v>
      </c>
      <c r="AA105" s="70" t="n">
        <f aca="false">AA104/Assumptions!$H$52</f>
        <v>637.226571428571</v>
      </c>
      <c r="AB105" s="70" t="n">
        <f aca="false">AB104/Assumptions!$H$52</f>
        <v>637.226571428571</v>
      </c>
      <c r="AC105" s="70" t="n">
        <f aca="false">AC104/Assumptions!$H$52</f>
        <v>637.226571428571</v>
      </c>
      <c r="AD105" s="70" t="n">
        <f aca="false">AD104/Assumptions!$H$52</f>
        <v>637.226571428571</v>
      </c>
      <c r="AE105" s="70" t="n">
        <f aca="false">AE104/Assumptions!$H$52</f>
        <v>637.226571428571</v>
      </c>
      <c r="AF105" s="70" t="n">
        <f aca="false">AF104/Assumptions!$H$52</f>
        <v>637.226571428571</v>
      </c>
      <c r="AG105" s="70" t="n">
        <f aca="false">AG104/Assumptions!$H$52</f>
        <v>637.226571428571</v>
      </c>
      <c r="AH105" s="70" t="n">
        <f aca="false">AH104/Assumptions!$H$52</f>
        <v>637.226571428571</v>
      </c>
      <c r="AI105" s="70" t="n">
        <f aca="false">AI104/Assumptions!$H$52</f>
        <v>637.226571428571</v>
      </c>
      <c r="AJ105" s="70" t="n">
        <f aca="false">AJ104/Assumptions!$H$52</f>
        <v>637.226571428571</v>
      </c>
      <c r="AK105" s="70" t="n">
        <f aca="false">AK104/Assumptions!$H$52</f>
        <v>637.226571428571</v>
      </c>
      <c r="AL105" s="70" t="n">
        <f aca="false">AL104/Assumptions!$H$52</f>
        <v>637.226571428571</v>
      </c>
      <c r="AM105" s="70" t="n">
        <f aca="false">AVERAGE(N105:AL105)</f>
        <v>637.226571428571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842</v>
      </c>
    </row>
    <row r="2" customFormat="false" ht="15" hidden="false" customHeight="false" outlineLevel="0" collapsed="false">
      <c r="A2" s="67" t="s">
        <v>700</v>
      </c>
    </row>
    <row r="4" customFormat="false" ht="15" hidden="false" customHeight="false" outlineLevel="0" collapsed="false">
      <c r="A4" s="50" t="s">
        <v>701</v>
      </c>
      <c r="B4" s="50" t="s">
        <v>25</v>
      </c>
      <c r="C4" s="68" t="s">
        <v>702</v>
      </c>
      <c r="D4" s="68" t="s">
        <v>703</v>
      </c>
      <c r="E4" s="68" t="s">
        <v>704</v>
      </c>
      <c r="F4" s="68" t="s">
        <v>705</v>
      </c>
      <c r="G4" s="68" t="s">
        <v>706</v>
      </c>
      <c r="H4" s="68" t="s">
        <v>707</v>
      </c>
      <c r="I4" s="68" t="s">
        <v>708</v>
      </c>
      <c r="J4" s="68" t="s">
        <v>709</v>
      </c>
      <c r="K4" s="68" t="s">
        <v>710</v>
      </c>
      <c r="L4" s="68" t="s">
        <v>711</v>
      </c>
      <c r="M4" s="68" t="s">
        <v>712</v>
      </c>
      <c r="N4" s="68" t="s">
        <v>713</v>
      </c>
      <c r="O4" s="68" t="s">
        <v>714</v>
      </c>
      <c r="P4" s="68" t="s">
        <v>715</v>
      </c>
      <c r="Q4" s="68" t="s">
        <v>716</v>
      </c>
      <c r="R4" s="68" t="s">
        <v>717</v>
      </c>
      <c r="S4" s="68" t="s">
        <v>718</v>
      </c>
      <c r="T4" s="68" t="s">
        <v>719</v>
      </c>
      <c r="U4" s="68" t="s">
        <v>720</v>
      </c>
      <c r="V4" s="68" t="s">
        <v>721</v>
      </c>
      <c r="W4" s="68" t="s">
        <v>722</v>
      </c>
      <c r="X4" s="68" t="s">
        <v>723</v>
      </c>
      <c r="Y4" s="68" t="s">
        <v>724</v>
      </c>
      <c r="Z4" s="68" t="s">
        <v>725</v>
      </c>
      <c r="AA4" s="68" t="s">
        <v>726</v>
      </c>
      <c r="AB4" s="68" t="s">
        <v>727</v>
      </c>
      <c r="AC4" s="68" t="s">
        <v>728</v>
      </c>
      <c r="AD4" s="68" t="s">
        <v>729</v>
      </c>
      <c r="AE4" s="68" t="s">
        <v>730</v>
      </c>
      <c r="AF4" s="68" t="s">
        <v>731</v>
      </c>
      <c r="AG4" s="68" t="s">
        <v>732</v>
      </c>
      <c r="AH4" s="68" t="s">
        <v>733</v>
      </c>
      <c r="AI4" s="68" t="s">
        <v>734</v>
      </c>
      <c r="AJ4" s="68" t="s">
        <v>735</v>
      </c>
      <c r="AK4" s="68" t="s">
        <v>736</v>
      </c>
      <c r="AL4" s="68" t="s">
        <v>737</v>
      </c>
      <c r="AM4" s="50" t="s">
        <v>738</v>
      </c>
    </row>
    <row r="5" customFormat="false" ht="15" hidden="false" customHeight="false" outlineLevel="0" collapsed="false">
      <c r="A5" s="0" t="s">
        <v>739</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740</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741</v>
      </c>
      <c r="B8" s="9" t="s">
        <v>742</v>
      </c>
      <c r="C8" s="69" t="n">
        <f aca="false">IF(C$5&gt;=Assumptions!$I$6,1,0)</f>
        <v>0</v>
      </c>
      <c r="D8" s="69" t="n">
        <f aca="false">IF(D$5&gt;=Assumptions!$I$6,1,0)</f>
        <v>1</v>
      </c>
      <c r="E8" s="69" t="n">
        <f aca="false">IF(E$5&gt;=Assumptions!$I$6,1,0)</f>
        <v>1</v>
      </c>
      <c r="F8" s="69" t="n">
        <f aca="false">IF(F$5&gt;=Assumptions!$I$6,1,0)</f>
        <v>1</v>
      </c>
      <c r="G8" s="69" t="n">
        <f aca="false">IF(G$5&gt;=Assumptions!$I$6,1,0)</f>
        <v>1</v>
      </c>
      <c r="H8" s="69" t="n">
        <f aca="false">IF(H$5&gt;=Assumptions!$I$6,1,0)</f>
        <v>1</v>
      </c>
      <c r="I8" s="69" t="n">
        <f aca="false">IF(I$5&gt;=Assumptions!$I$6,1,0)</f>
        <v>1</v>
      </c>
      <c r="J8" s="69" t="n">
        <f aca="false">IF(J$5&gt;=Assumptions!$I$6,1,0)</f>
        <v>1</v>
      </c>
      <c r="K8" s="69" t="n">
        <f aca="false">IF(K$5&gt;=Assumptions!$I$6,1,0)</f>
        <v>1</v>
      </c>
      <c r="L8" s="69" t="n">
        <f aca="false">IF(L$5&gt;=Assumptions!$I$6,1,0)</f>
        <v>1</v>
      </c>
      <c r="M8" s="69" t="n">
        <f aca="false">IF(M$5&gt;=Assumptions!$I$6,1,0)</f>
        <v>1</v>
      </c>
      <c r="N8" s="69" t="n">
        <f aca="false">IF(N$5&gt;=Assumptions!$I$6,1,0)</f>
        <v>1</v>
      </c>
      <c r="O8" s="69" t="n">
        <f aca="false">IF(O$5&gt;=Assumptions!$I$6,1,0)</f>
        <v>1</v>
      </c>
      <c r="P8" s="69" t="n">
        <f aca="false">IF(P$5&gt;=Assumptions!$I$6,1,0)</f>
        <v>1</v>
      </c>
      <c r="Q8" s="69" t="n">
        <f aca="false">IF(Q$5&gt;=Assumptions!$I$6,1,0)</f>
        <v>1</v>
      </c>
      <c r="R8" s="69" t="n">
        <f aca="false">IF(R$5&gt;=Assumptions!$I$6,1,0)</f>
        <v>1</v>
      </c>
      <c r="S8" s="69" t="n">
        <f aca="false">IF(S$5&gt;=Assumptions!$I$6,1,0)</f>
        <v>1</v>
      </c>
      <c r="T8" s="69" t="n">
        <f aca="false">IF(T$5&gt;=Assumptions!$I$6,1,0)</f>
        <v>1</v>
      </c>
      <c r="U8" s="69" t="n">
        <f aca="false">IF(U$5&gt;=Assumptions!$I$6,1,0)</f>
        <v>1</v>
      </c>
      <c r="V8" s="69" t="n">
        <f aca="false">IF(V$5&gt;=Assumptions!$I$6,1,0)</f>
        <v>1</v>
      </c>
      <c r="W8" s="69" t="n">
        <f aca="false">IF(W$5&gt;=Assumptions!$I$6,1,0)</f>
        <v>1</v>
      </c>
      <c r="X8" s="69" t="n">
        <f aca="false">IF(X$5&gt;=Assumptions!$I$6,1,0)</f>
        <v>1</v>
      </c>
      <c r="Y8" s="69" t="n">
        <f aca="false">IF(Y$5&gt;=Assumptions!$I$6,1,0)</f>
        <v>1</v>
      </c>
      <c r="Z8" s="69" t="n">
        <f aca="false">IF(Z$5&gt;=Assumptions!$I$6,1,0)</f>
        <v>1</v>
      </c>
      <c r="AA8" s="69" t="n">
        <f aca="false">IF(AA$5&gt;=Assumptions!$I$6,1,0)</f>
        <v>1</v>
      </c>
      <c r="AB8" s="69" t="n">
        <f aca="false">IF(AB$5&gt;=Assumptions!$I$6,1,0)</f>
        <v>1</v>
      </c>
      <c r="AC8" s="69" t="n">
        <f aca="false">IF(AC$5&gt;=Assumptions!$I$6,1,0)</f>
        <v>1</v>
      </c>
      <c r="AD8" s="69" t="n">
        <f aca="false">IF(AD$5&gt;=Assumptions!$I$6,1,0)</f>
        <v>1</v>
      </c>
      <c r="AE8" s="69" t="n">
        <f aca="false">IF(AE$5&gt;=Assumptions!$I$6,1,0)</f>
        <v>1</v>
      </c>
      <c r="AF8" s="69" t="n">
        <f aca="false">IF(AF$5&gt;=Assumptions!$I$6,1,0)</f>
        <v>1</v>
      </c>
      <c r="AG8" s="69" t="n">
        <f aca="false">IF(AG$5&gt;=Assumptions!$I$6,1,0)</f>
        <v>1</v>
      </c>
      <c r="AH8" s="69" t="n">
        <f aca="false">IF(AH$5&gt;=Assumptions!$I$6,1,0)</f>
        <v>1</v>
      </c>
      <c r="AI8" s="69" t="n">
        <f aca="false">IF(AI$5&gt;=Assumptions!$I$6,1,0)</f>
        <v>1</v>
      </c>
      <c r="AJ8" s="69" t="n">
        <f aca="false">IF(AJ$5&gt;=Assumptions!$I$6,1,0)</f>
        <v>1</v>
      </c>
      <c r="AK8" s="69" t="n">
        <f aca="false">IF(AK$5&gt;=Assumptions!$I$6,1,0)</f>
        <v>1</v>
      </c>
      <c r="AL8" s="69" t="n">
        <f aca="false">IF(AL$5&gt;=Assumptions!$I$6,1,0)</f>
        <v>1</v>
      </c>
      <c r="AM8" s="69"/>
    </row>
    <row r="9" customFormat="false" ht="15" hidden="false" customHeight="false" outlineLevel="0" collapsed="false">
      <c r="A9" s="10" t="s">
        <v>743</v>
      </c>
      <c r="B9" s="9" t="s">
        <v>742</v>
      </c>
      <c r="C9" s="69" t="n">
        <f aca="false">IF(C$5&gt;=Assumptions!$I$7,1,0)</f>
        <v>0</v>
      </c>
      <c r="D9" s="69" t="n">
        <f aca="false">IF(D$5&gt;=Assumptions!$I$7,1,0)</f>
        <v>0</v>
      </c>
      <c r="E9" s="69" t="n">
        <f aca="false">IF(E$5&gt;=Assumptions!$I$7,1,0)</f>
        <v>0</v>
      </c>
      <c r="F9" s="69" t="n">
        <f aca="false">IF(F$5&gt;=Assumptions!$I$7,1,0)</f>
        <v>0</v>
      </c>
      <c r="G9" s="69" t="n">
        <f aca="false">IF(G$5&gt;=Assumptions!$I$7,1,0)</f>
        <v>0</v>
      </c>
      <c r="H9" s="69" t="n">
        <f aca="false">IF(H$5&gt;=Assumptions!$I$7,1,0)</f>
        <v>0</v>
      </c>
      <c r="I9" s="69" t="n">
        <f aca="false">IF(I$5&gt;=Assumptions!$I$7,1,0)</f>
        <v>1</v>
      </c>
      <c r="J9" s="69" t="n">
        <f aca="false">IF(J$5&gt;=Assumptions!$I$7,1,0)</f>
        <v>1</v>
      </c>
      <c r="K9" s="69" t="n">
        <f aca="false">IF(K$5&gt;=Assumptions!$I$7,1,0)</f>
        <v>1</v>
      </c>
      <c r="L9" s="69" t="n">
        <f aca="false">IF(L$5&gt;=Assumptions!$I$7,1,0)</f>
        <v>1</v>
      </c>
      <c r="M9" s="69" t="n">
        <f aca="false">IF(M$5&gt;=Assumptions!$I$7,1,0)</f>
        <v>1</v>
      </c>
      <c r="N9" s="69" t="n">
        <f aca="false">IF(N$5&gt;=Assumptions!$I$7,1,0)</f>
        <v>1</v>
      </c>
      <c r="O9" s="69" t="n">
        <f aca="false">IF(O$5&gt;=Assumptions!$I$7,1,0)</f>
        <v>1</v>
      </c>
      <c r="P9" s="69" t="n">
        <f aca="false">IF(P$5&gt;=Assumptions!$I$7,1,0)</f>
        <v>1</v>
      </c>
      <c r="Q9" s="69" t="n">
        <f aca="false">IF(Q$5&gt;=Assumptions!$I$7,1,0)</f>
        <v>1</v>
      </c>
      <c r="R9" s="69" t="n">
        <f aca="false">IF(R$5&gt;=Assumptions!$I$7,1,0)</f>
        <v>1</v>
      </c>
      <c r="S9" s="69" t="n">
        <f aca="false">IF(S$5&gt;=Assumptions!$I$7,1,0)</f>
        <v>1</v>
      </c>
      <c r="T9" s="69" t="n">
        <f aca="false">IF(T$5&gt;=Assumptions!$I$7,1,0)</f>
        <v>1</v>
      </c>
      <c r="U9" s="69" t="n">
        <f aca="false">IF(U$5&gt;=Assumptions!$I$7,1,0)</f>
        <v>1</v>
      </c>
      <c r="V9" s="69" t="n">
        <f aca="false">IF(V$5&gt;=Assumptions!$I$7,1,0)</f>
        <v>1</v>
      </c>
      <c r="W9" s="69" t="n">
        <f aca="false">IF(W$5&gt;=Assumptions!$I$7,1,0)</f>
        <v>1</v>
      </c>
      <c r="X9" s="69" t="n">
        <f aca="false">IF(X$5&gt;=Assumptions!$I$7,1,0)</f>
        <v>1</v>
      </c>
      <c r="Y9" s="69" t="n">
        <f aca="false">IF(Y$5&gt;=Assumptions!$I$7,1,0)</f>
        <v>1</v>
      </c>
      <c r="Z9" s="69" t="n">
        <f aca="false">IF(Z$5&gt;=Assumptions!$I$7,1,0)</f>
        <v>1</v>
      </c>
      <c r="AA9" s="69" t="n">
        <f aca="false">IF(AA$5&gt;=Assumptions!$I$7,1,0)</f>
        <v>1</v>
      </c>
      <c r="AB9" s="69" t="n">
        <f aca="false">IF(AB$5&gt;=Assumptions!$I$7,1,0)</f>
        <v>1</v>
      </c>
      <c r="AC9" s="69" t="n">
        <f aca="false">IF(AC$5&gt;=Assumptions!$I$7,1,0)</f>
        <v>1</v>
      </c>
      <c r="AD9" s="69" t="n">
        <f aca="false">IF(AD$5&gt;=Assumptions!$I$7,1,0)</f>
        <v>1</v>
      </c>
      <c r="AE9" s="69" t="n">
        <f aca="false">IF(AE$5&gt;=Assumptions!$I$7,1,0)</f>
        <v>1</v>
      </c>
      <c r="AF9" s="69" t="n">
        <f aca="false">IF(AF$5&gt;=Assumptions!$I$7,1,0)</f>
        <v>1</v>
      </c>
      <c r="AG9" s="69" t="n">
        <f aca="false">IF(AG$5&gt;=Assumptions!$I$7,1,0)</f>
        <v>1</v>
      </c>
      <c r="AH9" s="69" t="n">
        <f aca="false">IF(AH$5&gt;=Assumptions!$I$7,1,0)</f>
        <v>1</v>
      </c>
      <c r="AI9" s="69" t="n">
        <f aca="false">IF(AI$5&gt;=Assumptions!$I$7,1,0)</f>
        <v>1</v>
      </c>
      <c r="AJ9" s="69" t="n">
        <f aca="false">IF(AJ$5&gt;=Assumptions!$I$7,1,0)</f>
        <v>1</v>
      </c>
      <c r="AK9" s="69" t="n">
        <f aca="false">IF(AK$5&gt;=Assumptions!$I$7,1,0)</f>
        <v>1</v>
      </c>
      <c r="AL9" s="69" t="n">
        <f aca="false">IF(AL$5&gt;=Assumptions!$I$7,1,0)</f>
        <v>1</v>
      </c>
      <c r="AM9" s="69"/>
    </row>
    <row r="10" customFormat="false" ht="15" hidden="false" customHeight="false" outlineLevel="0" collapsed="false">
      <c r="A10" s="10" t="s">
        <v>744</v>
      </c>
      <c r="B10" s="9" t="s">
        <v>51</v>
      </c>
      <c r="C10" s="69" t="n">
        <f aca="false">MAX(0,C$5-Assumptions!$I$6)</f>
        <v>0</v>
      </c>
      <c r="D10" s="69" t="n">
        <f aca="false">MAX(0,D$5-Assumptions!$I$6)</f>
        <v>0</v>
      </c>
      <c r="E10" s="69" t="n">
        <f aca="false">MAX(0,E$5-Assumptions!$I$6)</f>
        <v>1</v>
      </c>
      <c r="F10" s="69" t="n">
        <f aca="false">MAX(0,F$5-Assumptions!$I$6)</f>
        <v>2</v>
      </c>
      <c r="G10" s="69" t="n">
        <f aca="false">MAX(0,G$5-Assumptions!$I$6)</f>
        <v>3</v>
      </c>
      <c r="H10" s="69" t="n">
        <f aca="false">MAX(0,H$5-Assumptions!$I$6)</f>
        <v>4</v>
      </c>
      <c r="I10" s="69" t="n">
        <f aca="false">MAX(0,I$5-Assumptions!$I$6)</f>
        <v>5</v>
      </c>
      <c r="J10" s="69" t="n">
        <f aca="false">MAX(0,J$5-Assumptions!$I$6)</f>
        <v>6</v>
      </c>
      <c r="K10" s="69" t="n">
        <f aca="false">MAX(0,K$5-Assumptions!$I$6)</f>
        <v>7</v>
      </c>
      <c r="L10" s="69" t="n">
        <f aca="false">MAX(0,L$5-Assumptions!$I$6)</f>
        <v>8</v>
      </c>
      <c r="M10" s="69" t="n">
        <f aca="false">MAX(0,M$5-Assumptions!$I$6)</f>
        <v>9</v>
      </c>
      <c r="N10" s="69" t="n">
        <f aca="false">MAX(0,N$5-Assumptions!$I$6)</f>
        <v>10</v>
      </c>
      <c r="O10" s="69" t="n">
        <f aca="false">MAX(0,O$5-Assumptions!$I$6)</f>
        <v>11</v>
      </c>
      <c r="P10" s="69" t="n">
        <f aca="false">MAX(0,P$5-Assumptions!$I$6)</f>
        <v>12</v>
      </c>
      <c r="Q10" s="69" t="n">
        <f aca="false">MAX(0,Q$5-Assumptions!$I$6)</f>
        <v>13</v>
      </c>
      <c r="R10" s="69" t="n">
        <f aca="false">MAX(0,R$5-Assumptions!$I$6)</f>
        <v>14</v>
      </c>
      <c r="S10" s="69" t="n">
        <f aca="false">MAX(0,S$5-Assumptions!$I$6)</f>
        <v>15</v>
      </c>
      <c r="T10" s="69" t="n">
        <f aca="false">MAX(0,T$5-Assumptions!$I$6)</f>
        <v>16</v>
      </c>
      <c r="U10" s="69" t="n">
        <f aca="false">MAX(0,U$5-Assumptions!$I$6)</f>
        <v>17</v>
      </c>
      <c r="V10" s="69" t="n">
        <f aca="false">MAX(0,V$5-Assumptions!$I$6)</f>
        <v>18</v>
      </c>
      <c r="W10" s="69" t="n">
        <f aca="false">MAX(0,W$5-Assumptions!$I$6)</f>
        <v>19</v>
      </c>
      <c r="X10" s="69" t="n">
        <f aca="false">MAX(0,X$5-Assumptions!$I$6)</f>
        <v>20</v>
      </c>
      <c r="Y10" s="69" t="n">
        <f aca="false">MAX(0,Y$5-Assumptions!$I$6)</f>
        <v>21</v>
      </c>
      <c r="Z10" s="69" t="n">
        <f aca="false">MAX(0,Z$5-Assumptions!$I$6)</f>
        <v>22</v>
      </c>
      <c r="AA10" s="69" t="n">
        <f aca="false">MAX(0,AA$5-Assumptions!$I$6)</f>
        <v>23</v>
      </c>
      <c r="AB10" s="69" t="n">
        <f aca="false">MAX(0,AB$5-Assumptions!$I$6)</f>
        <v>24</v>
      </c>
      <c r="AC10" s="69" t="n">
        <f aca="false">MAX(0,AC$5-Assumptions!$I$6)</f>
        <v>25</v>
      </c>
      <c r="AD10" s="69" t="n">
        <f aca="false">MAX(0,AD$5-Assumptions!$I$6)</f>
        <v>26</v>
      </c>
      <c r="AE10" s="69" t="n">
        <f aca="false">MAX(0,AE$5-Assumptions!$I$6)</f>
        <v>27</v>
      </c>
      <c r="AF10" s="69" t="n">
        <f aca="false">MAX(0,AF$5-Assumptions!$I$6)</f>
        <v>28</v>
      </c>
      <c r="AG10" s="69" t="n">
        <f aca="false">MAX(0,AG$5-Assumptions!$I$6)</f>
        <v>29</v>
      </c>
      <c r="AH10" s="69" t="n">
        <f aca="false">MAX(0,AH$5-Assumptions!$I$6)</f>
        <v>30</v>
      </c>
      <c r="AI10" s="69" t="n">
        <f aca="false">MAX(0,AI$5-Assumptions!$I$6)</f>
        <v>31</v>
      </c>
      <c r="AJ10" s="69" t="n">
        <f aca="false">MAX(0,AJ$5-Assumptions!$I$6)</f>
        <v>32</v>
      </c>
      <c r="AK10" s="69" t="n">
        <f aca="false">MAX(0,AK$5-Assumptions!$I$6)</f>
        <v>33</v>
      </c>
      <c r="AL10" s="69" t="n">
        <f aca="false">MAX(0,AL$5-Assumptions!$I$6)</f>
        <v>34</v>
      </c>
      <c r="AM10" s="69"/>
    </row>
    <row r="11" customFormat="false" ht="15" hidden="false" customHeight="false" outlineLevel="0" collapsed="false">
      <c r="A11" s="10" t="s">
        <v>745</v>
      </c>
      <c r="B11" s="9" t="s">
        <v>84</v>
      </c>
      <c r="C11" s="61" t="n">
        <f aca="false">Assumptions!$I$9*Assumptions!$I$10*Assumptions!$I$11*Assumptions!$I$12</f>
        <v>76720</v>
      </c>
      <c r="D11" s="61" t="n">
        <f aca="false">Assumptions!$I$9*Assumptions!$I$10*Assumptions!$I$11*Assumptions!$I$12</f>
        <v>76720</v>
      </c>
      <c r="E11" s="61" t="n">
        <f aca="false">Assumptions!$I$9*Assumptions!$I$10*Assumptions!$I$11*Assumptions!$I$12</f>
        <v>76720</v>
      </c>
      <c r="F11" s="61" t="n">
        <f aca="false">Assumptions!$I$9*Assumptions!$I$10*Assumptions!$I$11*Assumptions!$I$12</f>
        <v>76720</v>
      </c>
      <c r="G11" s="61" t="n">
        <f aca="false">Assumptions!$I$9*Assumptions!$I$10*Assumptions!$I$11*Assumptions!$I$12</f>
        <v>76720</v>
      </c>
      <c r="H11" s="61" t="n">
        <f aca="false">Assumptions!$I$9*Assumptions!$I$10*Assumptions!$I$11*Assumptions!$I$12</f>
        <v>76720</v>
      </c>
      <c r="I11" s="61" t="n">
        <f aca="false">Assumptions!$I$9*Assumptions!$I$10*Assumptions!$I$11*Assumptions!$I$12</f>
        <v>76720</v>
      </c>
      <c r="J11" s="61" t="n">
        <f aca="false">Assumptions!$I$9*Assumptions!$I$10*Assumptions!$I$11*Assumptions!$I$12</f>
        <v>76720</v>
      </c>
      <c r="K11" s="61" t="n">
        <f aca="false">Assumptions!$I$9*Assumptions!$I$10*Assumptions!$I$11*Assumptions!$I$12</f>
        <v>76720</v>
      </c>
      <c r="L11" s="61" t="n">
        <f aca="false">Assumptions!$I$9*Assumptions!$I$10*Assumptions!$I$11*Assumptions!$I$12</f>
        <v>76720</v>
      </c>
      <c r="M11" s="61" t="n">
        <f aca="false">Assumptions!$I$9*Assumptions!$I$10*Assumptions!$I$11*Assumptions!$I$12</f>
        <v>76720</v>
      </c>
      <c r="N11" s="61" t="n">
        <f aca="false">Assumptions!$I$9*Assumptions!$I$10*Assumptions!$I$11*Assumptions!$I$12</f>
        <v>76720</v>
      </c>
      <c r="O11" s="61" t="n">
        <f aca="false">Assumptions!$I$9*Assumptions!$I$10*Assumptions!$I$11*Assumptions!$I$12</f>
        <v>76720</v>
      </c>
      <c r="P11" s="61" t="n">
        <f aca="false">Assumptions!$I$9*Assumptions!$I$10*Assumptions!$I$11*Assumptions!$I$12</f>
        <v>76720</v>
      </c>
      <c r="Q11" s="61" t="n">
        <f aca="false">Assumptions!$I$9*Assumptions!$I$10*Assumptions!$I$11*Assumptions!$I$12</f>
        <v>76720</v>
      </c>
      <c r="R11" s="61" t="n">
        <f aca="false">Assumptions!$I$9*Assumptions!$I$10*Assumptions!$I$11*Assumptions!$I$12</f>
        <v>76720</v>
      </c>
      <c r="S11" s="61" t="n">
        <f aca="false">Assumptions!$I$9*Assumptions!$I$10*Assumptions!$I$11*Assumptions!$I$12</f>
        <v>76720</v>
      </c>
      <c r="T11" s="61" t="n">
        <f aca="false">Assumptions!$I$9*Assumptions!$I$10*Assumptions!$I$11*Assumptions!$I$12</f>
        <v>76720</v>
      </c>
      <c r="U11" s="61" t="n">
        <f aca="false">Assumptions!$I$9*Assumptions!$I$10*Assumptions!$I$11*Assumptions!$I$12</f>
        <v>76720</v>
      </c>
      <c r="V11" s="61" t="n">
        <f aca="false">Assumptions!$I$9*Assumptions!$I$10*Assumptions!$I$11*Assumptions!$I$12</f>
        <v>76720</v>
      </c>
      <c r="W11" s="61" t="n">
        <f aca="false">Assumptions!$I$9*Assumptions!$I$10*Assumptions!$I$11*Assumptions!$I$12</f>
        <v>76720</v>
      </c>
      <c r="X11" s="61" t="n">
        <f aca="false">Assumptions!$I$9*Assumptions!$I$10*Assumptions!$I$11*Assumptions!$I$12</f>
        <v>76720</v>
      </c>
      <c r="Y11" s="61" t="n">
        <f aca="false">Assumptions!$I$9*Assumptions!$I$10*Assumptions!$I$11*Assumptions!$I$12</f>
        <v>76720</v>
      </c>
      <c r="Z11" s="61" t="n">
        <f aca="false">Assumptions!$I$9*Assumptions!$I$10*Assumptions!$I$11*Assumptions!$I$12</f>
        <v>76720</v>
      </c>
      <c r="AA11" s="61" t="n">
        <f aca="false">Assumptions!$I$9*Assumptions!$I$10*Assumptions!$I$11*Assumptions!$I$12</f>
        <v>76720</v>
      </c>
      <c r="AB11" s="61" t="n">
        <f aca="false">Assumptions!$I$9*Assumptions!$I$10*Assumptions!$I$11*Assumptions!$I$12</f>
        <v>76720</v>
      </c>
      <c r="AC11" s="61" t="n">
        <f aca="false">Assumptions!$I$9*Assumptions!$I$10*Assumptions!$I$11*Assumptions!$I$12</f>
        <v>76720</v>
      </c>
      <c r="AD11" s="61" t="n">
        <f aca="false">Assumptions!$I$9*Assumptions!$I$10*Assumptions!$I$11*Assumptions!$I$12</f>
        <v>76720</v>
      </c>
      <c r="AE11" s="61" t="n">
        <f aca="false">Assumptions!$I$9*Assumptions!$I$10*Assumptions!$I$11*Assumptions!$I$12</f>
        <v>76720</v>
      </c>
      <c r="AF11" s="61" t="n">
        <f aca="false">Assumptions!$I$9*Assumptions!$I$10*Assumptions!$I$11*Assumptions!$I$12</f>
        <v>76720</v>
      </c>
      <c r="AG11" s="61" t="n">
        <f aca="false">Assumptions!$I$9*Assumptions!$I$10*Assumptions!$I$11*Assumptions!$I$12</f>
        <v>76720</v>
      </c>
      <c r="AH11" s="61" t="n">
        <f aca="false">Assumptions!$I$9*Assumptions!$I$10*Assumptions!$I$11*Assumptions!$I$12</f>
        <v>76720</v>
      </c>
      <c r="AI11" s="61" t="n">
        <f aca="false">Assumptions!$I$9*Assumptions!$I$10*Assumptions!$I$11*Assumptions!$I$12</f>
        <v>76720</v>
      </c>
      <c r="AJ11" s="61" t="n">
        <f aca="false">Assumptions!$I$9*Assumptions!$I$10*Assumptions!$I$11*Assumptions!$I$12</f>
        <v>76720</v>
      </c>
      <c r="AK11" s="61" t="n">
        <f aca="false">Assumptions!$I$9*Assumptions!$I$10*Assumptions!$I$11*Assumptions!$I$12</f>
        <v>76720</v>
      </c>
      <c r="AL11" s="61" t="n">
        <f aca="false">Assumptions!$I$9*Assumptions!$I$10*Assumptions!$I$11*Assumptions!$I$12</f>
        <v>76720</v>
      </c>
      <c r="AM11" s="61"/>
    </row>
    <row r="12" customFormat="false" ht="15" hidden="false" customHeight="false" outlineLevel="0" collapsed="false">
      <c r="A12" s="10" t="s">
        <v>746</v>
      </c>
      <c r="B12" s="9" t="s">
        <v>78</v>
      </c>
      <c r="C12" s="57" t="n">
        <f aca="false">IF(C8=0,0,IF(C10=0,Assumptions!$I$15,Assumptions!$I$14+(1-Assumptions!$I$14)*Assumptions!$I$13^C10))</f>
        <v>0</v>
      </c>
      <c r="D12" s="57" t="n">
        <f aca="false">IF(D8=0,0,IF(D10=0,Assumptions!$I$15,Assumptions!$I$14+(1-Assumptions!$I$14)*Assumptions!$I$13^D10))</f>
        <v>2.3</v>
      </c>
      <c r="E12" s="57" t="n">
        <f aca="false">IF(E8=0,0,IF(E10=0,Assumptions!$I$15,Assumptions!$I$14+(1-Assumptions!$I$14)*Assumptions!$I$13^E10))</f>
        <v>0.876</v>
      </c>
      <c r="F12" s="57" t="n">
        <f aca="false">IF(F8=0,0,IF(F10=0,Assumptions!$I$15,Assumptions!$I$14+(1-Assumptions!$I$14)*Assumptions!$I$13^F10))</f>
        <v>0.7768</v>
      </c>
      <c r="G12" s="57" t="n">
        <f aca="false">IF(G8=0,0,IF(G10=0,Assumptions!$I$15,Assumptions!$I$14+(1-Assumptions!$I$14)*Assumptions!$I$13^G10))</f>
        <v>0.69744</v>
      </c>
      <c r="H12" s="57" t="n">
        <f aca="false">IF(H8=0,0,IF(H10=0,Assumptions!$I$15,Assumptions!$I$14+(1-Assumptions!$I$14)*Assumptions!$I$13^H10))</f>
        <v>0.633952</v>
      </c>
      <c r="I12" s="57" t="n">
        <f aca="false">IF(I8=0,0,IF(I10=0,Assumptions!$I$15,Assumptions!$I$14+(1-Assumptions!$I$14)*Assumptions!$I$13^I10))</f>
        <v>0.5831616</v>
      </c>
      <c r="J12" s="57" t="n">
        <f aca="false">IF(J8=0,0,IF(J10=0,Assumptions!$I$15,Assumptions!$I$14+(1-Assumptions!$I$14)*Assumptions!$I$13^J10))</f>
        <v>0.54252928</v>
      </c>
      <c r="K12" s="57" t="n">
        <f aca="false">IF(K8=0,0,IF(K10=0,Assumptions!$I$15,Assumptions!$I$14+(1-Assumptions!$I$14)*Assumptions!$I$13^K10))</f>
        <v>0.510023424</v>
      </c>
      <c r="L12" s="57" t="n">
        <f aca="false">IF(L8=0,0,IF(L10=0,Assumptions!$I$15,Assumptions!$I$14+(1-Assumptions!$I$14)*Assumptions!$I$13^L10))</f>
        <v>0.4840187392</v>
      </c>
      <c r="M12" s="57" t="n">
        <f aca="false">IF(M8=0,0,IF(M10=0,Assumptions!$I$15,Assumptions!$I$14+(1-Assumptions!$I$14)*Assumptions!$I$13^M10))</f>
        <v>0.46321499136</v>
      </c>
      <c r="N12" s="57" t="n">
        <f aca="false">IF(N8=0,0,IF(N10=0,Assumptions!$I$15,Assumptions!$I$14+(1-Assumptions!$I$14)*Assumptions!$I$13^N10))</f>
        <v>0.446571993088</v>
      </c>
      <c r="O12" s="57" t="n">
        <f aca="false">IF(O8=0,0,IF(O10=0,Assumptions!$I$15,Assumptions!$I$14+(1-Assumptions!$I$14)*Assumptions!$I$13^O10))</f>
        <v>0.4332575944704</v>
      </c>
      <c r="P12" s="57" t="n">
        <f aca="false">IF(P8=0,0,IF(P10=0,Assumptions!$I$15,Assumptions!$I$14+(1-Assumptions!$I$14)*Assumptions!$I$13^P10))</f>
        <v>0.42260607557632</v>
      </c>
      <c r="Q12" s="57" t="n">
        <f aca="false">IF(Q8=0,0,IF(Q10=0,Assumptions!$I$15,Assumptions!$I$14+(1-Assumptions!$I$14)*Assumptions!$I$13^Q10))</f>
        <v>0.414084860461056</v>
      </c>
      <c r="R12" s="57" t="n">
        <f aca="false">IF(R8=0,0,IF(R10=0,Assumptions!$I$15,Assumptions!$I$14+(1-Assumptions!$I$14)*Assumptions!$I$13^R10))</f>
        <v>0.407267888368845</v>
      </c>
      <c r="S12" s="57" t="n">
        <f aca="false">IF(S8=0,0,IF(S10=0,Assumptions!$I$15,Assumptions!$I$14+(1-Assumptions!$I$14)*Assumptions!$I$13^S10))</f>
        <v>0.401814310695076</v>
      </c>
      <c r="T12" s="57" t="n">
        <f aca="false">IF(T8=0,0,IF(T10=0,Assumptions!$I$15,Assumptions!$I$14+(1-Assumptions!$I$14)*Assumptions!$I$13^T10))</f>
        <v>0.397451448556061</v>
      </c>
      <c r="U12" s="57" t="n">
        <f aca="false">IF(U8=0,0,IF(U10=0,Assumptions!$I$15,Assumptions!$I$14+(1-Assumptions!$I$14)*Assumptions!$I$13^U10))</f>
        <v>0.393961158844849</v>
      </c>
      <c r="V12" s="57" t="n">
        <f aca="false">IF(V8=0,0,IF(V10=0,Assumptions!$I$15,Assumptions!$I$14+(1-Assumptions!$I$14)*Assumptions!$I$13^V10))</f>
        <v>0.391168927075879</v>
      </c>
      <c r="W12" s="57" t="n">
        <f aca="false">IF(W8=0,0,IF(W10=0,Assumptions!$I$15,Assumptions!$I$14+(1-Assumptions!$I$14)*Assumptions!$I$13^W10))</f>
        <v>0.388935141660703</v>
      </c>
      <c r="X12" s="57" t="n">
        <f aca="false">IF(X8=0,0,IF(X10=0,Assumptions!$I$15,Assumptions!$I$14+(1-Assumptions!$I$14)*Assumptions!$I$13^X10))</f>
        <v>0.387148113328562</v>
      </c>
      <c r="Y12" s="57" t="n">
        <f aca="false">IF(Y8=0,0,IF(Y10=0,Assumptions!$I$15,Assumptions!$I$14+(1-Assumptions!$I$14)*Assumptions!$I$13^Y10))</f>
        <v>0.38571849066285</v>
      </c>
      <c r="Z12" s="57" t="n">
        <f aca="false">IF(Z8=0,0,IF(Z10=0,Assumptions!$I$15,Assumptions!$I$14+(1-Assumptions!$I$14)*Assumptions!$I$13^Z10))</f>
        <v>0.38457479253028</v>
      </c>
      <c r="AA12" s="57" t="n">
        <f aca="false">IF(AA8=0,0,IF(AA10=0,Assumptions!$I$15,Assumptions!$I$14+(1-Assumptions!$I$14)*Assumptions!$I$13^AA10))</f>
        <v>0.383659834024224</v>
      </c>
      <c r="AB12" s="57" t="n">
        <f aca="false">IF(AB8=0,0,IF(AB10=0,Assumptions!$I$15,Assumptions!$I$14+(1-Assumptions!$I$14)*Assumptions!$I$13^AB10))</f>
        <v>0.382927867219379</v>
      </c>
      <c r="AC12" s="57" t="n">
        <f aca="false">IF(AC8=0,0,IF(AC10=0,Assumptions!$I$15,Assumptions!$I$14+(1-Assumptions!$I$14)*Assumptions!$I$13^AC10))</f>
        <v>0.382342293775503</v>
      </c>
      <c r="AD12" s="57" t="n">
        <f aca="false">IF(AD8=0,0,IF(AD10=0,Assumptions!$I$15,Assumptions!$I$14+(1-Assumptions!$I$14)*Assumptions!$I$13^AD10))</f>
        <v>0.381873835020403</v>
      </c>
      <c r="AE12" s="57" t="n">
        <f aca="false">IF(AE8=0,0,IF(AE10=0,Assumptions!$I$15,Assumptions!$I$14+(1-Assumptions!$I$14)*Assumptions!$I$13^AE10))</f>
        <v>0.381499068016322</v>
      </c>
      <c r="AF12" s="57" t="n">
        <f aca="false">IF(AF8=0,0,IF(AF10=0,Assumptions!$I$15,Assumptions!$I$14+(1-Assumptions!$I$14)*Assumptions!$I$13^AF10))</f>
        <v>0.381199254413058</v>
      </c>
      <c r="AG12" s="57" t="n">
        <f aca="false">IF(AG8=0,0,IF(AG10=0,Assumptions!$I$15,Assumptions!$I$14+(1-Assumptions!$I$14)*Assumptions!$I$13^AG10))</f>
        <v>0.380959403530446</v>
      </c>
      <c r="AH12" s="57" t="n">
        <f aca="false">IF(AH8=0,0,IF(AH10=0,Assumptions!$I$15,Assumptions!$I$14+(1-Assumptions!$I$14)*Assumptions!$I$13^AH10))</f>
        <v>0.380767522824357</v>
      </c>
      <c r="AI12" s="57" t="n">
        <f aca="false">IF(AI8=0,0,IF(AI10=0,Assumptions!$I$15,Assumptions!$I$14+(1-Assumptions!$I$14)*Assumptions!$I$13^AI10))</f>
        <v>0.380614018259486</v>
      </c>
      <c r="AJ12" s="57" t="n">
        <f aca="false">IF(AJ8=0,0,IF(AJ10=0,Assumptions!$I$15,Assumptions!$I$14+(1-Assumptions!$I$14)*Assumptions!$I$13^AJ10))</f>
        <v>0.380491214607588</v>
      </c>
      <c r="AK12" s="57" t="n">
        <f aca="false">IF(AK8=0,0,IF(AK10=0,Assumptions!$I$15,Assumptions!$I$14+(1-Assumptions!$I$14)*Assumptions!$I$13^AK10))</f>
        <v>0.380392971686071</v>
      </c>
      <c r="AL12" s="57" t="n">
        <f aca="false">IF(AL8=0,0,IF(AL10=0,Assumptions!$I$15,Assumptions!$I$14+(1-Assumptions!$I$14)*Assumptions!$I$13^AL10))</f>
        <v>0.380314377348857</v>
      </c>
      <c r="AM12" s="57"/>
    </row>
    <row r="13" customFormat="false" ht="15" hidden="false" customHeight="false" outlineLevel="0" collapsed="false">
      <c r="A13" s="10" t="s">
        <v>747</v>
      </c>
      <c r="B13" s="9" t="s">
        <v>84</v>
      </c>
      <c r="C13" s="61" t="n">
        <f aca="false">C11*C12</f>
        <v>0</v>
      </c>
      <c r="D13" s="61" t="n">
        <f aca="false">D11*D12</f>
        <v>176456</v>
      </c>
      <c r="E13" s="61" t="n">
        <f aca="false">E11*E12</f>
        <v>67206.72</v>
      </c>
      <c r="F13" s="61" t="n">
        <f aca="false">F11*F12</f>
        <v>59596.096</v>
      </c>
      <c r="G13" s="61" t="n">
        <f aca="false">G11*G12</f>
        <v>53507.5968</v>
      </c>
      <c r="H13" s="61" t="n">
        <f aca="false">H11*H12</f>
        <v>48636.79744</v>
      </c>
      <c r="I13" s="61" t="n">
        <f aca="false">I11*I12</f>
        <v>44740.157952</v>
      </c>
      <c r="J13" s="61" t="n">
        <f aca="false">J11*J12</f>
        <v>41622.8463616</v>
      </c>
      <c r="K13" s="61" t="n">
        <f aca="false">K11*K12</f>
        <v>39128.99708928</v>
      </c>
      <c r="L13" s="61" t="n">
        <f aca="false">L11*L12</f>
        <v>37133.917671424</v>
      </c>
      <c r="M13" s="61" t="n">
        <f aca="false">M11*M12</f>
        <v>35537.8541371392</v>
      </c>
      <c r="N13" s="61" t="n">
        <f aca="false">N11*N12</f>
        <v>34261.0033097114</v>
      </c>
      <c r="O13" s="61" t="n">
        <f aca="false">O11*O12</f>
        <v>33239.5226477691</v>
      </c>
      <c r="P13" s="61" t="n">
        <f aca="false">P11*P12</f>
        <v>32422.3381182153</v>
      </c>
      <c r="Q13" s="61" t="n">
        <f aca="false">Q11*Q12</f>
        <v>31768.5904945722</v>
      </c>
      <c r="R13" s="61" t="n">
        <f aca="false">R11*R12</f>
        <v>31245.5923956578</v>
      </c>
      <c r="S13" s="61" t="n">
        <f aca="false">S11*S12</f>
        <v>30827.1939165262</v>
      </c>
      <c r="T13" s="61" t="n">
        <f aca="false">T11*T12</f>
        <v>30492.475133221</v>
      </c>
      <c r="U13" s="61" t="n">
        <f aca="false">U11*U12</f>
        <v>30224.7001065768</v>
      </c>
      <c r="V13" s="61" t="n">
        <f aca="false">V11*V12</f>
        <v>30010.4800852614</v>
      </c>
      <c r="W13" s="61" t="n">
        <f aca="false">W11*W12</f>
        <v>29839.1040682091</v>
      </c>
      <c r="X13" s="61" t="n">
        <f aca="false">X11*X12</f>
        <v>29702.0032545673</v>
      </c>
      <c r="Y13" s="61" t="n">
        <f aca="false">Y11*Y12</f>
        <v>29592.3226036539</v>
      </c>
      <c r="Z13" s="61" t="n">
        <f aca="false">Z11*Z12</f>
        <v>29504.5780829231</v>
      </c>
      <c r="AA13" s="61" t="n">
        <f aca="false">AA11*AA12</f>
        <v>29434.3824663385</v>
      </c>
      <c r="AB13" s="61" t="n">
        <f aca="false">AB11*AB12</f>
        <v>29378.2259730708</v>
      </c>
      <c r="AC13" s="61" t="n">
        <f aca="false">AC11*AC12</f>
        <v>29333.3007784566</v>
      </c>
      <c r="AD13" s="61" t="n">
        <f aca="false">AD11*AD12</f>
        <v>29297.3606227653</v>
      </c>
      <c r="AE13" s="61" t="n">
        <f aca="false">AE11*AE12</f>
        <v>29268.6084982122</v>
      </c>
      <c r="AF13" s="61" t="n">
        <f aca="false">AF11*AF12</f>
        <v>29245.6067985698</v>
      </c>
      <c r="AG13" s="61" t="n">
        <f aca="false">AG11*AG12</f>
        <v>29227.2054388558</v>
      </c>
      <c r="AH13" s="61" t="n">
        <f aca="false">AH11*AH12</f>
        <v>29212.4843510847</v>
      </c>
      <c r="AI13" s="61" t="n">
        <f aca="false">AI11*AI12</f>
        <v>29200.7074808677</v>
      </c>
      <c r="AJ13" s="61" t="n">
        <f aca="false">AJ11*AJ12</f>
        <v>29191.2859846942</v>
      </c>
      <c r="AK13" s="61" t="n">
        <f aca="false">AK11*AK12</f>
        <v>29183.7487877554</v>
      </c>
      <c r="AL13" s="61" t="n">
        <f aca="false">AL11*AL12</f>
        <v>29177.7190302043</v>
      </c>
      <c r="AM13" s="61" t="n">
        <f aca="false">SUM(C13:AL13)</f>
        <v>1357847.52387918</v>
      </c>
    </row>
    <row r="14" customFormat="false" ht="15" hidden="false" customHeight="false" outlineLevel="0" collapsed="false">
      <c r="A14" s="10" t="s">
        <v>748</v>
      </c>
      <c r="B14" s="9" t="s">
        <v>749</v>
      </c>
      <c r="C14" s="61" t="n">
        <f aca="false">Assumptions!$I$9*Assumptions!$I$10*Assumptions!$I$11*C12</f>
        <v>0</v>
      </c>
      <c r="D14" s="61" t="n">
        <f aca="false">Assumptions!$I$9*Assumptions!$I$10*Assumptions!$I$11*D12</f>
        <v>25208000</v>
      </c>
      <c r="E14" s="61" t="n">
        <f aca="false">Assumptions!$I$9*Assumptions!$I$10*Assumptions!$I$11*E12</f>
        <v>9600960</v>
      </c>
      <c r="F14" s="61" t="n">
        <f aca="false">Assumptions!$I$9*Assumptions!$I$10*Assumptions!$I$11*F12</f>
        <v>8513728</v>
      </c>
      <c r="G14" s="61" t="n">
        <f aca="false">Assumptions!$I$9*Assumptions!$I$10*Assumptions!$I$11*G12</f>
        <v>7643942.4</v>
      </c>
      <c r="H14" s="61" t="n">
        <f aca="false">Assumptions!$I$9*Assumptions!$I$10*Assumptions!$I$11*H12</f>
        <v>6948113.92</v>
      </c>
      <c r="I14" s="61" t="n">
        <f aca="false">Assumptions!$I$9*Assumptions!$I$10*Assumptions!$I$11*I12</f>
        <v>6391451.136</v>
      </c>
      <c r="J14" s="61" t="n">
        <f aca="false">Assumptions!$I$9*Assumptions!$I$10*Assumptions!$I$11*J12</f>
        <v>5946120.9088</v>
      </c>
      <c r="K14" s="61" t="n">
        <f aca="false">Assumptions!$I$9*Assumptions!$I$10*Assumptions!$I$11*K12</f>
        <v>5589856.72704</v>
      </c>
      <c r="L14" s="61" t="n">
        <f aca="false">Assumptions!$I$9*Assumptions!$I$10*Assumptions!$I$11*L12</f>
        <v>5304845.381632</v>
      </c>
      <c r="M14" s="61" t="n">
        <f aca="false">Assumptions!$I$9*Assumptions!$I$10*Assumptions!$I$11*M12</f>
        <v>5076836.3053056</v>
      </c>
      <c r="N14" s="61" t="n">
        <f aca="false">Assumptions!$I$9*Assumptions!$I$10*Assumptions!$I$11*N12</f>
        <v>4894429.04424448</v>
      </c>
      <c r="O14" s="61" t="n">
        <f aca="false">Assumptions!$I$9*Assumptions!$I$10*Assumptions!$I$11*O12</f>
        <v>4748503.23539558</v>
      </c>
      <c r="P14" s="61" t="n">
        <f aca="false">Assumptions!$I$9*Assumptions!$I$10*Assumptions!$I$11*P12</f>
        <v>4631762.58831647</v>
      </c>
      <c r="Q14" s="61" t="n">
        <f aca="false">Assumptions!$I$9*Assumptions!$I$10*Assumptions!$I$11*Q12</f>
        <v>4538370.07065317</v>
      </c>
      <c r="R14" s="61" t="n">
        <f aca="false">Assumptions!$I$9*Assumptions!$I$10*Assumptions!$I$11*R12</f>
        <v>4463656.05652254</v>
      </c>
      <c r="S14" s="61" t="n">
        <f aca="false">Assumptions!$I$9*Assumptions!$I$10*Assumptions!$I$11*S12</f>
        <v>4403884.84521803</v>
      </c>
      <c r="T14" s="61" t="n">
        <f aca="false">Assumptions!$I$9*Assumptions!$I$10*Assumptions!$I$11*T12</f>
        <v>4356067.87617443</v>
      </c>
      <c r="U14" s="61" t="n">
        <f aca="false">Assumptions!$I$9*Assumptions!$I$10*Assumptions!$I$11*U12</f>
        <v>4317814.30093954</v>
      </c>
      <c r="V14" s="61" t="n">
        <f aca="false">Assumptions!$I$9*Assumptions!$I$10*Assumptions!$I$11*V12</f>
        <v>4287211.44075163</v>
      </c>
      <c r="W14" s="61" t="n">
        <f aca="false">Assumptions!$I$9*Assumptions!$I$10*Assumptions!$I$11*W12</f>
        <v>4262729.15260131</v>
      </c>
      <c r="X14" s="61" t="n">
        <f aca="false">Assumptions!$I$9*Assumptions!$I$10*Assumptions!$I$11*X12</f>
        <v>4243143.32208104</v>
      </c>
      <c r="Y14" s="61" t="n">
        <f aca="false">Assumptions!$I$9*Assumptions!$I$10*Assumptions!$I$11*Y12</f>
        <v>4227474.65766484</v>
      </c>
      <c r="Z14" s="61" t="n">
        <f aca="false">Assumptions!$I$9*Assumptions!$I$10*Assumptions!$I$11*Z12</f>
        <v>4214939.72613187</v>
      </c>
      <c r="AA14" s="61" t="n">
        <f aca="false">Assumptions!$I$9*Assumptions!$I$10*Assumptions!$I$11*AA12</f>
        <v>4204911.78090549</v>
      </c>
      <c r="AB14" s="61" t="n">
        <f aca="false">Assumptions!$I$9*Assumptions!$I$10*Assumptions!$I$11*AB12</f>
        <v>4196889.4247244</v>
      </c>
      <c r="AC14" s="61" t="n">
        <f aca="false">Assumptions!$I$9*Assumptions!$I$10*Assumptions!$I$11*AC12</f>
        <v>4190471.53977952</v>
      </c>
      <c r="AD14" s="61" t="n">
        <f aca="false">Assumptions!$I$9*Assumptions!$I$10*Assumptions!$I$11*AD12</f>
        <v>4185337.23182361</v>
      </c>
      <c r="AE14" s="61" t="n">
        <f aca="false">Assumptions!$I$9*Assumptions!$I$10*Assumptions!$I$11*AE12</f>
        <v>4181229.78545889</v>
      </c>
      <c r="AF14" s="61" t="n">
        <f aca="false">Assumptions!$I$9*Assumptions!$I$10*Assumptions!$I$11*AF12</f>
        <v>4177943.82836711</v>
      </c>
      <c r="AG14" s="61" t="n">
        <f aca="false">Assumptions!$I$9*Assumptions!$I$10*Assumptions!$I$11*AG12</f>
        <v>4175315.06269369</v>
      </c>
      <c r="AH14" s="61" t="n">
        <f aca="false">Assumptions!$I$9*Assumptions!$I$10*Assumptions!$I$11*AH12</f>
        <v>4173212.05015495</v>
      </c>
      <c r="AI14" s="61" t="n">
        <f aca="false">Assumptions!$I$9*Assumptions!$I$10*Assumptions!$I$11*AI12</f>
        <v>4171529.64012396</v>
      </c>
      <c r="AJ14" s="61" t="n">
        <f aca="false">Assumptions!$I$9*Assumptions!$I$10*Assumptions!$I$11*AJ12</f>
        <v>4170183.71209917</v>
      </c>
      <c r="AK14" s="61" t="n">
        <f aca="false">Assumptions!$I$9*Assumptions!$I$10*Assumptions!$I$11*AK12</f>
        <v>4169106.96967934</v>
      </c>
      <c r="AL14" s="61" t="n">
        <f aca="false">Assumptions!$I$9*Assumptions!$I$10*Assumptions!$I$11*AL12</f>
        <v>4168245.57574347</v>
      </c>
      <c r="AM14" s="61" t="n">
        <f aca="false">SUM(C14:AL14)</f>
        <v>193978217.697026</v>
      </c>
    </row>
    <row r="15" customFormat="false" ht="15" hidden="false" customHeight="false" outlineLevel="0" collapsed="false">
      <c r="A15" s="10" t="s">
        <v>750</v>
      </c>
      <c r="B15" s="9" t="s">
        <v>84</v>
      </c>
      <c r="C15" s="61" t="n">
        <f aca="false">MIN(Assumptions!$I$19,Assumptions!$I$17*(1+Assumptions!$I$18)^(C$5-1))</f>
        <v>2200</v>
      </c>
      <c r="D15" s="61" t="n">
        <f aca="false">MIN(Assumptions!$I$19,Assumptions!$I$17*(1+Assumptions!$I$18)^(D$5-1))</f>
        <v>2398</v>
      </c>
      <c r="E15" s="61" t="n">
        <f aca="false">MIN(Assumptions!$I$19,Assumptions!$I$17*(1+Assumptions!$I$18)^(E$5-1))</f>
        <v>2613.82</v>
      </c>
      <c r="F15" s="61" t="n">
        <f aca="false">MIN(Assumptions!$I$19,Assumptions!$I$17*(1+Assumptions!$I$18)^(F$5-1))</f>
        <v>2849.0638</v>
      </c>
      <c r="G15" s="61" t="n">
        <f aca="false">MIN(Assumptions!$I$19,Assumptions!$I$17*(1+Assumptions!$I$18)^(G$5-1))</f>
        <v>3105.479542</v>
      </c>
      <c r="H15" s="61" t="n">
        <f aca="false">MIN(Assumptions!$I$19,Assumptions!$I$17*(1+Assumptions!$I$18)^(H$5-1))</f>
        <v>3384.97270078</v>
      </c>
      <c r="I15" s="61" t="n">
        <f aca="false">MIN(Assumptions!$I$19,Assumptions!$I$17*(1+Assumptions!$I$18)^(I$5-1))</f>
        <v>3689.6202438502</v>
      </c>
      <c r="J15" s="61" t="n">
        <f aca="false">MIN(Assumptions!$I$19,Assumptions!$I$17*(1+Assumptions!$I$18)^(J$5-1))</f>
        <v>4021.68606579672</v>
      </c>
      <c r="K15" s="61" t="n">
        <f aca="false">MIN(Assumptions!$I$19,Assumptions!$I$17*(1+Assumptions!$I$18)^(K$5-1))</f>
        <v>4383.63781171843</v>
      </c>
      <c r="L15" s="61" t="n">
        <f aca="false">MIN(Assumptions!$I$19,Assumptions!$I$17*(1+Assumptions!$I$18)^(L$5-1))</f>
        <v>4778.16521477308</v>
      </c>
      <c r="M15" s="61" t="n">
        <f aca="false">MIN(Assumptions!$I$19,Assumptions!$I$17*(1+Assumptions!$I$18)^(M$5-1))</f>
        <v>5208.20008410266</v>
      </c>
      <c r="N15" s="61" t="n">
        <f aca="false">MIN(Assumptions!$I$19,Assumptions!$I$17*(1+Assumptions!$I$18)^(N$5-1))</f>
        <v>5676.9380916719</v>
      </c>
      <c r="O15" s="61" t="n">
        <f aca="false">MIN(Assumptions!$I$19,Assumptions!$I$17*(1+Assumptions!$I$18)^(O$5-1))</f>
        <v>6187.86251992237</v>
      </c>
      <c r="P15" s="61" t="n">
        <f aca="false">MIN(Assumptions!$I$19,Assumptions!$I$17*(1+Assumptions!$I$18)^(P$5-1))</f>
        <v>6744.77014671539</v>
      </c>
      <c r="Q15" s="61" t="n">
        <f aca="false">MIN(Assumptions!$I$19,Assumptions!$I$17*(1+Assumptions!$I$18)^(Q$5-1))</f>
        <v>7351.79945991977</v>
      </c>
      <c r="R15" s="61" t="n">
        <f aca="false">MIN(Assumptions!$I$19,Assumptions!$I$17*(1+Assumptions!$I$18)^(R$5-1))</f>
        <v>8013.46141131255</v>
      </c>
      <c r="S15" s="61" t="n">
        <f aca="false">MIN(Assumptions!$I$19,Assumptions!$I$17*(1+Assumptions!$I$18)^(S$5-1))</f>
        <v>8734.67293833068</v>
      </c>
      <c r="T15" s="61" t="n">
        <f aca="false">MIN(Assumptions!$I$19,Assumptions!$I$17*(1+Assumptions!$I$18)^(T$5-1))</f>
        <v>9520.79350278045</v>
      </c>
      <c r="U15" s="61" t="n">
        <f aca="false">MIN(Assumptions!$I$19,Assumptions!$I$17*(1+Assumptions!$I$18)^(U$5-1))</f>
        <v>10377.6649180307</v>
      </c>
      <c r="V15" s="61" t="n">
        <f aca="false">MIN(Assumptions!$I$19,Assumptions!$I$17*(1+Assumptions!$I$18)^(V$5-1))</f>
        <v>11311.6547606535</v>
      </c>
      <c r="W15" s="61" t="n">
        <f aca="false">MIN(Assumptions!$I$19,Assumptions!$I$17*(1+Assumptions!$I$18)^(W$5-1))</f>
        <v>12329.7036891123</v>
      </c>
      <c r="X15" s="61" t="n">
        <f aca="false">MIN(Assumptions!$I$19,Assumptions!$I$17*(1+Assumptions!$I$18)^(X$5-1))</f>
        <v>13439.3770211324</v>
      </c>
      <c r="Y15" s="61" t="n">
        <f aca="false">MIN(Assumptions!$I$19,Assumptions!$I$17*(1+Assumptions!$I$18)^(Y$5-1))</f>
        <v>14648.9209530343</v>
      </c>
      <c r="Z15" s="61" t="n">
        <f aca="false">MIN(Assumptions!$I$19,Assumptions!$I$17*(1+Assumptions!$I$18)^(Z$5-1))</f>
        <v>15967.3238388074</v>
      </c>
      <c r="AA15" s="61" t="n">
        <f aca="false">MIN(Assumptions!$I$19,Assumptions!$I$17*(1+Assumptions!$I$18)^(AA$5-1))</f>
        <v>17404.3829843</v>
      </c>
      <c r="AB15" s="61" t="n">
        <f aca="false">MIN(Assumptions!$I$19,Assumptions!$I$17*(1+Assumptions!$I$18)^(AB$5-1))</f>
        <v>18970.777452887</v>
      </c>
      <c r="AC15" s="61" t="n">
        <f aca="false">MIN(Assumptions!$I$19,Assumptions!$I$17*(1+Assumptions!$I$18)^(AC$5-1))</f>
        <v>20678.1474236469</v>
      </c>
      <c r="AD15" s="61" t="n">
        <f aca="false">MIN(Assumptions!$I$19,Assumptions!$I$17*(1+Assumptions!$I$18)^(AD$5-1))</f>
        <v>22539.1806917751</v>
      </c>
      <c r="AE15" s="61" t="n">
        <f aca="false">MIN(Assumptions!$I$19,Assumptions!$I$17*(1+Assumptions!$I$18)^(AE$5-1))</f>
        <v>24567.7069540349</v>
      </c>
      <c r="AF15" s="61" t="n">
        <f aca="false">MIN(Assumptions!$I$19,Assumptions!$I$17*(1+Assumptions!$I$18)^(AF$5-1))</f>
        <v>26778.800579898</v>
      </c>
      <c r="AG15" s="61" t="n">
        <f aca="false">MIN(Assumptions!$I$19,Assumptions!$I$17*(1+Assumptions!$I$18)^(AG$5-1))</f>
        <v>29188.8926320888</v>
      </c>
      <c r="AH15" s="61" t="n">
        <f aca="false">MIN(Assumptions!$I$19,Assumptions!$I$17*(1+Assumptions!$I$18)^(AH$5-1))</f>
        <v>31815.8929689768</v>
      </c>
      <c r="AI15" s="61" t="n">
        <f aca="false">MIN(Assumptions!$I$19,Assumptions!$I$17*(1+Assumptions!$I$18)^(AI$5-1))</f>
        <v>34679.3233361847</v>
      </c>
      <c r="AJ15" s="61" t="n">
        <f aca="false">MIN(Assumptions!$I$19,Assumptions!$I$17*(1+Assumptions!$I$18)^(AJ$5-1))</f>
        <v>37800.4624364413</v>
      </c>
      <c r="AK15" s="61" t="n">
        <f aca="false">MIN(Assumptions!$I$19,Assumptions!$I$17*(1+Assumptions!$I$18)^(AK$5-1))</f>
        <v>41202.5040557211</v>
      </c>
      <c r="AL15" s="61" t="n">
        <f aca="false">MIN(Assumptions!$I$19,Assumptions!$I$17*(1+Assumptions!$I$18)^(AL$5-1))</f>
        <v>44910.729420736</v>
      </c>
      <c r="AM15" s="61" t="n">
        <f aca="false">SUM(C15:AL15)</f>
        <v>519474.389651135</v>
      </c>
    </row>
    <row r="16" customFormat="false" ht="15" hidden="false" customHeight="false" outlineLevel="0" collapsed="false">
      <c r="A16" s="37" t="s">
        <v>751</v>
      </c>
      <c r="B16" s="9" t="s">
        <v>97</v>
      </c>
      <c r="C16" s="53" t="n">
        <f aca="false">Assumptions!$I$20</f>
        <v>8000</v>
      </c>
      <c r="D16" s="53" t="n">
        <f aca="false">IF(D8=0,Assumptions!$I$20,MIN(Assumptions!$I$24,MAX(Assumptions!$I$21,C72*Assumptions!$I$22)))</f>
        <v>30000</v>
      </c>
      <c r="E16" s="53" t="n">
        <f aca="false">IF(E8=0,Assumptions!$I$20,MIN(Assumptions!$I$24,MAX(Assumptions!$I$21,D72*Assumptions!$I$22)))</f>
        <v>91155.5974459095</v>
      </c>
      <c r="F16" s="53" t="n">
        <f aca="false">IF(F8=0,Assumptions!$I$20,MIN(Assumptions!$I$24,MAX(Assumptions!$I$21,E72*Assumptions!$I$22)))</f>
        <v>82329.9417837288</v>
      </c>
      <c r="G16" s="53" t="n">
        <f aca="false">IF(G8=0,Assumptions!$I$20,MIN(Assumptions!$I$24,MAX(Assumptions!$I$21,F72*Assumptions!$I$22)))</f>
        <v>89057.279996105</v>
      </c>
      <c r="H16" s="53" t="n">
        <f aca="false">IF(H8=0,Assumptions!$I$20,MIN(Assumptions!$I$24,MAX(Assumptions!$I$21,G72*Assumptions!$I$22)))</f>
        <v>97258.179300626</v>
      </c>
      <c r="I16" s="53" t="n">
        <f aca="false">IF(I8=0,Assumptions!$I$20,MIN(Assumptions!$I$24,MAX(Assumptions!$I$21,H72*Assumptions!$I$22)))</f>
        <v>104444.779953872</v>
      </c>
      <c r="J16" s="53" t="n">
        <f aca="false">IF(J8=0,Assumptions!$I$20,MIN(Assumptions!$I$24,MAX(Assumptions!$I$21,I72*Assumptions!$I$22)))</f>
        <v>114705.235656906</v>
      </c>
      <c r="K16" s="53" t="n">
        <f aca="false">IF(K8=0,Assumptions!$I$20,MIN(Assumptions!$I$24,MAX(Assumptions!$I$21,J72*Assumptions!$I$22)))</f>
        <v>122752.896100989</v>
      </c>
      <c r="L16" s="53" t="n">
        <f aca="false">IF(L8=0,Assumptions!$I$20,MIN(Assumptions!$I$24,MAX(Assumptions!$I$21,K72*Assumptions!$I$22)))</f>
        <v>130005.377448296</v>
      </c>
      <c r="M16" s="53" t="n">
        <f aca="false">IF(M8=0,Assumptions!$I$20,MIN(Assumptions!$I$24,MAX(Assumptions!$I$21,L72*Assumptions!$I$22)))</f>
        <v>136649.558182032</v>
      </c>
      <c r="N16" s="53" t="n">
        <f aca="false">IF(N8=0,Assumptions!$I$20,MIN(Assumptions!$I$24,MAX(Assumptions!$I$21,M72*Assumptions!$I$22)))</f>
        <v>142816.979974285</v>
      </c>
      <c r="O16" s="53" t="n">
        <f aca="false">IF(O8=0,Assumptions!$I$20,MIN(Assumptions!$I$24,MAX(Assumptions!$I$21,N72*Assumptions!$I$22)))</f>
        <v>148610.895988752</v>
      </c>
      <c r="P16" s="53" t="n">
        <f aca="false">IF(P8=0,Assumptions!$I$20,MIN(Assumptions!$I$24,MAX(Assumptions!$I$21,O72*Assumptions!$I$22)))</f>
        <v>154117.086410607</v>
      </c>
      <c r="Q16" s="53" t="n">
        <f aca="false">IF(Q8=0,Assumptions!$I$20,MIN(Assumptions!$I$24,MAX(Assumptions!$I$21,P72*Assumptions!$I$22)))</f>
        <v>159407.771592153</v>
      </c>
      <c r="R16" s="53" t="n">
        <f aca="false">IF(R8=0,Assumptions!$I$20,MIN(Assumptions!$I$24,MAX(Assumptions!$I$21,Q72*Assumptions!$I$22)))</f>
        <v>164544.393496682</v>
      </c>
      <c r="S16" s="53" t="n">
        <f aca="false">IF(S8=0,Assumptions!$I$20,MIN(Assumptions!$I$24,MAX(Assumptions!$I$21,R72*Assumptions!$I$22)))</f>
        <v>169579.841872515</v>
      </c>
      <c r="T16" s="53" t="n">
        <f aca="false">IF(T8=0,Assumptions!$I$20,MIN(Assumptions!$I$24,MAX(Assumptions!$I$21,S72*Assumptions!$I$22)))</f>
        <v>174560.285204014</v>
      </c>
      <c r="U16" s="53" t="n">
        <f aca="false">IF(U8=0,Assumptions!$I$20,MIN(Assumptions!$I$24,MAX(Assumptions!$I$21,T72*Assumptions!$I$22)))</f>
        <v>179526.688343868</v>
      </c>
      <c r="V16" s="53" t="n">
        <f aca="false">IF(V8=0,Assumptions!$I$20,MIN(Assumptions!$I$24,MAX(Assumptions!$I$21,U72*Assumptions!$I$22)))</f>
        <v>184516.077280945</v>
      </c>
      <c r="W16" s="53" t="n">
        <f aca="false">IF(W8=0,Assumptions!$I$20,MIN(Assumptions!$I$24,MAX(Assumptions!$I$21,V72*Assumptions!$I$22)))</f>
        <v>189562.599728496</v>
      </c>
      <c r="X16" s="53" t="n">
        <f aca="false">IF(X8=0,Assumptions!$I$20,MIN(Assumptions!$I$24,MAX(Assumptions!$I$21,W72*Assumptions!$I$22)))</f>
        <v>194698.421546007</v>
      </c>
      <c r="Y16" s="53" t="n">
        <f aca="false">IF(Y8=0,Assumptions!$I$20,MIN(Assumptions!$I$24,MAX(Assumptions!$I$21,X72*Assumptions!$I$22)))</f>
        <v>199954.49206643</v>
      </c>
      <c r="Z16" s="53" t="n">
        <f aca="false">IF(Z8=0,Assumptions!$I$20,MIN(Assumptions!$I$24,MAX(Assumptions!$I$21,Y72*Assumptions!$I$22)))</f>
        <v>205361.205727902</v>
      </c>
      <c r="AA16" s="53" t="n">
        <f aca="false">IF(AA8=0,Assumptions!$I$20,MIN(Assumptions!$I$24,MAX(Assumptions!$I$21,Z72*Assumptions!$I$22)))</f>
        <v>210948.982754672</v>
      </c>
      <c r="AB16" s="53" t="n">
        <f aca="false">IF(AB8=0,Assumptions!$I$20,MIN(Assumptions!$I$24,MAX(Assumptions!$I$21,AA72*Assumptions!$I$22)))</f>
        <v>216748.787818085</v>
      </c>
      <c r="AC16" s="53" t="n">
        <f aca="false">IF(AC8=0,Assumptions!$I$20,MIN(Assumptions!$I$24,MAX(Assumptions!$I$21,AB72*Assumptions!$I$22)))</f>
        <v>222576.494356976</v>
      </c>
      <c r="AD16" s="53" t="n">
        <f aca="false">IF(AD8=0,Assumptions!$I$20,MIN(Assumptions!$I$24,MAX(Assumptions!$I$21,AC72*Assumptions!$I$22)))</f>
        <v>228392.132225783</v>
      </c>
      <c r="AE16" s="53" t="n">
        <f aca="false">IF(AE8=0,Assumptions!$I$20,MIN(Assumptions!$I$24,MAX(Assumptions!$I$21,AD72*Assumptions!$I$22)))</f>
        <v>234286.328924571</v>
      </c>
      <c r="AF16" s="53" t="n">
        <f aca="false">IF(AF8=0,Assumptions!$I$20,MIN(Assumptions!$I$24,MAX(Assumptions!$I$21,AE72*Assumptions!$I$22)))</f>
        <v>240300.955625973</v>
      </c>
      <c r="AG16" s="53" t="n">
        <f aca="false">IF(AG8=0,Assumptions!$I$20,MIN(Assumptions!$I$24,MAX(Assumptions!$I$21,AF72*Assumptions!$I$22)))</f>
        <v>246476.977617258</v>
      </c>
      <c r="AH16" s="53" t="n">
        <f aca="false">IF(AH8=0,Assumptions!$I$20,MIN(Assumptions!$I$24,MAX(Assumptions!$I$21,AG72*Assumptions!$I$22)))</f>
        <v>252855.91650533</v>
      </c>
      <c r="AI16" s="53" t="n">
        <f aca="false">IF(AI8=0,Assumptions!$I$20,MIN(Assumptions!$I$24,MAX(Assumptions!$I$21,AH72*Assumptions!$I$22)))</f>
        <v>259480.479507719</v>
      </c>
      <c r="AJ16" s="53" t="n">
        <f aca="false">IF(AJ8=0,Assumptions!$I$20,MIN(Assumptions!$I$24,MAX(Assumptions!$I$21,AI72*Assumptions!$I$22)))</f>
        <v>266394.959476065</v>
      </c>
      <c r="AK16" s="53" t="n">
        <f aca="false">IF(AK8=0,Assumptions!$I$20,MIN(Assumptions!$I$24,MAX(Assumptions!$I$21,AJ72*Assumptions!$I$22)))</f>
        <v>273645.608859707</v>
      </c>
      <c r="AL16" s="53" t="n">
        <f aca="false">IF(AL8=0,Assumptions!$I$20,MIN(Assumptions!$I$24,MAX(Assumptions!$I$21,AK72*Assumptions!$I$22)))</f>
        <v>281281.01138208</v>
      </c>
      <c r="AM16" s="53" t="n">
        <f aca="false">SUM(C16:AL16)</f>
        <v>6207004.22015534</v>
      </c>
    </row>
    <row r="17" customFormat="false" ht="15" hidden="false" customHeight="false" outlineLevel="0" collapsed="false">
      <c r="A17" s="10" t="s">
        <v>752</v>
      </c>
      <c r="B17" s="9" t="s">
        <v>84</v>
      </c>
      <c r="C17" s="61" t="n">
        <f aca="false">(C14*Assumptions!$I$27+C15*Assumptions!$I$28)*Assumptions!$I$29*C8</f>
        <v>0</v>
      </c>
      <c r="D17" s="61" t="n">
        <f aca="false">(D14*Assumptions!$I$27+D15*Assumptions!$I$28)*Assumptions!$I$29*D8</f>
        <v>24702.496</v>
      </c>
      <c r="E17" s="61" t="n">
        <f aca="false">(E14*Assumptions!$I$27+E15*Assumptions!$I$28)*Assumptions!$I$29*E8</f>
        <v>9496.85464</v>
      </c>
      <c r="F17" s="61" t="n">
        <f aca="false">(F14*Assumptions!$I$27+F15*Assumptions!$I$28)*Assumptions!$I$29*F8</f>
        <v>8449.0361176</v>
      </c>
      <c r="G17" s="61" t="n">
        <f aca="false">(G14*Assumptions!$I$27+G15*Assumptions!$I$28)*Assumptions!$I$29*G8</f>
        <v>7614.328776184</v>
      </c>
      <c r="H17" s="61" t="n">
        <f aca="false">(H14*Assumptions!$I$27+H15*Assumptions!$I$28)*Assumptions!$I$29*H8</f>
        <v>6950.42965244056</v>
      </c>
      <c r="I17" s="61" t="n">
        <f aca="false">(I14*Assumptions!$I$27+I15*Assumptions!$I$28)*Assumptions!$I$29*I8</f>
        <v>6423.52511028021</v>
      </c>
      <c r="J17" s="61" t="n">
        <f aca="false">(J14*Assumptions!$I$27+J15*Assumptions!$I$28)*Assumptions!$I$29*J8</f>
        <v>6006.59556150143</v>
      </c>
      <c r="K17" s="61" t="n">
        <f aca="false">(K14*Assumptions!$I$27+K15*Assumptions!$I$28)*Assumptions!$I$29*K8</f>
        <v>5678.05947507336</v>
      </c>
      <c r="L17" s="61" t="n">
        <f aca="false">(L14*Assumptions!$I$27+L15*Assumptions!$I$28)*Assumptions!$I$29*L8</f>
        <v>5420.6888382594</v>
      </c>
      <c r="M17" s="61" t="n">
        <f aca="false">(M14*Assumptions!$I$27+M15*Assumptions!$I$28)*Assumptions!$I$29*M8</f>
        <v>5220.7418020463</v>
      </c>
      <c r="N17" s="61" t="n">
        <f aca="false">(N14*Assumptions!$I$27+N15*Assumptions!$I$28)*Assumptions!$I$29*N8</f>
        <v>5067.26909890531</v>
      </c>
      <c r="O17" s="61" t="n">
        <f aca="false">(O14*Assumptions!$I$27+O15*Assumptions!$I$28)*Assumptions!$I$29*O8</f>
        <v>4951.55950554666</v>
      </c>
      <c r="P17" s="61" t="n">
        <f aca="false">(P14*Assumptions!$I$27+P15*Assumptions!$I$28)*Assumptions!$I$29*P8</f>
        <v>4866.69657123776</v>
      </c>
      <c r="Q17" s="61" t="n">
        <f aca="false">(Q14*Assumptions!$I$27+Q15*Assumptions!$I$28)*Assumptions!$I$29*Q8</f>
        <v>4807.20439080267</v>
      </c>
      <c r="R17" s="61" t="n">
        <f aca="false">(R14*Assumptions!$I$27+R15*Assumptions!$I$28)*Assumptions!$I$29*R8</f>
        <v>4768.76464849773</v>
      </c>
      <c r="S17" s="61" t="n">
        <f aca="false">(S14*Assumptions!$I$27+S15*Assumptions!$I$28)*Assumptions!$I$29*S8</f>
        <v>4747.99071688078</v>
      </c>
      <c r="T17" s="61" t="n">
        <f aca="false">(T14*Assumptions!$I$27+T15*Assumptions!$I$28)*Assumptions!$I$29*T8</f>
        <v>4742.24744141465</v>
      </c>
      <c r="U17" s="61" t="n">
        <f aca="false">(U14*Assumptions!$I$27+U15*Assumptions!$I$28)*Assumptions!$I$29*U8</f>
        <v>4749.50751915365</v>
      </c>
      <c r="V17" s="61" t="n">
        <f aca="false">(V14*Assumptions!$I$27+V15*Assumptions!$I$28)*Assumptions!$I$29*V8</f>
        <v>4768.23720228682</v>
      </c>
      <c r="W17" s="61" t="n">
        <f aca="false">(W14*Assumptions!$I$27+W15*Assumptions!$I$28)*Assumptions!$I$29*W8</f>
        <v>4797.30551562011</v>
      </c>
      <c r="X17" s="61" t="n">
        <f aca="false">(X14*Assumptions!$I$27+X15*Assumptions!$I$28)*Assumptions!$I$29*X8</f>
        <v>4835.9123441279</v>
      </c>
      <c r="Y17" s="61" t="n">
        <f aca="false">(Y14*Assumptions!$I$27+Y15*Assumptions!$I$28)*Assumptions!$I$29*Y8</f>
        <v>4883.531680781</v>
      </c>
      <c r="Z17" s="61" t="n">
        <f aca="false">(Z14*Assumptions!$I$27+Z15*Assumptions!$I$28)*Assumptions!$I$29*Z8</f>
        <v>4939.86707259656</v>
      </c>
      <c r="AA17" s="61" t="n">
        <f aca="false">(AA14*Assumptions!$I$27+AA15*Assumptions!$I$28)*Assumptions!$I$29*AA8</f>
        <v>5004.81690156646</v>
      </c>
      <c r="AB17" s="61" t="n">
        <f aca="false">(AB14*Assumptions!$I$27+AB15*Assumptions!$I$28)*Assumptions!$I$29*AB8</f>
        <v>5078.44761665641</v>
      </c>
      <c r="AC17" s="61" t="n">
        <f aca="false">(AC14*Assumptions!$I$27+AC15*Assumptions!$I$28)*Assumptions!$I$29*AC8</f>
        <v>5160.97341731467</v>
      </c>
      <c r="AD17" s="61" t="n">
        <f aca="false">(AD14*Assumptions!$I$27+AD15*Assumptions!$I$28)*Assumptions!$I$29*AD8</f>
        <v>5252.74119700033</v>
      </c>
      <c r="AE17" s="61" t="n">
        <f aca="false">(AE14*Assumptions!$I$27+AE15*Assumptions!$I$28)*Assumptions!$I$29*AE8</f>
        <v>5354.21980243223</v>
      </c>
      <c r="AF17" s="61" t="n">
        <f aca="false">(AF14*Assumptions!$I$27+AF15*Assumptions!$I$28)*Assumptions!$I$29*AF8</f>
        <v>5465.99286281263</v>
      </c>
      <c r="AG17" s="61" t="n">
        <f aca="false">(AG14*Assumptions!$I$27+AG15*Assumptions!$I$28)*Assumptions!$I$29*AG8</f>
        <v>5588.75460299497</v>
      </c>
      <c r="AH17" s="61" t="n">
        <f aca="false">(AH14*Assumptions!$I$27+AH15*Assumptions!$I$28)*Assumptions!$I$29*AH8</f>
        <v>5723.30818328787</v>
      </c>
      <c r="AI17" s="61" t="n">
        <f aca="false">(AI14*Assumptions!$I$27+AI15*Assumptions!$I$28)*Assumptions!$I$29*AI8</f>
        <v>5870.56621260247</v>
      </c>
      <c r="AJ17" s="61" t="n">
        <f aca="false">(AJ14*Assumptions!$I$27+AJ15*Assumptions!$I$28)*Assumptions!$I$29*AJ8</f>
        <v>6031.55316599164</v>
      </c>
      <c r="AK17" s="61" t="n">
        <f aca="false">(AK14*Assumptions!$I$27+AK15*Assumptions!$I$28)*Assumptions!$I$29*AK8</f>
        <v>6207.40950633485</v>
      </c>
      <c r="AL17" s="61" t="n">
        <f aca="false">(AL14*Assumptions!$I$27+AL15*Assumptions!$I$28)*Assumptions!$I$29*AL8</f>
        <v>6399.39736622815</v>
      </c>
      <c r="AM17" s="61" t="n">
        <f aca="false">SUM(C17:AL17)</f>
        <v>216027.03051646</v>
      </c>
    </row>
    <row r="18" customFormat="false" ht="15" hidden="false" customHeight="false" outlineLevel="0" collapsed="false">
      <c r="A18" s="10" t="s">
        <v>753</v>
      </c>
      <c r="B18" s="9" t="s">
        <v>97</v>
      </c>
      <c r="C18" s="70" t="n">
        <f aca="false">MIN(C16,C17*Assumptions!$I$30)</f>
        <v>0</v>
      </c>
      <c r="D18" s="70" t="n">
        <f aca="false">MIN(D16,D17*Assumptions!$I$30)</f>
        <v>27172.7456</v>
      </c>
      <c r="E18" s="70" t="n">
        <f aca="false">MIN(E16,E17*Assumptions!$I$30)</f>
        <v>10446.540104</v>
      </c>
      <c r="F18" s="70" t="n">
        <f aca="false">MIN(F16,F17*Assumptions!$I$30)</f>
        <v>9293.93972936</v>
      </c>
      <c r="G18" s="70" t="n">
        <f aca="false">MIN(G16,G17*Assumptions!$I$30)</f>
        <v>8375.7616538024</v>
      </c>
      <c r="H18" s="70" t="n">
        <f aca="false">MIN(H16,H17*Assumptions!$I$30)</f>
        <v>7645.47261768462</v>
      </c>
      <c r="I18" s="70" t="n">
        <f aca="false">MIN(I16,I17*Assumptions!$I$30)</f>
        <v>7065.87762130823</v>
      </c>
      <c r="J18" s="70" t="n">
        <f aca="false">MIN(J16,J17*Assumptions!$I$30)</f>
        <v>6607.25511765157</v>
      </c>
      <c r="K18" s="70" t="n">
        <f aca="false">MIN(K16,K17*Assumptions!$I$30)</f>
        <v>6245.8654225807</v>
      </c>
      <c r="L18" s="70" t="n">
        <f aca="false">MIN(L16,L17*Assumptions!$I$30)</f>
        <v>5962.75772208534</v>
      </c>
      <c r="M18" s="70" t="n">
        <f aca="false">MIN(M16,M17*Assumptions!$I$30)</f>
        <v>5742.81598225093</v>
      </c>
      <c r="N18" s="70" t="n">
        <f aca="false">MIN(N16,N17*Assumptions!$I$30)</f>
        <v>5573.99600879584</v>
      </c>
      <c r="O18" s="70" t="n">
        <f aca="false">MIN(O16,O17*Assumptions!$I$30)</f>
        <v>5446.71545610133</v>
      </c>
      <c r="P18" s="70" t="n">
        <f aca="false">MIN(P16,P17*Assumptions!$I$30)</f>
        <v>5353.36622836153</v>
      </c>
      <c r="Q18" s="70" t="n">
        <f aca="false">MIN(Q16,Q17*Assumptions!$I$30)</f>
        <v>5287.92482988294</v>
      </c>
      <c r="R18" s="70" t="n">
        <f aca="false">MIN(R16,R17*Assumptions!$I$30)</f>
        <v>5245.6411133475</v>
      </c>
      <c r="S18" s="70" t="n">
        <f aca="false">MIN(S16,S17*Assumptions!$I$30)</f>
        <v>5222.78978856885</v>
      </c>
      <c r="T18" s="70" t="n">
        <f aca="false">MIN(T16,T17*Assumptions!$I$30)</f>
        <v>5216.47218555611</v>
      </c>
      <c r="U18" s="70" t="n">
        <f aca="false">MIN(U16,U17*Assumptions!$I$30)</f>
        <v>5224.45827106901</v>
      </c>
      <c r="V18" s="70" t="n">
        <f aca="false">MIN(V16,V17*Assumptions!$I$30)</f>
        <v>5245.0609225155</v>
      </c>
      <c r="W18" s="70" t="n">
        <f aca="false">MIN(W16,W17*Assumptions!$I$30)</f>
        <v>5277.03606718212</v>
      </c>
      <c r="X18" s="70" t="n">
        <f aca="false">MIN(X16,X17*Assumptions!$I$30)</f>
        <v>5319.50357854069</v>
      </c>
      <c r="Y18" s="70" t="n">
        <f aca="false">MIN(Y16,Y17*Assumptions!$I$30)</f>
        <v>5371.8848488591</v>
      </c>
      <c r="Z18" s="70" t="n">
        <f aca="false">MIN(Z16,Z17*Assumptions!$I$30)</f>
        <v>5433.85377985621</v>
      </c>
      <c r="AA18" s="70" t="n">
        <f aca="false">MIN(AA16,AA17*Assumptions!$I$30)</f>
        <v>5505.29859172311</v>
      </c>
      <c r="AB18" s="70" t="n">
        <f aca="false">MIN(AB16,AB17*Assumptions!$I$30)</f>
        <v>5586.29237832205</v>
      </c>
      <c r="AC18" s="70" t="n">
        <f aca="false">MIN(AC16,AC17*Assumptions!$I$30)</f>
        <v>5677.07075904613</v>
      </c>
      <c r="AD18" s="70" t="n">
        <f aca="false">MIN(AD16,AD17*Assumptions!$I$30)</f>
        <v>5778.01531670036</v>
      </c>
      <c r="AE18" s="70" t="n">
        <f aca="false">MIN(AE16,AE17*Assumptions!$I$30)</f>
        <v>5889.64178267545</v>
      </c>
      <c r="AF18" s="70" t="n">
        <f aca="false">MIN(AF16,AF17*Assumptions!$I$30)</f>
        <v>6012.59214909389</v>
      </c>
      <c r="AG18" s="70" t="n">
        <f aca="false">MIN(AG16,AG17*Assumptions!$I$30)</f>
        <v>6147.63006329446</v>
      </c>
      <c r="AH18" s="70" t="n">
        <f aca="false">MIN(AH16,AH17*Assumptions!$I$30)</f>
        <v>6295.63900161666</v>
      </c>
      <c r="AI18" s="70" t="n">
        <f aca="false">MIN(AI16,AI17*Assumptions!$I$30)</f>
        <v>6457.62283386272</v>
      </c>
      <c r="AJ18" s="70" t="n">
        <f aca="false">MIN(AJ16,AJ17*Assumptions!$I$30)</f>
        <v>6634.7084825908</v>
      </c>
      <c r="AK18" s="70" t="n">
        <f aca="false">MIN(AK16,AK17*Assumptions!$I$30)</f>
        <v>6828.15045696833</v>
      </c>
      <c r="AL18" s="70" t="n">
        <f aca="false">MIN(AL16,AL17*Assumptions!$I$30)</f>
        <v>7039.33710285097</v>
      </c>
      <c r="AM18" s="70" t="n">
        <f aca="false">SUM(C18:AL18)</f>
        <v>237629.733568105</v>
      </c>
    </row>
    <row r="19" customFormat="false" ht="15" hidden="false" customHeight="false" outlineLevel="0" collapsed="false">
      <c r="A19" s="10" t="s">
        <v>754</v>
      </c>
      <c r="B19" s="9" t="s">
        <v>84</v>
      </c>
      <c r="C19" s="61" t="n">
        <f aca="false">C18/Assumptions!$I$30</f>
        <v>0</v>
      </c>
      <c r="D19" s="61" t="n">
        <f aca="false">D18/Assumptions!$I$30</f>
        <v>24702.496</v>
      </c>
      <c r="E19" s="61" t="n">
        <f aca="false">E18/Assumptions!$I$30</f>
        <v>9496.85464</v>
      </c>
      <c r="F19" s="61" t="n">
        <f aca="false">F18/Assumptions!$I$30</f>
        <v>8449.0361176</v>
      </c>
      <c r="G19" s="61" t="n">
        <f aca="false">G18/Assumptions!$I$30</f>
        <v>7614.328776184</v>
      </c>
      <c r="H19" s="61" t="n">
        <f aca="false">H18/Assumptions!$I$30</f>
        <v>6950.42965244056</v>
      </c>
      <c r="I19" s="61" t="n">
        <f aca="false">I18/Assumptions!$I$30</f>
        <v>6423.52511028021</v>
      </c>
      <c r="J19" s="61" t="n">
        <f aca="false">J18/Assumptions!$I$30</f>
        <v>6006.59556150143</v>
      </c>
      <c r="K19" s="61" t="n">
        <f aca="false">K18/Assumptions!$I$30</f>
        <v>5678.05947507336</v>
      </c>
      <c r="L19" s="61" t="n">
        <f aca="false">L18/Assumptions!$I$30</f>
        <v>5420.6888382594</v>
      </c>
      <c r="M19" s="61" t="n">
        <f aca="false">M18/Assumptions!$I$30</f>
        <v>5220.7418020463</v>
      </c>
      <c r="N19" s="61" t="n">
        <f aca="false">N18/Assumptions!$I$30</f>
        <v>5067.26909890531</v>
      </c>
      <c r="O19" s="61" t="n">
        <f aca="false">O18/Assumptions!$I$30</f>
        <v>4951.55950554666</v>
      </c>
      <c r="P19" s="61" t="n">
        <f aca="false">P18/Assumptions!$I$30</f>
        <v>4866.69657123776</v>
      </c>
      <c r="Q19" s="61" t="n">
        <f aca="false">Q18/Assumptions!$I$30</f>
        <v>4807.20439080267</v>
      </c>
      <c r="R19" s="61" t="n">
        <f aca="false">R18/Assumptions!$I$30</f>
        <v>4768.76464849773</v>
      </c>
      <c r="S19" s="61" t="n">
        <f aca="false">S18/Assumptions!$I$30</f>
        <v>4747.99071688078</v>
      </c>
      <c r="T19" s="61" t="n">
        <f aca="false">T18/Assumptions!$I$30</f>
        <v>4742.24744141465</v>
      </c>
      <c r="U19" s="61" t="n">
        <f aca="false">U18/Assumptions!$I$30</f>
        <v>4749.50751915365</v>
      </c>
      <c r="V19" s="61" t="n">
        <f aca="false">V18/Assumptions!$I$30</f>
        <v>4768.23720228682</v>
      </c>
      <c r="W19" s="61" t="n">
        <f aca="false">W18/Assumptions!$I$30</f>
        <v>4797.30551562011</v>
      </c>
      <c r="X19" s="61" t="n">
        <f aca="false">X18/Assumptions!$I$30</f>
        <v>4835.9123441279</v>
      </c>
      <c r="Y19" s="61" t="n">
        <f aca="false">Y18/Assumptions!$I$30</f>
        <v>4883.531680781</v>
      </c>
      <c r="Z19" s="61" t="n">
        <f aca="false">Z18/Assumptions!$I$30</f>
        <v>4939.86707259656</v>
      </c>
      <c r="AA19" s="61" t="n">
        <f aca="false">AA18/Assumptions!$I$30</f>
        <v>5004.81690156646</v>
      </c>
      <c r="AB19" s="61" t="n">
        <f aca="false">AB18/Assumptions!$I$30</f>
        <v>5078.44761665641</v>
      </c>
      <c r="AC19" s="61" t="n">
        <f aca="false">AC18/Assumptions!$I$30</f>
        <v>5160.97341731467</v>
      </c>
      <c r="AD19" s="61" t="n">
        <f aca="false">AD18/Assumptions!$I$30</f>
        <v>5252.74119700033</v>
      </c>
      <c r="AE19" s="61" t="n">
        <f aca="false">AE18/Assumptions!$I$30</f>
        <v>5354.21980243223</v>
      </c>
      <c r="AF19" s="61" t="n">
        <f aca="false">AF18/Assumptions!$I$30</f>
        <v>5465.99286281263</v>
      </c>
      <c r="AG19" s="61" t="n">
        <f aca="false">AG18/Assumptions!$I$30</f>
        <v>5588.75460299497</v>
      </c>
      <c r="AH19" s="61" t="n">
        <f aca="false">AH18/Assumptions!$I$30</f>
        <v>5723.30818328787</v>
      </c>
      <c r="AI19" s="61" t="n">
        <f aca="false">AI18/Assumptions!$I$30</f>
        <v>5870.56621260247</v>
      </c>
      <c r="AJ19" s="61" t="n">
        <f aca="false">AJ18/Assumptions!$I$30</f>
        <v>6031.55316599164</v>
      </c>
      <c r="AK19" s="61" t="n">
        <f aca="false">AK18/Assumptions!$I$30</f>
        <v>6207.40950633485</v>
      </c>
      <c r="AL19" s="61" t="n">
        <f aca="false">AL18/Assumptions!$I$30</f>
        <v>6399.39736622815</v>
      </c>
      <c r="AM19" s="61" t="n">
        <f aca="false">SUM(C19:AL19)</f>
        <v>216027.03051646</v>
      </c>
    </row>
    <row r="20" customFormat="false" ht="15" hidden="false" customHeight="false" outlineLevel="0" collapsed="false">
      <c r="A20" s="10" t="s">
        <v>755</v>
      </c>
      <c r="B20" s="9" t="s">
        <v>51</v>
      </c>
      <c r="C20" s="61" t="n">
        <f aca="false">C8*(Assumptions!$I$35*C14)</f>
        <v>0</v>
      </c>
      <c r="D20" s="61" t="n">
        <f aca="false">D8*(Assumptions!$I$35*D14+Assumptions!$I$34*C29)</f>
        <v>256590.220493584</v>
      </c>
      <c r="E20" s="61" t="n">
        <f aca="false">E8*(Assumptions!$I$35*E14+Assumptions!$I$34*D29)</f>
        <v>209038.079641379</v>
      </c>
      <c r="F20" s="61" t="n">
        <f aca="false">F8*(Assumptions!$I$35*F14+Assumptions!$I$34*E29)</f>
        <v>159812.087364029</v>
      </c>
      <c r="G20" s="61" t="n">
        <f aca="false">G8*(Assumptions!$I$35*G14+Assumptions!$I$34*F29)</f>
        <v>142687.25504678</v>
      </c>
      <c r="H20" s="61" t="n">
        <f aca="false">H8*(Assumptions!$I$35*H14+Assumptions!$I$34*G29)</f>
        <v>132975.556048313</v>
      </c>
      <c r="I20" s="61" t="n">
        <f aca="false">I8*(Assumptions!$I$35*I14+Assumptions!$I$34*H29)</f>
        <v>125773.919660564</v>
      </c>
      <c r="J20" s="61" t="n">
        <f aca="false">J8*(Assumptions!$I$35*J14+Assumptions!$I$34*I29)</f>
        <v>120069.804187441</v>
      </c>
      <c r="K20" s="61" t="n">
        <f aca="false">K8*(Assumptions!$I$35*K14+Assumptions!$I$34*J29)</f>
        <v>116293.48841375</v>
      </c>
      <c r="L20" s="61" t="n">
        <f aca="false">L8*(Assumptions!$I$35*L14+Assumptions!$I$34*K29)</f>
        <v>113273.053427981</v>
      </c>
      <c r="M20" s="61" t="n">
        <f aca="false">M8*(Assumptions!$I$35*M14+Assumptions!$I$34*L29)</f>
        <v>111010.218706069</v>
      </c>
      <c r="N20" s="61" t="n">
        <f aca="false">N8*(Assumptions!$I$35*N14+Assumptions!$I$34*M29)</f>
        <v>109385.835000487</v>
      </c>
      <c r="O20" s="61" t="n">
        <f aca="false">O8*(Assumptions!$I$35*O14+Assumptions!$I$34*N29)</f>
        <v>108288.077315173</v>
      </c>
      <c r="P20" s="61" t="n">
        <f aca="false">P8*(Assumptions!$I$35*P14+Assumptions!$I$34*O29)</f>
        <v>107623.730008598</v>
      </c>
      <c r="Q20" s="61" t="n">
        <f aca="false">Q8*(Assumptions!$I$35*Q14+Assumptions!$I$34*P29)</f>
        <v>107317.466473346</v>
      </c>
      <c r="R20" s="61" t="n">
        <f aca="false">R8*(Assumptions!$I$35*R14+Assumptions!$I$34*Q29)</f>
        <v>107309.219818936</v>
      </c>
      <c r="S20" s="61" t="n">
        <f aca="false">S8*(Assumptions!$I$35*S14+Assumptions!$I$34*R29)</f>
        <v>107551.605604608</v>
      </c>
      <c r="T20" s="61" t="n">
        <f aca="false">T8*(Assumptions!$I$35*T14+Assumptions!$I$34*S29)</f>
        <v>108007.686603322</v>
      </c>
      <c r="U20" s="61" t="n">
        <f aca="false">U8*(Assumptions!$I$35*U14+Assumptions!$I$34*T29)</f>
        <v>108649.104236819</v>
      </c>
      <c r="V20" s="61" t="n">
        <f aca="false">V8*(Assumptions!$I$35*V14+Assumptions!$I$34*U29)</f>
        <v>109454.544349881</v>
      </c>
      <c r="W20" s="61" t="n">
        <f aca="false">W8*(Assumptions!$I$35*W14+Assumptions!$I$34*V29)</f>
        <v>110408.492080983</v>
      </c>
      <c r="X20" s="61" t="n">
        <f aca="false">X8*(Assumptions!$I$35*X14+Assumptions!$I$34*W29)</f>
        <v>111500.230424942</v>
      </c>
      <c r="Y20" s="61" t="n">
        <f aca="false">Y8*(Assumptions!$I$35*Y14+Assumptions!$I$34*X29)</f>
        <v>112723.041318014</v>
      </c>
      <c r="Z20" s="61" t="n">
        <f aca="false">Z8*(Assumptions!$I$35*Z14+Assumptions!$I$34*Y29)</f>
        <v>114073.573647064</v>
      </c>
      <c r="AA20" s="61" t="n">
        <f aca="false">AA8*(Assumptions!$I$35*AA14+Assumptions!$I$34*Z29)</f>
        <v>115551.348213214</v>
      </c>
      <c r="AB20" s="61" t="n">
        <f aca="false">AB8*(Assumptions!$I$35*AB14+Assumptions!$I$34*AA29)</f>
        <v>117158.374838795</v>
      </c>
      <c r="AC20" s="61" t="n">
        <f aca="false">AC8*(Assumptions!$I$35*AC14+Assumptions!$I$34*AB29)</f>
        <v>118898.86131119</v>
      </c>
      <c r="AD20" s="61" t="n">
        <f aca="false">AD8*(Assumptions!$I$35*AD14+Assumptions!$I$34*AC29)</f>
        <v>120749.371412656</v>
      </c>
      <c r="AE20" s="61" t="n">
        <f aca="false">AE8*(Assumptions!$I$35*AE14+Assumptions!$I$34*AD29)</f>
        <v>122706.015587855</v>
      </c>
      <c r="AF20" s="61" t="n">
        <f aca="false">AF8*(Assumptions!$I$35*AF14+Assumptions!$I$34*AE29)</f>
        <v>124785.821823187</v>
      </c>
      <c r="AG20" s="61" t="n">
        <f aca="false">AG8*(Assumptions!$I$35*AG14+Assumptions!$I$34*AF29)</f>
        <v>127002.101887339</v>
      </c>
      <c r="AH20" s="61" t="n">
        <f aca="false">AH8*(Assumptions!$I$35*AH14+Assumptions!$I$34*AG29)</f>
        <v>129368.855703854</v>
      </c>
      <c r="AI20" s="61" t="n">
        <f aca="false">AI8*(Assumptions!$I$35*AI14+Assumptions!$I$34*AH29)</f>
        <v>131901.333179585</v>
      </c>
      <c r="AJ20" s="61" t="n">
        <f aca="false">AJ8*(Assumptions!$I$35*AJ14+Assumptions!$I$34*AI29)</f>
        <v>134616.16599137</v>
      </c>
      <c r="AK20" s="61" t="n">
        <f aca="false">AK8*(Assumptions!$I$35*AK14+Assumptions!$I$34*AJ29)</f>
        <v>137531.449287511</v>
      </c>
      <c r="AL20" s="61" t="n">
        <f aca="false">AL8*(Assumptions!$I$35*AL14+Assumptions!$I$34*AK29)</f>
        <v>140666.832267849</v>
      </c>
      <c r="AM20" s="61" t="n">
        <f aca="false">AL20</f>
        <v>140666.832267849</v>
      </c>
    </row>
    <row r="21" customFormat="false" ht="15" hidden="false" customHeight="false" outlineLevel="0" collapsed="false">
      <c r="A21" s="10" t="s">
        <v>756</v>
      </c>
      <c r="B21" s="9" t="s">
        <v>84</v>
      </c>
      <c r="C21" s="61" t="n">
        <f aca="false">C20*Assumptions!$I$36</f>
        <v>0</v>
      </c>
      <c r="D21" s="61" t="n">
        <f aca="false">D20*Assumptions!$I$36</f>
        <v>64147.5551233959</v>
      </c>
      <c r="E21" s="61" t="n">
        <f aca="false">E20*Assumptions!$I$36</f>
        <v>52259.5199103448</v>
      </c>
      <c r="F21" s="61" t="n">
        <f aca="false">F20*Assumptions!$I$36</f>
        <v>39953.0218410073</v>
      </c>
      <c r="G21" s="61" t="n">
        <f aca="false">G20*Assumptions!$I$36</f>
        <v>35671.813761695</v>
      </c>
      <c r="H21" s="61" t="n">
        <f aca="false">H20*Assumptions!$I$36</f>
        <v>33243.8890120783</v>
      </c>
      <c r="I21" s="61" t="n">
        <f aca="false">I20*Assumptions!$I$36</f>
        <v>31443.4799151411</v>
      </c>
      <c r="J21" s="61" t="n">
        <f aca="false">J20*Assumptions!$I$36</f>
        <v>30017.4510468601</v>
      </c>
      <c r="K21" s="61" t="n">
        <f aca="false">K20*Assumptions!$I$36</f>
        <v>29073.3721034375</v>
      </c>
      <c r="L21" s="61" t="n">
        <f aca="false">L20*Assumptions!$I$36</f>
        <v>28318.2633569953</v>
      </c>
      <c r="M21" s="61" t="n">
        <f aca="false">M20*Assumptions!$I$36</f>
        <v>27752.5546765174</v>
      </c>
      <c r="N21" s="61" t="n">
        <f aca="false">N20*Assumptions!$I$36</f>
        <v>27346.4587501217</v>
      </c>
      <c r="O21" s="61" t="n">
        <f aca="false">O20*Assumptions!$I$36</f>
        <v>27072.0193287933</v>
      </c>
      <c r="P21" s="61" t="n">
        <f aca="false">P20*Assumptions!$I$36</f>
        <v>26905.9325021495</v>
      </c>
      <c r="Q21" s="61" t="n">
        <f aca="false">Q20*Assumptions!$I$36</f>
        <v>26829.3666183366</v>
      </c>
      <c r="R21" s="61" t="n">
        <f aca="false">R20*Assumptions!$I$36</f>
        <v>26827.304954734</v>
      </c>
      <c r="S21" s="61" t="n">
        <f aca="false">S20*Assumptions!$I$36</f>
        <v>26887.901401152</v>
      </c>
      <c r="T21" s="61" t="n">
        <f aca="false">T20*Assumptions!$I$36</f>
        <v>27001.9216508305</v>
      </c>
      <c r="U21" s="61" t="n">
        <f aca="false">U20*Assumptions!$I$36</f>
        <v>27162.2760592047</v>
      </c>
      <c r="V21" s="61" t="n">
        <f aca="false">V20*Assumptions!$I$36</f>
        <v>27363.6360874701</v>
      </c>
      <c r="W21" s="61" t="n">
        <f aca="false">W20*Assumptions!$I$36</f>
        <v>27602.1230202458</v>
      </c>
      <c r="X21" s="61" t="n">
        <f aca="false">X20*Assumptions!$I$36</f>
        <v>27875.0576062354</v>
      </c>
      <c r="Y21" s="61" t="n">
        <f aca="false">Y20*Assumptions!$I$36</f>
        <v>28180.7603295034</v>
      </c>
      <c r="Z21" s="61" t="n">
        <f aca="false">Z20*Assumptions!$I$36</f>
        <v>28518.3934117661</v>
      </c>
      <c r="AA21" s="61" t="n">
        <f aca="false">AA20*Assumptions!$I$36</f>
        <v>28887.8370533035</v>
      </c>
      <c r="AB21" s="61" t="n">
        <f aca="false">AB20*Assumptions!$I$36</f>
        <v>29289.5937096987</v>
      </c>
      <c r="AC21" s="61" t="n">
        <f aca="false">AC20*Assumptions!$I$36</f>
        <v>29724.7153277974</v>
      </c>
      <c r="AD21" s="61" t="n">
        <f aca="false">AD20*Assumptions!$I$36</f>
        <v>30187.342853164</v>
      </c>
      <c r="AE21" s="61" t="n">
        <f aca="false">AE20*Assumptions!$I$36</f>
        <v>30676.5038969639</v>
      </c>
      <c r="AF21" s="61" t="n">
        <f aca="false">AF20*Assumptions!$I$36</f>
        <v>31196.4554557967</v>
      </c>
      <c r="AG21" s="61" t="n">
        <f aca="false">AG20*Assumptions!$I$36</f>
        <v>31750.5254718348</v>
      </c>
      <c r="AH21" s="61" t="n">
        <f aca="false">AH20*Assumptions!$I$36</f>
        <v>32342.2139259635</v>
      </c>
      <c r="AI21" s="61" t="n">
        <f aca="false">AI20*Assumptions!$I$36</f>
        <v>32975.3332948963</v>
      </c>
      <c r="AJ21" s="61" t="n">
        <f aca="false">AJ20*Assumptions!$I$36</f>
        <v>33654.0414978426</v>
      </c>
      <c r="AK21" s="61" t="n">
        <f aca="false">AK20*Assumptions!$I$36</f>
        <v>34382.8623218777</v>
      </c>
      <c r="AL21" s="61" t="n">
        <f aca="false">AL20*Assumptions!$I$36</f>
        <v>35166.7080669622</v>
      </c>
      <c r="AM21" s="61" t="n">
        <f aca="false">SUM(C21:AL21)</f>
        <v>1107688.20534412</v>
      </c>
    </row>
    <row r="22" customFormat="false" ht="15" hidden="false" customHeight="false" outlineLevel="0" collapsed="false">
      <c r="A22" s="10" t="s">
        <v>757</v>
      </c>
      <c r="B22" s="9" t="s">
        <v>97</v>
      </c>
      <c r="C22" s="70" t="n">
        <f aca="false">MIN(MAX(0,C16-C18),C21*Assumptions!$I$37)</f>
        <v>0</v>
      </c>
      <c r="D22" s="70" t="n">
        <f aca="false">MIN(MAX(0,D16-D18),D21*Assumptions!$I$37)</f>
        <v>2827.2544</v>
      </c>
      <c r="E22" s="70" t="n">
        <f aca="false">MIN(MAX(0,E16-E18),E21*Assumptions!$I$37)</f>
        <v>75776.30387</v>
      </c>
      <c r="F22" s="70" t="n">
        <f aca="false">MIN(MAX(0,F16-F18),F21*Assumptions!$I$37)</f>
        <v>57931.8816694606</v>
      </c>
      <c r="G22" s="70" t="n">
        <f aca="false">MIN(MAX(0,G16-G18),G21*Assumptions!$I$37)</f>
        <v>51724.1299544577</v>
      </c>
      <c r="H22" s="70" t="n">
        <f aca="false">MIN(MAX(0,H16-H18),H21*Assumptions!$I$37)</f>
        <v>48203.6390675135</v>
      </c>
      <c r="I22" s="70" t="n">
        <f aca="false">MIN(MAX(0,I16-I18),I21*Assumptions!$I$37)</f>
        <v>45593.0458769546</v>
      </c>
      <c r="J22" s="70" t="n">
        <f aca="false">MIN(MAX(0,J16-J18),J21*Assumptions!$I$37)</f>
        <v>43525.3040179472</v>
      </c>
      <c r="K22" s="70" t="n">
        <f aca="false">MIN(MAX(0,K16-K18),K21*Assumptions!$I$37)</f>
        <v>42156.3895499844</v>
      </c>
      <c r="L22" s="70" t="n">
        <f aca="false">MIN(MAX(0,L16-L18),L21*Assumptions!$I$37)</f>
        <v>41061.4818676432</v>
      </c>
      <c r="M22" s="70" t="n">
        <f aca="false">MIN(MAX(0,M16-M18),M21*Assumptions!$I$37)</f>
        <v>40241.2042809502</v>
      </c>
      <c r="N22" s="70" t="n">
        <f aca="false">MIN(MAX(0,N16-N18),N21*Assumptions!$I$37)</f>
        <v>39652.3651876765</v>
      </c>
      <c r="O22" s="70" t="n">
        <f aca="false">MIN(MAX(0,O16-O18),O21*Assumptions!$I$37)</f>
        <v>39254.4280267503</v>
      </c>
      <c r="P22" s="70" t="n">
        <f aca="false">MIN(MAX(0,P16-P18),P21*Assumptions!$I$37)</f>
        <v>39013.6021281168</v>
      </c>
      <c r="Q22" s="70" t="n">
        <f aca="false">MIN(MAX(0,Q16-Q18),Q21*Assumptions!$I$37)</f>
        <v>38902.581596588</v>
      </c>
      <c r="R22" s="70" t="n">
        <f aca="false">MIN(MAX(0,R16-R18),R21*Assumptions!$I$37)</f>
        <v>38899.5921843643</v>
      </c>
      <c r="S22" s="70" t="n">
        <f aca="false">MIN(MAX(0,S16-S18),S21*Assumptions!$I$37)</f>
        <v>38987.4570316704</v>
      </c>
      <c r="T22" s="70" t="n">
        <f aca="false">MIN(MAX(0,T16-T18),T21*Assumptions!$I$37)</f>
        <v>39152.7863937043</v>
      </c>
      <c r="U22" s="70" t="n">
        <f aca="false">MIN(MAX(0,U16-U18),U21*Assumptions!$I$37)</f>
        <v>39385.3002858469</v>
      </c>
      <c r="V22" s="70" t="n">
        <f aca="false">MIN(MAX(0,V16-V18),V21*Assumptions!$I$37)</f>
        <v>39677.2723268317</v>
      </c>
      <c r="W22" s="70" t="n">
        <f aca="false">MIN(MAX(0,W16-W18),W21*Assumptions!$I$37)</f>
        <v>40023.0783793564</v>
      </c>
      <c r="X22" s="70" t="n">
        <f aca="false">MIN(MAX(0,X16-X18),X21*Assumptions!$I$37)</f>
        <v>40418.8335290414</v>
      </c>
      <c r="Y22" s="70" t="n">
        <f aca="false">MIN(MAX(0,Y16-Y18),Y21*Assumptions!$I$37)</f>
        <v>40862.1024777799</v>
      </c>
      <c r="Z22" s="70" t="n">
        <f aca="false">MIN(MAX(0,Z16-Z18),Z21*Assumptions!$I$37)</f>
        <v>41351.6704470609</v>
      </c>
      <c r="AA22" s="70" t="n">
        <f aca="false">MIN(MAX(0,AA16-AA18),AA21*Assumptions!$I$37)</f>
        <v>41887.3637272901</v>
      </c>
      <c r="AB22" s="70" t="n">
        <f aca="false">MIN(MAX(0,AB16-AB18),AB21*Assumptions!$I$37)</f>
        <v>42469.9108790631</v>
      </c>
      <c r="AC22" s="70" t="n">
        <f aca="false">MIN(MAX(0,AC16-AC18),AC21*Assumptions!$I$37)</f>
        <v>43100.8372253063</v>
      </c>
      <c r="AD22" s="70" t="n">
        <f aca="false">MIN(MAX(0,AD16-AD18),AD21*Assumptions!$I$37)</f>
        <v>43771.6471370878</v>
      </c>
      <c r="AE22" s="70" t="n">
        <f aca="false">MIN(MAX(0,AE16-AE18),AE21*Assumptions!$I$37)</f>
        <v>44480.9306505976</v>
      </c>
      <c r="AF22" s="70" t="n">
        <f aca="false">MIN(MAX(0,AF16-AF18),AF21*Assumptions!$I$37)</f>
        <v>45234.8604109052</v>
      </c>
      <c r="AG22" s="70" t="n">
        <f aca="false">MIN(MAX(0,AG16-AG18),AG21*Assumptions!$I$37)</f>
        <v>46038.2619341605</v>
      </c>
      <c r="AH22" s="70" t="n">
        <f aca="false">MIN(MAX(0,AH16-AH18),AH21*Assumptions!$I$37)</f>
        <v>46896.2101926471</v>
      </c>
      <c r="AI22" s="70" t="n">
        <f aca="false">MIN(MAX(0,AI16-AI18),AI21*Assumptions!$I$37)</f>
        <v>47814.2332775996</v>
      </c>
      <c r="AJ22" s="70" t="n">
        <f aca="false">MIN(MAX(0,AJ16-AJ18),AJ21*Assumptions!$I$37)</f>
        <v>48798.3601718718</v>
      </c>
      <c r="AK22" s="70" t="n">
        <f aca="false">MIN(MAX(0,AK16-AK18),AK21*Assumptions!$I$37)</f>
        <v>49855.1503667227</v>
      </c>
      <c r="AL22" s="70" t="n">
        <f aca="false">MIN(MAX(0,AL16-AL18),AL21*Assumptions!$I$37)</f>
        <v>50991.7266970952</v>
      </c>
      <c r="AM22" s="70" t="n">
        <f aca="false">SUM(C22:AL22)</f>
        <v>1515961.19722005</v>
      </c>
    </row>
    <row r="23" customFormat="false" ht="15" hidden="false" customHeight="false" outlineLevel="0" collapsed="false">
      <c r="A23" s="10" t="s">
        <v>758</v>
      </c>
      <c r="B23" s="9" t="s">
        <v>84</v>
      </c>
      <c r="C23" s="61" t="n">
        <f aca="false">C22/Assumptions!$I$37</f>
        <v>0</v>
      </c>
      <c r="D23" s="61" t="n">
        <f aca="false">D22/Assumptions!$I$37</f>
        <v>1949.83062068966</v>
      </c>
      <c r="E23" s="61" t="n">
        <f aca="false">E22/Assumptions!$I$37</f>
        <v>52259.5199103448</v>
      </c>
      <c r="F23" s="61" t="n">
        <f aca="false">F22/Assumptions!$I$37</f>
        <v>39953.0218410073</v>
      </c>
      <c r="G23" s="61" t="n">
        <f aca="false">G22/Assumptions!$I$37</f>
        <v>35671.813761695</v>
      </c>
      <c r="H23" s="61" t="n">
        <f aca="false">H22/Assumptions!$I$37</f>
        <v>33243.8890120783</v>
      </c>
      <c r="I23" s="61" t="n">
        <f aca="false">I22/Assumptions!$I$37</f>
        <v>31443.4799151411</v>
      </c>
      <c r="J23" s="61" t="n">
        <f aca="false">J22/Assumptions!$I$37</f>
        <v>30017.4510468601</v>
      </c>
      <c r="K23" s="61" t="n">
        <f aca="false">K22/Assumptions!$I$37</f>
        <v>29073.3721034375</v>
      </c>
      <c r="L23" s="61" t="n">
        <f aca="false">L22/Assumptions!$I$37</f>
        <v>28318.2633569953</v>
      </c>
      <c r="M23" s="61" t="n">
        <f aca="false">M22/Assumptions!$I$37</f>
        <v>27752.5546765174</v>
      </c>
      <c r="N23" s="61" t="n">
        <f aca="false">N22/Assumptions!$I$37</f>
        <v>27346.4587501217</v>
      </c>
      <c r="O23" s="61" t="n">
        <f aca="false">O22/Assumptions!$I$37</f>
        <v>27072.0193287933</v>
      </c>
      <c r="P23" s="61" t="n">
        <f aca="false">P22/Assumptions!$I$37</f>
        <v>26905.9325021495</v>
      </c>
      <c r="Q23" s="61" t="n">
        <f aca="false">Q22/Assumptions!$I$37</f>
        <v>26829.3666183366</v>
      </c>
      <c r="R23" s="61" t="n">
        <f aca="false">R22/Assumptions!$I$37</f>
        <v>26827.304954734</v>
      </c>
      <c r="S23" s="61" t="n">
        <f aca="false">S22/Assumptions!$I$37</f>
        <v>26887.901401152</v>
      </c>
      <c r="T23" s="61" t="n">
        <f aca="false">T22/Assumptions!$I$37</f>
        <v>27001.9216508305</v>
      </c>
      <c r="U23" s="61" t="n">
        <f aca="false">U22/Assumptions!$I$37</f>
        <v>27162.2760592048</v>
      </c>
      <c r="V23" s="61" t="n">
        <f aca="false">V22/Assumptions!$I$37</f>
        <v>27363.6360874701</v>
      </c>
      <c r="W23" s="61" t="n">
        <f aca="false">W22/Assumptions!$I$37</f>
        <v>27602.1230202458</v>
      </c>
      <c r="X23" s="61" t="n">
        <f aca="false">X22/Assumptions!$I$37</f>
        <v>27875.0576062354</v>
      </c>
      <c r="Y23" s="61" t="n">
        <f aca="false">Y22/Assumptions!$I$37</f>
        <v>28180.7603295034</v>
      </c>
      <c r="Z23" s="61" t="n">
        <f aca="false">Z22/Assumptions!$I$37</f>
        <v>28518.3934117661</v>
      </c>
      <c r="AA23" s="61" t="n">
        <f aca="false">AA22/Assumptions!$I$37</f>
        <v>28887.8370533035</v>
      </c>
      <c r="AB23" s="61" t="n">
        <f aca="false">AB22/Assumptions!$I$37</f>
        <v>29289.5937096987</v>
      </c>
      <c r="AC23" s="61" t="n">
        <f aca="false">AC22/Assumptions!$I$37</f>
        <v>29724.7153277974</v>
      </c>
      <c r="AD23" s="61" t="n">
        <f aca="false">AD22/Assumptions!$I$37</f>
        <v>30187.342853164</v>
      </c>
      <c r="AE23" s="61" t="n">
        <f aca="false">AE22/Assumptions!$I$37</f>
        <v>30676.5038969639</v>
      </c>
      <c r="AF23" s="61" t="n">
        <f aca="false">AF22/Assumptions!$I$37</f>
        <v>31196.4554557967</v>
      </c>
      <c r="AG23" s="61" t="n">
        <f aca="false">AG22/Assumptions!$I$37</f>
        <v>31750.5254718348</v>
      </c>
      <c r="AH23" s="61" t="n">
        <f aca="false">AH22/Assumptions!$I$37</f>
        <v>32342.2139259635</v>
      </c>
      <c r="AI23" s="61" t="n">
        <f aca="false">AI22/Assumptions!$I$37</f>
        <v>32975.3332948963</v>
      </c>
      <c r="AJ23" s="61" t="n">
        <f aca="false">AJ22/Assumptions!$I$37</f>
        <v>33654.0414978426</v>
      </c>
      <c r="AK23" s="61" t="n">
        <f aca="false">AK22/Assumptions!$I$37</f>
        <v>34382.8623218777</v>
      </c>
      <c r="AL23" s="61" t="n">
        <f aca="false">AL22/Assumptions!$I$37</f>
        <v>35166.7080669622</v>
      </c>
      <c r="AM23" s="61" t="n">
        <f aca="false">SUM(C23:AL23)</f>
        <v>1045490.48084141</v>
      </c>
    </row>
    <row r="24" customFormat="false" ht="15" hidden="false" customHeight="false" outlineLevel="0" collapsed="false">
      <c r="A24" s="10" t="s">
        <v>759</v>
      </c>
      <c r="B24" s="9" t="s">
        <v>97</v>
      </c>
      <c r="C24" s="70" t="n">
        <f aca="false">MAX(0,C16-C18-C22)</f>
        <v>8000</v>
      </c>
      <c r="D24" s="70" t="n">
        <f aca="false">MAX(0,D16-D18-D22)</f>
        <v>0</v>
      </c>
      <c r="E24" s="70" t="n">
        <f aca="false">MAX(0,E16-E18-E22)</f>
        <v>4932.75347190953</v>
      </c>
      <c r="F24" s="70" t="n">
        <f aca="false">MAX(0,F16-F18-F22)</f>
        <v>15104.1203849082</v>
      </c>
      <c r="G24" s="70" t="n">
        <f aca="false">MAX(0,G16-G18-G22)</f>
        <v>28957.3883878449</v>
      </c>
      <c r="H24" s="70" t="n">
        <f aca="false">MAX(0,H16-H18-H22)</f>
        <v>41409.0676154279</v>
      </c>
      <c r="I24" s="70" t="n">
        <f aca="false">MAX(0,I16-I18-I22)</f>
        <v>51785.8564556096</v>
      </c>
      <c r="J24" s="70" t="n">
        <f aca="false">MAX(0,J16-J18-J22)</f>
        <v>64572.6765213069</v>
      </c>
      <c r="K24" s="70" t="n">
        <f aca="false">MAX(0,K16-K18-K22)</f>
        <v>74350.641128424</v>
      </c>
      <c r="L24" s="70" t="n">
        <f aca="false">MAX(0,L16-L18-L22)</f>
        <v>82981.1378585678</v>
      </c>
      <c r="M24" s="70" t="n">
        <f aca="false">MAX(0,M16-M18-M22)</f>
        <v>90665.5379188306</v>
      </c>
      <c r="N24" s="70" t="n">
        <f aca="false">MAX(0,N16-N18-N22)</f>
        <v>97590.618777813</v>
      </c>
      <c r="O24" s="70" t="n">
        <f aca="false">MAX(0,O16-O18-O22)</f>
        <v>103909.752505901</v>
      </c>
      <c r="P24" s="70" t="n">
        <f aca="false">MAX(0,P16-P18-P22)</f>
        <v>109750.118054128</v>
      </c>
      <c r="Q24" s="70" t="n">
        <f aca="false">MAX(0,Q16-Q18-Q22)</f>
        <v>115217.265165682</v>
      </c>
      <c r="R24" s="70" t="n">
        <f aca="false">MAX(0,R16-R18-R22)</f>
        <v>120399.16019897</v>
      </c>
      <c r="S24" s="70" t="n">
        <f aca="false">MAX(0,S16-S18-S22)</f>
        <v>125369.595052276</v>
      </c>
      <c r="T24" s="70" t="n">
        <f aca="false">MAX(0,T16-T18-T22)</f>
        <v>130191.026624754</v>
      </c>
      <c r="U24" s="70" t="n">
        <f aca="false">MAX(0,U16-U18-U22)</f>
        <v>134916.929786952</v>
      </c>
      <c r="V24" s="70" t="n">
        <f aca="false">MAX(0,V16-V18-V22)</f>
        <v>139593.744031598</v>
      </c>
      <c r="W24" s="70" t="n">
        <f aca="false">MAX(0,W16-W18-W22)</f>
        <v>144262.485281957</v>
      </c>
      <c r="X24" s="70" t="n">
        <f aca="false">MAX(0,X16-X18-X22)</f>
        <v>148960.084438425</v>
      </c>
      <c r="Y24" s="70" t="n">
        <f aca="false">MAX(0,Y16-Y18-Y22)</f>
        <v>153720.504739791</v>
      </c>
      <c r="Z24" s="70" t="n">
        <f aca="false">MAX(0,Z16-Z18-Z22)</f>
        <v>158575.681500985</v>
      </c>
      <c r="AA24" s="70" t="n">
        <f aca="false">MAX(0,AA16-AA18-AA22)</f>
        <v>163556.320435659</v>
      </c>
      <c r="AB24" s="70" t="n">
        <f aca="false">MAX(0,AB16-AB18-AB22)</f>
        <v>168692.5845607</v>
      </c>
      <c r="AC24" s="70" t="n">
        <f aca="false">MAX(0,AC16-AC18-AC22)</f>
        <v>173798.586372624</v>
      </c>
      <c r="AD24" s="70" t="n">
        <f aca="false">MAX(0,AD16-AD18-AD22)</f>
        <v>178842.469771995</v>
      </c>
      <c r="AE24" s="70" t="n">
        <f aca="false">MAX(0,AE16-AE18-AE22)</f>
        <v>183915.756491298</v>
      </c>
      <c r="AF24" s="70" t="n">
        <f aca="false">MAX(0,AF16-AF18-AF22)</f>
        <v>189053.503065974</v>
      </c>
      <c r="AG24" s="70" t="n">
        <f aca="false">MAX(0,AG16-AG18-AG22)</f>
        <v>194291.085619803</v>
      </c>
      <c r="AH24" s="70" t="n">
        <f aca="false">MAX(0,AH16-AH18-AH22)</f>
        <v>199664.067311066</v>
      </c>
      <c r="AI24" s="70" t="n">
        <f aca="false">MAX(0,AI16-AI18-AI22)</f>
        <v>205208.623396257</v>
      </c>
      <c r="AJ24" s="70" t="n">
        <f aca="false">MAX(0,AJ16-AJ18-AJ22)</f>
        <v>210961.890821602</v>
      </c>
      <c r="AK24" s="70" t="n">
        <f aca="false">MAX(0,AK16-AK18-AK22)</f>
        <v>216962.308036016</v>
      </c>
      <c r="AL24" s="70" t="n">
        <f aca="false">MAX(0,AL16-AL18-AL22)</f>
        <v>223249.947582134</v>
      </c>
      <c r="AM24" s="70" t="n">
        <f aca="false">SUM(C24:AL24)</f>
        <v>4453413.28936719</v>
      </c>
    </row>
    <row r="25" customFormat="false" ht="15" hidden="false" customHeight="false" outlineLevel="0" collapsed="false">
      <c r="A25" s="10" t="s">
        <v>760</v>
      </c>
      <c r="B25" s="9" t="s">
        <v>84</v>
      </c>
      <c r="C25" s="61" t="n">
        <f aca="false">(Assumptions!$I$21/(Assumptions!$I$41*Assumptions!$I$42))*(C24/Assumptions!$I$21)^Assumptions!$I$25</f>
        <v>6000.40089742459</v>
      </c>
      <c r="D25" s="61" t="n">
        <f aca="false">(Assumptions!$I$21/(Assumptions!$I$41*Assumptions!$I$42))*(D24/Assumptions!$I$21)^Assumptions!$I$25</f>
        <v>0</v>
      </c>
      <c r="E25" s="61" t="n">
        <f aca="false">(Assumptions!$I$21/(Assumptions!$I$41*Assumptions!$I$42))*(E24/Assumptions!$I$21)^Assumptions!$I$25</f>
        <v>4195.4624751629</v>
      </c>
      <c r="F25" s="61" t="n">
        <f aca="false">(Assumptions!$I$21/(Assumptions!$I$41*Assumptions!$I$42))*(F24/Assumptions!$I$21)^Assumptions!$I$25</f>
        <v>9603.38414462894</v>
      </c>
      <c r="G25" s="61" t="n">
        <f aca="false">(Assumptions!$I$21/(Assumptions!$I$41*Assumptions!$I$42))*(G24/Assumptions!$I$21)^Assumptions!$I$25</f>
        <v>15545.1753897813</v>
      </c>
      <c r="H25" s="61" t="n">
        <f aca="false">(Assumptions!$I$21/(Assumptions!$I$41*Assumptions!$I$42))*(H24/Assumptions!$I$21)^Assumptions!$I$25</f>
        <v>20255.5626502728</v>
      </c>
      <c r="I25" s="61" t="n">
        <f aca="false">(Assumptions!$I$21/(Assumptions!$I$41*Assumptions!$I$42))*(I24/Assumptions!$I$21)^Assumptions!$I$25</f>
        <v>23900.6624140749</v>
      </c>
      <c r="J25" s="61" t="n">
        <f aca="false">(Assumptions!$I$21/(Assumptions!$I$41*Assumptions!$I$42))*(J24/Assumptions!$I$21)^Assumptions!$I$25</f>
        <v>28140.3684976054</v>
      </c>
      <c r="K25" s="61" t="n">
        <f aca="false">(Assumptions!$I$21/(Assumptions!$I$41*Assumptions!$I$42))*(K24/Assumptions!$I$21)^Assumptions!$I$25</f>
        <v>31235.2055416931</v>
      </c>
      <c r="L25" s="61" t="n">
        <f aca="false">(Assumptions!$I$21/(Assumptions!$I$41*Assumptions!$I$42))*(L24/Assumptions!$I$21)^Assumptions!$I$25</f>
        <v>33879.6115603908</v>
      </c>
      <c r="M25" s="61" t="n">
        <f aca="false">(Assumptions!$I$21/(Assumptions!$I$41*Assumptions!$I$42))*(M24/Assumptions!$I$21)^Assumptions!$I$25</f>
        <v>36174.3666784525</v>
      </c>
      <c r="N25" s="61" t="n">
        <f aca="false">(Assumptions!$I$21/(Assumptions!$I$41*Assumptions!$I$42))*(N24/Assumptions!$I$21)^Assumptions!$I$25</f>
        <v>38199.3215881667</v>
      </c>
      <c r="O25" s="61" t="n">
        <f aca="false">(Assumptions!$I$21/(Assumptions!$I$41*Assumptions!$I$42))*(O24/Assumptions!$I$21)^Assumptions!$I$25</f>
        <v>40014.6798623928</v>
      </c>
      <c r="P25" s="61" t="n">
        <f aca="false">(Assumptions!$I$21/(Assumptions!$I$41*Assumptions!$I$42))*(P24/Assumptions!$I$21)^Assumptions!$I$25</f>
        <v>41667.1095104358</v>
      </c>
      <c r="Q25" s="61" t="n">
        <f aca="false">(Assumptions!$I$21/(Assumptions!$I$41*Assumptions!$I$42))*(Q24/Assumptions!$I$21)^Assumptions!$I$25</f>
        <v>43193.3285885697</v>
      </c>
      <c r="R25" s="61" t="n">
        <f aca="false">(Assumptions!$I$21/(Assumptions!$I$41*Assumptions!$I$42))*(R24/Assumptions!$I$21)^Assumptions!$I$25</f>
        <v>44622.6168669391</v>
      </c>
      <c r="S25" s="61" t="n">
        <f aca="false">(Assumptions!$I$21/(Assumptions!$I$41*Assumptions!$I$42))*(S24/Assumptions!$I$21)^Assumptions!$I$25</f>
        <v>45978.6189208884</v>
      </c>
      <c r="T25" s="61" t="n">
        <f aca="false">(Assumptions!$I$21/(Assumptions!$I$41*Assumptions!$I$42))*(T24/Assumptions!$I$21)^Assumptions!$I$25</f>
        <v>47280.6735943417</v>
      </c>
      <c r="U25" s="61" t="n">
        <f aca="false">(Assumptions!$I$21/(Assumptions!$I$41*Assumptions!$I$42))*(U24/Assumptions!$I$21)^Assumptions!$I$25</f>
        <v>48544.8149286055</v>
      </c>
      <c r="V25" s="61" t="n">
        <f aca="false">(Assumptions!$I$21/(Assumptions!$I$41*Assumptions!$I$42))*(V24/Assumptions!$I$21)^Assumptions!$I$25</f>
        <v>49784.5383279103</v>
      </c>
      <c r="W25" s="61" t="n">
        <f aca="false">(Assumptions!$I$21/(Assumptions!$I$41*Assumptions!$I$42))*(W24/Assumptions!$I$21)^Assumptions!$I$25</f>
        <v>51011.3949870513</v>
      </c>
      <c r="X25" s="61" t="n">
        <f aca="false">(Assumptions!$I$21/(Assumptions!$I$41*Assumptions!$I$42))*(X24/Assumptions!$I$21)^Assumptions!$I$25</f>
        <v>52235.458394601</v>
      </c>
      <c r="Y25" s="61" t="n">
        <f aca="false">(Assumptions!$I$21/(Assumptions!$I$41*Assumptions!$I$42))*(Y24/Assumptions!$I$21)^Assumptions!$I$25</f>
        <v>53465.6942252924</v>
      </c>
      <c r="Z25" s="61" t="n">
        <f aca="false">(Assumptions!$I$21/(Assumptions!$I$41*Assumptions!$I$42))*(Z24/Assumptions!$I$21)^Assumptions!$I$25</f>
        <v>54710.2565105596</v>
      </c>
      <c r="AA25" s="61" t="n">
        <f aca="false">(Assumptions!$I$21/(Assumptions!$I$41*Assumptions!$I$42))*(AA24/Assumptions!$I$21)^Assumptions!$I$25</f>
        <v>55976.7271245837</v>
      </c>
      <c r="AB25" s="61" t="n">
        <f aca="false">(Assumptions!$I$21/(Assumptions!$I$41*Assumptions!$I$42))*(AB24/Assumptions!$I$21)^Assumptions!$I$25</f>
        <v>57272.311453859</v>
      </c>
      <c r="AC25" s="61" t="n">
        <f aca="false">(Assumptions!$I$21/(Assumptions!$I$41*Assumptions!$I$42))*(AC24/Assumptions!$I$21)^Assumptions!$I$25</f>
        <v>58550.134133548</v>
      </c>
      <c r="AD25" s="61" t="n">
        <f aca="false">(Assumptions!$I$21/(Assumptions!$I$41*Assumptions!$I$42))*(AD24/Assumptions!$I$21)^Assumptions!$I$25</f>
        <v>59802.8614230525</v>
      </c>
      <c r="AE25" s="61" t="n">
        <f aca="false">(Assumptions!$I$21/(Assumptions!$I$41*Assumptions!$I$42))*(AE24/Assumptions!$I$21)^Assumptions!$I$25</f>
        <v>61053.6581929306</v>
      </c>
      <c r="AF25" s="61" t="n">
        <f aca="false">(Assumptions!$I$21/(Assumptions!$I$41*Assumptions!$I$42))*(AF24/Assumptions!$I$21)^Assumptions!$I$25</f>
        <v>62311.2375036547</v>
      </c>
      <c r="AG25" s="61" t="n">
        <f aca="false">(Assumptions!$I$21/(Assumptions!$I$41*Assumptions!$I$42))*(AG24/Assumptions!$I$21)^Assumptions!$I$25</f>
        <v>63584.1404038704</v>
      </c>
      <c r="AH25" s="61" t="n">
        <f aca="false">(Assumptions!$I$21/(Assumptions!$I$41*Assumptions!$I$42))*(AH24/Assumptions!$I$21)^Assumptions!$I$25</f>
        <v>64880.7128949515</v>
      </c>
      <c r="AI25" s="61" t="n">
        <f aca="false">(Assumptions!$I$21/(Assumptions!$I$41*Assumptions!$I$42))*(AI24/Assumptions!$I$21)^Assumptions!$I$25</f>
        <v>66209.2130761373</v>
      </c>
      <c r="AJ25" s="61" t="n">
        <f aca="false">(Assumptions!$I$21/(Assumptions!$I$41*Assumptions!$I$42))*(AJ24/Assumptions!$I$21)^Assumptions!$I$25</f>
        <v>67577.8925345167</v>
      </c>
      <c r="AK25" s="61" t="n">
        <f aca="false">(Assumptions!$I$21/(Assumptions!$I$41*Assumptions!$I$42))*(AK24/Assumptions!$I$21)^Assumptions!$I$25</f>
        <v>68995.0689836092</v>
      </c>
      <c r="AL25" s="61" t="n">
        <f aca="false">(Assumptions!$I$21/(Assumptions!$I$41*Assumptions!$I$42))*(AL24/Assumptions!$I$21)^Assumptions!$I$25</f>
        <v>70469.1912855176</v>
      </c>
      <c r="AM25" s="61" t="n">
        <f aca="false">SUM(C25:AL25)</f>
        <v>1576321.85556547</v>
      </c>
    </row>
    <row r="26" customFormat="false" ht="15" hidden="false" customHeight="false" outlineLevel="0" collapsed="false">
      <c r="A26" s="37" t="s">
        <v>761</v>
      </c>
      <c r="B26" s="9" t="s">
        <v>97</v>
      </c>
      <c r="C26" s="53" t="n">
        <f aca="false">C18+C22+C24</f>
        <v>8000</v>
      </c>
      <c r="D26" s="53" t="n">
        <f aca="false">D18+D22+D24</f>
        <v>30000</v>
      </c>
      <c r="E26" s="53" t="n">
        <f aca="false">E18+E22+E24</f>
        <v>91155.5974459095</v>
      </c>
      <c r="F26" s="53" t="n">
        <f aca="false">F18+F22+F24</f>
        <v>82329.9417837288</v>
      </c>
      <c r="G26" s="53" t="n">
        <f aca="false">G18+G22+G24</f>
        <v>89057.279996105</v>
      </c>
      <c r="H26" s="53" t="n">
        <f aca="false">H18+H22+H24</f>
        <v>97258.179300626</v>
      </c>
      <c r="I26" s="53" t="n">
        <f aca="false">I18+I22+I24</f>
        <v>104444.779953872</v>
      </c>
      <c r="J26" s="53" t="n">
        <f aca="false">J18+J22+J24</f>
        <v>114705.235656906</v>
      </c>
      <c r="K26" s="53" t="n">
        <f aca="false">K18+K22+K24</f>
        <v>122752.896100989</v>
      </c>
      <c r="L26" s="53" t="n">
        <f aca="false">L18+L22+L24</f>
        <v>130005.377448296</v>
      </c>
      <c r="M26" s="53" t="n">
        <f aca="false">M18+M22+M24</f>
        <v>136649.558182032</v>
      </c>
      <c r="N26" s="53" t="n">
        <f aca="false">N18+N22+N24</f>
        <v>142816.979974285</v>
      </c>
      <c r="O26" s="53" t="n">
        <f aca="false">O18+O22+O24</f>
        <v>148610.895988752</v>
      </c>
      <c r="P26" s="53" t="n">
        <f aca="false">P18+P22+P24</f>
        <v>154117.086410607</v>
      </c>
      <c r="Q26" s="53" t="n">
        <f aca="false">Q18+Q22+Q24</f>
        <v>159407.771592153</v>
      </c>
      <c r="R26" s="53" t="n">
        <f aca="false">R18+R22+R24</f>
        <v>164544.393496682</v>
      </c>
      <c r="S26" s="53" t="n">
        <f aca="false">S18+S22+S24</f>
        <v>169579.841872515</v>
      </c>
      <c r="T26" s="53" t="n">
        <f aca="false">T18+T22+T24</f>
        <v>174560.285204014</v>
      </c>
      <c r="U26" s="53" t="n">
        <f aca="false">U18+U22+U24</f>
        <v>179526.688343868</v>
      </c>
      <c r="V26" s="53" t="n">
        <f aca="false">V18+V22+V24</f>
        <v>184516.077280945</v>
      </c>
      <c r="W26" s="53" t="n">
        <f aca="false">W18+W22+W24</f>
        <v>189562.599728496</v>
      </c>
      <c r="X26" s="53" t="n">
        <f aca="false">X18+X22+X24</f>
        <v>194698.421546007</v>
      </c>
      <c r="Y26" s="53" t="n">
        <f aca="false">Y18+Y22+Y24</f>
        <v>199954.49206643</v>
      </c>
      <c r="Z26" s="53" t="n">
        <f aca="false">Z18+Z22+Z24</f>
        <v>205361.205727902</v>
      </c>
      <c r="AA26" s="53" t="n">
        <f aca="false">AA18+AA22+AA24</f>
        <v>210948.982754672</v>
      </c>
      <c r="AB26" s="53" t="n">
        <f aca="false">AB18+AB22+AB24</f>
        <v>216748.787818085</v>
      </c>
      <c r="AC26" s="53" t="n">
        <f aca="false">AC18+AC22+AC24</f>
        <v>222576.494356976</v>
      </c>
      <c r="AD26" s="53" t="n">
        <f aca="false">AD18+AD22+AD24</f>
        <v>228392.132225783</v>
      </c>
      <c r="AE26" s="53" t="n">
        <f aca="false">AE18+AE22+AE24</f>
        <v>234286.328924571</v>
      </c>
      <c r="AF26" s="53" t="n">
        <f aca="false">AF18+AF22+AF24</f>
        <v>240300.955625973</v>
      </c>
      <c r="AG26" s="53" t="n">
        <f aca="false">AG18+AG22+AG24</f>
        <v>246476.977617258</v>
      </c>
      <c r="AH26" s="53" t="n">
        <f aca="false">AH18+AH22+AH24</f>
        <v>252855.91650533</v>
      </c>
      <c r="AI26" s="53" t="n">
        <f aca="false">AI18+AI22+AI24</f>
        <v>259480.479507719</v>
      </c>
      <c r="AJ26" s="53" t="n">
        <f aca="false">AJ18+AJ22+AJ24</f>
        <v>266394.959476065</v>
      </c>
      <c r="AK26" s="53" t="n">
        <f aca="false">AK18+AK22+AK24</f>
        <v>273645.608859707</v>
      </c>
      <c r="AL26" s="53" t="n">
        <f aca="false">AL18+AL22+AL24</f>
        <v>281281.01138208</v>
      </c>
      <c r="AM26" s="53" t="n">
        <f aca="false">SUM(C26:AL26)</f>
        <v>6207004.22015534</v>
      </c>
    </row>
    <row r="27" customFormat="false" ht="15" hidden="false" customHeight="false" outlineLevel="0" collapsed="false">
      <c r="A27" s="10" t="s">
        <v>762</v>
      </c>
      <c r="B27" s="9" t="s">
        <v>84</v>
      </c>
      <c r="C27" s="61" t="n">
        <f aca="false">C19+C23+C25</f>
        <v>6000.40089742459</v>
      </c>
      <c r="D27" s="61" t="n">
        <f aca="false">D19+D23+D25</f>
        <v>26652.3266206897</v>
      </c>
      <c r="E27" s="61" t="n">
        <f aca="false">E19+E23+E25</f>
        <v>65951.8370255077</v>
      </c>
      <c r="F27" s="61" t="n">
        <f aca="false">F19+F23+F25</f>
        <v>58005.4421032363</v>
      </c>
      <c r="G27" s="61" t="n">
        <f aca="false">G19+G23+G25</f>
        <v>58831.3179276603</v>
      </c>
      <c r="H27" s="61" t="n">
        <f aca="false">H19+H23+H25</f>
        <v>60449.8813147916</v>
      </c>
      <c r="I27" s="61" t="n">
        <f aca="false">I19+I23+I25</f>
        <v>61767.6674394962</v>
      </c>
      <c r="J27" s="61" t="n">
        <f aca="false">J19+J23+J25</f>
        <v>64164.415105967</v>
      </c>
      <c r="K27" s="61" t="n">
        <f aca="false">K19+K23+K25</f>
        <v>65986.637120204</v>
      </c>
      <c r="L27" s="61" t="n">
        <f aca="false">L19+L23+L25</f>
        <v>67618.5637556456</v>
      </c>
      <c r="M27" s="61" t="n">
        <f aca="false">M19+M23+M25</f>
        <v>69147.6631570162</v>
      </c>
      <c r="N27" s="61" t="n">
        <f aca="false">N19+N23+N25</f>
        <v>70613.0494371937</v>
      </c>
      <c r="O27" s="61" t="n">
        <f aca="false">O19+O23+O25</f>
        <v>72038.2586967328</v>
      </c>
      <c r="P27" s="61" t="n">
        <f aca="false">P19+P23+P25</f>
        <v>73439.7385838231</v>
      </c>
      <c r="Q27" s="61" t="n">
        <f aca="false">Q19+Q23+Q25</f>
        <v>74829.899597709</v>
      </c>
      <c r="R27" s="61" t="n">
        <f aca="false">R19+R23+R25</f>
        <v>76218.6864701708</v>
      </c>
      <c r="S27" s="61" t="n">
        <f aca="false">S19+S23+S25</f>
        <v>77614.5110389212</v>
      </c>
      <c r="T27" s="61" t="n">
        <f aca="false">T19+T23+T25</f>
        <v>79024.8426865869</v>
      </c>
      <c r="U27" s="61" t="n">
        <f aca="false">U19+U23+U25</f>
        <v>80456.5985069639</v>
      </c>
      <c r="V27" s="61" t="n">
        <f aca="false">V19+V23+V25</f>
        <v>81916.4116176673</v>
      </c>
      <c r="W27" s="61" t="n">
        <f aca="false">W19+W23+W25</f>
        <v>83410.8235229173</v>
      </c>
      <c r="X27" s="61" t="n">
        <f aca="false">X19+X23+X25</f>
        <v>84946.4283449644</v>
      </c>
      <c r="Y27" s="61" t="n">
        <f aca="false">Y19+Y23+Y25</f>
        <v>86529.9862355768</v>
      </c>
      <c r="Z27" s="61" t="n">
        <f aca="false">Z19+Z23+Z25</f>
        <v>88168.5169949222</v>
      </c>
      <c r="AA27" s="61" t="n">
        <f aca="false">AA19+AA23+AA25</f>
        <v>89869.3810794537</v>
      </c>
      <c r="AB27" s="61" t="n">
        <f aca="false">AB19+AB23+AB25</f>
        <v>91640.352780214</v>
      </c>
      <c r="AC27" s="61" t="n">
        <f aca="false">AC19+AC23+AC25</f>
        <v>93435.8228786601</v>
      </c>
      <c r="AD27" s="61" t="n">
        <f aca="false">AD19+AD23+AD25</f>
        <v>95242.9454732169</v>
      </c>
      <c r="AE27" s="61" t="n">
        <f aca="false">AE19+AE23+AE25</f>
        <v>97084.3818923267</v>
      </c>
      <c r="AF27" s="61" t="n">
        <f aca="false">AF19+AF23+AF25</f>
        <v>98973.685822264</v>
      </c>
      <c r="AG27" s="61" t="n">
        <f aca="false">AG19+AG23+AG25</f>
        <v>100923.4204787</v>
      </c>
      <c r="AH27" s="61" t="n">
        <f aca="false">AH19+AH23+AH25</f>
        <v>102946.235004203</v>
      </c>
      <c r="AI27" s="61" t="n">
        <f aca="false">AI19+AI23+AI25</f>
        <v>105055.112583636</v>
      </c>
      <c r="AJ27" s="61" t="n">
        <f aca="false">AJ19+AJ23+AJ25</f>
        <v>107263.487198351</v>
      </c>
      <c r="AK27" s="61" t="n">
        <f aca="false">AK19+AK23+AK25</f>
        <v>109585.340811822</v>
      </c>
      <c r="AL27" s="61" t="n">
        <f aca="false">AL19+AL23+AL25</f>
        <v>112035.296718708</v>
      </c>
      <c r="AM27" s="61" t="n">
        <f aca="false">SUM(C27:AL27)</f>
        <v>2837839.36692334</v>
      </c>
    </row>
    <row r="28" customFormat="false" ht="15" hidden="false" customHeight="false" outlineLevel="0" collapsed="false">
      <c r="A28" s="10" t="s">
        <v>763</v>
      </c>
      <c r="B28" s="9" t="s">
        <v>97</v>
      </c>
      <c r="C28" s="63" t="n">
        <f aca="false">IFERROR(C26/C27,0)</f>
        <v>1.33324425096891</v>
      </c>
      <c r="D28" s="63" t="n">
        <f aca="false">IFERROR(D26/D27,0)</f>
        <v>1.12560529618872</v>
      </c>
      <c r="E28" s="63" t="n">
        <f aca="false">IFERROR(E26/E27,0)</f>
        <v>1.38215403174674</v>
      </c>
      <c r="F28" s="63" t="n">
        <f aca="false">IFERROR(F26/F27,0)</f>
        <v>1.41934857831444</v>
      </c>
      <c r="G28" s="63" t="n">
        <f aca="false">IFERROR(G26/G27,0)</f>
        <v>1.51377332912397</v>
      </c>
      <c r="H28" s="63" t="n">
        <f aca="false">IFERROR(H26/H27,0)</f>
        <v>1.60890604224938</v>
      </c>
      <c r="I28" s="63" t="n">
        <f aca="false">IFERROR(I26/I27,0)</f>
        <v>1.69092964464264</v>
      </c>
      <c r="J28" s="63" t="n">
        <f aca="false">IFERROR(J26/J27,0)</f>
        <v>1.78767679043705</v>
      </c>
      <c r="K28" s="63" t="n">
        <f aca="false">IFERROR(K26/K27,0)</f>
        <v>1.86026900988116</v>
      </c>
      <c r="L28" s="63" t="n">
        <f aca="false">IFERROR(L26/L27,0)</f>
        <v>1.92262849471484</v>
      </c>
      <c r="M28" s="63" t="n">
        <f aca="false">IFERROR(M26/M27,0)</f>
        <v>1.97619922269443</v>
      </c>
      <c r="N28" s="63" t="n">
        <f aca="false">IFERROR(N26/N27,0)</f>
        <v>2.02252956234829</v>
      </c>
      <c r="O28" s="63" t="n">
        <f aca="false">IFERROR(O26/O27,0)</f>
        <v>2.06294403386922</v>
      </c>
      <c r="P28" s="63" t="n">
        <f aca="false">IFERROR(P26/P27,0)</f>
        <v>2.09855167491779</v>
      </c>
      <c r="Q28" s="63" t="n">
        <f aca="false">IFERROR(Q26/Q27,0)</f>
        <v>2.1302684147532</v>
      </c>
      <c r="R28" s="63" t="n">
        <f aca="false">IFERROR(R26/R27,0)</f>
        <v>2.15884583055729</v>
      </c>
      <c r="S28" s="63" t="n">
        <f aca="false">IFERROR(S26/S27,0)</f>
        <v>2.1848986691094</v>
      </c>
      <c r="T28" s="63" t="n">
        <f aca="false">IFERROR(T26/T27,0)</f>
        <v>2.20892923376414</v>
      </c>
      <c r="U28" s="63" t="n">
        <f aca="false">IFERROR(U26/U27,0)</f>
        <v>2.23134822594233</v>
      </c>
      <c r="V28" s="63" t="n">
        <f aca="false">IFERROR(V26/V27,0)</f>
        <v>2.25249218852684</v>
      </c>
      <c r="W28" s="63" t="n">
        <f aca="false">IFERROR(W26/W27,0)</f>
        <v>2.27263791103097</v>
      </c>
      <c r="X28" s="63" t="n">
        <f aca="false">IFERROR(X26/X27,0)</f>
        <v>2.29201421812985</v>
      </c>
      <c r="Y28" s="63" t="n">
        <f aca="false">IFERROR(Y26/Y27,0)</f>
        <v>2.31081155522268</v>
      </c>
      <c r="Z28" s="63" t="n">
        <f aca="false">IFERROR(Z26/Z27,0)</f>
        <v>2.3291897462643</v>
      </c>
      <c r="AA28" s="63" t="n">
        <f aca="false">IFERROR(AA26/AA27,0)</f>
        <v>2.34728424988453</v>
      </c>
      <c r="AB28" s="63" t="n">
        <f aca="false">IFERROR(AB26/AB27,0)</f>
        <v>2.36521118963745</v>
      </c>
      <c r="AC28" s="63" t="n">
        <f aca="false">IFERROR(AC26/AC27,0)</f>
        <v>2.3821323289037</v>
      </c>
      <c r="AD28" s="63" t="n">
        <f aca="false">IFERROR(AD26/AD27,0)</f>
        <v>2.39799526454176</v>
      </c>
      <c r="AE28" s="63" t="n">
        <f aca="false">IFERROR(AE26/AE27,0)</f>
        <v>2.41322367571348</v>
      </c>
      <c r="AF28" s="63" t="n">
        <f aca="false">IFERROR(AF26/AF27,0)</f>
        <v>2.42792772270301</v>
      </c>
      <c r="AG28" s="63" t="n">
        <f aca="false">IFERROR(AG26/AG27,0)</f>
        <v>2.44221783653554</v>
      </c>
      <c r="AH28" s="63" t="n">
        <f aca="false">IFERROR(AH26/AH27,0)</f>
        <v>2.45619392001083</v>
      </c>
      <c r="AI28" s="63" t="n">
        <f aca="false">IFERROR(AI26/AI27,0)</f>
        <v>2.46994623228016</v>
      </c>
      <c r="AJ28" s="63" t="n">
        <f aca="false">IFERROR(AJ26/AJ27,0)</f>
        <v>2.48355676693085</v>
      </c>
      <c r="AK28" s="63" t="n">
        <f aca="false">IFERROR(AK26/AK27,0)</f>
        <v>2.49710049567311</v>
      </c>
      <c r="AL28" s="63" t="n">
        <f aca="false">IFERROR(AL26/AL27,0)</f>
        <v>2.51064637324347</v>
      </c>
      <c r="AM28" s="63" t="n">
        <f aca="false">AVERAGE(N28:AL28)</f>
        <v>2.30995589281977</v>
      </c>
    </row>
    <row r="29" customFormat="false" ht="15" hidden="false" customHeight="false" outlineLevel="0" collapsed="false">
      <c r="A29" s="37" t="s">
        <v>764</v>
      </c>
      <c r="B29" s="9" t="s">
        <v>84</v>
      </c>
      <c r="C29" s="71" t="n">
        <f aca="false">C13+C15+C27</f>
        <v>8200.40089742459</v>
      </c>
      <c r="D29" s="71" t="n">
        <f aca="false">D13+D15+D27</f>
        <v>205506.32662069</v>
      </c>
      <c r="E29" s="71" t="n">
        <f aca="false">E13+E15+E27</f>
        <v>135772.377025508</v>
      </c>
      <c r="F29" s="71" t="n">
        <f aca="false">F13+F15+F27</f>
        <v>120450.601903236</v>
      </c>
      <c r="G29" s="71" t="n">
        <f aca="false">G13+G15+G27</f>
        <v>115444.39426966</v>
      </c>
      <c r="H29" s="71" t="n">
        <f aca="false">H13+H15+H27</f>
        <v>112471.651455572</v>
      </c>
      <c r="I29" s="71" t="n">
        <f aca="false">I13+I15+I27</f>
        <v>110197.445635346</v>
      </c>
      <c r="J29" s="71" t="n">
        <f aca="false">J13+J15+J27</f>
        <v>109808.947533364</v>
      </c>
      <c r="K29" s="71" t="n">
        <f aca="false">K13+K15+K27</f>
        <v>109499.272021202</v>
      </c>
      <c r="L29" s="71" t="n">
        <f aca="false">L13+L15+L27</f>
        <v>109530.646641843</v>
      </c>
      <c r="M29" s="71" t="n">
        <f aca="false">M13+M15+M27</f>
        <v>109893.717378258</v>
      </c>
      <c r="N29" s="71" t="n">
        <f aca="false">N13+N15+N27</f>
        <v>110550.990838577</v>
      </c>
      <c r="O29" s="71" t="n">
        <f aca="false">O13+O15+O27</f>
        <v>111465.643864424</v>
      </c>
      <c r="P29" s="71" t="n">
        <f aca="false">P13+P15+P27</f>
        <v>112606.846848754</v>
      </c>
      <c r="Q29" s="71" t="n">
        <f aca="false">Q13+Q15+Q27</f>
        <v>113950.289552201</v>
      </c>
      <c r="R29" s="71" t="n">
        <f aca="false">R13+R15+R27</f>
        <v>115477.740277141</v>
      </c>
      <c r="S29" s="71" t="n">
        <f aca="false">S13+S15+S27</f>
        <v>117176.377893778</v>
      </c>
      <c r="T29" s="71" t="n">
        <f aca="false">T13+T15+T27</f>
        <v>119038.111322588</v>
      </c>
      <c r="U29" s="71" t="n">
        <f aca="false">U13+U15+U27</f>
        <v>121058.963531571</v>
      </c>
      <c r="V29" s="71" t="n">
        <f aca="false">V13+V15+V27</f>
        <v>123238.546463582</v>
      </c>
      <c r="W29" s="71" t="n">
        <f aca="false">W13+W15+W27</f>
        <v>125579.631280239</v>
      </c>
      <c r="X29" s="71" t="n">
        <f aca="false">X13+X15+X27</f>
        <v>128087.808620664</v>
      </c>
      <c r="Y29" s="71" t="n">
        <f aca="false">Y13+Y15+Y27</f>
        <v>130771.229792265</v>
      </c>
      <c r="Z29" s="71" t="n">
        <f aca="false">Z13+Z15+Z27</f>
        <v>133640.418916653</v>
      </c>
      <c r="AA29" s="71" t="n">
        <f aca="false">AA13+AA15+AA27</f>
        <v>136708.146530092</v>
      </c>
      <c r="AB29" s="71" t="n">
        <f aca="false">AB13+AB15+AB27</f>
        <v>139989.356206172</v>
      </c>
      <c r="AC29" s="71" t="n">
        <f aca="false">AC13+AC15+AC27</f>
        <v>143447.271080764</v>
      </c>
      <c r="AD29" s="71" t="n">
        <f aca="false">AD13+AD15+AD27</f>
        <v>147079.486787757</v>
      </c>
      <c r="AE29" s="71" t="n">
        <f aca="false">AE13+AE15+AE27</f>
        <v>150920.697344574</v>
      </c>
      <c r="AF29" s="71" t="n">
        <f aca="false">AF13+AF15+AF27</f>
        <v>154998.093200732</v>
      </c>
      <c r="AG29" s="71" t="n">
        <f aca="false">AG13+AG15+AG27</f>
        <v>159339.518549645</v>
      </c>
      <c r="AH29" s="71" t="n">
        <f aca="false">AH13+AH15+AH27</f>
        <v>163974.612324264</v>
      </c>
      <c r="AI29" s="71" t="n">
        <f aca="false">AI13+AI15+AI27</f>
        <v>168935.143400688</v>
      </c>
      <c r="AJ29" s="71" t="n">
        <f aca="false">AJ13+AJ15+AJ27</f>
        <v>174255.235619486</v>
      </c>
      <c r="AK29" s="71" t="n">
        <f aca="false">AK13+AK15+AK27</f>
        <v>179971.593655298</v>
      </c>
      <c r="AL29" s="71" t="n">
        <f aca="false">AL13+AL15+AL27</f>
        <v>186123.745169648</v>
      </c>
      <c r="AM29" s="71" t="n">
        <f aca="false">SUM(C29:AL29)</f>
        <v>4715161.28045366</v>
      </c>
    </row>
    <row r="30" customFormat="false" ht="15" hidden="false" customHeight="false" outlineLevel="0" collapsed="false">
      <c r="A30" s="10" t="s">
        <v>765</v>
      </c>
      <c r="B30" s="9" t="s">
        <v>51</v>
      </c>
      <c r="C30" s="61" t="n">
        <f aca="false">C8*Assumptions!$I$47*Assumptions!$I$48^C10</f>
        <v>0</v>
      </c>
      <c r="D30" s="61" t="n">
        <f aca="false">D8*Assumptions!$I$47*Assumptions!$I$48^D10</f>
        <v>8000</v>
      </c>
      <c r="E30" s="61" t="n">
        <f aca="false">E8*Assumptions!$I$47*Assumptions!$I$48^E10</f>
        <v>11600</v>
      </c>
      <c r="F30" s="61" t="n">
        <f aca="false">F8*Assumptions!$I$47*Assumptions!$I$48^F10</f>
        <v>16820</v>
      </c>
      <c r="G30" s="61" t="n">
        <f aca="false">G8*Assumptions!$I$47*Assumptions!$I$48^G10</f>
        <v>24389</v>
      </c>
      <c r="H30" s="61" t="n">
        <f aca="false">H8*Assumptions!$I$47*Assumptions!$I$48^H10</f>
        <v>35364.05</v>
      </c>
      <c r="I30" s="61" t="n">
        <f aca="false">I8*Assumptions!$I$47*Assumptions!$I$48^I10</f>
        <v>51277.8725</v>
      </c>
      <c r="J30" s="61" t="n">
        <f aca="false">J8*Assumptions!$I$47*Assumptions!$I$48^J10</f>
        <v>74352.915125</v>
      </c>
      <c r="K30" s="61" t="n">
        <f aca="false">K8*Assumptions!$I$47*Assumptions!$I$48^K10</f>
        <v>107811.72693125</v>
      </c>
      <c r="L30" s="61" t="n">
        <f aca="false">L8*Assumptions!$I$47*Assumptions!$I$48^L10</f>
        <v>156327.004050312</v>
      </c>
      <c r="M30" s="61" t="n">
        <f aca="false">M8*Assumptions!$I$47*Assumptions!$I$48^M10</f>
        <v>226674.155872953</v>
      </c>
      <c r="N30" s="61" t="n">
        <f aca="false">N8*Assumptions!$I$47*Assumptions!$I$48^N10</f>
        <v>328677.526015782</v>
      </c>
      <c r="O30" s="61" t="n">
        <f aca="false">O8*Assumptions!$I$47*Assumptions!$I$48^O10</f>
        <v>476582.412722884</v>
      </c>
      <c r="P30" s="61" t="n">
        <f aca="false">P8*Assumptions!$I$47*Assumptions!$I$48^P10</f>
        <v>691044.498448181</v>
      </c>
      <c r="Q30" s="61" t="n">
        <f aca="false">Q8*Assumptions!$I$47*Assumptions!$I$48^Q10</f>
        <v>1002014.52274986</v>
      </c>
      <c r="R30" s="61" t="n">
        <f aca="false">R8*Assumptions!$I$47*Assumptions!$I$48^R10</f>
        <v>1452921.0579873</v>
      </c>
      <c r="S30" s="61" t="n">
        <f aca="false">S8*Assumptions!$I$47*Assumptions!$I$48^S10</f>
        <v>2106735.53408159</v>
      </c>
      <c r="T30" s="61" t="n">
        <f aca="false">T8*Assumptions!$I$47*Assumptions!$I$48^T10</f>
        <v>3054766.5244183</v>
      </c>
      <c r="U30" s="61" t="n">
        <f aca="false">U8*Assumptions!$I$47*Assumptions!$I$48^U10</f>
        <v>4429411.46040654</v>
      </c>
      <c r="V30" s="61" t="n">
        <f aca="false">V8*Assumptions!$I$47*Assumptions!$I$48^V10</f>
        <v>6422646.61758948</v>
      </c>
      <c r="W30" s="61" t="n">
        <f aca="false">W8*Assumptions!$I$47*Assumptions!$I$48^W10</f>
        <v>9312837.59550474</v>
      </c>
      <c r="X30" s="61" t="n">
        <f aca="false">X8*Assumptions!$I$47*Assumptions!$I$48^X10</f>
        <v>13503614.5134819</v>
      </c>
      <c r="Y30" s="61" t="n">
        <f aca="false">Y8*Assumptions!$I$47*Assumptions!$I$48^Y10</f>
        <v>19580241.0445487</v>
      </c>
      <c r="Z30" s="61" t="n">
        <f aca="false">Z8*Assumptions!$I$47*Assumptions!$I$48^Z10</f>
        <v>28391349.5145956</v>
      </c>
      <c r="AA30" s="61" t="n">
        <f aca="false">AA8*Assumptions!$I$47*Assumptions!$I$48^AA10</f>
        <v>41167456.7961637</v>
      </c>
      <c r="AB30" s="61" t="n">
        <f aca="false">AB8*Assumptions!$I$47*Assumptions!$I$48^AB10</f>
        <v>59692812.3544373</v>
      </c>
      <c r="AC30" s="61" t="n">
        <f aca="false">AC8*Assumptions!$I$47*Assumptions!$I$48^AC10</f>
        <v>86554577.9139341</v>
      </c>
      <c r="AD30" s="61" t="n">
        <f aca="false">AD8*Assumptions!$I$47*Assumptions!$I$48^AD10</f>
        <v>125504137.975204</v>
      </c>
      <c r="AE30" s="61" t="n">
        <f aca="false">AE8*Assumptions!$I$47*Assumptions!$I$48^AE10</f>
        <v>181981000.064047</v>
      </c>
      <c r="AF30" s="61" t="n">
        <f aca="false">AF8*Assumptions!$I$47*Assumptions!$I$48^AF10</f>
        <v>263872450.092867</v>
      </c>
      <c r="AG30" s="61" t="n">
        <f aca="false">AG8*Assumptions!$I$47*Assumptions!$I$48^AG10</f>
        <v>382615052.634658</v>
      </c>
      <c r="AH30" s="61" t="n">
        <f aca="false">AH8*Assumptions!$I$47*Assumptions!$I$48^AH10</f>
        <v>554791826.320254</v>
      </c>
      <c r="AI30" s="61" t="n">
        <f aca="false">AI8*Assumptions!$I$47*Assumptions!$I$48^AI10</f>
        <v>804448148.164368</v>
      </c>
      <c r="AJ30" s="61" t="n">
        <f aca="false">AJ8*Assumptions!$I$47*Assumptions!$I$48^AJ10</f>
        <v>1166449814.83833</v>
      </c>
      <c r="AK30" s="61" t="n">
        <f aca="false">AK8*Assumptions!$I$47*Assumptions!$I$48^AK10</f>
        <v>1691352231.51558</v>
      </c>
      <c r="AL30" s="61" t="n">
        <f aca="false">AL8*Assumptions!$I$47*Assumptions!$I$48^AL10</f>
        <v>2452460735.6976</v>
      </c>
      <c r="AM30" s="61" t="n">
        <f aca="false">AL30</f>
        <v>2452460735.6976</v>
      </c>
    </row>
    <row r="31" customFormat="false" ht="15" hidden="false" customHeight="false" outlineLevel="0" collapsed="false">
      <c r="A31" s="10" t="s">
        <v>766</v>
      </c>
      <c r="B31" s="9" t="s">
        <v>51</v>
      </c>
      <c r="C31" s="61" t="n">
        <f aca="false">Assumptions!$I$49*C8*(C15+C13*Assumptions!$I$44+C19*Assumptions!$I$31*Assumptions!$I$32+C23*Assumptions!$I$38*Assumptions!$I$39+C25*Assumptions!$I$43)</f>
        <v>0</v>
      </c>
      <c r="D31" s="61" t="n">
        <f aca="false">Assumptions!$I$49*D8*(D15+D13*Assumptions!$I$44+D19*Assumptions!$I$31*Assumptions!$I$32+D23*Assumptions!$I$38*Assumptions!$I$39+D25*Assumptions!$I$43)</f>
        <v>5020.02364998621</v>
      </c>
      <c r="E31" s="61" t="n">
        <f aca="false">Assumptions!$I$49*E8*(E15+E13*Assumptions!$I$44+E19*Assumptions!$I$31*Assumptions!$I$32+E23*Assumptions!$I$38*Assumptions!$I$39+E25*Assumptions!$I$43)</f>
        <v>2465.73682901655</v>
      </c>
      <c r="F31" s="61" t="n">
        <f aca="false">Assumptions!$I$49*F8*(F15+F13*Assumptions!$I$44+F19*Assumptions!$I$31*Assumptions!$I$32+F23*Assumptions!$I$38*Assumptions!$I$39+F25*Assumptions!$I$43)</f>
        <v>2225.75114636114</v>
      </c>
      <c r="G31" s="61" t="n">
        <f aca="false">Assumptions!$I$49*G8*(G15+G13*Assumptions!$I$44+G19*Assumptions!$I$31*Assumptions!$I$32+G23*Assumptions!$I$38*Assumptions!$I$39+G25*Assumptions!$I$43)</f>
        <v>2109.16068010185</v>
      </c>
      <c r="H31" s="61" t="n">
        <f aca="false">Assumptions!$I$49*H8*(H15+H13*Assumptions!$I$44+H19*Assumptions!$I$31*Assumptions!$I$32+H23*Assumptions!$I$38*Assumptions!$I$39+H25*Assumptions!$I$43)</f>
        <v>2025.40448652562</v>
      </c>
      <c r="I31" s="61" t="n">
        <f aca="false">Assumptions!$I$49*I8*(I15+I13*Assumptions!$I$44+I19*Assumptions!$I$31*Assumptions!$I$32+I23*Assumptions!$I$38*Assumptions!$I$39+I25*Assumptions!$I$43)</f>
        <v>1959.12421146544</v>
      </c>
      <c r="J31" s="61" t="n">
        <f aca="false">Assumptions!$I$49*J8*(J15+J13*Assumptions!$I$44+J19*Assumptions!$I$31*Assumptions!$I$32+J23*Assumptions!$I$38*Assumptions!$I$39+J25*Assumptions!$I$43)</f>
        <v>1927.49511620595</v>
      </c>
      <c r="K31" s="61" t="n">
        <f aca="false">Assumptions!$I$49*K8*(K15+K13*Assumptions!$I$44+K19*Assumptions!$I$31*Assumptions!$I$32+K23*Assumptions!$I$38*Assumptions!$I$39+K25*Assumptions!$I$43)</f>
        <v>1901.04774908764</v>
      </c>
      <c r="L31" s="61" t="n">
        <f aca="false">Assumptions!$I$49*L8*(L15+L13*Assumptions!$I$44+L19*Assumptions!$I$31*Assumptions!$I$32+L23*Assumptions!$I$38*Assumptions!$I$39+L25*Assumptions!$I$43)</f>
        <v>1884.09694150483</v>
      </c>
      <c r="M31" s="61" t="n">
        <f aca="false">Assumptions!$I$49*M8*(M15+M13*Assumptions!$I$44+M19*Assumptions!$I$31*Assumptions!$I$32+M23*Assumptions!$I$38*Assumptions!$I$39+M25*Assumptions!$I$43)</f>
        <v>1875.39879408271</v>
      </c>
      <c r="N31" s="61" t="n">
        <f aca="false">Assumptions!$I$49*N8*(N15+N13*Assumptions!$I$44+N19*Assumptions!$I$31*Assumptions!$I$32+N23*Assumptions!$I$38*Assumptions!$I$39+N25*Assumptions!$I$43)</f>
        <v>1873.68899431562</v>
      </c>
      <c r="O31" s="61" t="n">
        <f aca="false">Assumptions!$I$49*O8*(O15+O13*Assumptions!$I$44+O19*Assumptions!$I$31*Assumptions!$I$32+O23*Assumptions!$I$38*Assumptions!$I$39+O25*Assumptions!$I$43)</f>
        <v>1877.87861186681</v>
      </c>
      <c r="P31" s="61" t="n">
        <f aca="false">Assumptions!$I$49*P8*(P15+P13*Assumptions!$I$44+P19*Assumptions!$I$31*Assumptions!$I$32+P23*Assumptions!$I$38*Assumptions!$I$39+P25*Assumptions!$I$43)</f>
        <v>1887.0817745875</v>
      </c>
      <c r="Q31" s="61" t="n">
        <f aca="false">Assumptions!$I$49*Q8*(Q15+Q13*Assumptions!$I$44+Q19*Assumptions!$I$31*Assumptions!$I$32+Q23*Assumptions!$I$38*Assumptions!$I$39+Q25*Assumptions!$I$43)</f>
        <v>1900.59644089013</v>
      </c>
      <c r="R31" s="61" t="n">
        <f aca="false">Assumptions!$I$49*R8*(R15+R13*Assumptions!$I$44+R19*Assumptions!$I$31*Assumptions!$I$32+R23*Assumptions!$I$38*Assumptions!$I$39+R25*Assumptions!$I$43)</f>
        <v>1917.87917671226</v>
      </c>
      <c r="S31" s="61" t="n">
        <f aca="false">Assumptions!$I$49*S8*(S15+S13*Assumptions!$I$44+S19*Assumptions!$I$31*Assumptions!$I$32+S23*Assumptions!$I$38*Assumptions!$I$39+S25*Assumptions!$I$43)</f>
        <v>1938.52095991912</v>
      </c>
      <c r="T31" s="61" t="n">
        <f aca="false">Assumptions!$I$49*T8*(T15+T13*Assumptions!$I$44+T19*Assumptions!$I$31*Assumptions!$I$32+T23*Assumptions!$I$38*Assumptions!$I$39+T25*Assumptions!$I$43)</f>
        <v>1962.22589385418</v>
      </c>
      <c r="U31" s="61" t="n">
        <f aca="false">Assumptions!$I$49*U8*(U15+U13*Assumptions!$I$44+U19*Assumptions!$I$31*Assumptions!$I$32+U23*Assumptions!$I$38*Assumptions!$I$39+U25*Assumptions!$I$43)</f>
        <v>1988.7932270621</v>
      </c>
      <c r="V31" s="61" t="n">
        <f aca="false">Assumptions!$I$49*V8*(V15+V13*Assumptions!$I$44+V19*Assumptions!$I$31*Assumptions!$I$32+V23*Assumptions!$I$38*Assumptions!$I$39+V25*Assumptions!$I$43)</f>
        <v>2018.10254641308</v>
      </c>
      <c r="W31" s="61" t="n">
        <f aca="false">Assumptions!$I$49*W8*(W15+W13*Assumptions!$I$44+W19*Assumptions!$I$31*Assumptions!$I$32+W23*Assumptions!$I$38*Assumptions!$I$39+W25*Assumptions!$I$43)</f>
        <v>2050.10181530922</v>
      </c>
      <c r="X31" s="61" t="n">
        <f aca="false">Assumptions!$I$49*X8*(X15+X13*Assumptions!$I$44+X19*Assumptions!$I$31*Assumptions!$I$32+X23*Assumptions!$I$38*Assumptions!$I$39+X25*Assumptions!$I$43)</f>
        <v>2084.7978759876</v>
      </c>
      <c r="Y31" s="61" t="n">
        <f aca="false">Assumptions!$I$49*Y8*(Y15+Y13*Assumptions!$I$44+Y19*Assumptions!$I$31*Assumptions!$I$32+Y23*Assumptions!$I$38*Assumptions!$I$39+Y25*Assumptions!$I$43)</f>
        <v>2122.24904580037</v>
      </c>
      <c r="Z31" s="61" t="n">
        <f aca="false">Assumptions!$I$49*Z8*(Z15+Z13*Assumptions!$I$44+Z19*Assumptions!$I$31*Assumptions!$I$32+Z23*Assumptions!$I$38*Assumptions!$I$39+Z25*Assumptions!$I$43)</f>
        <v>2162.55947473301</v>
      </c>
      <c r="AA31" s="61" t="n">
        <f aca="false">Assumptions!$I$49*AA8*(AA15+AA13*Assumptions!$I$44+AA19*Assumptions!$I$31*Assumptions!$I$32+AA23*Assumptions!$I$38*Assumptions!$I$39+AA25*Assumptions!$I$43)</f>
        <v>2205.87497744422</v>
      </c>
      <c r="AB31" s="61" t="n">
        <f aca="false">Assumptions!$I$49*AB8*(AB15+AB13*Assumptions!$I$44+AB19*Assumptions!$I$31*Assumptions!$I$32+AB23*Assumptions!$I$38*Assumptions!$I$39+AB25*Assumptions!$I$43)</f>
        <v>2252.38009925659</v>
      </c>
      <c r="AC31" s="61" t="n">
        <f aca="false">Assumptions!$I$49*AC8*(AC15+AC13*Assumptions!$I$44+AC19*Assumptions!$I$31*Assumptions!$I$32+AC23*Assumptions!$I$38*Assumptions!$I$39+AC25*Assumptions!$I$43)</f>
        <v>2301.48822874599</v>
      </c>
      <c r="AD31" s="61" t="n">
        <f aca="false">Assumptions!$I$49*AD8*(AD15+AD13*Assumptions!$I$44+AD19*Assumptions!$I$31*Assumptions!$I$32+AD23*Assumptions!$I$38*Assumptions!$I$39+AD25*Assumptions!$I$43)</f>
        <v>2353.17622190471</v>
      </c>
      <c r="AE31" s="61" t="n">
        <f aca="false">Assumptions!$I$49*AE8*(AE15+AE13*Assumptions!$I$44+AE19*Assumptions!$I$31*Assumptions!$I$32+AE23*Assumptions!$I$38*Assumptions!$I$39+AE25*Assumptions!$I$43)</f>
        <v>2407.95328324754</v>
      </c>
      <c r="AF31" s="61" t="n">
        <f aca="false">Assumptions!$I$49*AF8*(AF15+AF13*Assumptions!$I$44+AF19*Assumptions!$I$31*Assumptions!$I$32+AF23*Assumptions!$I$38*Assumptions!$I$39+AF25*Assumptions!$I$43)</f>
        <v>2466.18890882615</v>
      </c>
      <c r="AG31" s="61" t="n">
        <f aca="false">Assumptions!$I$49*AG8*(AG15+AG13*Assumptions!$I$44+AG19*Assumptions!$I$31*Assumptions!$I$32+AG23*Assumptions!$I$38*Assumptions!$I$39+AG25*Assumptions!$I$43)</f>
        <v>2528.27142547333</v>
      </c>
      <c r="AH31" s="61" t="n">
        <f aca="false">Assumptions!$I$49*AH8*(AH15+AH13*Assumptions!$I$44+AH19*Assumptions!$I$31*Assumptions!$I$32+AH23*Assumptions!$I$38*Assumptions!$I$39+AH25*Assumptions!$I$43)</f>
        <v>2594.6178889094</v>
      </c>
      <c r="AI31" s="61" t="n">
        <f aca="false">Assumptions!$I$49*AI8*(AI15+AI13*Assumptions!$I$44+AI19*Assumptions!$I$31*Assumptions!$I$32+AI23*Assumptions!$I$38*Assumptions!$I$39+AI25*Assumptions!$I$43)</f>
        <v>2665.67778801921</v>
      </c>
      <c r="AJ31" s="61" t="n">
        <f aca="false">Assumptions!$I$49*AJ8*(AJ15+AJ13*Assumptions!$I$44+AJ19*Assumptions!$I$31*Assumptions!$I$32+AJ23*Assumptions!$I$38*Assumptions!$I$39+AJ25*Assumptions!$I$43)</f>
        <v>2741.9358454919</v>
      </c>
      <c r="AK31" s="61" t="n">
        <f aca="false">Assumptions!$I$49*AK8*(AK15+AK13*Assumptions!$I$44+AK19*Assumptions!$I$31*Assumptions!$I$32+AK23*Assumptions!$I$38*Assumptions!$I$39+AK25*Assumptions!$I$43)</f>
        <v>2823.91499024434</v>
      </c>
      <c r="AL31" s="61" t="n">
        <f aca="false">Assumptions!$I$49*AL8*(AL15+AL13*Assumptions!$I$44+AL19*Assumptions!$I$31*Assumptions!$I$32+AL23*Assumptions!$I$38*Assumptions!$I$39+AL25*Assumptions!$I$43)</f>
        <v>2912.17962868838</v>
      </c>
      <c r="AM31" s="61" t="n">
        <f aca="false">SUM(C31:AL31)</f>
        <v>79431.3747280407</v>
      </c>
    </row>
    <row r="32" customFormat="false" ht="15" hidden="false" customHeight="false" outlineLevel="0" collapsed="false">
      <c r="A32" s="37" t="s">
        <v>767</v>
      </c>
      <c r="B32" s="9" t="s">
        <v>51</v>
      </c>
      <c r="C32" s="71" t="n">
        <f aca="false">MIN(C31,C30)</f>
        <v>0</v>
      </c>
      <c r="D32" s="71" t="n">
        <f aca="false">MIN(D31,D30)</f>
        <v>5020.02364998621</v>
      </c>
      <c r="E32" s="71" t="n">
        <f aca="false">MIN(E31,E30)</f>
        <v>2465.73682901655</v>
      </c>
      <c r="F32" s="71" t="n">
        <f aca="false">MIN(F31,F30)</f>
        <v>2225.75114636114</v>
      </c>
      <c r="G32" s="71" t="n">
        <f aca="false">MIN(G31,G30)</f>
        <v>2109.16068010185</v>
      </c>
      <c r="H32" s="71" t="n">
        <f aca="false">MIN(H31,H30)</f>
        <v>2025.40448652562</v>
      </c>
      <c r="I32" s="71" t="n">
        <f aca="false">MIN(I31,I30)</f>
        <v>1959.12421146544</v>
      </c>
      <c r="J32" s="71" t="n">
        <f aca="false">MIN(J31,J30)</f>
        <v>1927.49511620595</v>
      </c>
      <c r="K32" s="71" t="n">
        <f aca="false">MIN(K31,K30)</f>
        <v>1901.04774908764</v>
      </c>
      <c r="L32" s="71" t="n">
        <f aca="false">MIN(L31,L30)</f>
        <v>1884.09694150483</v>
      </c>
      <c r="M32" s="71" t="n">
        <f aca="false">MIN(M31,M30)</f>
        <v>1875.39879408271</v>
      </c>
      <c r="N32" s="71" t="n">
        <f aca="false">MIN(N31,N30)</f>
        <v>1873.68899431562</v>
      </c>
      <c r="O32" s="71" t="n">
        <f aca="false">MIN(O31,O30)</f>
        <v>1877.87861186681</v>
      </c>
      <c r="P32" s="71" t="n">
        <f aca="false">MIN(P31,P30)</f>
        <v>1887.0817745875</v>
      </c>
      <c r="Q32" s="71" t="n">
        <f aca="false">MIN(Q31,Q30)</f>
        <v>1900.59644089013</v>
      </c>
      <c r="R32" s="71" t="n">
        <f aca="false">MIN(R31,R30)</f>
        <v>1917.87917671226</v>
      </c>
      <c r="S32" s="71" t="n">
        <f aca="false">MIN(S31,S30)</f>
        <v>1938.52095991912</v>
      </c>
      <c r="T32" s="71" t="n">
        <f aca="false">MIN(T31,T30)</f>
        <v>1962.22589385418</v>
      </c>
      <c r="U32" s="71" t="n">
        <f aca="false">MIN(U31,U30)</f>
        <v>1988.7932270621</v>
      </c>
      <c r="V32" s="71" t="n">
        <f aca="false">MIN(V31,V30)</f>
        <v>2018.10254641308</v>
      </c>
      <c r="W32" s="71" t="n">
        <f aca="false">MIN(W31,W30)</f>
        <v>2050.10181530922</v>
      </c>
      <c r="X32" s="71" t="n">
        <f aca="false">MIN(X31,X30)</f>
        <v>2084.7978759876</v>
      </c>
      <c r="Y32" s="71" t="n">
        <f aca="false">MIN(Y31,Y30)</f>
        <v>2122.24904580037</v>
      </c>
      <c r="Z32" s="71" t="n">
        <f aca="false">MIN(Z31,Z30)</f>
        <v>2162.55947473301</v>
      </c>
      <c r="AA32" s="71" t="n">
        <f aca="false">MIN(AA31,AA30)</f>
        <v>2205.87497744422</v>
      </c>
      <c r="AB32" s="71" t="n">
        <f aca="false">MIN(AB31,AB30)</f>
        <v>2252.38009925659</v>
      </c>
      <c r="AC32" s="71" t="n">
        <f aca="false">MIN(AC31,AC30)</f>
        <v>2301.48822874599</v>
      </c>
      <c r="AD32" s="71" t="n">
        <f aca="false">MIN(AD31,AD30)</f>
        <v>2353.17622190471</v>
      </c>
      <c r="AE32" s="71" t="n">
        <f aca="false">MIN(AE31,AE30)</f>
        <v>2407.95328324754</v>
      </c>
      <c r="AF32" s="71" t="n">
        <f aca="false">MIN(AF31,AF30)</f>
        <v>2466.18890882615</v>
      </c>
      <c r="AG32" s="71" t="n">
        <f aca="false">MIN(AG31,AG30)</f>
        <v>2528.27142547333</v>
      </c>
      <c r="AH32" s="71" t="n">
        <f aca="false">MIN(AH31,AH30)</f>
        <v>2594.6178889094</v>
      </c>
      <c r="AI32" s="71" t="n">
        <f aca="false">MIN(AI31,AI30)</f>
        <v>2665.67778801921</v>
      </c>
      <c r="AJ32" s="71" t="n">
        <f aca="false">MIN(AJ31,AJ30)</f>
        <v>2741.9358454919</v>
      </c>
      <c r="AK32" s="71" t="n">
        <f aca="false">MIN(AK31,AK30)</f>
        <v>2823.91499024434</v>
      </c>
      <c r="AL32" s="71" t="n">
        <f aca="false">MIN(AL31,AL30)</f>
        <v>2912.17962868838</v>
      </c>
      <c r="AM32" s="71" t="n">
        <f aca="false">SUM(C32:AL32)</f>
        <v>79431.3747280407</v>
      </c>
    </row>
    <row r="33" customFormat="false" ht="15" hidden="false" customHeight="false" outlineLevel="0" collapsed="false">
      <c r="A33" s="10" t="s">
        <v>768</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769</v>
      </c>
      <c r="B34" s="9" t="s">
        <v>51</v>
      </c>
      <c r="C34" s="61" t="n">
        <f aca="false">C32*Assumptions!$I$51</f>
        <v>0</v>
      </c>
      <c r="D34" s="61" t="n">
        <f aca="false">D32*Assumptions!$I$51</f>
        <v>2008.00945999448</v>
      </c>
      <c r="E34" s="61" t="n">
        <f aca="false">E32*Assumptions!$I$51</f>
        <v>986.294731606619</v>
      </c>
      <c r="F34" s="61" t="n">
        <f aca="false">F32*Assumptions!$I$51</f>
        <v>890.300458544456</v>
      </c>
      <c r="G34" s="61" t="n">
        <f aca="false">G32*Assumptions!$I$51</f>
        <v>843.664272040741</v>
      </c>
      <c r="H34" s="61" t="n">
        <f aca="false">H32*Assumptions!$I$51</f>
        <v>810.161794610249</v>
      </c>
      <c r="I34" s="61" t="n">
        <f aca="false">I32*Assumptions!$I$51</f>
        <v>783.649684586177</v>
      </c>
      <c r="J34" s="61" t="n">
        <f aca="false">J32*Assumptions!$I$51</f>
        <v>770.998046482381</v>
      </c>
      <c r="K34" s="61" t="n">
        <f aca="false">K32*Assumptions!$I$51</f>
        <v>760.419099635055</v>
      </c>
      <c r="L34" s="61" t="n">
        <f aca="false">L32*Assumptions!$I$51</f>
        <v>753.638776601933</v>
      </c>
      <c r="M34" s="61" t="n">
        <f aca="false">M32*Assumptions!$I$51</f>
        <v>750.159517633084</v>
      </c>
      <c r="N34" s="61" t="n">
        <f aca="false">N32*Assumptions!$I$51</f>
        <v>749.47559772625</v>
      </c>
      <c r="O34" s="61" t="n">
        <f aca="false">O32*Assumptions!$I$51</f>
        <v>751.151444746724</v>
      </c>
      <c r="P34" s="61" t="n">
        <f aca="false">P32*Assumptions!$I$51</f>
        <v>754.832709834999</v>
      </c>
      <c r="Q34" s="61" t="n">
        <f aca="false">Q32*Assumptions!$I$51</f>
        <v>760.238576356054</v>
      </c>
      <c r="R34" s="61" t="n">
        <f aca="false">R32*Assumptions!$I$51</f>
        <v>767.151670684904</v>
      </c>
      <c r="S34" s="61" t="n">
        <f aca="false">S32*Assumptions!$I$51</f>
        <v>775.408383967648</v>
      </c>
      <c r="T34" s="61" t="n">
        <f aca="false">T32*Assumptions!$I$51</f>
        <v>784.890357541672</v>
      </c>
      <c r="U34" s="61" t="n">
        <f aca="false">U32*Assumptions!$I$51</f>
        <v>795.517290824839</v>
      </c>
      <c r="V34" s="61" t="n">
        <f aca="false">V32*Assumptions!$I$51</f>
        <v>807.24101856523</v>
      </c>
      <c r="W34" s="61" t="n">
        <f aca="false">W32*Assumptions!$I$51</f>
        <v>820.040726123688</v>
      </c>
      <c r="X34" s="61" t="n">
        <f aca="false">X32*Assumptions!$I$51</f>
        <v>833.919150395041</v>
      </c>
      <c r="Y34" s="61" t="n">
        <f aca="false">Y32*Assumptions!$I$51</f>
        <v>848.899618320146</v>
      </c>
      <c r="Z34" s="61" t="n">
        <f aca="false">Z32*Assumptions!$I$51</f>
        <v>865.023789893205</v>
      </c>
      <c r="AA34" s="61" t="n">
        <f aca="false">AA32*Assumptions!$I$51</f>
        <v>882.34999097769</v>
      </c>
      <c r="AB34" s="61" t="n">
        <f aca="false">AB32*Assumptions!$I$51</f>
        <v>900.952039702635</v>
      </c>
      <c r="AC34" s="61" t="n">
        <f aca="false">AC32*Assumptions!$I$51</f>
        <v>920.595291498397</v>
      </c>
      <c r="AD34" s="61" t="n">
        <f aca="false">AD32*Assumptions!$I$51</f>
        <v>941.270488761885</v>
      </c>
      <c r="AE34" s="61" t="n">
        <f aca="false">AE32*Assumptions!$I$51</f>
        <v>963.181313299015</v>
      </c>
      <c r="AF34" s="61" t="n">
        <f aca="false">AF32*Assumptions!$I$51</f>
        <v>986.475563530459</v>
      </c>
      <c r="AG34" s="61" t="n">
        <f aca="false">AG32*Assumptions!$I$51</f>
        <v>1011.30857018933</v>
      </c>
      <c r="AH34" s="61" t="n">
        <f aca="false">AH32*Assumptions!$I$51</f>
        <v>1037.84715556376</v>
      </c>
      <c r="AI34" s="61" t="n">
        <f aca="false">AI32*Assumptions!$I$51</f>
        <v>1066.27111520768</v>
      </c>
      <c r="AJ34" s="61" t="n">
        <f aca="false">AJ32*Assumptions!$I$51</f>
        <v>1096.77433819676</v>
      </c>
      <c r="AK34" s="61" t="n">
        <f aca="false">AK32*Assumptions!$I$51</f>
        <v>1129.56599609774</v>
      </c>
      <c r="AL34" s="61" t="n">
        <f aca="false">AL32*Assumptions!$I$51</f>
        <v>1164.87185147535</v>
      </c>
      <c r="AM34" s="61" t="n">
        <f aca="false">SUM(C34:AL34)</f>
        <v>31772.5498912163</v>
      </c>
    </row>
    <row r="35" customFormat="false" ht="15" hidden="false" customHeight="false" outlineLevel="0" collapsed="false">
      <c r="A35" s="10" t="s">
        <v>770</v>
      </c>
      <c r="B35" s="9" t="s">
        <v>51</v>
      </c>
      <c r="C35" s="61" t="n">
        <f aca="false">C32*(1-Assumptions!$I$51)</f>
        <v>0</v>
      </c>
      <c r="D35" s="61" t="n">
        <f aca="false">D32*(1-Assumptions!$I$51)</f>
        <v>3012.01418999172</v>
      </c>
      <c r="E35" s="61" t="n">
        <f aca="false">E32*(1-Assumptions!$I$51)</f>
        <v>1479.44209740993</v>
      </c>
      <c r="F35" s="61" t="n">
        <f aca="false">F32*(1-Assumptions!$I$51)</f>
        <v>1335.45068781668</v>
      </c>
      <c r="G35" s="61" t="n">
        <f aca="false">G32*(1-Assumptions!$I$51)</f>
        <v>1265.49640806111</v>
      </c>
      <c r="H35" s="61" t="n">
        <f aca="false">H32*(1-Assumptions!$I$51)</f>
        <v>1215.24269191537</v>
      </c>
      <c r="I35" s="61" t="n">
        <f aca="false">I32*(1-Assumptions!$I$51)</f>
        <v>1175.47452687927</v>
      </c>
      <c r="J35" s="61" t="n">
        <f aca="false">J32*(1-Assumptions!$I$51)</f>
        <v>1156.49706972357</v>
      </c>
      <c r="K35" s="61" t="n">
        <f aca="false">K32*(1-Assumptions!$I$51)</f>
        <v>1140.62864945258</v>
      </c>
      <c r="L35" s="61" t="n">
        <f aca="false">L32*(1-Assumptions!$I$51)</f>
        <v>1130.4581649029</v>
      </c>
      <c r="M35" s="61" t="n">
        <f aca="false">M32*(1-Assumptions!$I$51)</f>
        <v>1125.23927644963</v>
      </c>
      <c r="N35" s="61" t="n">
        <f aca="false">N32*(1-Assumptions!$I$51)</f>
        <v>1124.21339658937</v>
      </c>
      <c r="O35" s="61" t="n">
        <f aca="false">O32*(1-Assumptions!$I$51)</f>
        <v>1126.72716712009</v>
      </c>
      <c r="P35" s="61" t="n">
        <f aca="false">P32*(1-Assumptions!$I$51)</f>
        <v>1132.2490647525</v>
      </c>
      <c r="Q35" s="61" t="n">
        <f aca="false">Q32*(1-Assumptions!$I$51)</f>
        <v>1140.35786453408</v>
      </c>
      <c r="R35" s="61" t="n">
        <f aca="false">R32*(1-Assumptions!$I$51)</f>
        <v>1150.72750602736</v>
      </c>
      <c r="S35" s="61" t="n">
        <f aca="false">S32*(1-Assumptions!$I$51)</f>
        <v>1163.11257595147</v>
      </c>
      <c r="T35" s="61" t="n">
        <f aca="false">T32*(1-Assumptions!$I$51)</f>
        <v>1177.33553631251</v>
      </c>
      <c r="U35" s="61" t="n">
        <f aca="false">U32*(1-Assumptions!$I$51)</f>
        <v>1193.27593623726</v>
      </c>
      <c r="V35" s="61" t="n">
        <f aca="false">V32*(1-Assumptions!$I$51)</f>
        <v>1210.86152784785</v>
      </c>
      <c r="W35" s="61" t="n">
        <f aca="false">W32*(1-Assumptions!$I$51)</f>
        <v>1230.06108918553</v>
      </c>
      <c r="X35" s="61" t="n">
        <f aca="false">X32*(1-Assumptions!$I$51)</f>
        <v>1250.87872559256</v>
      </c>
      <c r="Y35" s="61" t="n">
        <f aca="false">Y32*(1-Assumptions!$I$51)</f>
        <v>1273.34942748022</v>
      </c>
      <c r="Z35" s="61" t="n">
        <f aca="false">Z32*(1-Assumptions!$I$51)</f>
        <v>1297.53568483981</v>
      </c>
      <c r="AA35" s="61" t="n">
        <f aca="false">AA32*(1-Assumptions!$I$51)</f>
        <v>1323.52498646653</v>
      </c>
      <c r="AB35" s="61" t="n">
        <f aca="false">AB32*(1-Assumptions!$I$51)</f>
        <v>1351.42805955395</v>
      </c>
      <c r="AC35" s="61" t="n">
        <f aca="false">AC32*(1-Assumptions!$I$51)</f>
        <v>1380.89293724759</v>
      </c>
      <c r="AD35" s="61" t="n">
        <f aca="false">AD32*(1-Assumptions!$I$51)</f>
        <v>1411.90573314283</v>
      </c>
      <c r="AE35" s="61" t="n">
        <f aca="false">AE32*(1-Assumptions!$I$51)</f>
        <v>1444.77196994852</v>
      </c>
      <c r="AF35" s="61" t="n">
        <f aca="false">AF32*(1-Assumptions!$I$51)</f>
        <v>1479.71334529569</v>
      </c>
      <c r="AG35" s="61" t="n">
        <f aca="false">AG32*(1-Assumptions!$I$51)</f>
        <v>1516.962855284</v>
      </c>
      <c r="AH35" s="61" t="n">
        <f aca="false">AH32*(1-Assumptions!$I$51)</f>
        <v>1556.77073334564</v>
      </c>
      <c r="AI35" s="61" t="n">
        <f aca="false">AI32*(1-Assumptions!$I$51)</f>
        <v>1599.40667281153</v>
      </c>
      <c r="AJ35" s="61" t="n">
        <f aca="false">AJ32*(1-Assumptions!$I$51)</f>
        <v>1645.16150729514</v>
      </c>
      <c r="AK35" s="61" t="n">
        <f aca="false">AK32*(1-Assumptions!$I$51)</f>
        <v>1694.34899414661</v>
      </c>
      <c r="AL35" s="61" t="n">
        <f aca="false">AL32*(1-Assumptions!$I$51)</f>
        <v>1747.30777721303</v>
      </c>
      <c r="AM35" s="61" t="n">
        <f aca="false">SUM(C35:AL35)</f>
        <v>47658.8248368244</v>
      </c>
    </row>
    <row r="36" customFormat="false" ht="15" hidden="false" customHeight="false" outlineLevel="0" collapsed="false">
      <c r="A36" s="37" t="s">
        <v>771</v>
      </c>
      <c r="B36" s="9" t="s">
        <v>51</v>
      </c>
      <c r="C36" s="71" t="n">
        <f aca="false">C34</f>
        <v>0</v>
      </c>
      <c r="D36" s="71" t="n">
        <f aca="false">C36*(1-Assumptions!$I$52)+D34</f>
        <v>2008.00945999448</v>
      </c>
      <c r="E36" s="71" t="n">
        <f aca="false">D36*(1-Assumptions!$I$52)+E34</f>
        <v>2813.5833402016</v>
      </c>
      <c r="F36" s="71" t="n">
        <f aca="false">E36*(1-Assumptions!$I$52)+F34</f>
        <v>3450.66129812791</v>
      </c>
      <c r="G36" s="71" t="n">
        <f aca="false">F36*(1-Assumptions!$I$52)+G34</f>
        <v>3983.76605333714</v>
      </c>
      <c r="H36" s="71" t="n">
        <f aca="false">G36*(1-Assumptions!$I$52)+H34</f>
        <v>4435.38890314705</v>
      </c>
      <c r="I36" s="71" t="n">
        <f aca="false">H36*(1-Assumptions!$I$52)+I34</f>
        <v>4819.85358644999</v>
      </c>
      <c r="J36" s="71" t="n">
        <f aca="false">I36*(1-Assumptions!$I$52)+J34</f>
        <v>5157.06481015187</v>
      </c>
      <c r="K36" s="71" t="n">
        <f aca="false">J36*(1-Assumptions!$I$52)+K34</f>
        <v>5453.34807687326</v>
      </c>
      <c r="L36" s="71" t="n">
        <f aca="false">K36*(1-Assumptions!$I$52)+L34</f>
        <v>5716.1855265566</v>
      </c>
      <c r="M36" s="71" t="n">
        <f aca="false">L36*(1-Assumptions!$I$52)+M34</f>
        <v>5951.88834679959</v>
      </c>
      <c r="N36" s="71" t="n">
        <f aca="false">M36*(1-Assumptions!$I$52)+N34</f>
        <v>6165.69399331387</v>
      </c>
      <c r="O36" s="71" t="n">
        <f aca="false">N36*(1-Assumptions!$I$52)+O34</f>
        <v>6361.93297866235</v>
      </c>
      <c r="P36" s="71" t="n">
        <f aca="false">O36*(1-Assumptions!$I$52)+P34</f>
        <v>6544.19172041774</v>
      </c>
      <c r="Q36" s="71" t="n">
        <f aca="false">P36*(1-Assumptions!$I$52)+Q34</f>
        <v>6715.45304193619</v>
      </c>
      <c r="R36" s="71" t="n">
        <f aca="false">Q36*(1-Assumptions!$I$52)+R34</f>
        <v>6878.21393884684</v>
      </c>
      <c r="S36" s="71" t="n">
        <f aca="false">R36*(1-Assumptions!$I$52)+S34</f>
        <v>7034.58306831827</v>
      </c>
      <c r="T36" s="71" t="n">
        <f aca="false">S36*(1-Assumptions!$I$52)+T34</f>
        <v>7186.3609497113</v>
      </c>
      <c r="U36" s="71" t="n">
        <f aca="false">T36*(1-Assumptions!$I$52)+U34</f>
        <v>7335.10575506212</v>
      </c>
      <c r="V36" s="71" t="n">
        <f aca="false">U36*(1-Assumptions!$I$52)+V34</f>
        <v>7482.18725567176</v>
      </c>
      <c r="W36" s="71" t="n">
        <f aca="false">V36*(1-Assumptions!$I$52)+W34</f>
        <v>7628.83112878499</v>
      </c>
      <c r="X36" s="71" t="n">
        <f aca="false">W36*(1-Assumptions!$I$52)+X34</f>
        <v>7776.15547758938</v>
      </c>
      <c r="Y36" s="71" t="n">
        <f aca="false">X36*(1-Assumptions!$I$52)+Y34</f>
        <v>7925.20110292649</v>
      </c>
      <c r="Z36" s="71" t="n">
        <f aca="false">Y36*(1-Assumptions!$I$52)+Z34</f>
        <v>8076.95679355631</v>
      </c>
      <c r="AA36" s="71" t="n">
        <f aca="false">Z36*(1-Assumptions!$I$52)+AA34</f>
        <v>8232.38067311393</v>
      </c>
      <c r="AB36" s="71" t="n">
        <f aca="false">AA36*(1-Assumptions!$I$52)+AB34</f>
        <v>8392.41845223631</v>
      </c>
      <c r="AC36" s="71" t="n">
        <f aca="false">AB36*(1-Assumptions!$I$52)+AC34</f>
        <v>8557.69608303344</v>
      </c>
      <c r="AD36" s="71" t="n">
        <f aca="false">AC36*(1-Assumptions!$I$52)+AD34</f>
        <v>8728.77392432232</v>
      </c>
      <c r="AE36" s="71" t="n">
        <f aca="false">AD36*(1-Assumptions!$I$52)+AE34</f>
        <v>8906.36558443232</v>
      </c>
      <c r="AF36" s="71" t="n">
        <f aca="false">AE36*(1-Assumptions!$I$52)+AF34</f>
        <v>9091.26824536387</v>
      </c>
      <c r="AG36" s="71" t="n">
        <f aca="false">AF36*(1-Assumptions!$I$52)+AG34</f>
        <v>9284.36267347046</v>
      </c>
      <c r="AH36" s="71" t="n">
        <f aca="false">AG36*(1-Assumptions!$I$52)+AH34</f>
        <v>9486.61718842188</v>
      </c>
      <c r="AI36" s="71" t="n">
        <f aca="false">AH36*(1-Assumptions!$I$52)+AI34</f>
        <v>9699.09275667159</v>
      </c>
      <c r="AJ36" s="71" t="n">
        <f aca="false">AI36*(1-Assumptions!$I$52)+AJ34</f>
        <v>9922.94874676791</v>
      </c>
      <c r="AK36" s="71" t="n">
        <f aca="false">AJ36*(1-Assumptions!$I$52)+AK34</f>
        <v>10159.4493556565</v>
      </c>
      <c r="AL36" s="71" t="n">
        <f aca="false">AK36*(1-Assumptions!$I$52)+AL34</f>
        <v>10409.9707651228</v>
      </c>
      <c r="AM36" s="71" t="n">
        <f aca="false">AL36</f>
        <v>10409.9707651228</v>
      </c>
    </row>
    <row r="37" customFormat="false" ht="15" hidden="false" customHeight="false" outlineLevel="0" collapsed="false">
      <c r="A37" s="10" t="s">
        <v>772</v>
      </c>
      <c r="B37" s="9" t="s">
        <v>51</v>
      </c>
      <c r="C37" s="61" t="n">
        <f aca="false">0</f>
        <v>0</v>
      </c>
      <c r="D37" s="61" t="n">
        <f aca="false">C36*Assumptions!$I$52</f>
        <v>0</v>
      </c>
      <c r="E37" s="61" t="n">
        <f aca="false">D36*Assumptions!$I$52</f>
        <v>180.720851399503</v>
      </c>
      <c r="F37" s="61" t="n">
        <f aca="false">E36*Assumptions!$I$52</f>
        <v>253.222500618144</v>
      </c>
      <c r="G37" s="61" t="n">
        <f aca="false">F36*Assumptions!$I$52</f>
        <v>310.559516831512</v>
      </c>
      <c r="H37" s="61" t="n">
        <f aca="false">G36*Assumptions!$I$52</f>
        <v>358.538944800343</v>
      </c>
      <c r="I37" s="61" t="n">
        <f aca="false">H36*Assumptions!$I$52</f>
        <v>399.185001283234</v>
      </c>
      <c r="J37" s="61" t="n">
        <f aca="false">I36*Assumptions!$I$52</f>
        <v>433.786822780499</v>
      </c>
      <c r="K37" s="61" t="n">
        <f aca="false">J36*Assumptions!$I$52</f>
        <v>464.135832913668</v>
      </c>
      <c r="L37" s="61" t="n">
        <f aca="false">K36*Assumptions!$I$52</f>
        <v>490.801326918593</v>
      </c>
      <c r="M37" s="61" t="n">
        <f aca="false">L36*Assumptions!$I$52</f>
        <v>514.456697390094</v>
      </c>
      <c r="N37" s="61" t="n">
        <f aca="false">M36*Assumptions!$I$52</f>
        <v>535.669951211963</v>
      </c>
      <c r="O37" s="61" t="n">
        <f aca="false">N36*Assumptions!$I$52</f>
        <v>554.912459398249</v>
      </c>
      <c r="P37" s="61" t="n">
        <f aca="false">O36*Assumptions!$I$52</f>
        <v>572.573968079611</v>
      </c>
      <c r="Q37" s="61" t="n">
        <f aca="false">P36*Assumptions!$I$52</f>
        <v>588.977254837596</v>
      </c>
      <c r="R37" s="61" t="n">
        <f aca="false">Q36*Assumptions!$I$52</f>
        <v>604.390773774258</v>
      </c>
      <c r="S37" s="61" t="n">
        <f aca="false">R36*Assumptions!$I$52</f>
        <v>619.039254496216</v>
      </c>
      <c r="T37" s="61" t="n">
        <f aca="false">S36*Assumptions!$I$52</f>
        <v>633.112476148645</v>
      </c>
      <c r="U37" s="61" t="n">
        <f aca="false">T36*Assumptions!$I$52</f>
        <v>646.772485474017</v>
      </c>
      <c r="V37" s="61" t="n">
        <f aca="false">U36*Assumptions!$I$52</f>
        <v>660.159517955591</v>
      </c>
      <c r="W37" s="61" t="n">
        <f aca="false">V36*Assumptions!$I$52</f>
        <v>673.396853010459</v>
      </c>
      <c r="X37" s="61" t="n">
        <f aca="false">W36*Assumptions!$I$52</f>
        <v>686.594801590649</v>
      </c>
      <c r="Y37" s="61" t="n">
        <f aca="false">X36*Assumptions!$I$52</f>
        <v>699.853992983045</v>
      </c>
      <c r="Z37" s="61" t="n">
        <f aca="false">Y36*Assumptions!$I$52</f>
        <v>713.268099263384</v>
      </c>
      <c r="AA37" s="61" t="n">
        <f aca="false">Z36*Assumptions!$I$52</f>
        <v>726.926111420068</v>
      </c>
      <c r="AB37" s="61" t="n">
        <f aca="false">AA36*Assumptions!$I$52</f>
        <v>740.914260580254</v>
      </c>
      <c r="AC37" s="61" t="n">
        <f aca="false">AB36*Assumptions!$I$52</f>
        <v>755.317660701268</v>
      </c>
      <c r="AD37" s="61" t="n">
        <f aca="false">AC36*Assumptions!$I$52</f>
        <v>770.19264747301</v>
      </c>
      <c r="AE37" s="61" t="n">
        <f aca="false">AD36*Assumptions!$I$52</f>
        <v>785.589653189008</v>
      </c>
      <c r="AF37" s="61" t="n">
        <f aca="false">AE36*Assumptions!$I$52</f>
        <v>801.572902598909</v>
      </c>
      <c r="AG37" s="61" t="n">
        <f aca="false">AF36*Assumptions!$I$52</f>
        <v>818.214142082749</v>
      </c>
      <c r="AH37" s="61" t="n">
        <f aca="false">AG36*Assumptions!$I$52</f>
        <v>835.592640612341</v>
      </c>
      <c r="AI37" s="61" t="n">
        <f aca="false">AH36*Assumptions!$I$52</f>
        <v>853.795546957969</v>
      </c>
      <c r="AJ37" s="61" t="n">
        <f aca="false">AI36*Assumptions!$I$52</f>
        <v>872.918348100443</v>
      </c>
      <c r="AK37" s="61" t="n">
        <f aca="false">AJ36*Assumptions!$I$52</f>
        <v>893.065387209112</v>
      </c>
      <c r="AL37" s="61" t="n">
        <f aca="false">AK36*Assumptions!$I$52</f>
        <v>914.350442009088</v>
      </c>
      <c r="AM37" s="61" t="n">
        <f aca="false">SUM(C37:AL37)</f>
        <v>21362.5791260935</v>
      </c>
    </row>
    <row r="38" customFormat="false" ht="15" hidden="false" customHeight="false" outlineLevel="0" collapsed="false">
      <c r="A38" s="10" t="s">
        <v>773</v>
      </c>
      <c r="B38" s="9" t="s">
        <v>51</v>
      </c>
      <c r="C38" s="61" t="n">
        <f aca="false">0</f>
        <v>0</v>
      </c>
      <c r="D38" s="61" t="n">
        <f aca="false">C35*Assumptions!$I$53</f>
        <v>0</v>
      </c>
      <c r="E38" s="61" t="n">
        <f aca="false">D35*Assumptions!$I$53</f>
        <v>240.961135199338</v>
      </c>
      <c r="F38" s="61" t="n">
        <f aca="false">E35*Assumptions!$I$53</f>
        <v>118.355367792794</v>
      </c>
      <c r="G38" s="61" t="n">
        <f aca="false">F35*Assumptions!$I$53</f>
        <v>106.836055025335</v>
      </c>
      <c r="H38" s="61" t="n">
        <f aca="false">G35*Assumptions!$I$53</f>
        <v>101.239712644889</v>
      </c>
      <c r="I38" s="61" t="n">
        <f aca="false">H35*Assumptions!$I$53</f>
        <v>97.2194153532299</v>
      </c>
      <c r="J38" s="61" t="n">
        <f aca="false">I35*Assumptions!$I$53</f>
        <v>94.0379621503412</v>
      </c>
      <c r="K38" s="61" t="n">
        <f aca="false">J35*Assumptions!$I$53</f>
        <v>92.5197655778857</v>
      </c>
      <c r="L38" s="61" t="n">
        <f aca="false">K35*Assumptions!$I$53</f>
        <v>91.2502919562066</v>
      </c>
      <c r="M38" s="61" t="n">
        <f aca="false">L35*Assumptions!$I$53</f>
        <v>90.4366531922319</v>
      </c>
      <c r="N38" s="61" t="n">
        <f aca="false">M35*Assumptions!$I$53</f>
        <v>90.01914211597</v>
      </c>
      <c r="O38" s="61" t="n">
        <f aca="false">N35*Assumptions!$I$53</f>
        <v>89.93707172715</v>
      </c>
      <c r="P38" s="61" t="n">
        <f aca="false">O35*Assumptions!$I$53</f>
        <v>90.1381733696069</v>
      </c>
      <c r="Q38" s="61" t="n">
        <f aca="false">P35*Assumptions!$I$53</f>
        <v>90.5799251801999</v>
      </c>
      <c r="R38" s="61" t="n">
        <f aca="false">Q35*Assumptions!$I$53</f>
        <v>91.2286291627264</v>
      </c>
      <c r="S38" s="61" t="n">
        <f aca="false">R35*Assumptions!$I$53</f>
        <v>92.0582004821885</v>
      </c>
      <c r="T38" s="61" t="n">
        <f aca="false">S35*Assumptions!$I$53</f>
        <v>93.0490060761177</v>
      </c>
      <c r="U38" s="61" t="n">
        <f aca="false">T35*Assumptions!$I$53</f>
        <v>94.1868429050006</v>
      </c>
      <c r="V38" s="61" t="n">
        <f aca="false">U35*Assumptions!$I$53</f>
        <v>95.4620748989807</v>
      </c>
      <c r="W38" s="61" t="n">
        <f aca="false">V35*Assumptions!$I$53</f>
        <v>96.8689222278276</v>
      </c>
      <c r="X38" s="61" t="n">
        <f aca="false">W35*Assumptions!$I$53</f>
        <v>98.4048871348425</v>
      </c>
      <c r="Y38" s="61" t="n">
        <f aca="false">X35*Assumptions!$I$53</f>
        <v>100.070298047405</v>
      </c>
      <c r="Z38" s="61" t="n">
        <f aca="false">Y35*Assumptions!$I$53</f>
        <v>101.867954198418</v>
      </c>
      <c r="AA38" s="61" t="n">
        <f aca="false">Z35*Assumptions!$I$53</f>
        <v>103.802854787185</v>
      </c>
      <c r="AB38" s="61" t="n">
        <f aca="false">AA35*Assumptions!$I$53</f>
        <v>105.881998917323</v>
      </c>
      <c r="AC38" s="61" t="n">
        <f aca="false">AB35*Assumptions!$I$53</f>
        <v>108.114244764316</v>
      </c>
      <c r="AD38" s="61" t="n">
        <f aca="false">AC35*Assumptions!$I$53</f>
        <v>110.471434979808</v>
      </c>
      <c r="AE38" s="61" t="n">
        <f aca="false">AD35*Assumptions!$I$53</f>
        <v>112.952458651426</v>
      </c>
      <c r="AF38" s="61" t="n">
        <f aca="false">AE35*Assumptions!$I$53</f>
        <v>115.581757595882</v>
      </c>
      <c r="AG38" s="61" t="n">
        <f aca="false">AF35*Assumptions!$I$53</f>
        <v>118.377067623655</v>
      </c>
      <c r="AH38" s="61" t="n">
        <f aca="false">AG35*Assumptions!$I$53</f>
        <v>121.35702842272</v>
      </c>
      <c r="AI38" s="61" t="n">
        <f aca="false">AH35*Assumptions!$I$53</f>
        <v>124.541658667651</v>
      </c>
      <c r="AJ38" s="61" t="n">
        <f aca="false">AI35*Assumptions!$I$53</f>
        <v>127.952533824922</v>
      </c>
      <c r="AK38" s="61" t="n">
        <f aca="false">AJ35*Assumptions!$I$53</f>
        <v>131.612920583611</v>
      </c>
      <c r="AL38" s="61" t="n">
        <f aca="false">AK35*Assumptions!$I$53</f>
        <v>135.547919531729</v>
      </c>
      <c r="AM38" s="61" t="n">
        <f aca="false">SUM(C38:AL38)</f>
        <v>3672.92136476891</v>
      </c>
    </row>
    <row r="39" customFormat="false" ht="15" hidden="false" customHeight="false" outlineLevel="0" collapsed="false">
      <c r="A39" s="37" t="s">
        <v>774</v>
      </c>
      <c r="B39" s="9" t="s">
        <v>51</v>
      </c>
      <c r="C39" s="71" t="n">
        <f aca="false">C35+C36+C38</f>
        <v>0</v>
      </c>
      <c r="D39" s="71" t="n">
        <f aca="false">D35+D36+D38</f>
        <v>5020.02364998621</v>
      </c>
      <c r="E39" s="71" t="n">
        <f aca="false">E35+E36+E38</f>
        <v>4533.98657281086</v>
      </c>
      <c r="F39" s="71" t="n">
        <f aca="false">F35+F36+F38</f>
        <v>4904.46735373739</v>
      </c>
      <c r="G39" s="71" t="n">
        <f aca="false">G35+G36+G38</f>
        <v>5356.09851642359</v>
      </c>
      <c r="H39" s="71" t="n">
        <f aca="false">H35+H36+H38</f>
        <v>5751.87130770731</v>
      </c>
      <c r="I39" s="71" t="n">
        <f aca="false">I35+I36+I38</f>
        <v>6092.54752868249</v>
      </c>
      <c r="J39" s="71" t="n">
        <f aca="false">J35+J36+J38</f>
        <v>6407.59984202578</v>
      </c>
      <c r="K39" s="71" t="n">
        <f aca="false">K35+K36+K38</f>
        <v>6686.49649190373</v>
      </c>
      <c r="L39" s="71" t="n">
        <f aca="false">L35+L36+L38</f>
        <v>6937.8939834157</v>
      </c>
      <c r="M39" s="71" t="n">
        <f aca="false">M35+M36+M38</f>
        <v>7167.56427644144</v>
      </c>
      <c r="N39" s="71" t="n">
        <f aca="false">N35+N36+N38</f>
        <v>7379.92653201922</v>
      </c>
      <c r="O39" s="71" t="n">
        <f aca="false">O35+O36+O38</f>
        <v>7578.59721750959</v>
      </c>
      <c r="P39" s="71" t="n">
        <f aca="false">P35+P36+P38</f>
        <v>7766.57895853984</v>
      </c>
      <c r="Q39" s="71" t="n">
        <f aca="false">Q35+Q36+Q38</f>
        <v>7946.39083165048</v>
      </c>
      <c r="R39" s="71" t="n">
        <f aca="false">R35+R36+R38</f>
        <v>8120.17007403692</v>
      </c>
      <c r="S39" s="71" t="n">
        <f aca="false">S35+S36+S38</f>
        <v>8289.75384475193</v>
      </c>
      <c r="T39" s="71" t="n">
        <f aca="false">T35+T36+T38</f>
        <v>8456.74549209993</v>
      </c>
      <c r="U39" s="71" t="n">
        <f aca="false">U35+U36+U38</f>
        <v>8622.56853420438</v>
      </c>
      <c r="V39" s="71" t="n">
        <f aca="false">V35+V36+V38</f>
        <v>8788.51085841859</v>
      </c>
      <c r="W39" s="71" t="n">
        <f aca="false">W35+W36+W38</f>
        <v>8955.76114019835</v>
      </c>
      <c r="X39" s="71" t="n">
        <f aca="false">X35+X36+X38</f>
        <v>9125.43909031679</v>
      </c>
      <c r="Y39" s="71" t="n">
        <f aca="false">Y35+Y36+Y38</f>
        <v>9298.62082845411</v>
      </c>
      <c r="Z39" s="71" t="n">
        <f aca="false">Z35+Z36+Z38</f>
        <v>9476.36043259453</v>
      </c>
      <c r="AA39" s="71" t="n">
        <f aca="false">AA35+AA36+AA38</f>
        <v>9659.70851436765</v>
      </c>
      <c r="AB39" s="71" t="n">
        <f aca="false">AB35+AB36+AB38</f>
        <v>9849.72851070759</v>
      </c>
      <c r="AC39" s="71" t="n">
        <f aca="false">AC35+AC36+AC38</f>
        <v>10046.7032650454</v>
      </c>
      <c r="AD39" s="71" t="n">
        <f aca="false">AD35+AD36+AD38</f>
        <v>10251.1510924449</v>
      </c>
      <c r="AE39" s="71" t="n">
        <f aca="false">AE35+AE36+AE38</f>
        <v>10464.0900130323</v>
      </c>
      <c r="AF39" s="71" t="n">
        <f aca="false">AF35+AF36+AF38</f>
        <v>10686.5633482554</v>
      </c>
      <c r="AG39" s="71" t="n">
        <f aca="false">AG35+AG36+AG38</f>
        <v>10919.7025963781</v>
      </c>
      <c r="AH39" s="71" t="n">
        <f aca="false">AH35+AH36+AH38</f>
        <v>11164.7449501902</v>
      </c>
      <c r="AI39" s="71" t="n">
        <f aca="false">AI35+AI36+AI38</f>
        <v>11423.0410881508</v>
      </c>
      <c r="AJ39" s="71" t="n">
        <f aca="false">AJ35+AJ36+AJ38</f>
        <v>11696.062787888</v>
      </c>
      <c r="AK39" s="71" t="n">
        <f aca="false">AK35+AK36+AK38</f>
        <v>11985.4112703868</v>
      </c>
      <c r="AL39" s="71" t="n">
        <f aca="false">AL35+AL36+AL38</f>
        <v>12292.8264618676</v>
      </c>
      <c r="AM39" s="71" t="n">
        <f aca="false">SUM(C39:AL39)</f>
        <v>299103.707256644</v>
      </c>
    </row>
    <row r="40" customFormat="false" ht="15" hidden="false" customHeight="false" outlineLevel="0" collapsed="false">
      <c r="A40" s="10" t="s">
        <v>775</v>
      </c>
      <c r="B40" s="9" t="s">
        <v>97</v>
      </c>
      <c r="C40" s="70" t="n">
        <f aca="false">C39*Assumptions!$I$50</f>
        <v>0</v>
      </c>
      <c r="D40" s="70" t="n">
        <f aca="false">D39*Assumptions!$I$50</f>
        <v>391561.844698924</v>
      </c>
      <c r="E40" s="70" t="n">
        <f aca="false">E39*Assumptions!$I$50</f>
        <v>353650.952679247</v>
      </c>
      <c r="F40" s="70" t="n">
        <f aca="false">F39*Assumptions!$I$50</f>
        <v>382548.453591516</v>
      </c>
      <c r="G40" s="70" t="n">
        <f aca="false">G39*Assumptions!$I$50</f>
        <v>417775.68428104</v>
      </c>
      <c r="H40" s="70" t="n">
        <f aca="false">H39*Assumptions!$I$50</f>
        <v>448645.96200117</v>
      </c>
      <c r="I40" s="70" t="n">
        <f aca="false">I39*Assumptions!$I$50</f>
        <v>475218.707237234</v>
      </c>
      <c r="J40" s="70" t="n">
        <f aca="false">J39*Assumptions!$I$50</f>
        <v>499792.787678011</v>
      </c>
      <c r="K40" s="70" t="n">
        <f aca="false">K39*Assumptions!$I$50</f>
        <v>521546.726368491</v>
      </c>
      <c r="L40" s="70" t="n">
        <f aca="false">L39*Assumptions!$I$50</f>
        <v>541155.730706425</v>
      </c>
      <c r="M40" s="70" t="n">
        <f aca="false">M39*Assumptions!$I$50</f>
        <v>559070.013562433</v>
      </c>
      <c r="N40" s="70" t="n">
        <f aca="false">N39*Assumptions!$I$50</f>
        <v>575634.269497499</v>
      </c>
      <c r="O40" s="70" t="n">
        <f aca="false">O39*Assumptions!$I$50</f>
        <v>591130.582965748</v>
      </c>
      <c r="P40" s="70" t="n">
        <f aca="false">P39*Assumptions!$I$50</f>
        <v>605793.158766108</v>
      </c>
      <c r="Q40" s="70" t="n">
        <f aca="false">Q39*Assumptions!$I$50</f>
        <v>619818.484868737</v>
      </c>
      <c r="R40" s="70" t="n">
        <f aca="false">R39*Assumptions!$I$50</f>
        <v>633373.26577488</v>
      </c>
      <c r="S40" s="70" t="n">
        <f aca="false">S39*Assumptions!$I$50</f>
        <v>646600.799890651</v>
      </c>
      <c r="T40" s="70" t="n">
        <f aca="false">T39*Assumptions!$I$50</f>
        <v>659626.148383794</v>
      </c>
      <c r="U40" s="70" t="n">
        <f aca="false">U39*Assumptions!$I$50</f>
        <v>672560.345667942</v>
      </c>
      <c r="V40" s="70" t="n">
        <f aca="false">V39*Assumptions!$I$50</f>
        <v>685503.84695665</v>
      </c>
      <c r="W40" s="70" t="n">
        <f aca="false">W39*Assumptions!$I$50</f>
        <v>698549.368935471</v>
      </c>
      <c r="X40" s="70" t="n">
        <f aca="false">X39*Assumptions!$I$50</f>
        <v>711784.24904471</v>
      </c>
      <c r="Y40" s="70" t="n">
        <f aca="false">Y39*Assumptions!$I$50</f>
        <v>725292.424619421</v>
      </c>
      <c r="Z40" s="70" t="n">
        <f aca="false">Z39*Assumptions!$I$50</f>
        <v>739156.113742374</v>
      </c>
      <c r="AA40" s="70" t="n">
        <f aca="false">AA39*Assumptions!$I$50</f>
        <v>753457.264120677</v>
      </c>
      <c r="AB40" s="70" t="n">
        <f aca="false">AB39*Assumptions!$I$50</f>
        <v>768278.823835192</v>
      </c>
      <c r="AC40" s="70" t="n">
        <f aca="false">AC39*Assumptions!$I$50</f>
        <v>783642.854673537</v>
      </c>
      <c r="AD40" s="70" t="n">
        <f aca="false">AD39*Assumptions!$I$50</f>
        <v>799589.785210706</v>
      </c>
      <c r="AE40" s="70" t="n">
        <f aca="false">AE39*Assumptions!$I$50</f>
        <v>816199.021016517</v>
      </c>
      <c r="AF40" s="70" t="n">
        <f aca="false">AF39*Assumptions!$I$50</f>
        <v>833551.941163925</v>
      </c>
      <c r="AG40" s="70" t="n">
        <f aca="false">AG39*Assumptions!$I$50</f>
        <v>851736.802517493</v>
      </c>
      <c r="AH40" s="70" t="n">
        <f aca="false">AH39*Assumptions!$I$50</f>
        <v>870850.106114838</v>
      </c>
      <c r="AI40" s="70" t="n">
        <f aca="false">AI39*Assumptions!$I$50</f>
        <v>890997.20487576</v>
      </c>
      <c r="AJ40" s="70" t="n">
        <f aca="false">AJ39*Assumptions!$I$50</f>
        <v>912292.897455261</v>
      </c>
      <c r="AK40" s="70" t="n">
        <f aca="false">AK39*Assumptions!$I$50</f>
        <v>934862.079090167</v>
      </c>
      <c r="AL40" s="70" t="n">
        <f aca="false">AL39*Assumptions!$I$50</f>
        <v>958840.46402567</v>
      </c>
      <c r="AM40" s="70" t="n">
        <f aca="false">SUM(C40:AL40)</f>
        <v>23330089.1660182</v>
      </c>
    </row>
    <row r="41" customFormat="false" ht="15" hidden="false" customHeight="false" outlineLevel="0" collapsed="false">
      <c r="A41" s="10" t="s">
        <v>776</v>
      </c>
      <c r="B41" s="9" t="s">
        <v>97</v>
      </c>
      <c r="C41" s="70" t="n">
        <f aca="false">-C40*Assumptions!$I$80</f>
        <v>-0</v>
      </c>
      <c r="D41" s="70" t="n">
        <f aca="false">-D40*Assumptions!$I$80</f>
        <v>-11746.8553409677</v>
      </c>
      <c r="E41" s="70" t="n">
        <f aca="false">-E40*Assumptions!$I$80</f>
        <v>-10609.5285803774</v>
      </c>
      <c r="F41" s="70" t="n">
        <f aca="false">-F40*Assumptions!$I$80</f>
        <v>-11476.4536077455</v>
      </c>
      <c r="G41" s="70" t="n">
        <f aca="false">-G40*Assumptions!$I$80</f>
        <v>-12533.2705284312</v>
      </c>
      <c r="H41" s="70" t="n">
        <f aca="false">-H40*Assumptions!$I$80</f>
        <v>-13459.3788600351</v>
      </c>
      <c r="I41" s="70" t="n">
        <f aca="false">-I40*Assumptions!$I$80</f>
        <v>-14256.561217117</v>
      </c>
      <c r="J41" s="70" t="n">
        <f aca="false">-J40*Assumptions!$I$80</f>
        <v>-14993.7836303403</v>
      </c>
      <c r="K41" s="70" t="n">
        <f aca="false">-K40*Assumptions!$I$80</f>
        <v>-15646.4017910547</v>
      </c>
      <c r="L41" s="70" t="n">
        <f aca="false">-L40*Assumptions!$I$80</f>
        <v>-16234.6719211927</v>
      </c>
      <c r="M41" s="70" t="n">
        <f aca="false">-M40*Assumptions!$I$80</f>
        <v>-16772.100406873</v>
      </c>
      <c r="N41" s="70" t="n">
        <f aca="false">-N40*Assumptions!$I$80</f>
        <v>-17269.028084925</v>
      </c>
      <c r="O41" s="70" t="n">
        <f aca="false">-O40*Assumptions!$I$80</f>
        <v>-17733.9174889724</v>
      </c>
      <c r="P41" s="70" t="n">
        <f aca="false">-P40*Assumptions!$I$80</f>
        <v>-18173.7947629832</v>
      </c>
      <c r="Q41" s="70" t="n">
        <f aca="false">-Q40*Assumptions!$I$80</f>
        <v>-18594.5545460621</v>
      </c>
      <c r="R41" s="70" t="n">
        <f aca="false">-R40*Assumptions!$I$80</f>
        <v>-19001.1979732464</v>
      </c>
      <c r="S41" s="70" t="n">
        <f aca="false">-S40*Assumptions!$I$80</f>
        <v>-19398.0239967195</v>
      </c>
      <c r="T41" s="70" t="n">
        <f aca="false">-T40*Assumptions!$I$80</f>
        <v>-19788.7844515138</v>
      </c>
      <c r="U41" s="70" t="n">
        <f aca="false">-U40*Assumptions!$I$80</f>
        <v>-20176.8103700383</v>
      </c>
      <c r="V41" s="70" t="n">
        <f aca="false">-V40*Assumptions!$I$80</f>
        <v>-20565.1154086995</v>
      </c>
      <c r="W41" s="70" t="n">
        <f aca="false">-W40*Assumptions!$I$80</f>
        <v>-20956.4810680641</v>
      </c>
      <c r="X41" s="70" t="n">
        <f aca="false">-X40*Assumptions!$I$80</f>
        <v>-21353.5274713413</v>
      </c>
      <c r="Y41" s="70" t="n">
        <f aca="false">-Y40*Assumptions!$I$80</f>
        <v>-21758.7727385826</v>
      </c>
      <c r="Z41" s="70" t="n">
        <f aca="false">-Z40*Assumptions!$I$80</f>
        <v>-22174.6834122712</v>
      </c>
      <c r="AA41" s="70" t="n">
        <f aca="false">-AA40*Assumptions!$I$80</f>
        <v>-22603.7179236203</v>
      </c>
      <c r="AB41" s="70" t="n">
        <f aca="false">-AB40*Assumptions!$I$80</f>
        <v>-23048.3647150558</v>
      </c>
      <c r="AC41" s="70" t="n">
        <f aca="false">-AC40*Assumptions!$I$80</f>
        <v>-23509.2856402061</v>
      </c>
      <c r="AD41" s="70" t="n">
        <f aca="false">-AD40*Assumptions!$I$80</f>
        <v>-23987.6935563212</v>
      </c>
      <c r="AE41" s="70" t="n">
        <f aca="false">-AE40*Assumptions!$I$80</f>
        <v>-24485.9706304955</v>
      </c>
      <c r="AF41" s="70" t="n">
        <f aca="false">-AF40*Assumptions!$I$80</f>
        <v>-25006.5582349177</v>
      </c>
      <c r="AG41" s="70" t="n">
        <f aca="false">-AG40*Assumptions!$I$80</f>
        <v>-25552.1040755248</v>
      </c>
      <c r="AH41" s="70" t="n">
        <f aca="false">-AH40*Assumptions!$I$80</f>
        <v>-26125.5031834451</v>
      </c>
      <c r="AI41" s="70" t="n">
        <f aca="false">-AI40*Assumptions!$I$80</f>
        <v>-26729.9161462728</v>
      </c>
      <c r="AJ41" s="70" t="n">
        <f aca="false">-AJ40*Assumptions!$I$80</f>
        <v>-27368.7869236578</v>
      </c>
      <c r="AK41" s="70" t="n">
        <f aca="false">-AK40*Assumptions!$I$80</f>
        <v>-28045.862372705</v>
      </c>
      <c r="AL41" s="70" t="n">
        <f aca="false">-AL40*Assumptions!$I$80</f>
        <v>-28765.2139207701</v>
      </c>
      <c r="AM41" s="70" t="n">
        <f aca="false">SUM(C41:AL41)</f>
        <v>-699902.674980547</v>
      </c>
    </row>
    <row r="42" customFormat="false" ht="15" hidden="false" customHeight="false" outlineLevel="0" collapsed="false">
      <c r="A42" s="37" t="s">
        <v>777</v>
      </c>
      <c r="B42" s="9" t="s">
        <v>97</v>
      </c>
      <c r="C42" s="53" t="n">
        <f aca="false">C40+C41</f>
        <v>0</v>
      </c>
      <c r="D42" s="53" t="n">
        <f aca="false">D40+D41</f>
        <v>379814.989357956</v>
      </c>
      <c r="E42" s="53" t="n">
        <f aca="false">E40+E41</f>
        <v>343041.42409887</v>
      </c>
      <c r="F42" s="53" t="n">
        <f aca="false">F40+F41</f>
        <v>371071.999983771</v>
      </c>
      <c r="G42" s="53" t="n">
        <f aca="false">G40+G41</f>
        <v>405242.413752608</v>
      </c>
      <c r="H42" s="53" t="n">
        <f aca="false">H40+H41</f>
        <v>435186.583141135</v>
      </c>
      <c r="I42" s="53" t="n">
        <f aca="false">I40+I41</f>
        <v>460962.146020117</v>
      </c>
      <c r="J42" s="53" t="n">
        <f aca="false">J40+J41</f>
        <v>484799.004047671</v>
      </c>
      <c r="K42" s="53" t="n">
        <f aca="false">K40+K41</f>
        <v>505900.324577436</v>
      </c>
      <c r="L42" s="53" t="n">
        <f aca="false">L40+L41</f>
        <v>524921.058785232</v>
      </c>
      <c r="M42" s="53" t="n">
        <f aca="false">M40+M41</f>
        <v>542297.91315556</v>
      </c>
      <c r="N42" s="53" t="n">
        <f aca="false">N40+N41</f>
        <v>558365.241412574</v>
      </c>
      <c r="O42" s="53" t="n">
        <f aca="false">O40+O41</f>
        <v>573396.665476775</v>
      </c>
      <c r="P42" s="53" t="n">
        <f aca="false">P40+P41</f>
        <v>587619.364003125</v>
      </c>
      <c r="Q42" s="53" t="n">
        <f aca="false">Q40+Q41</f>
        <v>601223.930322675</v>
      </c>
      <c r="R42" s="53" t="n">
        <f aca="false">R40+R41</f>
        <v>614372.067801634</v>
      </c>
      <c r="S42" s="53" t="n">
        <f aca="false">S40+S41</f>
        <v>627202.775893931</v>
      </c>
      <c r="T42" s="53" t="n">
        <f aca="false">T40+T41</f>
        <v>639837.363932281</v>
      </c>
      <c r="U42" s="53" t="n">
        <f aca="false">U40+U41</f>
        <v>652383.535297904</v>
      </c>
      <c r="V42" s="53" t="n">
        <f aca="false">V40+V41</f>
        <v>664938.73154795</v>
      </c>
      <c r="W42" s="53" t="n">
        <f aca="false">W40+W41</f>
        <v>677592.887867407</v>
      </c>
      <c r="X42" s="53" t="n">
        <f aca="false">X40+X41</f>
        <v>690430.721573368</v>
      </c>
      <c r="Y42" s="53" t="n">
        <f aca="false">Y40+Y41</f>
        <v>703533.651880838</v>
      </c>
      <c r="Z42" s="53" t="n">
        <f aca="false">Z40+Z41</f>
        <v>716981.430330102</v>
      </c>
      <c r="AA42" s="53" t="n">
        <f aca="false">AA40+AA41</f>
        <v>730853.546197057</v>
      </c>
      <c r="AB42" s="53" t="n">
        <f aca="false">AB40+AB41</f>
        <v>745230.459120136</v>
      </c>
      <c r="AC42" s="53" t="n">
        <f aca="false">AC40+AC41</f>
        <v>760133.569033331</v>
      </c>
      <c r="AD42" s="53" t="n">
        <f aca="false">AD40+AD41</f>
        <v>775602.091654385</v>
      </c>
      <c r="AE42" s="53" t="n">
        <f aca="false">AE40+AE41</f>
        <v>791713.050386022</v>
      </c>
      <c r="AF42" s="53" t="n">
        <f aca="false">AF40+AF41</f>
        <v>808545.382929007</v>
      </c>
      <c r="AG42" s="53" t="n">
        <f aca="false">AG40+AG41</f>
        <v>826184.698441968</v>
      </c>
      <c r="AH42" s="53" t="n">
        <f aca="false">AH40+AH41</f>
        <v>844724.602931393</v>
      </c>
      <c r="AI42" s="53" t="n">
        <f aca="false">AI40+AI41</f>
        <v>864267.288729487</v>
      </c>
      <c r="AJ42" s="53" t="n">
        <f aca="false">AJ40+AJ41</f>
        <v>884924.110531604</v>
      </c>
      <c r="AK42" s="53" t="n">
        <f aca="false">AK40+AK41</f>
        <v>906816.216717462</v>
      </c>
      <c r="AL42" s="53" t="n">
        <f aca="false">AL40+AL41</f>
        <v>930075.2501049</v>
      </c>
      <c r="AM42" s="53" t="n">
        <f aca="false">SUM(C42:AL42)</f>
        <v>22630186.4910377</v>
      </c>
    </row>
    <row r="43" customFormat="false" ht="15" hidden="false" customHeight="false" outlineLevel="0" collapsed="false">
      <c r="A43" s="10" t="s">
        <v>778</v>
      </c>
      <c r="B43" s="9" t="s">
        <v>97</v>
      </c>
      <c r="C43" s="70" t="n">
        <f aca="false">-C40*Assumptions!$I$55</f>
        <v>-0</v>
      </c>
      <c r="D43" s="70" t="n">
        <f aca="false">-D40*Assumptions!$I$55</f>
        <v>-144877.882538602</v>
      </c>
      <c r="E43" s="70" t="n">
        <f aca="false">-E40*Assumptions!$I$55</f>
        <v>-130850.852491322</v>
      </c>
      <c r="F43" s="70" t="n">
        <f aca="false">-F40*Assumptions!$I$55</f>
        <v>-141542.927828861</v>
      </c>
      <c r="G43" s="70" t="n">
        <f aca="false">-G40*Assumptions!$I$55</f>
        <v>-154577.003183985</v>
      </c>
      <c r="H43" s="70" t="n">
        <f aca="false">-H40*Assumptions!$I$55</f>
        <v>-165999.005940433</v>
      </c>
      <c r="I43" s="70" t="n">
        <f aca="false">-I40*Assumptions!$I$55</f>
        <v>-175830.921677777</v>
      </c>
      <c r="J43" s="70" t="n">
        <f aca="false">-J40*Assumptions!$I$55</f>
        <v>-184923.331440864</v>
      </c>
      <c r="K43" s="70" t="n">
        <f aca="false">-K40*Assumptions!$I$55</f>
        <v>-192972.288756342</v>
      </c>
      <c r="L43" s="70" t="n">
        <f aca="false">-L40*Assumptions!$I$55</f>
        <v>-200227.620361377</v>
      </c>
      <c r="M43" s="70" t="n">
        <f aca="false">-M40*Assumptions!$I$55</f>
        <v>-206855.9050181</v>
      </c>
      <c r="N43" s="70" t="n">
        <f aca="false">-N40*Assumptions!$I$55</f>
        <v>-212984.679714075</v>
      </c>
      <c r="O43" s="70" t="n">
        <f aca="false">-O40*Assumptions!$I$55</f>
        <v>-218718.315697327</v>
      </c>
      <c r="P43" s="70" t="n">
        <f aca="false">-P40*Assumptions!$I$55</f>
        <v>-224143.46874346</v>
      </c>
      <c r="Q43" s="70" t="n">
        <f aca="false">-Q40*Assumptions!$I$55</f>
        <v>-229332.839401433</v>
      </c>
      <c r="R43" s="70" t="n">
        <f aca="false">-R40*Assumptions!$I$55</f>
        <v>-234348.108336706</v>
      </c>
      <c r="S43" s="70" t="n">
        <f aca="false">-S40*Assumptions!$I$55</f>
        <v>-239242.295959541</v>
      </c>
      <c r="T43" s="70" t="n">
        <f aca="false">-T40*Assumptions!$I$55</f>
        <v>-244061.674902004</v>
      </c>
      <c r="U43" s="70" t="n">
        <f aca="false">-U40*Assumptions!$I$55</f>
        <v>-248847.327897138</v>
      </c>
      <c r="V43" s="70" t="n">
        <f aca="false">-V40*Assumptions!$I$55</f>
        <v>-253636.42337396</v>
      </c>
      <c r="W43" s="70" t="n">
        <f aca="false">-W40*Assumptions!$I$55</f>
        <v>-258463.266506124</v>
      </c>
      <c r="X43" s="70" t="n">
        <f aca="false">-X40*Assumptions!$I$55</f>
        <v>-263360.172146543</v>
      </c>
      <c r="Y43" s="70" t="n">
        <f aca="false">-Y40*Assumptions!$I$55</f>
        <v>-268358.197109186</v>
      </c>
      <c r="Z43" s="70" t="n">
        <f aca="false">-Z40*Assumptions!$I$55</f>
        <v>-273487.762084678</v>
      </c>
      <c r="AA43" s="70" t="n">
        <f aca="false">-AA40*Assumptions!$I$55</f>
        <v>-278779.18772465</v>
      </c>
      <c r="AB43" s="70" t="n">
        <f aca="false">-AB40*Assumptions!$I$55</f>
        <v>-284263.164819021</v>
      </c>
      <c r="AC43" s="70" t="n">
        <f aca="false">-AC40*Assumptions!$I$55</f>
        <v>-289947.856229209</v>
      </c>
      <c r="AD43" s="70" t="n">
        <f aca="false">-AD40*Assumptions!$I$55</f>
        <v>-295848.220527961</v>
      </c>
      <c r="AE43" s="70" t="n">
        <f aca="false">-AE40*Assumptions!$I$55</f>
        <v>-301993.637776111</v>
      </c>
      <c r="AF43" s="70" t="n">
        <f aca="false">-AF40*Assumptions!$I$55</f>
        <v>-308414.218230652</v>
      </c>
      <c r="AG43" s="70" t="n">
        <f aca="false">-AG40*Assumptions!$I$55</f>
        <v>-315142.616931472</v>
      </c>
      <c r="AH43" s="70" t="n">
        <f aca="false">-AH40*Assumptions!$I$55</f>
        <v>-322214.53926249</v>
      </c>
      <c r="AI43" s="70" t="n">
        <f aca="false">-AI40*Assumptions!$I$55</f>
        <v>-329668.965804031</v>
      </c>
      <c r="AJ43" s="70" t="n">
        <f aca="false">-AJ40*Assumptions!$I$55</f>
        <v>-337548.372058447</v>
      </c>
      <c r="AK43" s="70" t="n">
        <f aca="false">-AK40*Assumptions!$I$55</f>
        <v>-345898.969263362</v>
      </c>
      <c r="AL43" s="70" t="n">
        <f aca="false">-AL40*Assumptions!$I$55</f>
        <v>-354770.971689498</v>
      </c>
      <c r="AM43" s="70" t="n">
        <f aca="false">SUM(C43:AL43)</f>
        <v>-8632132.99142674</v>
      </c>
    </row>
    <row r="44" customFormat="false" ht="15" hidden="false" customHeight="false" outlineLevel="0" collapsed="false">
      <c r="A44" s="10" t="s">
        <v>779</v>
      </c>
      <c r="B44" s="9" t="s">
        <v>97</v>
      </c>
      <c r="C44" s="70" t="n">
        <f aca="false">-C39*Assumptions!$I$56</f>
        <v>-0</v>
      </c>
      <c r="D44" s="70" t="n">
        <f aca="false">-D39*Assumptions!$I$56</f>
        <v>-0</v>
      </c>
      <c r="E44" s="70" t="n">
        <f aca="false">-E39*Assumptions!$I$56</f>
        <v>-0</v>
      </c>
      <c r="F44" s="70" t="n">
        <f aca="false">-F39*Assumptions!$I$56</f>
        <v>-0</v>
      </c>
      <c r="G44" s="70" t="n">
        <f aca="false">-G39*Assumptions!$I$56</f>
        <v>-0</v>
      </c>
      <c r="H44" s="70" t="n">
        <f aca="false">-H39*Assumptions!$I$56</f>
        <v>-0</v>
      </c>
      <c r="I44" s="70" t="n">
        <f aca="false">-I39*Assumptions!$I$56</f>
        <v>-0</v>
      </c>
      <c r="J44" s="70" t="n">
        <f aca="false">-J39*Assumptions!$I$56</f>
        <v>-0</v>
      </c>
      <c r="K44" s="70" t="n">
        <f aca="false">-K39*Assumptions!$I$56</f>
        <v>-0</v>
      </c>
      <c r="L44" s="70" t="n">
        <f aca="false">-L39*Assumptions!$I$56</f>
        <v>-0</v>
      </c>
      <c r="M44" s="70" t="n">
        <f aca="false">-M39*Assumptions!$I$56</f>
        <v>-0</v>
      </c>
      <c r="N44" s="70" t="n">
        <f aca="false">-N39*Assumptions!$I$56</f>
        <v>-0</v>
      </c>
      <c r="O44" s="70" t="n">
        <f aca="false">-O39*Assumptions!$I$56</f>
        <v>-0</v>
      </c>
      <c r="P44" s="70" t="n">
        <f aca="false">-P39*Assumptions!$I$56</f>
        <v>-0</v>
      </c>
      <c r="Q44" s="70" t="n">
        <f aca="false">-Q39*Assumptions!$I$56</f>
        <v>-0</v>
      </c>
      <c r="R44" s="70" t="n">
        <f aca="false">-R39*Assumptions!$I$56</f>
        <v>-0</v>
      </c>
      <c r="S44" s="70" t="n">
        <f aca="false">-S39*Assumptions!$I$56</f>
        <v>-0</v>
      </c>
      <c r="T44" s="70" t="n">
        <f aca="false">-T39*Assumptions!$I$56</f>
        <v>-0</v>
      </c>
      <c r="U44" s="70" t="n">
        <f aca="false">-U39*Assumptions!$I$56</f>
        <v>-0</v>
      </c>
      <c r="V44" s="70" t="n">
        <f aca="false">-V39*Assumptions!$I$56</f>
        <v>-0</v>
      </c>
      <c r="W44" s="70" t="n">
        <f aca="false">-W39*Assumptions!$I$56</f>
        <v>-0</v>
      </c>
      <c r="X44" s="70" t="n">
        <f aca="false">-X39*Assumptions!$I$56</f>
        <v>-0</v>
      </c>
      <c r="Y44" s="70" t="n">
        <f aca="false">-Y39*Assumptions!$I$56</f>
        <v>-0</v>
      </c>
      <c r="Z44" s="70" t="n">
        <f aca="false">-Z39*Assumptions!$I$56</f>
        <v>-0</v>
      </c>
      <c r="AA44" s="70" t="n">
        <f aca="false">-AA39*Assumptions!$I$56</f>
        <v>-0</v>
      </c>
      <c r="AB44" s="70" t="n">
        <f aca="false">-AB39*Assumptions!$I$56</f>
        <v>-0</v>
      </c>
      <c r="AC44" s="70" t="n">
        <f aca="false">-AC39*Assumptions!$I$56</f>
        <v>-0</v>
      </c>
      <c r="AD44" s="70" t="n">
        <f aca="false">-AD39*Assumptions!$I$56</f>
        <v>-0</v>
      </c>
      <c r="AE44" s="70" t="n">
        <f aca="false">-AE39*Assumptions!$I$56</f>
        <v>-0</v>
      </c>
      <c r="AF44" s="70" t="n">
        <f aca="false">-AF39*Assumptions!$I$56</f>
        <v>-0</v>
      </c>
      <c r="AG44" s="70" t="n">
        <f aca="false">-AG39*Assumptions!$I$56</f>
        <v>-0</v>
      </c>
      <c r="AH44" s="70" t="n">
        <f aca="false">-AH39*Assumptions!$I$56</f>
        <v>-0</v>
      </c>
      <c r="AI44" s="70" t="n">
        <f aca="false">-AI39*Assumptions!$I$56</f>
        <v>-0</v>
      </c>
      <c r="AJ44" s="70" t="n">
        <f aca="false">-AJ39*Assumptions!$I$56</f>
        <v>-0</v>
      </c>
      <c r="AK44" s="70" t="n">
        <f aca="false">-AK39*Assumptions!$I$56</f>
        <v>-0</v>
      </c>
      <c r="AL44" s="70" t="n">
        <f aca="false">-AL39*Assumptions!$I$56</f>
        <v>-0</v>
      </c>
      <c r="AM44" s="70" t="n">
        <f aca="false">SUM(C44:AL44)</f>
        <v>0</v>
      </c>
    </row>
    <row r="45" customFormat="false" ht="15" hidden="false" customHeight="false" outlineLevel="0" collapsed="false">
      <c r="A45" s="10" t="s">
        <v>780</v>
      </c>
      <c r="B45" s="9" t="s">
        <v>97</v>
      </c>
      <c r="C45" s="70" t="n">
        <f aca="false">-C42*Assumptions!$I$79</f>
        <v>-0</v>
      </c>
      <c r="D45" s="70" t="n">
        <f aca="false">-D42*Assumptions!$I$79</f>
        <v>-11014.6346913807</v>
      </c>
      <c r="E45" s="70" t="n">
        <f aca="false">-E42*Assumptions!$I$79</f>
        <v>-9948.20129886723</v>
      </c>
      <c r="F45" s="70" t="n">
        <f aca="false">-F42*Assumptions!$I$79</f>
        <v>-10761.0879995294</v>
      </c>
      <c r="G45" s="70" t="n">
        <f aca="false">-G42*Assumptions!$I$79</f>
        <v>-11752.0299988256</v>
      </c>
      <c r="H45" s="70" t="n">
        <f aca="false">-H42*Assumptions!$I$79</f>
        <v>-12620.4109110929</v>
      </c>
      <c r="I45" s="70" t="n">
        <f aca="false">-I42*Assumptions!$I$79</f>
        <v>-13367.9022345834</v>
      </c>
      <c r="J45" s="70" t="n">
        <f aca="false">-J42*Assumptions!$I$79</f>
        <v>-14059.1711173825</v>
      </c>
      <c r="K45" s="70" t="n">
        <f aca="false">-K42*Assumptions!$I$79</f>
        <v>-14671.1094127456</v>
      </c>
      <c r="L45" s="70" t="n">
        <f aca="false">-L42*Assumptions!$I$79</f>
        <v>-15222.7107047717</v>
      </c>
      <c r="M45" s="70" t="n">
        <f aca="false">-M42*Assumptions!$I$79</f>
        <v>-15726.6394815112</v>
      </c>
      <c r="N45" s="70" t="n">
        <f aca="false">-N42*Assumptions!$I$79</f>
        <v>-16192.5920009646</v>
      </c>
      <c r="O45" s="70" t="n">
        <f aca="false">-O42*Assumptions!$I$79</f>
        <v>-16628.5032988265</v>
      </c>
      <c r="P45" s="70" t="n">
        <f aca="false">-P42*Assumptions!$I$79</f>
        <v>-17040.9615560906</v>
      </c>
      <c r="Q45" s="70" t="n">
        <f aca="false">-Q42*Assumptions!$I$79</f>
        <v>-17435.4939793576</v>
      </c>
      <c r="R45" s="70" t="n">
        <f aca="false">-R42*Assumptions!$I$79</f>
        <v>-17816.7899662474</v>
      </c>
      <c r="S45" s="70" t="n">
        <f aca="false">-S42*Assumptions!$I$79</f>
        <v>-18188.880500924</v>
      </c>
      <c r="T45" s="70" t="n">
        <f aca="false">-T42*Assumptions!$I$79</f>
        <v>-18555.2835540361</v>
      </c>
      <c r="U45" s="70" t="n">
        <f aca="false">-U42*Assumptions!$I$79</f>
        <v>-18919.1225236392</v>
      </c>
      <c r="V45" s="70" t="n">
        <f aca="false">-V42*Assumptions!$I$79</f>
        <v>-19283.2232148906</v>
      </c>
      <c r="W45" s="70" t="n">
        <f aca="false">-W42*Assumptions!$I$79</f>
        <v>-19650.1937481548</v>
      </c>
      <c r="X45" s="70" t="n">
        <f aca="false">-X42*Assumptions!$I$79</f>
        <v>-20022.4909256277</v>
      </c>
      <c r="Y45" s="70" t="n">
        <f aca="false">-Y42*Assumptions!$I$79</f>
        <v>-20402.4759045443</v>
      </c>
      <c r="Z45" s="70" t="n">
        <f aca="false">-Z42*Assumptions!$I$79</f>
        <v>-20792.461479573</v>
      </c>
      <c r="AA45" s="70" t="n">
        <f aca="false">-AA42*Assumptions!$I$79</f>
        <v>-21194.7528397146</v>
      </c>
      <c r="AB45" s="70" t="n">
        <f aca="false">-AB42*Assumptions!$I$79</f>
        <v>-21611.6833144839</v>
      </c>
      <c r="AC45" s="70" t="n">
        <f aca="false">-AC42*Assumptions!$I$79</f>
        <v>-22043.8735019666</v>
      </c>
      <c r="AD45" s="70" t="n">
        <f aca="false">-AD42*Assumptions!$I$79</f>
        <v>-22492.4606579772</v>
      </c>
      <c r="AE45" s="70" t="n">
        <f aca="false">-AE42*Assumptions!$I$79</f>
        <v>-22959.6784611946</v>
      </c>
      <c r="AF45" s="70" t="n">
        <f aca="false">-AF42*Assumptions!$I$79</f>
        <v>-23447.8161049412</v>
      </c>
      <c r="AG45" s="70" t="n">
        <f aca="false">-AG42*Assumptions!$I$79</f>
        <v>-23959.3562548171</v>
      </c>
      <c r="AH45" s="70" t="n">
        <f aca="false">-AH42*Assumptions!$I$79</f>
        <v>-24497.0134850104</v>
      </c>
      <c r="AI45" s="70" t="n">
        <f aca="false">-AI42*Assumptions!$I$79</f>
        <v>-25063.7513731551</v>
      </c>
      <c r="AJ45" s="70" t="n">
        <f aca="false">-AJ42*Assumptions!$I$79</f>
        <v>-25662.7992054165</v>
      </c>
      <c r="AK45" s="70" t="n">
        <f aca="false">-AK42*Assumptions!$I$79</f>
        <v>-26297.6702848064</v>
      </c>
      <c r="AL45" s="70" t="n">
        <f aca="false">-AL42*Assumptions!$I$79</f>
        <v>-26972.1822530421</v>
      </c>
      <c r="AM45" s="70" t="n">
        <f aca="false">SUM(C45:AL45)</f>
        <v>-656275.408240093</v>
      </c>
    </row>
    <row r="46" customFormat="false" ht="15" hidden="false" customHeight="false" outlineLevel="0" collapsed="false">
      <c r="A46" s="37" t="s">
        <v>781</v>
      </c>
      <c r="B46" s="9" t="s">
        <v>97</v>
      </c>
      <c r="C46" s="53" t="n">
        <f aca="false">C42+C43+C44+C45</f>
        <v>0</v>
      </c>
      <c r="D46" s="53" t="n">
        <f aca="false">D42+D43+D44+D45</f>
        <v>223922.472127974</v>
      </c>
      <c r="E46" s="53" t="n">
        <f aca="false">E42+E43+E44+E45</f>
        <v>202242.370308681</v>
      </c>
      <c r="F46" s="53" t="n">
        <f aca="false">F42+F43+F44+F45</f>
        <v>218767.98415538</v>
      </c>
      <c r="G46" s="53" t="n">
        <f aca="false">G42+G43+G44+G45</f>
        <v>238913.380569798</v>
      </c>
      <c r="H46" s="53" t="n">
        <f aca="false">H42+H43+H44+H45</f>
        <v>256567.166289609</v>
      </c>
      <c r="I46" s="53" t="n">
        <f aca="false">I42+I43+I44+I45</f>
        <v>271763.322107757</v>
      </c>
      <c r="J46" s="53" t="n">
        <f aca="false">J42+J43+J44+J45</f>
        <v>285816.501489424</v>
      </c>
      <c r="K46" s="53" t="n">
        <f aca="false">K42+K43+K44+K45</f>
        <v>298256.926408349</v>
      </c>
      <c r="L46" s="53" t="n">
        <f aca="false">L42+L43+L44+L45</f>
        <v>309470.727719083</v>
      </c>
      <c r="M46" s="53" t="n">
        <f aca="false">M42+M43+M44+M45</f>
        <v>319715.368655948</v>
      </c>
      <c r="N46" s="53" t="n">
        <f aca="false">N42+N43+N44+N45</f>
        <v>329187.969697535</v>
      </c>
      <c r="O46" s="53" t="n">
        <f aca="false">O42+O43+O44+O45</f>
        <v>338049.846480622</v>
      </c>
      <c r="P46" s="53" t="n">
        <f aca="false">P42+P43+P44+P45</f>
        <v>346434.933703574</v>
      </c>
      <c r="Q46" s="53" t="n">
        <f aca="false">Q42+Q43+Q44+Q45</f>
        <v>354455.596941885</v>
      </c>
      <c r="R46" s="53" t="n">
        <f aca="false">R42+R43+R44+R45</f>
        <v>362207.169498681</v>
      </c>
      <c r="S46" s="53" t="n">
        <f aca="false">S42+S43+S44+S45</f>
        <v>369771.599433467</v>
      </c>
      <c r="T46" s="53" t="n">
        <f aca="false">T42+T43+T44+T45</f>
        <v>377220.405476241</v>
      </c>
      <c r="U46" s="53" t="n">
        <f aca="false">U42+U43+U44+U45</f>
        <v>384617.084877126</v>
      </c>
      <c r="V46" s="53" t="n">
        <f aca="false">V42+V43+V44+V45</f>
        <v>392019.084959099</v>
      </c>
      <c r="W46" s="53" t="n">
        <f aca="false">W42+W43+W44+W45</f>
        <v>399479.427613128</v>
      </c>
      <c r="X46" s="53" t="n">
        <f aca="false">X42+X43+X44+X45</f>
        <v>407048.058501198</v>
      </c>
      <c r="Y46" s="53" t="n">
        <f aca="false">Y42+Y43+Y44+Y45</f>
        <v>414772.978867108</v>
      </c>
      <c r="Z46" s="53" t="n">
        <f aca="false">Z42+Z43+Z44+Z45</f>
        <v>422701.206765851</v>
      </c>
      <c r="AA46" s="53" t="n">
        <f aca="false">AA42+AA43+AA44+AA45</f>
        <v>430879.605632691</v>
      </c>
      <c r="AB46" s="53" t="n">
        <f aca="false">AB42+AB43+AB44+AB45</f>
        <v>439355.610986631</v>
      </c>
      <c r="AC46" s="53" t="n">
        <f aca="false">AC42+AC43+AC44+AC45</f>
        <v>448141.839302156</v>
      </c>
      <c r="AD46" s="53" t="n">
        <f aca="false">AD42+AD43+AD44+AD45</f>
        <v>457261.410468446</v>
      </c>
      <c r="AE46" s="53" t="n">
        <f aca="false">AE42+AE43+AE44+AE45</f>
        <v>466759.734148716</v>
      </c>
      <c r="AF46" s="53" t="n">
        <f aca="false">AF42+AF43+AF44+AF45</f>
        <v>476683.348593414</v>
      </c>
      <c r="AG46" s="53" t="n">
        <f aca="false">AG42+AG43+AG44+AG45</f>
        <v>487082.725255679</v>
      </c>
      <c r="AH46" s="53" t="n">
        <f aca="false">AH42+AH43+AH44+AH45</f>
        <v>498013.050183892</v>
      </c>
      <c r="AI46" s="53" t="n">
        <f aca="false">AI42+AI43+AI44+AI45</f>
        <v>509534.571552301</v>
      </c>
      <c r="AJ46" s="53" t="n">
        <f aca="false">AJ42+AJ43+AJ44+AJ45</f>
        <v>521712.93926774</v>
      </c>
      <c r="AK46" s="53" t="n">
        <f aca="false">AK42+AK43+AK44+AK45</f>
        <v>534619.577169294</v>
      </c>
      <c r="AL46" s="53" t="n">
        <f aca="false">AL42+AL43+AL44+AL45</f>
        <v>548332.09616236</v>
      </c>
      <c r="AM46" s="53" t="n">
        <f aca="false">SUM(C46:AL46)</f>
        <v>13341778.0913708</v>
      </c>
    </row>
    <row r="47" customFormat="false" ht="15" hidden="false" customHeight="false" outlineLevel="0" collapsed="false">
      <c r="A47" s="10" t="s">
        <v>782</v>
      </c>
      <c r="B47" s="9" t="s">
        <v>61</v>
      </c>
      <c r="C47" s="62" t="n">
        <f aca="false">IFERROR(C46/C42,0)</f>
        <v>0</v>
      </c>
      <c r="D47" s="62" t="n">
        <f aca="false">IFERROR(D46/D42,0)</f>
        <v>0.589556701030928</v>
      </c>
      <c r="E47" s="62" t="n">
        <f aca="false">IFERROR(E46/E42,0)</f>
        <v>0.589556701030928</v>
      </c>
      <c r="F47" s="62" t="n">
        <f aca="false">IFERROR(F46/F42,0)</f>
        <v>0.589556701030928</v>
      </c>
      <c r="G47" s="62" t="n">
        <f aca="false">IFERROR(G46/G42,0)</f>
        <v>0.589556701030928</v>
      </c>
      <c r="H47" s="62" t="n">
        <f aca="false">IFERROR(H46/H42,0)</f>
        <v>0.589556701030928</v>
      </c>
      <c r="I47" s="62" t="n">
        <f aca="false">IFERROR(I46/I42,0)</f>
        <v>0.589556701030928</v>
      </c>
      <c r="J47" s="62" t="n">
        <f aca="false">IFERROR(J46/J42,0)</f>
        <v>0.589556701030928</v>
      </c>
      <c r="K47" s="62" t="n">
        <f aca="false">IFERROR(K46/K42,0)</f>
        <v>0.589556701030928</v>
      </c>
      <c r="L47" s="62" t="n">
        <f aca="false">IFERROR(L46/L42,0)</f>
        <v>0.589556701030928</v>
      </c>
      <c r="M47" s="62" t="n">
        <f aca="false">IFERROR(M46/M42,0)</f>
        <v>0.589556701030928</v>
      </c>
      <c r="N47" s="62" t="n">
        <f aca="false">IFERROR(N46/N42,0)</f>
        <v>0.589556701030928</v>
      </c>
      <c r="O47" s="62" t="n">
        <f aca="false">IFERROR(O46/O42,0)</f>
        <v>0.589556701030928</v>
      </c>
      <c r="P47" s="62" t="n">
        <f aca="false">IFERROR(P46/P42,0)</f>
        <v>0.589556701030928</v>
      </c>
      <c r="Q47" s="62" t="n">
        <f aca="false">IFERROR(Q46/Q42,0)</f>
        <v>0.589556701030928</v>
      </c>
      <c r="R47" s="62" t="n">
        <f aca="false">IFERROR(R46/R42,0)</f>
        <v>0.589556701030928</v>
      </c>
      <c r="S47" s="62" t="n">
        <f aca="false">IFERROR(S46/S42,0)</f>
        <v>0.589556701030928</v>
      </c>
      <c r="T47" s="62" t="n">
        <f aca="false">IFERROR(T46/T42,0)</f>
        <v>0.589556701030928</v>
      </c>
      <c r="U47" s="62" t="n">
        <f aca="false">IFERROR(U46/U42,0)</f>
        <v>0.589556701030928</v>
      </c>
      <c r="V47" s="62" t="n">
        <f aca="false">IFERROR(V46/V42,0)</f>
        <v>0.589556701030928</v>
      </c>
      <c r="W47" s="62" t="n">
        <f aca="false">IFERROR(W46/W42,0)</f>
        <v>0.589556701030928</v>
      </c>
      <c r="X47" s="62" t="n">
        <f aca="false">IFERROR(X46/X42,0)</f>
        <v>0.589556701030928</v>
      </c>
      <c r="Y47" s="62" t="n">
        <f aca="false">IFERROR(Y46/Y42,0)</f>
        <v>0.589556701030928</v>
      </c>
      <c r="Z47" s="62" t="n">
        <f aca="false">IFERROR(Z46/Z42,0)</f>
        <v>0.589556701030928</v>
      </c>
      <c r="AA47" s="62" t="n">
        <f aca="false">IFERROR(AA46/AA42,0)</f>
        <v>0.589556701030928</v>
      </c>
      <c r="AB47" s="62" t="n">
        <f aca="false">IFERROR(AB46/AB42,0)</f>
        <v>0.589556701030928</v>
      </c>
      <c r="AC47" s="62" t="n">
        <f aca="false">IFERROR(AC46/AC42,0)</f>
        <v>0.589556701030928</v>
      </c>
      <c r="AD47" s="62" t="n">
        <f aca="false">IFERROR(AD46/AD42,0)</f>
        <v>0.589556701030928</v>
      </c>
      <c r="AE47" s="62" t="n">
        <f aca="false">IFERROR(AE46/AE42,0)</f>
        <v>0.589556701030928</v>
      </c>
      <c r="AF47" s="62" t="n">
        <f aca="false">IFERROR(AF46/AF42,0)</f>
        <v>0.589556701030928</v>
      </c>
      <c r="AG47" s="62" t="n">
        <f aca="false">IFERROR(AG46/AG42,0)</f>
        <v>0.589556701030928</v>
      </c>
      <c r="AH47" s="62" t="n">
        <f aca="false">IFERROR(AH46/AH42,0)</f>
        <v>0.589556701030928</v>
      </c>
      <c r="AI47" s="62" t="n">
        <f aca="false">IFERROR(AI46/AI42,0)</f>
        <v>0.589556701030928</v>
      </c>
      <c r="AJ47" s="62" t="n">
        <f aca="false">IFERROR(AJ46/AJ42,0)</f>
        <v>0.589556701030928</v>
      </c>
      <c r="AK47" s="62" t="n">
        <f aca="false">IFERROR(AK46/AK42,0)</f>
        <v>0.589556701030928</v>
      </c>
      <c r="AL47" s="62" t="n">
        <f aca="false">IFERROR(AL46/AL42,0)</f>
        <v>0.589556701030928</v>
      </c>
      <c r="AM47" s="62" t="n">
        <f aca="false">AVERAGE(N47:AL47)</f>
        <v>0.589556701030928</v>
      </c>
    </row>
    <row r="48" customFormat="false" ht="15" hidden="false" customHeight="false" outlineLevel="0" collapsed="false">
      <c r="A48" s="10" t="s">
        <v>783</v>
      </c>
      <c r="B48" s="9" t="s">
        <v>61</v>
      </c>
      <c r="C48" s="62" t="n">
        <f aca="false">IF(C9=0,0,MIN(Assumptions!$I$63,Assumptions!$I$61+Assumptions!$I$62*(C$5-Assumptions!$I$7)))</f>
        <v>0</v>
      </c>
      <c r="D48" s="62" t="n">
        <f aca="false">IF(D9=0,0,MIN(Assumptions!$I$63,Assumptions!$I$61+Assumptions!$I$62*(D$5-Assumptions!$I$7)))</f>
        <v>0</v>
      </c>
      <c r="E48" s="62" t="n">
        <f aca="false">IF(E9=0,0,MIN(Assumptions!$I$63,Assumptions!$I$61+Assumptions!$I$62*(E$5-Assumptions!$I$7)))</f>
        <v>0</v>
      </c>
      <c r="F48" s="62" t="n">
        <f aca="false">IF(F9=0,0,MIN(Assumptions!$I$63,Assumptions!$I$61+Assumptions!$I$62*(F$5-Assumptions!$I$7)))</f>
        <v>0</v>
      </c>
      <c r="G48" s="62" t="n">
        <f aca="false">IF(G9=0,0,MIN(Assumptions!$I$63,Assumptions!$I$61+Assumptions!$I$62*(G$5-Assumptions!$I$7)))</f>
        <v>0</v>
      </c>
      <c r="H48" s="62" t="n">
        <f aca="false">IF(H9=0,0,MIN(Assumptions!$I$63,Assumptions!$I$61+Assumptions!$I$62*(H$5-Assumptions!$I$7)))</f>
        <v>0</v>
      </c>
      <c r="I48" s="62" t="n">
        <f aca="false">IF(I9=0,0,MIN(Assumptions!$I$63,Assumptions!$I$61+Assumptions!$I$62*(I$5-Assumptions!$I$7)))</f>
        <v>0.36</v>
      </c>
      <c r="J48" s="62" t="n">
        <f aca="false">IF(J9=0,0,MIN(Assumptions!$I$63,Assumptions!$I$61+Assumptions!$I$62*(J$5-Assumptions!$I$7)))</f>
        <v>0.385</v>
      </c>
      <c r="K48" s="62" t="n">
        <f aca="false">IF(K9=0,0,MIN(Assumptions!$I$63,Assumptions!$I$61+Assumptions!$I$62*(K$5-Assumptions!$I$7)))</f>
        <v>0.41</v>
      </c>
      <c r="L48" s="62" t="n">
        <f aca="false">IF(L9=0,0,MIN(Assumptions!$I$63,Assumptions!$I$61+Assumptions!$I$62*(L$5-Assumptions!$I$7)))</f>
        <v>0.435</v>
      </c>
      <c r="M48" s="62" t="n">
        <f aca="false">IF(M9=0,0,MIN(Assumptions!$I$63,Assumptions!$I$61+Assumptions!$I$62*(M$5-Assumptions!$I$7)))</f>
        <v>0.46</v>
      </c>
      <c r="N48" s="62" t="n">
        <f aca="false">IF(N9=0,0,MIN(Assumptions!$I$63,Assumptions!$I$61+Assumptions!$I$62*(N$5-Assumptions!$I$7)))</f>
        <v>0.485</v>
      </c>
      <c r="O48" s="62" t="n">
        <f aca="false">IF(O9=0,0,MIN(Assumptions!$I$63,Assumptions!$I$61+Assumptions!$I$62*(O$5-Assumptions!$I$7)))</f>
        <v>0.51</v>
      </c>
      <c r="P48" s="62" t="n">
        <f aca="false">IF(P9=0,0,MIN(Assumptions!$I$63,Assumptions!$I$61+Assumptions!$I$62*(P$5-Assumptions!$I$7)))</f>
        <v>0.535</v>
      </c>
      <c r="Q48" s="62" t="n">
        <f aca="false">IF(Q9=0,0,MIN(Assumptions!$I$63,Assumptions!$I$61+Assumptions!$I$62*(Q$5-Assumptions!$I$7)))</f>
        <v>0.56</v>
      </c>
      <c r="R48" s="62" t="n">
        <f aca="false">IF(R9=0,0,MIN(Assumptions!$I$63,Assumptions!$I$61+Assumptions!$I$62*(R$5-Assumptions!$I$7)))</f>
        <v>0.585</v>
      </c>
      <c r="S48" s="62" t="n">
        <f aca="false">IF(S9=0,0,MIN(Assumptions!$I$63,Assumptions!$I$61+Assumptions!$I$62*(S$5-Assumptions!$I$7)))</f>
        <v>0.61</v>
      </c>
      <c r="T48" s="62" t="n">
        <f aca="false">IF(T9=0,0,MIN(Assumptions!$I$63,Assumptions!$I$61+Assumptions!$I$62*(T$5-Assumptions!$I$7)))</f>
        <v>0.635</v>
      </c>
      <c r="U48" s="62" t="n">
        <f aca="false">IF(U9=0,0,MIN(Assumptions!$I$63,Assumptions!$I$61+Assumptions!$I$62*(U$5-Assumptions!$I$7)))</f>
        <v>0.66</v>
      </c>
      <c r="V48" s="62" t="n">
        <f aca="false">IF(V9=0,0,MIN(Assumptions!$I$63,Assumptions!$I$61+Assumptions!$I$62*(V$5-Assumptions!$I$7)))</f>
        <v>0.685</v>
      </c>
      <c r="W48" s="62" t="n">
        <f aca="false">IF(W9=0,0,MIN(Assumptions!$I$63,Assumptions!$I$61+Assumptions!$I$62*(W$5-Assumptions!$I$7)))</f>
        <v>0.71</v>
      </c>
      <c r="X48" s="62" t="n">
        <f aca="false">IF(X9=0,0,MIN(Assumptions!$I$63,Assumptions!$I$61+Assumptions!$I$62*(X$5-Assumptions!$I$7)))</f>
        <v>0.735</v>
      </c>
      <c r="Y48" s="62" t="n">
        <f aca="false">IF(Y9=0,0,MIN(Assumptions!$I$63,Assumptions!$I$61+Assumptions!$I$62*(Y$5-Assumptions!$I$7)))</f>
        <v>0.76</v>
      </c>
      <c r="Z48" s="62" t="n">
        <f aca="false">IF(Z9=0,0,MIN(Assumptions!$I$63,Assumptions!$I$61+Assumptions!$I$62*(Z$5-Assumptions!$I$7)))</f>
        <v>0.785</v>
      </c>
      <c r="AA48" s="62" t="n">
        <f aca="false">IF(AA9=0,0,MIN(Assumptions!$I$63,Assumptions!$I$61+Assumptions!$I$62*(AA$5-Assumptions!$I$7)))</f>
        <v>0.81</v>
      </c>
      <c r="AB48" s="62" t="n">
        <f aca="false">IF(AB9=0,0,MIN(Assumptions!$I$63,Assumptions!$I$61+Assumptions!$I$62*(AB$5-Assumptions!$I$7)))</f>
        <v>0.82</v>
      </c>
      <c r="AC48" s="62" t="n">
        <f aca="false">IF(AC9=0,0,MIN(Assumptions!$I$63,Assumptions!$I$61+Assumptions!$I$62*(AC$5-Assumptions!$I$7)))</f>
        <v>0.82</v>
      </c>
      <c r="AD48" s="62" t="n">
        <f aca="false">IF(AD9=0,0,MIN(Assumptions!$I$63,Assumptions!$I$61+Assumptions!$I$62*(AD$5-Assumptions!$I$7)))</f>
        <v>0.82</v>
      </c>
      <c r="AE48" s="62" t="n">
        <f aca="false">IF(AE9=0,0,MIN(Assumptions!$I$63,Assumptions!$I$61+Assumptions!$I$62*(AE$5-Assumptions!$I$7)))</f>
        <v>0.82</v>
      </c>
      <c r="AF48" s="62" t="n">
        <f aca="false">IF(AF9=0,0,MIN(Assumptions!$I$63,Assumptions!$I$61+Assumptions!$I$62*(AF$5-Assumptions!$I$7)))</f>
        <v>0.82</v>
      </c>
      <c r="AG48" s="62" t="n">
        <f aca="false">IF(AG9=0,0,MIN(Assumptions!$I$63,Assumptions!$I$61+Assumptions!$I$62*(AG$5-Assumptions!$I$7)))</f>
        <v>0.82</v>
      </c>
      <c r="AH48" s="62" t="n">
        <f aca="false">IF(AH9=0,0,MIN(Assumptions!$I$63,Assumptions!$I$61+Assumptions!$I$62*(AH$5-Assumptions!$I$7)))</f>
        <v>0.82</v>
      </c>
      <c r="AI48" s="62" t="n">
        <f aca="false">IF(AI9=0,0,MIN(Assumptions!$I$63,Assumptions!$I$61+Assumptions!$I$62*(AI$5-Assumptions!$I$7)))</f>
        <v>0.82</v>
      </c>
      <c r="AJ48" s="62" t="n">
        <f aca="false">IF(AJ9=0,0,MIN(Assumptions!$I$63,Assumptions!$I$61+Assumptions!$I$62*(AJ$5-Assumptions!$I$7)))</f>
        <v>0.82</v>
      </c>
      <c r="AK48" s="62" t="n">
        <f aca="false">IF(AK9=0,0,MIN(Assumptions!$I$63,Assumptions!$I$61+Assumptions!$I$62*(AK$5-Assumptions!$I$7)))</f>
        <v>0.82</v>
      </c>
      <c r="AL48" s="62" t="n">
        <f aca="false">IF(AL9=0,0,MIN(Assumptions!$I$63,Assumptions!$I$61+Assumptions!$I$62*(AL$5-Assumptions!$I$7)))</f>
        <v>0.82</v>
      </c>
      <c r="AM48" s="62" t="n">
        <f aca="false">AL48</f>
        <v>0.82</v>
      </c>
    </row>
    <row r="49" customFormat="false" ht="15" hidden="false" customHeight="false" outlineLevel="0" collapsed="false">
      <c r="A49" s="10" t="s">
        <v>784</v>
      </c>
      <c r="B49" s="9" t="s">
        <v>84</v>
      </c>
      <c r="C49" s="61" t="n">
        <f aca="false">C15+C19+C23+(C13+C25)*Assumptions!$I$45</f>
        <v>5800.24053845475</v>
      </c>
      <c r="D49" s="61" t="n">
        <f aca="false">D15+D19+D23+(D13+D25)*Assumptions!$I$45</f>
        <v>134923.92662069</v>
      </c>
      <c r="E49" s="61" t="n">
        <f aca="false">E15+E19+E23+(E13+E25)*Assumptions!$I$45</f>
        <v>107211.504035443</v>
      </c>
      <c r="F49" s="61" t="n">
        <f aca="false">F15+F19+F23+(F13+F25)*Assumptions!$I$45</f>
        <v>92770.8098453847</v>
      </c>
      <c r="G49" s="61" t="n">
        <f aca="false">G15+G19+G23+(G13+G25)*Assumptions!$I$45</f>
        <v>87823.2853937478</v>
      </c>
      <c r="H49" s="61" t="n">
        <f aca="false">H15+H19+H23+(H13+H25)*Assumptions!$I$45</f>
        <v>84914.7074194625</v>
      </c>
      <c r="I49" s="61" t="n">
        <f aca="false">I15+I19+I23+(I13+I25)*Assumptions!$I$45</f>
        <v>82741.1174889165</v>
      </c>
      <c r="J49" s="61" t="n">
        <f aca="false">J15+J19+J23+(J13+J25)*Assumptions!$I$45</f>
        <v>81903.6615896816</v>
      </c>
      <c r="K49" s="61" t="n">
        <f aca="false">K15+K19+K23+(K13+K25)*Assumptions!$I$45</f>
        <v>81353.5909688132</v>
      </c>
      <c r="L49" s="61" t="n">
        <f aca="false">L15+L19+L23+(L13+L25)*Assumptions!$I$45</f>
        <v>81125.2349491167</v>
      </c>
      <c r="M49" s="61" t="n">
        <f aca="false">M15+M19+M23+(M13+M25)*Assumptions!$I$45</f>
        <v>81208.8290520214</v>
      </c>
      <c r="N49" s="61" t="n">
        <f aca="false">N15+N19+N23+(N13+N25)*Assumptions!$I$45</f>
        <v>81566.8608794258</v>
      </c>
      <c r="O49" s="61" t="n">
        <f aca="false">O15+O19+O23+(O13+O25)*Assumptions!$I$45</f>
        <v>82163.9628603595</v>
      </c>
      <c r="P49" s="61" t="n">
        <f aca="false">P15+P19+P23+(P13+P25)*Assumptions!$I$45</f>
        <v>82971.0677972933</v>
      </c>
      <c r="Q49" s="61" t="n">
        <f aca="false">Q15+Q19+Q23+(Q13+Q25)*Assumptions!$I$45</f>
        <v>83965.5219189442</v>
      </c>
      <c r="R49" s="61" t="n">
        <f aca="false">R15+R19+R23+(R13+R25)*Assumptions!$I$45</f>
        <v>85130.4565721024</v>
      </c>
      <c r="S49" s="61" t="n">
        <f aca="false">S15+S19+S23+(S13+S25)*Assumptions!$I$45</f>
        <v>86454.0527588122</v>
      </c>
      <c r="T49" s="61" t="n">
        <f aca="false">T15+T19+T23+(T13+T25)*Assumptions!$I$45</f>
        <v>87928.8518315633</v>
      </c>
      <c r="U49" s="61" t="n">
        <f aca="false">U15+U19+U23+(U13+U25)*Assumptions!$I$45</f>
        <v>89551.1575174985</v>
      </c>
      <c r="V49" s="61" t="n">
        <f aca="false">V15+V19+V23+(V13+V25)*Assumptions!$I$45</f>
        <v>91320.5390983135</v>
      </c>
      <c r="W49" s="61" t="n">
        <f aca="false">W15+W19+W23+(W13+W25)*Assumptions!$I$45</f>
        <v>93239.4316581345</v>
      </c>
      <c r="X49" s="61" t="n">
        <f aca="false">X15+X19+X23+(X13+X25)*Assumptions!$I$45</f>
        <v>95312.8239609967</v>
      </c>
      <c r="Y49" s="61" t="n">
        <f aca="false">Y15+Y19+Y23+(Y13+Y25)*Assumptions!$I$45</f>
        <v>97548.0230606865</v>
      </c>
      <c r="Z49" s="61" t="n">
        <f aca="false">Z15+Z19+Z23+(Z13+Z25)*Assumptions!$I$45</f>
        <v>99954.4850792596</v>
      </c>
      <c r="AA49" s="61" t="n">
        <f aca="false">AA15+AA19+AA23+(AA13+AA25)*Assumptions!$I$45</f>
        <v>102543.702693723</v>
      </c>
      <c r="AB49" s="61" t="n">
        <f aca="false">AB15+AB19+AB23+(AB13+AB25)*Assumptions!$I$45</f>
        <v>105329.1412354</v>
      </c>
      <c r="AC49" s="61" t="n">
        <f aca="false">AC15+AC19+AC23+(AC13+AC25)*Assumptions!$I$45</f>
        <v>108293.897115962</v>
      </c>
      <c r="AD49" s="61" t="n">
        <f aca="false">AD15+AD19+AD23+(AD13+AD25)*Assumptions!$I$45</f>
        <v>111439.39796943</v>
      </c>
      <c r="AE49" s="61" t="n">
        <f aca="false">AE15+AE19+AE23+(AE13+AE25)*Assumptions!$I$45</f>
        <v>114791.790668117</v>
      </c>
      <c r="AF49" s="61" t="n">
        <f aca="false">AF15+AF19+AF23+(AF13+AF25)*Assumptions!$I$45</f>
        <v>118375.355479842</v>
      </c>
      <c r="AG49" s="61" t="n">
        <f aca="false">AG15+AG19+AG23+(AG13+AG25)*Assumptions!$I$45</f>
        <v>122214.980212554</v>
      </c>
      <c r="AH49" s="61" t="n">
        <f aca="false">AH15+AH19+AH23+(AH13+AH25)*Assumptions!$I$45</f>
        <v>126337.33342585</v>
      </c>
      <c r="AI49" s="61" t="n">
        <f aca="false">AI15+AI19+AI23+(AI13+AI25)*Assumptions!$I$45</f>
        <v>130771.175177886</v>
      </c>
      <c r="AJ49" s="61" t="n">
        <f aca="false">AJ15+AJ19+AJ23+(AJ13+AJ25)*Assumptions!$I$45</f>
        <v>135547.564211802</v>
      </c>
      <c r="AK49" s="61" t="n">
        <f aca="false">AK15+AK19+AK23+(AK13+AK25)*Assumptions!$I$45</f>
        <v>140700.066546752</v>
      </c>
      <c r="AL49" s="61" t="n">
        <f aca="false">AL15+AL19+AL23+(AL13+AL25)*Assumptions!$I$45</f>
        <v>146264.981043359</v>
      </c>
      <c r="AM49" s="61" t="n">
        <f aca="false">SUM(C49:AL49)</f>
        <v>3541493.5286758</v>
      </c>
    </row>
    <row r="50" customFormat="false" ht="15" hidden="false" customHeight="false" outlineLevel="0" collapsed="false">
      <c r="A50" s="10" t="s">
        <v>785</v>
      </c>
      <c r="B50" s="9" t="s">
        <v>51</v>
      </c>
      <c r="C50" s="61" t="n">
        <f aca="false">C49*Assumptions!$I$58*C9</f>
        <v>0</v>
      </c>
      <c r="D50" s="61" t="n">
        <f aca="false">D49*Assumptions!$I$58*D9</f>
        <v>0</v>
      </c>
      <c r="E50" s="61" t="n">
        <f aca="false">E49*Assumptions!$I$58*E9</f>
        <v>0</v>
      </c>
      <c r="F50" s="61" t="n">
        <f aca="false">F49*Assumptions!$I$58*F9</f>
        <v>0</v>
      </c>
      <c r="G50" s="61" t="n">
        <f aca="false">G49*Assumptions!$I$58*G9</f>
        <v>0</v>
      </c>
      <c r="H50" s="61" t="n">
        <f aca="false">H49*Assumptions!$I$58*H9</f>
        <v>0</v>
      </c>
      <c r="I50" s="61" t="n">
        <f aca="false">I49*Assumptions!$I$58*I9</f>
        <v>1489.3401148005</v>
      </c>
      <c r="J50" s="61" t="n">
        <f aca="false">J49*Assumptions!$I$58*J9</f>
        <v>1474.26590861427</v>
      </c>
      <c r="K50" s="61" t="n">
        <f aca="false">K49*Assumptions!$I$58*K9</f>
        <v>1464.36463743864</v>
      </c>
      <c r="L50" s="61" t="n">
        <f aca="false">L49*Assumptions!$I$58*L9</f>
        <v>1460.2542290841</v>
      </c>
      <c r="M50" s="61" t="n">
        <f aca="false">M49*Assumptions!$I$58*M9</f>
        <v>1461.75892293638</v>
      </c>
      <c r="N50" s="61" t="n">
        <f aca="false">N49*Assumptions!$I$58*N9</f>
        <v>1468.20349582966</v>
      </c>
      <c r="O50" s="61" t="n">
        <f aca="false">O49*Assumptions!$I$58*O9</f>
        <v>1478.95133148647</v>
      </c>
      <c r="P50" s="61" t="n">
        <f aca="false">P49*Assumptions!$I$58*P9</f>
        <v>1493.47922035128</v>
      </c>
      <c r="Q50" s="61" t="n">
        <f aca="false">Q49*Assumptions!$I$58*Q9</f>
        <v>1511.379394541</v>
      </c>
      <c r="R50" s="61" t="n">
        <f aca="false">R49*Assumptions!$I$58*R9</f>
        <v>1532.34821829784</v>
      </c>
      <c r="S50" s="61" t="n">
        <f aca="false">S49*Assumptions!$I$58*S9</f>
        <v>1556.17294965862</v>
      </c>
      <c r="T50" s="61" t="n">
        <f aca="false">T49*Assumptions!$I$58*T9</f>
        <v>1582.71933296814</v>
      </c>
      <c r="U50" s="61" t="n">
        <f aca="false">U49*Assumptions!$I$58*U9</f>
        <v>1611.92083531497</v>
      </c>
      <c r="V50" s="61" t="n">
        <f aca="false">V49*Assumptions!$I$58*V9</f>
        <v>1643.76970376964</v>
      </c>
      <c r="W50" s="61" t="n">
        <f aca="false">W49*Assumptions!$I$58*W9</f>
        <v>1678.30976984642</v>
      </c>
      <c r="X50" s="61" t="n">
        <f aca="false">X49*Assumptions!$I$58*X9</f>
        <v>1715.63083129794</v>
      </c>
      <c r="Y50" s="61" t="n">
        <f aca="false">Y49*Assumptions!$I$58*Y9</f>
        <v>1755.86441509236</v>
      </c>
      <c r="Z50" s="61" t="n">
        <f aca="false">Z49*Assumptions!$I$58*Z9</f>
        <v>1799.18073142667</v>
      </c>
      <c r="AA50" s="61" t="n">
        <f aca="false">AA49*Assumptions!$I$58*AA9</f>
        <v>1845.78664848702</v>
      </c>
      <c r="AB50" s="61" t="n">
        <f aca="false">AB49*Assumptions!$I$58*AB9</f>
        <v>1895.9245422372</v>
      </c>
      <c r="AC50" s="61" t="n">
        <f aca="false">AC49*Assumptions!$I$58*AC9</f>
        <v>1949.29014808731</v>
      </c>
      <c r="AD50" s="61" t="n">
        <f aca="false">AD49*Assumptions!$I$58*AD9</f>
        <v>2005.90916344974</v>
      </c>
      <c r="AE50" s="61" t="n">
        <f aca="false">AE49*Assumptions!$I$58*AE9</f>
        <v>2066.2522320261</v>
      </c>
      <c r="AF50" s="61" t="n">
        <f aca="false">AF49*Assumptions!$I$58*AF9</f>
        <v>2130.75639863716</v>
      </c>
      <c r="AG50" s="61" t="n">
        <f aca="false">AG49*Assumptions!$I$58*AG9</f>
        <v>2199.86964382598</v>
      </c>
      <c r="AH50" s="61" t="n">
        <f aca="false">AH49*Assumptions!$I$58*AH9</f>
        <v>2274.0720016653</v>
      </c>
      <c r="AI50" s="61" t="n">
        <f aca="false">AI49*Assumptions!$I$58*AI9</f>
        <v>2353.88115320196</v>
      </c>
      <c r="AJ50" s="61" t="n">
        <f aca="false">AJ49*Assumptions!$I$58*AJ9</f>
        <v>2439.85615581244</v>
      </c>
      <c r="AK50" s="61" t="n">
        <f aca="false">AK49*Assumptions!$I$58*AK9</f>
        <v>2532.60119784154</v>
      </c>
      <c r="AL50" s="61" t="n">
        <f aca="false">AL49*Assumptions!$I$58*AL9</f>
        <v>2632.76965878047</v>
      </c>
      <c r="AM50" s="61" t="n">
        <f aca="false">SUM(C50:AL50)</f>
        <v>54504.8829868071</v>
      </c>
    </row>
    <row r="51" customFormat="false" ht="15" hidden="false" customHeight="false" outlineLevel="0" collapsed="false">
      <c r="A51" s="10" t="s">
        <v>786</v>
      </c>
      <c r="B51" s="9" t="s">
        <v>51</v>
      </c>
      <c r="C51" s="61" t="n">
        <f aca="false">C50*Assumptions!$I$59</f>
        <v>0</v>
      </c>
      <c r="D51" s="61" t="n">
        <f aca="false">D50*Assumptions!$I$59</f>
        <v>0</v>
      </c>
      <c r="E51" s="61" t="n">
        <f aca="false">E50*Assumptions!$I$59</f>
        <v>0</v>
      </c>
      <c r="F51" s="61" t="n">
        <f aca="false">F50*Assumptions!$I$59</f>
        <v>0</v>
      </c>
      <c r="G51" s="61" t="n">
        <f aca="false">G50*Assumptions!$I$59</f>
        <v>0</v>
      </c>
      <c r="H51" s="61" t="n">
        <f aca="false">H50*Assumptions!$I$59</f>
        <v>0</v>
      </c>
      <c r="I51" s="61" t="n">
        <f aca="false">I50*Assumptions!$I$59</f>
        <v>1042.53808036035</v>
      </c>
      <c r="J51" s="61" t="n">
        <f aca="false">J50*Assumptions!$I$59</f>
        <v>1031.98613602999</v>
      </c>
      <c r="K51" s="61" t="n">
        <f aca="false">K50*Assumptions!$I$59</f>
        <v>1025.05524620705</v>
      </c>
      <c r="L51" s="61" t="n">
        <f aca="false">L50*Assumptions!$I$59</f>
        <v>1022.17796035887</v>
      </c>
      <c r="M51" s="61" t="n">
        <f aca="false">M50*Assumptions!$I$59</f>
        <v>1023.23124605547</v>
      </c>
      <c r="N51" s="61" t="n">
        <f aca="false">N50*Assumptions!$I$59</f>
        <v>1027.74244708076</v>
      </c>
      <c r="O51" s="61" t="n">
        <f aca="false">O50*Assumptions!$I$59</f>
        <v>1035.26593204053</v>
      </c>
      <c r="P51" s="61" t="n">
        <f aca="false">P50*Assumptions!$I$59</f>
        <v>1045.4354542459</v>
      </c>
      <c r="Q51" s="61" t="n">
        <f aca="false">Q50*Assumptions!$I$59</f>
        <v>1057.9655761787</v>
      </c>
      <c r="R51" s="61" t="n">
        <f aca="false">R50*Assumptions!$I$59</f>
        <v>1072.64375280849</v>
      </c>
      <c r="S51" s="61" t="n">
        <f aca="false">S50*Assumptions!$I$59</f>
        <v>1089.32106476103</v>
      </c>
      <c r="T51" s="61" t="n">
        <f aca="false">T50*Assumptions!$I$59</f>
        <v>1107.9035330777</v>
      </c>
      <c r="U51" s="61" t="n">
        <f aca="false">U50*Assumptions!$I$59</f>
        <v>1128.34458472048</v>
      </c>
      <c r="V51" s="61" t="n">
        <f aca="false">V50*Assumptions!$I$59</f>
        <v>1150.63879263875</v>
      </c>
      <c r="W51" s="61" t="n">
        <f aca="false">W50*Assumptions!$I$59</f>
        <v>1174.81683889249</v>
      </c>
      <c r="X51" s="61" t="n">
        <f aca="false">X50*Assumptions!$I$59</f>
        <v>1200.94158190856</v>
      </c>
      <c r="Y51" s="61" t="n">
        <f aca="false">Y50*Assumptions!$I$59</f>
        <v>1229.10509056465</v>
      </c>
      <c r="Z51" s="61" t="n">
        <f aca="false">Z50*Assumptions!$I$59</f>
        <v>1259.42651199867</v>
      </c>
      <c r="AA51" s="61" t="n">
        <f aca="false">AA50*Assumptions!$I$59</f>
        <v>1292.05065394091</v>
      </c>
      <c r="AB51" s="61" t="n">
        <f aca="false">AB50*Assumptions!$I$59</f>
        <v>1327.14717956604</v>
      </c>
      <c r="AC51" s="61" t="n">
        <f aca="false">AC50*Assumptions!$I$59</f>
        <v>1364.50310366112</v>
      </c>
      <c r="AD51" s="61" t="n">
        <f aca="false">AD50*Assumptions!$I$59</f>
        <v>1404.13641441482</v>
      </c>
      <c r="AE51" s="61" t="n">
        <f aca="false">AE50*Assumptions!$I$59</f>
        <v>1446.37656241827</v>
      </c>
      <c r="AF51" s="61" t="n">
        <f aca="false">AF50*Assumptions!$I$59</f>
        <v>1491.52947904601</v>
      </c>
      <c r="AG51" s="61" t="n">
        <f aca="false">AG50*Assumptions!$I$59</f>
        <v>1539.90875067818</v>
      </c>
      <c r="AH51" s="61" t="n">
        <f aca="false">AH50*Assumptions!$I$59</f>
        <v>1591.85040116571</v>
      </c>
      <c r="AI51" s="61" t="n">
        <f aca="false">AI50*Assumptions!$I$59</f>
        <v>1647.71680724137</v>
      </c>
      <c r="AJ51" s="61" t="n">
        <f aca="false">AJ50*Assumptions!$I$59</f>
        <v>1707.89930906871</v>
      </c>
      <c r="AK51" s="61" t="n">
        <f aca="false">AK50*Assumptions!$I$59</f>
        <v>1772.82083848908</v>
      </c>
      <c r="AL51" s="61" t="n">
        <f aca="false">AL50*Assumptions!$I$59</f>
        <v>1842.93876114633</v>
      </c>
      <c r="AM51" s="61" t="n">
        <f aca="false">SUM(C51:AL51)</f>
        <v>38153.418090765</v>
      </c>
    </row>
    <row r="52" customFormat="false" ht="15" hidden="false" customHeight="false" outlineLevel="0" collapsed="false">
      <c r="A52" s="10" t="s">
        <v>787</v>
      </c>
      <c r="B52" s="9" t="s">
        <v>51</v>
      </c>
      <c r="C52" s="61" t="n">
        <f aca="false">C51*Assumptions!$I$60*C48</f>
        <v>0</v>
      </c>
      <c r="D52" s="61" t="n">
        <f aca="false">D51*Assumptions!$I$60*D48</f>
        <v>0</v>
      </c>
      <c r="E52" s="61" t="n">
        <f aca="false">E51*Assumptions!$I$60*E48</f>
        <v>0</v>
      </c>
      <c r="F52" s="61" t="n">
        <f aca="false">F51*Assumptions!$I$60*F48</f>
        <v>0</v>
      </c>
      <c r="G52" s="61" t="n">
        <f aca="false">G51*Assumptions!$I$60*G48</f>
        <v>0</v>
      </c>
      <c r="H52" s="61" t="n">
        <f aca="false">H51*Assumptions!$I$60*H48</f>
        <v>0</v>
      </c>
      <c r="I52" s="61" t="n">
        <f aca="false">I51*Assumptions!$I$60*I48</f>
        <v>217.681951179241</v>
      </c>
      <c r="J52" s="61" t="n">
        <f aca="false">J51*Assumptions!$I$60*J48</f>
        <v>230.442504175496</v>
      </c>
      <c r="K52" s="61" t="n">
        <f aca="false">K51*Assumptions!$I$60*K48</f>
        <v>243.758137548035</v>
      </c>
      <c r="L52" s="61" t="n">
        <f aca="false">L51*Assumptions!$I$60*L48</f>
        <v>257.895499398543</v>
      </c>
      <c r="M52" s="61" t="n">
        <f aca="false">M51*Assumptions!$I$60*M48</f>
        <v>272.998096447599</v>
      </c>
      <c r="N52" s="61" t="n">
        <f aca="false">N51*Assumptions!$I$60*N48</f>
        <v>289.103950363819</v>
      </c>
      <c r="O52" s="61" t="n">
        <f aca="false">O51*Assumptions!$I$60*O48</f>
        <v>306.231662697589</v>
      </c>
      <c r="P52" s="61" t="n">
        <f aca="false">P51*Assumptions!$I$60*P48</f>
        <v>324.398621452501</v>
      </c>
      <c r="Q52" s="61" t="n">
        <f aca="false">Q51*Assumptions!$I$60*Q48</f>
        <v>343.627219142841</v>
      </c>
      <c r="R52" s="61" t="n">
        <f aca="false">R51*Assumptions!$I$60*R48</f>
        <v>363.948025327921</v>
      </c>
      <c r="S52" s="61" t="n">
        <f aca="false">S51*Assumptions!$I$60*S48</f>
        <v>385.401792712454</v>
      </c>
      <c r="T52" s="61" t="n">
        <f aca="false">T51*Assumptions!$I$60*T48</f>
        <v>408.040871232516</v>
      </c>
      <c r="U52" s="61" t="n">
        <f aca="false">U51*Assumptions!$I$60*U48</f>
        <v>431.930307031</v>
      </c>
      <c r="V52" s="61" t="n">
        <f aca="false">V51*Assumptions!$I$60*V48</f>
        <v>457.148792315375</v>
      </c>
      <c r="W52" s="61" t="n">
        <f aca="false">W51*Assumptions!$I$60*W48</f>
        <v>483.789574255929</v>
      </c>
      <c r="X52" s="61" t="n">
        <f aca="false">X51*Assumptions!$I$60*X48</f>
        <v>511.961396367618</v>
      </c>
      <c r="Y52" s="61" t="n">
        <f aca="false">Y51*Assumptions!$I$60*Y48</f>
        <v>541.789523920897</v>
      </c>
      <c r="Z52" s="61" t="n">
        <f aca="false">Z51*Assumptions!$I$60*Z48</f>
        <v>573.416890912995</v>
      </c>
      <c r="AA52" s="61" t="n">
        <f aca="false">AA51*Assumptions!$I$60*AA48</f>
        <v>607.005397221441</v>
      </c>
      <c r="AB52" s="61" t="n">
        <f aca="false">AB51*Assumptions!$I$60*AB48</f>
        <v>631.191198601608</v>
      </c>
      <c r="AC52" s="61" t="n">
        <f aca="false">AC51*Assumptions!$I$60*AC48</f>
        <v>648.957676101227</v>
      </c>
      <c r="AD52" s="61" t="n">
        <f aca="false">AD51*Assumptions!$I$60*AD48</f>
        <v>667.807278695688</v>
      </c>
      <c r="AE52" s="61" t="n">
        <f aca="false">AE51*Assumptions!$I$60*AE48</f>
        <v>687.896693086129</v>
      </c>
      <c r="AF52" s="61" t="n">
        <f aca="false">AF51*Assumptions!$I$60*AF48</f>
        <v>709.371420234282</v>
      </c>
      <c r="AG52" s="61" t="n">
        <f aca="false">AG51*Assumptions!$I$60*AG48</f>
        <v>732.380601822545</v>
      </c>
      <c r="AH52" s="61" t="n">
        <f aca="false">AH51*Assumptions!$I$60*AH48</f>
        <v>757.084050794411</v>
      </c>
      <c r="AI52" s="61" t="n">
        <f aca="false">AI51*Assumptions!$I$60*AI48</f>
        <v>783.654113523995</v>
      </c>
      <c r="AJ52" s="61" t="n">
        <f aca="false">AJ51*Assumptions!$I$60*AJ48</f>
        <v>812.276911393076</v>
      </c>
      <c r="AK52" s="61" t="n">
        <f aca="false">AK51*Assumptions!$I$60*AK48</f>
        <v>843.153590785406</v>
      </c>
      <c r="AL52" s="61" t="n">
        <f aca="false">AL51*Assumptions!$I$60*AL48</f>
        <v>876.501674801194</v>
      </c>
      <c r="AM52" s="61" t="n">
        <f aca="false">SUM(C52:AL52)</f>
        <v>15400.8454235434</v>
      </c>
    </row>
    <row r="53" customFormat="false" ht="15" hidden="false" customHeight="false" outlineLevel="0" collapsed="false">
      <c r="A53" s="10" t="s">
        <v>788</v>
      </c>
      <c r="B53" s="9" t="s">
        <v>51</v>
      </c>
      <c r="C53" s="61" t="n">
        <f aca="false">C52*Assumptions!$I$64</f>
        <v>0</v>
      </c>
      <c r="D53" s="61" t="n">
        <f aca="false">D52*Assumptions!$I$64</f>
        <v>0</v>
      </c>
      <c r="E53" s="61" t="n">
        <f aca="false">E52*Assumptions!$I$64</f>
        <v>0</v>
      </c>
      <c r="F53" s="61" t="n">
        <f aca="false">F52*Assumptions!$I$64</f>
        <v>0</v>
      </c>
      <c r="G53" s="61" t="n">
        <f aca="false">G52*Assumptions!$I$64</f>
        <v>0</v>
      </c>
      <c r="H53" s="61" t="n">
        <f aca="false">H52*Assumptions!$I$64</f>
        <v>0</v>
      </c>
      <c r="I53" s="61" t="n">
        <f aca="false">I52*Assumptions!$I$64</f>
        <v>121.901892660375</v>
      </c>
      <c r="J53" s="61" t="n">
        <f aca="false">J52*Assumptions!$I$64</f>
        <v>129.047802338278</v>
      </c>
      <c r="K53" s="61" t="n">
        <f aca="false">K52*Assumptions!$I$64</f>
        <v>136.5045570269</v>
      </c>
      <c r="L53" s="61" t="n">
        <f aca="false">L52*Assumptions!$I$64</f>
        <v>144.421479663184</v>
      </c>
      <c r="M53" s="61" t="n">
        <f aca="false">M52*Assumptions!$I$64</f>
        <v>152.878934010656</v>
      </c>
      <c r="N53" s="61" t="n">
        <f aca="false">N52*Assumptions!$I$64</f>
        <v>161.898212203739</v>
      </c>
      <c r="O53" s="61" t="n">
        <f aca="false">O52*Assumptions!$I$64</f>
        <v>171.48973111065</v>
      </c>
      <c r="P53" s="61" t="n">
        <f aca="false">P52*Assumptions!$I$64</f>
        <v>181.663228013401</v>
      </c>
      <c r="Q53" s="61" t="n">
        <f aca="false">Q52*Assumptions!$I$64</f>
        <v>192.431242719991</v>
      </c>
      <c r="R53" s="61" t="n">
        <f aca="false">R52*Assumptions!$I$64</f>
        <v>203.810894183636</v>
      </c>
      <c r="S53" s="61" t="n">
        <f aca="false">S52*Assumptions!$I$64</f>
        <v>215.825003918974</v>
      </c>
      <c r="T53" s="61" t="n">
        <f aca="false">T52*Assumptions!$I$64</f>
        <v>228.502887890209</v>
      </c>
      <c r="U53" s="61" t="n">
        <f aca="false">U52*Assumptions!$I$64</f>
        <v>241.88097193736</v>
      </c>
      <c r="V53" s="61" t="n">
        <f aca="false">V52*Assumptions!$I$64</f>
        <v>256.00332369661</v>
      </c>
      <c r="W53" s="61" t="n">
        <f aca="false">W52*Assumptions!$I$64</f>
        <v>270.92216158332</v>
      </c>
      <c r="X53" s="61" t="n">
        <f aca="false">X52*Assumptions!$I$64</f>
        <v>286.698381965866</v>
      </c>
      <c r="Y53" s="61" t="n">
        <f aca="false">Y52*Assumptions!$I$64</f>
        <v>303.402133395703</v>
      </c>
      <c r="Z53" s="61" t="n">
        <f aca="false">Z52*Assumptions!$I$64</f>
        <v>321.113458911277</v>
      </c>
      <c r="AA53" s="61" t="n">
        <f aca="false">AA52*Assumptions!$I$64</f>
        <v>339.923022444007</v>
      </c>
      <c r="AB53" s="61" t="n">
        <f aca="false">AB52*Assumptions!$I$64</f>
        <v>353.467071216901</v>
      </c>
      <c r="AC53" s="61" t="n">
        <f aca="false">AC52*Assumptions!$I$64</f>
        <v>363.416298616687</v>
      </c>
      <c r="AD53" s="61" t="n">
        <f aca="false">AD52*Assumptions!$I$64</f>
        <v>373.972076069585</v>
      </c>
      <c r="AE53" s="61" t="n">
        <f aca="false">AE52*Assumptions!$I$64</f>
        <v>385.222148128232</v>
      </c>
      <c r="AF53" s="61" t="n">
        <f aca="false">AF52*Assumptions!$I$64</f>
        <v>397.247995331198</v>
      </c>
      <c r="AG53" s="61" t="n">
        <f aca="false">AG52*Assumptions!$I$64</f>
        <v>410.133137020625</v>
      </c>
      <c r="AH53" s="61" t="n">
        <f aca="false">AH52*Assumptions!$I$64</f>
        <v>423.96706844487</v>
      </c>
      <c r="AI53" s="61" t="n">
        <f aca="false">AI52*Assumptions!$I$64</f>
        <v>438.846303573437</v>
      </c>
      <c r="AJ53" s="61" t="n">
        <f aca="false">AJ52*Assumptions!$I$64</f>
        <v>454.875070380123</v>
      </c>
      <c r="AK53" s="61" t="n">
        <f aca="false">AK52*Assumptions!$I$64</f>
        <v>472.166010839827</v>
      </c>
      <c r="AL53" s="61" t="n">
        <f aca="false">AL52*Assumptions!$I$64</f>
        <v>490.840937888669</v>
      </c>
      <c r="AM53" s="61" t="n">
        <f aca="false">SUM(C53:AL53)</f>
        <v>8624.47343718429</v>
      </c>
    </row>
    <row r="54" customFormat="false" ht="15" hidden="false" customHeight="false" outlineLevel="0" collapsed="false">
      <c r="A54" s="10" t="s">
        <v>789</v>
      </c>
      <c r="B54" s="9" t="s">
        <v>51</v>
      </c>
      <c r="C54" s="61" t="n">
        <f aca="false">C53*Assumptions!$I$65</f>
        <v>0</v>
      </c>
      <c r="D54" s="61" t="n">
        <f aca="false">D53*Assumptions!$I$65</f>
        <v>0</v>
      </c>
      <c r="E54" s="61" t="n">
        <f aca="false">E53*Assumptions!$I$65</f>
        <v>0</v>
      </c>
      <c r="F54" s="61" t="n">
        <f aca="false">F53*Assumptions!$I$65</f>
        <v>0</v>
      </c>
      <c r="G54" s="61" t="n">
        <f aca="false">G53*Assumptions!$I$65</f>
        <v>0</v>
      </c>
      <c r="H54" s="61" t="n">
        <f aca="false">H53*Assumptions!$I$65</f>
        <v>0</v>
      </c>
      <c r="I54" s="61" t="n">
        <f aca="false">I53*Assumptions!$I$65</f>
        <v>101.178570908111</v>
      </c>
      <c r="J54" s="61" t="n">
        <f aca="false">J53*Assumptions!$I$65</f>
        <v>107.109675940771</v>
      </c>
      <c r="K54" s="61" t="n">
        <f aca="false">K53*Assumptions!$I$65</f>
        <v>113.298782332327</v>
      </c>
      <c r="L54" s="61" t="n">
        <f aca="false">L53*Assumptions!$I$65</f>
        <v>119.869828120443</v>
      </c>
      <c r="M54" s="61" t="n">
        <f aca="false">M53*Assumptions!$I$65</f>
        <v>126.889515228844</v>
      </c>
      <c r="N54" s="61" t="n">
        <f aca="false">N53*Assumptions!$I$65</f>
        <v>134.375516129103</v>
      </c>
      <c r="O54" s="61" t="n">
        <f aca="false">O53*Assumptions!$I$65</f>
        <v>142.336476821839</v>
      </c>
      <c r="P54" s="61" t="n">
        <f aca="false">P53*Assumptions!$I$65</f>
        <v>150.780479251123</v>
      </c>
      <c r="Q54" s="61" t="n">
        <f aca="false">Q53*Assumptions!$I$65</f>
        <v>159.717931457592</v>
      </c>
      <c r="R54" s="61" t="n">
        <f aca="false">R53*Assumptions!$I$65</f>
        <v>169.163042172417</v>
      </c>
      <c r="S54" s="61" t="n">
        <f aca="false">S53*Assumptions!$I$65</f>
        <v>179.134753252748</v>
      </c>
      <c r="T54" s="61" t="n">
        <f aca="false">T53*Assumptions!$I$65</f>
        <v>189.657396948873</v>
      </c>
      <c r="U54" s="61" t="n">
        <f aca="false">U53*Assumptions!$I$65</f>
        <v>200.761206708009</v>
      </c>
      <c r="V54" s="61" t="n">
        <f aca="false">V53*Assumptions!$I$65</f>
        <v>212.482758668186</v>
      </c>
      <c r="W54" s="61" t="n">
        <f aca="false">W53*Assumptions!$I$65</f>
        <v>224.865394114156</v>
      </c>
      <c r="X54" s="61" t="n">
        <f aca="false">X53*Assumptions!$I$65</f>
        <v>237.959657031669</v>
      </c>
      <c r="Y54" s="61" t="n">
        <f aca="false">Y53*Assumptions!$I$65</f>
        <v>251.823770718433</v>
      </c>
      <c r="Z54" s="61" t="n">
        <f aca="false">Z53*Assumptions!$I$65</f>
        <v>266.52417089636</v>
      </c>
      <c r="AA54" s="61" t="n">
        <f aca="false">AA53*Assumptions!$I$65</f>
        <v>282.136108628526</v>
      </c>
      <c r="AB54" s="61" t="n">
        <f aca="false">AB53*Assumptions!$I$65</f>
        <v>293.377669110027</v>
      </c>
      <c r="AC54" s="61" t="n">
        <f aca="false">AC53*Assumptions!$I$65</f>
        <v>301.635527851851</v>
      </c>
      <c r="AD54" s="61" t="n">
        <f aca="false">AD53*Assumptions!$I$65</f>
        <v>310.396823137756</v>
      </c>
      <c r="AE54" s="61" t="n">
        <f aca="false">AE53*Assumptions!$I$65</f>
        <v>319.734382946433</v>
      </c>
      <c r="AF54" s="61" t="n">
        <f aca="false">AF53*Assumptions!$I$65</f>
        <v>329.715836124894</v>
      </c>
      <c r="AG54" s="61" t="n">
        <f aca="false">AG53*Assumptions!$I$65</f>
        <v>340.410503727119</v>
      </c>
      <c r="AH54" s="61" t="n">
        <f aca="false">AH53*Assumptions!$I$65</f>
        <v>351.892666809242</v>
      </c>
      <c r="AI54" s="61" t="n">
        <f aca="false">AI53*Assumptions!$I$65</f>
        <v>364.242431965953</v>
      </c>
      <c r="AJ54" s="61" t="n">
        <f aca="false">AJ53*Assumptions!$I$65</f>
        <v>377.546308415502</v>
      </c>
      <c r="AK54" s="61" t="n">
        <f aca="false">AK53*Assumptions!$I$65</f>
        <v>391.897788997057</v>
      </c>
      <c r="AL54" s="61" t="n">
        <f aca="false">AL53*Assumptions!$I$65</f>
        <v>407.397978447595</v>
      </c>
      <c r="AM54" s="61" t="n">
        <f aca="false">SUM(C54:AL54)</f>
        <v>7158.31295286296</v>
      </c>
    </row>
    <row r="55" customFormat="false" ht="15" hidden="false" customHeight="false" outlineLevel="0" collapsed="false">
      <c r="A55" s="10" t="s">
        <v>790</v>
      </c>
      <c r="B55" s="9" t="s">
        <v>51</v>
      </c>
      <c r="C55" s="61" t="n">
        <f aca="false">C54*Assumptions!$I$66</f>
        <v>0</v>
      </c>
      <c r="D55" s="61" t="n">
        <f aca="false">D54*Assumptions!$I$66</f>
        <v>0</v>
      </c>
      <c r="E55" s="61" t="n">
        <f aca="false">E54*Assumptions!$I$66</f>
        <v>0</v>
      </c>
      <c r="F55" s="61" t="n">
        <f aca="false">F54*Assumptions!$I$66</f>
        <v>0</v>
      </c>
      <c r="G55" s="61" t="n">
        <f aca="false">G54*Assumptions!$I$66</f>
        <v>0</v>
      </c>
      <c r="H55" s="61" t="n">
        <f aca="false">H54*Assumptions!$I$66</f>
        <v>0</v>
      </c>
      <c r="I55" s="61" t="n">
        <f aca="false">I54*Assumptions!$I$66</f>
        <v>62.7307139630288</v>
      </c>
      <c r="J55" s="61" t="n">
        <f aca="false">J54*Assumptions!$I$66</f>
        <v>66.4079990832778</v>
      </c>
      <c r="K55" s="61" t="n">
        <f aca="false">K54*Assumptions!$I$66</f>
        <v>70.2452450460427</v>
      </c>
      <c r="L55" s="61" t="n">
        <f aca="false">L54*Assumptions!$I$66</f>
        <v>74.3192934346745</v>
      </c>
      <c r="M55" s="61" t="n">
        <f aca="false">M54*Assumptions!$I$66</f>
        <v>78.6714994418833</v>
      </c>
      <c r="N55" s="61" t="n">
        <f aca="false">N54*Assumptions!$I$66</f>
        <v>83.3128200000439</v>
      </c>
      <c r="O55" s="61" t="n">
        <f aca="false">O54*Assumptions!$I$66</f>
        <v>88.2486156295403</v>
      </c>
      <c r="P55" s="61" t="n">
        <f aca="false">P54*Assumptions!$I$66</f>
        <v>93.483897135696</v>
      </c>
      <c r="Q55" s="61" t="n">
        <f aca="false">Q54*Assumptions!$I$66</f>
        <v>99.0251175037073</v>
      </c>
      <c r="R55" s="61" t="n">
        <f aca="false">R54*Assumptions!$I$66</f>
        <v>104.881086146899</v>
      </c>
      <c r="S55" s="61" t="n">
        <f aca="false">S54*Assumptions!$I$66</f>
        <v>111.063547016704</v>
      </c>
      <c r="T55" s="61" t="n">
        <f aca="false">T54*Assumptions!$I$66</f>
        <v>117.587586108301</v>
      </c>
      <c r="U55" s="61" t="n">
        <f aca="false">U54*Assumptions!$I$66</f>
        <v>124.471948158965</v>
      </c>
      <c r="V55" s="61" t="n">
        <f aca="false">V54*Assumptions!$I$66</f>
        <v>131.739310374276</v>
      </c>
      <c r="W55" s="61" t="n">
        <f aca="false">W54*Assumptions!$I$66</f>
        <v>139.416544350777</v>
      </c>
      <c r="X55" s="61" t="n">
        <f aca="false">X54*Assumptions!$I$66</f>
        <v>147.534987359635</v>
      </c>
      <c r="Y55" s="61" t="n">
        <f aca="false">Y54*Assumptions!$I$66</f>
        <v>156.130737845428</v>
      </c>
      <c r="Z55" s="61" t="n">
        <f aca="false">Z54*Assumptions!$I$66</f>
        <v>165.244985955743</v>
      </c>
      <c r="AA55" s="61" t="n">
        <f aca="false">AA54*Assumptions!$I$66</f>
        <v>174.924387349686</v>
      </c>
      <c r="AB55" s="61" t="n">
        <f aca="false">AB54*Assumptions!$I$66</f>
        <v>181.894154848217</v>
      </c>
      <c r="AC55" s="61" t="n">
        <f aca="false">AC54*Assumptions!$I$66</f>
        <v>187.014027268147</v>
      </c>
      <c r="AD55" s="61" t="n">
        <f aca="false">AD54*Assumptions!$I$66</f>
        <v>192.446030345409</v>
      </c>
      <c r="AE55" s="61" t="n">
        <f aca="false">AE54*Assumptions!$I$66</f>
        <v>198.235317426788</v>
      </c>
      <c r="AF55" s="61" t="n">
        <f aca="false">AF54*Assumptions!$I$66</f>
        <v>204.423818397434</v>
      </c>
      <c r="AG55" s="61" t="n">
        <f aca="false">AG54*Assumptions!$I$66</f>
        <v>211.054512310814</v>
      </c>
      <c r="AH55" s="61" t="n">
        <f aca="false">AH54*Assumptions!$I$66</f>
        <v>218.17345342173</v>
      </c>
      <c r="AI55" s="61" t="n">
        <f aca="false">AI54*Assumptions!$I$66</f>
        <v>225.830307818891</v>
      </c>
      <c r="AJ55" s="61" t="n">
        <f aca="false">AJ54*Assumptions!$I$66</f>
        <v>234.078711217611</v>
      </c>
      <c r="AK55" s="61" t="n">
        <f aca="false">AK54*Assumptions!$I$66</f>
        <v>242.976629178175</v>
      </c>
      <c r="AL55" s="61" t="n">
        <f aca="false">AL54*Assumptions!$I$66</f>
        <v>252.586746637509</v>
      </c>
      <c r="AM55" s="61" t="n">
        <f aca="false">SUM(C55:AL55)</f>
        <v>4438.15403077503</v>
      </c>
    </row>
    <row r="56" customFormat="false" ht="15" hidden="false" customHeight="false" outlineLevel="0" collapsed="false">
      <c r="A56" s="10" t="s">
        <v>791</v>
      </c>
      <c r="B56" s="9" t="s">
        <v>51</v>
      </c>
      <c r="C56" s="61" t="n">
        <f aca="false">C55*Assumptions!$I$67</f>
        <v>0</v>
      </c>
      <c r="D56" s="61" t="n">
        <f aca="false">D55*Assumptions!$I$67</f>
        <v>0</v>
      </c>
      <c r="E56" s="61" t="n">
        <f aca="false">E55*Assumptions!$I$67</f>
        <v>0</v>
      </c>
      <c r="F56" s="61" t="n">
        <f aca="false">F55*Assumptions!$I$67</f>
        <v>0</v>
      </c>
      <c r="G56" s="61" t="n">
        <f aca="false">G55*Assumptions!$I$67</f>
        <v>0</v>
      </c>
      <c r="H56" s="61" t="n">
        <f aca="false">H55*Assumptions!$I$67</f>
        <v>0</v>
      </c>
      <c r="I56" s="61" t="n">
        <f aca="false">I55*Assumptions!$I$67</f>
        <v>41.402271215599</v>
      </c>
      <c r="J56" s="61" t="n">
        <f aca="false">J55*Assumptions!$I$67</f>
        <v>43.8292793949633</v>
      </c>
      <c r="K56" s="61" t="n">
        <f aca="false">K55*Assumptions!$I$67</f>
        <v>46.3618617303882</v>
      </c>
      <c r="L56" s="61" t="n">
        <f aca="false">L55*Assumptions!$I$67</f>
        <v>49.0507336668852</v>
      </c>
      <c r="M56" s="61" t="n">
        <f aca="false">M55*Assumptions!$I$67</f>
        <v>51.923189631643</v>
      </c>
      <c r="N56" s="61" t="n">
        <f aca="false">N55*Assumptions!$I$67</f>
        <v>54.986461200029</v>
      </c>
      <c r="O56" s="61" t="n">
        <f aca="false">O55*Assumptions!$I$67</f>
        <v>58.2440863154966</v>
      </c>
      <c r="P56" s="61" t="n">
        <f aca="false">P55*Assumptions!$I$67</f>
        <v>61.6993721095594</v>
      </c>
      <c r="Q56" s="61" t="n">
        <f aca="false">Q55*Assumptions!$I$67</f>
        <v>65.3565775524468</v>
      </c>
      <c r="R56" s="61" t="n">
        <f aca="false">R55*Assumptions!$I$67</f>
        <v>69.2215168569532</v>
      </c>
      <c r="S56" s="61" t="n">
        <f aca="false">S55*Assumptions!$I$67</f>
        <v>73.3019410310247</v>
      </c>
      <c r="T56" s="61" t="n">
        <f aca="false">T55*Assumptions!$I$67</f>
        <v>77.607806831479</v>
      </c>
      <c r="U56" s="61" t="n">
        <f aca="false">U55*Assumptions!$I$67</f>
        <v>82.1514857849172</v>
      </c>
      <c r="V56" s="61" t="n">
        <f aca="false">V55*Assumptions!$I$67</f>
        <v>86.9479448470219</v>
      </c>
      <c r="W56" s="61" t="n">
        <f aca="false">W55*Assumptions!$I$67</f>
        <v>92.0149192715126</v>
      </c>
      <c r="X56" s="61" t="n">
        <f aca="false">X55*Assumptions!$I$67</f>
        <v>97.373091657359</v>
      </c>
      <c r="Y56" s="61" t="n">
        <f aca="false">Y55*Assumptions!$I$67</f>
        <v>103.046286977983</v>
      </c>
      <c r="Z56" s="61" t="n">
        <f aca="false">Z55*Assumptions!$I$67</f>
        <v>109.061690730791</v>
      </c>
      <c r="AA56" s="61" t="n">
        <f aca="false">AA55*Assumptions!$I$67</f>
        <v>115.450095650793</v>
      </c>
      <c r="AB56" s="61" t="n">
        <f aca="false">AB55*Assumptions!$I$67</f>
        <v>120.050142199823</v>
      </c>
      <c r="AC56" s="61" t="n">
        <f aca="false">AC55*Assumptions!$I$67</f>
        <v>123.429257996977</v>
      </c>
      <c r="AD56" s="61" t="n">
        <f aca="false">AD55*Assumptions!$I$67</f>
        <v>127.01438002797</v>
      </c>
      <c r="AE56" s="61" t="n">
        <f aca="false">AE55*Assumptions!$I$67</f>
        <v>130.83530950168</v>
      </c>
      <c r="AF56" s="61" t="n">
        <f aca="false">AF55*Assumptions!$I$67</f>
        <v>134.919720142307</v>
      </c>
      <c r="AG56" s="61" t="n">
        <f aca="false">AG55*Assumptions!$I$67</f>
        <v>139.295978125137</v>
      </c>
      <c r="AH56" s="61" t="n">
        <f aca="false">AH55*Assumptions!$I$67</f>
        <v>143.994479258342</v>
      </c>
      <c r="AI56" s="61" t="n">
        <f aca="false">AI55*Assumptions!$I$67</f>
        <v>149.048003160468</v>
      </c>
      <c r="AJ56" s="61" t="n">
        <f aca="false">AJ55*Assumptions!$I$67</f>
        <v>154.491949403623</v>
      </c>
      <c r="AK56" s="61" t="n">
        <f aca="false">AK55*Assumptions!$I$67</f>
        <v>160.364575257596</v>
      </c>
      <c r="AL56" s="61" t="n">
        <f aca="false">AL55*Assumptions!$I$67</f>
        <v>166.707252780756</v>
      </c>
      <c r="AM56" s="61" t="n">
        <f aca="false">SUM(C56:AL56)</f>
        <v>2929.18166031152</v>
      </c>
    </row>
    <row r="57" customFormat="false" ht="15" hidden="false" customHeight="false" outlineLevel="0" collapsed="false">
      <c r="A57" s="37" t="s">
        <v>792</v>
      </c>
      <c r="B57" s="9" t="s">
        <v>51</v>
      </c>
      <c r="C57" s="71" t="n">
        <f aca="false">C56</f>
        <v>0</v>
      </c>
      <c r="D57" s="71" t="n">
        <f aca="false">C57*(1-Assumptions!$I$68)+D56</f>
        <v>0</v>
      </c>
      <c r="E57" s="71" t="n">
        <f aca="false">D57*(1-Assumptions!$I$68)+E56</f>
        <v>0</v>
      </c>
      <c r="F57" s="71" t="n">
        <f aca="false">E57*(1-Assumptions!$I$68)+F56</f>
        <v>0</v>
      </c>
      <c r="G57" s="71" t="n">
        <f aca="false">F57*(1-Assumptions!$I$68)+G56</f>
        <v>0</v>
      </c>
      <c r="H57" s="71" t="n">
        <f aca="false">G57*(1-Assumptions!$I$68)+H56</f>
        <v>0</v>
      </c>
      <c r="I57" s="71" t="n">
        <f aca="false">H57*(1-Assumptions!$I$68)+I56</f>
        <v>41.402271215599</v>
      </c>
      <c r="J57" s="71" t="n">
        <f aca="false">I57*(1-Assumptions!$I$68)+J56</f>
        <v>79.8492553525345</v>
      </c>
      <c r="K57" s="71" t="n">
        <f aca="false">J57*(1-Assumptions!$I$68)+K56</f>
        <v>115.830713887093</v>
      </c>
      <c r="L57" s="71" t="n">
        <f aca="false">K57*(1-Assumptions!$I$68)+L56</f>
        <v>149.823454748656</v>
      </c>
      <c r="M57" s="71" t="n">
        <f aca="false">L57*(1-Assumptions!$I$68)+M56</f>
        <v>182.269595262974</v>
      </c>
      <c r="N57" s="71" t="n">
        <f aca="false">M57*(1-Assumptions!$I$68)+N56</f>
        <v>213.561009078816</v>
      </c>
      <c r="O57" s="71" t="n">
        <f aca="false">N57*(1-Assumptions!$I$68)+O56</f>
        <v>244.042164214067</v>
      </c>
      <c r="P57" s="71" t="n">
        <f aca="false">O57*(1-Assumptions!$I$68)+P56</f>
        <v>274.016054975798</v>
      </c>
      <c r="Q57" s="71" t="n">
        <f aca="false">P57*(1-Assumptions!$I$68)+Q56</f>
        <v>303.750545381391</v>
      </c>
      <c r="R57" s="71" t="n">
        <f aca="false">Q57*(1-Assumptions!$I$68)+R56</f>
        <v>333.484491338763</v>
      </c>
      <c r="S57" s="71" t="n">
        <f aca="false">R57*(1-Assumptions!$I$68)+S56</f>
        <v>363.433448495749</v>
      </c>
      <c r="T57" s="71" t="n">
        <f aca="false">S57*(1-Assumptions!$I$68)+T56</f>
        <v>393.79490702278</v>
      </c>
      <c r="U57" s="71" t="n">
        <f aca="false">T57*(1-Assumptions!$I$68)+U56</f>
        <v>424.753054894736</v>
      </c>
      <c r="V57" s="71" t="n">
        <f aca="false">U57*(1-Assumptions!$I$68)+V56</f>
        <v>456.483102605442</v>
      </c>
      <c r="W57" s="71" t="n">
        <f aca="false">V57*(1-Assumptions!$I$68)+W56</f>
        <v>489.155218538247</v>
      </c>
      <c r="X57" s="71" t="n">
        <f aca="false">W57*(1-Assumptions!$I$68)+X56</f>
        <v>522.938131785634</v>
      </c>
      <c r="Y57" s="71" t="n">
        <f aca="false">X57*(1-Assumptions!$I$68)+Y56</f>
        <v>558.002461631484</v>
      </c>
      <c r="Z57" s="71" t="n">
        <f aca="false">Y57*(1-Assumptions!$I$68)+Z56</f>
        <v>594.523832350182</v>
      </c>
      <c r="AA57" s="71" t="n">
        <f aca="false">Z57*(1-Assumptions!$I$68)+AA56</f>
        <v>632.685829795451</v>
      </c>
      <c r="AB57" s="71" t="n">
        <f aca="false">AA57*(1-Assumptions!$I$68)+AB56</f>
        <v>670.486814121866</v>
      </c>
      <c r="AC57" s="71" t="n">
        <f aca="false">AB57*(1-Assumptions!$I$68)+AC56</f>
        <v>706.752786283</v>
      </c>
      <c r="AD57" s="71" t="n">
        <f aca="false">AC57*(1-Assumptions!$I$68)+AD56</f>
        <v>741.88930409418</v>
      </c>
      <c r="AE57" s="71" t="n">
        <f aca="false">AD57*(1-Assumptions!$I$68)+AE56</f>
        <v>776.279004063617</v>
      </c>
      <c r="AF57" s="71" t="n">
        <f aca="false">AE57*(1-Assumptions!$I$68)+AF56</f>
        <v>810.282453677653</v>
      </c>
      <c r="AG57" s="71" t="n">
        <f aca="false">AF57*(1-Assumptions!$I$68)+AG56</f>
        <v>844.241712824696</v>
      </c>
      <c r="AH57" s="71" t="n">
        <f aca="false">AG57*(1-Assumptions!$I$68)+AH56</f>
        <v>878.484769415827</v>
      </c>
      <c r="AI57" s="71" t="n">
        <f aca="false">AH57*(1-Assumptions!$I$68)+AI56</f>
        <v>913.329752552237</v>
      </c>
      <c r="AJ57" s="71" t="n">
        <f aca="false">AI57*(1-Assumptions!$I$68)+AJ56</f>
        <v>949.08883412407</v>
      </c>
      <c r="AK57" s="71" t="n">
        <f aca="false">AJ57*(1-Assumptions!$I$68)+AK56</f>
        <v>986.071860945536</v>
      </c>
      <c r="AL57" s="71" t="n">
        <f aca="false">AK57*(1-Assumptions!$I$68)+AL56</f>
        <v>1024.58977180337</v>
      </c>
      <c r="AM57" s="71" t="n">
        <f aca="false">AL57</f>
        <v>1024.58977180337</v>
      </c>
    </row>
    <row r="58" customFormat="false" ht="15" hidden="false" customHeight="false" outlineLevel="0" collapsed="false">
      <c r="A58" s="10" t="s">
        <v>793</v>
      </c>
      <c r="B58" s="9" t="s">
        <v>51</v>
      </c>
      <c r="C58" s="61" t="n">
        <f aca="false">0</f>
        <v>0</v>
      </c>
      <c r="D58" s="61" t="n">
        <f aca="false">C57*Assumptions!$I$68</f>
        <v>0</v>
      </c>
      <c r="E58" s="61" t="n">
        <f aca="false">D57*Assumptions!$I$68</f>
        <v>0</v>
      </c>
      <c r="F58" s="61" t="n">
        <f aca="false">E57*Assumptions!$I$68</f>
        <v>0</v>
      </c>
      <c r="G58" s="61" t="n">
        <f aca="false">F57*Assumptions!$I$68</f>
        <v>0</v>
      </c>
      <c r="H58" s="61" t="n">
        <f aca="false">G57*Assumptions!$I$68</f>
        <v>0</v>
      </c>
      <c r="I58" s="61" t="n">
        <f aca="false">H57*Assumptions!$I$68</f>
        <v>0</v>
      </c>
      <c r="J58" s="61" t="n">
        <f aca="false">I57*Assumptions!$I$68</f>
        <v>5.38229525802787</v>
      </c>
      <c r="K58" s="61" t="n">
        <f aca="false">J57*Assumptions!$I$68</f>
        <v>10.3804031958295</v>
      </c>
      <c r="L58" s="61" t="n">
        <f aca="false">K57*Assumptions!$I$68</f>
        <v>15.0579928053221</v>
      </c>
      <c r="M58" s="61" t="n">
        <f aca="false">L57*Assumptions!$I$68</f>
        <v>19.4770491173253</v>
      </c>
      <c r="N58" s="61" t="n">
        <f aca="false">M57*Assumptions!$I$68</f>
        <v>23.6950473841866</v>
      </c>
      <c r="O58" s="61" t="n">
        <f aca="false">N57*Assumptions!$I$68</f>
        <v>27.7629311802461</v>
      </c>
      <c r="P58" s="61" t="n">
        <f aca="false">O57*Assumptions!$I$68</f>
        <v>31.7254813478287</v>
      </c>
      <c r="Q58" s="61" t="n">
        <f aca="false">P57*Assumptions!$I$68</f>
        <v>35.6220871468537</v>
      </c>
      <c r="R58" s="61" t="n">
        <f aca="false">Q57*Assumptions!$I$68</f>
        <v>39.4875708995808</v>
      </c>
      <c r="S58" s="61" t="n">
        <f aca="false">R57*Assumptions!$I$68</f>
        <v>43.3529838740392</v>
      </c>
      <c r="T58" s="61" t="n">
        <f aca="false">S57*Assumptions!$I$68</f>
        <v>47.2463483044473</v>
      </c>
      <c r="U58" s="61" t="n">
        <f aca="false">T57*Assumptions!$I$68</f>
        <v>51.1933379129614</v>
      </c>
      <c r="V58" s="61" t="n">
        <f aca="false">U57*Assumptions!$I$68</f>
        <v>55.2178971363157</v>
      </c>
      <c r="W58" s="61" t="n">
        <f aca="false">V57*Assumptions!$I$68</f>
        <v>59.3428033387075</v>
      </c>
      <c r="X58" s="61" t="n">
        <f aca="false">W57*Assumptions!$I$68</f>
        <v>63.5901784099721</v>
      </c>
      <c r="Y58" s="61" t="n">
        <f aca="false">X57*Assumptions!$I$68</f>
        <v>67.9819571321324</v>
      </c>
      <c r="Z58" s="61" t="n">
        <f aca="false">Y57*Assumptions!$I$68</f>
        <v>72.540320012093</v>
      </c>
      <c r="AA58" s="61" t="n">
        <f aca="false">Z57*Assumptions!$I$68</f>
        <v>77.2880982055237</v>
      </c>
      <c r="AB58" s="61" t="n">
        <f aca="false">AA57*Assumptions!$I$68</f>
        <v>82.2491578734086</v>
      </c>
      <c r="AC58" s="61" t="n">
        <f aca="false">AB57*Assumptions!$I$68</f>
        <v>87.1632858358425</v>
      </c>
      <c r="AD58" s="61" t="n">
        <f aca="false">AC57*Assumptions!$I$68</f>
        <v>91.8778622167901</v>
      </c>
      <c r="AE58" s="61" t="n">
        <f aca="false">AD57*Assumptions!$I$68</f>
        <v>96.4456095322434</v>
      </c>
      <c r="AF58" s="61" t="n">
        <f aca="false">AE57*Assumptions!$I$68</f>
        <v>100.91627052827</v>
      </c>
      <c r="AG58" s="61" t="n">
        <f aca="false">AF57*Assumptions!$I$68</f>
        <v>105.336718978095</v>
      </c>
      <c r="AH58" s="61" t="n">
        <f aca="false">AG57*Assumptions!$I$68</f>
        <v>109.75142266721</v>
      </c>
      <c r="AI58" s="61" t="n">
        <f aca="false">AH57*Assumptions!$I$68</f>
        <v>114.203020024058</v>
      </c>
      <c r="AJ58" s="61" t="n">
        <f aca="false">AI57*Assumptions!$I$68</f>
        <v>118.732867831791</v>
      </c>
      <c r="AK58" s="61" t="n">
        <f aca="false">AJ57*Assumptions!$I$68</f>
        <v>123.381548436129</v>
      </c>
      <c r="AL58" s="61" t="n">
        <f aca="false">AK57*Assumptions!$I$68</f>
        <v>128.18934192292</v>
      </c>
      <c r="AM58" s="61" t="n">
        <f aca="false">SUM(C58:AL58)</f>
        <v>1904.59188850815</v>
      </c>
    </row>
    <row r="59" customFormat="false" ht="15" hidden="false" customHeight="false" outlineLevel="0" collapsed="false">
      <c r="A59" s="10" t="s">
        <v>794</v>
      </c>
      <c r="B59" s="9" t="s">
        <v>97</v>
      </c>
      <c r="C59" s="70" t="n">
        <f aca="false">C57*Assumptions!$I$70</f>
        <v>0</v>
      </c>
      <c r="D59" s="70" t="n">
        <f aca="false">D57*Assumptions!$I$70</f>
        <v>0</v>
      </c>
      <c r="E59" s="70" t="n">
        <f aca="false">E57*Assumptions!$I$70</f>
        <v>0</v>
      </c>
      <c r="F59" s="70" t="n">
        <f aca="false">F57*Assumptions!$I$70</f>
        <v>0</v>
      </c>
      <c r="G59" s="70" t="n">
        <f aca="false">G57*Assumptions!$I$70</f>
        <v>0</v>
      </c>
      <c r="H59" s="70" t="n">
        <f aca="false">H57*Assumptions!$I$70</f>
        <v>0</v>
      </c>
      <c r="I59" s="70" t="n">
        <f aca="false">I57*Assumptions!$I$70</f>
        <v>10309.1655326842</v>
      </c>
      <c r="J59" s="70" t="n">
        <f aca="false">J57*Assumptions!$I$70</f>
        <v>19882.4645827811</v>
      </c>
      <c r="K59" s="70" t="n">
        <f aca="false">K57*Assumptions!$I$70</f>
        <v>28841.8477578862</v>
      </c>
      <c r="L59" s="70" t="n">
        <f aca="false">L57*Assumptions!$I$70</f>
        <v>37306.0402324154</v>
      </c>
      <c r="M59" s="70" t="n">
        <f aca="false">M57*Assumptions!$I$70</f>
        <v>45385.1292204805</v>
      </c>
      <c r="N59" s="70" t="n">
        <f aca="false">N57*Assumptions!$I$70</f>
        <v>53176.6912606253</v>
      </c>
      <c r="O59" s="70" t="n">
        <f aca="false">O57*Assumptions!$I$70</f>
        <v>60766.4988893026</v>
      </c>
      <c r="P59" s="70" t="n">
        <f aca="false">P57*Assumptions!$I$70</f>
        <v>68229.9976889736</v>
      </c>
      <c r="Q59" s="70" t="n">
        <f aca="false">Q57*Assumptions!$I$70</f>
        <v>75633.8857999663</v>
      </c>
      <c r="R59" s="70" t="n">
        <f aca="false">R57*Assumptions!$I$70</f>
        <v>83037.638343352</v>
      </c>
      <c r="S59" s="70" t="n">
        <f aca="false">S57*Assumptions!$I$70</f>
        <v>90494.9286754414</v>
      </c>
      <c r="T59" s="70" t="n">
        <f aca="false">T57*Assumptions!$I$70</f>
        <v>98054.9318486723</v>
      </c>
      <c r="U59" s="70" t="n">
        <f aca="false">U57*Assumptions!$I$70</f>
        <v>105763.510668789</v>
      </c>
      <c r="V59" s="70" t="n">
        <f aca="false">V57*Assumptions!$I$70</f>
        <v>113664.292548755</v>
      </c>
      <c r="W59" s="70" t="n">
        <f aca="false">W57*Assumptions!$I$70</f>
        <v>121799.649416024</v>
      </c>
      <c r="X59" s="70" t="n">
        <f aca="false">X57*Assumptions!$I$70</f>
        <v>130211.594814623</v>
      </c>
      <c r="Y59" s="70" t="n">
        <f aca="false">Y57*Assumptions!$I$70</f>
        <v>138942.61294624</v>
      </c>
      <c r="Z59" s="70" t="n">
        <f aca="false">Z57*Assumptions!$I$70</f>
        <v>148036.434255195</v>
      </c>
      <c r="AA59" s="70" t="n">
        <f aca="false">AA57*Assumptions!$I$70</f>
        <v>157538.771619067</v>
      </c>
      <c r="AB59" s="70" t="n">
        <f aca="false">AB57*Assumptions!$I$70</f>
        <v>166951.216716345</v>
      </c>
      <c r="AC59" s="70" t="n">
        <f aca="false">AC57*Assumptions!$I$70</f>
        <v>175981.443784467</v>
      </c>
      <c r="AD59" s="70" t="n">
        <f aca="false">AD57*Assumptions!$I$70</f>
        <v>184730.436719451</v>
      </c>
      <c r="AE59" s="70" t="n">
        <f aca="false">AE57*Assumptions!$I$70</f>
        <v>193293.472011841</v>
      </c>
      <c r="AF59" s="70" t="n">
        <f aca="false">AF57*Assumptions!$I$70</f>
        <v>201760.330965736</v>
      </c>
      <c r="AG59" s="70" t="n">
        <f aca="false">AG57*Assumptions!$I$70</f>
        <v>210216.186493349</v>
      </c>
      <c r="AH59" s="70" t="n">
        <f aca="false">AH57*Assumptions!$I$70</f>
        <v>218742.707584541</v>
      </c>
      <c r="AI59" s="70" t="n">
        <f aca="false">AI57*Assumptions!$I$70</f>
        <v>227419.108385507</v>
      </c>
      <c r="AJ59" s="70" t="n">
        <f aca="false">AJ57*Assumptions!$I$70</f>
        <v>236323.119696893</v>
      </c>
      <c r="AK59" s="70" t="n">
        <f aca="false">AK57*Assumptions!$I$70</f>
        <v>245531.893375439</v>
      </c>
      <c r="AL59" s="70" t="n">
        <f aca="false">AL57*Assumptions!$I$70</f>
        <v>255122.85317904</v>
      </c>
      <c r="AM59" s="70" t="n">
        <f aca="false">SUM(C59:AL59)</f>
        <v>3903148.85501388</v>
      </c>
    </row>
    <row r="60" customFormat="false" ht="15" hidden="false" customHeight="false" outlineLevel="0" collapsed="false">
      <c r="A60" s="10" t="s">
        <v>795</v>
      </c>
      <c r="B60" s="9" t="s">
        <v>97</v>
      </c>
      <c r="C60" s="70" t="n">
        <f aca="false">C53*Assumptions!$I$71</f>
        <v>0</v>
      </c>
      <c r="D60" s="70" t="n">
        <f aca="false">D53*Assumptions!$I$71</f>
        <v>0</v>
      </c>
      <c r="E60" s="70" t="n">
        <f aca="false">E53*Assumptions!$I$71</f>
        <v>0</v>
      </c>
      <c r="F60" s="70" t="n">
        <f aca="false">F53*Assumptions!$I$71</f>
        <v>0</v>
      </c>
      <c r="G60" s="70" t="n">
        <f aca="false">G53*Assumptions!$I$71</f>
        <v>0</v>
      </c>
      <c r="H60" s="70" t="n">
        <f aca="false">H53*Assumptions!$I$71</f>
        <v>0</v>
      </c>
      <c r="I60" s="70" t="n">
        <f aca="false">I53*Assumptions!$I$71</f>
        <v>7192.21166696211</v>
      </c>
      <c r="J60" s="70" t="n">
        <f aca="false">J53*Assumptions!$I$71</f>
        <v>7613.8203379584</v>
      </c>
      <c r="K60" s="70" t="n">
        <f aca="false">K53*Assumptions!$I$71</f>
        <v>8053.76886458709</v>
      </c>
      <c r="L60" s="70" t="n">
        <f aca="false">L53*Assumptions!$I$71</f>
        <v>8520.86730012786</v>
      </c>
      <c r="M60" s="70" t="n">
        <f aca="false">M53*Assumptions!$I$71</f>
        <v>9019.85710662868</v>
      </c>
      <c r="N60" s="70" t="n">
        <f aca="false">N53*Assumptions!$I$71</f>
        <v>9551.99452002058</v>
      </c>
      <c r="O60" s="70" t="n">
        <f aca="false">O53*Assumptions!$I$71</f>
        <v>10117.8941355283</v>
      </c>
      <c r="P60" s="70" t="n">
        <f aca="false">P53*Assumptions!$I$71</f>
        <v>10718.1304527906</v>
      </c>
      <c r="Q60" s="70" t="n">
        <f aca="false">Q53*Assumptions!$I$71</f>
        <v>11353.4433204795</v>
      </c>
      <c r="R60" s="70" t="n">
        <f aca="false">R53*Assumptions!$I$71</f>
        <v>12024.8427568345</v>
      </c>
      <c r="S60" s="70" t="n">
        <f aca="false">S53*Assumptions!$I$71</f>
        <v>12733.6752312195</v>
      </c>
      <c r="T60" s="70" t="n">
        <f aca="false">T53*Assumptions!$I$71</f>
        <v>13481.6703855223</v>
      </c>
      <c r="U60" s="70" t="n">
        <f aca="false">U53*Assumptions!$I$71</f>
        <v>14270.9773443042</v>
      </c>
      <c r="V60" s="70" t="n">
        <f aca="false">V53*Assumptions!$I$71</f>
        <v>15104.1960981</v>
      </c>
      <c r="W60" s="70" t="n">
        <f aca="false">W53*Assumptions!$I$71</f>
        <v>15984.4075334159</v>
      </c>
      <c r="X60" s="70" t="n">
        <f aca="false">X53*Assumptions!$I$71</f>
        <v>16915.2045359861</v>
      </c>
      <c r="Y60" s="70" t="n">
        <f aca="false">Y53*Assumptions!$I$71</f>
        <v>17900.7258703464</v>
      </c>
      <c r="Z60" s="70" t="n">
        <f aca="false">Z53*Assumptions!$I$71</f>
        <v>18945.6940757653</v>
      </c>
      <c r="AA60" s="70" t="n">
        <f aca="false">AA53*Assumptions!$I$71</f>
        <v>20055.4583241964</v>
      </c>
      <c r="AB60" s="70" t="n">
        <f aca="false">AB53*Assumptions!$I$71</f>
        <v>20854.5572017971</v>
      </c>
      <c r="AC60" s="70" t="n">
        <f aca="false">AC53*Assumptions!$I$71</f>
        <v>21441.5616183846</v>
      </c>
      <c r="AD60" s="70" t="n">
        <f aca="false">AD53*Assumptions!$I$71</f>
        <v>22064.3524881055</v>
      </c>
      <c r="AE60" s="70" t="n">
        <f aca="false">AE53*Assumptions!$I$71</f>
        <v>22728.1067395657</v>
      </c>
      <c r="AF60" s="70" t="n">
        <f aca="false">AF53*Assumptions!$I$71</f>
        <v>23437.6317245407</v>
      </c>
      <c r="AG60" s="70" t="n">
        <f aca="false">AG53*Assumptions!$I$71</f>
        <v>24197.8550842169</v>
      </c>
      <c r="AH60" s="70" t="n">
        <f aca="false">AH53*Assumptions!$I$71</f>
        <v>25014.0570382473</v>
      </c>
      <c r="AI60" s="70" t="n">
        <f aca="false">AI53*Assumptions!$I$71</f>
        <v>25891.9319108328</v>
      </c>
      <c r="AJ60" s="70" t="n">
        <f aca="false">AJ53*Assumptions!$I$71</f>
        <v>26837.6291524272</v>
      </c>
      <c r="AK60" s="70" t="n">
        <f aca="false">AK53*Assumptions!$I$71</f>
        <v>27857.7946395498</v>
      </c>
      <c r="AL60" s="70" t="n">
        <f aca="false">AL53*Assumptions!$I$71</f>
        <v>28959.6153354314</v>
      </c>
      <c r="AM60" s="70" t="n">
        <f aca="false">SUM(C60:AL60)</f>
        <v>508843.932793873</v>
      </c>
    </row>
    <row r="61" customFormat="false" ht="15" hidden="false" customHeight="false" outlineLevel="0" collapsed="false">
      <c r="A61" s="10" t="s">
        <v>796</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17501.3771996463</v>
      </c>
      <c r="J61" s="70" t="n">
        <f aca="false">J59+J60</f>
        <v>27496.2849207395</v>
      </c>
      <c r="K61" s="70" t="n">
        <f aca="false">K59+K60</f>
        <v>36895.6166224733</v>
      </c>
      <c r="L61" s="70" t="n">
        <f aca="false">L59+L60</f>
        <v>45826.9075325433</v>
      </c>
      <c r="M61" s="70" t="n">
        <f aca="false">M59+M60</f>
        <v>54404.9863271092</v>
      </c>
      <c r="N61" s="70" t="n">
        <f aca="false">N59+N60</f>
        <v>62728.6857806458</v>
      </c>
      <c r="O61" s="70" t="n">
        <f aca="false">O59+O60</f>
        <v>70884.393024831</v>
      </c>
      <c r="P61" s="70" t="n">
        <f aca="false">P59+P60</f>
        <v>78948.1281417642</v>
      </c>
      <c r="Q61" s="70" t="n">
        <f aca="false">Q59+Q60</f>
        <v>86987.3291204457</v>
      </c>
      <c r="R61" s="70" t="n">
        <f aca="false">R59+R60</f>
        <v>95062.4811001865</v>
      </c>
      <c r="S61" s="70" t="n">
        <f aca="false">S59+S60</f>
        <v>103228.603906661</v>
      </c>
      <c r="T61" s="70" t="n">
        <f aca="false">T59+T60</f>
        <v>111536.602234195</v>
      </c>
      <c r="U61" s="70" t="n">
        <f aca="false">U59+U60</f>
        <v>120034.488013093</v>
      </c>
      <c r="V61" s="70" t="n">
        <f aca="false">V59+V60</f>
        <v>128768.488646855</v>
      </c>
      <c r="W61" s="70" t="n">
        <f aca="false">W59+W60</f>
        <v>137784.056949439</v>
      </c>
      <c r="X61" s="70" t="n">
        <f aca="false">X59+X60</f>
        <v>147126.799350609</v>
      </c>
      <c r="Y61" s="70" t="n">
        <f aca="false">Y59+Y60</f>
        <v>156843.338816586</v>
      </c>
      <c r="Z61" s="70" t="n">
        <f aca="false">Z59+Z60</f>
        <v>166982.128330961</v>
      </c>
      <c r="AA61" s="70" t="n">
        <f aca="false">AA59+AA60</f>
        <v>177594.229943264</v>
      </c>
      <c r="AB61" s="70" t="n">
        <f aca="false">AB59+AB60</f>
        <v>187805.773918142</v>
      </c>
      <c r="AC61" s="70" t="n">
        <f aca="false">AC59+AC60</f>
        <v>197423.005402852</v>
      </c>
      <c r="AD61" s="70" t="n">
        <f aca="false">AD59+AD60</f>
        <v>206794.789207556</v>
      </c>
      <c r="AE61" s="70" t="n">
        <f aca="false">AE59+AE60</f>
        <v>216021.578751406</v>
      </c>
      <c r="AF61" s="70" t="n">
        <f aca="false">AF59+AF60</f>
        <v>225197.962690276</v>
      </c>
      <c r="AG61" s="70" t="n">
        <f aca="false">AG59+AG60</f>
        <v>234414.041577566</v>
      </c>
      <c r="AH61" s="70" t="n">
        <f aca="false">AH59+AH60</f>
        <v>243756.764622788</v>
      </c>
      <c r="AI61" s="70" t="n">
        <f aca="false">AI59+AI60</f>
        <v>253311.04029634</v>
      </c>
      <c r="AJ61" s="70" t="n">
        <f aca="false">AJ59+AJ60</f>
        <v>263160.748849321</v>
      </c>
      <c r="AK61" s="70" t="n">
        <f aca="false">AK59+AK60</f>
        <v>273389.688014988</v>
      </c>
      <c r="AL61" s="70" t="n">
        <f aca="false">AL59+AL60</f>
        <v>284082.468514471</v>
      </c>
      <c r="AM61" s="70" t="n">
        <f aca="false">SUM(C61:AL61)</f>
        <v>4411992.78780775</v>
      </c>
    </row>
    <row r="62" customFormat="false" ht="15" hidden="false" customHeight="false" outlineLevel="0" collapsed="false">
      <c r="A62" s="10" t="s">
        <v>797</v>
      </c>
      <c r="B62" s="9" t="s">
        <v>97</v>
      </c>
      <c r="C62" s="70" t="n">
        <f aca="false">-C61*Assumptions!$I$80</f>
        <v>-0</v>
      </c>
      <c r="D62" s="70" t="n">
        <f aca="false">-D61*Assumptions!$I$80</f>
        <v>-0</v>
      </c>
      <c r="E62" s="70" t="n">
        <f aca="false">-E61*Assumptions!$I$80</f>
        <v>-0</v>
      </c>
      <c r="F62" s="70" t="n">
        <f aca="false">-F61*Assumptions!$I$80</f>
        <v>-0</v>
      </c>
      <c r="G62" s="70" t="n">
        <f aca="false">-G61*Assumptions!$I$80</f>
        <v>-0</v>
      </c>
      <c r="H62" s="70" t="n">
        <f aca="false">-H61*Assumptions!$I$80</f>
        <v>-0</v>
      </c>
      <c r="I62" s="70" t="n">
        <f aca="false">-I61*Assumptions!$I$80</f>
        <v>-525.041315989388</v>
      </c>
      <c r="J62" s="70" t="n">
        <f aca="false">-J61*Assumptions!$I$80</f>
        <v>-824.888547622184</v>
      </c>
      <c r="K62" s="70" t="n">
        <f aca="false">-K61*Assumptions!$I$80</f>
        <v>-1106.8684986742</v>
      </c>
      <c r="L62" s="70" t="n">
        <f aca="false">-L61*Assumptions!$I$80</f>
        <v>-1374.8072259763</v>
      </c>
      <c r="M62" s="70" t="n">
        <f aca="false">-M61*Assumptions!$I$80</f>
        <v>-1632.14958981328</v>
      </c>
      <c r="N62" s="70" t="n">
        <f aca="false">-N61*Assumptions!$I$80</f>
        <v>-1881.86057341938</v>
      </c>
      <c r="O62" s="70" t="n">
        <f aca="false">-O61*Assumptions!$I$80</f>
        <v>-2126.53179074493</v>
      </c>
      <c r="P62" s="70" t="n">
        <f aca="false">-P61*Assumptions!$I$80</f>
        <v>-2368.44384425293</v>
      </c>
      <c r="Q62" s="70" t="n">
        <f aca="false">-Q61*Assumptions!$I$80</f>
        <v>-2609.61987361337</v>
      </c>
      <c r="R62" s="70" t="n">
        <f aca="false">-R61*Assumptions!$I$80</f>
        <v>-2851.8744330056</v>
      </c>
      <c r="S62" s="70" t="n">
        <f aca="false">-S61*Assumptions!$I$80</f>
        <v>-3096.85811719983</v>
      </c>
      <c r="T62" s="70" t="n">
        <f aca="false">-T61*Assumptions!$I$80</f>
        <v>-3346.09806702584</v>
      </c>
      <c r="U62" s="70" t="n">
        <f aca="false">-U61*Assumptions!$I$80</f>
        <v>-3601.0346403928</v>
      </c>
      <c r="V62" s="70" t="n">
        <f aca="false">-V61*Assumptions!$I$80</f>
        <v>-3863.05465940565</v>
      </c>
      <c r="W62" s="70" t="n">
        <f aca="false">-W61*Assumptions!$I$80</f>
        <v>-4133.52170848318</v>
      </c>
      <c r="X62" s="70" t="n">
        <f aca="false">-X61*Assumptions!$I$80</f>
        <v>-4413.80398051827</v>
      </c>
      <c r="Y62" s="70" t="n">
        <f aca="false">-Y61*Assumptions!$I$80</f>
        <v>-4705.30016449758</v>
      </c>
      <c r="Z62" s="70" t="n">
        <f aca="false">-Z61*Assumptions!$I$80</f>
        <v>-5009.46384992882</v>
      </c>
      <c r="AA62" s="70" t="n">
        <f aca="false">-AA61*Assumptions!$I$80</f>
        <v>-5327.82689829791</v>
      </c>
      <c r="AB62" s="70" t="n">
        <f aca="false">-AB61*Assumptions!$I$80</f>
        <v>-5634.17321754425</v>
      </c>
      <c r="AC62" s="70" t="n">
        <f aca="false">-AC61*Assumptions!$I$80</f>
        <v>-5922.69016208555</v>
      </c>
      <c r="AD62" s="70" t="n">
        <f aca="false">-AD61*Assumptions!$I$80</f>
        <v>-6203.84367622669</v>
      </c>
      <c r="AE62" s="70" t="n">
        <f aca="false">-AE61*Assumptions!$I$80</f>
        <v>-6480.64736254219</v>
      </c>
      <c r="AF62" s="70" t="n">
        <f aca="false">-AF61*Assumptions!$I$80</f>
        <v>-6755.93888070829</v>
      </c>
      <c r="AG62" s="70" t="n">
        <f aca="false">-AG61*Assumptions!$I$80</f>
        <v>-7032.42124732698</v>
      </c>
      <c r="AH62" s="70" t="n">
        <f aca="false">-AH61*Assumptions!$I$80</f>
        <v>-7312.70293868365</v>
      </c>
      <c r="AI62" s="70" t="n">
        <f aca="false">-AI61*Assumptions!$I$80</f>
        <v>-7599.3312088902</v>
      </c>
      <c r="AJ62" s="70" t="n">
        <f aca="false">-AJ61*Assumptions!$I$80</f>
        <v>-7894.82246547962</v>
      </c>
      <c r="AK62" s="70" t="n">
        <f aca="false">-AK61*Assumptions!$I$80</f>
        <v>-8201.69064044965</v>
      </c>
      <c r="AL62" s="70" t="n">
        <f aca="false">-AL61*Assumptions!$I$80</f>
        <v>-8522.47405543414</v>
      </c>
      <c r="AM62" s="70" t="n">
        <f aca="false">SUM(C62:AL62)</f>
        <v>-132359.783634233</v>
      </c>
    </row>
    <row r="63" customFormat="false" ht="15" hidden="false" customHeight="false" outlineLevel="0" collapsed="false">
      <c r="A63" s="37" t="s">
        <v>798</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16976.3358836569</v>
      </c>
      <c r="J63" s="53" t="n">
        <f aca="false">J61+J62</f>
        <v>26671.3963731173</v>
      </c>
      <c r="K63" s="53" t="n">
        <f aca="false">K61+K62</f>
        <v>35788.7481237991</v>
      </c>
      <c r="L63" s="53" t="n">
        <f aca="false">L61+L62</f>
        <v>44452.100306567</v>
      </c>
      <c r="M63" s="53" t="n">
        <f aca="false">M61+M62</f>
        <v>52772.8367372959</v>
      </c>
      <c r="N63" s="53" t="n">
        <f aca="false">N61+N62</f>
        <v>60846.8252072265</v>
      </c>
      <c r="O63" s="53" t="n">
        <f aca="false">O61+O62</f>
        <v>68757.861234086</v>
      </c>
      <c r="P63" s="53" t="n">
        <f aca="false">P61+P62</f>
        <v>76579.6842975113</v>
      </c>
      <c r="Q63" s="53" t="n">
        <f aca="false">Q61+Q62</f>
        <v>84377.7092468324</v>
      </c>
      <c r="R63" s="53" t="n">
        <f aca="false">R61+R62</f>
        <v>92210.6066671809</v>
      </c>
      <c r="S63" s="53" t="n">
        <f aca="false">S61+S62</f>
        <v>100131.745789461</v>
      </c>
      <c r="T63" s="53" t="n">
        <f aca="false">T61+T62</f>
        <v>108190.504167169</v>
      </c>
      <c r="U63" s="53" t="n">
        <f aca="false">U61+U62</f>
        <v>116433.453372701</v>
      </c>
      <c r="V63" s="53" t="n">
        <f aca="false">V61+V62</f>
        <v>124905.433987449</v>
      </c>
      <c r="W63" s="53" t="n">
        <f aca="false">W61+W62</f>
        <v>133650.535240956</v>
      </c>
      <c r="X63" s="53" t="n">
        <f aca="false">X61+X62</f>
        <v>142712.995370091</v>
      </c>
      <c r="Y63" s="53" t="n">
        <f aca="false">Y61+Y62</f>
        <v>152138.038652089</v>
      </c>
      <c r="Z63" s="53" t="n">
        <f aca="false">Z61+Z62</f>
        <v>161972.664481032</v>
      </c>
      <c r="AA63" s="53" t="n">
        <f aca="false">AA61+AA62</f>
        <v>172266.403044966</v>
      </c>
      <c r="AB63" s="53" t="n">
        <f aca="false">AB61+AB62</f>
        <v>182171.600700597</v>
      </c>
      <c r="AC63" s="53" t="n">
        <f aca="false">AC61+AC62</f>
        <v>191500.315240766</v>
      </c>
      <c r="AD63" s="53" t="n">
        <f aca="false">AD61+AD62</f>
        <v>200590.94553133</v>
      </c>
      <c r="AE63" s="53" t="n">
        <f aca="false">AE61+AE62</f>
        <v>209540.931388864</v>
      </c>
      <c r="AF63" s="53" t="n">
        <f aca="false">AF61+AF62</f>
        <v>218442.023809568</v>
      </c>
      <c r="AG63" s="53" t="n">
        <f aca="false">AG61+AG62</f>
        <v>227381.620330239</v>
      </c>
      <c r="AH63" s="53" t="n">
        <f aca="false">AH61+AH62</f>
        <v>236444.061684105</v>
      </c>
      <c r="AI63" s="53" t="n">
        <f aca="false">AI61+AI62</f>
        <v>245711.70908745</v>
      </c>
      <c r="AJ63" s="53" t="n">
        <f aca="false">AJ61+AJ62</f>
        <v>255265.926383841</v>
      </c>
      <c r="AK63" s="53" t="n">
        <f aca="false">AK61+AK62</f>
        <v>265187.997374539</v>
      </c>
      <c r="AL63" s="53" t="n">
        <f aca="false">AL61+AL62</f>
        <v>275559.994459037</v>
      </c>
      <c r="AM63" s="53" t="n">
        <f aca="false">SUM(C63:AL63)</f>
        <v>4279633.00417352</v>
      </c>
    </row>
    <row r="64" customFormat="false" ht="15" hidden="false" customHeight="false" outlineLevel="0" collapsed="false">
      <c r="A64" s="10" t="s">
        <v>799</v>
      </c>
      <c r="B64" s="9" t="s">
        <v>97</v>
      </c>
      <c r="C64" s="70" t="n">
        <f aca="false">-C57*Assumptions!$I$73</f>
        <v>-0</v>
      </c>
      <c r="D64" s="70" t="n">
        <f aca="false">-D57*Assumptions!$I$73</f>
        <v>-0</v>
      </c>
      <c r="E64" s="70" t="n">
        <f aca="false">-E57*Assumptions!$I$73</f>
        <v>-0</v>
      </c>
      <c r="F64" s="70" t="n">
        <f aca="false">-F57*Assumptions!$I$73</f>
        <v>-0</v>
      </c>
      <c r="G64" s="70" t="n">
        <f aca="false">-G57*Assumptions!$I$73</f>
        <v>-0</v>
      </c>
      <c r="H64" s="70" t="n">
        <f aca="false">-H57*Assumptions!$I$73</f>
        <v>-0</v>
      </c>
      <c r="I64" s="70" t="n">
        <f aca="false">-I57*Assumptions!$I$73</f>
        <v>-3643.39986697271</v>
      </c>
      <c r="J64" s="70" t="n">
        <f aca="false">-J57*Assumptions!$I$73</f>
        <v>-7026.73447102304</v>
      </c>
      <c r="K64" s="70" t="n">
        <f aca="false">-K57*Assumptions!$I$73</f>
        <v>-10193.1028220642</v>
      </c>
      <c r="L64" s="70" t="n">
        <f aca="false">-L57*Assumptions!$I$73</f>
        <v>-13184.4640178818</v>
      </c>
      <c r="M64" s="70" t="n">
        <f aca="false">-M57*Assumptions!$I$73</f>
        <v>-16039.7243831417</v>
      </c>
      <c r="N64" s="70" t="n">
        <f aca="false">-N57*Assumptions!$I$73</f>
        <v>-18793.3687989358</v>
      </c>
      <c r="O64" s="70" t="n">
        <f aca="false">-O57*Assumptions!$I$73</f>
        <v>-21475.7104508379</v>
      </c>
      <c r="P64" s="70" t="n">
        <f aca="false">-P57*Assumptions!$I$73</f>
        <v>-24113.4128378702</v>
      </c>
      <c r="Q64" s="70" t="n">
        <f aca="false">-Q57*Assumptions!$I$73</f>
        <v>-26730.0479935624</v>
      </c>
      <c r="R64" s="70" t="n">
        <f aca="false">-R57*Assumptions!$I$73</f>
        <v>-29346.6352378111</v>
      </c>
      <c r="S64" s="70" t="n">
        <f aca="false">-S57*Assumptions!$I$73</f>
        <v>-31982.1434676259</v>
      </c>
      <c r="T64" s="70" t="n">
        <f aca="false">-T57*Assumptions!$I$73</f>
        <v>-34653.9518180047</v>
      </c>
      <c r="U64" s="70" t="n">
        <f aca="false">-U57*Assumptions!$I$73</f>
        <v>-37378.2688307368</v>
      </c>
      <c r="V64" s="70" t="n">
        <f aca="false">-V57*Assumptions!$I$73</f>
        <v>-40170.5130292789</v>
      </c>
      <c r="W64" s="70" t="n">
        <f aca="false">-W57*Assumptions!$I$73</f>
        <v>-43045.6592313658</v>
      </c>
      <c r="X64" s="70" t="n">
        <f aca="false">-X57*Assumptions!$I$73</f>
        <v>-46018.5555971358</v>
      </c>
      <c r="Y64" s="70" t="n">
        <f aca="false">-Y57*Assumptions!$I$73</f>
        <v>-49104.2166235706</v>
      </c>
      <c r="Z64" s="70" t="n">
        <f aca="false">-Z57*Assumptions!$I$73</f>
        <v>-52318.097246816</v>
      </c>
      <c r="AA64" s="70" t="n">
        <f aca="false">-AA57*Assumptions!$I$73</f>
        <v>-55676.3530219997</v>
      </c>
      <c r="AB64" s="70" t="n">
        <f aca="false">-AB57*Assumptions!$I$73</f>
        <v>-59002.8396427242</v>
      </c>
      <c r="AC64" s="70" t="n">
        <f aca="false">-AC57*Assumptions!$I$73</f>
        <v>-62194.245192904</v>
      </c>
      <c r="AD64" s="70" t="n">
        <f aca="false">-AD57*Assumptions!$I$73</f>
        <v>-65286.2587602878</v>
      </c>
      <c r="AE64" s="70" t="n">
        <f aca="false">-AE57*Assumptions!$I$73</f>
        <v>-68312.5523575983</v>
      </c>
      <c r="AF64" s="70" t="n">
        <f aca="false">-AF57*Assumptions!$I$73</f>
        <v>-71304.8559236335</v>
      </c>
      <c r="AG64" s="70" t="n">
        <f aca="false">-AG57*Assumptions!$I$73</f>
        <v>-74293.2707285732</v>
      </c>
      <c r="AH64" s="70" t="n">
        <f aca="false">-AH57*Assumptions!$I$73</f>
        <v>-77306.6597085928</v>
      </c>
      <c r="AI64" s="70" t="n">
        <f aca="false">-AI57*Assumptions!$I$73</f>
        <v>-80373.0182245969</v>
      </c>
      <c r="AJ64" s="70" t="n">
        <f aca="false">-AJ57*Assumptions!$I$73</f>
        <v>-83519.8174029182</v>
      </c>
      <c r="AK64" s="70" t="n">
        <f aca="false">-AK57*Assumptions!$I$73</f>
        <v>-86774.3237632072</v>
      </c>
      <c r="AL64" s="70" t="n">
        <f aca="false">-AL57*Assumptions!$I$73</f>
        <v>-90163.8999186968</v>
      </c>
      <c r="AM64" s="70" t="n">
        <f aca="false">SUM(C64:AL64)</f>
        <v>-1379426.10137037</v>
      </c>
    </row>
    <row r="65" customFormat="false" ht="15" hidden="false" customHeight="false" outlineLevel="0" collapsed="false">
      <c r="A65" s="10" t="s">
        <v>800</v>
      </c>
      <c r="B65" s="9" t="s">
        <v>97</v>
      </c>
      <c r="C65" s="70" t="n">
        <f aca="false">-C54*Assumptions!$I$74</f>
        <v>-0</v>
      </c>
      <c r="D65" s="70" t="n">
        <f aca="false">-D54*Assumptions!$I$74</f>
        <v>-0</v>
      </c>
      <c r="E65" s="70" t="n">
        <f aca="false">-E54*Assumptions!$I$74</f>
        <v>-0</v>
      </c>
      <c r="F65" s="70" t="n">
        <f aca="false">-F54*Assumptions!$I$74</f>
        <v>-0</v>
      </c>
      <c r="G65" s="70" t="n">
        <f aca="false">-G54*Assumptions!$I$74</f>
        <v>-0</v>
      </c>
      <c r="H65" s="70" t="n">
        <f aca="false">-H54*Assumptions!$I$74</f>
        <v>-0</v>
      </c>
      <c r="I65" s="70" t="n">
        <f aca="false">-I54*Assumptions!$I$74</f>
        <v>-3844.78569450822</v>
      </c>
      <c r="J65" s="70" t="n">
        <f aca="false">-J54*Assumptions!$I$74</f>
        <v>-4070.16768574928</v>
      </c>
      <c r="K65" s="70" t="n">
        <f aca="false">-K54*Assumptions!$I$74</f>
        <v>-4305.35372862842</v>
      </c>
      <c r="L65" s="70" t="n">
        <f aca="false">-L54*Assumptions!$I$74</f>
        <v>-4555.05346857683</v>
      </c>
      <c r="M65" s="70" t="n">
        <f aca="false">-M54*Assumptions!$I$74</f>
        <v>-4821.80157869608</v>
      </c>
      <c r="N65" s="70" t="n">
        <f aca="false">-N54*Assumptions!$I$74</f>
        <v>-5106.26961290592</v>
      </c>
      <c r="O65" s="70" t="n">
        <f aca="false">-O54*Assumptions!$I$74</f>
        <v>-5408.78611922989</v>
      </c>
      <c r="P65" s="70" t="n">
        <f aca="false">-P54*Assumptions!$I$74</f>
        <v>-5729.65821154266</v>
      </c>
      <c r="Q65" s="70" t="n">
        <f aca="false">-Q54*Assumptions!$I$74</f>
        <v>-6069.28139538851</v>
      </c>
      <c r="R65" s="70" t="n">
        <f aca="false">-R54*Assumptions!$I$74</f>
        <v>-6428.19560255186</v>
      </c>
      <c r="S65" s="70" t="n">
        <f aca="false">-S54*Assumptions!$I$74</f>
        <v>-6807.12062360444</v>
      </c>
      <c r="T65" s="70" t="n">
        <f aca="false">-T54*Assumptions!$I$74</f>
        <v>-7206.98108405719</v>
      </c>
      <c r="U65" s="70" t="n">
        <f aca="false">-U54*Assumptions!$I$74</f>
        <v>-7628.92585490433</v>
      </c>
      <c r="V65" s="70" t="n">
        <f aca="false">-V54*Assumptions!$I$74</f>
        <v>-8074.34482939108</v>
      </c>
      <c r="W65" s="70" t="n">
        <f aca="false">-W54*Assumptions!$I$74</f>
        <v>-8544.88497633792</v>
      </c>
      <c r="X65" s="70" t="n">
        <f aca="false">-X54*Assumptions!$I$74</f>
        <v>-9042.46696720342</v>
      </c>
      <c r="Y65" s="70" t="n">
        <f aca="false">-Y54*Assumptions!$I$74</f>
        <v>-9569.30328730046</v>
      </c>
      <c r="Z65" s="70" t="n">
        <f aca="false">-Z54*Assumptions!$I$74</f>
        <v>-10127.9184940617</v>
      </c>
      <c r="AA65" s="70" t="n">
        <f aca="false">-AA54*Assumptions!$I$74</f>
        <v>-10721.172127884</v>
      </c>
      <c r="AB65" s="70" t="n">
        <f aca="false">-AB54*Assumptions!$I$74</f>
        <v>-11148.351426181</v>
      </c>
      <c r="AC65" s="70" t="n">
        <f aca="false">-AC54*Assumptions!$I$74</f>
        <v>-11462.1500583703</v>
      </c>
      <c r="AD65" s="70" t="n">
        <f aca="false">-AD54*Assumptions!$I$74</f>
        <v>-11795.0792792347</v>
      </c>
      <c r="AE65" s="70" t="n">
        <f aca="false">-AE54*Assumptions!$I$74</f>
        <v>-12149.9065519644</v>
      </c>
      <c r="AF65" s="70" t="n">
        <f aca="false">-AF54*Assumptions!$I$74</f>
        <v>-12529.201772746</v>
      </c>
      <c r="AG65" s="70" t="n">
        <f aca="false">-AG54*Assumptions!$I$74</f>
        <v>-12935.5991416305</v>
      </c>
      <c r="AH65" s="70" t="n">
        <f aca="false">-AH54*Assumptions!$I$74</f>
        <v>-13371.9213387512</v>
      </c>
      <c r="AI65" s="70" t="n">
        <f aca="false">-AI54*Assumptions!$I$74</f>
        <v>-13841.2124147062</v>
      </c>
      <c r="AJ65" s="70" t="n">
        <f aca="false">-AJ54*Assumptions!$I$74</f>
        <v>-14346.7597197891</v>
      </c>
      <c r="AK65" s="70" t="n">
        <f aca="false">-AK54*Assumptions!$I$74</f>
        <v>-14892.1159818882</v>
      </c>
      <c r="AL65" s="70" t="n">
        <f aca="false">-AL54*Assumptions!$I$74</f>
        <v>-15481.1231810086</v>
      </c>
      <c r="AM65" s="70" t="n">
        <f aca="false">SUM(C65:AL65)</f>
        <v>-272015.892208792</v>
      </c>
    </row>
    <row r="66" customFormat="false" ht="15" hidden="false" customHeight="false" outlineLevel="0" collapsed="false">
      <c r="A66" s="10" t="s">
        <v>801</v>
      </c>
      <c r="B66" s="9" t="s">
        <v>97</v>
      </c>
      <c r="C66" s="70" t="n">
        <f aca="false">-C57*Assumptions!$I$75</f>
        <v>-0</v>
      </c>
      <c r="D66" s="70" t="n">
        <f aca="false">-D57*Assumptions!$I$75</f>
        <v>-0</v>
      </c>
      <c r="E66" s="70" t="n">
        <f aca="false">-E57*Assumptions!$I$75</f>
        <v>-0</v>
      </c>
      <c r="F66" s="70" t="n">
        <f aca="false">-F57*Assumptions!$I$75</f>
        <v>-0</v>
      </c>
      <c r="G66" s="70" t="n">
        <f aca="false">-G57*Assumptions!$I$75</f>
        <v>-0</v>
      </c>
      <c r="H66" s="70" t="n">
        <f aca="false">-H57*Assumptions!$I$75</f>
        <v>-0</v>
      </c>
      <c r="I66" s="70" t="n">
        <f aca="false">-I57*Assumptions!$I$75</f>
        <v>-331.218169724792</v>
      </c>
      <c r="J66" s="70" t="n">
        <f aca="false">-J57*Assumptions!$I$75</f>
        <v>-638.794042820276</v>
      </c>
      <c r="K66" s="70" t="n">
        <f aca="false">-K57*Assumptions!$I$75</f>
        <v>-926.645711096745</v>
      </c>
      <c r="L66" s="70" t="n">
        <f aca="false">-L57*Assumptions!$I$75</f>
        <v>-1198.58763798925</v>
      </c>
      <c r="M66" s="70" t="n">
        <f aca="false">-M57*Assumptions!$I$75</f>
        <v>-1458.15676210379</v>
      </c>
      <c r="N66" s="70" t="n">
        <f aca="false">-N57*Assumptions!$I$75</f>
        <v>-1708.48807263053</v>
      </c>
      <c r="O66" s="70" t="n">
        <f aca="false">-O57*Assumptions!$I$75</f>
        <v>-1952.33731371253</v>
      </c>
      <c r="P66" s="70" t="n">
        <f aca="false">-P57*Assumptions!$I$75</f>
        <v>-2192.12843980638</v>
      </c>
      <c r="Q66" s="70" t="n">
        <f aca="false">-Q57*Assumptions!$I$75</f>
        <v>-2430.00436305113</v>
      </c>
      <c r="R66" s="70" t="n">
        <f aca="false">-R57*Assumptions!$I$75</f>
        <v>-2667.8759307101</v>
      </c>
      <c r="S66" s="70" t="n">
        <f aca="false">-S57*Assumptions!$I$75</f>
        <v>-2907.46758796599</v>
      </c>
      <c r="T66" s="70" t="n">
        <f aca="false">-T57*Assumptions!$I$75</f>
        <v>-3150.35925618224</v>
      </c>
      <c r="U66" s="70" t="n">
        <f aca="false">-U57*Assumptions!$I$75</f>
        <v>-3398.02443915789</v>
      </c>
      <c r="V66" s="70" t="n">
        <f aca="false">-V57*Assumptions!$I$75</f>
        <v>-3651.86482084354</v>
      </c>
      <c r="W66" s="70" t="n">
        <f aca="false">-W57*Assumptions!$I$75</f>
        <v>-3913.24174830598</v>
      </c>
      <c r="X66" s="70" t="n">
        <f aca="false">-X57*Assumptions!$I$75</f>
        <v>-4183.50505428507</v>
      </c>
      <c r="Y66" s="70" t="n">
        <f aca="false">-Y57*Assumptions!$I$75</f>
        <v>-4464.01969305188</v>
      </c>
      <c r="Z66" s="70" t="n">
        <f aca="false">-Z57*Assumptions!$I$75</f>
        <v>-4756.19065880146</v>
      </c>
      <c r="AA66" s="70" t="n">
        <f aca="false">-AA57*Assumptions!$I$75</f>
        <v>-5061.48663836361</v>
      </c>
      <c r="AB66" s="70" t="n">
        <f aca="false">-AB57*Assumptions!$I$75</f>
        <v>-5363.89451297492</v>
      </c>
      <c r="AC66" s="70" t="n">
        <f aca="false">-AC57*Assumptions!$I$75</f>
        <v>-5654.022290264</v>
      </c>
      <c r="AD66" s="70" t="n">
        <f aca="false">-AD57*Assumptions!$I$75</f>
        <v>-5935.11443275344</v>
      </c>
      <c r="AE66" s="70" t="n">
        <f aca="false">-AE57*Assumptions!$I$75</f>
        <v>-6210.23203250894</v>
      </c>
      <c r="AF66" s="70" t="n">
        <f aca="false">-AF57*Assumptions!$I$75</f>
        <v>-6482.25962942123</v>
      </c>
      <c r="AG66" s="70" t="n">
        <f aca="false">-AG57*Assumptions!$I$75</f>
        <v>-6753.93370259756</v>
      </c>
      <c r="AH66" s="70" t="n">
        <f aca="false">-AH57*Assumptions!$I$75</f>
        <v>-7027.87815532662</v>
      </c>
      <c r="AI66" s="70" t="n">
        <f aca="false">-AI57*Assumptions!$I$75</f>
        <v>-7306.6380204179</v>
      </c>
      <c r="AJ66" s="70" t="n">
        <f aca="false">-AJ57*Assumptions!$I$75</f>
        <v>-7592.71067299256</v>
      </c>
      <c r="AK66" s="70" t="n">
        <f aca="false">-AK57*Assumptions!$I$75</f>
        <v>-7888.57488756429</v>
      </c>
      <c r="AL66" s="70" t="n">
        <f aca="false">-AL57*Assumptions!$I$75</f>
        <v>-8196.71817442698</v>
      </c>
      <c r="AM66" s="70" t="n">
        <f aca="false">SUM(C66:AL66)</f>
        <v>-125402.372851852</v>
      </c>
    </row>
    <row r="67" customFormat="false" ht="15" hidden="false" customHeight="false" outlineLevel="0" collapsed="false">
      <c r="A67" s="10" t="s">
        <v>802</v>
      </c>
      <c r="B67" s="9" t="s">
        <v>97</v>
      </c>
      <c r="C67" s="70" t="n">
        <f aca="false">-C57*Assumptions!$I$76</f>
        <v>-0</v>
      </c>
      <c r="D67" s="70" t="n">
        <f aca="false">-D57*Assumptions!$I$76</f>
        <v>-0</v>
      </c>
      <c r="E67" s="70" t="n">
        <f aca="false">-E57*Assumptions!$I$76</f>
        <v>-0</v>
      </c>
      <c r="F67" s="70" t="n">
        <f aca="false">-F57*Assumptions!$I$76</f>
        <v>-0</v>
      </c>
      <c r="G67" s="70" t="n">
        <f aca="false">-G57*Assumptions!$I$76</f>
        <v>-0</v>
      </c>
      <c r="H67" s="70" t="n">
        <f aca="false">-H57*Assumptions!$I$76</f>
        <v>-0</v>
      </c>
      <c r="I67" s="70" t="n">
        <f aca="false">-I57*Assumptions!$I$76</f>
        <v>-745.240881880783</v>
      </c>
      <c r="J67" s="70" t="n">
        <f aca="false">-J57*Assumptions!$I$76</f>
        <v>-1437.28659634562</v>
      </c>
      <c r="K67" s="70" t="n">
        <f aca="false">-K57*Assumptions!$I$76</f>
        <v>-2084.95284996768</v>
      </c>
      <c r="L67" s="70" t="n">
        <f aca="false">-L57*Assumptions!$I$76</f>
        <v>-2696.82218547581</v>
      </c>
      <c r="M67" s="70" t="n">
        <f aca="false">-M57*Assumptions!$I$76</f>
        <v>-3280.85271473353</v>
      </c>
      <c r="N67" s="70" t="n">
        <f aca="false">-N57*Assumptions!$I$76</f>
        <v>-3844.09816341869</v>
      </c>
      <c r="O67" s="70" t="n">
        <f aca="false">-O57*Assumptions!$I$76</f>
        <v>-4392.7589558532</v>
      </c>
      <c r="P67" s="70" t="n">
        <f aca="false">-P57*Assumptions!$I$76</f>
        <v>-4932.28898956436</v>
      </c>
      <c r="Q67" s="70" t="n">
        <f aca="false">-Q57*Assumptions!$I$76</f>
        <v>-5467.50981686503</v>
      </c>
      <c r="R67" s="70" t="n">
        <f aca="false">-R57*Assumptions!$I$76</f>
        <v>-6002.72084409774</v>
      </c>
      <c r="S67" s="70" t="n">
        <f aca="false">-S57*Assumptions!$I$76</f>
        <v>-6541.80207292347</v>
      </c>
      <c r="T67" s="70" t="n">
        <f aca="false">-T57*Assumptions!$I$76</f>
        <v>-7088.30832641004</v>
      </c>
      <c r="U67" s="70" t="n">
        <f aca="false">-U57*Assumptions!$I$76</f>
        <v>-7645.55498810525</v>
      </c>
      <c r="V67" s="70" t="n">
        <f aca="false">-V57*Assumptions!$I$76</f>
        <v>-8216.69584689796</v>
      </c>
      <c r="W67" s="70" t="n">
        <f aca="false">-W57*Assumptions!$I$76</f>
        <v>-8804.79393368845</v>
      </c>
      <c r="X67" s="70" t="n">
        <f aca="false">-X57*Assumptions!$I$76</f>
        <v>-9412.88637214141</v>
      </c>
      <c r="Y67" s="70" t="n">
        <f aca="false">-Y57*Assumptions!$I$76</f>
        <v>-10044.0443093667</v>
      </c>
      <c r="Z67" s="70" t="n">
        <f aca="false">-Z57*Assumptions!$I$76</f>
        <v>-10701.4289823033</v>
      </c>
      <c r="AA67" s="70" t="n">
        <f aca="false">-AA57*Assumptions!$I$76</f>
        <v>-11388.3449363181</v>
      </c>
      <c r="AB67" s="70" t="n">
        <f aca="false">-AB57*Assumptions!$I$76</f>
        <v>-12068.7626541936</v>
      </c>
      <c r="AC67" s="70" t="n">
        <f aca="false">-AC57*Assumptions!$I$76</f>
        <v>-12721.550153094</v>
      </c>
      <c r="AD67" s="70" t="n">
        <f aca="false">-AD57*Assumptions!$I$76</f>
        <v>-13354.0074736952</v>
      </c>
      <c r="AE67" s="70" t="n">
        <f aca="false">-AE57*Assumptions!$I$76</f>
        <v>-13973.0220731451</v>
      </c>
      <c r="AF67" s="70" t="n">
        <f aca="false">-AF57*Assumptions!$I$76</f>
        <v>-14585.0841661978</v>
      </c>
      <c r="AG67" s="70" t="n">
        <f aca="false">-AG57*Assumptions!$I$76</f>
        <v>-15196.3508308445</v>
      </c>
      <c r="AH67" s="70" t="n">
        <f aca="false">-AH57*Assumptions!$I$76</f>
        <v>-15812.7258494849</v>
      </c>
      <c r="AI67" s="70" t="n">
        <f aca="false">-AI57*Assumptions!$I$76</f>
        <v>-16439.9355459403</v>
      </c>
      <c r="AJ67" s="70" t="n">
        <f aca="false">-AJ57*Assumptions!$I$76</f>
        <v>-17083.5990142333</v>
      </c>
      <c r="AK67" s="70" t="n">
        <f aca="false">-AK57*Assumptions!$I$76</f>
        <v>-17749.2934970197</v>
      </c>
      <c r="AL67" s="70" t="n">
        <f aca="false">-AL57*Assumptions!$I$76</f>
        <v>-18442.6158924607</v>
      </c>
      <c r="AM67" s="70" t="n">
        <f aca="false">SUM(C67:AL67)</f>
        <v>-282155.338916666</v>
      </c>
    </row>
    <row r="68" customFormat="false" ht="15" hidden="false" customHeight="false" outlineLevel="0" collapsed="false">
      <c r="A68" s="10" t="s">
        <v>803</v>
      </c>
      <c r="B68" s="9" t="s">
        <v>97</v>
      </c>
      <c r="C68" s="70" t="n">
        <f aca="false">-C57*Assumptions!$I$77</f>
        <v>-0</v>
      </c>
      <c r="D68" s="70" t="n">
        <f aca="false">-D57*Assumptions!$I$77</f>
        <v>-0</v>
      </c>
      <c r="E68" s="70" t="n">
        <f aca="false">-E57*Assumptions!$I$77</f>
        <v>-0</v>
      </c>
      <c r="F68" s="70" t="n">
        <f aca="false">-F57*Assumptions!$I$77</f>
        <v>-0</v>
      </c>
      <c r="G68" s="70" t="n">
        <f aca="false">-G57*Assumptions!$I$77</f>
        <v>-0</v>
      </c>
      <c r="H68" s="70" t="n">
        <f aca="false">-H57*Assumptions!$I$77</f>
        <v>-0</v>
      </c>
      <c r="I68" s="70" t="n">
        <f aca="false">-I57*Assumptions!$I$77</f>
        <v>-186.310220470196</v>
      </c>
      <c r="J68" s="70" t="n">
        <f aca="false">-J57*Assumptions!$I$77</f>
        <v>-359.321649086405</v>
      </c>
      <c r="K68" s="70" t="n">
        <f aca="false">-K57*Assumptions!$I$77</f>
        <v>-521.238212491919</v>
      </c>
      <c r="L68" s="70" t="n">
        <f aca="false">-L57*Assumptions!$I$77</f>
        <v>-674.205546368953</v>
      </c>
      <c r="M68" s="70" t="n">
        <f aca="false">-M57*Assumptions!$I$77</f>
        <v>-820.213178683383</v>
      </c>
      <c r="N68" s="70" t="n">
        <f aca="false">-N57*Assumptions!$I$77</f>
        <v>-961.024540854673</v>
      </c>
      <c r="O68" s="70" t="n">
        <f aca="false">-O57*Assumptions!$I$77</f>
        <v>-1098.1897389633</v>
      </c>
      <c r="P68" s="70" t="n">
        <f aca="false">-P57*Assumptions!$I$77</f>
        <v>-1233.07224739109</v>
      </c>
      <c r="Q68" s="70" t="n">
        <f aca="false">-Q57*Assumptions!$I$77</f>
        <v>-1366.87745421626</v>
      </c>
      <c r="R68" s="70" t="n">
        <f aca="false">-R57*Assumptions!$I$77</f>
        <v>-1500.68021102443</v>
      </c>
      <c r="S68" s="70" t="n">
        <f aca="false">-S57*Assumptions!$I$77</f>
        <v>-1635.45051823087</v>
      </c>
      <c r="T68" s="70" t="n">
        <f aca="false">-T57*Assumptions!$I$77</f>
        <v>-1772.07708160251</v>
      </c>
      <c r="U68" s="70" t="n">
        <f aca="false">-U57*Assumptions!$I$77</f>
        <v>-1911.38874702631</v>
      </c>
      <c r="V68" s="70" t="n">
        <f aca="false">-V57*Assumptions!$I$77</f>
        <v>-2054.17396172449</v>
      </c>
      <c r="W68" s="70" t="n">
        <f aca="false">-W57*Assumptions!$I$77</f>
        <v>-2201.19848342211</v>
      </c>
      <c r="X68" s="70" t="n">
        <f aca="false">-X57*Assumptions!$I$77</f>
        <v>-2353.22159303535</v>
      </c>
      <c r="Y68" s="70" t="n">
        <f aca="false">-Y57*Assumptions!$I$77</f>
        <v>-2511.01107734168</v>
      </c>
      <c r="Z68" s="70" t="n">
        <f aca="false">-Z57*Assumptions!$I$77</f>
        <v>-2675.35724557582</v>
      </c>
      <c r="AA68" s="70" t="n">
        <f aca="false">-AA57*Assumptions!$I$77</f>
        <v>-2847.08623407953</v>
      </c>
      <c r="AB68" s="70" t="n">
        <f aca="false">-AB57*Assumptions!$I$77</f>
        <v>-3017.1906635484</v>
      </c>
      <c r="AC68" s="70" t="n">
        <f aca="false">-AC57*Assumptions!$I$77</f>
        <v>-3180.3875382735</v>
      </c>
      <c r="AD68" s="70" t="n">
        <f aca="false">-AD57*Assumptions!$I$77</f>
        <v>-3338.50186842381</v>
      </c>
      <c r="AE68" s="70" t="n">
        <f aca="false">-AE57*Assumptions!$I$77</f>
        <v>-3493.25551828628</v>
      </c>
      <c r="AF68" s="70" t="n">
        <f aca="false">-AF57*Assumptions!$I$77</f>
        <v>-3646.27104154944</v>
      </c>
      <c r="AG68" s="70" t="n">
        <f aca="false">-AG57*Assumptions!$I$77</f>
        <v>-3799.08770771113</v>
      </c>
      <c r="AH68" s="70" t="n">
        <f aca="false">-AH57*Assumptions!$I$77</f>
        <v>-3953.18146237122</v>
      </c>
      <c r="AI68" s="70" t="n">
        <f aca="false">-AI57*Assumptions!$I$77</f>
        <v>-4109.98388648507</v>
      </c>
      <c r="AJ68" s="70" t="n">
        <f aca="false">-AJ57*Assumptions!$I$77</f>
        <v>-4270.89975355832</v>
      </c>
      <c r="AK68" s="70" t="n">
        <f aca="false">-AK57*Assumptions!$I$77</f>
        <v>-4437.32337425491</v>
      </c>
      <c r="AL68" s="70" t="n">
        <f aca="false">-AL57*Assumptions!$I$77</f>
        <v>-4610.65397311518</v>
      </c>
      <c r="AM68" s="70" t="n">
        <f aca="false">SUM(C68:AL68)</f>
        <v>-70538.8347291665</v>
      </c>
    </row>
    <row r="69" customFormat="false" ht="15" hidden="false" customHeight="false" outlineLevel="0" collapsed="false">
      <c r="A69" s="10" t="s">
        <v>804</v>
      </c>
      <c r="B69" s="9" t="s">
        <v>97</v>
      </c>
      <c r="C69" s="70" t="n">
        <f aca="false">-C63*Assumptions!$I$79</f>
        <v>-0</v>
      </c>
      <c r="D69" s="70" t="n">
        <f aca="false">-D63*Assumptions!$I$79</f>
        <v>-0</v>
      </c>
      <c r="E69" s="70" t="n">
        <f aca="false">-E63*Assumptions!$I$79</f>
        <v>-0</v>
      </c>
      <c r="F69" s="70" t="n">
        <f aca="false">-F63*Assumptions!$I$79</f>
        <v>-0</v>
      </c>
      <c r="G69" s="70" t="n">
        <f aca="false">-G63*Assumptions!$I$79</f>
        <v>-0</v>
      </c>
      <c r="H69" s="70" t="n">
        <f aca="false">-H63*Assumptions!$I$79</f>
        <v>-0</v>
      </c>
      <c r="I69" s="70" t="n">
        <f aca="false">-I63*Assumptions!$I$79</f>
        <v>-492.31374062605</v>
      </c>
      <c r="J69" s="70" t="n">
        <f aca="false">-J63*Assumptions!$I$79</f>
        <v>-773.470494820402</v>
      </c>
      <c r="K69" s="70" t="n">
        <f aca="false">-K63*Assumptions!$I$79</f>
        <v>-1037.87369559017</v>
      </c>
      <c r="L69" s="70" t="n">
        <f aca="false">-L63*Assumptions!$I$79</f>
        <v>-1289.11090889044</v>
      </c>
      <c r="M69" s="70" t="n">
        <f aca="false">-M63*Assumptions!$I$79</f>
        <v>-1530.41226538158</v>
      </c>
      <c r="N69" s="70" t="n">
        <f aca="false">-N63*Assumptions!$I$79</f>
        <v>-1764.55793100957</v>
      </c>
      <c r="O69" s="70" t="n">
        <f aca="false">-O63*Assumptions!$I$79</f>
        <v>-1993.97797578849</v>
      </c>
      <c r="P69" s="70" t="n">
        <f aca="false">-P63*Assumptions!$I$79</f>
        <v>-2220.81084462783</v>
      </c>
      <c r="Q69" s="70" t="n">
        <f aca="false">-Q63*Assumptions!$I$79</f>
        <v>-2446.95356815814</v>
      </c>
      <c r="R69" s="70" t="n">
        <f aca="false">-R63*Assumptions!$I$79</f>
        <v>-2674.10759334825</v>
      </c>
      <c r="S69" s="70" t="n">
        <f aca="false">-S63*Assumptions!$I$79</f>
        <v>-2903.82062789437</v>
      </c>
      <c r="T69" s="70" t="n">
        <f aca="false">-T63*Assumptions!$I$79</f>
        <v>-3137.52462084789</v>
      </c>
      <c r="U69" s="70" t="n">
        <f aca="false">-U63*Assumptions!$I$79</f>
        <v>-3376.57014780832</v>
      </c>
      <c r="V69" s="70" t="n">
        <f aca="false">-V63*Assumptions!$I$79</f>
        <v>-3622.25758563603</v>
      </c>
      <c r="W69" s="70" t="n">
        <f aca="false">-W63*Assumptions!$I$79</f>
        <v>-3875.86552198773</v>
      </c>
      <c r="X69" s="70" t="n">
        <f aca="false">-X63*Assumptions!$I$79</f>
        <v>-4138.67686573263</v>
      </c>
      <c r="Y69" s="70" t="n">
        <f aca="false">-Y63*Assumptions!$I$79</f>
        <v>-4412.00312091057</v>
      </c>
      <c r="Z69" s="70" t="n">
        <f aca="false">-Z63*Assumptions!$I$79</f>
        <v>-4697.20726994992</v>
      </c>
      <c r="AA69" s="70" t="n">
        <f aca="false">-AA63*Assumptions!$I$79</f>
        <v>-4995.72568830401</v>
      </c>
      <c r="AB69" s="70" t="n">
        <f aca="false">-AB63*Assumptions!$I$79</f>
        <v>-5282.97642031733</v>
      </c>
      <c r="AC69" s="70" t="n">
        <f aca="false">-AC63*Assumptions!$I$79</f>
        <v>-5553.50914198222</v>
      </c>
      <c r="AD69" s="70" t="n">
        <f aca="false">-AD63*Assumptions!$I$79</f>
        <v>-5817.13742040856</v>
      </c>
      <c r="AE69" s="70" t="n">
        <f aca="false">-AE63*Assumptions!$I$79</f>
        <v>-6076.68701027706</v>
      </c>
      <c r="AF69" s="70" t="n">
        <f aca="false">-AF63*Assumptions!$I$79</f>
        <v>-6334.81869047747</v>
      </c>
      <c r="AG69" s="70" t="n">
        <f aca="false">-AG63*Assumptions!$I$79</f>
        <v>-6594.06698957693</v>
      </c>
      <c r="AH69" s="70" t="n">
        <f aca="false">-AH63*Assumptions!$I$79</f>
        <v>-6856.87778883904</v>
      </c>
      <c r="AI69" s="70" t="n">
        <f aca="false">-AI63*Assumptions!$I$79</f>
        <v>-7125.63956353604</v>
      </c>
      <c r="AJ69" s="70" t="n">
        <f aca="false">-AJ63*Assumptions!$I$79</f>
        <v>-7402.71186513139</v>
      </c>
      <c r="AK69" s="70" t="n">
        <f aca="false">-AK63*Assumptions!$I$79</f>
        <v>-7690.45192386162</v>
      </c>
      <c r="AL69" s="70" t="n">
        <f aca="false">-AL63*Assumptions!$I$79</f>
        <v>-7991.23983931208</v>
      </c>
      <c r="AM69" s="70" t="n">
        <f aca="false">SUM(C69:AL69)</f>
        <v>-124109.357121032</v>
      </c>
    </row>
    <row r="70" customFormat="false" ht="15" hidden="false" customHeight="false" outlineLevel="0" collapsed="false">
      <c r="A70" s="37" t="s">
        <v>805</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7733.06730947413</v>
      </c>
      <c r="J70" s="53" t="n">
        <f aca="false">J63+J64+J65+J66+J67+J68+J69</f>
        <v>12365.6214332723</v>
      </c>
      <c r="K70" s="53" t="n">
        <f aca="false">K63+K64+K65+K66+K67+K68+K69</f>
        <v>16719.58110396</v>
      </c>
      <c r="L70" s="53" t="n">
        <f aca="false">L63+L64+L65+L66+L67+L68+L69</f>
        <v>20853.8565413839</v>
      </c>
      <c r="M70" s="53" t="n">
        <f aca="false">M63+M64+M65+M66+M67+M68+M69</f>
        <v>24821.6758545558</v>
      </c>
      <c r="N70" s="53" t="n">
        <f aca="false">N63+N64+N65+N66+N67+N68+N69</f>
        <v>28669.0180874713</v>
      </c>
      <c r="O70" s="53" t="n">
        <f aca="false">O63+O64+O65+O66+O67+O68+O69</f>
        <v>32436.1006797007</v>
      </c>
      <c r="P70" s="53" t="n">
        <f aca="false">P63+P64+P65+P66+P67+P68+P69</f>
        <v>36158.3127267088</v>
      </c>
      <c r="Q70" s="53" t="n">
        <f aca="false">Q63+Q64+Q65+Q66+Q67+Q68+Q69</f>
        <v>39867.0346555909</v>
      </c>
      <c r="R70" s="53" t="n">
        <f aca="false">R63+R64+R65+R66+R67+R68+R69</f>
        <v>43590.3912476374</v>
      </c>
      <c r="S70" s="53" t="n">
        <f aca="false">S63+S64+S65+S66+S67+S68+S69</f>
        <v>47353.940891216</v>
      </c>
      <c r="T70" s="53" t="n">
        <f aca="false">T63+T64+T65+T66+T67+T68+T69</f>
        <v>51181.3019800642</v>
      </c>
      <c r="U70" s="53" t="n">
        <f aca="false">U63+U64+U65+U66+U67+U68+U69</f>
        <v>55094.7203649618</v>
      </c>
      <c r="V70" s="53" t="n">
        <f aca="false">V63+V64+V65+V66+V67+V68+V69</f>
        <v>59115.5839136774</v>
      </c>
      <c r="W70" s="53" t="n">
        <f aca="false">W63+W64+W65+W66+W67+W68+W69</f>
        <v>63264.8913458483</v>
      </c>
      <c r="X70" s="53" t="n">
        <f aca="false">X63+X64+X65+X66+X67+X68+X69</f>
        <v>67563.682920557</v>
      </c>
      <c r="Y70" s="53" t="n">
        <f aca="false">Y63+Y64+Y65+Y66+Y67+Y68+Y69</f>
        <v>72033.4405405466</v>
      </c>
      <c r="Z70" s="53" t="n">
        <f aca="false">Z63+Z64+Z65+Z66+Z67+Z68+Z69</f>
        <v>76696.4645835237</v>
      </c>
      <c r="AA70" s="53" t="n">
        <f aca="false">AA63+AA64+AA65+AA66+AA67+AA68+AA69</f>
        <v>81576.2343980169</v>
      </c>
      <c r="AB70" s="53" t="n">
        <f aca="false">AB63+AB64+AB65+AB66+AB67+AB68+AB69</f>
        <v>86287.585380658</v>
      </c>
      <c r="AC70" s="53" t="n">
        <f aca="false">AC63+AC64+AC65+AC66+AC67+AC68+AC69</f>
        <v>90734.450865878</v>
      </c>
      <c r="AD70" s="53" t="n">
        <f aca="false">AD63+AD64+AD65+AD66+AD67+AD68+AD69</f>
        <v>95064.8462965261</v>
      </c>
      <c r="AE70" s="53" t="n">
        <f aca="false">AE63+AE64+AE65+AE66+AE67+AE68+AE69</f>
        <v>99325.275845084</v>
      </c>
      <c r="AF70" s="53" t="n">
        <f aca="false">AF63+AF64+AF65+AF66+AF67+AF68+AF69</f>
        <v>103559.532585543</v>
      </c>
      <c r="AG70" s="53" t="n">
        <f aca="false">AG63+AG64+AG65+AG66+AG67+AG68+AG69</f>
        <v>107809.311229305</v>
      </c>
      <c r="AH70" s="53" t="n">
        <f aca="false">AH63+AH64+AH65+AH66+AH67+AH68+AH69</f>
        <v>112114.817380739</v>
      </c>
      <c r="AI70" s="53" t="n">
        <f aca="false">AI63+AI64+AI65+AI66+AI67+AI68+AI69</f>
        <v>116515.281431767</v>
      </c>
      <c r="AJ70" s="53" t="n">
        <f aca="false">AJ63+AJ64+AJ65+AJ66+AJ67+AJ68+AJ69</f>
        <v>121049.427955218</v>
      </c>
      <c r="AK70" s="53" t="n">
        <f aca="false">AK63+AK64+AK65+AK66+AK67+AK68+AK69</f>
        <v>125755.913946743</v>
      </c>
      <c r="AL70" s="53" t="n">
        <f aca="false">AL63+AL64+AL65+AL66+AL67+AL68+AL69</f>
        <v>130673.743480017</v>
      </c>
      <c r="AM70" s="53" t="n">
        <f aca="false">SUM(C70:AL70)</f>
        <v>2025985.10697565</v>
      </c>
    </row>
    <row r="71" customFormat="false" ht="15" hidden="false" customHeight="false" outlineLevel="0" collapsed="false">
      <c r="A71" s="10" t="s">
        <v>806</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0.463628572733292</v>
      </c>
      <c r="K71" s="62" t="n">
        <f aca="false">IFERROR(K70/K63,0)</f>
        <v>0.467174237168738</v>
      </c>
      <c r="L71" s="62" t="n">
        <f aca="false">IFERROR(L70/L63,0)</f>
        <v>0.469130961137131</v>
      </c>
      <c r="M71" s="62" t="n">
        <f aca="false">IFERROR(M70/M63,0)</f>
        <v>0.470349471227377</v>
      </c>
      <c r="N71" s="62" t="n">
        <f aca="false">IFERROR(N70/N63,0)</f>
        <v>0.471167032788202</v>
      </c>
      <c r="O71" s="62" t="n">
        <f aca="false">IFERROR(O70/O63,0)</f>
        <v>0.471743886408451</v>
      </c>
      <c r="P71" s="62" t="n">
        <f aca="false">IFERROR(P70/P63,0)</f>
        <v>0.472165863027512</v>
      </c>
      <c r="Q71" s="62" t="n">
        <f aca="false">IFERROR(Q70/Q63,0)</f>
        <v>0.472483017273754</v>
      </c>
      <c r="R71" s="62" t="n">
        <f aca="false">IFERROR(R70/R63,0)</f>
        <v>0.472726433792695</v>
      </c>
      <c r="S71" s="62" t="n">
        <f aca="false">IFERROR(S70/S63,0)</f>
        <v>0.472916361518188</v>
      </c>
      <c r="T71" s="62" t="n">
        <f aca="false">IFERROR(T70/T63,0)</f>
        <v>0.473066489282482</v>
      </c>
      <c r="U71" s="62" t="n">
        <f aca="false">IFERROR(U70/U63,0)</f>
        <v>0.473186346097671</v>
      </c>
      <c r="V71" s="62" t="n">
        <f aca="false">IFERROR(V70/V63,0)</f>
        <v>0.473282722988796</v>
      </c>
      <c r="W71" s="62" t="n">
        <f aca="false">IFERROR(W70/W63,0)</f>
        <v>0.473360553564482</v>
      </c>
      <c r="X71" s="62" t="n">
        <f aca="false">IFERROR(X70/X63,0)</f>
        <v>0.473423480078653</v>
      </c>
      <c r="Y71" s="62" t="n">
        <f aca="false">IFERROR(Y70/Y63,0)</f>
        <v>0.473474228922286</v>
      </c>
      <c r="Z71" s="62" t="n">
        <f aca="false">IFERROR(Z70/Z63,0)</f>
        <v>0.473514866408247</v>
      </c>
      <c r="AA71" s="62" t="n">
        <f aca="false">IFERROR(AA70/AA63,0)</f>
        <v>0.473546976984963</v>
      </c>
      <c r="AB71" s="62" t="n">
        <f aca="false">IFERROR(AB70/AB63,0)</f>
        <v>0.473661015486565</v>
      </c>
      <c r="AC71" s="62" t="n">
        <f aca="false">IFERROR(AC70/AC63,0)</f>
        <v>0.473808362935596</v>
      </c>
      <c r="AD71" s="62" t="n">
        <f aca="false">IFERROR(AD70/AD63,0)</f>
        <v>0.473923915382702</v>
      </c>
      <c r="AE71" s="62" t="n">
        <f aca="false">IFERROR(AE70/AE63,0)</f>
        <v>0.474013717447677</v>
      </c>
      <c r="AF71" s="62" t="n">
        <f aca="false">IFERROR(AF70/AF63,0)</f>
        <v>0.474082462611787</v>
      </c>
      <c r="AG71" s="62" t="n">
        <f aca="false">IFERROR(AG70/AG63,0)</f>
        <v>0.474133797941662</v>
      </c>
      <c r="AH71" s="62" t="n">
        <f aca="false">IFERROR(AH70/AH63,0)</f>
        <v>0.474170577946369</v>
      </c>
      <c r="AI71" s="62" t="n">
        <f aca="false">IFERROR(AI70/AI63,0)</f>
        <v>0.474195071388719</v>
      </c>
      <c r="AJ71" s="62" t="n">
        <f aca="false">IFERROR(AJ70/AJ63,0)</f>
        <v>0.474209110749851</v>
      </c>
      <c r="AK71" s="62" t="n">
        <f aca="false">IFERROR(AK70/AK63,0)</f>
        <v>0.474214199706525</v>
      </c>
      <c r="AL71" s="62" t="n">
        <f aca="false">IFERROR(AL70/AL63,0)</f>
        <v>0.474211591332579</v>
      </c>
      <c r="AM71" s="62" t="n">
        <f aca="false">AVERAGE(N71:AL71)</f>
        <v>0.473387283282657</v>
      </c>
    </row>
    <row r="72" customFormat="false" ht="15" hidden="false" customHeight="false" outlineLevel="0" collapsed="false">
      <c r="A72" s="37" t="s">
        <v>807</v>
      </c>
      <c r="B72" s="9" t="s">
        <v>97</v>
      </c>
      <c r="C72" s="53" t="n">
        <f aca="false">C42+C63</f>
        <v>0</v>
      </c>
      <c r="D72" s="53" t="n">
        <f aca="false">D42+D63</f>
        <v>379814.989357956</v>
      </c>
      <c r="E72" s="53" t="n">
        <f aca="false">E42+E63</f>
        <v>343041.42409887</v>
      </c>
      <c r="F72" s="53" t="n">
        <f aca="false">F42+F63</f>
        <v>371071.999983771</v>
      </c>
      <c r="G72" s="53" t="n">
        <f aca="false">G42+G63</f>
        <v>405242.413752608</v>
      </c>
      <c r="H72" s="53" t="n">
        <f aca="false">H42+H63</f>
        <v>435186.583141135</v>
      </c>
      <c r="I72" s="53" t="n">
        <f aca="false">I42+I63</f>
        <v>477938.481903774</v>
      </c>
      <c r="J72" s="53" t="n">
        <f aca="false">J42+J63</f>
        <v>511470.400420788</v>
      </c>
      <c r="K72" s="53" t="n">
        <f aca="false">K42+K63</f>
        <v>541689.072701235</v>
      </c>
      <c r="L72" s="53" t="n">
        <f aca="false">L42+L63</f>
        <v>569373.159091799</v>
      </c>
      <c r="M72" s="53" t="n">
        <f aca="false">M42+M63</f>
        <v>595070.749892856</v>
      </c>
      <c r="N72" s="53" t="n">
        <f aca="false">N42+N63</f>
        <v>619212.0666198</v>
      </c>
      <c r="O72" s="53" t="n">
        <f aca="false">O42+O63</f>
        <v>642154.526710861</v>
      </c>
      <c r="P72" s="53" t="n">
        <f aca="false">P42+P63</f>
        <v>664199.048300636</v>
      </c>
      <c r="Q72" s="53" t="n">
        <f aca="false">Q42+Q63</f>
        <v>685601.639569507</v>
      </c>
      <c r="R72" s="53" t="n">
        <f aca="false">R42+R63</f>
        <v>706582.674468815</v>
      </c>
      <c r="S72" s="53" t="n">
        <f aca="false">S42+S63</f>
        <v>727334.521683392</v>
      </c>
      <c r="T72" s="53" t="n">
        <f aca="false">T42+T63</f>
        <v>748027.868099449</v>
      </c>
      <c r="U72" s="53" t="n">
        <f aca="false">U42+U63</f>
        <v>768816.988670604</v>
      </c>
      <c r="V72" s="53" t="n">
        <f aca="false">V42+V63</f>
        <v>789844.1655354</v>
      </c>
      <c r="W72" s="53" t="n">
        <f aca="false">W42+W63</f>
        <v>811243.423108363</v>
      </c>
      <c r="X72" s="53" t="n">
        <f aca="false">X42+X63</f>
        <v>833143.716943459</v>
      </c>
      <c r="Y72" s="53" t="n">
        <f aca="false">Y42+Y63</f>
        <v>855671.690532927</v>
      </c>
      <c r="Z72" s="53" t="n">
        <f aca="false">Z42+Z63</f>
        <v>878954.094811134</v>
      </c>
      <c r="AA72" s="53" t="n">
        <f aca="false">AA42+AA63</f>
        <v>903119.949242022</v>
      </c>
      <c r="AB72" s="53" t="n">
        <f aca="false">AB42+AB63</f>
        <v>927402.059820733</v>
      </c>
      <c r="AC72" s="53" t="n">
        <f aca="false">AC42+AC63</f>
        <v>951633.884274097</v>
      </c>
      <c r="AD72" s="53" t="n">
        <f aca="false">AD42+AD63</f>
        <v>976193.037185715</v>
      </c>
      <c r="AE72" s="53" t="n">
        <f aca="false">AE42+AE63</f>
        <v>1001253.98177489</v>
      </c>
      <c r="AF72" s="53" t="n">
        <f aca="false">AF42+AF63</f>
        <v>1026987.40673858</v>
      </c>
      <c r="AG72" s="53" t="n">
        <f aca="false">AG42+AG63</f>
        <v>1053566.31877221</v>
      </c>
      <c r="AH72" s="53" t="n">
        <f aca="false">AH42+AH63</f>
        <v>1081168.6646155</v>
      </c>
      <c r="AI72" s="53" t="n">
        <f aca="false">AI42+AI63</f>
        <v>1109978.99781694</v>
      </c>
      <c r="AJ72" s="53" t="n">
        <f aca="false">AJ42+AJ63</f>
        <v>1140190.03691544</v>
      </c>
      <c r="AK72" s="53" t="n">
        <f aca="false">AK42+AK63</f>
        <v>1172004.214092</v>
      </c>
      <c r="AL72" s="53" t="n">
        <f aca="false">AL42+AL63</f>
        <v>1205635.24456394</v>
      </c>
      <c r="AM72" s="53" t="n">
        <f aca="false">SUM(C72:AL72)</f>
        <v>26909819.4952112</v>
      </c>
    </row>
    <row r="73" customFormat="false" ht="15" hidden="false" customHeight="false" outlineLevel="0" collapsed="false">
      <c r="A73" s="37" t="s">
        <v>808</v>
      </c>
      <c r="B73" s="9" t="s">
        <v>97</v>
      </c>
      <c r="C73" s="53" t="n">
        <f aca="false">C46+C70</f>
        <v>0</v>
      </c>
      <c r="D73" s="53" t="n">
        <f aca="false">D46+D70</f>
        <v>223922.472127974</v>
      </c>
      <c r="E73" s="53" t="n">
        <f aca="false">E46+E70</f>
        <v>202242.370308681</v>
      </c>
      <c r="F73" s="53" t="n">
        <f aca="false">F46+F70</f>
        <v>218767.98415538</v>
      </c>
      <c r="G73" s="53" t="n">
        <f aca="false">G46+G70</f>
        <v>238913.380569798</v>
      </c>
      <c r="H73" s="53" t="n">
        <f aca="false">H46+H70</f>
        <v>256567.166289609</v>
      </c>
      <c r="I73" s="53" t="n">
        <f aca="false">I46+I70</f>
        <v>279496.389417231</v>
      </c>
      <c r="J73" s="53" t="n">
        <f aca="false">J46+J70</f>
        <v>298182.122922696</v>
      </c>
      <c r="K73" s="53" t="n">
        <f aca="false">K46+K70</f>
        <v>314976.507512309</v>
      </c>
      <c r="L73" s="53" t="n">
        <f aca="false">L46+L70</f>
        <v>330324.584260467</v>
      </c>
      <c r="M73" s="53" t="n">
        <f aca="false">M46+M70</f>
        <v>344537.044510504</v>
      </c>
      <c r="N73" s="53" t="n">
        <f aca="false">N46+N70</f>
        <v>357856.987785006</v>
      </c>
      <c r="O73" s="53" t="n">
        <f aca="false">O46+O70</f>
        <v>370485.947160323</v>
      </c>
      <c r="P73" s="53" t="n">
        <f aca="false">P46+P70</f>
        <v>382593.246430283</v>
      </c>
      <c r="Q73" s="53" t="n">
        <f aca="false">Q46+Q70</f>
        <v>394322.631597476</v>
      </c>
      <c r="R73" s="53" t="n">
        <f aca="false">R46+R70</f>
        <v>405797.560746318</v>
      </c>
      <c r="S73" s="53" t="n">
        <f aca="false">S46+S70</f>
        <v>417125.540324683</v>
      </c>
      <c r="T73" s="53" t="n">
        <f aca="false">T46+T70</f>
        <v>428401.707456305</v>
      </c>
      <c r="U73" s="53" t="n">
        <f aca="false">U46+U70</f>
        <v>439711.805242088</v>
      </c>
      <c r="V73" s="53" t="n">
        <f aca="false">V46+V70</f>
        <v>451134.668872777</v>
      </c>
      <c r="W73" s="53" t="n">
        <f aca="false">W46+W70</f>
        <v>462744.318958976</v>
      </c>
      <c r="X73" s="53" t="n">
        <f aca="false">X46+X70</f>
        <v>474611.741421755</v>
      </c>
      <c r="Y73" s="53" t="n">
        <f aca="false">Y46+Y70</f>
        <v>486806.419407655</v>
      </c>
      <c r="Z73" s="53" t="n">
        <f aca="false">Z46+Z70</f>
        <v>499397.671349375</v>
      </c>
      <c r="AA73" s="53" t="n">
        <f aca="false">AA46+AA70</f>
        <v>512455.840030708</v>
      </c>
      <c r="AB73" s="53" t="n">
        <f aca="false">AB46+AB70</f>
        <v>525643.196367289</v>
      </c>
      <c r="AC73" s="53" t="n">
        <f aca="false">AC46+AC70</f>
        <v>538876.290168034</v>
      </c>
      <c r="AD73" s="53" t="n">
        <f aca="false">AD46+AD70</f>
        <v>552326.256764973</v>
      </c>
      <c r="AE73" s="53" t="n">
        <f aca="false">AE46+AE70</f>
        <v>566085.0099938</v>
      </c>
      <c r="AF73" s="53" t="n">
        <f aca="false">AF46+AF70</f>
        <v>580242.881178956</v>
      </c>
      <c r="AG73" s="53" t="n">
        <f aca="false">AG46+AG70</f>
        <v>594892.036484984</v>
      </c>
      <c r="AH73" s="53" t="n">
        <f aca="false">AH46+AH70</f>
        <v>610127.867564631</v>
      </c>
      <c r="AI73" s="53" t="n">
        <f aca="false">AI46+AI70</f>
        <v>626049.852984068</v>
      </c>
      <c r="AJ73" s="53" t="n">
        <f aca="false">AJ46+AJ70</f>
        <v>642762.367222959</v>
      </c>
      <c r="AK73" s="53" t="n">
        <f aca="false">AK46+AK70</f>
        <v>660375.491116037</v>
      </c>
      <c r="AL73" s="53" t="n">
        <f aca="false">AL46+AL70</f>
        <v>679005.839642376</v>
      </c>
      <c r="AM73" s="53" t="n">
        <f aca="false">SUM(C73:AL73)</f>
        <v>15367763.1983465</v>
      </c>
    </row>
    <row r="74" customFormat="false" ht="15" hidden="false" customHeight="false" outlineLevel="0" collapsed="false">
      <c r="A74" s="37" t="s">
        <v>809</v>
      </c>
      <c r="B74" s="9" t="s">
        <v>61</v>
      </c>
      <c r="C74" s="52" t="n">
        <f aca="false">IFERROR(C73/C72,0)</f>
        <v>0</v>
      </c>
      <c r="D74" s="52" t="n">
        <f aca="false">IFERROR(D73/D72,0)</f>
        <v>0.589556701030928</v>
      </c>
      <c r="E74" s="52" t="n">
        <f aca="false">IFERROR(E73/E72,0)</f>
        <v>0.589556701030928</v>
      </c>
      <c r="F74" s="52" t="n">
        <f aca="false">IFERROR(F73/F72,0)</f>
        <v>0.589556701030928</v>
      </c>
      <c r="G74" s="52" t="n">
        <f aca="false">IFERROR(G73/G72,0)</f>
        <v>0.589556701030928</v>
      </c>
      <c r="H74" s="52" t="n">
        <f aca="false">IFERROR(H73/H72,0)</f>
        <v>0.589556701030928</v>
      </c>
      <c r="I74" s="52" t="n">
        <f aca="false">IFERROR(I73/I72,0)</f>
        <v>0.584795742548104</v>
      </c>
      <c r="J74" s="52" t="n">
        <f aca="false">IFERROR(J73/J72,0)</f>
        <v>0.582989988623743</v>
      </c>
      <c r="K74" s="52" t="n">
        <f aca="false">IFERROR(K73/K72,0)</f>
        <v>0.581471038250077</v>
      </c>
      <c r="L74" s="52" t="n">
        <f aca="false">IFERROR(L73/L72,0)</f>
        <v>0.58015482287111</v>
      </c>
      <c r="M74" s="52" t="n">
        <f aca="false">IFERROR(M73/M72,0)</f>
        <v>0.578985010727782</v>
      </c>
      <c r="N74" s="52" t="n">
        <f aca="false">IFERROR(N73/N72,0)</f>
        <v>0.577923149557633</v>
      </c>
      <c r="O74" s="52" t="n">
        <f aca="false">IFERROR(O73/O72,0)</f>
        <v>0.576942047045849</v>
      </c>
      <c r="P74" s="52" t="n">
        <f aca="false">IFERROR(P73/P72,0)</f>
        <v>0.576021973246053</v>
      </c>
      <c r="Q74" s="52" t="n">
        <f aca="false">IFERROR(Q73/Q72,0)</f>
        <v>0.575148320597764</v>
      </c>
      <c r="R74" s="52" t="n">
        <f aca="false">IFERROR(R73/R72,0)</f>
        <v>0.574310091952627</v>
      </c>
      <c r="S74" s="52" t="n">
        <f aca="false">IFERROR(S73/S72,0)</f>
        <v>0.573498889285853</v>
      </c>
      <c r="T74" s="52" t="n">
        <f aca="false">IFERROR(T73/T72,0)</f>
        <v>0.572708218137335</v>
      </c>
      <c r="U74" s="52" t="n">
        <f aca="false">IFERROR(U73/U72,0)</f>
        <v>0.571932997997889</v>
      </c>
      <c r="V74" s="52" t="n">
        <f aca="false">IFERROR(V73/V72,0)</f>
        <v>0.571169211039209</v>
      </c>
      <c r="W74" s="52" t="n">
        <f aca="false">IFERROR(W73/W72,0)</f>
        <v>0.570413646234472</v>
      </c>
      <c r="X74" s="52" t="n">
        <f aca="false">IFERROR(X73/X72,0)</f>
        <v>0.569663710797647</v>
      </c>
      <c r="Y74" s="52" t="n">
        <f aca="false">IFERROR(Y73/Y72,0)</f>
        <v>0.568917290116801</v>
      </c>
      <c r="Z74" s="52" t="n">
        <f aca="false">IFERROR(Z73/Z72,0)</f>
        <v>0.568172643255827</v>
      </c>
      <c r="AA74" s="52" t="n">
        <f aca="false">IFERROR(AA73/AA72,0)</f>
        <v>0.567428324953741</v>
      </c>
      <c r="AB74" s="52" t="n">
        <f aca="false">IFERROR(AB73/AB72,0)</f>
        <v>0.56679105982242</v>
      </c>
      <c r="AC74" s="52" t="n">
        <f aca="false">IFERROR(AC73/AC72,0)</f>
        <v>0.566264294570686</v>
      </c>
      <c r="AD74" s="52" t="n">
        <f aca="false">IFERROR(AD73/AD72,0)</f>
        <v>0.565796144538466</v>
      </c>
      <c r="AE74" s="52" t="n">
        <f aca="false">IFERROR(AE73/AE72,0)</f>
        <v>0.565376038745256</v>
      </c>
      <c r="AF74" s="52" t="n">
        <f aca="false">IFERROR(AF73/AF72,0)</f>
        <v>0.564995127858136</v>
      </c>
      <c r="AG74" s="52" t="n">
        <f aca="false">IFERROR(AG73/AG72,0)</f>
        <v>0.564646027388435</v>
      </c>
      <c r="AH74" s="52" t="n">
        <f aca="false">IFERROR(AH73/AH72,0)</f>
        <v>0.564322559035333</v>
      </c>
      <c r="AI74" s="52" t="n">
        <f aca="false">IFERROR(AI73/AI72,0)</f>
        <v>0.564019548311597</v>
      </c>
      <c r="AJ74" s="52" t="n">
        <f aca="false">IFERROR(AJ73/AJ72,0)</f>
        <v>0.563732664216066</v>
      </c>
      <c r="AK74" s="52" t="n">
        <f aca="false">IFERROR(AK73/AK72,0)</f>
        <v>0.563458290657817</v>
      </c>
      <c r="AL74" s="52" t="n">
        <f aca="false">IFERROR(AL73/AL72,0)</f>
        <v>0.563193422474941</v>
      </c>
      <c r="AM74" s="52" t="n">
        <f aca="false">AVERAGE(N74:AL74)</f>
        <v>0.569073827673514</v>
      </c>
    </row>
    <row r="75" customFormat="false" ht="15" hidden="false" customHeight="false" outlineLevel="0" collapsed="false">
      <c r="A75" s="10" t="s">
        <v>810</v>
      </c>
      <c r="B75" s="9" t="s">
        <v>97</v>
      </c>
      <c r="C75" s="70" t="n">
        <f aca="false">-Assumptions!$I$82</f>
        <v>-600</v>
      </c>
      <c r="D75" s="70" t="n">
        <f aca="false">-Assumptions!$I$82</f>
        <v>-600</v>
      </c>
      <c r="E75" s="70" t="n">
        <f aca="false">-Assumptions!$I$82</f>
        <v>-600</v>
      </c>
      <c r="F75" s="70" t="n">
        <f aca="false">-Assumptions!$I$82</f>
        <v>-600</v>
      </c>
      <c r="G75" s="70" t="n">
        <f aca="false">-Assumptions!$I$82</f>
        <v>-600</v>
      </c>
      <c r="H75" s="70" t="n">
        <f aca="false">-Assumptions!$I$82</f>
        <v>-600</v>
      </c>
      <c r="I75" s="70" t="n">
        <f aca="false">-Assumptions!$I$82</f>
        <v>-600</v>
      </c>
      <c r="J75" s="70" t="n">
        <f aca="false">-Assumptions!$I$82</f>
        <v>-600</v>
      </c>
      <c r="K75" s="70" t="n">
        <f aca="false">-Assumptions!$I$82</f>
        <v>-600</v>
      </c>
      <c r="L75" s="70" t="n">
        <f aca="false">-Assumptions!$I$82</f>
        <v>-600</v>
      </c>
      <c r="M75" s="70" t="n">
        <f aca="false">-Assumptions!$I$82</f>
        <v>-600</v>
      </c>
      <c r="N75" s="70" t="n">
        <f aca="false">-Assumptions!$I$82</f>
        <v>-600</v>
      </c>
      <c r="O75" s="70" t="n">
        <f aca="false">-Assumptions!$I$82</f>
        <v>-600</v>
      </c>
      <c r="P75" s="70" t="n">
        <f aca="false">-Assumptions!$I$82</f>
        <v>-600</v>
      </c>
      <c r="Q75" s="70" t="n">
        <f aca="false">-Assumptions!$I$82</f>
        <v>-600</v>
      </c>
      <c r="R75" s="70" t="n">
        <f aca="false">-Assumptions!$I$82</f>
        <v>-600</v>
      </c>
      <c r="S75" s="70" t="n">
        <f aca="false">-Assumptions!$I$82</f>
        <v>-600</v>
      </c>
      <c r="T75" s="70" t="n">
        <f aca="false">-Assumptions!$I$82</f>
        <v>-600</v>
      </c>
      <c r="U75" s="70" t="n">
        <f aca="false">-Assumptions!$I$82</f>
        <v>-600</v>
      </c>
      <c r="V75" s="70" t="n">
        <f aca="false">-Assumptions!$I$82</f>
        <v>-600</v>
      </c>
      <c r="W75" s="70" t="n">
        <f aca="false">-Assumptions!$I$82</f>
        <v>-600</v>
      </c>
      <c r="X75" s="70" t="n">
        <f aca="false">-Assumptions!$I$82</f>
        <v>-600</v>
      </c>
      <c r="Y75" s="70" t="n">
        <f aca="false">-Assumptions!$I$82</f>
        <v>-600</v>
      </c>
      <c r="Z75" s="70" t="n">
        <f aca="false">-Assumptions!$I$82</f>
        <v>-600</v>
      </c>
      <c r="AA75" s="70" t="n">
        <f aca="false">-Assumptions!$I$82</f>
        <v>-600</v>
      </c>
      <c r="AB75" s="70" t="n">
        <f aca="false">-Assumptions!$I$82</f>
        <v>-600</v>
      </c>
      <c r="AC75" s="70" t="n">
        <f aca="false">-Assumptions!$I$82</f>
        <v>-600</v>
      </c>
      <c r="AD75" s="70" t="n">
        <f aca="false">-Assumptions!$I$82</f>
        <v>-600</v>
      </c>
      <c r="AE75" s="70" t="n">
        <f aca="false">-Assumptions!$I$82</f>
        <v>-600</v>
      </c>
      <c r="AF75" s="70" t="n">
        <f aca="false">-Assumptions!$I$82</f>
        <v>-600</v>
      </c>
      <c r="AG75" s="70" t="n">
        <f aca="false">-Assumptions!$I$82</f>
        <v>-600</v>
      </c>
      <c r="AH75" s="70" t="n">
        <f aca="false">-Assumptions!$I$82</f>
        <v>-600</v>
      </c>
      <c r="AI75" s="70" t="n">
        <f aca="false">-Assumptions!$I$82</f>
        <v>-600</v>
      </c>
      <c r="AJ75" s="70" t="n">
        <f aca="false">-Assumptions!$I$82</f>
        <v>-600</v>
      </c>
      <c r="AK75" s="70" t="n">
        <f aca="false">-Assumptions!$I$82</f>
        <v>-600</v>
      </c>
      <c r="AL75" s="70" t="n">
        <f aca="false">-Assumptions!$I$82</f>
        <v>-600</v>
      </c>
      <c r="AM75" s="70" t="n">
        <f aca="false">SUM(C75:AL75)</f>
        <v>-21600</v>
      </c>
    </row>
    <row r="76" customFormat="false" ht="15" hidden="false" customHeight="false" outlineLevel="0" collapsed="false">
      <c r="A76" s="10" t="s">
        <v>811</v>
      </c>
      <c r="B76" s="9" t="s">
        <v>97</v>
      </c>
      <c r="C76" s="70" t="n">
        <f aca="false">-Assumptions!$I$83</f>
        <v>-280</v>
      </c>
      <c r="D76" s="70" t="n">
        <f aca="false">-Assumptions!$I$83</f>
        <v>-280</v>
      </c>
      <c r="E76" s="70" t="n">
        <f aca="false">-Assumptions!$I$83</f>
        <v>-280</v>
      </c>
      <c r="F76" s="70" t="n">
        <f aca="false">-Assumptions!$I$83</f>
        <v>-280</v>
      </c>
      <c r="G76" s="70" t="n">
        <f aca="false">-Assumptions!$I$83</f>
        <v>-280</v>
      </c>
      <c r="H76" s="70" t="n">
        <f aca="false">-Assumptions!$I$83</f>
        <v>-280</v>
      </c>
      <c r="I76" s="70" t="n">
        <f aca="false">-Assumptions!$I$83</f>
        <v>-280</v>
      </c>
      <c r="J76" s="70" t="n">
        <f aca="false">-Assumptions!$I$83</f>
        <v>-280</v>
      </c>
      <c r="K76" s="70" t="n">
        <f aca="false">-Assumptions!$I$83</f>
        <v>-280</v>
      </c>
      <c r="L76" s="70" t="n">
        <f aca="false">-Assumptions!$I$83</f>
        <v>-280</v>
      </c>
      <c r="M76" s="70" t="n">
        <f aca="false">-Assumptions!$I$83</f>
        <v>-280</v>
      </c>
      <c r="N76" s="70" t="n">
        <f aca="false">-Assumptions!$I$83</f>
        <v>-280</v>
      </c>
      <c r="O76" s="70" t="n">
        <f aca="false">-Assumptions!$I$83</f>
        <v>-280</v>
      </c>
      <c r="P76" s="70" t="n">
        <f aca="false">-Assumptions!$I$83</f>
        <v>-280</v>
      </c>
      <c r="Q76" s="70" t="n">
        <f aca="false">-Assumptions!$I$83</f>
        <v>-280</v>
      </c>
      <c r="R76" s="70" t="n">
        <f aca="false">-Assumptions!$I$83</f>
        <v>-280</v>
      </c>
      <c r="S76" s="70" t="n">
        <f aca="false">-Assumptions!$I$83</f>
        <v>-280</v>
      </c>
      <c r="T76" s="70" t="n">
        <f aca="false">-Assumptions!$I$83</f>
        <v>-280</v>
      </c>
      <c r="U76" s="70" t="n">
        <f aca="false">-Assumptions!$I$83</f>
        <v>-280</v>
      </c>
      <c r="V76" s="70" t="n">
        <f aca="false">-Assumptions!$I$83</f>
        <v>-280</v>
      </c>
      <c r="W76" s="70" t="n">
        <f aca="false">-Assumptions!$I$83</f>
        <v>-280</v>
      </c>
      <c r="X76" s="70" t="n">
        <f aca="false">-Assumptions!$I$83</f>
        <v>-280</v>
      </c>
      <c r="Y76" s="70" t="n">
        <f aca="false">-Assumptions!$I$83</f>
        <v>-280</v>
      </c>
      <c r="Z76" s="70" t="n">
        <f aca="false">-Assumptions!$I$83</f>
        <v>-280</v>
      </c>
      <c r="AA76" s="70" t="n">
        <f aca="false">-Assumptions!$I$83</f>
        <v>-280</v>
      </c>
      <c r="AB76" s="70" t="n">
        <f aca="false">-Assumptions!$I$83</f>
        <v>-280</v>
      </c>
      <c r="AC76" s="70" t="n">
        <f aca="false">-Assumptions!$I$83</f>
        <v>-280</v>
      </c>
      <c r="AD76" s="70" t="n">
        <f aca="false">-Assumptions!$I$83</f>
        <v>-280</v>
      </c>
      <c r="AE76" s="70" t="n">
        <f aca="false">-Assumptions!$I$83</f>
        <v>-280</v>
      </c>
      <c r="AF76" s="70" t="n">
        <f aca="false">-Assumptions!$I$83</f>
        <v>-280</v>
      </c>
      <c r="AG76" s="70" t="n">
        <f aca="false">-Assumptions!$I$83</f>
        <v>-280</v>
      </c>
      <c r="AH76" s="70" t="n">
        <f aca="false">-Assumptions!$I$83</f>
        <v>-280</v>
      </c>
      <c r="AI76" s="70" t="n">
        <f aca="false">-Assumptions!$I$83</f>
        <v>-280</v>
      </c>
      <c r="AJ76" s="70" t="n">
        <f aca="false">-Assumptions!$I$83</f>
        <v>-280</v>
      </c>
      <c r="AK76" s="70" t="n">
        <f aca="false">-Assumptions!$I$83</f>
        <v>-280</v>
      </c>
      <c r="AL76" s="70" t="n">
        <f aca="false">-Assumptions!$I$83</f>
        <v>-280</v>
      </c>
      <c r="AM76" s="70" t="n">
        <f aca="false">SUM(C76:AL76)</f>
        <v>-10080</v>
      </c>
    </row>
    <row r="77" customFormat="false" ht="15" hidden="false" customHeight="false" outlineLevel="0" collapsed="false">
      <c r="A77" s="10" t="s">
        <v>812</v>
      </c>
      <c r="B77" s="9" t="s">
        <v>97</v>
      </c>
      <c r="C77" s="70" t="n">
        <f aca="false">-MAX(IF(C8=0,Assumptions!$I$84,IF(C$5&lt;=12,Assumptions!$I$85,IF(C$5&lt;=24,Assumptions!$I$86,Assumptions!$I$87))))</f>
        <v>-6000</v>
      </c>
      <c r="D77" s="70" t="n">
        <f aca="false">-MAX(IF(D8=0,Assumptions!$I$84,IF(D$5&lt;=12,Assumptions!$I$85,IF(D$5&lt;=24,Assumptions!$I$86,Assumptions!$I$87))),C72*Assumptions!$I$88)</f>
        <v>-16000</v>
      </c>
      <c r="E77" s="70" t="n">
        <f aca="false">-MAX(IF(E8=0,Assumptions!$I$84,IF(E$5&lt;=12,Assumptions!$I$85,IF(E$5&lt;=24,Assumptions!$I$86,Assumptions!$I$87))),D72*Assumptions!$I$88)</f>
        <v>-22788.8993614774</v>
      </c>
      <c r="F77" s="70" t="n">
        <f aca="false">-MAX(IF(F8=0,Assumptions!$I$84,IF(F$5&lt;=12,Assumptions!$I$85,IF(F$5&lt;=24,Assumptions!$I$86,Assumptions!$I$87))),E72*Assumptions!$I$88)</f>
        <v>-20582.4854459322</v>
      </c>
      <c r="G77" s="70" t="n">
        <f aca="false">-MAX(IF(G8=0,Assumptions!$I$84,IF(G$5&lt;=12,Assumptions!$I$85,IF(G$5&lt;=24,Assumptions!$I$86,Assumptions!$I$87))),F72*Assumptions!$I$88)</f>
        <v>-22264.3199990262</v>
      </c>
      <c r="H77" s="70" t="n">
        <f aca="false">-MAX(IF(H8=0,Assumptions!$I$84,IF(H$5&lt;=12,Assumptions!$I$85,IF(H$5&lt;=24,Assumptions!$I$86,Assumptions!$I$87))),G72*Assumptions!$I$88)</f>
        <v>-24314.5448251565</v>
      </c>
      <c r="I77" s="70" t="n">
        <f aca="false">-MAX(IF(I8=0,Assumptions!$I$84,IF(I$5&lt;=12,Assumptions!$I$85,IF(I$5&lt;=24,Assumptions!$I$86,Assumptions!$I$87))),H72*Assumptions!$I$88)</f>
        <v>-26111.1949884681</v>
      </c>
      <c r="J77" s="70" t="n">
        <f aca="false">-MAX(IF(J8=0,Assumptions!$I$84,IF(J$5&lt;=12,Assumptions!$I$85,IF(J$5&lt;=24,Assumptions!$I$86,Assumptions!$I$87))),I72*Assumptions!$I$88)</f>
        <v>-28676.3089142264</v>
      </c>
      <c r="K77" s="70" t="n">
        <f aca="false">-MAX(IF(K8=0,Assumptions!$I$84,IF(K$5&lt;=12,Assumptions!$I$85,IF(K$5&lt;=24,Assumptions!$I$86,Assumptions!$I$87))),J72*Assumptions!$I$88)</f>
        <v>-30688.2240252473</v>
      </c>
      <c r="L77" s="70" t="n">
        <f aca="false">-MAX(IF(L8=0,Assumptions!$I$84,IF(L$5&lt;=12,Assumptions!$I$85,IF(L$5&lt;=24,Assumptions!$I$86,Assumptions!$I$87))),K72*Assumptions!$I$88)</f>
        <v>-32501.3443620741</v>
      </c>
      <c r="M77" s="70" t="n">
        <f aca="false">-MAX(IF(M8=0,Assumptions!$I$84,IF(M$5&lt;=12,Assumptions!$I$85,IF(M$5&lt;=24,Assumptions!$I$86,Assumptions!$I$87))),L72*Assumptions!$I$88)</f>
        <v>-34162.3895455079</v>
      </c>
      <c r="N77" s="70" t="n">
        <f aca="false">-MAX(IF(N8=0,Assumptions!$I$84,IF(N$5&lt;=12,Assumptions!$I$85,IF(N$5&lt;=24,Assumptions!$I$86,Assumptions!$I$87))),M72*Assumptions!$I$88)</f>
        <v>-35704.2449935713</v>
      </c>
      <c r="O77" s="70" t="n">
        <f aca="false">-MAX(IF(O8=0,Assumptions!$I$84,IF(O$5&lt;=12,Assumptions!$I$85,IF(O$5&lt;=24,Assumptions!$I$86,Assumptions!$I$87))),N72*Assumptions!$I$88)</f>
        <v>-37152.723997188</v>
      </c>
      <c r="P77" s="70" t="n">
        <f aca="false">-MAX(IF(P8=0,Assumptions!$I$84,IF(P$5&lt;=12,Assumptions!$I$85,IF(P$5&lt;=24,Assumptions!$I$86,Assumptions!$I$87))),O72*Assumptions!$I$88)</f>
        <v>-38529.2716026517</v>
      </c>
      <c r="Q77" s="70" t="n">
        <f aca="false">-MAX(IF(Q8=0,Assumptions!$I$84,IF(Q$5&lt;=12,Assumptions!$I$85,IF(Q$5&lt;=24,Assumptions!$I$86,Assumptions!$I$87))),P72*Assumptions!$I$88)</f>
        <v>-39851.9428980381</v>
      </c>
      <c r="R77" s="70" t="n">
        <f aca="false">-MAX(IF(R8=0,Assumptions!$I$84,IF(R$5&lt;=12,Assumptions!$I$85,IF(R$5&lt;=24,Assumptions!$I$86,Assumptions!$I$87))),Q72*Assumptions!$I$88)</f>
        <v>-41136.0983741704</v>
      </c>
      <c r="S77" s="70" t="n">
        <f aca="false">-MAX(IF(S8=0,Assumptions!$I$84,IF(S$5&lt;=12,Assumptions!$I$85,IF(S$5&lt;=24,Assumptions!$I$86,Assumptions!$I$87))),R72*Assumptions!$I$88)</f>
        <v>-42394.9604681289</v>
      </c>
      <c r="T77" s="70" t="n">
        <f aca="false">-MAX(IF(T8=0,Assumptions!$I$84,IF(T$5&lt;=12,Assumptions!$I$85,IF(T$5&lt;=24,Assumptions!$I$86,Assumptions!$I$87))),S72*Assumptions!$I$88)</f>
        <v>-43640.0713010035</v>
      </c>
      <c r="U77" s="70" t="n">
        <f aca="false">-MAX(IF(U8=0,Assumptions!$I$84,IF(U$5&lt;=12,Assumptions!$I$85,IF(U$5&lt;=24,Assumptions!$I$86,Assumptions!$I$87))),T72*Assumptions!$I$88)</f>
        <v>-44881.672085967</v>
      </c>
      <c r="V77" s="70" t="n">
        <f aca="false">-MAX(IF(V8=0,Assumptions!$I$84,IF(V$5&lt;=12,Assumptions!$I$85,IF(V$5&lt;=24,Assumptions!$I$86,Assumptions!$I$87))),U72*Assumptions!$I$88)</f>
        <v>-46129.0193202363</v>
      </c>
      <c r="W77" s="70" t="n">
        <f aca="false">-MAX(IF(W8=0,Assumptions!$I$84,IF(W$5&lt;=12,Assumptions!$I$85,IF(W$5&lt;=24,Assumptions!$I$86,Assumptions!$I$87))),V72*Assumptions!$I$88)</f>
        <v>-47390.649932124</v>
      </c>
      <c r="X77" s="70" t="n">
        <f aca="false">-MAX(IF(X8=0,Assumptions!$I$84,IF(X$5&lt;=12,Assumptions!$I$85,IF(X$5&lt;=24,Assumptions!$I$86,Assumptions!$I$87))),W72*Assumptions!$I$88)</f>
        <v>-48674.6053865018</v>
      </c>
      <c r="Y77" s="70" t="n">
        <f aca="false">-MAX(IF(Y8=0,Assumptions!$I$84,IF(Y$5&lt;=12,Assumptions!$I$85,IF(Y$5&lt;=24,Assumptions!$I$86,Assumptions!$I$87))),X72*Assumptions!$I$88)</f>
        <v>-49988.6230166075</v>
      </c>
      <c r="Z77" s="70" t="n">
        <f aca="false">-MAX(IF(Z8=0,Assumptions!$I$84,IF(Z$5&lt;=12,Assumptions!$I$85,IF(Z$5&lt;=24,Assumptions!$I$86,Assumptions!$I$87))),Y72*Assumptions!$I$88)</f>
        <v>-51340.3014319756</v>
      </c>
      <c r="AA77" s="70" t="n">
        <f aca="false">-MAX(IF(AA8=0,Assumptions!$I$84,IF(AA$5&lt;=12,Assumptions!$I$85,IF(AA$5&lt;=24,Assumptions!$I$86,Assumptions!$I$87))),Z72*Assumptions!$I$88)</f>
        <v>-55000</v>
      </c>
      <c r="AB77" s="70" t="n">
        <f aca="false">-MAX(IF(AB8=0,Assumptions!$I$84,IF(AB$5&lt;=12,Assumptions!$I$85,IF(AB$5&lt;=24,Assumptions!$I$86,Assumptions!$I$87))),AA72*Assumptions!$I$88)</f>
        <v>-55000</v>
      </c>
      <c r="AC77" s="70" t="n">
        <f aca="false">-MAX(IF(AC8=0,Assumptions!$I$84,IF(AC$5&lt;=12,Assumptions!$I$85,IF(AC$5&lt;=24,Assumptions!$I$86,Assumptions!$I$87))),AB72*Assumptions!$I$88)</f>
        <v>-55644.123589244</v>
      </c>
      <c r="AD77" s="70" t="n">
        <f aca="false">-MAX(IF(AD8=0,Assumptions!$I$84,IF(AD$5&lt;=12,Assumptions!$I$85,IF(AD$5&lt;=24,Assumptions!$I$86,Assumptions!$I$87))),AC72*Assumptions!$I$88)</f>
        <v>-57098.0330564458</v>
      </c>
      <c r="AE77" s="70" t="n">
        <f aca="false">-MAX(IF(AE8=0,Assumptions!$I$84,IF(AE$5&lt;=12,Assumptions!$I$85,IF(AE$5&lt;=24,Assumptions!$I$86,Assumptions!$I$87))),AD72*Assumptions!$I$88)</f>
        <v>-58571.5822311429</v>
      </c>
      <c r="AF77" s="70" t="n">
        <f aca="false">-MAX(IF(AF8=0,Assumptions!$I$84,IF(AF$5&lt;=12,Assumptions!$I$85,IF(AF$5&lt;=24,Assumptions!$I$86,Assumptions!$I$87))),AE72*Assumptions!$I$88)</f>
        <v>-60075.2389064931</v>
      </c>
      <c r="AG77" s="70" t="n">
        <f aca="false">-MAX(IF(AG8=0,Assumptions!$I$84,IF(AG$5&lt;=12,Assumptions!$I$85,IF(AG$5&lt;=24,Assumptions!$I$86,Assumptions!$I$87))),AF72*Assumptions!$I$88)</f>
        <v>-61619.2444043145</v>
      </c>
      <c r="AH77" s="70" t="n">
        <f aca="false">-MAX(IF(AH8=0,Assumptions!$I$84,IF(AH$5&lt;=12,Assumptions!$I$85,IF(AH$5&lt;=24,Assumptions!$I$86,Assumptions!$I$87))),AG72*Assumptions!$I$88)</f>
        <v>-63213.9791263324</v>
      </c>
      <c r="AI77" s="70" t="n">
        <f aca="false">-MAX(IF(AI8=0,Assumptions!$I$84,IF(AI$5&lt;=12,Assumptions!$I$85,IF(AI$5&lt;=24,Assumptions!$I$86,Assumptions!$I$87))),AH72*Assumptions!$I$88)</f>
        <v>-64870.1198769298</v>
      </c>
      <c r="AJ77" s="70" t="n">
        <f aca="false">-MAX(IF(AJ8=0,Assumptions!$I$84,IF(AJ$5&lt;=12,Assumptions!$I$85,IF(AJ$5&lt;=24,Assumptions!$I$86,Assumptions!$I$87))),AI72*Assumptions!$I$88)</f>
        <v>-66598.7398690162</v>
      </c>
      <c r="AK77" s="70" t="n">
        <f aca="false">-MAX(IF(AK8=0,Assumptions!$I$84,IF(AK$5&lt;=12,Assumptions!$I$85,IF(AK$5&lt;=24,Assumptions!$I$86,Assumptions!$I$87))),AJ72*Assumptions!$I$88)</f>
        <v>-68411.4022149267</v>
      </c>
      <c r="AL77" s="70" t="n">
        <f aca="false">-MAX(IF(AL8=0,Assumptions!$I$84,IF(AL$5&lt;=12,Assumptions!$I$85,IF(AL$5&lt;=24,Assumptions!$I$86,Assumptions!$I$87))),AK72*Assumptions!$I$88)</f>
        <v>-70320.25284552</v>
      </c>
      <c r="AM77" s="70" t="n">
        <f aca="false">SUM(C77:AL77)</f>
        <v>-1567326.61239565</v>
      </c>
    </row>
    <row r="78" customFormat="false" ht="15" hidden="false" customHeight="false" outlineLevel="0" collapsed="false">
      <c r="A78" s="10" t="s">
        <v>813</v>
      </c>
      <c r="B78" s="9" t="s">
        <v>97</v>
      </c>
      <c r="C78" s="70" t="n">
        <f aca="false">-IF(C$5&gt;=Assumptions!$I$7-2,Assumptions!$I$91,0)</f>
        <v>-0</v>
      </c>
      <c r="D78" s="70" t="n">
        <f aca="false">-IF(D$5&gt;=Assumptions!$I$7-2,Assumptions!$I$91,0)</f>
        <v>-0</v>
      </c>
      <c r="E78" s="70" t="n">
        <f aca="false">-IF(E$5&gt;=Assumptions!$I$7-2,Assumptions!$I$91,0)</f>
        <v>-0</v>
      </c>
      <c r="F78" s="70" t="n">
        <f aca="false">-IF(F$5&gt;=Assumptions!$I$7-2,Assumptions!$I$91,0)</f>
        <v>-0</v>
      </c>
      <c r="G78" s="70" t="n">
        <f aca="false">-IF(G$5&gt;=Assumptions!$I$7-2,Assumptions!$I$91,0)</f>
        <v>-9000</v>
      </c>
      <c r="H78" s="70" t="n">
        <f aca="false">-IF(H$5&gt;=Assumptions!$I$7-2,Assumptions!$I$91,0)</f>
        <v>-9000</v>
      </c>
      <c r="I78" s="70" t="n">
        <f aca="false">-IF(I$5&gt;=Assumptions!$I$7-2,Assumptions!$I$91,0)</f>
        <v>-9000</v>
      </c>
      <c r="J78" s="70" t="n">
        <f aca="false">-IF(J$5&gt;=Assumptions!$I$7-2,Assumptions!$I$91,0)</f>
        <v>-9000</v>
      </c>
      <c r="K78" s="70" t="n">
        <f aca="false">-IF(K$5&gt;=Assumptions!$I$7-2,Assumptions!$I$91,0)</f>
        <v>-9000</v>
      </c>
      <c r="L78" s="70" t="n">
        <f aca="false">-IF(L$5&gt;=Assumptions!$I$7-2,Assumptions!$I$91,0)</f>
        <v>-9000</v>
      </c>
      <c r="M78" s="70" t="n">
        <f aca="false">-IF(M$5&gt;=Assumptions!$I$7-2,Assumptions!$I$91,0)</f>
        <v>-9000</v>
      </c>
      <c r="N78" s="70" t="n">
        <f aca="false">-IF(N$5&gt;=Assumptions!$I$7-2,Assumptions!$I$91,0)</f>
        <v>-9000</v>
      </c>
      <c r="O78" s="70" t="n">
        <f aca="false">-IF(O$5&gt;=Assumptions!$I$7-2,Assumptions!$I$91,0)</f>
        <v>-9000</v>
      </c>
      <c r="P78" s="70" t="n">
        <f aca="false">-IF(P$5&gt;=Assumptions!$I$7-2,Assumptions!$I$91,0)</f>
        <v>-9000</v>
      </c>
      <c r="Q78" s="70" t="n">
        <f aca="false">-IF(Q$5&gt;=Assumptions!$I$7-2,Assumptions!$I$91,0)</f>
        <v>-9000</v>
      </c>
      <c r="R78" s="70" t="n">
        <f aca="false">-IF(R$5&gt;=Assumptions!$I$7-2,Assumptions!$I$91,0)</f>
        <v>-9000</v>
      </c>
      <c r="S78" s="70" t="n">
        <f aca="false">-IF(S$5&gt;=Assumptions!$I$7-2,Assumptions!$I$91,0)</f>
        <v>-9000</v>
      </c>
      <c r="T78" s="70" t="n">
        <f aca="false">-IF(T$5&gt;=Assumptions!$I$7-2,Assumptions!$I$91,0)</f>
        <v>-9000</v>
      </c>
      <c r="U78" s="70" t="n">
        <f aca="false">-IF(U$5&gt;=Assumptions!$I$7-2,Assumptions!$I$91,0)</f>
        <v>-9000</v>
      </c>
      <c r="V78" s="70" t="n">
        <f aca="false">-IF(V$5&gt;=Assumptions!$I$7-2,Assumptions!$I$91,0)</f>
        <v>-9000</v>
      </c>
      <c r="W78" s="70" t="n">
        <f aca="false">-IF(W$5&gt;=Assumptions!$I$7-2,Assumptions!$I$91,0)</f>
        <v>-9000</v>
      </c>
      <c r="X78" s="70" t="n">
        <f aca="false">-IF(X$5&gt;=Assumptions!$I$7-2,Assumptions!$I$91,0)</f>
        <v>-9000</v>
      </c>
      <c r="Y78" s="70" t="n">
        <f aca="false">-IF(Y$5&gt;=Assumptions!$I$7-2,Assumptions!$I$91,0)</f>
        <v>-9000</v>
      </c>
      <c r="Z78" s="70" t="n">
        <f aca="false">-IF(Z$5&gt;=Assumptions!$I$7-2,Assumptions!$I$91,0)</f>
        <v>-9000</v>
      </c>
      <c r="AA78" s="70" t="n">
        <f aca="false">-IF(AA$5&gt;=Assumptions!$I$7-2,Assumptions!$I$91,0)</f>
        <v>-9000</v>
      </c>
      <c r="AB78" s="70" t="n">
        <f aca="false">-IF(AB$5&gt;=Assumptions!$I$7-2,Assumptions!$I$91,0)</f>
        <v>-9000</v>
      </c>
      <c r="AC78" s="70" t="n">
        <f aca="false">-IF(AC$5&gt;=Assumptions!$I$7-2,Assumptions!$I$91,0)</f>
        <v>-9000</v>
      </c>
      <c r="AD78" s="70" t="n">
        <f aca="false">-IF(AD$5&gt;=Assumptions!$I$7-2,Assumptions!$I$91,0)</f>
        <v>-9000</v>
      </c>
      <c r="AE78" s="70" t="n">
        <f aca="false">-IF(AE$5&gt;=Assumptions!$I$7-2,Assumptions!$I$91,0)</f>
        <v>-9000</v>
      </c>
      <c r="AF78" s="70" t="n">
        <f aca="false">-IF(AF$5&gt;=Assumptions!$I$7-2,Assumptions!$I$91,0)</f>
        <v>-9000</v>
      </c>
      <c r="AG78" s="70" t="n">
        <f aca="false">-IF(AG$5&gt;=Assumptions!$I$7-2,Assumptions!$I$91,0)</f>
        <v>-9000</v>
      </c>
      <c r="AH78" s="70" t="n">
        <f aca="false">-IF(AH$5&gt;=Assumptions!$I$7-2,Assumptions!$I$91,0)</f>
        <v>-9000</v>
      </c>
      <c r="AI78" s="70" t="n">
        <f aca="false">-IF(AI$5&gt;=Assumptions!$I$7-2,Assumptions!$I$91,0)</f>
        <v>-9000</v>
      </c>
      <c r="AJ78" s="70" t="n">
        <f aca="false">-IF(AJ$5&gt;=Assumptions!$I$7-2,Assumptions!$I$91,0)</f>
        <v>-9000</v>
      </c>
      <c r="AK78" s="70" t="n">
        <f aca="false">-IF(AK$5&gt;=Assumptions!$I$7-2,Assumptions!$I$91,0)</f>
        <v>-9000</v>
      </c>
      <c r="AL78" s="70" t="n">
        <f aca="false">-IF(AL$5&gt;=Assumptions!$I$7-2,Assumptions!$I$91,0)</f>
        <v>-9000</v>
      </c>
      <c r="AM78" s="70" t="n">
        <f aca="false">SUM(C78:AL78)</f>
        <v>-288000</v>
      </c>
    </row>
    <row r="79" customFormat="false" ht="15" hidden="false" customHeight="false" outlineLevel="0" collapsed="false">
      <c r="A79" s="10" t="s">
        <v>814</v>
      </c>
      <c r="B79" s="9" t="s">
        <v>97</v>
      </c>
      <c r="C79" s="70" t="n">
        <f aca="false">-Assumptions!$I$92</f>
        <v>-1200</v>
      </c>
      <c r="D79" s="70" t="n">
        <f aca="false">-MAX(Assumptions!$I$92,C72*Assumptions!$I$90)</f>
        <v>-1200</v>
      </c>
      <c r="E79" s="70" t="n">
        <f aca="false">-MAX(Assumptions!$I$92,D72*Assumptions!$I$90)</f>
        <v>-3038.51991486365</v>
      </c>
      <c r="F79" s="70" t="n">
        <f aca="false">-MAX(Assumptions!$I$92,E72*Assumptions!$I$90)</f>
        <v>-2744.33139279096</v>
      </c>
      <c r="G79" s="70" t="n">
        <f aca="false">-MAX(Assumptions!$I$92,F72*Assumptions!$I$90)</f>
        <v>-2968.57599987017</v>
      </c>
      <c r="H79" s="70" t="n">
        <f aca="false">-MAX(Assumptions!$I$92,G72*Assumptions!$I$90)</f>
        <v>-3241.93931002087</v>
      </c>
      <c r="I79" s="70" t="n">
        <f aca="false">-MAX(Assumptions!$I$92,H72*Assumptions!$I$90)</f>
        <v>-3481.49266512908</v>
      </c>
      <c r="J79" s="70" t="n">
        <f aca="false">-MAX(Assumptions!$I$92,I72*Assumptions!$I$90)</f>
        <v>-3823.50785523019</v>
      </c>
      <c r="K79" s="70" t="n">
        <f aca="false">-MAX(Assumptions!$I$92,J72*Assumptions!$I$90)</f>
        <v>-4091.7632033663</v>
      </c>
      <c r="L79" s="70" t="n">
        <f aca="false">-MAX(Assumptions!$I$92,K72*Assumptions!$I$90)</f>
        <v>-4333.51258160988</v>
      </c>
      <c r="M79" s="70" t="n">
        <f aca="false">-MAX(Assumptions!$I$92,L72*Assumptions!$I$90)</f>
        <v>-4554.98527273439</v>
      </c>
      <c r="N79" s="70" t="n">
        <f aca="false">-MAX(Assumptions!$I$92,M72*Assumptions!$I$90)</f>
        <v>-4760.56599914285</v>
      </c>
      <c r="O79" s="70" t="n">
        <f aca="false">-MAX(Assumptions!$I$92,N72*Assumptions!$I$90)</f>
        <v>-4953.6965329584</v>
      </c>
      <c r="P79" s="70" t="n">
        <f aca="false">-MAX(Assumptions!$I$92,O72*Assumptions!$I$90)</f>
        <v>-5137.23621368689</v>
      </c>
      <c r="Q79" s="70" t="n">
        <f aca="false">-MAX(Assumptions!$I$92,P72*Assumptions!$I$90)</f>
        <v>-5313.59238640509</v>
      </c>
      <c r="R79" s="70" t="n">
        <f aca="false">-MAX(Assumptions!$I$92,Q72*Assumptions!$I$90)</f>
        <v>-5484.81311655606</v>
      </c>
      <c r="S79" s="70" t="n">
        <f aca="false">-MAX(Assumptions!$I$92,R72*Assumptions!$I$90)</f>
        <v>-5652.66139575052</v>
      </c>
      <c r="T79" s="70" t="n">
        <f aca="false">-MAX(Assumptions!$I$92,S72*Assumptions!$I$90)</f>
        <v>-5818.67617346714</v>
      </c>
      <c r="U79" s="70" t="n">
        <f aca="false">-MAX(Assumptions!$I$92,T72*Assumptions!$I$90)</f>
        <v>-5984.22294479559</v>
      </c>
      <c r="V79" s="70" t="n">
        <f aca="false">-MAX(Assumptions!$I$92,U72*Assumptions!$I$90)</f>
        <v>-6150.53590936483</v>
      </c>
      <c r="W79" s="70" t="n">
        <f aca="false">-MAX(Assumptions!$I$92,V72*Assumptions!$I$90)</f>
        <v>-6318.7533242832</v>
      </c>
      <c r="X79" s="70" t="n">
        <f aca="false">-MAX(Assumptions!$I$92,W72*Assumptions!$I$90)</f>
        <v>-6489.94738486691</v>
      </c>
      <c r="Y79" s="70" t="n">
        <f aca="false">-MAX(Assumptions!$I$92,X72*Assumptions!$I$90)</f>
        <v>-6665.14973554767</v>
      </c>
      <c r="Z79" s="70" t="n">
        <f aca="false">-MAX(Assumptions!$I$92,Y72*Assumptions!$I$90)</f>
        <v>-6845.37352426341</v>
      </c>
      <c r="AA79" s="70" t="n">
        <f aca="false">-MAX(Assumptions!$I$92,Z72*Assumptions!$I$90)</f>
        <v>-7031.63275848907</v>
      </c>
      <c r="AB79" s="70" t="n">
        <f aca="false">-MAX(Assumptions!$I$92,AA72*Assumptions!$I$90)</f>
        <v>-7224.95959393618</v>
      </c>
      <c r="AC79" s="70" t="n">
        <f aca="false">-MAX(Assumptions!$I$92,AB72*Assumptions!$I$90)</f>
        <v>-7419.21647856587</v>
      </c>
      <c r="AD79" s="70" t="n">
        <f aca="false">-MAX(Assumptions!$I$92,AC72*Assumptions!$I$90)</f>
        <v>-7613.07107419278</v>
      </c>
      <c r="AE79" s="70" t="n">
        <f aca="false">-MAX(Assumptions!$I$92,AD72*Assumptions!$I$90)</f>
        <v>-7809.54429748572</v>
      </c>
      <c r="AF79" s="70" t="n">
        <f aca="false">-MAX(Assumptions!$I$92,AE72*Assumptions!$I$90)</f>
        <v>-8010.03185419909</v>
      </c>
      <c r="AG79" s="70" t="n">
        <f aca="false">-MAX(Assumptions!$I$92,AF72*Assumptions!$I$90)</f>
        <v>-8215.8992539086</v>
      </c>
      <c r="AH79" s="70" t="n">
        <f aca="false">-MAX(Assumptions!$I$92,AG72*Assumptions!$I$90)</f>
        <v>-8428.53055017766</v>
      </c>
      <c r="AI79" s="70" t="n">
        <f aca="false">-MAX(Assumptions!$I$92,AH72*Assumptions!$I$90)</f>
        <v>-8649.34931692398</v>
      </c>
      <c r="AJ79" s="70" t="n">
        <f aca="false">-MAX(Assumptions!$I$92,AI72*Assumptions!$I$90)</f>
        <v>-8879.83198253549</v>
      </c>
      <c r="AK79" s="70" t="n">
        <f aca="false">-MAX(Assumptions!$I$92,AJ72*Assumptions!$I$90)</f>
        <v>-9121.52029532356</v>
      </c>
      <c r="AL79" s="70" t="n">
        <f aca="false">-MAX(Assumptions!$I$92,AK72*Assumptions!$I$90)</f>
        <v>-9376.033712736</v>
      </c>
      <c r="AM79" s="70" t="n">
        <f aca="false">SUM(C79:AL79)</f>
        <v>-208033.474005178</v>
      </c>
    </row>
    <row r="80" customFormat="false" ht="15" hidden="false" customHeight="false" outlineLevel="0" collapsed="false">
      <c r="A80" s="10" t="s">
        <v>815</v>
      </c>
      <c r="B80" s="9" t="s">
        <v>97</v>
      </c>
      <c r="C80" s="70" t="n">
        <f aca="false">-IF(C$5&lt;=3,Assumptions!$I$93,Assumptions!$I$94)</f>
        <v>-15000</v>
      </c>
      <c r="D80" s="70" t="n">
        <f aca="false">-IF(D$5&lt;=3,Assumptions!$I$93,Assumptions!$I$94)</f>
        <v>-15000</v>
      </c>
      <c r="E80" s="70" t="n">
        <f aca="false">-IF(E$5&lt;=3,Assumptions!$I$93,Assumptions!$I$94)</f>
        <v>-15000</v>
      </c>
      <c r="F80" s="70" t="n">
        <f aca="false">-IF(F$5&lt;=3,Assumptions!$I$93,Assumptions!$I$94)</f>
        <v>-4500</v>
      </c>
      <c r="G80" s="70" t="n">
        <f aca="false">-IF(G$5&lt;=3,Assumptions!$I$93,Assumptions!$I$94)</f>
        <v>-4500</v>
      </c>
      <c r="H80" s="70" t="n">
        <f aca="false">-IF(H$5&lt;=3,Assumptions!$I$93,Assumptions!$I$94)</f>
        <v>-4500</v>
      </c>
      <c r="I80" s="70" t="n">
        <f aca="false">-IF(I$5&lt;=3,Assumptions!$I$93,Assumptions!$I$94)</f>
        <v>-4500</v>
      </c>
      <c r="J80" s="70" t="n">
        <f aca="false">-IF(J$5&lt;=3,Assumptions!$I$93,Assumptions!$I$94)</f>
        <v>-4500</v>
      </c>
      <c r="K80" s="70" t="n">
        <f aca="false">-IF(K$5&lt;=3,Assumptions!$I$93,Assumptions!$I$94)</f>
        <v>-4500</v>
      </c>
      <c r="L80" s="70" t="n">
        <f aca="false">-IF(L$5&lt;=3,Assumptions!$I$93,Assumptions!$I$94)</f>
        <v>-4500</v>
      </c>
      <c r="M80" s="70" t="n">
        <f aca="false">-IF(M$5&lt;=3,Assumptions!$I$93,Assumptions!$I$94)</f>
        <v>-4500</v>
      </c>
      <c r="N80" s="70" t="n">
        <f aca="false">-IF(N$5&lt;=3,Assumptions!$I$93,Assumptions!$I$94)</f>
        <v>-4500</v>
      </c>
      <c r="O80" s="70" t="n">
        <f aca="false">-IF(O$5&lt;=3,Assumptions!$I$93,Assumptions!$I$94)</f>
        <v>-4500</v>
      </c>
      <c r="P80" s="70" t="n">
        <f aca="false">-IF(P$5&lt;=3,Assumptions!$I$93,Assumptions!$I$94)</f>
        <v>-4500</v>
      </c>
      <c r="Q80" s="70" t="n">
        <f aca="false">-IF(Q$5&lt;=3,Assumptions!$I$93,Assumptions!$I$94)</f>
        <v>-4500</v>
      </c>
      <c r="R80" s="70" t="n">
        <f aca="false">-IF(R$5&lt;=3,Assumptions!$I$93,Assumptions!$I$94)</f>
        <v>-4500</v>
      </c>
      <c r="S80" s="70" t="n">
        <f aca="false">-IF(S$5&lt;=3,Assumptions!$I$93,Assumptions!$I$94)</f>
        <v>-4500</v>
      </c>
      <c r="T80" s="70" t="n">
        <f aca="false">-IF(T$5&lt;=3,Assumptions!$I$93,Assumptions!$I$94)</f>
        <v>-4500</v>
      </c>
      <c r="U80" s="70" t="n">
        <f aca="false">-IF(U$5&lt;=3,Assumptions!$I$93,Assumptions!$I$94)</f>
        <v>-4500</v>
      </c>
      <c r="V80" s="70" t="n">
        <f aca="false">-IF(V$5&lt;=3,Assumptions!$I$93,Assumptions!$I$94)</f>
        <v>-4500</v>
      </c>
      <c r="W80" s="70" t="n">
        <f aca="false">-IF(W$5&lt;=3,Assumptions!$I$93,Assumptions!$I$94)</f>
        <v>-4500</v>
      </c>
      <c r="X80" s="70" t="n">
        <f aca="false">-IF(X$5&lt;=3,Assumptions!$I$93,Assumptions!$I$94)</f>
        <v>-4500</v>
      </c>
      <c r="Y80" s="70" t="n">
        <f aca="false">-IF(Y$5&lt;=3,Assumptions!$I$93,Assumptions!$I$94)</f>
        <v>-4500</v>
      </c>
      <c r="Z80" s="70" t="n">
        <f aca="false">-IF(Z$5&lt;=3,Assumptions!$I$93,Assumptions!$I$94)</f>
        <v>-4500</v>
      </c>
      <c r="AA80" s="70" t="n">
        <f aca="false">-IF(AA$5&lt;=3,Assumptions!$I$93,Assumptions!$I$94)</f>
        <v>-4500</v>
      </c>
      <c r="AB80" s="70" t="n">
        <f aca="false">-IF(AB$5&lt;=3,Assumptions!$I$93,Assumptions!$I$94)</f>
        <v>-4500</v>
      </c>
      <c r="AC80" s="70" t="n">
        <f aca="false">-IF(AC$5&lt;=3,Assumptions!$I$93,Assumptions!$I$94)</f>
        <v>-4500</v>
      </c>
      <c r="AD80" s="70" t="n">
        <f aca="false">-IF(AD$5&lt;=3,Assumptions!$I$93,Assumptions!$I$94)</f>
        <v>-4500</v>
      </c>
      <c r="AE80" s="70" t="n">
        <f aca="false">-IF(AE$5&lt;=3,Assumptions!$I$93,Assumptions!$I$94)</f>
        <v>-4500</v>
      </c>
      <c r="AF80" s="70" t="n">
        <f aca="false">-IF(AF$5&lt;=3,Assumptions!$I$93,Assumptions!$I$94)</f>
        <v>-4500</v>
      </c>
      <c r="AG80" s="70" t="n">
        <f aca="false">-IF(AG$5&lt;=3,Assumptions!$I$93,Assumptions!$I$94)</f>
        <v>-4500</v>
      </c>
      <c r="AH80" s="70" t="n">
        <f aca="false">-IF(AH$5&lt;=3,Assumptions!$I$93,Assumptions!$I$94)</f>
        <v>-4500</v>
      </c>
      <c r="AI80" s="70" t="n">
        <f aca="false">-IF(AI$5&lt;=3,Assumptions!$I$93,Assumptions!$I$94)</f>
        <v>-4500</v>
      </c>
      <c r="AJ80" s="70" t="n">
        <f aca="false">-IF(AJ$5&lt;=3,Assumptions!$I$93,Assumptions!$I$94)</f>
        <v>-4500</v>
      </c>
      <c r="AK80" s="70" t="n">
        <f aca="false">-IF(AK$5&lt;=3,Assumptions!$I$93,Assumptions!$I$94)</f>
        <v>-4500</v>
      </c>
      <c r="AL80" s="70" t="n">
        <f aca="false">-IF(AL$5&lt;=3,Assumptions!$I$93,Assumptions!$I$94)</f>
        <v>-4500</v>
      </c>
      <c r="AM80" s="70" t="n">
        <f aca="false">SUM(C80:AL80)</f>
        <v>-193500</v>
      </c>
    </row>
    <row r="81" customFormat="false" ht="15" hidden="false" customHeight="false" outlineLevel="0" collapsed="false">
      <c r="A81" s="10" t="s">
        <v>816</v>
      </c>
      <c r="B81" s="9" t="s">
        <v>97</v>
      </c>
      <c r="C81" s="70" t="n">
        <f aca="false">-C8*Assumptions!$I$95</f>
        <v>-0</v>
      </c>
      <c r="D81" s="70" t="n">
        <f aca="false">-D8*Assumptions!$I$95</f>
        <v>-2500</v>
      </c>
      <c r="E81" s="70" t="n">
        <f aca="false">-E8*Assumptions!$I$95</f>
        <v>-2500</v>
      </c>
      <c r="F81" s="70" t="n">
        <f aca="false">-F8*Assumptions!$I$95</f>
        <v>-2500</v>
      </c>
      <c r="G81" s="70" t="n">
        <f aca="false">-G8*Assumptions!$I$95</f>
        <v>-2500</v>
      </c>
      <c r="H81" s="70" t="n">
        <f aca="false">-H8*Assumptions!$I$95</f>
        <v>-2500</v>
      </c>
      <c r="I81" s="70" t="n">
        <f aca="false">-I8*Assumptions!$I$95</f>
        <v>-2500</v>
      </c>
      <c r="J81" s="70" t="n">
        <f aca="false">-J8*Assumptions!$I$95</f>
        <v>-2500</v>
      </c>
      <c r="K81" s="70" t="n">
        <f aca="false">-K8*Assumptions!$I$95</f>
        <v>-2500</v>
      </c>
      <c r="L81" s="70" t="n">
        <f aca="false">-L8*Assumptions!$I$95</f>
        <v>-2500</v>
      </c>
      <c r="M81" s="70" t="n">
        <f aca="false">-M8*Assumptions!$I$95</f>
        <v>-2500</v>
      </c>
      <c r="N81" s="70" t="n">
        <f aca="false">-N8*Assumptions!$I$95</f>
        <v>-2500</v>
      </c>
      <c r="O81" s="70" t="n">
        <f aca="false">-O8*Assumptions!$I$95</f>
        <v>-2500</v>
      </c>
      <c r="P81" s="70" t="n">
        <f aca="false">-P8*Assumptions!$I$95</f>
        <v>-2500</v>
      </c>
      <c r="Q81" s="70" t="n">
        <f aca="false">-Q8*Assumptions!$I$95</f>
        <v>-2500</v>
      </c>
      <c r="R81" s="70" t="n">
        <f aca="false">-R8*Assumptions!$I$95</f>
        <v>-2500</v>
      </c>
      <c r="S81" s="70" t="n">
        <f aca="false">-S8*Assumptions!$I$95</f>
        <v>-2500</v>
      </c>
      <c r="T81" s="70" t="n">
        <f aca="false">-T8*Assumptions!$I$95</f>
        <v>-2500</v>
      </c>
      <c r="U81" s="70" t="n">
        <f aca="false">-U8*Assumptions!$I$95</f>
        <v>-2500</v>
      </c>
      <c r="V81" s="70" t="n">
        <f aca="false">-V8*Assumptions!$I$95</f>
        <v>-2500</v>
      </c>
      <c r="W81" s="70" t="n">
        <f aca="false">-W8*Assumptions!$I$95</f>
        <v>-2500</v>
      </c>
      <c r="X81" s="70" t="n">
        <f aca="false">-X8*Assumptions!$I$95</f>
        <v>-2500</v>
      </c>
      <c r="Y81" s="70" t="n">
        <f aca="false">-Y8*Assumptions!$I$95</f>
        <v>-2500</v>
      </c>
      <c r="Z81" s="70" t="n">
        <f aca="false">-Z8*Assumptions!$I$95</f>
        <v>-2500</v>
      </c>
      <c r="AA81" s="70" t="n">
        <f aca="false">-AA8*Assumptions!$I$95</f>
        <v>-2500</v>
      </c>
      <c r="AB81" s="70" t="n">
        <f aca="false">-AB8*Assumptions!$I$95</f>
        <v>-2500</v>
      </c>
      <c r="AC81" s="70" t="n">
        <f aca="false">-AC8*Assumptions!$I$95</f>
        <v>-2500</v>
      </c>
      <c r="AD81" s="70" t="n">
        <f aca="false">-AD8*Assumptions!$I$95</f>
        <v>-2500</v>
      </c>
      <c r="AE81" s="70" t="n">
        <f aca="false">-AE8*Assumptions!$I$95</f>
        <v>-2500</v>
      </c>
      <c r="AF81" s="70" t="n">
        <f aca="false">-AF8*Assumptions!$I$95</f>
        <v>-2500</v>
      </c>
      <c r="AG81" s="70" t="n">
        <f aca="false">-AG8*Assumptions!$I$95</f>
        <v>-2500</v>
      </c>
      <c r="AH81" s="70" t="n">
        <f aca="false">-AH8*Assumptions!$I$95</f>
        <v>-2500</v>
      </c>
      <c r="AI81" s="70" t="n">
        <f aca="false">-AI8*Assumptions!$I$95</f>
        <v>-2500</v>
      </c>
      <c r="AJ81" s="70" t="n">
        <f aca="false">-AJ8*Assumptions!$I$95</f>
        <v>-2500</v>
      </c>
      <c r="AK81" s="70" t="n">
        <f aca="false">-AK8*Assumptions!$I$95</f>
        <v>-2500</v>
      </c>
      <c r="AL81" s="70" t="n">
        <f aca="false">-AL8*Assumptions!$I$95</f>
        <v>-2500</v>
      </c>
      <c r="AM81" s="70" t="n">
        <f aca="false">SUM(C81:AL81)</f>
        <v>-87500</v>
      </c>
    </row>
    <row r="82" customFormat="false" ht="15" hidden="false" customHeight="false" outlineLevel="0" collapsed="false">
      <c r="A82" s="10" t="s">
        <v>817</v>
      </c>
      <c r="B82" s="9" t="s">
        <v>97</v>
      </c>
      <c r="C82" s="70" t="n">
        <f aca="false">-Assumptions!$I$96</f>
        <v>-6000</v>
      </c>
      <c r="D82" s="70" t="n">
        <f aca="false">-MAX(Assumptions!$I$96,C72*Assumptions!$I$89)</f>
        <v>-6000</v>
      </c>
      <c r="E82" s="70" t="n">
        <f aca="false">-MAX(Assumptions!$I$96,D72*Assumptions!$I$89)</f>
        <v>-9495.37473394891</v>
      </c>
      <c r="F82" s="70" t="n">
        <f aca="false">-MAX(Assumptions!$I$96,E72*Assumptions!$I$89)</f>
        <v>-8576.03560247175</v>
      </c>
      <c r="G82" s="70" t="n">
        <f aca="false">-MAX(Assumptions!$I$96,F72*Assumptions!$I$89)</f>
        <v>-9276.79999959427</v>
      </c>
      <c r="H82" s="70" t="n">
        <f aca="false">-MAX(Assumptions!$I$96,G72*Assumptions!$I$89)</f>
        <v>-10131.0603438152</v>
      </c>
      <c r="I82" s="70" t="n">
        <f aca="false">-MAX(Assumptions!$I$96,H72*Assumptions!$I$89)</f>
        <v>-10879.6645785284</v>
      </c>
      <c r="J82" s="70" t="n">
        <f aca="false">-MAX(Assumptions!$I$96,I72*Assumptions!$I$89)</f>
        <v>-11948.4620475943</v>
      </c>
      <c r="K82" s="70" t="n">
        <f aca="false">-MAX(Assumptions!$I$96,J72*Assumptions!$I$89)</f>
        <v>-12786.7600105197</v>
      </c>
      <c r="L82" s="70" t="n">
        <f aca="false">-MAX(Assumptions!$I$96,K72*Assumptions!$I$89)</f>
        <v>-13542.2268175309</v>
      </c>
      <c r="M82" s="70" t="n">
        <f aca="false">-MAX(Assumptions!$I$96,L72*Assumptions!$I$89)</f>
        <v>-14234.328977295</v>
      </c>
      <c r="N82" s="70" t="n">
        <f aca="false">-MAX(Assumptions!$I$96,M72*Assumptions!$I$89)</f>
        <v>-14876.7687473214</v>
      </c>
      <c r="O82" s="70" t="n">
        <f aca="false">-MAX(Assumptions!$I$96,N72*Assumptions!$I$89)</f>
        <v>-15480.301665495</v>
      </c>
      <c r="P82" s="70" t="n">
        <f aca="false">-MAX(Assumptions!$I$96,O72*Assumptions!$I$89)</f>
        <v>-16053.8631677715</v>
      </c>
      <c r="Q82" s="70" t="n">
        <f aca="false">-MAX(Assumptions!$I$96,P72*Assumptions!$I$89)</f>
        <v>-16604.9762075159</v>
      </c>
      <c r="R82" s="70" t="n">
        <f aca="false">-MAX(Assumptions!$I$96,Q72*Assumptions!$I$89)</f>
        <v>-17140.0409892377</v>
      </c>
      <c r="S82" s="70" t="n">
        <f aca="false">-MAX(Assumptions!$I$96,R72*Assumptions!$I$89)</f>
        <v>-17664.5668617204</v>
      </c>
      <c r="T82" s="70" t="n">
        <f aca="false">-MAX(Assumptions!$I$96,S72*Assumptions!$I$89)</f>
        <v>-18183.3630420848</v>
      </c>
      <c r="U82" s="70" t="n">
        <f aca="false">-MAX(Assumptions!$I$96,T72*Assumptions!$I$89)</f>
        <v>-18700.6967024862</v>
      </c>
      <c r="V82" s="70" t="n">
        <f aca="false">-MAX(Assumptions!$I$96,U72*Assumptions!$I$89)</f>
        <v>-19220.4247167651</v>
      </c>
      <c r="W82" s="70" t="n">
        <f aca="false">-MAX(Assumptions!$I$96,V72*Assumptions!$I$89)</f>
        <v>-19746.104138385</v>
      </c>
      <c r="X82" s="70" t="n">
        <f aca="false">-MAX(Assumptions!$I$96,W72*Assumptions!$I$89)</f>
        <v>-20281.0855777091</v>
      </c>
      <c r="Y82" s="70" t="n">
        <f aca="false">-MAX(Assumptions!$I$96,X72*Assumptions!$I$89)</f>
        <v>-20828.5929235865</v>
      </c>
      <c r="Z82" s="70" t="n">
        <f aca="false">-MAX(Assumptions!$I$96,Y72*Assumptions!$I$89)</f>
        <v>-21391.7922633232</v>
      </c>
      <c r="AA82" s="70" t="n">
        <f aca="false">-MAX(Assumptions!$I$96,Z72*Assumptions!$I$89)</f>
        <v>-21973.8523702784</v>
      </c>
      <c r="AB82" s="70" t="n">
        <f aca="false">-MAX(Assumptions!$I$96,AA72*Assumptions!$I$89)</f>
        <v>-22577.9987310506</v>
      </c>
      <c r="AC82" s="70" t="n">
        <f aca="false">-MAX(Assumptions!$I$96,AB72*Assumptions!$I$89)</f>
        <v>-23185.0514955183</v>
      </c>
      <c r="AD82" s="70" t="n">
        <f aca="false">-MAX(Assumptions!$I$96,AC72*Assumptions!$I$89)</f>
        <v>-23790.8471068524</v>
      </c>
      <c r="AE82" s="70" t="n">
        <f aca="false">-MAX(Assumptions!$I$96,AD72*Assumptions!$I$89)</f>
        <v>-24404.8259296429</v>
      </c>
      <c r="AF82" s="70" t="n">
        <f aca="false">-MAX(Assumptions!$I$96,AE72*Assumptions!$I$89)</f>
        <v>-25031.3495443721</v>
      </c>
      <c r="AG82" s="70" t="n">
        <f aca="false">-MAX(Assumptions!$I$96,AF72*Assumptions!$I$89)</f>
        <v>-25674.6851684644</v>
      </c>
      <c r="AH82" s="70" t="n">
        <f aca="false">-MAX(Assumptions!$I$96,AG72*Assumptions!$I$89)</f>
        <v>-26339.1579693052</v>
      </c>
      <c r="AI82" s="70" t="n">
        <f aca="false">-MAX(Assumptions!$I$96,AH72*Assumptions!$I$89)</f>
        <v>-27029.2166153874</v>
      </c>
      <c r="AJ82" s="70" t="n">
        <f aca="false">-MAX(Assumptions!$I$96,AI72*Assumptions!$I$89)</f>
        <v>-27749.4749454234</v>
      </c>
      <c r="AK82" s="70" t="n">
        <f aca="false">-MAX(Assumptions!$I$96,AJ72*Assumptions!$I$89)</f>
        <v>-28504.7509228861</v>
      </c>
      <c r="AL82" s="70" t="n">
        <f aca="false">-MAX(Assumptions!$I$96,AK72*Assumptions!$I$89)</f>
        <v>-29300.1053523</v>
      </c>
      <c r="AM82" s="70" t="n">
        <f aca="false">SUM(C82:AL82)</f>
        <v>-654604.606266181</v>
      </c>
    </row>
    <row r="83" customFormat="false" ht="15" hidden="false" customHeight="false" outlineLevel="0" collapsed="false">
      <c r="A83" s="10" t="s">
        <v>818</v>
      </c>
      <c r="B83" s="9" t="s">
        <v>97</v>
      </c>
      <c r="C83" s="70" t="n">
        <f aca="false">-C26</f>
        <v>-8000</v>
      </c>
      <c r="D83" s="70" t="n">
        <f aca="false">-D26</f>
        <v>-30000</v>
      </c>
      <c r="E83" s="70" t="n">
        <f aca="false">-E26</f>
        <v>-91155.5974459095</v>
      </c>
      <c r="F83" s="70" t="n">
        <f aca="false">-F26</f>
        <v>-82329.9417837288</v>
      </c>
      <c r="G83" s="70" t="n">
        <f aca="false">-G26</f>
        <v>-89057.279996105</v>
      </c>
      <c r="H83" s="70" t="n">
        <f aca="false">-H26</f>
        <v>-97258.179300626</v>
      </c>
      <c r="I83" s="70" t="n">
        <f aca="false">-I26</f>
        <v>-104444.779953872</v>
      </c>
      <c r="J83" s="70" t="n">
        <f aca="false">-J26</f>
        <v>-114705.235656906</v>
      </c>
      <c r="K83" s="70" t="n">
        <f aca="false">-K26</f>
        <v>-122752.896100989</v>
      </c>
      <c r="L83" s="70" t="n">
        <f aca="false">-L26</f>
        <v>-130005.377448296</v>
      </c>
      <c r="M83" s="70" t="n">
        <f aca="false">-M26</f>
        <v>-136649.558182032</v>
      </c>
      <c r="N83" s="70" t="n">
        <f aca="false">-N26</f>
        <v>-142816.979974285</v>
      </c>
      <c r="O83" s="70" t="n">
        <f aca="false">-O26</f>
        <v>-148610.895988752</v>
      </c>
      <c r="P83" s="70" t="n">
        <f aca="false">-P26</f>
        <v>-154117.086410607</v>
      </c>
      <c r="Q83" s="70" t="n">
        <f aca="false">-Q26</f>
        <v>-159407.771592153</v>
      </c>
      <c r="R83" s="70" t="n">
        <f aca="false">-R26</f>
        <v>-164544.393496682</v>
      </c>
      <c r="S83" s="70" t="n">
        <f aca="false">-S26</f>
        <v>-169579.841872515</v>
      </c>
      <c r="T83" s="70" t="n">
        <f aca="false">-T26</f>
        <v>-174560.285204014</v>
      </c>
      <c r="U83" s="70" t="n">
        <f aca="false">-U26</f>
        <v>-179526.688343868</v>
      </c>
      <c r="V83" s="70" t="n">
        <f aca="false">-V26</f>
        <v>-184516.077280945</v>
      </c>
      <c r="W83" s="70" t="n">
        <f aca="false">-W26</f>
        <v>-189562.599728496</v>
      </c>
      <c r="X83" s="70" t="n">
        <f aca="false">-X26</f>
        <v>-194698.421546007</v>
      </c>
      <c r="Y83" s="70" t="n">
        <f aca="false">-Y26</f>
        <v>-199954.49206643</v>
      </c>
      <c r="Z83" s="70" t="n">
        <f aca="false">-Z26</f>
        <v>-205361.205727902</v>
      </c>
      <c r="AA83" s="70" t="n">
        <f aca="false">-AA26</f>
        <v>-210948.982754672</v>
      </c>
      <c r="AB83" s="70" t="n">
        <f aca="false">-AB26</f>
        <v>-216748.787818085</v>
      </c>
      <c r="AC83" s="70" t="n">
        <f aca="false">-AC26</f>
        <v>-222576.494356976</v>
      </c>
      <c r="AD83" s="70" t="n">
        <f aca="false">-AD26</f>
        <v>-228392.132225783</v>
      </c>
      <c r="AE83" s="70" t="n">
        <f aca="false">-AE26</f>
        <v>-234286.328924571</v>
      </c>
      <c r="AF83" s="70" t="n">
        <f aca="false">-AF26</f>
        <v>-240300.955625973</v>
      </c>
      <c r="AG83" s="70" t="n">
        <f aca="false">-AG26</f>
        <v>-246476.977617258</v>
      </c>
      <c r="AH83" s="70" t="n">
        <f aca="false">-AH26</f>
        <v>-252855.91650533</v>
      </c>
      <c r="AI83" s="70" t="n">
        <f aca="false">-AI26</f>
        <v>-259480.479507719</v>
      </c>
      <c r="AJ83" s="70" t="n">
        <f aca="false">-AJ26</f>
        <v>-266394.959476065</v>
      </c>
      <c r="AK83" s="70" t="n">
        <f aca="false">-AK26</f>
        <v>-273645.608859707</v>
      </c>
      <c r="AL83" s="70" t="n">
        <f aca="false">-AL26</f>
        <v>-281281.01138208</v>
      </c>
      <c r="AM83" s="70" t="n">
        <f aca="false">SUM(C83:AL83)</f>
        <v>-6207004.22015534</v>
      </c>
    </row>
    <row r="84" customFormat="false" ht="15" hidden="false" customHeight="false" outlineLevel="0" collapsed="false">
      <c r="A84" s="10" t="s">
        <v>819</v>
      </c>
      <c r="B84" s="9" t="s">
        <v>97</v>
      </c>
      <c r="C84" s="70" t="n">
        <f aca="false">-IF(C$5=Assumptions!$I$6,Assumptions!$I$23,0)</f>
        <v>-0</v>
      </c>
      <c r="D84" s="70" t="n">
        <f aca="false">-IF(D$5=Assumptions!$I$6,Assumptions!$I$23,0)</f>
        <v>-60000</v>
      </c>
      <c r="E84" s="70" t="n">
        <f aca="false">-IF(E$5=Assumptions!$I$6,Assumptions!$I$23,0)</f>
        <v>-0</v>
      </c>
      <c r="F84" s="70" t="n">
        <f aca="false">-IF(F$5=Assumptions!$I$6,Assumptions!$I$23,0)</f>
        <v>-0</v>
      </c>
      <c r="G84" s="70" t="n">
        <f aca="false">-IF(G$5=Assumptions!$I$6,Assumptions!$I$23,0)</f>
        <v>-0</v>
      </c>
      <c r="H84" s="70" t="n">
        <f aca="false">-IF(H$5=Assumptions!$I$6,Assumptions!$I$23,0)</f>
        <v>-0</v>
      </c>
      <c r="I84" s="70" t="n">
        <f aca="false">-IF(I$5=Assumptions!$I$6,Assumptions!$I$23,0)</f>
        <v>-0</v>
      </c>
      <c r="J84" s="70" t="n">
        <f aca="false">-IF(J$5=Assumptions!$I$6,Assumptions!$I$23,0)</f>
        <v>-0</v>
      </c>
      <c r="K84" s="70" t="n">
        <f aca="false">-IF(K$5=Assumptions!$I$6,Assumptions!$I$23,0)</f>
        <v>-0</v>
      </c>
      <c r="L84" s="70" t="n">
        <f aca="false">-IF(L$5=Assumptions!$I$6,Assumptions!$I$23,0)</f>
        <v>-0</v>
      </c>
      <c r="M84" s="70" t="n">
        <f aca="false">-IF(M$5=Assumptions!$I$6,Assumptions!$I$23,0)</f>
        <v>-0</v>
      </c>
      <c r="N84" s="70" t="n">
        <f aca="false">-IF(N$5=Assumptions!$I$6,Assumptions!$I$23,0)</f>
        <v>-0</v>
      </c>
      <c r="O84" s="70" t="n">
        <f aca="false">-IF(O$5=Assumptions!$I$6,Assumptions!$I$23,0)</f>
        <v>-0</v>
      </c>
      <c r="P84" s="70" t="n">
        <f aca="false">-IF(P$5=Assumptions!$I$6,Assumptions!$I$23,0)</f>
        <v>-0</v>
      </c>
      <c r="Q84" s="70" t="n">
        <f aca="false">-IF(Q$5=Assumptions!$I$6,Assumptions!$I$23,0)</f>
        <v>-0</v>
      </c>
      <c r="R84" s="70" t="n">
        <f aca="false">-IF(R$5=Assumptions!$I$6,Assumptions!$I$23,0)</f>
        <v>-0</v>
      </c>
      <c r="S84" s="70" t="n">
        <f aca="false">-IF(S$5=Assumptions!$I$6,Assumptions!$I$23,0)</f>
        <v>-0</v>
      </c>
      <c r="T84" s="70" t="n">
        <f aca="false">-IF(T$5=Assumptions!$I$6,Assumptions!$I$23,0)</f>
        <v>-0</v>
      </c>
      <c r="U84" s="70" t="n">
        <f aca="false">-IF(U$5=Assumptions!$I$6,Assumptions!$I$23,0)</f>
        <v>-0</v>
      </c>
      <c r="V84" s="70" t="n">
        <f aca="false">-IF(V$5=Assumptions!$I$6,Assumptions!$I$23,0)</f>
        <v>-0</v>
      </c>
      <c r="W84" s="70" t="n">
        <f aca="false">-IF(W$5=Assumptions!$I$6,Assumptions!$I$23,0)</f>
        <v>-0</v>
      </c>
      <c r="X84" s="70" t="n">
        <f aca="false">-IF(X$5=Assumptions!$I$6,Assumptions!$I$23,0)</f>
        <v>-0</v>
      </c>
      <c r="Y84" s="70" t="n">
        <f aca="false">-IF(Y$5=Assumptions!$I$6,Assumptions!$I$23,0)</f>
        <v>-0</v>
      </c>
      <c r="Z84" s="70" t="n">
        <f aca="false">-IF(Z$5=Assumptions!$I$6,Assumptions!$I$23,0)</f>
        <v>-0</v>
      </c>
      <c r="AA84" s="70" t="n">
        <f aca="false">-IF(AA$5=Assumptions!$I$6,Assumptions!$I$23,0)</f>
        <v>-0</v>
      </c>
      <c r="AB84" s="70" t="n">
        <f aca="false">-IF(AB$5=Assumptions!$I$6,Assumptions!$I$23,0)</f>
        <v>-0</v>
      </c>
      <c r="AC84" s="70" t="n">
        <f aca="false">-IF(AC$5=Assumptions!$I$6,Assumptions!$I$23,0)</f>
        <v>-0</v>
      </c>
      <c r="AD84" s="70" t="n">
        <f aca="false">-IF(AD$5=Assumptions!$I$6,Assumptions!$I$23,0)</f>
        <v>-0</v>
      </c>
      <c r="AE84" s="70" t="n">
        <f aca="false">-IF(AE$5=Assumptions!$I$6,Assumptions!$I$23,0)</f>
        <v>-0</v>
      </c>
      <c r="AF84" s="70" t="n">
        <f aca="false">-IF(AF$5=Assumptions!$I$6,Assumptions!$I$23,0)</f>
        <v>-0</v>
      </c>
      <c r="AG84" s="70" t="n">
        <f aca="false">-IF(AG$5=Assumptions!$I$6,Assumptions!$I$23,0)</f>
        <v>-0</v>
      </c>
      <c r="AH84" s="70" t="n">
        <f aca="false">-IF(AH$5=Assumptions!$I$6,Assumptions!$I$23,0)</f>
        <v>-0</v>
      </c>
      <c r="AI84" s="70" t="n">
        <f aca="false">-IF(AI$5=Assumptions!$I$6,Assumptions!$I$23,0)</f>
        <v>-0</v>
      </c>
      <c r="AJ84" s="70" t="n">
        <f aca="false">-IF(AJ$5=Assumptions!$I$6,Assumptions!$I$23,0)</f>
        <v>-0</v>
      </c>
      <c r="AK84" s="70" t="n">
        <f aca="false">-IF(AK$5=Assumptions!$I$6,Assumptions!$I$23,0)</f>
        <v>-0</v>
      </c>
      <c r="AL84" s="70" t="n">
        <f aca="false">-IF(AL$5=Assumptions!$I$6,Assumptions!$I$23,0)</f>
        <v>-0</v>
      </c>
      <c r="AM84" s="70" t="n">
        <f aca="false">SUM(C84:AL84)</f>
        <v>-60000</v>
      </c>
    </row>
    <row r="85" customFormat="false" ht="15" hidden="false" customHeight="false" outlineLevel="0" collapsed="false">
      <c r="A85" s="10" t="s">
        <v>820</v>
      </c>
      <c r="B85" s="9" t="s">
        <v>97</v>
      </c>
      <c r="C85" s="70" t="n">
        <f aca="false">-C8*Assumptions!$I$98</f>
        <v>-0</v>
      </c>
      <c r="D85" s="70" t="n">
        <f aca="false">-D8*Assumptions!$I$98</f>
        <v>-15000</v>
      </c>
      <c r="E85" s="70" t="n">
        <f aca="false">-E8*Assumptions!$I$98</f>
        <v>-15000</v>
      </c>
      <c r="F85" s="70" t="n">
        <f aca="false">-F8*Assumptions!$I$98</f>
        <v>-15000</v>
      </c>
      <c r="G85" s="70" t="n">
        <f aca="false">-G8*Assumptions!$I$98</f>
        <v>-15000</v>
      </c>
      <c r="H85" s="70" t="n">
        <f aca="false">-H8*Assumptions!$I$98</f>
        <v>-15000</v>
      </c>
      <c r="I85" s="70" t="n">
        <f aca="false">-I8*Assumptions!$I$98</f>
        <v>-15000</v>
      </c>
      <c r="J85" s="70" t="n">
        <f aca="false">-J8*Assumptions!$I$98</f>
        <v>-15000</v>
      </c>
      <c r="K85" s="70" t="n">
        <f aca="false">-K8*Assumptions!$I$98</f>
        <v>-15000</v>
      </c>
      <c r="L85" s="70" t="n">
        <f aca="false">-L8*Assumptions!$I$98</f>
        <v>-15000</v>
      </c>
      <c r="M85" s="70" t="n">
        <f aca="false">-M8*Assumptions!$I$98</f>
        <v>-15000</v>
      </c>
      <c r="N85" s="70" t="n">
        <f aca="false">-N8*Assumptions!$I$98</f>
        <v>-15000</v>
      </c>
      <c r="O85" s="70" t="n">
        <f aca="false">-O8*Assumptions!$I$98</f>
        <v>-15000</v>
      </c>
      <c r="P85" s="70" t="n">
        <f aca="false">-P8*Assumptions!$I$98</f>
        <v>-15000</v>
      </c>
      <c r="Q85" s="70" t="n">
        <f aca="false">-Q8*Assumptions!$I$98</f>
        <v>-15000</v>
      </c>
      <c r="R85" s="70" t="n">
        <f aca="false">-R8*Assumptions!$I$98</f>
        <v>-15000</v>
      </c>
      <c r="S85" s="70" t="n">
        <f aca="false">-S8*Assumptions!$I$98</f>
        <v>-15000</v>
      </c>
      <c r="T85" s="70" t="n">
        <f aca="false">-T8*Assumptions!$I$98</f>
        <v>-15000</v>
      </c>
      <c r="U85" s="70" t="n">
        <f aca="false">-U8*Assumptions!$I$98</f>
        <v>-15000</v>
      </c>
      <c r="V85" s="70" t="n">
        <f aca="false">-V8*Assumptions!$I$98</f>
        <v>-15000</v>
      </c>
      <c r="W85" s="70" t="n">
        <f aca="false">-W8*Assumptions!$I$98</f>
        <v>-15000</v>
      </c>
      <c r="X85" s="70" t="n">
        <f aca="false">-X8*Assumptions!$I$98</f>
        <v>-15000</v>
      </c>
      <c r="Y85" s="70" t="n">
        <f aca="false">-Y8*Assumptions!$I$98</f>
        <v>-15000</v>
      </c>
      <c r="Z85" s="70" t="n">
        <f aca="false">-Z8*Assumptions!$I$98</f>
        <v>-15000</v>
      </c>
      <c r="AA85" s="70" t="n">
        <f aca="false">-AA8*Assumptions!$I$98</f>
        <v>-15000</v>
      </c>
      <c r="AB85" s="70" t="n">
        <f aca="false">-AB8*Assumptions!$I$98</f>
        <v>-15000</v>
      </c>
      <c r="AC85" s="70" t="n">
        <f aca="false">-AC8*Assumptions!$I$98</f>
        <v>-15000</v>
      </c>
      <c r="AD85" s="70" t="n">
        <f aca="false">-AD8*Assumptions!$I$98</f>
        <v>-15000</v>
      </c>
      <c r="AE85" s="70" t="n">
        <f aca="false">-AE8*Assumptions!$I$98</f>
        <v>-15000</v>
      </c>
      <c r="AF85" s="70" t="n">
        <f aca="false">-AF8*Assumptions!$I$98</f>
        <v>-15000</v>
      </c>
      <c r="AG85" s="70" t="n">
        <f aca="false">-AG8*Assumptions!$I$98</f>
        <v>-15000</v>
      </c>
      <c r="AH85" s="70" t="n">
        <f aca="false">-AH8*Assumptions!$I$98</f>
        <v>-15000</v>
      </c>
      <c r="AI85" s="70" t="n">
        <f aca="false">-AI8*Assumptions!$I$98</f>
        <v>-15000</v>
      </c>
      <c r="AJ85" s="70" t="n">
        <f aca="false">-AJ8*Assumptions!$I$98</f>
        <v>-15000</v>
      </c>
      <c r="AK85" s="70" t="n">
        <f aca="false">-AK8*Assumptions!$I$98</f>
        <v>-15000</v>
      </c>
      <c r="AL85" s="70" t="n">
        <f aca="false">-AL8*Assumptions!$I$98</f>
        <v>-15000</v>
      </c>
      <c r="AM85" s="70" t="n">
        <f aca="false">SUM(C85:AL85)</f>
        <v>-525000</v>
      </c>
    </row>
    <row r="86" customFormat="false" ht="15" hidden="false" customHeight="false" outlineLevel="0" collapsed="false">
      <c r="A86" s="10" t="s">
        <v>362</v>
      </c>
      <c r="B86" s="9" t="s">
        <v>97</v>
      </c>
      <c r="C86" s="70" t="n">
        <f aca="false">-C72*Assumptions!$I$99</f>
        <v>-0</v>
      </c>
      <c r="D86" s="70" t="n">
        <f aca="false">-D72*Assumptions!$I$99</f>
        <v>-18990.7494678978</v>
      </c>
      <c r="E86" s="70" t="n">
        <f aca="false">-E72*Assumptions!$I$99</f>
        <v>-17152.0712049435</v>
      </c>
      <c r="F86" s="70" t="n">
        <f aca="false">-F72*Assumptions!$I$99</f>
        <v>-18553.5999991885</v>
      </c>
      <c r="G86" s="70" t="n">
        <f aca="false">-G72*Assumptions!$I$99</f>
        <v>-20262.1206876304</v>
      </c>
      <c r="H86" s="70" t="n">
        <f aca="false">-H72*Assumptions!$I$99</f>
        <v>-21759.3291570568</v>
      </c>
      <c r="I86" s="70" t="n">
        <f aca="false">-I72*Assumptions!$I$99</f>
        <v>-23896.9240951887</v>
      </c>
      <c r="J86" s="70" t="n">
        <f aca="false">-J72*Assumptions!$I$99</f>
        <v>-25573.5200210394</v>
      </c>
      <c r="K86" s="70" t="n">
        <f aca="false">-K72*Assumptions!$I$99</f>
        <v>-27084.4536350618</v>
      </c>
      <c r="L86" s="70" t="n">
        <f aca="false">-L72*Assumptions!$I$99</f>
        <v>-28468.6579545899</v>
      </c>
      <c r="M86" s="70" t="n">
        <f aca="false">-M72*Assumptions!$I$99</f>
        <v>-29753.5374946428</v>
      </c>
      <c r="N86" s="70" t="n">
        <f aca="false">-N72*Assumptions!$I$99</f>
        <v>-30960.60333099</v>
      </c>
      <c r="O86" s="70" t="n">
        <f aca="false">-O72*Assumptions!$I$99</f>
        <v>-32107.7263355431</v>
      </c>
      <c r="P86" s="70" t="n">
        <f aca="false">-P72*Assumptions!$I$99</f>
        <v>-33209.9524150318</v>
      </c>
      <c r="Q86" s="70" t="n">
        <f aca="false">-Q72*Assumptions!$I$99</f>
        <v>-34280.0819784754</v>
      </c>
      <c r="R86" s="70" t="n">
        <f aca="false">-R72*Assumptions!$I$99</f>
        <v>-35329.1337234407</v>
      </c>
      <c r="S86" s="70" t="n">
        <f aca="false">-S72*Assumptions!$I$99</f>
        <v>-36366.7260841696</v>
      </c>
      <c r="T86" s="70" t="n">
        <f aca="false">-T72*Assumptions!$I$99</f>
        <v>-37401.3934049725</v>
      </c>
      <c r="U86" s="70" t="n">
        <f aca="false">-U72*Assumptions!$I$99</f>
        <v>-38440.8494335302</v>
      </c>
      <c r="V86" s="70" t="n">
        <f aca="false">-V72*Assumptions!$I$99</f>
        <v>-39492.20827677</v>
      </c>
      <c r="W86" s="70" t="n">
        <f aca="false">-W72*Assumptions!$I$99</f>
        <v>-40562.1711554182</v>
      </c>
      <c r="X86" s="70" t="n">
        <f aca="false">-X72*Assumptions!$I$99</f>
        <v>-41657.185847173</v>
      </c>
      <c r="Y86" s="70" t="n">
        <f aca="false">-Y72*Assumptions!$I$99</f>
        <v>-42783.5845266463</v>
      </c>
      <c r="Z86" s="70" t="n">
        <f aca="false">-Z72*Assumptions!$I$99</f>
        <v>-43947.7047405567</v>
      </c>
      <c r="AA86" s="70" t="n">
        <f aca="false">-AA72*Assumptions!$I$99</f>
        <v>-45155.9974621011</v>
      </c>
      <c r="AB86" s="70" t="n">
        <f aca="false">-AB72*Assumptions!$I$99</f>
        <v>-46370.1029910367</v>
      </c>
      <c r="AC86" s="70" t="n">
        <f aca="false">-AC72*Assumptions!$I$99</f>
        <v>-47581.6942137049</v>
      </c>
      <c r="AD86" s="70" t="n">
        <f aca="false">-AD72*Assumptions!$I$99</f>
        <v>-48809.6518592857</v>
      </c>
      <c r="AE86" s="70" t="n">
        <f aca="false">-AE72*Assumptions!$I$99</f>
        <v>-50062.6990887443</v>
      </c>
      <c r="AF86" s="70" t="n">
        <f aca="false">-AF72*Assumptions!$I$99</f>
        <v>-51349.3703369288</v>
      </c>
      <c r="AG86" s="70" t="n">
        <f aca="false">-AG72*Assumptions!$I$99</f>
        <v>-52678.3159386104</v>
      </c>
      <c r="AH86" s="70" t="n">
        <f aca="false">-AH72*Assumptions!$I$99</f>
        <v>-54058.4332307749</v>
      </c>
      <c r="AI86" s="70" t="n">
        <f aca="false">-AI72*Assumptions!$I$99</f>
        <v>-55498.9498908468</v>
      </c>
      <c r="AJ86" s="70" t="n">
        <f aca="false">-AJ72*Assumptions!$I$99</f>
        <v>-57009.5018457722</v>
      </c>
      <c r="AK86" s="70" t="n">
        <f aca="false">-AK72*Assumptions!$I$99</f>
        <v>-58600.2107046</v>
      </c>
      <c r="AL86" s="70" t="n">
        <f aca="false">-AL72*Assumptions!$I$99</f>
        <v>-60281.7622281968</v>
      </c>
      <c r="AM86" s="70" t="n">
        <f aca="false">SUM(C86:AL86)</f>
        <v>-1345490.97476056</v>
      </c>
    </row>
    <row r="87" customFormat="false" ht="15" hidden="false" customHeight="false" outlineLevel="0" collapsed="false">
      <c r="A87" s="37" t="s">
        <v>821</v>
      </c>
      <c r="B87" s="9" t="s">
        <v>97</v>
      </c>
      <c r="C87" s="53" t="n">
        <f aca="false">C75+C76+C77+C78+C79+C80+C81+C82+C83+C84+C85+C86</f>
        <v>-37080</v>
      </c>
      <c r="D87" s="53" t="n">
        <f aca="false">D75+D76+D77+D78+D79+D80+D81+D82+D83+D84+D85+D86</f>
        <v>-165570.749467898</v>
      </c>
      <c r="E87" s="53" t="n">
        <f aca="false">E75+E76+E77+E78+E79+E80+E81+E82+E83+E84+E85+E86</f>
        <v>-177010.462661143</v>
      </c>
      <c r="F87" s="53" t="n">
        <f aca="false">F75+F76+F77+F78+F79+F80+F81+F82+F83+F84+F85+F86</f>
        <v>-155666.394224112</v>
      </c>
      <c r="G87" s="53" t="n">
        <f aca="false">G75+G76+G77+G78+G79+G80+G81+G82+G83+G84+G85+G86</f>
        <v>-175709.096682226</v>
      </c>
      <c r="H87" s="53" t="n">
        <f aca="false">H75+H76+H77+H78+H79+H80+H81+H82+H83+H84+H85+H86</f>
        <v>-188585.052936675</v>
      </c>
      <c r="I87" s="53" t="n">
        <f aca="false">I75+I76+I77+I78+I79+I80+I81+I82+I83+I84+I85+I86</f>
        <v>-200694.056281187</v>
      </c>
      <c r="J87" s="53" t="n">
        <f aca="false">J75+J76+J77+J78+J79+J80+J81+J82+J83+J84+J85+J86</f>
        <v>-216607.034494996</v>
      </c>
      <c r="K87" s="53" t="n">
        <f aca="false">K75+K76+K77+K78+K79+K80+K81+K82+K83+K84+K85+K86</f>
        <v>-229284.096975184</v>
      </c>
      <c r="L87" s="53" t="n">
        <f aca="false">L75+L76+L77+L78+L79+L80+L81+L82+L83+L84+L85+L86</f>
        <v>-240731.119164101</v>
      </c>
      <c r="M87" s="53" t="n">
        <f aca="false">M75+M76+M77+M78+M79+M80+M81+M82+M83+M84+M85+M86</f>
        <v>-251234.799472212</v>
      </c>
      <c r="N87" s="53" t="n">
        <f aca="false">N75+N76+N77+N78+N79+N80+N81+N82+N83+N84+N85+N86</f>
        <v>-260999.163045311</v>
      </c>
      <c r="O87" s="53" t="n">
        <f aca="false">O75+O76+O77+O78+O79+O80+O81+O82+O83+O84+O85+O86</f>
        <v>-270185.344519937</v>
      </c>
      <c r="P87" s="53" t="n">
        <f aca="false">P75+P76+P77+P78+P79+P80+P81+P82+P83+P84+P85+P86</f>
        <v>-278927.409809749</v>
      </c>
      <c r="Q87" s="53" t="n">
        <f aca="false">Q75+Q76+Q77+Q78+Q79+Q80+Q81+Q82+Q83+Q84+Q85+Q86</f>
        <v>-287338.365062587</v>
      </c>
      <c r="R87" s="53" t="n">
        <f aca="false">R75+R76+R77+R78+R79+R80+R81+R82+R83+R84+R85+R86</f>
        <v>-295514.479700087</v>
      </c>
      <c r="S87" s="53" t="n">
        <f aca="false">S75+S76+S77+S78+S79+S80+S81+S82+S83+S84+S85+S86</f>
        <v>-303538.756682285</v>
      </c>
      <c r="T87" s="53" t="n">
        <f aca="false">T75+T76+T77+T78+T79+T80+T81+T82+T83+T84+T85+T86</f>
        <v>-311483.789125542</v>
      </c>
      <c r="U87" s="53" t="n">
        <f aca="false">U75+U76+U77+U78+U79+U80+U81+U82+U83+U84+U85+U86</f>
        <v>-319414.129510647</v>
      </c>
      <c r="V87" s="53" t="n">
        <f aca="false">V75+V76+V77+V78+V79+V80+V81+V82+V83+V84+V85+V86</f>
        <v>-327388.265504081</v>
      </c>
      <c r="W87" s="53" t="n">
        <f aca="false">W75+W76+W77+W78+W79+W80+W81+W82+W83+W84+W85+W86</f>
        <v>-335460.278278706</v>
      </c>
      <c r="X87" s="53" t="n">
        <f aca="false">X75+X76+X77+X78+X79+X80+X81+X82+X83+X84+X85+X86</f>
        <v>-343681.245742258</v>
      </c>
      <c r="Y87" s="53" t="n">
        <f aca="false">Y75+Y76+Y77+Y78+Y79+Y80+Y81+Y82+Y83+Y84+Y85+Y86</f>
        <v>-352100.442268818</v>
      </c>
      <c r="Z87" s="53" t="n">
        <f aca="false">Z75+Z76+Z77+Z78+Z79+Z80+Z81+Z82+Z83+Z84+Z85+Z86</f>
        <v>-360766.377688021</v>
      </c>
      <c r="AA87" s="53" t="n">
        <f aca="false">AA75+AA76+AA77+AA78+AA79+AA80+AA81+AA82+AA83+AA84+AA85+AA86</f>
        <v>-371990.465345541</v>
      </c>
      <c r="AB87" s="53" t="n">
        <f aca="false">AB75+AB76+AB77+AB78+AB79+AB80+AB81+AB82+AB83+AB84+AB85+AB86</f>
        <v>-379801.849134109</v>
      </c>
      <c r="AC87" s="53" t="n">
        <f aca="false">AC75+AC76+AC77+AC78+AC79+AC80+AC81+AC82+AC83+AC84+AC85+AC86</f>
        <v>-388286.580134009</v>
      </c>
      <c r="AD87" s="53" t="n">
        <f aca="false">AD75+AD76+AD77+AD78+AD79+AD80+AD81+AD82+AD83+AD84+AD85+AD86</f>
        <v>-397583.73532256</v>
      </c>
      <c r="AE87" s="53" t="n">
        <f aca="false">AE75+AE76+AE77+AE78+AE79+AE80+AE81+AE82+AE83+AE84+AE85+AE86</f>
        <v>-407014.980471587</v>
      </c>
      <c r="AF87" s="53" t="n">
        <f aca="false">AF75+AF76+AF77+AF78+AF79+AF80+AF81+AF82+AF83+AF84+AF85+AF86</f>
        <v>-416646.946267966</v>
      </c>
      <c r="AG87" s="53" t="n">
        <f aca="false">AG75+AG76+AG77+AG78+AG79+AG80+AG81+AG82+AG83+AG84+AG85+AG86</f>
        <v>-426545.122382556</v>
      </c>
      <c r="AH87" s="53" t="n">
        <f aca="false">AH75+AH76+AH77+AH78+AH79+AH80+AH81+AH82+AH83+AH84+AH85+AH86</f>
        <v>-436776.01738192</v>
      </c>
      <c r="AI87" s="53" t="n">
        <f aca="false">AI75+AI76+AI77+AI78+AI79+AI80+AI81+AI82+AI83+AI84+AI85+AI86</f>
        <v>-447408.115207808</v>
      </c>
      <c r="AJ87" s="53" t="n">
        <f aca="false">AJ75+AJ76+AJ77+AJ78+AJ79+AJ80+AJ81+AJ82+AJ83+AJ84+AJ85+AJ86</f>
        <v>-458512.508118812</v>
      </c>
      <c r="AK87" s="53" t="n">
        <f aca="false">AK75+AK76+AK77+AK78+AK79+AK80+AK81+AK82+AK83+AK84+AK85+AK86</f>
        <v>-470163.492997443</v>
      </c>
      <c r="AL87" s="53" t="n">
        <f aca="false">AL75+AL76+AL77+AL78+AL79+AL80+AL81+AL82+AL83+AL84+AL85+AL86</f>
        <v>-482439.165520833</v>
      </c>
      <c r="AM87" s="53" t="n">
        <f aca="false">SUM(C87:AL87)</f>
        <v>-11168139.8875829</v>
      </c>
    </row>
    <row r="88" customFormat="false" ht="15" hidden="false" customHeight="false" outlineLevel="0" collapsed="false">
      <c r="A88" s="37" t="s">
        <v>822</v>
      </c>
      <c r="B88" s="9" t="s">
        <v>97</v>
      </c>
      <c r="C88" s="53" t="n">
        <f aca="false">C73+C87</f>
        <v>-37080</v>
      </c>
      <c r="D88" s="53" t="n">
        <f aca="false">D73+D87</f>
        <v>58351.7226600759</v>
      </c>
      <c r="E88" s="53" t="n">
        <f aca="false">E73+E87</f>
        <v>25231.9076475383</v>
      </c>
      <c r="F88" s="53" t="n">
        <f aca="false">F73+F87</f>
        <v>63101.5899312682</v>
      </c>
      <c r="G88" s="53" t="n">
        <f aca="false">G73+G87</f>
        <v>63204.283887572</v>
      </c>
      <c r="H88" s="53" t="n">
        <f aca="false">H73+H87</f>
        <v>67982.1133529338</v>
      </c>
      <c r="I88" s="53" t="n">
        <f aca="false">I73+I87</f>
        <v>78802.3331360444</v>
      </c>
      <c r="J88" s="53" t="n">
        <f aca="false">J73+J87</f>
        <v>81575.0884277004</v>
      </c>
      <c r="K88" s="53" t="n">
        <f aca="false">K73+K87</f>
        <v>85692.4105371245</v>
      </c>
      <c r="L88" s="53" t="n">
        <f aca="false">L73+L87</f>
        <v>89593.4650963658</v>
      </c>
      <c r="M88" s="53" t="n">
        <f aca="false">M73+M87</f>
        <v>93302.2450382925</v>
      </c>
      <c r="N88" s="53" t="n">
        <f aca="false">N73+N87</f>
        <v>96857.8247396951</v>
      </c>
      <c r="O88" s="53" t="n">
        <f aca="false">O73+O87</f>
        <v>100300.602640386</v>
      </c>
      <c r="P88" s="53" t="n">
        <f aca="false">P73+P87</f>
        <v>103665.836620534</v>
      </c>
      <c r="Q88" s="53" t="n">
        <f aca="false">Q73+Q87</f>
        <v>106984.266534889</v>
      </c>
      <c r="R88" s="53" t="n">
        <f aca="false">R73+R87</f>
        <v>110283.081046231</v>
      </c>
      <c r="S88" s="53" t="n">
        <f aca="false">S73+S87</f>
        <v>113586.783642398</v>
      </c>
      <c r="T88" s="53" t="n">
        <f aca="false">T73+T87</f>
        <v>116917.918330763</v>
      </c>
      <c r="U88" s="53" t="n">
        <f aca="false">U73+U87</f>
        <v>120297.675731441</v>
      </c>
      <c r="V88" s="53" t="n">
        <f aca="false">V73+V87</f>
        <v>123746.403368696</v>
      </c>
      <c r="W88" s="53" t="n">
        <f aca="false">W73+W87</f>
        <v>127284.04068027</v>
      </c>
      <c r="X88" s="53" t="n">
        <f aca="false">X73+X87</f>
        <v>130930.495679497</v>
      </c>
      <c r="Y88" s="53" t="n">
        <f aca="false">Y73+Y87</f>
        <v>134705.977138837</v>
      </c>
      <c r="Z88" s="53" t="n">
        <f aca="false">Z73+Z87</f>
        <v>138631.293661354</v>
      </c>
      <c r="AA88" s="53" t="n">
        <f aca="false">AA73+AA87</f>
        <v>140465.374685168</v>
      </c>
      <c r="AB88" s="53" t="n">
        <f aca="false">AB73+AB87</f>
        <v>145841.34723318</v>
      </c>
      <c r="AC88" s="53" t="n">
        <f aca="false">AC73+AC87</f>
        <v>150589.710034025</v>
      </c>
      <c r="AD88" s="53" t="n">
        <f aca="false">AD73+AD87</f>
        <v>154742.521442412</v>
      </c>
      <c r="AE88" s="53" t="n">
        <f aca="false">AE73+AE87</f>
        <v>159070.029522213</v>
      </c>
      <c r="AF88" s="53" t="n">
        <f aca="false">AF73+AF87</f>
        <v>163595.934910991</v>
      </c>
      <c r="AG88" s="53" t="n">
        <f aca="false">AG73+AG87</f>
        <v>168346.914102428</v>
      </c>
      <c r="AH88" s="53" t="n">
        <f aca="false">AH73+AH87</f>
        <v>173351.850182712</v>
      </c>
      <c r="AI88" s="53" t="n">
        <f aca="false">AI73+AI87</f>
        <v>178641.737776261</v>
      </c>
      <c r="AJ88" s="53" t="n">
        <f aca="false">AJ73+AJ87</f>
        <v>184249.859104146</v>
      </c>
      <c r="AK88" s="53" t="n">
        <f aca="false">AK73+AK87</f>
        <v>190211.998118593</v>
      </c>
      <c r="AL88" s="53" t="n">
        <f aca="false">AL73+AL87</f>
        <v>196566.674121543</v>
      </c>
      <c r="AM88" s="53" t="n">
        <f aca="false">SUM(C88:AL88)</f>
        <v>4199623.31076358</v>
      </c>
    </row>
    <row r="89" customFormat="false" ht="15" hidden="false" customHeight="false" outlineLevel="0" collapsed="false">
      <c r="A89" s="37" t="s">
        <v>823</v>
      </c>
      <c r="B89" s="9" t="s">
        <v>61</v>
      </c>
      <c r="C89" s="52" t="n">
        <f aca="false">IFERROR(C88/C72,0)</f>
        <v>0</v>
      </c>
      <c r="D89" s="52" t="n">
        <f aca="false">IFERROR(D88/D72,0)</f>
        <v>0.153631963706104</v>
      </c>
      <c r="E89" s="52" t="n">
        <f aca="false">IFERROR(E88/E72,0)</f>
        <v>0.0735535299091635</v>
      </c>
      <c r="F89" s="52" t="n">
        <f aca="false">IFERROR(F88/F72,0)</f>
        <v>0.170052146036424</v>
      </c>
      <c r="G89" s="52" t="n">
        <f aca="false">IFERROR(G88/G72,0)</f>
        <v>0.155966606018088</v>
      </c>
      <c r="H89" s="52" t="n">
        <f aca="false">IFERROR(H88/H72,0)</f>
        <v>0.156213716108262</v>
      </c>
      <c r="I89" s="52" t="n">
        <f aca="false">IFERROR(I88/I72,0)</f>
        <v>0.164879657361238</v>
      </c>
      <c r="J89" s="52" t="n">
        <f aca="false">IFERROR(J88/J72,0)</f>
        <v>0.159491318286627</v>
      </c>
      <c r="K89" s="52" t="n">
        <f aca="false">IFERROR(K88/K72,0)</f>
        <v>0.158194829572255</v>
      </c>
      <c r="L89" s="52" t="n">
        <f aca="false">IFERROR(L88/L72,0)</f>
        <v>0.157354563814135</v>
      </c>
      <c r="M89" s="52" t="n">
        <f aca="false">IFERROR(M88/M72,0)</f>
        <v>0.156791852153869</v>
      </c>
      <c r="N89" s="52" t="n">
        <f aca="false">IFERROR(N88/N72,0)</f>
        <v>0.156421087315739</v>
      </c>
      <c r="O89" s="52" t="n">
        <f aca="false">IFERROR(O88/O72,0)</f>
        <v>0.156193873076204</v>
      </c>
      <c r="P89" s="52" t="n">
        <f aca="false">IFERROR(P88/P72,0)</f>
        <v>0.156076460641979</v>
      </c>
      <c r="Q89" s="52" t="n">
        <f aca="false">IFERROR(Q88/Q72,0)</f>
        <v>0.156044356314644</v>
      </c>
      <c r="R89" s="52" t="n">
        <f aca="false">IFERROR(R88/R72,0)</f>
        <v>0.156079514869422</v>
      </c>
      <c r="S89" s="52" t="n">
        <f aca="false">IFERROR(S88/S72,0)</f>
        <v>0.156168558285264</v>
      </c>
      <c r="T89" s="52" t="n">
        <f aca="false">IFERROR(T88/T72,0)</f>
        <v>0.156301554149074</v>
      </c>
      <c r="U89" s="52" t="n">
        <f aca="false">IFERROR(U88/U72,0)</f>
        <v>0.156471146585162</v>
      </c>
      <c r="V89" s="52" t="n">
        <f aca="false">IFERROR(V88/V72,0)</f>
        <v>0.156671921840194</v>
      </c>
      <c r="W89" s="52" t="n">
        <f aca="false">IFERROR(W88/W72,0)</f>
        <v>0.156899935401101</v>
      </c>
      <c r="X89" s="52" t="n">
        <f aca="false">IFERROR(X88/X72,0)</f>
        <v>0.157152353209648</v>
      </c>
      <c r="Y89" s="52" t="n">
        <f aca="false">IFERROR(Y88/Y72,0)</f>
        <v>0.157427175199567</v>
      </c>
      <c r="Z89" s="52" t="n">
        <f aca="false">IFERROR(Z88/Z72,0)</f>
        <v>0.157723019301869</v>
      </c>
      <c r="AA89" s="52" t="n">
        <f aca="false">IFERROR(AA88/AA72,0)</f>
        <v>0.155533464633417</v>
      </c>
      <c r="AB89" s="52" t="n">
        <f aca="false">IFERROR(AB88/AB72,0)</f>
        <v>0.157257950517569</v>
      </c>
      <c r="AC89" s="52" t="n">
        <f aca="false">IFERROR(AC88/AC72,0)</f>
        <v>0.158243325004021</v>
      </c>
      <c r="AD89" s="52" t="n">
        <f aca="false">IFERROR(AD88/AD72,0)</f>
        <v>0.158516313421496</v>
      </c>
      <c r="AE89" s="52" t="n">
        <f aca="false">IFERROR(AE88/AE72,0)</f>
        <v>0.158870808423888</v>
      </c>
      <c r="AF89" s="52" t="n">
        <f aca="false">IFERROR(AF88/AF72,0)</f>
        <v>0.159296924029989</v>
      </c>
      <c r="AG89" s="52" t="n">
        <f aca="false">IFERROR(AG88/AG72,0)</f>
        <v>0.159787676487812</v>
      </c>
      <c r="AH89" s="52" t="n">
        <f aca="false">IFERROR(AH88/AH72,0)</f>
        <v>0.160337471715721</v>
      </c>
      <c r="AI89" s="52" t="n">
        <f aca="false">IFERROR(AI88/AI72,0)</f>
        <v>0.160941547657754</v>
      </c>
      <c r="AJ89" s="52" t="n">
        <f aca="false">IFERROR(AJ88/AJ72,0)</f>
        <v>0.16159574556764</v>
      </c>
      <c r="AK89" s="52" t="n">
        <f aca="false">IFERROR(AK88/AK72,0)</f>
        <v>0.16229634316286</v>
      </c>
      <c r="AL89" s="52" t="n">
        <f aca="false">IFERROR(AL88/AL72,0)</f>
        <v>0.163039920247719</v>
      </c>
      <c r="AM89" s="52" t="n">
        <f aca="false">AVERAGE(N89:AL89)</f>
        <v>0.15805393788239</v>
      </c>
    </row>
    <row r="90" customFormat="false" ht="15" hidden="false" customHeight="false" outlineLevel="0" collapsed="false">
      <c r="A90" s="10" t="s">
        <v>824</v>
      </c>
      <c r="B90" s="9" t="s">
        <v>97</v>
      </c>
      <c r="C90" s="70" t="n">
        <f aca="false">-C43*Assumptions!$I$102</f>
        <v>0</v>
      </c>
      <c r="D90" s="70" t="n">
        <f aca="false">-D43*Assumptions!$I$102</f>
        <v>0</v>
      </c>
      <c r="E90" s="70" t="n">
        <f aca="false">-E43*Assumptions!$I$102</f>
        <v>0</v>
      </c>
      <c r="F90" s="70" t="n">
        <f aca="false">-F43*Assumptions!$I$102</f>
        <v>0</v>
      </c>
      <c r="G90" s="70" t="n">
        <f aca="false">-G43*Assumptions!$I$102</f>
        <v>0</v>
      </c>
      <c r="H90" s="70" t="n">
        <f aca="false">-H43*Assumptions!$I$102</f>
        <v>0</v>
      </c>
      <c r="I90" s="70" t="n">
        <f aca="false">-I43*Assumptions!$I$102</f>
        <v>0</v>
      </c>
      <c r="J90" s="70" t="n">
        <f aca="false">-J43*Assumptions!$I$102</f>
        <v>0</v>
      </c>
      <c r="K90" s="70" t="n">
        <f aca="false">-K43*Assumptions!$I$102</f>
        <v>0</v>
      </c>
      <c r="L90" s="70" t="n">
        <f aca="false">-L43*Assumptions!$I$102</f>
        <v>0</v>
      </c>
      <c r="M90" s="70" t="n">
        <f aca="false">-M43*Assumptions!$I$102</f>
        <v>0</v>
      </c>
      <c r="N90" s="70" t="n">
        <f aca="false">-N43*Assumptions!$I$102</f>
        <v>0</v>
      </c>
      <c r="O90" s="70" t="n">
        <f aca="false">-O43*Assumptions!$I$102</f>
        <v>0</v>
      </c>
      <c r="P90" s="70" t="n">
        <f aca="false">-P43*Assumptions!$I$102</f>
        <v>0</v>
      </c>
      <c r="Q90" s="70" t="n">
        <f aca="false">-Q43*Assumptions!$I$102</f>
        <v>0</v>
      </c>
      <c r="R90" s="70" t="n">
        <f aca="false">-R43*Assumptions!$I$102</f>
        <v>0</v>
      </c>
      <c r="S90" s="70" t="n">
        <f aca="false">-S43*Assumptions!$I$102</f>
        <v>0</v>
      </c>
      <c r="T90" s="70" t="n">
        <f aca="false">-T43*Assumptions!$I$102</f>
        <v>0</v>
      </c>
      <c r="U90" s="70" t="n">
        <f aca="false">-U43*Assumptions!$I$102</f>
        <v>0</v>
      </c>
      <c r="V90" s="70" t="n">
        <f aca="false">-V43*Assumptions!$I$102</f>
        <v>0</v>
      </c>
      <c r="W90" s="70" t="n">
        <f aca="false">-W43*Assumptions!$I$102</f>
        <v>0</v>
      </c>
      <c r="X90" s="70" t="n">
        <f aca="false">-X43*Assumptions!$I$102</f>
        <v>0</v>
      </c>
      <c r="Y90" s="70" t="n">
        <f aca="false">-Y43*Assumptions!$I$102</f>
        <v>0</v>
      </c>
      <c r="Z90" s="70" t="n">
        <f aca="false">-Z43*Assumptions!$I$102</f>
        <v>0</v>
      </c>
      <c r="AA90" s="70" t="n">
        <f aca="false">-AA43*Assumptions!$I$102</f>
        <v>0</v>
      </c>
      <c r="AB90" s="70" t="n">
        <f aca="false">-AB43*Assumptions!$I$102</f>
        <v>0</v>
      </c>
      <c r="AC90" s="70" t="n">
        <f aca="false">-AC43*Assumptions!$I$102</f>
        <v>0</v>
      </c>
      <c r="AD90" s="70" t="n">
        <f aca="false">-AD43*Assumptions!$I$102</f>
        <v>0</v>
      </c>
      <c r="AE90" s="70" t="n">
        <f aca="false">-AE43*Assumptions!$I$102</f>
        <v>0</v>
      </c>
      <c r="AF90" s="70" t="n">
        <f aca="false">-AF43*Assumptions!$I$102</f>
        <v>0</v>
      </c>
      <c r="AG90" s="70" t="n">
        <f aca="false">-AG43*Assumptions!$I$102</f>
        <v>0</v>
      </c>
      <c r="AH90" s="70" t="n">
        <f aca="false">-AH43*Assumptions!$I$102</f>
        <v>0</v>
      </c>
      <c r="AI90" s="70" t="n">
        <f aca="false">-AI43*Assumptions!$I$102</f>
        <v>0</v>
      </c>
      <c r="AJ90" s="70" t="n">
        <f aca="false">-AJ43*Assumptions!$I$102</f>
        <v>0</v>
      </c>
      <c r="AK90" s="70" t="n">
        <f aca="false">-AK43*Assumptions!$I$102</f>
        <v>0</v>
      </c>
      <c r="AL90" s="70" t="n">
        <f aca="false">-AL43*Assumptions!$I$102</f>
        <v>0</v>
      </c>
      <c r="AM90" s="70" t="n">
        <f aca="false">AL90</f>
        <v>0</v>
      </c>
    </row>
    <row r="91" customFormat="false" ht="15" hidden="false" customHeight="false" outlineLevel="0" collapsed="false">
      <c r="A91" s="10" t="s">
        <v>825</v>
      </c>
      <c r="B91" s="9" t="s">
        <v>97</v>
      </c>
      <c r="C91" s="70" t="n">
        <f aca="false">-C90</f>
        <v>-0</v>
      </c>
      <c r="D91" s="70" t="n">
        <f aca="false">-(D90-C90)</f>
        <v>-0</v>
      </c>
      <c r="E91" s="70" t="n">
        <f aca="false">-(E90-D90)</f>
        <v>-0</v>
      </c>
      <c r="F91" s="70" t="n">
        <f aca="false">-(F90-E90)</f>
        <v>-0</v>
      </c>
      <c r="G91" s="70" t="n">
        <f aca="false">-(G90-F90)</f>
        <v>-0</v>
      </c>
      <c r="H91" s="70" t="n">
        <f aca="false">-(H90-G90)</f>
        <v>-0</v>
      </c>
      <c r="I91" s="70" t="n">
        <f aca="false">-(I90-H90)</f>
        <v>-0</v>
      </c>
      <c r="J91" s="70" t="n">
        <f aca="false">-(J90-I90)</f>
        <v>-0</v>
      </c>
      <c r="K91" s="70" t="n">
        <f aca="false">-(K90-J90)</f>
        <v>-0</v>
      </c>
      <c r="L91" s="70" t="n">
        <f aca="false">-(L90-K90)</f>
        <v>-0</v>
      </c>
      <c r="M91" s="70" t="n">
        <f aca="false">-(M90-L90)</f>
        <v>-0</v>
      </c>
      <c r="N91" s="70" t="n">
        <f aca="false">-(N90-M90)</f>
        <v>-0</v>
      </c>
      <c r="O91" s="70" t="n">
        <f aca="false">-(O90-N90)</f>
        <v>-0</v>
      </c>
      <c r="P91" s="70" t="n">
        <f aca="false">-(P90-O90)</f>
        <v>-0</v>
      </c>
      <c r="Q91" s="70" t="n">
        <f aca="false">-(Q90-P90)</f>
        <v>-0</v>
      </c>
      <c r="R91" s="70" t="n">
        <f aca="false">-(R90-Q90)</f>
        <v>-0</v>
      </c>
      <c r="S91" s="70" t="n">
        <f aca="false">-(S90-R90)</f>
        <v>-0</v>
      </c>
      <c r="T91" s="70" t="n">
        <f aca="false">-(T90-S90)</f>
        <v>-0</v>
      </c>
      <c r="U91" s="70" t="n">
        <f aca="false">-(U90-T90)</f>
        <v>-0</v>
      </c>
      <c r="V91" s="70" t="n">
        <f aca="false">-(V90-U90)</f>
        <v>-0</v>
      </c>
      <c r="W91" s="70" t="n">
        <f aca="false">-(W90-V90)</f>
        <v>-0</v>
      </c>
      <c r="X91" s="70" t="n">
        <f aca="false">-(X90-W90)</f>
        <v>-0</v>
      </c>
      <c r="Y91" s="70" t="n">
        <f aca="false">-(Y90-X90)</f>
        <v>-0</v>
      </c>
      <c r="Z91" s="70" t="n">
        <f aca="false">-(Z90-Y90)</f>
        <v>-0</v>
      </c>
      <c r="AA91" s="70" t="n">
        <f aca="false">-(AA90-Z90)</f>
        <v>-0</v>
      </c>
      <c r="AB91" s="70" t="n">
        <f aca="false">-(AB90-AA90)</f>
        <v>-0</v>
      </c>
      <c r="AC91" s="70" t="n">
        <f aca="false">-(AC90-AB90)</f>
        <v>-0</v>
      </c>
      <c r="AD91" s="70" t="n">
        <f aca="false">-(AD90-AC90)</f>
        <v>-0</v>
      </c>
      <c r="AE91" s="70" t="n">
        <f aca="false">-(AE90-AD90)</f>
        <v>-0</v>
      </c>
      <c r="AF91" s="70" t="n">
        <f aca="false">-(AF90-AE90)</f>
        <v>-0</v>
      </c>
      <c r="AG91" s="70" t="n">
        <f aca="false">-(AG90-AF90)</f>
        <v>-0</v>
      </c>
      <c r="AH91" s="70" t="n">
        <f aca="false">-(AH90-AG90)</f>
        <v>-0</v>
      </c>
      <c r="AI91" s="70" t="n">
        <f aca="false">-(AI90-AH90)</f>
        <v>-0</v>
      </c>
      <c r="AJ91" s="70" t="n">
        <f aca="false">-(AJ90-AI90)</f>
        <v>-0</v>
      </c>
      <c r="AK91" s="70" t="n">
        <f aca="false">-(AK90-AJ90)</f>
        <v>-0</v>
      </c>
      <c r="AL91" s="70" t="n">
        <f aca="false">-(AL90-AK90)</f>
        <v>-0</v>
      </c>
      <c r="AM91" s="70" t="n">
        <f aca="false">SUM(C91:AL91)</f>
        <v>0</v>
      </c>
    </row>
    <row r="92" customFormat="false" ht="15" hidden="false" customHeight="false" outlineLevel="0" collapsed="false">
      <c r="A92" s="10" t="s">
        <v>826</v>
      </c>
      <c r="B92" s="9" t="s">
        <v>97</v>
      </c>
      <c r="C92" s="70" t="n">
        <f aca="false">C88+C91</f>
        <v>-37080</v>
      </c>
      <c r="D92" s="70" t="n">
        <f aca="false">D88+D91</f>
        <v>58351.7226600759</v>
      </c>
      <c r="E92" s="70" t="n">
        <f aca="false">E88+E91</f>
        <v>25231.9076475383</v>
      </c>
      <c r="F92" s="70" t="n">
        <f aca="false">F88+F91</f>
        <v>63101.5899312682</v>
      </c>
      <c r="G92" s="70" t="n">
        <f aca="false">G88+G91</f>
        <v>63204.283887572</v>
      </c>
      <c r="H92" s="70" t="n">
        <f aca="false">H88+H91</f>
        <v>67982.1133529338</v>
      </c>
      <c r="I92" s="70" t="n">
        <f aca="false">I88+I91</f>
        <v>78802.3331360444</v>
      </c>
      <c r="J92" s="70" t="n">
        <f aca="false">J88+J91</f>
        <v>81575.0884277004</v>
      </c>
      <c r="K92" s="70" t="n">
        <f aca="false">K88+K91</f>
        <v>85692.4105371245</v>
      </c>
      <c r="L92" s="70" t="n">
        <f aca="false">L88+L91</f>
        <v>89593.4650963658</v>
      </c>
      <c r="M92" s="70" t="n">
        <f aca="false">M88+M91</f>
        <v>93302.2450382925</v>
      </c>
      <c r="N92" s="70" t="n">
        <f aca="false">N88+N91</f>
        <v>96857.8247396951</v>
      </c>
      <c r="O92" s="70" t="n">
        <f aca="false">O88+O91</f>
        <v>100300.602640386</v>
      </c>
      <c r="P92" s="70" t="n">
        <f aca="false">P88+P91</f>
        <v>103665.836620534</v>
      </c>
      <c r="Q92" s="70" t="n">
        <f aca="false">Q88+Q91</f>
        <v>106984.266534889</v>
      </c>
      <c r="R92" s="70" t="n">
        <f aca="false">R88+R91</f>
        <v>110283.081046231</v>
      </c>
      <c r="S92" s="70" t="n">
        <f aca="false">S88+S91</f>
        <v>113586.783642398</v>
      </c>
      <c r="T92" s="70" t="n">
        <f aca="false">T88+T91</f>
        <v>116917.918330763</v>
      </c>
      <c r="U92" s="70" t="n">
        <f aca="false">U88+U91</f>
        <v>120297.675731441</v>
      </c>
      <c r="V92" s="70" t="n">
        <f aca="false">V88+V91</f>
        <v>123746.403368696</v>
      </c>
      <c r="W92" s="70" t="n">
        <f aca="false">W88+W91</f>
        <v>127284.04068027</v>
      </c>
      <c r="X92" s="70" t="n">
        <f aca="false">X88+X91</f>
        <v>130930.495679497</v>
      </c>
      <c r="Y92" s="70" t="n">
        <f aca="false">Y88+Y91</f>
        <v>134705.977138837</v>
      </c>
      <c r="Z92" s="70" t="n">
        <f aca="false">Z88+Z91</f>
        <v>138631.293661354</v>
      </c>
      <c r="AA92" s="70" t="n">
        <f aca="false">AA88+AA91</f>
        <v>140465.374685168</v>
      </c>
      <c r="AB92" s="70" t="n">
        <f aca="false">AB88+AB91</f>
        <v>145841.34723318</v>
      </c>
      <c r="AC92" s="70" t="n">
        <f aca="false">AC88+AC91</f>
        <v>150589.710034025</v>
      </c>
      <c r="AD92" s="70" t="n">
        <f aca="false">AD88+AD91</f>
        <v>154742.521442412</v>
      </c>
      <c r="AE92" s="70" t="n">
        <f aca="false">AE88+AE91</f>
        <v>159070.029522213</v>
      </c>
      <c r="AF92" s="70" t="n">
        <f aca="false">AF88+AF91</f>
        <v>163595.934910991</v>
      </c>
      <c r="AG92" s="70" t="n">
        <f aca="false">AG88+AG91</f>
        <v>168346.914102428</v>
      </c>
      <c r="AH92" s="70" t="n">
        <f aca="false">AH88+AH91</f>
        <v>173351.850182712</v>
      </c>
      <c r="AI92" s="70" t="n">
        <f aca="false">AI88+AI91</f>
        <v>178641.737776261</v>
      </c>
      <c r="AJ92" s="70" t="n">
        <f aca="false">AJ88+AJ91</f>
        <v>184249.859104146</v>
      </c>
      <c r="AK92" s="70" t="n">
        <f aca="false">AK88+AK91</f>
        <v>190211.998118593</v>
      </c>
      <c r="AL92" s="70" t="n">
        <f aca="false">AL88+AL91</f>
        <v>196566.674121543</v>
      </c>
      <c r="AM92" s="70" t="n">
        <f aca="false">SUM(C92:AL92)</f>
        <v>4199623.31076358</v>
      </c>
    </row>
    <row r="93" customFormat="false" ht="15" hidden="false" customHeight="false" outlineLevel="0" collapsed="false">
      <c r="A93" s="37" t="s">
        <v>827</v>
      </c>
      <c r="B93" s="9" t="s">
        <v>97</v>
      </c>
      <c r="C93" s="53" t="n">
        <f aca="false">C92</f>
        <v>-37080</v>
      </c>
      <c r="D93" s="53" t="n">
        <f aca="false">C93+D92</f>
        <v>21271.7226600759</v>
      </c>
      <c r="E93" s="53" t="n">
        <f aca="false">D93+E92</f>
        <v>46503.6303076142</v>
      </c>
      <c r="F93" s="53" t="n">
        <f aca="false">E93+F92</f>
        <v>109605.220238882</v>
      </c>
      <c r="G93" s="53" t="n">
        <f aca="false">F93+G92</f>
        <v>172809.504126454</v>
      </c>
      <c r="H93" s="53" t="n">
        <f aca="false">G93+H92</f>
        <v>240791.617479388</v>
      </c>
      <c r="I93" s="53" t="n">
        <f aca="false">H93+I92</f>
        <v>319593.950615433</v>
      </c>
      <c r="J93" s="53" t="n">
        <f aca="false">I93+J92</f>
        <v>401169.039043133</v>
      </c>
      <c r="K93" s="53" t="n">
        <f aca="false">J93+K92</f>
        <v>486861.449580258</v>
      </c>
      <c r="L93" s="53" t="n">
        <f aca="false">K93+L92</f>
        <v>576454.914676623</v>
      </c>
      <c r="M93" s="53" t="n">
        <f aca="false">L93+M92</f>
        <v>669757.159714916</v>
      </c>
      <c r="N93" s="53" t="n">
        <f aca="false">M93+N92</f>
        <v>766614.984454611</v>
      </c>
      <c r="O93" s="53" t="n">
        <f aca="false">N93+O92</f>
        <v>866915.587094997</v>
      </c>
      <c r="P93" s="53" t="n">
        <f aca="false">O93+P92</f>
        <v>970581.423715532</v>
      </c>
      <c r="Q93" s="53" t="n">
        <f aca="false">P93+Q92</f>
        <v>1077565.69025042</v>
      </c>
      <c r="R93" s="53" t="n">
        <f aca="false">Q93+R92</f>
        <v>1187848.77129665</v>
      </c>
      <c r="S93" s="53" t="n">
        <f aca="false">R93+S92</f>
        <v>1301435.55493905</v>
      </c>
      <c r="T93" s="53" t="n">
        <f aca="false">S93+T92</f>
        <v>1418353.47326981</v>
      </c>
      <c r="U93" s="53" t="n">
        <f aca="false">T93+U92</f>
        <v>1538651.14900125</v>
      </c>
      <c r="V93" s="53" t="n">
        <f aca="false">U93+V92</f>
        <v>1662397.55236995</v>
      </c>
      <c r="W93" s="53" t="n">
        <f aca="false">V93+W92</f>
        <v>1789681.59305022</v>
      </c>
      <c r="X93" s="53" t="n">
        <f aca="false">W93+X92</f>
        <v>1920612.08872972</v>
      </c>
      <c r="Y93" s="53" t="n">
        <f aca="false">X93+Y92</f>
        <v>2055318.06586855</v>
      </c>
      <c r="Z93" s="53" t="n">
        <f aca="false">Y93+Z92</f>
        <v>2193949.35952991</v>
      </c>
      <c r="AA93" s="53" t="n">
        <f aca="false">Z93+AA92</f>
        <v>2334414.73421507</v>
      </c>
      <c r="AB93" s="53" t="n">
        <f aca="false">AA93+AB92</f>
        <v>2480256.08144825</v>
      </c>
      <c r="AC93" s="53" t="n">
        <f aca="false">AB93+AC92</f>
        <v>2630845.79148228</v>
      </c>
      <c r="AD93" s="53" t="n">
        <f aca="false">AC93+AD92</f>
        <v>2785588.31292469</v>
      </c>
      <c r="AE93" s="53" t="n">
        <f aca="false">AD93+AE92</f>
        <v>2944658.3424469</v>
      </c>
      <c r="AF93" s="53" t="n">
        <f aca="false">AE93+AF92</f>
        <v>3108254.27735789</v>
      </c>
      <c r="AG93" s="53" t="n">
        <f aca="false">AF93+AG92</f>
        <v>3276601.19146032</v>
      </c>
      <c r="AH93" s="53" t="n">
        <f aca="false">AG93+AH92</f>
        <v>3449953.04164303</v>
      </c>
      <c r="AI93" s="53" t="n">
        <f aca="false">AH93+AI92</f>
        <v>3628594.77941929</v>
      </c>
      <c r="AJ93" s="53" t="n">
        <f aca="false">AI93+AJ92</f>
        <v>3812844.63852344</v>
      </c>
      <c r="AK93" s="53" t="n">
        <f aca="false">AJ93+AK92</f>
        <v>4003056.63664203</v>
      </c>
      <c r="AL93" s="53" t="n">
        <f aca="false">AK93+AL92</f>
        <v>4199623.31076358</v>
      </c>
      <c r="AM93" s="53" t="n">
        <f aca="false">AL93</f>
        <v>4199623.31076358</v>
      </c>
    </row>
    <row r="94" customFormat="false" ht="15" hidden="false" customHeight="false" outlineLevel="0" collapsed="false">
      <c r="A94" s="10" t="s">
        <v>828</v>
      </c>
      <c r="B94" s="9" t="s">
        <v>51</v>
      </c>
      <c r="C94" s="69" t="n">
        <f aca="false">IF(C88&gt;0,C$5,999)</f>
        <v>999</v>
      </c>
      <c r="D94" s="69" t="n">
        <f aca="false">IF(D88&gt;0,D$5,999)</f>
        <v>2</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829</v>
      </c>
      <c r="B95" s="9" t="s">
        <v>51</v>
      </c>
      <c r="C95" s="61" t="n">
        <f aca="false">C32+C56</f>
        <v>0</v>
      </c>
      <c r="D95" s="61" t="n">
        <f aca="false">D32+D56</f>
        <v>5020.02364998621</v>
      </c>
      <c r="E95" s="61" t="n">
        <f aca="false">E32+E56</f>
        <v>2465.73682901655</v>
      </c>
      <c r="F95" s="61" t="n">
        <f aca="false">F32+F56</f>
        <v>2225.75114636114</v>
      </c>
      <c r="G95" s="61" t="n">
        <f aca="false">G32+G56</f>
        <v>2109.16068010185</v>
      </c>
      <c r="H95" s="61" t="n">
        <f aca="false">H32+H56</f>
        <v>2025.40448652562</v>
      </c>
      <c r="I95" s="61" t="n">
        <f aca="false">I32+I56</f>
        <v>2000.52648268104</v>
      </c>
      <c r="J95" s="61" t="n">
        <f aca="false">J32+J56</f>
        <v>1971.32439560091</v>
      </c>
      <c r="K95" s="61" t="n">
        <f aca="false">K32+K56</f>
        <v>1947.40961081803</v>
      </c>
      <c r="L95" s="61" t="n">
        <f aca="false">L32+L56</f>
        <v>1933.14767517172</v>
      </c>
      <c r="M95" s="61" t="n">
        <f aca="false">M32+M56</f>
        <v>1927.32198371435</v>
      </c>
      <c r="N95" s="61" t="n">
        <f aca="false">N32+N56</f>
        <v>1928.67545551565</v>
      </c>
      <c r="O95" s="61" t="n">
        <f aca="false">O32+O56</f>
        <v>1936.12269818231</v>
      </c>
      <c r="P95" s="61" t="n">
        <f aca="false">P32+P56</f>
        <v>1948.78114669706</v>
      </c>
      <c r="Q95" s="61" t="n">
        <f aca="false">Q32+Q56</f>
        <v>1965.95301844258</v>
      </c>
      <c r="R95" s="61" t="n">
        <f aca="false">R32+R56</f>
        <v>1987.10069356921</v>
      </c>
      <c r="S95" s="61" t="n">
        <f aca="false">S32+S56</f>
        <v>2011.82290095014</v>
      </c>
      <c r="T95" s="61" t="n">
        <f aca="false">T32+T56</f>
        <v>2039.83370068566</v>
      </c>
      <c r="U95" s="61" t="n">
        <f aca="false">U32+U56</f>
        <v>2070.94471284701</v>
      </c>
      <c r="V95" s="61" t="n">
        <f aca="false">V32+V56</f>
        <v>2105.0504912601</v>
      </c>
      <c r="W95" s="61" t="n">
        <f aca="false">W32+W56</f>
        <v>2142.11673458073</v>
      </c>
      <c r="X95" s="61" t="n">
        <f aca="false">X32+X56</f>
        <v>2182.17096764496</v>
      </c>
      <c r="Y95" s="61" t="n">
        <f aca="false">Y32+Y56</f>
        <v>2225.29533277835</v>
      </c>
      <c r="Z95" s="61" t="n">
        <f aca="false">Z32+Z56</f>
        <v>2271.6211654638</v>
      </c>
      <c r="AA95" s="61" t="n">
        <f aca="false">AA32+AA56</f>
        <v>2321.32507309502</v>
      </c>
      <c r="AB95" s="61" t="n">
        <f aca="false">AB32+AB56</f>
        <v>2372.43024145641</v>
      </c>
      <c r="AC95" s="61" t="n">
        <f aca="false">AC32+AC56</f>
        <v>2424.91748674297</v>
      </c>
      <c r="AD95" s="61" t="n">
        <f aca="false">AD32+AD56</f>
        <v>2480.19060193268</v>
      </c>
      <c r="AE95" s="61" t="n">
        <f aca="false">AE32+AE56</f>
        <v>2538.78859274922</v>
      </c>
      <c r="AF95" s="61" t="n">
        <f aca="false">AF32+AF56</f>
        <v>2601.10862896846</v>
      </c>
      <c r="AG95" s="61" t="n">
        <f aca="false">AG32+AG56</f>
        <v>2667.56740359847</v>
      </c>
      <c r="AH95" s="61" t="n">
        <f aca="false">AH32+AH56</f>
        <v>2738.61236816774</v>
      </c>
      <c r="AI95" s="61" t="n">
        <f aca="false">AI32+AI56</f>
        <v>2814.72579117968</v>
      </c>
      <c r="AJ95" s="61" t="n">
        <f aca="false">AJ32+AJ56</f>
        <v>2896.42779489552</v>
      </c>
      <c r="AK95" s="61" t="n">
        <f aca="false">AK32+AK56</f>
        <v>2984.27956550194</v>
      </c>
      <c r="AL95" s="61" t="n">
        <f aca="false">AL32+AL56</f>
        <v>3078.88688146914</v>
      </c>
      <c r="AM95" s="61" t="n">
        <f aca="false">SUM(C95:AL95)</f>
        <v>82360.5563883522</v>
      </c>
    </row>
    <row r="96" customFormat="false" ht="15" hidden="false" customHeight="false" outlineLevel="0" collapsed="false">
      <c r="A96" s="37" t="s">
        <v>830</v>
      </c>
      <c r="B96" s="9" t="s">
        <v>97</v>
      </c>
      <c r="C96" s="51" t="n">
        <f aca="false">IFERROR((C26-C82)/C95,0)</f>
        <v>0</v>
      </c>
      <c r="D96" s="51" t="n">
        <f aca="false">IFERROR((D26-D82)/D95,0)</f>
        <v>7.17128095603671</v>
      </c>
      <c r="E96" s="51" t="n">
        <f aca="false">IFERROR((E26-E82)/E95,0)</f>
        <v>40.8198356756519</v>
      </c>
      <c r="F96" s="51" t="n">
        <f aca="false">IFERROR((F26-F82)/F95,0)</f>
        <v>40.8428307606724</v>
      </c>
      <c r="G96" s="51" t="n">
        <f aca="false">IFERROR((G26-G82)/G95,0)</f>
        <v>46.6223749206963</v>
      </c>
      <c r="H96" s="51" t="n">
        <f aca="false">IFERROR((H26-H82)/H95,0)</f>
        <v>53.0211324991467</v>
      </c>
      <c r="I96" s="51" t="n">
        <f aca="false">IFERROR((I26-I82)/I95,0)</f>
        <v>57.6470471802236</v>
      </c>
      <c r="J96" s="51" t="n">
        <f aca="false">IFERROR((J26-J82)/J95,0)</f>
        <v>64.248024316613</v>
      </c>
      <c r="K96" s="51" t="n">
        <f aca="false">IFERROR((K26-K82)/K95,0)</f>
        <v>69.5999728863279</v>
      </c>
      <c r="L96" s="51" t="n">
        <f aca="false">IFERROR((L26-L82)/L95,0)</f>
        <v>74.2558916266324</v>
      </c>
      <c r="M96" s="51" t="n">
        <f aca="false">IFERROR((M26-M82)/M95,0)</f>
        <v>78.286808553152</v>
      </c>
      <c r="N96" s="51" t="n">
        <f aca="false">IFERROR((N26-N82)/N95,0)</f>
        <v>81.7627186941338</v>
      </c>
      <c r="O96" s="51" t="n">
        <f aca="false">IFERROR((O26-O82)/O95,0)</f>
        <v>84.752478656596</v>
      </c>
      <c r="P96" s="51" t="n">
        <f aca="false">IFERROR((P26-P82)/P95,0)</f>
        <v>87.3217343398447</v>
      </c>
      <c r="Q96" s="51" t="n">
        <f aca="false">IFERROR((Q26-Q82)/Q95,0)</f>
        <v>89.5304954637751</v>
      </c>
      <c r="R96" s="51" t="n">
        <f aca="false">IFERROR((R26-R82)/R95,0)</f>
        <v>91.4319214289938</v>
      </c>
      <c r="S96" s="51" t="n">
        <f aca="false">IFERROR((S26-S82)/S95,0)</f>
        <v>93.0720137671184</v>
      </c>
      <c r="T96" s="51" t="n">
        <f aca="false">IFERROR((T26-T82)/T95,0)</f>
        <v>94.4898832592634</v>
      </c>
      <c r="U96" s="51" t="n">
        <f aca="false">IFERROR((U26-U82)/U95,0)</f>
        <v>95.7183375377716</v>
      </c>
      <c r="V96" s="51" t="n">
        <f aca="false">IFERROR((V26-V82)/V95,0)</f>
        <v>96.7846153066629</v>
      </c>
      <c r="W96" s="51" t="n">
        <f aca="false">IFERROR((W26-W82)/W95,0)</f>
        <v>97.7111566741241</v>
      </c>
      <c r="X96" s="51" t="n">
        <f aca="false">IFERROR((X26-X82)/X95,0)</f>
        <v>98.5163446454088</v>
      </c>
      <c r="Y96" s="51" t="n">
        <f aca="false">IFERROR((Y26-Y82)/Y95,0)</f>
        <v>99.2151835928952</v>
      </c>
      <c r="Z96" s="51" t="n">
        <f aca="false">IFERROR((Z26-Z82)/Z95,0)</f>
        <v>99.8199001834572</v>
      </c>
      <c r="AA96" s="51" t="n">
        <f aca="false">IFERROR((AA26-AA82)/AA95,0)</f>
        <v>100.340464084332</v>
      </c>
      <c r="AB96" s="51" t="n">
        <f aca="false">IFERROR((AB26-AB82)/AB95,0)</f>
        <v>100.878323993297</v>
      </c>
      <c r="AC96" s="51" t="n">
        <f aca="false">IFERROR((AC26-AC82)/AC95,0)</f>
        <v>101.348415851704</v>
      </c>
      <c r="AD96" s="51" t="n">
        <f aca="false">IFERROR((AD26-AD82)/AD95,0)</f>
        <v>101.678870622332</v>
      </c>
      <c r="AE96" s="51" t="n">
        <f aca="false">IFERROR((AE26-AE82)/AE95,0)</f>
        <v>101.895508587456</v>
      </c>
      <c r="AF96" s="51" t="n">
        <f aca="false">IFERROR((AF26-AF82)/AF95,0)</f>
        <v>102.007391085227</v>
      </c>
      <c r="AG96" s="51" t="n">
        <f aca="false">IFERROR((AG26-AG82)/AG95,0)</f>
        <v>102.022412786495</v>
      </c>
      <c r="AH96" s="51" t="n">
        <f aca="false">IFERROR((AH26-AH82)/AH95,0)</f>
        <v>101.947642433759</v>
      </c>
      <c r="AI96" s="51" t="n">
        <f aca="false">IFERROR((AI26-AI82)/AI95,0)</f>
        <v>101.789558691978</v>
      </c>
      <c r="AJ96" s="51" t="n">
        <f aca="false">IFERROR((AJ26-AJ82)/AJ95,0)</f>
        <v>101.554209271113</v>
      </c>
      <c r="AK96" s="51" t="n">
        <f aca="false">IFERROR((AK26-AK82)/AK95,0)</f>
        <v>101.247337305603</v>
      </c>
      <c r="AL96" s="51" t="n">
        <f aca="false">IFERROR((AL26-AL82)/AL95,0)</f>
        <v>100.874481165148</v>
      </c>
      <c r="AM96" s="51" t="n">
        <f aca="false">AVERAGE(N96:AL96)</f>
        <v>97.1084559771396</v>
      </c>
    </row>
    <row r="97" customFormat="false" ht="15" hidden="false" customHeight="false" outlineLevel="0" collapsed="false">
      <c r="A97" s="10" t="s">
        <v>831</v>
      </c>
      <c r="B97" s="9" t="s">
        <v>97</v>
      </c>
      <c r="C97" s="63" t="n">
        <f aca="false">IFERROR(C18/(C19*Assumptions!$I$49*Assumptions!$I$31*Assumptions!$I$32),0)</f>
        <v>0</v>
      </c>
      <c r="D97" s="63" t="n">
        <f aca="false">IFERROR(D18/(D19*Assumptions!$I$49*Assumptions!$I$31*Assumptions!$I$32),0)</f>
        <v>58.2010582010582</v>
      </c>
      <c r="E97" s="63" t="n">
        <f aca="false">IFERROR(E18/(E19*Assumptions!$I$49*Assumptions!$I$31*Assumptions!$I$32),0)</f>
        <v>58.2010582010582</v>
      </c>
      <c r="F97" s="63" t="n">
        <f aca="false">IFERROR(F18/(F19*Assumptions!$I$49*Assumptions!$I$31*Assumptions!$I$32),0)</f>
        <v>58.2010582010582</v>
      </c>
      <c r="G97" s="63" t="n">
        <f aca="false">IFERROR(G18/(G19*Assumptions!$I$49*Assumptions!$I$31*Assumptions!$I$32),0)</f>
        <v>58.2010582010582</v>
      </c>
      <c r="H97" s="63" t="n">
        <f aca="false">IFERROR(H18/(H19*Assumptions!$I$49*Assumptions!$I$31*Assumptions!$I$32),0)</f>
        <v>58.2010582010582</v>
      </c>
      <c r="I97" s="63" t="n">
        <f aca="false">IFERROR(I18/(I19*Assumptions!$I$49*Assumptions!$I$31*Assumptions!$I$32),0)</f>
        <v>58.2010582010582</v>
      </c>
      <c r="J97" s="63" t="n">
        <f aca="false">IFERROR(J18/(J19*Assumptions!$I$49*Assumptions!$I$31*Assumptions!$I$32),0)</f>
        <v>58.2010582010582</v>
      </c>
      <c r="K97" s="63" t="n">
        <f aca="false">IFERROR(K18/(K19*Assumptions!$I$49*Assumptions!$I$31*Assumptions!$I$32),0)</f>
        <v>58.2010582010582</v>
      </c>
      <c r="L97" s="63" t="n">
        <f aca="false">IFERROR(L18/(L19*Assumptions!$I$49*Assumptions!$I$31*Assumptions!$I$32),0)</f>
        <v>58.2010582010582</v>
      </c>
      <c r="M97" s="63" t="n">
        <f aca="false">IFERROR(M18/(M19*Assumptions!$I$49*Assumptions!$I$31*Assumptions!$I$32),0)</f>
        <v>58.2010582010582</v>
      </c>
      <c r="N97" s="63" t="n">
        <f aca="false">IFERROR(N18/(N19*Assumptions!$I$49*Assumptions!$I$31*Assumptions!$I$32),0)</f>
        <v>58.2010582010582</v>
      </c>
      <c r="O97" s="63" t="n">
        <f aca="false">IFERROR(O18/(O19*Assumptions!$I$49*Assumptions!$I$31*Assumptions!$I$32),0)</f>
        <v>58.2010582010582</v>
      </c>
      <c r="P97" s="63" t="n">
        <f aca="false">IFERROR(P18/(P19*Assumptions!$I$49*Assumptions!$I$31*Assumptions!$I$32),0)</f>
        <v>58.2010582010582</v>
      </c>
      <c r="Q97" s="63" t="n">
        <f aca="false">IFERROR(Q18/(Q19*Assumptions!$I$49*Assumptions!$I$31*Assumptions!$I$32),0)</f>
        <v>58.2010582010582</v>
      </c>
      <c r="R97" s="63" t="n">
        <f aca="false">IFERROR(R18/(R19*Assumptions!$I$49*Assumptions!$I$31*Assumptions!$I$32),0)</f>
        <v>58.2010582010582</v>
      </c>
      <c r="S97" s="63" t="n">
        <f aca="false">IFERROR(S18/(S19*Assumptions!$I$49*Assumptions!$I$31*Assumptions!$I$32),0)</f>
        <v>58.2010582010582</v>
      </c>
      <c r="T97" s="63" t="n">
        <f aca="false">IFERROR(T18/(T19*Assumptions!$I$49*Assumptions!$I$31*Assumptions!$I$32),0)</f>
        <v>58.2010582010582</v>
      </c>
      <c r="U97" s="63" t="n">
        <f aca="false">IFERROR(U18/(U19*Assumptions!$I$49*Assumptions!$I$31*Assumptions!$I$32),0)</f>
        <v>58.2010582010582</v>
      </c>
      <c r="V97" s="63" t="n">
        <f aca="false">IFERROR(V18/(V19*Assumptions!$I$49*Assumptions!$I$31*Assumptions!$I$32),0)</f>
        <v>58.2010582010582</v>
      </c>
      <c r="W97" s="63" t="n">
        <f aca="false">IFERROR(W18/(W19*Assumptions!$I$49*Assumptions!$I$31*Assumptions!$I$32),0)</f>
        <v>58.2010582010582</v>
      </c>
      <c r="X97" s="63" t="n">
        <f aca="false">IFERROR(X18/(X19*Assumptions!$I$49*Assumptions!$I$31*Assumptions!$I$32),0)</f>
        <v>58.2010582010582</v>
      </c>
      <c r="Y97" s="63" t="n">
        <f aca="false">IFERROR(Y18/(Y19*Assumptions!$I$49*Assumptions!$I$31*Assumptions!$I$32),0)</f>
        <v>58.2010582010582</v>
      </c>
      <c r="Z97" s="63" t="n">
        <f aca="false">IFERROR(Z18/(Z19*Assumptions!$I$49*Assumptions!$I$31*Assumptions!$I$32),0)</f>
        <v>58.2010582010582</v>
      </c>
      <c r="AA97" s="63" t="n">
        <f aca="false">IFERROR(AA18/(AA19*Assumptions!$I$49*Assumptions!$I$31*Assumptions!$I$32),0)</f>
        <v>58.2010582010582</v>
      </c>
      <c r="AB97" s="63" t="n">
        <f aca="false">IFERROR(AB18/(AB19*Assumptions!$I$49*Assumptions!$I$31*Assumptions!$I$32),0)</f>
        <v>58.2010582010582</v>
      </c>
      <c r="AC97" s="63" t="n">
        <f aca="false">IFERROR(AC18/(AC19*Assumptions!$I$49*Assumptions!$I$31*Assumptions!$I$32),0)</f>
        <v>58.2010582010582</v>
      </c>
      <c r="AD97" s="63" t="n">
        <f aca="false">IFERROR(AD18/(AD19*Assumptions!$I$49*Assumptions!$I$31*Assumptions!$I$32),0)</f>
        <v>58.2010582010582</v>
      </c>
      <c r="AE97" s="63" t="n">
        <f aca="false">IFERROR(AE18/(AE19*Assumptions!$I$49*Assumptions!$I$31*Assumptions!$I$32),0)</f>
        <v>58.2010582010582</v>
      </c>
      <c r="AF97" s="63" t="n">
        <f aca="false">IFERROR(AF18/(AF19*Assumptions!$I$49*Assumptions!$I$31*Assumptions!$I$32),0)</f>
        <v>58.2010582010582</v>
      </c>
      <c r="AG97" s="63" t="n">
        <f aca="false">IFERROR(AG18/(AG19*Assumptions!$I$49*Assumptions!$I$31*Assumptions!$I$32),0)</f>
        <v>58.2010582010582</v>
      </c>
      <c r="AH97" s="63" t="n">
        <f aca="false">IFERROR(AH18/(AH19*Assumptions!$I$49*Assumptions!$I$31*Assumptions!$I$32),0)</f>
        <v>58.2010582010582</v>
      </c>
      <c r="AI97" s="63" t="n">
        <f aca="false">IFERROR(AI18/(AI19*Assumptions!$I$49*Assumptions!$I$31*Assumptions!$I$32),0)</f>
        <v>58.2010582010582</v>
      </c>
      <c r="AJ97" s="63" t="n">
        <f aca="false">IFERROR(AJ18/(AJ19*Assumptions!$I$49*Assumptions!$I$31*Assumptions!$I$32),0)</f>
        <v>58.2010582010582</v>
      </c>
      <c r="AK97" s="63" t="n">
        <f aca="false">IFERROR(AK18/(AK19*Assumptions!$I$49*Assumptions!$I$31*Assumptions!$I$32),0)</f>
        <v>58.2010582010582</v>
      </c>
      <c r="AL97" s="63" t="n">
        <f aca="false">IFERROR(AL18/(AL19*Assumptions!$I$49*Assumptions!$I$31*Assumptions!$I$32),0)</f>
        <v>58.2010582010582</v>
      </c>
      <c r="AM97" s="63" t="n">
        <f aca="false">AVERAGE(N97:AL97)</f>
        <v>58.2010582010582</v>
      </c>
    </row>
    <row r="98" customFormat="false" ht="15" hidden="false" customHeight="false" outlineLevel="0" collapsed="false">
      <c r="A98" s="10" t="s">
        <v>832</v>
      </c>
      <c r="B98" s="9" t="s">
        <v>97</v>
      </c>
      <c r="C98" s="63" t="n">
        <f aca="false">IFERROR(C22/(C23*Assumptions!$I$49*Assumptions!$I$38*Assumptions!$I$39),0)</f>
        <v>0</v>
      </c>
      <c r="D98" s="63" t="n">
        <f aca="false">IFERROR(D22/(D23*Assumptions!$I$49*Assumptions!$I$38*Assumptions!$I$39),0)</f>
        <v>161.111111111111</v>
      </c>
      <c r="E98" s="63" t="n">
        <f aca="false">IFERROR(E22/(E23*Assumptions!$I$49*Assumptions!$I$38*Assumptions!$I$39),0)</f>
        <v>161.111111111111</v>
      </c>
      <c r="F98" s="63" t="n">
        <f aca="false">IFERROR(F22/(F23*Assumptions!$I$49*Assumptions!$I$38*Assumptions!$I$39),0)</f>
        <v>161.111111111111</v>
      </c>
      <c r="G98" s="63" t="n">
        <f aca="false">IFERROR(G22/(G23*Assumptions!$I$49*Assumptions!$I$38*Assumptions!$I$39),0)</f>
        <v>161.111111111111</v>
      </c>
      <c r="H98" s="63" t="n">
        <f aca="false">IFERROR(H22/(H23*Assumptions!$I$49*Assumptions!$I$38*Assumptions!$I$39),0)</f>
        <v>161.111111111111</v>
      </c>
      <c r="I98" s="63" t="n">
        <f aca="false">IFERROR(I22/(I23*Assumptions!$I$49*Assumptions!$I$38*Assumptions!$I$39),0)</f>
        <v>161.111111111111</v>
      </c>
      <c r="J98" s="63" t="n">
        <f aca="false">IFERROR(J22/(J23*Assumptions!$I$49*Assumptions!$I$38*Assumptions!$I$39),0)</f>
        <v>161.111111111111</v>
      </c>
      <c r="K98" s="63" t="n">
        <f aca="false">IFERROR(K22/(K23*Assumptions!$I$49*Assumptions!$I$38*Assumptions!$I$39),0)</f>
        <v>161.111111111111</v>
      </c>
      <c r="L98" s="63" t="n">
        <f aca="false">IFERROR(L22/(L23*Assumptions!$I$49*Assumptions!$I$38*Assumptions!$I$39),0)</f>
        <v>161.111111111111</v>
      </c>
      <c r="M98" s="63" t="n">
        <f aca="false">IFERROR(M22/(M23*Assumptions!$I$49*Assumptions!$I$38*Assumptions!$I$39),0)</f>
        <v>161.111111111111</v>
      </c>
      <c r="N98" s="63" t="n">
        <f aca="false">IFERROR(N22/(N23*Assumptions!$I$49*Assumptions!$I$38*Assumptions!$I$39),0)</f>
        <v>161.111111111111</v>
      </c>
      <c r="O98" s="63" t="n">
        <f aca="false">IFERROR(O22/(O23*Assumptions!$I$49*Assumptions!$I$38*Assumptions!$I$39),0)</f>
        <v>161.111111111111</v>
      </c>
      <c r="P98" s="63" t="n">
        <f aca="false">IFERROR(P22/(P23*Assumptions!$I$49*Assumptions!$I$38*Assumptions!$I$39),0)</f>
        <v>161.111111111111</v>
      </c>
      <c r="Q98" s="63" t="n">
        <f aca="false">IFERROR(Q22/(Q23*Assumptions!$I$49*Assumptions!$I$38*Assumptions!$I$39),0)</f>
        <v>161.111111111111</v>
      </c>
      <c r="R98" s="63" t="n">
        <f aca="false">IFERROR(R22/(R23*Assumptions!$I$49*Assumptions!$I$38*Assumptions!$I$39),0)</f>
        <v>161.111111111111</v>
      </c>
      <c r="S98" s="63" t="n">
        <f aca="false">IFERROR(S22/(S23*Assumptions!$I$49*Assumptions!$I$38*Assumptions!$I$39),0)</f>
        <v>161.111111111111</v>
      </c>
      <c r="T98" s="63" t="n">
        <f aca="false">IFERROR(T22/(T23*Assumptions!$I$49*Assumptions!$I$38*Assumptions!$I$39),0)</f>
        <v>161.111111111111</v>
      </c>
      <c r="U98" s="63" t="n">
        <f aca="false">IFERROR(U22/(U23*Assumptions!$I$49*Assumptions!$I$38*Assumptions!$I$39),0)</f>
        <v>161.111111111111</v>
      </c>
      <c r="V98" s="63" t="n">
        <f aca="false">IFERROR(V22/(V23*Assumptions!$I$49*Assumptions!$I$38*Assumptions!$I$39),0)</f>
        <v>161.111111111111</v>
      </c>
      <c r="W98" s="63" t="n">
        <f aca="false">IFERROR(W22/(W23*Assumptions!$I$49*Assumptions!$I$38*Assumptions!$I$39),0)</f>
        <v>161.111111111111</v>
      </c>
      <c r="X98" s="63" t="n">
        <f aca="false">IFERROR(X22/(X23*Assumptions!$I$49*Assumptions!$I$38*Assumptions!$I$39),0)</f>
        <v>161.111111111111</v>
      </c>
      <c r="Y98" s="63" t="n">
        <f aca="false">IFERROR(Y22/(Y23*Assumptions!$I$49*Assumptions!$I$38*Assumptions!$I$39),0)</f>
        <v>161.111111111111</v>
      </c>
      <c r="Z98" s="63" t="n">
        <f aca="false">IFERROR(Z22/(Z23*Assumptions!$I$49*Assumptions!$I$38*Assumptions!$I$39),0)</f>
        <v>161.111111111111</v>
      </c>
      <c r="AA98" s="63" t="n">
        <f aca="false">IFERROR(AA22/(AA23*Assumptions!$I$49*Assumptions!$I$38*Assumptions!$I$39),0)</f>
        <v>161.111111111111</v>
      </c>
      <c r="AB98" s="63" t="n">
        <f aca="false">IFERROR(AB22/(AB23*Assumptions!$I$49*Assumptions!$I$38*Assumptions!$I$39),0)</f>
        <v>161.111111111111</v>
      </c>
      <c r="AC98" s="63" t="n">
        <f aca="false">IFERROR(AC22/(AC23*Assumptions!$I$49*Assumptions!$I$38*Assumptions!$I$39),0)</f>
        <v>161.111111111111</v>
      </c>
      <c r="AD98" s="63" t="n">
        <f aca="false">IFERROR(AD22/(AD23*Assumptions!$I$49*Assumptions!$I$38*Assumptions!$I$39),0)</f>
        <v>161.111111111111</v>
      </c>
      <c r="AE98" s="63" t="n">
        <f aca="false">IFERROR(AE22/(AE23*Assumptions!$I$49*Assumptions!$I$38*Assumptions!$I$39),0)</f>
        <v>161.111111111111</v>
      </c>
      <c r="AF98" s="63" t="n">
        <f aca="false">IFERROR(AF22/(AF23*Assumptions!$I$49*Assumptions!$I$38*Assumptions!$I$39),0)</f>
        <v>161.111111111111</v>
      </c>
      <c r="AG98" s="63" t="n">
        <f aca="false">IFERROR(AG22/(AG23*Assumptions!$I$49*Assumptions!$I$38*Assumptions!$I$39),0)</f>
        <v>161.111111111111</v>
      </c>
      <c r="AH98" s="63" t="n">
        <f aca="false">IFERROR(AH22/(AH23*Assumptions!$I$49*Assumptions!$I$38*Assumptions!$I$39),0)</f>
        <v>161.111111111111</v>
      </c>
      <c r="AI98" s="63" t="n">
        <f aca="false">IFERROR(AI22/(AI23*Assumptions!$I$49*Assumptions!$I$38*Assumptions!$I$39),0)</f>
        <v>161.111111111111</v>
      </c>
      <c r="AJ98" s="63" t="n">
        <f aca="false">IFERROR(AJ22/(AJ23*Assumptions!$I$49*Assumptions!$I$38*Assumptions!$I$39),0)</f>
        <v>161.111111111111</v>
      </c>
      <c r="AK98" s="63" t="n">
        <f aca="false">IFERROR(AK22/(AK23*Assumptions!$I$49*Assumptions!$I$38*Assumptions!$I$39),0)</f>
        <v>161.111111111111</v>
      </c>
      <c r="AL98" s="63" t="n">
        <f aca="false">IFERROR(AL22/(AL23*Assumptions!$I$49*Assumptions!$I$38*Assumptions!$I$39),0)</f>
        <v>161.111111111111</v>
      </c>
      <c r="AM98" s="63" t="n">
        <f aca="false">AVERAGE(N98:AL98)</f>
        <v>161.111111111111</v>
      </c>
    </row>
    <row r="99" customFormat="false" ht="15" hidden="false" customHeight="false" outlineLevel="0" collapsed="false">
      <c r="A99" s="10" t="s">
        <v>833</v>
      </c>
      <c r="B99" s="9" t="s">
        <v>97</v>
      </c>
      <c r="C99" s="63" t="n">
        <f aca="false">IFERROR(C24/(C25*Assumptions!$I$49*Assumptions!$I$43),0)</f>
        <v>88.8829500645938</v>
      </c>
      <c r="D99" s="63" t="n">
        <f aca="false">IFERROR(D24/(D25*Assumptions!$I$49*Assumptions!$I$43),0)</f>
        <v>0</v>
      </c>
      <c r="E99" s="63" t="n">
        <f aca="false">IFERROR(E24/(E25*Assumptions!$I$49*Assumptions!$I$43),0)</f>
        <v>78.3823555585172</v>
      </c>
      <c r="F99" s="63" t="n">
        <f aca="false">IFERROR(F24/(F25*Assumptions!$I$49*Assumptions!$I$43),0)</f>
        <v>104.852762716677</v>
      </c>
      <c r="G99" s="63" t="n">
        <f aca="false">IFERROR(G24/(G25*Assumptions!$I$49*Assumptions!$I$43),0)</f>
        <v>124.185961932516</v>
      </c>
      <c r="H99" s="63" t="n">
        <f aca="false">IFERROR(H24/(H25*Assumptions!$I$49*Assumptions!$I$43),0)</f>
        <v>136.288710185892</v>
      </c>
      <c r="I99" s="63" t="n">
        <f aca="false">IFERROR(I24/(I25*Assumptions!$I$49*Assumptions!$I$43),0)</f>
        <v>144.447478925977</v>
      </c>
      <c r="J99" s="63" t="n">
        <f aca="false">IFERROR(J24/(J25*Assumptions!$I$49*Assumptions!$I$43),0)</f>
        <v>152.977566792943</v>
      </c>
      <c r="K99" s="63" t="n">
        <f aca="false">IFERROR(K24/(K25*Assumptions!$I$49*Assumptions!$I$43),0)</f>
        <v>158.689828435588</v>
      </c>
      <c r="L99" s="63" t="n">
        <f aca="false">IFERROR(L24/(L25*Assumptions!$I$49*Assumptions!$I$43),0)</f>
        <v>163.286283473967</v>
      </c>
      <c r="M99" s="63" t="n">
        <f aca="false">IFERROR(M24/(M25*Assumptions!$I$49*Assumptions!$I$43),0)</f>
        <v>167.089841497877</v>
      </c>
      <c r="N99" s="63" t="n">
        <f aca="false">IFERROR(N24/(N25*Assumptions!$I$49*Assumptions!$I$43),0)</f>
        <v>170.318240779167</v>
      </c>
      <c r="O99" s="63" t="n">
        <f aca="false">IFERROR(O24/(O25*Assumptions!$I$49*Assumptions!$I$43),0)</f>
        <v>173.119386623838</v>
      </c>
      <c r="P99" s="63" t="n">
        <f aca="false">IFERROR(P24/(P25*Assumptions!$I$49*Assumptions!$I$43),0)</f>
        <v>175.598322583653</v>
      </c>
      <c r="Q99" s="63" t="n">
        <f aca="false">IFERROR(Q24/(Q25*Assumptions!$I$49*Assumptions!$I$43),0)</f>
        <v>177.831884275714</v>
      </c>
      <c r="R99" s="63" t="n">
        <f aca="false">IFERROR(R24/(R25*Assumptions!$I$49*Assumptions!$I$43),0)</f>
        <v>179.877632543739</v>
      </c>
      <c r="S99" s="63" t="n">
        <f aca="false">IFERROR(S24/(S25*Assumptions!$I$49*Assumptions!$I$43),0)</f>
        <v>181.77955753447</v>
      </c>
      <c r="T99" s="63" t="n">
        <f aca="false">IFERROR(T24/(T25*Assumptions!$I$49*Assumptions!$I$43),0)</f>
        <v>183.571872292917</v>
      </c>
      <c r="U99" s="63" t="n">
        <f aca="false">IFERROR(U24/(U25*Assumptions!$I$49*Assumptions!$I$43),0)</f>
        <v>185.281620684411</v>
      </c>
      <c r="V99" s="63" t="n">
        <f aca="false">IFERROR(V24/(V25*Assumptions!$I$49*Assumptions!$I$43),0)</f>
        <v>186.930519287134</v>
      </c>
      <c r="W99" s="63" t="n">
        <f aca="false">IFERROR(W24/(W25*Assumptions!$I$49*Assumptions!$I$43),0)</f>
        <v>188.536287259708</v>
      </c>
      <c r="X99" s="63" t="n">
        <f aca="false">IFERROR(X24/(X25*Assumptions!$I$49*Assumptions!$I$43),0)</f>
        <v>190.113623984612</v>
      </c>
      <c r="Y99" s="63" t="n">
        <f aca="false">IFERROR(Y24/(Y25*Assumptions!$I$49*Assumptions!$I$43),0)</f>
        <v>191.674938440647</v>
      </c>
      <c r="Z99" s="63" t="n">
        <f aca="false">IFERROR(Z24/(Z25*Assumptions!$I$49*Assumptions!$I$43),0)</f>
        <v>193.230899914082</v>
      </c>
      <c r="AA99" s="63" t="n">
        <f aca="false">IFERROR(AA24/(AA25*Assumptions!$I$49*Assumptions!$I$43),0)</f>
        <v>194.790857840667</v>
      </c>
      <c r="AB99" s="63" t="n">
        <f aca="false">IFERROR(AB24/(AB25*Assumptions!$I$49*Assumptions!$I$43),0)</f>
        <v>196.363164303349</v>
      </c>
      <c r="AC99" s="63" t="n">
        <f aca="false">IFERROR(AC24/(AC25*Assumptions!$I$49*Assumptions!$I$43),0)</f>
        <v>197.891475336565</v>
      </c>
      <c r="AD99" s="63" t="n">
        <f aca="false">IFERROR(AD24/(AD25*Assumptions!$I$49*Assumptions!$I$43),0)</f>
        <v>199.368910356805</v>
      </c>
      <c r="AE99" s="63" t="n">
        <f aca="false">IFERROR(AE24/(AE25*Assumptions!$I$49*Assumptions!$I$43),0)</f>
        <v>200.824173287178</v>
      </c>
      <c r="AF99" s="63" t="n">
        <f aca="false">IFERROR(AF24/(AF25*Assumptions!$I$49*Assumptions!$I$43),0)</f>
        <v>202.267959616846</v>
      </c>
      <c r="AG99" s="63" t="n">
        <f aca="false">IFERROR(AG24/(AG25*Assumptions!$I$49*Assumptions!$I$43),0)</f>
        <v>203.710217029713</v>
      </c>
      <c r="AH99" s="63" t="n">
        <f aca="false">IFERROR(AH24/(AH25*Assumptions!$I$49*Assumptions!$I$43),0)</f>
        <v>205.160165892281</v>
      </c>
      <c r="AI99" s="63" t="n">
        <f aca="false">IFERROR(AI24/(AI25*Assumptions!$I$49*Assumptions!$I$43),0)</f>
        <v>206.626453592672</v>
      </c>
      <c r="AJ99" s="63" t="n">
        <f aca="false">IFERROR(AJ24/(AJ25*Assumptions!$I$49*Assumptions!$I$43),0)</f>
        <v>208.117263313442</v>
      </c>
      <c r="AK99" s="63" t="n">
        <f aca="false">IFERROR(AK24/(AK25*Assumptions!$I$49*Assumptions!$I$43),0)</f>
        <v>209.640400135028</v>
      </c>
      <c r="AL99" s="63" t="n">
        <f aca="false">IFERROR(AL24/(AL25*Assumptions!$I$49*Assumptions!$I$43),0)</f>
        <v>211.203358053403</v>
      </c>
      <c r="AM99" s="63" t="n">
        <f aca="false">AVERAGE(N99:AL99)</f>
        <v>192.553167398482</v>
      </c>
    </row>
    <row r="100" customFormat="false" ht="15" hidden="false" customHeight="false" outlineLevel="0" collapsed="false">
      <c r="A100" s="37" t="s">
        <v>834</v>
      </c>
      <c r="B100" s="9" t="s">
        <v>97</v>
      </c>
      <c r="C100" s="51" t="n">
        <f aca="false">IFERROR(C26/((C19*Assumptions!$I$31*Assumptions!$I$32+C23*Assumptions!$I$38*Assumptions!$I$39+C25*Assumptions!$I$43)*Assumptions!$I$49),0)</f>
        <v>88.8829500645938</v>
      </c>
      <c r="D100" s="51" t="n">
        <f aca="false">IFERROR(D26/((D19*Assumptions!$I$31*Assumptions!$I$32+D23*Assumptions!$I$38*Assumptions!$I$39+D25*Assumptions!$I$43)*Assumptions!$I$49),0)</f>
        <v>61.9290080961943</v>
      </c>
      <c r="E100" s="51" t="n">
        <f aca="false">IFERROR(E26/((E19*Assumptions!$I$31*Assumptions!$I$32+E23*Assumptions!$I$38*Assumptions!$I$39+E25*Assumptions!$I$43)*Assumptions!$I$49),0)</f>
        <v>127.891340160555</v>
      </c>
      <c r="F100" s="51" t="n">
        <f aca="false">IFERROR(F26/((F19*Assumptions!$I$31*Assumptions!$I$32+F23*Assumptions!$I$38*Assumptions!$I$39+F25*Assumptions!$I$43)*Assumptions!$I$49),0)</f>
        <v>124.118968944947</v>
      </c>
      <c r="G100" s="51" t="n">
        <f aca="false">IFERROR(G26/((G19*Assumptions!$I$31*Assumptions!$I$32+G23*Assumptions!$I$38*Assumptions!$I$39+G25*Assumptions!$I$43)*Assumptions!$I$49),0)</f>
        <v>127.564596414939</v>
      </c>
      <c r="H100" s="51" t="n">
        <f aca="false">IFERROR(H26/((H19*Assumptions!$I$31*Assumptions!$I$32+H23*Assumptions!$I$38*Assumptions!$I$39+H25*Assumptions!$I$43)*Assumptions!$I$49),0)</f>
        <v>132.433683101242</v>
      </c>
      <c r="I100" s="51" t="n">
        <f aca="false">IFERROR(I26/((I19*Assumptions!$I$31*Assumptions!$I$32+I23*Assumptions!$I$38*Assumptions!$I$39+I25*Assumptions!$I$43)*Assumptions!$I$49),0)</f>
        <v>136.903886426375</v>
      </c>
      <c r="J100" s="51" t="n">
        <f aca="false">IFERROR(J26/((J19*Assumptions!$I$31*Assumptions!$I$32+J23*Assumptions!$I$38*Assumptions!$I$39+J25*Assumptions!$I$43)*Assumptions!$I$49),0)</f>
        <v>142.351764257407</v>
      </c>
      <c r="K100" s="51" t="n">
        <f aca="false">IFERROR(K26/((K19*Assumptions!$I$31*Assumptions!$I$32+K23*Assumptions!$I$38*Assumptions!$I$39+K25*Assumptions!$I$43)*Assumptions!$I$49),0)</f>
        <v>146.569964852993</v>
      </c>
      <c r="L100" s="51" t="n">
        <f aca="false">IFERROR(L26/((L19*Assumptions!$I$31*Assumptions!$I$32+L23*Assumptions!$I$38*Assumptions!$I$39+L25*Assumptions!$I$43)*Assumptions!$I$49),0)</f>
        <v>150.206748783292</v>
      </c>
      <c r="M100" s="51" t="n">
        <f aca="false">IFERROR(M26/((M19*Assumptions!$I$31*Assumptions!$I$32+M23*Assumptions!$I$38*Assumptions!$I$39+M25*Assumptions!$I$43)*Assumptions!$I$49),0)</f>
        <v>153.35609231029</v>
      </c>
      <c r="N100" s="51" t="n">
        <f aca="false">IFERROR(N26/((N19*Assumptions!$I$31*Assumptions!$I$32+N23*Assumptions!$I$38*Assumptions!$I$39+N25*Assumptions!$I$43)*Assumptions!$I$49),0)</f>
        <v>156.104716717884</v>
      </c>
      <c r="O100" s="51" t="n">
        <f aca="false">IFERROR(O26/((O19*Assumptions!$I$31*Assumptions!$I$32+O23*Assumptions!$I$38*Assumptions!$I$39+O25*Assumptions!$I$43)*Assumptions!$I$49),0)</f>
        <v>158.526262452228</v>
      </c>
      <c r="P100" s="51" t="n">
        <f aca="false">IFERROR(P26/((P19*Assumptions!$I$31*Assumptions!$I$32+P23*Assumptions!$I$38*Assumptions!$I$39+P25*Assumptions!$I$43)*Assumptions!$I$49),0)</f>
        <v>160.682475906857</v>
      </c>
      <c r="Q100" s="51" t="n">
        <f aca="false">IFERROR(Q26/((Q19*Assumptions!$I$31*Assumptions!$I$32+Q23*Assumptions!$I$38*Assumptions!$I$39+Q25*Assumptions!$I$43)*Assumptions!$I$49),0)</f>
        <v>162.624418951102</v>
      </c>
      <c r="R100" s="51" t="n">
        <f aca="false">IFERROR(R26/((R19*Assumptions!$I$31*Assumptions!$I$32+R23*Assumptions!$I$38*Assumptions!$I$39+R25*Assumptions!$I$43)*Assumptions!$I$49),0)</f>
        <v>164.39403058648</v>
      </c>
      <c r="S100" s="51" t="n">
        <f aca="false">IFERROR(S26/((S19*Assumptions!$I$31*Assumptions!$I$32+S23*Assumptions!$I$38*Assumptions!$I$39+S25*Assumptions!$I$43)*Assumptions!$I$49),0)</f>
        <v>166.025660662437</v>
      </c>
      <c r="T100" s="51" t="n">
        <f aca="false">IFERROR(T26/((T19*Assumptions!$I$31*Assumptions!$I$32+T23*Assumptions!$I$38*Assumptions!$I$39+T25*Assumptions!$I$43)*Assumptions!$I$49),0)</f>
        <v>167.547440411972</v>
      </c>
      <c r="U100" s="51" t="n">
        <f aca="false">IFERROR(U26/((U19*Assumptions!$I$31*Assumptions!$I$32+U23*Assumptions!$I$38*Assumptions!$I$39+U25*Assumptions!$I$43)*Assumptions!$I$49),0)</f>
        <v>168.982453519211</v>
      </c>
      <c r="V100" s="51" t="n">
        <f aca="false">IFERROR(V26/((V19*Assumptions!$I$31*Assumptions!$I$32+V23*Assumptions!$I$38*Assumptions!$I$39+V25*Assumptions!$I$43)*Assumptions!$I$49),0)</f>
        <v>170.349712905891</v>
      </c>
      <c r="W100" s="51" t="n">
        <f aca="false">IFERROR(W26/((W19*Assumptions!$I$31*Assumptions!$I$32+W23*Assumptions!$I$38*Assumptions!$I$39+W25*Assumptions!$I$43)*Assumptions!$I$49),0)</f>
        <v>171.664964009329</v>
      </c>
      <c r="X100" s="51" t="n">
        <f aca="false">IFERROR(X26/((X19*Assumptions!$I$31*Assumptions!$I$32+X23*Assumptions!$I$38*Assumptions!$I$39+X25*Assumptions!$I$43)*Assumptions!$I$49),0)</f>
        <v>172.941339569686</v>
      </c>
      <c r="Y100" s="51" t="n">
        <f aca="false">IFERROR(Y26/((Y19*Assumptions!$I$31*Assumptions!$I$32+Y23*Assumptions!$I$38*Assumptions!$I$39+Y25*Assumptions!$I$43)*Assumptions!$I$49),0)</f>
        <v>174.189890310335</v>
      </c>
      <c r="Z100" s="51" t="n">
        <f aca="false">IFERROR(Z26/((Z19*Assumptions!$I$31*Assumptions!$I$32+Z23*Assumptions!$I$38*Assumptions!$I$39+Z25*Assumptions!$I$43)*Assumptions!$I$49),0)</f>
        <v>175.420013337176</v>
      </c>
      <c r="AA100" s="51" t="n">
        <f aca="false">IFERROR(AA26/((AA19*Assumptions!$I$31*Assumptions!$I$32+AA23*Assumptions!$I$38*Assumptions!$I$39+AA25*Assumptions!$I$43)*Assumptions!$I$49),0)</f>
        <v>176.639796961563</v>
      </c>
      <c r="AB100" s="51" t="n">
        <f aca="false">IFERROR(AB26/((AB19*Assumptions!$I$31*Assumptions!$I$32+AB23*Assumptions!$I$38*Assumptions!$I$39+AB25*Assumptions!$I$43)*Assumptions!$I$49),0)</f>
        <v>177.856297578112</v>
      </c>
      <c r="AC100" s="51" t="n">
        <f aca="false">IFERROR(AC26/((AC19*Assumptions!$I$31*Assumptions!$I$32+AC23*Assumptions!$I$38*Assumptions!$I$39+AC25*Assumptions!$I$43)*Assumptions!$I$49),0)</f>
        <v>179.018320870698</v>
      </c>
      <c r="AD100" s="51" t="n">
        <f aca="false">IFERROR(AD26/((AD19*Assumptions!$I$31*Assumptions!$I$32+AD23*Assumptions!$I$38*Assumptions!$I$39+AD25*Assumptions!$I$43)*Assumptions!$I$49),0)</f>
        <v>180.119151984444</v>
      </c>
      <c r="AE100" s="51" t="n">
        <f aca="false">IFERROR(AE26/((AE19*Assumptions!$I$31*Assumptions!$I$32+AE23*Assumptions!$I$38*Assumptions!$I$39+AE25*Assumptions!$I$43)*Assumptions!$I$49),0)</f>
        <v>181.18356951011</v>
      </c>
      <c r="AF100" s="51" t="n">
        <f aca="false">IFERROR(AF26/((AF19*Assumptions!$I$31*Assumptions!$I$32+AF23*Assumptions!$I$38*Assumptions!$I$39+AF25*Assumptions!$I$43)*Assumptions!$I$49),0)</f>
        <v>182.219573299274</v>
      </c>
      <c r="AG100" s="51" t="n">
        <f aca="false">IFERROR(AG26/((AG19*Assumptions!$I$31*Assumptions!$I$32+AG23*Assumptions!$I$38*Assumptions!$I$39+AG25*Assumptions!$I$43)*Assumptions!$I$49),0)</f>
        <v>183.234600266883</v>
      </c>
      <c r="AH100" s="51" t="n">
        <f aca="false">IFERROR(AH26/((AH19*Assumptions!$I$31*Assumptions!$I$32+AH23*Assumptions!$I$38*Assumptions!$I$39+AH25*Assumptions!$I$43)*Assumptions!$I$49),0)</f>
        <v>184.235391812158</v>
      </c>
      <c r="AI100" s="51" t="n">
        <f aca="false">IFERROR(AI26/((AI19*Assumptions!$I$31*Assumptions!$I$32+AI23*Assumptions!$I$38*Assumptions!$I$39+AI25*Assumptions!$I$43)*Assumptions!$I$49),0)</f>
        <v>185.228107209461</v>
      </c>
      <c r="AJ100" s="51" t="n">
        <f aca="false">IFERROR(AJ26/((AJ19*Assumptions!$I$31*Assumptions!$I$32+AJ23*Assumptions!$I$38*Assumptions!$I$39+AJ25*Assumptions!$I$43)*Assumptions!$I$49),0)</f>
        <v>186.218413612824</v>
      </c>
      <c r="AK100" s="51" t="n">
        <f aca="false">IFERROR(AK26/((AK19*Assumptions!$I$31*Assumptions!$I$32+AK23*Assumptions!$I$38*Assumptions!$I$39+AK25*Assumptions!$I$43)*Assumptions!$I$49),0)</f>
        <v>187.211560088967</v>
      </c>
      <c r="AL100" s="51" t="n">
        <f aca="false">IFERROR(AL26/((AL19*Assumptions!$I$31*Assumptions!$I$32+AL23*Assumptions!$I$38*Assumptions!$I$39+AL25*Assumptions!$I$43)*Assumptions!$I$49),0)</f>
        <v>188.212436252277</v>
      </c>
      <c r="AM100" s="51" t="n">
        <f aca="false">AVERAGE(N100:AL100)</f>
        <v>174.433223951494</v>
      </c>
    </row>
    <row r="101" customFormat="false" ht="15" hidden="false" customHeight="false" outlineLevel="0" collapsed="false">
      <c r="A101" s="37" t="s">
        <v>835</v>
      </c>
      <c r="B101" s="9" t="s">
        <v>370</v>
      </c>
      <c r="C101" s="72" t="n">
        <f aca="false">IFERROR(C100/C104,0)</f>
        <v>1.9926294452028</v>
      </c>
      <c r="D101" s="72" t="n">
        <f aca="false">IFERROR(D100/D104,0)</f>
        <v>1.38836036557067</v>
      </c>
      <c r="E101" s="72" t="n">
        <f aca="false">IFERROR(E100/E104,0)</f>
        <v>2.86714212349129</v>
      </c>
      <c r="F101" s="72" t="n">
        <f aca="false">IFERROR(F100/F104,0)</f>
        <v>2.78257092106165</v>
      </c>
      <c r="G101" s="72" t="n">
        <f aca="false">IFERROR(G100/G104,0)</f>
        <v>2.85981699299013</v>
      </c>
      <c r="H101" s="72" t="n">
        <f aca="false">IFERROR(H100/H104,0)</f>
        <v>2.96897499793172</v>
      </c>
      <c r="I101" s="72" t="n">
        <f aca="false">IFERROR(I100/I104,0)</f>
        <v>3.06919060469578</v>
      </c>
      <c r="J101" s="72" t="n">
        <f aca="false">IFERROR(J100/J104,0)</f>
        <v>3.19132428468831</v>
      </c>
      <c r="K101" s="72" t="n">
        <f aca="false">IFERROR(K100/K104,0)</f>
        <v>3.28589034833076</v>
      </c>
      <c r="L101" s="72" t="n">
        <f aca="false">IFERROR(L100/L104,0)</f>
        <v>3.36742187648197</v>
      </c>
      <c r="M101" s="72" t="n">
        <f aca="false">IFERROR(M100/M104,0)</f>
        <v>3.43802568340325</v>
      </c>
      <c r="N101" s="72" t="n">
        <f aca="false">IFERROR(N100/N104,0)</f>
        <v>3.49964593705589</v>
      </c>
      <c r="O101" s="72" t="n">
        <f aca="false">IFERROR(O100/O104,0)</f>
        <v>3.55393355160574</v>
      </c>
      <c r="P101" s="72" t="n">
        <f aca="false">IFERROR(P100/P104,0)</f>
        <v>3.60227279345936</v>
      </c>
      <c r="Q101" s="72" t="n">
        <f aca="false">IFERROR(Q100/Q104,0)</f>
        <v>3.64580839717252</v>
      </c>
      <c r="R101" s="72" t="n">
        <f aca="false">IFERROR(R100/R104,0)</f>
        <v>3.68548057556743</v>
      </c>
      <c r="S101" s="72" t="n">
        <f aca="false">IFERROR(S100/S104,0)</f>
        <v>3.72205940346038</v>
      </c>
      <c r="T101" s="72" t="n">
        <f aca="false">IFERROR(T100/T104,0)</f>
        <v>3.75617554312308</v>
      </c>
      <c r="U101" s="72" t="n">
        <f aca="false">IFERROR(U100/U104,0)</f>
        <v>3.78834649795365</v>
      </c>
      <c r="V101" s="72" t="n">
        <f aca="false">IFERROR(V100/V104,0)</f>
        <v>3.81899851064168</v>
      </c>
      <c r="W101" s="72" t="n">
        <f aca="false">IFERROR(W100/W104,0)</f>
        <v>3.84848457151882</v>
      </c>
      <c r="X101" s="72" t="n">
        <f aca="false">IFERROR(X100/X104,0)</f>
        <v>3.87709909795902</v>
      </c>
      <c r="Y101" s="72" t="n">
        <f aca="false">IFERROR(Y100/Y104,0)</f>
        <v>3.9050898314781</v>
      </c>
      <c r="Z101" s="72" t="n">
        <f aca="false">IFERROR(Z100/Z104,0)</f>
        <v>3.93266744183782</v>
      </c>
      <c r="AA101" s="72" t="n">
        <f aca="false">IFERROR(AA100/AA104,0)</f>
        <v>3.96001325748596</v>
      </c>
      <c r="AB101" s="72" t="n">
        <f aca="false">IFERROR(AB100/AB104,0)</f>
        <v>3.98728547276325</v>
      </c>
      <c r="AC101" s="72" t="n">
        <f aca="false">IFERROR(AC100/AC104,0)</f>
        <v>4.01333638384504</v>
      </c>
      <c r="AD101" s="72" t="n">
        <f aca="false">IFERROR(AD100/AD104,0)</f>
        <v>4.03801545322619</v>
      </c>
      <c r="AE101" s="72" t="n">
        <f aca="false">IFERROR(AE100/AE104,0)</f>
        <v>4.06187818170326</v>
      </c>
      <c r="AF101" s="72" t="n">
        <f aca="false">IFERROR(AF100/AF104,0)</f>
        <v>4.0851039145815</v>
      </c>
      <c r="AG101" s="72" t="n">
        <f aca="false">IFERROR(AG100/AG104,0)</f>
        <v>4.10785937692678</v>
      </c>
      <c r="AH101" s="72" t="n">
        <f aca="false">IFERROR(AH100/AH104,0)</f>
        <v>4.13029570133067</v>
      </c>
      <c r="AI101" s="72" t="n">
        <f aca="false">IFERROR(AI100/AI104,0)</f>
        <v>4.15255096997258</v>
      </c>
      <c r="AJ101" s="72" t="n">
        <f aca="false">IFERROR(AJ100/AJ104,0)</f>
        <v>4.17475223239332</v>
      </c>
      <c r="AK101" s="72" t="n">
        <f aca="false">IFERROR(AK100/AK104,0)</f>
        <v>4.1970171652103</v>
      </c>
      <c r="AL101" s="72" t="n">
        <f aca="false">IFERROR(AL100/AL104,0)</f>
        <v>4.21945538663029</v>
      </c>
      <c r="AM101" s="72" t="n">
        <f aca="false">AVERAGE(N101:AL101)</f>
        <v>3.9105450259561</v>
      </c>
    </row>
    <row r="102" customFormat="false" ht="15" hidden="false" customHeight="false" outlineLevel="0" collapsed="false">
      <c r="A102" s="10" t="s">
        <v>836</v>
      </c>
      <c r="B102" s="9" t="s">
        <v>97</v>
      </c>
      <c r="C102" s="63" t="n">
        <f aca="false">Assumptions!$I$70*(1-Assumptions!$I$80)*(1-Assumptions!$I$79)-Assumptions!$I$73-Assumptions!$I$75-Assumptions!$I$76-Assumptions!$I$77</f>
        <v>116.02563</v>
      </c>
      <c r="D102" s="63" t="n">
        <f aca="false">Assumptions!$I$70*(1-Assumptions!$I$80)*(1-Assumptions!$I$79)-Assumptions!$I$73-Assumptions!$I$75-Assumptions!$I$76-Assumptions!$I$77</f>
        <v>116.02563</v>
      </c>
      <c r="E102" s="63" t="n">
        <f aca="false">Assumptions!$I$70*(1-Assumptions!$I$80)*(1-Assumptions!$I$79)-Assumptions!$I$73-Assumptions!$I$75-Assumptions!$I$76-Assumptions!$I$77</f>
        <v>116.02563</v>
      </c>
      <c r="F102" s="63" t="n">
        <f aca="false">Assumptions!$I$70*(1-Assumptions!$I$80)*(1-Assumptions!$I$79)-Assumptions!$I$73-Assumptions!$I$75-Assumptions!$I$76-Assumptions!$I$77</f>
        <v>116.02563</v>
      </c>
      <c r="G102" s="63" t="n">
        <f aca="false">Assumptions!$I$70*(1-Assumptions!$I$80)*(1-Assumptions!$I$79)-Assumptions!$I$73-Assumptions!$I$75-Assumptions!$I$76-Assumptions!$I$77</f>
        <v>116.02563</v>
      </c>
      <c r="H102" s="63" t="n">
        <f aca="false">Assumptions!$I$70*(1-Assumptions!$I$80)*(1-Assumptions!$I$79)-Assumptions!$I$73-Assumptions!$I$75-Assumptions!$I$76-Assumptions!$I$77</f>
        <v>116.02563</v>
      </c>
      <c r="I102" s="63" t="n">
        <f aca="false">Assumptions!$I$70*(1-Assumptions!$I$80)*(1-Assumptions!$I$79)-Assumptions!$I$73-Assumptions!$I$75-Assumptions!$I$76-Assumptions!$I$77</f>
        <v>116.02563</v>
      </c>
      <c r="J102" s="63" t="n">
        <f aca="false">Assumptions!$I$70*(1-Assumptions!$I$80)*(1-Assumptions!$I$79)-Assumptions!$I$73-Assumptions!$I$75-Assumptions!$I$76-Assumptions!$I$77</f>
        <v>116.02563</v>
      </c>
      <c r="K102" s="63" t="n">
        <f aca="false">Assumptions!$I$70*(1-Assumptions!$I$80)*(1-Assumptions!$I$79)-Assumptions!$I$73-Assumptions!$I$75-Assumptions!$I$76-Assumptions!$I$77</f>
        <v>116.02563</v>
      </c>
      <c r="L102" s="63" t="n">
        <f aca="false">Assumptions!$I$70*(1-Assumptions!$I$80)*(1-Assumptions!$I$79)-Assumptions!$I$73-Assumptions!$I$75-Assumptions!$I$76-Assumptions!$I$77</f>
        <v>116.02563</v>
      </c>
      <c r="M102" s="63" t="n">
        <f aca="false">Assumptions!$I$70*(1-Assumptions!$I$80)*(1-Assumptions!$I$79)-Assumptions!$I$73-Assumptions!$I$75-Assumptions!$I$76-Assumptions!$I$77</f>
        <v>116.02563</v>
      </c>
      <c r="N102" s="63" t="n">
        <f aca="false">Assumptions!$I$70*(1-Assumptions!$I$80)*(1-Assumptions!$I$79)-Assumptions!$I$73-Assumptions!$I$75-Assumptions!$I$76-Assumptions!$I$77</f>
        <v>116.02563</v>
      </c>
      <c r="O102" s="63" t="n">
        <f aca="false">Assumptions!$I$70*(1-Assumptions!$I$80)*(1-Assumptions!$I$79)-Assumptions!$I$73-Assumptions!$I$75-Assumptions!$I$76-Assumptions!$I$77</f>
        <v>116.02563</v>
      </c>
      <c r="P102" s="63" t="n">
        <f aca="false">Assumptions!$I$70*(1-Assumptions!$I$80)*(1-Assumptions!$I$79)-Assumptions!$I$73-Assumptions!$I$75-Assumptions!$I$76-Assumptions!$I$77</f>
        <v>116.02563</v>
      </c>
      <c r="Q102" s="63" t="n">
        <f aca="false">Assumptions!$I$70*(1-Assumptions!$I$80)*(1-Assumptions!$I$79)-Assumptions!$I$73-Assumptions!$I$75-Assumptions!$I$76-Assumptions!$I$77</f>
        <v>116.02563</v>
      </c>
      <c r="R102" s="63" t="n">
        <f aca="false">Assumptions!$I$70*(1-Assumptions!$I$80)*(1-Assumptions!$I$79)-Assumptions!$I$73-Assumptions!$I$75-Assumptions!$I$76-Assumptions!$I$77</f>
        <v>116.02563</v>
      </c>
      <c r="S102" s="63" t="n">
        <f aca="false">Assumptions!$I$70*(1-Assumptions!$I$80)*(1-Assumptions!$I$79)-Assumptions!$I$73-Assumptions!$I$75-Assumptions!$I$76-Assumptions!$I$77</f>
        <v>116.02563</v>
      </c>
      <c r="T102" s="63" t="n">
        <f aca="false">Assumptions!$I$70*(1-Assumptions!$I$80)*(1-Assumptions!$I$79)-Assumptions!$I$73-Assumptions!$I$75-Assumptions!$I$76-Assumptions!$I$77</f>
        <v>116.02563</v>
      </c>
      <c r="U102" s="63" t="n">
        <f aca="false">Assumptions!$I$70*(1-Assumptions!$I$80)*(1-Assumptions!$I$79)-Assumptions!$I$73-Assumptions!$I$75-Assumptions!$I$76-Assumptions!$I$77</f>
        <v>116.02563</v>
      </c>
      <c r="V102" s="63" t="n">
        <f aca="false">Assumptions!$I$70*(1-Assumptions!$I$80)*(1-Assumptions!$I$79)-Assumptions!$I$73-Assumptions!$I$75-Assumptions!$I$76-Assumptions!$I$77</f>
        <v>116.02563</v>
      </c>
      <c r="W102" s="63" t="n">
        <f aca="false">Assumptions!$I$70*(1-Assumptions!$I$80)*(1-Assumptions!$I$79)-Assumptions!$I$73-Assumptions!$I$75-Assumptions!$I$76-Assumptions!$I$77</f>
        <v>116.02563</v>
      </c>
      <c r="X102" s="63" t="n">
        <f aca="false">Assumptions!$I$70*(1-Assumptions!$I$80)*(1-Assumptions!$I$79)-Assumptions!$I$73-Assumptions!$I$75-Assumptions!$I$76-Assumptions!$I$77</f>
        <v>116.02563</v>
      </c>
      <c r="Y102" s="63" t="n">
        <f aca="false">Assumptions!$I$70*(1-Assumptions!$I$80)*(1-Assumptions!$I$79)-Assumptions!$I$73-Assumptions!$I$75-Assumptions!$I$76-Assumptions!$I$77</f>
        <v>116.02563</v>
      </c>
      <c r="Z102" s="63" t="n">
        <f aca="false">Assumptions!$I$70*(1-Assumptions!$I$80)*(1-Assumptions!$I$79)-Assumptions!$I$73-Assumptions!$I$75-Assumptions!$I$76-Assumptions!$I$77</f>
        <v>116.02563</v>
      </c>
      <c r="AA102" s="63" t="n">
        <f aca="false">Assumptions!$I$70*(1-Assumptions!$I$80)*(1-Assumptions!$I$79)-Assumptions!$I$73-Assumptions!$I$75-Assumptions!$I$76-Assumptions!$I$77</f>
        <v>116.02563</v>
      </c>
      <c r="AB102" s="63" t="n">
        <f aca="false">Assumptions!$I$70*(1-Assumptions!$I$80)*(1-Assumptions!$I$79)-Assumptions!$I$73-Assumptions!$I$75-Assumptions!$I$76-Assumptions!$I$77</f>
        <v>116.02563</v>
      </c>
      <c r="AC102" s="63" t="n">
        <f aca="false">Assumptions!$I$70*(1-Assumptions!$I$80)*(1-Assumptions!$I$79)-Assumptions!$I$73-Assumptions!$I$75-Assumptions!$I$76-Assumptions!$I$77</f>
        <v>116.02563</v>
      </c>
      <c r="AD102" s="63" t="n">
        <f aca="false">Assumptions!$I$70*(1-Assumptions!$I$80)*(1-Assumptions!$I$79)-Assumptions!$I$73-Assumptions!$I$75-Assumptions!$I$76-Assumptions!$I$77</f>
        <v>116.02563</v>
      </c>
      <c r="AE102" s="63" t="n">
        <f aca="false">Assumptions!$I$70*(1-Assumptions!$I$80)*(1-Assumptions!$I$79)-Assumptions!$I$73-Assumptions!$I$75-Assumptions!$I$76-Assumptions!$I$77</f>
        <v>116.02563</v>
      </c>
      <c r="AF102" s="63" t="n">
        <f aca="false">Assumptions!$I$70*(1-Assumptions!$I$80)*(1-Assumptions!$I$79)-Assumptions!$I$73-Assumptions!$I$75-Assumptions!$I$76-Assumptions!$I$77</f>
        <v>116.02563</v>
      </c>
      <c r="AG102" s="63" t="n">
        <f aca="false">Assumptions!$I$70*(1-Assumptions!$I$80)*(1-Assumptions!$I$79)-Assumptions!$I$73-Assumptions!$I$75-Assumptions!$I$76-Assumptions!$I$77</f>
        <v>116.02563</v>
      </c>
      <c r="AH102" s="63" t="n">
        <f aca="false">Assumptions!$I$70*(1-Assumptions!$I$80)*(1-Assumptions!$I$79)-Assumptions!$I$73-Assumptions!$I$75-Assumptions!$I$76-Assumptions!$I$77</f>
        <v>116.02563</v>
      </c>
      <c r="AI102" s="63" t="n">
        <f aca="false">Assumptions!$I$70*(1-Assumptions!$I$80)*(1-Assumptions!$I$79)-Assumptions!$I$73-Assumptions!$I$75-Assumptions!$I$76-Assumptions!$I$77</f>
        <v>116.02563</v>
      </c>
      <c r="AJ102" s="63" t="n">
        <f aca="false">Assumptions!$I$70*(1-Assumptions!$I$80)*(1-Assumptions!$I$79)-Assumptions!$I$73-Assumptions!$I$75-Assumptions!$I$76-Assumptions!$I$77</f>
        <v>116.02563</v>
      </c>
      <c r="AK102" s="63" t="n">
        <f aca="false">Assumptions!$I$70*(1-Assumptions!$I$80)*(1-Assumptions!$I$79)-Assumptions!$I$73-Assumptions!$I$75-Assumptions!$I$76-Assumptions!$I$77</f>
        <v>116.02563</v>
      </c>
      <c r="AL102" s="63" t="n">
        <f aca="false">Assumptions!$I$70*(1-Assumptions!$I$80)*(1-Assumptions!$I$79)-Assumptions!$I$73-Assumptions!$I$75-Assumptions!$I$76-Assumptions!$I$77</f>
        <v>116.02563</v>
      </c>
      <c r="AM102" s="63" t="n">
        <f aca="false">AVERAGE(N102:AL102)</f>
        <v>116.02563</v>
      </c>
    </row>
    <row r="103" customFormat="false" ht="15" hidden="false" customHeight="false" outlineLevel="0" collapsed="false">
      <c r="A103" s="10" t="s">
        <v>837</v>
      </c>
      <c r="B103" s="9" t="s">
        <v>97</v>
      </c>
      <c r="C103" s="70" t="n">
        <f aca="false">C102/Assumptions!$I$68</f>
        <v>892.504846153846</v>
      </c>
      <c r="D103" s="70" t="n">
        <f aca="false">D102/Assumptions!$I$68</f>
        <v>892.504846153846</v>
      </c>
      <c r="E103" s="70" t="n">
        <f aca="false">E102/Assumptions!$I$68</f>
        <v>892.504846153846</v>
      </c>
      <c r="F103" s="70" t="n">
        <f aca="false">F102/Assumptions!$I$68</f>
        <v>892.504846153846</v>
      </c>
      <c r="G103" s="70" t="n">
        <f aca="false">G102/Assumptions!$I$68</f>
        <v>892.504846153846</v>
      </c>
      <c r="H103" s="70" t="n">
        <f aca="false">H102/Assumptions!$I$68</f>
        <v>892.504846153846</v>
      </c>
      <c r="I103" s="70" t="n">
        <f aca="false">I102/Assumptions!$I$68</f>
        <v>892.504846153846</v>
      </c>
      <c r="J103" s="70" t="n">
        <f aca="false">J102/Assumptions!$I$68</f>
        <v>892.504846153846</v>
      </c>
      <c r="K103" s="70" t="n">
        <f aca="false">K102/Assumptions!$I$68</f>
        <v>892.504846153846</v>
      </c>
      <c r="L103" s="70" t="n">
        <f aca="false">L102/Assumptions!$I$68</f>
        <v>892.504846153846</v>
      </c>
      <c r="M103" s="70" t="n">
        <f aca="false">M102/Assumptions!$I$68</f>
        <v>892.504846153846</v>
      </c>
      <c r="N103" s="70" t="n">
        <f aca="false">N102/Assumptions!$I$68</f>
        <v>892.504846153846</v>
      </c>
      <c r="O103" s="70" t="n">
        <f aca="false">O102/Assumptions!$I$68</f>
        <v>892.504846153846</v>
      </c>
      <c r="P103" s="70" t="n">
        <f aca="false">P102/Assumptions!$I$68</f>
        <v>892.504846153846</v>
      </c>
      <c r="Q103" s="70" t="n">
        <f aca="false">Q102/Assumptions!$I$68</f>
        <v>892.504846153846</v>
      </c>
      <c r="R103" s="70" t="n">
        <f aca="false">R102/Assumptions!$I$68</f>
        <v>892.504846153846</v>
      </c>
      <c r="S103" s="70" t="n">
        <f aca="false">S102/Assumptions!$I$68</f>
        <v>892.504846153846</v>
      </c>
      <c r="T103" s="70" t="n">
        <f aca="false">T102/Assumptions!$I$68</f>
        <v>892.504846153846</v>
      </c>
      <c r="U103" s="70" t="n">
        <f aca="false">U102/Assumptions!$I$68</f>
        <v>892.504846153846</v>
      </c>
      <c r="V103" s="70" t="n">
        <f aca="false">V102/Assumptions!$I$68</f>
        <v>892.504846153846</v>
      </c>
      <c r="W103" s="70" t="n">
        <f aca="false">W102/Assumptions!$I$68</f>
        <v>892.504846153846</v>
      </c>
      <c r="X103" s="70" t="n">
        <f aca="false">X102/Assumptions!$I$68</f>
        <v>892.504846153846</v>
      </c>
      <c r="Y103" s="70" t="n">
        <f aca="false">Y102/Assumptions!$I$68</f>
        <v>892.504846153846</v>
      </c>
      <c r="Z103" s="70" t="n">
        <f aca="false">Z102/Assumptions!$I$68</f>
        <v>892.504846153846</v>
      </c>
      <c r="AA103" s="70" t="n">
        <f aca="false">AA102/Assumptions!$I$68</f>
        <v>892.504846153846</v>
      </c>
      <c r="AB103" s="70" t="n">
        <f aca="false">AB102/Assumptions!$I$68</f>
        <v>892.504846153846</v>
      </c>
      <c r="AC103" s="70" t="n">
        <f aca="false">AC102/Assumptions!$I$68</f>
        <v>892.504846153846</v>
      </c>
      <c r="AD103" s="70" t="n">
        <f aca="false">AD102/Assumptions!$I$68</f>
        <v>892.504846153846</v>
      </c>
      <c r="AE103" s="70" t="n">
        <f aca="false">AE102/Assumptions!$I$68</f>
        <v>892.504846153846</v>
      </c>
      <c r="AF103" s="70" t="n">
        <f aca="false">AF102/Assumptions!$I$68</f>
        <v>892.504846153846</v>
      </c>
      <c r="AG103" s="70" t="n">
        <f aca="false">AG102/Assumptions!$I$68</f>
        <v>892.504846153846</v>
      </c>
      <c r="AH103" s="70" t="n">
        <f aca="false">AH102/Assumptions!$I$68</f>
        <v>892.504846153846</v>
      </c>
      <c r="AI103" s="70" t="n">
        <f aca="false">AI102/Assumptions!$I$68</f>
        <v>892.504846153846</v>
      </c>
      <c r="AJ103" s="70" t="n">
        <f aca="false">AJ102/Assumptions!$I$68</f>
        <v>892.504846153846</v>
      </c>
      <c r="AK103" s="70" t="n">
        <f aca="false">AK102/Assumptions!$I$68</f>
        <v>892.504846153846</v>
      </c>
      <c r="AL103" s="70" t="n">
        <f aca="false">AL102/Assumptions!$I$68</f>
        <v>892.504846153846</v>
      </c>
      <c r="AM103" s="70" t="n">
        <f aca="false">AVERAGE(N103:AL103)</f>
        <v>892.504846153846</v>
      </c>
    </row>
    <row r="104" customFormat="false" ht="15" hidden="false" customHeight="false" outlineLevel="0" collapsed="false">
      <c r="A104" s="10" t="s">
        <v>402</v>
      </c>
      <c r="B104" s="9" t="s">
        <v>97</v>
      </c>
      <c r="C104" s="63" t="n">
        <f aca="false">Assumptions!$I$50*(1-Assumptions!$I$80)*(1-Assumptions!$I$79)-Assumptions!$I$50*Assumptions!$I$55-Assumptions!$I$56</f>
        <v>44.60586</v>
      </c>
      <c r="D104" s="63" t="n">
        <f aca="false">Assumptions!$I$50*(1-Assumptions!$I$80)*(1-Assumptions!$I$79)-Assumptions!$I$50*Assumptions!$I$55-Assumptions!$I$56</f>
        <v>44.60586</v>
      </c>
      <c r="E104" s="63" t="n">
        <f aca="false">Assumptions!$I$50*(1-Assumptions!$I$80)*(1-Assumptions!$I$79)-Assumptions!$I$50*Assumptions!$I$55-Assumptions!$I$56</f>
        <v>44.60586</v>
      </c>
      <c r="F104" s="63" t="n">
        <f aca="false">Assumptions!$I$50*(1-Assumptions!$I$80)*(1-Assumptions!$I$79)-Assumptions!$I$50*Assumptions!$I$55-Assumptions!$I$56</f>
        <v>44.60586</v>
      </c>
      <c r="G104" s="63" t="n">
        <f aca="false">Assumptions!$I$50*(1-Assumptions!$I$80)*(1-Assumptions!$I$79)-Assumptions!$I$50*Assumptions!$I$55-Assumptions!$I$56</f>
        <v>44.60586</v>
      </c>
      <c r="H104" s="63" t="n">
        <f aca="false">Assumptions!$I$50*(1-Assumptions!$I$80)*(1-Assumptions!$I$79)-Assumptions!$I$50*Assumptions!$I$55-Assumptions!$I$56</f>
        <v>44.60586</v>
      </c>
      <c r="I104" s="63" t="n">
        <f aca="false">Assumptions!$I$50*(1-Assumptions!$I$80)*(1-Assumptions!$I$79)-Assumptions!$I$50*Assumptions!$I$55-Assumptions!$I$56</f>
        <v>44.60586</v>
      </c>
      <c r="J104" s="63" t="n">
        <f aca="false">Assumptions!$I$50*(1-Assumptions!$I$80)*(1-Assumptions!$I$79)-Assumptions!$I$50*Assumptions!$I$55-Assumptions!$I$56</f>
        <v>44.60586</v>
      </c>
      <c r="K104" s="63" t="n">
        <f aca="false">Assumptions!$I$50*(1-Assumptions!$I$80)*(1-Assumptions!$I$79)-Assumptions!$I$50*Assumptions!$I$55-Assumptions!$I$56</f>
        <v>44.60586</v>
      </c>
      <c r="L104" s="63" t="n">
        <f aca="false">Assumptions!$I$50*(1-Assumptions!$I$80)*(1-Assumptions!$I$79)-Assumptions!$I$50*Assumptions!$I$55-Assumptions!$I$56</f>
        <v>44.60586</v>
      </c>
      <c r="M104" s="63" t="n">
        <f aca="false">Assumptions!$I$50*(1-Assumptions!$I$80)*(1-Assumptions!$I$79)-Assumptions!$I$50*Assumptions!$I$55-Assumptions!$I$56</f>
        <v>44.60586</v>
      </c>
      <c r="N104" s="63" t="n">
        <f aca="false">Assumptions!$I$50*(1-Assumptions!$I$80)*(1-Assumptions!$I$79)-Assumptions!$I$50*Assumptions!$I$55-Assumptions!$I$56</f>
        <v>44.60586</v>
      </c>
      <c r="O104" s="63" t="n">
        <f aca="false">Assumptions!$I$50*(1-Assumptions!$I$80)*(1-Assumptions!$I$79)-Assumptions!$I$50*Assumptions!$I$55-Assumptions!$I$56</f>
        <v>44.60586</v>
      </c>
      <c r="P104" s="63" t="n">
        <f aca="false">Assumptions!$I$50*(1-Assumptions!$I$80)*(1-Assumptions!$I$79)-Assumptions!$I$50*Assumptions!$I$55-Assumptions!$I$56</f>
        <v>44.60586</v>
      </c>
      <c r="Q104" s="63" t="n">
        <f aca="false">Assumptions!$I$50*(1-Assumptions!$I$80)*(1-Assumptions!$I$79)-Assumptions!$I$50*Assumptions!$I$55-Assumptions!$I$56</f>
        <v>44.60586</v>
      </c>
      <c r="R104" s="63" t="n">
        <f aca="false">Assumptions!$I$50*(1-Assumptions!$I$80)*(1-Assumptions!$I$79)-Assumptions!$I$50*Assumptions!$I$55-Assumptions!$I$56</f>
        <v>44.60586</v>
      </c>
      <c r="S104" s="63" t="n">
        <f aca="false">Assumptions!$I$50*(1-Assumptions!$I$80)*(1-Assumptions!$I$79)-Assumptions!$I$50*Assumptions!$I$55-Assumptions!$I$56</f>
        <v>44.60586</v>
      </c>
      <c r="T104" s="63" t="n">
        <f aca="false">Assumptions!$I$50*(1-Assumptions!$I$80)*(1-Assumptions!$I$79)-Assumptions!$I$50*Assumptions!$I$55-Assumptions!$I$56</f>
        <v>44.60586</v>
      </c>
      <c r="U104" s="63" t="n">
        <f aca="false">Assumptions!$I$50*(1-Assumptions!$I$80)*(1-Assumptions!$I$79)-Assumptions!$I$50*Assumptions!$I$55-Assumptions!$I$56</f>
        <v>44.60586</v>
      </c>
      <c r="V104" s="63" t="n">
        <f aca="false">Assumptions!$I$50*(1-Assumptions!$I$80)*(1-Assumptions!$I$79)-Assumptions!$I$50*Assumptions!$I$55-Assumptions!$I$56</f>
        <v>44.60586</v>
      </c>
      <c r="W104" s="63" t="n">
        <f aca="false">Assumptions!$I$50*(1-Assumptions!$I$80)*(1-Assumptions!$I$79)-Assumptions!$I$50*Assumptions!$I$55-Assumptions!$I$56</f>
        <v>44.60586</v>
      </c>
      <c r="X104" s="63" t="n">
        <f aca="false">Assumptions!$I$50*(1-Assumptions!$I$80)*(1-Assumptions!$I$79)-Assumptions!$I$50*Assumptions!$I$55-Assumptions!$I$56</f>
        <v>44.60586</v>
      </c>
      <c r="Y104" s="63" t="n">
        <f aca="false">Assumptions!$I$50*(1-Assumptions!$I$80)*(1-Assumptions!$I$79)-Assumptions!$I$50*Assumptions!$I$55-Assumptions!$I$56</f>
        <v>44.60586</v>
      </c>
      <c r="Z104" s="63" t="n">
        <f aca="false">Assumptions!$I$50*(1-Assumptions!$I$80)*(1-Assumptions!$I$79)-Assumptions!$I$50*Assumptions!$I$55-Assumptions!$I$56</f>
        <v>44.60586</v>
      </c>
      <c r="AA104" s="63" t="n">
        <f aca="false">Assumptions!$I$50*(1-Assumptions!$I$80)*(1-Assumptions!$I$79)-Assumptions!$I$50*Assumptions!$I$55-Assumptions!$I$56</f>
        <v>44.60586</v>
      </c>
      <c r="AB104" s="63" t="n">
        <f aca="false">Assumptions!$I$50*(1-Assumptions!$I$80)*(1-Assumptions!$I$79)-Assumptions!$I$50*Assumptions!$I$55-Assumptions!$I$56</f>
        <v>44.60586</v>
      </c>
      <c r="AC104" s="63" t="n">
        <f aca="false">Assumptions!$I$50*(1-Assumptions!$I$80)*(1-Assumptions!$I$79)-Assumptions!$I$50*Assumptions!$I$55-Assumptions!$I$56</f>
        <v>44.60586</v>
      </c>
      <c r="AD104" s="63" t="n">
        <f aca="false">Assumptions!$I$50*(1-Assumptions!$I$80)*(1-Assumptions!$I$79)-Assumptions!$I$50*Assumptions!$I$55-Assumptions!$I$56</f>
        <v>44.60586</v>
      </c>
      <c r="AE104" s="63" t="n">
        <f aca="false">Assumptions!$I$50*(1-Assumptions!$I$80)*(1-Assumptions!$I$79)-Assumptions!$I$50*Assumptions!$I$55-Assumptions!$I$56</f>
        <v>44.60586</v>
      </c>
      <c r="AF104" s="63" t="n">
        <f aca="false">Assumptions!$I$50*(1-Assumptions!$I$80)*(1-Assumptions!$I$79)-Assumptions!$I$50*Assumptions!$I$55-Assumptions!$I$56</f>
        <v>44.60586</v>
      </c>
      <c r="AG104" s="63" t="n">
        <f aca="false">Assumptions!$I$50*(1-Assumptions!$I$80)*(1-Assumptions!$I$79)-Assumptions!$I$50*Assumptions!$I$55-Assumptions!$I$56</f>
        <v>44.60586</v>
      </c>
      <c r="AH104" s="63" t="n">
        <f aca="false">Assumptions!$I$50*(1-Assumptions!$I$80)*(1-Assumptions!$I$79)-Assumptions!$I$50*Assumptions!$I$55-Assumptions!$I$56</f>
        <v>44.60586</v>
      </c>
      <c r="AI104" s="63" t="n">
        <f aca="false">Assumptions!$I$50*(1-Assumptions!$I$80)*(1-Assumptions!$I$79)-Assumptions!$I$50*Assumptions!$I$55-Assumptions!$I$56</f>
        <v>44.60586</v>
      </c>
      <c r="AJ104" s="63" t="n">
        <f aca="false">Assumptions!$I$50*(1-Assumptions!$I$80)*(1-Assumptions!$I$79)-Assumptions!$I$50*Assumptions!$I$55-Assumptions!$I$56</f>
        <v>44.60586</v>
      </c>
      <c r="AK104" s="63" t="n">
        <f aca="false">Assumptions!$I$50*(1-Assumptions!$I$80)*(1-Assumptions!$I$79)-Assumptions!$I$50*Assumptions!$I$55-Assumptions!$I$56</f>
        <v>44.60586</v>
      </c>
      <c r="AL104" s="63" t="n">
        <f aca="false">Assumptions!$I$50*(1-Assumptions!$I$80)*(1-Assumptions!$I$79)-Assumptions!$I$50*Assumptions!$I$55-Assumptions!$I$56</f>
        <v>44.60586</v>
      </c>
      <c r="AM104" s="63" t="n">
        <f aca="false">AVERAGE(N104:AL104)</f>
        <v>44.60586</v>
      </c>
    </row>
    <row r="105" customFormat="false" ht="15" hidden="false" customHeight="false" outlineLevel="0" collapsed="false">
      <c r="A105" s="10" t="s">
        <v>403</v>
      </c>
      <c r="B105" s="9" t="s">
        <v>97</v>
      </c>
      <c r="C105" s="70" t="n">
        <f aca="false">C104/Assumptions!$I$52</f>
        <v>495.620666666667</v>
      </c>
      <c r="D105" s="70" t="n">
        <f aca="false">D104/Assumptions!$I$52</f>
        <v>495.620666666667</v>
      </c>
      <c r="E105" s="70" t="n">
        <f aca="false">E104/Assumptions!$I$52</f>
        <v>495.620666666667</v>
      </c>
      <c r="F105" s="70" t="n">
        <f aca="false">F104/Assumptions!$I$52</f>
        <v>495.620666666667</v>
      </c>
      <c r="G105" s="70" t="n">
        <f aca="false">G104/Assumptions!$I$52</f>
        <v>495.620666666667</v>
      </c>
      <c r="H105" s="70" t="n">
        <f aca="false">H104/Assumptions!$I$52</f>
        <v>495.620666666667</v>
      </c>
      <c r="I105" s="70" t="n">
        <f aca="false">I104/Assumptions!$I$52</f>
        <v>495.620666666667</v>
      </c>
      <c r="J105" s="70" t="n">
        <f aca="false">J104/Assumptions!$I$52</f>
        <v>495.620666666667</v>
      </c>
      <c r="K105" s="70" t="n">
        <f aca="false">K104/Assumptions!$I$52</f>
        <v>495.620666666667</v>
      </c>
      <c r="L105" s="70" t="n">
        <f aca="false">L104/Assumptions!$I$52</f>
        <v>495.620666666667</v>
      </c>
      <c r="M105" s="70" t="n">
        <f aca="false">M104/Assumptions!$I$52</f>
        <v>495.620666666667</v>
      </c>
      <c r="N105" s="70" t="n">
        <f aca="false">N104/Assumptions!$I$52</f>
        <v>495.620666666667</v>
      </c>
      <c r="O105" s="70" t="n">
        <f aca="false">O104/Assumptions!$I$52</f>
        <v>495.620666666667</v>
      </c>
      <c r="P105" s="70" t="n">
        <f aca="false">P104/Assumptions!$I$52</f>
        <v>495.620666666667</v>
      </c>
      <c r="Q105" s="70" t="n">
        <f aca="false">Q104/Assumptions!$I$52</f>
        <v>495.620666666667</v>
      </c>
      <c r="R105" s="70" t="n">
        <f aca="false">R104/Assumptions!$I$52</f>
        <v>495.620666666667</v>
      </c>
      <c r="S105" s="70" t="n">
        <f aca="false">S104/Assumptions!$I$52</f>
        <v>495.620666666667</v>
      </c>
      <c r="T105" s="70" t="n">
        <f aca="false">T104/Assumptions!$I$52</f>
        <v>495.620666666667</v>
      </c>
      <c r="U105" s="70" t="n">
        <f aca="false">U104/Assumptions!$I$52</f>
        <v>495.620666666667</v>
      </c>
      <c r="V105" s="70" t="n">
        <f aca="false">V104/Assumptions!$I$52</f>
        <v>495.620666666667</v>
      </c>
      <c r="W105" s="70" t="n">
        <f aca="false">W104/Assumptions!$I$52</f>
        <v>495.620666666667</v>
      </c>
      <c r="X105" s="70" t="n">
        <f aca="false">X104/Assumptions!$I$52</f>
        <v>495.620666666667</v>
      </c>
      <c r="Y105" s="70" t="n">
        <f aca="false">Y104/Assumptions!$I$52</f>
        <v>495.620666666667</v>
      </c>
      <c r="Z105" s="70" t="n">
        <f aca="false">Z104/Assumptions!$I$52</f>
        <v>495.620666666667</v>
      </c>
      <c r="AA105" s="70" t="n">
        <f aca="false">AA104/Assumptions!$I$52</f>
        <v>495.620666666667</v>
      </c>
      <c r="AB105" s="70" t="n">
        <f aca="false">AB104/Assumptions!$I$52</f>
        <v>495.620666666667</v>
      </c>
      <c r="AC105" s="70" t="n">
        <f aca="false">AC104/Assumptions!$I$52</f>
        <v>495.620666666667</v>
      </c>
      <c r="AD105" s="70" t="n">
        <f aca="false">AD104/Assumptions!$I$52</f>
        <v>495.620666666667</v>
      </c>
      <c r="AE105" s="70" t="n">
        <f aca="false">AE104/Assumptions!$I$52</f>
        <v>495.620666666667</v>
      </c>
      <c r="AF105" s="70" t="n">
        <f aca="false">AF104/Assumptions!$I$52</f>
        <v>495.620666666667</v>
      </c>
      <c r="AG105" s="70" t="n">
        <f aca="false">AG104/Assumptions!$I$52</f>
        <v>495.620666666667</v>
      </c>
      <c r="AH105" s="70" t="n">
        <f aca="false">AH104/Assumptions!$I$52</f>
        <v>495.620666666667</v>
      </c>
      <c r="AI105" s="70" t="n">
        <f aca="false">AI104/Assumptions!$I$52</f>
        <v>495.620666666667</v>
      </c>
      <c r="AJ105" s="70" t="n">
        <f aca="false">AJ104/Assumptions!$I$52</f>
        <v>495.620666666667</v>
      </c>
      <c r="AK105" s="70" t="n">
        <f aca="false">AK104/Assumptions!$I$52</f>
        <v>495.620666666667</v>
      </c>
      <c r="AL105" s="70" t="n">
        <f aca="false">AL104/Assumptions!$I$52</f>
        <v>495.620666666667</v>
      </c>
      <c r="AM105" s="70" t="n">
        <f aca="false">AVERAGE(N105:AL105)</f>
        <v>495.620666666667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2026-09-18T23:57:00Z</dcterms:created>
  <dc:creator>openpyxl</dc:creator>
  <dc:description/>
  <dc:language>en-US</dc:language>
  <cp:lastModifiedBy/>
  <dcterms:modified xsi:type="dcterms:W3CDTF">2026-09-18T23:57:00Z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