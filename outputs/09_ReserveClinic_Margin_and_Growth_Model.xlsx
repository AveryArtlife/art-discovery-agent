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 sheetId="1" state="visible" r:id="rId3"/>
    <sheet name="Assumptions" sheetId="2" state="visible" r:id="rId4"/>
    <sheet name="Summary" sheetId="3" state="visible" r:id="rId5"/>
    <sheet name="Unit_Economics" sheetId="4" state="visible" r:id="rId6"/>
    <sheet name="Sensitivity" sheetId="5" state="visible" r:id="rId7"/>
    <sheet name="Partner_Economics" sheetId="6" state="visible" r:id="rId8"/>
    <sheet name="Provider_Diligence" sheetId="7" state="visible" r:id="rId9"/>
    <sheet name="Benchmarks" sheetId="8" state="visible" r:id="rId10"/>
    <sheet name="Model_Conservative" sheetId="9" state="visible" r:id="rId11"/>
    <sheet name="Model_Baseline" sheetId="10" state="visible" r:id="rId12"/>
    <sheet name="Model_Aggressiv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<sst xmlns="http://schemas.openxmlformats.org/spreadsheetml/2006/main" count="1417" uniqueCount="673">
  <si>
    <t xml:space="preserve">Reserve Clinic - Margin and Growth Model</t>
  </si>
  <si>
    <t xml:space="preserve">What this is</t>
  </si>
  <si>
    <t xml:space="preserve">A driver-based 36-month model of a two-line peptide and supplement business: a non-prescription supplement line that can trade in all fifty states, and a prescription telehealth line fulfilled by 503A and 503B pharmacies whose state footprint expands over time. It is built for the specific operating structure the project owner described, including a turnkey compliance-and-fulfilment provider at a flat $600 per month. Three scenarios: Conservative, Baseline, Aggressive.</t>
  </si>
  <si>
    <t xml:space="preserve">What it is not</t>
  </si>
  <si>
    <t xml:space="preserve">Not a forecast, not a valuation, and not legal, medical, tax or investment advice. The outputs follow arithmetically from the drivers on the Assumptions sheet. Change a driver and the answer changes. Several of the most consequential drivers rest on analyst assumptions rather than measurements, and those are labelled Low confidence with a stated validation method.</t>
  </si>
  <si>
    <t xml:space="preserve">Status of the people named</t>
  </si>
  <si>
    <t xml:space="preserve">The proposed brand partner and the proposed medical co-founder are treated strictly as proposed. No public evidence connects either to this venture, no agreement exists, and nothing in this workbook is an offer or implies endorsement, ownership or authorisation. Partner compensation figures are illustrative arithmetic, not terms.</t>
  </si>
  <si>
    <t xml:space="preserve">Colour key</t>
  </si>
  <si>
    <t xml:space="preserve">Blue = editable input, on the Assumptions sheet only. Black = formula. Green = link to another sheet. Yellow fill = high-sensitivity driver: get these wrong and the answer changes materially. Peach fill = a caution the reader should not skip.</t>
  </si>
  <si>
    <t xml:space="preserve">Sheet order</t>
  </si>
  <si>
    <t xml:space="preserve">Summary reads the three scenarios side by side. Unit_Economics shows where margin comes from per order and per member-month. Sensitivity shows which assumptions decide the outcome. Partner_Economics is illustrative deal arithmetic. Provider_Diligence is the twenty questions to answer in writing before signing. Benchmarks is the evidence. Assumptions holds every input. Model_Conservative, Model_Baseline and Model_Aggressive are the monthly grids.</t>
  </si>
  <si>
    <t xml:space="preserve">The three things most likely to be wrong</t>
  </si>
  <si>
    <t xml:space="preserve">1. Audience conversion. Reach per post and click-through are multiplied together and neither is measured; Sensitivity grid 2 shows the spread. 2. Prescription retention. Benchmark B17 puts real-world discontinuation near 65% at twelve months; Sensitivity grid 1 shows that above roughly 15% monthly churn the prescription line does not pay for its own acquisition at any plausible CAC. 3. The provider's scope. A $600 flat fee is roughly one fifth of the low end of published market pricing for comparable turnkey telehealth infrastructure, so the model assumes it covers software and administration only and carries every variable cost separately.</t>
  </si>
  <si>
    <t xml:space="preserve">Structural limits the model encodes deliberately</t>
  </si>
  <si>
    <t xml:space="preserve">Fifty-state coverage applies to the non-prescription line only. The prescription line ramps from 26-45% of the US population at launch to a 70-88% ceiling, because asynchronous-prescribing rules, corporate-practice-of-medicine limits and the section 503A(b)(3) five percent interstate distribution cap all constrain it. FDA's compounding memorandum-of-understanding index currently lists three MOUs, all suspended, and FDA has repeatedly deferred enforcement of the five percent limit pending rulemaking. Deferred enforcement is discretionary and revocable. Every one of these areas needs qualified counsel: FDA and pharmacy regulatory, corporate practice of medicine, healthcare privacy, advertising and endorsement, consumer protection and auto-renewal, and intellectual property.</t>
  </si>
  <si>
    <t xml:space="preserve">Prepared</t>
  </si>
  <si>
    <t xml:space="preserve">2026-09-18. Rebuild with: python3 build/build_margin_model.py outputs/09_ReserveClinic_Margin_and_Growth_Model.xlsx</t>
  </si>
  <si>
    <t xml:space="preserve">Reserve Clinic - Margin and Growth Model: Assumptions</t>
  </si>
  <si>
    <t xml:space="preserve">Blue cells are the only inputs. Three scenario columns drive Model_Conservative, Model_Baseline and Model_Aggressive. Yellow fill marks high-sensitivity drivers. Prepared 2026-09-18. Proposed concept: the brand partner's and the medical co-founder's participation is unverified and subject to definitive agreements. Not legal, medical, tax or investment advice.</t>
  </si>
  <si>
    <t xml:space="preserve">Key</t>
  </si>
  <si>
    <t xml:space="preserve">Driver</t>
  </si>
  <si>
    <t xml:space="preserve">Unit</t>
  </si>
  <si>
    <t xml:space="preserve">Conservative</t>
  </si>
  <si>
    <t xml:space="preserve">Baseline</t>
  </si>
  <si>
    <t xml:space="preserve">Aggressive</t>
  </si>
  <si>
    <t xml:space="preserve">Rationale / source</t>
  </si>
  <si>
    <t xml:space="preserve">Confidence</t>
  </si>
  <si>
    <t xml:space="preserve">Sensitivity</t>
  </si>
  <si>
    <t xml:space="preserve">Validation method</t>
  </si>
  <si>
    <t xml:space="preserve">Timing and sequencing</t>
  </si>
  <si>
    <t xml:space="preserve">nonrx_launch</t>
  </si>
  <si>
    <t xml:space="preserve">Non-prescription line goes live (model month)</t>
  </si>
  <si>
    <t xml:space="preserve">month</t>
  </si>
  <si>
    <t xml:space="preserve">Supplement line needs only manufacturing, label/claims review and a storefront. Conservative allows one month of slippage on label review.</t>
  </si>
  <si>
    <t xml:space="preserve">High</t>
  </si>
  <si>
    <t xml:space="preserve">Medium</t>
  </si>
  <si>
    <t xml:space="preserve">Phase exit checklist</t>
  </si>
  <si>
    <t xml:space="preserve">rx_launch</t>
  </si>
  <si>
    <t xml:space="preserve">Prescription telehealth line goes live (model month)</t>
  </si>
  <si>
    <t xml:space="preserve">Requires the provider agreement, physician entity, pharmacy contracts, LegitScript certification and a state-by-state licensure map. Benchmark B10, B11.</t>
  </si>
  <si>
    <t xml:space="preserve">Counsel and provider go-live sign-off</t>
  </si>
  <si>
    <t xml:space="preserve">Audience engine (the proposed brand partner's reach)</t>
  </si>
  <si>
    <t xml:space="preserve">followers</t>
  </si>
  <si>
    <t xml:space="preserve">Proposed brand partner Instagram followers</t>
  </si>
  <si>
    <t xml:space="preserve">#</t>
  </si>
  <si>
    <t xml:space="preserve">Third-party trackers report 27,410,219 as of June 2026 (range 27.0M-28.3M). Benchmark B16. Held constant across scenarios because it is measured, not chosen. NOT an audited or first-party figure.</t>
  </si>
  <si>
    <t xml:space="preserve">First-party creator analytics export</t>
  </si>
  <si>
    <t xml:space="preserve">posts_per_month</t>
  </si>
  <si>
    <t xml:space="preserve">Brand posts per month by the partner (feed plus reels)</t>
  </si>
  <si>
    <t xml:space="preserve">A contract deliverable, not a market variable. Set to whatever the agreement actually obliges.</t>
  </si>
  <si>
    <t xml:space="preserve">n/a</t>
  </si>
  <si>
    <t xml:space="preserve">Signed content schedule</t>
  </si>
  <si>
    <t xml:space="preserve">reach_pct</t>
  </si>
  <si>
    <t xml:space="preserve">Reach per brand post as a share of followers</t>
  </si>
  <si>
    <t xml:space="preserve">%</t>
  </si>
  <si>
    <t xml:space="preserve">Analyst assumption bounded by benchmark B15: the 10M-plus tier averages ~1.77% ENGAGEMENT; reach exceeds engagement but organic reach at this tier is heavily throttled and branded content more so. Reels reach higher than static.</t>
  </si>
  <si>
    <t xml:space="preserve">Low</t>
  </si>
  <si>
    <t xml:space="preserve">Creator-account reach data, first 60 days</t>
  </si>
  <si>
    <t xml:space="preserve">ctr_reach</t>
  </si>
  <si>
    <t xml:space="preserve">Click-through to site per reached impression</t>
  </si>
  <si>
    <t xml:space="preserve">Analyst assumption. No tier-level link-click benchmark was retrievable (benchmark B15 notes this gap). This is the single least-evidenced driver in the model.</t>
  </si>
  <si>
    <t xml:space="preserve">UTM-tagged link data, first 30 days</t>
  </si>
  <si>
    <t xml:space="preserve">attn_decay</t>
  </si>
  <si>
    <t xml:space="preserve">Monthly decay of partner-driven traffic toward a floor</t>
  </si>
  <si>
    <t xml:space="preserve">Analyst assumption. Celebrity launch demand spikes then settles; benchmark B14 notes IM8's founders deliberately did not rely on fame for durability.</t>
  </si>
  <si>
    <t xml:space="preserve">Cohort traffic by source, monthly</t>
  </si>
  <si>
    <t xml:space="preserve">attn_floor</t>
  </si>
  <si>
    <t xml:space="preserve">Floor for partner-driven traffic as a share of the launch peak</t>
  </si>
  <si>
    <t xml:space="preserve">Analyst assumption. Represents the durable follower demand that persists after novelty.</t>
  </si>
  <si>
    <t xml:space="preserve">launch_spike</t>
  </si>
  <si>
    <t xml:space="preserve">Launch-month multiplier on partner-driven traffic</t>
  </si>
  <si>
    <t xml:space="preserve">x</t>
  </si>
  <si>
    <t xml:space="preserve">Announcement window concentrates attention. Analyst assumption.</t>
  </si>
  <si>
    <t xml:space="preserve">Launch-week analytics</t>
  </si>
  <si>
    <t xml:space="preserve">Other traffic</t>
  </si>
  <si>
    <t xml:space="preserve">organic_m1</t>
  </si>
  <si>
    <t xml:space="preserve">Organic and direct sessions, month 1</t>
  </si>
  <si>
    <t xml:space="preserve">sessions</t>
  </si>
  <si>
    <t xml:space="preserve">New domain with an editorial library. Analyst assumption.</t>
  </si>
  <si>
    <t xml:space="preserve">GA4 after month 1</t>
  </si>
  <si>
    <t xml:space="preserve">organic_growth</t>
  </si>
  <si>
    <t xml:space="preserve">Organic monthly growth rate</t>
  </si>
  <si>
    <t xml:space="preserve">Content-led SEO compounding from a small base. Analyst inference.</t>
  </si>
  <si>
    <t xml:space="preserve">Search Console trend</t>
  </si>
  <si>
    <t xml:space="preserve">organic_cap</t>
  </si>
  <si>
    <t xml:space="preserve">Organic and direct sessions ceiling</t>
  </si>
  <si>
    <t xml:space="preserve">Caps compounding; category search demand is finite. Analyst inference.</t>
  </si>
  <si>
    <t xml:space="preserve">Search Console</t>
  </si>
  <si>
    <t xml:space="preserve">cps</t>
  </si>
  <si>
    <t xml:space="preserve">Cost per paid session, blended</t>
  </si>
  <si>
    <t xml:space="preserve">$</t>
  </si>
  <si>
    <t xml:space="preserve">Health and wellness CPC proxies; restricted-category ad review raises cost. LegitScript certification is a precondition for scaled healthcare advertising (benchmark B10).</t>
  </si>
  <si>
    <t xml:space="preserve">Ad platform reports</t>
  </si>
  <si>
    <t xml:space="preserve">paid_pre</t>
  </si>
  <si>
    <t xml:space="preserve">Paid media per month before the non-Rx launch</t>
  </si>
  <si>
    <t xml:space="preserve">Waitlist and audience building only.</t>
  </si>
  <si>
    <t xml:space="preserve">Budget actuals</t>
  </si>
  <si>
    <t xml:space="preserve">paid_floor</t>
  </si>
  <si>
    <t xml:space="preserve">Minimum paid media per month after launch</t>
  </si>
  <si>
    <t xml:space="preserve">Keeps a spend floor while revenue is small.</t>
  </si>
  <si>
    <t xml:space="preserve">paid_pct</t>
  </si>
  <si>
    <t xml:space="preserve">Paid media as a share of prior-month net revenue</t>
  </si>
  <si>
    <t xml:space="preserve">Benchmark B02: the closest listed telehealth comparable ran marketing at 35-40% of revenue. A celebrity-led brand should sit WELL below that, because the point of the partnership is that owned audience substitutes for bought audience; if this driver has to rise toward 35% the partnership is not working. Prior-month basis avoids a circular reference.</t>
  </si>
  <si>
    <t xml:space="preserve">Monthly payback review</t>
  </si>
  <si>
    <t xml:space="preserve">launch_push</t>
  </si>
  <si>
    <t xml:space="preserve">One-time launch marketing and PR, non-Rx launch month</t>
  </si>
  <si>
    <t xml:space="preserve">Announcement window spend: PR, production, seeding, paid amplification. Concentrated in a single month by design.</t>
  </si>
  <si>
    <t xml:space="preserve">Agency scopes</t>
  </si>
  <si>
    <t xml:space="preserve">paid_cap</t>
  </si>
  <si>
    <t xml:space="preserve">Maximum paid media per month</t>
  </si>
  <si>
    <t xml:space="preserve">A budget ceiling and a reality check. Without one, a percent-of-revenue rule compounds without limit. At the Aggressive ceiling this is roughly 25-30% of revenue at scale, in line with benchmark B02.</t>
  </si>
  <si>
    <t xml:space="preserve">Board-approved budget</t>
  </si>
  <si>
    <t xml:space="preserve">paid_elast</t>
  </si>
  <si>
    <t xml:space="preserve">Paid response elasticity (sessions per marginal dollar)</t>
  </si>
  <si>
    <t xml:space="preserve">Diminishing returns. Sessions scale as (spend / floor) raised to this power, so at ten times the floor spend the effective cost per session rises about 1.8x at 0.75. Below 1.0 is the whole point: auction competition and audience exhaustion mean the second million never buys what the first did. Analyst assumption, standard media-mix practice.</t>
  </si>
  <si>
    <t xml:space="preserve">Marginal CAC by spend decile</t>
  </si>
  <si>
    <t xml:space="preserve">Non-prescription line: funnel and pricing</t>
  </si>
  <si>
    <t xml:space="preserve">cap_m1</t>
  </si>
  <si>
    <t xml:space="preserve">Orders the supply chain can ship in the first live month</t>
  </si>
  <si>
    <t xml:space="preserve">Manufacturing minimum order quantities, batch lead times, label print runs and 3PL onboarding all gate the first months. Demand above this ceiling is treated as LOST, not backlogged, which is the conservative treatment. Analyst assumption; replace with the contract manufacturer's actual run schedule.</t>
  </si>
  <si>
    <t xml:space="preserve">Manufacturer run schedule and 3PL onboarding plan</t>
  </si>
  <si>
    <t xml:space="preserve">cap_growth</t>
  </si>
  <si>
    <t xml:space="preserve">Monthly growth in shippable capacity</t>
  </si>
  <si>
    <t xml:space="preserve">How fast production and fulfilment can be scaled. Binds hard in the first year of the Aggressive case and stops binding thereafter. Analyst assumption.</t>
  </si>
  <si>
    <t xml:space="preserve">Purchase-order lead times</t>
  </si>
  <si>
    <t xml:space="preserve">shop_conv</t>
  </si>
  <si>
    <t xml:space="preserve">Order conversion rate, all sessions</t>
  </si>
  <si>
    <t xml:space="preserve">DTC supplement conversion commonly 0.5-1.5%; a warm follower audience should sit at the top of or above that band, but benchmark B15 warns mega-tier audiences convert worse than their reach implies.</t>
  </si>
  <si>
    <t xml:space="preserve">Shopify analytics</t>
  </si>
  <si>
    <t xml:space="preserve">nonrx_aov</t>
  </si>
  <si>
    <t xml:space="preserve">Average order value</t>
  </si>
  <si>
    <t xml:space="preserve">Above the $30-65 monthly band in benchmark B06, reflecting a premium multi-product basket. Requires validation.</t>
  </si>
  <si>
    <t xml:space="preserve">sub_attach</t>
  </si>
  <si>
    <t xml:space="preserve">Share of new customers taking a subscription</t>
  </si>
  <si>
    <t xml:space="preserve">Subscribe-and-save attach on consumables. Analyst assumption.</t>
  </si>
  <si>
    <t xml:space="preserve">Subscription app data</t>
  </si>
  <si>
    <t xml:space="preserve">sub_churn</t>
  </si>
  <si>
    <t xml:space="preserve">Monthly subscription churn</t>
  </si>
  <si>
    <t xml:space="preserve">Benchmark B05: 4-7% monthly well run, 8-12% category average, 12-20% churning in month one alone.</t>
  </si>
  <si>
    <t xml:space="preserve">Cohort analysis</t>
  </si>
  <si>
    <t xml:space="preserve">onetime_repeat</t>
  </si>
  <si>
    <t xml:space="preserve">Monthly reorder rate of one-time buyers</t>
  </si>
  <si>
    <t xml:space="preserve">Approximation: applied to the prior month's one-time cohort only, which understates a long tail and is deliberately conservative.</t>
  </si>
  <si>
    <t xml:space="preserve">Non-prescription line: cost of revenue</t>
  </si>
  <si>
    <t xml:space="preserve">nonrx_cogs_pct</t>
  </si>
  <si>
    <t xml:space="preserve">Landed product COGS as a share of retail</t>
  </si>
  <si>
    <t xml:space="preserve">Benchmark B03: landed COGS 20-30% of retail for DTC supplements, giving 70-80% product gross margin.</t>
  </si>
  <si>
    <t xml:space="preserve">Contract manufacturer quotes</t>
  </si>
  <si>
    <t xml:space="preserve">nonrx_fulfil</t>
  </si>
  <si>
    <t xml:space="preserve">Pick, pack and ship per order (ambient)</t>
  </si>
  <si>
    <t xml:space="preserve">3PL pick-pack plus domestic parcel. Ambient, not cold chain.</t>
  </si>
  <si>
    <t xml:space="preserve">3PL quotes</t>
  </si>
  <si>
    <t xml:space="preserve">Prescription line: funnel</t>
  </si>
  <si>
    <t xml:space="preserve">rx_intent</t>
  </si>
  <si>
    <t xml:space="preserve">Eligibility-quiz start rate, all sessions</t>
  </si>
  <si>
    <t xml:space="preserve">Analyst assumption. Prescription intent is a small slice of brand traffic.</t>
  </si>
  <si>
    <t xml:space="preserve">Analytics</t>
  </si>
  <si>
    <t xml:space="preserve">quiz_complete</t>
  </si>
  <si>
    <t xml:space="preserve">Quiz completion rate</t>
  </si>
  <si>
    <t xml:space="preserve">One-question-per-screen intake typically 55-75%.</t>
  </si>
  <si>
    <t xml:space="preserve">eligible_rate</t>
  </si>
  <si>
    <t xml:space="preserve">Share of completions with a clinically eligible outcome</t>
  </si>
  <si>
    <t xml:space="preserve">Red-flag screening removes a material share. Never a target; a safety control.</t>
  </si>
  <si>
    <t xml:space="preserve">Medical director audit</t>
  </si>
  <si>
    <t xml:space="preserve">state_cov_launch</t>
  </si>
  <si>
    <t xml:space="preserve">US population covered by served states at Rx launch</t>
  </si>
  <si>
    <t xml:space="preserve">Licensure, asynchronous-prescribing rules and corporate-practice-of-medicine limits gate this. Fifty-state prescription coverage is NOT available on day one.</t>
  </si>
  <si>
    <t xml:space="preserve">State readiness tracker</t>
  </si>
  <si>
    <t xml:space="preserve">state_cov_step</t>
  </si>
  <si>
    <t xml:space="preserve">Monthly increase in covered population</t>
  </si>
  <si>
    <t xml:space="preserve">Tranche-based state expansion.</t>
  </si>
  <si>
    <t xml:space="preserve">state_cov_cap</t>
  </si>
  <si>
    <t xml:space="preserve">Maximum covered population</t>
  </si>
  <si>
    <t xml:space="preserve">Some states stay excluded on asynchronous or CPOM grounds.</t>
  </si>
  <si>
    <t xml:space="preserve">Counsel memo</t>
  </si>
  <si>
    <t xml:space="preserve">intake_submit</t>
  </si>
  <si>
    <t xml:space="preserve">Intake submission rate, eligible to intake</t>
  </si>
  <si>
    <t xml:space="preserve">Identity verification and consent friction.</t>
  </si>
  <si>
    <t xml:space="preserve">consult_complete</t>
  </si>
  <si>
    <t xml:space="preserve">Consult completion rate</t>
  </si>
  <si>
    <t xml:space="preserve">Asynchronous review completes above video.</t>
  </si>
  <si>
    <t xml:space="preserve">EHR data</t>
  </si>
  <si>
    <t xml:space="preserve">rx_rate</t>
  </si>
  <si>
    <t xml:space="preserve">Clinician prescribing rate</t>
  </si>
  <si>
    <t xml:space="preserve">A clinical decision, never a target. Observed telehealth ranges 50-70%. Monitored solely for safety and for evidence of undue influence.</t>
  </si>
  <si>
    <t xml:space="preserve">Independent medical audit</t>
  </si>
  <si>
    <t xml:space="preserve">enroll_rate</t>
  </si>
  <si>
    <t xml:space="preserve">Paid enrolment rate after a prescription is issued</t>
  </si>
  <si>
    <t xml:space="preserve">Price friction at the plan step; all-in pricing shown before intake improves this.</t>
  </si>
  <si>
    <t xml:space="preserve">rx_churn</t>
  </si>
  <si>
    <t xml:space="preserve">Monthly churn, prescription programmes</t>
  </si>
  <si>
    <t xml:space="preserve">Benchmark B17: ~65% discontinuation within 12 months in the comparable telehealth population, 84.4% by 24 months. THE most damaging driver if wrong.</t>
  </si>
  <si>
    <t xml:space="preserve">Cohort analysis, monthly</t>
  </si>
  <si>
    <t xml:space="preserve">Prescription line: pricing</t>
  </si>
  <si>
    <t xml:space="preserve">rx_price</t>
  </si>
  <si>
    <t xml:space="preserve">Programme price per member-month, blended</t>
  </si>
  <si>
    <t xml:space="preserve">Benchmark B07: sermorelin $96-199 telehealth, tissue protocols $100-300, stacks $80-180, combinations $350-600.</t>
  </si>
  <si>
    <t xml:space="preserve">Van Westendorp plus live price tests</t>
  </si>
  <si>
    <t xml:space="preserve">consult_fee</t>
  </si>
  <si>
    <t xml:space="preserve">Consultation fee charged at intake</t>
  </si>
  <si>
    <t xml:space="preserve">Benchmark B08: asynchronous visits price at $15-40 commonly, up to $60 for longer reviews. Charged whether or not a prescription follows; refunded if screened ineligible.</t>
  </si>
  <si>
    <t xml:space="preserve">Pricing test</t>
  </si>
  <si>
    <t xml:space="preserve">Prescription line: cost of revenue</t>
  </si>
  <si>
    <t xml:space="preserve">pharm_cost</t>
  </si>
  <si>
    <t xml:space="preserve">Pharmacy medication cost per member-month</t>
  </si>
  <si>
    <t xml:space="preserve">503A compounded peptide cost to a telehealth sponsor, volume-tiered. Not independently verified; obtain a written tiered schedule.</t>
  </si>
  <si>
    <t xml:space="preserve">Pharmacy contract schedule</t>
  </si>
  <si>
    <t xml:space="preserve">consult_cost</t>
  </si>
  <si>
    <t xml:space="preserve">Clinician cost per completed consult</t>
  </si>
  <si>
    <t xml:space="preserve">Benchmark B08 cites provider time around $30 per programme plus platform and support. One-time at enrolment.</t>
  </si>
  <si>
    <t xml:space="preserve">Provider network contract</t>
  </si>
  <si>
    <t xml:space="preserve">refill_cost</t>
  </si>
  <si>
    <t xml:space="preserve">Clinician cost per active member-month (monitoring and refill review)</t>
  </si>
  <si>
    <t xml:space="preserve">Recurring clinical review. Must be paid per unit of clinical work, never as a share of revenue.</t>
  </si>
  <si>
    <t xml:space="preserve">coldchain_ship</t>
  </si>
  <si>
    <t xml:space="preserve">Cold-chain fulfilment and shipping per fill</t>
  </si>
  <si>
    <t xml:space="preserve">Benchmark B09: $1.95 base pack rate plus cold storage, insulated mailers, gel packs and a 2-day temperature-controlled lane. The pack rate alone is NOT the landed cost.</t>
  </si>
  <si>
    <t xml:space="preserve">Pharmacy and carrier quotes</t>
  </si>
  <si>
    <t xml:space="preserve">rx_support</t>
  </si>
  <si>
    <t xml:space="preserve">Non-clinical support cost per active member-month</t>
  </si>
  <si>
    <t xml:space="preserve">Tooling plus staffed support per member.</t>
  </si>
  <si>
    <t xml:space="preserve">Support actuals</t>
  </si>
  <si>
    <t xml:space="preserve">Shared cost of revenue</t>
  </si>
  <si>
    <t xml:space="preserve">pay_fee</t>
  </si>
  <si>
    <t xml:space="preserve">Payment processing</t>
  </si>
  <si>
    <t xml:space="preserve">Card fees 2.7-3.2%. Healthcare and supplement merchants are frequently underwritten as elevated risk, which raises the rate and makes LegitScript certification close to a prerequisite (benchmark B10).</t>
  </si>
  <si>
    <t xml:space="preserve">Processor statements</t>
  </si>
  <si>
    <t xml:space="preserve">refund_pct</t>
  </si>
  <si>
    <t xml:space="preserve">Refunds and chargebacks</t>
  </si>
  <si>
    <t xml:space="preserve">2-5% typical. Auto-renewal programmes attract chargebacks; ROSCA-compliant cancellation reduces them.</t>
  </si>
  <si>
    <t xml:space="preserve">Finance actuals</t>
  </si>
  <si>
    <t xml:space="preserve">Operating expenses</t>
  </si>
  <si>
    <t xml:space="preserve">provider_fee</t>
  </si>
  <si>
    <t xml:space="preserve">Turnkey compliance and fulfilment provider, flat fee</t>
  </si>
  <si>
    <t xml:space="preserve">As specified by the project owner. Modelled as a PLATFORM fee only. Published market pricing for comparable turnkey telehealth infrastructure is $3,000-6,000/month plus $5,000-10,000 onboarding plus per-consult fees (benchmark B11), so a $600 fee is very unlikely to absorb medication, per-consult, cold-chain or processing costs. Those are carried separately above. See the Provider_Diligence sheet.</t>
  </si>
  <si>
    <t xml:space="preserve">Executed agreement and fee schedule</t>
  </si>
  <si>
    <t xml:space="preserve">cert_cost</t>
  </si>
  <si>
    <t xml:space="preserve">Certification and registrations per month</t>
  </si>
  <si>
    <t xml:space="preserve">Benchmark B10: ~$3,125 year one and ~$2,150/yr thereafter per site for LegitScript, plus state registrations and renewals; amortised monthly.</t>
  </si>
  <si>
    <t xml:space="preserve">Live fee schedule</t>
  </si>
  <si>
    <t xml:space="preserve">team_pre</t>
  </si>
  <si>
    <t xml:space="preserve">Team per month before the non-Rx launch</t>
  </si>
  <si>
    <t xml:space="preserve">Founder or GM plus fractional operations and contract creative. Small because the provider carries clinical and fulfilment operations. The Conservative column is deliberately a LEAN operator, not a normal operator with weak demand, so that the Conservative outcome reflects demand risk rather than an arbitrary spending choice.</t>
  </si>
  <si>
    <t xml:space="preserve">Hiring plan</t>
  </si>
  <si>
    <t xml:space="preserve">team_p1</t>
  </si>
  <si>
    <t xml:space="preserve">Team per month, non-Rx launch through month 12</t>
  </si>
  <si>
    <t xml:space="preserve">Adds brand, retention, support oversight and a compliance lead.</t>
  </si>
  <si>
    <t xml:space="preserve">team_p2</t>
  </si>
  <si>
    <t xml:space="preserve">Team per month, months 13-24</t>
  </si>
  <si>
    <t xml:space="preserve">Scales with order volume and state count, but stays small relative to revenue because the provider carries clinical operations and fulfilment. A brand at this revenue running team above roughly 15% of net revenue has rebuilt in-house what it is already paying the provider for.</t>
  </si>
  <si>
    <t xml:space="preserve">team_p3</t>
  </si>
  <si>
    <t xml:space="preserve">Team per month, months 25-36</t>
  </si>
  <si>
    <t xml:space="preserve">med_lead</t>
  </si>
  <si>
    <t xml:space="preserve">Medical director and clinical oversight per month</t>
  </si>
  <si>
    <t xml:space="preserve">Fractional medical director retainer. Compensation must never vary with prescription volume or revenue.</t>
  </si>
  <si>
    <t xml:space="preserve">Executed agreement</t>
  </si>
  <si>
    <t xml:space="preserve">tech</t>
  </si>
  <si>
    <t xml:space="preserve">Technology and software per month</t>
  </si>
  <si>
    <t xml:space="preserve">Storefront, subscription management, analytics, consent management, CRM, helpdesk. Separate from the provider fee.</t>
  </si>
  <si>
    <t xml:space="preserve">Vendor invoices</t>
  </si>
  <si>
    <t xml:space="preserve">legal_p0</t>
  </si>
  <si>
    <t xml:space="preserve">Legal and regulatory per month, months 1-4</t>
  </si>
  <si>
    <t xml:space="preserve">Entity structure and MSO or friendly-PC review, provider agreement review, formulary eligibility opinion, claims and label review, endorsement and disclosure protocol, trademark, privacy. Front-loaded deliberately.</t>
  </si>
  <si>
    <t xml:space="preserve">Counsel estimates</t>
  </si>
  <si>
    <t xml:space="preserve">legal_ongoing</t>
  </si>
  <si>
    <t xml:space="preserve">Legal and compliance per month thereafter</t>
  </si>
  <si>
    <t xml:space="preserve">Ongoing claims review, state expansion opinions, FDA list monitoring, contract maintenance.</t>
  </si>
  <si>
    <t xml:space="preserve">insurance</t>
  </si>
  <si>
    <t xml:space="preserve">Insurance per month from the non-Rx launch</t>
  </si>
  <si>
    <t xml:space="preserve">Product liability, professional, cyber and D&amp;O. A vendor contract does not transfer the brand's own liability.</t>
  </si>
  <si>
    <t xml:space="preserve">Broker quotes</t>
  </si>
  <si>
    <t xml:space="preserve">creative</t>
  </si>
  <si>
    <t xml:space="preserve">Creative, content and organic social per month</t>
  </si>
  <si>
    <t xml:space="preserve">Production the brand controls, distinct from paid media and from partner compensation.</t>
  </si>
  <si>
    <t xml:space="preserve">Agency quotes</t>
  </si>
  <si>
    <t xml:space="preserve">Proposed brand-partner economics (hypothetical; no terms offered or accepted)</t>
  </si>
  <si>
    <t xml:space="preserve">partner_cash</t>
  </si>
  <si>
    <t xml:space="preserve">Partner cash retainer per month from the non-Rx launch</t>
  </si>
  <si>
    <t xml:space="preserve">Illustrative only. Structure, amount and mix are entirely unnegotiated. Conservative case models an equity-only deal with no cash retainer.</t>
  </si>
  <si>
    <t xml:space="preserve">Negotiation</t>
  </si>
  <si>
    <t xml:space="preserve">partner_royalty</t>
  </si>
  <si>
    <t xml:space="preserve">Partner royalty on net revenue</t>
  </si>
  <si>
    <t xml:space="preserve">Illustrative. Consumer-brand licensing royalties commonly 3-10%. Held flat across scenarios so the scenarios isolate business performance rather than deal terms.</t>
  </si>
  <si>
    <t xml:space="preserve">partner_equity</t>
  </si>
  <si>
    <t xml:space="preserve">Partner equity, fully diluted (reference only)</t>
  </si>
  <si>
    <t xml:space="preserve">Illustrative. Non-cash; shown on the Partner_Economics sheet for reference and NOT charged to EBITDA.</t>
  </si>
  <si>
    <t xml:space="preserve">Working capital</t>
  </si>
  <si>
    <t xml:space="preserve">inv_months</t>
  </si>
  <si>
    <t xml:space="preserve">Non-Rx inventory held, in months of COGS</t>
  </si>
  <si>
    <t xml:space="preserve">months</t>
  </si>
  <si>
    <t xml:space="preserve">Supplement manufacturing runs have long lead times and minimum order quantities, so inventory is the main working-capital draw. The Rx line carries no inventory; the pharmacy does.</t>
  </si>
  <si>
    <t xml:space="preserve">Purchase orders</t>
  </si>
  <si>
    <t xml:space="preserve">Reserve Clinic - Margin and Growth Summary</t>
  </si>
  <si>
    <t xml:space="preserve">All figures are model outputs, not forecasts. They follow arithmetically from the drivers on Assumptions. Read them as a band produced by a stated set of assumptions, each of which is listed with its confidence and its validation method. Proposed concept; partner participation unverified.</t>
  </si>
  <si>
    <t xml:space="preserve">Metric</t>
  </si>
  <si>
    <t xml:space="preserve">Net revenue, year 1</t>
  </si>
  <si>
    <t xml:space="preserve">Net revenue, year 2</t>
  </si>
  <si>
    <t xml:space="preserve">Net revenue, year 3</t>
  </si>
  <si>
    <t xml:space="preserve">Net revenue, 36-month total</t>
  </si>
  <si>
    <t xml:space="preserve">Gross profit, year 3</t>
  </si>
  <si>
    <t xml:space="preserve">Blended gross margin, year 1</t>
  </si>
  <si>
    <t xml:space="preserve">Blended gross margin, year 3</t>
  </si>
  <si>
    <t xml:space="preserve">Non-Rx gross margin, year 3</t>
  </si>
  <si>
    <t xml:space="preserve">Rx gross margin, year 3</t>
  </si>
  <si>
    <t xml:space="preserve">EBITDA, year 1</t>
  </si>
  <si>
    <t xml:space="preserve">EBITDA, year 2</t>
  </si>
  <si>
    <t xml:space="preserve">EBITDA, year 3</t>
  </si>
  <si>
    <t xml:space="preserve">EBITDA margin, year 3</t>
  </si>
  <si>
    <t xml:space="preserve">EBITDA, 36-month total</t>
  </si>
  <si>
    <t xml:space="preserve">First EBITDA-positive month</t>
  </si>
  <si>
    <t xml:space="preserve">Peak cumulative cash deficit</t>
  </si>
  <si>
    <t xml:space="preserve">Capital required (deficit plus 30% buffer)</t>
  </si>
  <si>
    <t xml:space="preserve">Cumulative cash at month 36</t>
  </si>
  <si>
    <t xml:space="preserve">Active subscribers at month 36 (non-Rx)</t>
  </si>
  <si>
    <t xml:space="preserve">Active programme members at month 36 (Rx)</t>
  </si>
  <si>
    <t xml:space="preserve">Non-Rx share of year-3 net revenue</t>
  </si>
  <si>
    <t xml:space="preserve">Rx contribution per member-month</t>
  </si>
  <si>
    <t xml:space="preserve">Rx gross LTV</t>
  </si>
  <si>
    <t xml:space="preserve">Non-Rx contribution per order</t>
  </si>
  <si>
    <t xml:space="preserve">Non-Rx subscriber gross LTV</t>
  </si>
  <si>
    <t xml:space="preserve">Blended CAC, year 3 average</t>
  </si>
  <si>
    <t xml:space="preserve">Non-Rx LTV:CAC, year 3</t>
  </si>
  <si>
    <t xml:space="preserve">Unit economics: where the margin actually comes from</t>
  </si>
  <si>
    <t xml:space="preserve">Two separate businesses with very different shapes. The non-prescription line is a high-margin consumer product that can trade in all fifty states. The prescription line carries medication, clinician and cold-chain cost on every single fill, so its margin is structurally lower and its retention risk structurally higher.</t>
  </si>
  <si>
    <t xml:space="preserve">A. Non-prescription order (one shipment)</t>
  </si>
  <si>
    <t xml:space="preserve">Line item</t>
  </si>
  <si>
    <t xml:space="preserve">less refunds and chargebacks</t>
  </si>
  <si>
    <t xml:space="preserve">Net revenue per order</t>
  </si>
  <si>
    <t xml:space="preserve">less landed product COGS</t>
  </si>
  <si>
    <t xml:space="preserve">less pick, pack and ship</t>
  </si>
  <si>
    <t xml:space="preserve">less payment processing</t>
  </si>
  <si>
    <t xml:space="preserve">Contribution per order</t>
  </si>
  <si>
    <t xml:space="preserve">Contribution margin</t>
  </si>
  <si>
    <t xml:space="preserve">Implied subscriber life</t>
  </si>
  <si>
    <t xml:space="preserve">Subscriber gross LTV</t>
  </si>
  <si>
    <t xml:space="preserve">B. Prescription programme member (steady-state month)</t>
  </si>
  <si>
    <t xml:space="preserve">Programme price per member-month</t>
  </si>
  <si>
    <t xml:space="preserve">Net revenue per member-month</t>
  </si>
  <si>
    <t xml:space="preserve">less pharmacy medication cost</t>
  </si>
  <si>
    <t xml:space="preserve">less clinician monitoring and refill review</t>
  </si>
  <si>
    <t xml:space="preserve">less cold-chain fulfilment and shipping</t>
  </si>
  <si>
    <t xml:space="preserve">less non-clinical support</t>
  </si>
  <si>
    <t xml:space="preserve">Contribution per member-month</t>
  </si>
  <si>
    <t xml:space="preserve">Monthly churn</t>
  </si>
  <si>
    <t xml:space="preserve">Implied member life, months</t>
  </si>
  <si>
    <t xml:space="preserve">Member gross LTV</t>
  </si>
  <si>
    <t xml:space="preserve">C. Prescription enrolment (one-time, at intake)</t>
  </si>
  <si>
    <t xml:space="preserve">Consultation fee charged</t>
  </si>
  <si>
    <t xml:space="preserve">less clinician cost per completed consult</t>
  </si>
  <si>
    <t xml:space="preserve">Net on the consultation step</t>
  </si>
  <si>
    <t xml:space="preserve">Consults per enrolled member (1 / enrolment rate)</t>
  </si>
  <si>
    <t xml:space="preserve">Consultation-step cost carried per enrolled member</t>
  </si>
  <si>
    <t xml:space="preserve">D. What the flat $600/month provider fee changes, and what it does not</t>
  </si>
  <si>
    <t xml:space="preserve">The flat fee removes most FIXED operating cost from the model. It does not remove VARIABLE cost. Medication, per-consult clinician time, cold-chain shipping and card processing all scale with every order and every fill, and they are carried as separate drivers above.</t>
  </si>
  <si>
    <t xml:space="preserve">Published pricing for comparable turnkey telehealth infrastructure is $3,000-6,000 per month by tier, plus $5,000-10,000 onboarding, plus per-consult fees (benchmark B11). A $600 flat fee sits at roughly one fifth of the low end of that range.</t>
  </si>
  <si>
    <t xml:space="preserve">Read that two ways. Either the fee genuinely covers only software and compliance administration, which is the assumption used here and is the safe way to model it, or the scope is narrower than expected. Both readings lead to the same action: get the fee schedule in writing and confirm line by line what is and is not included.</t>
  </si>
  <si>
    <t xml:space="preserve">A vendor contract does not transfer the brand's own legal exposure. The brand remains responsible for its own advertising claims, its own endorsement disclosures, its own auto-renewal terms and its own privacy practices, whoever operates the platform.</t>
  </si>
  <si>
    <t xml:space="preserve">At $600 per month the provider has no economic stake in volume. That is good for margin and bad for alignment: nothing in the fee structure funds the provider's scaling, so capacity, turnaround time and service levels need to be contractual rather than assumed.</t>
  </si>
  <si>
    <t xml:space="preserve">Sensitivity: which assumptions actually decide the outcome</t>
  </si>
  <si>
    <t xml:space="preserve">Closed-form grids computed from the Baseline column of Assumptions, so they recalculate with the rest of the workbook rather than needing a what-if table. Change the Baseline inputs and these move.</t>
  </si>
  <si>
    <t xml:space="preserve">Grid 1. Prescription LTV:CAC by monthly churn and blended CAC</t>
  </si>
  <si>
    <t xml:space="preserve">Rx contribution per member-month (Baseline drivers)</t>
  </si>
  <si>
    <t xml:space="preserve">Below 3.0x the programme does not pay for its own acquisition. Cells at or above 3.0x are viable.</t>
  </si>
  <si>
    <t xml:space="preserve">Monthly churn \ CAC</t>
  </si>
  <si>
    <t xml:space="preserve">Baseline churn is 11.0%. Benchmark B17 puts real-world discontinuation near 65% at 12 months, which is roughly 8.4% monthly, and 84.4% at 24 months, roughly 7.4% monthly. Churn worse than about 15% monthly makes the prescription line unviable at any plausible CAC.</t>
  </si>
  <si>
    <t xml:space="preserve">Grid 2. Month-12 partner-driven sessions by reach per post and click-through</t>
  </si>
  <si>
    <t xml:space="preserve">These two drivers are the least evidenced in the model and they multiply, so the band they produce is wide by construction.</t>
  </si>
  <si>
    <t xml:space="preserve">Reach % \ CTR</t>
  </si>
  <si>
    <t xml:space="preserve">Grid 3. Year-3 blended gross margin by non-Rx COGS share and pharmacy cost per member-month</t>
  </si>
  <si>
    <t xml:space="preserve">Approximated at the Baseline year-3 revenue mix so the grid is readable. Non-Rx share of year-3 net revenue is taken from the Summary sheet.</t>
  </si>
  <si>
    <t xml:space="preserve">Non-Rx share of year-3 net revenue (Baseline)</t>
  </si>
  <si>
    <t xml:space="preserve">Non-Rx COGS % \ pharmacy $/mm</t>
  </si>
  <si>
    <t xml:space="preserve">Proposed brand-partner economics - illustrative only</t>
  </si>
  <si>
    <t xml:space="preserve">No terms have been offered, negotiated or accepted. Nothing on this sheet is an offer. The structure below exists so the conversation can start from arithmetic instead of adjectives. The equity figures use an illustrative revenue multiple and are NOT a valuation; a valuation requires an actual process.</t>
  </si>
  <si>
    <t xml:space="preserve">Illustrative revenue multiple on year-3 net revenue</t>
  </si>
  <si>
    <t xml:space="preserve">Editable. DTC and telehealth multiples move with growth, margin and rate cycles; 2-5x net revenue is a commonly quoted range for profitable consumer health at scale. Not a valuation.</t>
  </si>
  <si>
    <t xml:space="preserve">Item</t>
  </si>
  <si>
    <t xml:space="preserve">Cash retainer over 36 months</t>
  </si>
  <si>
    <t xml:space="preserve">Royalty over 36 months</t>
  </si>
  <si>
    <t xml:space="preserve">Total cash to partner over 36 months</t>
  </si>
  <si>
    <t xml:space="preserve">Royalty in year 3 alone</t>
  </si>
  <si>
    <t xml:space="preserve">Partner equity, fully diluted</t>
  </si>
  <si>
    <t xml:space="preserve">Illustrative equity value at year-3 revenue multiple</t>
  </si>
  <si>
    <t xml:space="preserve">Total illustrative 36-month partner value</t>
  </si>
  <si>
    <t xml:space="preserve">Partner cash as a share of 36-month net revenue</t>
  </si>
  <si>
    <t xml:space="preserve">Constraints that shape any deal here</t>
  </si>
  <si>
    <t xml:space="preserve">The partner can promote the brand and the non-prescription line. The partner should not promote specific compounded prescription drugs. 503A compounders operate under advertising and promotion limits, prescription-drug advertising carries its own disclosure requirements, and celebrity promotion of a prescription product invites exactly the scrutiny a new brand cannot absorb. Separating what is promotable from what is prescribable is a design requirement, not a preference.</t>
  </si>
  <si>
    <t xml:space="preserve">Every paid or equity-holding endorsement needs a clear and conspicuous disclosure of the material connection, on every post and in every format, under the FTC Endorsement Guides. A founder's equity stake is a material connection. Earlier research in this project found the proposed partner named on the FTC's September 2017 list of influencers sent warning letters about undisclosed endorsements, which makes disclosure discipline a specific and personal risk here rather than a generic one.</t>
  </si>
  <si>
    <t xml:space="preserve">Compensation to the medical entity and to clinicians must never vary with prescription volume, programme enrolments or revenue. Partner compensation may be tied to revenue; clinical compensation may not. Keeping those two facts in separate contracts is the point of the structure.</t>
  </si>
  <si>
    <t xml:space="preserve">A prior or concurrent promotion of a competing weight-management or GLP-1 product may create a category-exclusivity conflict. Earlier research in this project flagged a possible prior GLP-1-adjacent promotion; brand and paid status were not verified. Resolve it in diligence before any announcement.</t>
  </si>
  <si>
    <t xml:space="preserve">Nothing here is an offer, and nothing here should be shared as though terms exist. Until definitive agreements are signed the brand is a proposed concept and the partner's role is proposed.</t>
  </si>
  <si>
    <t xml:space="preserve">Turnkey provider at $600/month - what to confirm before signing</t>
  </si>
  <si>
    <t xml:space="preserve">The whole model rests on this vendor. At this fee the vendor carries no volume risk, so scope has to be contractual. Every row is a question to put in writing; the Why column says what breaks in the model if the answer is not what you expect.</t>
  </si>
  <si>
    <t xml:space="preserve">Question to put in writing</t>
  </si>
  <si>
    <t xml:space="preserve">Why it matters to the model</t>
  </si>
  <si>
    <t xml:space="preserve">Status</t>
  </si>
  <si>
    <t xml:space="preserve">Does the $600 include per-consult clinician fees, or are those billed separately per visit?</t>
  </si>
  <si>
    <t xml:space="preserve">The model assumes separately, at $32-45 per completed consult. If included, Rx gross margin improves by roughly the consult cost divided by enrolments. If excluded and higher than assumed, enrolment economics compress.</t>
  </si>
  <si>
    <t xml:space="preserve">Open</t>
  </si>
  <si>
    <t xml:space="preserve">Does the $600 include medication cost, or does the pharmacy bill per fill?</t>
  </si>
  <si>
    <t xml:space="preserve">The model assumes the pharmacy bills per fill at $75-105 per member-month. This is the largest single variable cost in the Rx line; a written tiered schedule is essential.</t>
  </si>
  <si>
    <t xml:space="preserve">Does the $600 include cold-chain shipping and packaging, or is that billed per shipment?</t>
  </si>
  <si>
    <t xml:space="preserve">The model assumes per shipment at $15-22. Benchmark B09 shows a $1.95 pack rate is only the pack step, not the landed temperature-controlled cost.</t>
  </si>
  <si>
    <t xml:space="preserve">Is payment processing inside the fee, and at what rate and risk classification?</t>
  </si>
  <si>
    <t xml:space="preserve">The model carries 2.7-3.2% separately. Healthcare and supplement merchants are frequently underwritten as elevated risk.</t>
  </si>
  <si>
    <t xml:space="preserve">Which specific pharmacies fulfil, under which licences, and in which states?</t>
  </si>
  <si>
    <t xml:space="preserve">Drives the state-coverage ramp, which is the gate on the whole Rx funnel. Name the pharmacies; do not accept a count.</t>
  </si>
  <si>
    <t xml:space="preserve">For each pharmacy: 503A, 503B, or both, and which is used for which product?</t>
  </si>
  <si>
    <t xml:space="preserve">503A compounds pursuant to individual patient prescriptions. 503B outsourcing facilities are built for non-patient-specific office stock. They are not interchangeable for a consumer-direct model, and assuming they are is a common and expensive error.</t>
  </si>
  <si>
    <t xml:space="preserve">How does the arrangement handle interstate distribution limits for 503A pharmacies?</t>
  </si>
  <si>
    <t xml:space="preserve">Section 503A(b)(3) caps interstate distribution of compounded drugs at 5% of total prescription orders unless the pharmacy's state has signed the FDA memorandum of understanding. FDA's compounding MOU index currently lists only three MOUs, all suspended, and FDA has repeatedly deferred enforcement of the 5% limit pending rulemaking. Deferred enforcement is discretionary and revocable, so a national single-pharmacy Rx model is a policy bet, not a settled structure.</t>
  </si>
  <si>
    <t xml:space="preserve">Which peptides are on the current FDA 503A Category 1 bulks list, as of the signing date?</t>
  </si>
  <si>
    <t xml:space="preserve">Determines the formulary. Benchmark B18: FDA removed 12 peptides from Category 2 in April 2026, the PCAC met in July 2026 on three more and will meet again before the end of February 2027 on five others. The list moves; the contract should require the provider to track it.</t>
  </si>
  <si>
    <t xml:space="preserve">Is any product 'essentially a copy' of an approved drug?</t>
  </si>
  <si>
    <t xml:space="preserve">Section 503A limits compounding of drugs that are essentially copies of commercially available products. This is where compounded-GLP-1 programmes have drawn enforcement.</t>
  </si>
  <si>
    <t xml:space="preserve">Who holds the LegitScript healthcare merchant certification, and for which website?</t>
  </si>
  <si>
    <t xml:space="preserve">Certification is site-specific and gates healthcare advertising across Google, Meta, Microsoft and TikTok. If it is the provider's certification on the provider's domain, the brand's own site may not be covered. No certification means no scaled paid acquisition, which removes most of the paid-traffic line from the model.</t>
  </si>
  <si>
    <t xml:space="preserve">What is the legal structure: MSO and friendly-PC, and who owns the physician entity?</t>
  </si>
  <si>
    <t xml:space="preserve">Corporate-practice-of-medicine rules in many states bar a non-physician company from owning a medical practice or splitting professional fees. Get the structure opinion, not a reassurance.</t>
  </si>
  <si>
    <t xml:space="preserve">How are clinicians compensated, and does any element vary with prescribing or revenue?</t>
  </si>
  <si>
    <t xml:space="preserve">Any volume- or revenue-linked clinical compensation is a fee-splitting and kickback problem and undermines the clinical-independence position the whole model depends on.</t>
  </si>
  <si>
    <t xml:space="preserve">Who owns the patient relationship, the medical records and the customer data on exit?</t>
  </si>
  <si>
    <t xml:space="preserve">Determines whether the brand has an asset or a rental. Ask for the data-portability and records-transfer terms in the termination clause.</t>
  </si>
  <si>
    <t xml:space="preserve">Who is the named party on advertising claims, and who indemnifies whom?</t>
  </si>
  <si>
    <t xml:space="preserve">A vendor contract does not transfer the brand's own advertising liability. Read the indemnity in both directions and check the cap against the insurance limits.</t>
  </si>
  <si>
    <t xml:space="preserve">What are the service levels: consult turnaround, fill turnaround, ship-by, support response?</t>
  </si>
  <si>
    <t xml:space="preserve">At a flat fee the provider has no economic incentive to scale with you. Without contractual service levels, growth degrades the customer experience exactly when volume arrives.</t>
  </si>
  <si>
    <t xml:space="preserve">What are the capacity ceilings, and what happens when the brand exceeds them?</t>
  </si>
  <si>
    <t xml:space="preserve">The aggressive scenario implies order volumes that a $600/month arrangement is unlikely to have been sized for. Get the ceiling in writing and the repricing mechanism with it.</t>
  </si>
  <si>
    <t xml:space="preserve">What are the termination terms, notice period and post-termination continuity of care?</t>
  </si>
  <si>
    <t xml:space="preserve">Members on active prescription programmes cannot simply be dropped. Continuity-of-care obligations survive the contract and belong in the plan.</t>
  </si>
  <si>
    <t xml:space="preserve">What insurance does the provider carry, at what limits, and is the brand an additional insured?</t>
  </si>
  <si>
    <t xml:space="preserve">Determines the real gap the brand's own product-liability, professional and cyber cover has to fill.</t>
  </si>
  <si>
    <t xml:space="preserve">Has the provider or any affiliated pharmacy or clinician been subject to FDA, DEA, state board or FTC action?</t>
  </si>
  <si>
    <t xml:space="preserve">Basic counterparty diligence. A provider's enforcement history becomes the brand's reputational problem on day one.</t>
  </si>
  <si>
    <t xml:space="preserve">Auto-renewal mechanics: consent capture, renewal reminders, cancellation path, and who is liable?</t>
  </si>
  <si>
    <t xml:space="preserve">ROSCA and state auto-renewal laws are the most common source of consumer-protection claims in subscription health. The cancellation path must be as easy as the sign-up path, and the brand is liable for it whoever built it.</t>
  </si>
  <si>
    <t xml:space="preserve">Benchmarks behind the drivers</t>
  </si>
  <si>
    <t xml:space="preserve">Third-party unless marked as an analyst assumption. Figures were taken from search-result summaries during a session in which direct page loads were restricted; load-bearing figures were corroborated across two independent queries. Ranges are ranges, not measurements.</t>
  </si>
  <si>
    <t xml:space="preserve">ID</t>
  </si>
  <si>
    <t xml:space="preserve">Topic</t>
  </si>
  <si>
    <t xml:space="preserve">Finding</t>
  </si>
  <si>
    <t xml:space="preserve">How it is used</t>
  </si>
  <si>
    <t xml:space="preserve">Sources</t>
  </si>
  <si>
    <t xml:space="preserve">B01</t>
  </si>
  <si>
    <t xml:space="preserve">Public telehealth gross margin (closest listed comparable)</t>
  </si>
  <si>
    <t xml:space="preserve">Hims &amp; Hers gross margin 74% FY2025 vs 79% FY2024; 65% in Q1 2026 and 63.8% in Q2 2026. Decline attributed to weight-loss offerings with shorter shipping cadences and higher fulfilment costs, plus international mix.</t>
  </si>
  <si>
    <t xml:space="preserve">Ceiling reference for a telehealth blended gross margin. Reserve Clinic's Rx line is modelled well below this because it carries cold-chain shipping on every fill.</t>
  </si>
  <si>
    <t xml:space="preserve">High (company-reported)</t>
  </si>
  <si>
    <t xml:space="preserve">https://investors.hims.com/news/news-details/2026/Hims--Hers-Health-Inc--Reports-Fourth-Quarter-and-Full-Year-2025-Financial-Results/default.aspx
https://www.sec.gov/Archives/edgar/data/1773751/000177375126000022/hims-20251231.htm</t>
  </si>
  <si>
    <t xml:space="preserve">B02</t>
  </si>
  <si>
    <t xml:space="preserve">Telehealth marketing intensity</t>
  </si>
  <si>
    <t xml:space="preserve">Hims &amp; Hers marketing expense was ~40% of revenue in Q2 2025 (down from ~46% a year earlier) and ~34.8% of revenue in Q2 2026 ($262.2M on $753.2M).</t>
  </si>
  <si>
    <t xml:space="preserve">Anchors the paid-media-as-percent-of-revenue driver (25-32% by scenario). A celebrity-led brand should sit below this, not above, or the audience is not doing any work.</t>
  </si>
  <si>
    <t xml:space="preserve">https://www.sec.gov/Archives/edgar/data/0001773751/000177375126000161/hims-20260630x8xkearningsr.htm
https://finance.yahoo.com/markets/stocks/articles/hims-hers-stock-plunges-post-171900613.html</t>
  </si>
  <si>
    <t xml:space="preserve">B03</t>
  </si>
  <si>
    <t xml:space="preserve">DTC supplement gross margin and landed COGS</t>
  </si>
  <si>
    <t xml:space="preserve">Landed COGS (materials, packaging, manufacturing, inbound freight, duties) typically 20-30% of retail for a DTC supplement, producing 70-80% gross margin. Target range cited as 60-80%. Public DTC median gross margin ~57% for non-food categories. Per-unit COGS $3-15 depending on dosage form and volume.</t>
  </si>
  <si>
    <t xml:space="preserve">Non-Rx line COGS driver set at 22-30% of retail.</t>
  </si>
  <si>
    <t xml:space="preserve">Medium (aggregator/advisory sources, not audited)</t>
  </si>
  <si>
    <t xml:space="preserve">https://eightx.co/blog/supplements-brand-unit-economics
https://commercecatalyst.ai/benchmarks/supplements/
https://eightx.co/blog/average-dtc-gross-margin-public-companies
https://inventoryready.com/guides/supplement-pricing-strategy</t>
  </si>
  <si>
    <t xml:space="preserve">B04</t>
  </si>
  <si>
    <t xml:space="preserve">DTC supplement CAC</t>
  </si>
  <si>
    <t xml:space="preserve">CAC $45-80 for supplements per triangulated industry estimates; $53-91 across ecommerce categories generally.</t>
  </si>
  <si>
    <t xml:space="preserve">Sanity band for the computed blended CAC output. The model derives CAC rather than assuming it.</t>
  </si>
  <si>
    <t xml:space="preserve">https://commercecatalyst.ai/benchmarks/supplements/
https://foundrycro.com/blog/dtc-supplements-marketing-benchmarks-2026/</t>
  </si>
  <si>
    <t xml:space="preserve">B05</t>
  </si>
  <si>
    <t xml:space="preserve">Supplement subscription churn</t>
  </si>
  <si>
    <t xml:space="preserve">4-7% monthly when well run; 8-12% at health-and-wellness category average; 12-20% of subscribers churn in month 1 alone. Below 5% strong, below 4% top-tier, sustained above 10% a retention emergency.</t>
  </si>
  <si>
    <t xml:space="preserve">Non-Rx subscription churn driver 5.5-9% monthly by scenario.</t>
  </si>
  <si>
    <t xml:space="preserve">https://eightx.co/blog/supplement-subscription-churn-rate-benchmark
https://eightx.co/blog/average-subscription-churn-rate-by-category
https://eightx.co/blog/supplements-subscription-economics</t>
  </si>
  <si>
    <t xml:space="preserve">B06</t>
  </si>
  <si>
    <t xml:space="preserve">Supplement AOV, LTV and LTV:CAC</t>
  </si>
  <si>
    <t xml:space="preserve">AOV $30-65 monthly with 12-month LTV $300-600 (Recharge benchmarks cited). At 8% monthly churn a $40 subscriber at 55% margin returns ~$275 LTV. Healthy LTV:CAC 3.5:1 to 6:1, with 3:1 the floor.</t>
  </si>
  <si>
    <t xml:space="preserve">Non-Rx AOV driver $68-88 (premium positioning above the cited band) and the 3.0x LTV:CAC gate.</t>
  </si>
  <si>
    <t xml:space="preserve">https://eightx.co/blog/supplements-subscription-economics
https://www.retentionlab.ai/blog/good-ltv-dtc-benchmarks-2026
https://commercecatalyst.ai/benchmarks/supplements/</t>
  </si>
  <si>
    <t xml:space="preserve">B07</t>
  </si>
  <si>
    <t xml:space="preserve">Compounded peptide programme pricing, US, 2026</t>
  </si>
  <si>
    <t xml:space="preserve">Sermorelin $96-199/mo via telehealth, $200-400/mo in-clinic. BPC-157 or TB-500 tissue protocols $100-300/mo. CJC-1295/ipamorelin stack $80-180/mo. Sermorelin plus CJC-1295 combination protocols $350-600/mo.</t>
  </si>
  <si>
    <t xml:space="preserve">Rx programme price driver $199-299 per member-month, blended across protocols.</t>
  </si>
  <si>
    <t xml:space="preserve">Medium (marketing pages and category guides, not a price survey)</t>
  </si>
  <si>
    <t xml:space="preserve">https://healingmaps.com/sermorelin-cost-guide/
https://peptidenewsdigest.org/pricing/peptides/
https://www.peptidemark.com/news/peptide-therapy-cost-breakdown-2026
https://healingmaps.com/peptide-telehealth/</t>
  </si>
  <si>
    <t xml:space="preserve">B08</t>
  </si>
  <si>
    <t xml:space="preserve">Asynchronous consult cost and price</t>
  </si>
  <si>
    <t xml:space="preserve">Asynchronous e-visits price at roughly $15-40 to the patient; raw median prices $20 (5-10 min) to $60 (21+ min). From the operator side a cited COGS breakdown is provider time $30, platform $10, support $10 per ongoing-care programme. Synchronous video $50-100.</t>
  </si>
  <si>
    <t xml:space="preserve">Clinician cost per completed consult driver $32-45, and consult fee charged $49-79.</t>
  </si>
  <si>
    <t xml:space="preserve">https://bask.health/blog/pricing-for-telemedicine-services
https://www.ncbi.nlm.nih.gov/books/NBK459384/
https://openmypro.com/cost/telehealth-visit-cost</t>
  </si>
  <si>
    <t xml:space="preserve">B09</t>
  </si>
  <si>
    <t xml:space="preserve">Cold-chain fulfilment cost for peptides</t>
  </si>
  <si>
    <t xml:space="preserve">Quoted base pack rate $1.95 per order plus $350/month cold storage for refrigerated peptide inventory; FedEx 2-Day temperature-controlled is the standard lane. Additional cost for insulated mailers, gel packs, refrigerated carrier surcharges. Most peptides require 2-8 C.</t>
  </si>
  <si>
    <t xml:space="preserve">Cold-chain shipping driver $15-22 per Rx fill, which is the pack rate plus the expedited insulated lane, not the pack rate alone.</t>
  </si>
  <si>
    <t xml:space="preserve">Medium (vendor marketing pages)</t>
  </si>
  <si>
    <t xml:space="preserve">https://rapidfulfillment.com/blogs/news/peptide-fulfillment-pricing
https://3plguys.com/articles/peptide-shipping-guide
https://amzprep.com/peptide-fulfilment-services/</t>
  </si>
  <si>
    <t xml:space="preserve">B10</t>
  </si>
  <si>
    <t xml:space="preserve">LegitScript healthcare merchant certification cost</t>
  </si>
  <si>
    <t xml:space="preserve">2025-2026 schedule cited as $975 application plus $2,150 annual per website; ~$3,125 year one for a single-site brand, ~$2,150/yr ongoing; expedited review ~$2,500 extra. It gates healthcare advertising on Google, Meta, Microsoft, TikTok, LinkedIn and Nextdoor, and is close to a prerequisite for card-not-present acceptance.</t>
  </si>
  <si>
    <t xml:space="preserve">Certification line in opex. Also a gating dependency for the paid-media plan: no certification, no paid healthcare advertising at scale.</t>
  </si>
  <si>
    <t xml:space="preserve">Medium (third-party summaries of a schedule that changes; confirm live)</t>
  </si>
  <si>
    <t xml:space="preserve">https://myorbithealth.com/blog/legitscript-certification-telehealth-guide
https://www.legitscript.com/certification/healthcare-certification/
https://www.2accept.net/blog/legitscript-certification-cost</t>
  </si>
  <si>
    <t xml:space="preserve">B11</t>
  </si>
  <si>
    <t xml:space="preserve">Market rate for turnkey white-label telehealth infrastructure</t>
  </si>
  <si>
    <t xml:space="preserve">One vendor's published pricing is $3,000-6,000 per month by plan tier plus a $5,000-10,000 one-time onboarding fee and separate per-consult fees, as of mid-2026. Other vendors advertise a flat monthly fee with zero revenue share including LegitScript and multi-pharmacy access; most gate pricing behind a demo. The category supplies licensed providers, HIPAA intake and EMR, e-prescribing, pharmacy fulfilment and the MSO / friendly-PC legal structure while the brand owns the customer.</t>
  </si>
  <si>
    <t xml:space="preserve">Directly relevant to the stated $600/month flat fee. The model treats $600 as a platform/SaaS fee only and carries per-consult, medication, shipping and processing costs separately, because a fee at one fifth of the low end of published market pricing is very unlikely to absorb per-unit variable costs.</t>
  </si>
  <si>
    <t xml:space="preserve">https://myorbithealth.com/blog/best-white-label-telehealth-platforms
https://cuvo.co/blog/best-white-label-telehealth-platforms
https://pharmabro.co/
https://thepharmacyhub.com/telehealth/
https://whitelabelmd.com/</t>
  </si>
  <si>
    <t xml:space="preserve">B12</t>
  </si>
  <si>
    <t xml:space="preserve">Category growth: peptide therapeutics (global)</t>
  </si>
  <si>
    <t xml:space="preserve">Global peptide therapeutics estimated ~$58B in 2026 (estimates range $54.6B to $164B depending on scope), reaching ~$83.6B by 2030 at a cited 11.2% CAGR; most firms project 5-8% CAGR, some 10.8% to 2036.</t>
  </si>
  <si>
    <t xml:space="preserve">Context only. This market is pharmaceutical-dominated and is NOT the addressable market for a cash-pay DTC brand. Shown in the proposal as context and labelled as such.</t>
  </si>
  <si>
    <t xml:space="preserve">Low (vendor market reports, wide disagreement)</t>
  </si>
  <si>
    <t xml:space="preserve">https://www.thebusinessresearchcompany.com/report/peptide-therapeutics-global-market-report
https://www.grandviewresearch.com/industry-analysis/peptide-therapeutics-market
https://www.precedenceresearch.com/peptide-therapeutics-market</t>
  </si>
  <si>
    <t xml:space="preserve">B13</t>
  </si>
  <si>
    <t xml:space="preserve">Category growth: dietary supplements</t>
  </si>
  <si>
    <t xml:space="preserve">Dietary supplements projected from ~$228.2B in 2026; nutritional supplements to ~$635.6B by 2030 at a cited 7.2% CAGR; dietary supplements cited at 7.2-9.5% CAGR depending on firm.</t>
  </si>
  <si>
    <t xml:space="preserve">Growth context for the non-Rx line, which is the line that can operate in all fifty states.</t>
  </si>
  <si>
    <t xml:space="preserve">Low (vendor market reports)</t>
  </si>
  <si>
    <t xml:space="preserve">https://www.grandviewresearch.com/industry-analysis/dietary-supplements-market-report
https://www.thebusinessresearchcompany.com/report/nutritional-supplements-global-market-report
https://www.fortunebusinessinsights.com/dietary-supplements-market-102082</t>
  </si>
  <si>
    <t xml:space="preserve">B14</t>
  </si>
  <si>
    <t xml:space="preserve">Celebrity-founded supplement brand outcomes (existence proof for the upside case)</t>
  </si>
  <si>
    <t xml:space="preserve">IM8, co-founded by David Beckham (~88M Instagram followers), reported $100M in 11 months and ~$120M ARR within the first year; its founders stated they deliberately did not lean on the fame but on product efficacy. Gruns reached profitability 14 months in with nine-figure ARR and a reported $500M valuation. For contrast, SHREDZ did $90k in its first year (2012) and $5M in 2013.</t>
  </si>
  <si>
    <t xml:space="preserve">Calibrates the aggressive scenario. It establishes the outcome is achievable but the spread between SHREDZ and IM8 is roughly three orders of magnitude, which is why the scenario band is wide.</t>
  </si>
  <si>
    <t xml:space="preserve">Medium (press reporting, self-reported revenue)</t>
  </si>
  <si>
    <t xml:space="preserve">https://www.entrepreneur.com/building-a-business/david-beckhams-supplement-brand-is-doing-10-million-a-month
https://www.inc.com/jennifer-conrad/gruns-follow-the-money/91181108
https://tnge.substack.com/p/the-supplement-brand-that-grows-faster-than-anyone-else</t>
  </si>
  <si>
    <t xml:space="preserve">B15</t>
  </si>
  <si>
    <t xml:space="preserve">Instagram performance at the 10M-plus follower tier</t>
  </si>
  <si>
    <t xml:space="preserve">Accounts above 10M followers average ~1.77% engagement, the lowest of any tier; accounts above 5M average ~1.97%, down ~24% year over year. Reels engagement averages ~3.8% and runs 3-5x static posts. Multiple sources note smaller creators convert to sales better than mega accounts despite lower reach.</t>
  </si>
  <si>
    <t xml:space="preserve">Constrains the audience-conversion drivers. Engagement is not reach and reach is not purchase; the model steps followers to impressions to sessions to orders with a separate, explicit rate at each step and a decay curve on attention.</t>
  </si>
  <si>
    <t xml:space="preserve">https://creatorflow.so/blog/instagram-engagement-rate/
https://nowadays.media/blog/influencer-engagement-rate-benchmarks-2026-by-platform-niche-follower-tier/
https://www.upgrow.com/blog/instagram-engagement-rate-statistics-2026-industry-follower-size</t>
  </si>
  <si>
    <t xml:space="preserve">B16</t>
  </si>
  <si>
    <t xml:space="preserve">Proposed brand partner audience size</t>
  </si>
  <si>
    <t xml:space="preserve">Scott Disick (@letthelordbewithyou) reported at 27,410,219 followers as of June 2026; other trackers report 27M to 28.3M. Counts vary by refresh time.</t>
  </si>
  <si>
    <t xml:space="preserve">Model input set to 27,400,000 and held constant across all three scenarios, because it is a measured quantity rather than a scenario choice. Audience quality, US share and health-category receptivity are NOT known and are handled by the reach and click-through drivers.</t>
  </si>
  <si>
    <t xml:space="preserve">Medium (third-party trackers; not an audited or first-party figure)</t>
  </si>
  <si>
    <t xml:space="preserve">https://hypeauditor.com/instagram/letthelordbewithyou/
https://socialblade.com/instagram/user/letthelordbewithyou
https://www.instagram.com/letthelordbewithyou/</t>
  </si>
  <si>
    <t xml:space="preserve">B17</t>
  </si>
  <si>
    <t xml:space="preserve">Prescription-programme retention reality check</t>
  </si>
  <si>
    <t xml:space="preserve">For the non-diabetic weight-loss population, discontinuation approaches 65% within the first year and 84.4% by 24 months. A real-world telehealth obesity provider reported programme retention of 78%, 63% and 58% at 3, 6 and 9 months. Commentary describes a 2026 'retention cliff' as the category's central problem.</t>
  </si>
  <si>
    <t xml:space="preserve">Rx churn driver 9.5-13% monthly. This is the single most damaging assumption if wrong, and it is flagged as such in the sensitivity analysis.</t>
  </si>
  <si>
    <t xml:space="preserve">Medium-High (peer-reviewed real-world evidence plus trade commentary)</t>
  </si>
  <si>
    <t xml:space="preserve">https://pmc.ncbi.nlm.nih.gov/articles/PMC11589532/
https://glp-1.reviews/glp-1-industry-secrets-revealed-what-2026-data-shows-about-telehealth-success-rates/</t>
  </si>
  <si>
    <t xml:space="preserve">B18</t>
  </si>
  <si>
    <t xml:space="preserve">503A bulk substances list movement on peptides, 2026</t>
  </si>
  <si>
    <t xml:space="preserve">On 15 April 2026 FDA removed 12 peptides from Category 2 of the 503A bulk drug substances list. First-batch substances under review include BPC-157, KPV, MOTS-c, Emideltide (DSIP), Epitalon, Semax and TB-500. The Pharmacy Compounding Advisory Committee met 23-24 July 2026 on Emideltide, Semax and Epitalon related substances, and FDA announced a further meeting before the end of February 2027 covering GHK-Cu, Melanotan II, Cathelicidin (LL-37), Dihexa acetate and PEG-MGF. Gonadorelin acetate has been added to Category 1. One category guide states CJC-1295 and ipamorelin 'returned to Category 1 in 2026'.</t>
  </si>
  <si>
    <t xml:space="preserve">Not a financial driver but the gate on which products the Rx line may legally carry. The formulary must be re-verified against the live FDA list before launch and re-verified on each PCAC action; the CJC-1295/ipamorelin claim in particular rests on a single secondary source and is NOT treated as established.</t>
  </si>
  <si>
    <t xml:space="preserve">Medium for the FDA actions, Low for the CJC-1295/ipamorelin Category 1 claim</t>
  </si>
  <si>
    <t xml:space="preserve">https://www.fda.gov/advisory-committees/advisory-committee-calendar/july-23-24-2026-meeting-pharmacy-compounding-advisory-committee-07232026
https://www.thefdalawblog.com/2026/04/fdas-peptide-rally-what-compounders-and-industry-need-to-know-post-1-of-2/
https://www.fagronacademy.us/blog/industry-update-503a-and-503b-bulks-lists-new-revisions</t>
  </si>
  <si>
    <t xml:space="preserve">Not retrievable in this environment</t>
  </si>
  <si>
    <t xml:space="preserve">First-party analytics for any competitor (sessions, conversion rate, CAC, churn) — no traffic tool or ad library was reachable.</t>
  </si>
  <si>
    <t xml:space="preserve">Audited financials for any private peptide or celebrity supplement brand. IM8 and Gruns revenue figures are self-reported via press.</t>
  </si>
  <si>
    <t xml:space="preserve">Scott Disick's audience composition (US share, age, gender, health-category affinity) and any historical conversion performance on a paid endorsement.</t>
  </si>
  <si>
    <t xml:space="preserve">The identity, licences, contract terms, insurance, pharmacy network and LegitScript status of the $600/month provider — no provider was named.</t>
  </si>
  <si>
    <t xml:space="preserve">Reserve Clinic - Conservative scenario, months 1-36</t>
  </si>
  <si>
    <t xml:space="preserve">Every cell is a formula. Inputs live on Assumptions only. Green = link to Assumptions.</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</si>
  <si>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</si>
  <si>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</si>
  <si>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</si>
  <si>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</si>
  <si>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</si>
  <si>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</si>
  <si>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</si>
  <si>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</si>
  <si>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</si>
  <si>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</si>
  <si>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</si>
  <si>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</si>
  <si>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</si>
  <si>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</si>
  <si>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</si>
  <si>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</si>
  <si>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</si>
  <si>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</si>
  <si>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</si>
  <si>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</si>
  <si>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</si>
  <si>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</si>
  <si>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</si>
  <si>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</si>
  <si>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</si>
  <si>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</si>
  <si>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</si>
  <si>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</si>
  <si>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</si>
  <si>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</si>
  <si>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</si>
  <si>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</si>
  <si>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</si>
  <si>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</si>
  <si>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</si>
  <si>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</si>
  <si>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</si>
  <si>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Total / final</t>
  </si>
  <si>
    <t xml:space="preserve">Month index</t>
  </si>
  <si>
    <t xml:space="preserve">Year</t>
  </si>
  <si>
    <t xml:space="preserve">Non-Rx line live (1/0)</t>
  </si>
  <si>
    <t xml:space="preserve">flag</t>
  </si>
  <si>
    <t xml:space="preserve">Rx line live (1/0)</t>
  </si>
  <si>
    <t xml:space="preserve">Months since non-Rx launch</t>
  </si>
  <si>
    <t xml:space="preserve">Partner-driven sessions at launch peak</t>
  </si>
  <si>
    <t xml:space="preserve">Attention index (decay toward floor)</t>
  </si>
  <si>
    <t xml:space="preserve">Partner-driven sessions</t>
  </si>
  <si>
    <t xml:space="preserve">Organic and direct sessions</t>
  </si>
  <si>
    <t xml:space="preserve">Paid media spend</t>
  </si>
  <si>
    <t xml:space="preserve">Paid sessions (diminishing returns applied)</t>
  </si>
  <si>
    <t xml:space="preserve">Effective cost per paid session</t>
  </si>
  <si>
    <t xml:space="preserve">Total sessions</t>
  </si>
  <si>
    <t xml:space="preserve">Shippable new-order capacity</t>
  </si>
  <si>
    <t xml:space="preserve">New non-Rx customer demand</t>
  </si>
  <si>
    <t xml:space="preserve">New non-Rx customers served</t>
  </si>
  <si>
    <t xml:space="preserve">Demand lost to capacity</t>
  </si>
  <si>
    <t xml:space="preserve">New subscribers</t>
  </si>
  <si>
    <t xml:space="preserve">New one-time buyers</t>
  </si>
  <si>
    <t xml:space="preserve">Active subscribers (end of month)</t>
  </si>
  <si>
    <t xml:space="preserve">Subscribers churned</t>
  </si>
  <si>
    <t xml:space="preserve">Repeat orders from one-time buyers</t>
  </si>
  <si>
    <t xml:space="preserve">Non-Rx orders shipped</t>
  </si>
  <si>
    <t xml:space="preserve">Non-Rx gross revenue</t>
  </si>
  <si>
    <t xml:space="preserve">Non-Rx refunds and chargebacks</t>
  </si>
  <si>
    <t xml:space="preserve">Non-Rx net revenue</t>
  </si>
  <si>
    <t xml:space="preserve">Non-Rx product COGS</t>
  </si>
  <si>
    <t xml:space="preserve">Non-Rx pick, pack and ship</t>
  </si>
  <si>
    <t xml:space="preserve">Non-Rx payment processing</t>
  </si>
  <si>
    <t xml:space="preserve">Non-Rx gross profit</t>
  </si>
  <si>
    <t xml:space="preserve">Non-Rx gross margin</t>
  </si>
  <si>
    <t xml:space="preserve">US population covered by served states</t>
  </si>
  <si>
    <t xml:space="preserve">Eligibility quiz starts</t>
  </si>
  <si>
    <t xml:space="preserve">Quiz completions</t>
  </si>
  <si>
    <t xml:space="preserve">Eligible outcomes (clinical screen and state)</t>
  </si>
  <si>
    <t xml:space="preserve">Intakes submitted (consult fee charged)</t>
  </si>
  <si>
    <t xml:space="preserve">Consults completed</t>
  </si>
  <si>
    <t xml:space="preserve">Prescriptions issued (clinician decision)</t>
  </si>
  <si>
    <t xml:space="preserve">New paying programme members</t>
  </si>
  <si>
    <t xml:space="preserve">Active programme members (end of month)</t>
  </si>
  <si>
    <t xml:space="preserve">Programme members churned</t>
  </si>
  <si>
    <t xml:space="preserve">Programme subscription revenue</t>
  </si>
  <si>
    <t xml:space="preserve">Consultation fee revenue</t>
  </si>
  <si>
    <t xml:space="preserve">Rx gross revenue</t>
  </si>
  <si>
    <t xml:space="preserve">Rx refunds and chargebacks</t>
  </si>
  <si>
    <t xml:space="preserve">Rx net revenue</t>
  </si>
  <si>
    <t xml:space="preserve">Pharmacy medication cost</t>
  </si>
  <si>
    <t xml:space="preserve">Clinician cost, new consults</t>
  </si>
  <si>
    <t xml:space="preserve">Clinician cost, monitoring and refills</t>
  </si>
  <si>
    <t xml:space="preserve">Cold-chain fulfilment and shipping</t>
  </si>
  <si>
    <t xml:space="preserve">Rx support cost</t>
  </si>
  <si>
    <t xml:space="preserve">Rx payment processing</t>
  </si>
  <si>
    <t xml:space="preserve">Rx gross profit</t>
  </si>
  <si>
    <t xml:space="preserve">Rx gross margin</t>
  </si>
  <si>
    <t xml:space="preserve">TOTAL NET REVENUE</t>
  </si>
  <si>
    <t xml:space="preserve">TOTAL GROSS PROFIT</t>
  </si>
  <si>
    <t xml:space="preserve">Blended gross margin</t>
  </si>
  <si>
    <t xml:space="preserve">Provider flat fee</t>
  </si>
  <si>
    <t xml:space="preserve">Certification and registrations</t>
  </si>
  <si>
    <t xml:space="preserve">Team</t>
  </si>
  <si>
    <t xml:space="preserve">Medical director and clinical oversight</t>
  </si>
  <si>
    <t xml:space="preserve">Technology and software</t>
  </si>
  <si>
    <t xml:space="preserve">Legal, regulatory and compliance</t>
  </si>
  <si>
    <t xml:space="preserve">Insurance</t>
  </si>
  <si>
    <t xml:space="preserve">Creative and content</t>
  </si>
  <si>
    <t xml:space="preserve">Paid media</t>
  </si>
  <si>
    <t xml:space="preserve">One-time launch marketing and PR</t>
  </si>
  <si>
    <t xml:space="preserve">Partner cash retainer</t>
  </si>
  <si>
    <t xml:space="preserve">TOTAL OPERATING EXPENSE</t>
  </si>
  <si>
    <t xml:space="preserve">EBITDA</t>
  </si>
  <si>
    <t xml:space="preserve">EBITDA margin</t>
  </si>
  <si>
    <t xml:space="preserve">Non-Rx inventory balance</t>
  </si>
  <si>
    <t xml:space="preserve">Inventory investment (increase in stock)</t>
  </si>
  <si>
    <t xml:space="preserve">Net cash flow</t>
  </si>
  <si>
    <t xml:space="preserve">Cumulative cash flow</t>
  </si>
  <si>
    <t xml:space="preserve">Break-even helper (month if EBITDA positive, else 999)</t>
  </si>
  <si>
    <t xml:space="preserve">New customers, both lines</t>
  </si>
  <si>
    <t xml:space="preserve">Blended CAC (paid media plus creative)</t>
  </si>
  <si>
    <t xml:space="preserve">Rx contribution per member-month, steady state</t>
  </si>
  <si>
    <t xml:space="preserve">Rx gross LTV (contribution / churn)</t>
  </si>
  <si>
    <t xml:space="preserve">Reserve Clinic - Baseline scenario, months 1-36</t>
  </si>
  <si>
    <t xml:space="preserve">Reserve Clinic - Aggressive scenario, months 1-36</t>
  </si>
</sst>
</file>

<file path=xl/styles.xml><?xml version="1.0" encoding="utf-8"?>
<styleSheet xmlns="http://schemas.openxmlformats.org/spreadsheetml/2006/main">
  <numFmts count="9">
    <numFmt numFmtId="164" formatCode="General"/>
    <numFmt numFmtId="165" formatCode="#,##0;\(#,##0\);\-"/>
    <numFmt numFmtId="166" formatCode="0.0%"/>
    <numFmt numFmtId="167" formatCode="0.00%"/>
    <numFmt numFmtId="168" formatCode="#,##0.00"/>
    <numFmt numFmtId="169" formatCode="\$#,##0.00;&quot;($&quot;#,##0.00\);\-"/>
    <numFmt numFmtId="170" formatCode="\$#,##0;&quot;($&quot;#,##0\);\-"/>
    <numFmt numFmtId="171" formatCode="0.0"/>
    <numFmt numFmtId="172" formatCode="0"/>
  </numFmts>
  <fonts count="17">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b val="true"/>
      <sz val="11"/>
      <name val="Arial"/>
      <family val="0"/>
      <charset val="1"/>
    </font>
    <font>
      <sz val="10"/>
      <name val="Arial"/>
      <family val="0"/>
      <charset val="1"/>
    </font>
    <font>
      <b val="true"/>
      <sz val="14"/>
      <name val="Arial"/>
      <family val="0"/>
      <charset val="1"/>
    </font>
    <font>
      <i val="true"/>
      <sz val="9"/>
      <name val="Arial"/>
      <family val="0"/>
      <charset val="1"/>
    </font>
    <font>
      <b val="true"/>
      <sz val="11"/>
      <color rgb="FFFFFFFF"/>
      <name val="Arial"/>
      <family val="0"/>
      <charset val="1"/>
    </font>
    <font>
      <b val="true"/>
      <sz val="10"/>
      <name val="Arial"/>
      <family val="0"/>
      <charset val="1"/>
    </font>
    <font>
      <sz val="8"/>
      <color rgb="FF777777"/>
      <name val="Arial"/>
      <family val="0"/>
      <charset val="1"/>
    </font>
    <font>
      <sz val="10"/>
      <color rgb="FF000000"/>
      <name val="Arial"/>
      <family val="0"/>
      <charset val="1"/>
    </font>
    <font>
      <sz val="10"/>
      <color rgb="FF0000FF"/>
      <name val="Arial"/>
      <family val="0"/>
      <charset val="1"/>
    </font>
    <font>
      <sz val="9"/>
      <name val="Arial"/>
      <family val="0"/>
      <charset val="1"/>
    </font>
    <font>
      <sz val="10"/>
      <color rgb="FF008000"/>
      <name val="Arial"/>
      <family val="0"/>
      <charset val="1"/>
    </font>
    <font>
      <sz val="7"/>
      <name val="Arial"/>
      <family val="0"/>
      <charset val="1"/>
    </font>
  </fonts>
  <fills count="6">
    <fill>
      <patternFill patternType="none"/>
    </fill>
    <fill>
      <patternFill patternType="gray125"/>
    </fill>
    <fill>
      <patternFill patternType="solid">
        <fgColor rgb="FF1F3D33"/>
        <bgColor rgb="FF333300"/>
      </patternFill>
    </fill>
    <fill>
      <patternFill patternType="solid">
        <fgColor rgb="FFE8EFEA"/>
        <bgColor rgb="FFFDEBE7"/>
      </patternFill>
    </fill>
    <fill>
      <patternFill patternType="solid">
        <fgColor rgb="FFFFFF00"/>
        <bgColor rgb="FFFFFF00"/>
      </patternFill>
    </fill>
    <fill>
      <patternFill patternType="solid">
        <fgColor rgb="FFFDEBE7"/>
        <bgColor rgb="FFE8EFE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bottom" textRotation="0" wrapText="true" indent="0" shrinkToFit="false"/>
      <protection locked="true" hidden="false"/>
    </xf>
    <xf numFmtId="164" fontId="1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5" fontId="13" fillId="4" borderId="0" xfId="0" applyFont="true" applyBorder="false" applyAlignment="false" applyProtection="false">
      <alignment horizontal="general" vertical="bottom" textRotation="0" wrapText="false" indent="0" shrinkToFit="false"/>
      <protection locked="true" hidden="false"/>
    </xf>
    <xf numFmtId="166" fontId="13" fillId="4" borderId="0" xfId="0" applyFont="true" applyBorder="false" applyAlignment="false" applyProtection="false">
      <alignment horizontal="general" vertical="bottom" textRotation="0" wrapText="false" indent="0" shrinkToFit="false"/>
      <protection locked="true" hidden="false"/>
    </xf>
    <xf numFmtId="167" fontId="13" fillId="4"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9" fontId="13" fillId="4"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70" fontId="13" fillId="4" borderId="0" xfId="0" applyFont="true" applyBorder="false" applyAlignment="false" applyProtection="false">
      <alignment horizontal="general" vertical="bottom" textRotation="0" wrapText="false" indent="0" shrinkToFit="false"/>
      <protection locked="true" hidden="false"/>
    </xf>
    <xf numFmtId="168" fontId="13" fillId="4" borderId="0" xfId="0" applyFont="true" applyBorder="false" applyAlignment="false" applyProtection="false">
      <alignment horizontal="general" vertical="bottom" textRotation="0" wrapText="false" indent="0" shrinkToFit="false"/>
      <protection locked="true" hidden="false"/>
    </xf>
    <xf numFmtId="169"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6" fontId="15"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64" fontId="14" fillId="5"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9" fillId="2"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7" fontId="9" fillId="2"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72" fontId="12" fillId="0" borderId="0" xfId="0" applyFont="true" applyBorder="false" applyAlignment="false" applyProtection="false">
      <alignment horizontal="general" vertical="bottom" textRotation="0" wrapText="false" indent="0" shrinkToFit="false"/>
      <protection locked="true" hidden="false"/>
    </xf>
    <xf numFmtId="170" fontId="12" fillId="0" borderId="0" xfId="0" applyFont="true" applyBorder="false" applyAlignment="false" applyProtection="false">
      <alignment horizontal="general" vertical="bottom"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77777"/>
      <rgbColor rgb="FF9999FF"/>
      <rgbColor rgb="FF993366"/>
      <rgbColor rgb="FFFDEBE7"/>
      <rgbColor rgb="FFE8EF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D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6" min="2" style="0" width="22"/>
  </cols>
  <sheetData>
    <row r="1" customFormat="false" ht="19.7" hidden="false" customHeight="false" outlineLevel="0" collapsed="false">
      <c r="A1" s="1" t="s">
        <v>0</v>
      </c>
    </row>
    <row r="3" customFormat="false" ht="15" hidden="false" customHeight="false" outlineLevel="0" collapsed="false">
      <c r="A3" s="2" t="s">
        <v>1</v>
      </c>
    </row>
    <row r="4" customFormat="false" ht="64.5" hidden="false" customHeight="true" outlineLevel="0" collapsed="false">
      <c r="A4" s="3" t="s">
        <v>2</v>
      </c>
      <c r="B4" s="3"/>
      <c r="C4" s="3"/>
      <c r="D4" s="3"/>
      <c r="E4" s="3"/>
      <c r="F4" s="3"/>
    </row>
    <row r="6" customFormat="false" ht="15" hidden="false" customHeight="false" outlineLevel="0" collapsed="false">
      <c r="A6" s="2" t="s">
        <v>3</v>
      </c>
    </row>
    <row r="7" customFormat="false" ht="51.75" hidden="false" customHeight="true" outlineLevel="0" collapsed="false">
      <c r="A7" s="3" t="s">
        <v>4</v>
      </c>
      <c r="B7" s="3"/>
      <c r="C7" s="3"/>
      <c r="D7" s="3"/>
      <c r="E7" s="3"/>
      <c r="F7" s="3"/>
    </row>
    <row r="9" customFormat="false" ht="15" hidden="false" customHeight="false" outlineLevel="0" collapsed="false">
      <c r="A9" s="2" t="s">
        <v>5</v>
      </c>
    </row>
    <row r="10" customFormat="false" ht="39" hidden="false" customHeight="true" outlineLevel="0" collapsed="false">
      <c r="A10" s="3" t="s">
        <v>6</v>
      </c>
      <c r="B10" s="3"/>
      <c r="C10" s="3"/>
      <c r="D10" s="3"/>
      <c r="E10" s="3"/>
      <c r="F10" s="3"/>
    </row>
    <row r="12" customFormat="false" ht="15" hidden="false" customHeight="false" outlineLevel="0" collapsed="false">
      <c r="A12" s="2" t="s">
        <v>7</v>
      </c>
    </row>
    <row r="13" customFormat="false" ht="39" hidden="false" customHeight="true" outlineLevel="0" collapsed="false">
      <c r="A13" s="3" t="s">
        <v>8</v>
      </c>
      <c r="B13" s="3"/>
      <c r="C13" s="3"/>
      <c r="D13" s="3"/>
      <c r="E13" s="3"/>
      <c r="F13" s="3"/>
    </row>
    <row r="15" customFormat="false" ht="15" hidden="false" customHeight="false" outlineLevel="0" collapsed="false">
      <c r="A15" s="2" t="s">
        <v>9</v>
      </c>
    </row>
    <row r="16" customFormat="false" ht="51.75" hidden="false" customHeight="true" outlineLevel="0" collapsed="false">
      <c r="A16" s="3" t="s">
        <v>10</v>
      </c>
      <c r="B16" s="3"/>
      <c r="C16" s="3"/>
      <c r="D16" s="3"/>
      <c r="E16" s="3"/>
      <c r="F16" s="3"/>
    </row>
    <row r="18" customFormat="false" ht="15" hidden="false" customHeight="false" outlineLevel="0" collapsed="false">
      <c r="A18" s="2" t="s">
        <v>11</v>
      </c>
    </row>
    <row r="19" customFormat="false" ht="78" hidden="false" customHeight="true" outlineLevel="0" collapsed="false">
      <c r="A19" s="3" t="s">
        <v>12</v>
      </c>
      <c r="B19" s="3"/>
      <c r="C19" s="3"/>
      <c r="D19" s="3"/>
      <c r="E19" s="3"/>
      <c r="F19" s="3"/>
    </row>
    <row r="21" customFormat="false" ht="15" hidden="false" customHeight="false" outlineLevel="0" collapsed="false">
      <c r="A21" s="2" t="s">
        <v>13</v>
      </c>
    </row>
    <row r="22" customFormat="false" ht="90.75" hidden="false" customHeight="true" outlineLevel="0" collapsed="false">
      <c r="A22" s="3" t="s">
        <v>14</v>
      </c>
      <c r="B22" s="3"/>
      <c r="C22" s="3"/>
      <c r="D22" s="3"/>
      <c r="E22" s="3"/>
      <c r="F22" s="3"/>
    </row>
    <row r="24" customFormat="false" ht="15" hidden="false" customHeight="false" outlineLevel="0" collapsed="false">
      <c r="A24" s="2" t="s">
        <v>15</v>
      </c>
    </row>
    <row r="25" customFormat="false" ht="30" hidden="false" customHeight="true" outlineLevel="0" collapsed="false">
      <c r="A25" s="3" t="s">
        <v>16</v>
      </c>
      <c r="B25" s="3"/>
      <c r="C25" s="3"/>
      <c r="D25" s="3"/>
      <c r="E25" s="3"/>
      <c r="F25" s="3"/>
    </row>
  </sheetData>
  <mergeCells count="8">
    <mergeCell ref="A4:F4"/>
    <mergeCell ref="A7:F7"/>
    <mergeCell ref="A10:F10"/>
    <mergeCell ref="A13:F13"/>
    <mergeCell ref="A16:F16"/>
    <mergeCell ref="A19:F19"/>
    <mergeCell ref="A22:F22"/>
    <mergeCell ref="A25:F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17"/>
    <col collapsed="false" customWidth="true" hidden="false" outlineLevel="0" max="2" min="2" style="0" width="56"/>
    <col collapsed="false" customWidth="true" hidden="false" outlineLevel="0" max="3" min="3" style="0" width="10"/>
    <col collapsed="false" customWidth="true" hidden="false" outlineLevel="0" max="6" min="4" style="0" width="14"/>
    <col collapsed="false" customWidth="true" hidden="false" outlineLevel="0" max="7" min="7" style="0" width="78"/>
    <col collapsed="false" customWidth="true" hidden="false" outlineLevel="0" max="9" min="8" style="0" width="12"/>
    <col collapsed="false" customWidth="true" hidden="false" outlineLevel="0" max="10" min="10" style="0" width="30"/>
  </cols>
  <sheetData>
    <row r="1" customFormat="false" ht="17.35" hidden="false" customHeight="false" outlineLevel="0" collapsed="false">
      <c r="A1" s="4" t="s">
        <v>17</v>
      </c>
    </row>
    <row r="2" customFormat="false" ht="42" hidden="false" customHeight="true" outlineLevel="0" collapsed="false">
      <c r="A2" s="5" t="s">
        <v>18</v>
      </c>
      <c r="B2" s="5"/>
      <c r="C2" s="5"/>
      <c r="D2" s="5"/>
      <c r="E2" s="5"/>
      <c r="F2" s="5"/>
      <c r="G2" s="5"/>
      <c r="H2" s="5"/>
      <c r="I2" s="5"/>
      <c r="J2" s="5"/>
    </row>
    <row r="4" customFormat="false" ht="15" hidden="false" customHeight="false" outlineLevel="0" collapsed="false">
      <c r="A4" s="6" t="s">
        <v>19</v>
      </c>
      <c r="B4" s="6" t="s">
        <v>20</v>
      </c>
      <c r="C4" s="6" t="s">
        <v>21</v>
      </c>
      <c r="D4" s="6" t="s">
        <v>22</v>
      </c>
      <c r="E4" s="6" t="s">
        <v>23</v>
      </c>
      <c r="F4" s="6" t="s">
        <v>24</v>
      </c>
      <c r="G4" s="6" t="s">
        <v>25</v>
      </c>
      <c r="H4" s="6" t="s">
        <v>26</v>
      </c>
      <c r="I4" s="6" t="s">
        <v>27</v>
      </c>
      <c r="J4" s="6" t="s">
        <v>28</v>
      </c>
    </row>
    <row r="5" customFormat="false" ht="15" hidden="false" customHeight="false" outlineLevel="0" collapsed="false">
      <c r="A5" s="7" t="s">
        <v>29</v>
      </c>
      <c r="B5" s="8"/>
      <c r="C5" s="8"/>
      <c r="D5" s="8"/>
      <c r="E5" s="8"/>
      <c r="F5" s="8"/>
      <c r="G5" s="8"/>
      <c r="H5" s="8"/>
      <c r="I5" s="8"/>
      <c r="J5" s="8"/>
    </row>
    <row r="6" customFormat="false" ht="22.35" hidden="false" customHeight="false" outlineLevel="0" collapsed="false">
      <c r="A6" s="9" t="s">
        <v>30</v>
      </c>
      <c r="B6" s="10" t="s">
        <v>31</v>
      </c>
      <c r="C6" s="10" t="s">
        <v>32</v>
      </c>
      <c r="D6" s="11" t="n">
        <v>3</v>
      </c>
      <c r="E6" s="11" t="n">
        <v>2</v>
      </c>
      <c r="F6" s="11" t="n">
        <v>2</v>
      </c>
      <c r="G6" s="12" t="s">
        <v>33</v>
      </c>
      <c r="H6" s="10" t="s">
        <v>34</v>
      </c>
      <c r="I6" s="10" t="s">
        <v>35</v>
      </c>
      <c r="J6" s="12" t="s">
        <v>36</v>
      </c>
    </row>
    <row r="7" customFormat="false" ht="22.35" hidden="false" customHeight="false" outlineLevel="0" collapsed="false">
      <c r="A7" s="9" t="s">
        <v>37</v>
      </c>
      <c r="B7" s="10" t="s">
        <v>38</v>
      </c>
      <c r="C7" s="10" t="s">
        <v>32</v>
      </c>
      <c r="D7" s="13" t="n">
        <v>9</v>
      </c>
      <c r="E7" s="13" t="n">
        <v>7</v>
      </c>
      <c r="F7" s="13" t="n">
        <v>5</v>
      </c>
      <c r="G7" s="12" t="s">
        <v>39</v>
      </c>
      <c r="H7" s="10" t="s">
        <v>35</v>
      </c>
      <c r="I7" s="10" t="s">
        <v>34</v>
      </c>
      <c r="J7" s="12" t="s">
        <v>40</v>
      </c>
    </row>
    <row r="8" customFormat="false" ht="15" hidden="false" customHeight="false" outlineLevel="0" collapsed="false">
      <c r="A8" s="7" t="s">
        <v>41</v>
      </c>
      <c r="B8" s="8"/>
      <c r="C8" s="8"/>
      <c r="D8" s="8"/>
      <c r="E8" s="8"/>
      <c r="F8" s="8"/>
      <c r="G8" s="8"/>
      <c r="H8" s="8"/>
      <c r="I8" s="8"/>
      <c r="J8" s="8"/>
    </row>
    <row r="9" customFormat="false" ht="22.35" hidden="false" customHeight="false" outlineLevel="0" collapsed="false">
      <c r="A9" s="9" t="s">
        <v>42</v>
      </c>
      <c r="B9" s="10" t="s">
        <v>43</v>
      </c>
      <c r="C9" s="10" t="s">
        <v>44</v>
      </c>
      <c r="D9" s="13" t="n">
        <v>27400000</v>
      </c>
      <c r="E9" s="13" t="n">
        <v>27400000</v>
      </c>
      <c r="F9" s="13" t="n">
        <v>27400000</v>
      </c>
      <c r="G9" s="12" t="s">
        <v>45</v>
      </c>
      <c r="H9" s="10" t="s">
        <v>35</v>
      </c>
      <c r="I9" s="10" t="s">
        <v>34</v>
      </c>
      <c r="J9" s="12" t="s">
        <v>46</v>
      </c>
    </row>
    <row r="10" customFormat="false" ht="15" hidden="false" customHeight="false" outlineLevel="0" collapsed="false">
      <c r="A10" s="9" t="s">
        <v>47</v>
      </c>
      <c r="B10" s="10" t="s">
        <v>48</v>
      </c>
      <c r="C10" s="10" t="s">
        <v>44</v>
      </c>
      <c r="D10" s="13" t="n">
        <v>2</v>
      </c>
      <c r="E10" s="13" t="n">
        <v>4</v>
      </c>
      <c r="F10" s="13" t="n">
        <v>6</v>
      </c>
      <c r="G10" s="12" t="s">
        <v>49</v>
      </c>
      <c r="H10" s="10" t="s">
        <v>50</v>
      </c>
      <c r="I10" s="10" t="s">
        <v>34</v>
      </c>
      <c r="J10" s="12" t="s">
        <v>51</v>
      </c>
    </row>
    <row r="11" customFormat="false" ht="22.35" hidden="false" customHeight="false" outlineLevel="0" collapsed="false">
      <c r="A11" s="9" t="s">
        <v>52</v>
      </c>
      <c r="B11" s="10" t="s">
        <v>53</v>
      </c>
      <c r="C11" s="10" t="s">
        <v>54</v>
      </c>
      <c r="D11" s="14" t="n">
        <v>0.04</v>
      </c>
      <c r="E11" s="14" t="n">
        <v>0.07</v>
      </c>
      <c r="F11" s="14" t="n">
        <v>0.11</v>
      </c>
      <c r="G11" s="12" t="s">
        <v>55</v>
      </c>
      <c r="H11" s="10" t="s">
        <v>56</v>
      </c>
      <c r="I11" s="10" t="s">
        <v>34</v>
      </c>
      <c r="J11" s="12" t="s">
        <v>57</v>
      </c>
    </row>
    <row r="12" customFormat="false" ht="22.35" hidden="false" customHeight="false" outlineLevel="0" collapsed="false">
      <c r="A12" s="9" t="s">
        <v>58</v>
      </c>
      <c r="B12" s="10" t="s">
        <v>59</v>
      </c>
      <c r="C12" s="10" t="s">
        <v>54</v>
      </c>
      <c r="D12" s="15" t="n">
        <v>0.0035</v>
      </c>
      <c r="E12" s="15" t="n">
        <v>0.006</v>
      </c>
      <c r="F12" s="15" t="n">
        <v>0.009</v>
      </c>
      <c r="G12" s="12" t="s">
        <v>60</v>
      </c>
      <c r="H12" s="10" t="s">
        <v>56</v>
      </c>
      <c r="I12" s="10" t="s">
        <v>34</v>
      </c>
      <c r="J12" s="12" t="s">
        <v>61</v>
      </c>
    </row>
    <row r="13" customFormat="false" ht="22.35" hidden="false" customHeight="false" outlineLevel="0" collapsed="false">
      <c r="A13" s="9" t="s">
        <v>62</v>
      </c>
      <c r="B13" s="10" t="s">
        <v>63</v>
      </c>
      <c r="C13" s="10" t="s">
        <v>54</v>
      </c>
      <c r="D13" s="14" t="n">
        <v>0.72</v>
      </c>
      <c r="E13" s="14" t="n">
        <v>0.8</v>
      </c>
      <c r="F13" s="14" t="n">
        <v>0.86</v>
      </c>
      <c r="G13" s="12" t="s">
        <v>64</v>
      </c>
      <c r="H13" s="10" t="s">
        <v>56</v>
      </c>
      <c r="I13" s="10" t="s">
        <v>34</v>
      </c>
      <c r="J13" s="12" t="s">
        <v>65</v>
      </c>
    </row>
    <row r="14" customFormat="false" ht="15" hidden="false" customHeight="false" outlineLevel="0" collapsed="false">
      <c r="A14" s="9" t="s">
        <v>66</v>
      </c>
      <c r="B14" s="10" t="s">
        <v>67</v>
      </c>
      <c r="C14" s="10" t="s">
        <v>54</v>
      </c>
      <c r="D14" s="14" t="n">
        <v>0.28</v>
      </c>
      <c r="E14" s="14" t="n">
        <v>0.36</v>
      </c>
      <c r="F14" s="14" t="n">
        <v>0.45</v>
      </c>
      <c r="G14" s="12" t="s">
        <v>68</v>
      </c>
      <c r="H14" s="10" t="s">
        <v>56</v>
      </c>
      <c r="I14" s="10" t="s">
        <v>34</v>
      </c>
      <c r="J14" s="12" t="s">
        <v>65</v>
      </c>
    </row>
    <row r="15" customFormat="false" ht="15" hidden="false" customHeight="false" outlineLevel="0" collapsed="false">
      <c r="A15" s="9" t="s">
        <v>69</v>
      </c>
      <c r="B15" s="10" t="s">
        <v>70</v>
      </c>
      <c r="C15" s="10" t="s">
        <v>71</v>
      </c>
      <c r="D15" s="16" t="n">
        <v>1.6</v>
      </c>
      <c r="E15" s="16" t="n">
        <v>2.2</v>
      </c>
      <c r="F15" s="16" t="n">
        <v>3</v>
      </c>
      <c r="G15" s="12" t="s">
        <v>72</v>
      </c>
      <c r="H15" s="10" t="s">
        <v>56</v>
      </c>
      <c r="I15" s="10" t="s">
        <v>35</v>
      </c>
      <c r="J15" s="12" t="s">
        <v>73</v>
      </c>
    </row>
    <row r="16" customFormat="false" ht="15" hidden="false" customHeight="false" outlineLevel="0" collapsed="false">
      <c r="A16" s="7" t="s">
        <v>74</v>
      </c>
      <c r="B16" s="8"/>
      <c r="C16" s="8"/>
      <c r="D16" s="8"/>
      <c r="E16" s="8"/>
      <c r="F16" s="8"/>
      <c r="G16" s="8"/>
      <c r="H16" s="8"/>
      <c r="I16" s="8"/>
      <c r="J16" s="8"/>
    </row>
    <row r="17" customFormat="false" ht="15" hidden="false" customHeight="false" outlineLevel="0" collapsed="false">
      <c r="A17" s="9" t="s">
        <v>75</v>
      </c>
      <c r="B17" s="10" t="s">
        <v>76</v>
      </c>
      <c r="C17" s="10" t="s">
        <v>77</v>
      </c>
      <c r="D17" s="11" t="n">
        <v>1200</v>
      </c>
      <c r="E17" s="11" t="n">
        <v>2200</v>
      </c>
      <c r="F17" s="11" t="n">
        <v>3500</v>
      </c>
      <c r="G17" s="12" t="s">
        <v>78</v>
      </c>
      <c r="H17" s="10" t="s">
        <v>56</v>
      </c>
      <c r="I17" s="10" t="s">
        <v>56</v>
      </c>
      <c r="J17" s="12" t="s">
        <v>79</v>
      </c>
    </row>
    <row r="18" customFormat="false" ht="15" hidden="false" customHeight="false" outlineLevel="0" collapsed="false">
      <c r="A18" s="9" t="s">
        <v>80</v>
      </c>
      <c r="B18" s="10" t="s">
        <v>81</v>
      </c>
      <c r="C18" s="10" t="s">
        <v>54</v>
      </c>
      <c r="D18" s="17" t="n">
        <v>0.06</v>
      </c>
      <c r="E18" s="17" t="n">
        <v>0.09</v>
      </c>
      <c r="F18" s="17" t="n">
        <v>0.12</v>
      </c>
      <c r="G18" s="12" t="s">
        <v>82</v>
      </c>
      <c r="H18" s="10" t="s">
        <v>56</v>
      </c>
      <c r="I18" s="10" t="s">
        <v>35</v>
      </c>
      <c r="J18" s="12" t="s">
        <v>83</v>
      </c>
    </row>
    <row r="19" customFormat="false" ht="15" hidden="false" customHeight="false" outlineLevel="0" collapsed="false">
      <c r="A19" s="9" t="s">
        <v>84</v>
      </c>
      <c r="B19" s="10" t="s">
        <v>85</v>
      </c>
      <c r="C19" s="10" t="s">
        <v>77</v>
      </c>
      <c r="D19" s="11" t="n">
        <v>90000</v>
      </c>
      <c r="E19" s="11" t="n">
        <v>180000</v>
      </c>
      <c r="F19" s="11" t="n">
        <v>320000</v>
      </c>
      <c r="G19" s="12" t="s">
        <v>86</v>
      </c>
      <c r="H19" s="10" t="s">
        <v>56</v>
      </c>
      <c r="I19" s="10" t="s">
        <v>35</v>
      </c>
      <c r="J19" s="12" t="s">
        <v>87</v>
      </c>
    </row>
    <row r="20" customFormat="false" ht="22.35" hidden="false" customHeight="false" outlineLevel="0" collapsed="false">
      <c r="A20" s="9" t="s">
        <v>88</v>
      </c>
      <c r="B20" s="10" t="s">
        <v>89</v>
      </c>
      <c r="C20" s="10" t="s">
        <v>90</v>
      </c>
      <c r="D20" s="18" t="n">
        <v>2.6</v>
      </c>
      <c r="E20" s="18" t="n">
        <v>2.15</v>
      </c>
      <c r="F20" s="18" t="n">
        <v>1.85</v>
      </c>
      <c r="G20" s="12" t="s">
        <v>91</v>
      </c>
      <c r="H20" s="10" t="s">
        <v>35</v>
      </c>
      <c r="I20" s="10" t="s">
        <v>34</v>
      </c>
      <c r="J20" s="12" t="s">
        <v>92</v>
      </c>
    </row>
    <row r="21" customFormat="false" ht="15" hidden="false" customHeight="false" outlineLevel="0" collapsed="false">
      <c r="A21" s="9" t="s">
        <v>93</v>
      </c>
      <c r="B21" s="10" t="s">
        <v>94</v>
      </c>
      <c r="C21" s="10" t="s">
        <v>90</v>
      </c>
      <c r="D21" s="19" t="n">
        <v>4000</v>
      </c>
      <c r="E21" s="19" t="n">
        <v>8000</v>
      </c>
      <c r="F21" s="19" t="n">
        <v>15000</v>
      </c>
      <c r="G21" s="12" t="s">
        <v>95</v>
      </c>
      <c r="H21" s="10" t="s">
        <v>35</v>
      </c>
      <c r="I21" s="10" t="s">
        <v>56</v>
      </c>
      <c r="J21" s="12" t="s">
        <v>96</v>
      </c>
    </row>
    <row r="22" customFormat="false" ht="15" hidden="false" customHeight="false" outlineLevel="0" collapsed="false">
      <c r="A22" s="9" t="s">
        <v>97</v>
      </c>
      <c r="B22" s="10" t="s">
        <v>98</v>
      </c>
      <c r="C22" s="10" t="s">
        <v>90</v>
      </c>
      <c r="D22" s="19" t="n">
        <v>10000</v>
      </c>
      <c r="E22" s="19" t="n">
        <v>30000</v>
      </c>
      <c r="F22" s="19" t="n">
        <v>60000</v>
      </c>
      <c r="G22" s="12" t="s">
        <v>99</v>
      </c>
      <c r="H22" s="10" t="s">
        <v>35</v>
      </c>
      <c r="I22" s="10" t="s">
        <v>35</v>
      </c>
      <c r="J22" s="12" t="s">
        <v>96</v>
      </c>
    </row>
    <row r="23" customFormat="false" ht="32.8" hidden="false" customHeight="false" outlineLevel="0" collapsed="false">
      <c r="A23" s="9" t="s">
        <v>100</v>
      </c>
      <c r="B23" s="10" t="s">
        <v>101</v>
      </c>
      <c r="C23" s="10" t="s">
        <v>54</v>
      </c>
      <c r="D23" s="14" t="n">
        <v>0.3</v>
      </c>
      <c r="E23" s="14" t="n">
        <v>0.24</v>
      </c>
      <c r="F23" s="14" t="n">
        <v>0.2</v>
      </c>
      <c r="G23" s="12" t="s">
        <v>102</v>
      </c>
      <c r="H23" s="10" t="s">
        <v>35</v>
      </c>
      <c r="I23" s="10" t="s">
        <v>34</v>
      </c>
      <c r="J23" s="12" t="s">
        <v>103</v>
      </c>
    </row>
    <row r="24" customFormat="false" ht="15" hidden="false" customHeight="false" outlineLevel="0" collapsed="false">
      <c r="A24" s="9" t="s">
        <v>104</v>
      </c>
      <c r="B24" s="10" t="s">
        <v>105</v>
      </c>
      <c r="C24" s="10" t="s">
        <v>90</v>
      </c>
      <c r="D24" s="19" t="n">
        <v>40000</v>
      </c>
      <c r="E24" s="19" t="n">
        <v>150000</v>
      </c>
      <c r="F24" s="19" t="n">
        <v>400000</v>
      </c>
      <c r="G24" s="12" t="s">
        <v>106</v>
      </c>
      <c r="H24" s="10" t="s">
        <v>35</v>
      </c>
      <c r="I24" s="10" t="s">
        <v>35</v>
      </c>
      <c r="J24" s="12" t="s">
        <v>107</v>
      </c>
    </row>
    <row r="25" customFormat="false" ht="22.35" hidden="false" customHeight="false" outlineLevel="0" collapsed="false">
      <c r="A25" s="9" t="s">
        <v>108</v>
      </c>
      <c r="B25" s="10" t="s">
        <v>109</v>
      </c>
      <c r="C25" s="10" t="s">
        <v>90</v>
      </c>
      <c r="D25" s="20" t="n">
        <v>200000</v>
      </c>
      <c r="E25" s="20" t="n">
        <v>900000</v>
      </c>
      <c r="F25" s="20" t="n">
        <v>2500000</v>
      </c>
      <c r="G25" s="12" t="s">
        <v>110</v>
      </c>
      <c r="H25" s="10" t="s">
        <v>35</v>
      </c>
      <c r="I25" s="10" t="s">
        <v>34</v>
      </c>
      <c r="J25" s="12" t="s">
        <v>111</v>
      </c>
    </row>
    <row r="26" customFormat="false" ht="32.8" hidden="false" customHeight="false" outlineLevel="0" collapsed="false">
      <c r="A26" s="9" t="s">
        <v>112</v>
      </c>
      <c r="B26" s="10" t="s">
        <v>113</v>
      </c>
      <c r="C26" s="10" t="s">
        <v>71</v>
      </c>
      <c r="D26" s="21" t="n">
        <v>0.68</v>
      </c>
      <c r="E26" s="21" t="n">
        <v>0.75</v>
      </c>
      <c r="F26" s="21" t="n">
        <v>0.82</v>
      </c>
      <c r="G26" s="12" t="s">
        <v>114</v>
      </c>
      <c r="H26" s="10" t="s">
        <v>56</v>
      </c>
      <c r="I26" s="10" t="s">
        <v>34</v>
      </c>
      <c r="J26" s="12" t="s">
        <v>115</v>
      </c>
    </row>
    <row r="27" customFormat="false" ht="15" hidden="false" customHeight="false" outlineLevel="0" collapsed="false">
      <c r="A27" s="7" t="s">
        <v>116</v>
      </c>
      <c r="B27" s="8"/>
      <c r="C27" s="8"/>
      <c r="D27" s="8"/>
      <c r="E27" s="8"/>
      <c r="F27" s="8"/>
      <c r="G27" s="8"/>
      <c r="H27" s="8"/>
      <c r="I27" s="8"/>
      <c r="J27" s="8"/>
    </row>
    <row r="28" customFormat="false" ht="32.8" hidden="false" customHeight="false" outlineLevel="0" collapsed="false">
      <c r="A28" s="9" t="s">
        <v>117</v>
      </c>
      <c r="B28" s="10" t="s">
        <v>118</v>
      </c>
      <c r="C28" s="10" t="s">
        <v>44</v>
      </c>
      <c r="D28" s="13" t="n">
        <v>600</v>
      </c>
      <c r="E28" s="13" t="n">
        <v>1500</v>
      </c>
      <c r="F28" s="13" t="n">
        <v>3000</v>
      </c>
      <c r="G28" s="12" t="s">
        <v>119</v>
      </c>
      <c r="H28" s="10" t="s">
        <v>56</v>
      </c>
      <c r="I28" s="10" t="s">
        <v>34</v>
      </c>
      <c r="J28" s="12" t="s">
        <v>120</v>
      </c>
    </row>
    <row r="29" customFormat="false" ht="22.35" hidden="false" customHeight="false" outlineLevel="0" collapsed="false">
      <c r="A29" s="9" t="s">
        <v>121</v>
      </c>
      <c r="B29" s="10" t="s">
        <v>122</v>
      </c>
      <c r="C29" s="10" t="s">
        <v>71</v>
      </c>
      <c r="D29" s="21" t="n">
        <v>1.25</v>
      </c>
      <c r="E29" s="21" t="n">
        <v>1.35</v>
      </c>
      <c r="F29" s="21" t="n">
        <v>1.45</v>
      </c>
      <c r="G29" s="12" t="s">
        <v>123</v>
      </c>
      <c r="H29" s="10" t="s">
        <v>56</v>
      </c>
      <c r="I29" s="10" t="s">
        <v>34</v>
      </c>
      <c r="J29" s="12" t="s">
        <v>124</v>
      </c>
    </row>
    <row r="30" customFormat="false" ht="22.35" hidden="false" customHeight="false" outlineLevel="0" collapsed="false">
      <c r="A30" s="9" t="s">
        <v>125</v>
      </c>
      <c r="B30" s="10" t="s">
        <v>126</v>
      </c>
      <c r="C30" s="10" t="s">
        <v>54</v>
      </c>
      <c r="D30" s="15" t="n">
        <v>0.009</v>
      </c>
      <c r="E30" s="15" t="n">
        <v>0.014</v>
      </c>
      <c r="F30" s="15" t="n">
        <v>0.019</v>
      </c>
      <c r="G30" s="12" t="s">
        <v>127</v>
      </c>
      <c r="H30" s="10" t="s">
        <v>56</v>
      </c>
      <c r="I30" s="10" t="s">
        <v>34</v>
      </c>
      <c r="J30" s="12" t="s">
        <v>128</v>
      </c>
    </row>
    <row r="31" customFormat="false" ht="15" hidden="false" customHeight="false" outlineLevel="0" collapsed="false">
      <c r="A31" s="9" t="s">
        <v>129</v>
      </c>
      <c r="B31" s="10" t="s">
        <v>130</v>
      </c>
      <c r="C31" s="10" t="s">
        <v>90</v>
      </c>
      <c r="D31" s="20" t="n">
        <v>68</v>
      </c>
      <c r="E31" s="20" t="n">
        <v>78</v>
      </c>
      <c r="F31" s="20" t="n">
        <v>88</v>
      </c>
      <c r="G31" s="12" t="s">
        <v>131</v>
      </c>
      <c r="H31" s="10" t="s">
        <v>35</v>
      </c>
      <c r="I31" s="10" t="s">
        <v>34</v>
      </c>
      <c r="J31" s="12" t="s">
        <v>128</v>
      </c>
    </row>
    <row r="32" customFormat="false" ht="15" hidden="false" customHeight="false" outlineLevel="0" collapsed="false">
      <c r="A32" s="9" t="s">
        <v>132</v>
      </c>
      <c r="B32" s="10" t="s">
        <v>133</v>
      </c>
      <c r="C32" s="10" t="s">
        <v>54</v>
      </c>
      <c r="D32" s="14" t="n">
        <v>0.3</v>
      </c>
      <c r="E32" s="14" t="n">
        <v>0.4</v>
      </c>
      <c r="F32" s="14" t="n">
        <v>0.5</v>
      </c>
      <c r="G32" s="12" t="s">
        <v>134</v>
      </c>
      <c r="H32" s="10" t="s">
        <v>56</v>
      </c>
      <c r="I32" s="10" t="s">
        <v>34</v>
      </c>
      <c r="J32" s="12" t="s">
        <v>135</v>
      </c>
    </row>
    <row r="33" customFormat="false" ht="15" hidden="false" customHeight="false" outlineLevel="0" collapsed="false">
      <c r="A33" s="9" t="s">
        <v>136</v>
      </c>
      <c r="B33" s="10" t="s">
        <v>137</v>
      </c>
      <c r="C33" s="10" t="s">
        <v>54</v>
      </c>
      <c r="D33" s="14" t="n">
        <v>0.09</v>
      </c>
      <c r="E33" s="14" t="n">
        <v>0.07</v>
      </c>
      <c r="F33" s="14" t="n">
        <v>0.055</v>
      </c>
      <c r="G33" s="12" t="s">
        <v>138</v>
      </c>
      <c r="H33" s="10" t="s">
        <v>35</v>
      </c>
      <c r="I33" s="10" t="s">
        <v>34</v>
      </c>
      <c r="J33" s="12" t="s">
        <v>139</v>
      </c>
    </row>
    <row r="34" customFormat="false" ht="15" hidden="false" customHeight="false" outlineLevel="0" collapsed="false">
      <c r="A34" s="9" t="s">
        <v>140</v>
      </c>
      <c r="B34" s="10" t="s">
        <v>141</v>
      </c>
      <c r="C34" s="10" t="s">
        <v>54</v>
      </c>
      <c r="D34" s="17" t="n">
        <v>0.08</v>
      </c>
      <c r="E34" s="17" t="n">
        <v>0.11</v>
      </c>
      <c r="F34" s="17" t="n">
        <v>0.14</v>
      </c>
      <c r="G34" s="12" t="s">
        <v>142</v>
      </c>
      <c r="H34" s="10" t="s">
        <v>56</v>
      </c>
      <c r="I34" s="10" t="s">
        <v>35</v>
      </c>
      <c r="J34" s="12" t="s">
        <v>139</v>
      </c>
    </row>
    <row r="35" customFormat="false" ht="15" hidden="false" customHeight="false" outlineLevel="0" collapsed="false">
      <c r="A35" s="7" t="s">
        <v>143</v>
      </c>
      <c r="B35" s="8"/>
      <c r="C35" s="8"/>
      <c r="D35" s="8"/>
      <c r="E35" s="8"/>
      <c r="F35" s="8"/>
      <c r="G35" s="8"/>
      <c r="H35" s="8"/>
      <c r="I35" s="8"/>
      <c r="J35" s="8"/>
    </row>
    <row r="36" customFormat="false" ht="15" hidden="false" customHeight="false" outlineLevel="0" collapsed="false">
      <c r="A36" s="9" t="s">
        <v>144</v>
      </c>
      <c r="B36" s="10" t="s">
        <v>145</v>
      </c>
      <c r="C36" s="10" t="s">
        <v>54</v>
      </c>
      <c r="D36" s="14" t="n">
        <v>0.3</v>
      </c>
      <c r="E36" s="14" t="n">
        <v>0.26</v>
      </c>
      <c r="F36" s="14" t="n">
        <v>0.22</v>
      </c>
      <c r="G36" s="12" t="s">
        <v>146</v>
      </c>
      <c r="H36" s="10" t="s">
        <v>35</v>
      </c>
      <c r="I36" s="10" t="s">
        <v>34</v>
      </c>
      <c r="J36" s="12" t="s">
        <v>147</v>
      </c>
    </row>
    <row r="37" customFormat="false" ht="15" hidden="false" customHeight="false" outlineLevel="0" collapsed="false">
      <c r="A37" s="9" t="s">
        <v>148</v>
      </c>
      <c r="B37" s="10" t="s">
        <v>149</v>
      </c>
      <c r="C37" s="10" t="s">
        <v>90</v>
      </c>
      <c r="D37" s="22" t="n">
        <v>8.5</v>
      </c>
      <c r="E37" s="22" t="n">
        <v>7.5</v>
      </c>
      <c r="F37" s="22" t="n">
        <v>6.5</v>
      </c>
      <c r="G37" s="12" t="s">
        <v>150</v>
      </c>
      <c r="H37" s="10" t="s">
        <v>35</v>
      </c>
      <c r="I37" s="10" t="s">
        <v>56</v>
      </c>
      <c r="J37" s="12" t="s">
        <v>151</v>
      </c>
    </row>
    <row r="38" customFormat="false" ht="15" hidden="false" customHeight="false" outlineLevel="0" collapsed="false">
      <c r="A38" s="7" t="s">
        <v>152</v>
      </c>
      <c r="B38" s="8"/>
      <c r="C38" s="8"/>
      <c r="D38" s="8"/>
      <c r="E38" s="8"/>
      <c r="F38" s="8"/>
      <c r="G38" s="8"/>
      <c r="H38" s="8"/>
      <c r="I38" s="8"/>
      <c r="J38" s="8"/>
    </row>
    <row r="39" customFormat="false" ht="15" hidden="false" customHeight="false" outlineLevel="0" collapsed="false">
      <c r="A39" s="9" t="s">
        <v>153</v>
      </c>
      <c r="B39" s="10" t="s">
        <v>154</v>
      </c>
      <c r="C39" s="10" t="s">
        <v>54</v>
      </c>
      <c r="D39" s="15" t="n">
        <v>0.012</v>
      </c>
      <c r="E39" s="15" t="n">
        <v>0.018</v>
      </c>
      <c r="F39" s="14" t="n">
        <v>0.025</v>
      </c>
      <c r="G39" s="12" t="s">
        <v>155</v>
      </c>
      <c r="H39" s="10" t="s">
        <v>56</v>
      </c>
      <c r="I39" s="10" t="s">
        <v>34</v>
      </c>
      <c r="J39" s="12" t="s">
        <v>156</v>
      </c>
    </row>
    <row r="40" customFormat="false" ht="15" hidden="false" customHeight="false" outlineLevel="0" collapsed="false">
      <c r="A40" s="9" t="s">
        <v>157</v>
      </c>
      <c r="B40" s="10" t="s">
        <v>158</v>
      </c>
      <c r="C40" s="10" t="s">
        <v>54</v>
      </c>
      <c r="D40" s="17" t="n">
        <v>0.6</v>
      </c>
      <c r="E40" s="17" t="n">
        <v>0.7</v>
      </c>
      <c r="F40" s="17" t="n">
        <v>0.76</v>
      </c>
      <c r="G40" s="12" t="s">
        <v>159</v>
      </c>
      <c r="H40" s="10" t="s">
        <v>35</v>
      </c>
      <c r="I40" s="10" t="s">
        <v>35</v>
      </c>
      <c r="J40" s="12" t="s">
        <v>156</v>
      </c>
    </row>
    <row r="41" customFormat="false" ht="15" hidden="false" customHeight="false" outlineLevel="0" collapsed="false">
      <c r="A41" s="9" t="s">
        <v>160</v>
      </c>
      <c r="B41" s="10" t="s">
        <v>161</v>
      </c>
      <c r="C41" s="10" t="s">
        <v>54</v>
      </c>
      <c r="D41" s="17" t="n">
        <v>0.5</v>
      </c>
      <c r="E41" s="17" t="n">
        <v>0.58</v>
      </c>
      <c r="F41" s="17" t="n">
        <v>0.64</v>
      </c>
      <c r="G41" s="12" t="s">
        <v>162</v>
      </c>
      <c r="H41" s="10" t="s">
        <v>35</v>
      </c>
      <c r="I41" s="10" t="s">
        <v>35</v>
      </c>
      <c r="J41" s="12" t="s">
        <v>163</v>
      </c>
    </row>
    <row r="42" customFormat="false" ht="22.35" hidden="false" customHeight="false" outlineLevel="0" collapsed="false">
      <c r="A42" s="9" t="s">
        <v>164</v>
      </c>
      <c r="B42" s="10" t="s">
        <v>165</v>
      </c>
      <c r="C42" s="10" t="s">
        <v>54</v>
      </c>
      <c r="D42" s="14" t="n">
        <v>0.26</v>
      </c>
      <c r="E42" s="14" t="n">
        <v>0.36</v>
      </c>
      <c r="F42" s="14" t="n">
        <v>0.45</v>
      </c>
      <c r="G42" s="12" t="s">
        <v>166</v>
      </c>
      <c r="H42" s="10" t="s">
        <v>35</v>
      </c>
      <c r="I42" s="10" t="s">
        <v>34</v>
      </c>
      <c r="J42" s="12" t="s">
        <v>167</v>
      </c>
    </row>
    <row r="43" customFormat="false" ht="15" hidden="false" customHeight="false" outlineLevel="0" collapsed="false">
      <c r="A43" s="9" t="s">
        <v>168</v>
      </c>
      <c r="B43" s="10" t="s">
        <v>169</v>
      </c>
      <c r="C43" s="10" t="s">
        <v>54</v>
      </c>
      <c r="D43" s="23" t="n">
        <v>0.015</v>
      </c>
      <c r="E43" s="17" t="n">
        <v>0.025</v>
      </c>
      <c r="F43" s="17" t="n">
        <v>0.035</v>
      </c>
      <c r="G43" s="12" t="s">
        <v>170</v>
      </c>
      <c r="H43" s="10" t="s">
        <v>35</v>
      </c>
      <c r="I43" s="10" t="s">
        <v>35</v>
      </c>
      <c r="J43" s="12" t="s">
        <v>167</v>
      </c>
    </row>
    <row r="44" customFormat="false" ht="15" hidden="false" customHeight="false" outlineLevel="0" collapsed="false">
      <c r="A44" s="9" t="s">
        <v>171</v>
      </c>
      <c r="B44" s="10" t="s">
        <v>172</v>
      </c>
      <c r="C44" s="10" t="s">
        <v>54</v>
      </c>
      <c r="D44" s="17" t="n">
        <v>0.7</v>
      </c>
      <c r="E44" s="17" t="n">
        <v>0.82</v>
      </c>
      <c r="F44" s="17" t="n">
        <v>0.88</v>
      </c>
      <c r="G44" s="12" t="s">
        <v>173</v>
      </c>
      <c r="H44" s="10" t="s">
        <v>35</v>
      </c>
      <c r="I44" s="10" t="s">
        <v>35</v>
      </c>
      <c r="J44" s="12" t="s">
        <v>174</v>
      </c>
    </row>
    <row r="45" customFormat="false" ht="15" hidden="false" customHeight="false" outlineLevel="0" collapsed="false">
      <c r="A45" s="9" t="s">
        <v>175</v>
      </c>
      <c r="B45" s="10" t="s">
        <v>176</v>
      </c>
      <c r="C45" s="10" t="s">
        <v>54</v>
      </c>
      <c r="D45" s="14" t="n">
        <v>0.48</v>
      </c>
      <c r="E45" s="14" t="n">
        <v>0.56</v>
      </c>
      <c r="F45" s="14" t="n">
        <v>0.62</v>
      </c>
      <c r="G45" s="12" t="s">
        <v>177</v>
      </c>
      <c r="H45" s="10" t="s">
        <v>35</v>
      </c>
      <c r="I45" s="10" t="s">
        <v>34</v>
      </c>
      <c r="J45" s="12" t="s">
        <v>156</v>
      </c>
    </row>
    <row r="46" customFormat="false" ht="15" hidden="false" customHeight="false" outlineLevel="0" collapsed="false">
      <c r="A46" s="9" t="s">
        <v>178</v>
      </c>
      <c r="B46" s="10" t="s">
        <v>179</v>
      </c>
      <c r="C46" s="10" t="s">
        <v>54</v>
      </c>
      <c r="D46" s="17" t="n">
        <v>0.76</v>
      </c>
      <c r="E46" s="17" t="n">
        <v>0.83</v>
      </c>
      <c r="F46" s="17" t="n">
        <v>0.88</v>
      </c>
      <c r="G46" s="12" t="s">
        <v>180</v>
      </c>
      <c r="H46" s="10" t="s">
        <v>35</v>
      </c>
      <c r="I46" s="10" t="s">
        <v>35</v>
      </c>
      <c r="J46" s="12" t="s">
        <v>181</v>
      </c>
    </row>
    <row r="47" customFormat="false" ht="22.35" hidden="false" customHeight="false" outlineLevel="0" collapsed="false">
      <c r="A47" s="9" t="s">
        <v>182</v>
      </c>
      <c r="B47" s="10" t="s">
        <v>183</v>
      </c>
      <c r="C47" s="10" t="s">
        <v>54</v>
      </c>
      <c r="D47" s="14" t="n">
        <v>0.55</v>
      </c>
      <c r="E47" s="14" t="n">
        <v>0.62</v>
      </c>
      <c r="F47" s="14" t="n">
        <v>0.68</v>
      </c>
      <c r="G47" s="12" t="s">
        <v>184</v>
      </c>
      <c r="H47" s="10" t="s">
        <v>56</v>
      </c>
      <c r="I47" s="10" t="s">
        <v>34</v>
      </c>
      <c r="J47" s="12" t="s">
        <v>185</v>
      </c>
    </row>
    <row r="48" customFormat="false" ht="15" hidden="false" customHeight="false" outlineLevel="0" collapsed="false">
      <c r="A48" s="9" t="s">
        <v>186</v>
      </c>
      <c r="B48" s="10" t="s">
        <v>187</v>
      </c>
      <c r="C48" s="10" t="s">
        <v>54</v>
      </c>
      <c r="D48" s="14" t="n">
        <v>0.58</v>
      </c>
      <c r="E48" s="14" t="n">
        <v>0.66</v>
      </c>
      <c r="F48" s="14" t="n">
        <v>0.7</v>
      </c>
      <c r="G48" s="12" t="s">
        <v>188</v>
      </c>
      <c r="H48" s="10" t="s">
        <v>35</v>
      </c>
      <c r="I48" s="10" t="s">
        <v>34</v>
      </c>
      <c r="J48" s="12" t="s">
        <v>156</v>
      </c>
    </row>
    <row r="49" customFormat="false" ht="22.35" hidden="false" customHeight="false" outlineLevel="0" collapsed="false">
      <c r="A49" s="9" t="s">
        <v>189</v>
      </c>
      <c r="B49" s="10" t="s">
        <v>190</v>
      </c>
      <c r="C49" s="10" t="s">
        <v>54</v>
      </c>
      <c r="D49" s="14" t="n">
        <v>0.13</v>
      </c>
      <c r="E49" s="14" t="n">
        <v>0.11</v>
      </c>
      <c r="F49" s="14" t="n">
        <v>0.095</v>
      </c>
      <c r="G49" s="12" t="s">
        <v>191</v>
      </c>
      <c r="H49" s="10" t="s">
        <v>35</v>
      </c>
      <c r="I49" s="10" t="s">
        <v>34</v>
      </c>
      <c r="J49" s="12" t="s">
        <v>192</v>
      </c>
    </row>
    <row r="50" customFormat="false" ht="15" hidden="false" customHeight="false" outlineLevel="0" collapsed="false">
      <c r="A50" s="7" t="s">
        <v>193</v>
      </c>
      <c r="B50" s="8"/>
      <c r="C50" s="8"/>
      <c r="D50" s="8"/>
      <c r="E50" s="8"/>
      <c r="F50" s="8"/>
      <c r="G50" s="8"/>
      <c r="H50" s="8"/>
      <c r="I50" s="8"/>
      <c r="J50" s="8"/>
    </row>
    <row r="51" customFormat="false" ht="15" hidden="false" customHeight="false" outlineLevel="0" collapsed="false">
      <c r="A51" s="9" t="s">
        <v>194</v>
      </c>
      <c r="B51" s="10" t="s">
        <v>195</v>
      </c>
      <c r="C51" s="10" t="s">
        <v>90</v>
      </c>
      <c r="D51" s="20" t="n">
        <v>199</v>
      </c>
      <c r="E51" s="20" t="n">
        <v>249</v>
      </c>
      <c r="F51" s="20" t="n">
        <v>299</v>
      </c>
      <c r="G51" s="12" t="s">
        <v>196</v>
      </c>
      <c r="H51" s="10" t="s">
        <v>35</v>
      </c>
      <c r="I51" s="10" t="s">
        <v>34</v>
      </c>
      <c r="J51" s="12" t="s">
        <v>197</v>
      </c>
    </row>
    <row r="52" customFormat="false" ht="22.35" hidden="false" customHeight="false" outlineLevel="0" collapsed="false">
      <c r="A52" s="9" t="s">
        <v>198</v>
      </c>
      <c r="B52" s="10" t="s">
        <v>199</v>
      </c>
      <c r="C52" s="10" t="s">
        <v>90</v>
      </c>
      <c r="D52" s="19" t="n">
        <v>49</v>
      </c>
      <c r="E52" s="19" t="n">
        <v>59</v>
      </c>
      <c r="F52" s="19" t="n">
        <v>79</v>
      </c>
      <c r="G52" s="12" t="s">
        <v>200</v>
      </c>
      <c r="H52" s="10" t="s">
        <v>35</v>
      </c>
      <c r="I52" s="10" t="s">
        <v>35</v>
      </c>
      <c r="J52" s="12" t="s">
        <v>201</v>
      </c>
    </row>
    <row r="53" customFormat="false" ht="15" hidden="false" customHeight="false" outlineLevel="0" collapsed="false">
      <c r="A53" s="7" t="s">
        <v>202</v>
      </c>
      <c r="B53" s="8"/>
      <c r="C53" s="8"/>
      <c r="D53" s="8"/>
      <c r="E53" s="8"/>
      <c r="F53" s="8"/>
      <c r="G53" s="8"/>
      <c r="H53" s="8"/>
      <c r="I53" s="8"/>
      <c r="J53" s="8"/>
    </row>
    <row r="54" customFormat="false" ht="15" hidden="false" customHeight="false" outlineLevel="0" collapsed="false">
      <c r="A54" s="9" t="s">
        <v>203</v>
      </c>
      <c r="B54" s="10" t="s">
        <v>204</v>
      </c>
      <c r="C54" s="10" t="s">
        <v>90</v>
      </c>
      <c r="D54" s="20" t="n">
        <v>105</v>
      </c>
      <c r="E54" s="20" t="n">
        <v>88</v>
      </c>
      <c r="F54" s="20" t="n">
        <v>75</v>
      </c>
      <c r="G54" s="12" t="s">
        <v>205</v>
      </c>
      <c r="H54" s="10" t="s">
        <v>56</v>
      </c>
      <c r="I54" s="10" t="s">
        <v>34</v>
      </c>
      <c r="J54" s="12" t="s">
        <v>206</v>
      </c>
    </row>
    <row r="55" customFormat="false" ht="15" hidden="false" customHeight="false" outlineLevel="0" collapsed="false">
      <c r="A55" s="9" t="s">
        <v>207</v>
      </c>
      <c r="B55" s="10" t="s">
        <v>208</v>
      </c>
      <c r="C55" s="10" t="s">
        <v>90</v>
      </c>
      <c r="D55" s="19" t="n">
        <v>45</v>
      </c>
      <c r="E55" s="19" t="n">
        <v>38</v>
      </c>
      <c r="F55" s="19" t="n">
        <v>32</v>
      </c>
      <c r="G55" s="12" t="s">
        <v>209</v>
      </c>
      <c r="H55" s="10" t="s">
        <v>35</v>
      </c>
      <c r="I55" s="10" t="s">
        <v>35</v>
      </c>
      <c r="J55" s="12" t="s">
        <v>210</v>
      </c>
    </row>
    <row r="56" customFormat="false" ht="15" hidden="false" customHeight="false" outlineLevel="0" collapsed="false">
      <c r="A56" s="9" t="s">
        <v>211</v>
      </c>
      <c r="B56" s="10" t="s">
        <v>212</v>
      </c>
      <c r="C56" s="10" t="s">
        <v>90</v>
      </c>
      <c r="D56" s="19" t="n">
        <v>10</v>
      </c>
      <c r="E56" s="19" t="n">
        <v>8</v>
      </c>
      <c r="F56" s="22" t="n">
        <v>6.5</v>
      </c>
      <c r="G56" s="12" t="s">
        <v>213</v>
      </c>
      <c r="H56" s="10" t="s">
        <v>35</v>
      </c>
      <c r="I56" s="10" t="s">
        <v>35</v>
      </c>
      <c r="J56" s="12" t="s">
        <v>210</v>
      </c>
    </row>
    <row r="57" customFormat="false" ht="22.35" hidden="false" customHeight="false" outlineLevel="0" collapsed="false">
      <c r="A57" s="9" t="s">
        <v>214</v>
      </c>
      <c r="B57" s="10" t="s">
        <v>215</v>
      </c>
      <c r="C57" s="10" t="s">
        <v>90</v>
      </c>
      <c r="D57" s="20" t="n">
        <v>22</v>
      </c>
      <c r="E57" s="20" t="n">
        <v>18</v>
      </c>
      <c r="F57" s="20" t="n">
        <v>15</v>
      </c>
      <c r="G57" s="12" t="s">
        <v>216</v>
      </c>
      <c r="H57" s="10" t="s">
        <v>35</v>
      </c>
      <c r="I57" s="10" t="s">
        <v>34</v>
      </c>
      <c r="J57" s="12" t="s">
        <v>217</v>
      </c>
    </row>
    <row r="58" customFormat="false" ht="15" hidden="false" customHeight="false" outlineLevel="0" collapsed="false">
      <c r="A58" s="9" t="s">
        <v>218</v>
      </c>
      <c r="B58" s="10" t="s">
        <v>219</v>
      </c>
      <c r="C58" s="10" t="s">
        <v>90</v>
      </c>
      <c r="D58" s="19" t="n">
        <v>6</v>
      </c>
      <c r="E58" s="22" t="n">
        <v>4.5</v>
      </c>
      <c r="F58" s="22" t="n">
        <v>3.5</v>
      </c>
      <c r="G58" s="12" t="s">
        <v>220</v>
      </c>
      <c r="H58" s="10" t="s">
        <v>35</v>
      </c>
      <c r="I58" s="10" t="s">
        <v>56</v>
      </c>
      <c r="J58" s="12" t="s">
        <v>221</v>
      </c>
    </row>
    <row r="59" customFormat="false" ht="15" hidden="false" customHeight="false" outlineLevel="0" collapsed="false">
      <c r="A59" s="7" t="s">
        <v>222</v>
      </c>
      <c r="B59" s="8"/>
      <c r="C59" s="8"/>
      <c r="D59" s="8"/>
      <c r="E59" s="8"/>
      <c r="F59" s="8"/>
      <c r="G59" s="8"/>
      <c r="H59" s="8"/>
      <c r="I59" s="8"/>
      <c r="J59" s="8"/>
    </row>
    <row r="60" customFormat="false" ht="22.35" hidden="false" customHeight="false" outlineLevel="0" collapsed="false">
      <c r="A60" s="9" t="s">
        <v>223</v>
      </c>
      <c r="B60" s="10" t="s">
        <v>224</v>
      </c>
      <c r="C60" s="10" t="s">
        <v>54</v>
      </c>
      <c r="D60" s="17" t="n">
        <v>0.032</v>
      </c>
      <c r="E60" s="17" t="n">
        <v>0.029</v>
      </c>
      <c r="F60" s="17" t="n">
        <v>0.027</v>
      </c>
      <c r="G60" s="12" t="s">
        <v>225</v>
      </c>
      <c r="H60" s="10" t="s">
        <v>34</v>
      </c>
      <c r="I60" s="10" t="s">
        <v>35</v>
      </c>
      <c r="J60" s="12" t="s">
        <v>226</v>
      </c>
    </row>
    <row r="61" customFormat="false" ht="15" hidden="false" customHeight="false" outlineLevel="0" collapsed="false">
      <c r="A61" s="9" t="s">
        <v>227</v>
      </c>
      <c r="B61" s="10" t="s">
        <v>228</v>
      </c>
      <c r="C61" s="10" t="s">
        <v>54</v>
      </c>
      <c r="D61" s="17" t="n">
        <v>0.04</v>
      </c>
      <c r="E61" s="17" t="n">
        <v>0.03</v>
      </c>
      <c r="F61" s="17" t="n">
        <v>0.022</v>
      </c>
      <c r="G61" s="12" t="s">
        <v>229</v>
      </c>
      <c r="H61" s="10" t="s">
        <v>35</v>
      </c>
      <c r="I61" s="10" t="s">
        <v>35</v>
      </c>
      <c r="J61" s="12" t="s">
        <v>230</v>
      </c>
    </row>
    <row r="62" customFormat="false" ht="15" hidden="false" customHeight="false" outlineLevel="0" collapsed="false">
      <c r="A62" s="7" t="s">
        <v>231</v>
      </c>
      <c r="B62" s="8"/>
      <c r="C62" s="8"/>
      <c r="D62" s="8"/>
      <c r="E62" s="8"/>
      <c r="F62" s="8"/>
      <c r="G62" s="8"/>
      <c r="H62" s="8"/>
      <c r="I62" s="8"/>
      <c r="J62" s="8"/>
    </row>
    <row r="63" customFormat="false" ht="43.25" hidden="false" customHeight="false" outlineLevel="0" collapsed="false">
      <c r="A63" s="9" t="s">
        <v>232</v>
      </c>
      <c r="B63" s="10" t="s">
        <v>233</v>
      </c>
      <c r="C63" s="10" t="s">
        <v>90</v>
      </c>
      <c r="D63" s="19" t="n">
        <v>600</v>
      </c>
      <c r="E63" s="19" t="n">
        <v>600</v>
      </c>
      <c r="F63" s="19" t="n">
        <v>600</v>
      </c>
      <c r="G63" s="12" t="s">
        <v>234</v>
      </c>
      <c r="H63" s="10" t="s">
        <v>56</v>
      </c>
      <c r="I63" s="10" t="s">
        <v>35</v>
      </c>
      <c r="J63" s="12" t="s">
        <v>235</v>
      </c>
    </row>
    <row r="64" customFormat="false" ht="22.35" hidden="false" customHeight="false" outlineLevel="0" collapsed="false">
      <c r="A64" s="9" t="s">
        <v>236</v>
      </c>
      <c r="B64" s="10" t="s">
        <v>237</v>
      </c>
      <c r="C64" s="10" t="s">
        <v>90</v>
      </c>
      <c r="D64" s="19" t="n">
        <v>320</v>
      </c>
      <c r="E64" s="19" t="n">
        <v>280</v>
      </c>
      <c r="F64" s="19" t="n">
        <v>260</v>
      </c>
      <c r="G64" s="12" t="s">
        <v>238</v>
      </c>
      <c r="H64" s="10" t="s">
        <v>35</v>
      </c>
      <c r="I64" s="10" t="s">
        <v>56</v>
      </c>
      <c r="J64" s="12" t="s">
        <v>239</v>
      </c>
    </row>
    <row r="65" customFormat="false" ht="32.8" hidden="false" customHeight="false" outlineLevel="0" collapsed="false">
      <c r="A65" s="9" t="s">
        <v>240</v>
      </c>
      <c r="B65" s="10" t="s">
        <v>241</v>
      </c>
      <c r="C65" s="10" t="s">
        <v>90</v>
      </c>
      <c r="D65" s="19" t="n">
        <v>8000</v>
      </c>
      <c r="E65" s="19" t="n">
        <v>18000</v>
      </c>
      <c r="F65" s="19" t="n">
        <v>25000</v>
      </c>
      <c r="G65" s="12" t="s">
        <v>242</v>
      </c>
      <c r="H65" s="10" t="s">
        <v>35</v>
      </c>
      <c r="I65" s="10" t="s">
        <v>35</v>
      </c>
      <c r="J65" s="12" t="s">
        <v>243</v>
      </c>
    </row>
    <row r="66" customFormat="false" ht="15" hidden="false" customHeight="false" outlineLevel="0" collapsed="false">
      <c r="A66" s="9" t="s">
        <v>244</v>
      </c>
      <c r="B66" s="10" t="s">
        <v>245</v>
      </c>
      <c r="C66" s="10" t="s">
        <v>90</v>
      </c>
      <c r="D66" s="19" t="n">
        <v>16000</v>
      </c>
      <c r="E66" s="19" t="n">
        <v>45000</v>
      </c>
      <c r="F66" s="19" t="n">
        <v>70000</v>
      </c>
      <c r="G66" s="12" t="s">
        <v>246</v>
      </c>
      <c r="H66" s="10" t="s">
        <v>35</v>
      </c>
      <c r="I66" s="10" t="s">
        <v>35</v>
      </c>
      <c r="J66" s="12" t="s">
        <v>243</v>
      </c>
    </row>
    <row r="67" customFormat="false" ht="32.8" hidden="false" customHeight="false" outlineLevel="0" collapsed="false">
      <c r="A67" s="9" t="s">
        <v>247</v>
      </c>
      <c r="B67" s="10" t="s">
        <v>248</v>
      </c>
      <c r="C67" s="10" t="s">
        <v>90</v>
      </c>
      <c r="D67" s="19" t="n">
        <v>24000</v>
      </c>
      <c r="E67" s="19" t="n">
        <v>62000</v>
      </c>
      <c r="F67" s="19" t="n">
        <v>140000</v>
      </c>
      <c r="G67" s="12" t="s">
        <v>249</v>
      </c>
      <c r="H67" s="10" t="s">
        <v>56</v>
      </c>
      <c r="I67" s="10" t="s">
        <v>35</v>
      </c>
      <c r="J67" s="12" t="s">
        <v>243</v>
      </c>
    </row>
    <row r="68" customFormat="false" ht="15" hidden="false" customHeight="false" outlineLevel="0" collapsed="false">
      <c r="A68" s="9" t="s">
        <v>250</v>
      </c>
      <c r="B68" s="10" t="s">
        <v>251</v>
      </c>
      <c r="C68" s="10" t="s">
        <v>90</v>
      </c>
      <c r="D68" s="19" t="n">
        <v>32000</v>
      </c>
      <c r="E68" s="19" t="n">
        <v>92000</v>
      </c>
      <c r="F68" s="19" t="n">
        <v>230000</v>
      </c>
      <c r="G68" s="12"/>
      <c r="H68" s="10" t="s">
        <v>56</v>
      </c>
      <c r="I68" s="10" t="s">
        <v>35</v>
      </c>
      <c r="J68" s="12" t="s">
        <v>243</v>
      </c>
    </row>
    <row r="69" customFormat="false" ht="15" hidden="false" customHeight="false" outlineLevel="0" collapsed="false">
      <c r="A69" s="9" t="s">
        <v>252</v>
      </c>
      <c r="B69" s="10" t="s">
        <v>253</v>
      </c>
      <c r="C69" s="10" t="s">
        <v>90</v>
      </c>
      <c r="D69" s="19" t="n">
        <v>5000</v>
      </c>
      <c r="E69" s="19" t="n">
        <v>9000</v>
      </c>
      <c r="F69" s="19" t="n">
        <v>14000</v>
      </c>
      <c r="G69" s="12" t="s">
        <v>254</v>
      </c>
      <c r="H69" s="10" t="s">
        <v>35</v>
      </c>
      <c r="I69" s="10" t="s">
        <v>56</v>
      </c>
      <c r="J69" s="12" t="s">
        <v>255</v>
      </c>
    </row>
    <row r="70" customFormat="false" ht="15" hidden="false" customHeight="false" outlineLevel="0" collapsed="false">
      <c r="A70" s="9" t="s">
        <v>256</v>
      </c>
      <c r="B70" s="10" t="s">
        <v>257</v>
      </c>
      <c r="C70" s="10" t="s">
        <v>90</v>
      </c>
      <c r="D70" s="19" t="n">
        <v>1500</v>
      </c>
      <c r="E70" s="19" t="n">
        <v>2500</v>
      </c>
      <c r="F70" s="19" t="n">
        <v>4000</v>
      </c>
      <c r="G70" s="12" t="s">
        <v>258</v>
      </c>
      <c r="H70" s="10" t="s">
        <v>34</v>
      </c>
      <c r="I70" s="10" t="s">
        <v>56</v>
      </c>
      <c r="J70" s="12" t="s">
        <v>259</v>
      </c>
    </row>
    <row r="71" customFormat="false" ht="22.35" hidden="false" customHeight="false" outlineLevel="0" collapsed="false">
      <c r="A71" s="9" t="s">
        <v>260</v>
      </c>
      <c r="B71" s="10" t="s">
        <v>261</v>
      </c>
      <c r="C71" s="10" t="s">
        <v>90</v>
      </c>
      <c r="D71" s="19" t="n">
        <v>14000</v>
      </c>
      <c r="E71" s="19" t="n">
        <v>25000</v>
      </c>
      <c r="F71" s="19" t="n">
        <v>32000</v>
      </c>
      <c r="G71" s="12" t="s">
        <v>262</v>
      </c>
      <c r="H71" s="10" t="s">
        <v>35</v>
      </c>
      <c r="I71" s="10" t="s">
        <v>56</v>
      </c>
      <c r="J71" s="12" t="s">
        <v>263</v>
      </c>
    </row>
    <row r="72" customFormat="false" ht="15" hidden="false" customHeight="false" outlineLevel="0" collapsed="false">
      <c r="A72" s="9" t="s">
        <v>264</v>
      </c>
      <c r="B72" s="10" t="s">
        <v>265</v>
      </c>
      <c r="C72" s="10" t="s">
        <v>90</v>
      </c>
      <c r="D72" s="19" t="n">
        <v>4000</v>
      </c>
      <c r="E72" s="19" t="n">
        <v>9000</v>
      </c>
      <c r="F72" s="19" t="n">
        <v>12000</v>
      </c>
      <c r="G72" s="12" t="s">
        <v>266</v>
      </c>
      <c r="H72" s="10" t="s">
        <v>35</v>
      </c>
      <c r="I72" s="10" t="s">
        <v>35</v>
      </c>
      <c r="J72" s="12" t="s">
        <v>263</v>
      </c>
    </row>
    <row r="73" customFormat="false" ht="15" hidden="false" customHeight="false" outlineLevel="0" collapsed="false">
      <c r="A73" s="9" t="s">
        <v>267</v>
      </c>
      <c r="B73" s="10" t="s">
        <v>268</v>
      </c>
      <c r="C73" s="10" t="s">
        <v>90</v>
      </c>
      <c r="D73" s="19" t="n">
        <v>2000</v>
      </c>
      <c r="E73" s="19" t="n">
        <v>3500</v>
      </c>
      <c r="F73" s="19" t="n">
        <v>5000</v>
      </c>
      <c r="G73" s="12" t="s">
        <v>269</v>
      </c>
      <c r="H73" s="10" t="s">
        <v>35</v>
      </c>
      <c r="I73" s="10" t="s">
        <v>56</v>
      </c>
      <c r="J73" s="12" t="s">
        <v>270</v>
      </c>
    </row>
    <row r="74" customFormat="false" ht="15" hidden="false" customHeight="false" outlineLevel="0" collapsed="false">
      <c r="A74" s="9" t="s">
        <v>271</v>
      </c>
      <c r="B74" s="10" t="s">
        <v>272</v>
      </c>
      <c r="C74" s="10" t="s">
        <v>90</v>
      </c>
      <c r="D74" s="19" t="n">
        <v>4500</v>
      </c>
      <c r="E74" s="19" t="n">
        <v>12000</v>
      </c>
      <c r="F74" s="19" t="n">
        <v>26000</v>
      </c>
      <c r="G74" s="12" t="s">
        <v>273</v>
      </c>
      <c r="H74" s="10" t="s">
        <v>35</v>
      </c>
      <c r="I74" s="10" t="s">
        <v>35</v>
      </c>
      <c r="J74" s="12" t="s">
        <v>274</v>
      </c>
    </row>
    <row r="75" customFormat="false" ht="15" hidden="false" customHeight="false" outlineLevel="0" collapsed="false">
      <c r="A75" s="7" t="s">
        <v>275</v>
      </c>
      <c r="B75" s="8"/>
      <c r="C75" s="8"/>
      <c r="D75" s="8"/>
      <c r="E75" s="8"/>
      <c r="F75" s="8"/>
      <c r="G75" s="8"/>
      <c r="H75" s="8"/>
      <c r="I75" s="8"/>
      <c r="J75" s="8"/>
    </row>
    <row r="76" customFormat="false" ht="22.35" hidden="false" customHeight="false" outlineLevel="0" collapsed="false">
      <c r="A76" s="9" t="s">
        <v>276</v>
      </c>
      <c r="B76" s="10" t="s">
        <v>277</v>
      </c>
      <c r="C76" s="10" t="s">
        <v>90</v>
      </c>
      <c r="D76" s="20" t="n">
        <v>0</v>
      </c>
      <c r="E76" s="20" t="n">
        <v>15000</v>
      </c>
      <c r="F76" s="20" t="n">
        <v>25000</v>
      </c>
      <c r="G76" s="12" t="s">
        <v>278</v>
      </c>
      <c r="H76" s="10" t="s">
        <v>50</v>
      </c>
      <c r="I76" s="10" t="s">
        <v>34</v>
      </c>
      <c r="J76" s="12" t="s">
        <v>279</v>
      </c>
    </row>
    <row r="77" customFormat="false" ht="22.35" hidden="false" customHeight="false" outlineLevel="0" collapsed="false">
      <c r="A77" s="9" t="s">
        <v>280</v>
      </c>
      <c r="B77" s="10" t="s">
        <v>281</v>
      </c>
      <c r="C77" s="10" t="s">
        <v>54</v>
      </c>
      <c r="D77" s="14" t="n">
        <v>0.05</v>
      </c>
      <c r="E77" s="14" t="n">
        <v>0.05</v>
      </c>
      <c r="F77" s="14" t="n">
        <v>0.05</v>
      </c>
      <c r="G77" s="12" t="s">
        <v>282</v>
      </c>
      <c r="H77" s="10" t="s">
        <v>50</v>
      </c>
      <c r="I77" s="10" t="s">
        <v>34</v>
      </c>
      <c r="J77" s="12" t="s">
        <v>279</v>
      </c>
    </row>
    <row r="78" customFormat="false" ht="15" hidden="false" customHeight="false" outlineLevel="0" collapsed="false">
      <c r="A78" s="9" t="s">
        <v>283</v>
      </c>
      <c r="B78" s="10" t="s">
        <v>284</v>
      </c>
      <c r="C78" s="10" t="s">
        <v>54</v>
      </c>
      <c r="D78" s="17" t="n">
        <v>0.1</v>
      </c>
      <c r="E78" s="17" t="n">
        <v>0.15</v>
      </c>
      <c r="F78" s="17" t="n">
        <v>0.2</v>
      </c>
      <c r="G78" s="12" t="s">
        <v>285</v>
      </c>
      <c r="H78" s="10" t="s">
        <v>50</v>
      </c>
      <c r="I78" s="10" t="s">
        <v>50</v>
      </c>
      <c r="J78" s="12" t="s">
        <v>279</v>
      </c>
    </row>
    <row r="79" customFormat="false" ht="15" hidden="false" customHeight="false" outlineLevel="0" collapsed="false">
      <c r="A79" s="7" t="s">
        <v>286</v>
      </c>
      <c r="B79" s="8"/>
      <c r="C79" s="8"/>
      <c r="D79" s="8"/>
      <c r="E79" s="8"/>
      <c r="F79" s="8"/>
      <c r="G79" s="8"/>
      <c r="H79" s="8"/>
      <c r="I79" s="8"/>
      <c r="J79" s="8"/>
    </row>
    <row r="80" customFormat="false" ht="22.35" hidden="false" customHeight="false" outlineLevel="0" collapsed="false">
      <c r="A80" s="9" t="s">
        <v>287</v>
      </c>
      <c r="B80" s="10" t="s">
        <v>288</v>
      </c>
      <c r="C80" s="10" t="s">
        <v>289</v>
      </c>
      <c r="D80" s="24" t="n">
        <v>2.5</v>
      </c>
      <c r="E80" s="24" t="n">
        <v>2</v>
      </c>
      <c r="F80" s="24" t="n">
        <v>2</v>
      </c>
      <c r="G80" s="12" t="s">
        <v>290</v>
      </c>
      <c r="H80" s="10" t="s">
        <v>35</v>
      </c>
      <c r="I80" s="10" t="s">
        <v>35</v>
      </c>
      <c r="J80" s="12" t="s">
        <v>291</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4" min="2" style="0" width="20"/>
  </cols>
  <sheetData>
    <row r="1" customFormat="false" ht="17.35" hidden="false" customHeight="false" outlineLevel="0" collapsed="false">
      <c r="A1" s="4" t="s">
        <v>292</v>
      </c>
    </row>
    <row r="2" customFormat="false" ht="43.5" hidden="false" customHeight="true" outlineLevel="0" collapsed="false">
      <c r="A2" s="5" t="s">
        <v>293</v>
      </c>
      <c r="B2" s="5"/>
      <c r="C2" s="5"/>
      <c r="D2" s="5"/>
      <c r="E2" s="5"/>
    </row>
    <row r="4" customFormat="false" ht="15" hidden="false" customHeight="false" outlineLevel="0" collapsed="false">
      <c r="A4" s="25" t="s">
        <v>294</v>
      </c>
      <c r="B4" s="25" t="s">
        <v>22</v>
      </c>
      <c r="C4" s="25" t="s">
        <v>23</v>
      </c>
      <c r="D4" s="25" t="s">
        <v>24</v>
      </c>
    </row>
    <row r="5" customFormat="false" ht="15" hidden="false" customHeight="false" outlineLevel="0" collapsed="false">
      <c r="A5" s="26" t="s">
        <v>295</v>
      </c>
      <c r="B5" s="27" t="n">
        <f aca="false">SUM(Model_Conservative!C60:N60)</f>
        <v>128902.31016786</v>
      </c>
      <c r="C5" s="27" t="n">
        <f aca="false">SUM(Model_Baseline!C60:N60)</f>
        <v>1837396.51097657</v>
      </c>
      <c r="D5" s="27" t="n">
        <f aca="false">SUM(Model_Aggressive!C60:N60)</f>
        <v>15330884.9264828</v>
      </c>
    </row>
    <row r="6" customFormat="false" ht="15" hidden="false" customHeight="false" outlineLevel="0" collapsed="false">
      <c r="A6" s="26" t="s">
        <v>296</v>
      </c>
      <c r="B6" s="27" t="n">
        <f aca="false">SUM(Model_Conservative!O60:Z60)</f>
        <v>243504.426961267</v>
      </c>
      <c r="C6" s="27" t="n">
        <f aca="false">SUM(Model_Baseline!O60:Z60)</f>
        <v>4069835.84879968</v>
      </c>
      <c r="D6" s="27" t="n">
        <f aca="false">SUM(Model_Aggressive!O60:Z60)</f>
        <v>62800309.20679</v>
      </c>
    </row>
    <row r="7" customFormat="false" ht="15" hidden="false" customHeight="false" outlineLevel="0" collapsed="false">
      <c r="A7" s="26" t="s">
        <v>297</v>
      </c>
      <c r="B7" s="27" t="n">
        <f aca="false">SUM(Model_Conservative!AA60:AL60)</f>
        <v>352473.954465451</v>
      </c>
      <c r="C7" s="27" t="n">
        <f aca="false">SUM(Model_Baseline!AA60:AL60)</f>
        <v>7063186.24377509</v>
      </c>
      <c r="D7" s="27" t="n">
        <f aca="false">SUM(Model_Aggressive!AA60:AL60)</f>
        <v>138548426.690904</v>
      </c>
    </row>
    <row r="8" customFormat="false" ht="15" hidden="false" customHeight="false" outlineLevel="0" collapsed="false">
      <c r="A8" s="26" t="s">
        <v>298</v>
      </c>
      <c r="B8" s="27" t="n">
        <f aca="false">SUM(Model_Conservative!C60:AL60)</f>
        <v>724880.691594578</v>
      </c>
      <c r="C8" s="27" t="n">
        <f aca="false">SUM(Model_Baseline!C60:AL60)</f>
        <v>12970418.6035513</v>
      </c>
      <c r="D8" s="27" t="n">
        <f aca="false">SUM(Model_Aggressive!C60:AL60)</f>
        <v>216679620.824177</v>
      </c>
    </row>
    <row r="10" customFormat="false" ht="15" hidden="false" customHeight="false" outlineLevel="0" collapsed="false">
      <c r="A10" s="26" t="s">
        <v>299</v>
      </c>
      <c r="B10" s="27" t="n">
        <f aca="false">SUM(Model_Conservative!AA61:AL61)</f>
        <v>170760.355925379</v>
      </c>
      <c r="C10" s="27" t="n">
        <f aca="false">SUM(Model_Baseline!AA61:AL61)</f>
        <v>3999705.84513617</v>
      </c>
      <c r="D10" s="27" t="n">
        <f aca="false">SUM(Model_Aggressive!AA61:AL61)</f>
        <v>90678494.9990535</v>
      </c>
    </row>
    <row r="11" customFormat="false" ht="15" hidden="false" customHeight="false" outlineLevel="0" collapsed="false">
      <c r="A11" s="26" t="s">
        <v>300</v>
      </c>
      <c r="B11" s="28" t="n">
        <f aca="false">IFERROR(SUM(Model_Conservative!C61:N61)/SUM(Model_Conservative!C60:N60),0)</f>
        <v>0.519593082435204</v>
      </c>
      <c r="C11" s="28" t="n">
        <f aca="false">IFERROR(SUM(Model_Baseline!C61:N61)/SUM(Model_Baseline!C60:N60),0)</f>
        <v>0.593767520180606</v>
      </c>
      <c r="D11" s="28" t="n">
        <f aca="false">IFERROR(SUM(Model_Aggressive!C61:N61)/SUM(Model_Aggressive!C60:N60),0)</f>
        <v>0.660981209061986</v>
      </c>
    </row>
    <row r="12" customFormat="false" ht="15" hidden="false" customHeight="false" outlineLevel="0" collapsed="false">
      <c r="A12" s="26" t="s">
        <v>301</v>
      </c>
      <c r="B12" s="28" t="n">
        <f aca="false">IFERROR(SUM(Model_Conservative!AA61:AL61)/SUM(Model_Conservative!AA60:AL60),0)</f>
        <v>0.484462337605478</v>
      </c>
      <c r="C12" s="28" t="n">
        <f aca="false">IFERROR(SUM(Model_Baseline!AA61:AL61)/SUM(Model_Baseline!AA60:AL60),0)</f>
        <v>0.566275007778704</v>
      </c>
      <c r="D12" s="28" t="n">
        <f aca="false">IFERROR(SUM(Model_Aggressive!AA61:AL61)/SUM(Model_Aggressive!AA60:AL60),0)</f>
        <v>0.65448953239544</v>
      </c>
    </row>
    <row r="13" customFormat="false" ht="15" hidden="false" customHeight="false" outlineLevel="0" collapsed="false">
      <c r="A13" s="26" t="s">
        <v>302</v>
      </c>
      <c r="B13" s="28" t="n">
        <f aca="false">IFERROR(SUM(Model_Conservative!AA35:AL35)/SUM(Model_Conservative!AA31:AL31),0)</f>
        <v>0.525291666666667</v>
      </c>
      <c r="C13" s="28" t="n">
        <f aca="false">IFERROR(SUM(Model_Baseline!AA35:AL35)/SUM(Model_Baseline!AA31:AL31),0)</f>
        <v>0.603831086439334</v>
      </c>
      <c r="D13" s="28" t="n">
        <f aca="false">IFERROR(SUM(Model_Aggressive!AA35:AL35)/SUM(Model_Aggressive!AA31:AL31),0)</f>
        <v>0.672525934188511</v>
      </c>
    </row>
    <row r="14" customFormat="false" ht="15" hidden="false" customHeight="false" outlineLevel="0" collapsed="false">
      <c r="A14" s="26" t="s">
        <v>303</v>
      </c>
      <c r="B14" s="28" t="n">
        <f aca="false">IFERROR(SUM(Model_Conservative!AA58:AL58)/SUM(Model_Conservative!AA51:AL51),0)</f>
        <v>0.222790077884843</v>
      </c>
      <c r="C14" s="28" t="n">
        <f aca="false">IFERROR(SUM(Model_Baseline!AA58:AL58)/SUM(Model_Baseline!AA51:AL51),0)</f>
        <v>0.474333100301373</v>
      </c>
      <c r="D14" s="28" t="n">
        <f aca="false">IFERROR(SUM(Model_Aggressive!AA58:AL58)/SUM(Model_Aggressive!AA51:AL51),0)</f>
        <v>0.629145772379446</v>
      </c>
    </row>
    <row r="16" customFormat="false" ht="15" hidden="false" customHeight="false" outlineLevel="0" collapsed="false">
      <c r="A16" s="26" t="s">
        <v>304</v>
      </c>
      <c r="B16" s="27" t="n">
        <f aca="false">SUM(Model_Conservative!C76:N76)</f>
        <v>-484508.366835256</v>
      </c>
      <c r="C16" s="27" t="n">
        <f aca="false">SUM(Model_Baseline!C76:N76)</f>
        <v>-724853.677244962</v>
      </c>
      <c r="D16" s="27" t="n">
        <f aca="false">SUM(Model_Aggressive!C76:N76)</f>
        <v>4502759.7955372</v>
      </c>
    </row>
    <row r="17" customFormat="false" ht="15" hidden="false" customHeight="false" outlineLevel="0" collapsed="false">
      <c r="A17" s="26" t="s">
        <v>305</v>
      </c>
      <c r="B17" s="27" t="n">
        <f aca="false">SUM(Model_Conservative!O76:Z76)</f>
        <v>-513822.89340591</v>
      </c>
      <c r="C17" s="27" t="n">
        <f aca="false">SUM(Model_Baseline!O76:Z76)</f>
        <v>-158810.553309213</v>
      </c>
      <c r="D17" s="27" t="n">
        <f aca="false">SUM(Model_Aggressive!O76:Z76)</f>
        <v>23728726.6367856</v>
      </c>
    </row>
    <row r="18" customFormat="false" ht="15" hidden="false" customHeight="false" outlineLevel="0" collapsed="false">
      <c r="A18" s="26" t="s">
        <v>306</v>
      </c>
      <c r="B18" s="27" t="n">
        <f aca="false">SUM(Model_Conservative!AA76:AL76)</f>
        <v>-566047.37442258</v>
      </c>
      <c r="C18" s="27" t="n">
        <f aca="false">SUM(Model_Baseline!AA76:AL76)</f>
        <v>298775.529446924</v>
      </c>
      <c r="D18" s="27" t="n">
        <f aca="false">SUM(Model_Aggressive!AA76:AL76)</f>
        <v>54507760.1982508</v>
      </c>
    </row>
    <row r="19" customFormat="false" ht="15" hidden="false" customHeight="false" outlineLevel="0" collapsed="false">
      <c r="A19" s="26" t="s">
        <v>307</v>
      </c>
      <c r="B19" s="28" t="n">
        <f aca="false">IFERROR(SUM(Model_Conservative!AA76:AL76)/SUM(Model_Conservative!AA60:AL60),0)</f>
        <v>-1.60592681317695</v>
      </c>
      <c r="C19" s="28" t="n">
        <f aca="false">IFERROR(SUM(Model_Baseline!AA76:AL76)/SUM(Model_Baseline!AA60:AL60),0)</f>
        <v>0.0423003895317414</v>
      </c>
      <c r="D19" s="28" t="n">
        <f aca="false">IFERROR(SUM(Model_Aggressive!AA76:AL76)/SUM(Model_Aggressive!AA60:AL60),0)</f>
        <v>0.393420275495842</v>
      </c>
    </row>
    <row r="20" customFormat="false" ht="15" hidden="false" customHeight="false" outlineLevel="0" collapsed="false">
      <c r="A20" s="26" t="s">
        <v>308</v>
      </c>
      <c r="B20" s="27" t="n">
        <f aca="false">SUM(Model_Conservative!C76:AL76)</f>
        <v>-1564378.63466375</v>
      </c>
      <c r="C20" s="27" t="n">
        <f aca="false">SUM(Model_Baseline!C76:AL76)</f>
        <v>-584888.701107251</v>
      </c>
      <c r="D20" s="27" t="n">
        <f aca="false">SUM(Model_Aggressive!C76:AL76)</f>
        <v>82739246.6305735</v>
      </c>
    </row>
    <row r="22" customFormat="false" ht="15" hidden="false" customHeight="false" outlineLevel="0" collapsed="false">
      <c r="A22" s="26" t="s">
        <v>309</v>
      </c>
      <c r="B22" s="29" t="str">
        <f aca="false">IF(MIN(Model_Conservative!C82:AL82)=999,"Not within 36 months",MIN(Model_Conservative!C82:AL82))</f>
        <v>Not within 36 months</v>
      </c>
      <c r="C22" s="29" t="n">
        <f aca="false">IF(MIN(Model_Baseline!C82:AL82)=999,"Not within 36 months",MIN(Model_Baseline!C82:AL82))</f>
        <v>22</v>
      </c>
      <c r="D22" s="29" t="n">
        <f aca="false">IF(MIN(Model_Aggressive!C82:AL82)=999,"Not within 36 months",MIN(Model_Aggressive!C82:AL82))</f>
        <v>3</v>
      </c>
    </row>
    <row r="23" customFormat="false" ht="15" hidden="false" customHeight="false" outlineLevel="0" collapsed="false">
      <c r="A23" s="26" t="s">
        <v>310</v>
      </c>
      <c r="B23" s="27" t="n">
        <f aca="false">MIN(0,MIN(Model_Conservative!C81:AL81))</f>
        <v>-1587578.13941604</v>
      </c>
      <c r="C23" s="27" t="n">
        <f aca="false">MIN(0,MIN(Model_Baseline!C81:AL81))</f>
        <v>-1095832.78698954</v>
      </c>
      <c r="D23" s="27" t="n">
        <f aca="false">MIN(0,MIN(Model_Aggressive!C81:AL81))</f>
        <v>-724868.562284695</v>
      </c>
    </row>
    <row r="24" customFormat="false" ht="15" hidden="false" customHeight="false" outlineLevel="0" collapsed="false">
      <c r="A24" s="26" t="s">
        <v>311</v>
      </c>
      <c r="B24" s="27" t="n">
        <f aca="false">-MIN(0,MIN(Model_Conservative!C81:AL81))*1.3</f>
        <v>2063851.58124085</v>
      </c>
      <c r="C24" s="27" t="n">
        <f aca="false">-MIN(0,MIN(Model_Baseline!C81:AL81))*1.3</f>
        <v>1424582.6230864</v>
      </c>
      <c r="D24" s="27" t="n">
        <f aca="false">-MIN(0,MIN(Model_Aggressive!C81:AL81))*1.3</f>
        <v>942329.130970104</v>
      </c>
    </row>
    <row r="25" customFormat="false" ht="15" hidden="false" customHeight="false" outlineLevel="0" collapsed="false">
      <c r="A25" s="26" t="s">
        <v>312</v>
      </c>
      <c r="B25" s="27" t="n">
        <f aca="false">Model_Conservative!AL81</f>
        <v>-1587578.13941604</v>
      </c>
      <c r="C25" s="27" t="n">
        <f aca="false">Model_Baseline!AL81</f>
        <v>-863023.597122813</v>
      </c>
      <c r="D25" s="27" t="n">
        <f aca="false">Model_Aggressive!AL81</f>
        <v>78769267.6361414</v>
      </c>
    </row>
    <row r="27" customFormat="false" ht="15" hidden="false" customHeight="false" outlineLevel="0" collapsed="false">
      <c r="A27" s="26" t="s">
        <v>313</v>
      </c>
      <c r="B27" s="30" t="n">
        <f aca="false">Model_Conservative!AL25</f>
        <v>351.37716705049</v>
      </c>
      <c r="C27" s="30" t="n">
        <f aca="false">Model_Baseline!AL25</f>
        <v>5810.40088348437</v>
      </c>
      <c r="D27" s="30" t="n">
        <f aca="false">Model_Aggressive!AL25</f>
        <v>92277.5108199333</v>
      </c>
    </row>
    <row r="28" customFormat="false" ht="15" hidden="false" customHeight="false" outlineLevel="0" collapsed="false">
      <c r="A28" s="26" t="s">
        <v>314</v>
      </c>
      <c r="B28" s="30" t="n">
        <f aca="false">Model_Conservative!AL45</f>
        <v>23.7146368998219</v>
      </c>
      <c r="C28" s="30" t="n">
        <f aca="false">Model_Baseline!AL45</f>
        <v>837.561175277242</v>
      </c>
      <c r="D28" s="30" t="n">
        <f aca="false">Model_Aggressive!AL45</f>
        <v>19788.6459533154</v>
      </c>
    </row>
    <row r="29" customFormat="false" ht="15" hidden="false" customHeight="false" outlineLevel="0" collapsed="false">
      <c r="A29" s="26" t="s">
        <v>315</v>
      </c>
      <c r="B29" s="28" t="n">
        <f aca="false">IFERROR(SUM(Model_Conservative!AA31:AL31)/SUM(Model_Conservative!AA60:AL60),0)</f>
        <v>0.865027720265508</v>
      </c>
      <c r="C29" s="28" t="n">
        <f aca="false">IFERROR(SUM(Model_Baseline!AA31:AL31)/SUM(Model_Baseline!AA60:AL60),0)</f>
        <v>0.709987160567735</v>
      </c>
      <c r="D29" s="28" t="n">
        <f aca="false">IFERROR(SUM(Model_Aggressive!AA31:AL31)/SUM(Model_Aggressive!AA60:AL60),0)</f>
        <v>0.584224653830078</v>
      </c>
    </row>
    <row r="31" customFormat="false" ht="15" hidden="false" customHeight="false" outlineLevel="0" collapsed="false">
      <c r="A31" s="26" t="s">
        <v>316</v>
      </c>
      <c r="B31" s="31" t="n">
        <f aca="false">Model_Conservative!AL85</f>
        <v>41.92672</v>
      </c>
      <c r="C31" s="31" t="n">
        <f aca="false">Model_Baseline!AL85</f>
        <v>116.02563</v>
      </c>
      <c r="D31" s="31" t="n">
        <f aca="false">Model_Aggressive!AL85</f>
        <v>184.526606</v>
      </c>
    </row>
    <row r="32" customFormat="false" ht="15" hidden="false" customHeight="false" outlineLevel="0" collapsed="false">
      <c r="A32" s="26" t="s">
        <v>317</v>
      </c>
      <c r="B32" s="27" t="n">
        <f aca="false">Model_Conservative!AL86</f>
        <v>322.513230769231</v>
      </c>
      <c r="C32" s="27" t="n">
        <f aca="false">Model_Baseline!AL86</f>
        <v>1054.77845454545</v>
      </c>
      <c r="D32" s="27" t="n">
        <f aca="false">Model_Aggressive!AL86</f>
        <v>1942.38532631579</v>
      </c>
    </row>
    <row r="33" customFormat="false" ht="15" hidden="false" customHeight="false" outlineLevel="0" collapsed="false">
      <c r="A33" s="26" t="s">
        <v>318</v>
      </c>
      <c r="B33" s="31" t="n">
        <f aca="false">Model_Conservative!AL87</f>
        <v>34.29104</v>
      </c>
      <c r="C33" s="31" t="n">
        <f aca="false">Model_Baseline!AL87</f>
        <v>45.68586</v>
      </c>
      <c r="D33" s="31" t="n">
        <f aca="false">Model_Aggressive!AL87</f>
        <v>57.880272</v>
      </c>
    </row>
    <row r="34" customFormat="false" ht="15" hidden="false" customHeight="false" outlineLevel="0" collapsed="false">
      <c r="A34" s="26" t="s">
        <v>319</v>
      </c>
      <c r="B34" s="27" t="n">
        <f aca="false">Model_Conservative!AL88</f>
        <v>381.011555555556</v>
      </c>
      <c r="C34" s="27" t="n">
        <f aca="false">Model_Baseline!AL88</f>
        <v>652.655142857143</v>
      </c>
      <c r="D34" s="27" t="n">
        <f aca="false">Model_Aggressive!AL88</f>
        <v>1052.36858181818</v>
      </c>
    </row>
    <row r="35" customFormat="false" ht="15" hidden="false" customHeight="false" outlineLevel="0" collapsed="false">
      <c r="A35" s="26" t="s">
        <v>320</v>
      </c>
      <c r="B35" s="31" t="n">
        <f aca="false">IFERROR((SUM(Model_Conservative!AA15:AL15)-SUM(Model_Conservative!AA70:AL70))/SUM(Model_Conservative!AA83:AL83),0)</f>
        <v>122.337520431488</v>
      </c>
      <c r="C35" s="31" t="n">
        <f aca="false">IFERROR((SUM(Model_Baseline!AA15:AL15)-SUM(Model_Baseline!AA70:AL70))/SUM(Model_Baseline!AA83:AL83),0)</f>
        <v>109.309787154062</v>
      </c>
      <c r="D35" s="31" t="n">
        <f aca="false">IFERROR((SUM(Model_Aggressive!AA15:AL15)-SUM(Model_Aggressive!AA70:AL70))/SUM(Model_Aggressive!AA83:AL83),0)</f>
        <v>125.763657228535</v>
      </c>
    </row>
    <row r="36" customFormat="false" ht="15" hidden="false" customHeight="false" outlineLevel="0" collapsed="false">
      <c r="A36" s="26" t="s">
        <v>321</v>
      </c>
      <c r="B36" s="32" t="n">
        <f aca="false">IFERROR(Model_Conservative!AL88/((SUM(Model_Conservative!AA15:AL15)-SUM(Model_Conservative!AA70:AL70))/SUM(Model_Conservative!AA83:AL83)),0)</f>
        <v>3.11442927902836</v>
      </c>
      <c r="C36" s="32" t="n">
        <f aca="false">IFERROR(Model_Baseline!AL88/((SUM(Model_Baseline!AA15:AL15)-SUM(Model_Baseline!AA70:AL70))/SUM(Model_Baseline!AA83:AL83)),0)</f>
        <v>5.97069265112816</v>
      </c>
      <c r="D36" s="32" t="n">
        <f aca="false">IFERROR(Model_Aggressive!AL88/((SUM(Model_Aggressive!AA15:AL15)-SUM(Model_Aggressive!AA70:AL70))/SUM(Model_Aggressive!AA83:AL83)),0)</f>
        <v>8.36782743925648</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4" min="2" style="0" width="17"/>
  </cols>
  <sheetData>
    <row r="1" customFormat="false" ht="17.35" hidden="false" customHeight="false" outlineLevel="0" collapsed="false">
      <c r="A1" s="4" t="s">
        <v>322</v>
      </c>
    </row>
    <row r="2" customFormat="false" ht="39.75" hidden="false" customHeight="true" outlineLevel="0" collapsed="false">
      <c r="A2" s="5" t="s">
        <v>323</v>
      </c>
      <c r="B2" s="5"/>
      <c r="C2" s="5"/>
      <c r="D2" s="5"/>
      <c r="E2" s="5"/>
    </row>
    <row r="4" customFormat="false" ht="15" hidden="false" customHeight="false" outlineLevel="0" collapsed="false">
      <c r="A4" s="2" t="s">
        <v>324</v>
      </c>
    </row>
    <row r="5" customFormat="false" ht="15" hidden="false" customHeight="false" outlineLevel="0" collapsed="false">
      <c r="A5" s="25" t="s">
        <v>325</v>
      </c>
      <c r="B5" s="25" t="s">
        <v>22</v>
      </c>
      <c r="C5" s="25" t="s">
        <v>23</v>
      </c>
      <c r="D5" s="25" t="s">
        <v>24</v>
      </c>
    </row>
    <row r="6" customFormat="false" ht="15" hidden="false" customHeight="false" outlineLevel="0" collapsed="false">
      <c r="A6" s="10" t="s">
        <v>130</v>
      </c>
      <c r="B6" s="31" t="n">
        <f aca="false">Assumptions!$D$31</f>
        <v>68</v>
      </c>
      <c r="C6" s="31" t="n">
        <f aca="false">Assumptions!$E$31</f>
        <v>78</v>
      </c>
      <c r="D6" s="31" t="n">
        <f aca="false">Assumptions!$F$31</f>
        <v>88</v>
      </c>
    </row>
    <row r="7" customFormat="false" ht="15" hidden="false" customHeight="false" outlineLevel="0" collapsed="false">
      <c r="A7" s="10" t="s">
        <v>326</v>
      </c>
      <c r="B7" s="31" t="n">
        <f aca="false">-Assumptions!$D$31*Assumptions!$D$61</f>
        <v>-2.72</v>
      </c>
      <c r="C7" s="31" t="n">
        <f aca="false">-Assumptions!$E$31*Assumptions!$E$61</f>
        <v>-2.34</v>
      </c>
      <c r="D7" s="31" t="n">
        <f aca="false">-Assumptions!$F$31*Assumptions!$F$61</f>
        <v>-1.936</v>
      </c>
    </row>
    <row r="8" customFormat="false" ht="15" hidden="false" customHeight="false" outlineLevel="0" collapsed="false">
      <c r="A8" s="26" t="s">
        <v>327</v>
      </c>
      <c r="B8" s="33" t="n">
        <f aca="false">B6+B7</f>
        <v>65.28</v>
      </c>
      <c r="C8" s="33" t="n">
        <f aca="false">C6+C7</f>
        <v>75.66</v>
      </c>
      <c r="D8" s="33" t="n">
        <f aca="false">D6+D7</f>
        <v>86.064</v>
      </c>
    </row>
    <row r="9" customFormat="false" ht="15" hidden="false" customHeight="false" outlineLevel="0" collapsed="false">
      <c r="A9" s="10" t="s">
        <v>328</v>
      </c>
      <c r="B9" s="31" t="n">
        <f aca="false">-Assumptions!$D$31*Assumptions!$D$36</f>
        <v>-20.4</v>
      </c>
      <c r="C9" s="31" t="n">
        <f aca="false">-Assumptions!$E$31*Assumptions!$E$36</f>
        <v>-20.28</v>
      </c>
      <c r="D9" s="31" t="n">
        <f aca="false">-Assumptions!$F$31*Assumptions!$F$36</f>
        <v>-19.36</v>
      </c>
    </row>
    <row r="10" customFormat="false" ht="15" hidden="false" customHeight="false" outlineLevel="0" collapsed="false">
      <c r="A10" s="10" t="s">
        <v>329</v>
      </c>
      <c r="B10" s="31" t="n">
        <f aca="false">-Assumptions!$D$37</f>
        <v>-8.5</v>
      </c>
      <c r="C10" s="31" t="n">
        <f aca="false">-Assumptions!$E$37</f>
        <v>-7.5</v>
      </c>
      <c r="D10" s="31" t="n">
        <f aca="false">-Assumptions!$F$37</f>
        <v>-6.5</v>
      </c>
    </row>
    <row r="11" customFormat="false" ht="15" hidden="false" customHeight="false" outlineLevel="0" collapsed="false">
      <c r="A11" s="10" t="s">
        <v>330</v>
      </c>
      <c r="B11" s="31" t="n">
        <f aca="false">-B8*Assumptions!$D$60</f>
        <v>-2.08896</v>
      </c>
      <c r="C11" s="31" t="n">
        <f aca="false">-C8*Assumptions!$E$60</f>
        <v>-2.19414</v>
      </c>
      <c r="D11" s="31" t="n">
        <f aca="false">-D8*Assumptions!$F$60</f>
        <v>-2.323728</v>
      </c>
    </row>
    <row r="12" customFormat="false" ht="15" hidden="false" customHeight="false" outlineLevel="0" collapsed="false">
      <c r="A12" s="26" t="s">
        <v>331</v>
      </c>
      <c r="B12" s="33" t="n">
        <f aca="false">B8+B9+B10+B11</f>
        <v>34.29104</v>
      </c>
      <c r="C12" s="33" t="n">
        <f aca="false">C8+C9+C10+C11</f>
        <v>45.68586</v>
      </c>
      <c r="D12" s="33" t="n">
        <f aca="false">D8+D9+D10+D11</f>
        <v>57.880272</v>
      </c>
    </row>
    <row r="13" customFormat="false" ht="15" hidden="false" customHeight="false" outlineLevel="0" collapsed="false">
      <c r="A13" s="26" t="s">
        <v>332</v>
      </c>
      <c r="B13" s="34" t="n">
        <f aca="false">IFERROR(B12/B8,0)</f>
        <v>0.525291666666667</v>
      </c>
      <c r="C13" s="34" t="n">
        <f aca="false">IFERROR(C12/C8,0)</f>
        <v>0.603831086439334</v>
      </c>
      <c r="D13" s="34" t="n">
        <f aca="false">IFERROR(D12/D8,0)</f>
        <v>0.672525934188511</v>
      </c>
    </row>
    <row r="14" customFormat="false" ht="15" hidden="false" customHeight="false" outlineLevel="0" collapsed="false">
      <c r="A14" s="10" t="s">
        <v>137</v>
      </c>
      <c r="B14" s="28" t="n">
        <f aca="false">Assumptions!$D$33</f>
        <v>0.09</v>
      </c>
      <c r="C14" s="28" t="n">
        <f aca="false">Assumptions!$E$33</f>
        <v>0.07</v>
      </c>
      <c r="D14" s="28" t="n">
        <f aca="false">Assumptions!$F$33</f>
        <v>0.055</v>
      </c>
    </row>
    <row r="15" customFormat="false" ht="15" hidden="false" customHeight="false" outlineLevel="0" collapsed="false">
      <c r="A15" s="10" t="s">
        <v>333</v>
      </c>
      <c r="B15" s="32" t="n">
        <f aca="false">1/Assumptions!$D$33</f>
        <v>11.1111111111111</v>
      </c>
      <c r="C15" s="32" t="n">
        <f aca="false">1/Assumptions!$E$33</f>
        <v>14.2857142857143</v>
      </c>
      <c r="D15" s="32" t="n">
        <f aca="false">1/Assumptions!$F$33</f>
        <v>18.1818181818182</v>
      </c>
    </row>
    <row r="16" customFormat="false" ht="15" hidden="false" customHeight="false" outlineLevel="0" collapsed="false">
      <c r="A16" s="26" t="s">
        <v>334</v>
      </c>
      <c r="B16" s="35" t="n">
        <f aca="false">B12/Assumptions!$D$33</f>
        <v>381.011555555556</v>
      </c>
      <c r="C16" s="35" t="n">
        <f aca="false">C12/Assumptions!$E$33</f>
        <v>652.655142857143</v>
      </c>
      <c r="D16" s="35" t="n">
        <f aca="false">D12/Assumptions!$F$33</f>
        <v>1052.36858181818</v>
      </c>
    </row>
    <row r="19" customFormat="false" ht="15" hidden="false" customHeight="false" outlineLevel="0" collapsed="false">
      <c r="A19" s="2" t="s">
        <v>335</v>
      </c>
    </row>
    <row r="20" customFormat="false" ht="15" hidden="false" customHeight="false" outlineLevel="0" collapsed="false">
      <c r="A20" s="25" t="s">
        <v>325</v>
      </c>
      <c r="B20" s="25" t="s">
        <v>22</v>
      </c>
      <c r="C20" s="25" t="s">
        <v>23</v>
      </c>
      <c r="D20" s="25" t="s">
        <v>24</v>
      </c>
    </row>
    <row r="21" customFormat="false" ht="15" hidden="false" customHeight="false" outlineLevel="0" collapsed="false">
      <c r="A21" s="10" t="s">
        <v>336</v>
      </c>
      <c r="B21" s="31" t="n">
        <f aca="false">Assumptions!$D$51</f>
        <v>199</v>
      </c>
      <c r="C21" s="31" t="n">
        <f aca="false">Assumptions!$E$51</f>
        <v>249</v>
      </c>
      <c r="D21" s="31" t="n">
        <f aca="false">Assumptions!$F$51</f>
        <v>299</v>
      </c>
    </row>
    <row r="22" customFormat="false" ht="15" hidden="false" customHeight="false" outlineLevel="0" collapsed="false">
      <c r="A22" s="10" t="s">
        <v>326</v>
      </c>
      <c r="B22" s="31" t="n">
        <f aca="false">-Assumptions!$D$51*Assumptions!$D$61</f>
        <v>-7.96</v>
      </c>
      <c r="C22" s="31" t="n">
        <f aca="false">-Assumptions!$E$51*Assumptions!$E$61</f>
        <v>-7.47</v>
      </c>
      <c r="D22" s="31" t="n">
        <f aca="false">-Assumptions!$F$51*Assumptions!$F$61</f>
        <v>-6.578</v>
      </c>
    </row>
    <row r="23" customFormat="false" ht="15" hidden="false" customHeight="false" outlineLevel="0" collapsed="false">
      <c r="A23" s="26" t="s">
        <v>337</v>
      </c>
      <c r="B23" s="33" t="n">
        <f aca="false">B21+B22</f>
        <v>191.04</v>
      </c>
      <c r="C23" s="33" t="n">
        <f aca="false">C21+C22</f>
        <v>241.53</v>
      </c>
      <c r="D23" s="33" t="n">
        <f aca="false">D21+D22</f>
        <v>292.422</v>
      </c>
    </row>
    <row r="24" customFormat="false" ht="15" hidden="false" customHeight="false" outlineLevel="0" collapsed="false">
      <c r="A24" s="10" t="s">
        <v>338</v>
      </c>
      <c r="B24" s="31" t="n">
        <f aca="false">-Assumptions!$D$54</f>
        <v>-105</v>
      </c>
      <c r="C24" s="31" t="n">
        <f aca="false">-Assumptions!$E$54</f>
        <v>-88</v>
      </c>
      <c r="D24" s="31" t="n">
        <f aca="false">-Assumptions!$F$54</f>
        <v>-75</v>
      </c>
    </row>
    <row r="25" customFormat="false" ht="15" hidden="false" customHeight="false" outlineLevel="0" collapsed="false">
      <c r="A25" s="10" t="s">
        <v>339</v>
      </c>
      <c r="B25" s="31" t="n">
        <f aca="false">-Assumptions!$D$56</f>
        <v>-10</v>
      </c>
      <c r="C25" s="31" t="n">
        <f aca="false">-Assumptions!$E$56</f>
        <v>-8</v>
      </c>
      <c r="D25" s="31" t="n">
        <f aca="false">-Assumptions!$F$56</f>
        <v>-6.5</v>
      </c>
    </row>
    <row r="26" customFormat="false" ht="15" hidden="false" customHeight="false" outlineLevel="0" collapsed="false">
      <c r="A26" s="10" t="s">
        <v>340</v>
      </c>
      <c r="B26" s="31" t="n">
        <f aca="false">-Assumptions!$D$57</f>
        <v>-22</v>
      </c>
      <c r="C26" s="31" t="n">
        <f aca="false">-Assumptions!$E$57</f>
        <v>-18</v>
      </c>
      <c r="D26" s="31" t="n">
        <f aca="false">-Assumptions!$F$57</f>
        <v>-15</v>
      </c>
    </row>
    <row r="27" customFormat="false" ht="15" hidden="false" customHeight="false" outlineLevel="0" collapsed="false">
      <c r="A27" s="10" t="s">
        <v>341</v>
      </c>
      <c r="B27" s="31" t="n">
        <f aca="false">-Assumptions!$D$58</f>
        <v>-6</v>
      </c>
      <c r="C27" s="31" t="n">
        <f aca="false">-Assumptions!$E$58</f>
        <v>-4.5</v>
      </c>
      <c r="D27" s="31" t="n">
        <f aca="false">-Assumptions!$F$58</f>
        <v>-3.5</v>
      </c>
    </row>
    <row r="28" customFormat="false" ht="15" hidden="false" customHeight="false" outlineLevel="0" collapsed="false">
      <c r="A28" s="10" t="s">
        <v>330</v>
      </c>
      <c r="B28" s="31" t="n">
        <f aca="false">-B23*Assumptions!$D$60</f>
        <v>-6.11328</v>
      </c>
      <c r="C28" s="31" t="n">
        <f aca="false">-C23*Assumptions!$E$60</f>
        <v>-7.00437</v>
      </c>
      <c r="D28" s="31" t="n">
        <f aca="false">-D23*Assumptions!$F$60</f>
        <v>-7.895394</v>
      </c>
    </row>
    <row r="29" customFormat="false" ht="15" hidden="false" customHeight="false" outlineLevel="0" collapsed="false">
      <c r="A29" s="26" t="s">
        <v>342</v>
      </c>
      <c r="B29" s="33" t="n">
        <f aca="false">B23+B24+B25+B26+B27+B28</f>
        <v>41.92672</v>
      </c>
      <c r="C29" s="33" t="n">
        <f aca="false">C23+C24+C25+C26+C27+C28</f>
        <v>116.02563</v>
      </c>
      <c r="D29" s="33" t="n">
        <f aca="false">D23+D24+D25+D26+D27+D28</f>
        <v>184.526606</v>
      </c>
    </row>
    <row r="30" customFormat="false" ht="15" hidden="false" customHeight="false" outlineLevel="0" collapsed="false">
      <c r="A30" s="26" t="s">
        <v>332</v>
      </c>
      <c r="B30" s="34" t="n">
        <f aca="false">IFERROR(B29/B23,0)</f>
        <v>0.219465661641541</v>
      </c>
      <c r="C30" s="34" t="n">
        <f aca="false">IFERROR(C29/C23,0)</f>
        <v>0.480377717053782</v>
      </c>
      <c r="D30" s="34" t="n">
        <f aca="false">IFERROR(D29/D23,0)</f>
        <v>0.631028465710514</v>
      </c>
    </row>
    <row r="31" customFormat="false" ht="15" hidden="false" customHeight="false" outlineLevel="0" collapsed="false">
      <c r="A31" s="10" t="s">
        <v>343</v>
      </c>
      <c r="B31" s="28" t="n">
        <f aca="false">Assumptions!$D$49</f>
        <v>0.13</v>
      </c>
      <c r="C31" s="28" t="n">
        <f aca="false">Assumptions!$E$49</f>
        <v>0.11</v>
      </c>
      <c r="D31" s="28" t="n">
        <f aca="false">Assumptions!$F$49</f>
        <v>0.095</v>
      </c>
    </row>
    <row r="32" customFormat="false" ht="15" hidden="false" customHeight="false" outlineLevel="0" collapsed="false">
      <c r="A32" s="10" t="s">
        <v>344</v>
      </c>
      <c r="B32" s="32" t="n">
        <f aca="false">1/Assumptions!$D$49</f>
        <v>7.69230769230769</v>
      </c>
      <c r="C32" s="32" t="n">
        <f aca="false">1/Assumptions!$E$49</f>
        <v>9.09090909090909</v>
      </c>
      <c r="D32" s="32" t="n">
        <f aca="false">1/Assumptions!$F$49</f>
        <v>10.5263157894737</v>
      </c>
    </row>
    <row r="33" customFormat="false" ht="15" hidden="false" customHeight="false" outlineLevel="0" collapsed="false">
      <c r="A33" s="26" t="s">
        <v>345</v>
      </c>
      <c r="B33" s="35" t="n">
        <f aca="false">B29/Assumptions!$D$49</f>
        <v>322.513230769231</v>
      </c>
      <c r="C33" s="35" t="n">
        <f aca="false">C29/Assumptions!$E$49</f>
        <v>1054.77845454545</v>
      </c>
      <c r="D33" s="35" t="n">
        <f aca="false">D29/Assumptions!$F$49</f>
        <v>1942.38532631579</v>
      </c>
    </row>
    <row r="36" customFormat="false" ht="15" hidden="false" customHeight="false" outlineLevel="0" collapsed="false">
      <c r="A36" s="2" t="s">
        <v>346</v>
      </c>
    </row>
    <row r="37" customFormat="false" ht="15" hidden="false" customHeight="false" outlineLevel="0" collapsed="false">
      <c r="A37" s="25" t="s">
        <v>325</v>
      </c>
      <c r="B37" s="25" t="s">
        <v>22</v>
      </c>
      <c r="C37" s="25" t="s">
        <v>23</v>
      </c>
      <c r="D37" s="25" t="s">
        <v>24</v>
      </c>
    </row>
    <row r="38" customFormat="false" ht="15" hidden="false" customHeight="false" outlineLevel="0" collapsed="false">
      <c r="A38" s="10" t="s">
        <v>347</v>
      </c>
      <c r="B38" s="31" t="n">
        <f aca="false">Assumptions!$D$52</f>
        <v>49</v>
      </c>
      <c r="C38" s="31" t="n">
        <f aca="false">Assumptions!$E$52</f>
        <v>59</v>
      </c>
      <c r="D38" s="31" t="n">
        <f aca="false">Assumptions!$F$52</f>
        <v>79</v>
      </c>
    </row>
    <row r="39" customFormat="false" ht="15" hidden="false" customHeight="false" outlineLevel="0" collapsed="false">
      <c r="A39" s="10" t="s">
        <v>348</v>
      </c>
      <c r="B39" s="31" t="n">
        <f aca="false">-Assumptions!$D$55</f>
        <v>-45</v>
      </c>
      <c r="C39" s="31" t="n">
        <f aca="false">-Assumptions!$E$55</f>
        <v>-38</v>
      </c>
      <c r="D39" s="31" t="n">
        <f aca="false">-Assumptions!$F$55</f>
        <v>-32</v>
      </c>
    </row>
    <row r="40" customFormat="false" ht="15" hidden="false" customHeight="false" outlineLevel="0" collapsed="false">
      <c r="A40" s="26" t="s">
        <v>349</v>
      </c>
      <c r="B40" s="33" t="n">
        <f aca="false">B38+B39</f>
        <v>4</v>
      </c>
      <c r="C40" s="33" t="n">
        <f aca="false">C38+C39</f>
        <v>21</v>
      </c>
      <c r="D40" s="33" t="n">
        <f aca="false">D38+D39</f>
        <v>47</v>
      </c>
    </row>
    <row r="41" customFormat="false" ht="15" hidden="false" customHeight="false" outlineLevel="0" collapsed="false">
      <c r="A41" s="10" t="s">
        <v>350</v>
      </c>
      <c r="B41" s="32" t="n">
        <f aca="false">1/Assumptions!$D$48</f>
        <v>1.72413793103448</v>
      </c>
      <c r="C41" s="32" t="n">
        <f aca="false">1/Assumptions!$E$48</f>
        <v>1.51515151515152</v>
      </c>
      <c r="D41" s="32" t="n">
        <f aca="false">1/Assumptions!$F$48</f>
        <v>1.42857142857143</v>
      </c>
    </row>
    <row r="42" customFormat="false" ht="15" hidden="false" customHeight="false" outlineLevel="0" collapsed="false">
      <c r="A42" s="26" t="s">
        <v>351</v>
      </c>
      <c r="B42" s="33" t="n">
        <f aca="false">B40*B41</f>
        <v>6.89655172413793</v>
      </c>
      <c r="C42" s="33" t="n">
        <f aca="false">C40*C41</f>
        <v>31.8181818181818</v>
      </c>
      <c r="D42" s="33" t="n">
        <f aca="false">D40*D41</f>
        <v>67.1428571428571</v>
      </c>
    </row>
    <row r="45" customFormat="false" ht="15" hidden="false" customHeight="false" outlineLevel="0" collapsed="false">
      <c r="A45" s="2" t="s">
        <v>352</v>
      </c>
    </row>
    <row r="46" customFormat="false" ht="45.75" hidden="false" customHeight="true" outlineLevel="0" collapsed="false">
      <c r="A46" s="36" t="s">
        <v>353</v>
      </c>
      <c r="B46" s="36"/>
      <c r="C46" s="36"/>
      <c r="D46" s="36"/>
    </row>
    <row r="47" customFormat="false" ht="45.75" hidden="false" customHeight="true" outlineLevel="0" collapsed="false">
      <c r="A47" s="36" t="s">
        <v>354</v>
      </c>
      <c r="B47" s="36"/>
      <c r="C47" s="36"/>
      <c r="D47" s="36"/>
    </row>
    <row r="48" customFormat="false" ht="45.75" hidden="false" customHeight="true" outlineLevel="0" collapsed="false">
      <c r="A48" s="36" t="s">
        <v>355</v>
      </c>
      <c r="B48" s="36"/>
      <c r="C48" s="36"/>
      <c r="D48" s="36"/>
    </row>
    <row r="49" customFormat="false" ht="45.75" hidden="false" customHeight="true" outlineLevel="0" collapsed="false">
      <c r="A49" s="36" t="s">
        <v>356</v>
      </c>
      <c r="B49" s="36"/>
      <c r="C49" s="36"/>
      <c r="D49" s="36"/>
    </row>
    <row r="50" customFormat="false" ht="45.75" hidden="false" customHeight="true" outlineLevel="0" collapsed="false">
      <c r="A50" s="36" t="s">
        <v>357</v>
      </c>
      <c r="B50" s="36"/>
      <c r="C50" s="36"/>
      <c r="D50" s="36"/>
    </row>
  </sheetData>
  <mergeCells count="6">
    <mergeCell ref="A2:E2"/>
    <mergeCell ref="A46:D46"/>
    <mergeCell ref="A47:D47"/>
    <mergeCell ref="A48:D48"/>
    <mergeCell ref="A49:D49"/>
    <mergeCell ref="A50:D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2"/>
    <col collapsed="false" customWidth="true" hidden="false" outlineLevel="0" max="8" min="2" style="0" width="14"/>
  </cols>
  <sheetData>
    <row r="1" customFormat="false" ht="17.35" hidden="false" customHeight="false" outlineLevel="0" collapsed="false">
      <c r="A1" s="4" t="s">
        <v>358</v>
      </c>
    </row>
    <row r="2" customFormat="false" ht="30" hidden="false" customHeight="true" outlineLevel="0" collapsed="false">
      <c r="A2" s="5" t="s">
        <v>359</v>
      </c>
      <c r="B2" s="5"/>
      <c r="C2" s="5"/>
      <c r="D2" s="5"/>
      <c r="E2" s="5"/>
      <c r="F2" s="5"/>
      <c r="G2" s="5"/>
      <c r="H2" s="5"/>
    </row>
    <row r="4" customFormat="false" ht="15" hidden="false" customHeight="false" outlineLevel="0" collapsed="false">
      <c r="A4" s="2" t="s">
        <v>360</v>
      </c>
    </row>
    <row r="5" customFormat="false" ht="15" hidden="false" customHeight="false" outlineLevel="0" collapsed="false">
      <c r="A5" s="26" t="s">
        <v>361</v>
      </c>
      <c r="D5" s="31" t="n">
        <f aca="false">Assumptions!$E$51*(1-Assumptions!$E$61)*(1-Assumptions!$E$60)-Assumptions!$E$54-Assumptions!$E$56-Assumptions!$E$57-Assumptions!$E$58</f>
        <v>116.02563</v>
      </c>
    </row>
    <row r="6" customFormat="false" ht="15" hidden="false" customHeight="false" outlineLevel="0" collapsed="false">
      <c r="A6" s="37" t="s">
        <v>362</v>
      </c>
    </row>
    <row r="8" customFormat="false" ht="15" hidden="false" customHeight="false" outlineLevel="0" collapsed="false">
      <c r="A8" s="25" t="s">
        <v>363</v>
      </c>
      <c r="B8" s="38" t="n">
        <v>150</v>
      </c>
      <c r="C8" s="38" t="n">
        <v>250</v>
      </c>
      <c r="D8" s="38" t="n">
        <v>350</v>
      </c>
      <c r="E8" s="38" t="n">
        <v>450</v>
      </c>
      <c r="F8" s="38" t="n">
        <v>600</v>
      </c>
      <c r="G8" s="38" t="n">
        <v>800</v>
      </c>
    </row>
    <row r="9" customFormat="false" ht="15" hidden="false" customHeight="false" outlineLevel="0" collapsed="false">
      <c r="A9" s="34" t="n">
        <v>0.08</v>
      </c>
      <c r="B9" s="39" t="n">
        <f aca="false">($D$5/$A9)/B$8</f>
        <v>9.6688025</v>
      </c>
      <c r="C9" s="39" t="n">
        <f aca="false">($D$5/$A9)/C$8</f>
        <v>5.8012815</v>
      </c>
      <c r="D9" s="39" t="n">
        <f aca="false">($D$5/$A9)/D$8</f>
        <v>4.1437725</v>
      </c>
      <c r="E9" s="39" t="n">
        <f aca="false">($D$5/$A9)/E$8</f>
        <v>3.22293416666667</v>
      </c>
      <c r="F9" s="39" t="n">
        <f aca="false">($D$5/$A9)/F$8</f>
        <v>2.417200625</v>
      </c>
      <c r="G9" s="39" t="n">
        <f aca="false">($D$5/$A9)/G$8</f>
        <v>1.81290046875</v>
      </c>
    </row>
    <row r="10" customFormat="false" ht="15" hidden="false" customHeight="false" outlineLevel="0" collapsed="false">
      <c r="A10" s="34" t="n">
        <v>0.095</v>
      </c>
      <c r="B10" s="39" t="n">
        <f aca="false">($D$5/$A10)/B$8</f>
        <v>8.14214947368421</v>
      </c>
      <c r="C10" s="39" t="n">
        <f aca="false">($D$5/$A10)/C$8</f>
        <v>4.88528968421053</v>
      </c>
      <c r="D10" s="39" t="n">
        <f aca="false">($D$5/$A10)/D$8</f>
        <v>3.48949263157895</v>
      </c>
      <c r="E10" s="39" t="n">
        <f aca="false">($D$5/$A10)/E$8</f>
        <v>2.7140498245614</v>
      </c>
      <c r="F10" s="39" t="n">
        <f aca="false">($D$5/$A10)/F$8</f>
        <v>2.03553736842105</v>
      </c>
      <c r="G10" s="39" t="n">
        <f aca="false">($D$5/$A10)/G$8</f>
        <v>1.52665302631579</v>
      </c>
    </row>
    <row r="11" customFormat="false" ht="15" hidden="false" customHeight="false" outlineLevel="0" collapsed="false">
      <c r="A11" s="34" t="n">
        <v>0.11</v>
      </c>
      <c r="B11" s="39" t="n">
        <f aca="false">($D$5/$A11)/B$8</f>
        <v>7.03185636363637</v>
      </c>
      <c r="C11" s="39" t="n">
        <f aca="false">($D$5/$A11)/C$8</f>
        <v>4.21911381818182</v>
      </c>
      <c r="D11" s="39" t="n">
        <f aca="false">($D$5/$A11)/D$8</f>
        <v>3.01365272727273</v>
      </c>
      <c r="E11" s="39" t="n">
        <f aca="false">($D$5/$A11)/E$8</f>
        <v>2.34395212121212</v>
      </c>
      <c r="F11" s="39" t="n">
        <f aca="false">($D$5/$A11)/F$8</f>
        <v>1.75796409090909</v>
      </c>
      <c r="G11" s="39" t="n">
        <f aca="false">($D$5/$A11)/G$8</f>
        <v>1.31847306818182</v>
      </c>
    </row>
    <row r="12" customFormat="false" ht="15" hidden="false" customHeight="false" outlineLevel="0" collapsed="false">
      <c r="A12" s="34" t="n">
        <v>0.13</v>
      </c>
      <c r="B12" s="39" t="n">
        <f aca="false">($D$5/$A12)/B$8</f>
        <v>5.95003230769231</v>
      </c>
      <c r="C12" s="39" t="n">
        <f aca="false">($D$5/$A12)/C$8</f>
        <v>3.57001938461538</v>
      </c>
      <c r="D12" s="39" t="n">
        <f aca="false">($D$5/$A12)/D$8</f>
        <v>2.55001384615385</v>
      </c>
      <c r="E12" s="39" t="n">
        <f aca="false">($D$5/$A12)/E$8</f>
        <v>1.9833441025641</v>
      </c>
      <c r="F12" s="39" t="n">
        <f aca="false">($D$5/$A12)/F$8</f>
        <v>1.48750807692308</v>
      </c>
      <c r="G12" s="39" t="n">
        <f aca="false">($D$5/$A12)/G$8</f>
        <v>1.11563105769231</v>
      </c>
    </row>
    <row r="13" customFormat="false" ht="15" hidden="false" customHeight="false" outlineLevel="0" collapsed="false">
      <c r="A13" s="34" t="n">
        <v>0.15</v>
      </c>
      <c r="B13" s="39" t="n">
        <f aca="false">($D$5/$A13)/B$8</f>
        <v>5.15669466666667</v>
      </c>
      <c r="C13" s="39" t="n">
        <f aca="false">($D$5/$A13)/C$8</f>
        <v>3.0940168</v>
      </c>
      <c r="D13" s="39" t="n">
        <f aca="false">($D$5/$A13)/D$8</f>
        <v>2.210012</v>
      </c>
      <c r="E13" s="39" t="n">
        <f aca="false">($D$5/$A13)/E$8</f>
        <v>1.71889822222222</v>
      </c>
      <c r="F13" s="39" t="n">
        <f aca="false">($D$5/$A13)/F$8</f>
        <v>1.28917366666667</v>
      </c>
      <c r="G13" s="39" t="n">
        <f aca="false">($D$5/$A13)/G$8</f>
        <v>0.96688025</v>
      </c>
    </row>
    <row r="14" customFormat="false" ht="15" hidden="false" customHeight="false" outlineLevel="0" collapsed="false">
      <c r="A14" s="34" t="n">
        <v>0.18</v>
      </c>
      <c r="B14" s="39" t="n">
        <f aca="false">($D$5/$A14)/B$8</f>
        <v>4.29724555555556</v>
      </c>
      <c r="C14" s="39" t="n">
        <f aca="false">($D$5/$A14)/C$8</f>
        <v>2.57834733333333</v>
      </c>
      <c r="D14" s="39" t="n">
        <f aca="false">($D$5/$A14)/D$8</f>
        <v>1.84167666666667</v>
      </c>
      <c r="E14" s="39" t="n">
        <f aca="false">($D$5/$A14)/E$8</f>
        <v>1.43241518518519</v>
      </c>
      <c r="F14" s="39" t="n">
        <f aca="false">($D$5/$A14)/F$8</f>
        <v>1.07431138888889</v>
      </c>
      <c r="G14" s="39" t="n">
        <f aca="false">($D$5/$A14)/G$8</f>
        <v>0.805733541666667</v>
      </c>
    </row>
    <row r="15" customFormat="false" ht="30" hidden="false" customHeight="true" outlineLevel="0" collapsed="false">
      <c r="A15" s="40" t="s">
        <v>364</v>
      </c>
      <c r="B15" s="40"/>
      <c r="C15" s="40"/>
      <c r="D15" s="40"/>
      <c r="E15" s="40"/>
      <c r="F15" s="40"/>
      <c r="G15" s="40"/>
      <c r="H15" s="40"/>
    </row>
    <row r="18" customFormat="false" ht="15" hidden="false" customHeight="false" outlineLevel="0" collapsed="false">
      <c r="A18" s="2" t="s">
        <v>365</v>
      </c>
    </row>
    <row r="19" customFormat="false" ht="15" hidden="false" customHeight="false" outlineLevel="0" collapsed="false">
      <c r="A19" s="41" t="s">
        <v>366</v>
      </c>
      <c r="B19" s="41"/>
      <c r="C19" s="41"/>
      <c r="D19" s="41"/>
      <c r="E19" s="41"/>
      <c r="F19" s="41"/>
      <c r="G19" s="41"/>
      <c r="H19" s="41"/>
    </row>
    <row r="21" customFormat="false" ht="15" hidden="false" customHeight="false" outlineLevel="0" collapsed="false">
      <c r="A21" s="25" t="s">
        <v>367</v>
      </c>
      <c r="B21" s="42" t="n">
        <v>0.002</v>
      </c>
      <c r="C21" s="42" t="n">
        <v>0.0035</v>
      </c>
      <c r="D21" s="42" t="n">
        <v>0.006</v>
      </c>
      <c r="E21" s="42" t="n">
        <v>0.009</v>
      </c>
      <c r="F21" s="42" t="n">
        <v>0.013</v>
      </c>
    </row>
    <row r="22" customFormat="false" ht="15" hidden="false" customHeight="false" outlineLevel="0" collapsed="false">
      <c r="A22" s="34" t="n">
        <v>0.02</v>
      </c>
      <c r="B22" s="43" t="n">
        <f aca="false">Assumptions!$E$9*Assumptions!$E$10*$A22*B$21*(Assumptions!$E$14+(1-Assumptions!$E$14)*Assumptions!$E$13^(12-Assumptions!$E$6))</f>
        <v>1879.50618601062</v>
      </c>
      <c r="C22" s="43" t="n">
        <f aca="false">Assumptions!$E$9*Assumptions!$E$10*$A22*C$21*(Assumptions!$E$14+(1-Assumptions!$E$14)*Assumptions!$E$13^(12-Assumptions!$E$6))</f>
        <v>3289.13582551859</v>
      </c>
      <c r="D22" s="43" t="n">
        <f aca="false">Assumptions!$E$9*Assumptions!$E$10*$A22*D$21*(Assumptions!$E$14+(1-Assumptions!$E$14)*Assumptions!$E$13^(12-Assumptions!$E$6))</f>
        <v>5638.51855803187</v>
      </c>
      <c r="E22" s="43" t="n">
        <f aca="false">Assumptions!$E$9*Assumptions!$E$10*$A22*E$21*(Assumptions!$E$14+(1-Assumptions!$E$14)*Assumptions!$E$13^(12-Assumptions!$E$6))</f>
        <v>8457.77783704781</v>
      </c>
      <c r="F22" s="43" t="n">
        <f aca="false">Assumptions!$E$9*Assumptions!$E$10*$A22*F$21*(Assumptions!$E$14+(1-Assumptions!$E$14)*Assumptions!$E$13^(12-Assumptions!$E$6))</f>
        <v>12216.7902090691</v>
      </c>
    </row>
    <row r="23" customFormat="false" ht="15" hidden="false" customHeight="false" outlineLevel="0" collapsed="false">
      <c r="A23" s="34" t="n">
        <v>0.04</v>
      </c>
      <c r="B23" s="43" t="n">
        <f aca="false">Assumptions!$E$9*Assumptions!$E$10*$A23*B$21*(Assumptions!$E$14+(1-Assumptions!$E$14)*Assumptions!$E$13^(12-Assumptions!$E$6))</f>
        <v>3759.01237202125</v>
      </c>
      <c r="C23" s="43" t="n">
        <f aca="false">Assumptions!$E$9*Assumptions!$E$10*$A23*C$21*(Assumptions!$E$14+(1-Assumptions!$E$14)*Assumptions!$E$13^(12-Assumptions!$E$6))</f>
        <v>6578.27165103719</v>
      </c>
      <c r="D23" s="43" t="n">
        <f aca="false">Assumptions!$E$9*Assumptions!$E$10*$A23*D$21*(Assumptions!$E$14+(1-Assumptions!$E$14)*Assumptions!$E$13^(12-Assumptions!$E$6))</f>
        <v>11277.0371160637</v>
      </c>
      <c r="E23" s="43" t="n">
        <f aca="false">Assumptions!$E$9*Assumptions!$E$10*$A23*E$21*(Assumptions!$E$14+(1-Assumptions!$E$14)*Assumptions!$E$13^(12-Assumptions!$E$6))</f>
        <v>16915.5556740956</v>
      </c>
      <c r="F23" s="43" t="n">
        <f aca="false">Assumptions!$E$9*Assumptions!$E$10*$A23*F$21*(Assumptions!$E$14+(1-Assumptions!$E$14)*Assumptions!$E$13^(12-Assumptions!$E$6))</f>
        <v>24433.5804181381</v>
      </c>
    </row>
    <row r="24" customFormat="false" ht="15" hidden="false" customHeight="false" outlineLevel="0" collapsed="false">
      <c r="A24" s="34" t="n">
        <v>0.07</v>
      </c>
      <c r="B24" s="43" t="n">
        <f aca="false">Assumptions!$E$9*Assumptions!$E$10*$A24*B$21*(Assumptions!$E$14+(1-Assumptions!$E$14)*Assumptions!$E$13^(12-Assumptions!$E$6))</f>
        <v>6578.27165103719</v>
      </c>
      <c r="C24" s="43" t="n">
        <f aca="false">Assumptions!$E$9*Assumptions!$E$10*$A24*C$21*(Assumptions!$E$14+(1-Assumptions!$E$14)*Assumptions!$E$13^(12-Assumptions!$E$6))</f>
        <v>11511.9753893151</v>
      </c>
      <c r="D24" s="43" t="n">
        <f aca="false">Assumptions!$E$9*Assumptions!$E$10*$A24*D$21*(Assumptions!$E$14+(1-Assumptions!$E$14)*Assumptions!$E$13^(12-Assumptions!$E$6))</f>
        <v>19734.8149531116</v>
      </c>
      <c r="E24" s="43" t="n">
        <f aca="false">Assumptions!$E$9*Assumptions!$E$10*$A24*E$21*(Assumptions!$E$14+(1-Assumptions!$E$14)*Assumptions!$E$13^(12-Assumptions!$E$6))</f>
        <v>29602.2224296673</v>
      </c>
      <c r="F24" s="43" t="n">
        <f aca="false">Assumptions!$E$9*Assumptions!$E$10*$A24*F$21*(Assumptions!$E$14+(1-Assumptions!$E$14)*Assumptions!$E$13^(12-Assumptions!$E$6))</f>
        <v>42758.7657317417</v>
      </c>
    </row>
    <row r="25" customFormat="false" ht="15" hidden="false" customHeight="false" outlineLevel="0" collapsed="false">
      <c r="A25" s="34" t="n">
        <v>0.11</v>
      </c>
      <c r="B25" s="43" t="n">
        <f aca="false">Assumptions!$E$9*Assumptions!$E$10*$A25*B$21*(Assumptions!$E$14+(1-Assumptions!$E$14)*Assumptions!$E$13^(12-Assumptions!$E$6))</f>
        <v>10337.2840230584</v>
      </c>
      <c r="C25" s="43" t="n">
        <f aca="false">Assumptions!$E$9*Assumptions!$E$10*$A25*C$21*(Assumptions!$E$14+(1-Assumptions!$E$14)*Assumptions!$E$13^(12-Assumptions!$E$6))</f>
        <v>18090.2470403523</v>
      </c>
      <c r="D25" s="43" t="n">
        <f aca="false">Assumptions!$E$9*Assumptions!$E$10*$A25*D$21*(Assumptions!$E$14+(1-Assumptions!$E$14)*Assumptions!$E$13^(12-Assumptions!$E$6))</f>
        <v>31011.8520691753</v>
      </c>
      <c r="E25" s="43" t="n">
        <f aca="false">Assumptions!$E$9*Assumptions!$E$10*$A25*E$21*(Assumptions!$E$14+(1-Assumptions!$E$14)*Assumptions!$E$13^(12-Assumptions!$E$6))</f>
        <v>46517.7781037629</v>
      </c>
      <c r="F25" s="43" t="n">
        <f aca="false">Assumptions!$E$9*Assumptions!$E$10*$A25*F$21*(Assumptions!$E$14+(1-Assumptions!$E$14)*Assumptions!$E$13^(12-Assumptions!$E$6))</f>
        <v>67192.3461498798</v>
      </c>
    </row>
    <row r="26" customFormat="false" ht="15" hidden="false" customHeight="false" outlineLevel="0" collapsed="false">
      <c r="A26" s="34" t="n">
        <v>0.15</v>
      </c>
      <c r="B26" s="43" t="n">
        <f aca="false">Assumptions!$E$9*Assumptions!$E$10*$A26*B$21*(Assumptions!$E$14+(1-Assumptions!$E$14)*Assumptions!$E$13^(12-Assumptions!$E$6))</f>
        <v>14096.2963950797</v>
      </c>
      <c r="C26" s="43" t="n">
        <f aca="false">Assumptions!$E$9*Assumptions!$E$10*$A26*C$21*(Assumptions!$E$14+(1-Assumptions!$E$14)*Assumptions!$E$13^(12-Assumptions!$E$6))</f>
        <v>24668.5186913894</v>
      </c>
      <c r="D26" s="43" t="n">
        <f aca="false">Assumptions!$E$9*Assumptions!$E$10*$A26*D$21*(Assumptions!$E$14+(1-Assumptions!$E$14)*Assumptions!$E$13^(12-Assumptions!$E$6))</f>
        <v>42288.889185239</v>
      </c>
      <c r="E26" s="43" t="n">
        <f aca="false">Assumptions!$E$9*Assumptions!$E$10*$A26*E$21*(Assumptions!$E$14+(1-Assumptions!$E$14)*Assumptions!$E$13^(12-Assumptions!$E$6))</f>
        <v>63433.3337778586</v>
      </c>
      <c r="F26" s="43" t="n">
        <f aca="false">Assumptions!$E$9*Assumptions!$E$10*$A26*F$21*(Assumptions!$E$14+(1-Assumptions!$E$14)*Assumptions!$E$13^(12-Assumptions!$E$6))</f>
        <v>91625.9265680179</v>
      </c>
    </row>
    <row r="29" customFormat="false" ht="15" hidden="false" customHeight="false" outlineLevel="0" collapsed="false">
      <c r="A29" s="2" t="s">
        <v>368</v>
      </c>
    </row>
    <row r="30" customFormat="false" ht="15" hidden="false" customHeight="false" outlineLevel="0" collapsed="false">
      <c r="A30" s="41" t="s">
        <v>369</v>
      </c>
      <c r="B30" s="41"/>
      <c r="C30" s="41"/>
      <c r="D30" s="41"/>
      <c r="E30" s="41"/>
      <c r="F30" s="41"/>
      <c r="G30" s="41"/>
      <c r="H30" s="41"/>
    </row>
    <row r="31" customFormat="false" ht="15" hidden="false" customHeight="false" outlineLevel="0" collapsed="false">
      <c r="A31" s="26" t="s">
        <v>370</v>
      </c>
      <c r="E31" s="28" t="n">
        <f aca="false">Summary!C29</f>
        <v>0.709987160567735</v>
      </c>
    </row>
    <row r="33" customFormat="false" ht="15" hidden="false" customHeight="false" outlineLevel="0" collapsed="false">
      <c r="A33" s="25" t="s">
        <v>371</v>
      </c>
      <c r="B33" s="38" t="n">
        <v>60</v>
      </c>
      <c r="C33" s="38" t="n">
        <v>75</v>
      </c>
      <c r="D33" s="38" t="n">
        <v>90</v>
      </c>
      <c r="E33" s="38" t="n">
        <v>105</v>
      </c>
      <c r="F33" s="38" t="n">
        <v>130</v>
      </c>
    </row>
    <row r="34" customFormat="false" ht="15" hidden="false" customHeight="false" outlineLevel="0" collapsed="false">
      <c r="A34" s="34" t="n">
        <v>0.2</v>
      </c>
      <c r="B34" s="44" t="n">
        <f aca="false">$E$31*(1-$A34/(1-Assumptions!$E$61)-Assumptions!$E$37/(Assumptions!$E$31*(1-Assumptions!$E$61))-Assumptions!$E$60)+(1-$E$31)*(1-(B$33+Assumptions!$E$56+Assumptions!$E$57+Assumptions!$E$58)/(Assumptions!$E$51*(1-Assumptions!$E$61))-Assumptions!$E$60)</f>
        <v>0.645565256403785</v>
      </c>
      <c r="C34" s="44" t="n">
        <f aca="false">$E$31*(1-$A34/(1-Assumptions!$E$61)-Assumptions!$E$37/(Assumptions!$E$31*(1-Assumptions!$E$61))-Assumptions!$E$60)+(1-$E$31)*(1-(C$33+Assumptions!$E$56+Assumptions!$E$57+Assumptions!$E$58)/(Assumptions!$E$51*(1-Assumptions!$E$61))-Assumptions!$E$60)</f>
        <v>0.627554273952396</v>
      </c>
      <c r="D34" s="44" t="n">
        <f aca="false">$E$31*(1-$A34/(1-Assumptions!$E$61)-Assumptions!$E$37/(Assumptions!$E$31*(1-Assumptions!$E$61))-Assumptions!$E$60)+(1-$E$31)*(1-(D$33+Assumptions!$E$56+Assumptions!$E$57+Assumptions!$E$58)/(Assumptions!$E$51*(1-Assumptions!$E$61))-Assumptions!$E$60)</f>
        <v>0.609543291501007</v>
      </c>
      <c r="E34" s="44" t="n">
        <f aca="false">$E$31*(1-$A34/(1-Assumptions!$E$61)-Assumptions!$E$37/(Assumptions!$E$31*(1-Assumptions!$E$61))-Assumptions!$E$60)+(1-$E$31)*(1-(E$33+Assumptions!$E$56+Assumptions!$E$57+Assumptions!$E$58)/(Assumptions!$E$51*(1-Assumptions!$E$61))-Assumptions!$E$60)</f>
        <v>0.591532309049618</v>
      </c>
      <c r="F34" s="44" t="n">
        <f aca="false">$E$31*(1-$A34/(1-Assumptions!$E$61)-Assumptions!$E$37/(Assumptions!$E$31*(1-Assumptions!$E$61))-Assumptions!$E$60)+(1-$E$31)*(1-(F$33+Assumptions!$E$56+Assumptions!$E$57+Assumptions!$E$58)/(Assumptions!$E$51*(1-Assumptions!$E$61))-Assumptions!$E$60)</f>
        <v>0.56151400496397</v>
      </c>
    </row>
    <row r="35" customFormat="false" ht="15" hidden="false" customHeight="false" outlineLevel="0" collapsed="false">
      <c r="A35" s="34" t="n">
        <v>0.24</v>
      </c>
      <c r="B35" s="44" t="n">
        <f aca="false">$E$31*(1-$A35/(1-Assumptions!$E$61)-Assumptions!$E$37/(Assumptions!$E$31*(1-Assumptions!$E$61))-Assumptions!$E$60)+(1-$E$31)*(1-(B$33+Assumptions!$E$56+Assumptions!$E$57+Assumptions!$E$58)/(Assumptions!$E$51*(1-Assumptions!$E$61))-Assumptions!$E$60)</f>
        <v>0.616287435349446</v>
      </c>
      <c r="C35" s="44" t="n">
        <f aca="false">$E$31*(1-$A35/(1-Assumptions!$E$61)-Assumptions!$E$37/(Assumptions!$E$31*(1-Assumptions!$E$61))-Assumptions!$E$60)+(1-$E$31)*(1-(C$33+Assumptions!$E$56+Assumptions!$E$57+Assumptions!$E$58)/(Assumptions!$E$51*(1-Assumptions!$E$61))-Assumptions!$E$60)</f>
        <v>0.598276452898057</v>
      </c>
      <c r="D35" s="44" t="n">
        <f aca="false">$E$31*(1-$A35/(1-Assumptions!$E$61)-Assumptions!$E$37/(Assumptions!$E$31*(1-Assumptions!$E$61))-Assumptions!$E$60)+(1-$E$31)*(1-(D$33+Assumptions!$E$56+Assumptions!$E$57+Assumptions!$E$58)/(Assumptions!$E$51*(1-Assumptions!$E$61))-Assumptions!$E$60)</f>
        <v>0.580265470446668</v>
      </c>
      <c r="E35" s="44" t="n">
        <f aca="false">$E$31*(1-$A35/(1-Assumptions!$E$61)-Assumptions!$E$37/(Assumptions!$E$31*(1-Assumptions!$E$61))-Assumptions!$E$60)+(1-$E$31)*(1-(E$33+Assumptions!$E$56+Assumptions!$E$57+Assumptions!$E$58)/(Assumptions!$E$51*(1-Assumptions!$E$61))-Assumptions!$E$60)</f>
        <v>0.562254487995279</v>
      </c>
      <c r="F35" s="44" t="n">
        <f aca="false">$E$31*(1-$A35/(1-Assumptions!$E$61)-Assumptions!$E$37/(Assumptions!$E$31*(1-Assumptions!$E$61))-Assumptions!$E$60)+(1-$E$31)*(1-(F$33+Assumptions!$E$56+Assumptions!$E$57+Assumptions!$E$58)/(Assumptions!$E$51*(1-Assumptions!$E$61))-Assumptions!$E$60)</f>
        <v>0.532236183909631</v>
      </c>
    </row>
    <row r="36" customFormat="false" ht="15" hidden="false" customHeight="false" outlineLevel="0" collapsed="false">
      <c r="A36" s="34" t="n">
        <v>0.28</v>
      </c>
      <c r="B36" s="44" t="n">
        <f aca="false">$E$31*(1-$A36/(1-Assumptions!$E$61)-Assumptions!$E$37/(Assumptions!$E$31*(1-Assumptions!$E$61))-Assumptions!$E$60)+(1-$E$31)*(1-(B$33+Assumptions!$E$56+Assumptions!$E$57+Assumptions!$E$58)/(Assumptions!$E$51*(1-Assumptions!$E$61))-Assumptions!$E$60)</f>
        <v>0.587009614295106</v>
      </c>
      <c r="C36" s="44" t="n">
        <f aca="false">$E$31*(1-$A36/(1-Assumptions!$E$61)-Assumptions!$E$37/(Assumptions!$E$31*(1-Assumptions!$E$61))-Assumptions!$E$60)+(1-$E$31)*(1-(C$33+Assumptions!$E$56+Assumptions!$E$57+Assumptions!$E$58)/(Assumptions!$E$51*(1-Assumptions!$E$61))-Assumptions!$E$60)</f>
        <v>0.568998631843717</v>
      </c>
      <c r="D36" s="44" t="n">
        <f aca="false">$E$31*(1-$A36/(1-Assumptions!$E$61)-Assumptions!$E$37/(Assumptions!$E$31*(1-Assumptions!$E$61))-Assumptions!$E$60)+(1-$E$31)*(1-(D$33+Assumptions!$E$56+Assumptions!$E$57+Assumptions!$E$58)/(Assumptions!$E$51*(1-Assumptions!$E$61))-Assumptions!$E$60)</f>
        <v>0.550987649392328</v>
      </c>
      <c r="E36" s="44" t="n">
        <f aca="false">$E$31*(1-$A36/(1-Assumptions!$E$61)-Assumptions!$E$37/(Assumptions!$E$31*(1-Assumptions!$E$61))-Assumptions!$E$60)+(1-$E$31)*(1-(E$33+Assumptions!$E$56+Assumptions!$E$57+Assumptions!$E$58)/(Assumptions!$E$51*(1-Assumptions!$E$61))-Assumptions!$E$60)</f>
        <v>0.532976666940939</v>
      </c>
      <c r="F36" s="44" t="n">
        <f aca="false">$E$31*(1-$A36/(1-Assumptions!$E$61)-Assumptions!$E$37/(Assumptions!$E$31*(1-Assumptions!$E$61))-Assumptions!$E$60)+(1-$E$31)*(1-(F$33+Assumptions!$E$56+Assumptions!$E$57+Assumptions!$E$58)/(Assumptions!$E$51*(1-Assumptions!$E$61))-Assumptions!$E$60)</f>
        <v>0.502958362855291</v>
      </c>
    </row>
    <row r="37" customFormat="false" ht="15" hidden="false" customHeight="false" outlineLevel="0" collapsed="false">
      <c r="A37" s="34" t="n">
        <v>0.32</v>
      </c>
      <c r="B37" s="44" t="n">
        <f aca="false">$E$31*(1-$A37/(1-Assumptions!$E$61)-Assumptions!$E$37/(Assumptions!$E$31*(1-Assumptions!$E$61))-Assumptions!$E$60)+(1-$E$31)*(1-(B$33+Assumptions!$E$56+Assumptions!$E$57+Assumptions!$E$58)/(Assumptions!$E$51*(1-Assumptions!$E$61))-Assumptions!$E$60)</f>
        <v>0.557731793240766</v>
      </c>
      <c r="C37" s="44" t="n">
        <f aca="false">$E$31*(1-$A37/(1-Assumptions!$E$61)-Assumptions!$E$37/(Assumptions!$E$31*(1-Assumptions!$E$61))-Assumptions!$E$60)+(1-$E$31)*(1-(C$33+Assumptions!$E$56+Assumptions!$E$57+Assumptions!$E$58)/(Assumptions!$E$51*(1-Assumptions!$E$61))-Assumptions!$E$60)</f>
        <v>0.539720810789378</v>
      </c>
      <c r="D37" s="44" t="n">
        <f aca="false">$E$31*(1-$A37/(1-Assumptions!$E$61)-Assumptions!$E$37/(Assumptions!$E$31*(1-Assumptions!$E$61))-Assumptions!$E$60)+(1-$E$31)*(1-(D$33+Assumptions!$E$56+Assumptions!$E$57+Assumptions!$E$58)/(Assumptions!$E$51*(1-Assumptions!$E$61))-Assumptions!$E$60)</f>
        <v>0.521709828337989</v>
      </c>
      <c r="E37" s="44" t="n">
        <f aca="false">$E$31*(1-$A37/(1-Assumptions!$E$61)-Assumptions!$E$37/(Assumptions!$E$31*(1-Assumptions!$E$61))-Assumptions!$E$60)+(1-$E$31)*(1-(E$33+Assumptions!$E$56+Assumptions!$E$57+Assumptions!$E$58)/(Assumptions!$E$51*(1-Assumptions!$E$61))-Assumptions!$E$60)</f>
        <v>0.5036988458866</v>
      </c>
      <c r="F37" s="44" t="n">
        <f aca="false">$E$31*(1-$A37/(1-Assumptions!$E$61)-Assumptions!$E$37/(Assumptions!$E$31*(1-Assumptions!$E$61))-Assumptions!$E$60)+(1-$E$31)*(1-(F$33+Assumptions!$E$56+Assumptions!$E$57+Assumptions!$E$58)/(Assumptions!$E$51*(1-Assumptions!$E$61))-Assumptions!$E$60)</f>
        <v>0.473680541800951</v>
      </c>
    </row>
    <row r="38" customFormat="false" ht="15" hidden="false" customHeight="false" outlineLevel="0" collapsed="false">
      <c r="A38" s="34" t="n">
        <v>0.38</v>
      </c>
      <c r="B38" s="44" t="n">
        <f aca="false">$E$31*(1-$A38/(1-Assumptions!$E$61)-Assumptions!$E$37/(Assumptions!$E$31*(1-Assumptions!$E$61))-Assumptions!$E$60)+(1-$E$31)*(1-(B$33+Assumptions!$E$56+Assumptions!$E$57+Assumptions!$E$58)/(Assumptions!$E$51*(1-Assumptions!$E$61))-Assumptions!$E$60)</f>
        <v>0.513815061659257</v>
      </c>
      <c r="C38" s="44" t="n">
        <f aca="false">$E$31*(1-$A38/(1-Assumptions!$E$61)-Assumptions!$E$37/(Assumptions!$E$31*(1-Assumptions!$E$61))-Assumptions!$E$60)+(1-$E$31)*(1-(C$33+Assumptions!$E$56+Assumptions!$E$57+Assumptions!$E$58)/(Assumptions!$E$51*(1-Assumptions!$E$61))-Assumptions!$E$60)</f>
        <v>0.495804079207868</v>
      </c>
      <c r="D38" s="44" t="n">
        <f aca="false">$E$31*(1-$A38/(1-Assumptions!$E$61)-Assumptions!$E$37/(Assumptions!$E$31*(1-Assumptions!$E$61))-Assumptions!$E$60)+(1-$E$31)*(1-(D$33+Assumptions!$E$56+Assumptions!$E$57+Assumptions!$E$58)/(Assumptions!$E$51*(1-Assumptions!$E$61))-Assumptions!$E$60)</f>
        <v>0.477793096756479</v>
      </c>
      <c r="E38" s="44" t="n">
        <f aca="false">$E$31*(1-$A38/(1-Assumptions!$E$61)-Assumptions!$E$37/(Assumptions!$E$31*(1-Assumptions!$E$61))-Assumptions!$E$60)+(1-$E$31)*(1-(E$33+Assumptions!$E$56+Assumptions!$E$57+Assumptions!$E$58)/(Assumptions!$E$51*(1-Assumptions!$E$61))-Assumptions!$E$60)</f>
        <v>0.45978211430509</v>
      </c>
      <c r="F38" s="44" t="n">
        <f aca="false">$E$31*(1-$A38/(1-Assumptions!$E$61)-Assumptions!$E$37/(Assumptions!$E$31*(1-Assumptions!$E$61))-Assumptions!$E$60)+(1-$E$31)*(1-(F$33+Assumptions!$E$56+Assumptions!$E$57+Assumptions!$E$58)/(Assumptions!$E$51*(1-Assumptions!$E$61))-Assumptions!$E$60)</f>
        <v>0.429763810219442</v>
      </c>
    </row>
  </sheetData>
  <mergeCells count="4">
    <mergeCell ref="A2:H2"/>
    <mergeCell ref="A15:H15"/>
    <mergeCell ref="A19:H19"/>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2"/>
    <col collapsed="false" customWidth="true" hidden="false" outlineLevel="0" max="4" min="2" style="0" width="20"/>
  </cols>
  <sheetData>
    <row r="1" customFormat="false" ht="17.35" hidden="false" customHeight="false" outlineLevel="0" collapsed="false">
      <c r="A1" s="4" t="s">
        <v>372</v>
      </c>
    </row>
    <row r="2" customFormat="false" ht="43.5" hidden="false" customHeight="true" outlineLevel="0" collapsed="false">
      <c r="A2" s="5" t="s">
        <v>373</v>
      </c>
      <c r="B2" s="5"/>
      <c r="C2" s="5"/>
      <c r="D2" s="5"/>
      <c r="E2" s="5"/>
    </row>
    <row r="4" customFormat="false" ht="64.15" hidden="false" customHeight="false" outlineLevel="0" collapsed="false">
      <c r="A4" s="26" t="s">
        <v>374</v>
      </c>
      <c r="C4" s="16" t="n">
        <v>3</v>
      </c>
      <c r="D4" s="12" t="s">
        <v>375</v>
      </c>
    </row>
    <row r="6" customFormat="false" ht="15" hidden="false" customHeight="false" outlineLevel="0" collapsed="false">
      <c r="A6" s="25" t="s">
        <v>376</v>
      </c>
      <c r="B6" s="25" t="s">
        <v>22</v>
      </c>
      <c r="C6" s="25" t="s">
        <v>23</v>
      </c>
      <c r="D6" s="25" t="s">
        <v>24</v>
      </c>
    </row>
    <row r="7" customFormat="false" ht="15" hidden="false" customHeight="false" outlineLevel="0" collapsed="false">
      <c r="A7" s="26" t="s">
        <v>377</v>
      </c>
      <c r="B7" s="27" t="n">
        <f aca="false">-SUM(Model_Conservative!C73:AL73)</f>
        <v>-0</v>
      </c>
      <c r="C7" s="27" t="n">
        <f aca="false">-SUM(Model_Baseline!C73:AL73)</f>
        <v>525000</v>
      </c>
      <c r="D7" s="27" t="n">
        <f aca="false">-SUM(Model_Aggressive!C73:AL73)</f>
        <v>875000</v>
      </c>
    </row>
    <row r="8" customFormat="false" ht="15" hidden="false" customHeight="false" outlineLevel="0" collapsed="false">
      <c r="A8" s="26" t="s">
        <v>378</v>
      </c>
      <c r="B8" s="27" t="n">
        <f aca="false">-SUM(Model_Conservative!C74:AL74)</f>
        <v>36244.0345797289</v>
      </c>
      <c r="C8" s="27" t="n">
        <f aca="false">-SUM(Model_Baseline!C74:AL74)</f>
        <v>648520.930177567</v>
      </c>
      <c r="D8" s="27" t="n">
        <f aca="false">-SUM(Model_Aggressive!C74:AL74)</f>
        <v>10833981.0412088</v>
      </c>
    </row>
    <row r="9" customFormat="false" ht="15" hidden="false" customHeight="false" outlineLevel="0" collapsed="false">
      <c r="A9" s="26" t="s">
        <v>379</v>
      </c>
      <c r="B9" s="27" t="n">
        <f aca="false">B7+B8</f>
        <v>36244.0345797289</v>
      </c>
      <c r="C9" s="27" t="n">
        <f aca="false">C7+C8</f>
        <v>1173520.93017757</v>
      </c>
      <c r="D9" s="27" t="n">
        <f aca="false">D7+D8</f>
        <v>11708981.0412088</v>
      </c>
    </row>
    <row r="10" customFormat="false" ht="15" hidden="false" customHeight="false" outlineLevel="0" collapsed="false">
      <c r="A10" s="26" t="s">
        <v>380</v>
      </c>
      <c r="B10" s="27" t="n">
        <f aca="false">-SUM(Model_Conservative!AA74:AL74)</f>
        <v>17623.6977232725</v>
      </c>
      <c r="C10" s="27" t="n">
        <f aca="false">-SUM(Model_Baseline!AA74:AL74)</f>
        <v>353159.312188754</v>
      </c>
      <c r="D10" s="27" t="n">
        <f aca="false">-SUM(Model_Aggressive!AA74:AL74)</f>
        <v>6927421.33454519</v>
      </c>
    </row>
    <row r="11" customFormat="false" ht="15" hidden="false" customHeight="false" outlineLevel="0" collapsed="false">
      <c r="A11" s="26" t="s">
        <v>381</v>
      </c>
      <c r="B11" s="28" t="n">
        <f aca="false">Assumptions!$D$78</f>
        <v>0.1</v>
      </c>
      <c r="C11" s="28" t="n">
        <f aca="false">Assumptions!$E$78</f>
        <v>0.15</v>
      </c>
      <c r="D11" s="28" t="n">
        <f aca="false">Assumptions!$F$78</f>
        <v>0.2</v>
      </c>
    </row>
    <row r="12" customFormat="false" ht="15" hidden="false" customHeight="false" outlineLevel="0" collapsed="false">
      <c r="A12" s="26" t="s">
        <v>382</v>
      </c>
      <c r="B12" s="27" t="n">
        <f aca="false">Summary!B7*$C$4*B11</f>
        <v>105742.186339635</v>
      </c>
      <c r="C12" s="27" t="n">
        <f aca="false">Summary!C7*$C$4*C11</f>
        <v>3178433.80969879</v>
      </c>
      <c r="D12" s="27" t="n">
        <f aca="false">Summary!D7*$C$4*D11</f>
        <v>83129056.0145423</v>
      </c>
    </row>
    <row r="13" customFormat="false" ht="15" hidden="false" customHeight="false" outlineLevel="0" collapsed="false">
      <c r="A13" s="26" t="s">
        <v>383</v>
      </c>
      <c r="B13" s="27" t="n">
        <f aca="false">B9+B12</f>
        <v>141986.220919364</v>
      </c>
      <c r="C13" s="27" t="n">
        <f aca="false">C9+C12</f>
        <v>4351954.73987636</v>
      </c>
      <c r="D13" s="27" t="n">
        <f aca="false">D9+D12</f>
        <v>94838037.0557511</v>
      </c>
    </row>
    <row r="14" customFormat="false" ht="15" hidden="false" customHeight="false" outlineLevel="0" collapsed="false">
      <c r="A14" s="26" t="s">
        <v>384</v>
      </c>
      <c r="B14" s="28" t="n">
        <f aca="false">IFERROR(B9/Summary!B8,0)</f>
        <v>0.05</v>
      </c>
      <c r="C14" s="28" t="n">
        <f aca="false">IFERROR(C9/Summary!C8,0)</f>
        <v>0.0904767198381904</v>
      </c>
      <c r="D14" s="28" t="n">
        <f aca="false">IFERROR(D9/Summary!D8,0)</f>
        <v>0.0540382200996651</v>
      </c>
    </row>
    <row r="16" customFormat="false" ht="15" hidden="false" customHeight="false" outlineLevel="0" collapsed="false">
      <c r="A16" s="2" t="s">
        <v>385</v>
      </c>
    </row>
    <row r="17" customFormat="false" ht="60" hidden="false" customHeight="true" outlineLevel="0" collapsed="false">
      <c r="A17" s="40" t="s">
        <v>386</v>
      </c>
      <c r="B17" s="40"/>
      <c r="C17" s="40"/>
      <c r="D17" s="40"/>
    </row>
    <row r="18" customFormat="false" ht="60" hidden="false" customHeight="true" outlineLevel="0" collapsed="false">
      <c r="A18" s="40" t="s">
        <v>387</v>
      </c>
      <c r="B18" s="40"/>
      <c r="C18" s="40"/>
      <c r="D18" s="40"/>
    </row>
    <row r="19" customFormat="false" ht="60" hidden="false" customHeight="true" outlineLevel="0" collapsed="false">
      <c r="A19" s="40" t="s">
        <v>388</v>
      </c>
      <c r="B19" s="40"/>
      <c r="C19" s="40"/>
      <c r="D19" s="40"/>
    </row>
    <row r="20" customFormat="false" ht="60" hidden="false" customHeight="true" outlineLevel="0" collapsed="false">
      <c r="A20" s="40" t="s">
        <v>389</v>
      </c>
      <c r="B20" s="40"/>
      <c r="C20" s="40"/>
      <c r="D20" s="40"/>
    </row>
    <row r="21" customFormat="false" ht="60" hidden="false" customHeight="true" outlineLevel="0" collapsed="false">
      <c r="A21" s="40" t="s">
        <v>390</v>
      </c>
      <c r="B21" s="40"/>
      <c r="C21" s="40"/>
      <c r="D21" s="40"/>
    </row>
  </sheetData>
  <mergeCells count="6">
    <mergeCell ref="A2:E2"/>
    <mergeCell ref="A17:D17"/>
    <mergeCell ref="A18:D18"/>
    <mergeCell ref="A19:D19"/>
    <mergeCell ref="A20:D20"/>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60"/>
    <col collapsed="false" customWidth="true" hidden="false" outlineLevel="0" max="3" min="3" style="0" width="78"/>
    <col collapsed="false" customWidth="true" hidden="false" outlineLevel="0" max="4" min="4" style="0" width="12"/>
  </cols>
  <sheetData>
    <row r="1" customFormat="false" ht="17.35" hidden="false" customHeight="false" outlineLevel="0" collapsed="false">
      <c r="A1" s="4" t="s">
        <v>391</v>
      </c>
    </row>
    <row r="2" customFormat="false" ht="39.75" hidden="false" customHeight="true" outlineLevel="0" collapsed="false">
      <c r="A2" s="5" t="s">
        <v>392</v>
      </c>
      <c r="B2" s="5"/>
      <c r="C2" s="5"/>
      <c r="D2" s="5"/>
    </row>
    <row r="4" customFormat="false" ht="15" hidden="false" customHeight="false" outlineLevel="0" collapsed="false">
      <c r="A4" s="25" t="s">
        <v>44</v>
      </c>
      <c r="B4" s="25" t="s">
        <v>393</v>
      </c>
      <c r="C4" s="25" t="s">
        <v>394</v>
      </c>
      <c r="D4" s="25" t="s">
        <v>395</v>
      </c>
    </row>
    <row r="5" customFormat="false" ht="57.75" hidden="false" customHeight="true" outlineLevel="0" collapsed="false">
      <c r="A5" s="26" t="n">
        <v>1</v>
      </c>
      <c r="B5" s="45" t="s">
        <v>396</v>
      </c>
      <c r="C5" s="12" t="s">
        <v>397</v>
      </c>
      <c r="D5" s="10" t="s">
        <v>398</v>
      </c>
    </row>
    <row r="6" customFormat="false" ht="57.75" hidden="false" customHeight="true" outlineLevel="0" collapsed="false">
      <c r="A6" s="26" t="n">
        <v>2</v>
      </c>
      <c r="B6" s="45" t="s">
        <v>399</v>
      </c>
      <c r="C6" s="12" t="s">
        <v>400</v>
      </c>
      <c r="D6" s="10" t="s">
        <v>398</v>
      </c>
    </row>
    <row r="7" customFormat="false" ht="57.75" hidden="false" customHeight="true" outlineLevel="0" collapsed="false">
      <c r="A7" s="26" t="n">
        <v>3</v>
      </c>
      <c r="B7" s="45" t="s">
        <v>401</v>
      </c>
      <c r="C7" s="12" t="s">
        <v>402</v>
      </c>
      <c r="D7" s="10" t="s">
        <v>398</v>
      </c>
    </row>
    <row r="8" customFormat="false" ht="57.75" hidden="false" customHeight="true" outlineLevel="0" collapsed="false">
      <c r="A8" s="26" t="n">
        <v>4</v>
      </c>
      <c r="B8" s="45" t="s">
        <v>403</v>
      </c>
      <c r="C8" s="12" t="s">
        <v>404</v>
      </c>
      <c r="D8" s="10" t="s">
        <v>398</v>
      </c>
    </row>
    <row r="9" customFormat="false" ht="57.75" hidden="false" customHeight="true" outlineLevel="0" collapsed="false">
      <c r="A9" s="26" t="n">
        <v>5</v>
      </c>
      <c r="B9" s="45" t="s">
        <v>405</v>
      </c>
      <c r="C9" s="12" t="s">
        <v>406</v>
      </c>
      <c r="D9" s="10" t="s">
        <v>398</v>
      </c>
    </row>
    <row r="10" customFormat="false" ht="57.75" hidden="false" customHeight="true" outlineLevel="0" collapsed="false">
      <c r="A10" s="26" t="n">
        <v>6</v>
      </c>
      <c r="B10" s="45" t="s">
        <v>407</v>
      </c>
      <c r="C10" s="12" t="s">
        <v>408</v>
      </c>
      <c r="D10" s="10" t="s">
        <v>398</v>
      </c>
    </row>
    <row r="11" customFormat="false" ht="57.75" hidden="false" customHeight="true" outlineLevel="0" collapsed="false">
      <c r="A11" s="26" t="n">
        <v>7</v>
      </c>
      <c r="B11" s="45" t="s">
        <v>409</v>
      </c>
      <c r="C11" s="12" t="s">
        <v>410</v>
      </c>
      <c r="D11" s="10" t="s">
        <v>398</v>
      </c>
    </row>
    <row r="12" customFormat="false" ht="57.75" hidden="false" customHeight="true" outlineLevel="0" collapsed="false">
      <c r="A12" s="26" t="n">
        <v>8</v>
      </c>
      <c r="B12" s="45" t="s">
        <v>411</v>
      </c>
      <c r="C12" s="12" t="s">
        <v>412</v>
      </c>
      <c r="D12" s="10" t="s">
        <v>398</v>
      </c>
    </row>
    <row r="13" customFormat="false" ht="57.75" hidden="false" customHeight="true" outlineLevel="0" collapsed="false">
      <c r="A13" s="26" t="n">
        <v>9</v>
      </c>
      <c r="B13" s="45" t="s">
        <v>413</v>
      </c>
      <c r="C13" s="12" t="s">
        <v>414</v>
      </c>
      <c r="D13" s="10" t="s">
        <v>398</v>
      </c>
    </row>
    <row r="14" customFormat="false" ht="57.75" hidden="false" customHeight="true" outlineLevel="0" collapsed="false">
      <c r="A14" s="26" t="n">
        <v>10</v>
      </c>
      <c r="B14" s="45" t="s">
        <v>415</v>
      </c>
      <c r="C14" s="12" t="s">
        <v>416</v>
      </c>
      <c r="D14" s="10" t="s">
        <v>398</v>
      </c>
    </row>
    <row r="15" customFormat="false" ht="57.75" hidden="false" customHeight="true" outlineLevel="0" collapsed="false">
      <c r="A15" s="26" t="n">
        <v>11</v>
      </c>
      <c r="B15" s="45" t="s">
        <v>417</v>
      </c>
      <c r="C15" s="12" t="s">
        <v>418</v>
      </c>
      <c r="D15" s="10" t="s">
        <v>398</v>
      </c>
    </row>
    <row r="16" customFormat="false" ht="57.75" hidden="false" customHeight="true" outlineLevel="0" collapsed="false">
      <c r="A16" s="26" t="n">
        <v>12</v>
      </c>
      <c r="B16" s="45" t="s">
        <v>419</v>
      </c>
      <c r="C16" s="12" t="s">
        <v>420</v>
      </c>
      <c r="D16" s="10" t="s">
        <v>398</v>
      </c>
    </row>
    <row r="17" customFormat="false" ht="57.75" hidden="false" customHeight="true" outlineLevel="0" collapsed="false">
      <c r="A17" s="26" t="n">
        <v>13</v>
      </c>
      <c r="B17" s="45" t="s">
        <v>421</v>
      </c>
      <c r="C17" s="12" t="s">
        <v>422</v>
      </c>
      <c r="D17" s="10" t="s">
        <v>398</v>
      </c>
    </row>
    <row r="18" customFormat="false" ht="57.75" hidden="false" customHeight="true" outlineLevel="0" collapsed="false">
      <c r="A18" s="26" t="n">
        <v>14</v>
      </c>
      <c r="B18" s="45" t="s">
        <v>423</v>
      </c>
      <c r="C18" s="12" t="s">
        <v>424</v>
      </c>
      <c r="D18" s="10" t="s">
        <v>398</v>
      </c>
    </row>
    <row r="19" customFormat="false" ht="57.75" hidden="false" customHeight="true" outlineLevel="0" collapsed="false">
      <c r="A19" s="26" t="n">
        <v>15</v>
      </c>
      <c r="B19" s="45" t="s">
        <v>425</v>
      </c>
      <c r="C19" s="12" t="s">
        <v>426</v>
      </c>
      <c r="D19" s="10" t="s">
        <v>398</v>
      </c>
    </row>
    <row r="20" customFormat="false" ht="57.75" hidden="false" customHeight="true" outlineLevel="0" collapsed="false">
      <c r="A20" s="26" t="n">
        <v>16</v>
      </c>
      <c r="B20" s="45" t="s">
        <v>427</v>
      </c>
      <c r="C20" s="12" t="s">
        <v>428</v>
      </c>
      <c r="D20" s="10" t="s">
        <v>398</v>
      </c>
    </row>
    <row r="21" customFormat="false" ht="57.75" hidden="false" customHeight="true" outlineLevel="0" collapsed="false">
      <c r="A21" s="26" t="n">
        <v>17</v>
      </c>
      <c r="B21" s="45" t="s">
        <v>429</v>
      </c>
      <c r="C21" s="12" t="s">
        <v>430</v>
      </c>
      <c r="D21" s="10" t="s">
        <v>398</v>
      </c>
    </row>
    <row r="22" customFormat="false" ht="57.75" hidden="false" customHeight="true" outlineLevel="0" collapsed="false">
      <c r="A22" s="26" t="n">
        <v>18</v>
      </c>
      <c r="B22" s="45" t="s">
        <v>431</v>
      </c>
      <c r="C22" s="12" t="s">
        <v>432</v>
      </c>
      <c r="D22" s="10" t="s">
        <v>398</v>
      </c>
    </row>
    <row r="23" customFormat="false" ht="57.75" hidden="false" customHeight="true" outlineLevel="0" collapsed="false">
      <c r="A23" s="26" t="n">
        <v>19</v>
      </c>
      <c r="B23" s="45" t="s">
        <v>433</v>
      </c>
      <c r="C23" s="12" t="s">
        <v>434</v>
      </c>
      <c r="D23" s="10" t="s">
        <v>398</v>
      </c>
    </row>
    <row r="24" customFormat="false" ht="57.75" hidden="false" customHeight="true" outlineLevel="0" collapsed="false">
      <c r="A24" s="26" t="n">
        <v>20</v>
      </c>
      <c r="B24" s="45" t="s">
        <v>435</v>
      </c>
      <c r="C24" s="12" t="s">
        <v>436</v>
      </c>
      <c r="D24" s="10" t="s">
        <v>398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62"/>
    <col collapsed="false" customWidth="true" hidden="false" outlineLevel="0" max="4" min="4" style="0" width="58"/>
    <col collapsed="false" customWidth="true" hidden="false" outlineLevel="0" max="5" min="5" style="0" width="14"/>
    <col collapsed="false" customWidth="true" hidden="false" outlineLevel="0" max="6" min="6" style="0" width="46"/>
  </cols>
  <sheetData>
    <row r="1" customFormat="false" ht="17.35" hidden="false" customHeight="false" outlineLevel="0" collapsed="false">
      <c r="A1" s="4" t="s">
        <v>437</v>
      </c>
    </row>
    <row r="2" customFormat="false" ht="39.75" hidden="false" customHeight="true" outlineLevel="0" collapsed="false">
      <c r="A2" s="5" t="s">
        <v>438</v>
      </c>
      <c r="B2" s="5"/>
      <c r="C2" s="5"/>
      <c r="D2" s="5"/>
      <c r="E2" s="5"/>
      <c r="F2" s="5"/>
    </row>
    <row r="4" customFormat="false" ht="15" hidden="false" customHeight="false" outlineLevel="0" collapsed="false">
      <c r="A4" s="25" t="s">
        <v>439</v>
      </c>
      <c r="B4" s="25" t="s">
        <v>440</v>
      </c>
      <c r="C4" s="25" t="s">
        <v>441</v>
      </c>
      <c r="D4" s="25" t="s">
        <v>442</v>
      </c>
      <c r="E4" s="25" t="s">
        <v>26</v>
      </c>
      <c r="F4" s="25" t="s">
        <v>443</v>
      </c>
    </row>
    <row r="5" customFormat="false" ht="91.5" hidden="false" customHeight="true" outlineLevel="0" collapsed="false">
      <c r="A5" s="26" t="s">
        <v>444</v>
      </c>
      <c r="B5" s="45" t="s">
        <v>445</v>
      </c>
      <c r="C5" s="12" t="s">
        <v>446</v>
      </c>
      <c r="D5" s="12" t="s">
        <v>447</v>
      </c>
      <c r="E5" s="45" t="s">
        <v>448</v>
      </c>
      <c r="F5" s="46" t="s">
        <v>449</v>
      </c>
    </row>
    <row r="6" customFormat="false" ht="91.5" hidden="false" customHeight="true" outlineLevel="0" collapsed="false">
      <c r="A6" s="26" t="s">
        <v>450</v>
      </c>
      <c r="B6" s="45" t="s">
        <v>451</v>
      </c>
      <c r="C6" s="12" t="s">
        <v>452</v>
      </c>
      <c r="D6" s="12" t="s">
        <v>453</v>
      </c>
      <c r="E6" s="45" t="s">
        <v>448</v>
      </c>
      <c r="F6" s="46" t="s">
        <v>454</v>
      </c>
    </row>
    <row r="7" customFormat="false" ht="91.5" hidden="false" customHeight="true" outlineLevel="0" collapsed="false">
      <c r="A7" s="26" t="s">
        <v>455</v>
      </c>
      <c r="B7" s="45" t="s">
        <v>456</v>
      </c>
      <c r="C7" s="12" t="s">
        <v>457</v>
      </c>
      <c r="D7" s="12" t="s">
        <v>458</v>
      </c>
      <c r="E7" s="45" t="s">
        <v>459</v>
      </c>
      <c r="F7" s="46" t="s">
        <v>460</v>
      </c>
    </row>
    <row r="8" customFormat="false" ht="91.5" hidden="false" customHeight="true" outlineLevel="0" collapsed="false">
      <c r="A8" s="26" t="s">
        <v>461</v>
      </c>
      <c r="B8" s="45" t="s">
        <v>462</v>
      </c>
      <c r="C8" s="12" t="s">
        <v>463</v>
      </c>
      <c r="D8" s="12" t="s">
        <v>464</v>
      </c>
      <c r="E8" s="45" t="s">
        <v>35</v>
      </c>
      <c r="F8" s="46" t="s">
        <v>465</v>
      </c>
    </row>
    <row r="9" customFormat="false" ht="91.5" hidden="false" customHeight="true" outlineLevel="0" collapsed="false">
      <c r="A9" s="26" t="s">
        <v>466</v>
      </c>
      <c r="B9" s="45" t="s">
        <v>467</v>
      </c>
      <c r="C9" s="12" t="s">
        <v>468</v>
      </c>
      <c r="D9" s="12" t="s">
        <v>469</v>
      </c>
      <c r="E9" s="45" t="s">
        <v>35</v>
      </c>
      <c r="F9" s="46" t="s">
        <v>470</v>
      </c>
    </row>
    <row r="10" customFormat="false" ht="91.5" hidden="false" customHeight="true" outlineLevel="0" collapsed="false">
      <c r="A10" s="26" t="s">
        <v>471</v>
      </c>
      <c r="B10" s="45" t="s">
        <v>472</v>
      </c>
      <c r="C10" s="12" t="s">
        <v>473</v>
      </c>
      <c r="D10" s="12" t="s">
        <v>474</v>
      </c>
      <c r="E10" s="45" t="s">
        <v>35</v>
      </c>
      <c r="F10" s="46" t="s">
        <v>475</v>
      </c>
    </row>
    <row r="11" customFormat="false" ht="91.5" hidden="false" customHeight="true" outlineLevel="0" collapsed="false">
      <c r="A11" s="26" t="s">
        <v>476</v>
      </c>
      <c r="B11" s="45" t="s">
        <v>477</v>
      </c>
      <c r="C11" s="12" t="s">
        <v>478</v>
      </c>
      <c r="D11" s="12" t="s">
        <v>479</v>
      </c>
      <c r="E11" s="45" t="s">
        <v>480</v>
      </c>
      <c r="F11" s="46" t="s">
        <v>481</v>
      </c>
    </row>
    <row r="12" customFormat="false" ht="91.5" hidden="false" customHeight="true" outlineLevel="0" collapsed="false">
      <c r="A12" s="26" t="s">
        <v>482</v>
      </c>
      <c r="B12" s="45" t="s">
        <v>483</v>
      </c>
      <c r="C12" s="12" t="s">
        <v>484</v>
      </c>
      <c r="D12" s="12" t="s">
        <v>485</v>
      </c>
      <c r="E12" s="45" t="s">
        <v>35</v>
      </c>
      <c r="F12" s="46" t="s">
        <v>486</v>
      </c>
    </row>
    <row r="13" customFormat="false" ht="91.5" hidden="false" customHeight="true" outlineLevel="0" collapsed="false">
      <c r="A13" s="26" t="s">
        <v>487</v>
      </c>
      <c r="B13" s="45" t="s">
        <v>488</v>
      </c>
      <c r="C13" s="12" t="s">
        <v>489</v>
      </c>
      <c r="D13" s="12" t="s">
        <v>490</v>
      </c>
      <c r="E13" s="45" t="s">
        <v>491</v>
      </c>
      <c r="F13" s="46" t="s">
        <v>492</v>
      </c>
    </row>
    <row r="14" customFormat="false" ht="91.5" hidden="false" customHeight="true" outlineLevel="0" collapsed="false">
      <c r="A14" s="26" t="s">
        <v>493</v>
      </c>
      <c r="B14" s="45" t="s">
        <v>494</v>
      </c>
      <c r="C14" s="12" t="s">
        <v>495</v>
      </c>
      <c r="D14" s="12" t="s">
        <v>496</v>
      </c>
      <c r="E14" s="45" t="s">
        <v>497</v>
      </c>
      <c r="F14" s="46" t="s">
        <v>498</v>
      </c>
    </row>
    <row r="15" customFormat="false" ht="91.5" hidden="false" customHeight="true" outlineLevel="0" collapsed="false">
      <c r="A15" s="26" t="s">
        <v>499</v>
      </c>
      <c r="B15" s="45" t="s">
        <v>500</v>
      </c>
      <c r="C15" s="12" t="s">
        <v>501</v>
      </c>
      <c r="D15" s="12" t="s">
        <v>502</v>
      </c>
      <c r="E15" s="45" t="s">
        <v>35</v>
      </c>
      <c r="F15" s="46" t="s">
        <v>503</v>
      </c>
    </row>
    <row r="16" customFormat="false" ht="91.5" hidden="false" customHeight="true" outlineLevel="0" collapsed="false">
      <c r="A16" s="26" t="s">
        <v>504</v>
      </c>
      <c r="B16" s="45" t="s">
        <v>505</v>
      </c>
      <c r="C16" s="12" t="s">
        <v>506</v>
      </c>
      <c r="D16" s="12" t="s">
        <v>507</v>
      </c>
      <c r="E16" s="45" t="s">
        <v>508</v>
      </c>
      <c r="F16" s="46" t="s">
        <v>509</v>
      </c>
    </row>
    <row r="17" customFormat="false" ht="91.5" hidden="false" customHeight="true" outlineLevel="0" collapsed="false">
      <c r="A17" s="26" t="s">
        <v>510</v>
      </c>
      <c r="B17" s="45" t="s">
        <v>511</v>
      </c>
      <c r="C17" s="12" t="s">
        <v>512</v>
      </c>
      <c r="D17" s="12" t="s">
        <v>513</v>
      </c>
      <c r="E17" s="45" t="s">
        <v>514</v>
      </c>
      <c r="F17" s="46" t="s">
        <v>515</v>
      </c>
    </row>
    <row r="18" customFormat="false" ht="91.5" hidden="false" customHeight="true" outlineLevel="0" collapsed="false">
      <c r="A18" s="26" t="s">
        <v>516</v>
      </c>
      <c r="B18" s="45" t="s">
        <v>517</v>
      </c>
      <c r="C18" s="12" t="s">
        <v>518</v>
      </c>
      <c r="D18" s="12" t="s">
        <v>519</v>
      </c>
      <c r="E18" s="45" t="s">
        <v>520</v>
      </c>
      <c r="F18" s="46" t="s">
        <v>521</v>
      </c>
    </row>
    <row r="19" customFormat="false" ht="91.5" hidden="false" customHeight="true" outlineLevel="0" collapsed="false">
      <c r="A19" s="26" t="s">
        <v>522</v>
      </c>
      <c r="B19" s="45" t="s">
        <v>523</v>
      </c>
      <c r="C19" s="12" t="s">
        <v>524</v>
      </c>
      <c r="D19" s="12" t="s">
        <v>525</v>
      </c>
      <c r="E19" s="45" t="s">
        <v>35</v>
      </c>
      <c r="F19" s="46" t="s">
        <v>526</v>
      </c>
    </row>
    <row r="20" customFormat="false" ht="91.5" hidden="false" customHeight="true" outlineLevel="0" collapsed="false">
      <c r="A20" s="26" t="s">
        <v>527</v>
      </c>
      <c r="B20" s="45" t="s">
        <v>528</v>
      </c>
      <c r="C20" s="12" t="s">
        <v>529</v>
      </c>
      <c r="D20" s="12" t="s">
        <v>530</v>
      </c>
      <c r="E20" s="45" t="s">
        <v>531</v>
      </c>
      <c r="F20" s="46" t="s">
        <v>532</v>
      </c>
    </row>
    <row r="21" customFormat="false" ht="91.5" hidden="false" customHeight="true" outlineLevel="0" collapsed="false">
      <c r="A21" s="26" t="s">
        <v>533</v>
      </c>
      <c r="B21" s="45" t="s">
        <v>534</v>
      </c>
      <c r="C21" s="12" t="s">
        <v>535</v>
      </c>
      <c r="D21" s="12" t="s">
        <v>536</v>
      </c>
      <c r="E21" s="45" t="s">
        <v>537</v>
      </c>
      <c r="F21" s="46" t="s">
        <v>538</v>
      </c>
    </row>
    <row r="22" customFormat="false" ht="91.5" hidden="false" customHeight="true" outlineLevel="0" collapsed="false">
      <c r="A22" s="26" t="s">
        <v>539</v>
      </c>
      <c r="B22" s="45" t="s">
        <v>540</v>
      </c>
      <c r="C22" s="12" t="s">
        <v>541</v>
      </c>
      <c r="D22" s="12" t="s">
        <v>542</v>
      </c>
      <c r="E22" s="45" t="s">
        <v>543</v>
      </c>
      <c r="F22" s="46" t="s">
        <v>544</v>
      </c>
    </row>
    <row r="24" customFormat="false" ht="15" hidden="false" customHeight="false" outlineLevel="0" collapsed="false">
      <c r="A24" s="2" t="s">
        <v>545</v>
      </c>
    </row>
    <row r="25" customFormat="false" ht="30" hidden="false" customHeight="true" outlineLevel="0" collapsed="false">
      <c r="B25" s="40" t="s">
        <v>546</v>
      </c>
      <c r="C25" s="40"/>
      <c r="D25" s="40"/>
      <c r="E25" s="40"/>
      <c r="F25" s="40"/>
    </row>
    <row r="26" customFormat="false" ht="30" hidden="false" customHeight="true" outlineLevel="0" collapsed="false">
      <c r="B26" s="40" t="s">
        <v>547</v>
      </c>
      <c r="C26" s="40"/>
      <c r="D26" s="40"/>
      <c r="E26" s="40"/>
      <c r="F26" s="40"/>
    </row>
    <row r="27" customFormat="false" ht="30" hidden="false" customHeight="true" outlineLevel="0" collapsed="false">
      <c r="B27" s="40" t="s">
        <v>548</v>
      </c>
      <c r="C27" s="40"/>
      <c r="D27" s="40"/>
      <c r="E27" s="40"/>
      <c r="F27" s="40"/>
    </row>
    <row r="28" customFormat="false" ht="30" hidden="false" customHeight="true" outlineLevel="0" collapsed="false">
      <c r="B28" s="40" t="s">
        <v>549</v>
      </c>
      <c r="C28" s="40"/>
      <c r="D28" s="40"/>
      <c r="E28" s="40"/>
      <c r="F28" s="40"/>
    </row>
  </sheetData>
  <mergeCells count="5">
    <mergeCell ref="A2:F2"/>
    <mergeCell ref="B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8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8" min="3" style="0" width="12"/>
    <col collapsed="false" customWidth="true" hidden="false" outlineLevel="0" max="39" min="39" style="0" width="15"/>
  </cols>
  <sheetData>
    <row r="1" customFormat="false" ht="17.35" hidden="false" customHeight="false" outlineLevel="0" collapsed="false">
      <c r="A1" s="4" t="s">
        <v>550</v>
      </c>
    </row>
    <row r="2" customFormat="false" ht="15" hidden="false" customHeight="false" outlineLevel="0" collapsed="false">
      <c r="A2" s="47" t="s">
        <v>551</v>
      </c>
    </row>
    <row r="4" customFormat="false" ht="15" hidden="false" customHeight="false" outlineLevel="0" collapsed="false">
      <c r="A4" s="25" t="s">
        <v>552</v>
      </c>
      <c r="B4" s="25" t="s">
        <v>21</v>
      </c>
      <c r="C4" s="48" t="s">
        <v>553</v>
      </c>
      <c r="D4" s="48" t="s">
        <v>554</v>
      </c>
      <c r="E4" s="48" t="s">
        <v>555</v>
      </c>
      <c r="F4" s="48" t="s">
        <v>556</v>
      </c>
      <c r="G4" s="48" t="s">
        <v>557</v>
      </c>
      <c r="H4" s="48" t="s">
        <v>558</v>
      </c>
      <c r="I4" s="48" t="s">
        <v>559</v>
      </c>
      <c r="J4" s="48" t="s">
        <v>560</v>
      </c>
      <c r="K4" s="48" t="s">
        <v>561</v>
      </c>
      <c r="L4" s="48" t="s">
        <v>562</v>
      </c>
      <c r="M4" s="48" t="s">
        <v>563</v>
      </c>
      <c r="N4" s="48" t="s">
        <v>564</v>
      </c>
      <c r="O4" s="48" t="s">
        <v>565</v>
      </c>
      <c r="P4" s="48" t="s">
        <v>566</v>
      </c>
      <c r="Q4" s="48" t="s">
        <v>567</v>
      </c>
      <c r="R4" s="48" t="s">
        <v>568</v>
      </c>
      <c r="S4" s="48" t="s">
        <v>569</v>
      </c>
      <c r="T4" s="48" t="s">
        <v>570</v>
      </c>
      <c r="U4" s="48" t="s">
        <v>571</v>
      </c>
      <c r="V4" s="48" t="s">
        <v>572</v>
      </c>
      <c r="W4" s="48" t="s">
        <v>573</v>
      </c>
      <c r="X4" s="48" t="s">
        <v>574</v>
      </c>
      <c r="Y4" s="48" t="s">
        <v>575</v>
      </c>
      <c r="Z4" s="48" t="s">
        <v>576</v>
      </c>
      <c r="AA4" s="48" t="s">
        <v>577</v>
      </c>
      <c r="AB4" s="48" t="s">
        <v>578</v>
      </c>
      <c r="AC4" s="48" t="s">
        <v>579</v>
      </c>
      <c r="AD4" s="48" t="s">
        <v>580</v>
      </c>
      <c r="AE4" s="48" t="s">
        <v>581</v>
      </c>
      <c r="AF4" s="48" t="s">
        <v>582</v>
      </c>
      <c r="AG4" s="48" t="s">
        <v>583</v>
      </c>
      <c r="AH4" s="48" t="s">
        <v>584</v>
      </c>
      <c r="AI4" s="48" t="s">
        <v>585</v>
      </c>
      <c r="AJ4" s="48" t="s">
        <v>586</v>
      </c>
      <c r="AK4" s="48" t="s">
        <v>587</v>
      </c>
      <c r="AL4" s="48" t="s">
        <v>588</v>
      </c>
      <c r="AM4" s="25" t="s">
        <v>589</v>
      </c>
    </row>
    <row r="5" customFormat="false" ht="15" hidden="false" customHeight="false" outlineLevel="0" collapsed="false">
      <c r="A5" s="0" t="s">
        <v>590</v>
      </c>
      <c r="B5" s="0" t="s">
        <v>44</v>
      </c>
      <c r="C5" s="10" t="n">
        <v>1</v>
      </c>
      <c r="D5" s="10" t="n">
        <v>2</v>
      </c>
      <c r="E5" s="10" t="n">
        <v>3</v>
      </c>
      <c r="F5" s="10" t="n">
        <v>4</v>
      </c>
      <c r="G5" s="10" t="n">
        <v>5</v>
      </c>
      <c r="H5" s="10" t="n">
        <v>6</v>
      </c>
      <c r="I5" s="10" t="n">
        <v>7</v>
      </c>
      <c r="J5" s="10" t="n">
        <v>8</v>
      </c>
      <c r="K5" s="10" t="n">
        <v>9</v>
      </c>
      <c r="L5" s="10" t="n">
        <v>10</v>
      </c>
      <c r="M5" s="10" t="n">
        <v>11</v>
      </c>
      <c r="N5" s="10" t="n">
        <v>12</v>
      </c>
      <c r="O5" s="10" t="n">
        <v>13</v>
      </c>
      <c r="P5" s="10" t="n">
        <v>14</v>
      </c>
      <c r="Q5" s="10" t="n">
        <v>15</v>
      </c>
      <c r="R5" s="10" t="n">
        <v>16</v>
      </c>
      <c r="S5" s="10" t="n">
        <v>17</v>
      </c>
      <c r="T5" s="10" t="n">
        <v>18</v>
      </c>
      <c r="U5" s="10" t="n">
        <v>19</v>
      </c>
      <c r="V5" s="10" t="n">
        <v>20</v>
      </c>
      <c r="W5" s="10" t="n">
        <v>21</v>
      </c>
      <c r="X5" s="10" t="n">
        <v>22</v>
      </c>
      <c r="Y5" s="10" t="n">
        <v>23</v>
      </c>
      <c r="Z5" s="10" t="n">
        <v>24</v>
      </c>
      <c r="AA5" s="10" t="n">
        <v>25</v>
      </c>
      <c r="AB5" s="10" t="n">
        <v>26</v>
      </c>
      <c r="AC5" s="10" t="n">
        <v>27</v>
      </c>
      <c r="AD5" s="10" t="n">
        <v>28</v>
      </c>
      <c r="AE5" s="10" t="n">
        <v>29</v>
      </c>
      <c r="AF5" s="10" t="n">
        <v>30</v>
      </c>
      <c r="AG5" s="10" t="n">
        <v>31</v>
      </c>
      <c r="AH5" s="10" t="n">
        <v>32</v>
      </c>
      <c r="AI5" s="10" t="n">
        <v>33</v>
      </c>
      <c r="AJ5" s="10" t="n">
        <v>34</v>
      </c>
      <c r="AK5" s="10" t="n">
        <v>35</v>
      </c>
      <c r="AL5" s="10" t="n">
        <v>36</v>
      </c>
    </row>
    <row r="6" customFormat="false" ht="15" hidden="false" customHeight="false" outlineLevel="0" collapsed="false">
      <c r="A6" s="0" t="s">
        <v>591</v>
      </c>
      <c r="B6" s="0" t="s">
        <v>44</v>
      </c>
      <c r="C6" s="10" t="n">
        <f aca="false">ROUNDUP(C$5/12,0)</f>
        <v>1</v>
      </c>
      <c r="D6" s="10" t="n">
        <f aca="false">ROUNDUP(D$5/12,0)</f>
        <v>1</v>
      </c>
      <c r="E6" s="10" t="n">
        <f aca="false">ROUNDUP(E$5/12,0)</f>
        <v>1</v>
      </c>
      <c r="F6" s="10" t="n">
        <f aca="false">ROUNDUP(F$5/12,0)</f>
        <v>1</v>
      </c>
      <c r="G6" s="10" t="n">
        <f aca="false">ROUNDUP(G$5/12,0)</f>
        <v>1</v>
      </c>
      <c r="H6" s="10" t="n">
        <f aca="false">ROUNDUP(H$5/12,0)</f>
        <v>1</v>
      </c>
      <c r="I6" s="10" t="n">
        <f aca="false">ROUNDUP(I$5/12,0)</f>
        <v>1</v>
      </c>
      <c r="J6" s="10" t="n">
        <f aca="false">ROUNDUP(J$5/12,0)</f>
        <v>1</v>
      </c>
      <c r="K6" s="10" t="n">
        <f aca="false">ROUNDUP(K$5/12,0)</f>
        <v>1</v>
      </c>
      <c r="L6" s="10" t="n">
        <f aca="false">ROUNDUP(L$5/12,0)</f>
        <v>1</v>
      </c>
      <c r="M6" s="10" t="n">
        <f aca="false">ROUNDUP(M$5/12,0)</f>
        <v>1</v>
      </c>
      <c r="N6" s="10" t="n">
        <f aca="false">ROUNDUP(N$5/12,0)</f>
        <v>1</v>
      </c>
      <c r="O6" s="10" t="n">
        <f aca="false">ROUNDUP(O$5/12,0)</f>
        <v>2</v>
      </c>
      <c r="P6" s="10" t="n">
        <f aca="false">ROUNDUP(P$5/12,0)</f>
        <v>2</v>
      </c>
      <c r="Q6" s="10" t="n">
        <f aca="false">ROUNDUP(Q$5/12,0)</f>
        <v>2</v>
      </c>
      <c r="R6" s="10" t="n">
        <f aca="false">ROUNDUP(R$5/12,0)</f>
        <v>2</v>
      </c>
      <c r="S6" s="10" t="n">
        <f aca="false">ROUNDUP(S$5/12,0)</f>
        <v>2</v>
      </c>
      <c r="T6" s="10" t="n">
        <f aca="false">ROUNDUP(T$5/12,0)</f>
        <v>2</v>
      </c>
      <c r="U6" s="10" t="n">
        <f aca="false">ROUNDUP(U$5/12,0)</f>
        <v>2</v>
      </c>
      <c r="V6" s="10" t="n">
        <f aca="false">ROUNDUP(V$5/12,0)</f>
        <v>2</v>
      </c>
      <c r="W6" s="10" t="n">
        <f aca="false">ROUNDUP(W$5/12,0)</f>
        <v>2</v>
      </c>
      <c r="X6" s="10" t="n">
        <f aca="false">ROUNDUP(X$5/12,0)</f>
        <v>2</v>
      </c>
      <c r="Y6" s="10" t="n">
        <f aca="false">ROUNDUP(Y$5/12,0)</f>
        <v>2</v>
      </c>
      <c r="Z6" s="10" t="n">
        <f aca="false">ROUNDUP(Z$5/12,0)</f>
        <v>2</v>
      </c>
      <c r="AA6" s="10" t="n">
        <f aca="false">ROUNDUP(AA$5/12,0)</f>
        <v>3</v>
      </c>
      <c r="AB6" s="10" t="n">
        <f aca="false">ROUNDUP(AB$5/12,0)</f>
        <v>3</v>
      </c>
      <c r="AC6" s="10" t="n">
        <f aca="false">ROUNDUP(AC$5/12,0)</f>
        <v>3</v>
      </c>
      <c r="AD6" s="10" t="n">
        <f aca="false">ROUNDUP(AD$5/12,0)</f>
        <v>3</v>
      </c>
      <c r="AE6" s="10" t="n">
        <f aca="false">ROUNDUP(AE$5/12,0)</f>
        <v>3</v>
      </c>
      <c r="AF6" s="10" t="n">
        <f aca="false">ROUNDUP(AF$5/12,0)</f>
        <v>3</v>
      </c>
      <c r="AG6" s="10" t="n">
        <f aca="false">ROUNDUP(AG$5/12,0)</f>
        <v>3</v>
      </c>
      <c r="AH6" s="10" t="n">
        <f aca="false">ROUNDUP(AH$5/12,0)</f>
        <v>3</v>
      </c>
      <c r="AI6" s="10" t="n">
        <f aca="false">ROUNDUP(AI$5/12,0)</f>
        <v>3</v>
      </c>
      <c r="AJ6" s="10" t="n">
        <f aca="false">ROUNDUP(AJ$5/12,0)</f>
        <v>3</v>
      </c>
      <c r="AK6" s="10" t="n">
        <f aca="false">ROUNDUP(AK$5/12,0)</f>
        <v>3</v>
      </c>
      <c r="AL6" s="10" t="n">
        <f aca="false">ROUNDUP(AL$5/12,0)</f>
        <v>3</v>
      </c>
    </row>
    <row r="8" customFormat="false" ht="15" hidden="false" customHeight="false" outlineLevel="0" collapsed="false">
      <c r="A8" s="10" t="s">
        <v>592</v>
      </c>
      <c r="B8" s="9" t="s">
        <v>593</v>
      </c>
      <c r="C8" s="49" t="n">
        <f aca="false">IF(C$5&gt;=Assumptions!$D$6,1,0)</f>
        <v>0</v>
      </c>
      <c r="D8" s="49" t="n">
        <f aca="false">IF(D$5&gt;=Assumptions!$D$6,1,0)</f>
        <v>0</v>
      </c>
      <c r="E8" s="49" t="n">
        <f aca="false">IF(E$5&gt;=Assumptions!$D$6,1,0)</f>
        <v>1</v>
      </c>
      <c r="F8" s="49" t="n">
        <f aca="false">IF(F$5&gt;=Assumptions!$D$6,1,0)</f>
        <v>1</v>
      </c>
      <c r="G8" s="49" t="n">
        <f aca="false">IF(G$5&gt;=Assumptions!$D$6,1,0)</f>
        <v>1</v>
      </c>
      <c r="H8" s="49" t="n">
        <f aca="false">IF(H$5&gt;=Assumptions!$D$6,1,0)</f>
        <v>1</v>
      </c>
      <c r="I8" s="49" t="n">
        <f aca="false">IF(I$5&gt;=Assumptions!$D$6,1,0)</f>
        <v>1</v>
      </c>
      <c r="J8" s="49" t="n">
        <f aca="false">IF(J$5&gt;=Assumptions!$D$6,1,0)</f>
        <v>1</v>
      </c>
      <c r="K8" s="49" t="n">
        <f aca="false">IF(K$5&gt;=Assumptions!$D$6,1,0)</f>
        <v>1</v>
      </c>
      <c r="L8" s="49" t="n">
        <f aca="false">IF(L$5&gt;=Assumptions!$D$6,1,0)</f>
        <v>1</v>
      </c>
      <c r="M8" s="49" t="n">
        <f aca="false">IF(M$5&gt;=Assumptions!$D$6,1,0)</f>
        <v>1</v>
      </c>
      <c r="N8" s="49" t="n">
        <f aca="false">IF(N$5&gt;=Assumptions!$D$6,1,0)</f>
        <v>1</v>
      </c>
      <c r="O8" s="49" t="n">
        <f aca="false">IF(O$5&gt;=Assumptions!$D$6,1,0)</f>
        <v>1</v>
      </c>
      <c r="P8" s="49" t="n">
        <f aca="false">IF(P$5&gt;=Assumptions!$D$6,1,0)</f>
        <v>1</v>
      </c>
      <c r="Q8" s="49" t="n">
        <f aca="false">IF(Q$5&gt;=Assumptions!$D$6,1,0)</f>
        <v>1</v>
      </c>
      <c r="R8" s="49" t="n">
        <f aca="false">IF(R$5&gt;=Assumptions!$D$6,1,0)</f>
        <v>1</v>
      </c>
      <c r="S8" s="49" t="n">
        <f aca="false">IF(S$5&gt;=Assumptions!$D$6,1,0)</f>
        <v>1</v>
      </c>
      <c r="T8" s="49" t="n">
        <f aca="false">IF(T$5&gt;=Assumptions!$D$6,1,0)</f>
        <v>1</v>
      </c>
      <c r="U8" s="49" t="n">
        <f aca="false">IF(U$5&gt;=Assumptions!$D$6,1,0)</f>
        <v>1</v>
      </c>
      <c r="V8" s="49" t="n">
        <f aca="false">IF(V$5&gt;=Assumptions!$D$6,1,0)</f>
        <v>1</v>
      </c>
      <c r="W8" s="49" t="n">
        <f aca="false">IF(W$5&gt;=Assumptions!$D$6,1,0)</f>
        <v>1</v>
      </c>
      <c r="X8" s="49" t="n">
        <f aca="false">IF(X$5&gt;=Assumptions!$D$6,1,0)</f>
        <v>1</v>
      </c>
      <c r="Y8" s="49" t="n">
        <f aca="false">IF(Y$5&gt;=Assumptions!$D$6,1,0)</f>
        <v>1</v>
      </c>
      <c r="Z8" s="49" t="n">
        <f aca="false">IF(Z$5&gt;=Assumptions!$D$6,1,0)</f>
        <v>1</v>
      </c>
      <c r="AA8" s="49" t="n">
        <f aca="false">IF(AA$5&gt;=Assumptions!$D$6,1,0)</f>
        <v>1</v>
      </c>
      <c r="AB8" s="49" t="n">
        <f aca="false">IF(AB$5&gt;=Assumptions!$D$6,1,0)</f>
        <v>1</v>
      </c>
      <c r="AC8" s="49" t="n">
        <f aca="false">IF(AC$5&gt;=Assumptions!$D$6,1,0)</f>
        <v>1</v>
      </c>
      <c r="AD8" s="49" t="n">
        <f aca="false">IF(AD$5&gt;=Assumptions!$D$6,1,0)</f>
        <v>1</v>
      </c>
      <c r="AE8" s="49" t="n">
        <f aca="false">IF(AE$5&gt;=Assumptions!$D$6,1,0)</f>
        <v>1</v>
      </c>
      <c r="AF8" s="49" t="n">
        <f aca="false">IF(AF$5&gt;=Assumptions!$D$6,1,0)</f>
        <v>1</v>
      </c>
      <c r="AG8" s="49" t="n">
        <f aca="false">IF(AG$5&gt;=Assumptions!$D$6,1,0)</f>
        <v>1</v>
      </c>
      <c r="AH8" s="49" t="n">
        <f aca="false">IF(AH$5&gt;=Assumptions!$D$6,1,0)</f>
        <v>1</v>
      </c>
      <c r="AI8" s="49" t="n">
        <f aca="false">IF(AI$5&gt;=Assumptions!$D$6,1,0)</f>
        <v>1</v>
      </c>
      <c r="AJ8" s="49" t="n">
        <f aca="false">IF(AJ$5&gt;=Assumptions!$D$6,1,0)</f>
        <v>1</v>
      </c>
      <c r="AK8" s="49" t="n">
        <f aca="false">IF(AK$5&gt;=Assumptions!$D$6,1,0)</f>
        <v>1</v>
      </c>
      <c r="AL8" s="49" t="n">
        <f aca="false">IF(AL$5&gt;=Assumptions!$D$6,1,0)</f>
        <v>1</v>
      </c>
      <c r="AM8" s="49"/>
    </row>
    <row r="9" customFormat="false" ht="15" hidden="false" customHeight="false" outlineLevel="0" collapsed="false">
      <c r="A9" s="10" t="s">
        <v>594</v>
      </c>
      <c r="B9" s="9" t="s">
        <v>593</v>
      </c>
      <c r="C9" s="49" t="n">
        <f aca="false">IF(C$5&gt;=Assumptions!$D$7,1,0)</f>
        <v>0</v>
      </c>
      <c r="D9" s="49" t="n">
        <f aca="false">IF(D$5&gt;=Assumptions!$D$7,1,0)</f>
        <v>0</v>
      </c>
      <c r="E9" s="49" t="n">
        <f aca="false">IF(E$5&gt;=Assumptions!$D$7,1,0)</f>
        <v>0</v>
      </c>
      <c r="F9" s="49" t="n">
        <f aca="false">IF(F$5&gt;=Assumptions!$D$7,1,0)</f>
        <v>0</v>
      </c>
      <c r="G9" s="49" t="n">
        <f aca="false">IF(G$5&gt;=Assumptions!$D$7,1,0)</f>
        <v>0</v>
      </c>
      <c r="H9" s="49" t="n">
        <f aca="false">IF(H$5&gt;=Assumptions!$D$7,1,0)</f>
        <v>0</v>
      </c>
      <c r="I9" s="49" t="n">
        <f aca="false">IF(I$5&gt;=Assumptions!$D$7,1,0)</f>
        <v>0</v>
      </c>
      <c r="J9" s="49" t="n">
        <f aca="false">IF(J$5&gt;=Assumptions!$D$7,1,0)</f>
        <v>0</v>
      </c>
      <c r="K9" s="49" t="n">
        <f aca="false">IF(K$5&gt;=Assumptions!$D$7,1,0)</f>
        <v>1</v>
      </c>
      <c r="L9" s="49" t="n">
        <f aca="false">IF(L$5&gt;=Assumptions!$D$7,1,0)</f>
        <v>1</v>
      </c>
      <c r="M9" s="49" t="n">
        <f aca="false">IF(M$5&gt;=Assumptions!$D$7,1,0)</f>
        <v>1</v>
      </c>
      <c r="N9" s="49" t="n">
        <f aca="false">IF(N$5&gt;=Assumptions!$D$7,1,0)</f>
        <v>1</v>
      </c>
      <c r="O9" s="49" t="n">
        <f aca="false">IF(O$5&gt;=Assumptions!$D$7,1,0)</f>
        <v>1</v>
      </c>
      <c r="P9" s="49" t="n">
        <f aca="false">IF(P$5&gt;=Assumptions!$D$7,1,0)</f>
        <v>1</v>
      </c>
      <c r="Q9" s="49" t="n">
        <f aca="false">IF(Q$5&gt;=Assumptions!$D$7,1,0)</f>
        <v>1</v>
      </c>
      <c r="R9" s="49" t="n">
        <f aca="false">IF(R$5&gt;=Assumptions!$D$7,1,0)</f>
        <v>1</v>
      </c>
      <c r="S9" s="49" t="n">
        <f aca="false">IF(S$5&gt;=Assumptions!$D$7,1,0)</f>
        <v>1</v>
      </c>
      <c r="T9" s="49" t="n">
        <f aca="false">IF(T$5&gt;=Assumptions!$D$7,1,0)</f>
        <v>1</v>
      </c>
      <c r="U9" s="49" t="n">
        <f aca="false">IF(U$5&gt;=Assumptions!$D$7,1,0)</f>
        <v>1</v>
      </c>
      <c r="V9" s="49" t="n">
        <f aca="false">IF(V$5&gt;=Assumptions!$D$7,1,0)</f>
        <v>1</v>
      </c>
      <c r="W9" s="49" t="n">
        <f aca="false">IF(W$5&gt;=Assumptions!$D$7,1,0)</f>
        <v>1</v>
      </c>
      <c r="X9" s="49" t="n">
        <f aca="false">IF(X$5&gt;=Assumptions!$D$7,1,0)</f>
        <v>1</v>
      </c>
      <c r="Y9" s="49" t="n">
        <f aca="false">IF(Y$5&gt;=Assumptions!$D$7,1,0)</f>
        <v>1</v>
      </c>
      <c r="Z9" s="49" t="n">
        <f aca="false">IF(Z$5&gt;=Assumptions!$D$7,1,0)</f>
        <v>1</v>
      </c>
      <c r="AA9" s="49" t="n">
        <f aca="false">IF(AA$5&gt;=Assumptions!$D$7,1,0)</f>
        <v>1</v>
      </c>
      <c r="AB9" s="49" t="n">
        <f aca="false">IF(AB$5&gt;=Assumptions!$D$7,1,0)</f>
        <v>1</v>
      </c>
      <c r="AC9" s="49" t="n">
        <f aca="false">IF(AC$5&gt;=Assumptions!$D$7,1,0)</f>
        <v>1</v>
      </c>
      <c r="AD9" s="49" t="n">
        <f aca="false">IF(AD$5&gt;=Assumptions!$D$7,1,0)</f>
        <v>1</v>
      </c>
      <c r="AE9" s="49" t="n">
        <f aca="false">IF(AE$5&gt;=Assumptions!$D$7,1,0)</f>
        <v>1</v>
      </c>
      <c r="AF9" s="49" t="n">
        <f aca="false">IF(AF$5&gt;=Assumptions!$D$7,1,0)</f>
        <v>1</v>
      </c>
      <c r="AG9" s="49" t="n">
        <f aca="false">IF(AG$5&gt;=Assumptions!$D$7,1,0)</f>
        <v>1</v>
      </c>
      <c r="AH9" s="49" t="n">
        <f aca="false">IF(AH$5&gt;=Assumptions!$D$7,1,0)</f>
        <v>1</v>
      </c>
      <c r="AI9" s="49" t="n">
        <f aca="false">IF(AI$5&gt;=Assumptions!$D$7,1,0)</f>
        <v>1</v>
      </c>
      <c r="AJ9" s="49" t="n">
        <f aca="false">IF(AJ$5&gt;=Assumptions!$D$7,1,0)</f>
        <v>1</v>
      </c>
      <c r="AK9" s="49" t="n">
        <f aca="false">IF(AK$5&gt;=Assumptions!$D$7,1,0)</f>
        <v>1</v>
      </c>
      <c r="AL9" s="49" t="n">
        <f aca="false">IF(AL$5&gt;=Assumptions!$D$7,1,0)</f>
        <v>1</v>
      </c>
      <c r="AM9" s="49"/>
    </row>
    <row r="10" customFormat="false" ht="15" hidden="false" customHeight="false" outlineLevel="0" collapsed="false">
      <c r="A10" s="10" t="s">
        <v>595</v>
      </c>
      <c r="B10" s="9" t="s">
        <v>44</v>
      </c>
      <c r="C10" s="49" t="n">
        <f aca="false">MAX(0,C$5-Assumptions!$D$6)</f>
        <v>0</v>
      </c>
      <c r="D10" s="49" t="n">
        <f aca="false">MAX(0,D$5-Assumptions!$D$6)</f>
        <v>0</v>
      </c>
      <c r="E10" s="49" t="n">
        <f aca="false">MAX(0,E$5-Assumptions!$D$6)</f>
        <v>0</v>
      </c>
      <c r="F10" s="49" t="n">
        <f aca="false">MAX(0,F$5-Assumptions!$D$6)</f>
        <v>1</v>
      </c>
      <c r="G10" s="49" t="n">
        <f aca="false">MAX(0,G$5-Assumptions!$D$6)</f>
        <v>2</v>
      </c>
      <c r="H10" s="49" t="n">
        <f aca="false">MAX(0,H$5-Assumptions!$D$6)</f>
        <v>3</v>
      </c>
      <c r="I10" s="49" t="n">
        <f aca="false">MAX(0,I$5-Assumptions!$D$6)</f>
        <v>4</v>
      </c>
      <c r="J10" s="49" t="n">
        <f aca="false">MAX(0,J$5-Assumptions!$D$6)</f>
        <v>5</v>
      </c>
      <c r="K10" s="49" t="n">
        <f aca="false">MAX(0,K$5-Assumptions!$D$6)</f>
        <v>6</v>
      </c>
      <c r="L10" s="49" t="n">
        <f aca="false">MAX(0,L$5-Assumptions!$D$6)</f>
        <v>7</v>
      </c>
      <c r="M10" s="49" t="n">
        <f aca="false">MAX(0,M$5-Assumptions!$D$6)</f>
        <v>8</v>
      </c>
      <c r="N10" s="49" t="n">
        <f aca="false">MAX(0,N$5-Assumptions!$D$6)</f>
        <v>9</v>
      </c>
      <c r="O10" s="49" t="n">
        <f aca="false">MAX(0,O$5-Assumptions!$D$6)</f>
        <v>10</v>
      </c>
      <c r="P10" s="49" t="n">
        <f aca="false">MAX(0,P$5-Assumptions!$D$6)</f>
        <v>11</v>
      </c>
      <c r="Q10" s="49" t="n">
        <f aca="false">MAX(0,Q$5-Assumptions!$D$6)</f>
        <v>12</v>
      </c>
      <c r="R10" s="49" t="n">
        <f aca="false">MAX(0,R$5-Assumptions!$D$6)</f>
        <v>13</v>
      </c>
      <c r="S10" s="49" t="n">
        <f aca="false">MAX(0,S$5-Assumptions!$D$6)</f>
        <v>14</v>
      </c>
      <c r="T10" s="49" t="n">
        <f aca="false">MAX(0,T$5-Assumptions!$D$6)</f>
        <v>15</v>
      </c>
      <c r="U10" s="49" t="n">
        <f aca="false">MAX(0,U$5-Assumptions!$D$6)</f>
        <v>16</v>
      </c>
      <c r="V10" s="49" t="n">
        <f aca="false">MAX(0,V$5-Assumptions!$D$6)</f>
        <v>17</v>
      </c>
      <c r="W10" s="49" t="n">
        <f aca="false">MAX(0,W$5-Assumptions!$D$6)</f>
        <v>18</v>
      </c>
      <c r="X10" s="49" t="n">
        <f aca="false">MAX(0,X$5-Assumptions!$D$6)</f>
        <v>19</v>
      </c>
      <c r="Y10" s="49" t="n">
        <f aca="false">MAX(0,Y$5-Assumptions!$D$6)</f>
        <v>20</v>
      </c>
      <c r="Z10" s="49" t="n">
        <f aca="false">MAX(0,Z$5-Assumptions!$D$6)</f>
        <v>21</v>
      </c>
      <c r="AA10" s="49" t="n">
        <f aca="false">MAX(0,AA$5-Assumptions!$D$6)</f>
        <v>22</v>
      </c>
      <c r="AB10" s="49" t="n">
        <f aca="false">MAX(0,AB$5-Assumptions!$D$6)</f>
        <v>23</v>
      </c>
      <c r="AC10" s="49" t="n">
        <f aca="false">MAX(0,AC$5-Assumptions!$D$6)</f>
        <v>24</v>
      </c>
      <c r="AD10" s="49" t="n">
        <f aca="false">MAX(0,AD$5-Assumptions!$D$6)</f>
        <v>25</v>
      </c>
      <c r="AE10" s="49" t="n">
        <f aca="false">MAX(0,AE$5-Assumptions!$D$6)</f>
        <v>26</v>
      </c>
      <c r="AF10" s="49" t="n">
        <f aca="false">MAX(0,AF$5-Assumptions!$D$6)</f>
        <v>27</v>
      </c>
      <c r="AG10" s="49" t="n">
        <f aca="false">MAX(0,AG$5-Assumptions!$D$6)</f>
        <v>28</v>
      </c>
      <c r="AH10" s="49" t="n">
        <f aca="false">MAX(0,AH$5-Assumptions!$D$6)</f>
        <v>29</v>
      </c>
      <c r="AI10" s="49" t="n">
        <f aca="false">MAX(0,AI$5-Assumptions!$D$6)</f>
        <v>30</v>
      </c>
      <c r="AJ10" s="49" t="n">
        <f aca="false">MAX(0,AJ$5-Assumptions!$D$6)</f>
        <v>31</v>
      </c>
      <c r="AK10" s="49" t="n">
        <f aca="false">MAX(0,AK$5-Assumptions!$D$6)</f>
        <v>32</v>
      </c>
      <c r="AL10" s="49" t="n">
        <f aca="false">MAX(0,AL$5-Assumptions!$D$6)</f>
        <v>33</v>
      </c>
      <c r="AM10" s="49"/>
    </row>
    <row r="11" customFormat="false" ht="15" hidden="false" customHeight="false" outlineLevel="0" collapsed="false">
      <c r="A11" s="10" t="s">
        <v>596</v>
      </c>
      <c r="B11" s="9" t="s">
        <v>77</v>
      </c>
      <c r="C11" s="43" t="n">
        <f aca="false">Assumptions!$D$9*Assumptions!$D$10*Assumptions!$D$11*Assumptions!$D$12</f>
        <v>7672</v>
      </c>
      <c r="D11" s="43" t="n">
        <f aca="false">Assumptions!$D$9*Assumptions!$D$10*Assumptions!$D$11*Assumptions!$D$12</f>
        <v>7672</v>
      </c>
      <c r="E11" s="43" t="n">
        <f aca="false">Assumptions!$D$9*Assumptions!$D$10*Assumptions!$D$11*Assumptions!$D$12</f>
        <v>7672</v>
      </c>
      <c r="F11" s="43" t="n">
        <f aca="false">Assumptions!$D$9*Assumptions!$D$10*Assumptions!$D$11*Assumptions!$D$12</f>
        <v>7672</v>
      </c>
      <c r="G11" s="43" t="n">
        <f aca="false">Assumptions!$D$9*Assumptions!$D$10*Assumptions!$D$11*Assumptions!$D$12</f>
        <v>7672</v>
      </c>
      <c r="H11" s="43" t="n">
        <f aca="false">Assumptions!$D$9*Assumptions!$D$10*Assumptions!$D$11*Assumptions!$D$12</f>
        <v>7672</v>
      </c>
      <c r="I11" s="43" t="n">
        <f aca="false">Assumptions!$D$9*Assumptions!$D$10*Assumptions!$D$11*Assumptions!$D$12</f>
        <v>7672</v>
      </c>
      <c r="J11" s="43" t="n">
        <f aca="false">Assumptions!$D$9*Assumptions!$D$10*Assumptions!$D$11*Assumptions!$D$12</f>
        <v>7672</v>
      </c>
      <c r="K11" s="43" t="n">
        <f aca="false">Assumptions!$D$9*Assumptions!$D$10*Assumptions!$D$11*Assumptions!$D$12</f>
        <v>7672</v>
      </c>
      <c r="L11" s="43" t="n">
        <f aca="false">Assumptions!$D$9*Assumptions!$D$10*Assumptions!$D$11*Assumptions!$D$12</f>
        <v>7672</v>
      </c>
      <c r="M11" s="43" t="n">
        <f aca="false">Assumptions!$D$9*Assumptions!$D$10*Assumptions!$D$11*Assumptions!$D$12</f>
        <v>7672</v>
      </c>
      <c r="N11" s="43" t="n">
        <f aca="false">Assumptions!$D$9*Assumptions!$D$10*Assumptions!$D$11*Assumptions!$D$12</f>
        <v>7672</v>
      </c>
      <c r="O11" s="43" t="n">
        <f aca="false">Assumptions!$D$9*Assumptions!$D$10*Assumptions!$D$11*Assumptions!$D$12</f>
        <v>7672</v>
      </c>
      <c r="P11" s="43" t="n">
        <f aca="false">Assumptions!$D$9*Assumptions!$D$10*Assumptions!$D$11*Assumptions!$D$12</f>
        <v>7672</v>
      </c>
      <c r="Q11" s="43" t="n">
        <f aca="false">Assumptions!$D$9*Assumptions!$D$10*Assumptions!$D$11*Assumptions!$D$12</f>
        <v>7672</v>
      </c>
      <c r="R11" s="43" t="n">
        <f aca="false">Assumptions!$D$9*Assumptions!$D$10*Assumptions!$D$11*Assumptions!$D$12</f>
        <v>7672</v>
      </c>
      <c r="S11" s="43" t="n">
        <f aca="false">Assumptions!$D$9*Assumptions!$D$10*Assumptions!$D$11*Assumptions!$D$12</f>
        <v>7672</v>
      </c>
      <c r="T11" s="43" t="n">
        <f aca="false">Assumptions!$D$9*Assumptions!$D$10*Assumptions!$D$11*Assumptions!$D$12</f>
        <v>7672</v>
      </c>
      <c r="U11" s="43" t="n">
        <f aca="false">Assumptions!$D$9*Assumptions!$D$10*Assumptions!$D$11*Assumptions!$D$12</f>
        <v>7672</v>
      </c>
      <c r="V11" s="43" t="n">
        <f aca="false">Assumptions!$D$9*Assumptions!$D$10*Assumptions!$D$11*Assumptions!$D$12</f>
        <v>7672</v>
      </c>
      <c r="W11" s="43" t="n">
        <f aca="false">Assumptions!$D$9*Assumptions!$D$10*Assumptions!$D$11*Assumptions!$D$12</f>
        <v>7672</v>
      </c>
      <c r="X11" s="43" t="n">
        <f aca="false">Assumptions!$D$9*Assumptions!$D$10*Assumptions!$D$11*Assumptions!$D$12</f>
        <v>7672</v>
      </c>
      <c r="Y11" s="43" t="n">
        <f aca="false">Assumptions!$D$9*Assumptions!$D$10*Assumptions!$D$11*Assumptions!$D$12</f>
        <v>7672</v>
      </c>
      <c r="Z11" s="43" t="n">
        <f aca="false">Assumptions!$D$9*Assumptions!$D$10*Assumptions!$D$11*Assumptions!$D$12</f>
        <v>7672</v>
      </c>
      <c r="AA11" s="43" t="n">
        <f aca="false">Assumptions!$D$9*Assumptions!$D$10*Assumptions!$D$11*Assumptions!$D$12</f>
        <v>7672</v>
      </c>
      <c r="AB11" s="43" t="n">
        <f aca="false">Assumptions!$D$9*Assumptions!$D$10*Assumptions!$D$11*Assumptions!$D$12</f>
        <v>7672</v>
      </c>
      <c r="AC11" s="43" t="n">
        <f aca="false">Assumptions!$D$9*Assumptions!$D$10*Assumptions!$D$11*Assumptions!$D$12</f>
        <v>7672</v>
      </c>
      <c r="AD11" s="43" t="n">
        <f aca="false">Assumptions!$D$9*Assumptions!$D$10*Assumptions!$D$11*Assumptions!$D$12</f>
        <v>7672</v>
      </c>
      <c r="AE11" s="43" t="n">
        <f aca="false">Assumptions!$D$9*Assumptions!$D$10*Assumptions!$D$11*Assumptions!$D$12</f>
        <v>7672</v>
      </c>
      <c r="AF11" s="43" t="n">
        <f aca="false">Assumptions!$D$9*Assumptions!$D$10*Assumptions!$D$11*Assumptions!$D$12</f>
        <v>7672</v>
      </c>
      <c r="AG11" s="43" t="n">
        <f aca="false">Assumptions!$D$9*Assumptions!$D$10*Assumptions!$D$11*Assumptions!$D$12</f>
        <v>7672</v>
      </c>
      <c r="AH11" s="43" t="n">
        <f aca="false">Assumptions!$D$9*Assumptions!$D$10*Assumptions!$D$11*Assumptions!$D$12</f>
        <v>7672</v>
      </c>
      <c r="AI11" s="43" t="n">
        <f aca="false">Assumptions!$D$9*Assumptions!$D$10*Assumptions!$D$11*Assumptions!$D$12</f>
        <v>7672</v>
      </c>
      <c r="AJ11" s="43" t="n">
        <f aca="false">Assumptions!$D$9*Assumptions!$D$10*Assumptions!$D$11*Assumptions!$D$12</f>
        <v>7672</v>
      </c>
      <c r="AK11" s="43" t="n">
        <f aca="false">Assumptions!$D$9*Assumptions!$D$10*Assumptions!$D$11*Assumptions!$D$12</f>
        <v>7672</v>
      </c>
      <c r="AL11" s="43" t="n">
        <f aca="false">Assumptions!$D$9*Assumptions!$D$10*Assumptions!$D$11*Assumptions!$D$12</f>
        <v>7672</v>
      </c>
      <c r="AM11" s="43"/>
    </row>
    <row r="12" customFormat="false" ht="15" hidden="false" customHeight="false" outlineLevel="0" collapsed="false">
      <c r="A12" s="10" t="s">
        <v>597</v>
      </c>
      <c r="B12" s="9" t="s">
        <v>71</v>
      </c>
      <c r="C12" s="39" t="n">
        <f aca="false">IF(C8=0,0,IF(C10=0,Assumptions!$D$15,Assumptions!$D$14+(1-Assumptions!$D$14)*Assumptions!$D$13^C10))</f>
        <v>0</v>
      </c>
      <c r="D12" s="39" t="n">
        <f aca="false">IF(D8=0,0,IF(D10=0,Assumptions!$D$15,Assumptions!$D$14+(1-Assumptions!$D$14)*Assumptions!$D$13^D10))</f>
        <v>0</v>
      </c>
      <c r="E12" s="39" t="n">
        <f aca="false">IF(E8=0,0,IF(E10=0,Assumptions!$D$15,Assumptions!$D$14+(1-Assumptions!$D$14)*Assumptions!$D$13^E10))</f>
        <v>1.6</v>
      </c>
      <c r="F12" s="39" t="n">
        <f aca="false">IF(F8=0,0,IF(F10=0,Assumptions!$D$15,Assumptions!$D$14+(1-Assumptions!$D$14)*Assumptions!$D$13^F10))</f>
        <v>0.7984</v>
      </c>
      <c r="G12" s="39" t="n">
        <f aca="false">IF(G8=0,0,IF(G10=0,Assumptions!$D$15,Assumptions!$D$14+(1-Assumptions!$D$14)*Assumptions!$D$13^G10))</f>
        <v>0.653248</v>
      </c>
      <c r="H12" s="39" t="n">
        <f aca="false">IF(H8=0,0,IF(H10=0,Assumptions!$D$15,Assumptions!$D$14+(1-Assumptions!$D$14)*Assumptions!$D$13^H10))</f>
        <v>0.54873856</v>
      </c>
      <c r="I12" s="39" t="n">
        <f aca="false">IF(I8=0,0,IF(I10=0,Assumptions!$D$15,Assumptions!$D$14+(1-Assumptions!$D$14)*Assumptions!$D$13^I10))</f>
        <v>0.4734917632</v>
      </c>
      <c r="J12" s="39" t="n">
        <f aca="false">IF(J8=0,0,IF(J10=0,Assumptions!$D$15,Assumptions!$D$14+(1-Assumptions!$D$14)*Assumptions!$D$13^J10))</f>
        <v>0.419314069504</v>
      </c>
      <c r="K12" s="39" t="n">
        <f aca="false">IF(K8=0,0,IF(K10=0,Assumptions!$D$15,Assumptions!$D$14+(1-Assumptions!$D$14)*Assumptions!$D$13^K10))</f>
        <v>0.38030613004288</v>
      </c>
      <c r="L12" s="39" t="n">
        <f aca="false">IF(L8=0,0,IF(L10=0,Assumptions!$D$15,Assumptions!$D$14+(1-Assumptions!$D$14)*Assumptions!$D$13^L10))</f>
        <v>0.352220413630874</v>
      </c>
      <c r="M12" s="39" t="n">
        <f aca="false">IF(M8=0,0,IF(M10=0,Assumptions!$D$15,Assumptions!$D$14+(1-Assumptions!$D$14)*Assumptions!$D$13^M10))</f>
        <v>0.331998697814229</v>
      </c>
      <c r="N12" s="39" t="n">
        <f aca="false">IF(N8=0,0,IF(N10=0,Assumptions!$D$15,Assumptions!$D$14+(1-Assumptions!$D$14)*Assumptions!$D$13^N10))</f>
        <v>0.317439062426245</v>
      </c>
      <c r="O12" s="39" t="n">
        <f aca="false">IF(O8=0,0,IF(O10=0,Assumptions!$D$15,Assumptions!$D$14+(1-Assumptions!$D$14)*Assumptions!$D$13^O10))</f>
        <v>0.306956124946896</v>
      </c>
      <c r="P12" s="39" t="n">
        <f aca="false">IF(P8=0,0,IF(P10=0,Assumptions!$D$15,Assumptions!$D$14+(1-Assumptions!$D$14)*Assumptions!$D$13^P10))</f>
        <v>0.299408409961765</v>
      </c>
      <c r="Q12" s="39" t="n">
        <f aca="false">IF(Q8=0,0,IF(Q10=0,Assumptions!$D$15,Assumptions!$D$14+(1-Assumptions!$D$14)*Assumptions!$D$13^Q10))</f>
        <v>0.293974055172471</v>
      </c>
      <c r="R12" s="39" t="n">
        <f aca="false">IF(R8=0,0,IF(R10=0,Assumptions!$D$15,Assumptions!$D$14+(1-Assumptions!$D$14)*Assumptions!$D$13^R10))</f>
        <v>0.290061319724179</v>
      </c>
      <c r="S12" s="39" t="n">
        <f aca="false">IF(S8=0,0,IF(S10=0,Assumptions!$D$15,Assumptions!$D$14+(1-Assumptions!$D$14)*Assumptions!$D$13^S10))</f>
        <v>0.287244150201409</v>
      </c>
      <c r="T12" s="39" t="n">
        <f aca="false">IF(T8=0,0,IF(T10=0,Assumptions!$D$15,Assumptions!$D$14+(1-Assumptions!$D$14)*Assumptions!$D$13^T10))</f>
        <v>0.285215788145014</v>
      </c>
      <c r="U12" s="39" t="n">
        <f aca="false">IF(U8=0,0,IF(U10=0,Assumptions!$D$15,Assumptions!$D$14+(1-Assumptions!$D$14)*Assumptions!$D$13^U10))</f>
        <v>0.28375536746441</v>
      </c>
      <c r="V12" s="39" t="n">
        <f aca="false">IF(V8=0,0,IF(V10=0,Assumptions!$D$15,Assumptions!$D$14+(1-Assumptions!$D$14)*Assumptions!$D$13^V10))</f>
        <v>0.282703864574376</v>
      </c>
      <c r="W12" s="39" t="n">
        <f aca="false">IF(W8=0,0,IF(W10=0,Assumptions!$D$15,Assumptions!$D$14+(1-Assumptions!$D$14)*Assumptions!$D$13^W10))</f>
        <v>0.28194678249355</v>
      </c>
      <c r="X12" s="39" t="n">
        <f aca="false">IF(X8=0,0,IF(X10=0,Assumptions!$D$15,Assumptions!$D$14+(1-Assumptions!$D$14)*Assumptions!$D$13^X10))</f>
        <v>0.281401683395356</v>
      </c>
      <c r="Y12" s="39" t="n">
        <f aca="false">IF(Y8=0,0,IF(Y10=0,Assumptions!$D$15,Assumptions!$D$14+(1-Assumptions!$D$14)*Assumptions!$D$13^Y10))</f>
        <v>0.281009212044657</v>
      </c>
      <c r="Z12" s="39" t="n">
        <f aca="false">IF(Z8=0,0,IF(Z10=0,Assumptions!$D$15,Assumptions!$D$14+(1-Assumptions!$D$14)*Assumptions!$D$13^Z10))</f>
        <v>0.280726632672153</v>
      </c>
      <c r="AA12" s="39" t="n">
        <f aca="false">IF(AA8=0,0,IF(AA10=0,Assumptions!$D$15,Assumptions!$D$14+(1-Assumptions!$D$14)*Assumptions!$D$13^AA10))</f>
        <v>0.28052317552395</v>
      </c>
      <c r="AB12" s="39" t="n">
        <f aca="false">IF(AB8=0,0,IF(AB10=0,Assumptions!$D$15,Assumptions!$D$14+(1-Assumptions!$D$14)*Assumptions!$D$13^AB10))</f>
        <v>0.280376686377244</v>
      </c>
      <c r="AC12" s="39" t="n">
        <f aca="false">IF(AC8=0,0,IF(AC10=0,Assumptions!$D$15,Assumptions!$D$14+(1-Assumptions!$D$14)*Assumptions!$D$13^AC10))</f>
        <v>0.280271214191616</v>
      </c>
      <c r="AD12" s="39" t="n">
        <f aca="false">IF(AD8=0,0,IF(AD10=0,Assumptions!$D$15,Assumptions!$D$14+(1-Assumptions!$D$14)*Assumptions!$D$13^AD10))</f>
        <v>0.280195274217963</v>
      </c>
      <c r="AE12" s="39" t="n">
        <f aca="false">IF(AE8=0,0,IF(AE10=0,Assumptions!$D$15,Assumptions!$D$14+(1-Assumptions!$D$14)*Assumptions!$D$13^AE10))</f>
        <v>0.280140597436934</v>
      </c>
      <c r="AF12" s="39" t="n">
        <f aca="false">IF(AF8=0,0,IF(AF10=0,Assumptions!$D$15,Assumptions!$D$14+(1-Assumptions!$D$14)*Assumptions!$D$13^AF10))</f>
        <v>0.280101230154592</v>
      </c>
      <c r="AG12" s="39" t="n">
        <f aca="false">IF(AG8=0,0,IF(AG10=0,Assumptions!$D$15,Assumptions!$D$14+(1-Assumptions!$D$14)*Assumptions!$D$13^AG10))</f>
        <v>0.280072885711306</v>
      </c>
      <c r="AH12" s="39" t="n">
        <f aca="false">IF(AH8=0,0,IF(AH10=0,Assumptions!$D$15,Assumptions!$D$14+(1-Assumptions!$D$14)*Assumptions!$D$13^AH10))</f>
        <v>0.280052477712141</v>
      </c>
      <c r="AI12" s="39" t="n">
        <f aca="false">IF(AI8=0,0,IF(AI10=0,Assumptions!$D$15,Assumptions!$D$14+(1-Assumptions!$D$14)*Assumptions!$D$13^AI10))</f>
        <v>0.280037783952741</v>
      </c>
      <c r="AJ12" s="39" t="n">
        <f aca="false">IF(AJ8=0,0,IF(AJ10=0,Assumptions!$D$15,Assumptions!$D$14+(1-Assumptions!$D$14)*Assumptions!$D$13^AJ10))</f>
        <v>0.280027204445974</v>
      </c>
      <c r="AK12" s="39" t="n">
        <f aca="false">IF(AK8=0,0,IF(AK10=0,Assumptions!$D$15,Assumptions!$D$14+(1-Assumptions!$D$14)*Assumptions!$D$13^AK10))</f>
        <v>0.280019587201101</v>
      </c>
      <c r="AL12" s="39" t="n">
        <f aca="false">IF(AL8=0,0,IF(AL10=0,Assumptions!$D$15,Assumptions!$D$14+(1-Assumptions!$D$14)*Assumptions!$D$13^AL10))</f>
        <v>0.280014102784793</v>
      </c>
      <c r="AM12" s="39"/>
    </row>
    <row r="13" customFormat="false" ht="15" hidden="false" customHeight="false" outlineLevel="0" collapsed="false">
      <c r="A13" s="10" t="s">
        <v>598</v>
      </c>
      <c r="B13" s="9" t="s">
        <v>77</v>
      </c>
      <c r="C13" s="43" t="n">
        <f aca="false">C11*C12</f>
        <v>0</v>
      </c>
      <c r="D13" s="43" t="n">
        <f aca="false">D11*D12</f>
        <v>0</v>
      </c>
      <c r="E13" s="43" t="n">
        <f aca="false">E11*E12</f>
        <v>12275.2</v>
      </c>
      <c r="F13" s="43" t="n">
        <f aca="false">F11*F12</f>
        <v>6125.3248</v>
      </c>
      <c r="G13" s="43" t="n">
        <f aca="false">G11*G12</f>
        <v>5011.718656</v>
      </c>
      <c r="H13" s="43" t="n">
        <f aca="false">H11*H12</f>
        <v>4209.92223232</v>
      </c>
      <c r="I13" s="43" t="n">
        <f aca="false">I11*I12</f>
        <v>3632.6288072704</v>
      </c>
      <c r="J13" s="43" t="n">
        <f aca="false">J11*J12</f>
        <v>3216.97754123469</v>
      </c>
      <c r="K13" s="43" t="n">
        <f aca="false">K11*K12</f>
        <v>2917.70862968898</v>
      </c>
      <c r="L13" s="43" t="n">
        <f aca="false">L11*L12</f>
        <v>2702.23501337606</v>
      </c>
      <c r="M13" s="43" t="n">
        <f aca="false">M11*M12</f>
        <v>2547.09400963076</v>
      </c>
      <c r="N13" s="43" t="n">
        <f aca="false">N11*N12</f>
        <v>2435.39248693415</v>
      </c>
      <c r="O13" s="43" t="n">
        <f aca="false">O11*O12</f>
        <v>2354.96739059259</v>
      </c>
      <c r="P13" s="43" t="n">
        <f aca="false">P11*P12</f>
        <v>2297.06132122666</v>
      </c>
      <c r="Q13" s="43" t="n">
        <f aca="false">Q11*Q12</f>
        <v>2255.3689512832</v>
      </c>
      <c r="R13" s="43" t="n">
        <f aca="false">R11*R12</f>
        <v>2225.3504449239</v>
      </c>
      <c r="S13" s="43" t="n">
        <f aca="false">S11*S12</f>
        <v>2203.73712034521</v>
      </c>
      <c r="T13" s="43" t="n">
        <f aca="false">T11*T12</f>
        <v>2188.17552664855</v>
      </c>
      <c r="U13" s="43" t="n">
        <f aca="false">U11*U12</f>
        <v>2176.97117918696</v>
      </c>
      <c r="V13" s="43" t="n">
        <f aca="false">V11*V12</f>
        <v>2168.90404901461</v>
      </c>
      <c r="W13" s="43" t="n">
        <f aca="false">W11*W12</f>
        <v>2163.09571529052</v>
      </c>
      <c r="X13" s="43" t="n">
        <f aca="false">X11*X12</f>
        <v>2158.91371500917</v>
      </c>
      <c r="Y13" s="43" t="n">
        <f aca="false">Y11*Y12</f>
        <v>2155.90267480661</v>
      </c>
      <c r="Z13" s="43" t="n">
        <f aca="false">Z11*Z12</f>
        <v>2153.73472586076</v>
      </c>
      <c r="AA13" s="43" t="n">
        <f aca="false">AA11*AA12</f>
        <v>2152.17380261974</v>
      </c>
      <c r="AB13" s="43" t="n">
        <f aca="false">AB11*AB12</f>
        <v>2151.04993788622</v>
      </c>
      <c r="AC13" s="43" t="n">
        <f aca="false">AC11*AC12</f>
        <v>2150.24075527808</v>
      </c>
      <c r="AD13" s="43" t="n">
        <f aca="false">AD11*AD12</f>
        <v>2149.65814380021</v>
      </c>
      <c r="AE13" s="43" t="n">
        <f aca="false">AE11*AE12</f>
        <v>2149.23866353615</v>
      </c>
      <c r="AF13" s="43" t="n">
        <f aca="false">AF11*AF12</f>
        <v>2148.93663774603</v>
      </c>
      <c r="AG13" s="43" t="n">
        <f aca="false">AG11*AG12</f>
        <v>2148.71917917714</v>
      </c>
      <c r="AH13" s="43" t="n">
        <f aca="false">AH11*AH12</f>
        <v>2148.56260900754</v>
      </c>
      <c r="AI13" s="43" t="n">
        <f aca="false">AI11*AI12</f>
        <v>2148.44987848543</v>
      </c>
      <c r="AJ13" s="43" t="n">
        <f aca="false">AJ11*AJ12</f>
        <v>2148.36871250951</v>
      </c>
      <c r="AK13" s="43" t="n">
        <f aca="false">AK11*AK12</f>
        <v>2148.31027300685</v>
      </c>
      <c r="AL13" s="43" t="n">
        <f aca="false">AL11*AL12</f>
        <v>2148.26819656493</v>
      </c>
      <c r="AM13" s="43" t="n">
        <f aca="false">SUM(C13:AL13)</f>
        <v>97368.3617802616</v>
      </c>
    </row>
    <row r="14" customFormat="false" ht="15" hidden="false" customHeight="false" outlineLevel="0" collapsed="false">
      <c r="A14" s="10" t="s">
        <v>599</v>
      </c>
      <c r="B14" s="9" t="s">
        <v>77</v>
      </c>
      <c r="C14" s="43" t="n">
        <f aca="false">MIN(Assumptions!$D$19,Assumptions!$D$17*(1+Assumptions!$D$18)^(C$5-1))</f>
        <v>1200</v>
      </c>
      <c r="D14" s="43" t="n">
        <f aca="false">MIN(Assumptions!$D$19,Assumptions!$D$17*(1+Assumptions!$D$18)^(D$5-1))</f>
        <v>1272</v>
      </c>
      <c r="E14" s="43" t="n">
        <f aca="false">MIN(Assumptions!$D$19,Assumptions!$D$17*(1+Assumptions!$D$18)^(E$5-1))</f>
        <v>1348.32</v>
      </c>
      <c r="F14" s="43" t="n">
        <f aca="false">MIN(Assumptions!$D$19,Assumptions!$D$17*(1+Assumptions!$D$18)^(F$5-1))</f>
        <v>1429.2192</v>
      </c>
      <c r="G14" s="43" t="n">
        <f aca="false">MIN(Assumptions!$D$19,Assumptions!$D$17*(1+Assumptions!$D$18)^(G$5-1))</f>
        <v>1514.972352</v>
      </c>
      <c r="H14" s="43" t="n">
        <f aca="false">MIN(Assumptions!$D$19,Assumptions!$D$17*(1+Assumptions!$D$18)^(H$5-1))</f>
        <v>1605.87069312</v>
      </c>
      <c r="I14" s="43" t="n">
        <f aca="false">MIN(Assumptions!$D$19,Assumptions!$D$17*(1+Assumptions!$D$18)^(I$5-1))</f>
        <v>1702.2229347072</v>
      </c>
      <c r="J14" s="43" t="n">
        <f aca="false">MIN(Assumptions!$D$19,Assumptions!$D$17*(1+Assumptions!$D$18)^(J$5-1))</f>
        <v>1804.35631078963</v>
      </c>
      <c r="K14" s="43" t="n">
        <f aca="false">MIN(Assumptions!$D$19,Assumptions!$D$17*(1+Assumptions!$D$18)^(K$5-1))</f>
        <v>1912.61768943701</v>
      </c>
      <c r="L14" s="43" t="n">
        <f aca="false">MIN(Assumptions!$D$19,Assumptions!$D$17*(1+Assumptions!$D$18)^(L$5-1))</f>
        <v>2027.37475080323</v>
      </c>
      <c r="M14" s="43" t="n">
        <f aca="false">MIN(Assumptions!$D$19,Assumptions!$D$17*(1+Assumptions!$D$18)^(M$5-1))</f>
        <v>2149.01723585143</v>
      </c>
      <c r="N14" s="43" t="n">
        <f aca="false">MIN(Assumptions!$D$19,Assumptions!$D$17*(1+Assumptions!$D$18)^(N$5-1))</f>
        <v>2277.95827000251</v>
      </c>
      <c r="O14" s="43" t="n">
        <f aca="false">MIN(Assumptions!$D$19,Assumptions!$D$17*(1+Assumptions!$D$18)^(O$5-1))</f>
        <v>2414.63576620266</v>
      </c>
      <c r="P14" s="43" t="n">
        <f aca="false">MIN(Assumptions!$D$19,Assumptions!$D$17*(1+Assumptions!$D$18)^(P$5-1))</f>
        <v>2559.51391217482</v>
      </c>
      <c r="Q14" s="43" t="n">
        <f aca="false">MIN(Assumptions!$D$19,Assumptions!$D$17*(1+Assumptions!$D$18)^(Q$5-1))</f>
        <v>2713.08474690531</v>
      </c>
      <c r="R14" s="43" t="n">
        <f aca="false">MIN(Assumptions!$D$19,Assumptions!$D$17*(1+Assumptions!$D$18)^(R$5-1))</f>
        <v>2875.86983171963</v>
      </c>
      <c r="S14" s="43" t="n">
        <f aca="false">MIN(Assumptions!$D$19,Assumptions!$D$17*(1+Assumptions!$D$18)^(S$5-1))</f>
        <v>3048.42202162281</v>
      </c>
      <c r="T14" s="43" t="n">
        <f aca="false">MIN(Assumptions!$D$19,Assumptions!$D$17*(1+Assumptions!$D$18)^(T$5-1))</f>
        <v>3231.32734292018</v>
      </c>
      <c r="U14" s="43" t="n">
        <f aca="false">MIN(Assumptions!$D$19,Assumptions!$D$17*(1+Assumptions!$D$18)^(U$5-1))</f>
        <v>3425.20698349539</v>
      </c>
      <c r="V14" s="43" t="n">
        <f aca="false">MIN(Assumptions!$D$19,Assumptions!$D$17*(1+Assumptions!$D$18)^(V$5-1))</f>
        <v>3630.71940250511</v>
      </c>
      <c r="W14" s="43" t="n">
        <f aca="false">MIN(Assumptions!$D$19,Assumptions!$D$17*(1+Assumptions!$D$18)^(W$5-1))</f>
        <v>3848.56256665542</v>
      </c>
      <c r="X14" s="43" t="n">
        <f aca="false">MIN(Assumptions!$D$19,Assumptions!$D$17*(1+Assumptions!$D$18)^(X$5-1))</f>
        <v>4079.47632065474</v>
      </c>
      <c r="Y14" s="43" t="n">
        <f aca="false">MIN(Assumptions!$D$19,Assumptions!$D$17*(1+Assumptions!$D$18)^(Y$5-1))</f>
        <v>4324.24489989403</v>
      </c>
      <c r="Z14" s="43" t="n">
        <f aca="false">MIN(Assumptions!$D$19,Assumptions!$D$17*(1+Assumptions!$D$18)^(Z$5-1))</f>
        <v>4583.69959388767</v>
      </c>
      <c r="AA14" s="43" t="n">
        <f aca="false">MIN(Assumptions!$D$19,Assumptions!$D$17*(1+Assumptions!$D$18)^(AA$5-1))</f>
        <v>4858.72156952093</v>
      </c>
      <c r="AB14" s="43" t="n">
        <f aca="false">MIN(Assumptions!$D$19,Assumptions!$D$17*(1+Assumptions!$D$18)^(AB$5-1))</f>
        <v>5150.24486369219</v>
      </c>
      <c r="AC14" s="43" t="n">
        <f aca="false">MIN(Assumptions!$D$19,Assumptions!$D$17*(1+Assumptions!$D$18)^(AC$5-1))</f>
        <v>5459.25955551372</v>
      </c>
      <c r="AD14" s="43" t="n">
        <f aca="false">MIN(Assumptions!$D$19,Assumptions!$D$17*(1+Assumptions!$D$18)^(AD$5-1))</f>
        <v>5786.81512884454</v>
      </c>
      <c r="AE14" s="43" t="n">
        <f aca="false">MIN(Assumptions!$D$19,Assumptions!$D$17*(1+Assumptions!$D$18)^(AE$5-1))</f>
        <v>6134.02403657521</v>
      </c>
      <c r="AF14" s="43" t="n">
        <f aca="false">MIN(Assumptions!$D$19,Assumptions!$D$17*(1+Assumptions!$D$18)^(AF$5-1))</f>
        <v>6502.06547876973</v>
      </c>
      <c r="AG14" s="43" t="n">
        <f aca="false">MIN(Assumptions!$D$19,Assumptions!$D$17*(1+Assumptions!$D$18)^(AG$5-1))</f>
        <v>6892.18940749591</v>
      </c>
      <c r="AH14" s="43" t="n">
        <f aca="false">MIN(Assumptions!$D$19,Assumptions!$D$17*(1+Assumptions!$D$18)^(AH$5-1))</f>
        <v>7305.72077194567</v>
      </c>
      <c r="AI14" s="43" t="n">
        <f aca="false">MIN(Assumptions!$D$19,Assumptions!$D$17*(1+Assumptions!$D$18)^(AI$5-1))</f>
        <v>7744.06401826241</v>
      </c>
      <c r="AJ14" s="43" t="n">
        <f aca="false">MIN(Assumptions!$D$19,Assumptions!$D$17*(1+Assumptions!$D$18)^(AJ$5-1))</f>
        <v>8208.70785935815</v>
      </c>
      <c r="AK14" s="43" t="n">
        <f aca="false">MIN(Assumptions!$D$19,Assumptions!$D$17*(1+Assumptions!$D$18)^(AK$5-1))</f>
        <v>8701.23033091964</v>
      </c>
      <c r="AL14" s="43" t="n">
        <f aca="false">MIN(Assumptions!$D$19,Assumptions!$D$17*(1+Assumptions!$D$18)^(AL$5-1))</f>
        <v>9223.30415077482</v>
      </c>
      <c r="AM14" s="43" t="n">
        <f aca="false">SUM(C14:AL14)</f>
        <v>142945.039997022</v>
      </c>
    </row>
    <row r="15" customFormat="false" ht="15" hidden="false" customHeight="false" outlineLevel="0" collapsed="false">
      <c r="A15" s="10" t="s">
        <v>600</v>
      </c>
      <c r="B15" s="9" t="s">
        <v>90</v>
      </c>
      <c r="C15" s="50" t="n">
        <f aca="false">Assumptions!$D$21</f>
        <v>4000</v>
      </c>
      <c r="D15" s="50" t="n">
        <f aca="false">IF(D8=0,Assumptions!$D$21,MIN(Assumptions!$D$25,MAX(Assumptions!$D$22,C60*Assumptions!$D$23)))</f>
        <v>4000</v>
      </c>
      <c r="E15" s="50" t="n">
        <f aca="false">IF(E8=0,Assumptions!$D$21,MIN(Assumptions!$D$25,MAX(Assumptions!$D$22,D60*Assumptions!$D$23)))</f>
        <v>10000</v>
      </c>
      <c r="F15" s="50" t="n">
        <f aca="false">IF(F8=0,Assumptions!$D$21,MIN(Assumptions!$D$25,MAX(Assumptions!$D$22,E60*Assumptions!$D$23)))</f>
        <v>10000</v>
      </c>
      <c r="G15" s="50" t="n">
        <f aca="false">IF(G8=0,Assumptions!$D$21,MIN(Assumptions!$D$25,MAX(Assumptions!$D$22,F60*Assumptions!$D$23)))</f>
        <v>10000</v>
      </c>
      <c r="H15" s="50" t="n">
        <f aca="false">IF(H8=0,Assumptions!$D$21,MIN(Assumptions!$D$25,MAX(Assumptions!$D$22,G60*Assumptions!$D$23)))</f>
        <v>10000</v>
      </c>
      <c r="I15" s="50" t="n">
        <f aca="false">IF(I8=0,Assumptions!$D$21,MIN(Assumptions!$D$25,MAX(Assumptions!$D$22,H60*Assumptions!$D$23)))</f>
        <v>10000</v>
      </c>
      <c r="J15" s="50" t="n">
        <f aca="false">IF(J8=0,Assumptions!$D$21,MIN(Assumptions!$D$25,MAX(Assumptions!$D$22,I60*Assumptions!$D$23)))</f>
        <v>10000</v>
      </c>
      <c r="K15" s="50" t="n">
        <f aca="false">IF(K8=0,Assumptions!$D$21,MIN(Assumptions!$D$25,MAX(Assumptions!$D$22,J60*Assumptions!$D$23)))</f>
        <v>10000</v>
      </c>
      <c r="L15" s="50" t="n">
        <f aca="false">IF(L8=0,Assumptions!$D$21,MIN(Assumptions!$D$25,MAX(Assumptions!$D$22,K60*Assumptions!$D$23)))</f>
        <v>10000</v>
      </c>
      <c r="M15" s="50" t="n">
        <f aca="false">IF(M8=0,Assumptions!$D$21,MIN(Assumptions!$D$25,MAX(Assumptions!$D$22,L60*Assumptions!$D$23)))</f>
        <v>10000</v>
      </c>
      <c r="N15" s="50" t="n">
        <f aca="false">IF(N8=0,Assumptions!$D$21,MIN(Assumptions!$D$25,MAX(Assumptions!$D$22,M60*Assumptions!$D$23)))</f>
        <v>10000</v>
      </c>
      <c r="O15" s="50" t="n">
        <f aca="false">IF(O8=0,Assumptions!$D$21,MIN(Assumptions!$D$25,MAX(Assumptions!$D$22,N60*Assumptions!$D$23)))</f>
        <v>10000</v>
      </c>
      <c r="P15" s="50" t="n">
        <f aca="false">IF(P8=0,Assumptions!$D$21,MIN(Assumptions!$D$25,MAX(Assumptions!$D$22,O60*Assumptions!$D$23)))</f>
        <v>10000</v>
      </c>
      <c r="Q15" s="50" t="n">
        <f aca="false">IF(Q8=0,Assumptions!$D$21,MIN(Assumptions!$D$25,MAX(Assumptions!$D$22,P60*Assumptions!$D$23)))</f>
        <v>10000</v>
      </c>
      <c r="R15" s="50" t="n">
        <f aca="false">IF(R8=0,Assumptions!$D$21,MIN(Assumptions!$D$25,MAX(Assumptions!$D$22,Q60*Assumptions!$D$23)))</f>
        <v>10000</v>
      </c>
      <c r="S15" s="50" t="n">
        <f aca="false">IF(S8=0,Assumptions!$D$21,MIN(Assumptions!$D$25,MAX(Assumptions!$D$22,R60*Assumptions!$D$23)))</f>
        <v>10000</v>
      </c>
      <c r="T15" s="50" t="n">
        <f aca="false">IF(T8=0,Assumptions!$D$21,MIN(Assumptions!$D$25,MAX(Assumptions!$D$22,S60*Assumptions!$D$23)))</f>
        <v>10000</v>
      </c>
      <c r="U15" s="50" t="n">
        <f aca="false">IF(U8=0,Assumptions!$D$21,MIN(Assumptions!$D$25,MAX(Assumptions!$D$22,T60*Assumptions!$D$23)))</f>
        <v>10000</v>
      </c>
      <c r="V15" s="50" t="n">
        <f aca="false">IF(V8=0,Assumptions!$D$21,MIN(Assumptions!$D$25,MAX(Assumptions!$D$22,U60*Assumptions!$D$23)))</f>
        <v>10000</v>
      </c>
      <c r="W15" s="50" t="n">
        <f aca="false">IF(W8=0,Assumptions!$D$21,MIN(Assumptions!$D$25,MAX(Assumptions!$D$22,V60*Assumptions!$D$23)))</f>
        <v>10000</v>
      </c>
      <c r="X15" s="50" t="n">
        <f aca="false">IF(X8=0,Assumptions!$D$21,MIN(Assumptions!$D$25,MAX(Assumptions!$D$22,W60*Assumptions!$D$23)))</f>
        <v>10000</v>
      </c>
      <c r="Y15" s="50" t="n">
        <f aca="false">IF(Y8=0,Assumptions!$D$21,MIN(Assumptions!$D$25,MAX(Assumptions!$D$22,X60*Assumptions!$D$23)))</f>
        <v>10000</v>
      </c>
      <c r="Z15" s="50" t="n">
        <f aca="false">IF(Z8=0,Assumptions!$D$21,MIN(Assumptions!$D$25,MAX(Assumptions!$D$22,Y60*Assumptions!$D$23)))</f>
        <v>10000</v>
      </c>
      <c r="AA15" s="50" t="n">
        <f aca="false">IF(AA8=0,Assumptions!$D$21,MIN(Assumptions!$D$25,MAX(Assumptions!$D$22,Z60*Assumptions!$D$23)))</f>
        <v>10000</v>
      </c>
      <c r="AB15" s="50" t="n">
        <f aca="false">IF(AB8=0,Assumptions!$D$21,MIN(Assumptions!$D$25,MAX(Assumptions!$D$22,AA60*Assumptions!$D$23)))</f>
        <v>10000</v>
      </c>
      <c r="AC15" s="50" t="n">
        <f aca="false">IF(AC8=0,Assumptions!$D$21,MIN(Assumptions!$D$25,MAX(Assumptions!$D$22,AB60*Assumptions!$D$23)))</f>
        <v>10000</v>
      </c>
      <c r="AD15" s="50" t="n">
        <f aca="false">IF(AD8=0,Assumptions!$D$21,MIN(Assumptions!$D$25,MAX(Assumptions!$D$22,AC60*Assumptions!$D$23)))</f>
        <v>10000</v>
      </c>
      <c r="AE15" s="50" t="n">
        <f aca="false">IF(AE8=0,Assumptions!$D$21,MIN(Assumptions!$D$25,MAX(Assumptions!$D$22,AD60*Assumptions!$D$23)))</f>
        <v>10000</v>
      </c>
      <c r="AF15" s="50" t="n">
        <f aca="false">IF(AF8=0,Assumptions!$D$21,MIN(Assumptions!$D$25,MAX(Assumptions!$D$22,AE60*Assumptions!$D$23)))</f>
        <v>10000</v>
      </c>
      <c r="AG15" s="50" t="n">
        <f aca="false">IF(AG8=0,Assumptions!$D$21,MIN(Assumptions!$D$25,MAX(Assumptions!$D$22,AF60*Assumptions!$D$23)))</f>
        <v>10000</v>
      </c>
      <c r="AH15" s="50" t="n">
        <f aca="false">IF(AH8=0,Assumptions!$D$21,MIN(Assumptions!$D$25,MAX(Assumptions!$D$22,AG60*Assumptions!$D$23)))</f>
        <v>10000</v>
      </c>
      <c r="AI15" s="50" t="n">
        <f aca="false">IF(AI8=0,Assumptions!$D$21,MIN(Assumptions!$D$25,MAX(Assumptions!$D$22,AH60*Assumptions!$D$23)))</f>
        <v>10000</v>
      </c>
      <c r="AJ15" s="50" t="n">
        <f aca="false">IF(AJ8=0,Assumptions!$D$21,MIN(Assumptions!$D$25,MAX(Assumptions!$D$22,AI60*Assumptions!$D$23)))</f>
        <v>10000</v>
      </c>
      <c r="AK15" s="50" t="n">
        <f aca="false">IF(AK8=0,Assumptions!$D$21,MIN(Assumptions!$D$25,MAX(Assumptions!$D$22,AJ60*Assumptions!$D$23)))</f>
        <v>10000</v>
      </c>
      <c r="AL15" s="50" t="n">
        <f aca="false">IF(AL8=0,Assumptions!$D$21,MIN(Assumptions!$D$25,MAX(Assumptions!$D$22,AK60*Assumptions!$D$23)))</f>
        <v>10144.0326246865</v>
      </c>
      <c r="AM15" s="50" t="n">
        <f aca="false">SUM(C15:AL15)</f>
        <v>348144.032624686</v>
      </c>
    </row>
    <row r="16" customFormat="false" ht="15" hidden="false" customHeight="false" outlineLevel="0" collapsed="false">
      <c r="A16" s="10" t="s">
        <v>601</v>
      </c>
      <c r="B16" s="9" t="s">
        <v>77</v>
      </c>
      <c r="C16" s="43" t="n">
        <f aca="false">(Assumptions!$D$22/Assumptions!$D$20)*(C15/Assumptions!$D$22)^Assumptions!$D$26</f>
        <v>2062.65904770465</v>
      </c>
      <c r="D16" s="43" t="n">
        <f aca="false">(Assumptions!$D$22/Assumptions!$D$20)*(D15/Assumptions!$D$22)^Assumptions!$D$26</f>
        <v>2062.65904770465</v>
      </c>
      <c r="E16" s="43" t="n">
        <f aca="false">(Assumptions!$D$22/Assumptions!$D$20)*(E15/Assumptions!$D$22)^Assumptions!$D$26</f>
        <v>3846.15384615385</v>
      </c>
      <c r="F16" s="43" t="n">
        <f aca="false">(Assumptions!$D$22/Assumptions!$D$20)*(F15/Assumptions!$D$22)^Assumptions!$D$26</f>
        <v>3846.15384615385</v>
      </c>
      <c r="G16" s="43" t="n">
        <f aca="false">(Assumptions!$D$22/Assumptions!$D$20)*(G15/Assumptions!$D$22)^Assumptions!$D$26</f>
        <v>3846.15384615385</v>
      </c>
      <c r="H16" s="43" t="n">
        <f aca="false">(Assumptions!$D$22/Assumptions!$D$20)*(H15/Assumptions!$D$22)^Assumptions!$D$26</f>
        <v>3846.15384615385</v>
      </c>
      <c r="I16" s="43" t="n">
        <f aca="false">(Assumptions!$D$22/Assumptions!$D$20)*(I15/Assumptions!$D$22)^Assumptions!$D$26</f>
        <v>3846.15384615385</v>
      </c>
      <c r="J16" s="43" t="n">
        <f aca="false">(Assumptions!$D$22/Assumptions!$D$20)*(J15/Assumptions!$D$22)^Assumptions!$D$26</f>
        <v>3846.15384615385</v>
      </c>
      <c r="K16" s="43" t="n">
        <f aca="false">(Assumptions!$D$22/Assumptions!$D$20)*(K15/Assumptions!$D$22)^Assumptions!$D$26</f>
        <v>3846.15384615385</v>
      </c>
      <c r="L16" s="43" t="n">
        <f aca="false">(Assumptions!$D$22/Assumptions!$D$20)*(L15/Assumptions!$D$22)^Assumptions!$D$26</f>
        <v>3846.15384615385</v>
      </c>
      <c r="M16" s="43" t="n">
        <f aca="false">(Assumptions!$D$22/Assumptions!$D$20)*(M15/Assumptions!$D$22)^Assumptions!$D$26</f>
        <v>3846.15384615385</v>
      </c>
      <c r="N16" s="43" t="n">
        <f aca="false">(Assumptions!$D$22/Assumptions!$D$20)*(N15/Assumptions!$D$22)^Assumptions!$D$26</f>
        <v>3846.15384615385</v>
      </c>
      <c r="O16" s="43" t="n">
        <f aca="false">(Assumptions!$D$22/Assumptions!$D$20)*(O15/Assumptions!$D$22)^Assumptions!$D$26</f>
        <v>3846.15384615385</v>
      </c>
      <c r="P16" s="43" t="n">
        <f aca="false">(Assumptions!$D$22/Assumptions!$D$20)*(P15/Assumptions!$D$22)^Assumptions!$D$26</f>
        <v>3846.15384615385</v>
      </c>
      <c r="Q16" s="43" t="n">
        <f aca="false">(Assumptions!$D$22/Assumptions!$D$20)*(Q15/Assumptions!$D$22)^Assumptions!$D$26</f>
        <v>3846.15384615385</v>
      </c>
      <c r="R16" s="43" t="n">
        <f aca="false">(Assumptions!$D$22/Assumptions!$D$20)*(R15/Assumptions!$D$22)^Assumptions!$D$26</f>
        <v>3846.15384615385</v>
      </c>
      <c r="S16" s="43" t="n">
        <f aca="false">(Assumptions!$D$22/Assumptions!$D$20)*(S15/Assumptions!$D$22)^Assumptions!$D$26</f>
        <v>3846.15384615385</v>
      </c>
      <c r="T16" s="43" t="n">
        <f aca="false">(Assumptions!$D$22/Assumptions!$D$20)*(T15/Assumptions!$D$22)^Assumptions!$D$26</f>
        <v>3846.15384615385</v>
      </c>
      <c r="U16" s="43" t="n">
        <f aca="false">(Assumptions!$D$22/Assumptions!$D$20)*(U15/Assumptions!$D$22)^Assumptions!$D$26</f>
        <v>3846.15384615385</v>
      </c>
      <c r="V16" s="43" t="n">
        <f aca="false">(Assumptions!$D$22/Assumptions!$D$20)*(V15/Assumptions!$D$22)^Assumptions!$D$26</f>
        <v>3846.15384615385</v>
      </c>
      <c r="W16" s="43" t="n">
        <f aca="false">(Assumptions!$D$22/Assumptions!$D$20)*(W15/Assumptions!$D$22)^Assumptions!$D$26</f>
        <v>3846.15384615385</v>
      </c>
      <c r="X16" s="43" t="n">
        <f aca="false">(Assumptions!$D$22/Assumptions!$D$20)*(X15/Assumptions!$D$22)^Assumptions!$D$26</f>
        <v>3846.15384615385</v>
      </c>
      <c r="Y16" s="43" t="n">
        <f aca="false">(Assumptions!$D$22/Assumptions!$D$20)*(Y15/Assumptions!$D$22)^Assumptions!$D$26</f>
        <v>3846.15384615385</v>
      </c>
      <c r="Z16" s="43" t="n">
        <f aca="false">(Assumptions!$D$22/Assumptions!$D$20)*(Z15/Assumptions!$D$22)^Assumptions!$D$26</f>
        <v>3846.15384615385</v>
      </c>
      <c r="AA16" s="43" t="n">
        <f aca="false">(Assumptions!$D$22/Assumptions!$D$20)*(AA15/Assumptions!$D$22)^Assumptions!$D$26</f>
        <v>3846.15384615385</v>
      </c>
      <c r="AB16" s="43" t="n">
        <f aca="false">(Assumptions!$D$22/Assumptions!$D$20)*(AB15/Assumptions!$D$22)^Assumptions!$D$26</f>
        <v>3846.15384615385</v>
      </c>
      <c r="AC16" s="43" t="n">
        <f aca="false">(Assumptions!$D$22/Assumptions!$D$20)*(AC15/Assumptions!$D$22)^Assumptions!$D$26</f>
        <v>3846.15384615385</v>
      </c>
      <c r="AD16" s="43" t="n">
        <f aca="false">(Assumptions!$D$22/Assumptions!$D$20)*(AD15/Assumptions!$D$22)^Assumptions!$D$26</f>
        <v>3846.15384615385</v>
      </c>
      <c r="AE16" s="43" t="n">
        <f aca="false">(Assumptions!$D$22/Assumptions!$D$20)*(AE15/Assumptions!$D$22)^Assumptions!$D$26</f>
        <v>3846.15384615385</v>
      </c>
      <c r="AF16" s="43" t="n">
        <f aca="false">(Assumptions!$D$22/Assumptions!$D$20)*(AF15/Assumptions!$D$22)^Assumptions!$D$26</f>
        <v>3846.15384615385</v>
      </c>
      <c r="AG16" s="43" t="n">
        <f aca="false">(Assumptions!$D$22/Assumptions!$D$20)*(AG15/Assumptions!$D$22)^Assumptions!$D$26</f>
        <v>3846.15384615385</v>
      </c>
      <c r="AH16" s="43" t="n">
        <f aca="false">(Assumptions!$D$22/Assumptions!$D$20)*(AH15/Assumptions!$D$22)^Assumptions!$D$26</f>
        <v>3846.15384615385</v>
      </c>
      <c r="AI16" s="43" t="n">
        <f aca="false">(Assumptions!$D$22/Assumptions!$D$20)*(AI15/Assumptions!$D$22)^Assumptions!$D$26</f>
        <v>3846.15384615385</v>
      </c>
      <c r="AJ16" s="43" t="n">
        <f aca="false">(Assumptions!$D$22/Assumptions!$D$20)*(AJ15/Assumptions!$D$22)^Assumptions!$D$26</f>
        <v>3846.15384615385</v>
      </c>
      <c r="AK16" s="43" t="n">
        <f aca="false">(Assumptions!$D$22/Assumptions!$D$20)*(AK15/Assumptions!$D$22)^Assumptions!$D$26</f>
        <v>3846.15384615385</v>
      </c>
      <c r="AL16" s="43" t="n">
        <f aca="false">(Assumptions!$D$22/Assumptions!$D$20)*(AL15/Assumptions!$D$22)^Assumptions!$D$26</f>
        <v>3883.73765132819</v>
      </c>
      <c r="AM16" s="43" t="n">
        <f aca="false">SUM(C16:AL16)</f>
        <v>134932.132669814</v>
      </c>
    </row>
    <row r="17" customFormat="false" ht="15" hidden="false" customHeight="false" outlineLevel="0" collapsed="false">
      <c r="A17" s="10" t="s">
        <v>602</v>
      </c>
      <c r="B17" s="9" t="s">
        <v>90</v>
      </c>
      <c r="C17" s="51" t="n">
        <f aca="false">IFERROR(C15/C16,0)</f>
        <v>1.93924439642666</v>
      </c>
      <c r="D17" s="51" t="n">
        <f aca="false">IFERROR(D15/D16,0)</f>
        <v>1.93924439642666</v>
      </c>
      <c r="E17" s="51" t="n">
        <f aca="false">IFERROR(E15/E16,0)</f>
        <v>2.6</v>
      </c>
      <c r="F17" s="51" t="n">
        <f aca="false">IFERROR(F15/F16,0)</f>
        <v>2.6</v>
      </c>
      <c r="G17" s="51" t="n">
        <f aca="false">IFERROR(G15/G16,0)</f>
        <v>2.6</v>
      </c>
      <c r="H17" s="51" t="n">
        <f aca="false">IFERROR(H15/H16,0)</f>
        <v>2.6</v>
      </c>
      <c r="I17" s="51" t="n">
        <f aca="false">IFERROR(I15/I16,0)</f>
        <v>2.6</v>
      </c>
      <c r="J17" s="51" t="n">
        <f aca="false">IFERROR(J15/J16,0)</f>
        <v>2.6</v>
      </c>
      <c r="K17" s="51" t="n">
        <f aca="false">IFERROR(K15/K16,0)</f>
        <v>2.6</v>
      </c>
      <c r="L17" s="51" t="n">
        <f aca="false">IFERROR(L15/L16,0)</f>
        <v>2.6</v>
      </c>
      <c r="M17" s="51" t="n">
        <f aca="false">IFERROR(M15/M16,0)</f>
        <v>2.6</v>
      </c>
      <c r="N17" s="51" t="n">
        <f aca="false">IFERROR(N15/N16,0)</f>
        <v>2.6</v>
      </c>
      <c r="O17" s="51" t="n">
        <f aca="false">IFERROR(O15/O16,0)</f>
        <v>2.6</v>
      </c>
      <c r="P17" s="51" t="n">
        <f aca="false">IFERROR(P15/P16,0)</f>
        <v>2.6</v>
      </c>
      <c r="Q17" s="51" t="n">
        <f aca="false">IFERROR(Q15/Q16,0)</f>
        <v>2.6</v>
      </c>
      <c r="R17" s="51" t="n">
        <f aca="false">IFERROR(R15/R16,0)</f>
        <v>2.6</v>
      </c>
      <c r="S17" s="51" t="n">
        <f aca="false">IFERROR(S15/S16,0)</f>
        <v>2.6</v>
      </c>
      <c r="T17" s="51" t="n">
        <f aca="false">IFERROR(T15/T16,0)</f>
        <v>2.6</v>
      </c>
      <c r="U17" s="51" t="n">
        <f aca="false">IFERROR(U15/U16,0)</f>
        <v>2.6</v>
      </c>
      <c r="V17" s="51" t="n">
        <f aca="false">IFERROR(V15/V16,0)</f>
        <v>2.6</v>
      </c>
      <c r="W17" s="51" t="n">
        <f aca="false">IFERROR(W15/W16,0)</f>
        <v>2.6</v>
      </c>
      <c r="X17" s="51" t="n">
        <f aca="false">IFERROR(X15/X16,0)</f>
        <v>2.6</v>
      </c>
      <c r="Y17" s="51" t="n">
        <f aca="false">IFERROR(Y15/Y16,0)</f>
        <v>2.6</v>
      </c>
      <c r="Z17" s="51" t="n">
        <f aca="false">IFERROR(Z15/Z16,0)</f>
        <v>2.6</v>
      </c>
      <c r="AA17" s="51" t="n">
        <f aca="false">IFERROR(AA15/AA16,0)</f>
        <v>2.6</v>
      </c>
      <c r="AB17" s="51" t="n">
        <f aca="false">IFERROR(AB15/AB16,0)</f>
        <v>2.6</v>
      </c>
      <c r="AC17" s="51" t="n">
        <f aca="false">IFERROR(AC15/AC16,0)</f>
        <v>2.6</v>
      </c>
      <c r="AD17" s="51" t="n">
        <f aca="false">IFERROR(AD15/AD16,0)</f>
        <v>2.6</v>
      </c>
      <c r="AE17" s="51" t="n">
        <f aca="false">IFERROR(AE15/AE16,0)</f>
        <v>2.6</v>
      </c>
      <c r="AF17" s="51" t="n">
        <f aca="false">IFERROR(AF15/AF16,0)</f>
        <v>2.6</v>
      </c>
      <c r="AG17" s="51" t="n">
        <f aca="false">IFERROR(AG15/AG16,0)</f>
        <v>2.6</v>
      </c>
      <c r="AH17" s="51" t="n">
        <f aca="false">IFERROR(AH15/AH16,0)</f>
        <v>2.6</v>
      </c>
      <c r="AI17" s="51" t="n">
        <f aca="false">IFERROR(AI15/AI16,0)</f>
        <v>2.6</v>
      </c>
      <c r="AJ17" s="51" t="n">
        <f aca="false">IFERROR(AJ15/AJ16,0)</f>
        <v>2.6</v>
      </c>
      <c r="AK17" s="51" t="n">
        <f aca="false">IFERROR(AK15/AK16,0)</f>
        <v>2.6</v>
      </c>
      <c r="AL17" s="51" t="n">
        <f aca="false">IFERROR(AL15/AL16,0)</f>
        <v>2.61192529861468</v>
      </c>
      <c r="AM17" s="51" t="n">
        <f aca="false">AVERAGE(N17:AL17)</f>
        <v>2.60047701194459</v>
      </c>
    </row>
    <row r="18" customFormat="false" ht="15" hidden="false" customHeight="false" outlineLevel="0" collapsed="false">
      <c r="A18" s="26" t="s">
        <v>603</v>
      </c>
      <c r="B18" s="9" t="s">
        <v>77</v>
      </c>
      <c r="C18" s="52" t="n">
        <f aca="false">C13+C14+C16</f>
        <v>3262.65904770465</v>
      </c>
      <c r="D18" s="52" t="n">
        <f aca="false">D13+D14+D16</f>
        <v>3334.65904770465</v>
      </c>
      <c r="E18" s="52" t="n">
        <f aca="false">E13+E14+E16</f>
        <v>17469.6738461538</v>
      </c>
      <c r="F18" s="52" t="n">
        <f aca="false">F13+F14+F16</f>
        <v>11400.6978461538</v>
      </c>
      <c r="G18" s="52" t="n">
        <f aca="false">G13+G14+G16</f>
        <v>10372.8448541538</v>
      </c>
      <c r="H18" s="52" t="n">
        <f aca="false">H13+H14+H16</f>
        <v>9661.94677159385</v>
      </c>
      <c r="I18" s="52" t="n">
        <f aca="false">I13+I14+I16</f>
        <v>9181.00558813145</v>
      </c>
      <c r="J18" s="52" t="n">
        <f aca="false">J13+J14+J16</f>
        <v>8867.48769817817</v>
      </c>
      <c r="K18" s="52" t="n">
        <f aca="false">K13+K14+K16</f>
        <v>8676.48016527983</v>
      </c>
      <c r="L18" s="52" t="n">
        <f aca="false">L13+L14+L16</f>
        <v>8575.76361033314</v>
      </c>
      <c r="M18" s="52" t="n">
        <f aca="false">M13+M14+M16</f>
        <v>8542.26509163604</v>
      </c>
      <c r="N18" s="52" t="n">
        <f aca="false">N13+N14+N16</f>
        <v>8559.50460309051</v>
      </c>
      <c r="O18" s="52" t="n">
        <f aca="false">O13+O14+O16</f>
        <v>8615.7570029491</v>
      </c>
      <c r="P18" s="52" t="n">
        <f aca="false">P13+P14+P16</f>
        <v>8702.72907955533</v>
      </c>
      <c r="Q18" s="52" t="n">
        <f aca="false">Q13+Q14+Q16</f>
        <v>8814.60754434236</v>
      </c>
      <c r="R18" s="52" t="n">
        <f aca="false">R13+R14+R16</f>
        <v>8947.37412279738</v>
      </c>
      <c r="S18" s="52" t="n">
        <f aca="false">S13+S14+S16</f>
        <v>9098.31298812187</v>
      </c>
      <c r="T18" s="52" t="n">
        <f aca="false">T13+T14+T16</f>
        <v>9265.65671572257</v>
      </c>
      <c r="U18" s="52" t="n">
        <f aca="false">U13+U14+U16</f>
        <v>9448.33200883619</v>
      </c>
      <c r="V18" s="52" t="n">
        <f aca="false">V13+V14+V16</f>
        <v>9645.77729767357</v>
      </c>
      <c r="W18" s="52" t="n">
        <f aca="false">W13+W14+W16</f>
        <v>9857.81212809978</v>
      </c>
      <c r="X18" s="52" t="n">
        <f aca="false">X13+X14+X16</f>
        <v>10084.5438818178</v>
      </c>
      <c r="Y18" s="52" t="n">
        <f aca="false">Y13+Y14+Y16</f>
        <v>10326.3014208545</v>
      </c>
      <c r="Z18" s="52" t="n">
        <f aca="false">Z13+Z14+Z16</f>
        <v>10583.5881659023</v>
      </c>
      <c r="AA18" s="52" t="n">
        <f aca="false">AA13+AA14+AA16</f>
        <v>10857.0492182945</v>
      </c>
      <c r="AB18" s="52" t="n">
        <f aca="false">AB13+AB14+AB16</f>
        <v>11147.4486477322</v>
      </c>
      <c r="AC18" s="52" t="n">
        <f aca="false">AC13+AC14+AC16</f>
        <v>11455.6541569456</v>
      </c>
      <c r="AD18" s="52" t="n">
        <f aca="false">AD13+AD14+AD16</f>
        <v>11782.6271187986</v>
      </c>
      <c r="AE18" s="52" t="n">
        <f aca="false">AE13+AE14+AE16</f>
        <v>12129.4165462652</v>
      </c>
      <c r="AF18" s="52" t="n">
        <f aca="false">AF13+AF14+AF16</f>
        <v>12497.1559626696</v>
      </c>
      <c r="AG18" s="52" t="n">
        <f aca="false">AG13+AG14+AG16</f>
        <v>12887.0624328269</v>
      </c>
      <c r="AH18" s="52" t="n">
        <f aca="false">AH13+AH14+AH16</f>
        <v>13300.4372271071</v>
      </c>
      <c r="AI18" s="52" t="n">
        <f aca="false">AI13+AI14+AI16</f>
        <v>13738.6677429017</v>
      </c>
      <c r="AJ18" s="52" t="n">
        <f aca="false">AJ13+AJ14+AJ16</f>
        <v>14203.2304180215</v>
      </c>
      <c r="AK18" s="52" t="n">
        <f aca="false">AK13+AK14+AK16</f>
        <v>14695.6944500803</v>
      </c>
      <c r="AL18" s="52" t="n">
        <f aca="false">AL13+AL14+AL16</f>
        <v>15255.3099986679</v>
      </c>
      <c r="AM18" s="52" t="n">
        <f aca="false">SUM(C18:AL18)</f>
        <v>375245.534447098</v>
      </c>
    </row>
    <row r="19" customFormat="false" ht="15" hidden="false" customHeight="false" outlineLevel="0" collapsed="false">
      <c r="A19" s="10" t="s">
        <v>604</v>
      </c>
      <c r="B19" s="9" t="s">
        <v>44</v>
      </c>
      <c r="C19" s="43" t="n">
        <f aca="false">C8*Assumptions!$D$28*Assumptions!$D$29^C10</f>
        <v>0</v>
      </c>
      <c r="D19" s="43" t="n">
        <f aca="false">D8*Assumptions!$D$28*Assumptions!$D$29^D10</f>
        <v>0</v>
      </c>
      <c r="E19" s="43" t="n">
        <f aca="false">E8*Assumptions!$D$28*Assumptions!$D$29^E10</f>
        <v>600</v>
      </c>
      <c r="F19" s="43" t="n">
        <f aca="false">F8*Assumptions!$D$28*Assumptions!$D$29^F10</f>
        <v>750</v>
      </c>
      <c r="G19" s="43" t="n">
        <f aca="false">G8*Assumptions!$D$28*Assumptions!$D$29^G10</f>
        <v>937.5</v>
      </c>
      <c r="H19" s="43" t="n">
        <f aca="false">H8*Assumptions!$D$28*Assumptions!$D$29^H10</f>
        <v>1171.875</v>
      </c>
      <c r="I19" s="43" t="n">
        <f aca="false">I8*Assumptions!$D$28*Assumptions!$D$29^I10</f>
        <v>1464.84375</v>
      </c>
      <c r="J19" s="43" t="n">
        <f aca="false">J8*Assumptions!$D$28*Assumptions!$D$29^J10</f>
        <v>1831.0546875</v>
      </c>
      <c r="K19" s="43" t="n">
        <f aca="false">K8*Assumptions!$D$28*Assumptions!$D$29^K10</f>
        <v>2288.818359375</v>
      </c>
      <c r="L19" s="43" t="n">
        <f aca="false">L8*Assumptions!$D$28*Assumptions!$D$29^L10</f>
        <v>2861.02294921875</v>
      </c>
      <c r="M19" s="43" t="n">
        <f aca="false">M8*Assumptions!$D$28*Assumptions!$D$29^M10</f>
        <v>3576.27868652344</v>
      </c>
      <c r="N19" s="43" t="n">
        <f aca="false">N8*Assumptions!$D$28*Assumptions!$D$29^N10</f>
        <v>4470.3483581543</v>
      </c>
      <c r="O19" s="43" t="n">
        <f aca="false">O8*Assumptions!$D$28*Assumptions!$D$29^O10</f>
        <v>5587.93544769287</v>
      </c>
      <c r="P19" s="43" t="n">
        <f aca="false">P8*Assumptions!$D$28*Assumptions!$D$29^P10</f>
        <v>6984.91930961609</v>
      </c>
      <c r="Q19" s="43" t="n">
        <f aca="false">Q8*Assumptions!$D$28*Assumptions!$D$29^Q10</f>
        <v>8731.14913702011</v>
      </c>
      <c r="R19" s="43" t="n">
        <f aca="false">R8*Assumptions!$D$28*Assumptions!$D$29^R10</f>
        <v>10913.9364212751</v>
      </c>
      <c r="S19" s="43" t="n">
        <f aca="false">S8*Assumptions!$D$28*Assumptions!$D$29^S10</f>
        <v>13642.4205265939</v>
      </c>
      <c r="T19" s="43" t="n">
        <f aca="false">T8*Assumptions!$D$28*Assumptions!$D$29^T10</f>
        <v>17053.0256582424</v>
      </c>
      <c r="U19" s="43" t="n">
        <f aca="false">U8*Assumptions!$D$28*Assumptions!$D$29^U10</f>
        <v>21316.282072803</v>
      </c>
      <c r="V19" s="43" t="n">
        <f aca="false">V8*Assumptions!$D$28*Assumptions!$D$29^V10</f>
        <v>26645.3525910038</v>
      </c>
      <c r="W19" s="43" t="n">
        <f aca="false">W8*Assumptions!$D$28*Assumptions!$D$29^W10</f>
        <v>33306.6907387547</v>
      </c>
      <c r="X19" s="43" t="n">
        <f aca="false">X8*Assumptions!$D$28*Assumptions!$D$29^X10</f>
        <v>41633.3634234434</v>
      </c>
      <c r="Y19" s="43" t="n">
        <f aca="false">Y8*Assumptions!$D$28*Assumptions!$D$29^Y10</f>
        <v>52041.7042793042</v>
      </c>
      <c r="Z19" s="43" t="n">
        <f aca="false">Z8*Assumptions!$D$28*Assumptions!$D$29^Z10</f>
        <v>65052.1303491303</v>
      </c>
      <c r="AA19" s="43" t="n">
        <f aca="false">AA8*Assumptions!$D$28*Assumptions!$D$29^AA10</f>
        <v>81315.1629364128</v>
      </c>
      <c r="AB19" s="43" t="n">
        <f aca="false">AB8*Assumptions!$D$28*Assumptions!$D$29^AB10</f>
        <v>101643.953670516</v>
      </c>
      <c r="AC19" s="43" t="n">
        <f aca="false">AC8*Assumptions!$D$28*Assumptions!$D$29^AC10</f>
        <v>127054.942088145</v>
      </c>
      <c r="AD19" s="43" t="n">
        <f aca="false">AD8*Assumptions!$D$28*Assumptions!$D$29^AD10</f>
        <v>158818.677610181</v>
      </c>
      <c r="AE19" s="43" t="n">
        <f aca="false">AE8*Assumptions!$D$28*Assumptions!$D$29^AE10</f>
        <v>198523.347012727</v>
      </c>
      <c r="AF19" s="43" t="n">
        <f aca="false">AF8*Assumptions!$D$28*Assumptions!$D$29^AF10</f>
        <v>248154.183765908</v>
      </c>
      <c r="AG19" s="43" t="n">
        <f aca="false">AG8*Assumptions!$D$28*Assumptions!$D$29^AG10</f>
        <v>310192.729707385</v>
      </c>
      <c r="AH19" s="43" t="n">
        <f aca="false">AH8*Assumptions!$D$28*Assumptions!$D$29^AH10</f>
        <v>387740.912134232</v>
      </c>
      <c r="AI19" s="43" t="n">
        <f aca="false">AI8*Assumptions!$D$28*Assumptions!$D$29^AI10</f>
        <v>484676.14016779</v>
      </c>
      <c r="AJ19" s="43" t="n">
        <f aca="false">AJ8*Assumptions!$D$28*Assumptions!$D$29^AJ10</f>
        <v>605845.175209737</v>
      </c>
      <c r="AK19" s="43" t="n">
        <f aca="false">AK8*Assumptions!$D$28*Assumptions!$D$29^AK10</f>
        <v>757306.469012171</v>
      </c>
      <c r="AL19" s="43" t="n">
        <f aca="false">AL8*Assumptions!$D$28*Assumptions!$D$29^AL10</f>
        <v>946633.086265214</v>
      </c>
      <c r="AM19" s="43" t="n">
        <f aca="false">AL19</f>
        <v>946633.086265214</v>
      </c>
    </row>
    <row r="20" customFormat="false" ht="15" hidden="false" customHeight="false" outlineLevel="0" collapsed="false">
      <c r="A20" s="10" t="s">
        <v>605</v>
      </c>
      <c r="B20" s="9" t="s">
        <v>44</v>
      </c>
      <c r="C20" s="43" t="n">
        <f aca="false">C18*Assumptions!$D$30*C8</f>
        <v>0</v>
      </c>
      <c r="D20" s="43" t="n">
        <f aca="false">D18*Assumptions!$D$30*D8</f>
        <v>0</v>
      </c>
      <c r="E20" s="43" t="n">
        <f aca="false">E18*Assumptions!$D$30*E8</f>
        <v>157.227064615385</v>
      </c>
      <c r="F20" s="43" t="n">
        <f aca="false">F18*Assumptions!$D$30*F8</f>
        <v>102.606280615385</v>
      </c>
      <c r="G20" s="43" t="n">
        <f aca="false">G18*Assumptions!$D$30*G8</f>
        <v>93.3556036873846</v>
      </c>
      <c r="H20" s="43" t="n">
        <f aca="false">H18*Assumptions!$D$30*H8</f>
        <v>86.9575209443446</v>
      </c>
      <c r="I20" s="43" t="n">
        <f aca="false">I18*Assumptions!$D$30*I8</f>
        <v>82.629050293183</v>
      </c>
      <c r="J20" s="43" t="n">
        <f aca="false">J18*Assumptions!$D$30*J8</f>
        <v>79.8073892836035</v>
      </c>
      <c r="K20" s="43" t="n">
        <f aca="false">K18*Assumptions!$D$30*K8</f>
        <v>78.0883214875185</v>
      </c>
      <c r="L20" s="43" t="n">
        <f aca="false">L18*Assumptions!$D$30*L8</f>
        <v>77.1818724929982</v>
      </c>
      <c r="M20" s="43" t="n">
        <f aca="false">M18*Assumptions!$D$30*M8</f>
        <v>76.8803858247243</v>
      </c>
      <c r="N20" s="43" t="n">
        <f aca="false">N18*Assumptions!$D$30*N8</f>
        <v>77.0355414278146</v>
      </c>
      <c r="O20" s="43" t="n">
        <f aca="false">O18*Assumptions!$D$30*O8</f>
        <v>77.5418130265419</v>
      </c>
      <c r="P20" s="43" t="n">
        <f aca="false">P18*Assumptions!$D$30*P8</f>
        <v>78.324561715998</v>
      </c>
      <c r="Q20" s="43" t="n">
        <f aca="false">Q18*Assumptions!$D$30*Q8</f>
        <v>79.3314678990812</v>
      </c>
      <c r="R20" s="43" t="n">
        <f aca="false">R18*Assumptions!$D$30*R8</f>
        <v>80.5263671051764</v>
      </c>
      <c r="S20" s="43" t="n">
        <f aca="false">S18*Assumptions!$D$30*S8</f>
        <v>81.8848168930968</v>
      </c>
      <c r="T20" s="43" t="n">
        <f aca="false">T18*Assumptions!$D$30*T8</f>
        <v>83.3909104415032</v>
      </c>
      <c r="U20" s="43" t="n">
        <f aca="false">U18*Assumptions!$D$30*U8</f>
        <v>85.0349880795257</v>
      </c>
      <c r="V20" s="43" t="n">
        <f aca="false">V18*Assumptions!$D$30*V8</f>
        <v>86.8119956790621</v>
      </c>
      <c r="W20" s="43" t="n">
        <f aca="false">W18*Assumptions!$D$30*W8</f>
        <v>88.720309152898</v>
      </c>
      <c r="X20" s="43" t="n">
        <f aca="false">X18*Assumptions!$D$30*X8</f>
        <v>90.7608949363599</v>
      </c>
      <c r="Y20" s="43" t="n">
        <f aca="false">Y18*Assumptions!$D$30*Y8</f>
        <v>92.9367127876903</v>
      </c>
      <c r="Z20" s="43" t="n">
        <f aca="false">Z18*Assumptions!$D$30*Z8</f>
        <v>95.2522934931204</v>
      </c>
      <c r="AA20" s="43" t="n">
        <f aca="false">AA18*Assumptions!$D$30*AA8</f>
        <v>97.7134429646507</v>
      </c>
      <c r="AB20" s="43" t="n">
        <f aca="false">AB18*Assumptions!$D$30*AB8</f>
        <v>100.32703782959</v>
      </c>
      <c r="AC20" s="43" t="n">
        <f aca="false">AC18*Assumptions!$D$30*AC8</f>
        <v>103.100887412511</v>
      </c>
      <c r="AD20" s="43" t="n">
        <f aca="false">AD18*Assumptions!$D$30*AD8</f>
        <v>106.043644069187</v>
      </c>
      <c r="AE20" s="43" t="n">
        <f aca="false">AE18*Assumptions!$D$30*AE8</f>
        <v>109.164748916387</v>
      </c>
      <c r="AF20" s="43" t="n">
        <f aca="false">AF18*Assumptions!$D$30*AF8</f>
        <v>112.474403664026</v>
      </c>
      <c r="AG20" s="43" t="n">
        <f aca="false">AG18*Assumptions!$D$30*AG8</f>
        <v>115.983561895442</v>
      </c>
      <c r="AH20" s="43" t="n">
        <f aca="false">AH18*Assumptions!$D$30*AH8</f>
        <v>119.703935043963</v>
      </c>
      <c r="AI20" s="43" t="n">
        <f aca="false">AI18*Assumptions!$D$30*AI8</f>
        <v>123.648009686115</v>
      </c>
      <c r="AJ20" s="43" t="n">
        <f aca="false">AJ18*Assumptions!$D$30*AJ8</f>
        <v>127.829073762194</v>
      </c>
      <c r="AK20" s="43" t="n">
        <f aca="false">AK18*Assumptions!$D$30*AK8</f>
        <v>132.261250050723</v>
      </c>
      <c r="AL20" s="43" t="n">
        <f aca="false">AL18*Assumptions!$D$30*AL8</f>
        <v>137.297789988011</v>
      </c>
      <c r="AM20" s="43" t="n">
        <f aca="false">SUM(C20:AL20)</f>
        <v>3317.8339471652</v>
      </c>
    </row>
    <row r="21" customFormat="false" ht="15" hidden="false" customHeight="false" outlineLevel="0" collapsed="false">
      <c r="A21" s="26" t="s">
        <v>606</v>
      </c>
      <c r="B21" s="9" t="s">
        <v>44</v>
      </c>
      <c r="C21" s="52" t="n">
        <f aca="false">MIN(C20,C19)</f>
        <v>0</v>
      </c>
      <c r="D21" s="52" t="n">
        <f aca="false">MIN(D20,D19)</f>
        <v>0</v>
      </c>
      <c r="E21" s="52" t="n">
        <f aca="false">MIN(E20,E19)</f>
        <v>157.227064615385</v>
      </c>
      <c r="F21" s="52" t="n">
        <f aca="false">MIN(F20,F19)</f>
        <v>102.606280615385</v>
      </c>
      <c r="G21" s="52" t="n">
        <f aca="false">MIN(G20,G19)</f>
        <v>93.3556036873846</v>
      </c>
      <c r="H21" s="52" t="n">
        <f aca="false">MIN(H20,H19)</f>
        <v>86.9575209443446</v>
      </c>
      <c r="I21" s="52" t="n">
        <f aca="false">MIN(I20,I19)</f>
        <v>82.629050293183</v>
      </c>
      <c r="J21" s="52" t="n">
        <f aca="false">MIN(J20,J19)</f>
        <v>79.8073892836035</v>
      </c>
      <c r="K21" s="52" t="n">
        <f aca="false">MIN(K20,K19)</f>
        <v>78.0883214875185</v>
      </c>
      <c r="L21" s="52" t="n">
        <f aca="false">MIN(L20,L19)</f>
        <v>77.1818724929982</v>
      </c>
      <c r="M21" s="52" t="n">
        <f aca="false">MIN(M20,M19)</f>
        <v>76.8803858247243</v>
      </c>
      <c r="N21" s="52" t="n">
        <f aca="false">MIN(N20,N19)</f>
        <v>77.0355414278146</v>
      </c>
      <c r="O21" s="52" t="n">
        <f aca="false">MIN(O20,O19)</f>
        <v>77.5418130265419</v>
      </c>
      <c r="P21" s="52" t="n">
        <f aca="false">MIN(P20,P19)</f>
        <v>78.324561715998</v>
      </c>
      <c r="Q21" s="52" t="n">
        <f aca="false">MIN(Q20,Q19)</f>
        <v>79.3314678990812</v>
      </c>
      <c r="R21" s="52" t="n">
        <f aca="false">MIN(R20,R19)</f>
        <v>80.5263671051764</v>
      </c>
      <c r="S21" s="52" t="n">
        <f aca="false">MIN(S20,S19)</f>
        <v>81.8848168930968</v>
      </c>
      <c r="T21" s="52" t="n">
        <f aca="false">MIN(T20,T19)</f>
        <v>83.3909104415032</v>
      </c>
      <c r="U21" s="52" t="n">
        <f aca="false">MIN(U20,U19)</f>
        <v>85.0349880795257</v>
      </c>
      <c r="V21" s="52" t="n">
        <f aca="false">MIN(V20,V19)</f>
        <v>86.8119956790621</v>
      </c>
      <c r="W21" s="52" t="n">
        <f aca="false">MIN(W20,W19)</f>
        <v>88.720309152898</v>
      </c>
      <c r="X21" s="52" t="n">
        <f aca="false">MIN(X20,X19)</f>
        <v>90.7608949363599</v>
      </c>
      <c r="Y21" s="52" t="n">
        <f aca="false">MIN(Y20,Y19)</f>
        <v>92.9367127876903</v>
      </c>
      <c r="Z21" s="52" t="n">
        <f aca="false">MIN(Z20,Z19)</f>
        <v>95.2522934931204</v>
      </c>
      <c r="AA21" s="52" t="n">
        <f aca="false">MIN(AA20,AA19)</f>
        <v>97.7134429646507</v>
      </c>
      <c r="AB21" s="52" t="n">
        <f aca="false">MIN(AB20,AB19)</f>
        <v>100.32703782959</v>
      </c>
      <c r="AC21" s="52" t="n">
        <f aca="false">MIN(AC20,AC19)</f>
        <v>103.100887412511</v>
      </c>
      <c r="AD21" s="52" t="n">
        <f aca="false">MIN(AD20,AD19)</f>
        <v>106.043644069187</v>
      </c>
      <c r="AE21" s="52" t="n">
        <f aca="false">MIN(AE20,AE19)</f>
        <v>109.164748916387</v>
      </c>
      <c r="AF21" s="52" t="n">
        <f aca="false">MIN(AF20,AF19)</f>
        <v>112.474403664026</v>
      </c>
      <c r="AG21" s="52" t="n">
        <f aca="false">MIN(AG20,AG19)</f>
        <v>115.983561895442</v>
      </c>
      <c r="AH21" s="52" t="n">
        <f aca="false">MIN(AH20,AH19)</f>
        <v>119.703935043963</v>
      </c>
      <c r="AI21" s="52" t="n">
        <f aca="false">MIN(AI20,AI19)</f>
        <v>123.648009686115</v>
      </c>
      <c r="AJ21" s="52" t="n">
        <f aca="false">MIN(AJ20,AJ19)</f>
        <v>127.829073762194</v>
      </c>
      <c r="AK21" s="52" t="n">
        <f aca="false">MIN(AK20,AK19)</f>
        <v>132.261250050723</v>
      </c>
      <c r="AL21" s="52" t="n">
        <f aca="false">MIN(AL20,AL19)</f>
        <v>137.297789988011</v>
      </c>
      <c r="AM21" s="52" t="n">
        <f aca="false">SUM(C21:AL21)</f>
        <v>3317.8339471652</v>
      </c>
    </row>
    <row r="22" customFormat="false" ht="15" hidden="false" customHeight="false" outlineLevel="0" collapsed="false">
      <c r="A22" s="10" t="s">
        <v>607</v>
      </c>
      <c r="B22" s="9" t="s">
        <v>44</v>
      </c>
      <c r="C22" s="43" t="n">
        <f aca="false">MAX(0,C20-C19)</f>
        <v>0</v>
      </c>
      <c r="D22" s="43" t="n">
        <f aca="false">MAX(0,D20-D19)</f>
        <v>0</v>
      </c>
      <c r="E22" s="43" t="n">
        <f aca="false">MAX(0,E20-E19)</f>
        <v>0</v>
      </c>
      <c r="F22" s="43" t="n">
        <f aca="false">MAX(0,F20-F19)</f>
        <v>0</v>
      </c>
      <c r="G22" s="43" t="n">
        <f aca="false">MAX(0,G20-G19)</f>
        <v>0</v>
      </c>
      <c r="H22" s="43" t="n">
        <f aca="false">MAX(0,H20-H19)</f>
        <v>0</v>
      </c>
      <c r="I22" s="43" t="n">
        <f aca="false">MAX(0,I20-I19)</f>
        <v>0</v>
      </c>
      <c r="J22" s="43" t="n">
        <f aca="false">MAX(0,J20-J19)</f>
        <v>0</v>
      </c>
      <c r="K22" s="43" t="n">
        <f aca="false">MAX(0,K20-K19)</f>
        <v>0</v>
      </c>
      <c r="L22" s="43" t="n">
        <f aca="false">MAX(0,L20-L19)</f>
        <v>0</v>
      </c>
      <c r="M22" s="43" t="n">
        <f aca="false">MAX(0,M20-M19)</f>
        <v>0</v>
      </c>
      <c r="N22" s="43" t="n">
        <f aca="false">MAX(0,N20-N19)</f>
        <v>0</v>
      </c>
      <c r="O22" s="43" t="n">
        <f aca="false">MAX(0,O20-O19)</f>
        <v>0</v>
      </c>
      <c r="P22" s="43" t="n">
        <f aca="false">MAX(0,P20-P19)</f>
        <v>0</v>
      </c>
      <c r="Q22" s="43" t="n">
        <f aca="false">MAX(0,Q20-Q19)</f>
        <v>0</v>
      </c>
      <c r="R22" s="43" t="n">
        <f aca="false">MAX(0,R20-R19)</f>
        <v>0</v>
      </c>
      <c r="S22" s="43" t="n">
        <f aca="false">MAX(0,S20-S19)</f>
        <v>0</v>
      </c>
      <c r="T22" s="43" t="n">
        <f aca="false">MAX(0,T20-T19)</f>
        <v>0</v>
      </c>
      <c r="U22" s="43" t="n">
        <f aca="false">MAX(0,U20-U19)</f>
        <v>0</v>
      </c>
      <c r="V22" s="43" t="n">
        <f aca="false">MAX(0,V20-V19)</f>
        <v>0</v>
      </c>
      <c r="W22" s="43" t="n">
        <f aca="false">MAX(0,W20-W19)</f>
        <v>0</v>
      </c>
      <c r="X22" s="43" t="n">
        <f aca="false">MAX(0,X20-X19)</f>
        <v>0</v>
      </c>
      <c r="Y22" s="43" t="n">
        <f aca="false">MAX(0,Y20-Y19)</f>
        <v>0</v>
      </c>
      <c r="Z22" s="43" t="n">
        <f aca="false">MAX(0,Z20-Z19)</f>
        <v>0</v>
      </c>
      <c r="AA22" s="43" t="n">
        <f aca="false">MAX(0,AA20-AA19)</f>
        <v>0</v>
      </c>
      <c r="AB22" s="43" t="n">
        <f aca="false">MAX(0,AB20-AB19)</f>
        <v>0</v>
      </c>
      <c r="AC22" s="43" t="n">
        <f aca="false">MAX(0,AC20-AC19)</f>
        <v>0</v>
      </c>
      <c r="AD22" s="43" t="n">
        <f aca="false">MAX(0,AD20-AD19)</f>
        <v>0</v>
      </c>
      <c r="AE22" s="43" t="n">
        <f aca="false">MAX(0,AE20-AE19)</f>
        <v>0</v>
      </c>
      <c r="AF22" s="43" t="n">
        <f aca="false">MAX(0,AF20-AF19)</f>
        <v>0</v>
      </c>
      <c r="AG22" s="43" t="n">
        <f aca="false">MAX(0,AG20-AG19)</f>
        <v>0</v>
      </c>
      <c r="AH22" s="43" t="n">
        <f aca="false">MAX(0,AH20-AH19)</f>
        <v>0</v>
      </c>
      <c r="AI22" s="43" t="n">
        <f aca="false">MAX(0,AI20-AI19)</f>
        <v>0</v>
      </c>
      <c r="AJ22" s="43" t="n">
        <f aca="false">MAX(0,AJ20-AJ19)</f>
        <v>0</v>
      </c>
      <c r="AK22" s="43" t="n">
        <f aca="false">MAX(0,AK20-AK19)</f>
        <v>0</v>
      </c>
      <c r="AL22" s="43" t="n">
        <f aca="false">MAX(0,AL20-AL19)</f>
        <v>0</v>
      </c>
      <c r="AM22" s="43" t="n">
        <f aca="false">SUM(C22:AL22)</f>
        <v>0</v>
      </c>
    </row>
    <row r="23" customFormat="false" ht="15" hidden="false" customHeight="false" outlineLevel="0" collapsed="false">
      <c r="A23" s="10" t="s">
        <v>608</v>
      </c>
      <c r="B23" s="9" t="s">
        <v>44</v>
      </c>
      <c r="C23" s="43" t="n">
        <f aca="false">C21*Assumptions!$D$32</f>
        <v>0</v>
      </c>
      <c r="D23" s="43" t="n">
        <f aca="false">D21*Assumptions!$D$32</f>
        <v>0</v>
      </c>
      <c r="E23" s="43" t="n">
        <f aca="false">E21*Assumptions!$D$32</f>
        <v>47.1681193846154</v>
      </c>
      <c r="F23" s="43" t="n">
        <f aca="false">F21*Assumptions!$D$32</f>
        <v>30.7818841846154</v>
      </c>
      <c r="G23" s="43" t="n">
        <f aca="false">G21*Assumptions!$D$32</f>
        <v>28.0066811062154</v>
      </c>
      <c r="H23" s="43" t="n">
        <f aca="false">H21*Assumptions!$D$32</f>
        <v>26.0872562833034</v>
      </c>
      <c r="I23" s="43" t="n">
        <f aca="false">I21*Assumptions!$D$32</f>
        <v>24.7887150879549</v>
      </c>
      <c r="J23" s="43" t="n">
        <f aca="false">J21*Assumptions!$D$32</f>
        <v>23.942216785081</v>
      </c>
      <c r="K23" s="43" t="n">
        <f aca="false">K21*Assumptions!$D$32</f>
        <v>23.4264964462555</v>
      </c>
      <c r="L23" s="43" t="n">
        <f aca="false">L21*Assumptions!$D$32</f>
        <v>23.1545617478995</v>
      </c>
      <c r="M23" s="43" t="n">
        <f aca="false">M21*Assumptions!$D$32</f>
        <v>23.0641157474173</v>
      </c>
      <c r="N23" s="43" t="n">
        <f aca="false">N21*Assumptions!$D$32</f>
        <v>23.1106624283444</v>
      </c>
      <c r="O23" s="43" t="n">
        <f aca="false">O21*Assumptions!$D$32</f>
        <v>23.2625439079626</v>
      </c>
      <c r="P23" s="43" t="n">
        <f aca="false">P21*Assumptions!$D$32</f>
        <v>23.4973685147994</v>
      </c>
      <c r="Q23" s="43" t="n">
        <f aca="false">Q21*Assumptions!$D$32</f>
        <v>23.7994403697244</v>
      </c>
      <c r="R23" s="43" t="n">
        <f aca="false">R21*Assumptions!$D$32</f>
        <v>24.1579101315529</v>
      </c>
      <c r="S23" s="43" t="n">
        <f aca="false">S21*Assumptions!$D$32</f>
        <v>24.565445067929</v>
      </c>
      <c r="T23" s="43" t="n">
        <f aca="false">T21*Assumptions!$D$32</f>
        <v>25.0172731324509</v>
      </c>
      <c r="U23" s="43" t="n">
        <f aca="false">U21*Assumptions!$D$32</f>
        <v>25.5104964238577</v>
      </c>
      <c r="V23" s="43" t="n">
        <f aca="false">V21*Assumptions!$D$32</f>
        <v>26.0435987037186</v>
      </c>
      <c r="W23" s="43" t="n">
        <f aca="false">W21*Assumptions!$D$32</f>
        <v>26.6160927458694</v>
      </c>
      <c r="X23" s="43" t="n">
        <f aca="false">X21*Assumptions!$D$32</f>
        <v>27.228268480908</v>
      </c>
      <c r="Y23" s="43" t="n">
        <f aca="false">Y21*Assumptions!$D$32</f>
        <v>27.8810138363071</v>
      </c>
      <c r="Z23" s="43" t="n">
        <f aca="false">Z21*Assumptions!$D$32</f>
        <v>28.5756880479361</v>
      </c>
      <c r="AA23" s="43" t="n">
        <f aca="false">AA21*Assumptions!$D$32</f>
        <v>29.3140328893952</v>
      </c>
      <c r="AB23" s="43" t="n">
        <f aca="false">AB21*Assumptions!$D$32</f>
        <v>30.0981113488771</v>
      </c>
      <c r="AC23" s="43" t="n">
        <f aca="false">AC21*Assumptions!$D$32</f>
        <v>30.9302662237532</v>
      </c>
      <c r="AD23" s="43" t="n">
        <f aca="false">AD21*Assumptions!$D$32</f>
        <v>31.8130932207562</v>
      </c>
      <c r="AE23" s="43" t="n">
        <f aca="false">AE21*Assumptions!$D$32</f>
        <v>32.7494246749161</v>
      </c>
      <c r="AF23" s="43" t="n">
        <f aca="false">AF21*Assumptions!$D$32</f>
        <v>33.7423210992079</v>
      </c>
      <c r="AG23" s="43" t="n">
        <f aca="false">AG21*Assumptions!$D$32</f>
        <v>34.7950685686326</v>
      </c>
      <c r="AH23" s="43" t="n">
        <f aca="false">AH21*Assumptions!$D$32</f>
        <v>35.911180513189</v>
      </c>
      <c r="AI23" s="43" t="n">
        <f aca="false">AI21*Assumptions!$D$32</f>
        <v>37.0944029058345</v>
      </c>
      <c r="AJ23" s="43" t="n">
        <f aca="false">AJ21*Assumptions!$D$32</f>
        <v>38.3487221286581</v>
      </c>
      <c r="AK23" s="43" t="n">
        <f aca="false">AK21*Assumptions!$D$32</f>
        <v>39.6783750152169</v>
      </c>
      <c r="AL23" s="43" t="n">
        <f aca="false">AL21*Assumptions!$D$32</f>
        <v>41.1893369964034</v>
      </c>
      <c r="AM23" s="43" t="n">
        <f aca="false">SUM(C23:AL23)</f>
        <v>995.350184149559</v>
      </c>
    </row>
    <row r="24" customFormat="false" ht="15" hidden="false" customHeight="false" outlineLevel="0" collapsed="false">
      <c r="A24" s="10" t="s">
        <v>609</v>
      </c>
      <c r="B24" s="9" t="s">
        <v>44</v>
      </c>
      <c r="C24" s="43" t="n">
        <f aca="false">C21*(1-Assumptions!$D$32)</f>
        <v>0</v>
      </c>
      <c r="D24" s="43" t="n">
        <f aca="false">D21*(1-Assumptions!$D$32)</f>
        <v>0</v>
      </c>
      <c r="E24" s="43" t="n">
        <f aca="false">E21*(1-Assumptions!$D$32)</f>
        <v>110.058945230769</v>
      </c>
      <c r="F24" s="43" t="n">
        <f aca="false">F21*(1-Assumptions!$D$32)</f>
        <v>71.8243964307692</v>
      </c>
      <c r="G24" s="43" t="n">
        <f aca="false">G21*(1-Assumptions!$D$32)</f>
        <v>65.3489225811692</v>
      </c>
      <c r="H24" s="43" t="n">
        <f aca="false">H21*(1-Assumptions!$D$32)</f>
        <v>60.8702646610412</v>
      </c>
      <c r="I24" s="43" t="n">
        <f aca="false">I21*(1-Assumptions!$D$32)</f>
        <v>57.8403352052281</v>
      </c>
      <c r="J24" s="43" t="n">
        <f aca="false">J21*(1-Assumptions!$D$32)</f>
        <v>55.8651724985225</v>
      </c>
      <c r="K24" s="43" t="n">
        <f aca="false">K21*(1-Assumptions!$D$32)</f>
        <v>54.6618250412629</v>
      </c>
      <c r="L24" s="43" t="n">
        <f aca="false">L21*(1-Assumptions!$D$32)</f>
        <v>54.0273107450988</v>
      </c>
      <c r="M24" s="43" t="n">
        <f aca="false">M21*(1-Assumptions!$D$32)</f>
        <v>53.816270077307</v>
      </c>
      <c r="N24" s="43" t="n">
        <f aca="false">N21*(1-Assumptions!$D$32)</f>
        <v>53.9248789994702</v>
      </c>
      <c r="O24" s="43" t="n">
        <f aca="false">O21*(1-Assumptions!$D$32)</f>
        <v>54.2792691185793</v>
      </c>
      <c r="P24" s="43" t="n">
        <f aca="false">P21*(1-Assumptions!$D$32)</f>
        <v>54.8271932011986</v>
      </c>
      <c r="Q24" s="43" t="n">
        <f aca="false">Q21*(1-Assumptions!$D$32)</f>
        <v>55.5320275293568</v>
      </c>
      <c r="R24" s="43" t="n">
        <f aca="false">R21*(1-Assumptions!$D$32)</f>
        <v>56.3684569736235</v>
      </c>
      <c r="S24" s="43" t="n">
        <f aca="false">S21*(1-Assumptions!$D$32)</f>
        <v>57.3193718251677</v>
      </c>
      <c r="T24" s="43" t="n">
        <f aca="false">T21*(1-Assumptions!$D$32)</f>
        <v>58.3736373090522</v>
      </c>
      <c r="U24" s="43" t="n">
        <f aca="false">U21*(1-Assumptions!$D$32)</f>
        <v>59.524491655668</v>
      </c>
      <c r="V24" s="43" t="n">
        <f aca="false">V21*(1-Assumptions!$D$32)</f>
        <v>60.7683969753435</v>
      </c>
      <c r="W24" s="43" t="n">
        <f aca="false">W21*(1-Assumptions!$D$32)</f>
        <v>62.1042164070286</v>
      </c>
      <c r="X24" s="43" t="n">
        <f aca="false">X21*(1-Assumptions!$D$32)</f>
        <v>63.5326264554519</v>
      </c>
      <c r="Y24" s="43" t="n">
        <f aca="false">Y21*(1-Assumptions!$D$32)</f>
        <v>65.0556989513832</v>
      </c>
      <c r="Z24" s="43" t="n">
        <f aca="false">Z21*(1-Assumptions!$D$32)</f>
        <v>66.6766054451843</v>
      </c>
      <c r="AA24" s="43" t="n">
        <f aca="false">AA21*(1-Assumptions!$D$32)</f>
        <v>68.3994100752555</v>
      </c>
      <c r="AB24" s="43" t="n">
        <f aca="false">AB21*(1-Assumptions!$D$32)</f>
        <v>70.2289264807132</v>
      </c>
      <c r="AC24" s="43" t="n">
        <f aca="false">AC21*(1-Assumptions!$D$32)</f>
        <v>72.1706211887575</v>
      </c>
      <c r="AD24" s="43" t="n">
        <f aca="false">AD21*(1-Assumptions!$D$32)</f>
        <v>74.2305508484312</v>
      </c>
      <c r="AE24" s="43" t="n">
        <f aca="false">AE21*(1-Assumptions!$D$32)</f>
        <v>76.4153242414708</v>
      </c>
      <c r="AF24" s="43" t="n">
        <f aca="false">AF21*(1-Assumptions!$D$32)</f>
        <v>78.7320825648185</v>
      </c>
      <c r="AG24" s="43" t="n">
        <f aca="false">AG21*(1-Assumptions!$D$32)</f>
        <v>81.1884933268095</v>
      </c>
      <c r="AH24" s="43" t="n">
        <f aca="false">AH21*(1-Assumptions!$D$32)</f>
        <v>83.7927545307744</v>
      </c>
      <c r="AI24" s="43" t="n">
        <f aca="false">AI21*(1-Assumptions!$D$32)</f>
        <v>86.5536067802806</v>
      </c>
      <c r="AJ24" s="43" t="n">
        <f aca="false">AJ21*(1-Assumptions!$D$32)</f>
        <v>89.4803516335355</v>
      </c>
      <c r="AK24" s="43" t="n">
        <f aca="false">AK21*(1-Assumptions!$D$32)</f>
        <v>92.5828750355061</v>
      </c>
      <c r="AL24" s="43" t="n">
        <f aca="false">AL21*(1-Assumptions!$D$32)</f>
        <v>96.108452991608</v>
      </c>
      <c r="AM24" s="43" t="n">
        <f aca="false">SUM(C24:AL24)</f>
        <v>2322.48376301564</v>
      </c>
    </row>
    <row r="25" customFormat="false" ht="15" hidden="false" customHeight="false" outlineLevel="0" collapsed="false">
      <c r="A25" s="26" t="s">
        <v>610</v>
      </c>
      <c r="B25" s="9" t="s">
        <v>44</v>
      </c>
      <c r="C25" s="52" t="n">
        <f aca="false">C23</f>
        <v>0</v>
      </c>
      <c r="D25" s="52" t="n">
        <f aca="false">C25*(1-Assumptions!$D$33)+D23</f>
        <v>0</v>
      </c>
      <c r="E25" s="52" t="n">
        <f aca="false">D25*(1-Assumptions!$D$33)+E23</f>
        <v>47.1681193846154</v>
      </c>
      <c r="F25" s="52" t="n">
        <f aca="false">E25*(1-Assumptions!$D$33)+F23</f>
        <v>73.7048728246154</v>
      </c>
      <c r="G25" s="52" t="n">
        <f aca="false">F25*(1-Assumptions!$D$33)+G23</f>
        <v>95.0781153766154</v>
      </c>
      <c r="H25" s="52" t="n">
        <f aca="false">G25*(1-Assumptions!$D$33)+H23</f>
        <v>112.608341276023</v>
      </c>
      <c r="I25" s="52" t="n">
        <f aca="false">H25*(1-Assumptions!$D$33)+I23</f>
        <v>127.262305649136</v>
      </c>
      <c r="J25" s="52" t="n">
        <f aca="false">I25*(1-Assumptions!$D$33)+J23</f>
        <v>139.750914925795</v>
      </c>
      <c r="K25" s="52" t="n">
        <f aca="false">J25*(1-Assumptions!$D$33)+K23</f>
        <v>150.599829028729</v>
      </c>
      <c r="L25" s="52" t="n">
        <f aca="false">K25*(1-Assumptions!$D$33)+L23</f>
        <v>160.200406164043</v>
      </c>
      <c r="M25" s="52" t="n">
        <f aca="false">L25*(1-Assumptions!$D$33)+M23</f>
        <v>168.846485356696</v>
      </c>
      <c r="N25" s="52" t="n">
        <f aca="false">M25*(1-Assumptions!$D$33)+N23</f>
        <v>176.760964102938</v>
      </c>
      <c r="O25" s="52" t="n">
        <f aca="false">N25*(1-Assumptions!$D$33)+O23</f>
        <v>184.115021241636</v>
      </c>
      <c r="P25" s="52" t="n">
        <f aca="false">O25*(1-Assumptions!$D$33)+P23</f>
        <v>191.042037844688</v>
      </c>
      <c r="Q25" s="52" t="n">
        <f aca="false">P25*(1-Assumptions!$D$33)+Q23</f>
        <v>197.647694808391</v>
      </c>
      <c r="R25" s="52" t="n">
        <f aca="false">Q25*(1-Assumptions!$D$33)+R23</f>
        <v>204.017312407188</v>
      </c>
      <c r="S25" s="52" t="n">
        <f aca="false">R25*(1-Assumptions!$D$33)+S23</f>
        <v>210.221199358471</v>
      </c>
      <c r="T25" s="52" t="n">
        <f aca="false">S25*(1-Assumptions!$D$33)+T23</f>
        <v>216.318564548659</v>
      </c>
      <c r="U25" s="52" t="n">
        <f aca="false">T25*(1-Assumptions!$D$33)+U23</f>
        <v>222.360390163138</v>
      </c>
      <c r="V25" s="52" t="n">
        <f aca="false">U25*(1-Assumptions!$D$33)+V23</f>
        <v>228.391553752174</v>
      </c>
      <c r="W25" s="52" t="n">
        <f aca="false">V25*(1-Assumptions!$D$33)+W23</f>
        <v>234.452406660348</v>
      </c>
      <c r="X25" s="52" t="n">
        <f aca="false">W25*(1-Assumptions!$D$33)+X23</f>
        <v>240.579958541824</v>
      </c>
      <c r="Y25" s="52" t="n">
        <f aca="false">X25*(1-Assumptions!$D$33)+Y23</f>
        <v>246.808776109367</v>
      </c>
      <c r="Z25" s="52" t="n">
        <f aca="false">Y25*(1-Assumptions!$D$33)+Z23</f>
        <v>253.17167430746</v>
      </c>
      <c r="AA25" s="52" t="n">
        <f aca="false">Z25*(1-Assumptions!$D$33)+AA23</f>
        <v>259.700256509184</v>
      </c>
      <c r="AB25" s="52" t="n">
        <f aca="false">AA25*(1-Assumptions!$D$33)+AB23</f>
        <v>266.425344772235</v>
      </c>
      <c r="AC25" s="52" t="n">
        <f aca="false">AB25*(1-Assumptions!$D$33)+AC23</f>
        <v>273.377329966487</v>
      </c>
      <c r="AD25" s="52" t="n">
        <f aca="false">AC25*(1-Assumptions!$D$33)+AD23</f>
        <v>280.586463490259</v>
      </c>
      <c r="AE25" s="52" t="n">
        <f aca="false">AD25*(1-Assumptions!$D$33)+AE23</f>
        <v>288.083106451052</v>
      </c>
      <c r="AF25" s="52" t="n">
        <f aca="false">AE25*(1-Assumptions!$D$33)+AF23</f>
        <v>295.897947969665</v>
      </c>
      <c r="AG25" s="52" t="n">
        <f aca="false">AF25*(1-Assumptions!$D$33)+AG23</f>
        <v>304.062201221028</v>
      </c>
      <c r="AH25" s="52" t="n">
        <f aca="false">AG25*(1-Assumptions!$D$33)+AH23</f>
        <v>312.607783624324</v>
      </c>
      <c r="AI25" s="52" t="n">
        <f aca="false">AH25*(1-Assumptions!$D$33)+AI23</f>
        <v>321.56748600397</v>
      </c>
      <c r="AJ25" s="52" t="n">
        <f aca="false">AI25*(1-Assumptions!$D$33)+AJ23</f>
        <v>330.975134392271</v>
      </c>
      <c r="AK25" s="52" t="n">
        <f aca="false">AJ25*(1-Assumptions!$D$33)+AK23</f>
        <v>340.865747312183</v>
      </c>
      <c r="AL25" s="52" t="n">
        <f aca="false">AK25*(1-Assumptions!$D$33)+AL23</f>
        <v>351.37716705049</v>
      </c>
      <c r="AM25" s="52" t="n">
        <f aca="false">AL25</f>
        <v>351.37716705049</v>
      </c>
    </row>
    <row r="26" customFormat="false" ht="15" hidden="false" customHeight="false" outlineLevel="0" collapsed="false">
      <c r="A26" s="10" t="s">
        <v>611</v>
      </c>
      <c r="B26" s="9" t="s">
        <v>44</v>
      </c>
      <c r="C26" s="43" t="n">
        <f aca="false">0</f>
        <v>0</v>
      </c>
      <c r="D26" s="43" t="n">
        <f aca="false">C25*Assumptions!$D$33</f>
        <v>0</v>
      </c>
      <c r="E26" s="43" t="n">
        <f aca="false">D25*Assumptions!$D$33</f>
        <v>0</v>
      </c>
      <c r="F26" s="43" t="n">
        <f aca="false">E25*Assumptions!$D$33</f>
        <v>4.24513074461539</v>
      </c>
      <c r="G26" s="43" t="n">
        <f aca="false">F25*Assumptions!$D$33</f>
        <v>6.63343855421539</v>
      </c>
      <c r="H26" s="43" t="n">
        <f aca="false">G25*Assumptions!$D$33</f>
        <v>8.55703038389538</v>
      </c>
      <c r="I26" s="43" t="n">
        <f aca="false">H25*Assumptions!$D$33</f>
        <v>10.1347507148421</v>
      </c>
      <c r="J26" s="43" t="n">
        <f aca="false">I25*Assumptions!$D$33</f>
        <v>11.4536075084223</v>
      </c>
      <c r="K26" s="43" t="n">
        <f aca="false">J25*Assumptions!$D$33</f>
        <v>12.5775823433216</v>
      </c>
      <c r="L26" s="43" t="n">
        <f aca="false">K25*Assumptions!$D$33</f>
        <v>13.5539846125856</v>
      </c>
      <c r="M26" s="43" t="n">
        <f aca="false">L25*Assumptions!$D$33</f>
        <v>14.4180365547639</v>
      </c>
      <c r="N26" s="43" t="n">
        <f aca="false">M25*Assumptions!$D$33</f>
        <v>15.1961836821027</v>
      </c>
      <c r="O26" s="43" t="n">
        <f aca="false">N25*Assumptions!$D$33</f>
        <v>15.9084867692644</v>
      </c>
      <c r="P26" s="43" t="n">
        <f aca="false">O25*Assumptions!$D$33</f>
        <v>16.5703519117473</v>
      </c>
      <c r="Q26" s="43" t="n">
        <f aca="false">P25*Assumptions!$D$33</f>
        <v>17.1937834060219</v>
      </c>
      <c r="R26" s="43" t="n">
        <f aca="false">Q25*Assumptions!$D$33</f>
        <v>17.7882925327552</v>
      </c>
      <c r="S26" s="43" t="n">
        <f aca="false">R25*Assumptions!$D$33</f>
        <v>18.361558116647</v>
      </c>
      <c r="T26" s="43" t="n">
        <f aca="false">S25*Assumptions!$D$33</f>
        <v>18.9199079422624</v>
      </c>
      <c r="U26" s="43" t="n">
        <f aca="false">T25*Assumptions!$D$33</f>
        <v>19.4686708093793</v>
      </c>
      <c r="V26" s="43" t="n">
        <f aca="false">U25*Assumptions!$D$33</f>
        <v>20.0124351146824</v>
      </c>
      <c r="W26" s="43" t="n">
        <f aca="false">V25*Assumptions!$D$33</f>
        <v>20.5552398376956</v>
      </c>
      <c r="X26" s="43" t="n">
        <f aca="false">W25*Assumptions!$D$33</f>
        <v>21.1007165994313</v>
      </c>
      <c r="Y26" s="43" t="n">
        <f aca="false">X25*Assumptions!$D$33</f>
        <v>21.6521962687642</v>
      </c>
      <c r="Z26" s="43" t="n">
        <f aca="false">Y25*Assumptions!$D$33</f>
        <v>22.212789849843</v>
      </c>
      <c r="AA26" s="43" t="n">
        <f aca="false">Z25*Assumptions!$D$33</f>
        <v>22.7854506876714</v>
      </c>
      <c r="AB26" s="43" t="n">
        <f aca="false">AA25*Assumptions!$D$33</f>
        <v>23.3730230858266</v>
      </c>
      <c r="AC26" s="43" t="n">
        <f aca="false">AB25*Assumptions!$D$33</f>
        <v>23.9782810295011</v>
      </c>
      <c r="AD26" s="43" t="n">
        <f aca="false">AC25*Assumptions!$D$33</f>
        <v>24.6039596969838</v>
      </c>
      <c r="AE26" s="43" t="n">
        <f aca="false">AD25*Assumptions!$D$33</f>
        <v>25.2527817141233</v>
      </c>
      <c r="AF26" s="43" t="n">
        <f aca="false">AE25*Assumptions!$D$33</f>
        <v>25.9274795805947</v>
      </c>
      <c r="AG26" s="43" t="n">
        <f aca="false">AF25*Assumptions!$D$33</f>
        <v>26.6308153172699</v>
      </c>
      <c r="AH26" s="43" t="n">
        <f aca="false">AG25*Assumptions!$D$33</f>
        <v>27.3655981098925</v>
      </c>
      <c r="AI26" s="43" t="n">
        <f aca="false">AH25*Assumptions!$D$33</f>
        <v>28.1347005261892</v>
      </c>
      <c r="AJ26" s="43" t="n">
        <f aca="false">AI25*Assumptions!$D$33</f>
        <v>28.9410737403573</v>
      </c>
      <c r="AK26" s="43" t="n">
        <f aca="false">AJ25*Assumptions!$D$33</f>
        <v>29.7877620953044</v>
      </c>
      <c r="AL26" s="43" t="n">
        <f aca="false">AK25*Assumptions!$D$33</f>
        <v>30.6779172580965</v>
      </c>
      <c r="AM26" s="43" t="n">
        <f aca="false">SUM(C26:AL26)</f>
        <v>643.973017099069</v>
      </c>
    </row>
    <row r="27" customFormat="false" ht="15" hidden="false" customHeight="false" outlineLevel="0" collapsed="false">
      <c r="A27" s="10" t="s">
        <v>612</v>
      </c>
      <c r="B27" s="9" t="s">
        <v>44</v>
      </c>
      <c r="C27" s="43" t="n">
        <f aca="false">0</f>
        <v>0</v>
      </c>
      <c r="D27" s="43" t="n">
        <f aca="false">C24*Assumptions!$D$34</f>
        <v>0</v>
      </c>
      <c r="E27" s="43" t="n">
        <f aca="false">D24*Assumptions!$D$34</f>
        <v>0</v>
      </c>
      <c r="F27" s="43" t="n">
        <f aca="false">E24*Assumptions!$D$34</f>
        <v>8.80471561846154</v>
      </c>
      <c r="G27" s="43" t="n">
        <f aca="false">F24*Assumptions!$D$34</f>
        <v>5.74595171446154</v>
      </c>
      <c r="H27" s="43" t="n">
        <f aca="false">G24*Assumptions!$D$34</f>
        <v>5.22791380649354</v>
      </c>
      <c r="I27" s="43" t="n">
        <f aca="false">H24*Assumptions!$D$34</f>
        <v>4.8696211728833</v>
      </c>
      <c r="J27" s="43" t="n">
        <f aca="false">I24*Assumptions!$D$34</f>
        <v>4.62722681641825</v>
      </c>
      <c r="K27" s="43" t="n">
        <f aca="false">J24*Assumptions!$D$34</f>
        <v>4.4692137998818</v>
      </c>
      <c r="L27" s="43" t="n">
        <f aca="false">K24*Assumptions!$D$34</f>
        <v>4.37294600330104</v>
      </c>
      <c r="M27" s="43" t="n">
        <f aca="false">L24*Assumptions!$D$34</f>
        <v>4.3221848596079</v>
      </c>
      <c r="N27" s="43" t="n">
        <f aca="false">M24*Assumptions!$D$34</f>
        <v>4.30530160618456</v>
      </c>
      <c r="O27" s="43" t="n">
        <f aca="false">N24*Assumptions!$D$34</f>
        <v>4.31399031995762</v>
      </c>
      <c r="P27" s="43" t="n">
        <f aca="false">O24*Assumptions!$D$34</f>
        <v>4.34234152948634</v>
      </c>
      <c r="Q27" s="43" t="n">
        <f aca="false">P24*Assumptions!$D$34</f>
        <v>4.38617545609589</v>
      </c>
      <c r="R27" s="43" t="n">
        <f aca="false">Q24*Assumptions!$D$34</f>
        <v>4.44256220234855</v>
      </c>
      <c r="S27" s="43" t="n">
        <f aca="false">R24*Assumptions!$D$34</f>
        <v>4.50947655788988</v>
      </c>
      <c r="T27" s="43" t="n">
        <f aca="false">S24*Assumptions!$D$34</f>
        <v>4.58554974601342</v>
      </c>
      <c r="U27" s="43" t="n">
        <f aca="false">T24*Assumptions!$D$34</f>
        <v>4.66989098472418</v>
      </c>
      <c r="V27" s="43" t="n">
        <f aca="false">U24*Assumptions!$D$34</f>
        <v>4.76195933245344</v>
      </c>
      <c r="W27" s="43" t="n">
        <f aca="false">V24*Assumptions!$D$34</f>
        <v>4.86147175802748</v>
      </c>
      <c r="X27" s="43" t="n">
        <f aca="false">W24*Assumptions!$D$34</f>
        <v>4.96833731256229</v>
      </c>
      <c r="Y27" s="43" t="n">
        <f aca="false">X24*Assumptions!$D$34</f>
        <v>5.08261011643615</v>
      </c>
      <c r="Z27" s="43" t="n">
        <f aca="false">Y24*Assumptions!$D$34</f>
        <v>5.20445591611066</v>
      </c>
      <c r="AA27" s="43" t="n">
        <f aca="false">Z24*Assumptions!$D$34</f>
        <v>5.33412843561474</v>
      </c>
      <c r="AB27" s="43" t="n">
        <f aca="false">AA24*Assumptions!$D$34</f>
        <v>5.47195280602044</v>
      </c>
      <c r="AC27" s="43" t="n">
        <f aca="false">AB24*Assumptions!$D$34</f>
        <v>5.61831411845705</v>
      </c>
      <c r="AD27" s="43" t="n">
        <f aca="false">AC24*Assumptions!$D$34</f>
        <v>5.7736496951006</v>
      </c>
      <c r="AE27" s="43" t="n">
        <f aca="false">AD24*Assumptions!$D$34</f>
        <v>5.93844406787449</v>
      </c>
      <c r="AF27" s="43" t="n">
        <f aca="false">AE24*Assumptions!$D$34</f>
        <v>6.11322593931767</v>
      </c>
      <c r="AG27" s="43" t="n">
        <f aca="false">AF24*Assumptions!$D$34</f>
        <v>6.29856660518548</v>
      </c>
      <c r="AH27" s="43" t="n">
        <f aca="false">AG24*Assumptions!$D$34</f>
        <v>6.49507946614476</v>
      </c>
      <c r="AI27" s="43" t="n">
        <f aca="false">AH24*Assumptions!$D$34</f>
        <v>6.70342036246195</v>
      </c>
      <c r="AJ27" s="43" t="n">
        <f aca="false">AI24*Assumptions!$D$34</f>
        <v>6.92428854242245</v>
      </c>
      <c r="AK27" s="43" t="n">
        <f aca="false">AJ24*Assumptions!$D$34</f>
        <v>7.15842813068284</v>
      </c>
      <c r="AL27" s="43" t="n">
        <f aca="false">AK24*Assumptions!$D$34</f>
        <v>7.40663000284049</v>
      </c>
      <c r="AM27" s="43" t="n">
        <f aca="false">SUM(C27:AL27)</f>
        <v>178.110024801922</v>
      </c>
    </row>
    <row r="28" customFormat="false" ht="15" hidden="false" customHeight="false" outlineLevel="0" collapsed="false">
      <c r="A28" s="26" t="s">
        <v>613</v>
      </c>
      <c r="B28" s="9" t="s">
        <v>44</v>
      </c>
      <c r="C28" s="52" t="n">
        <f aca="false">C24+C25+C27</f>
        <v>0</v>
      </c>
      <c r="D28" s="52" t="n">
        <f aca="false">D24+D25+D27</f>
        <v>0</v>
      </c>
      <c r="E28" s="52" t="n">
        <f aca="false">E24+E25+E27</f>
        <v>157.227064615385</v>
      </c>
      <c r="F28" s="52" t="n">
        <f aca="false">F24+F25+F27</f>
        <v>154.333984873846</v>
      </c>
      <c r="G28" s="52" t="n">
        <f aca="false">G24+G25+G27</f>
        <v>166.172989672246</v>
      </c>
      <c r="H28" s="52" t="n">
        <f aca="false">H24+H25+H27</f>
        <v>178.706519743558</v>
      </c>
      <c r="I28" s="52" t="n">
        <f aca="false">I24+I25+I27</f>
        <v>189.972262027248</v>
      </c>
      <c r="J28" s="52" t="n">
        <f aca="false">J24+J25+J27</f>
        <v>200.243314240736</v>
      </c>
      <c r="K28" s="52" t="n">
        <f aca="false">K24+K25+K27</f>
        <v>209.730867869874</v>
      </c>
      <c r="L28" s="52" t="n">
        <f aca="false">L24+L25+L27</f>
        <v>218.600662912443</v>
      </c>
      <c r="M28" s="52" t="n">
        <f aca="false">M24+M25+M27</f>
        <v>226.984940293611</v>
      </c>
      <c r="N28" s="52" t="n">
        <f aca="false">N24+N25+N27</f>
        <v>234.991144708593</v>
      </c>
      <c r="O28" s="52" t="n">
        <f aca="false">O24+O25+O27</f>
        <v>242.708280680173</v>
      </c>
      <c r="P28" s="52" t="n">
        <f aca="false">P24+P25+P27</f>
        <v>250.211572575373</v>
      </c>
      <c r="Q28" s="52" t="n">
        <f aca="false">Q24+Q25+Q27</f>
        <v>257.565897793844</v>
      </c>
      <c r="R28" s="52" t="n">
        <f aca="false">R24+R25+R27</f>
        <v>264.828331583161</v>
      </c>
      <c r="S28" s="52" t="n">
        <f aca="false">S24+S25+S27</f>
        <v>272.050047741528</v>
      </c>
      <c r="T28" s="52" t="n">
        <f aca="false">T24+T25+T27</f>
        <v>279.277751603725</v>
      </c>
      <c r="U28" s="52" t="n">
        <f aca="false">U24+U25+U27</f>
        <v>286.55477280353</v>
      </c>
      <c r="V28" s="52" t="n">
        <f aca="false">V24+V25+V27</f>
        <v>293.921910059971</v>
      </c>
      <c r="W28" s="52" t="n">
        <f aca="false">W24+W25+W27</f>
        <v>301.418094825404</v>
      </c>
      <c r="X28" s="52" t="n">
        <f aca="false">X24+X25+X27</f>
        <v>309.080922309838</v>
      </c>
      <c r="Y28" s="52" t="n">
        <f aca="false">Y24+Y25+Y27</f>
        <v>316.947085177187</v>
      </c>
      <c r="Z28" s="52" t="n">
        <f aca="false">Z24+Z25+Z27</f>
        <v>325.052735668755</v>
      </c>
      <c r="AA28" s="52" t="n">
        <f aca="false">AA24+AA25+AA27</f>
        <v>333.433795020054</v>
      </c>
      <c r="AB28" s="52" t="n">
        <f aca="false">AB24+AB25+AB27</f>
        <v>342.126224058968</v>
      </c>
      <c r="AC28" s="52" t="n">
        <f aca="false">AC24+AC25+AC27</f>
        <v>351.166265273701</v>
      </c>
      <c r="AD28" s="52" t="n">
        <f aca="false">AD24+AD25+AD27</f>
        <v>360.590664033791</v>
      </c>
      <c r="AE28" s="52" t="n">
        <f aca="false">AE24+AE25+AE27</f>
        <v>370.436874760397</v>
      </c>
      <c r="AF28" s="52" t="n">
        <f aca="false">AF24+AF25+AF27</f>
        <v>380.743256473801</v>
      </c>
      <c r="AG28" s="52" t="n">
        <f aca="false">AG24+AG25+AG27</f>
        <v>391.549261153023</v>
      </c>
      <c r="AH28" s="52" t="n">
        <f aca="false">AH24+AH25+AH27</f>
        <v>402.895617621244</v>
      </c>
      <c r="AI28" s="52" t="n">
        <f aca="false">AI24+AI25+AI27</f>
        <v>414.824513146712</v>
      </c>
      <c r="AJ28" s="52" t="n">
        <f aca="false">AJ24+AJ25+AJ27</f>
        <v>427.379774568228</v>
      </c>
      <c r="AK28" s="52" t="n">
        <f aca="false">AK24+AK25+AK27</f>
        <v>440.607050478372</v>
      </c>
      <c r="AL28" s="52" t="n">
        <f aca="false">AL24+AL25+AL27</f>
        <v>454.892250044939</v>
      </c>
      <c r="AM28" s="52" t="n">
        <f aca="false">SUM(C28:AL28)</f>
        <v>10007.2267004133</v>
      </c>
    </row>
    <row r="29" customFormat="false" ht="15" hidden="false" customHeight="false" outlineLevel="0" collapsed="false">
      <c r="A29" s="10" t="s">
        <v>614</v>
      </c>
      <c r="B29" s="9" t="s">
        <v>90</v>
      </c>
      <c r="C29" s="50" t="n">
        <f aca="false">C28*Assumptions!$D$31</f>
        <v>0</v>
      </c>
      <c r="D29" s="50" t="n">
        <f aca="false">D28*Assumptions!$D$31</f>
        <v>0</v>
      </c>
      <c r="E29" s="50" t="n">
        <f aca="false">E28*Assumptions!$D$31</f>
        <v>10691.4403938462</v>
      </c>
      <c r="F29" s="50" t="n">
        <f aca="false">F28*Assumptions!$D$31</f>
        <v>10494.7109714215</v>
      </c>
      <c r="G29" s="50" t="n">
        <f aca="false">G28*Assumptions!$D$31</f>
        <v>11299.7632977127</v>
      </c>
      <c r="H29" s="50" t="n">
        <f aca="false">H28*Assumptions!$D$31</f>
        <v>12152.043342562</v>
      </c>
      <c r="I29" s="50" t="n">
        <f aca="false">I28*Assumptions!$D$31</f>
        <v>12918.1138178528</v>
      </c>
      <c r="J29" s="50" t="n">
        <f aca="false">J28*Assumptions!$D$31</f>
        <v>13616.54536837</v>
      </c>
      <c r="K29" s="50" t="n">
        <f aca="false">K28*Assumptions!$D$31</f>
        <v>14261.6990151514</v>
      </c>
      <c r="L29" s="50" t="n">
        <f aca="false">L28*Assumptions!$D$31</f>
        <v>14864.8450780461</v>
      </c>
      <c r="M29" s="50" t="n">
        <f aca="false">M28*Assumptions!$D$31</f>
        <v>15434.9759399656</v>
      </c>
      <c r="N29" s="50" t="n">
        <f aca="false">N28*Assumptions!$D$31</f>
        <v>15979.3978401843</v>
      </c>
      <c r="O29" s="50" t="n">
        <f aca="false">O28*Assumptions!$D$31</f>
        <v>16504.1630862518</v>
      </c>
      <c r="P29" s="50" t="n">
        <f aca="false">P28*Assumptions!$D$31</f>
        <v>17014.3869351254</v>
      </c>
      <c r="Q29" s="50" t="n">
        <f aca="false">Q28*Assumptions!$D$31</f>
        <v>17514.4810499814</v>
      </c>
      <c r="R29" s="50" t="n">
        <f aca="false">R28*Assumptions!$D$31</f>
        <v>18008.3265476549</v>
      </c>
      <c r="S29" s="50" t="n">
        <f aca="false">S28*Assumptions!$D$31</f>
        <v>18499.4032464239</v>
      </c>
      <c r="T29" s="50" t="n">
        <f aca="false">T28*Assumptions!$D$31</f>
        <v>18990.8871090533</v>
      </c>
      <c r="U29" s="50" t="n">
        <f aca="false">U28*Assumptions!$D$31</f>
        <v>19485.72455064</v>
      </c>
      <c r="V29" s="50" t="n">
        <f aca="false">V28*Assumptions!$D$31</f>
        <v>19986.689884078</v>
      </c>
      <c r="W29" s="50" t="n">
        <f aca="false">W28*Assumptions!$D$31</f>
        <v>20496.4304481275</v>
      </c>
      <c r="X29" s="50" t="n">
        <f aca="false">X28*Assumptions!$D$31</f>
        <v>21017.502717069</v>
      </c>
      <c r="Y29" s="50" t="n">
        <f aca="false">Y28*Assumptions!$D$31</f>
        <v>21552.4017920487</v>
      </c>
      <c r="Z29" s="50" t="n">
        <f aca="false">Z28*Assumptions!$D$31</f>
        <v>22103.5860254754</v>
      </c>
      <c r="AA29" s="50" t="n">
        <f aca="false">AA28*Assumptions!$D$31</f>
        <v>22673.4980613637</v>
      </c>
      <c r="AB29" s="50" t="n">
        <f aca="false">AB28*Assumptions!$D$31</f>
        <v>23264.5832360098</v>
      </c>
      <c r="AC29" s="50" t="n">
        <f aca="false">AC28*Assumptions!$D$31</f>
        <v>23879.3060386117</v>
      </c>
      <c r="AD29" s="50" t="n">
        <f aca="false">AD28*Assumptions!$D$31</f>
        <v>24520.1651542978</v>
      </c>
      <c r="AE29" s="50" t="n">
        <f aca="false">AE28*Assumptions!$D$31</f>
        <v>25189.707483707</v>
      </c>
      <c r="AF29" s="50" t="n">
        <f aca="false">AF28*Assumptions!$D$31</f>
        <v>25890.5414402185</v>
      </c>
      <c r="AG29" s="50" t="n">
        <f aca="false">AG28*Assumptions!$D$31</f>
        <v>26625.3497584056</v>
      </c>
      <c r="AH29" s="50" t="n">
        <f aca="false">AH28*Assumptions!$D$31</f>
        <v>27396.9019982446</v>
      </c>
      <c r="AI29" s="50" t="n">
        <f aca="false">AI28*Assumptions!$D$31</f>
        <v>28208.0668939764</v>
      </c>
      <c r="AJ29" s="50" t="n">
        <f aca="false">AJ28*Assumptions!$D$31</f>
        <v>29061.8246706395</v>
      </c>
      <c r="AK29" s="50" t="n">
        <f aca="false">AK28*Assumptions!$D$31</f>
        <v>29961.2794325293</v>
      </c>
      <c r="AL29" s="50" t="n">
        <f aca="false">AL28*Assumptions!$D$31</f>
        <v>30932.6730030558</v>
      </c>
      <c r="AM29" s="50" t="n">
        <f aca="false">SUM(C29:AL29)</f>
        <v>680491.415628102</v>
      </c>
    </row>
    <row r="30" customFormat="false" ht="15" hidden="false" customHeight="false" outlineLevel="0" collapsed="false">
      <c r="A30" s="10" t="s">
        <v>615</v>
      </c>
      <c r="B30" s="9" t="s">
        <v>90</v>
      </c>
      <c r="C30" s="50" t="n">
        <f aca="false">-C29*Assumptions!$D$61</f>
        <v>-0</v>
      </c>
      <c r="D30" s="50" t="n">
        <f aca="false">-D29*Assumptions!$D$61</f>
        <v>-0</v>
      </c>
      <c r="E30" s="50" t="n">
        <f aca="false">-E29*Assumptions!$D$61</f>
        <v>-427.657615753846</v>
      </c>
      <c r="F30" s="50" t="n">
        <f aca="false">-F29*Assumptions!$D$61</f>
        <v>-419.788438856862</v>
      </c>
      <c r="G30" s="50" t="n">
        <f aca="false">-G29*Assumptions!$D$61</f>
        <v>-451.99053190851</v>
      </c>
      <c r="H30" s="50" t="n">
        <f aca="false">-H29*Assumptions!$D$61</f>
        <v>-486.081733702478</v>
      </c>
      <c r="I30" s="50" t="n">
        <f aca="false">-I29*Assumptions!$D$61</f>
        <v>-516.724552714113</v>
      </c>
      <c r="J30" s="50" t="n">
        <f aca="false">-J29*Assumptions!$D$61</f>
        <v>-544.661814734801</v>
      </c>
      <c r="K30" s="50" t="n">
        <f aca="false">-K29*Assumptions!$D$61</f>
        <v>-570.467960606057</v>
      </c>
      <c r="L30" s="50" t="n">
        <f aca="false">-L29*Assumptions!$D$61</f>
        <v>-594.593803121844</v>
      </c>
      <c r="M30" s="50" t="n">
        <f aca="false">-M29*Assumptions!$D$61</f>
        <v>-617.399037598623</v>
      </c>
      <c r="N30" s="50" t="n">
        <f aca="false">-N29*Assumptions!$D$61</f>
        <v>-639.175913607372</v>
      </c>
      <c r="O30" s="50" t="n">
        <f aca="false">-O29*Assumptions!$D$61</f>
        <v>-660.166523450071</v>
      </c>
      <c r="P30" s="50" t="n">
        <f aca="false">-P29*Assumptions!$D$61</f>
        <v>-680.575477405015</v>
      </c>
      <c r="Q30" s="50" t="n">
        <f aca="false">-Q29*Assumptions!$D$61</f>
        <v>-700.579241999254</v>
      </c>
      <c r="R30" s="50" t="n">
        <f aca="false">-R29*Assumptions!$D$61</f>
        <v>-720.333061906197</v>
      </c>
      <c r="S30" s="50" t="n">
        <f aca="false">-S29*Assumptions!$D$61</f>
        <v>-739.976129856957</v>
      </c>
      <c r="T30" s="50" t="n">
        <f aca="false">-T29*Assumptions!$D$61</f>
        <v>-759.635484362132</v>
      </c>
      <c r="U30" s="50" t="n">
        <f aca="false">-U29*Assumptions!$D$61</f>
        <v>-779.428982025601</v>
      </c>
      <c r="V30" s="50" t="n">
        <f aca="false">-V29*Assumptions!$D$61</f>
        <v>-799.467595363121</v>
      </c>
      <c r="W30" s="50" t="n">
        <f aca="false">-W29*Assumptions!$D$61</f>
        <v>-819.857217925098</v>
      </c>
      <c r="X30" s="50" t="n">
        <f aca="false">-X29*Assumptions!$D$61</f>
        <v>-840.700108682761</v>
      </c>
      <c r="Y30" s="50" t="n">
        <f aca="false">-Y29*Assumptions!$D$61</f>
        <v>-862.096071681947</v>
      </c>
      <c r="Z30" s="50" t="n">
        <f aca="false">-Z29*Assumptions!$D$61</f>
        <v>-884.143441019014</v>
      </c>
      <c r="AA30" s="50" t="n">
        <f aca="false">-AA29*Assumptions!$D$61</f>
        <v>-906.939922454548</v>
      </c>
      <c r="AB30" s="50" t="n">
        <f aca="false">-AB29*Assumptions!$D$61</f>
        <v>-930.583329440393</v>
      </c>
      <c r="AC30" s="50" t="n">
        <f aca="false">-AC29*Assumptions!$D$61</f>
        <v>-955.172241544468</v>
      </c>
      <c r="AD30" s="50" t="n">
        <f aca="false">-AD29*Assumptions!$D$61</f>
        <v>-980.806606171911</v>
      </c>
      <c r="AE30" s="50" t="n">
        <f aca="false">-AE29*Assumptions!$D$61</f>
        <v>-1007.58829934828</v>
      </c>
      <c r="AF30" s="50" t="n">
        <f aca="false">-AF29*Assumptions!$D$61</f>
        <v>-1035.62165760874</v>
      </c>
      <c r="AG30" s="50" t="n">
        <f aca="false">-AG29*Assumptions!$D$61</f>
        <v>-1065.01399033622</v>
      </c>
      <c r="AH30" s="50" t="n">
        <f aca="false">-AH29*Assumptions!$D$61</f>
        <v>-1095.87607992978</v>
      </c>
      <c r="AI30" s="50" t="n">
        <f aca="false">-AI29*Assumptions!$D$61</f>
        <v>-1128.32267575906</v>
      </c>
      <c r="AJ30" s="50" t="n">
        <f aca="false">-AJ29*Assumptions!$D$61</f>
        <v>-1162.47298682558</v>
      </c>
      <c r="AK30" s="50" t="n">
        <f aca="false">-AK29*Assumptions!$D$61</f>
        <v>-1198.45117730117</v>
      </c>
      <c r="AL30" s="50" t="n">
        <f aca="false">-AL29*Assumptions!$D$61</f>
        <v>-1237.30692012223</v>
      </c>
      <c r="AM30" s="50" t="n">
        <f aca="false">SUM(C30:AL30)</f>
        <v>-27219.6566251241</v>
      </c>
    </row>
    <row r="31" customFormat="false" ht="15" hidden="false" customHeight="false" outlineLevel="0" collapsed="false">
      <c r="A31" s="26" t="s">
        <v>616</v>
      </c>
      <c r="B31" s="9" t="s">
        <v>90</v>
      </c>
      <c r="C31" s="35" t="n">
        <f aca="false">C29+C30</f>
        <v>0</v>
      </c>
      <c r="D31" s="35" t="n">
        <f aca="false">D29+D30</f>
        <v>0</v>
      </c>
      <c r="E31" s="35" t="n">
        <f aca="false">E29+E30</f>
        <v>10263.7827780923</v>
      </c>
      <c r="F31" s="35" t="n">
        <f aca="false">F29+F30</f>
        <v>10074.9225325647</v>
      </c>
      <c r="G31" s="35" t="n">
        <f aca="false">G29+G30</f>
        <v>10847.7727658042</v>
      </c>
      <c r="H31" s="35" t="n">
        <f aca="false">H29+H30</f>
        <v>11665.9616088595</v>
      </c>
      <c r="I31" s="35" t="n">
        <f aca="false">I29+I30</f>
        <v>12401.3892651387</v>
      </c>
      <c r="J31" s="35" t="n">
        <f aca="false">J29+J30</f>
        <v>13071.8835536352</v>
      </c>
      <c r="K31" s="35" t="n">
        <f aca="false">K29+K30</f>
        <v>13691.2310545454</v>
      </c>
      <c r="L31" s="35" t="n">
        <f aca="false">L29+L30</f>
        <v>14270.2512749243</v>
      </c>
      <c r="M31" s="35" t="n">
        <f aca="false">M29+M30</f>
        <v>14817.5769023669</v>
      </c>
      <c r="N31" s="35" t="n">
        <f aca="false">N29+N30</f>
        <v>15340.2219265769</v>
      </c>
      <c r="O31" s="35" t="n">
        <f aca="false">O29+O30</f>
        <v>15843.9965628017</v>
      </c>
      <c r="P31" s="35" t="n">
        <f aca="false">P29+P30</f>
        <v>16333.8114577204</v>
      </c>
      <c r="Q31" s="35" t="n">
        <f aca="false">Q29+Q30</f>
        <v>16813.9018079821</v>
      </c>
      <c r="R31" s="35" t="n">
        <f aca="false">R29+R30</f>
        <v>17287.9934857487</v>
      </c>
      <c r="S31" s="35" t="n">
        <f aca="false">S29+S30</f>
        <v>17759.427116567</v>
      </c>
      <c r="T31" s="35" t="n">
        <f aca="false">T29+T30</f>
        <v>18231.2516246912</v>
      </c>
      <c r="U31" s="35" t="n">
        <f aca="false">U29+U30</f>
        <v>18706.2955686144</v>
      </c>
      <c r="V31" s="35" t="n">
        <f aca="false">V29+V30</f>
        <v>19187.2222887149</v>
      </c>
      <c r="W31" s="35" t="n">
        <f aca="false">W29+W30</f>
        <v>19676.5732302024</v>
      </c>
      <c r="X31" s="35" t="n">
        <f aca="false">X29+X30</f>
        <v>20176.8026083863</v>
      </c>
      <c r="Y31" s="35" t="n">
        <f aca="false">Y29+Y30</f>
        <v>20690.3057203667</v>
      </c>
      <c r="Z31" s="35" t="n">
        <f aca="false">Z29+Z30</f>
        <v>21219.4425844563</v>
      </c>
      <c r="AA31" s="35" t="n">
        <f aca="false">AA29+AA30</f>
        <v>21766.5581389091</v>
      </c>
      <c r="AB31" s="35" t="n">
        <f aca="false">AB29+AB30</f>
        <v>22333.9999065694</v>
      </c>
      <c r="AC31" s="35" t="n">
        <f aca="false">AC29+AC30</f>
        <v>22924.1337970672</v>
      </c>
      <c r="AD31" s="35" t="n">
        <f aca="false">AD29+AD30</f>
        <v>23539.3585481259</v>
      </c>
      <c r="AE31" s="35" t="n">
        <f aca="false">AE29+AE30</f>
        <v>24182.1191843587</v>
      </c>
      <c r="AF31" s="35" t="n">
        <f aca="false">AF29+AF30</f>
        <v>24854.9197826097</v>
      </c>
      <c r="AG31" s="35" t="n">
        <f aca="false">AG29+AG30</f>
        <v>25560.3357680693</v>
      </c>
      <c r="AH31" s="35" t="n">
        <f aca="false">AH29+AH30</f>
        <v>26301.0259183148</v>
      </c>
      <c r="AI31" s="35" t="n">
        <f aca="false">AI29+AI30</f>
        <v>27079.7442182174</v>
      </c>
      <c r="AJ31" s="35" t="n">
        <f aca="false">AJ29+AJ30</f>
        <v>27899.351683814</v>
      </c>
      <c r="AK31" s="35" t="n">
        <f aca="false">AK29+AK30</f>
        <v>28762.8282552281</v>
      </c>
      <c r="AL31" s="35" t="n">
        <f aca="false">AL29+AL30</f>
        <v>29695.3660829336</v>
      </c>
      <c r="AM31" s="35" t="n">
        <f aca="false">SUM(C31:AL31)</f>
        <v>653271.759002978</v>
      </c>
    </row>
    <row r="32" customFormat="false" ht="15" hidden="false" customHeight="false" outlineLevel="0" collapsed="false">
      <c r="A32" s="10" t="s">
        <v>617</v>
      </c>
      <c r="B32" s="9" t="s">
        <v>90</v>
      </c>
      <c r="C32" s="50" t="n">
        <f aca="false">-C29*Assumptions!$D$36</f>
        <v>-0</v>
      </c>
      <c r="D32" s="50" t="n">
        <f aca="false">-D29*Assumptions!$D$36</f>
        <v>-0</v>
      </c>
      <c r="E32" s="50" t="n">
        <f aca="false">-E29*Assumptions!$D$36</f>
        <v>-3207.43211815385</v>
      </c>
      <c r="F32" s="50" t="n">
        <f aca="false">-F29*Assumptions!$D$36</f>
        <v>-3148.41329142646</v>
      </c>
      <c r="G32" s="50" t="n">
        <f aca="false">-G29*Assumptions!$D$36</f>
        <v>-3389.92898931382</v>
      </c>
      <c r="H32" s="50" t="n">
        <f aca="false">-H29*Assumptions!$D$36</f>
        <v>-3645.61300276859</v>
      </c>
      <c r="I32" s="50" t="n">
        <f aca="false">-I29*Assumptions!$D$36</f>
        <v>-3875.43414535585</v>
      </c>
      <c r="J32" s="50" t="n">
        <f aca="false">-J29*Assumptions!$D$36</f>
        <v>-4084.96361051101</v>
      </c>
      <c r="K32" s="50" t="n">
        <f aca="false">-K29*Assumptions!$D$36</f>
        <v>-4278.50970454542</v>
      </c>
      <c r="L32" s="50" t="n">
        <f aca="false">-L29*Assumptions!$D$36</f>
        <v>-4459.45352341383</v>
      </c>
      <c r="M32" s="50" t="n">
        <f aca="false">-M29*Assumptions!$D$36</f>
        <v>-4630.49278198967</v>
      </c>
      <c r="N32" s="50" t="n">
        <f aca="false">-N29*Assumptions!$D$36</f>
        <v>-4793.81935205529</v>
      </c>
      <c r="O32" s="50" t="n">
        <f aca="false">-O29*Assumptions!$D$36</f>
        <v>-4951.24892587553</v>
      </c>
      <c r="P32" s="50" t="n">
        <f aca="false">-P29*Assumptions!$D$36</f>
        <v>-5104.31608053761</v>
      </c>
      <c r="Q32" s="50" t="n">
        <f aca="false">-Q29*Assumptions!$D$36</f>
        <v>-5254.34431499441</v>
      </c>
      <c r="R32" s="50" t="n">
        <f aca="false">-R29*Assumptions!$D$36</f>
        <v>-5402.49796429647</v>
      </c>
      <c r="S32" s="50" t="n">
        <f aca="false">-S29*Assumptions!$D$36</f>
        <v>-5549.82097392717</v>
      </c>
      <c r="T32" s="50" t="n">
        <f aca="false">-T29*Assumptions!$D$36</f>
        <v>-5697.26613271599</v>
      </c>
      <c r="U32" s="50" t="n">
        <f aca="false">-U29*Assumptions!$D$36</f>
        <v>-5845.71736519201</v>
      </c>
      <c r="V32" s="50" t="n">
        <f aca="false">-V29*Assumptions!$D$36</f>
        <v>-5996.0069652234</v>
      </c>
      <c r="W32" s="50" t="n">
        <f aca="false">-W29*Assumptions!$D$36</f>
        <v>-6148.92913443823</v>
      </c>
      <c r="X32" s="50" t="n">
        <f aca="false">-X29*Assumptions!$D$36</f>
        <v>-6305.25081512071</v>
      </c>
      <c r="Y32" s="50" t="n">
        <f aca="false">-Y29*Assumptions!$D$36</f>
        <v>-6465.72053761461</v>
      </c>
      <c r="Z32" s="50" t="n">
        <f aca="false">-Z29*Assumptions!$D$36</f>
        <v>-6631.07580764261</v>
      </c>
      <c r="AA32" s="50" t="n">
        <f aca="false">-AA29*Assumptions!$D$36</f>
        <v>-6802.04941840911</v>
      </c>
      <c r="AB32" s="50" t="n">
        <f aca="false">-AB29*Assumptions!$D$36</f>
        <v>-6979.37497080295</v>
      </c>
      <c r="AC32" s="50" t="n">
        <f aca="false">-AC29*Assumptions!$D$36</f>
        <v>-7163.79181158351</v>
      </c>
      <c r="AD32" s="50" t="n">
        <f aca="false">-AD29*Assumptions!$D$36</f>
        <v>-7356.04954628933</v>
      </c>
      <c r="AE32" s="50" t="n">
        <f aca="false">-AE29*Assumptions!$D$36</f>
        <v>-7556.9122451121</v>
      </c>
      <c r="AF32" s="50" t="n">
        <f aca="false">-AF29*Assumptions!$D$36</f>
        <v>-7767.16243206555</v>
      </c>
      <c r="AG32" s="50" t="n">
        <f aca="false">-AG29*Assumptions!$D$36</f>
        <v>-7987.60492752167</v>
      </c>
      <c r="AH32" s="50" t="n">
        <f aca="false">-AH29*Assumptions!$D$36</f>
        <v>-8219.07059947337</v>
      </c>
      <c r="AI32" s="50" t="n">
        <f aca="false">-AI29*Assumptions!$D$36</f>
        <v>-8462.42006819293</v>
      </c>
      <c r="AJ32" s="50" t="n">
        <f aca="false">-AJ29*Assumptions!$D$36</f>
        <v>-8718.54740119186</v>
      </c>
      <c r="AK32" s="50" t="n">
        <f aca="false">-AK29*Assumptions!$D$36</f>
        <v>-8988.38382975879</v>
      </c>
      <c r="AL32" s="50" t="n">
        <f aca="false">-AL29*Assumptions!$D$36</f>
        <v>-9279.80190091675</v>
      </c>
      <c r="AM32" s="50" t="n">
        <f aca="false">SUM(C32:AL32)</f>
        <v>-204147.42468843</v>
      </c>
    </row>
    <row r="33" customFormat="false" ht="15" hidden="false" customHeight="false" outlineLevel="0" collapsed="false">
      <c r="A33" s="10" t="s">
        <v>618</v>
      </c>
      <c r="B33" s="9" t="s">
        <v>90</v>
      </c>
      <c r="C33" s="50" t="n">
        <f aca="false">-C28*Assumptions!$D$37</f>
        <v>-0</v>
      </c>
      <c r="D33" s="50" t="n">
        <f aca="false">-D28*Assumptions!$D$37</f>
        <v>-0</v>
      </c>
      <c r="E33" s="50" t="n">
        <f aca="false">-E28*Assumptions!$D$37</f>
        <v>-1336.43004923077</v>
      </c>
      <c r="F33" s="50" t="n">
        <f aca="false">-F28*Assumptions!$D$37</f>
        <v>-1311.83887142769</v>
      </c>
      <c r="G33" s="50" t="n">
        <f aca="false">-G28*Assumptions!$D$37</f>
        <v>-1412.47041221409</v>
      </c>
      <c r="H33" s="50" t="n">
        <f aca="false">-H28*Assumptions!$D$37</f>
        <v>-1519.00541782024</v>
      </c>
      <c r="I33" s="50" t="n">
        <f aca="false">-I28*Assumptions!$D$37</f>
        <v>-1614.7642272316</v>
      </c>
      <c r="J33" s="50" t="n">
        <f aca="false">-J28*Assumptions!$D$37</f>
        <v>-1702.06817104625</v>
      </c>
      <c r="K33" s="50" t="n">
        <f aca="false">-K28*Assumptions!$D$37</f>
        <v>-1782.71237689393</v>
      </c>
      <c r="L33" s="50" t="n">
        <f aca="false">-L28*Assumptions!$D$37</f>
        <v>-1858.10563475576</v>
      </c>
      <c r="M33" s="50" t="n">
        <f aca="false">-M28*Assumptions!$D$37</f>
        <v>-1929.3719924957</v>
      </c>
      <c r="N33" s="50" t="n">
        <f aca="false">-N28*Assumptions!$D$37</f>
        <v>-1997.42473002304</v>
      </c>
      <c r="O33" s="50" t="n">
        <f aca="false">-O28*Assumptions!$D$37</f>
        <v>-2063.02038578147</v>
      </c>
      <c r="P33" s="50" t="n">
        <f aca="false">-P28*Assumptions!$D$37</f>
        <v>-2126.79836689067</v>
      </c>
      <c r="Q33" s="50" t="n">
        <f aca="false">-Q28*Assumptions!$D$37</f>
        <v>-2189.31013124767</v>
      </c>
      <c r="R33" s="50" t="n">
        <f aca="false">-R28*Assumptions!$D$37</f>
        <v>-2251.04081845686</v>
      </c>
      <c r="S33" s="50" t="n">
        <f aca="false">-S28*Assumptions!$D$37</f>
        <v>-2312.42540580299</v>
      </c>
      <c r="T33" s="50" t="n">
        <f aca="false">-T28*Assumptions!$D$37</f>
        <v>-2373.86088863166</v>
      </c>
      <c r="U33" s="50" t="n">
        <f aca="false">-U28*Assumptions!$D$37</f>
        <v>-2435.71556883</v>
      </c>
      <c r="V33" s="50" t="n">
        <f aca="false">-V28*Assumptions!$D$37</f>
        <v>-2498.33623550975</v>
      </c>
      <c r="W33" s="50" t="n">
        <f aca="false">-W28*Assumptions!$D$37</f>
        <v>-2562.05380601593</v>
      </c>
      <c r="X33" s="50" t="n">
        <f aca="false">-X28*Assumptions!$D$37</f>
        <v>-2627.18783963363</v>
      </c>
      <c r="Y33" s="50" t="n">
        <f aca="false">-Y28*Assumptions!$D$37</f>
        <v>-2694.05022400609</v>
      </c>
      <c r="Z33" s="50" t="n">
        <f aca="false">-Z28*Assumptions!$D$37</f>
        <v>-2762.94825318442</v>
      </c>
      <c r="AA33" s="50" t="n">
        <f aca="false">-AA28*Assumptions!$D$37</f>
        <v>-2834.18725767046</v>
      </c>
      <c r="AB33" s="50" t="n">
        <f aca="false">-AB28*Assumptions!$D$37</f>
        <v>-2908.07290450123</v>
      </c>
      <c r="AC33" s="50" t="n">
        <f aca="false">-AC28*Assumptions!$D$37</f>
        <v>-2984.91325482646</v>
      </c>
      <c r="AD33" s="50" t="n">
        <f aca="false">-AD28*Assumptions!$D$37</f>
        <v>-3065.02064428722</v>
      </c>
      <c r="AE33" s="50" t="n">
        <f aca="false">-AE28*Assumptions!$D$37</f>
        <v>-3148.71343546338</v>
      </c>
      <c r="AF33" s="50" t="n">
        <f aca="false">-AF28*Assumptions!$D$37</f>
        <v>-3236.31768002731</v>
      </c>
      <c r="AG33" s="50" t="n">
        <f aca="false">-AG28*Assumptions!$D$37</f>
        <v>-3328.16871980069</v>
      </c>
      <c r="AH33" s="50" t="n">
        <f aca="false">-AH28*Assumptions!$D$37</f>
        <v>-3424.61274978057</v>
      </c>
      <c r="AI33" s="50" t="n">
        <f aca="false">-AI28*Assumptions!$D$37</f>
        <v>-3526.00836174706</v>
      </c>
      <c r="AJ33" s="50" t="n">
        <f aca="false">-AJ28*Assumptions!$D$37</f>
        <v>-3632.72808382994</v>
      </c>
      <c r="AK33" s="50" t="n">
        <f aca="false">-AK28*Assumptions!$D$37</f>
        <v>-3745.15992906616</v>
      </c>
      <c r="AL33" s="50" t="n">
        <f aca="false">-AL28*Assumptions!$D$37</f>
        <v>-3866.58412538198</v>
      </c>
      <c r="AM33" s="50" t="n">
        <f aca="false">SUM(C33:AL33)</f>
        <v>-85061.4269535127</v>
      </c>
    </row>
    <row r="34" customFormat="false" ht="15" hidden="false" customHeight="false" outlineLevel="0" collapsed="false">
      <c r="A34" s="10" t="s">
        <v>619</v>
      </c>
      <c r="B34" s="9" t="s">
        <v>90</v>
      </c>
      <c r="C34" s="50" t="n">
        <f aca="false">-C31*Assumptions!$D$60</f>
        <v>-0</v>
      </c>
      <c r="D34" s="50" t="n">
        <f aca="false">-D31*Assumptions!$D$60</f>
        <v>-0</v>
      </c>
      <c r="E34" s="50" t="n">
        <f aca="false">-E31*Assumptions!$D$60</f>
        <v>-328.441048898954</v>
      </c>
      <c r="F34" s="50" t="n">
        <f aca="false">-F31*Assumptions!$D$60</f>
        <v>-322.39752104207</v>
      </c>
      <c r="G34" s="50" t="n">
        <f aca="false">-G31*Assumptions!$D$60</f>
        <v>-347.128728505735</v>
      </c>
      <c r="H34" s="50" t="n">
        <f aca="false">-H31*Assumptions!$D$60</f>
        <v>-373.310771483503</v>
      </c>
      <c r="I34" s="50" t="n">
        <f aca="false">-I31*Assumptions!$D$60</f>
        <v>-396.844456484439</v>
      </c>
      <c r="J34" s="50" t="n">
        <f aca="false">-J31*Assumptions!$D$60</f>
        <v>-418.300273716327</v>
      </c>
      <c r="K34" s="50" t="n">
        <f aca="false">-K31*Assumptions!$D$60</f>
        <v>-438.119393745452</v>
      </c>
      <c r="L34" s="50" t="n">
        <f aca="false">-L31*Assumptions!$D$60</f>
        <v>-456.648040797576</v>
      </c>
      <c r="M34" s="50" t="n">
        <f aca="false">-M31*Assumptions!$D$60</f>
        <v>-474.162460875742</v>
      </c>
      <c r="N34" s="50" t="n">
        <f aca="false">-N31*Assumptions!$D$60</f>
        <v>-490.887101650462</v>
      </c>
      <c r="O34" s="50" t="n">
        <f aca="false">-O31*Assumptions!$D$60</f>
        <v>-507.007890009654</v>
      </c>
      <c r="P34" s="50" t="n">
        <f aca="false">-P31*Assumptions!$D$60</f>
        <v>-522.681966647052</v>
      </c>
      <c r="Q34" s="50" t="n">
        <f aca="false">-Q31*Assumptions!$D$60</f>
        <v>-538.044857855427</v>
      </c>
      <c r="R34" s="50" t="n">
        <f aca="false">-R31*Assumptions!$D$60</f>
        <v>-553.215791543959</v>
      </c>
      <c r="S34" s="50" t="n">
        <f aca="false">-S31*Assumptions!$D$60</f>
        <v>-568.301667730143</v>
      </c>
      <c r="T34" s="50" t="n">
        <f aca="false">-T31*Assumptions!$D$60</f>
        <v>-583.400051990117</v>
      </c>
      <c r="U34" s="50" t="n">
        <f aca="false">-U31*Assumptions!$D$60</f>
        <v>-598.601458195661</v>
      </c>
      <c r="V34" s="50" t="n">
        <f aca="false">-V31*Assumptions!$D$60</f>
        <v>-613.991113238877</v>
      </c>
      <c r="W34" s="50" t="n">
        <f aca="false">-W31*Assumptions!$D$60</f>
        <v>-629.650343366475</v>
      </c>
      <c r="X34" s="50" t="n">
        <f aca="false">-X31*Assumptions!$D$60</f>
        <v>-645.65768346836</v>
      </c>
      <c r="Y34" s="50" t="n">
        <f aca="false">-Y31*Assumptions!$D$60</f>
        <v>-662.089783051736</v>
      </c>
      <c r="Z34" s="50" t="n">
        <f aca="false">-Z31*Assumptions!$D$60</f>
        <v>-679.022162702603</v>
      </c>
      <c r="AA34" s="50" t="n">
        <f aca="false">-AA31*Assumptions!$D$60</f>
        <v>-696.529860445093</v>
      </c>
      <c r="AB34" s="50" t="n">
        <f aca="false">-AB31*Assumptions!$D$60</f>
        <v>-714.687997010222</v>
      </c>
      <c r="AC34" s="50" t="n">
        <f aca="false">-AC31*Assumptions!$D$60</f>
        <v>-733.572281506151</v>
      </c>
      <c r="AD34" s="50" t="n">
        <f aca="false">-AD31*Assumptions!$D$60</f>
        <v>-753.259473540028</v>
      </c>
      <c r="AE34" s="50" t="n">
        <f aca="false">-AE31*Assumptions!$D$60</f>
        <v>-773.82781389948</v>
      </c>
      <c r="AF34" s="50" t="n">
        <f aca="false">-AF31*Assumptions!$D$60</f>
        <v>-795.357433043512</v>
      </c>
      <c r="AG34" s="50" t="n">
        <f aca="false">-AG31*Assumptions!$D$60</f>
        <v>-817.930744578219</v>
      </c>
      <c r="AH34" s="50" t="n">
        <f aca="false">-AH31*Assumptions!$D$60</f>
        <v>-841.632829386073</v>
      </c>
      <c r="AI34" s="50" t="n">
        <f aca="false">-AI31*Assumptions!$D$60</f>
        <v>-866.551814982956</v>
      </c>
      <c r="AJ34" s="50" t="n">
        <f aca="false">-AJ31*Assumptions!$D$60</f>
        <v>-892.779253882047</v>
      </c>
      <c r="AK34" s="50" t="n">
        <f aca="false">-AK31*Assumptions!$D$60</f>
        <v>-920.4105041673</v>
      </c>
      <c r="AL34" s="50" t="n">
        <f aca="false">-AL31*Assumptions!$D$60</f>
        <v>-950.251714653875</v>
      </c>
      <c r="AM34" s="50" t="n">
        <f aca="false">SUM(C34:AL34)</f>
        <v>-20904.6962880953</v>
      </c>
    </row>
    <row r="35" customFormat="false" ht="15" hidden="false" customHeight="false" outlineLevel="0" collapsed="false">
      <c r="A35" s="26" t="s">
        <v>620</v>
      </c>
      <c r="B35" s="9" t="s">
        <v>90</v>
      </c>
      <c r="C35" s="35" t="n">
        <f aca="false">C31+C32+C33+C34</f>
        <v>0</v>
      </c>
      <c r="D35" s="35" t="n">
        <f aca="false">D31+D32+D33+D34</f>
        <v>0</v>
      </c>
      <c r="E35" s="35" t="n">
        <f aca="false">E31+E32+E33+E34</f>
        <v>5391.47956180874</v>
      </c>
      <c r="F35" s="35" t="n">
        <f aca="false">F31+F32+F33+F34</f>
        <v>5292.27284866845</v>
      </c>
      <c r="G35" s="35" t="n">
        <f aca="false">G31+G32+G33+G34</f>
        <v>5698.24463577058</v>
      </c>
      <c r="H35" s="35" t="n">
        <f aca="false">H31+H32+H33+H34</f>
        <v>6128.03241678714</v>
      </c>
      <c r="I35" s="35" t="n">
        <f aca="false">I31+I32+I33+I34</f>
        <v>6514.34643606683</v>
      </c>
      <c r="J35" s="35" t="n">
        <f aca="false">J31+J32+J33+J34</f>
        <v>6866.55149836164</v>
      </c>
      <c r="K35" s="35" t="n">
        <f aca="false">K31+K32+K33+K34</f>
        <v>7191.88957936056</v>
      </c>
      <c r="L35" s="35" t="n">
        <f aca="false">L31+L32+L33+L34</f>
        <v>7496.04407595709</v>
      </c>
      <c r="M35" s="35" t="n">
        <f aca="false">M31+M32+M33+M34</f>
        <v>7783.54966700584</v>
      </c>
      <c r="N35" s="35" t="n">
        <f aca="false">N31+N32+N33+N34</f>
        <v>8058.09074284815</v>
      </c>
      <c r="O35" s="35" t="n">
        <f aca="false">O31+O32+O33+O34</f>
        <v>8322.71936113504</v>
      </c>
      <c r="P35" s="35" t="n">
        <f aca="false">P31+P32+P33+P34</f>
        <v>8580.01504364503</v>
      </c>
      <c r="Q35" s="35" t="n">
        <f aca="false">Q31+Q32+Q33+Q34</f>
        <v>8832.2025038846</v>
      </c>
      <c r="R35" s="35" t="n">
        <f aca="false">R31+R32+R33+R34</f>
        <v>9081.23891145142</v>
      </c>
      <c r="S35" s="35" t="n">
        <f aca="false">S31+S32+S33+S34</f>
        <v>9328.87906910665</v>
      </c>
      <c r="T35" s="35" t="n">
        <f aca="false">T31+T32+T33+T34</f>
        <v>9576.72455135339</v>
      </c>
      <c r="U35" s="35" t="n">
        <f aca="false">U31+U32+U33+U34</f>
        <v>9826.26117639675</v>
      </c>
      <c r="V35" s="35" t="n">
        <f aca="false">V31+V32+V33+V34</f>
        <v>10078.8879747429</v>
      </c>
      <c r="W35" s="35" t="n">
        <f aca="false">W31+W32+W33+W34</f>
        <v>10335.9399463817</v>
      </c>
      <c r="X35" s="35" t="n">
        <f aca="false">X31+X32+X33+X34</f>
        <v>10598.7062701636</v>
      </c>
      <c r="Y35" s="35" t="n">
        <f aca="false">Y31+Y32+Y33+Y34</f>
        <v>10868.4451756943</v>
      </c>
      <c r="Z35" s="35" t="n">
        <f aca="false">Z31+Z32+Z33+Z34</f>
        <v>11146.3963609267</v>
      </c>
      <c r="AA35" s="35" t="n">
        <f aca="false">AA31+AA32+AA33+AA34</f>
        <v>11433.7916023845</v>
      </c>
      <c r="AB35" s="35" t="n">
        <f aca="false">AB31+AB32+AB33+AB34</f>
        <v>11731.864034255</v>
      </c>
      <c r="AC35" s="35" t="n">
        <f aca="false">AC31+AC32+AC33+AC34</f>
        <v>12041.8564491511</v>
      </c>
      <c r="AD35" s="35" t="n">
        <f aca="false">AD31+AD32+AD33+AD34</f>
        <v>12365.0288840093</v>
      </c>
      <c r="AE35" s="35" t="n">
        <f aca="false">AE31+AE32+AE33+AE34</f>
        <v>12702.6656898838</v>
      </c>
      <c r="AF35" s="35" t="n">
        <f aca="false">AF31+AF32+AF33+AF34</f>
        <v>13056.0822374734</v>
      </c>
      <c r="AG35" s="35" t="n">
        <f aca="false">AG31+AG32+AG33+AG34</f>
        <v>13426.6313761688</v>
      </c>
      <c r="AH35" s="35" t="n">
        <f aca="false">AH31+AH32+AH33+AH34</f>
        <v>13815.7097396748</v>
      </c>
      <c r="AI35" s="35" t="n">
        <f aca="false">AI31+AI32+AI33+AI34</f>
        <v>14224.7639732944</v>
      </c>
      <c r="AJ35" s="35" t="n">
        <f aca="false">AJ31+AJ32+AJ33+AJ34</f>
        <v>14655.2969449101</v>
      </c>
      <c r="AK35" s="35" t="n">
        <f aca="false">AK31+AK32+AK33+AK34</f>
        <v>15108.8739922359</v>
      </c>
      <c r="AL35" s="35" t="n">
        <f aca="false">AL31+AL32+AL33+AL34</f>
        <v>15598.728341981</v>
      </c>
      <c r="AM35" s="35" t="n">
        <f aca="false">SUM(C35:AL35)</f>
        <v>343158.211072939</v>
      </c>
    </row>
    <row r="36" customFormat="false" ht="15" hidden="false" customHeight="false" outlineLevel="0" collapsed="false">
      <c r="A36" s="10" t="s">
        <v>621</v>
      </c>
      <c r="B36" s="9" t="s">
        <v>54</v>
      </c>
      <c r="C36" s="44" t="n">
        <f aca="false">IFERROR(C35/C31,0)</f>
        <v>0</v>
      </c>
      <c r="D36" s="44" t="n">
        <f aca="false">IFERROR(D35/D31,0)</f>
        <v>0</v>
      </c>
      <c r="E36" s="44" t="n">
        <f aca="false">IFERROR(E35/E31,0)</f>
        <v>0.525291666666667</v>
      </c>
      <c r="F36" s="44" t="n">
        <f aca="false">IFERROR(F35/F31,0)</f>
        <v>0.525291666666667</v>
      </c>
      <c r="G36" s="44" t="n">
        <f aca="false">IFERROR(G35/G31,0)</f>
        <v>0.525291666666667</v>
      </c>
      <c r="H36" s="44" t="n">
        <f aca="false">IFERROR(H35/H31,0)</f>
        <v>0.525291666666667</v>
      </c>
      <c r="I36" s="44" t="n">
        <f aca="false">IFERROR(I35/I31,0)</f>
        <v>0.525291666666667</v>
      </c>
      <c r="J36" s="44" t="n">
        <f aca="false">IFERROR(J35/J31,0)</f>
        <v>0.525291666666667</v>
      </c>
      <c r="K36" s="44" t="n">
        <f aca="false">IFERROR(K35/K31,0)</f>
        <v>0.525291666666667</v>
      </c>
      <c r="L36" s="44" t="n">
        <f aca="false">IFERROR(L35/L31,0)</f>
        <v>0.525291666666667</v>
      </c>
      <c r="M36" s="44" t="n">
        <f aca="false">IFERROR(M35/M31,0)</f>
        <v>0.525291666666667</v>
      </c>
      <c r="N36" s="44" t="n">
        <f aca="false">IFERROR(N35/N31,0)</f>
        <v>0.525291666666667</v>
      </c>
      <c r="O36" s="44" t="n">
        <f aca="false">IFERROR(O35/O31,0)</f>
        <v>0.525291666666667</v>
      </c>
      <c r="P36" s="44" t="n">
        <f aca="false">IFERROR(P35/P31,0)</f>
        <v>0.525291666666667</v>
      </c>
      <c r="Q36" s="44" t="n">
        <f aca="false">IFERROR(Q35/Q31,0)</f>
        <v>0.525291666666667</v>
      </c>
      <c r="R36" s="44" t="n">
        <f aca="false">IFERROR(R35/R31,0)</f>
        <v>0.525291666666667</v>
      </c>
      <c r="S36" s="44" t="n">
        <f aca="false">IFERROR(S35/S31,0)</f>
        <v>0.525291666666667</v>
      </c>
      <c r="T36" s="44" t="n">
        <f aca="false">IFERROR(T35/T31,0)</f>
        <v>0.525291666666667</v>
      </c>
      <c r="U36" s="44" t="n">
        <f aca="false">IFERROR(U35/U31,0)</f>
        <v>0.525291666666667</v>
      </c>
      <c r="V36" s="44" t="n">
        <f aca="false">IFERROR(V35/V31,0)</f>
        <v>0.525291666666667</v>
      </c>
      <c r="W36" s="44" t="n">
        <f aca="false">IFERROR(W35/W31,0)</f>
        <v>0.525291666666667</v>
      </c>
      <c r="X36" s="44" t="n">
        <f aca="false">IFERROR(X35/X31,0)</f>
        <v>0.525291666666667</v>
      </c>
      <c r="Y36" s="44" t="n">
        <f aca="false">IFERROR(Y35/Y31,0)</f>
        <v>0.525291666666667</v>
      </c>
      <c r="Z36" s="44" t="n">
        <f aca="false">IFERROR(Z35/Z31,0)</f>
        <v>0.525291666666667</v>
      </c>
      <c r="AA36" s="44" t="n">
        <f aca="false">IFERROR(AA35/AA31,0)</f>
        <v>0.525291666666667</v>
      </c>
      <c r="AB36" s="44" t="n">
        <f aca="false">IFERROR(AB35/AB31,0)</f>
        <v>0.525291666666667</v>
      </c>
      <c r="AC36" s="44" t="n">
        <f aca="false">IFERROR(AC35/AC31,0)</f>
        <v>0.525291666666667</v>
      </c>
      <c r="AD36" s="44" t="n">
        <f aca="false">IFERROR(AD35/AD31,0)</f>
        <v>0.525291666666667</v>
      </c>
      <c r="AE36" s="44" t="n">
        <f aca="false">IFERROR(AE35/AE31,0)</f>
        <v>0.525291666666667</v>
      </c>
      <c r="AF36" s="44" t="n">
        <f aca="false">IFERROR(AF35/AF31,0)</f>
        <v>0.525291666666667</v>
      </c>
      <c r="AG36" s="44" t="n">
        <f aca="false">IFERROR(AG35/AG31,0)</f>
        <v>0.525291666666667</v>
      </c>
      <c r="AH36" s="44" t="n">
        <f aca="false">IFERROR(AH35/AH31,0)</f>
        <v>0.525291666666667</v>
      </c>
      <c r="AI36" s="44" t="n">
        <f aca="false">IFERROR(AI35/AI31,0)</f>
        <v>0.525291666666667</v>
      </c>
      <c r="AJ36" s="44" t="n">
        <f aca="false">IFERROR(AJ35/AJ31,0)</f>
        <v>0.525291666666667</v>
      </c>
      <c r="AK36" s="44" t="n">
        <f aca="false">IFERROR(AK35/AK31,0)</f>
        <v>0.525291666666667</v>
      </c>
      <c r="AL36" s="44" t="n">
        <f aca="false">IFERROR(AL35/AL31,0)</f>
        <v>0.525291666666667</v>
      </c>
      <c r="AM36" s="44" t="n">
        <f aca="false">AVERAGE(N36:AL36)</f>
        <v>0.525291666666667</v>
      </c>
    </row>
    <row r="37" customFormat="false" ht="15" hidden="false" customHeight="false" outlineLevel="0" collapsed="false">
      <c r="A37" s="10" t="s">
        <v>622</v>
      </c>
      <c r="B37" s="9" t="s">
        <v>54</v>
      </c>
      <c r="C37" s="44" t="n">
        <f aca="false">IF(C9=0,0,MIN(Assumptions!$D$44,Assumptions!$D$42+Assumptions!$D$43*(C$5-Assumptions!$D$7)))</f>
        <v>0</v>
      </c>
      <c r="D37" s="44" t="n">
        <f aca="false">IF(D9=0,0,MIN(Assumptions!$D$44,Assumptions!$D$42+Assumptions!$D$43*(D$5-Assumptions!$D$7)))</f>
        <v>0</v>
      </c>
      <c r="E37" s="44" t="n">
        <f aca="false">IF(E9=0,0,MIN(Assumptions!$D$44,Assumptions!$D$42+Assumptions!$D$43*(E$5-Assumptions!$D$7)))</f>
        <v>0</v>
      </c>
      <c r="F37" s="44" t="n">
        <f aca="false">IF(F9=0,0,MIN(Assumptions!$D$44,Assumptions!$D$42+Assumptions!$D$43*(F$5-Assumptions!$D$7)))</f>
        <v>0</v>
      </c>
      <c r="G37" s="44" t="n">
        <f aca="false">IF(G9=0,0,MIN(Assumptions!$D$44,Assumptions!$D$42+Assumptions!$D$43*(G$5-Assumptions!$D$7)))</f>
        <v>0</v>
      </c>
      <c r="H37" s="44" t="n">
        <f aca="false">IF(H9=0,0,MIN(Assumptions!$D$44,Assumptions!$D$42+Assumptions!$D$43*(H$5-Assumptions!$D$7)))</f>
        <v>0</v>
      </c>
      <c r="I37" s="44" t="n">
        <f aca="false">IF(I9=0,0,MIN(Assumptions!$D$44,Assumptions!$D$42+Assumptions!$D$43*(I$5-Assumptions!$D$7)))</f>
        <v>0</v>
      </c>
      <c r="J37" s="44" t="n">
        <f aca="false">IF(J9=0,0,MIN(Assumptions!$D$44,Assumptions!$D$42+Assumptions!$D$43*(J$5-Assumptions!$D$7)))</f>
        <v>0</v>
      </c>
      <c r="K37" s="44" t="n">
        <f aca="false">IF(K9=0,0,MIN(Assumptions!$D$44,Assumptions!$D$42+Assumptions!$D$43*(K$5-Assumptions!$D$7)))</f>
        <v>0.26</v>
      </c>
      <c r="L37" s="44" t="n">
        <f aca="false">IF(L9=0,0,MIN(Assumptions!$D$44,Assumptions!$D$42+Assumptions!$D$43*(L$5-Assumptions!$D$7)))</f>
        <v>0.275</v>
      </c>
      <c r="M37" s="44" t="n">
        <f aca="false">IF(M9=0,0,MIN(Assumptions!$D$44,Assumptions!$D$42+Assumptions!$D$43*(M$5-Assumptions!$D$7)))</f>
        <v>0.29</v>
      </c>
      <c r="N37" s="44" t="n">
        <f aca="false">IF(N9=0,0,MIN(Assumptions!$D$44,Assumptions!$D$42+Assumptions!$D$43*(N$5-Assumptions!$D$7)))</f>
        <v>0.305</v>
      </c>
      <c r="O37" s="44" t="n">
        <f aca="false">IF(O9=0,0,MIN(Assumptions!$D$44,Assumptions!$D$42+Assumptions!$D$43*(O$5-Assumptions!$D$7)))</f>
        <v>0.32</v>
      </c>
      <c r="P37" s="44" t="n">
        <f aca="false">IF(P9=0,0,MIN(Assumptions!$D$44,Assumptions!$D$42+Assumptions!$D$43*(P$5-Assumptions!$D$7)))</f>
        <v>0.335</v>
      </c>
      <c r="Q37" s="44" t="n">
        <f aca="false">IF(Q9=0,0,MIN(Assumptions!$D$44,Assumptions!$D$42+Assumptions!$D$43*(Q$5-Assumptions!$D$7)))</f>
        <v>0.35</v>
      </c>
      <c r="R37" s="44" t="n">
        <f aca="false">IF(R9=0,0,MIN(Assumptions!$D$44,Assumptions!$D$42+Assumptions!$D$43*(R$5-Assumptions!$D$7)))</f>
        <v>0.365</v>
      </c>
      <c r="S37" s="44" t="n">
        <f aca="false">IF(S9=0,0,MIN(Assumptions!$D$44,Assumptions!$D$42+Assumptions!$D$43*(S$5-Assumptions!$D$7)))</f>
        <v>0.38</v>
      </c>
      <c r="T37" s="44" t="n">
        <f aca="false">IF(T9=0,0,MIN(Assumptions!$D$44,Assumptions!$D$42+Assumptions!$D$43*(T$5-Assumptions!$D$7)))</f>
        <v>0.395</v>
      </c>
      <c r="U37" s="44" t="n">
        <f aca="false">IF(U9=0,0,MIN(Assumptions!$D$44,Assumptions!$D$42+Assumptions!$D$43*(U$5-Assumptions!$D$7)))</f>
        <v>0.41</v>
      </c>
      <c r="V37" s="44" t="n">
        <f aca="false">IF(V9=0,0,MIN(Assumptions!$D$44,Assumptions!$D$42+Assumptions!$D$43*(V$5-Assumptions!$D$7)))</f>
        <v>0.425</v>
      </c>
      <c r="W37" s="44" t="n">
        <f aca="false">IF(W9=0,0,MIN(Assumptions!$D$44,Assumptions!$D$42+Assumptions!$D$43*(W$5-Assumptions!$D$7)))</f>
        <v>0.44</v>
      </c>
      <c r="X37" s="44" t="n">
        <f aca="false">IF(X9=0,0,MIN(Assumptions!$D$44,Assumptions!$D$42+Assumptions!$D$43*(X$5-Assumptions!$D$7)))</f>
        <v>0.455</v>
      </c>
      <c r="Y37" s="44" t="n">
        <f aca="false">IF(Y9=0,0,MIN(Assumptions!$D$44,Assumptions!$D$42+Assumptions!$D$43*(Y$5-Assumptions!$D$7)))</f>
        <v>0.47</v>
      </c>
      <c r="Z37" s="44" t="n">
        <f aca="false">IF(Z9=0,0,MIN(Assumptions!$D$44,Assumptions!$D$42+Assumptions!$D$43*(Z$5-Assumptions!$D$7)))</f>
        <v>0.485</v>
      </c>
      <c r="AA37" s="44" t="n">
        <f aca="false">IF(AA9=0,0,MIN(Assumptions!$D$44,Assumptions!$D$42+Assumptions!$D$43*(AA$5-Assumptions!$D$7)))</f>
        <v>0.5</v>
      </c>
      <c r="AB37" s="44" t="n">
        <f aca="false">IF(AB9=0,0,MIN(Assumptions!$D$44,Assumptions!$D$42+Assumptions!$D$43*(AB$5-Assumptions!$D$7)))</f>
        <v>0.515</v>
      </c>
      <c r="AC37" s="44" t="n">
        <f aca="false">IF(AC9=0,0,MIN(Assumptions!$D$44,Assumptions!$D$42+Assumptions!$D$43*(AC$5-Assumptions!$D$7)))</f>
        <v>0.53</v>
      </c>
      <c r="AD37" s="44" t="n">
        <f aca="false">IF(AD9=0,0,MIN(Assumptions!$D$44,Assumptions!$D$42+Assumptions!$D$43*(AD$5-Assumptions!$D$7)))</f>
        <v>0.545</v>
      </c>
      <c r="AE37" s="44" t="n">
        <f aca="false">IF(AE9=0,0,MIN(Assumptions!$D$44,Assumptions!$D$42+Assumptions!$D$43*(AE$5-Assumptions!$D$7)))</f>
        <v>0.56</v>
      </c>
      <c r="AF37" s="44" t="n">
        <f aca="false">IF(AF9=0,0,MIN(Assumptions!$D$44,Assumptions!$D$42+Assumptions!$D$43*(AF$5-Assumptions!$D$7)))</f>
        <v>0.575</v>
      </c>
      <c r="AG37" s="44" t="n">
        <f aca="false">IF(AG9=0,0,MIN(Assumptions!$D$44,Assumptions!$D$42+Assumptions!$D$43*(AG$5-Assumptions!$D$7)))</f>
        <v>0.59</v>
      </c>
      <c r="AH37" s="44" t="n">
        <f aca="false">IF(AH9=0,0,MIN(Assumptions!$D$44,Assumptions!$D$42+Assumptions!$D$43*(AH$5-Assumptions!$D$7)))</f>
        <v>0.605</v>
      </c>
      <c r="AI37" s="44" t="n">
        <f aca="false">IF(AI9=0,0,MIN(Assumptions!$D$44,Assumptions!$D$42+Assumptions!$D$43*(AI$5-Assumptions!$D$7)))</f>
        <v>0.62</v>
      </c>
      <c r="AJ37" s="44" t="n">
        <f aca="false">IF(AJ9=0,0,MIN(Assumptions!$D$44,Assumptions!$D$42+Assumptions!$D$43*(AJ$5-Assumptions!$D$7)))</f>
        <v>0.635</v>
      </c>
      <c r="AK37" s="44" t="n">
        <f aca="false">IF(AK9=0,0,MIN(Assumptions!$D$44,Assumptions!$D$42+Assumptions!$D$43*(AK$5-Assumptions!$D$7)))</f>
        <v>0.65</v>
      </c>
      <c r="AL37" s="44" t="n">
        <f aca="false">IF(AL9=0,0,MIN(Assumptions!$D$44,Assumptions!$D$42+Assumptions!$D$43*(AL$5-Assumptions!$D$7)))</f>
        <v>0.665</v>
      </c>
      <c r="AM37" s="44" t="n">
        <f aca="false">AL37</f>
        <v>0.665</v>
      </c>
    </row>
    <row r="38" customFormat="false" ht="15" hidden="false" customHeight="false" outlineLevel="0" collapsed="false">
      <c r="A38" s="10" t="s">
        <v>623</v>
      </c>
      <c r="B38" s="9" t="s">
        <v>44</v>
      </c>
      <c r="C38" s="43" t="n">
        <f aca="false">C18*Assumptions!$D$39*C9</f>
        <v>0</v>
      </c>
      <c r="D38" s="43" t="n">
        <f aca="false">D18*Assumptions!$D$39*D9</f>
        <v>0</v>
      </c>
      <c r="E38" s="43" t="n">
        <f aca="false">E18*Assumptions!$D$39*E9</f>
        <v>0</v>
      </c>
      <c r="F38" s="43" t="n">
        <f aca="false">F18*Assumptions!$D$39*F9</f>
        <v>0</v>
      </c>
      <c r="G38" s="43" t="n">
        <f aca="false">G18*Assumptions!$D$39*G9</f>
        <v>0</v>
      </c>
      <c r="H38" s="43" t="n">
        <f aca="false">H18*Assumptions!$D$39*H9</f>
        <v>0</v>
      </c>
      <c r="I38" s="43" t="n">
        <f aca="false">I18*Assumptions!$D$39*I9</f>
        <v>0</v>
      </c>
      <c r="J38" s="43" t="n">
        <f aca="false">J18*Assumptions!$D$39*J9</f>
        <v>0</v>
      </c>
      <c r="K38" s="43" t="n">
        <f aca="false">K18*Assumptions!$D$39*K9</f>
        <v>104.117761983358</v>
      </c>
      <c r="L38" s="43" t="n">
        <f aca="false">L18*Assumptions!$D$39*L9</f>
        <v>102.909163323998</v>
      </c>
      <c r="M38" s="43" t="n">
        <f aca="false">M18*Assumptions!$D$39*M9</f>
        <v>102.507181099632</v>
      </c>
      <c r="N38" s="43" t="n">
        <f aca="false">N18*Assumptions!$D$39*N9</f>
        <v>102.714055237086</v>
      </c>
      <c r="O38" s="43" t="n">
        <f aca="false">O18*Assumptions!$D$39*O9</f>
        <v>103.389084035389</v>
      </c>
      <c r="P38" s="43" t="n">
        <f aca="false">P18*Assumptions!$D$39*P9</f>
        <v>104.432748954664</v>
      </c>
      <c r="Q38" s="43" t="n">
        <f aca="false">Q18*Assumptions!$D$39*Q9</f>
        <v>105.775290532108</v>
      </c>
      <c r="R38" s="43" t="n">
        <f aca="false">R18*Assumptions!$D$39*R9</f>
        <v>107.368489473569</v>
      </c>
      <c r="S38" s="43" t="n">
        <f aca="false">S18*Assumptions!$D$39*S9</f>
        <v>109.179755857462</v>
      </c>
      <c r="T38" s="43" t="n">
        <f aca="false">T18*Assumptions!$D$39*T9</f>
        <v>111.187880588671</v>
      </c>
      <c r="U38" s="43" t="n">
        <f aca="false">U18*Assumptions!$D$39*U9</f>
        <v>113.379984106034</v>
      </c>
      <c r="V38" s="43" t="n">
        <f aca="false">V18*Assumptions!$D$39*V9</f>
        <v>115.749327572083</v>
      </c>
      <c r="W38" s="43" t="n">
        <f aca="false">W18*Assumptions!$D$39*W9</f>
        <v>118.293745537197</v>
      </c>
      <c r="X38" s="43" t="n">
        <f aca="false">X18*Assumptions!$D$39*X9</f>
        <v>121.014526581813</v>
      </c>
      <c r="Y38" s="43" t="n">
        <f aca="false">Y18*Assumptions!$D$39*Y9</f>
        <v>123.915617050254</v>
      </c>
      <c r="Z38" s="43" t="n">
        <f aca="false">Z18*Assumptions!$D$39*Z9</f>
        <v>127.003057990827</v>
      </c>
      <c r="AA38" s="43" t="n">
        <f aca="false">AA18*Assumptions!$D$39*AA9</f>
        <v>130.284590619534</v>
      </c>
      <c r="AB38" s="43" t="n">
        <f aca="false">AB18*Assumptions!$D$39*AB9</f>
        <v>133.769383772787</v>
      </c>
      <c r="AC38" s="43" t="n">
        <f aca="false">AC18*Assumptions!$D$39*AC9</f>
        <v>137.467849883348</v>
      </c>
      <c r="AD38" s="43" t="n">
        <f aca="false">AD18*Assumptions!$D$39*AD9</f>
        <v>141.391525425583</v>
      </c>
      <c r="AE38" s="43" t="n">
        <f aca="false">AE18*Assumptions!$D$39*AE9</f>
        <v>145.552998555183</v>
      </c>
      <c r="AF38" s="43" t="n">
        <f aca="false">AF18*Assumptions!$D$39*AF9</f>
        <v>149.965871552035</v>
      </c>
      <c r="AG38" s="43" t="n">
        <f aca="false">AG18*Assumptions!$D$39*AG9</f>
        <v>154.644749193923</v>
      </c>
      <c r="AH38" s="43" t="n">
        <f aca="false">AH18*Assumptions!$D$39*AH9</f>
        <v>159.605246725285</v>
      </c>
      <c r="AI38" s="43" t="n">
        <f aca="false">AI18*Assumptions!$D$39*AI9</f>
        <v>164.86401291482</v>
      </c>
      <c r="AJ38" s="43" t="n">
        <f aca="false">AJ18*Assumptions!$D$39*AJ9</f>
        <v>170.438765016258</v>
      </c>
      <c r="AK38" s="43" t="n">
        <f aca="false">AK18*Assumptions!$D$39*AK9</f>
        <v>176.348333400964</v>
      </c>
      <c r="AL38" s="43" t="n">
        <f aca="false">AL18*Assumptions!$D$39*AL9</f>
        <v>183.063719984015</v>
      </c>
      <c r="AM38" s="43" t="n">
        <f aca="false">SUM(C38:AL38)</f>
        <v>3620.33471696788</v>
      </c>
    </row>
    <row r="39" customFormat="false" ht="15" hidden="false" customHeight="false" outlineLevel="0" collapsed="false">
      <c r="A39" s="10" t="s">
        <v>624</v>
      </c>
      <c r="B39" s="9" t="s">
        <v>44</v>
      </c>
      <c r="C39" s="43" t="n">
        <f aca="false">C38*Assumptions!$D$40</f>
        <v>0</v>
      </c>
      <c r="D39" s="43" t="n">
        <f aca="false">D38*Assumptions!$D$40</f>
        <v>0</v>
      </c>
      <c r="E39" s="43" t="n">
        <f aca="false">E38*Assumptions!$D$40</f>
        <v>0</v>
      </c>
      <c r="F39" s="43" t="n">
        <f aca="false">F38*Assumptions!$D$40</f>
        <v>0</v>
      </c>
      <c r="G39" s="43" t="n">
        <f aca="false">G38*Assumptions!$D$40</f>
        <v>0</v>
      </c>
      <c r="H39" s="43" t="n">
        <f aca="false">H38*Assumptions!$D$40</f>
        <v>0</v>
      </c>
      <c r="I39" s="43" t="n">
        <f aca="false">I38*Assumptions!$D$40</f>
        <v>0</v>
      </c>
      <c r="J39" s="43" t="n">
        <f aca="false">J38*Assumptions!$D$40</f>
        <v>0</v>
      </c>
      <c r="K39" s="43" t="n">
        <f aca="false">K38*Assumptions!$D$40</f>
        <v>62.4706571900148</v>
      </c>
      <c r="L39" s="43" t="n">
        <f aca="false">L38*Assumptions!$D$40</f>
        <v>61.7454979943986</v>
      </c>
      <c r="M39" s="43" t="n">
        <f aca="false">M38*Assumptions!$D$40</f>
        <v>61.5043086597795</v>
      </c>
      <c r="N39" s="43" t="n">
        <f aca="false">N38*Assumptions!$D$40</f>
        <v>61.6284331422517</v>
      </c>
      <c r="O39" s="43" t="n">
        <f aca="false">O38*Assumptions!$D$40</f>
        <v>62.0334504212335</v>
      </c>
      <c r="P39" s="43" t="n">
        <f aca="false">P38*Assumptions!$D$40</f>
        <v>62.6596493727984</v>
      </c>
      <c r="Q39" s="43" t="n">
        <f aca="false">Q38*Assumptions!$D$40</f>
        <v>63.465174319265</v>
      </c>
      <c r="R39" s="43" t="n">
        <f aca="false">R38*Assumptions!$D$40</f>
        <v>64.4210936841411</v>
      </c>
      <c r="S39" s="43" t="n">
        <f aca="false">S38*Assumptions!$D$40</f>
        <v>65.5078535144774</v>
      </c>
      <c r="T39" s="43" t="n">
        <f aca="false">T38*Assumptions!$D$40</f>
        <v>66.7127283532025</v>
      </c>
      <c r="U39" s="43" t="n">
        <f aca="false">U38*Assumptions!$D$40</f>
        <v>68.0279904636206</v>
      </c>
      <c r="V39" s="43" t="n">
        <f aca="false">V38*Assumptions!$D$40</f>
        <v>69.4495965432497</v>
      </c>
      <c r="W39" s="43" t="n">
        <f aca="false">W38*Assumptions!$D$40</f>
        <v>70.9762473223184</v>
      </c>
      <c r="X39" s="43" t="n">
        <f aca="false">X38*Assumptions!$D$40</f>
        <v>72.6087159490879</v>
      </c>
      <c r="Y39" s="43" t="n">
        <f aca="false">Y38*Assumptions!$D$40</f>
        <v>74.3493702301523</v>
      </c>
      <c r="Z39" s="43" t="n">
        <f aca="false">Z38*Assumptions!$D$40</f>
        <v>76.2018347944964</v>
      </c>
      <c r="AA39" s="43" t="n">
        <f aca="false">AA38*Assumptions!$D$40</f>
        <v>78.1707543717206</v>
      </c>
      <c r="AB39" s="43" t="n">
        <f aca="false">AB38*Assumptions!$D$40</f>
        <v>80.2616302636722</v>
      </c>
      <c r="AC39" s="43" t="n">
        <f aca="false">AC38*Assumptions!$D$40</f>
        <v>82.4807099300086</v>
      </c>
      <c r="AD39" s="43" t="n">
        <f aca="false">AD38*Assumptions!$D$40</f>
        <v>84.8349152553499</v>
      </c>
      <c r="AE39" s="43" t="n">
        <f aca="false">AE38*Assumptions!$D$40</f>
        <v>87.3317991331095</v>
      </c>
      <c r="AF39" s="43" t="n">
        <f aca="false">AF38*Assumptions!$D$40</f>
        <v>89.9795229312212</v>
      </c>
      <c r="AG39" s="43" t="n">
        <f aca="false">AG38*Assumptions!$D$40</f>
        <v>92.7868495163537</v>
      </c>
      <c r="AH39" s="43" t="n">
        <f aca="false">AH38*Assumptions!$D$40</f>
        <v>95.7631480351708</v>
      </c>
      <c r="AI39" s="43" t="n">
        <f aca="false">AI38*Assumptions!$D$40</f>
        <v>98.9184077488921</v>
      </c>
      <c r="AJ39" s="43" t="n">
        <f aca="false">AJ38*Assumptions!$D$40</f>
        <v>102.263259009755</v>
      </c>
      <c r="AK39" s="43" t="n">
        <f aca="false">AK38*Assumptions!$D$40</f>
        <v>105.809000040578</v>
      </c>
      <c r="AL39" s="43" t="n">
        <f aca="false">AL38*Assumptions!$D$40</f>
        <v>109.838231990409</v>
      </c>
      <c r="AM39" s="43" t="n">
        <f aca="false">SUM(C39:AL39)</f>
        <v>2172.20083018073</v>
      </c>
    </row>
    <row r="40" customFormat="false" ht="15" hidden="false" customHeight="false" outlineLevel="0" collapsed="false">
      <c r="A40" s="10" t="s">
        <v>625</v>
      </c>
      <c r="B40" s="9" t="s">
        <v>44</v>
      </c>
      <c r="C40" s="43" t="n">
        <f aca="false">C39*Assumptions!$D$41*C37</f>
        <v>0</v>
      </c>
      <c r="D40" s="43" t="n">
        <f aca="false">D39*Assumptions!$D$41*D37</f>
        <v>0</v>
      </c>
      <c r="E40" s="43" t="n">
        <f aca="false">E39*Assumptions!$D$41*E37</f>
        <v>0</v>
      </c>
      <c r="F40" s="43" t="n">
        <f aca="false">F39*Assumptions!$D$41*F37</f>
        <v>0</v>
      </c>
      <c r="G40" s="43" t="n">
        <f aca="false">G39*Assumptions!$D$41*G37</f>
        <v>0</v>
      </c>
      <c r="H40" s="43" t="n">
        <f aca="false">H39*Assumptions!$D$41*H37</f>
        <v>0</v>
      </c>
      <c r="I40" s="43" t="n">
        <f aca="false">I39*Assumptions!$D$41*I37</f>
        <v>0</v>
      </c>
      <c r="J40" s="43" t="n">
        <f aca="false">J39*Assumptions!$D$41*J37</f>
        <v>0</v>
      </c>
      <c r="K40" s="43" t="n">
        <f aca="false">K39*Assumptions!$D$41*K37</f>
        <v>8.12118543470192</v>
      </c>
      <c r="L40" s="43" t="n">
        <f aca="false">L39*Assumptions!$D$41*L37</f>
        <v>8.49000597422981</v>
      </c>
      <c r="M40" s="43" t="n">
        <f aca="false">M39*Assumptions!$D$41*M37</f>
        <v>8.91812475566802</v>
      </c>
      <c r="N40" s="43" t="n">
        <f aca="false">N39*Assumptions!$D$41*N37</f>
        <v>9.39833605419338</v>
      </c>
      <c r="O40" s="43" t="n">
        <f aca="false">O39*Assumptions!$D$41*O37</f>
        <v>9.92535206739736</v>
      </c>
      <c r="P40" s="43" t="n">
        <f aca="false">P39*Assumptions!$D$41*P37</f>
        <v>10.4954912699437</v>
      </c>
      <c r="Q40" s="43" t="n">
        <f aca="false">Q39*Assumptions!$D$41*Q37</f>
        <v>11.1064055058714</v>
      </c>
      <c r="R40" s="43" t="n">
        <f aca="false">R39*Assumptions!$D$41*R37</f>
        <v>11.7568495973558</v>
      </c>
      <c r="S40" s="43" t="n">
        <f aca="false">S39*Assumptions!$D$41*S37</f>
        <v>12.4464921677507</v>
      </c>
      <c r="T40" s="43" t="n">
        <f aca="false">T39*Assumptions!$D$41*T37</f>
        <v>13.1757638497575</v>
      </c>
      <c r="U40" s="43" t="n">
        <f aca="false">U39*Assumptions!$D$41*U37</f>
        <v>13.9457380450422</v>
      </c>
      <c r="V40" s="43" t="n">
        <f aca="false">V39*Assumptions!$D$41*V37</f>
        <v>14.7580392654406</v>
      </c>
      <c r="W40" s="43" t="n">
        <f aca="false">W39*Assumptions!$D$41*W37</f>
        <v>15.6147744109101</v>
      </c>
      <c r="X40" s="43" t="n">
        <f aca="false">X39*Assumptions!$D$41*X37</f>
        <v>16.5184828784175</v>
      </c>
      <c r="Y40" s="43" t="n">
        <f aca="false">Y39*Assumptions!$D$41*Y37</f>
        <v>17.4721020040858</v>
      </c>
      <c r="Z40" s="43" t="n">
        <f aca="false">Z39*Assumptions!$D$41*Z37</f>
        <v>18.4789449376654</v>
      </c>
      <c r="AA40" s="43" t="n">
        <f aca="false">AA39*Assumptions!$D$41*AA37</f>
        <v>19.5426885929301</v>
      </c>
      <c r="AB40" s="43" t="n">
        <f aca="false">AB39*Assumptions!$D$41*AB37</f>
        <v>20.6673697928956</v>
      </c>
      <c r="AC40" s="43" t="n">
        <f aca="false">AC39*Assumptions!$D$41*AC37</f>
        <v>21.8573881314523</v>
      </c>
      <c r="AD40" s="43" t="n">
        <f aca="false">AD39*Assumptions!$D$41*AD37</f>
        <v>23.1175144070829</v>
      </c>
      <c r="AE40" s="43" t="n">
        <f aca="false">AE39*Assumptions!$D$41*AE37</f>
        <v>24.4529037572707</v>
      </c>
      <c r="AF40" s="43" t="n">
        <f aca="false">AF39*Assumptions!$D$41*AF37</f>
        <v>25.8691128427261</v>
      </c>
      <c r="AG40" s="43" t="n">
        <f aca="false">AG39*Assumptions!$D$41*AG37</f>
        <v>27.3721206073243</v>
      </c>
      <c r="AH40" s="43" t="n">
        <f aca="false">AH39*Assumptions!$D$41*AH37</f>
        <v>28.9683522806392</v>
      </c>
      <c r="AI40" s="43" t="n">
        <f aca="false">AI39*Assumptions!$D$41*AI37</f>
        <v>30.6647064021566</v>
      </c>
      <c r="AJ40" s="43" t="n">
        <f aca="false">AJ39*Assumptions!$D$41*AJ37</f>
        <v>32.4685847355972</v>
      </c>
      <c r="AK40" s="43" t="n">
        <f aca="false">AK39*Assumptions!$D$41*AK37</f>
        <v>34.387925013188</v>
      </c>
      <c r="AL40" s="43" t="n">
        <f aca="false">AL39*Assumptions!$D$41*AL37</f>
        <v>36.521212136811</v>
      </c>
      <c r="AM40" s="43" t="n">
        <f aca="false">SUM(C40:AL40)</f>
        <v>526.511966918505</v>
      </c>
    </row>
    <row r="41" customFormat="false" ht="15" hidden="false" customHeight="false" outlineLevel="0" collapsed="false">
      <c r="A41" s="10" t="s">
        <v>626</v>
      </c>
      <c r="B41" s="9" t="s">
        <v>44</v>
      </c>
      <c r="C41" s="43" t="n">
        <f aca="false">C40*Assumptions!$D$45</f>
        <v>0</v>
      </c>
      <c r="D41" s="43" t="n">
        <f aca="false">D40*Assumptions!$D$45</f>
        <v>0</v>
      </c>
      <c r="E41" s="43" t="n">
        <f aca="false">E40*Assumptions!$D$45</f>
        <v>0</v>
      </c>
      <c r="F41" s="43" t="n">
        <f aca="false">F40*Assumptions!$D$45</f>
        <v>0</v>
      </c>
      <c r="G41" s="43" t="n">
        <f aca="false">G40*Assumptions!$D$45</f>
        <v>0</v>
      </c>
      <c r="H41" s="43" t="n">
        <f aca="false">H40*Assumptions!$D$45</f>
        <v>0</v>
      </c>
      <c r="I41" s="43" t="n">
        <f aca="false">I40*Assumptions!$D$45</f>
        <v>0</v>
      </c>
      <c r="J41" s="43" t="n">
        <f aca="false">J40*Assumptions!$D$45</f>
        <v>0</v>
      </c>
      <c r="K41" s="43" t="n">
        <f aca="false">K40*Assumptions!$D$45</f>
        <v>3.89816900865692</v>
      </c>
      <c r="L41" s="43" t="n">
        <f aca="false">L40*Assumptions!$D$45</f>
        <v>4.07520286763031</v>
      </c>
      <c r="M41" s="43" t="n">
        <f aca="false">M40*Assumptions!$D$45</f>
        <v>4.28069988272065</v>
      </c>
      <c r="N41" s="43" t="n">
        <f aca="false">N40*Assumptions!$D$45</f>
        <v>4.51120130601282</v>
      </c>
      <c r="O41" s="43" t="n">
        <f aca="false">O40*Assumptions!$D$45</f>
        <v>4.76416899235073</v>
      </c>
      <c r="P41" s="43" t="n">
        <f aca="false">P40*Assumptions!$D$45</f>
        <v>5.03783580957299</v>
      </c>
      <c r="Q41" s="43" t="n">
        <f aca="false">Q40*Assumptions!$D$45</f>
        <v>5.33107464281826</v>
      </c>
      <c r="R41" s="43" t="n">
        <f aca="false">R40*Assumptions!$D$45</f>
        <v>5.64328780673076</v>
      </c>
      <c r="S41" s="43" t="n">
        <f aca="false">S40*Assumptions!$D$45</f>
        <v>5.97431624052034</v>
      </c>
      <c r="T41" s="43" t="n">
        <f aca="false">T40*Assumptions!$D$45</f>
        <v>6.3243666478836</v>
      </c>
      <c r="U41" s="43" t="n">
        <f aca="false">U40*Assumptions!$D$45</f>
        <v>6.69395426162026</v>
      </c>
      <c r="V41" s="43" t="n">
        <f aca="false">V40*Assumptions!$D$45</f>
        <v>7.08385884741147</v>
      </c>
      <c r="W41" s="43" t="n">
        <f aca="false">W40*Assumptions!$D$45</f>
        <v>7.49509171723683</v>
      </c>
      <c r="X41" s="43" t="n">
        <f aca="false">X40*Assumptions!$D$45</f>
        <v>7.9288717816404</v>
      </c>
      <c r="Y41" s="43" t="n">
        <f aca="false">Y40*Assumptions!$D$45</f>
        <v>8.38660896196117</v>
      </c>
      <c r="Z41" s="43" t="n">
        <f aca="false">Z40*Assumptions!$D$45</f>
        <v>8.86989357007938</v>
      </c>
      <c r="AA41" s="43" t="n">
        <f aca="false">AA40*Assumptions!$D$45</f>
        <v>9.38049052460647</v>
      </c>
      <c r="AB41" s="43" t="n">
        <f aca="false">AB40*Assumptions!$D$45</f>
        <v>9.92033750058988</v>
      </c>
      <c r="AC41" s="43" t="n">
        <f aca="false">AC40*Assumptions!$D$45</f>
        <v>10.4915463030971</v>
      </c>
      <c r="AD41" s="43" t="n">
        <f aca="false">AD40*Assumptions!$D$45</f>
        <v>11.0964069153998</v>
      </c>
      <c r="AE41" s="43" t="n">
        <f aca="false">AE40*Assumptions!$D$45</f>
        <v>11.7373938034899</v>
      </c>
      <c r="AF41" s="43" t="n">
        <f aca="false">AF40*Assumptions!$D$45</f>
        <v>12.4171741645085</v>
      </c>
      <c r="AG41" s="43" t="n">
        <f aca="false">AG40*Assumptions!$D$45</f>
        <v>13.1386178915157</v>
      </c>
      <c r="AH41" s="43" t="n">
        <f aca="false">AH40*Assumptions!$D$45</f>
        <v>13.9048090947068</v>
      </c>
      <c r="AI41" s="43" t="n">
        <f aca="false">AI40*Assumptions!$D$45</f>
        <v>14.7190590730351</v>
      </c>
      <c r="AJ41" s="43" t="n">
        <f aca="false">AJ40*Assumptions!$D$45</f>
        <v>15.5849206730866</v>
      </c>
      <c r="AK41" s="43" t="n">
        <f aca="false">AK40*Assumptions!$D$45</f>
        <v>16.5062040063302</v>
      </c>
      <c r="AL41" s="43" t="n">
        <f aca="false">AL40*Assumptions!$D$45</f>
        <v>17.5301818256693</v>
      </c>
      <c r="AM41" s="43" t="n">
        <f aca="false">SUM(C41:AL41)</f>
        <v>252.725744120882</v>
      </c>
    </row>
    <row r="42" customFormat="false" ht="15" hidden="false" customHeight="false" outlineLevel="0" collapsed="false">
      <c r="A42" s="10" t="s">
        <v>627</v>
      </c>
      <c r="B42" s="9" t="s">
        <v>44</v>
      </c>
      <c r="C42" s="43" t="n">
        <f aca="false">C41*Assumptions!$D$46</f>
        <v>0</v>
      </c>
      <c r="D42" s="43" t="n">
        <f aca="false">D41*Assumptions!$D$46</f>
        <v>0</v>
      </c>
      <c r="E42" s="43" t="n">
        <f aca="false">E41*Assumptions!$D$46</f>
        <v>0</v>
      </c>
      <c r="F42" s="43" t="n">
        <f aca="false">F41*Assumptions!$D$46</f>
        <v>0</v>
      </c>
      <c r="G42" s="43" t="n">
        <f aca="false">G41*Assumptions!$D$46</f>
        <v>0</v>
      </c>
      <c r="H42" s="43" t="n">
        <f aca="false">H41*Assumptions!$D$46</f>
        <v>0</v>
      </c>
      <c r="I42" s="43" t="n">
        <f aca="false">I41*Assumptions!$D$46</f>
        <v>0</v>
      </c>
      <c r="J42" s="43" t="n">
        <f aca="false">J41*Assumptions!$D$46</f>
        <v>0</v>
      </c>
      <c r="K42" s="43" t="n">
        <f aca="false">K41*Assumptions!$D$46</f>
        <v>2.96260844657926</v>
      </c>
      <c r="L42" s="43" t="n">
        <f aca="false">L41*Assumptions!$D$46</f>
        <v>3.09715417939903</v>
      </c>
      <c r="M42" s="43" t="n">
        <f aca="false">M41*Assumptions!$D$46</f>
        <v>3.25333191086769</v>
      </c>
      <c r="N42" s="43" t="n">
        <f aca="false">N41*Assumptions!$D$46</f>
        <v>3.42851299256974</v>
      </c>
      <c r="O42" s="43" t="n">
        <f aca="false">O41*Assumptions!$D$46</f>
        <v>3.62076843418656</v>
      </c>
      <c r="P42" s="43" t="n">
        <f aca="false">P41*Assumptions!$D$46</f>
        <v>3.82875521527547</v>
      </c>
      <c r="Q42" s="43" t="n">
        <f aca="false">Q41*Assumptions!$D$46</f>
        <v>4.05161672854187</v>
      </c>
      <c r="R42" s="43" t="n">
        <f aca="false">R41*Assumptions!$D$46</f>
        <v>4.28889873311538</v>
      </c>
      <c r="S42" s="43" t="n">
        <f aca="false">S41*Assumptions!$D$46</f>
        <v>4.54048034279546</v>
      </c>
      <c r="T42" s="43" t="n">
        <f aca="false">T41*Assumptions!$D$46</f>
        <v>4.80651865239154</v>
      </c>
      <c r="U42" s="43" t="n">
        <f aca="false">U41*Assumptions!$D$46</f>
        <v>5.0874052388314</v>
      </c>
      <c r="V42" s="43" t="n">
        <f aca="false">V41*Assumptions!$D$46</f>
        <v>5.38373272403272</v>
      </c>
      <c r="W42" s="43" t="n">
        <f aca="false">W41*Assumptions!$D$46</f>
        <v>5.69626970509999</v>
      </c>
      <c r="X42" s="43" t="n">
        <f aca="false">X41*Assumptions!$D$46</f>
        <v>6.0259425540467</v>
      </c>
      <c r="Y42" s="43" t="n">
        <f aca="false">Y41*Assumptions!$D$46</f>
        <v>6.37382281109049</v>
      </c>
      <c r="Z42" s="43" t="n">
        <f aca="false">Z41*Assumptions!$D$46</f>
        <v>6.74111911326033</v>
      </c>
      <c r="AA42" s="43" t="n">
        <f aca="false">AA41*Assumptions!$D$46</f>
        <v>7.12917279870091</v>
      </c>
      <c r="AB42" s="43" t="n">
        <f aca="false">AB41*Assumptions!$D$46</f>
        <v>7.53945650044831</v>
      </c>
      <c r="AC42" s="43" t="n">
        <f aca="false">AC41*Assumptions!$D$46</f>
        <v>7.97357519035379</v>
      </c>
      <c r="AD42" s="43" t="n">
        <f aca="false">AD41*Assumptions!$D$46</f>
        <v>8.43326925570382</v>
      </c>
      <c r="AE42" s="43" t="n">
        <f aca="false">AE41*Assumptions!$D$46</f>
        <v>8.92041929065234</v>
      </c>
      <c r="AF42" s="43" t="n">
        <f aca="false">AF41*Assumptions!$D$46</f>
        <v>9.43705236502647</v>
      </c>
      <c r="AG42" s="43" t="n">
        <f aca="false">AG41*Assumptions!$D$46</f>
        <v>9.98534959755192</v>
      </c>
      <c r="AH42" s="43" t="n">
        <f aca="false">AH41*Assumptions!$D$46</f>
        <v>10.5676549119772</v>
      </c>
      <c r="AI42" s="43" t="n">
        <f aca="false">AI41*Assumptions!$D$46</f>
        <v>11.1864848955067</v>
      </c>
      <c r="AJ42" s="43" t="n">
        <f aca="false">AJ41*Assumptions!$D$46</f>
        <v>11.8445397115458</v>
      </c>
      <c r="AK42" s="43" t="n">
        <f aca="false">AK41*Assumptions!$D$46</f>
        <v>12.544715044811</v>
      </c>
      <c r="AL42" s="43" t="n">
        <f aca="false">AL41*Assumptions!$D$46</f>
        <v>13.3229381875087</v>
      </c>
      <c r="AM42" s="43" t="n">
        <f aca="false">SUM(C42:AL42)</f>
        <v>192.071565531871</v>
      </c>
    </row>
    <row r="43" customFormat="false" ht="15" hidden="false" customHeight="false" outlineLevel="0" collapsed="false">
      <c r="A43" s="10" t="s">
        <v>628</v>
      </c>
      <c r="B43" s="9" t="s">
        <v>44</v>
      </c>
      <c r="C43" s="43" t="n">
        <f aca="false">C42*Assumptions!$D$47</f>
        <v>0</v>
      </c>
      <c r="D43" s="43" t="n">
        <f aca="false">D42*Assumptions!$D$47</f>
        <v>0</v>
      </c>
      <c r="E43" s="43" t="n">
        <f aca="false">E42*Assumptions!$D$47</f>
        <v>0</v>
      </c>
      <c r="F43" s="43" t="n">
        <f aca="false">F42*Assumptions!$D$47</f>
        <v>0</v>
      </c>
      <c r="G43" s="43" t="n">
        <f aca="false">G42*Assumptions!$D$47</f>
        <v>0</v>
      </c>
      <c r="H43" s="43" t="n">
        <f aca="false">H42*Assumptions!$D$47</f>
        <v>0</v>
      </c>
      <c r="I43" s="43" t="n">
        <f aca="false">I42*Assumptions!$D$47</f>
        <v>0</v>
      </c>
      <c r="J43" s="43" t="n">
        <f aca="false">J42*Assumptions!$D$47</f>
        <v>0</v>
      </c>
      <c r="K43" s="43" t="n">
        <f aca="false">K42*Assumptions!$D$47</f>
        <v>1.62943464561859</v>
      </c>
      <c r="L43" s="43" t="n">
        <f aca="false">L42*Assumptions!$D$47</f>
        <v>1.70343479866947</v>
      </c>
      <c r="M43" s="43" t="n">
        <f aca="false">M42*Assumptions!$D$47</f>
        <v>1.78933255097723</v>
      </c>
      <c r="N43" s="43" t="n">
        <f aca="false">N42*Assumptions!$D$47</f>
        <v>1.88568214591336</v>
      </c>
      <c r="O43" s="43" t="n">
        <f aca="false">O42*Assumptions!$D$47</f>
        <v>1.99142263880261</v>
      </c>
      <c r="P43" s="43" t="n">
        <f aca="false">P42*Assumptions!$D$47</f>
        <v>2.10581536840151</v>
      </c>
      <c r="Q43" s="43" t="n">
        <f aca="false">Q42*Assumptions!$D$47</f>
        <v>2.22838920069803</v>
      </c>
      <c r="R43" s="43" t="n">
        <f aca="false">R42*Assumptions!$D$47</f>
        <v>2.35889430321346</v>
      </c>
      <c r="S43" s="43" t="n">
        <f aca="false">S42*Assumptions!$D$47</f>
        <v>2.4972641885375</v>
      </c>
      <c r="T43" s="43" t="n">
        <f aca="false">T42*Assumptions!$D$47</f>
        <v>2.64358525881534</v>
      </c>
      <c r="U43" s="43" t="n">
        <f aca="false">U42*Assumptions!$D$47</f>
        <v>2.79807288135727</v>
      </c>
      <c r="V43" s="43" t="n">
        <f aca="false">V42*Assumptions!$D$47</f>
        <v>2.96105299821799</v>
      </c>
      <c r="W43" s="43" t="n">
        <f aca="false">W42*Assumptions!$D$47</f>
        <v>3.13294833780499</v>
      </c>
      <c r="X43" s="43" t="n">
        <f aca="false">X42*Assumptions!$D$47</f>
        <v>3.31426840472569</v>
      </c>
      <c r="Y43" s="43" t="n">
        <f aca="false">Y42*Assumptions!$D$47</f>
        <v>3.50560254609977</v>
      </c>
      <c r="Z43" s="43" t="n">
        <f aca="false">Z42*Assumptions!$D$47</f>
        <v>3.70761551229318</v>
      </c>
      <c r="AA43" s="43" t="n">
        <f aca="false">AA42*Assumptions!$D$47</f>
        <v>3.9210450392855</v>
      </c>
      <c r="AB43" s="43" t="n">
        <f aca="false">AB42*Assumptions!$D$47</f>
        <v>4.14670107524657</v>
      </c>
      <c r="AC43" s="43" t="n">
        <f aca="false">AC42*Assumptions!$D$47</f>
        <v>4.38546635469459</v>
      </c>
      <c r="AD43" s="43" t="n">
        <f aca="false">AD42*Assumptions!$D$47</f>
        <v>4.6382980906371</v>
      </c>
      <c r="AE43" s="43" t="n">
        <f aca="false">AE42*Assumptions!$D$47</f>
        <v>4.90623060985879</v>
      </c>
      <c r="AF43" s="43" t="n">
        <f aca="false">AF42*Assumptions!$D$47</f>
        <v>5.19037880076456</v>
      </c>
      <c r="AG43" s="43" t="n">
        <f aca="false">AG42*Assumptions!$D$47</f>
        <v>5.49194227865355</v>
      </c>
      <c r="AH43" s="43" t="n">
        <f aca="false">AH42*Assumptions!$D$47</f>
        <v>5.81221020158744</v>
      </c>
      <c r="AI43" s="43" t="n">
        <f aca="false">AI42*Assumptions!$D$47</f>
        <v>6.15256669252869</v>
      </c>
      <c r="AJ43" s="43" t="n">
        <f aca="false">AJ42*Assumptions!$D$47</f>
        <v>6.51449684135022</v>
      </c>
      <c r="AK43" s="43" t="n">
        <f aca="false">AK42*Assumptions!$D$47</f>
        <v>6.89959327464604</v>
      </c>
      <c r="AL43" s="43" t="n">
        <f aca="false">AL42*Assumptions!$D$47</f>
        <v>7.32761600312977</v>
      </c>
      <c r="AM43" s="43" t="n">
        <f aca="false">SUM(C43:AL43)</f>
        <v>105.639361042529</v>
      </c>
    </row>
    <row r="44" customFormat="false" ht="15" hidden="false" customHeight="false" outlineLevel="0" collapsed="false">
      <c r="A44" s="10" t="s">
        <v>629</v>
      </c>
      <c r="B44" s="9" t="s">
        <v>44</v>
      </c>
      <c r="C44" s="43" t="n">
        <f aca="false">C43*Assumptions!$D$48</f>
        <v>0</v>
      </c>
      <c r="D44" s="43" t="n">
        <f aca="false">D43*Assumptions!$D$48</f>
        <v>0</v>
      </c>
      <c r="E44" s="43" t="n">
        <f aca="false">E43*Assumptions!$D$48</f>
        <v>0</v>
      </c>
      <c r="F44" s="43" t="n">
        <f aca="false">F43*Assumptions!$D$48</f>
        <v>0</v>
      </c>
      <c r="G44" s="43" t="n">
        <f aca="false">G43*Assumptions!$D$48</f>
        <v>0</v>
      </c>
      <c r="H44" s="43" t="n">
        <f aca="false">H43*Assumptions!$D$48</f>
        <v>0</v>
      </c>
      <c r="I44" s="43" t="n">
        <f aca="false">I43*Assumptions!$D$48</f>
        <v>0</v>
      </c>
      <c r="J44" s="43" t="n">
        <f aca="false">J43*Assumptions!$D$48</f>
        <v>0</v>
      </c>
      <c r="K44" s="43" t="n">
        <f aca="false">K43*Assumptions!$D$48</f>
        <v>0.945072094458785</v>
      </c>
      <c r="L44" s="43" t="n">
        <f aca="false">L43*Assumptions!$D$48</f>
        <v>0.987992183228292</v>
      </c>
      <c r="M44" s="43" t="n">
        <f aca="false">M43*Assumptions!$D$48</f>
        <v>1.03781287956679</v>
      </c>
      <c r="N44" s="43" t="n">
        <f aca="false">N43*Assumptions!$D$48</f>
        <v>1.09369564462975</v>
      </c>
      <c r="O44" s="43" t="n">
        <f aca="false">O43*Assumptions!$D$48</f>
        <v>1.15502513050551</v>
      </c>
      <c r="P44" s="43" t="n">
        <f aca="false">P43*Assumptions!$D$48</f>
        <v>1.22137291367288</v>
      </c>
      <c r="Q44" s="43" t="n">
        <f aca="false">Q43*Assumptions!$D$48</f>
        <v>1.29246573640486</v>
      </c>
      <c r="R44" s="43" t="n">
        <f aca="false">R43*Assumptions!$D$48</f>
        <v>1.36815869586381</v>
      </c>
      <c r="S44" s="43" t="n">
        <f aca="false">S43*Assumptions!$D$48</f>
        <v>1.44841322935175</v>
      </c>
      <c r="T44" s="43" t="n">
        <f aca="false">T43*Assumptions!$D$48</f>
        <v>1.5332794501129</v>
      </c>
      <c r="U44" s="43" t="n">
        <f aca="false">U43*Assumptions!$D$48</f>
        <v>1.62288227118722</v>
      </c>
      <c r="V44" s="43" t="n">
        <f aca="false">V43*Assumptions!$D$48</f>
        <v>1.71741073896644</v>
      </c>
      <c r="W44" s="43" t="n">
        <f aca="false">W43*Assumptions!$D$48</f>
        <v>1.8171100359269</v>
      </c>
      <c r="X44" s="43" t="n">
        <f aca="false">X43*Assumptions!$D$48</f>
        <v>1.9222756747409</v>
      </c>
      <c r="Y44" s="43" t="n">
        <f aca="false">Y43*Assumptions!$D$48</f>
        <v>2.03324947673787</v>
      </c>
      <c r="Z44" s="43" t="n">
        <f aca="false">Z43*Assumptions!$D$48</f>
        <v>2.15041699713004</v>
      </c>
      <c r="AA44" s="43" t="n">
        <f aca="false">AA43*Assumptions!$D$48</f>
        <v>2.27420612278559</v>
      </c>
      <c r="AB44" s="43" t="n">
        <f aca="false">AB43*Assumptions!$D$48</f>
        <v>2.40508662364301</v>
      </c>
      <c r="AC44" s="43" t="n">
        <f aca="false">AC43*Assumptions!$D$48</f>
        <v>2.54357048572286</v>
      </c>
      <c r="AD44" s="43" t="n">
        <f aca="false">AD43*Assumptions!$D$48</f>
        <v>2.69021289256952</v>
      </c>
      <c r="AE44" s="43" t="n">
        <f aca="false">AE43*Assumptions!$D$48</f>
        <v>2.8456137537181</v>
      </c>
      <c r="AF44" s="43" t="n">
        <f aca="false">AF43*Assumptions!$D$48</f>
        <v>3.01041970444345</v>
      </c>
      <c r="AG44" s="43" t="n">
        <f aca="false">AG43*Assumptions!$D$48</f>
        <v>3.18532652161906</v>
      </c>
      <c r="AH44" s="43" t="n">
        <f aca="false">AH43*Assumptions!$D$48</f>
        <v>3.37108191692072</v>
      </c>
      <c r="AI44" s="43" t="n">
        <f aca="false">AI43*Assumptions!$D$48</f>
        <v>3.56848868166664</v>
      </c>
      <c r="AJ44" s="43" t="n">
        <f aca="false">AJ43*Assumptions!$D$48</f>
        <v>3.77840816798312</v>
      </c>
      <c r="AK44" s="43" t="n">
        <f aca="false">AK43*Assumptions!$D$48</f>
        <v>4.0017640992947</v>
      </c>
      <c r="AL44" s="43" t="n">
        <f aca="false">AL43*Assumptions!$D$48</f>
        <v>4.25001728181526</v>
      </c>
      <c r="AM44" s="43" t="n">
        <f aca="false">SUM(C44:AL44)</f>
        <v>61.2708294046667</v>
      </c>
    </row>
    <row r="45" customFormat="false" ht="15" hidden="false" customHeight="false" outlineLevel="0" collapsed="false">
      <c r="A45" s="26" t="s">
        <v>630</v>
      </c>
      <c r="B45" s="9" t="s">
        <v>44</v>
      </c>
      <c r="C45" s="52" t="n">
        <f aca="false">C44</f>
        <v>0</v>
      </c>
      <c r="D45" s="52" t="n">
        <f aca="false">C45*(1-Assumptions!$D$49)+D44</f>
        <v>0</v>
      </c>
      <c r="E45" s="52" t="n">
        <f aca="false">D45*(1-Assumptions!$D$49)+E44</f>
        <v>0</v>
      </c>
      <c r="F45" s="52" t="n">
        <f aca="false">E45*(1-Assumptions!$D$49)+F44</f>
        <v>0</v>
      </c>
      <c r="G45" s="52" t="n">
        <f aca="false">F45*(1-Assumptions!$D$49)+G44</f>
        <v>0</v>
      </c>
      <c r="H45" s="52" t="n">
        <f aca="false">G45*(1-Assumptions!$D$49)+H44</f>
        <v>0</v>
      </c>
      <c r="I45" s="52" t="n">
        <f aca="false">H45*(1-Assumptions!$D$49)+I44</f>
        <v>0</v>
      </c>
      <c r="J45" s="52" t="n">
        <f aca="false">I45*(1-Assumptions!$D$49)+J44</f>
        <v>0</v>
      </c>
      <c r="K45" s="52" t="n">
        <f aca="false">J45*(1-Assumptions!$D$49)+K44</f>
        <v>0.945072094458785</v>
      </c>
      <c r="L45" s="52" t="n">
        <f aca="false">K45*(1-Assumptions!$D$49)+L44</f>
        <v>1.81020490540743</v>
      </c>
      <c r="M45" s="52" t="n">
        <f aca="false">L45*(1-Assumptions!$D$49)+M44</f>
        <v>2.61269114727126</v>
      </c>
      <c r="N45" s="52" t="n">
        <f aca="false">M45*(1-Assumptions!$D$49)+N44</f>
        <v>3.36673694275575</v>
      </c>
      <c r="O45" s="52" t="n">
        <f aca="false">N45*(1-Assumptions!$D$49)+O44</f>
        <v>4.08408627070301</v>
      </c>
      <c r="P45" s="52" t="n">
        <f aca="false">O45*(1-Assumptions!$D$49)+P44</f>
        <v>4.7745279691845</v>
      </c>
      <c r="Q45" s="52" t="n">
        <f aca="false">P45*(1-Assumptions!$D$49)+Q44</f>
        <v>5.44630506959537</v>
      </c>
      <c r="R45" s="52" t="n">
        <f aca="false">Q45*(1-Assumptions!$D$49)+R44</f>
        <v>6.10644410641178</v>
      </c>
      <c r="S45" s="52" t="n">
        <f aca="false">R45*(1-Assumptions!$D$49)+S44</f>
        <v>6.76101960193</v>
      </c>
      <c r="T45" s="52" t="n">
        <f aca="false">S45*(1-Assumptions!$D$49)+T44</f>
        <v>7.415366503792</v>
      </c>
      <c r="U45" s="52" t="n">
        <f aca="false">T45*(1-Assumptions!$D$49)+U44</f>
        <v>8.07425112948626</v>
      </c>
      <c r="V45" s="52" t="n">
        <f aca="false">U45*(1-Assumptions!$D$49)+V44</f>
        <v>8.74200922161948</v>
      </c>
      <c r="W45" s="52" t="n">
        <f aca="false">V45*(1-Assumptions!$D$49)+W44</f>
        <v>9.42265805873584</v>
      </c>
      <c r="X45" s="52" t="n">
        <f aca="false">W45*(1-Assumptions!$D$49)+X44</f>
        <v>10.1199881858411</v>
      </c>
      <c r="Y45" s="52" t="n">
        <f aca="false">X45*(1-Assumptions!$D$49)+Y44</f>
        <v>10.8376391984196</v>
      </c>
      <c r="Z45" s="52" t="n">
        <f aca="false">Y45*(1-Assumptions!$D$49)+Z44</f>
        <v>11.5791630997551</v>
      </c>
      <c r="AA45" s="52" t="n">
        <f aca="false">Z45*(1-Assumptions!$D$49)+AA44</f>
        <v>12.3480780195725</v>
      </c>
      <c r="AB45" s="52" t="n">
        <f aca="false">AA45*(1-Assumptions!$D$49)+AB44</f>
        <v>13.1479145006711</v>
      </c>
      <c r="AC45" s="52" t="n">
        <f aca="false">AB45*(1-Assumptions!$D$49)+AC44</f>
        <v>13.9822561013067</v>
      </c>
      <c r="AD45" s="52" t="n">
        <f aca="false">AC45*(1-Assumptions!$D$49)+AD44</f>
        <v>14.8547757007064</v>
      </c>
      <c r="AE45" s="52" t="n">
        <f aca="false">AD45*(1-Assumptions!$D$49)+AE44</f>
        <v>15.7692686133326</v>
      </c>
      <c r="AF45" s="52" t="n">
        <f aca="false">AE45*(1-Assumptions!$D$49)+AF44</f>
        <v>16.7296833980428</v>
      </c>
      <c r="AG45" s="52" t="n">
        <f aca="false">AF45*(1-Assumptions!$D$49)+AG44</f>
        <v>17.7401510779163</v>
      </c>
      <c r="AH45" s="52" t="n">
        <f aca="false">AG45*(1-Assumptions!$D$49)+AH44</f>
        <v>18.8050133547079</v>
      </c>
      <c r="AI45" s="52" t="n">
        <f aca="false">AH45*(1-Assumptions!$D$49)+AI44</f>
        <v>19.9288503002625</v>
      </c>
      <c r="AJ45" s="52" t="n">
        <f aca="false">AI45*(1-Assumptions!$D$49)+AJ44</f>
        <v>21.1165079292115</v>
      </c>
      <c r="AK45" s="52" t="n">
        <f aca="false">AJ45*(1-Assumptions!$D$49)+AK44</f>
        <v>22.3731259977087</v>
      </c>
      <c r="AL45" s="52" t="n">
        <f aca="false">AK45*(1-Assumptions!$D$49)+AL44</f>
        <v>23.7146368998219</v>
      </c>
      <c r="AM45" s="52" t="n">
        <f aca="false">AL45</f>
        <v>23.7146368998219</v>
      </c>
    </row>
    <row r="46" customFormat="false" ht="15" hidden="false" customHeight="false" outlineLevel="0" collapsed="false">
      <c r="A46" s="10" t="s">
        <v>631</v>
      </c>
      <c r="B46" s="9" t="s">
        <v>44</v>
      </c>
      <c r="C46" s="43" t="n">
        <f aca="false">0</f>
        <v>0</v>
      </c>
      <c r="D46" s="43" t="n">
        <f aca="false">C45*Assumptions!$D$49</f>
        <v>0</v>
      </c>
      <c r="E46" s="43" t="n">
        <f aca="false">D45*Assumptions!$D$49</f>
        <v>0</v>
      </c>
      <c r="F46" s="43" t="n">
        <f aca="false">E45*Assumptions!$D$49</f>
        <v>0</v>
      </c>
      <c r="G46" s="43" t="n">
        <f aca="false">F45*Assumptions!$D$49</f>
        <v>0</v>
      </c>
      <c r="H46" s="43" t="n">
        <f aca="false">G45*Assumptions!$D$49</f>
        <v>0</v>
      </c>
      <c r="I46" s="43" t="n">
        <f aca="false">H45*Assumptions!$D$49</f>
        <v>0</v>
      </c>
      <c r="J46" s="43" t="n">
        <f aca="false">I45*Assumptions!$D$49</f>
        <v>0</v>
      </c>
      <c r="K46" s="43" t="n">
        <f aca="false">J45*Assumptions!$D$49</f>
        <v>0</v>
      </c>
      <c r="L46" s="43" t="n">
        <f aca="false">K45*Assumptions!$D$49</f>
        <v>0.122859372279642</v>
      </c>
      <c r="M46" s="43" t="n">
        <f aca="false">L45*Assumptions!$D$49</f>
        <v>0.235326637702967</v>
      </c>
      <c r="N46" s="43" t="n">
        <f aca="false">M45*Assumptions!$D$49</f>
        <v>0.339649849145264</v>
      </c>
      <c r="O46" s="43" t="n">
        <f aca="false">N45*Assumptions!$D$49</f>
        <v>0.437675802558247</v>
      </c>
      <c r="P46" s="43" t="n">
        <f aca="false">O45*Assumptions!$D$49</f>
        <v>0.530931215191392</v>
      </c>
      <c r="Q46" s="43" t="n">
        <f aca="false">P45*Assumptions!$D$49</f>
        <v>0.620688635993984</v>
      </c>
      <c r="R46" s="43" t="n">
        <f aca="false">Q45*Assumptions!$D$49</f>
        <v>0.708019659047398</v>
      </c>
      <c r="S46" s="43" t="n">
        <f aca="false">R45*Assumptions!$D$49</f>
        <v>0.793837733833531</v>
      </c>
      <c r="T46" s="43" t="n">
        <f aca="false">S45*Assumptions!$D$49</f>
        <v>0.8789325482509</v>
      </c>
      <c r="U46" s="43" t="n">
        <f aca="false">T45*Assumptions!$D$49</f>
        <v>0.96399764549296</v>
      </c>
      <c r="V46" s="43" t="n">
        <f aca="false">U45*Assumptions!$D$49</f>
        <v>1.04965264683321</v>
      </c>
      <c r="W46" s="43" t="n">
        <f aca="false">V45*Assumptions!$D$49</f>
        <v>1.13646119881053</v>
      </c>
      <c r="X46" s="43" t="n">
        <f aca="false">W45*Assumptions!$D$49</f>
        <v>1.22494554763566</v>
      </c>
      <c r="Y46" s="43" t="n">
        <f aca="false">X45*Assumptions!$D$49</f>
        <v>1.31559846415934</v>
      </c>
      <c r="Z46" s="43" t="n">
        <f aca="false">Y45*Assumptions!$D$49</f>
        <v>1.40889309579455</v>
      </c>
      <c r="AA46" s="43" t="n">
        <f aca="false">Z45*Assumptions!$D$49</f>
        <v>1.50529120296816</v>
      </c>
      <c r="AB46" s="43" t="n">
        <f aca="false">AA45*Assumptions!$D$49</f>
        <v>1.60525014254443</v>
      </c>
      <c r="AC46" s="43" t="n">
        <f aca="false">AB45*Assumptions!$D$49</f>
        <v>1.70922888508724</v>
      </c>
      <c r="AD46" s="43" t="n">
        <f aca="false">AC45*Assumptions!$D$49</f>
        <v>1.81769329316987</v>
      </c>
      <c r="AE46" s="43" t="n">
        <f aca="false">AD45*Assumptions!$D$49</f>
        <v>1.93112084109183</v>
      </c>
      <c r="AF46" s="43" t="n">
        <f aca="false">AE45*Assumptions!$D$49</f>
        <v>2.05000491973324</v>
      </c>
      <c r="AG46" s="43" t="n">
        <f aca="false">AF45*Assumptions!$D$49</f>
        <v>2.17485884174557</v>
      </c>
      <c r="AH46" s="43" t="n">
        <f aca="false">AG45*Assumptions!$D$49</f>
        <v>2.30621964012912</v>
      </c>
      <c r="AI46" s="43" t="n">
        <f aca="false">AH45*Assumptions!$D$49</f>
        <v>2.44465173611203</v>
      </c>
      <c r="AJ46" s="43" t="n">
        <f aca="false">AI45*Assumptions!$D$49</f>
        <v>2.59075053903413</v>
      </c>
      <c r="AK46" s="43" t="n">
        <f aca="false">AJ45*Assumptions!$D$49</f>
        <v>2.7451460307975</v>
      </c>
      <c r="AL46" s="43" t="n">
        <f aca="false">AK45*Assumptions!$D$49</f>
        <v>2.90850637970214</v>
      </c>
      <c r="AM46" s="43" t="n">
        <f aca="false">SUM(C46:AL46)</f>
        <v>37.5561925048449</v>
      </c>
    </row>
    <row r="47" customFormat="false" ht="15" hidden="false" customHeight="false" outlineLevel="0" collapsed="false">
      <c r="A47" s="10" t="s">
        <v>632</v>
      </c>
      <c r="B47" s="9" t="s">
        <v>90</v>
      </c>
      <c r="C47" s="50" t="n">
        <f aca="false">C45*Assumptions!$D$51</f>
        <v>0</v>
      </c>
      <c r="D47" s="50" t="n">
        <f aca="false">D45*Assumptions!$D$51</f>
        <v>0</v>
      </c>
      <c r="E47" s="50" t="n">
        <f aca="false">E45*Assumptions!$D$51</f>
        <v>0</v>
      </c>
      <c r="F47" s="50" t="n">
        <f aca="false">F45*Assumptions!$D$51</f>
        <v>0</v>
      </c>
      <c r="G47" s="50" t="n">
        <f aca="false">G45*Assumptions!$D$51</f>
        <v>0</v>
      </c>
      <c r="H47" s="50" t="n">
        <f aca="false">H45*Assumptions!$D$51</f>
        <v>0</v>
      </c>
      <c r="I47" s="50" t="n">
        <f aca="false">I45*Assumptions!$D$51</f>
        <v>0</v>
      </c>
      <c r="J47" s="50" t="n">
        <f aca="false">J45*Assumptions!$D$51</f>
        <v>0</v>
      </c>
      <c r="K47" s="50" t="n">
        <f aca="false">K45*Assumptions!$D$51</f>
        <v>188.069346797298</v>
      </c>
      <c r="L47" s="50" t="n">
        <f aca="false">L45*Assumptions!$D$51</f>
        <v>360.23077617608</v>
      </c>
      <c r="M47" s="50" t="n">
        <f aca="false">M45*Assumptions!$D$51</f>
        <v>519.925538306981</v>
      </c>
      <c r="N47" s="50" t="n">
        <f aca="false">N45*Assumptions!$D$51</f>
        <v>669.980651608394</v>
      </c>
      <c r="O47" s="50" t="n">
        <f aca="false">O45*Assumptions!$D$51</f>
        <v>812.733167869899</v>
      </c>
      <c r="P47" s="50" t="n">
        <f aca="false">P45*Assumptions!$D$51</f>
        <v>950.131065867715</v>
      </c>
      <c r="Q47" s="50" t="n">
        <f aca="false">Q45*Assumptions!$D$51</f>
        <v>1083.81470884948</v>
      </c>
      <c r="R47" s="50" t="n">
        <f aca="false">R45*Assumptions!$D$51</f>
        <v>1215.18237717594</v>
      </c>
      <c r="S47" s="50" t="n">
        <f aca="false">S45*Assumptions!$D$51</f>
        <v>1345.44290078407</v>
      </c>
      <c r="T47" s="50" t="n">
        <f aca="false">T45*Assumptions!$D$51</f>
        <v>1475.65793425461</v>
      </c>
      <c r="U47" s="50" t="n">
        <f aca="false">U45*Assumptions!$D$51</f>
        <v>1606.77597476776</v>
      </c>
      <c r="V47" s="50" t="n">
        <f aca="false">V45*Assumptions!$D$51</f>
        <v>1739.65983510228</v>
      </c>
      <c r="W47" s="50" t="n">
        <f aca="false">W45*Assumptions!$D$51</f>
        <v>1875.10895368843</v>
      </c>
      <c r="X47" s="50" t="n">
        <f aca="false">X45*Assumptions!$D$51</f>
        <v>2013.87764898238</v>
      </c>
      <c r="Y47" s="50" t="n">
        <f aca="false">Y45*Assumptions!$D$51</f>
        <v>2156.6902004855</v>
      </c>
      <c r="Z47" s="50" t="n">
        <f aca="false">Z45*Assumptions!$D$51</f>
        <v>2304.25345685127</v>
      </c>
      <c r="AA47" s="50" t="n">
        <f aca="false">AA45*Assumptions!$D$51</f>
        <v>2457.26752589493</v>
      </c>
      <c r="AB47" s="50" t="n">
        <f aca="false">AB45*Assumptions!$D$51</f>
        <v>2616.43498563355</v>
      </c>
      <c r="AC47" s="50" t="n">
        <f aca="false">AC45*Assumptions!$D$51</f>
        <v>2782.46896416004</v>
      </c>
      <c r="AD47" s="50" t="n">
        <f aca="false">AD45*Assumptions!$D$51</f>
        <v>2956.10036444057</v>
      </c>
      <c r="AE47" s="50" t="n">
        <f aca="false">AE45*Assumptions!$D$51</f>
        <v>3138.0844540532</v>
      </c>
      <c r="AF47" s="50" t="n">
        <f aca="false">AF45*Assumptions!$D$51</f>
        <v>3329.20699621053</v>
      </c>
      <c r="AG47" s="50" t="n">
        <f aca="false">AG45*Assumptions!$D$51</f>
        <v>3530.29006450535</v>
      </c>
      <c r="AH47" s="50" t="n">
        <f aca="false">AH45*Assumptions!$D$51</f>
        <v>3742.19765758688</v>
      </c>
      <c r="AI47" s="50" t="n">
        <f aca="false">AI45*Assumptions!$D$51</f>
        <v>3965.84120975225</v>
      </c>
      <c r="AJ47" s="50" t="n">
        <f aca="false">AJ45*Assumptions!$D$51</f>
        <v>4202.1850779131</v>
      </c>
      <c r="AK47" s="50" t="n">
        <f aca="false">AK45*Assumptions!$D$51</f>
        <v>4452.25207354404</v>
      </c>
      <c r="AL47" s="50" t="n">
        <f aca="false">AL45*Assumptions!$D$51</f>
        <v>4719.21274306455</v>
      </c>
      <c r="AM47" s="50" t="n">
        <f aca="false">SUM(C47:AL47)</f>
        <v>62209.0766543271</v>
      </c>
    </row>
    <row r="48" customFormat="false" ht="15" hidden="false" customHeight="false" outlineLevel="0" collapsed="false">
      <c r="A48" s="10" t="s">
        <v>633</v>
      </c>
      <c r="B48" s="9" t="s">
        <v>90</v>
      </c>
      <c r="C48" s="50" t="n">
        <f aca="false">C41*Assumptions!$D$52</f>
        <v>0</v>
      </c>
      <c r="D48" s="50" t="n">
        <f aca="false">D41*Assumptions!$D$52</f>
        <v>0</v>
      </c>
      <c r="E48" s="50" t="n">
        <f aca="false">E41*Assumptions!$D$52</f>
        <v>0</v>
      </c>
      <c r="F48" s="50" t="n">
        <f aca="false">F41*Assumptions!$D$52</f>
        <v>0</v>
      </c>
      <c r="G48" s="50" t="n">
        <f aca="false">G41*Assumptions!$D$52</f>
        <v>0</v>
      </c>
      <c r="H48" s="50" t="n">
        <f aca="false">H41*Assumptions!$D$52</f>
        <v>0</v>
      </c>
      <c r="I48" s="50" t="n">
        <f aca="false">I41*Assumptions!$D$52</f>
        <v>0</v>
      </c>
      <c r="J48" s="50" t="n">
        <f aca="false">J41*Assumptions!$D$52</f>
        <v>0</v>
      </c>
      <c r="K48" s="50" t="n">
        <f aca="false">K41*Assumptions!$D$52</f>
        <v>191.010281424189</v>
      </c>
      <c r="L48" s="50" t="n">
        <f aca="false">L41*Assumptions!$D$52</f>
        <v>199.684940513885</v>
      </c>
      <c r="M48" s="50" t="n">
        <f aca="false">M41*Assumptions!$D$52</f>
        <v>209.754294253312</v>
      </c>
      <c r="N48" s="50" t="n">
        <f aca="false">N41*Assumptions!$D$52</f>
        <v>221.048863994628</v>
      </c>
      <c r="O48" s="50" t="n">
        <f aca="false">O41*Assumptions!$D$52</f>
        <v>233.444280625186</v>
      </c>
      <c r="P48" s="50" t="n">
        <f aca="false">P41*Assumptions!$D$52</f>
        <v>246.853954669077</v>
      </c>
      <c r="Q48" s="50" t="n">
        <f aca="false">Q41*Assumptions!$D$52</f>
        <v>261.222657498095</v>
      </c>
      <c r="R48" s="50" t="n">
        <f aca="false">R41*Assumptions!$D$52</f>
        <v>276.521102529807</v>
      </c>
      <c r="S48" s="50" t="n">
        <f aca="false">S41*Assumptions!$D$52</f>
        <v>292.741495785497</v>
      </c>
      <c r="T48" s="50" t="n">
        <f aca="false">T41*Assumptions!$D$52</f>
        <v>309.893965746296</v>
      </c>
      <c r="U48" s="50" t="n">
        <f aca="false">U41*Assumptions!$D$52</f>
        <v>328.003758819393</v>
      </c>
      <c r="V48" s="50" t="n">
        <f aca="false">V41*Assumptions!$D$52</f>
        <v>347.109083523162</v>
      </c>
      <c r="W48" s="50" t="n">
        <f aca="false">W41*Assumptions!$D$52</f>
        <v>367.259494144604</v>
      </c>
      <c r="X48" s="50" t="n">
        <f aca="false">X41*Assumptions!$D$52</f>
        <v>388.51471730038</v>
      </c>
      <c r="Y48" s="50" t="n">
        <f aca="false">Y41*Assumptions!$D$52</f>
        <v>410.943839136098</v>
      </c>
      <c r="Z48" s="50" t="n">
        <f aca="false">Z41*Assumptions!$D$52</f>
        <v>434.624784933889</v>
      </c>
      <c r="AA48" s="50" t="n">
        <f aca="false">AA41*Assumptions!$D$52</f>
        <v>459.644035705717</v>
      </c>
      <c r="AB48" s="50" t="n">
        <f aca="false">AB41*Assumptions!$D$52</f>
        <v>486.096537528904</v>
      </c>
      <c r="AC48" s="50" t="n">
        <f aca="false">AC41*Assumptions!$D$52</f>
        <v>514.085768851758</v>
      </c>
      <c r="AD48" s="50" t="n">
        <f aca="false">AD41*Assumptions!$D$52</f>
        <v>543.723938854589</v>
      </c>
      <c r="AE48" s="50" t="n">
        <f aca="false">AE41*Assumptions!$D$52</f>
        <v>575.132296371006</v>
      </c>
      <c r="AF48" s="50" t="n">
        <f aca="false">AF41*Assumptions!$D$52</f>
        <v>608.441534060917</v>
      </c>
      <c r="AG48" s="50" t="n">
        <f aca="false">AG41*Assumptions!$D$52</f>
        <v>643.792276684268</v>
      </c>
      <c r="AH48" s="50" t="n">
        <f aca="false">AH41*Assumptions!$D$52</f>
        <v>681.335645640633</v>
      </c>
      <c r="AI48" s="50" t="n">
        <f aca="false">AI41*Assumptions!$D$52</f>
        <v>721.233894578722</v>
      </c>
      <c r="AJ48" s="50" t="n">
        <f aca="false">AJ41*Assumptions!$D$52</f>
        <v>763.661112981245</v>
      </c>
      <c r="AK48" s="50" t="n">
        <f aca="false">AK41*Assumptions!$D$52</f>
        <v>808.803996310181</v>
      </c>
      <c r="AL48" s="50" t="n">
        <f aca="false">AL41*Assumptions!$D$52</f>
        <v>858.978909457796</v>
      </c>
      <c r="AM48" s="50" t="n">
        <f aca="false">SUM(C48:AL48)</f>
        <v>12383.5614619232</v>
      </c>
    </row>
    <row r="49" customFormat="false" ht="15" hidden="false" customHeight="false" outlineLevel="0" collapsed="false">
      <c r="A49" s="10" t="s">
        <v>634</v>
      </c>
      <c r="B49" s="9" t="s">
        <v>90</v>
      </c>
      <c r="C49" s="50" t="n">
        <f aca="false">C47+C48</f>
        <v>0</v>
      </c>
      <c r="D49" s="50" t="n">
        <f aca="false">D47+D48</f>
        <v>0</v>
      </c>
      <c r="E49" s="50" t="n">
        <f aca="false">E47+E48</f>
        <v>0</v>
      </c>
      <c r="F49" s="50" t="n">
        <f aca="false">F47+F48</f>
        <v>0</v>
      </c>
      <c r="G49" s="50" t="n">
        <f aca="false">G47+G48</f>
        <v>0</v>
      </c>
      <c r="H49" s="50" t="n">
        <f aca="false">H47+H48</f>
        <v>0</v>
      </c>
      <c r="I49" s="50" t="n">
        <f aca="false">I47+I48</f>
        <v>0</v>
      </c>
      <c r="J49" s="50" t="n">
        <f aca="false">J47+J48</f>
        <v>0</v>
      </c>
      <c r="K49" s="50" t="n">
        <f aca="false">K47+K48</f>
        <v>379.079628221487</v>
      </c>
      <c r="L49" s="50" t="n">
        <f aca="false">L47+L48</f>
        <v>559.915716689965</v>
      </c>
      <c r="M49" s="50" t="n">
        <f aca="false">M47+M48</f>
        <v>729.679832560293</v>
      </c>
      <c r="N49" s="50" t="n">
        <f aca="false">N47+N48</f>
        <v>891.029515603022</v>
      </c>
      <c r="O49" s="50" t="n">
        <f aca="false">O47+O48</f>
        <v>1046.17744849509</v>
      </c>
      <c r="P49" s="50" t="n">
        <f aca="false">P47+P48</f>
        <v>1196.98502053679</v>
      </c>
      <c r="Q49" s="50" t="n">
        <f aca="false">Q47+Q48</f>
        <v>1345.03736634757</v>
      </c>
      <c r="R49" s="50" t="n">
        <f aca="false">R47+R48</f>
        <v>1491.70347970575</v>
      </c>
      <c r="S49" s="50" t="n">
        <f aca="false">S47+S48</f>
        <v>1638.18439656957</v>
      </c>
      <c r="T49" s="50" t="n">
        <f aca="false">T47+T48</f>
        <v>1785.5519000009</v>
      </c>
      <c r="U49" s="50" t="n">
        <f aca="false">U47+U48</f>
        <v>1934.77973358716</v>
      </c>
      <c r="V49" s="50" t="n">
        <f aca="false">V47+V48</f>
        <v>2086.76891862544</v>
      </c>
      <c r="W49" s="50" t="n">
        <f aca="false">W47+W48</f>
        <v>2242.36844783304</v>
      </c>
      <c r="X49" s="50" t="n">
        <f aca="false">X47+X48</f>
        <v>2402.39236628275</v>
      </c>
      <c r="Y49" s="50" t="n">
        <f aca="false">Y47+Y48</f>
        <v>2567.6340396216</v>
      </c>
      <c r="Z49" s="50" t="n">
        <f aca="false">Z47+Z48</f>
        <v>2738.87824178516</v>
      </c>
      <c r="AA49" s="50" t="n">
        <f aca="false">AA47+AA48</f>
        <v>2916.91156160065</v>
      </c>
      <c r="AB49" s="50" t="n">
        <f aca="false">AB47+AB48</f>
        <v>3102.53152316246</v>
      </c>
      <c r="AC49" s="50" t="n">
        <f aca="false">AC47+AC48</f>
        <v>3296.5547330118</v>
      </c>
      <c r="AD49" s="50" t="n">
        <f aca="false">AD47+AD48</f>
        <v>3499.82430329516</v>
      </c>
      <c r="AE49" s="50" t="n">
        <f aca="false">AE47+AE48</f>
        <v>3713.2167504242</v>
      </c>
      <c r="AF49" s="50" t="n">
        <f aca="false">AF47+AF48</f>
        <v>3937.64853027144</v>
      </c>
      <c r="AG49" s="50" t="n">
        <f aca="false">AG47+AG48</f>
        <v>4174.08234118962</v>
      </c>
      <c r="AH49" s="50" t="n">
        <f aca="false">AH47+AH48</f>
        <v>4423.53330322751</v>
      </c>
      <c r="AI49" s="50" t="n">
        <f aca="false">AI47+AI48</f>
        <v>4687.07510433097</v>
      </c>
      <c r="AJ49" s="50" t="n">
        <f aca="false">AJ47+AJ48</f>
        <v>4965.84619089434</v>
      </c>
      <c r="AK49" s="50" t="n">
        <f aca="false">AK47+AK48</f>
        <v>5261.05606985422</v>
      </c>
      <c r="AL49" s="50" t="n">
        <f aca="false">AL47+AL48</f>
        <v>5578.19165252235</v>
      </c>
      <c r="AM49" s="50" t="n">
        <f aca="false">SUM(C49:AL49)</f>
        <v>74592.6381162503</v>
      </c>
    </row>
    <row r="50" customFormat="false" ht="15" hidden="false" customHeight="false" outlineLevel="0" collapsed="false">
      <c r="A50" s="10" t="s">
        <v>635</v>
      </c>
      <c r="B50" s="9" t="s">
        <v>90</v>
      </c>
      <c r="C50" s="50" t="n">
        <f aca="false">-C49*Assumptions!$D$61</f>
        <v>-0</v>
      </c>
      <c r="D50" s="50" t="n">
        <f aca="false">-D49*Assumptions!$D$61</f>
        <v>-0</v>
      </c>
      <c r="E50" s="50" t="n">
        <f aca="false">-E49*Assumptions!$D$61</f>
        <v>-0</v>
      </c>
      <c r="F50" s="50" t="n">
        <f aca="false">-F49*Assumptions!$D$61</f>
        <v>-0</v>
      </c>
      <c r="G50" s="50" t="n">
        <f aca="false">-G49*Assumptions!$D$61</f>
        <v>-0</v>
      </c>
      <c r="H50" s="50" t="n">
        <f aca="false">-H49*Assumptions!$D$61</f>
        <v>-0</v>
      </c>
      <c r="I50" s="50" t="n">
        <f aca="false">-I49*Assumptions!$D$61</f>
        <v>-0</v>
      </c>
      <c r="J50" s="50" t="n">
        <f aca="false">-J49*Assumptions!$D$61</f>
        <v>-0</v>
      </c>
      <c r="K50" s="50" t="n">
        <f aca="false">-K49*Assumptions!$D$61</f>
        <v>-15.1631851288595</v>
      </c>
      <c r="L50" s="50" t="n">
        <f aca="false">-L49*Assumptions!$D$61</f>
        <v>-22.3966286675986</v>
      </c>
      <c r="M50" s="50" t="n">
        <f aca="false">-M49*Assumptions!$D$61</f>
        <v>-29.1871933024117</v>
      </c>
      <c r="N50" s="50" t="n">
        <f aca="false">-N49*Assumptions!$D$61</f>
        <v>-35.6411806241209</v>
      </c>
      <c r="O50" s="50" t="n">
        <f aca="false">-O49*Assumptions!$D$61</f>
        <v>-41.8470979398034</v>
      </c>
      <c r="P50" s="50" t="n">
        <f aca="false">-P49*Assumptions!$D$61</f>
        <v>-47.8794008214717</v>
      </c>
      <c r="Q50" s="50" t="n">
        <f aca="false">-Q49*Assumptions!$D$61</f>
        <v>-53.8014946539029</v>
      </c>
      <c r="R50" s="50" t="n">
        <f aca="false">-R49*Assumptions!$D$61</f>
        <v>-59.66813918823</v>
      </c>
      <c r="S50" s="50" t="n">
        <f aca="false">-S49*Assumptions!$D$61</f>
        <v>-65.5273758627827</v>
      </c>
      <c r="T50" s="50" t="n">
        <f aca="false">-T49*Assumptions!$D$61</f>
        <v>-71.4220760000362</v>
      </c>
      <c r="U50" s="50" t="n">
        <f aca="false">-U49*Assumptions!$D$61</f>
        <v>-77.3911893434863</v>
      </c>
      <c r="V50" s="50" t="n">
        <f aca="false">-V49*Assumptions!$D$61</f>
        <v>-83.4707567450175</v>
      </c>
      <c r="W50" s="50" t="n">
        <f aca="false">-W49*Assumptions!$D$61</f>
        <v>-89.6947379133215</v>
      </c>
      <c r="X50" s="50" t="n">
        <f aca="false">-X49*Assumptions!$D$61</f>
        <v>-96.0956946513102</v>
      </c>
      <c r="Y50" s="50" t="n">
        <f aca="false">-Y49*Assumptions!$D$61</f>
        <v>-102.705361584864</v>
      </c>
      <c r="Z50" s="50" t="n">
        <f aca="false">-Z49*Assumptions!$D$61</f>
        <v>-109.555129671406</v>
      </c>
      <c r="AA50" s="50" t="n">
        <f aca="false">-AA49*Assumptions!$D$61</f>
        <v>-116.676462464026</v>
      </c>
      <c r="AB50" s="50" t="n">
        <f aca="false">-AB49*Assumptions!$D$61</f>
        <v>-124.101260926498</v>
      </c>
      <c r="AC50" s="50" t="n">
        <f aca="false">-AC49*Assumptions!$D$61</f>
        <v>-131.862189320472</v>
      </c>
      <c r="AD50" s="50" t="n">
        <f aca="false">-AD49*Assumptions!$D$61</f>
        <v>-139.992972131806</v>
      </c>
      <c r="AE50" s="50" t="n">
        <f aca="false">-AE49*Assumptions!$D$61</f>
        <v>-148.528670016968</v>
      </c>
      <c r="AF50" s="50" t="n">
        <f aca="false">-AF49*Assumptions!$D$61</f>
        <v>-157.505941210858</v>
      </c>
      <c r="AG50" s="50" t="n">
        <f aca="false">-AG49*Assumptions!$D$61</f>
        <v>-166.963293647585</v>
      </c>
      <c r="AH50" s="50" t="n">
        <f aca="false">-AH49*Assumptions!$D$61</f>
        <v>-176.9413321291</v>
      </c>
      <c r="AI50" s="50" t="n">
        <f aca="false">-AI49*Assumptions!$D$61</f>
        <v>-187.483004173239</v>
      </c>
      <c r="AJ50" s="50" t="n">
        <f aca="false">-AJ49*Assumptions!$D$61</f>
        <v>-198.633847635774</v>
      </c>
      <c r="AK50" s="50" t="n">
        <f aca="false">-AK49*Assumptions!$D$61</f>
        <v>-210.442242794169</v>
      </c>
      <c r="AL50" s="50" t="n">
        <f aca="false">-AL49*Assumptions!$D$61</f>
        <v>-223.127666100894</v>
      </c>
      <c r="AM50" s="50" t="n">
        <f aca="false">SUM(C50:AL50)</f>
        <v>-2983.70552465001</v>
      </c>
    </row>
    <row r="51" customFormat="false" ht="15" hidden="false" customHeight="false" outlineLevel="0" collapsed="false">
      <c r="A51" s="26" t="s">
        <v>636</v>
      </c>
      <c r="B51" s="9" t="s">
        <v>90</v>
      </c>
      <c r="C51" s="35" t="n">
        <f aca="false">C49+C50</f>
        <v>0</v>
      </c>
      <c r="D51" s="35" t="n">
        <f aca="false">D49+D50</f>
        <v>0</v>
      </c>
      <c r="E51" s="35" t="n">
        <f aca="false">E49+E50</f>
        <v>0</v>
      </c>
      <c r="F51" s="35" t="n">
        <f aca="false">F49+F50</f>
        <v>0</v>
      </c>
      <c r="G51" s="35" t="n">
        <f aca="false">G49+G50</f>
        <v>0</v>
      </c>
      <c r="H51" s="35" t="n">
        <f aca="false">H49+H50</f>
        <v>0</v>
      </c>
      <c r="I51" s="35" t="n">
        <f aca="false">I49+I50</f>
        <v>0</v>
      </c>
      <c r="J51" s="35" t="n">
        <f aca="false">J49+J50</f>
        <v>0</v>
      </c>
      <c r="K51" s="35" t="n">
        <f aca="false">K49+K50</f>
        <v>363.916443092628</v>
      </c>
      <c r="L51" s="35" t="n">
        <f aca="false">L49+L50</f>
        <v>537.519088022366</v>
      </c>
      <c r="M51" s="35" t="n">
        <f aca="false">M49+M50</f>
        <v>700.492639257881</v>
      </c>
      <c r="N51" s="35" t="n">
        <f aca="false">N49+N50</f>
        <v>855.388334978901</v>
      </c>
      <c r="O51" s="35" t="n">
        <f aca="false">O49+O50</f>
        <v>1004.33035055528</v>
      </c>
      <c r="P51" s="35" t="n">
        <f aca="false">P49+P50</f>
        <v>1149.10561971532</v>
      </c>
      <c r="Q51" s="35" t="n">
        <f aca="false">Q49+Q50</f>
        <v>1291.23587169367</v>
      </c>
      <c r="R51" s="35" t="n">
        <f aca="false">R49+R50</f>
        <v>1432.03534051752</v>
      </c>
      <c r="S51" s="35" t="n">
        <f aca="false">S49+S50</f>
        <v>1572.65702070678</v>
      </c>
      <c r="T51" s="35" t="n">
        <f aca="false">T49+T50</f>
        <v>1714.12982400087</v>
      </c>
      <c r="U51" s="35" t="n">
        <f aca="false">U49+U50</f>
        <v>1857.38854424367</v>
      </c>
      <c r="V51" s="35" t="n">
        <f aca="false">V49+V50</f>
        <v>2003.29816188042</v>
      </c>
      <c r="W51" s="35" t="n">
        <f aca="false">W49+W50</f>
        <v>2152.67370991972</v>
      </c>
      <c r="X51" s="35" t="n">
        <f aca="false">X49+X50</f>
        <v>2306.29667163144</v>
      </c>
      <c r="Y51" s="35" t="n">
        <f aca="false">Y49+Y50</f>
        <v>2464.92867803674</v>
      </c>
      <c r="Z51" s="35" t="n">
        <f aca="false">Z49+Z50</f>
        <v>2629.32311211375</v>
      </c>
      <c r="AA51" s="35" t="n">
        <f aca="false">AA49+AA50</f>
        <v>2800.23509913662</v>
      </c>
      <c r="AB51" s="35" t="n">
        <f aca="false">AB49+AB50</f>
        <v>2978.43026223596</v>
      </c>
      <c r="AC51" s="35" t="n">
        <f aca="false">AC49+AC50</f>
        <v>3164.69254369132</v>
      </c>
      <c r="AD51" s="35" t="n">
        <f aca="false">AD49+AD50</f>
        <v>3359.83133116335</v>
      </c>
      <c r="AE51" s="35" t="n">
        <f aca="false">AE49+AE50</f>
        <v>3564.68808040723</v>
      </c>
      <c r="AF51" s="35" t="n">
        <f aca="false">AF49+AF50</f>
        <v>3780.14258906059</v>
      </c>
      <c r="AG51" s="35" t="n">
        <f aca="false">AG49+AG50</f>
        <v>4007.11904754203</v>
      </c>
      <c r="AH51" s="35" t="n">
        <f aca="false">AH49+AH50</f>
        <v>4246.59197109841</v>
      </c>
      <c r="AI51" s="35" t="n">
        <f aca="false">AI49+AI50</f>
        <v>4499.59210015773</v>
      </c>
      <c r="AJ51" s="35" t="n">
        <f aca="false">AJ49+AJ50</f>
        <v>4767.21234325857</v>
      </c>
      <c r="AK51" s="35" t="n">
        <f aca="false">AK49+AK50</f>
        <v>5050.61382706005</v>
      </c>
      <c r="AL51" s="35" t="n">
        <f aca="false">AL49+AL50</f>
        <v>5355.06398642145</v>
      </c>
      <c r="AM51" s="35" t="n">
        <f aca="false">SUM(C51:AL51)</f>
        <v>71608.9325916003</v>
      </c>
    </row>
    <row r="52" customFormat="false" ht="15" hidden="false" customHeight="false" outlineLevel="0" collapsed="false">
      <c r="A52" s="10" t="s">
        <v>637</v>
      </c>
      <c r="B52" s="9" t="s">
        <v>90</v>
      </c>
      <c r="C52" s="50" t="n">
        <f aca="false">-C45*Assumptions!$D$54</f>
        <v>-0</v>
      </c>
      <c r="D52" s="50" t="n">
        <f aca="false">-D45*Assumptions!$D$54</f>
        <v>-0</v>
      </c>
      <c r="E52" s="50" t="n">
        <f aca="false">-E45*Assumptions!$D$54</f>
        <v>-0</v>
      </c>
      <c r="F52" s="50" t="n">
        <f aca="false">-F45*Assumptions!$D$54</f>
        <v>-0</v>
      </c>
      <c r="G52" s="50" t="n">
        <f aca="false">-G45*Assumptions!$D$54</f>
        <v>-0</v>
      </c>
      <c r="H52" s="50" t="n">
        <f aca="false">-H45*Assumptions!$D$54</f>
        <v>-0</v>
      </c>
      <c r="I52" s="50" t="n">
        <f aca="false">-I45*Assumptions!$D$54</f>
        <v>-0</v>
      </c>
      <c r="J52" s="50" t="n">
        <f aca="false">-J45*Assumptions!$D$54</f>
        <v>-0</v>
      </c>
      <c r="K52" s="50" t="n">
        <f aca="false">-K45*Assumptions!$D$54</f>
        <v>-99.2325699181724</v>
      </c>
      <c r="L52" s="50" t="n">
        <f aca="false">-L45*Assumptions!$D$54</f>
        <v>-190.071515067781</v>
      </c>
      <c r="M52" s="50" t="n">
        <f aca="false">-M45*Assumptions!$D$54</f>
        <v>-274.332570463483</v>
      </c>
      <c r="N52" s="50" t="n">
        <f aca="false">-N45*Assumptions!$D$54</f>
        <v>-353.507378989353</v>
      </c>
      <c r="O52" s="50" t="n">
        <f aca="false">-O45*Assumptions!$D$54</f>
        <v>-428.829058423816</v>
      </c>
      <c r="P52" s="50" t="n">
        <f aca="false">-P45*Assumptions!$D$54</f>
        <v>-501.325436764372</v>
      </c>
      <c r="Q52" s="50" t="n">
        <f aca="false">-Q45*Assumptions!$D$54</f>
        <v>-571.862032307514</v>
      </c>
      <c r="R52" s="50" t="n">
        <f aca="false">-R45*Assumptions!$D$54</f>
        <v>-641.176631173237</v>
      </c>
      <c r="S52" s="50" t="n">
        <f aca="false">-S45*Assumptions!$D$54</f>
        <v>-709.90705820265</v>
      </c>
      <c r="T52" s="50" t="n">
        <f aca="false">-T45*Assumptions!$D$54</f>
        <v>-778.61348289816</v>
      </c>
      <c r="U52" s="50" t="n">
        <f aca="false">-U45*Assumptions!$D$54</f>
        <v>-847.796368596057</v>
      </c>
      <c r="V52" s="50" t="n">
        <f aca="false">-V45*Assumptions!$D$54</f>
        <v>-917.910968270045</v>
      </c>
      <c r="W52" s="50" t="n">
        <f aca="false">-W45*Assumptions!$D$54</f>
        <v>-989.379096167263</v>
      </c>
      <c r="X52" s="50" t="n">
        <f aca="false">-X45*Assumptions!$D$54</f>
        <v>-1062.59875951331</v>
      </c>
      <c r="Y52" s="50" t="n">
        <f aca="false">-Y45*Assumptions!$D$54</f>
        <v>-1137.95211583406</v>
      </c>
      <c r="Z52" s="50" t="n">
        <f aca="false">-Z45*Assumptions!$D$54</f>
        <v>-1215.81212547429</v>
      </c>
      <c r="AA52" s="50" t="n">
        <f aca="false">-AA45*Assumptions!$D$54</f>
        <v>-1296.54819205512</v>
      </c>
      <c r="AB52" s="50" t="n">
        <f aca="false">-AB45*Assumptions!$D$54</f>
        <v>-1380.53102257047</v>
      </c>
      <c r="AC52" s="50" t="n">
        <f aca="false">-AC45*Assumptions!$D$54</f>
        <v>-1468.13689063721</v>
      </c>
      <c r="AD52" s="50" t="n">
        <f aca="false">-AD45*Assumptions!$D$54</f>
        <v>-1559.75144857417</v>
      </c>
      <c r="AE52" s="50" t="n">
        <f aca="false">-AE45*Assumptions!$D$54</f>
        <v>-1655.77320439993</v>
      </c>
      <c r="AF52" s="50" t="n">
        <f aca="false">-AF45*Assumptions!$D$54</f>
        <v>-1756.6167567945</v>
      </c>
      <c r="AG52" s="50" t="n">
        <f aca="false">-AG45*Assumptions!$D$54</f>
        <v>-1862.71586318122</v>
      </c>
      <c r="AH52" s="50" t="n">
        <f aca="false">-AH45*Assumptions!$D$54</f>
        <v>-1974.52640224433</v>
      </c>
      <c r="AI52" s="50" t="n">
        <f aca="false">-AI45*Assumptions!$D$54</f>
        <v>-2092.52928152757</v>
      </c>
      <c r="AJ52" s="50" t="n">
        <f aca="false">-AJ45*Assumptions!$D$54</f>
        <v>-2217.23333256721</v>
      </c>
      <c r="AK52" s="50" t="n">
        <f aca="false">-AK45*Assumptions!$D$54</f>
        <v>-2349.17822975942</v>
      </c>
      <c r="AL52" s="50" t="n">
        <f aca="false">-AL45*Assumptions!$D$54</f>
        <v>-2490.0368744813</v>
      </c>
      <c r="AM52" s="50" t="n">
        <f aca="false">SUM(C52:AL52)</f>
        <v>-32823.884666856</v>
      </c>
    </row>
    <row r="53" customFormat="false" ht="15" hidden="false" customHeight="false" outlineLevel="0" collapsed="false">
      <c r="A53" s="10" t="s">
        <v>638</v>
      </c>
      <c r="B53" s="9" t="s">
        <v>90</v>
      </c>
      <c r="C53" s="50" t="n">
        <f aca="false">-C42*Assumptions!$D$55</f>
        <v>-0</v>
      </c>
      <c r="D53" s="50" t="n">
        <f aca="false">-D42*Assumptions!$D$55</f>
        <v>-0</v>
      </c>
      <c r="E53" s="50" t="n">
        <f aca="false">-E42*Assumptions!$D$55</f>
        <v>-0</v>
      </c>
      <c r="F53" s="50" t="n">
        <f aca="false">-F42*Assumptions!$D$55</f>
        <v>-0</v>
      </c>
      <c r="G53" s="50" t="n">
        <f aca="false">-G42*Assumptions!$D$55</f>
        <v>-0</v>
      </c>
      <c r="H53" s="50" t="n">
        <f aca="false">-H42*Assumptions!$D$55</f>
        <v>-0</v>
      </c>
      <c r="I53" s="50" t="n">
        <f aca="false">-I42*Assumptions!$D$55</f>
        <v>-0</v>
      </c>
      <c r="J53" s="50" t="n">
        <f aca="false">-J42*Assumptions!$D$55</f>
        <v>-0</v>
      </c>
      <c r="K53" s="50" t="n">
        <f aca="false">-K42*Assumptions!$D$55</f>
        <v>-133.317380096067</v>
      </c>
      <c r="L53" s="50" t="n">
        <f aca="false">-L42*Assumptions!$D$55</f>
        <v>-139.371938072957</v>
      </c>
      <c r="M53" s="50" t="n">
        <f aca="false">-M42*Assumptions!$D$55</f>
        <v>-146.399935989046</v>
      </c>
      <c r="N53" s="50" t="n">
        <f aca="false">-N42*Assumptions!$D$55</f>
        <v>-154.283084665638</v>
      </c>
      <c r="O53" s="50" t="n">
        <f aca="false">-O42*Assumptions!$D$55</f>
        <v>-162.934579538395</v>
      </c>
      <c r="P53" s="50" t="n">
        <f aca="false">-P42*Assumptions!$D$55</f>
        <v>-172.293984687396</v>
      </c>
      <c r="Q53" s="50" t="n">
        <f aca="false">-Q42*Assumptions!$D$55</f>
        <v>-182.322752784384</v>
      </c>
      <c r="R53" s="50" t="n">
        <f aca="false">-R42*Assumptions!$D$55</f>
        <v>-193.000442990192</v>
      </c>
      <c r="S53" s="50" t="n">
        <f aca="false">-S42*Assumptions!$D$55</f>
        <v>-204.321615425796</v>
      </c>
      <c r="T53" s="50" t="n">
        <f aca="false">-T42*Assumptions!$D$55</f>
        <v>-216.293339357619</v>
      </c>
      <c r="U53" s="50" t="n">
        <f aca="false">-U42*Assumptions!$D$55</f>
        <v>-228.933235747413</v>
      </c>
      <c r="V53" s="50" t="n">
        <f aca="false">-V42*Assumptions!$D$55</f>
        <v>-242.267972581472</v>
      </c>
      <c r="W53" s="50" t="n">
        <f aca="false">-W42*Assumptions!$D$55</f>
        <v>-256.332136729499</v>
      </c>
      <c r="X53" s="50" t="n">
        <f aca="false">-X42*Assumptions!$D$55</f>
        <v>-271.167414932102</v>
      </c>
      <c r="Y53" s="50" t="n">
        <f aca="false">-Y42*Assumptions!$D$55</f>
        <v>-286.822026499072</v>
      </c>
      <c r="Z53" s="50" t="n">
        <f aca="false">-Z42*Assumptions!$D$55</f>
        <v>-303.350360096715</v>
      </c>
      <c r="AA53" s="50" t="n">
        <f aca="false">-AA42*Assumptions!$D$55</f>
        <v>-320.812775941541</v>
      </c>
      <c r="AB53" s="50" t="n">
        <f aca="false">-AB42*Assumptions!$D$55</f>
        <v>-339.275542520174</v>
      </c>
      <c r="AC53" s="50" t="n">
        <f aca="false">-AC42*Assumptions!$D$55</f>
        <v>-358.810883565921</v>
      </c>
      <c r="AD53" s="50" t="n">
        <f aca="false">-AD42*Assumptions!$D$55</f>
        <v>-379.497116506672</v>
      </c>
      <c r="AE53" s="50" t="n">
        <f aca="false">-AE42*Assumptions!$D$55</f>
        <v>-401.418868079355</v>
      </c>
      <c r="AF53" s="50" t="n">
        <f aca="false">-AF42*Assumptions!$D$55</f>
        <v>-424.667356426191</v>
      </c>
      <c r="AG53" s="50" t="n">
        <f aca="false">-AG42*Assumptions!$D$55</f>
        <v>-449.340731889836</v>
      </c>
      <c r="AH53" s="50" t="n">
        <f aca="false">-AH42*Assumptions!$D$55</f>
        <v>-475.544471038973</v>
      </c>
      <c r="AI53" s="50" t="n">
        <f aca="false">-AI42*Assumptions!$D$55</f>
        <v>-503.391820297802</v>
      </c>
      <c r="AJ53" s="50" t="n">
        <f aca="false">-AJ42*Assumptions!$D$55</f>
        <v>-533.004287019563</v>
      </c>
      <c r="AK53" s="50" t="n">
        <f aca="false">-AK42*Assumptions!$D$55</f>
        <v>-564.512177016494</v>
      </c>
      <c r="AL53" s="50" t="n">
        <f aca="false">-AL42*Assumptions!$D$55</f>
        <v>-599.53221843789</v>
      </c>
      <c r="AM53" s="50" t="n">
        <f aca="false">SUM(C53:AL53)</f>
        <v>-8643.22044893418</v>
      </c>
    </row>
    <row r="54" customFormat="false" ht="15" hidden="false" customHeight="false" outlineLevel="0" collapsed="false">
      <c r="A54" s="10" t="s">
        <v>639</v>
      </c>
      <c r="B54" s="9" t="s">
        <v>90</v>
      </c>
      <c r="C54" s="50" t="n">
        <f aca="false">-C45*Assumptions!$D$56</f>
        <v>-0</v>
      </c>
      <c r="D54" s="50" t="n">
        <f aca="false">-D45*Assumptions!$D$56</f>
        <v>-0</v>
      </c>
      <c r="E54" s="50" t="n">
        <f aca="false">-E45*Assumptions!$D$56</f>
        <v>-0</v>
      </c>
      <c r="F54" s="50" t="n">
        <f aca="false">-F45*Assumptions!$D$56</f>
        <v>-0</v>
      </c>
      <c r="G54" s="50" t="n">
        <f aca="false">-G45*Assumptions!$D$56</f>
        <v>-0</v>
      </c>
      <c r="H54" s="50" t="n">
        <f aca="false">-H45*Assumptions!$D$56</f>
        <v>-0</v>
      </c>
      <c r="I54" s="50" t="n">
        <f aca="false">-I45*Assumptions!$D$56</f>
        <v>-0</v>
      </c>
      <c r="J54" s="50" t="n">
        <f aca="false">-J45*Assumptions!$D$56</f>
        <v>-0</v>
      </c>
      <c r="K54" s="50" t="n">
        <f aca="false">-K45*Assumptions!$D$56</f>
        <v>-9.45072094458785</v>
      </c>
      <c r="L54" s="50" t="n">
        <f aca="false">-L45*Assumptions!$D$56</f>
        <v>-18.1020490540743</v>
      </c>
      <c r="M54" s="50" t="n">
        <f aca="false">-M45*Assumptions!$D$56</f>
        <v>-26.1269114727126</v>
      </c>
      <c r="N54" s="50" t="n">
        <f aca="false">-N45*Assumptions!$D$56</f>
        <v>-33.6673694275575</v>
      </c>
      <c r="O54" s="50" t="n">
        <f aca="false">-O45*Assumptions!$D$56</f>
        <v>-40.8408627070301</v>
      </c>
      <c r="P54" s="50" t="n">
        <f aca="false">-P45*Assumptions!$D$56</f>
        <v>-47.745279691845</v>
      </c>
      <c r="Q54" s="50" t="n">
        <f aca="false">-Q45*Assumptions!$D$56</f>
        <v>-54.4630506959537</v>
      </c>
      <c r="R54" s="50" t="n">
        <f aca="false">-R45*Assumptions!$D$56</f>
        <v>-61.0644410641178</v>
      </c>
      <c r="S54" s="50" t="n">
        <f aca="false">-S45*Assumptions!$D$56</f>
        <v>-67.6101960193</v>
      </c>
      <c r="T54" s="50" t="n">
        <f aca="false">-T45*Assumptions!$D$56</f>
        <v>-74.15366503792</v>
      </c>
      <c r="U54" s="50" t="n">
        <f aca="false">-U45*Assumptions!$D$56</f>
        <v>-80.7425112948626</v>
      </c>
      <c r="V54" s="50" t="n">
        <f aca="false">-V45*Assumptions!$D$56</f>
        <v>-87.4200922161948</v>
      </c>
      <c r="W54" s="50" t="n">
        <f aca="false">-W45*Assumptions!$D$56</f>
        <v>-94.2265805873584</v>
      </c>
      <c r="X54" s="50" t="n">
        <f aca="false">-X45*Assumptions!$D$56</f>
        <v>-101.199881858411</v>
      </c>
      <c r="Y54" s="50" t="n">
        <f aca="false">-Y45*Assumptions!$D$56</f>
        <v>-108.376391984196</v>
      </c>
      <c r="Z54" s="50" t="n">
        <f aca="false">-Z45*Assumptions!$D$56</f>
        <v>-115.791630997551</v>
      </c>
      <c r="AA54" s="50" t="n">
        <f aca="false">-AA45*Assumptions!$D$56</f>
        <v>-123.480780195725</v>
      </c>
      <c r="AB54" s="50" t="n">
        <f aca="false">-AB45*Assumptions!$D$56</f>
        <v>-131.479145006711</v>
      </c>
      <c r="AC54" s="50" t="n">
        <f aca="false">-AC45*Assumptions!$D$56</f>
        <v>-139.822561013067</v>
      </c>
      <c r="AD54" s="50" t="n">
        <f aca="false">-AD45*Assumptions!$D$56</f>
        <v>-148.547757007064</v>
      </c>
      <c r="AE54" s="50" t="n">
        <f aca="false">-AE45*Assumptions!$D$56</f>
        <v>-157.692686133326</v>
      </c>
      <c r="AF54" s="50" t="n">
        <f aca="false">-AF45*Assumptions!$D$56</f>
        <v>-167.296833980428</v>
      </c>
      <c r="AG54" s="50" t="n">
        <f aca="false">-AG45*Assumptions!$D$56</f>
        <v>-177.401510779163</v>
      </c>
      <c r="AH54" s="50" t="n">
        <f aca="false">-AH45*Assumptions!$D$56</f>
        <v>-188.050133547079</v>
      </c>
      <c r="AI54" s="50" t="n">
        <f aca="false">-AI45*Assumptions!$D$56</f>
        <v>-199.288503002625</v>
      </c>
      <c r="AJ54" s="50" t="n">
        <f aca="false">-AJ45*Assumptions!$D$56</f>
        <v>-211.165079292115</v>
      </c>
      <c r="AK54" s="50" t="n">
        <f aca="false">-AK45*Assumptions!$D$56</f>
        <v>-223.731259977087</v>
      </c>
      <c r="AL54" s="50" t="n">
        <f aca="false">-AL45*Assumptions!$D$56</f>
        <v>-237.146368998219</v>
      </c>
      <c r="AM54" s="50" t="n">
        <f aca="false">SUM(C54:AL54)</f>
        <v>-3126.08425398628</v>
      </c>
    </row>
    <row r="55" customFormat="false" ht="15" hidden="false" customHeight="false" outlineLevel="0" collapsed="false">
      <c r="A55" s="10" t="s">
        <v>640</v>
      </c>
      <c r="B55" s="9" t="s">
        <v>90</v>
      </c>
      <c r="C55" s="50" t="n">
        <f aca="false">-C45*Assumptions!$D$57</f>
        <v>-0</v>
      </c>
      <c r="D55" s="50" t="n">
        <f aca="false">-D45*Assumptions!$D$57</f>
        <v>-0</v>
      </c>
      <c r="E55" s="50" t="n">
        <f aca="false">-E45*Assumptions!$D$57</f>
        <v>-0</v>
      </c>
      <c r="F55" s="50" t="n">
        <f aca="false">-F45*Assumptions!$D$57</f>
        <v>-0</v>
      </c>
      <c r="G55" s="50" t="n">
        <f aca="false">-G45*Assumptions!$D$57</f>
        <v>-0</v>
      </c>
      <c r="H55" s="50" t="n">
        <f aca="false">-H45*Assumptions!$D$57</f>
        <v>-0</v>
      </c>
      <c r="I55" s="50" t="n">
        <f aca="false">-I45*Assumptions!$D$57</f>
        <v>-0</v>
      </c>
      <c r="J55" s="50" t="n">
        <f aca="false">-J45*Assumptions!$D$57</f>
        <v>-0</v>
      </c>
      <c r="K55" s="50" t="n">
        <f aca="false">-K45*Assumptions!$D$57</f>
        <v>-20.7915860780933</v>
      </c>
      <c r="L55" s="50" t="n">
        <f aca="false">-L45*Assumptions!$D$57</f>
        <v>-39.8245079189636</v>
      </c>
      <c r="M55" s="50" t="n">
        <f aca="false">-M45*Assumptions!$D$57</f>
        <v>-57.4792052399678</v>
      </c>
      <c r="N55" s="50" t="n">
        <f aca="false">-N45*Assumptions!$D$57</f>
        <v>-74.0682127406264</v>
      </c>
      <c r="O55" s="50" t="n">
        <f aca="false">-O45*Assumptions!$D$57</f>
        <v>-89.8498979554663</v>
      </c>
      <c r="P55" s="50" t="n">
        <f aca="false">-P45*Assumptions!$D$57</f>
        <v>-105.039615322059</v>
      </c>
      <c r="Q55" s="50" t="n">
        <f aca="false">-Q45*Assumptions!$D$57</f>
        <v>-119.818711531098</v>
      </c>
      <c r="R55" s="50" t="n">
        <f aca="false">-R45*Assumptions!$D$57</f>
        <v>-134.341770341059</v>
      </c>
      <c r="S55" s="50" t="n">
        <f aca="false">-S45*Assumptions!$D$57</f>
        <v>-148.74243124246</v>
      </c>
      <c r="T55" s="50" t="n">
        <f aca="false">-T45*Assumptions!$D$57</f>
        <v>-163.138063083424</v>
      </c>
      <c r="U55" s="50" t="n">
        <f aca="false">-U45*Assumptions!$D$57</f>
        <v>-177.633524848698</v>
      </c>
      <c r="V55" s="50" t="n">
        <f aca="false">-V45*Assumptions!$D$57</f>
        <v>-192.324202875629</v>
      </c>
      <c r="W55" s="50" t="n">
        <f aca="false">-W45*Assumptions!$D$57</f>
        <v>-207.298477292189</v>
      </c>
      <c r="X55" s="50" t="n">
        <f aca="false">-X45*Assumptions!$D$57</f>
        <v>-222.639740088504</v>
      </c>
      <c r="Y55" s="50" t="n">
        <f aca="false">-Y45*Assumptions!$D$57</f>
        <v>-238.428062365231</v>
      </c>
      <c r="Z55" s="50" t="n">
        <f aca="false">-Z45*Assumptions!$D$57</f>
        <v>-254.741588194612</v>
      </c>
      <c r="AA55" s="50" t="n">
        <f aca="false">-AA45*Assumptions!$D$57</f>
        <v>-271.657716430596</v>
      </c>
      <c r="AB55" s="50" t="n">
        <f aca="false">-AB45*Assumptions!$D$57</f>
        <v>-289.254119014764</v>
      </c>
      <c r="AC55" s="50" t="n">
        <f aca="false">-AC45*Assumptions!$D$57</f>
        <v>-307.609634228748</v>
      </c>
      <c r="AD55" s="50" t="n">
        <f aca="false">-AD45*Assumptions!$D$57</f>
        <v>-326.80506541554</v>
      </c>
      <c r="AE55" s="50" t="n">
        <f aca="false">-AE45*Assumptions!$D$57</f>
        <v>-346.923909493318</v>
      </c>
      <c r="AF55" s="50" t="n">
        <f aca="false">-AF45*Assumptions!$D$57</f>
        <v>-368.053034756943</v>
      </c>
      <c r="AG55" s="50" t="n">
        <f aca="false">-AG45*Assumptions!$D$57</f>
        <v>-390.283323714159</v>
      </c>
      <c r="AH55" s="50" t="n">
        <f aca="false">-AH45*Assumptions!$D$57</f>
        <v>-413.710293803575</v>
      </c>
      <c r="AI55" s="50" t="n">
        <f aca="false">-AI45*Assumptions!$D$57</f>
        <v>-438.434706605776</v>
      </c>
      <c r="AJ55" s="50" t="n">
        <f aca="false">-AJ45*Assumptions!$D$57</f>
        <v>-464.563174442654</v>
      </c>
      <c r="AK55" s="50" t="n">
        <f aca="false">-AK45*Assumptions!$D$57</f>
        <v>-492.208771949592</v>
      </c>
      <c r="AL55" s="50" t="n">
        <f aca="false">-AL45*Assumptions!$D$57</f>
        <v>-521.722011796081</v>
      </c>
      <c r="AM55" s="50" t="n">
        <f aca="false">SUM(C55:AL55)</f>
        <v>-6877.38535876983</v>
      </c>
    </row>
    <row r="56" customFormat="false" ht="15" hidden="false" customHeight="false" outlineLevel="0" collapsed="false">
      <c r="A56" s="10" t="s">
        <v>641</v>
      </c>
      <c r="B56" s="9" t="s">
        <v>90</v>
      </c>
      <c r="C56" s="50" t="n">
        <f aca="false">-C45*Assumptions!$D$58</f>
        <v>-0</v>
      </c>
      <c r="D56" s="50" t="n">
        <f aca="false">-D45*Assumptions!$D$58</f>
        <v>-0</v>
      </c>
      <c r="E56" s="50" t="n">
        <f aca="false">-E45*Assumptions!$D$58</f>
        <v>-0</v>
      </c>
      <c r="F56" s="50" t="n">
        <f aca="false">-F45*Assumptions!$D$58</f>
        <v>-0</v>
      </c>
      <c r="G56" s="50" t="n">
        <f aca="false">-G45*Assumptions!$D$58</f>
        <v>-0</v>
      </c>
      <c r="H56" s="50" t="n">
        <f aca="false">-H45*Assumptions!$D$58</f>
        <v>-0</v>
      </c>
      <c r="I56" s="50" t="n">
        <f aca="false">-I45*Assumptions!$D$58</f>
        <v>-0</v>
      </c>
      <c r="J56" s="50" t="n">
        <f aca="false">-J45*Assumptions!$D$58</f>
        <v>-0</v>
      </c>
      <c r="K56" s="50" t="n">
        <f aca="false">-K45*Assumptions!$D$58</f>
        <v>-5.67043256675271</v>
      </c>
      <c r="L56" s="50" t="n">
        <f aca="false">-L45*Assumptions!$D$58</f>
        <v>-10.8612294324446</v>
      </c>
      <c r="M56" s="50" t="n">
        <f aca="false">-M45*Assumptions!$D$58</f>
        <v>-15.6761468836276</v>
      </c>
      <c r="N56" s="50" t="n">
        <f aca="false">-N45*Assumptions!$D$58</f>
        <v>-20.2004216565345</v>
      </c>
      <c r="O56" s="50" t="n">
        <f aca="false">-O45*Assumptions!$D$58</f>
        <v>-24.5045176242181</v>
      </c>
      <c r="P56" s="50" t="n">
        <f aca="false">-P45*Assumptions!$D$58</f>
        <v>-28.647167815107</v>
      </c>
      <c r="Q56" s="50" t="n">
        <f aca="false">-Q45*Assumptions!$D$58</f>
        <v>-32.6778304175722</v>
      </c>
      <c r="R56" s="50" t="n">
        <f aca="false">-R45*Assumptions!$D$58</f>
        <v>-36.6386646384707</v>
      </c>
      <c r="S56" s="50" t="n">
        <f aca="false">-S45*Assumptions!$D$58</f>
        <v>-40.56611761158</v>
      </c>
      <c r="T56" s="50" t="n">
        <f aca="false">-T45*Assumptions!$D$58</f>
        <v>-44.492199022752</v>
      </c>
      <c r="U56" s="50" t="n">
        <f aca="false">-U45*Assumptions!$D$58</f>
        <v>-48.4455067769175</v>
      </c>
      <c r="V56" s="50" t="n">
        <f aca="false">-V45*Assumptions!$D$58</f>
        <v>-52.4520553297169</v>
      </c>
      <c r="W56" s="50" t="n">
        <f aca="false">-W45*Assumptions!$D$58</f>
        <v>-56.5359483524151</v>
      </c>
      <c r="X56" s="50" t="n">
        <f aca="false">-X45*Assumptions!$D$58</f>
        <v>-60.7199291150465</v>
      </c>
      <c r="Y56" s="50" t="n">
        <f aca="false">-Y45*Assumptions!$D$58</f>
        <v>-65.0258351905176</v>
      </c>
      <c r="Z56" s="50" t="n">
        <f aca="false">-Z45*Assumptions!$D$58</f>
        <v>-69.4749785985306</v>
      </c>
      <c r="AA56" s="50" t="n">
        <f aca="false">-AA45*Assumptions!$D$58</f>
        <v>-74.0884681174352</v>
      </c>
      <c r="AB56" s="50" t="n">
        <f aca="false">-AB45*Assumptions!$D$58</f>
        <v>-78.8874870040267</v>
      </c>
      <c r="AC56" s="50" t="n">
        <f aca="false">-AC45*Assumptions!$D$58</f>
        <v>-83.8935366078404</v>
      </c>
      <c r="AD56" s="50" t="n">
        <f aca="false">-AD45*Assumptions!$D$58</f>
        <v>-89.1286542042383</v>
      </c>
      <c r="AE56" s="50" t="n">
        <f aca="false">-AE45*Assumptions!$D$58</f>
        <v>-94.6156116799959</v>
      </c>
      <c r="AF56" s="50" t="n">
        <f aca="false">-AF45*Assumptions!$D$58</f>
        <v>-100.378100388257</v>
      </c>
      <c r="AG56" s="50" t="n">
        <f aca="false">-AG45*Assumptions!$D$58</f>
        <v>-106.440906467498</v>
      </c>
      <c r="AH56" s="50" t="n">
        <f aca="false">-AH45*Assumptions!$D$58</f>
        <v>-112.830080128248</v>
      </c>
      <c r="AI56" s="50" t="n">
        <f aca="false">-AI45*Assumptions!$D$58</f>
        <v>-119.573101801575</v>
      </c>
      <c r="AJ56" s="50" t="n">
        <f aca="false">-AJ45*Assumptions!$D$58</f>
        <v>-126.699047575269</v>
      </c>
      <c r="AK56" s="50" t="n">
        <f aca="false">-AK45*Assumptions!$D$58</f>
        <v>-134.238755986252</v>
      </c>
      <c r="AL56" s="50" t="n">
        <f aca="false">-AL45*Assumptions!$D$58</f>
        <v>-142.287821398931</v>
      </c>
      <c r="AM56" s="50" t="n">
        <f aca="false">SUM(C56:AL56)</f>
        <v>-1875.65055239177</v>
      </c>
    </row>
    <row r="57" customFormat="false" ht="15" hidden="false" customHeight="false" outlineLevel="0" collapsed="false">
      <c r="A57" s="10" t="s">
        <v>642</v>
      </c>
      <c r="B57" s="9" t="s">
        <v>90</v>
      </c>
      <c r="C57" s="50" t="n">
        <f aca="false">-C51*Assumptions!$D$60</f>
        <v>-0</v>
      </c>
      <c r="D57" s="50" t="n">
        <f aca="false">-D51*Assumptions!$D$60</f>
        <v>-0</v>
      </c>
      <c r="E57" s="50" t="n">
        <f aca="false">-E51*Assumptions!$D$60</f>
        <v>-0</v>
      </c>
      <c r="F57" s="50" t="n">
        <f aca="false">-F51*Assumptions!$D$60</f>
        <v>-0</v>
      </c>
      <c r="G57" s="50" t="n">
        <f aca="false">-G51*Assumptions!$D$60</f>
        <v>-0</v>
      </c>
      <c r="H57" s="50" t="n">
        <f aca="false">-H51*Assumptions!$D$60</f>
        <v>-0</v>
      </c>
      <c r="I57" s="50" t="n">
        <f aca="false">-I51*Assumptions!$D$60</f>
        <v>-0</v>
      </c>
      <c r="J57" s="50" t="n">
        <f aca="false">-J51*Assumptions!$D$60</f>
        <v>-0</v>
      </c>
      <c r="K57" s="50" t="n">
        <f aca="false">-K51*Assumptions!$D$60</f>
        <v>-11.6453261789641</v>
      </c>
      <c r="L57" s="50" t="n">
        <f aca="false">-L51*Assumptions!$D$60</f>
        <v>-17.2006108167157</v>
      </c>
      <c r="M57" s="50" t="n">
        <f aca="false">-M51*Assumptions!$D$60</f>
        <v>-22.4157644562522</v>
      </c>
      <c r="N57" s="50" t="n">
        <f aca="false">-N51*Assumptions!$D$60</f>
        <v>-27.3724267193248</v>
      </c>
      <c r="O57" s="50" t="n">
        <f aca="false">-O51*Assumptions!$D$60</f>
        <v>-32.138571217769</v>
      </c>
      <c r="P57" s="50" t="n">
        <f aca="false">-P51*Assumptions!$D$60</f>
        <v>-36.7713798308902</v>
      </c>
      <c r="Q57" s="50" t="n">
        <f aca="false">-Q51*Assumptions!$D$60</f>
        <v>-41.3195478941974</v>
      </c>
      <c r="R57" s="50" t="n">
        <f aca="false">-R51*Assumptions!$D$60</f>
        <v>-45.8251308965607</v>
      </c>
      <c r="S57" s="50" t="n">
        <f aca="false">-S51*Assumptions!$D$60</f>
        <v>-50.3250246626171</v>
      </c>
      <c r="T57" s="50" t="n">
        <f aca="false">-T51*Assumptions!$D$60</f>
        <v>-54.8521543680278</v>
      </c>
      <c r="U57" s="50" t="n">
        <f aca="false">-U51*Assumptions!$D$60</f>
        <v>-59.4364334157975</v>
      </c>
      <c r="V57" s="50" t="n">
        <f aca="false">-V51*Assumptions!$D$60</f>
        <v>-64.1055411801735</v>
      </c>
      <c r="W57" s="50" t="n">
        <f aca="false">-W51*Assumptions!$D$60</f>
        <v>-68.8855587174309</v>
      </c>
      <c r="X57" s="50" t="n">
        <f aca="false">-X51*Assumptions!$D$60</f>
        <v>-73.8014934922062</v>
      </c>
      <c r="Y57" s="50" t="n">
        <f aca="false">-Y51*Assumptions!$D$60</f>
        <v>-78.8777176971755</v>
      </c>
      <c r="Z57" s="50" t="n">
        <f aca="false">-Z51*Assumptions!$D$60</f>
        <v>-84.13833958764</v>
      </c>
      <c r="AA57" s="50" t="n">
        <f aca="false">-AA51*Assumptions!$D$60</f>
        <v>-89.607523172372</v>
      </c>
      <c r="AB57" s="50" t="n">
        <f aca="false">-AB51*Assumptions!$D$60</f>
        <v>-95.3097683915506</v>
      </c>
      <c r="AC57" s="50" t="n">
        <f aca="false">-AC51*Assumptions!$D$60</f>
        <v>-101.270161398122</v>
      </c>
      <c r="AD57" s="50" t="n">
        <f aca="false">-AD51*Assumptions!$D$60</f>
        <v>-107.514602597227</v>
      </c>
      <c r="AE57" s="50" t="n">
        <f aca="false">-AE51*Assumptions!$D$60</f>
        <v>-114.070018573031</v>
      </c>
      <c r="AF57" s="50" t="n">
        <f aca="false">-AF51*Assumptions!$D$60</f>
        <v>-120.964562849939</v>
      </c>
      <c r="AG57" s="50" t="n">
        <f aca="false">-AG51*Assumptions!$D$60</f>
        <v>-128.227809521345</v>
      </c>
      <c r="AH57" s="50" t="n">
        <f aca="false">-AH51*Assumptions!$D$60</f>
        <v>-135.890943075149</v>
      </c>
      <c r="AI57" s="50" t="n">
        <f aca="false">-AI51*Assumptions!$D$60</f>
        <v>-143.986947205047</v>
      </c>
      <c r="AJ57" s="50" t="n">
        <f aca="false">-AJ51*Assumptions!$D$60</f>
        <v>-152.550794984274</v>
      </c>
      <c r="AK57" s="50" t="n">
        <f aca="false">-AK51*Assumptions!$D$60</f>
        <v>-161.619642465922</v>
      </c>
      <c r="AL57" s="50" t="n">
        <f aca="false">-AL51*Assumptions!$D$60</f>
        <v>-171.362047565486</v>
      </c>
      <c r="AM57" s="50" t="n">
        <f aca="false">SUM(C57:AL57)</f>
        <v>-2291.48584293121</v>
      </c>
    </row>
    <row r="58" customFormat="false" ht="15" hidden="false" customHeight="false" outlineLevel="0" collapsed="false">
      <c r="A58" s="26" t="s">
        <v>643</v>
      </c>
      <c r="B58" s="9" t="s">
        <v>90</v>
      </c>
      <c r="C58" s="35" t="n">
        <f aca="false">C51+C52+C53+C54+C55+C56+C57</f>
        <v>0</v>
      </c>
      <c r="D58" s="35" t="n">
        <f aca="false">D51+D52+D53+D54+D55+D56+D57</f>
        <v>0</v>
      </c>
      <c r="E58" s="35" t="n">
        <f aca="false">E51+E52+E53+E54+E55+E56+E57</f>
        <v>0</v>
      </c>
      <c r="F58" s="35" t="n">
        <f aca="false">F51+F52+F53+F54+F55+F56+F57</f>
        <v>0</v>
      </c>
      <c r="G58" s="35" t="n">
        <f aca="false">G51+G52+G53+G54+G55+G56+G57</f>
        <v>0</v>
      </c>
      <c r="H58" s="35" t="n">
        <f aca="false">H51+H52+H53+H54+H55+H56+H57</f>
        <v>0</v>
      </c>
      <c r="I58" s="35" t="n">
        <f aca="false">I51+I52+I53+I54+I55+I56+I57</f>
        <v>0</v>
      </c>
      <c r="J58" s="35" t="n">
        <f aca="false">J51+J52+J53+J54+J55+J56+J57</f>
        <v>0</v>
      </c>
      <c r="K58" s="35" t="n">
        <f aca="false">K51+K52+K53+K54+K55+K56+K57</f>
        <v>83.8084273099909</v>
      </c>
      <c r="L58" s="35" t="n">
        <f aca="false">L51+L52+L53+L54+L55+L56+L57</f>
        <v>122.087237659431</v>
      </c>
      <c r="M58" s="35" t="n">
        <f aca="false">M51+M52+M53+M54+M55+M56+M57</f>
        <v>158.062104752792</v>
      </c>
      <c r="N58" s="35" t="n">
        <f aca="false">N51+N52+N53+N54+N55+N56+N57</f>
        <v>192.289440779866</v>
      </c>
      <c r="O58" s="35" t="n">
        <f aca="false">O51+O52+O53+O54+O55+O56+O57</f>
        <v>225.232863088587</v>
      </c>
      <c r="P58" s="35" t="n">
        <f aca="false">P51+P52+P53+P54+P55+P56+P57</f>
        <v>257.28275560365</v>
      </c>
      <c r="Q58" s="35" t="n">
        <f aca="false">Q51+Q52+Q53+Q54+Q55+Q56+Q57</f>
        <v>288.77194606295</v>
      </c>
      <c r="R58" s="35" t="n">
        <f aca="false">R51+R52+R53+R54+R55+R56+R57</f>
        <v>319.988259413884</v>
      </c>
      <c r="S58" s="35" t="n">
        <f aca="false">S51+S52+S53+S54+S55+S56+S57</f>
        <v>351.184577542381</v>
      </c>
      <c r="T58" s="35" t="n">
        <f aca="false">T51+T52+T53+T54+T55+T56+T57</f>
        <v>382.586920232965</v>
      </c>
      <c r="U58" s="35" t="n">
        <f aca="false">U51+U52+U53+U54+U55+U56+U57</f>
        <v>414.400963563926</v>
      </c>
      <c r="V58" s="35" t="n">
        <f aca="false">V51+V52+V53+V54+V55+V56+V57</f>
        <v>446.817329427189</v>
      </c>
      <c r="W58" s="35" t="n">
        <f aca="false">W51+W52+W53+W54+W55+W56+W57</f>
        <v>480.01591207356</v>
      </c>
      <c r="X58" s="35" t="n">
        <f aca="false">X51+X52+X53+X54+X55+X56+X57</f>
        <v>514.169452631862</v>
      </c>
      <c r="Y58" s="35" t="n">
        <f aca="false">Y51+Y52+Y53+Y54+Y55+Y56+Y57</f>
        <v>549.446528466484</v>
      </c>
      <c r="Z58" s="35" t="n">
        <f aca="false">Z51+Z52+Z53+Z54+Z55+Z56+Z57</f>
        <v>586.014089164415</v>
      </c>
      <c r="AA58" s="35" t="n">
        <f aca="false">AA51+AA52+AA53+AA54+AA55+AA56+AA57</f>
        <v>624.03964322384</v>
      </c>
      <c r="AB58" s="35" t="n">
        <f aca="false">AB51+AB52+AB53+AB54+AB55+AB56+AB57</f>
        <v>663.693177728264</v>
      </c>
      <c r="AC58" s="35" t="n">
        <f aca="false">AC51+AC52+AC53+AC54+AC55+AC56+AC57</f>
        <v>705.148876240419</v>
      </c>
      <c r="AD58" s="35" t="n">
        <f aca="false">AD51+AD52+AD53+AD54+AD55+AD56+AD57</f>
        <v>748.58668685844</v>
      </c>
      <c r="AE58" s="35" t="n">
        <f aca="false">AE51+AE52+AE53+AE54+AE55+AE56+AE57</f>
        <v>794.193782048279</v>
      </c>
      <c r="AF58" s="35" t="n">
        <f aca="false">AF51+AF52+AF53+AF54+AF55+AF56+AF57</f>
        <v>842.165943864329</v>
      </c>
      <c r="AG58" s="35" t="n">
        <f aca="false">AG51+AG52+AG53+AG54+AG55+AG56+AG57</f>
        <v>892.708901988817</v>
      </c>
      <c r="AH58" s="35" t="n">
        <f aca="false">AH51+AH52+AH53+AH54+AH55+AH56+AH57</f>
        <v>946.039647261055</v>
      </c>
      <c r="AI58" s="35" t="n">
        <f aca="false">AI51+AI52+AI53+AI54+AI55+AI56+AI57</f>
        <v>1002.38773971734</v>
      </c>
      <c r="AJ58" s="35" t="n">
        <f aca="false">AJ51+AJ52+AJ53+AJ54+AJ55+AJ56+AJ57</f>
        <v>1061.99662737748</v>
      </c>
      <c r="AK58" s="35" t="n">
        <f aca="false">AK51+AK52+AK53+AK54+AK55+AK56+AK57</f>
        <v>1125.12498990529</v>
      </c>
      <c r="AL58" s="35" t="n">
        <f aca="false">AL51+AL52+AL53+AL54+AL55+AL56+AL57</f>
        <v>1192.97664374355</v>
      </c>
      <c r="AM58" s="35" t="n">
        <f aca="false">SUM(C58:AL58)</f>
        <v>15971.221467731</v>
      </c>
    </row>
    <row r="59" customFormat="false" ht="15" hidden="false" customHeight="false" outlineLevel="0" collapsed="false">
      <c r="A59" s="10" t="s">
        <v>644</v>
      </c>
      <c r="B59" s="9" t="s">
        <v>54</v>
      </c>
      <c r="C59" s="44" t="n">
        <f aca="false">IFERROR(C58/C51,0)</f>
        <v>0</v>
      </c>
      <c r="D59" s="44" t="n">
        <f aca="false">IFERROR(D58/D51,0)</f>
        <v>0</v>
      </c>
      <c r="E59" s="44" t="n">
        <f aca="false">IFERROR(E58/E51,0)</f>
        <v>0</v>
      </c>
      <c r="F59" s="44" t="n">
        <f aca="false">IFERROR(F58/F51,0)</f>
        <v>0</v>
      </c>
      <c r="G59" s="44" t="n">
        <f aca="false">IFERROR(G58/G51,0)</f>
        <v>0</v>
      </c>
      <c r="H59" s="44" t="n">
        <f aca="false">IFERROR(H58/H51,0)</f>
        <v>0</v>
      </c>
      <c r="I59" s="44" t="n">
        <f aca="false">IFERROR(I58/I51,0)</f>
        <v>0</v>
      </c>
      <c r="J59" s="44" t="n">
        <f aca="false">IFERROR(J58/J51,0)</f>
        <v>0</v>
      </c>
      <c r="K59" s="44" t="n">
        <f aca="false">IFERROR(K58/K51,0)</f>
        <v>0.230295797018051</v>
      </c>
      <c r="L59" s="44" t="n">
        <f aca="false">IFERROR(L58/L51,0)</f>
        <v>0.227130980796631</v>
      </c>
      <c r="M59" s="44" t="n">
        <f aca="false">IFERROR(M58/M51,0)</f>
        <v>0.225644205084363</v>
      </c>
      <c r="N59" s="44" t="n">
        <f aca="false">IFERROR(N58/N51,0)</f>
        <v>0.224797829145763</v>
      </c>
      <c r="O59" s="44" t="n">
        <f aca="false">IFERROR(O58/O51,0)</f>
        <v>0.224261731176459</v>
      </c>
      <c r="P59" s="44" t="n">
        <f aca="false">IFERROR(P58/P51,0)</f>
        <v>0.223898265911701</v>
      </c>
      <c r="Q59" s="44" t="n">
        <f aca="false">IFERROR(Q58/Q51,0)</f>
        <v>0.223639965705242</v>
      </c>
      <c r="R59" s="44" t="n">
        <f aca="false">IFERROR(R58/R51,0)</f>
        <v>0.223449973866039</v>
      </c>
      <c r="S59" s="44" t="n">
        <f aca="false">IFERROR(S58/S51,0)</f>
        <v>0.2233065270548</v>
      </c>
      <c r="T59" s="44" t="n">
        <f aca="false">IFERROR(T58/T51,0)</f>
        <v>0.223196000020575</v>
      </c>
      <c r="U59" s="44" t="n">
        <f aca="false">IFERROR(U58/U51,0)</f>
        <v>0.223109464548071</v>
      </c>
      <c r="V59" s="44" t="n">
        <f aca="false">IFERROR(V58/V51,0)</f>
        <v>0.223040852295186</v>
      </c>
      <c r="W59" s="44" t="n">
        <f aca="false">IFERROR(W58/W51,0)</f>
        <v>0.222985912756589</v>
      </c>
      <c r="X59" s="44" t="n">
        <f aca="false">IFERROR(X58/X51,0)</f>
        <v>0.222941592448358</v>
      </c>
      <c r="Y59" s="44" t="n">
        <f aca="false">IFERROR(Y58/Y51,0)</f>
        <v>0.222905649709957</v>
      </c>
      <c r="Z59" s="44" t="n">
        <f aca="false">IFERROR(Z58/Z51,0)</f>
        <v>0.222876407416246</v>
      </c>
      <c r="AA59" s="44" t="n">
        <f aca="false">IFERROR(AA58/AA51,0)</f>
        <v>0.222852589561585</v>
      </c>
      <c r="AB59" s="44" t="n">
        <f aca="false">IFERROR(AB58/AB51,0)</f>
        <v>0.222833210548303</v>
      </c>
      <c r="AC59" s="44" t="n">
        <f aca="false">IFERROR(AC58/AC51,0)</f>
        <v>0.222817498542189</v>
      </c>
      <c r="AD59" s="44" t="n">
        <f aca="false">IFERROR(AD58/AD51,0)</f>
        <v>0.22280484139638</v>
      </c>
      <c r="AE59" s="44" t="n">
        <f aca="false">IFERROR(AE58/AE51,0)</f>
        <v>0.222794747852819</v>
      </c>
      <c r="AF59" s="44" t="n">
        <f aca="false">IFERROR(AF58/AF51,0)</f>
        <v>0.222786819285994</v>
      </c>
      <c r="AG59" s="44" t="n">
        <f aca="false">IFERROR(AG58/AG51,0)</f>
        <v>0.222780728847176</v>
      </c>
      <c r="AH59" s="44" t="n">
        <f aca="false">IFERROR(AH58/AH51,0)</f>
        <v>0.22277620588454</v>
      </c>
      <c r="AI59" s="44" t="n">
        <f aca="false">IFERROR(AI58/AI51,0)</f>
        <v>0.222773024177502</v>
      </c>
      <c r="AJ59" s="44" t="n">
        <f aca="false">IFERROR(AJ58/AJ51,0)</f>
        <v>0.222770992963902</v>
      </c>
      <c r="AK59" s="44" t="n">
        <f aca="false">IFERROR(AK58/AK51,0)</f>
        <v>0.222769950035998</v>
      </c>
      <c r="AL59" s="44" t="n">
        <f aca="false">IFERROR(AL58/AL51,0)</f>
        <v>0.222775422808862</v>
      </c>
      <c r="AM59" s="44" t="n">
        <f aca="false">AVERAGE(N59:AL59)</f>
        <v>0.22311784815841</v>
      </c>
    </row>
    <row r="60" customFormat="false" ht="15" hidden="false" customHeight="false" outlineLevel="0" collapsed="false">
      <c r="A60" s="26" t="s">
        <v>645</v>
      </c>
      <c r="B60" s="9" t="s">
        <v>90</v>
      </c>
      <c r="C60" s="35" t="n">
        <f aca="false">C31+C51</f>
        <v>0</v>
      </c>
      <c r="D60" s="35" t="n">
        <f aca="false">D31+D51</f>
        <v>0</v>
      </c>
      <c r="E60" s="35" t="n">
        <f aca="false">E31+E51</f>
        <v>10263.7827780923</v>
      </c>
      <c r="F60" s="35" t="n">
        <f aca="false">F31+F51</f>
        <v>10074.9225325647</v>
      </c>
      <c r="G60" s="35" t="n">
        <f aca="false">G31+G51</f>
        <v>10847.7727658042</v>
      </c>
      <c r="H60" s="35" t="n">
        <f aca="false">H31+H51</f>
        <v>11665.9616088595</v>
      </c>
      <c r="I60" s="35" t="n">
        <f aca="false">I31+I51</f>
        <v>12401.3892651387</v>
      </c>
      <c r="J60" s="35" t="n">
        <f aca="false">J31+J51</f>
        <v>13071.8835536352</v>
      </c>
      <c r="K60" s="35" t="n">
        <f aca="false">K31+K51</f>
        <v>14055.147497638</v>
      </c>
      <c r="L60" s="35" t="n">
        <f aca="false">L31+L51</f>
        <v>14807.7703629466</v>
      </c>
      <c r="M60" s="35" t="n">
        <f aca="false">M31+M51</f>
        <v>15518.0695416248</v>
      </c>
      <c r="N60" s="35" t="n">
        <f aca="false">N31+N51</f>
        <v>16195.6102615558</v>
      </c>
      <c r="O60" s="35" t="n">
        <f aca="false">O31+O51</f>
        <v>16848.326913357</v>
      </c>
      <c r="P60" s="35" t="n">
        <f aca="false">P31+P51</f>
        <v>17482.9170774357</v>
      </c>
      <c r="Q60" s="35" t="n">
        <f aca="false">Q31+Q51</f>
        <v>18105.1376796758</v>
      </c>
      <c r="R60" s="35" t="n">
        <f aca="false">R31+R51</f>
        <v>18720.0288262662</v>
      </c>
      <c r="S60" s="35" t="n">
        <f aca="false">S31+S51</f>
        <v>19332.0841372737</v>
      </c>
      <c r="T60" s="35" t="n">
        <f aca="false">T31+T51</f>
        <v>19945.381448692</v>
      </c>
      <c r="U60" s="35" t="n">
        <f aca="false">U31+U51</f>
        <v>20563.6841128581</v>
      </c>
      <c r="V60" s="35" t="n">
        <f aca="false">V31+V51</f>
        <v>21190.5204505953</v>
      </c>
      <c r="W60" s="35" t="n">
        <f aca="false">W31+W51</f>
        <v>21829.2469401221</v>
      </c>
      <c r="X60" s="35" t="n">
        <f aca="false">X31+X51</f>
        <v>22483.0992800177</v>
      </c>
      <c r="Y60" s="35" t="n">
        <f aca="false">Y31+Y51</f>
        <v>23155.2343984035</v>
      </c>
      <c r="Z60" s="35" t="n">
        <f aca="false">Z31+Z51</f>
        <v>23848.7656965701</v>
      </c>
      <c r="AA60" s="35" t="n">
        <f aca="false">AA31+AA51</f>
        <v>24566.7932380458</v>
      </c>
      <c r="AB60" s="35" t="n">
        <f aca="false">AB31+AB51</f>
        <v>25312.4301688054</v>
      </c>
      <c r="AC60" s="35" t="n">
        <f aca="false">AC31+AC51</f>
        <v>26088.8263407585</v>
      </c>
      <c r="AD60" s="35" t="n">
        <f aca="false">AD31+AD51</f>
        <v>26899.1898792892</v>
      </c>
      <c r="AE60" s="35" t="n">
        <f aca="false">AE31+AE51</f>
        <v>27746.807264766</v>
      </c>
      <c r="AF60" s="35" t="n">
        <f aca="false">AF31+AF51</f>
        <v>28635.0623716703</v>
      </c>
      <c r="AG60" s="35" t="n">
        <f aca="false">AG31+AG51</f>
        <v>29567.4548156114</v>
      </c>
      <c r="AH60" s="35" t="n">
        <f aca="false">AH31+AH51</f>
        <v>30547.6178894132</v>
      </c>
      <c r="AI60" s="35" t="n">
        <f aca="false">AI31+AI51</f>
        <v>31579.3363183751</v>
      </c>
      <c r="AJ60" s="35" t="n">
        <f aca="false">AJ31+AJ51</f>
        <v>32666.5640270725</v>
      </c>
      <c r="AK60" s="35" t="n">
        <f aca="false">AK31+AK51</f>
        <v>33813.4420822882</v>
      </c>
      <c r="AL60" s="35" t="n">
        <f aca="false">AL31+AL51</f>
        <v>35050.430069355</v>
      </c>
      <c r="AM60" s="35" t="n">
        <f aca="false">SUM(C60:AL60)</f>
        <v>724880.691594578</v>
      </c>
    </row>
    <row r="61" customFormat="false" ht="15" hidden="false" customHeight="false" outlineLevel="0" collapsed="false">
      <c r="A61" s="26" t="s">
        <v>646</v>
      </c>
      <c r="B61" s="9" t="s">
        <v>90</v>
      </c>
      <c r="C61" s="35" t="n">
        <f aca="false">C35+C58</f>
        <v>0</v>
      </c>
      <c r="D61" s="35" t="n">
        <f aca="false">D35+D58</f>
        <v>0</v>
      </c>
      <c r="E61" s="35" t="n">
        <f aca="false">E35+E58</f>
        <v>5391.47956180874</v>
      </c>
      <c r="F61" s="35" t="n">
        <f aca="false">F35+F58</f>
        <v>5292.27284866845</v>
      </c>
      <c r="G61" s="35" t="n">
        <f aca="false">G35+G58</f>
        <v>5698.24463577058</v>
      </c>
      <c r="H61" s="35" t="n">
        <f aca="false">H35+H58</f>
        <v>6128.03241678714</v>
      </c>
      <c r="I61" s="35" t="n">
        <f aca="false">I35+I58</f>
        <v>6514.34643606683</v>
      </c>
      <c r="J61" s="35" t="n">
        <f aca="false">J35+J58</f>
        <v>6866.55149836164</v>
      </c>
      <c r="K61" s="35" t="n">
        <f aca="false">K35+K58</f>
        <v>7275.69800667055</v>
      </c>
      <c r="L61" s="35" t="n">
        <f aca="false">L35+L58</f>
        <v>7618.13131361652</v>
      </c>
      <c r="M61" s="35" t="n">
        <f aca="false">M35+M58</f>
        <v>7941.61177175863</v>
      </c>
      <c r="N61" s="35" t="n">
        <f aca="false">N35+N58</f>
        <v>8250.38018362801</v>
      </c>
      <c r="O61" s="35" t="n">
        <f aca="false">O35+O58</f>
        <v>8547.95222422363</v>
      </c>
      <c r="P61" s="35" t="n">
        <f aca="false">P35+P58</f>
        <v>8837.29779924868</v>
      </c>
      <c r="Q61" s="35" t="n">
        <f aca="false">Q35+Q58</f>
        <v>9120.97444994755</v>
      </c>
      <c r="R61" s="35" t="n">
        <f aca="false">R35+R58</f>
        <v>9401.2271708653</v>
      </c>
      <c r="S61" s="35" t="n">
        <f aca="false">S35+S58</f>
        <v>9680.06364664903</v>
      </c>
      <c r="T61" s="35" t="n">
        <f aca="false">T35+T58</f>
        <v>9959.31147158636</v>
      </c>
      <c r="U61" s="35" t="n">
        <f aca="false">U35+U58</f>
        <v>10240.6621399607</v>
      </c>
      <c r="V61" s="35" t="n">
        <f aca="false">V35+V58</f>
        <v>10525.7053041701</v>
      </c>
      <c r="W61" s="35" t="n">
        <f aca="false">W35+W58</f>
        <v>10815.9558584553</v>
      </c>
      <c r="X61" s="35" t="n">
        <f aca="false">X35+X58</f>
        <v>11112.8757227954</v>
      </c>
      <c r="Y61" s="35" t="n">
        <f aca="false">Y35+Y58</f>
        <v>11417.8917041608</v>
      </c>
      <c r="Z61" s="35" t="n">
        <f aca="false">Z35+Z58</f>
        <v>11732.4104500911</v>
      </c>
      <c r="AA61" s="35" t="n">
        <f aca="false">AA35+AA58</f>
        <v>12057.8312456083</v>
      </c>
      <c r="AB61" s="35" t="n">
        <f aca="false">AB35+AB58</f>
        <v>12395.5572119833</v>
      </c>
      <c r="AC61" s="35" t="n">
        <f aca="false">AC35+AC58</f>
        <v>12747.0053253915</v>
      </c>
      <c r="AD61" s="35" t="n">
        <f aca="false">AD35+AD58</f>
        <v>13113.6155708677</v>
      </c>
      <c r="AE61" s="35" t="n">
        <f aca="false">AE35+AE58</f>
        <v>13496.8594719321</v>
      </c>
      <c r="AF61" s="35" t="n">
        <f aca="false">AF35+AF58</f>
        <v>13898.2481813377</v>
      </c>
      <c r="AG61" s="35" t="n">
        <f aca="false">AG35+AG58</f>
        <v>14319.3402781576</v>
      </c>
      <c r="AH61" s="35" t="n">
        <f aca="false">AH35+AH58</f>
        <v>14761.7493869358</v>
      </c>
      <c r="AI61" s="35" t="n">
        <f aca="false">AI35+AI58</f>
        <v>15227.1517130118</v>
      </c>
      <c r="AJ61" s="35" t="n">
        <f aca="false">AJ35+AJ58</f>
        <v>15717.2935722876</v>
      </c>
      <c r="AK61" s="35" t="n">
        <f aca="false">AK35+AK58</f>
        <v>16233.9989821412</v>
      </c>
      <c r="AL61" s="35" t="n">
        <f aca="false">AL35+AL58</f>
        <v>16791.7049857245</v>
      </c>
      <c r="AM61" s="35" t="n">
        <f aca="false">SUM(C61:AL61)</f>
        <v>359129.43254067</v>
      </c>
    </row>
    <row r="62" customFormat="false" ht="15" hidden="false" customHeight="false" outlineLevel="0" collapsed="false">
      <c r="A62" s="26" t="s">
        <v>647</v>
      </c>
      <c r="B62" s="9" t="s">
        <v>54</v>
      </c>
      <c r="C62" s="34" t="n">
        <f aca="false">IFERROR(C61/C60,0)</f>
        <v>0</v>
      </c>
      <c r="D62" s="34" t="n">
        <f aca="false">IFERROR(D61/D60,0)</f>
        <v>0</v>
      </c>
      <c r="E62" s="34" t="n">
        <f aca="false">IFERROR(E61/E60,0)</f>
        <v>0.525291666666667</v>
      </c>
      <c r="F62" s="34" t="n">
        <f aca="false">IFERROR(F61/F60,0)</f>
        <v>0.525291666666667</v>
      </c>
      <c r="G62" s="34" t="n">
        <f aca="false">IFERROR(G61/G60,0)</f>
        <v>0.525291666666667</v>
      </c>
      <c r="H62" s="34" t="n">
        <f aca="false">IFERROR(H61/H60,0)</f>
        <v>0.525291666666667</v>
      </c>
      <c r="I62" s="34" t="n">
        <f aca="false">IFERROR(I61/I60,0)</f>
        <v>0.525291666666667</v>
      </c>
      <c r="J62" s="34" t="n">
        <f aca="false">IFERROR(J61/J60,0)</f>
        <v>0.525291666666667</v>
      </c>
      <c r="K62" s="34" t="n">
        <f aca="false">IFERROR(K61/K60,0)</f>
        <v>0.517653621770476</v>
      </c>
      <c r="L62" s="34" t="n">
        <f aca="false">IFERROR(L61/L60,0)</f>
        <v>0.514468493695669</v>
      </c>
      <c r="M62" s="34" t="n">
        <f aca="false">IFERROR(M61/M60,0)</f>
        <v>0.511765445467072</v>
      </c>
      <c r="N62" s="34" t="n">
        <f aca="false">IFERROR(N61/N60,0)</f>
        <v>0.509420765898045</v>
      </c>
      <c r="O62" s="34" t="n">
        <f aca="false">IFERROR(O61/O60,0)</f>
        <v>0.507347243924084</v>
      </c>
      <c r="P62" s="34" t="n">
        <f aca="false">IFERROR(P61/P60,0)</f>
        <v>0.505481880403959</v>
      </c>
      <c r="Q62" s="34" t="n">
        <f aca="false">IFERROR(Q61/Q60,0)</f>
        <v>0.503778243022501</v>
      </c>
      <c r="R62" s="34" t="n">
        <f aca="false">IFERROR(R61/R60,0)</f>
        <v>0.50220153281358</v>
      </c>
      <c r="S62" s="34" t="n">
        <f aca="false">IFERROR(S61/S60,0)</f>
        <v>0.500725300899406</v>
      </c>
      <c r="T62" s="34" t="n">
        <f aca="false">IFERROR(T61/T60,0)</f>
        <v>0.499329205470747</v>
      </c>
      <c r="U62" s="34" t="n">
        <f aca="false">IFERROR(U61/U60,0)</f>
        <v>0.497997444609518</v>
      </c>
      <c r="V62" s="34" t="n">
        <f aca="false">IFERROR(V61/V60,0)</f>
        <v>0.496717639791351</v>
      </c>
      <c r="W62" s="34" t="n">
        <f aca="false">IFERROR(W61/W60,0)</f>
        <v>0.495480026778917</v>
      </c>
      <c r="X62" s="34" t="n">
        <f aca="false">IFERROR(X61/X60,0)</f>
        <v>0.494276860338032</v>
      </c>
      <c r="Y62" s="34" t="n">
        <f aca="false">IFERROR(Y61/Y60,0)</f>
        <v>0.493101970280553</v>
      </c>
      <c r="Z62" s="34" t="n">
        <f aca="false">IFERROR(Z61/Z60,0)</f>
        <v>0.491950426255329</v>
      </c>
      <c r="AA62" s="34" t="n">
        <f aca="false">IFERROR(AA61/AA60,0)</f>
        <v>0.490818281766412</v>
      </c>
      <c r="AB62" s="34" t="n">
        <f aca="false">IFERROR(AB61/AB60,0)</f>
        <v>0.489702376631517</v>
      </c>
      <c r="AC62" s="34" t="n">
        <f aca="false">IFERROR(AC61/AC60,0)</f>
        <v>0.488600183039928</v>
      </c>
      <c r="AD62" s="34" t="n">
        <f aca="false">IFERROR(AD61/AD60,0)</f>
        <v>0.487509684481778</v>
      </c>
      <c r="AE62" s="34" t="n">
        <f aca="false">IFERROR(AE61/AE60,0)</f>
        <v>0.486429279705666</v>
      </c>
      <c r="AF62" s="34" t="n">
        <f aca="false">IFERROR(AF61/AF60,0)</f>
        <v>0.485357705911189</v>
      </c>
      <c r="AG62" s="34" t="n">
        <f aca="false">IFERROR(AG61/AG60,0)</f>
        <v>0.484293976855833</v>
      </c>
      <c r="AH62" s="34" t="n">
        <f aca="false">IFERROR(AH61/AH60,0)</f>
        <v>0.483237332625264</v>
      </c>
      <c r="AI62" s="34" t="n">
        <f aca="false">IFERROR(AI61/AI60,0)</f>
        <v>0.482187198600229</v>
      </c>
      <c r="AJ62" s="34" t="n">
        <f aca="false">IFERROR(AJ61/AJ60,0)</f>
        <v>0.481143151733431</v>
      </c>
      <c r="AK62" s="34" t="n">
        <f aca="false">IFERROR(AK61/AK60,0)</f>
        <v>0.480104892682449</v>
      </c>
      <c r="AL62" s="34" t="n">
        <f aca="false">IFERROR(AL61/AL60,0)</f>
        <v>0.479072723287516</v>
      </c>
      <c r="AM62" s="34" t="n">
        <f aca="false">AVERAGE(N62:AL62)</f>
        <v>0.492650613112289</v>
      </c>
    </row>
    <row r="63" customFormat="false" ht="15" hidden="false" customHeight="false" outlineLevel="0" collapsed="false">
      <c r="A63" s="10" t="s">
        <v>648</v>
      </c>
      <c r="B63" s="9" t="s">
        <v>90</v>
      </c>
      <c r="C63" s="50" t="n">
        <f aca="false">-Assumptions!$D$63</f>
        <v>-600</v>
      </c>
      <c r="D63" s="50" t="n">
        <f aca="false">-Assumptions!$D$63</f>
        <v>-600</v>
      </c>
      <c r="E63" s="50" t="n">
        <f aca="false">-Assumptions!$D$63</f>
        <v>-600</v>
      </c>
      <c r="F63" s="50" t="n">
        <f aca="false">-Assumptions!$D$63</f>
        <v>-600</v>
      </c>
      <c r="G63" s="50" t="n">
        <f aca="false">-Assumptions!$D$63</f>
        <v>-600</v>
      </c>
      <c r="H63" s="50" t="n">
        <f aca="false">-Assumptions!$D$63</f>
        <v>-600</v>
      </c>
      <c r="I63" s="50" t="n">
        <f aca="false">-Assumptions!$D$63</f>
        <v>-600</v>
      </c>
      <c r="J63" s="50" t="n">
        <f aca="false">-Assumptions!$D$63</f>
        <v>-600</v>
      </c>
      <c r="K63" s="50" t="n">
        <f aca="false">-Assumptions!$D$63</f>
        <v>-600</v>
      </c>
      <c r="L63" s="50" t="n">
        <f aca="false">-Assumptions!$D$63</f>
        <v>-600</v>
      </c>
      <c r="M63" s="50" t="n">
        <f aca="false">-Assumptions!$D$63</f>
        <v>-600</v>
      </c>
      <c r="N63" s="50" t="n">
        <f aca="false">-Assumptions!$D$63</f>
        <v>-600</v>
      </c>
      <c r="O63" s="50" t="n">
        <f aca="false">-Assumptions!$D$63</f>
        <v>-600</v>
      </c>
      <c r="P63" s="50" t="n">
        <f aca="false">-Assumptions!$D$63</f>
        <v>-600</v>
      </c>
      <c r="Q63" s="50" t="n">
        <f aca="false">-Assumptions!$D$63</f>
        <v>-600</v>
      </c>
      <c r="R63" s="50" t="n">
        <f aca="false">-Assumptions!$D$63</f>
        <v>-600</v>
      </c>
      <c r="S63" s="50" t="n">
        <f aca="false">-Assumptions!$D$63</f>
        <v>-600</v>
      </c>
      <c r="T63" s="50" t="n">
        <f aca="false">-Assumptions!$D$63</f>
        <v>-600</v>
      </c>
      <c r="U63" s="50" t="n">
        <f aca="false">-Assumptions!$D$63</f>
        <v>-600</v>
      </c>
      <c r="V63" s="50" t="n">
        <f aca="false">-Assumptions!$D$63</f>
        <v>-600</v>
      </c>
      <c r="W63" s="50" t="n">
        <f aca="false">-Assumptions!$D$63</f>
        <v>-600</v>
      </c>
      <c r="X63" s="50" t="n">
        <f aca="false">-Assumptions!$D$63</f>
        <v>-600</v>
      </c>
      <c r="Y63" s="50" t="n">
        <f aca="false">-Assumptions!$D$63</f>
        <v>-600</v>
      </c>
      <c r="Z63" s="50" t="n">
        <f aca="false">-Assumptions!$D$63</f>
        <v>-600</v>
      </c>
      <c r="AA63" s="50" t="n">
        <f aca="false">-Assumptions!$D$63</f>
        <v>-600</v>
      </c>
      <c r="AB63" s="50" t="n">
        <f aca="false">-Assumptions!$D$63</f>
        <v>-600</v>
      </c>
      <c r="AC63" s="50" t="n">
        <f aca="false">-Assumptions!$D$63</f>
        <v>-600</v>
      </c>
      <c r="AD63" s="50" t="n">
        <f aca="false">-Assumptions!$D$63</f>
        <v>-600</v>
      </c>
      <c r="AE63" s="50" t="n">
        <f aca="false">-Assumptions!$D$63</f>
        <v>-600</v>
      </c>
      <c r="AF63" s="50" t="n">
        <f aca="false">-Assumptions!$D$63</f>
        <v>-600</v>
      </c>
      <c r="AG63" s="50" t="n">
        <f aca="false">-Assumptions!$D$63</f>
        <v>-600</v>
      </c>
      <c r="AH63" s="50" t="n">
        <f aca="false">-Assumptions!$D$63</f>
        <v>-600</v>
      </c>
      <c r="AI63" s="50" t="n">
        <f aca="false">-Assumptions!$D$63</f>
        <v>-600</v>
      </c>
      <c r="AJ63" s="50" t="n">
        <f aca="false">-Assumptions!$D$63</f>
        <v>-600</v>
      </c>
      <c r="AK63" s="50" t="n">
        <f aca="false">-Assumptions!$D$63</f>
        <v>-600</v>
      </c>
      <c r="AL63" s="50" t="n">
        <f aca="false">-Assumptions!$D$63</f>
        <v>-600</v>
      </c>
      <c r="AM63" s="50" t="n">
        <f aca="false">SUM(C63:AL63)</f>
        <v>-21600</v>
      </c>
    </row>
    <row r="64" customFormat="false" ht="15" hidden="false" customHeight="false" outlineLevel="0" collapsed="false">
      <c r="A64" s="10" t="s">
        <v>649</v>
      </c>
      <c r="B64" s="9" t="s">
        <v>90</v>
      </c>
      <c r="C64" s="50" t="n">
        <f aca="false">-Assumptions!$D$64</f>
        <v>-320</v>
      </c>
      <c r="D64" s="50" t="n">
        <f aca="false">-Assumptions!$D$64</f>
        <v>-320</v>
      </c>
      <c r="E64" s="50" t="n">
        <f aca="false">-Assumptions!$D$64</f>
        <v>-320</v>
      </c>
      <c r="F64" s="50" t="n">
        <f aca="false">-Assumptions!$D$64</f>
        <v>-320</v>
      </c>
      <c r="G64" s="50" t="n">
        <f aca="false">-Assumptions!$D$64</f>
        <v>-320</v>
      </c>
      <c r="H64" s="50" t="n">
        <f aca="false">-Assumptions!$D$64</f>
        <v>-320</v>
      </c>
      <c r="I64" s="50" t="n">
        <f aca="false">-Assumptions!$D$64</f>
        <v>-320</v>
      </c>
      <c r="J64" s="50" t="n">
        <f aca="false">-Assumptions!$D$64</f>
        <v>-320</v>
      </c>
      <c r="K64" s="50" t="n">
        <f aca="false">-Assumptions!$D$64</f>
        <v>-320</v>
      </c>
      <c r="L64" s="50" t="n">
        <f aca="false">-Assumptions!$D$64</f>
        <v>-320</v>
      </c>
      <c r="M64" s="50" t="n">
        <f aca="false">-Assumptions!$D$64</f>
        <v>-320</v>
      </c>
      <c r="N64" s="50" t="n">
        <f aca="false">-Assumptions!$D$64</f>
        <v>-320</v>
      </c>
      <c r="O64" s="50" t="n">
        <f aca="false">-Assumptions!$D$64</f>
        <v>-320</v>
      </c>
      <c r="P64" s="50" t="n">
        <f aca="false">-Assumptions!$D$64</f>
        <v>-320</v>
      </c>
      <c r="Q64" s="50" t="n">
        <f aca="false">-Assumptions!$D$64</f>
        <v>-320</v>
      </c>
      <c r="R64" s="50" t="n">
        <f aca="false">-Assumptions!$D$64</f>
        <v>-320</v>
      </c>
      <c r="S64" s="50" t="n">
        <f aca="false">-Assumptions!$D$64</f>
        <v>-320</v>
      </c>
      <c r="T64" s="50" t="n">
        <f aca="false">-Assumptions!$D$64</f>
        <v>-320</v>
      </c>
      <c r="U64" s="50" t="n">
        <f aca="false">-Assumptions!$D$64</f>
        <v>-320</v>
      </c>
      <c r="V64" s="50" t="n">
        <f aca="false">-Assumptions!$D$64</f>
        <v>-320</v>
      </c>
      <c r="W64" s="50" t="n">
        <f aca="false">-Assumptions!$D$64</f>
        <v>-320</v>
      </c>
      <c r="X64" s="50" t="n">
        <f aca="false">-Assumptions!$D$64</f>
        <v>-320</v>
      </c>
      <c r="Y64" s="50" t="n">
        <f aca="false">-Assumptions!$D$64</f>
        <v>-320</v>
      </c>
      <c r="Z64" s="50" t="n">
        <f aca="false">-Assumptions!$D$64</f>
        <v>-320</v>
      </c>
      <c r="AA64" s="50" t="n">
        <f aca="false">-Assumptions!$D$64</f>
        <v>-320</v>
      </c>
      <c r="AB64" s="50" t="n">
        <f aca="false">-Assumptions!$D$64</f>
        <v>-320</v>
      </c>
      <c r="AC64" s="50" t="n">
        <f aca="false">-Assumptions!$D$64</f>
        <v>-320</v>
      </c>
      <c r="AD64" s="50" t="n">
        <f aca="false">-Assumptions!$D$64</f>
        <v>-320</v>
      </c>
      <c r="AE64" s="50" t="n">
        <f aca="false">-Assumptions!$D$64</f>
        <v>-320</v>
      </c>
      <c r="AF64" s="50" t="n">
        <f aca="false">-Assumptions!$D$64</f>
        <v>-320</v>
      </c>
      <c r="AG64" s="50" t="n">
        <f aca="false">-Assumptions!$D$64</f>
        <v>-320</v>
      </c>
      <c r="AH64" s="50" t="n">
        <f aca="false">-Assumptions!$D$64</f>
        <v>-320</v>
      </c>
      <c r="AI64" s="50" t="n">
        <f aca="false">-Assumptions!$D$64</f>
        <v>-320</v>
      </c>
      <c r="AJ64" s="50" t="n">
        <f aca="false">-Assumptions!$D$64</f>
        <v>-320</v>
      </c>
      <c r="AK64" s="50" t="n">
        <f aca="false">-Assumptions!$D$64</f>
        <v>-320</v>
      </c>
      <c r="AL64" s="50" t="n">
        <f aca="false">-Assumptions!$D$64</f>
        <v>-320</v>
      </c>
      <c r="AM64" s="50" t="n">
        <f aca="false">SUM(C64:AL64)</f>
        <v>-11520</v>
      </c>
    </row>
    <row r="65" customFormat="false" ht="15" hidden="false" customHeight="false" outlineLevel="0" collapsed="false">
      <c r="A65" s="10" t="s">
        <v>650</v>
      </c>
      <c r="B65" s="9" t="s">
        <v>90</v>
      </c>
      <c r="C65" s="50" t="n">
        <f aca="false">-IF(C8=0,Assumptions!$D$65,IF(C$5&lt;=12,Assumptions!$D$66,IF(C$5&lt;=24,Assumptions!$D$67,Assumptions!$D$68)))</f>
        <v>-8000</v>
      </c>
      <c r="D65" s="50" t="n">
        <f aca="false">-IF(D8=0,Assumptions!$D$65,IF(D$5&lt;=12,Assumptions!$D$66,IF(D$5&lt;=24,Assumptions!$D$67,Assumptions!$D$68)))</f>
        <v>-8000</v>
      </c>
      <c r="E65" s="50" t="n">
        <f aca="false">-IF(E8=0,Assumptions!$D$65,IF(E$5&lt;=12,Assumptions!$D$66,IF(E$5&lt;=24,Assumptions!$D$67,Assumptions!$D$68)))</f>
        <v>-16000</v>
      </c>
      <c r="F65" s="50" t="n">
        <f aca="false">-IF(F8=0,Assumptions!$D$65,IF(F$5&lt;=12,Assumptions!$D$66,IF(F$5&lt;=24,Assumptions!$D$67,Assumptions!$D$68)))</f>
        <v>-16000</v>
      </c>
      <c r="G65" s="50" t="n">
        <f aca="false">-IF(G8=0,Assumptions!$D$65,IF(G$5&lt;=12,Assumptions!$D$66,IF(G$5&lt;=24,Assumptions!$D$67,Assumptions!$D$68)))</f>
        <v>-16000</v>
      </c>
      <c r="H65" s="50" t="n">
        <f aca="false">-IF(H8=0,Assumptions!$D$65,IF(H$5&lt;=12,Assumptions!$D$66,IF(H$5&lt;=24,Assumptions!$D$67,Assumptions!$D$68)))</f>
        <v>-16000</v>
      </c>
      <c r="I65" s="50" t="n">
        <f aca="false">-IF(I8=0,Assumptions!$D$65,IF(I$5&lt;=12,Assumptions!$D$66,IF(I$5&lt;=24,Assumptions!$D$67,Assumptions!$D$68)))</f>
        <v>-16000</v>
      </c>
      <c r="J65" s="50" t="n">
        <f aca="false">-IF(J8=0,Assumptions!$D$65,IF(J$5&lt;=12,Assumptions!$D$66,IF(J$5&lt;=24,Assumptions!$D$67,Assumptions!$D$68)))</f>
        <v>-16000</v>
      </c>
      <c r="K65" s="50" t="n">
        <f aca="false">-IF(K8=0,Assumptions!$D$65,IF(K$5&lt;=12,Assumptions!$D$66,IF(K$5&lt;=24,Assumptions!$D$67,Assumptions!$D$68)))</f>
        <v>-16000</v>
      </c>
      <c r="L65" s="50" t="n">
        <f aca="false">-IF(L8=0,Assumptions!$D$65,IF(L$5&lt;=12,Assumptions!$D$66,IF(L$5&lt;=24,Assumptions!$D$67,Assumptions!$D$68)))</f>
        <v>-16000</v>
      </c>
      <c r="M65" s="50" t="n">
        <f aca="false">-IF(M8=0,Assumptions!$D$65,IF(M$5&lt;=12,Assumptions!$D$66,IF(M$5&lt;=24,Assumptions!$D$67,Assumptions!$D$68)))</f>
        <v>-16000</v>
      </c>
      <c r="N65" s="50" t="n">
        <f aca="false">-IF(N8=0,Assumptions!$D$65,IF(N$5&lt;=12,Assumptions!$D$66,IF(N$5&lt;=24,Assumptions!$D$67,Assumptions!$D$68)))</f>
        <v>-16000</v>
      </c>
      <c r="O65" s="50" t="n">
        <f aca="false">-IF(O8=0,Assumptions!$D$65,IF(O$5&lt;=12,Assumptions!$D$66,IF(O$5&lt;=24,Assumptions!$D$67,Assumptions!$D$68)))</f>
        <v>-24000</v>
      </c>
      <c r="P65" s="50" t="n">
        <f aca="false">-IF(P8=0,Assumptions!$D$65,IF(P$5&lt;=12,Assumptions!$D$66,IF(P$5&lt;=24,Assumptions!$D$67,Assumptions!$D$68)))</f>
        <v>-24000</v>
      </c>
      <c r="Q65" s="50" t="n">
        <f aca="false">-IF(Q8=0,Assumptions!$D$65,IF(Q$5&lt;=12,Assumptions!$D$66,IF(Q$5&lt;=24,Assumptions!$D$67,Assumptions!$D$68)))</f>
        <v>-24000</v>
      </c>
      <c r="R65" s="50" t="n">
        <f aca="false">-IF(R8=0,Assumptions!$D$65,IF(R$5&lt;=12,Assumptions!$D$66,IF(R$5&lt;=24,Assumptions!$D$67,Assumptions!$D$68)))</f>
        <v>-24000</v>
      </c>
      <c r="S65" s="50" t="n">
        <f aca="false">-IF(S8=0,Assumptions!$D$65,IF(S$5&lt;=12,Assumptions!$D$66,IF(S$5&lt;=24,Assumptions!$D$67,Assumptions!$D$68)))</f>
        <v>-24000</v>
      </c>
      <c r="T65" s="50" t="n">
        <f aca="false">-IF(T8=0,Assumptions!$D$65,IF(T$5&lt;=12,Assumptions!$D$66,IF(T$5&lt;=24,Assumptions!$D$67,Assumptions!$D$68)))</f>
        <v>-24000</v>
      </c>
      <c r="U65" s="50" t="n">
        <f aca="false">-IF(U8=0,Assumptions!$D$65,IF(U$5&lt;=12,Assumptions!$D$66,IF(U$5&lt;=24,Assumptions!$D$67,Assumptions!$D$68)))</f>
        <v>-24000</v>
      </c>
      <c r="V65" s="50" t="n">
        <f aca="false">-IF(V8=0,Assumptions!$D$65,IF(V$5&lt;=12,Assumptions!$D$66,IF(V$5&lt;=24,Assumptions!$D$67,Assumptions!$D$68)))</f>
        <v>-24000</v>
      </c>
      <c r="W65" s="50" t="n">
        <f aca="false">-IF(W8=0,Assumptions!$D$65,IF(W$5&lt;=12,Assumptions!$D$66,IF(W$5&lt;=24,Assumptions!$D$67,Assumptions!$D$68)))</f>
        <v>-24000</v>
      </c>
      <c r="X65" s="50" t="n">
        <f aca="false">-IF(X8=0,Assumptions!$D$65,IF(X$5&lt;=12,Assumptions!$D$66,IF(X$5&lt;=24,Assumptions!$D$67,Assumptions!$D$68)))</f>
        <v>-24000</v>
      </c>
      <c r="Y65" s="50" t="n">
        <f aca="false">-IF(Y8=0,Assumptions!$D$65,IF(Y$5&lt;=12,Assumptions!$D$66,IF(Y$5&lt;=24,Assumptions!$D$67,Assumptions!$D$68)))</f>
        <v>-24000</v>
      </c>
      <c r="Z65" s="50" t="n">
        <f aca="false">-IF(Z8=0,Assumptions!$D$65,IF(Z$5&lt;=12,Assumptions!$D$66,IF(Z$5&lt;=24,Assumptions!$D$67,Assumptions!$D$68)))</f>
        <v>-24000</v>
      </c>
      <c r="AA65" s="50" t="n">
        <f aca="false">-IF(AA8=0,Assumptions!$D$65,IF(AA$5&lt;=12,Assumptions!$D$66,IF(AA$5&lt;=24,Assumptions!$D$67,Assumptions!$D$68)))</f>
        <v>-32000</v>
      </c>
      <c r="AB65" s="50" t="n">
        <f aca="false">-IF(AB8=0,Assumptions!$D$65,IF(AB$5&lt;=12,Assumptions!$D$66,IF(AB$5&lt;=24,Assumptions!$D$67,Assumptions!$D$68)))</f>
        <v>-32000</v>
      </c>
      <c r="AC65" s="50" t="n">
        <f aca="false">-IF(AC8=0,Assumptions!$D$65,IF(AC$5&lt;=12,Assumptions!$D$66,IF(AC$5&lt;=24,Assumptions!$D$67,Assumptions!$D$68)))</f>
        <v>-32000</v>
      </c>
      <c r="AD65" s="50" t="n">
        <f aca="false">-IF(AD8=0,Assumptions!$D$65,IF(AD$5&lt;=12,Assumptions!$D$66,IF(AD$5&lt;=24,Assumptions!$D$67,Assumptions!$D$68)))</f>
        <v>-32000</v>
      </c>
      <c r="AE65" s="50" t="n">
        <f aca="false">-IF(AE8=0,Assumptions!$D$65,IF(AE$5&lt;=12,Assumptions!$D$66,IF(AE$5&lt;=24,Assumptions!$D$67,Assumptions!$D$68)))</f>
        <v>-32000</v>
      </c>
      <c r="AF65" s="50" t="n">
        <f aca="false">-IF(AF8=0,Assumptions!$D$65,IF(AF$5&lt;=12,Assumptions!$D$66,IF(AF$5&lt;=24,Assumptions!$D$67,Assumptions!$D$68)))</f>
        <v>-32000</v>
      </c>
      <c r="AG65" s="50" t="n">
        <f aca="false">-IF(AG8=0,Assumptions!$D$65,IF(AG$5&lt;=12,Assumptions!$D$66,IF(AG$5&lt;=24,Assumptions!$D$67,Assumptions!$D$68)))</f>
        <v>-32000</v>
      </c>
      <c r="AH65" s="50" t="n">
        <f aca="false">-IF(AH8=0,Assumptions!$D$65,IF(AH$5&lt;=12,Assumptions!$D$66,IF(AH$5&lt;=24,Assumptions!$D$67,Assumptions!$D$68)))</f>
        <v>-32000</v>
      </c>
      <c r="AI65" s="50" t="n">
        <f aca="false">-IF(AI8=0,Assumptions!$D$65,IF(AI$5&lt;=12,Assumptions!$D$66,IF(AI$5&lt;=24,Assumptions!$D$67,Assumptions!$D$68)))</f>
        <v>-32000</v>
      </c>
      <c r="AJ65" s="50" t="n">
        <f aca="false">-IF(AJ8=0,Assumptions!$D$65,IF(AJ$5&lt;=12,Assumptions!$D$66,IF(AJ$5&lt;=24,Assumptions!$D$67,Assumptions!$D$68)))</f>
        <v>-32000</v>
      </c>
      <c r="AK65" s="50" t="n">
        <f aca="false">-IF(AK8=0,Assumptions!$D$65,IF(AK$5&lt;=12,Assumptions!$D$66,IF(AK$5&lt;=24,Assumptions!$D$67,Assumptions!$D$68)))</f>
        <v>-32000</v>
      </c>
      <c r="AL65" s="50" t="n">
        <f aca="false">-IF(AL8=0,Assumptions!$D$65,IF(AL$5&lt;=12,Assumptions!$D$66,IF(AL$5&lt;=24,Assumptions!$D$67,Assumptions!$D$68)))</f>
        <v>-32000</v>
      </c>
      <c r="AM65" s="50" t="n">
        <f aca="false">SUM(C65:AL65)</f>
        <v>-848000</v>
      </c>
    </row>
    <row r="66" customFormat="false" ht="15" hidden="false" customHeight="false" outlineLevel="0" collapsed="false">
      <c r="A66" s="10" t="s">
        <v>651</v>
      </c>
      <c r="B66" s="9" t="s">
        <v>90</v>
      </c>
      <c r="C66" s="50" t="n">
        <f aca="false">-IF(C$5&gt;=Assumptions!$D$7-2,Assumptions!$D$69,0)</f>
        <v>-0</v>
      </c>
      <c r="D66" s="50" t="n">
        <f aca="false">-IF(D$5&gt;=Assumptions!$D$7-2,Assumptions!$D$69,0)</f>
        <v>-0</v>
      </c>
      <c r="E66" s="50" t="n">
        <f aca="false">-IF(E$5&gt;=Assumptions!$D$7-2,Assumptions!$D$69,0)</f>
        <v>-0</v>
      </c>
      <c r="F66" s="50" t="n">
        <f aca="false">-IF(F$5&gt;=Assumptions!$D$7-2,Assumptions!$D$69,0)</f>
        <v>-0</v>
      </c>
      <c r="G66" s="50" t="n">
        <f aca="false">-IF(G$5&gt;=Assumptions!$D$7-2,Assumptions!$D$69,0)</f>
        <v>-0</v>
      </c>
      <c r="H66" s="50" t="n">
        <f aca="false">-IF(H$5&gt;=Assumptions!$D$7-2,Assumptions!$D$69,0)</f>
        <v>-0</v>
      </c>
      <c r="I66" s="50" t="n">
        <f aca="false">-IF(I$5&gt;=Assumptions!$D$7-2,Assumptions!$D$69,0)</f>
        <v>-5000</v>
      </c>
      <c r="J66" s="50" t="n">
        <f aca="false">-IF(J$5&gt;=Assumptions!$D$7-2,Assumptions!$D$69,0)</f>
        <v>-5000</v>
      </c>
      <c r="K66" s="50" t="n">
        <f aca="false">-IF(K$5&gt;=Assumptions!$D$7-2,Assumptions!$D$69,0)</f>
        <v>-5000</v>
      </c>
      <c r="L66" s="50" t="n">
        <f aca="false">-IF(L$5&gt;=Assumptions!$D$7-2,Assumptions!$D$69,0)</f>
        <v>-5000</v>
      </c>
      <c r="M66" s="50" t="n">
        <f aca="false">-IF(M$5&gt;=Assumptions!$D$7-2,Assumptions!$D$69,0)</f>
        <v>-5000</v>
      </c>
      <c r="N66" s="50" t="n">
        <f aca="false">-IF(N$5&gt;=Assumptions!$D$7-2,Assumptions!$D$69,0)</f>
        <v>-5000</v>
      </c>
      <c r="O66" s="50" t="n">
        <f aca="false">-IF(O$5&gt;=Assumptions!$D$7-2,Assumptions!$D$69,0)</f>
        <v>-5000</v>
      </c>
      <c r="P66" s="50" t="n">
        <f aca="false">-IF(P$5&gt;=Assumptions!$D$7-2,Assumptions!$D$69,0)</f>
        <v>-5000</v>
      </c>
      <c r="Q66" s="50" t="n">
        <f aca="false">-IF(Q$5&gt;=Assumptions!$D$7-2,Assumptions!$D$69,0)</f>
        <v>-5000</v>
      </c>
      <c r="R66" s="50" t="n">
        <f aca="false">-IF(R$5&gt;=Assumptions!$D$7-2,Assumptions!$D$69,0)</f>
        <v>-5000</v>
      </c>
      <c r="S66" s="50" t="n">
        <f aca="false">-IF(S$5&gt;=Assumptions!$D$7-2,Assumptions!$D$69,0)</f>
        <v>-5000</v>
      </c>
      <c r="T66" s="50" t="n">
        <f aca="false">-IF(T$5&gt;=Assumptions!$D$7-2,Assumptions!$D$69,0)</f>
        <v>-5000</v>
      </c>
      <c r="U66" s="50" t="n">
        <f aca="false">-IF(U$5&gt;=Assumptions!$D$7-2,Assumptions!$D$69,0)</f>
        <v>-5000</v>
      </c>
      <c r="V66" s="50" t="n">
        <f aca="false">-IF(V$5&gt;=Assumptions!$D$7-2,Assumptions!$D$69,0)</f>
        <v>-5000</v>
      </c>
      <c r="W66" s="50" t="n">
        <f aca="false">-IF(W$5&gt;=Assumptions!$D$7-2,Assumptions!$D$69,0)</f>
        <v>-5000</v>
      </c>
      <c r="X66" s="50" t="n">
        <f aca="false">-IF(X$5&gt;=Assumptions!$D$7-2,Assumptions!$D$69,0)</f>
        <v>-5000</v>
      </c>
      <c r="Y66" s="50" t="n">
        <f aca="false">-IF(Y$5&gt;=Assumptions!$D$7-2,Assumptions!$D$69,0)</f>
        <v>-5000</v>
      </c>
      <c r="Z66" s="50" t="n">
        <f aca="false">-IF(Z$5&gt;=Assumptions!$D$7-2,Assumptions!$D$69,0)</f>
        <v>-5000</v>
      </c>
      <c r="AA66" s="50" t="n">
        <f aca="false">-IF(AA$5&gt;=Assumptions!$D$7-2,Assumptions!$D$69,0)</f>
        <v>-5000</v>
      </c>
      <c r="AB66" s="50" t="n">
        <f aca="false">-IF(AB$5&gt;=Assumptions!$D$7-2,Assumptions!$D$69,0)</f>
        <v>-5000</v>
      </c>
      <c r="AC66" s="50" t="n">
        <f aca="false">-IF(AC$5&gt;=Assumptions!$D$7-2,Assumptions!$D$69,0)</f>
        <v>-5000</v>
      </c>
      <c r="AD66" s="50" t="n">
        <f aca="false">-IF(AD$5&gt;=Assumptions!$D$7-2,Assumptions!$D$69,0)</f>
        <v>-5000</v>
      </c>
      <c r="AE66" s="50" t="n">
        <f aca="false">-IF(AE$5&gt;=Assumptions!$D$7-2,Assumptions!$D$69,0)</f>
        <v>-5000</v>
      </c>
      <c r="AF66" s="50" t="n">
        <f aca="false">-IF(AF$5&gt;=Assumptions!$D$7-2,Assumptions!$D$69,0)</f>
        <v>-5000</v>
      </c>
      <c r="AG66" s="50" t="n">
        <f aca="false">-IF(AG$5&gt;=Assumptions!$D$7-2,Assumptions!$D$69,0)</f>
        <v>-5000</v>
      </c>
      <c r="AH66" s="50" t="n">
        <f aca="false">-IF(AH$5&gt;=Assumptions!$D$7-2,Assumptions!$D$69,0)</f>
        <v>-5000</v>
      </c>
      <c r="AI66" s="50" t="n">
        <f aca="false">-IF(AI$5&gt;=Assumptions!$D$7-2,Assumptions!$D$69,0)</f>
        <v>-5000</v>
      </c>
      <c r="AJ66" s="50" t="n">
        <f aca="false">-IF(AJ$5&gt;=Assumptions!$D$7-2,Assumptions!$D$69,0)</f>
        <v>-5000</v>
      </c>
      <c r="AK66" s="50" t="n">
        <f aca="false">-IF(AK$5&gt;=Assumptions!$D$7-2,Assumptions!$D$69,0)</f>
        <v>-5000</v>
      </c>
      <c r="AL66" s="50" t="n">
        <f aca="false">-IF(AL$5&gt;=Assumptions!$D$7-2,Assumptions!$D$69,0)</f>
        <v>-5000</v>
      </c>
      <c r="AM66" s="50" t="n">
        <f aca="false">SUM(C66:AL66)</f>
        <v>-150000</v>
      </c>
    </row>
    <row r="67" customFormat="false" ht="15" hidden="false" customHeight="false" outlineLevel="0" collapsed="false">
      <c r="A67" s="10" t="s">
        <v>652</v>
      </c>
      <c r="B67" s="9" t="s">
        <v>90</v>
      </c>
      <c r="C67" s="50" t="n">
        <f aca="false">-Assumptions!$D$70</f>
        <v>-1500</v>
      </c>
      <c r="D67" s="50" t="n">
        <f aca="false">-Assumptions!$D$70</f>
        <v>-1500</v>
      </c>
      <c r="E67" s="50" t="n">
        <f aca="false">-Assumptions!$D$70</f>
        <v>-1500</v>
      </c>
      <c r="F67" s="50" t="n">
        <f aca="false">-Assumptions!$D$70</f>
        <v>-1500</v>
      </c>
      <c r="G67" s="50" t="n">
        <f aca="false">-Assumptions!$D$70</f>
        <v>-1500</v>
      </c>
      <c r="H67" s="50" t="n">
        <f aca="false">-Assumptions!$D$70</f>
        <v>-1500</v>
      </c>
      <c r="I67" s="50" t="n">
        <f aca="false">-Assumptions!$D$70</f>
        <v>-1500</v>
      </c>
      <c r="J67" s="50" t="n">
        <f aca="false">-Assumptions!$D$70</f>
        <v>-1500</v>
      </c>
      <c r="K67" s="50" t="n">
        <f aca="false">-Assumptions!$D$70</f>
        <v>-1500</v>
      </c>
      <c r="L67" s="50" t="n">
        <f aca="false">-Assumptions!$D$70</f>
        <v>-1500</v>
      </c>
      <c r="M67" s="50" t="n">
        <f aca="false">-Assumptions!$D$70</f>
        <v>-1500</v>
      </c>
      <c r="N67" s="50" t="n">
        <f aca="false">-Assumptions!$D$70</f>
        <v>-1500</v>
      </c>
      <c r="O67" s="50" t="n">
        <f aca="false">-Assumptions!$D$70</f>
        <v>-1500</v>
      </c>
      <c r="P67" s="50" t="n">
        <f aca="false">-Assumptions!$D$70</f>
        <v>-1500</v>
      </c>
      <c r="Q67" s="50" t="n">
        <f aca="false">-Assumptions!$D$70</f>
        <v>-1500</v>
      </c>
      <c r="R67" s="50" t="n">
        <f aca="false">-Assumptions!$D$70</f>
        <v>-1500</v>
      </c>
      <c r="S67" s="50" t="n">
        <f aca="false">-Assumptions!$D$70</f>
        <v>-1500</v>
      </c>
      <c r="T67" s="50" t="n">
        <f aca="false">-Assumptions!$D$70</f>
        <v>-1500</v>
      </c>
      <c r="U67" s="50" t="n">
        <f aca="false">-Assumptions!$D$70</f>
        <v>-1500</v>
      </c>
      <c r="V67" s="50" t="n">
        <f aca="false">-Assumptions!$D$70</f>
        <v>-1500</v>
      </c>
      <c r="W67" s="50" t="n">
        <f aca="false">-Assumptions!$D$70</f>
        <v>-1500</v>
      </c>
      <c r="X67" s="50" t="n">
        <f aca="false">-Assumptions!$D$70</f>
        <v>-1500</v>
      </c>
      <c r="Y67" s="50" t="n">
        <f aca="false">-Assumptions!$D$70</f>
        <v>-1500</v>
      </c>
      <c r="Z67" s="50" t="n">
        <f aca="false">-Assumptions!$D$70</f>
        <v>-1500</v>
      </c>
      <c r="AA67" s="50" t="n">
        <f aca="false">-Assumptions!$D$70</f>
        <v>-1500</v>
      </c>
      <c r="AB67" s="50" t="n">
        <f aca="false">-Assumptions!$D$70</f>
        <v>-1500</v>
      </c>
      <c r="AC67" s="50" t="n">
        <f aca="false">-Assumptions!$D$70</f>
        <v>-1500</v>
      </c>
      <c r="AD67" s="50" t="n">
        <f aca="false">-Assumptions!$D$70</f>
        <v>-1500</v>
      </c>
      <c r="AE67" s="50" t="n">
        <f aca="false">-Assumptions!$D$70</f>
        <v>-1500</v>
      </c>
      <c r="AF67" s="50" t="n">
        <f aca="false">-Assumptions!$D$70</f>
        <v>-1500</v>
      </c>
      <c r="AG67" s="50" t="n">
        <f aca="false">-Assumptions!$D$70</f>
        <v>-1500</v>
      </c>
      <c r="AH67" s="50" t="n">
        <f aca="false">-Assumptions!$D$70</f>
        <v>-1500</v>
      </c>
      <c r="AI67" s="50" t="n">
        <f aca="false">-Assumptions!$D$70</f>
        <v>-1500</v>
      </c>
      <c r="AJ67" s="50" t="n">
        <f aca="false">-Assumptions!$D$70</f>
        <v>-1500</v>
      </c>
      <c r="AK67" s="50" t="n">
        <f aca="false">-Assumptions!$D$70</f>
        <v>-1500</v>
      </c>
      <c r="AL67" s="50" t="n">
        <f aca="false">-Assumptions!$D$70</f>
        <v>-1500</v>
      </c>
      <c r="AM67" s="50" t="n">
        <f aca="false">SUM(C67:AL67)</f>
        <v>-54000</v>
      </c>
    </row>
    <row r="68" customFormat="false" ht="15" hidden="false" customHeight="false" outlineLevel="0" collapsed="false">
      <c r="A68" s="10" t="s">
        <v>653</v>
      </c>
      <c r="B68" s="9" t="s">
        <v>90</v>
      </c>
      <c r="C68" s="50" t="n">
        <f aca="false">-IF(C$5&lt;=4,Assumptions!$D$71,Assumptions!$D$72)</f>
        <v>-14000</v>
      </c>
      <c r="D68" s="50" t="n">
        <f aca="false">-IF(D$5&lt;=4,Assumptions!$D$71,Assumptions!$D$72)</f>
        <v>-14000</v>
      </c>
      <c r="E68" s="50" t="n">
        <f aca="false">-IF(E$5&lt;=4,Assumptions!$D$71,Assumptions!$D$72)</f>
        <v>-14000</v>
      </c>
      <c r="F68" s="50" t="n">
        <f aca="false">-IF(F$5&lt;=4,Assumptions!$D$71,Assumptions!$D$72)</f>
        <v>-14000</v>
      </c>
      <c r="G68" s="50" t="n">
        <f aca="false">-IF(G$5&lt;=4,Assumptions!$D$71,Assumptions!$D$72)</f>
        <v>-4000</v>
      </c>
      <c r="H68" s="50" t="n">
        <f aca="false">-IF(H$5&lt;=4,Assumptions!$D$71,Assumptions!$D$72)</f>
        <v>-4000</v>
      </c>
      <c r="I68" s="50" t="n">
        <f aca="false">-IF(I$5&lt;=4,Assumptions!$D$71,Assumptions!$D$72)</f>
        <v>-4000</v>
      </c>
      <c r="J68" s="50" t="n">
        <f aca="false">-IF(J$5&lt;=4,Assumptions!$D$71,Assumptions!$D$72)</f>
        <v>-4000</v>
      </c>
      <c r="K68" s="50" t="n">
        <f aca="false">-IF(K$5&lt;=4,Assumptions!$D$71,Assumptions!$D$72)</f>
        <v>-4000</v>
      </c>
      <c r="L68" s="50" t="n">
        <f aca="false">-IF(L$5&lt;=4,Assumptions!$D$71,Assumptions!$D$72)</f>
        <v>-4000</v>
      </c>
      <c r="M68" s="50" t="n">
        <f aca="false">-IF(M$5&lt;=4,Assumptions!$D$71,Assumptions!$D$72)</f>
        <v>-4000</v>
      </c>
      <c r="N68" s="50" t="n">
        <f aca="false">-IF(N$5&lt;=4,Assumptions!$D$71,Assumptions!$D$72)</f>
        <v>-4000</v>
      </c>
      <c r="O68" s="50" t="n">
        <f aca="false">-IF(O$5&lt;=4,Assumptions!$D$71,Assumptions!$D$72)</f>
        <v>-4000</v>
      </c>
      <c r="P68" s="50" t="n">
        <f aca="false">-IF(P$5&lt;=4,Assumptions!$D$71,Assumptions!$D$72)</f>
        <v>-4000</v>
      </c>
      <c r="Q68" s="50" t="n">
        <f aca="false">-IF(Q$5&lt;=4,Assumptions!$D$71,Assumptions!$D$72)</f>
        <v>-4000</v>
      </c>
      <c r="R68" s="50" t="n">
        <f aca="false">-IF(R$5&lt;=4,Assumptions!$D$71,Assumptions!$D$72)</f>
        <v>-4000</v>
      </c>
      <c r="S68" s="50" t="n">
        <f aca="false">-IF(S$5&lt;=4,Assumptions!$D$71,Assumptions!$D$72)</f>
        <v>-4000</v>
      </c>
      <c r="T68" s="50" t="n">
        <f aca="false">-IF(T$5&lt;=4,Assumptions!$D$71,Assumptions!$D$72)</f>
        <v>-4000</v>
      </c>
      <c r="U68" s="50" t="n">
        <f aca="false">-IF(U$5&lt;=4,Assumptions!$D$71,Assumptions!$D$72)</f>
        <v>-4000</v>
      </c>
      <c r="V68" s="50" t="n">
        <f aca="false">-IF(V$5&lt;=4,Assumptions!$D$71,Assumptions!$D$72)</f>
        <v>-4000</v>
      </c>
      <c r="W68" s="50" t="n">
        <f aca="false">-IF(W$5&lt;=4,Assumptions!$D$71,Assumptions!$D$72)</f>
        <v>-4000</v>
      </c>
      <c r="X68" s="50" t="n">
        <f aca="false">-IF(X$5&lt;=4,Assumptions!$D$71,Assumptions!$D$72)</f>
        <v>-4000</v>
      </c>
      <c r="Y68" s="50" t="n">
        <f aca="false">-IF(Y$5&lt;=4,Assumptions!$D$71,Assumptions!$D$72)</f>
        <v>-4000</v>
      </c>
      <c r="Z68" s="50" t="n">
        <f aca="false">-IF(Z$5&lt;=4,Assumptions!$D$71,Assumptions!$D$72)</f>
        <v>-4000</v>
      </c>
      <c r="AA68" s="50" t="n">
        <f aca="false">-IF(AA$5&lt;=4,Assumptions!$D$71,Assumptions!$D$72)</f>
        <v>-4000</v>
      </c>
      <c r="AB68" s="50" t="n">
        <f aca="false">-IF(AB$5&lt;=4,Assumptions!$D$71,Assumptions!$D$72)</f>
        <v>-4000</v>
      </c>
      <c r="AC68" s="50" t="n">
        <f aca="false">-IF(AC$5&lt;=4,Assumptions!$D$71,Assumptions!$D$72)</f>
        <v>-4000</v>
      </c>
      <c r="AD68" s="50" t="n">
        <f aca="false">-IF(AD$5&lt;=4,Assumptions!$D$71,Assumptions!$D$72)</f>
        <v>-4000</v>
      </c>
      <c r="AE68" s="50" t="n">
        <f aca="false">-IF(AE$5&lt;=4,Assumptions!$D$71,Assumptions!$D$72)</f>
        <v>-4000</v>
      </c>
      <c r="AF68" s="50" t="n">
        <f aca="false">-IF(AF$5&lt;=4,Assumptions!$D$71,Assumptions!$D$72)</f>
        <v>-4000</v>
      </c>
      <c r="AG68" s="50" t="n">
        <f aca="false">-IF(AG$5&lt;=4,Assumptions!$D$71,Assumptions!$D$72)</f>
        <v>-4000</v>
      </c>
      <c r="AH68" s="50" t="n">
        <f aca="false">-IF(AH$5&lt;=4,Assumptions!$D$71,Assumptions!$D$72)</f>
        <v>-4000</v>
      </c>
      <c r="AI68" s="50" t="n">
        <f aca="false">-IF(AI$5&lt;=4,Assumptions!$D$71,Assumptions!$D$72)</f>
        <v>-4000</v>
      </c>
      <c r="AJ68" s="50" t="n">
        <f aca="false">-IF(AJ$5&lt;=4,Assumptions!$D$71,Assumptions!$D$72)</f>
        <v>-4000</v>
      </c>
      <c r="AK68" s="50" t="n">
        <f aca="false">-IF(AK$5&lt;=4,Assumptions!$D$71,Assumptions!$D$72)</f>
        <v>-4000</v>
      </c>
      <c r="AL68" s="50" t="n">
        <f aca="false">-IF(AL$5&lt;=4,Assumptions!$D$71,Assumptions!$D$72)</f>
        <v>-4000</v>
      </c>
      <c r="AM68" s="50" t="n">
        <f aca="false">SUM(C68:AL68)</f>
        <v>-184000</v>
      </c>
    </row>
    <row r="69" customFormat="false" ht="15" hidden="false" customHeight="false" outlineLevel="0" collapsed="false">
      <c r="A69" s="10" t="s">
        <v>654</v>
      </c>
      <c r="B69" s="9" t="s">
        <v>90</v>
      </c>
      <c r="C69" s="50" t="n">
        <f aca="false">-C8*Assumptions!$D$73</f>
        <v>-0</v>
      </c>
      <c r="D69" s="50" t="n">
        <f aca="false">-D8*Assumptions!$D$73</f>
        <v>-0</v>
      </c>
      <c r="E69" s="50" t="n">
        <f aca="false">-E8*Assumptions!$D$73</f>
        <v>-2000</v>
      </c>
      <c r="F69" s="50" t="n">
        <f aca="false">-F8*Assumptions!$D$73</f>
        <v>-2000</v>
      </c>
      <c r="G69" s="50" t="n">
        <f aca="false">-G8*Assumptions!$D$73</f>
        <v>-2000</v>
      </c>
      <c r="H69" s="50" t="n">
        <f aca="false">-H8*Assumptions!$D$73</f>
        <v>-2000</v>
      </c>
      <c r="I69" s="50" t="n">
        <f aca="false">-I8*Assumptions!$D$73</f>
        <v>-2000</v>
      </c>
      <c r="J69" s="50" t="n">
        <f aca="false">-J8*Assumptions!$D$73</f>
        <v>-2000</v>
      </c>
      <c r="K69" s="50" t="n">
        <f aca="false">-K8*Assumptions!$D$73</f>
        <v>-2000</v>
      </c>
      <c r="L69" s="50" t="n">
        <f aca="false">-L8*Assumptions!$D$73</f>
        <v>-2000</v>
      </c>
      <c r="M69" s="50" t="n">
        <f aca="false">-M8*Assumptions!$D$73</f>
        <v>-2000</v>
      </c>
      <c r="N69" s="50" t="n">
        <f aca="false">-N8*Assumptions!$D$73</f>
        <v>-2000</v>
      </c>
      <c r="O69" s="50" t="n">
        <f aca="false">-O8*Assumptions!$D$73</f>
        <v>-2000</v>
      </c>
      <c r="P69" s="50" t="n">
        <f aca="false">-P8*Assumptions!$D$73</f>
        <v>-2000</v>
      </c>
      <c r="Q69" s="50" t="n">
        <f aca="false">-Q8*Assumptions!$D$73</f>
        <v>-2000</v>
      </c>
      <c r="R69" s="50" t="n">
        <f aca="false">-R8*Assumptions!$D$73</f>
        <v>-2000</v>
      </c>
      <c r="S69" s="50" t="n">
        <f aca="false">-S8*Assumptions!$D$73</f>
        <v>-2000</v>
      </c>
      <c r="T69" s="50" t="n">
        <f aca="false">-T8*Assumptions!$D$73</f>
        <v>-2000</v>
      </c>
      <c r="U69" s="50" t="n">
        <f aca="false">-U8*Assumptions!$D$73</f>
        <v>-2000</v>
      </c>
      <c r="V69" s="50" t="n">
        <f aca="false">-V8*Assumptions!$D$73</f>
        <v>-2000</v>
      </c>
      <c r="W69" s="50" t="n">
        <f aca="false">-W8*Assumptions!$D$73</f>
        <v>-2000</v>
      </c>
      <c r="X69" s="50" t="n">
        <f aca="false">-X8*Assumptions!$D$73</f>
        <v>-2000</v>
      </c>
      <c r="Y69" s="50" t="n">
        <f aca="false">-Y8*Assumptions!$D$73</f>
        <v>-2000</v>
      </c>
      <c r="Z69" s="50" t="n">
        <f aca="false">-Z8*Assumptions!$D$73</f>
        <v>-2000</v>
      </c>
      <c r="AA69" s="50" t="n">
        <f aca="false">-AA8*Assumptions!$D$73</f>
        <v>-2000</v>
      </c>
      <c r="AB69" s="50" t="n">
        <f aca="false">-AB8*Assumptions!$D$73</f>
        <v>-2000</v>
      </c>
      <c r="AC69" s="50" t="n">
        <f aca="false">-AC8*Assumptions!$D$73</f>
        <v>-2000</v>
      </c>
      <c r="AD69" s="50" t="n">
        <f aca="false">-AD8*Assumptions!$D$73</f>
        <v>-2000</v>
      </c>
      <c r="AE69" s="50" t="n">
        <f aca="false">-AE8*Assumptions!$D$73</f>
        <v>-2000</v>
      </c>
      <c r="AF69" s="50" t="n">
        <f aca="false">-AF8*Assumptions!$D$73</f>
        <v>-2000</v>
      </c>
      <c r="AG69" s="50" t="n">
        <f aca="false">-AG8*Assumptions!$D$73</f>
        <v>-2000</v>
      </c>
      <c r="AH69" s="50" t="n">
        <f aca="false">-AH8*Assumptions!$D$73</f>
        <v>-2000</v>
      </c>
      <c r="AI69" s="50" t="n">
        <f aca="false">-AI8*Assumptions!$D$73</f>
        <v>-2000</v>
      </c>
      <c r="AJ69" s="50" t="n">
        <f aca="false">-AJ8*Assumptions!$D$73</f>
        <v>-2000</v>
      </c>
      <c r="AK69" s="50" t="n">
        <f aca="false">-AK8*Assumptions!$D$73</f>
        <v>-2000</v>
      </c>
      <c r="AL69" s="50" t="n">
        <f aca="false">-AL8*Assumptions!$D$73</f>
        <v>-2000</v>
      </c>
      <c r="AM69" s="50" t="n">
        <f aca="false">SUM(C69:AL69)</f>
        <v>-68000</v>
      </c>
    </row>
    <row r="70" customFormat="false" ht="15" hidden="false" customHeight="false" outlineLevel="0" collapsed="false">
      <c r="A70" s="10" t="s">
        <v>655</v>
      </c>
      <c r="B70" s="9" t="s">
        <v>90</v>
      </c>
      <c r="C70" s="50" t="n">
        <f aca="false">-Assumptions!$D$74</f>
        <v>-4500</v>
      </c>
      <c r="D70" s="50" t="n">
        <f aca="false">-Assumptions!$D$74</f>
        <v>-4500</v>
      </c>
      <c r="E70" s="50" t="n">
        <f aca="false">-Assumptions!$D$74</f>
        <v>-4500</v>
      </c>
      <c r="F70" s="50" t="n">
        <f aca="false">-Assumptions!$D$74</f>
        <v>-4500</v>
      </c>
      <c r="G70" s="50" t="n">
        <f aca="false">-Assumptions!$D$74</f>
        <v>-4500</v>
      </c>
      <c r="H70" s="50" t="n">
        <f aca="false">-Assumptions!$D$74</f>
        <v>-4500</v>
      </c>
      <c r="I70" s="50" t="n">
        <f aca="false">-Assumptions!$D$74</f>
        <v>-4500</v>
      </c>
      <c r="J70" s="50" t="n">
        <f aca="false">-Assumptions!$D$74</f>
        <v>-4500</v>
      </c>
      <c r="K70" s="50" t="n">
        <f aca="false">-Assumptions!$D$74</f>
        <v>-4500</v>
      </c>
      <c r="L70" s="50" t="n">
        <f aca="false">-Assumptions!$D$74</f>
        <v>-4500</v>
      </c>
      <c r="M70" s="50" t="n">
        <f aca="false">-Assumptions!$D$74</f>
        <v>-4500</v>
      </c>
      <c r="N70" s="50" t="n">
        <f aca="false">-Assumptions!$D$74</f>
        <v>-4500</v>
      </c>
      <c r="O70" s="50" t="n">
        <f aca="false">-Assumptions!$D$74</f>
        <v>-4500</v>
      </c>
      <c r="P70" s="50" t="n">
        <f aca="false">-Assumptions!$D$74</f>
        <v>-4500</v>
      </c>
      <c r="Q70" s="50" t="n">
        <f aca="false">-Assumptions!$D$74</f>
        <v>-4500</v>
      </c>
      <c r="R70" s="50" t="n">
        <f aca="false">-Assumptions!$D$74</f>
        <v>-4500</v>
      </c>
      <c r="S70" s="50" t="n">
        <f aca="false">-Assumptions!$D$74</f>
        <v>-4500</v>
      </c>
      <c r="T70" s="50" t="n">
        <f aca="false">-Assumptions!$D$74</f>
        <v>-4500</v>
      </c>
      <c r="U70" s="50" t="n">
        <f aca="false">-Assumptions!$D$74</f>
        <v>-4500</v>
      </c>
      <c r="V70" s="50" t="n">
        <f aca="false">-Assumptions!$D$74</f>
        <v>-4500</v>
      </c>
      <c r="W70" s="50" t="n">
        <f aca="false">-Assumptions!$D$74</f>
        <v>-4500</v>
      </c>
      <c r="X70" s="50" t="n">
        <f aca="false">-Assumptions!$D$74</f>
        <v>-4500</v>
      </c>
      <c r="Y70" s="50" t="n">
        <f aca="false">-Assumptions!$D$74</f>
        <v>-4500</v>
      </c>
      <c r="Z70" s="50" t="n">
        <f aca="false">-Assumptions!$D$74</f>
        <v>-4500</v>
      </c>
      <c r="AA70" s="50" t="n">
        <f aca="false">-Assumptions!$D$74</f>
        <v>-4500</v>
      </c>
      <c r="AB70" s="50" t="n">
        <f aca="false">-Assumptions!$D$74</f>
        <v>-4500</v>
      </c>
      <c r="AC70" s="50" t="n">
        <f aca="false">-Assumptions!$D$74</f>
        <v>-4500</v>
      </c>
      <c r="AD70" s="50" t="n">
        <f aca="false">-Assumptions!$D$74</f>
        <v>-4500</v>
      </c>
      <c r="AE70" s="50" t="n">
        <f aca="false">-Assumptions!$D$74</f>
        <v>-4500</v>
      </c>
      <c r="AF70" s="50" t="n">
        <f aca="false">-Assumptions!$D$74</f>
        <v>-4500</v>
      </c>
      <c r="AG70" s="50" t="n">
        <f aca="false">-Assumptions!$D$74</f>
        <v>-4500</v>
      </c>
      <c r="AH70" s="50" t="n">
        <f aca="false">-Assumptions!$D$74</f>
        <v>-4500</v>
      </c>
      <c r="AI70" s="50" t="n">
        <f aca="false">-Assumptions!$D$74</f>
        <v>-4500</v>
      </c>
      <c r="AJ70" s="50" t="n">
        <f aca="false">-Assumptions!$D$74</f>
        <v>-4500</v>
      </c>
      <c r="AK70" s="50" t="n">
        <f aca="false">-Assumptions!$D$74</f>
        <v>-4500</v>
      </c>
      <c r="AL70" s="50" t="n">
        <f aca="false">-Assumptions!$D$74</f>
        <v>-4500</v>
      </c>
      <c r="AM70" s="50" t="n">
        <f aca="false">SUM(C70:AL70)</f>
        <v>-162000</v>
      </c>
    </row>
    <row r="71" customFormat="false" ht="15" hidden="false" customHeight="false" outlineLevel="0" collapsed="false">
      <c r="A71" s="10" t="s">
        <v>656</v>
      </c>
      <c r="B71" s="9" t="s">
        <v>90</v>
      </c>
      <c r="C71" s="50" t="n">
        <f aca="false">-C15</f>
        <v>-4000</v>
      </c>
      <c r="D71" s="50" t="n">
        <f aca="false">-D15</f>
        <v>-4000</v>
      </c>
      <c r="E71" s="50" t="n">
        <f aca="false">-E15</f>
        <v>-10000</v>
      </c>
      <c r="F71" s="50" t="n">
        <f aca="false">-F15</f>
        <v>-10000</v>
      </c>
      <c r="G71" s="50" t="n">
        <f aca="false">-G15</f>
        <v>-10000</v>
      </c>
      <c r="H71" s="50" t="n">
        <f aca="false">-H15</f>
        <v>-10000</v>
      </c>
      <c r="I71" s="50" t="n">
        <f aca="false">-I15</f>
        <v>-10000</v>
      </c>
      <c r="J71" s="50" t="n">
        <f aca="false">-J15</f>
        <v>-10000</v>
      </c>
      <c r="K71" s="50" t="n">
        <f aca="false">-K15</f>
        <v>-10000</v>
      </c>
      <c r="L71" s="50" t="n">
        <f aca="false">-L15</f>
        <v>-10000</v>
      </c>
      <c r="M71" s="50" t="n">
        <f aca="false">-M15</f>
        <v>-10000</v>
      </c>
      <c r="N71" s="50" t="n">
        <f aca="false">-N15</f>
        <v>-10000</v>
      </c>
      <c r="O71" s="50" t="n">
        <f aca="false">-O15</f>
        <v>-10000</v>
      </c>
      <c r="P71" s="50" t="n">
        <f aca="false">-P15</f>
        <v>-10000</v>
      </c>
      <c r="Q71" s="50" t="n">
        <f aca="false">-Q15</f>
        <v>-10000</v>
      </c>
      <c r="R71" s="50" t="n">
        <f aca="false">-R15</f>
        <v>-10000</v>
      </c>
      <c r="S71" s="50" t="n">
        <f aca="false">-S15</f>
        <v>-10000</v>
      </c>
      <c r="T71" s="50" t="n">
        <f aca="false">-T15</f>
        <v>-10000</v>
      </c>
      <c r="U71" s="50" t="n">
        <f aca="false">-U15</f>
        <v>-10000</v>
      </c>
      <c r="V71" s="50" t="n">
        <f aca="false">-V15</f>
        <v>-10000</v>
      </c>
      <c r="W71" s="50" t="n">
        <f aca="false">-W15</f>
        <v>-10000</v>
      </c>
      <c r="X71" s="50" t="n">
        <f aca="false">-X15</f>
        <v>-10000</v>
      </c>
      <c r="Y71" s="50" t="n">
        <f aca="false">-Y15</f>
        <v>-10000</v>
      </c>
      <c r="Z71" s="50" t="n">
        <f aca="false">-Z15</f>
        <v>-10000</v>
      </c>
      <c r="AA71" s="50" t="n">
        <f aca="false">-AA15</f>
        <v>-10000</v>
      </c>
      <c r="AB71" s="50" t="n">
        <f aca="false">-AB15</f>
        <v>-10000</v>
      </c>
      <c r="AC71" s="50" t="n">
        <f aca="false">-AC15</f>
        <v>-10000</v>
      </c>
      <c r="AD71" s="50" t="n">
        <f aca="false">-AD15</f>
        <v>-10000</v>
      </c>
      <c r="AE71" s="50" t="n">
        <f aca="false">-AE15</f>
        <v>-10000</v>
      </c>
      <c r="AF71" s="50" t="n">
        <f aca="false">-AF15</f>
        <v>-10000</v>
      </c>
      <c r="AG71" s="50" t="n">
        <f aca="false">-AG15</f>
        <v>-10000</v>
      </c>
      <c r="AH71" s="50" t="n">
        <f aca="false">-AH15</f>
        <v>-10000</v>
      </c>
      <c r="AI71" s="50" t="n">
        <f aca="false">-AI15</f>
        <v>-10000</v>
      </c>
      <c r="AJ71" s="50" t="n">
        <f aca="false">-AJ15</f>
        <v>-10000</v>
      </c>
      <c r="AK71" s="50" t="n">
        <f aca="false">-AK15</f>
        <v>-10000</v>
      </c>
      <c r="AL71" s="50" t="n">
        <f aca="false">-AL15</f>
        <v>-10144.0326246865</v>
      </c>
      <c r="AM71" s="50" t="n">
        <f aca="false">SUM(C71:AL71)</f>
        <v>-348144.032624686</v>
      </c>
    </row>
    <row r="72" customFormat="false" ht="15" hidden="false" customHeight="false" outlineLevel="0" collapsed="false">
      <c r="A72" s="10" t="s">
        <v>657</v>
      </c>
      <c r="B72" s="9" t="s">
        <v>90</v>
      </c>
      <c r="C72" s="50" t="n">
        <f aca="false">-IF(C$5=Assumptions!$D$6,Assumptions!$D$24,0)</f>
        <v>-0</v>
      </c>
      <c r="D72" s="50" t="n">
        <f aca="false">-IF(D$5=Assumptions!$D$6,Assumptions!$D$24,0)</f>
        <v>-0</v>
      </c>
      <c r="E72" s="50" t="n">
        <f aca="false">-IF(E$5=Assumptions!$D$6,Assumptions!$D$24,0)</f>
        <v>-40000</v>
      </c>
      <c r="F72" s="50" t="n">
        <f aca="false">-IF(F$5=Assumptions!$D$6,Assumptions!$D$24,0)</f>
        <v>-0</v>
      </c>
      <c r="G72" s="50" t="n">
        <f aca="false">-IF(G$5=Assumptions!$D$6,Assumptions!$D$24,0)</f>
        <v>-0</v>
      </c>
      <c r="H72" s="50" t="n">
        <f aca="false">-IF(H$5=Assumptions!$D$6,Assumptions!$D$24,0)</f>
        <v>-0</v>
      </c>
      <c r="I72" s="50" t="n">
        <f aca="false">-IF(I$5=Assumptions!$D$6,Assumptions!$D$24,0)</f>
        <v>-0</v>
      </c>
      <c r="J72" s="50" t="n">
        <f aca="false">-IF(J$5=Assumptions!$D$6,Assumptions!$D$24,0)</f>
        <v>-0</v>
      </c>
      <c r="K72" s="50" t="n">
        <f aca="false">-IF(K$5=Assumptions!$D$6,Assumptions!$D$24,0)</f>
        <v>-0</v>
      </c>
      <c r="L72" s="50" t="n">
        <f aca="false">-IF(L$5=Assumptions!$D$6,Assumptions!$D$24,0)</f>
        <v>-0</v>
      </c>
      <c r="M72" s="50" t="n">
        <f aca="false">-IF(M$5=Assumptions!$D$6,Assumptions!$D$24,0)</f>
        <v>-0</v>
      </c>
      <c r="N72" s="50" t="n">
        <f aca="false">-IF(N$5=Assumptions!$D$6,Assumptions!$D$24,0)</f>
        <v>-0</v>
      </c>
      <c r="O72" s="50" t="n">
        <f aca="false">-IF(O$5=Assumptions!$D$6,Assumptions!$D$24,0)</f>
        <v>-0</v>
      </c>
      <c r="P72" s="50" t="n">
        <f aca="false">-IF(P$5=Assumptions!$D$6,Assumptions!$D$24,0)</f>
        <v>-0</v>
      </c>
      <c r="Q72" s="50" t="n">
        <f aca="false">-IF(Q$5=Assumptions!$D$6,Assumptions!$D$24,0)</f>
        <v>-0</v>
      </c>
      <c r="R72" s="50" t="n">
        <f aca="false">-IF(R$5=Assumptions!$D$6,Assumptions!$D$24,0)</f>
        <v>-0</v>
      </c>
      <c r="S72" s="50" t="n">
        <f aca="false">-IF(S$5=Assumptions!$D$6,Assumptions!$D$24,0)</f>
        <v>-0</v>
      </c>
      <c r="T72" s="50" t="n">
        <f aca="false">-IF(T$5=Assumptions!$D$6,Assumptions!$D$24,0)</f>
        <v>-0</v>
      </c>
      <c r="U72" s="50" t="n">
        <f aca="false">-IF(U$5=Assumptions!$D$6,Assumptions!$D$24,0)</f>
        <v>-0</v>
      </c>
      <c r="V72" s="50" t="n">
        <f aca="false">-IF(V$5=Assumptions!$D$6,Assumptions!$D$24,0)</f>
        <v>-0</v>
      </c>
      <c r="W72" s="50" t="n">
        <f aca="false">-IF(W$5=Assumptions!$D$6,Assumptions!$D$24,0)</f>
        <v>-0</v>
      </c>
      <c r="X72" s="50" t="n">
        <f aca="false">-IF(X$5=Assumptions!$D$6,Assumptions!$D$24,0)</f>
        <v>-0</v>
      </c>
      <c r="Y72" s="50" t="n">
        <f aca="false">-IF(Y$5=Assumptions!$D$6,Assumptions!$D$24,0)</f>
        <v>-0</v>
      </c>
      <c r="Z72" s="50" t="n">
        <f aca="false">-IF(Z$5=Assumptions!$D$6,Assumptions!$D$24,0)</f>
        <v>-0</v>
      </c>
      <c r="AA72" s="50" t="n">
        <f aca="false">-IF(AA$5=Assumptions!$D$6,Assumptions!$D$24,0)</f>
        <v>-0</v>
      </c>
      <c r="AB72" s="50" t="n">
        <f aca="false">-IF(AB$5=Assumptions!$D$6,Assumptions!$D$24,0)</f>
        <v>-0</v>
      </c>
      <c r="AC72" s="50" t="n">
        <f aca="false">-IF(AC$5=Assumptions!$D$6,Assumptions!$D$24,0)</f>
        <v>-0</v>
      </c>
      <c r="AD72" s="50" t="n">
        <f aca="false">-IF(AD$5=Assumptions!$D$6,Assumptions!$D$24,0)</f>
        <v>-0</v>
      </c>
      <c r="AE72" s="50" t="n">
        <f aca="false">-IF(AE$5=Assumptions!$D$6,Assumptions!$D$24,0)</f>
        <v>-0</v>
      </c>
      <c r="AF72" s="50" t="n">
        <f aca="false">-IF(AF$5=Assumptions!$D$6,Assumptions!$D$24,0)</f>
        <v>-0</v>
      </c>
      <c r="AG72" s="50" t="n">
        <f aca="false">-IF(AG$5=Assumptions!$D$6,Assumptions!$D$24,0)</f>
        <v>-0</v>
      </c>
      <c r="AH72" s="50" t="n">
        <f aca="false">-IF(AH$5=Assumptions!$D$6,Assumptions!$D$24,0)</f>
        <v>-0</v>
      </c>
      <c r="AI72" s="50" t="n">
        <f aca="false">-IF(AI$5=Assumptions!$D$6,Assumptions!$D$24,0)</f>
        <v>-0</v>
      </c>
      <c r="AJ72" s="50" t="n">
        <f aca="false">-IF(AJ$5=Assumptions!$D$6,Assumptions!$D$24,0)</f>
        <v>-0</v>
      </c>
      <c r="AK72" s="50" t="n">
        <f aca="false">-IF(AK$5=Assumptions!$D$6,Assumptions!$D$24,0)</f>
        <v>-0</v>
      </c>
      <c r="AL72" s="50" t="n">
        <f aca="false">-IF(AL$5=Assumptions!$D$6,Assumptions!$D$24,0)</f>
        <v>-0</v>
      </c>
      <c r="AM72" s="50" t="n">
        <f aca="false">SUM(C72:AL72)</f>
        <v>-40000</v>
      </c>
    </row>
    <row r="73" customFormat="false" ht="15" hidden="false" customHeight="false" outlineLevel="0" collapsed="false">
      <c r="A73" s="10" t="s">
        <v>658</v>
      </c>
      <c r="B73" s="9" t="s">
        <v>90</v>
      </c>
      <c r="C73" s="50" t="n">
        <f aca="false">-C8*Assumptions!$D$76</f>
        <v>-0</v>
      </c>
      <c r="D73" s="50" t="n">
        <f aca="false">-D8*Assumptions!$D$76</f>
        <v>-0</v>
      </c>
      <c r="E73" s="50" t="n">
        <f aca="false">-E8*Assumptions!$D$76</f>
        <v>-0</v>
      </c>
      <c r="F73" s="50" t="n">
        <f aca="false">-F8*Assumptions!$D$76</f>
        <v>-0</v>
      </c>
      <c r="G73" s="50" t="n">
        <f aca="false">-G8*Assumptions!$D$76</f>
        <v>-0</v>
      </c>
      <c r="H73" s="50" t="n">
        <f aca="false">-H8*Assumptions!$D$76</f>
        <v>-0</v>
      </c>
      <c r="I73" s="50" t="n">
        <f aca="false">-I8*Assumptions!$D$76</f>
        <v>-0</v>
      </c>
      <c r="J73" s="50" t="n">
        <f aca="false">-J8*Assumptions!$D$76</f>
        <v>-0</v>
      </c>
      <c r="K73" s="50" t="n">
        <f aca="false">-K8*Assumptions!$D$76</f>
        <v>-0</v>
      </c>
      <c r="L73" s="50" t="n">
        <f aca="false">-L8*Assumptions!$D$76</f>
        <v>-0</v>
      </c>
      <c r="M73" s="50" t="n">
        <f aca="false">-M8*Assumptions!$D$76</f>
        <v>-0</v>
      </c>
      <c r="N73" s="50" t="n">
        <f aca="false">-N8*Assumptions!$D$76</f>
        <v>-0</v>
      </c>
      <c r="O73" s="50" t="n">
        <f aca="false">-O8*Assumptions!$D$76</f>
        <v>-0</v>
      </c>
      <c r="P73" s="50" t="n">
        <f aca="false">-P8*Assumptions!$D$76</f>
        <v>-0</v>
      </c>
      <c r="Q73" s="50" t="n">
        <f aca="false">-Q8*Assumptions!$D$76</f>
        <v>-0</v>
      </c>
      <c r="R73" s="50" t="n">
        <f aca="false">-R8*Assumptions!$D$76</f>
        <v>-0</v>
      </c>
      <c r="S73" s="50" t="n">
        <f aca="false">-S8*Assumptions!$D$76</f>
        <v>-0</v>
      </c>
      <c r="T73" s="50" t="n">
        <f aca="false">-T8*Assumptions!$D$76</f>
        <v>-0</v>
      </c>
      <c r="U73" s="50" t="n">
        <f aca="false">-U8*Assumptions!$D$76</f>
        <v>-0</v>
      </c>
      <c r="V73" s="50" t="n">
        <f aca="false">-V8*Assumptions!$D$76</f>
        <v>-0</v>
      </c>
      <c r="W73" s="50" t="n">
        <f aca="false">-W8*Assumptions!$D$76</f>
        <v>-0</v>
      </c>
      <c r="X73" s="50" t="n">
        <f aca="false">-X8*Assumptions!$D$76</f>
        <v>-0</v>
      </c>
      <c r="Y73" s="50" t="n">
        <f aca="false">-Y8*Assumptions!$D$76</f>
        <v>-0</v>
      </c>
      <c r="Z73" s="50" t="n">
        <f aca="false">-Z8*Assumptions!$D$76</f>
        <v>-0</v>
      </c>
      <c r="AA73" s="50" t="n">
        <f aca="false">-AA8*Assumptions!$D$76</f>
        <v>-0</v>
      </c>
      <c r="AB73" s="50" t="n">
        <f aca="false">-AB8*Assumptions!$D$76</f>
        <v>-0</v>
      </c>
      <c r="AC73" s="50" t="n">
        <f aca="false">-AC8*Assumptions!$D$76</f>
        <v>-0</v>
      </c>
      <c r="AD73" s="50" t="n">
        <f aca="false">-AD8*Assumptions!$D$76</f>
        <v>-0</v>
      </c>
      <c r="AE73" s="50" t="n">
        <f aca="false">-AE8*Assumptions!$D$76</f>
        <v>-0</v>
      </c>
      <c r="AF73" s="50" t="n">
        <f aca="false">-AF8*Assumptions!$D$76</f>
        <v>-0</v>
      </c>
      <c r="AG73" s="50" t="n">
        <f aca="false">-AG8*Assumptions!$D$76</f>
        <v>-0</v>
      </c>
      <c r="AH73" s="50" t="n">
        <f aca="false">-AH8*Assumptions!$D$76</f>
        <v>-0</v>
      </c>
      <c r="AI73" s="50" t="n">
        <f aca="false">-AI8*Assumptions!$D$76</f>
        <v>-0</v>
      </c>
      <c r="AJ73" s="50" t="n">
        <f aca="false">-AJ8*Assumptions!$D$76</f>
        <v>-0</v>
      </c>
      <c r="AK73" s="50" t="n">
        <f aca="false">-AK8*Assumptions!$D$76</f>
        <v>-0</v>
      </c>
      <c r="AL73" s="50" t="n">
        <f aca="false">-AL8*Assumptions!$D$76</f>
        <v>-0</v>
      </c>
      <c r="AM73" s="50" t="n">
        <f aca="false">SUM(C73:AL73)</f>
        <v>0</v>
      </c>
    </row>
    <row r="74" customFormat="false" ht="15" hidden="false" customHeight="false" outlineLevel="0" collapsed="false">
      <c r="A74" s="10" t="s">
        <v>281</v>
      </c>
      <c r="B74" s="9" t="s">
        <v>90</v>
      </c>
      <c r="C74" s="50" t="n">
        <f aca="false">-C60*Assumptions!$D$77</f>
        <v>-0</v>
      </c>
      <c r="D74" s="50" t="n">
        <f aca="false">-D60*Assumptions!$D$77</f>
        <v>-0</v>
      </c>
      <c r="E74" s="50" t="n">
        <f aca="false">-E60*Assumptions!$D$77</f>
        <v>-513.189138904615</v>
      </c>
      <c r="F74" s="50" t="n">
        <f aca="false">-F60*Assumptions!$D$77</f>
        <v>-503.746126628234</v>
      </c>
      <c r="G74" s="50" t="n">
        <f aca="false">-G60*Assumptions!$D$77</f>
        <v>-542.388638290212</v>
      </c>
      <c r="H74" s="50" t="n">
        <f aca="false">-H60*Assumptions!$D$77</f>
        <v>-583.298080442974</v>
      </c>
      <c r="I74" s="50" t="n">
        <f aca="false">-I60*Assumptions!$D$77</f>
        <v>-620.069463256936</v>
      </c>
      <c r="J74" s="50" t="n">
        <f aca="false">-J60*Assumptions!$D$77</f>
        <v>-653.594177681761</v>
      </c>
      <c r="K74" s="50" t="n">
        <f aca="false">-K60*Assumptions!$D$77</f>
        <v>-702.757374881899</v>
      </c>
      <c r="L74" s="50" t="n">
        <f aca="false">-L60*Assumptions!$D$77</f>
        <v>-740.388518147331</v>
      </c>
      <c r="M74" s="50" t="n">
        <f aca="false">-M60*Assumptions!$D$77</f>
        <v>-775.903477081241</v>
      </c>
      <c r="N74" s="50" t="n">
        <f aca="false">-N60*Assumptions!$D$77</f>
        <v>-809.780513077792</v>
      </c>
      <c r="O74" s="50" t="n">
        <f aca="false">-O60*Assumptions!$D$77</f>
        <v>-842.416345667849</v>
      </c>
      <c r="P74" s="50" t="n">
        <f aca="false">-P60*Assumptions!$D$77</f>
        <v>-874.145853871784</v>
      </c>
      <c r="Q74" s="50" t="n">
        <f aca="false">-Q60*Assumptions!$D$77</f>
        <v>-905.256883983789</v>
      </c>
      <c r="R74" s="50" t="n">
        <f aca="false">-R60*Assumptions!$D$77</f>
        <v>-936.001441313312</v>
      </c>
      <c r="S74" s="50" t="n">
        <f aca="false">-S60*Assumptions!$D$77</f>
        <v>-966.604206863687</v>
      </c>
      <c r="T74" s="50" t="n">
        <f aca="false">-T60*Assumptions!$D$77</f>
        <v>-997.269072434601</v>
      </c>
      <c r="U74" s="50" t="n">
        <f aca="false">-U60*Assumptions!$D$77</f>
        <v>-1028.1842056429</v>
      </c>
      <c r="V74" s="50" t="n">
        <f aca="false">-V60*Assumptions!$D$77</f>
        <v>-1059.52602252977</v>
      </c>
      <c r="W74" s="50" t="n">
        <f aca="false">-W60*Assumptions!$D$77</f>
        <v>-1091.4623470061</v>
      </c>
      <c r="X74" s="50" t="n">
        <f aca="false">-X60*Assumptions!$D$77</f>
        <v>-1124.15496400089</v>
      </c>
      <c r="Y74" s="50" t="n">
        <f aca="false">-Y60*Assumptions!$D$77</f>
        <v>-1157.76171992017</v>
      </c>
      <c r="Z74" s="50" t="n">
        <f aca="false">-Z60*Assumptions!$D$77</f>
        <v>-1192.4382848285</v>
      </c>
      <c r="AA74" s="50" t="n">
        <f aca="false">-AA60*Assumptions!$D$77</f>
        <v>-1228.33966190229</v>
      </c>
      <c r="AB74" s="50" t="n">
        <f aca="false">-AB60*Assumptions!$D$77</f>
        <v>-1265.62150844027</v>
      </c>
      <c r="AC74" s="50" t="n">
        <f aca="false">-AC60*Assumptions!$D$77</f>
        <v>-1304.44131703793</v>
      </c>
      <c r="AD74" s="50" t="n">
        <f aca="false">-AD60*Assumptions!$D$77</f>
        <v>-1344.95949396446</v>
      </c>
      <c r="AE74" s="50" t="n">
        <f aca="false">-AE60*Assumptions!$D$77</f>
        <v>-1387.3403632383</v>
      </c>
      <c r="AF74" s="50" t="n">
        <f aca="false">-AF60*Assumptions!$D$77</f>
        <v>-1431.75311858352</v>
      </c>
      <c r="AG74" s="50" t="n">
        <f aca="false">-AG60*Assumptions!$D$77</f>
        <v>-1478.37274078057</v>
      </c>
      <c r="AH74" s="50" t="n">
        <f aca="false">-AH60*Assumptions!$D$77</f>
        <v>-1527.38089447066</v>
      </c>
      <c r="AI74" s="50" t="n">
        <f aca="false">-AI60*Assumptions!$D$77</f>
        <v>-1578.96681591876</v>
      </c>
      <c r="AJ74" s="50" t="n">
        <f aca="false">-AJ60*Assumptions!$D$77</f>
        <v>-1633.32820135363</v>
      </c>
      <c r="AK74" s="50" t="n">
        <f aca="false">-AK60*Assumptions!$D$77</f>
        <v>-1690.67210411441</v>
      </c>
      <c r="AL74" s="50" t="n">
        <f aca="false">-AL60*Assumptions!$D$77</f>
        <v>-1752.52150346775</v>
      </c>
      <c r="AM74" s="50" t="n">
        <f aca="false">SUM(C74:AL74)</f>
        <v>-36244.0345797289</v>
      </c>
    </row>
    <row r="75" customFormat="false" ht="15" hidden="false" customHeight="false" outlineLevel="0" collapsed="false">
      <c r="A75" s="26" t="s">
        <v>659</v>
      </c>
      <c r="B75" s="9" t="s">
        <v>90</v>
      </c>
      <c r="C75" s="35" t="n">
        <f aca="false">C63+C64+C65+C66+C67+C68+C69+C70+C71+C72+C73+C74</f>
        <v>-32920</v>
      </c>
      <c r="D75" s="35" t="n">
        <f aca="false">D63+D64+D65+D66+D67+D68+D69+D70+D71+D72+D73+D74</f>
        <v>-32920</v>
      </c>
      <c r="E75" s="35" t="n">
        <f aca="false">E63+E64+E65+E66+E67+E68+E69+E70+E71+E72+E73+E74</f>
        <v>-89433.1891389046</v>
      </c>
      <c r="F75" s="35" t="n">
        <f aca="false">F63+F64+F65+F66+F67+F68+F69+F70+F71+F72+F73+F74</f>
        <v>-49423.7461266282</v>
      </c>
      <c r="G75" s="35" t="n">
        <f aca="false">G63+G64+G65+G66+G67+G68+G69+G70+G71+G72+G73+G74</f>
        <v>-39462.3886382902</v>
      </c>
      <c r="H75" s="35" t="n">
        <f aca="false">H63+H64+H65+H66+H67+H68+H69+H70+H71+H72+H73+H74</f>
        <v>-39503.298080443</v>
      </c>
      <c r="I75" s="35" t="n">
        <f aca="false">I63+I64+I65+I66+I67+I68+I69+I70+I71+I72+I73+I74</f>
        <v>-44540.0694632569</v>
      </c>
      <c r="J75" s="35" t="n">
        <f aca="false">J63+J64+J65+J66+J67+J68+J69+J70+J71+J72+J73+J74</f>
        <v>-44573.5941776818</v>
      </c>
      <c r="K75" s="35" t="n">
        <f aca="false">K63+K64+K65+K66+K67+K68+K69+K70+K71+K72+K73+K74</f>
        <v>-44622.7573748819</v>
      </c>
      <c r="L75" s="35" t="n">
        <f aca="false">L63+L64+L65+L66+L67+L68+L69+L70+L71+L72+L73+L74</f>
        <v>-44660.3885181473</v>
      </c>
      <c r="M75" s="35" t="n">
        <f aca="false">M63+M64+M65+M66+M67+M68+M69+M70+M71+M72+M73+M74</f>
        <v>-44695.9034770812</v>
      </c>
      <c r="N75" s="35" t="n">
        <f aca="false">N63+N64+N65+N66+N67+N68+N69+N70+N71+N72+N73+N74</f>
        <v>-44729.7805130778</v>
      </c>
      <c r="O75" s="35" t="n">
        <f aca="false">O63+O64+O65+O66+O67+O68+O69+O70+O71+O72+O73+O74</f>
        <v>-52762.4163456679</v>
      </c>
      <c r="P75" s="35" t="n">
        <f aca="false">P63+P64+P65+P66+P67+P68+P69+P70+P71+P72+P73+P74</f>
        <v>-52794.1458538718</v>
      </c>
      <c r="Q75" s="35" t="n">
        <f aca="false">Q63+Q64+Q65+Q66+Q67+Q68+Q69+Q70+Q71+Q72+Q73+Q74</f>
        <v>-52825.2568839838</v>
      </c>
      <c r="R75" s="35" t="n">
        <f aca="false">R63+R64+R65+R66+R67+R68+R69+R70+R71+R72+R73+R74</f>
        <v>-52856.0014413133</v>
      </c>
      <c r="S75" s="35" t="n">
        <f aca="false">S63+S64+S65+S66+S67+S68+S69+S70+S71+S72+S73+S74</f>
        <v>-52886.6042068637</v>
      </c>
      <c r="T75" s="35" t="n">
        <f aca="false">T63+T64+T65+T66+T67+T68+T69+T70+T71+T72+T73+T74</f>
        <v>-52917.2690724346</v>
      </c>
      <c r="U75" s="35" t="n">
        <f aca="false">U63+U64+U65+U66+U67+U68+U69+U70+U71+U72+U73+U74</f>
        <v>-52948.1842056429</v>
      </c>
      <c r="V75" s="35" t="n">
        <f aca="false">V63+V64+V65+V66+V67+V68+V69+V70+V71+V72+V73+V74</f>
        <v>-52979.5260225298</v>
      </c>
      <c r="W75" s="35" t="n">
        <f aca="false">W63+W64+W65+W66+W67+W68+W69+W70+W71+W72+W73+W74</f>
        <v>-53011.4623470061</v>
      </c>
      <c r="X75" s="35" t="n">
        <f aca="false">X63+X64+X65+X66+X67+X68+X69+X70+X71+X72+X73+X74</f>
        <v>-53044.1549640009</v>
      </c>
      <c r="Y75" s="35" t="n">
        <f aca="false">Y63+Y64+Y65+Y66+Y67+Y68+Y69+Y70+Y71+Y72+Y73+Y74</f>
        <v>-53077.7617199202</v>
      </c>
      <c r="Z75" s="35" t="n">
        <f aca="false">Z63+Z64+Z65+Z66+Z67+Z68+Z69+Z70+Z71+Z72+Z73+Z74</f>
        <v>-53112.4382848285</v>
      </c>
      <c r="AA75" s="35" t="n">
        <f aca="false">AA63+AA64+AA65+AA66+AA67+AA68+AA69+AA70+AA71+AA72+AA73+AA74</f>
        <v>-61148.3396619023</v>
      </c>
      <c r="AB75" s="35" t="n">
        <f aca="false">AB63+AB64+AB65+AB66+AB67+AB68+AB69+AB70+AB71+AB72+AB73+AB74</f>
        <v>-61185.6215084403</v>
      </c>
      <c r="AC75" s="35" t="n">
        <f aca="false">AC63+AC64+AC65+AC66+AC67+AC68+AC69+AC70+AC71+AC72+AC73+AC74</f>
        <v>-61224.4413170379</v>
      </c>
      <c r="AD75" s="35" t="n">
        <f aca="false">AD63+AD64+AD65+AD66+AD67+AD68+AD69+AD70+AD71+AD72+AD73+AD74</f>
        <v>-61264.9594939645</v>
      </c>
      <c r="AE75" s="35" t="n">
        <f aca="false">AE63+AE64+AE65+AE66+AE67+AE68+AE69+AE70+AE71+AE72+AE73+AE74</f>
        <v>-61307.3403632383</v>
      </c>
      <c r="AF75" s="35" t="n">
        <f aca="false">AF63+AF64+AF65+AF66+AF67+AF68+AF69+AF70+AF71+AF72+AF73+AF74</f>
        <v>-61351.7531185835</v>
      </c>
      <c r="AG75" s="35" t="n">
        <f aca="false">AG63+AG64+AG65+AG66+AG67+AG68+AG69+AG70+AG71+AG72+AG73+AG74</f>
        <v>-61398.3727407806</v>
      </c>
      <c r="AH75" s="35" t="n">
        <f aca="false">AH63+AH64+AH65+AH66+AH67+AH68+AH69+AH70+AH71+AH72+AH73+AH74</f>
        <v>-61447.3808944707</v>
      </c>
      <c r="AI75" s="35" t="n">
        <f aca="false">AI63+AI64+AI65+AI66+AI67+AI68+AI69+AI70+AI71+AI72+AI73+AI74</f>
        <v>-61498.9668159188</v>
      </c>
      <c r="AJ75" s="35" t="n">
        <f aca="false">AJ63+AJ64+AJ65+AJ66+AJ67+AJ68+AJ69+AJ70+AJ71+AJ72+AJ73+AJ74</f>
        <v>-61553.3282013536</v>
      </c>
      <c r="AK75" s="35" t="n">
        <f aca="false">AK63+AK64+AK65+AK66+AK67+AK68+AK69+AK70+AK71+AK72+AK73+AK74</f>
        <v>-61610.6721041144</v>
      </c>
      <c r="AL75" s="35" t="n">
        <f aca="false">AL63+AL64+AL65+AL66+AL67+AL68+AL69+AL70+AL71+AL72+AL73+AL74</f>
        <v>-61816.5541281542</v>
      </c>
      <c r="AM75" s="35" t="n">
        <f aca="false">SUM(C75:AL75)</f>
        <v>-1923508.06720442</v>
      </c>
    </row>
    <row r="76" customFormat="false" ht="15" hidden="false" customHeight="false" outlineLevel="0" collapsed="false">
      <c r="A76" s="26" t="s">
        <v>660</v>
      </c>
      <c r="B76" s="9" t="s">
        <v>90</v>
      </c>
      <c r="C76" s="35" t="n">
        <f aca="false">C61+C75</f>
        <v>-32920</v>
      </c>
      <c r="D76" s="35" t="n">
        <f aca="false">D61+D75</f>
        <v>-32920</v>
      </c>
      <c r="E76" s="35" t="n">
        <f aca="false">E61+E75</f>
        <v>-84041.7095770959</v>
      </c>
      <c r="F76" s="35" t="n">
        <f aca="false">F61+F75</f>
        <v>-44131.4732779598</v>
      </c>
      <c r="G76" s="35" t="n">
        <f aca="false">G61+G75</f>
        <v>-33764.1440025196</v>
      </c>
      <c r="H76" s="35" t="n">
        <f aca="false">H61+H75</f>
        <v>-33375.2656636558</v>
      </c>
      <c r="I76" s="35" t="n">
        <f aca="false">I61+I75</f>
        <v>-38025.7230271901</v>
      </c>
      <c r="J76" s="35" t="n">
        <f aca="false">J61+J75</f>
        <v>-37707.0426793201</v>
      </c>
      <c r="K76" s="35" t="n">
        <f aca="false">K61+K75</f>
        <v>-37347.0593682114</v>
      </c>
      <c r="L76" s="35" t="n">
        <f aca="false">L61+L75</f>
        <v>-37042.2572045308</v>
      </c>
      <c r="M76" s="35" t="n">
        <f aca="false">M61+M75</f>
        <v>-36754.2917053226</v>
      </c>
      <c r="N76" s="35" t="n">
        <f aca="false">N61+N75</f>
        <v>-36479.4003294498</v>
      </c>
      <c r="O76" s="35" t="n">
        <f aca="false">O61+O75</f>
        <v>-44214.4641214442</v>
      </c>
      <c r="P76" s="35" t="n">
        <f aca="false">P61+P75</f>
        <v>-43956.8480546231</v>
      </c>
      <c r="Q76" s="35" t="n">
        <f aca="false">Q61+Q75</f>
        <v>-43704.2824340362</v>
      </c>
      <c r="R76" s="35" t="n">
        <f aca="false">R61+R75</f>
        <v>-43454.774270448</v>
      </c>
      <c r="S76" s="35" t="n">
        <f aca="false">S61+S75</f>
        <v>-43206.5405602147</v>
      </c>
      <c r="T76" s="35" t="n">
        <f aca="false">T61+T75</f>
        <v>-42957.9576008483</v>
      </c>
      <c r="U76" s="35" t="n">
        <f aca="false">U61+U75</f>
        <v>-42707.5220656822</v>
      </c>
      <c r="V76" s="35" t="n">
        <f aca="false">V61+V75</f>
        <v>-42453.8207183597</v>
      </c>
      <c r="W76" s="35" t="n">
        <f aca="false">W61+W75</f>
        <v>-42195.5064885508</v>
      </c>
      <c r="X76" s="35" t="n">
        <f aca="false">X61+X75</f>
        <v>-41931.2792412055</v>
      </c>
      <c r="Y76" s="35" t="n">
        <f aca="false">Y61+Y75</f>
        <v>-41659.8700157594</v>
      </c>
      <c r="Z76" s="35" t="n">
        <f aca="false">Z61+Z75</f>
        <v>-41380.0278347374</v>
      </c>
      <c r="AA76" s="35" t="n">
        <f aca="false">AA61+AA75</f>
        <v>-49090.508416294</v>
      </c>
      <c r="AB76" s="35" t="n">
        <f aca="false">AB61+AB75</f>
        <v>-48790.064296457</v>
      </c>
      <c r="AC76" s="35" t="n">
        <f aca="false">AC61+AC75</f>
        <v>-48477.4359916464</v>
      </c>
      <c r="AD76" s="35" t="n">
        <f aca="false">AD61+AD75</f>
        <v>-48151.3439230967</v>
      </c>
      <c r="AE76" s="35" t="n">
        <f aca="false">AE61+AE75</f>
        <v>-47810.4808913062</v>
      </c>
      <c r="AF76" s="35" t="n">
        <f aca="false">AF61+AF75</f>
        <v>-47453.5049372458</v>
      </c>
      <c r="AG76" s="35" t="n">
        <f aca="false">AG61+AG75</f>
        <v>-47079.032462623</v>
      </c>
      <c r="AH76" s="35" t="n">
        <f aca="false">AH61+AH75</f>
        <v>-46685.6315075348</v>
      </c>
      <c r="AI76" s="35" t="n">
        <f aca="false">AI61+AI75</f>
        <v>-46271.815102907</v>
      </c>
      <c r="AJ76" s="35" t="n">
        <f aca="false">AJ61+AJ75</f>
        <v>-45836.034629066</v>
      </c>
      <c r="AK76" s="35" t="n">
        <f aca="false">AK61+AK75</f>
        <v>-45376.6731219733</v>
      </c>
      <c r="AL76" s="35" t="n">
        <f aca="false">AL61+AL75</f>
        <v>-45024.8491424297</v>
      </c>
      <c r="AM76" s="35" t="n">
        <f aca="false">SUM(C76:AL76)</f>
        <v>-1564378.63466375</v>
      </c>
    </row>
    <row r="77" customFormat="false" ht="15" hidden="false" customHeight="false" outlineLevel="0" collapsed="false">
      <c r="A77" s="26" t="s">
        <v>661</v>
      </c>
      <c r="B77" s="9" t="s">
        <v>54</v>
      </c>
      <c r="C77" s="34" t="n">
        <f aca="false">IFERROR(C76/C60,0)</f>
        <v>0</v>
      </c>
      <c r="D77" s="34" t="n">
        <f aca="false">IFERROR(D76/D60,0)</f>
        <v>0</v>
      </c>
      <c r="E77" s="34" t="n">
        <f aca="false">IFERROR(E76/E60,0)</f>
        <v>-8.18818084853472</v>
      </c>
      <c r="F77" s="34" t="n">
        <f aca="false">IFERROR(F76/F60,0)</f>
        <v>-4.38032879511637</v>
      </c>
      <c r="G77" s="34" t="n">
        <f aca="false">IFERROR(G76/G60,0)</f>
        <v>-3.11254160014813</v>
      </c>
      <c r="H77" s="34" t="n">
        <f aca="false">IFERROR(H76/H60,0)</f>
        <v>-2.86090995176168</v>
      </c>
      <c r="I77" s="34" t="n">
        <f aca="false">IFERROR(I76/I60,0)</f>
        <v>-3.06624703202273</v>
      </c>
      <c r="J77" s="34" t="n">
        <f aca="false">IFERROR(J76/J60,0)</f>
        <v>-2.88459138460073</v>
      </c>
      <c r="K77" s="34" t="n">
        <f aca="false">IFERROR(K76/K60,0)</f>
        <v>-2.65718018074785</v>
      </c>
      <c r="L77" s="34" t="n">
        <f aca="false">IFERROR(L76/L60,0)</f>
        <v>-2.50154184570699</v>
      </c>
      <c r="M77" s="34" t="n">
        <f aca="false">IFERROR(M76/M60,0)</f>
        <v>-2.36848350284389</v>
      </c>
      <c r="N77" s="34" t="n">
        <f aca="false">IFERROR(N76/N60,0)</f>
        <v>-2.25242517820044</v>
      </c>
      <c r="O77" s="34" t="n">
        <f aca="false">IFERROR(O76/O60,0)</f>
        <v>-2.6242643764463</v>
      </c>
      <c r="P77" s="34" t="n">
        <f aca="false">IFERROR(P76/P60,0)</f>
        <v>-2.51427424038726</v>
      </c>
      <c r="Q77" s="34" t="n">
        <f aca="false">IFERROR(Q76/Q60,0)</f>
        <v>-2.41391605008877</v>
      </c>
      <c r="R77" s="34" t="n">
        <f aca="false">IFERROR(R76/R60,0)</f>
        <v>-2.32129846987608</v>
      </c>
      <c r="S77" s="34" t="n">
        <f aca="false">IFERROR(S76/S60,0)</f>
        <v>-2.2349654726005</v>
      </c>
      <c r="T77" s="34" t="n">
        <f aca="false">IFERROR(T76/T60,0)</f>
        <v>-2.15377969638507</v>
      </c>
      <c r="U77" s="34" t="n">
        <f aca="false">IFERROR(U76/U60,0)</f>
        <v>-2.07684196232999</v>
      </c>
      <c r="V77" s="34" t="n">
        <f aca="false">IFERROR(V76/V60,0)</f>
        <v>-2.00343454599611</v>
      </c>
      <c r="W77" s="34" t="n">
        <f aca="false">IFERROR(W76/W60,0)</f>
        <v>-1.93298040029936</v>
      </c>
      <c r="X77" s="34" t="n">
        <f aca="false">IFERROR(X76/X60,0)</f>
        <v>-1.86501330261316</v>
      </c>
      <c r="Y77" s="34" t="n">
        <f aca="false">IFERROR(Y76/Y60,0)</f>
        <v>-1.79915561634875</v>
      </c>
      <c r="Z77" s="34" t="n">
        <f aca="false">IFERROR(Z76/Z60,0)</f>
        <v>-1.73510144555148</v>
      </c>
      <c r="AA77" s="34" t="n">
        <f aca="false">IFERROR(AA76/AA60,0)</f>
        <v>-1.99824649235331</v>
      </c>
      <c r="AB77" s="34" t="n">
        <f aca="false">IFERROR(AB76/AB60,0)</f>
        <v>-1.92751403050131</v>
      </c>
      <c r="AC77" s="34" t="n">
        <f aca="false">IFERROR(AC76/AC60,0)</f>
        <v>-1.85816852619047</v>
      </c>
      <c r="AD77" s="34" t="n">
        <f aca="false">IFERROR(AD76/AD60,0)</f>
        <v>-1.7900666949145</v>
      </c>
      <c r="AE77" s="34" t="n">
        <f aca="false">IFERROR(AE76/AE60,0)</f>
        <v>-1.72309846084591</v>
      </c>
      <c r="AF77" s="34" t="n">
        <f aca="false">IFERROR(AF76/AF60,0)</f>
        <v>-1.6571818255997</v>
      </c>
      <c r="AG77" s="34" t="n">
        <f aca="false">IFERROR(AG76/AG60,0)</f>
        <v>-1.59225854089293</v>
      </c>
      <c r="AH77" s="34" t="n">
        <f aca="false">IFERROR(AH76/AH60,0)</f>
        <v>-1.52829041127016</v>
      </c>
      <c r="AI77" s="34" t="n">
        <f aca="false">IFERROR(AI76/AI60,0)</f>
        <v>-1.46525609773448</v>
      </c>
      <c r="AJ77" s="34" t="n">
        <f aca="false">IFERROR(AJ76/AJ60,0)</f>
        <v>-1.40314832594819</v>
      </c>
      <c r="AK77" s="34" t="n">
        <f aca="false">IFERROR(AK76/AK60,0)</f>
        <v>-1.34197142697111</v>
      </c>
      <c r="AL77" s="34" t="n">
        <f aca="false">IFERROR(AL76/AL60,0)</f>
        <v>-1.28457337194831</v>
      </c>
      <c r="AM77" s="34" t="n">
        <f aca="false">AVERAGE(N77:AL77)</f>
        <v>-1.89988899849175</v>
      </c>
    </row>
    <row r="78" customFormat="false" ht="15" hidden="false" customHeight="false" outlineLevel="0" collapsed="false">
      <c r="A78" s="10" t="s">
        <v>662</v>
      </c>
      <c r="B78" s="9" t="s">
        <v>90</v>
      </c>
      <c r="C78" s="50" t="n">
        <f aca="false">-C32*Assumptions!$D$80</f>
        <v>0</v>
      </c>
      <c r="D78" s="50" t="n">
        <f aca="false">-D32*Assumptions!$D$80</f>
        <v>0</v>
      </c>
      <c r="E78" s="50" t="n">
        <f aca="false">-E32*Assumptions!$D$80</f>
        <v>8018.58029538462</v>
      </c>
      <c r="F78" s="50" t="n">
        <f aca="false">-F32*Assumptions!$D$80</f>
        <v>7871.03322856615</v>
      </c>
      <c r="G78" s="50" t="n">
        <f aca="false">-G32*Assumptions!$D$80</f>
        <v>8474.82247328455</v>
      </c>
      <c r="H78" s="50" t="n">
        <f aca="false">-H32*Assumptions!$D$80</f>
        <v>9114.03250692147</v>
      </c>
      <c r="I78" s="50" t="n">
        <f aca="false">-I32*Assumptions!$D$80</f>
        <v>9688.58536338963</v>
      </c>
      <c r="J78" s="50" t="n">
        <f aca="false">-J32*Assumptions!$D$80</f>
        <v>10212.4090262775</v>
      </c>
      <c r="K78" s="50" t="n">
        <f aca="false">-K32*Assumptions!$D$80</f>
        <v>10696.2742613636</v>
      </c>
      <c r="L78" s="50" t="n">
        <f aca="false">-L32*Assumptions!$D$80</f>
        <v>11148.6338085346</v>
      </c>
      <c r="M78" s="50" t="n">
        <f aca="false">-M32*Assumptions!$D$80</f>
        <v>11576.2319549742</v>
      </c>
      <c r="N78" s="50" t="n">
        <f aca="false">-N32*Assumptions!$D$80</f>
        <v>11984.5483801382</v>
      </c>
      <c r="O78" s="50" t="n">
        <f aca="false">-O32*Assumptions!$D$80</f>
        <v>12378.1223146888</v>
      </c>
      <c r="P78" s="50" t="n">
        <f aca="false">-P32*Assumptions!$D$80</f>
        <v>12760.790201344</v>
      </c>
      <c r="Q78" s="50" t="n">
        <f aca="false">-Q32*Assumptions!$D$80</f>
        <v>13135.860787486</v>
      </c>
      <c r="R78" s="50" t="n">
        <f aca="false">-R32*Assumptions!$D$80</f>
        <v>13506.2449107412</v>
      </c>
      <c r="S78" s="50" t="n">
        <f aca="false">-S32*Assumptions!$D$80</f>
        <v>13874.5524348179</v>
      </c>
      <c r="T78" s="50" t="n">
        <f aca="false">-T32*Assumptions!$D$80</f>
        <v>14243.16533179</v>
      </c>
      <c r="U78" s="50" t="n">
        <f aca="false">-U32*Assumptions!$D$80</f>
        <v>14614.29341298</v>
      </c>
      <c r="V78" s="50" t="n">
        <f aca="false">-V32*Assumptions!$D$80</f>
        <v>14990.0174130585</v>
      </c>
      <c r="W78" s="50" t="n">
        <f aca="false">-W32*Assumptions!$D$80</f>
        <v>15372.3228360956</v>
      </c>
      <c r="X78" s="50" t="n">
        <f aca="false">-X32*Assumptions!$D$80</f>
        <v>15763.1270378018</v>
      </c>
      <c r="Y78" s="50" t="n">
        <f aca="false">-Y32*Assumptions!$D$80</f>
        <v>16164.3013440365</v>
      </c>
      <c r="Z78" s="50" t="n">
        <f aca="false">-Z32*Assumptions!$D$80</f>
        <v>16577.6895191065</v>
      </c>
      <c r="AA78" s="50" t="n">
        <f aca="false">-AA32*Assumptions!$D$80</f>
        <v>17005.1235460228</v>
      </c>
      <c r="AB78" s="50" t="n">
        <f aca="false">-AB32*Assumptions!$D$80</f>
        <v>17448.4374270074</v>
      </c>
      <c r="AC78" s="50" t="n">
        <f aca="false">-AC32*Assumptions!$D$80</f>
        <v>17909.4795289588</v>
      </c>
      <c r="AD78" s="50" t="n">
        <f aca="false">-AD32*Assumptions!$D$80</f>
        <v>18390.1238657233</v>
      </c>
      <c r="AE78" s="50" t="n">
        <f aca="false">-AE32*Assumptions!$D$80</f>
        <v>18892.2806127803</v>
      </c>
      <c r="AF78" s="50" t="n">
        <f aca="false">-AF32*Assumptions!$D$80</f>
        <v>19417.9060801639</v>
      </c>
      <c r="AG78" s="50" t="n">
        <f aca="false">-AG32*Assumptions!$D$80</f>
        <v>19969.0123188042</v>
      </c>
      <c r="AH78" s="50" t="n">
        <f aca="false">-AH32*Assumptions!$D$80</f>
        <v>20547.6764986834</v>
      </c>
      <c r="AI78" s="50" t="n">
        <f aca="false">-AI32*Assumptions!$D$80</f>
        <v>21156.0501704823</v>
      </c>
      <c r="AJ78" s="50" t="n">
        <f aca="false">-AJ32*Assumptions!$D$80</f>
        <v>21796.3685029797</v>
      </c>
      <c r="AK78" s="50" t="n">
        <f aca="false">-AK32*Assumptions!$D$80</f>
        <v>22470.959574397</v>
      </c>
      <c r="AL78" s="50" t="n">
        <f aca="false">-AL32*Assumptions!$D$80</f>
        <v>23199.5047522919</v>
      </c>
      <c r="AM78" s="50" t="n">
        <f aca="false">AL78</f>
        <v>23199.5047522919</v>
      </c>
    </row>
    <row r="79" customFormat="false" ht="15" hidden="false" customHeight="false" outlineLevel="0" collapsed="false">
      <c r="A79" s="10" t="s">
        <v>663</v>
      </c>
      <c r="B79" s="9" t="s">
        <v>90</v>
      </c>
      <c r="C79" s="50" t="n">
        <f aca="false">-C78</f>
        <v>-0</v>
      </c>
      <c r="D79" s="50" t="n">
        <f aca="false">-(D78-C78)</f>
        <v>-0</v>
      </c>
      <c r="E79" s="50" t="n">
        <f aca="false">-(E78-D78)</f>
        <v>-8018.58029538462</v>
      </c>
      <c r="F79" s="50" t="n">
        <f aca="false">-(F78-E78)</f>
        <v>147.547066818463</v>
      </c>
      <c r="G79" s="50" t="n">
        <f aca="false">-(G78-F78)</f>
        <v>-603.789244718401</v>
      </c>
      <c r="H79" s="50" t="n">
        <f aca="false">-(H78-G78)</f>
        <v>-639.210033636913</v>
      </c>
      <c r="I79" s="50" t="n">
        <f aca="false">-(I78-H78)</f>
        <v>-574.552856468161</v>
      </c>
      <c r="J79" s="50" t="n">
        <f aca="false">-(J78-I78)</f>
        <v>-523.823662887893</v>
      </c>
      <c r="K79" s="50" t="n">
        <f aca="false">-(K78-J78)</f>
        <v>-483.865235086039</v>
      </c>
      <c r="L79" s="50" t="n">
        <f aca="false">-(L78-K78)</f>
        <v>-452.359547171016</v>
      </c>
      <c r="M79" s="50" t="n">
        <f aca="false">-(M78-L78)</f>
        <v>-427.598146439597</v>
      </c>
      <c r="N79" s="50" t="n">
        <f aca="false">-(N78-M78)</f>
        <v>-408.316425164059</v>
      </c>
      <c r="O79" s="50" t="n">
        <f aca="false">-(O78-N78)</f>
        <v>-393.573934550595</v>
      </c>
      <c r="P79" s="50" t="n">
        <f aca="false">-(P78-O78)</f>
        <v>-382.667886655205</v>
      </c>
      <c r="Q79" s="50" t="n">
        <f aca="false">-(Q78-P78)</f>
        <v>-375.070586141985</v>
      </c>
      <c r="R79" s="50" t="n">
        <f aca="false">-(R78-Q78)</f>
        <v>-370.384123255168</v>
      </c>
      <c r="S79" s="50" t="n">
        <f aca="false">-(S78-R78)</f>
        <v>-368.30752407675</v>
      </c>
      <c r="T79" s="50" t="n">
        <f aca="false">-(T78-S78)</f>
        <v>-368.612896972032</v>
      </c>
      <c r="U79" s="50" t="n">
        <f aca="false">-(U78-T78)</f>
        <v>-371.128081190049</v>
      </c>
      <c r="V79" s="50" t="n">
        <f aca="false">-(V78-U78)</f>
        <v>-375.724000078491</v>
      </c>
      <c r="W79" s="50" t="n">
        <f aca="false">-(W78-V78)</f>
        <v>-382.30542303708</v>
      </c>
      <c r="X79" s="50" t="n">
        <f aca="false">-(X78-W78)</f>
        <v>-390.804201706174</v>
      </c>
      <c r="Y79" s="50" t="n">
        <f aca="false">-(Y78-X78)</f>
        <v>-401.174306234751</v>
      </c>
      <c r="Z79" s="50" t="n">
        <f aca="false">-(Z78-Y78)</f>
        <v>-413.38817507</v>
      </c>
      <c r="AA79" s="50" t="n">
        <f aca="false">-(AA78-Z78)</f>
        <v>-427.434026916253</v>
      </c>
      <c r="AB79" s="50" t="n">
        <f aca="false">-(AB78-AA78)</f>
        <v>-443.313880984613</v>
      </c>
      <c r="AC79" s="50" t="n">
        <f aca="false">-(AC78-AB78)</f>
        <v>-461.042101951389</v>
      </c>
      <c r="AD79" s="50" t="n">
        <f aca="false">-(AD78-AC78)</f>
        <v>-480.644336764566</v>
      </c>
      <c r="AE79" s="50" t="n">
        <f aca="false">-(AE78-AD78)</f>
        <v>-502.156747056928</v>
      </c>
      <c r="AF79" s="50" t="n">
        <f aca="false">-(AF78-AE78)</f>
        <v>-525.625467383601</v>
      </c>
      <c r="AG79" s="50" t="n">
        <f aca="false">-(AG78-AF78)</f>
        <v>-551.106238640303</v>
      </c>
      <c r="AH79" s="50" t="n">
        <f aca="false">-(AH78-AG78)</f>
        <v>-578.664179879259</v>
      </c>
      <c r="AI79" s="50" t="n">
        <f aca="false">-(AI78-AH78)</f>
        <v>-608.373671798909</v>
      </c>
      <c r="AJ79" s="50" t="n">
        <f aca="false">-(AJ78-AI78)</f>
        <v>-640.318332497322</v>
      </c>
      <c r="AK79" s="50" t="n">
        <f aca="false">-(AK78-AJ78)</f>
        <v>-674.591071417322</v>
      </c>
      <c r="AL79" s="50" t="n">
        <f aca="false">-(AL78-AK78)</f>
        <v>-728.545177894888</v>
      </c>
      <c r="AM79" s="50" t="n">
        <f aca="false">SUM(C79:AL79)</f>
        <v>-23199.5047522919</v>
      </c>
    </row>
    <row r="80" customFormat="false" ht="15" hidden="false" customHeight="false" outlineLevel="0" collapsed="false">
      <c r="A80" s="10" t="s">
        <v>664</v>
      </c>
      <c r="B80" s="9" t="s">
        <v>90</v>
      </c>
      <c r="C80" s="50" t="n">
        <f aca="false">C76+C79</f>
        <v>-32920</v>
      </c>
      <c r="D80" s="50" t="n">
        <f aca="false">D76+D79</f>
        <v>-32920</v>
      </c>
      <c r="E80" s="50" t="n">
        <f aca="false">E76+E79</f>
        <v>-92060.2898724805</v>
      </c>
      <c r="F80" s="50" t="n">
        <f aca="false">F76+F79</f>
        <v>-43983.9262111413</v>
      </c>
      <c r="G80" s="50" t="n">
        <f aca="false">G76+G79</f>
        <v>-34367.933247238</v>
      </c>
      <c r="H80" s="50" t="n">
        <f aca="false">H76+H79</f>
        <v>-34014.4756972927</v>
      </c>
      <c r="I80" s="50" t="n">
        <f aca="false">I76+I79</f>
        <v>-38600.2758836583</v>
      </c>
      <c r="J80" s="50" t="n">
        <f aca="false">J76+J79</f>
        <v>-38230.866342208</v>
      </c>
      <c r="K80" s="50" t="n">
        <f aca="false">K76+K79</f>
        <v>-37830.9246032974</v>
      </c>
      <c r="L80" s="50" t="n">
        <f aca="false">L76+L79</f>
        <v>-37494.6167517018</v>
      </c>
      <c r="M80" s="50" t="n">
        <f aca="false">M76+M79</f>
        <v>-37181.8898517622</v>
      </c>
      <c r="N80" s="50" t="n">
        <f aca="false">N76+N79</f>
        <v>-36887.7167546138</v>
      </c>
      <c r="O80" s="50" t="n">
        <f aca="false">O76+O79</f>
        <v>-44608.0380559948</v>
      </c>
      <c r="P80" s="50" t="n">
        <f aca="false">P76+P79</f>
        <v>-44339.5159412783</v>
      </c>
      <c r="Q80" s="50" t="n">
        <f aca="false">Q76+Q79</f>
        <v>-44079.3530201782</v>
      </c>
      <c r="R80" s="50" t="n">
        <f aca="false">R76+R79</f>
        <v>-43825.1583937032</v>
      </c>
      <c r="S80" s="50" t="n">
        <f aca="false">S76+S79</f>
        <v>-43574.8480842914</v>
      </c>
      <c r="T80" s="50" t="n">
        <f aca="false">T76+T79</f>
        <v>-43326.5704978203</v>
      </c>
      <c r="U80" s="50" t="n">
        <f aca="false">U76+U79</f>
        <v>-43078.6501468723</v>
      </c>
      <c r="V80" s="50" t="n">
        <f aca="false">V76+V79</f>
        <v>-42829.5447184382</v>
      </c>
      <c r="W80" s="50" t="n">
        <f aca="false">W76+W79</f>
        <v>-42577.8119115879</v>
      </c>
      <c r="X80" s="50" t="n">
        <f aca="false">X76+X79</f>
        <v>-42322.0834429116</v>
      </c>
      <c r="Y80" s="50" t="n">
        <f aca="false">Y76+Y79</f>
        <v>-42061.0443219941</v>
      </c>
      <c r="Z80" s="50" t="n">
        <f aca="false">Z76+Z79</f>
        <v>-41793.4160098074</v>
      </c>
      <c r="AA80" s="50" t="n">
        <f aca="false">AA76+AA79</f>
        <v>-49517.9424432102</v>
      </c>
      <c r="AB80" s="50" t="n">
        <f aca="false">AB76+AB79</f>
        <v>-49233.3781774416</v>
      </c>
      <c r="AC80" s="50" t="n">
        <f aca="false">AC76+AC79</f>
        <v>-48938.4780935978</v>
      </c>
      <c r="AD80" s="50" t="n">
        <f aca="false">AD76+AD79</f>
        <v>-48631.9882598613</v>
      </c>
      <c r="AE80" s="50" t="n">
        <f aca="false">AE76+AE79</f>
        <v>-48312.6376383632</v>
      </c>
      <c r="AF80" s="50" t="n">
        <f aca="false">AF76+AF79</f>
        <v>-47979.1304046294</v>
      </c>
      <c r="AG80" s="50" t="n">
        <f aca="false">AG76+AG79</f>
        <v>-47630.1387012633</v>
      </c>
      <c r="AH80" s="50" t="n">
        <f aca="false">AH76+AH79</f>
        <v>-47264.2956874141</v>
      </c>
      <c r="AI80" s="50" t="n">
        <f aca="false">AI76+AI79</f>
        <v>-46880.1887747059</v>
      </c>
      <c r="AJ80" s="50" t="n">
        <f aca="false">AJ76+AJ79</f>
        <v>-46476.3529615634</v>
      </c>
      <c r="AK80" s="50" t="n">
        <f aca="false">AK76+AK79</f>
        <v>-46051.2641933906</v>
      </c>
      <c r="AL80" s="50" t="n">
        <f aca="false">AL76+AL79</f>
        <v>-45753.3943203246</v>
      </c>
      <c r="AM80" s="50" t="n">
        <f aca="false">SUM(C80:AL80)</f>
        <v>-1587578.13941604</v>
      </c>
    </row>
    <row r="81" customFormat="false" ht="15" hidden="false" customHeight="false" outlineLevel="0" collapsed="false">
      <c r="A81" s="26" t="s">
        <v>665</v>
      </c>
      <c r="B81" s="9" t="s">
        <v>90</v>
      </c>
      <c r="C81" s="35" t="n">
        <f aca="false">C80</f>
        <v>-32920</v>
      </c>
      <c r="D81" s="35" t="n">
        <f aca="false">C81+D80</f>
        <v>-65840</v>
      </c>
      <c r="E81" s="35" t="n">
        <f aca="false">D81+E80</f>
        <v>-157900.289872481</v>
      </c>
      <c r="F81" s="35" t="n">
        <f aca="false">E81+F80</f>
        <v>-201884.216083622</v>
      </c>
      <c r="G81" s="35" t="n">
        <f aca="false">F81+G80</f>
        <v>-236252.14933086</v>
      </c>
      <c r="H81" s="35" t="n">
        <f aca="false">G81+H80</f>
        <v>-270266.625028153</v>
      </c>
      <c r="I81" s="35" t="n">
        <f aca="false">H81+I80</f>
        <v>-308866.900911811</v>
      </c>
      <c r="J81" s="35" t="n">
        <f aca="false">I81+J80</f>
        <v>-347097.767254019</v>
      </c>
      <c r="K81" s="35" t="n">
        <f aca="false">J81+K80</f>
        <v>-384928.691857316</v>
      </c>
      <c r="L81" s="35" t="n">
        <f aca="false">K81+L80</f>
        <v>-422423.308609018</v>
      </c>
      <c r="M81" s="35" t="n">
        <f aca="false">L81+M80</f>
        <v>-459605.19846078</v>
      </c>
      <c r="N81" s="35" t="n">
        <f aca="false">M81+N80</f>
        <v>-496492.915215394</v>
      </c>
      <c r="O81" s="35" t="n">
        <f aca="false">N81+O80</f>
        <v>-541100.953271389</v>
      </c>
      <c r="P81" s="35" t="n">
        <f aca="false">O81+P80</f>
        <v>-585440.469212667</v>
      </c>
      <c r="Q81" s="35" t="n">
        <f aca="false">P81+Q80</f>
        <v>-629519.822232846</v>
      </c>
      <c r="R81" s="35" t="n">
        <f aca="false">Q81+R80</f>
        <v>-673344.980626549</v>
      </c>
      <c r="S81" s="35" t="n">
        <f aca="false">R81+S80</f>
        <v>-716919.82871084</v>
      </c>
      <c r="T81" s="35" t="n">
        <f aca="false">S81+T80</f>
        <v>-760246.39920866</v>
      </c>
      <c r="U81" s="35" t="n">
        <f aca="false">T81+U80</f>
        <v>-803325.049355533</v>
      </c>
      <c r="V81" s="35" t="n">
        <f aca="false">U81+V80</f>
        <v>-846154.594073971</v>
      </c>
      <c r="W81" s="35" t="n">
        <f aca="false">V81+W80</f>
        <v>-888732.405985559</v>
      </c>
      <c r="X81" s="35" t="n">
        <f aca="false">W81+X80</f>
        <v>-931054.48942847</v>
      </c>
      <c r="Y81" s="35" t="n">
        <f aca="false">X81+Y80</f>
        <v>-973115.533750464</v>
      </c>
      <c r="Z81" s="35" t="n">
        <f aca="false">Y81+Z80</f>
        <v>-1014908.94976027</v>
      </c>
      <c r="AA81" s="35" t="n">
        <f aca="false">Z81+AA80</f>
        <v>-1064426.89220348</v>
      </c>
      <c r="AB81" s="35" t="n">
        <f aca="false">AA81+AB80</f>
        <v>-1113660.27038092</v>
      </c>
      <c r="AC81" s="35" t="n">
        <f aca="false">AB81+AC80</f>
        <v>-1162598.74847452</v>
      </c>
      <c r="AD81" s="35" t="n">
        <f aca="false">AC81+AD80</f>
        <v>-1211230.73673438</v>
      </c>
      <c r="AE81" s="35" t="n">
        <f aca="false">AD81+AE80</f>
        <v>-1259543.37437275</v>
      </c>
      <c r="AF81" s="35" t="n">
        <f aca="false">AE81+AF80</f>
        <v>-1307522.50477738</v>
      </c>
      <c r="AG81" s="35" t="n">
        <f aca="false">AF81+AG80</f>
        <v>-1355152.64347864</v>
      </c>
      <c r="AH81" s="35" t="n">
        <f aca="false">AG81+AH80</f>
        <v>-1402416.93916605</v>
      </c>
      <c r="AI81" s="35" t="n">
        <f aca="false">AH81+AI80</f>
        <v>-1449297.12794076</v>
      </c>
      <c r="AJ81" s="35" t="n">
        <f aca="false">AI81+AJ80</f>
        <v>-1495773.48090232</v>
      </c>
      <c r="AK81" s="35" t="n">
        <f aca="false">AJ81+AK80</f>
        <v>-1541824.74509571</v>
      </c>
      <c r="AL81" s="35" t="n">
        <f aca="false">AK81+AL80</f>
        <v>-1587578.13941604</v>
      </c>
      <c r="AM81" s="35" t="n">
        <f aca="false">AL81</f>
        <v>-1587578.13941604</v>
      </c>
    </row>
    <row r="82" customFormat="false" ht="15" hidden="false" customHeight="false" outlineLevel="0" collapsed="false">
      <c r="A82" s="10" t="s">
        <v>666</v>
      </c>
      <c r="B82" s="9" t="s">
        <v>44</v>
      </c>
      <c r="C82" s="49" t="n">
        <f aca="false">IF(C76&gt;0,C$5,999)</f>
        <v>999</v>
      </c>
      <c r="D82" s="49" t="n">
        <f aca="false">IF(D76&gt;0,D$5,999)</f>
        <v>999</v>
      </c>
      <c r="E82" s="49" t="n">
        <f aca="false">IF(E76&gt;0,E$5,999)</f>
        <v>999</v>
      </c>
      <c r="F82" s="49" t="n">
        <f aca="false">IF(F76&gt;0,F$5,999)</f>
        <v>999</v>
      </c>
      <c r="G82" s="49" t="n">
        <f aca="false">IF(G76&gt;0,G$5,999)</f>
        <v>999</v>
      </c>
      <c r="H82" s="49" t="n">
        <f aca="false">IF(H76&gt;0,H$5,999)</f>
        <v>999</v>
      </c>
      <c r="I82" s="49" t="n">
        <f aca="false">IF(I76&gt;0,I$5,999)</f>
        <v>999</v>
      </c>
      <c r="J82" s="49" t="n">
        <f aca="false">IF(J76&gt;0,J$5,999)</f>
        <v>999</v>
      </c>
      <c r="K82" s="49" t="n">
        <f aca="false">IF(K76&gt;0,K$5,999)</f>
        <v>999</v>
      </c>
      <c r="L82" s="49" t="n">
        <f aca="false">IF(L76&gt;0,L$5,999)</f>
        <v>999</v>
      </c>
      <c r="M82" s="49" t="n">
        <f aca="false">IF(M76&gt;0,M$5,999)</f>
        <v>999</v>
      </c>
      <c r="N82" s="49" t="n">
        <f aca="false">IF(N76&gt;0,N$5,999)</f>
        <v>999</v>
      </c>
      <c r="O82" s="49" t="n">
        <f aca="false">IF(O76&gt;0,O$5,999)</f>
        <v>999</v>
      </c>
      <c r="P82" s="49" t="n">
        <f aca="false">IF(P76&gt;0,P$5,999)</f>
        <v>999</v>
      </c>
      <c r="Q82" s="49" t="n">
        <f aca="false">IF(Q76&gt;0,Q$5,999)</f>
        <v>999</v>
      </c>
      <c r="R82" s="49" t="n">
        <f aca="false">IF(R76&gt;0,R$5,999)</f>
        <v>999</v>
      </c>
      <c r="S82" s="49" t="n">
        <f aca="false">IF(S76&gt;0,S$5,999)</f>
        <v>999</v>
      </c>
      <c r="T82" s="49" t="n">
        <f aca="false">IF(T76&gt;0,T$5,999)</f>
        <v>999</v>
      </c>
      <c r="U82" s="49" t="n">
        <f aca="false">IF(U76&gt;0,U$5,999)</f>
        <v>999</v>
      </c>
      <c r="V82" s="49" t="n">
        <f aca="false">IF(V76&gt;0,V$5,999)</f>
        <v>999</v>
      </c>
      <c r="W82" s="49" t="n">
        <f aca="false">IF(W76&gt;0,W$5,999)</f>
        <v>999</v>
      </c>
      <c r="X82" s="49" t="n">
        <f aca="false">IF(X76&gt;0,X$5,999)</f>
        <v>999</v>
      </c>
      <c r="Y82" s="49" t="n">
        <f aca="false">IF(Y76&gt;0,Y$5,999)</f>
        <v>999</v>
      </c>
      <c r="Z82" s="49" t="n">
        <f aca="false">IF(Z76&gt;0,Z$5,999)</f>
        <v>999</v>
      </c>
      <c r="AA82" s="49" t="n">
        <f aca="false">IF(AA76&gt;0,AA$5,999)</f>
        <v>999</v>
      </c>
      <c r="AB82" s="49" t="n">
        <f aca="false">IF(AB76&gt;0,AB$5,999)</f>
        <v>999</v>
      </c>
      <c r="AC82" s="49" t="n">
        <f aca="false">IF(AC76&gt;0,AC$5,999)</f>
        <v>999</v>
      </c>
      <c r="AD82" s="49" t="n">
        <f aca="false">IF(AD76&gt;0,AD$5,999)</f>
        <v>999</v>
      </c>
      <c r="AE82" s="49" t="n">
        <f aca="false">IF(AE76&gt;0,AE$5,999)</f>
        <v>999</v>
      </c>
      <c r="AF82" s="49" t="n">
        <f aca="false">IF(AF76&gt;0,AF$5,999)</f>
        <v>999</v>
      </c>
      <c r="AG82" s="49" t="n">
        <f aca="false">IF(AG76&gt;0,AG$5,999)</f>
        <v>999</v>
      </c>
      <c r="AH82" s="49" t="n">
        <f aca="false">IF(AH76&gt;0,AH$5,999)</f>
        <v>999</v>
      </c>
      <c r="AI82" s="49" t="n">
        <f aca="false">IF(AI76&gt;0,AI$5,999)</f>
        <v>999</v>
      </c>
      <c r="AJ82" s="49" t="n">
        <f aca="false">IF(AJ76&gt;0,AJ$5,999)</f>
        <v>999</v>
      </c>
      <c r="AK82" s="49" t="n">
        <f aca="false">IF(AK76&gt;0,AK$5,999)</f>
        <v>999</v>
      </c>
      <c r="AL82" s="49" t="n">
        <f aca="false">IF(AL76&gt;0,AL$5,999)</f>
        <v>999</v>
      </c>
      <c r="AM82" s="49"/>
    </row>
    <row r="83" customFormat="false" ht="15" hidden="false" customHeight="false" outlineLevel="0" collapsed="false">
      <c r="A83" s="10" t="s">
        <v>667</v>
      </c>
      <c r="B83" s="9" t="s">
        <v>44</v>
      </c>
      <c r="C83" s="43" t="n">
        <f aca="false">C21+C44</f>
        <v>0</v>
      </c>
      <c r="D83" s="43" t="n">
        <f aca="false">D21+D44</f>
        <v>0</v>
      </c>
      <c r="E83" s="43" t="n">
        <f aca="false">E21+E44</f>
        <v>157.227064615385</v>
      </c>
      <c r="F83" s="43" t="n">
        <f aca="false">F21+F44</f>
        <v>102.606280615385</v>
      </c>
      <c r="G83" s="43" t="n">
        <f aca="false">G21+G44</f>
        <v>93.3556036873846</v>
      </c>
      <c r="H83" s="43" t="n">
        <f aca="false">H21+H44</f>
        <v>86.9575209443446</v>
      </c>
      <c r="I83" s="43" t="n">
        <f aca="false">I21+I44</f>
        <v>82.629050293183</v>
      </c>
      <c r="J83" s="43" t="n">
        <f aca="false">J21+J44</f>
        <v>79.8073892836035</v>
      </c>
      <c r="K83" s="43" t="n">
        <f aca="false">K21+K44</f>
        <v>79.0333935819773</v>
      </c>
      <c r="L83" s="43" t="n">
        <f aca="false">L21+L44</f>
        <v>78.1698646762265</v>
      </c>
      <c r="M83" s="43" t="n">
        <f aca="false">M21+M44</f>
        <v>77.9181987042911</v>
      </c>
      <c r="N83" s="43" t="n">
        <f aca="false">N21+N44</f>
        <v>78.1292370724443</v>
      </c>
      <c r="O83" s="43" t="n">
        <f aca="false">O21+O44</f>
        <v>78.6968381570474</v>
      </c>
      <c r="P83" s="43" t="n">
        <f aca="false">P21+P44</f>
        <v>79.5459346296709</v>
      </c>
      <c r="Q83" s="43" t="n">
        <f aca="false">Q21+Q44</f>
        <v>80.6239336354861</v>
      </c>
      <c r="R83" s="43" t="n">
        <f aca="false">R21+R44</f>
        <v>81.8945258010402</v>
      </c>
      <c r="S83" s="43" t="n">
        <f aca="false">S21+S44</f>
        <v>83.3332301224485</v>
      </c>
      <c r="T83" s="43" t="n">
        <f aca="false">T21+T44</f>
        <v>84.9241898916161</v>
      </c>
      <c r="U83" s="43" t="n">
        <f aca="false">U21+U44</f>
        <v>86.6578703507129</v>
      </c>
      <c r="V83" s="43" t="n">
        <f aca="false">V21+V44</f>
        <v>88.5294064180285</v>
      </c>
      <c r="W83" s="43" t="n">
        <f aca="false">W21+W44</f>
        <v>90.5374191888249</v>
      </c>
      <c r="X83" s="43" t="n">
        <f aca="false">X21+X44</f>
        <v>92.6831706111008</v>
      </c>
      <c r="Y83" s="43" t="n">
        <f aca="false">Y21+Y44</f>
        <v>94.9699622644282</v>
      </c>
      <c r="Z83" s="43" t="n">
        <f aca="false">Z21+Z44</f>
        <v>97.4027104902505</v>
      </c>
      <c r="AA83" s="43" t="n">
        <f aca="false">AA21+AA44</f>
        <v>99.9876490874363</v>
      </c>
      <c r="AB83" s="43" t="n">
        <f aca="false">AB21+AB44</f>
        <v>102.732124453233</v>
      </c>
      <c r="AC83" s="43" t="n">
        <f aca="false">AC21+AC44</f>
        <v>105.644457898234</v>
      </c>
      <c r="AD83" s="43" t="n">
        <f aca="false">AD21+AD44</f>
        <v>108.733856961757</v>
      </c>
      <c r="AE83" s="43" t="n">
        <f aca="false">AE21+AE44</f>
        <v>112.010362670105</v>
      </c>
      <c r="AF83" s="43" t="n">
        <f aca="false">AF21+AF44</f>
        <v>115.48482336847</v>
      </c>
      <c r="AG83" s="43" t="n">
        <f aca="false">AG21+AG44</f>
        <v>119.168888417061</v>
      </c>
      <c r="AH83" s="43" t="n">
        <f aca="false">AH21+AH44</f>
        <v>123.075016960884</v>
      </c>
      <c r="AI83" s="43" t="n">
        <f aca="false">AI21+AI44</f>
        <v>127.216498367782</v>
      </c>
      <c r="AJ83" s="43" t="n">
        <f aca="false">AJ21+AJ44</f>
        <v>131.607481930177</v>
      </c>
      <c r="AK83" s="43" t="n">
        <f aca="false">AK21+AK44</f>
        <v>136.263014150018</v>
      </c>
      <c r="AL83" s="43" t="n">
        <f aca="false">AL21+AL44</f>
        <v>141.547807269827</v>
      </c>
      <c r="AM83" s="43" t="n">
        <f aca="false">SUM(C83:AL83)</f>
        <v>3379.10477656986</v>
      </c>
    </row>
    <row r="84" customFormat="false" ht="15" hidden="false" customHeight="false" outlineLevel="0" collapsed="false">
      <c r="A84" s="26" t="s">
        <v>668</v>
      </c>
      <c r="B84" s="9" t="s">
        <v>90</v>
      </c>
      <c r="C84" s="33" t="n">
        <f aca="false">IFERROR((C15-C70)/C83,0)</f>
        <v>0</v>
      </c>
      <c r="D84" s="33" t="n">
        <f aca="false">IFERROR((D15-D70)/D83,0)</f>
        <v>0</v>
      </c>
      <c r="E84" s="33" t="n">
        <f aca="false">IFERROR((E15-E70)/E83,0)</f>
        <v>92.2233079620898</v>
      </c>
      <c r="F84" s="33" t="n">
        <f aca="false">IFERROR((F15-F70)/F83,0)</f>
        <v>141.316885409312</v>
      </c>
      <c r="G84" s="33" t="n">
        <f aca="false">IFERROR((G15-G70)/G83,0)</f>
        <v>155.320081787007</v>
      </c>
      <c r="H84" s="33" t="n">
        <f aca="false">IFERROR((H15-H70)/H83,0)</f>
        <v>166.748083921119</v>
      </c>
      <c r="I84" s="33" t="n">
        <f aca="false">IFERROR((I15-I70)/I83,0)</f>
        <v>175.483077060082</v>
      </c>
      <c r="J84" s="33" t="n">
        <f aca="false">IFERROR((J15-J70)/J83,0)</f>
        <v>181.68743684213</v>
      </c>
      <c r="K84" s="33" t="n">
        <f aca="false">IFERROR((K15-K70)/K83,0)</f>
        <v>183.466751746651</v>
      </c>
      <c r="L84" s="33" t="n">
        <f aca="false">IFERROR((L15-L70)/L83,0)</f>
        <v>185.493477058683</v>
      </c>
      <c r="M84" s="33" t="n">
        <f aca="false">IFERROR((M15-M70)/M83,0)</f>
        <v>186.092597636006</v>
      </c>
      <c r="N84" s="33" t="n">
        <f aca="false">IFERROR((N15-N70)/N83,0)</f>
        <v>185.589934617627</v>
      </c>
      <c r="O84" s="33" t="n">
        <f aca="false">IFERROR((O15-O70)/O83,0)</f>
        <v>184.251366885463</v>
      </c>
      <c r="P84" s="33" t="n">
        <f aca="false">IFERROR((P15-P70)/P83,0)</f>
        <v>182.284614135283</v>
      </c>
      <c r="Q84" s="33" t="n">
        <f aca="false">IFERROR((Q15-Q70)/Q83,0)</f>
        <v>179.847339941969</v>
      </c>
      <c r="R84" s="33" t="n">
        <f aca="false">IFERROR((R15-R70)/R83,0)</f>
        <v>177.057011542227</v>
      </c>
      <c r="S84" s="33" t="n">
        <f aca="false">IFERROR((S15-S70)/S83,0)</f>
        <v>174.000215504594</v>
      </c>
      <c r="T84" s="33" t="n">
        <f aca="false">IFERROR((T15-T70)/T83,0)</f>
        <v>170.740515964951</v>
      </c>
      <c r="U84" s="33" t="n">
        <f aca="false">IFERROR((U15-U70)/U83,0)</f>
        <v>167.324675085103</v>
      </c>
      <c r="V84" s="33" t="n">
        <f aca="false">IFERROR((V15-V70)/V83,0)</f>
        <v>163.787385307117</v>
      </c>
      <c r="W84" s="33" t="n">
        <f aca="false">IFERROR((W15-W70)/W83,0)</f>
        <v>160.154775008097</v>
      </c>
      <c r="X84" s="33" t="n">
        <f aca="false">IFERROR((X15-X70)/X83,0)</f>
        <v>156.446956922116</v>
      </c>
      <c r="Y84" s="33" t="n">
        <f aca="false">IFERROR((Y15-Y70)/Y83,0)</f>
        <v>152.67985428516</v>
      </c>
      <c r="Z84" s="33" t="n">
        <f aca="false">IFERROR((Z15-Z70)/Z83,0)</f>
        <v>148.866493827719</v>
      </c>
      <c r="AA84" s="33" t="n">
        <f aca="false">IFERROR((AA15-AA70)/AA83,0)</f>
        <v>145.017911035394</v>
      </c>
      <c r="AB84" s="33" t="n">
        <f aca="false">IFERROR((AB15-AB70)/AB83,0)</f>
        <v>141.143776371536</v>
      </c>
      <c r="AC84" s="33" t="n">
        <f aca="false">IFERROR((AC15-AC70)/AC83,0)</f>
        <v>137.252822234818</v>
      </c>
      <c r="AD84" s="33" t="n">
        <f aca="false">IFERROR((AD15-AD70)/AD83,0)</f>
        <v>133.353128502559</v>
      </c>
      <c r="AE84" s="33" t="n">
        <f aca="false">IFERROR((AE15-AE70)/AE83,0)</f>
        <v>129.452308289597</v>
      </c>
      <c r="AF84" s="33" t="n">
        <f aca="false">IFERROR((AF15-AF70)/AF83,0)</f>
        <v>125.557623738453</v>
      </c>
      <c r="AG84" s="33" t="n">
        <f aca="false">IFERROR((AG15-AG70)/AG83,0)</f>
        <v>121.676053142777</v>
      </c>
      <c r="AH84" s="33" t="n">
        <f aca="false">IFERROR((AH15-AH70)/AH83,0)</f>
        <v>117.814324613162</v>
      </c>
      <c r="AI84" s="33" t="n">
        <f aca="false">IFERROR((AI15-AI70)/AI83,0)</f>
        <v>113.978927152048</v>
      </c>
      <c r="AJ84" s="33" t="n">
        <f aca="false">IFERROR((AJ15-AJ70)/AJ83,0)</f>
        <v>110.176106915357</v>
      </c>
      <c r="AK84" s="33" t="n">
        <f aca="false">IFERROR((AK15-AK70)/AK83,0)</f>
        <v>106.411854239745</v>
      </c>
      <c r="AL84" s="33" t="n">
        <f aca="false">IFERROR((AL15-AL70)/AL83,0)</f>
        <v>103.456442788769</v>
      </c>
      <c r="AM84" s="33" t="n">
        <f aca="false">AVERAGE(N84:AL84)</f>
        <v>147.532896722066</v>
      </c>
    </row>
    <row r="85" customFormat="false" ht="15" hidden="false" customHeight="false" outlineLevel="0" collapsed="false">
      <c r="A85" s="10" t="s">
        <v>669</v>
      </c>
      <c r="B85" s="9" t="s">
        <v>90</v>
      </c>
      <c r="C85" s="51" t="n">
        <f aca="false">Assumptions!$D$51*(1-Assumptions!$D$61)*(1-Assumptions!$D$60)-Assumptions!$D$54-Assumptions!$D$56-Assumptions!$D$57-Assumptions!$D$58</f>
        <v>41.92672</v>
      </c>
      <c r="D85" s="51" t="n">
        <f aca="false">Assumptions!$D$51*(1-Assumptions!$D$61)*(1-Assumptions!$D$60)-Assumptions!$D$54-Assumptions!$D$56-Assumptions!$D$57-Assumptions!$D$58</f>
        <v>41.92672</v>
      </c>
      <c r="E85" s="51" t="n">
        <f aca="false">Assumptions!$D$51*(1-Assumptions!$D$61)*(1-Assumptions!$D$60)-Assumptions!$D$54-Assumptions!$D$56-Assumptions!$D$57-Assumptions!$D$58</f>
        <v>41.92672</v>
      </c>
      <c r="F85" s="51" t="n">
        <f aca="false">Assumptions!$D$51*(1-Assumptions!$D$61)*(1-Assumptions!$D$60)-Assumptions!$D$54-Assumptions!$D$56-Assumptions!$D$57-Assumptions!$D$58</f>
        <v>41.92672</v>
      </c>
      <c r="G85" s="51" t="n">
        <f aca="false">Assumptions!$D$51*(1-Assumptions!$D$61)*(1-Assumptions!$D$60)-Assumptions!$D$54-Assumptions!$D$56-Assumptions!$D$57-Assumptions!$D$58</f>
        <v>41.92672</v>
      </c>
      <c r="H85" s="51" t="n">
        <f aca="false">Assumptions!$D$51*(1-Assumptions!$D$61)*(1-Assumptions!$D$60)-Assumptions!$D$54-Assumptions!$D$56-Assumptions!$D$57-Assumptions!$D$58</f>
        <v>41.92672</v>
      </c>
      <c r="I85" s="51" t="n">
        <f aca="false">Assumptions!$D$51*(1-Assumptions!$D$61)*(1-Assumptions!$D$60)-Assumptions!$D$54-Assumptions!$D$56-Assumptions!$D$57-Assumptions!$D$58</f>
        <v>41.92672</v>
      </c>
      <c r="J85" s="51" t="n">
        <f aca="false">Assumptions!$D$51*(1-Assumptions!$D$61)*(1-Assumptions!$D$60)-Assumptions!$D$54-Assumptions!$D$56-Assumptions!$D$57-Assumptions!$D$58</f>
        <v>41.92672</v>
      </c>
      <c r="K85" s="51" t="n">
        <f aca="false">Assumptions!$D$51*(1-Assumptions!$D$61)*(1-Assumptions!$D$60)-Assumptions!$D$54-Assumptions!$D$56-Assumptions!$D$57-Assumptions!$D$58</f>
        <v>41.92672</v>
      </c>
      <c r="L85" s="51" t="n">
        <f aca="false">Assumptions!$D$51*(1-Assumptions!$D$61)*(1-Assumptions!$D$60)-Assumptions!$D$54-Assumptions!$D$56-Assumptions!$D$57-Assumptions!$D$58</f>
        <v>41.92672</v>
      </c>
      <c r="M85" s="51" t="n">
        <f aca="false">Assumptions!$D$51*(1-Assumptions!$D$61)*(1-Assumptions!$D$60)-Assumptions!$D$54-Assumptions!$D$56-Assumptions!$D$57-Assumptions!$D$58</f>
        <v>41.92672</v>
      </c>
      <c r="N85" s="51" t="n">
        <f aca="false">Assumptions!$D$51*(1-Assumptions!$D$61)*(1-Assumptions!$D$60)-Assumptions!$D$54-Assumptions!$D$56-Assumptions!$D$57-Assumptions!$D$58</f>
        <v>41.92672</v>
      </c>
      <c r="O85" s="51" t="n">
        <f aca="false">Assumptions!$D$51*(1-Assumptions!$D$61)*(1-Assumptions!$D$60)-Assumptions!$D$54-Assumptions!$D$56-Assumptions!$D$57-Assumptions!$D$58</f>
        <v>41.92672</v>
      </c>
      <c r="P85" s="51" t="n">
        <f aca="false">Assumptions!$D$51*(1-Assumptions!$D$61)*(1-Assumptions!$D$60)-Assumptions!$D$54-Assumptions!$D$56-Assumptions!$D$57-Assumptions!$D$58</f>
        <v>41.92672</v>
      </c>
      <c r="Q85" s="51" t="n">
        <f aca="false">Assumptions!$D$51*(1-Assumptions!$D$61)*(1-Assumptions!$D$60)-Assumptions!$D$54-Assumptions!$D$56-Assumptions!$D$57-Assumptions!$D$58</f>
        <v>41.92672</v>
      </c>
      <c r="R85" s="51" t="n">
        <f aca="false">Assumptions!$D$51*(1-Assumptions!$D$61)*(1-Assumptions!$D$60)-Assumptions!$D$54-Assumptions!$D$56-Assumptions!$D$57-Assumptions!$D$58</f>
        <v>41.92672</v>
      </c>
      <c r="S85" s="51" t="n">
        <f aca="false">Assumptions!$D$51*(1-Assumptions!$D$61)*(1-Assumptions!$D$60)-Assumptions!$D$54-Assumptions!$D$56-Assumptions!$D$57-Assumptions!$D$58</f>
        <v>41.92672</v>
      </c>
      <c r="T85" s="51" t="n">
        <f aca="false">Assumptions!$D$51*(1-Assumptions!$D$61)*(1-Assumptions!$D$60)-Assumptions!$D$54-Assumptions!$D$56-Assumptions!$D$57-Assumptions!$D$58</f>
        <v>41.92672</v>
      </c>
      <c r="U85" s="51" t="n">
        <f aca="false">Assumptions!$D$51*(1-Assumptions!$D$61)*(1-Assumptions!$D$60)-Assumptions!$D$54-Assumptions!$D$56-Assumptions!$D$57-Assumptions!$D$58</f>
        <v>41.92672</v>
      </c>
      <c r="V85" s="51" t="n">
        <f aca="false">Assumptions!$D$51*(1-Assumptions!$D$61)*(1-Assumptions!$D$60)-Assumptions!$D$54-Assumptions!$D$56-Assumptions!$D$57-Assumptions!$D$58</f>
        <v>41.92672</v>
      </c>
      <c r="W85" s="51" t="n">
        <f aca="false">Assumptions!$D$51*(1-Assumptions!$D$61)*(1-Assumptions!$D$60)-Assumptions!$D$54-Assumptions!$D$56-Assumptions!$D$57-Assumptions!$D$58</f>
        <v>41.92672</v>
      </c>
      <c r="X85" s="51" t="n">
        <f aca="false">Assumptions!$D$51*(1-Assumptions!$D$61)*(1-Assumptions!$D$60)-Assumptions!$D$54-Assumptions!$D$56-Assumptions!$D$57-Assumptions!$D$58</f>
        <v>41.92672</v>
      </c>
      <c r="Y85" s="51" t="n">
        <f aca="false">Assumptions!$D$51*(1-Assumptions!$D$61)*(1-Assumptions!$D$60)-Assumptions!$D$54-Assumptions!$D$56-Assumptions!$D$57-Assumptions!$D$58</f>
        <v>41.92672</v>
      </c>
      <c r="Z85" s="51" t="n">
        <f aca="false">Assumptions!$D$51*(1-Assumptions!$D$61)*(1-Assumptions!$D$60)-Assumptions!$D$54-Assumptions!$D$56-Assumptions!$D$57-Assumptions!$D$58</f>
        <v>41.92672</v>
      </c>
      <c r="AA85" s="51" t="n">
        <f aca="false">Assumptions!$D$51*(1-Assumptions!$D$61)*(1-Assumptions!$D$60)-Assumptions!$D$54-Assumptions!$D$56-Assumptions!$D$57-Assumptions!$D$58</f>
        <v>41.92672</v>
      </c>
      <c r="AB85" s="51" t="n">
        <f aca="false">Assumptions!$D$51*(1-Assumptions!$D$61)*(1-Assumptions!$D$60)-Assumptions!$D$54-Assumptions!$D$56-Assumptions!$D$57-Assumptions!$D$58</f>
        <v>41.92672</v>
      </c>
      <c r="AC85" s="51" t="n">
        <f aca="false">Assumptions!$D$51*(1-Assumptions!$D$61)*(1-Assumptions!$D$60)-Assumptions!$D$54-Assumptions!$D$56-Assumptions!$D$57-Assumptions!$D$58</f>
        <v>41.92672</v>
      </c>
      <c r="AD85" s="51" t="n">
        <f aca="false">Assumptions!$D$51*(1-Assumptions!$D$61)*(1-Assumptions!$D$60)-Assumptions!$D$54-Assumptions!$D$56-Assumptions!$D$57-Assumptions!$D$58</f>
        <v>41.92672</v>
      </c>
      <c r="AE85" s="51" t="n">
        <f aca="false">Assumptions!$D$51*(1-Assumptions!$D$61)*(1-Assumptions!$D$60)-Assumptions!$D$54-Assumptions!$D$56-Assumptions!$D$57-Assumptions!$D$58</f>
        <v>41.92672</v>
      </c>
      <c r="AF85" s="51" t="n">
        <f aca="false">Assumptions!$D$51*(1-Assumptions!$D$61)*(1-Assumptions!$D$60)-Assumptions!$D$54-Assumptions!$D$56-Assumptions!$D$57-Assumptions!$D$58</f>
        <v>41.92672</v>
      </c>
      <c r="AG85" s="51" t="n">
        <f aca="false">Assumptions!$D$51*(1-Assumptions!$D$61)*(1-Assumptions!$D$60)-Assumptions!$D$54-Assumptions!$D$56-Assumptions!$D$57-Assumptions!$D$58</f>
        <v>41.92672</v>
      </c>
      <c r="AH85" s="51" t="n">
        <f aca="false">Assumptions!$D$51*(1-Assumptions!$D$61)*(1-Assumptions!$D$60)-Assumptions!$D$54-Assumptions!$D$56-Assumptions!$D$57-Assumptions!$D$58</f>
        <v>41.92672</v>
      </c>
      <c r="AI85" s="51" t="n">
        <f aca="false">Assumptions!$D$51*(1-Assumptions!$D$61)*(1-Assumptions!$D$60)-Assumptions!$D$54-Assumptions!$D$56-Assumptions!$D$57-Assumptions!$D$58</f>
        <v>41.92672</v>
      </c>
      <c r="AJ85" s="51" t="n">
        <f aca="false">Assumptions!$D$51*(1-Assumptions!$D$61)*(1-Assumptions!$D$60)-Assumptions!$D$54-Assumptions!$D$56-Assumptions!$D$57-Assumptions!$D$58</f>
        <v>41.92672</v>
      </c>
      <c r="AK85" s="51" t="n">
        <f aca="false">Assumptions!$D$51*(1-Assumptions!$D$61)*(1-Assumptions!$D$60)-Assumptions!$D$54-Assumptions!$D$56-Assumptions!$D$57-Assumptions!$D$58</f>
        <v>41.92672</v>
      </c>
      <c r="AL85" s="51" t="n">
        <f aca="false">Assumptions!$D$51*(1-Assumptions!$D$61)*(1-Assumptions!$D$60)-Assumptions!$D$54-Assumptions!$D$56-Assumptions!$D$57-Assumptions!$D$58</f>
        <v>41.92672</v>
      </c>
      <c r="AM85" s="51" t="n">
        <f aca="false">AVERAGE(N85:AL85)</f>
        <v>41.92672</v>
      </c>
    </row>
    <row r="86" customFormat="false" ht="15" hidden="false" customHeight="false" outlineLevel="0" collapsed="false">
      <c r="A86" s="10" t="s">
        <v>670</v>
      </c>
      <c r="B86" s="9" t="s">
        <v>90</v>
      </c>
      <c r="C86" s="50" t="n">
        <f aca="false">C85/Assumptions!$D$49</f>
        <v>322.513230769231</v>
      </c>
      <c r="D86" s="50" t="n">
        <f aca="false">D85/Assumptions!$D$49</f>
        <v>322.513230769231</v>
      </c>
      <c r="E86" s="50" t="n">
        <f aca="false">E85/Assumptions!$D$49</f>
        <v>322.513230769231</v>
      </c>
      <c r="F86" s="50" t="n">
        <f aca="false">F85/Assumptions!$D$49</f>
        <v>322.513230769231</v>
      </c>
      <c r="G86" s="50" t="n">
        <f aca="false">G85/Assumptions!$D$49</f>
        <v>322.513230769231</v>
      </c>
      <c r="H86" s="50" t="n">
        <f aca="false">H85/Assumptions!$D$49</f>
        <v>322.513230769231</v>
      </c>
      <c r="I86" s="50" t="n">
        <f aca="false">I85/Assumptions!$D$49</f>
        <v>322.513230769231</v>
      </c>
      <c r="J86" s="50" t="n">
        <f aca="false">J85/Assumptions!$D$49</f>
        <v>322.513230769231</v>
      </c>
      <c r="K86" s="50" t="n">
        <f aca="false">K85/Assumptions!$D$49</f>
        <v>322.513230769231</v>
      </c>
      <c r="L86" s="50" t="n">
        <f aca="false">L85/Assumptions!$D$49</f>
        <v>322.513230769231</v>
      </c>
      <c r="M86" s="50" t="n">
        <f aca="false">M85/Assumptions!$D$49</f>
        <v>322.513230769231</v>
      </c>
      <c r="N86" s="50" t="n">
        <f aca="false">N85/Assumptions!$D$49</f>
        <v>322.513230769231</v>
      </c>
      <c r="O86" s="50" t="n">
        <f aca="false">O85/Assumptions!$D$49</f>
        <v>322.513230769231</v>
      </c>
      <c r="P86" s="50" t="n">
        <f aca="false">P85/Assumptions!$D$49</f>
        <v>322.513230769231</v>
      </c>
      <c r="Q86" s="50" t="n">
        <f aca="false">Q85/Assumptions!$D$49</f>
        <v>322.513230769231</v>
      </c>
      <c r="R86" s="50" t="n">
        <f aca="false">R85/Assumptions!$D$49</f>
        <v>322.513230769231</v>
      </c>
      <c r="S86" s="50" t="n">
        <f aca="false">S85/Assumptions!$D$49</f>
        <v>322.513230769231</v>
      </c>
      <c r="T86" s="50" t="n">
        <f aca="false">T85/Assumptions!$D$49</f>
        <v>322.513230769231</v>
      </c>
      <c r="U86" s="50" t="n">
        <f aca="false">U85/Assumptions!$D$49</f>
        <v>322.513230769231</v>
      </c>
      <c r="V86" s="50" t="n">
        <f aca="false">V85/Assumptions!$D$49</f>
        <v>322.513230769231</v>
      </c>
      <c r="W86" s="50" t="n">
        <f aca="false">W85/Assumptions!$D$49</f>
        <v>322.513230769231</v>
      </c>
      <c r="X86" s="50" t="n">
        <f aca="false">X85/Assumptions!$D$49</f>
        <v>322.513230769231</v>
      </c>
      <c r="Y86" s="50" t="n">
        <f aca="false">Y85/Assumptions!$D$49</f>
        <v>322.513230769231</v>
      </c>
      <c r="Z86" s="50" t="n">
        <f aca="false">Z85/Assumptions!$D$49</f>
        <v>322.513230769231</v>
      </c>
      <c r="AA86" s="50" t="n">
        <f aca="false">AA85/Assumptions!$D$49</f>
        <v>322.513230769231</v>
      </c>
      <c r="AB86" s="50" t="n">
        <f aca="false">AB85/Assumptions!$D$49</f>
        <v>322.513230769231</v>
      </c>
      <c r="AC86" s="50" t="n">
        <f aca="false">AC85/Assumptions!$D$49</f>
        <v>322.513230769231</v>
      </c>
      <c r="AD86" s="50" t="n">
        <f aca="false">AD85/Assumptions!$D$49</f>
        <v>322.513230769231</v>
      </c>
      <c r="AE86" s="50" t="n">
        <f aca="false">AE85/Assumptions!$D$49</f>
        <v>322.513230769231</v>
      </c>
      <c r="AF86" s="50" t="n">
        <f aca="false">AF85/Assumptions!$D$49</f>
        <v>322.513230769231</v>
      </c>
      <c r="AG86" s="50" t="n">
        <f aca="false">AG85/Assumptions!$D$49</f>
        <v>322.513230769231</v>
      </c>
      <c r="AH86" s="50" t="n">
        <f aca="false">AH85/Assumptions!$D$49</f>
        <v>322.513230769231</v>
      </c>
      <c r="AI86" s="50" t="n">
        <f aca="false">AI85/Assumptions!$D$49</f>
        <v>322.513230769231</v>
      </c>
      <c r="AJ86" s="50" t="n">
        <f aca="false">AJ85/Assumptions!$D$49</f>
        <v>322.513230769231</v>
      </c>
      <c r="AK86" s="50" t="n">
        <f aca="false">AK85/Assumptions!$D$49</f>
        <v>322.513230769231</v>
      </c>
      <c r="AL86" s="50" t="n">
        <f aca="false">AL85/Assumptions!$D$49</f>
        <v>322.513230769231</v>
      </c>
      <c r="AM86" s="50" t="n">
        <f aca="false">AVERAGE(N86:AL86)</f>
        <v>322.513230769231</v>
      </c>
    </row>
    <row r="87" customFormat="false" ht="15" hidden="false" customHeight="false" outlineLevel="0" collapsed="false">
      <c r="A87" s="10" t="s">
        <v>318</v>
      </c>
      <c r="B87" s="9" t="s">
        <v>90</v>
      </c>
      <c r="C87" s="51" t="n">
        <f aca="false">Assumptions!$D$31*(1-Assumptions!$D$61)*(1-Assumptions!$D$60)-Assumptions!$D$31*Assumptions!$D$36-Assumptions!$D$37</f>
        <v>34.29104</v>
      </c>
      <c r="D87" s="51" t="n">
        <f aca="false">Assumptions!$D$31*(1-Assumptions!$D$61)*(1-Assumptions!$D$60)-Assumptions!$D$31*Assumptions!$D$36-Assumptions!$D$37</f>
        <v>34.29104</v>
      </c>
      <c r="E87" s="51" t="n">
        <f aca="false">Assumptions!$D$31*(1-Assumptions!$D$61)*(1-Assumptions!$D$60)-Assumptions!$D$31*Assumptions!$D$36-Assumptions!$D$37</f>
        <v>34.29104</v>
      </c>
      <c r="F87" s="51" t="n">
        <f aca="false">Assumptions!$D$31*(1-Assumptions!$D$61)*(1-Assumptions!$D$60)-Assumptions!$D$31*Assumptions!$D$36-Assumptions!$D$37</f>
        <v>34.29104</v>
      </c>
      <c r="G87" s="51" t="n">
        <f aca="false">Assumptions!$D$31*(1-Assumptions!$D$61)*(1-Assumptions!$D$60)-Assumptions!$D$31*Assumptions!$D$36-Assumptions!$D$37</f>
        <v>34.29104</v>
      </c>
      <c r="H87" s="51" t="n">
        <f aca="false">Assumptions!$D$31*(1-Assumptions!$D$61)*(1-Assumptions!$D$60)-Assumptions!$D$31*Assumptions!$D$36-Assumptions!$D$37</f>
        <v>34.29104</v>
      </c>
      <c r="I87" s="51" t="n">
        <f aca="false">Assumptions!$D$31*(1-Assumptions!$D$61)*(1-Assumptions!$D$60)-Assumptions!$D$31*Assumptions!$D$36-Assumptions!$D$37</f>
        <v>34.29104</v>
      </c>
      <c r="J87" s="51" t="n">
        <f aca="false">Assumptions!$D$31*(1-Assumptions!$D$61)*(1-Assumptions!$D$60)-Assumptions!$D$31*Assumptions!$D$36-Assumptions!$D$37</f>
        <v>34.29104</v>
      </c>
      <c r="K87" s="51" t="n">
        <f aca="false">Assumptions!$D$31*(1-Assumptions!$D$61)*(1-Assumptions!$D$60)-Assumptions!$D$31*Assumptions!$D$36-Assumptions!$D$37</f>
        <v>34.29104</v>
      </c>
      <c r="L87" s="51" t="n">
        <f aca="false">Assumptions!$D$31*(1-Assumptions!$D$61)*(1-Assumptions!$D$60)-Assumptions!$D$31*Assumptions!$D$36-Assumptions!$D$37</f>
        <v>34.29104</v>
      </c>
      <c r="M87" s="51" t="n">
        <f aca="false">Assumptions!$D$31*(1-Assumptions!$D$61)*(1-Assumptions!$D$60)-Assumptions!$D$31*Assumptions!$D$36-Assumptions!$D$37</f>
        <v>34.29104</v>
      </c>
      <c r="N87" s="51" t="n">
        <f aca="false">Assumptions!$D$31*(1-Assumptions!$D$61)*(1-Assumptions!$D$60)-Assumptions!$D$31*Assumptions!$D$36-Assumptions!$D$37</f>
        <v>34.29104</v>
      </c>
      <c r="O87" s="51" t="n">
        <f aca="false">Assumptions!$D$31*(1-Assumptions!$D$61)*(1-Assumptions!$D$60)-Assumptions!$D$31*Assumptions!$D$36-Assumptions!$D$37</f>
        <v>34.29104</v>
      </c>
      <c r="P87" s="51" t="n">
        <f aca="false">Assumptions!$D$31*(1-Assumptions!$D$61)*(1-Assumptions!$D$60)-Assumptions!$D$31*Assumptions!$D$36-Assumptions!$D$37</f>
        <v>34.29104</v>
      </c>
      <c r="Q87" s="51" t="n">
        <f aca="false">Assumptions!$D$31*(1-Assumptions!$D$61)*(1-Assumptions!$D$60)-Assumptions!$D$31*Assumptions!$D$36-Assumptions!$D$37</f>
        <v>34.29104</v>
      </c>
      <c r="R87" s="51" t="n">
        <f aca="false">Assumptions!$D$31*(1-Assumptions!$D$61)*(1-Assumptions!$D$60)-Assumptions!$D$31*Assumptions!$D$36-Assumptions!$D$37</f>
        <v>34.29104</v>
      </c>
      <c r="S87" s="51" t="n">
        <f aca="false">Assumptions!$D$31*(1-Assumptions!$D$61)*(1-Assumptions!$D$60)-Assumptions!$D$31*Assumptions!$D$36-Assumptions!$D$37</f>
        <v>34.29104</v>
      </c>
      <c r="T87" s="51" t="n">
        <f aca="false">Assumptions!$D$31*(1-Assumptions!$D$61)*(1-Assumptions!$D$60)-Assumptions!$D$31*Assumptions!$D$36-Assumptions!$D$37</f>
        <v>34.29104</v>
      </c>
      <c r="U87" s="51" t="n">
        <f aca="false">Assumptions!$D$31*(1-Assumptions!$D$61)*(1-Assumptions!$D$60)-Assumptions!$D$31*Assumptions!$D$36-Assumptions!$D$37</f>
        <v>34.29104</v>
      </c>
      <c r="V87" s="51" t="n">
        <f aca="false">Assumptions!$D$31*(1-Assumptions!$D$61)*(1-Assumptions!$D$60)-Assumptions!$D$31*Assumptions!$D$36-Assumptions!$D$37</f>
        <v>34.29104</v>
      </c>
      <c r="W87" s="51" t="n">
        <f aca="false">Assumptions!$D$31*(1-Assumptions!$D$61)*(1-Assumptions!$D$60)-Assumptions!$D$31*Assumptions!$D$36-Assumptions!$D$37</f>
        <v>34.29104</v>
      </c>
      <c r="X87" s="51" t="n">
        <f aca="false">Assumptions!$D$31*(1-Assumptions!$D$61)*(1-Assumptions!$D$60)-Assumptions!$D$31*Assumptions!$D$36-Assumptions!$D$37</f>
        <v>34.29104</v>
      </c>
      <c r="Y87" s="51" t="n">
        <f aca="false">Assumptions!$D$31*(1-Assumptions!$D$61)*(1-Assumptions!$D$60)-Assumptions!$D$31*Assumptions!$D$36-Assumptions!$D$37</f>
        <v>34.29104</v>
      </c>
      <c r="Z87" s="51" t="n">
        <f aca="false">Assumptions!$D$31*(1-Assumptions!$D$61)*(1-Assumptions!$D$60)-Assumptions!$D$31*Assumptions!$D$36-Assumptions!$D$37</f>
        <v>34.29104</v>
      </c>
      <c r="AA87" s="51" t="n">
        <f aca="false">Assumptions!$D$31*(1-Assumptions!$D$61)*(1-Assumptions!$D$60)-Assumptions!$D$31*Assumptions!$D$36-Assumptions!$D$37</f>
        <v>34.29104</v>
      </c>
      <c r="AB87" s="51" t="n">
        <f aca="false">Assumptions!$D$31*(1-Assumptions!$D$61)*(1-Assumptions!$D$60)-Assumptions!$D$31*Assumptions!$D$36-Assumptions!$D$37</f>
        <v>34.29104</v>
      </c>
      <c r="AC87" s="51" t="n">
        <f aca="false">Assumptions!$D$31*(1-Assumptions!$D$61)*(1-Assumptions!$D$60)-Assumptions!$D$31*Assumptions!$D$36-Assumptions!$D$37</f>
        <v>34.29104</v>
      </c>
      <c r="AD87" s="51" t="n">
        <f aca="false">Assumptions!$D$31*(1-Assumptions!$D$61)*(1-Assumptions!$D$60)-Assumptions!$D$31*Assumptions!$D$36-Assumptions!$D$37</f>
        <v>34.29104</v>
      </c>
      <c r="AE87" s="51" t="n">
        <f aca="false">Assumptions!$D$31*(1-Assumptions!$D$61)*(1-Assumptions!$D$60)-Assumptions!$D$31*Assumptions!$D$36-Assumptions!$D$37</f>
        <v>34.29104</v>
      </c>
      <c r="AF87" s="51" t="n">
        <f aca="false">Assumptions!$D$31*(1-Assumptions!$D$61)*(1-Assumptions!$D$60)-Assumptions!$D$31*Assumptions!$D$36-Assumptions!$D$37</f>
        <v>34.29104</v>
      </c>
      <c r="AG87" s="51" t="n">
        <f aca="false">Assumptions!$D$31*(1-Assumptions!$D$61)*(1-Assumptions!$D$60)-Assumptions!$D$31*Assumptions!$D$36-Assumptions!$D$37</f>
        <v>34.29104</v>
      </c>
      <c r="AH87" s="51" t="n">
        <f aca="false">Assumptions!$D$31*(1-Assumptions!$D$61)*(1-Assumptions!$D$60)-Assumptions!$D$31*Assumptions!$D$36-Assumptions!$D$37</f>
        <v>34.29104</v>
      </c>
      <c r="AI87" s="51" t="n">
        <f aca="false">Assumptions!$D$31*(1-Assumptions!$D$61)*(1-Assumptions!$D$60)-Assumptions!$D$31*Assumptions!$D$36-Assumptions!$D$37</f>
        <v>34.29104</v>
      </c>
      <c r="AJ87" s="51" t="n">
        <f aca="false">Assumptions!$D$31*(1-Assumptions!$D$61)*(1-Assumptions!$D$60)-Assumptions!$D$31*Assumptions!$D$36-Assumptions!$D$37</f>
        <v>34.29104</v>
      </c>
      <c r="AK87" s="51" t="n">
        <f aca="false">Assumptions!$D$31*(1-Assumptions!$D$61)*(1-Assumptions!$D$60)-Assumptions!$D$31*Assumptions!$D$36-Assumptions!$D$37</f>
        <v>34.29104</v>
      </c>
      <c r="AL87" s="51" t="n">
        <f aca="false">Assumptions!$D$31*(1-Assumptions!$D$61)*(1-Assumptions!$D$60)-Assumptions!$D$31*Assumptions!$D$36-Assumptions!$D$37</f>
        <v>34.29104</v>
      </c>
      <c r="AM87" s="51" t="n">
        <f aca="false">AVERAGE(N87:AL87)</f>
        <v>34.29104</v>
      </c>
    </row>
    <row r="88" customFormat="false" ht="15" hidden="false" customHeight="false" outlineLevel="0" collapsed="false">
      <c r="A88" s="10" t="s">
        <v>319</v>
      </c>
      <c r="B88" s="9" t="s">
        <v>90</v>
      </c>
      <c r="C88" s="50" t="n">
        <f aca="false">C87/Assumptions!$D$33</f>
        <v>381.011555555556</v>
      </c>
      <c r="D88" s="50" t="n">
        <f aca="false">D87/Assumptions!$D$33</f>
        <v>381.011555555556</v>
      </c>
      <c r="E88" s="50" t="n">
        <f aca="false">E87/Assumptions!$D$33</f>
        <v>381.011555555556</v>
      </c>
      <c r="F88" s="50" t="n">
        <f aca="false">F87/Assumptions!$D$33</f>
        <v>381.011555555556</v>
      </c>
      <c r="G88" s="50" t="n">
        <f aca="false">G87/Assumptions!$D$33</f>
        <v>381.011555555556</v>
      </c>
      <c r="H88" s="50" t="n">
        <f aca="false">H87/Assumptions!$D$33</f>
        <v>381.011555555556</v>
      </c>
      <c r="I88" s="50" t="n">
        <f aca="false">I87/Assumptions!$D$33</f>
        <v>381.011555555556</v>
      </c>
      <c r="J88" s="50" t="n">
        <f aca="false">J87/Assumptions!$D$33</f>
        <v>381.011555555556</v>
      </c>
      <c r="K88" s="50" t="n">
        <f aca="false">K87/Assumptions!$D$33</f>
        <v>381.011555555556</v>
      </c>
      <c r="L88" s="50" t="n">
        <f aca="false">L87/Assumptions!$D$33</f>
        <v>381.011555555556</v>
      </c>
      <c r="M88" s="50" t="n">
        <f aca="false">M87/Assumptions!$D$33</f>
        <v>381.011555555556</v>
      </c>
      <c r="N88" s="50" t="n">
        <f aca="false">N87/Assumptions!$D$33</f>
        <v>381.011555555556</v>
      </c>
      <c r="O88" s="50" t="n">
        <f aca="false">O87/Assumptions!$D$33</f>
        <v>381.011555555556</v>
      </c>
      <c r="P88" s="50" t="n">
        <f aca="false">P87/Assumptions!$D$33</f>
        <v>381.011555555556</v>
      </c>
      <c r="Q88" s="50" t="n">
        <f aca="false">Q87/Assumptions!$D$33</f>
        <v>381.011555555556</v>
      </c>
      <c r="R88" s="50" t="n">
        <f aca="false">R87/Assumptions!$D$33</f>
        <v>381.011555555556</v>
      </c>
      <c r="S88" s="50" t="n">
        <f aca="false">S87/Assumptions!$D$33</f>
        <v>381.011555555556</v>
      </c>
      <c r="T88" s="50" t="n">
        <f aca="false">T87/Assumptions!$D$33</f>
        <v>381.011555555556</v>
      </c>
      <c r="U88" s="50" t="n">
        <f aca="false">U87/Assumptions!$D$33</f>
        <v>381.011555555556</v>
      </c>
      <c r="V88" s="50" t="n">
        <f aca="false">V87/Assumptions!$D$33</f>
        <v>381.011555555556</v>
      </c>
      <c r="W88" s="50" t="n">
        <f aca="false">W87/Assumptions!$D$33</f>
        <v>381.011555555556</v>
      </c>
      <c r="X88" s="50" t="n">
        <f aca="false">X87/Assumptions!$D$33</f>
        <v>381.011555555556</v>
      </c>
      <c r="Y88" s="50" t="n">
        <f aca="false">Y87/Assumptions!$D$33</f>
        <v>381.011555555556</v>
      </c>
      <c r="Z88" s="50" t="n">
        <f aca="false">Z87/Assumptions!$D$33</f>
        <v>381.011555555556</v>
      </c>
      <c r="AA88" s="50" t="n">
        <f aca="false">AA87/Assumptions!$D$33</f>
        <v>381.011555555556</v>
      </c>
      <c r="AB88" s="50" t="n">
        <f aca="false">AB87/Assumptions!$D$33</f>
        <v>381.011555555556</v>
      </c>
      <c r="AC88" s="50" t="n">
        <f aca="false">AC87/Assumptions!$D$33</f>
        <v>381.011555555556</v>
      </c>
      <c r="AD88" s="50" t="n">
        <f aca="false">AD87/Assumptions!$D$33</f>
        <v>381.011555555556</v>
      </c>
      <c r="AE88" s="50" t="n">
        <f aca="false">AE87/Assumptions!$D$33</f>
        <v>381.011555555556</v>
      </c>
      <c r="AF88" s="50" t="n">
        <f aca="false">AF87/Assumptions!$D$33</f>
        <v>381.011555555556</v>
      </c>
      <c r="AG88" s="50" t="n">
        <f aca="false">AG87/Assumptions!$D$33</f>
        <v>381.011555555556</v>
      </c>
      <c r="AH88" s="50" t="n">
        <f aca="false">AH87/Assumptions!$D$33</f>
        <v>381.011555555556</v>
      </c>
      <c r="AI88" s="50" t="n">
        <f aca="false">AI87/Assumptions!$D$33</f>
        <v>381.011555555556</v>
      </c>
      <c r="AJ88" s="50" t="n">
        <f aca="false">AJ87/Assumptions!$D$33</f>
        <v>381.011555555556</v>
      </c>
      <c r="AK88" s="50" t="n">
        <f aca="false">AK87/Assumptions!$D$33</f>
        <v>381.011555555556</v>
      </c>
      <c r="AL88" s="50" t="n">
        <f aca="false">AL87/Assumptions!$D$33</f>
        <v>381.011555555556</v>
      </c>
      <c r="AM88" s="50" t="n">
        <f aca="false">AVERAGE(N88:AL88)</f>
        <v>381.011555555556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8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8" min="3" style="0" width="12"/>
    <col collapsed="false" customWidth="true" hidden="false" outlineLevel="0" max="39" min="39" style="0" width="15"/>
  </cols>
  <sheetData>
    <row r="1" customFormat="false" ht="17.35" hidden="false" customHeight="false" outlineLevel="0" collapsed="false">
      <c r="A1" s="4" t="s">
        <v>671</v>
      </c>
    </row>
    <row r="2" customFormat="false" ht="15" hidden="false" customHeight="false" outlineLevel="0" collapsed="false">
      <c r="A2" s="47" t="s">
        <v>551</v>
      </c>
    </row>
    <row r="4" customFormat="false" ht="15" hidden="false" customHeight="false" outlineLevel="0" collapsed="false">
      <c r="A4" s="25" t="s">
        <v>552</v>
      </c>
      <c r="B4" s="25" t="s">
        <v>21</v>
      </c>
      <c r="C4" s="48" t="s">
        <v>553</v>
      </c>
      <c r="D4" s="48" t="s">
        <v>554</v>
      </c>
      <c r="E4" s="48" t="s">
        <v>555</v>
      </c>
      <c r="F4" s="48" t="s">
        <v>556</v>
      </c>
      <c r="G4" s="48" t="s">
        <v>557</v>
      </c>
      <c r="H4" s="48" t="s">
        <v>558</v>
      </c>
      <c r="I4" s="48" t="s">
        <v>559</v>
      </c>
      <c r="J4" s="48" t="s">
        <v>560</v>
      </c>
      <c r="K4" s="48" t="s">
        <v>561</v>
      </c>
      <c r="L4" s="48" t="s">
        <v>562</v>
      </c>
      <c r="M4" s="48" t="s">
        <v>563</v>
      </c>
      <c r="N4" s="48" t="s">
        <v>564</v>
      </c>
      <c r="O4" s="48" t="s">
        <v>565</v>
      </c>
      <c r="P4" s="48" t="s">
        <v>566</v>
      </c>
      <c r="Q4" s="48" t="s">
        <v>567</v>
      </c>
      <c r="R4" s="48" t="s">
        <v>568</v>
      </c>
      <c r="S4" s="48" t="s">
        <v>569</v>
      </c>
      <c r="T4" s="48" t="s">
        <v>570</v>
      </c>
      <c r="U4" s="48" t="s">
        <v>571</v>
      </c>
      <c r="V4" s="48" t="s">
        <v>572</v>
      </c>
      <c r="W4" s="48" t="s">
        <v>573</v>
      </c>
      <c r="X4" s="48" t="s">
        <v>574</v>
      </c>
      <c r="Y4" s="48" t="s">
        <v>575</v>
      </c>
      <c r="Z4" s="48" t="s">
        <v>576</v>
      </c>
      <c r="AA4" s="48" t="s">
        <v>577</v>
      </c>
      <c r="AB4" s="48" t="s">
        <v>578</v>
      </c>
      <c r="AC4" s="48" t="s">
        <v>579</v>
      </c>
      <c r="AD4" s="48" t="s">
        <v>580</v>
      </c>
      <c r="AE4" s="48" t="s">
        <v>581</v>
      </c>
      <c r="AF4" s="48" t="s">
        <v>582</v>
      </c>
      <c r="AG4" s="48" t="s">
        <v>583</v>
      </c>
      <c r="AH4" s="48" t="s">
        <v>584</v>
      </c>
      <c r="AI4" s="48" t="s">
        <v>585</v>
      </c>
      <c r="AJ4" s="48" t="s">
        <v>586</v>
      </c>
      <c r="AK4" s="48" t="s">
        <v>587</v>
      </c>
      <c r="AL4" s="48" t="s">
        <v>588</v>
      </c>
      <c r="AM4" s="25" t="s">
        <v>589</v>
      </c>
    </row>
    <row r="5" customFormat="false" ht="15" hidden="false" customHeight="false" outlineLevel="0" collapsed="false">
      <c r="A5" s="0" t="s">
        <v>590</v>
      </c>
      <c r="B5" s="0" t="s">
        <v>44</v>
      </c>
      <c r="C5" s="10" t="n">
        <v>1</v>
      </c>
      <c r="D5" s="10" t="n">
        <v>2</v>
      </c>
      <c r="E5" s="10" t="n">
        <v>3</v>
      </c>
      <c r="F5" s="10" t="n">
        <v>4</v>
      </c>
      <c r="G5" s="10" t="n">
        <v>5</v>
      </c>
      <c r="H5" s="10" t="n">
        <v>6</v>
      </c>
      <c r="I5" s="10" t="n">
        <v>7</v>
      </c>
      <c r="J5" s="10" t="n">
        <v>8</v>
      </c>
      <c r="K5" s="10" t="n">
        <v>9</v>
      </c>
      <c r="L5" s="10" t="n">
        <v>10</v>
      </c>
      <c r="M5" s="10" t="n">
        <v>11</v>
      </c>
      <c r="N5" s="10" t="n">
        <v>12</v>
      </c>
      <c r="O5" s="10" t="n">
        <v>13</v>
      </c>
      <c r="P5" s="10" t="n">
        <v>14</v>
      </c>
      <c r="Q5" s="10" t="n">
        <v>15</v>
      </c>
      <c r="R5" s="10" t="n">
        <v>16</v>
      </c>
      <c r="S5" s="10" t="n">
        <v>17</v>
      </c>
      <c r="T5" s="10" t="n">
        <v>18</v>
      </c>
      <c r="U5" s="10" t="n">
        <v>19</v>
      </c>
      <c r="V5" s="10" t="n">
        <v>20</v>
      </c>
      <c r="W5" s="10" t="n">
        <v>21</v>
      </c>
      <c r="X5" s="10" t="n">
        <v>22</v>
      </c>
      <c r="Y5" s="10" t="n">
        <v>23</v>
      </c>
      <c r="Z5" s="10" t="n">
        <v>24</v>
      </c>
      <c r="AA5" s="10" t="n">
        <v>25</v>
      </c>
      <c r="AB5" s="10" t="n">
        <v>26</v>
      </c>
      <c r="AC5" s="10" t="n">
        <v>27</v>
      </c>
      <c r="AD5" s="10" t="n">
        <v>28</v>
      </c>
      <c r="AE5" s="10" t="n">
        <v>29</v>
      </c>
      <c r="AF5" s="10" t="n">
        <v>30</v>
      </c>
      <c r="AG5" s="10" t="n">
        <v>31</v>
      </c>
      <c r="AH5" s="10" t="n">
        <v>32</v>
      </c>
      <c r="AI5" s="10" t="n">
        <v>33</v>
      </c>
      <c r="AJ5" s="10" t="n">
        <v>34</v>
      </c>
      <c r="AK5" s="10" t="n">
        <v>35</v>
      </c>
      <c r="AL5" s="10" t="n">
        <v>36</v>
      </c>
    </row>
    <row r="6" customFormat="false" ht="15" hidden="false" customHeight="false" outlineLevel="0" collapsed="false">
      <c r="A6" s="0" t="s">
        <v>591</v>
      </c>
      <c r="B6" s="0" t="s">
        <v>44</v>
      </c>
      <c r="C6" s="10" t="n">
        <f aca="false">ROUNDUP(C$5/12,0)</f>
        <v>1</v>
      </c>
      <c r="D6" s="10" t="n">
        <f aca="false">ROUNDUP(D$5/12,0)</f>
        <v>1</v>
      </c>
      <c r="E6" s="10" t="n">
        <f aca="false">ROUNDUP(E$5/12,0)</f>
        <v>1</v>
      </c>
      <c r="F6" s="10" t="n">
        <f aca="false">ROUNDUP(F$5/12,0)</f>
        <v>1</v>
      </c>
      <c r="G6" s="10" t="n">
        <f aca="false">ROUNDUP(G$5/12,0)</f>
        <v>1</v>
      </c>
      <c r="H6" s="10" t="n">
        <f aca="false">ROUNDUP(H$5/12,0)</f>
        <v>1</v>
      </c>
      <c r="I6" s="10" t="n">
        <f aca="false">ROUNDUP(I$5/12,0)</f>
        <v>1</v>
      </c>
      <c r="J6" s="10" t="n">
        <f aca="false">ROUNDUP(J$5/12,0)</f>
        <v>1</v>
      </c>
      <c r="K6" s="10" t="n">
        <f aca="false">ROUNDUP(K$5/12,0)</f>
        <v>1</v>
      </c>
      <c r="L6" s="10" t="n">
        <f aca="false">ROUNDUP(L$5/12,0)</f>
        <v>1</v>
      </c>
      <c r="M6" s="10" t="n">
        <f aca="false">ROUNDUP(M$5/12,0)</f>
        <v>1</v>
      </c>
      <c r="N6" s="10" t="n">
        <f aca="false">ROUNDUP(N$5/12,0)</f>
        <v>1</v>
      </c>
      <c r="O6" s="10" t="n">
        <f aca="false">ROUNDUP(O$5/12,0)</f>
        <v>2</v>
      </c>
      <c r="P6" s="10" t="n">
        <f aca="false">ROUNDUP(P$5/12,0)</f>
        <v>2</v>
      </c>
      <c r="Q6" s="10" t="n">
        <f aca="false">ROUNDUP(Q$5/12,0)</f>
        <v>2</v>
      </c>
      <c r="R6" s="10" t="n">
        <f aca="false">ROUNDUP(R$5/12,0)</f>
        <v>2</v>
      </c>
      <c r="S6" s="10" t="n">
        <f aca="false">ROUNDUP(S$5/12,0)</f>
        <v>2</v>
      </c>
      <c r="T6" s="10" t="n">
        <f aca="false">ROUNDUP(T$5/12,0)</f>
        <v>2</v>
      </c>
      <c r="U6" s="10" t="n">
        <f aca="false">ROUNDUP(U$5/12,0)</f>
        <v>2</v>
      </c>
      <c r="V6" s="10" t="n">
        <f aca="false">ROUNDUP(V$5/12,0)</f>
        <v>2</v>
      </c>
      <c r="W6" s="10" t="n">
        <f aca="false">ROUNDUP(W$5/12,0)</f>
        <v>2</v>
      </c>
      <c r="X6" s="10" t="n">
        <f aca="false">ROUNDUP(X$5/12,0)</f>
        <v>2</v>
      </c>
      <c r="Y6" s="10" t="n">
        <f aca="false">ROUNDUP(Y$5/12,0)</f>
        <v>2</v>
      </c>
      <c r="Z6" s="10" t="n">
        <f aca="false">ROUNDUP(Z$5/12,0)</f>
        <v>2</v>
      </c>
      <c r="AA6" s="10" t="n">
        <f aca="false">ROUNDUP(AA$5/12,0)</f>
        <v>3</v>
      </c>
      <c r="AB6" s="10" t="n">
        <f aca="false">ROUNDUP(AB$5/12,0)</f>
        <v>3</v>
      </c>
      <c r="AC6" s="10" t="n">
        <f aca="false">ROUNDUP(AC$5/12,0)</f>
        <v>3</v>
      </c>
      <c r="AD6" s="10" t="n">
        <f aca="false">ROUNDUP(AD$5/12,0)</f>
        <v>3</v>
      </c>
      <c r="AE6" s="10" t="n">
        <f aca="false">ROUNDUP(AE$5/12,0)</f>
        <v>3</v>
      </c>
      <c r="AF6" s="10" t="n">
        <f aca="false">ROUNDUP(AF$5/12,0)</f>
        <v>3</v>
      </c>
      <c r="AG6" s="10" t="n">
        <f aca="false">ROUNDUP(AG$5/12,0)</f>
        <v>3</v>
      </c>
      <c r="AH6" s="10" t="n">
        <f aca="false">ROUNDUP(AH$5/12,0)</f>
        <v>3</v>
      </c>
      <c r="AI6" s="10" t="n">
        <f aca="false">ROUNDUP(AI$5/12,0)</f>
        <v>3</v>
      </c>
      <c r="AJ6" s="10" t="n">
        <f aca="false">ROUNDUP(AJ$5/12,0)</f>
        <v>3</v>
      </c>
      <c r="AK6" s="10" t="n">
        <f aca="false">ROUNDUP(AK$5/12,0)</f>
        <v>3</v>
      </c>
      <c r="AL6" s="10" t="n">
        <f aca="false">ROUNDUP(AL$5/12,0)</f>
        <v>3</v>
      </c>
    </row>
    <row r="8" customFormat="false" ht="15" hidden="false" customHeight="false" outlineLevel="0" collapsed="false">
      <c r="A8" s="10" t="s">
        <v>592</v>
      </c>
      <c r="B8" s="9" t="s">
        <v>593</v>
      </c>
      <c r="C8" s="49" t="n">
        <f aca="false">IF(C$5&gt;=Assumptions!$E$6,1,0)</f>
        <v>0</v>
      </c>
      <c r="D8" s="49" t="n">
        <f aca="false">IF(D$5&gt;=Assumptions!$E$6,1,0)</f>
        <v>1</v>
      </c>
      <c r="E8" s="49" t="n">
        <f aca="false">IF(E$5&gt;=Assumptions!$E$6,1,0)</f>
        <v>1</v>
      </c>
      <c r="F8" s="49" t="n">
        <f aca="false">IF(F$5&gt;=Assumptions!$E$6,1,0)</f>
        <v>1</v>
      </c>
      <c r="G8" s="49" t="n">
        <f aca="false">IF(G$5&gt;=Assumptions!$E$6,1,0)</f>
        <v>1</v>
      </c>
      <c r="H8" s="49" t="n">
        <f aca="false">IF(H$5&gt;=Assumptions!$E$6,1,0)</f>
        <v>1</v>
      </c>
      <c r="I8" s="49" t="n">
        <f aca="false">IF(I$5&gt;=Assumptions!$E$6,1,0)</f>
        <v>1</v>
      </c>
      <c r="J8" s="49" t="n">
        <f aca="false">IF(J$5&gt;=Assumptions!$E$6,1,0)</f>
        <v>1</v>
      </c>
      <c r="K8" s="49" t="n">
        <f aca="false">IF(K$5&gt;=Assumptions!$E$6,1,0)</f>
        <v>1</v>
      </c>
      <c r="L8" s="49" t="n">
        <f aca="false">IF(L$5&gt;=Assumptions!$E$6,1,0)</f>
        <v>1</v>
      </c>
      <c r="M8" s="49" t="n">
        <f aca="false">IF(M$5&gt;=Assumptions!$E$6,1,0)</f>
        <v>1</v>
      </c>
      <c r="N8" s="49" t="n">
        <f aca="false">IF(N$5&gt;=Assumptions!$E$6,1,0)</f>
        <v>1</v>
      </c>
      <c r="O8" s="49" t="n">
        <f aca="false">IF(O$5&gt;=Assumptions!$E$6,1,0)</f>
        <v>1</v>
      </c>
      <c r="P8" s="49" t="n">
        <f aca="false">IF(P$5&gt;=Assumptions!$E$6,1,0)</f>
        <v>1</v>
      </c>
      <c r="Q8" s="49" t="n">
        <f aca="false">IF(Q$5&gt;=Assumptions!$E$6,1,0)</f>
        <v>1</v>
      </c>
      <c r="R8" s="49" t="n">
        <f aca="false">IF(R$5&gt;=Assumptions!$E$6,1,0)</f>
        <v>1</v>
      </c>
      <c r="S8" s="49" t="n">
        <f aca="false">IF(S$5&gt;=Assumptions!$E$6,1,0)</f>
        <v>1</v>
      </c>
      <c r="T8" s="49" t="n">
        <f aca="false">IF(T$5&gt;=Assumptions!$E$6,1,0)</f>
        <v>1</v>
      </c>
      <c r="U8" s="49" t="n">
        <f aca="false">IF(U$5&gt;=Assumptions!$E$6,1,0)</f>
        <v>1</v>
      </c>
      <c r="V8" s="49" t="n">
        <f aca="false">IF(V$5&gt;=Assumptions!$E$6,1,0)</f>
        <v>1</v>
      </c>
      <c r="W8" s="49" t="n">
        <f aca="false">IF(W$5&gt;=Assumptions!$E$6,1,0)</f>
        <v>1</v>
      </c>
      <c r="X8" s="49" t="n">
        <f aca="false">IF(X$5&gt;=Assumptions!$E$6,1,0)</f>
        <v>1</v>
      </c>
      <c r="Y8" s="49" t="n">
        <f aca="false">IF(Y$5&gt;=Assumptions!$E$6,1,0)</f>
        <v>1</v>
      </c>
      <c r="Z8" s="49" t="n">
        <f aca="false">IF(Z$5&gt;=Assumptions!$E$6,1,0)</f>
        <v>1</v>
      </c>
      <c r="AA8" s="49" t="n">
        <f aca="false">IF(AA$5&gt;=Assumptions!$E$6,1,0)</f>
        <v>1</v>
      </c>
      <c r="AB8" s="49" t="n">
        <f aca="false">IF(AB$5&gt;=Assumptions!$E$6,1,0)</f>
        <v>1</v>
      </c>
      <c r="AC8" s="49" t="n">
        <f aca="false">IF(AC$5&gt;=Assumptions!$E$6,1,0)</f>
        <v>1</v>
      </c>
      <c r="AD8" s="49" t="n">
        <f aca="false">IF(AD$5&gt;=Assumptions!$E$6,1,0)</f>
        <v>1</v>
      </c>
      <c r="AE8" s="49" t="n">
        <f aca="false">IF(AE$5&gt;=Assumptions!$E$6,1,0)</f>
        <v>1</v>
      </c>
      <c r="AF8" s="49" t="n">
        <f aca="false">IF(AF$5&gt;=Assumptions!$E$6,1,0)</f>
        <v>1</v>
      </c>
      <c r="AG8" s="49" t="n">
        <f aca="false">IF(AG$5&gt;=Assumptions!$E$6,1,0)</f>
        <v>1</v>
      </c>
      <c r="AH8" s="49" t="n">
        <f aca="false">IF(AH$5&gt;=Assumptions!$E$6,1,0)</f>
        <v>1</v>
      </c>
      <c r="AI8" s="49" t="n">
        <f aca="false">IF(AI$5&gt;=Assumptions!$E$6,1,0)</f>
        <v>1</v>
      </c>
      <c r="AJ8" s="49" t="n">
        <f aca="false">IF(AJ$5&gt;=Assumptions!$E$6,1,0)</f>
        <v>1</v>
      </c>
      <c r="AK8" s="49" t="n">
        <f aca="false">IF(AK$5&gt;=Assumptions!$E$6,1,0)</f>
        <v>1</v>
      </c>
      <c r="AL8" s="49" t="n">
        <f aca="false">IF(AL$5&gt;=Assumptions!$E$6,1,0)</f>
        <v>1</v>
      </c>
      <c r="AM8" s="49"/>
    </row>
    <row r="9" customFormat="false" ht="15" hidden="false" customHeight="false" outlineLevel="0" collapsed="false">
      <c r="A9" s="10" t="s">
        <v>594</v>
      </c>
      <c r="B9" s="9" t="s">
        <v>593</v>
      </c>
      <c r="C9" s="49" t="n">
        <f aca="false">IF(C$5&gt;=Assumptions!$E$7,1,0)</f>
        <v>0</v>
      </c>
      <c r="D9" s="49" t="n">
        <f aca="false">IF(D$5&gt;=Assumptions!$E$7,1,0)</f>
        <v>0</v>
      </c>
      <c r="E9" s="49" t="n">
        <f aca="false">IF(E$5&gt;=Assumptions!$E$7,1,0)</f>
        <v>0</v>
      </c>
      <c r="F9" s="49" t="n">
        <f aca="false">IF(F$5&gt;=Assumptions!$E$7,1,0)</f>
        <v>0</v>
      </c>
      <c r="G9" s="49" t="n">
        <f aca="false">IF(G$5&gt;=Assumptions!$E$7,1,0)</f>
        <v>0</v>
      </c>
      <c r="H9" s="49" t="n">
        <f aca="false">IF(H$5&gt;=Assumptions!$E$7,1,0)</f>
        <v>0</v>
      </c>
      <c r="I9" s="49" t="n">
        <f aca="false">IF(I$5&gt;=Assumptions!$E$7,1,0)</f>
        <v>1</v>
      </c>
      <c r="J9" s="49" t="n">
        <f aca="false">IF(J$5&gt;=Assumptions!$E$7,1,0)</f>
        <v>1</v>
      </c>
      <c r="K9" s="49" t="n">
        <f aca="false">IF(K$5&gt;=Assumptions!$E$7,1,0)</f>
        <v>1</v>
      </c>
      <c r="L9" s="49" t="n">
        <f aca="false">IF(L$5&gt;=Assumptions!$E$7,1,0)</f>
        <v>1</v>
      </c>
      <c r="M9" s="49" t="n">
        <f aca="false">IF(M$5&gt;=Assumptions!$E$7,1,0)</f>
        <v>1</v>
      </c>
      <c r="N9" s="49" t="n">
        <f aca="false">IF(N$5&gt;=Assumptions!$E$7,1,0)</f>
        <v>1</v>
      </c>
      <c r="O9" s="49" t="n">
        <f aca="false">IF(O$5&gt;=Assumptions!$E$7,1,0)</f>
        <v>1</v>
      </c>
      <c r="P9" s="49" t="n">
        <f aca="false">IF(P$5&gt;=Assumptions!$E$7,1,0)</f>
        <v>1</v>
      </c>
      <c r="Q9" s="49" t="n">
        <f aca="false">IF(Q$5&gt;=Assumptions!$E$7,1,0)</f>
        <v>1</v>
      </c>
      <c r="R9" s="49" t="n">
        <f aca="false">IF(R$5&gt;=Assumptions!$E$7,1,0)</f>
        <v>1</v>
      </c>
      <c r="S9" s="49" t="n">
        <f aca="false">IF(S$5&gt;=Assumptions!$E$7,1,0)</f>
        <v>1</v>
      </c>
      <c r="T9" s="49" t="n">
        <f aca="false">IF(T$5&gt;=Assumptions!$E$7,1,0)</f>
        <v>1</v>
      </c>
      <c r="U9" s="49" t="n">
        <f aca="false">IF(U$5&gt;=Assumptions!$E$7,1,0)</f>
        <v>1</v>
      </c>
      <c r="V9" s="49" t="n">
        <f aca="false">IF(V$5&gt;=Assumptions!$E$7,1,0)</f>
        <v>1</v>
      </c>
      <c r="W9" s="49" t="n">
        <f aca="false">IF(W$5&gt;=Assumptions!$E$7,1,0)</f>
        <v>1</v>
      </c>
      <c r="X9" s="49" t="n">
        <f aca="false">IF(X$5&gt;=Assumptions!$E$7,1,0)</f>
        <v>1</v>
      </c>
      <c r="Y9" s="49" t="n">
        <f aca="false">IF(Y$5&gt;=Assumptions!$E$7,1,0)</f>
        <v>1</v>
      </c>
      <c r="Z9" s="49" t="n">
        <f aca="false">IF(Z$5&gt;=Assumptions!$E$7,1,0)</f>
        <v>1</v>
      </c>
      <c r="AA9" s="49" t="n">
        <f aca="false">IF(AA$5&gt;=Assumptions!$E$7,1,0)</f>
        <v>1</v>
      </c>
      <c r="AB9" s="49" t="n">
        <f aca="false">IF(AB$5&gt;=Assumptions!$E$7,1,0)</f>
        <v>1</v>
      </c>
      <c r="AC9" s="49" t="n">
        <f aca="false">IF(AC$5&gt;=Assumptions!$E$7,1,0)</f>
        <v>1</v>
      </c>
      <c r="AD9" s="49" t="n">
        <f aca="false">IF(AD$5&gt;=Assumptions!$E$7,1,0)</f>
        <v>1</v>
      </c>
      <c r="AE9" s="49" t="n">
        <f aca="false">IF(AE$5&gt;=Assumptions!$E$7,1,0)</f>
        <v>1</v>
      </c>
      <c r="AF9" s="49" t="n">
        <f aca="false">IF(AF$5&gt;=Assumptions!$E$7,1,0)</f>
        <v>1</v>
      </c>
      <c r="AG9" s="49" t="n">
        <f aca="false">IF(AG$5&gt;=Assumptions!$E$7,1,0)</f>
        <v>1</v>
      </c>
      <c r="AH9" s="49" t="n">
        <f aca="false">IF(AH$5&gt;=Assumptions!$E$7,1,0)</f>
        <v>1</v>
      </c>
      <c r="AI9" s="49" t="n">
        <f aca="false">IF(AI$5&gt;=Assumptions!$E$7,1,0)</f>
        <v>1</v>
      </c>
      <c r="AJ9" s="49" t="n">
        <f aca="false">IF(AJ$5&gt;=Assumptions!$E$7,1,0)</f>
        <v>1</v>
      </c>
      <c r="AK9" s="49" t="n">
        <f aca="false">IF(AK$5&gt;=Assumptions!$E$7,1,0)</f>
        <v>1</v>
      </c>
      <c r="AL9" s="49" t="n">
        <f aca="false">IF(AL$5&gt;=Assumptions!$E$7,1,0)</f>
        <v>1</v>
      </c>
      <c r="AM9" s="49"/>
    </row>
    <row r="10" customFormat="false" ht="15" hidden="false" customHeight="false" outlineLevel="0" collapsed="false">
      <c r="A10" s="10" t="s">
        <v>595</v>
      </c>
      <c r="B10" s="9" t="s">
        <v>44</v>
      </c>
      <c r="C10" s="49" t="n">
        <f aca="false">MAX(0,C$5-Assumptions!$E$6)</f>
        <v>0</v>
      </c>
      <c r="D10" s="49" t="n">
        <f aca="false">MAX(0,D$5-Assumptions!$E$6)</f>
        <v>0</v>
      </c>
      <c r="E10" s="49" t="n">
        <f aca="false">MAX(0,E$5-Assumptions!$E$6)</f>
        <v>1</v>
      </c>
      <c r="F10" s="49" t="n">
        <f aca="false">MAX(0,F$5-Assumptions!$E$6)</f>
        <v>2</v>
      </c>
      <c r="G10" s="49" t="n">
        <f aca="false">MAX(0,G$5-Assumptions!$E$6)</f>
        <v>3</v>
      </c>
      <c r="H10" s="49" t="n">
        <f aca="false">MAX(0,H$5-Assumptions!$E$6)</f>
        <v>4</v>
      </c>
      <c r="I10" s="49" t="n">
        <f aca="false">MAX(0,I$5-Assumptions!$E$6)</f>
        <v>5</v>
      </c>
      <c r="J10" s="49" t="n">
        <f aca="false">MAX(0,J$5-Assumptions!$E$6)</f>
        <v>6</v>
      </c>
      <c r="K10" s="49" t="n">
        <f aca="false">MAX(0,K$5-Assumptions!$E$6)</f>
        <v>7</v>
      </c>
      <c r="L10" s="49" t="n">
        <f aca="false">MAX(0,L$5-Assumptions!$E$6)</f>
        <v>8</v>
      </c>
      <c r="M10" s="49" t="n">
        <f aca="false">MAX(0,M$5-Assumptions!$E$6)</f>
        <v>9</v>
      </c>
      <c r="N10" s="49" t="n">
        <f aca="false">MAX(0,N$5-Assumptions!$E$6)</f>
        <v>10</v>
      </c>
      <c r="O10" s="49" t="n">
        <f aca="false">MAX(0,O$5-Assumptions!$E$6)</f>
        <v>11</v>
      </c>
      <c r="P10" s="49" t="n">
        <f aca="false">MAX(0,P$5-Assumptions!$E$6)</f>
        <v>12</v>
      </c>
      <c r="Q10" s="49" t="n">
        <f aca="false">MAX(0,Q$5-Assumptions!$E$6)</f>
        <v>13</v>
      </c>
      <c r="R10" s="49" t="n">
        <f aca="false">MAX(0,R$5-Assumptions!$E$6)</f>
        <v>14</v>
      </c>
      <c r="S10" s="49" t="n">
        <f aca="false">MAX(0,S$5-Assumptions!$E$6)</f>
        <v>15</v>
      </c>
      <c r="T10" s="49" t="n">
        <f aca="false">MAX(0,T$5-Assumptions!$E$6)</f>
        <v>16</v>
      </c>
      <c r="U10" s="49" t="n">
        <f aca="false">MAX(0,U$5-Assumptions!$E$6)</f>
        <v>17</v>
      </c>
      <c r="V10" s="49" t="n">
        <f aca="false">MAX(0,V$5-Assumptions!$E$6)</f>
        <v>18</v>
      </c>
      <c r="W10" s="49" t="n">
        <f aca="false">MAX(0,W$5-Assumptions!$E$6)</f>
        <v>19</v>
      </c>
      <c r="X10" s="49" t="n">
        <f aca="false">MAX(0,X$5-Assumptions!$E$6)</f>
        <v>20</v>
      </c>
      <c r="Y10" s="49" t="n">
        <f aca="false">MAX(0,Y$5-Assumptions!$E$6)</f>
        <v>21</v>
      </c>
      <c r="Z10" s="49" t="n">
        <f aca="false">MAX(0,Z$5-Assumptions!$E$6)</f>
        <v>22</v>
      </c>
      <c r="AA10" s="49" t="n">
        <f aca="false">MAX(0,AA$5-Assumptions!$E$6)</f>
        <v>23</v>
      </c>
      <c r="AB10" s="49" t="n">
        <f aca="false">MAX(0,AB$5-Assumptions!$E$6)</f>
        <v>24</v>
      </c>
      <c r="AC10" s="49" t="n">
        <f aca="false">MAX(0,AC$5-Assumptions!$E$6)</f>
        <v>25</v>
      </c>
      <c r="AD10" s="49" t="n">
        <f aca="false">MAX(0,AD$5-Assumptions!$E$6)</f>
        <v>26</v>
      </c>
      <c r="AE10" s="49" t="n">
        <f aca="false">MAX(0,AE$5-Assumptions!$E$6)</f>
        <v>27</v>
      </c>
      <c r="AF10" s="49" t="n">
        <f aca="false">MAX(0,AF$5-Assumptions!$E$6)</f>
        <v>28</v>
      </c>
      <c r="AG10" s="49" t="n">
        <f aca="false">MAX(0,AG$5-Assumptions!$E$6)</f>
        <v>29</v>
      </c>
      <c r="AH10" s="49" t="n">
        <f aca="false">MAX(0,AH$5-Assumptions!$E$6)</f>
        <v>30</v>
      </c>
      <c r="AI10" s="49" t="n">
        <f aca="false">MAX(0,AI$5-Assumptions!$E$6)</f>
        <v>31</v>
      </c>
      <c r="AJ10" s="49" t="n">
        <f aca="false">MAX(0,AJ$5-Assumptions!$E$6)</f>
        <v>32</v>
      </c>
      <c r="AK10" s="49" t="n">
        <f aca="false">MAX(0,AK$5-Assumptions!$E$6)</f>
        <v>33</v>
      </c>
      <c r="AL10" s="49" t="n">
        <f aca="false">MAX(0,AL$5-Assumptions!$E$6)</f>
        <v>34</v>
      </c>
      <c r="AM10" s="49"/>
    </row>
    <row r="11" customFormat="false" ht="15" hidden="false" customHeight="false" outlineLevel="0" collapsed="false">
      <c r="A11" s="10" t="s">
        <v>596</v>
      </c>
      <c r="B11" s="9" t="s">
        <v>77</v>
      </c>
      <c r="C11" s="43" t="n">
        <f aca="false">Assumptions!$E$9*Assumptions!$E$10*Assumptions!$E$11*Assumptions!$E$12</f>
        <v>46032</v>
      </c>
      <c r="D11" s="43" t="n">
        <f aca="false">Assumptions!$E$9*Assumptions!$E$10*Assumptions!$E$11*Assumptions!$E$12</f>
        <v>46032</v>
      </c>
      <c r="E11" s="43" t="n">
        <f aca="false">Assumptions!$E$9*Assumptions!$E$10*Assumptions!$E$11*Assumptions!$E$12</f>
        <v>46032</v>
      </c>
      <c r="F11" s="43" t="n">
        <f aca="false">Assumptions!$E$9*Assumptions!$E$10*Assumptions!$E$11*Assumptions!$E$12</f>
        <v>46032</v>
      </c>
      <c r="G11" s="43" t="n">
        <f aca="false">Assumptions!$E$9*Assumptions!$E$10*Assumptions!$E$11*Assumptions!$E$12</f>
        <v>46032</v>
      </c>
      <c r="H11" s="43" t="n">
        <f aca="false">Assumptions!$E$9*Assumptions!$E$10*Assumptions!$E$11*Assumptions!$E$12</f>
        <v>46032</v>
      </c>
      <c r="I11" s="43" t="n">
        <f aca="false">Assumptions!$E$9*Assumptions!$E$10*Assumptions!$E$11*Assumptions!$E$12</f>
        <v>46032</v>
      </c>
      <c r="J11" s="43" t="n">
        <f aca="false">Assumptions!$E$9*Assumptions!$E$10*Assumptions!$E$11*Assumptions!$E$12</f>
        <v>46032</v>
      </c>
      <c r="K11" s="43" t="n">
        <f aca="false">Assumptions!$E$9*Assumptions!$E$10*Assumptions!$E$11*Assumptions!$E$12</f>
        <v>46032</v>
      </c>
      <c r="L11" s="43" t="n">
        <f aca="false">Assumptions!$E$9*Assumptions!$E$10*Assumptions!$E$11*Assumptions!$E$12</f>
        <v>46032</v>
      </c>
      <c r="M11" s="43" t="n">
        <f aca="false">Assumptions!$E$9*Assumptions!$E$10*Assumptions!$E$11*Assumptions!$E$12</f>
        <v>46032</v>
      </c>
      <c r="N11" s="43" t="n">
        <f aca="false">Assumptions!$E$9*Assumptions!$E$10*Assumptions!$E$11*Assumptions!$E$12</f>
        <v>46032</v>
      </c>
      <c r="O11" s="43" t="n">
        <f aca="false">Assumptions!$E$9*Assumptions!$E$10*Assumptions!$E$11*Assumptions!$E$12</f>
        <v>46032</v>
      </c>
      <c r="P11" s="43" t="n">
        <f aca="false">Assumptions!$E$9*Assumptions!$E$10*Assumptions!$E$11*Assumptions!$E$12</f>
        <v>46032</v>
      </c>
      <c r="Q11" s="43" t="n">
        <f aca="false">Assumptions!$E$9*Assumptions!$E$10*Assumptions!$E$11*Assumptions!$E$12</f>
        <v>46032</v>
      </c>
      <c r="R11" s="43" t="n">
        <f aca="false">Assumptions!$E$9*Assumptions!$E$10*Assumptions!$E$11*Assumptions!$E$12</f>
        <v>46032</v>
      </c>
      <c r="S11" s="43" t="n">
        <f aca="false">Assumptions!$E$9*Assumptions!$E$10*Assumptions!$E$11*Assumptions!$E$12</f>
        <v>46032</v>
      </c>
      <c r="T11" s="43" t="n">
        <f aca="false">Assumptions!$E$9*Assumptions!$E$10*Assumptions!$E$11*Assumptions!$E$12</f>
        <v>46032</v>
      </c>
      <c r="U11" s="43" t="n">
        <f aca="false">Assumptions!$E$9*Assumptions!$E$10*Assumptions!$E$11*Assumptions!$E$12</f>
        <v>46032</v>
      </c>
      <c r="V11" s="43" t="n">
        <f aca="false">Assumptions!$E$9*Assumptions!$E$10*Assumptions!$E$11*Assumptions!$E$12</f>
        <v>46032</v>
      </c>
      <c r="W11" s="43" t="n">
        <f aca="false">Assumptions!$E$9*Assumptions!$E$10*Assumptions!$E$11*Assumptions!$E$12</f>
        <v>46032</v>
      </c>
      <c r="X11" s="43" t="n">
        <f aca="false">Assumptions!$E$9*Assumptions!$E$10*Assumptions!$E$11*Assumptions!$E$12</f>
        <v>46032</v>
      </c>
      <c r="Y11" s="43" t="n">
        <f aca="false">Assumptions!$E$9*Assumptions!$E$10*Assumptions!$E$11*Assumptions!$E$12</f>
        <v>46032</v>
      </c>
      <c r="Z11" s="43" t="n">
        <f aca="false">Assumptions!$E$9*Assumptions!$E$10*Assumptions!$E$11*Assumptions!$E$12</f>
        <v>46032</v>
      </c>
      <c r="AA11" s="43" t="n">
        <f aca="false">Assumptions!$E$9*Assumptions!$E$10*Assumptions!$E$11*Assumptions!$E$12</f>
        <v>46032</v>
      </c>
      <c r="AB11" s="43" t="n">
        <f aca="false">Assumptions!$E$9*Assumptions!$E$10*Assumptions!$E$11*Assumptions!$E$12</f>
        <v>46032</v>
      </c>
      <c r="AC11" s="43" t="n">
        <f aca="false">Assumptions!$E$9*Assumptions!$E$10*Assumptions!$E$11*Assumptions!$E$12</f>
        <v>46032</v>
      </c>
      <c r="AD11" s="43" t="n">
        <f aca="false">Assumptions!$E$9*Assumptions!$E$10*Assumptions!$E$11*Assumptions!$E$12</f>
        <v>46032</v>
      </c>
      <c r="AE11" s="43" t="n">
        <f aca="false">Assumptions!$E$9*Assumptions!$E$10*Assumptions!$E$11*Assumptions!$E$12</f>
        <v>46032</v>
      </c>
      <c r="AF11" s="43" t="n">
        <f aca="false">Assumptions!$E$9*Assumptions!$E$10*Assumptions!$E$11*Assumptions!$E$12</f>
        <v>46032</v>
      </c>
      <c r="AG11" s="43" t="n">
        <f aca="false">Assumptions!$E$9*Assumptions!$E$10*Assumptions!$E$11*Assumptions!$E$12</f>
        <v>46032</v>
      </c>
      <c r="AH11" s="43" t="n">
        <f aca="false">Assumptions!$E$9*Assumptions!$E$10*Assumptions!$E$11*Assumptions!$E$12</f>
        <v>46032</v>
      </c>
      <c r="AI11" s="43" t="n">
        <f aca="false">Assumptions!$E$9*Assumptions!$E$10*Assumptions!$E$11*Assumptions!$E$12</f>
        <v>46032</v>
      </c>
      <c r="AJ11" s="43" t="n">
        <f aca="false">Assumptions!$E$9*Assumptions!$E$10*Assumptions!$E$11*Assumptions!$E$12</f>
        <v>46032</v>
      </c>
      <c r="AK11" s="43" t="n">
        <f aca="false">Assumptions!$E$9*Assumptions!$E$10*Assumptions!$E$11*Assumptions!$E$12</f>
        <v>46032</v>
      </c>
      <c r="AL11" s="43" t="n">
        <f aca="false">Assumptions!$E$9*Assumptions!$E$10*Assumptions!$E$11*Assumptions!$E$12</f>
        <v>46032</v>
      </c>
      <c r="AM11" s="43"/>
    </row>
    <row r="12" customFormat="false" ht="15" hidden="false" customHeight="false" outlineLevel="0" collapsed="false">
      <c r="A12" s="10" t="s">
        <v>597</v>
      </c>
      <c r="B12" s="9" t="s">
        <v>71</v>
      </c>
      <c r="C12" s="39" t="n">
        <f aca="false">IF(C8=0,0,IF(C10=0,Assumptions!$E$15,Assumptions!$E$14+(1-Assumptions!$E$14)*Assumptions!$E$13^C10))</f>
        <v>0</v>
      </c>
      <c r="D12" s="39" t="n">
        <f aca="false">IF(D8=0,0,IF(D10=0,Assumptions!$E$15,Assumptions!$E$14+(1-Assumptions!$E$14)*Assumptions!$E$13^D10))</f>
        <v>2.2</v>
      </c>
      <c r="E12" s="39" t="n">
        <f aca="false">IF(E8=0,0,IF(E10=0,Assumptions!$E$15,Assumptions!$E$14+(1-Assumptions!$E$14)*Assumptions!$E$13^E10))</f>
        <v>0.872</v>
      </c>
      <c r="F12" s="39" t="n">
        <f aca="false">IF(F8=0,0,IF(F10=0,Assumptions!$E$15,Assumptions!$E$14+(1-Assumptions!$E$14)*Assumptions!$E$13^F10))</f>
        <v>0.7696</v>
      </c>
      <c r="G12" s="39" t="n">
        <f aca="false">IF(G8=0,0,IF(G10=0,Assumptions!$E$15,Assumptions!$E$14+(1-Assumptions!$E$14)*Assumptions!$E$13^G10))</f>
        <v>0.68768</v>
      </c>
      <c r="H12" s="39" t="n">
        <f aca="false">IF(H8=0,0,IF(H10=0,Assumptions!$E$15,Assumptions!$E$14+(1-Assumptions!$E$14)*Assumptions!$E$13^H10))</f>
        <v>0.622144</v>
      </c>
      <c r="I12" s="39" t="n">
        <f aca="false">IF(I8=0,0,IF(I10=0,Assumptions!$E$15,Assumptions!$E$14+(1-Assumptions!$E$14)*Assumptions!$E$13^I10))</f>
        <v>0.5697152</v>
      </c>
      <c r="J12" s="39" t="n">
        <f aca="false">IF(J8=0,0,IF(J10=0,Assumptions!$E$15,Assumptions!$E$14+(1-Assumptions!$E$14)*Assumptions!$E$13^J10))</f>
        <v>0.52777216</v>
      </c>
      <c r="K12" s="39" t="n">
        <f aca="false">IF(K8=0,0,IF(K10=0,Assumptions!$E$15,Assumptions!$E$14+(1-Assumptions!$E$14)*Assumptions!$E$13^K10))</f>
        <v>0.494217728</v>
      </c>
      <c r="L12" s="39" t="n">
        <f aca="false">IF(L8=0,0,IF(L10=0,Assumptions!$E$15,Assumptions!$E$14+(1-Assumptions!$E$14)*Assumptions!$E$13^L10))</f>
        <v>0.4673741824</v>
      </c>
      <c r="M12" s="39" t="n">
        <f aca="false">IF(M8=0,0,IF(M10=0,Assumptions!$E$15,Assumptions!$E$14+(1-Assumptions!$E$14)*Assumptions!$E$13^M10))</f>
        <v>0.44589934592</v>
      </c>
      <c r="N12" s="39" t="n">
        <f aca="false">IF(N8=0,0,IF(N10=0,Assumptions!$E$15,Assumptions!$E$14+(1-Assumptions!$E$14)*Assumptions!$E$13^N10))</f>
        <v>0.428719476736</v>
      </c>
      <c r="O12" s="39" t="n">
        <f aca="false">IF(O8=0,0,IF(O10=0,Assumptions!$E$15,Assumptions!$E$14+(1-Assumptions!$E$14)*Assumptions!$E$13^O10))</f>
        <v>0.4149755813888</v>
      </c>
      <c r="P12" s="39" t="n">
        <f aca="false">IF(P8=0,0,IF(P10=0,Assumptions!$E$15,Assumptions!$E$14+(1-Assumptions!$E$14)*Assumptions!$E$13^P10))</f>
        <v>0.40398046511104</v>
      </c>
      <c r="Q12" s="39" t="n">
        <f aca="false">IF(Q8=0,0,IF(Q10=0,Assumptions!$E$15,Assumptions!$E$14+(1-Assumptions!$E$14)*Assumptions!$E$13^Q10))</f>
        <v>0.395184372088832</v>
      </c>
      <c r="R12" s="39" t="n">
        <f aca="false">IF(R8=0,0,IF(R10=0,Assumptions!$E$15,Assumptions!$E$14+(1-Assumptions!$E$14)*Assumptions!$E$13^R10))</f>
        <v>0.388147497671066</v>
      </c>
      <c r="S12" s="39" t="n">
        <f aca="false">IF(S8=0,0,IF(S10=0,Assumptions!$E$15,Assumptions!$E$14+(1-Assumptions!$E$14)*Assumptions!$E$13^S10))</f>
        <v>0.382517998136853</v>
      </c>
      <c r="T12" s="39" t="n">
        <f aca="false">IF(T8=0,0,IF(T10=0,Assumptions!$E$15,Assumptions!$E$14+(1-Assumptions!$E$14)*Assumptions!$E$13^T10))</f>
        <v>0.378014398509482</v>
      </c>
      <c r="U12" s="39" t="n">
        <f aca="false">IF(U8=0,0,IF(U10=0,Assumptions!$E$15,Assumptions!$E$14+(1-Assumptions!$E$14)*Assumptions!$E$13^U10))</f>
        <v>0.374411518807586</v>
      </c>
      <c r="V12" s="39" t="n">
        <f aca="false">IF(V8=0,0,IF(V10=0,Assumptions!$E$15,Assumptions!$E$14+(1-Assumptions!$E$14)*Assumptions!$E$13^V10))</f>
        <v>0.371529215046068</v>
      </c>
      <c r="W12" s="39" t="n">
        <f aca="false">IF(W8=0,0,IF(W10=0,Assumptions!$E$15,Assumptions!$E$14+(1-Assumptions!$E$14)*Assumptions!$E$13^W10))</f>
        <v>0.369223372036855</v>
      </c>
      <c r="X12" s="39" t="n">
        <f aca="false">IF(X8=0,0,IF(X10=0,Assumptions!$E$15,Assumptions!$E$14+(1-Assumptions!$E$14)*Assumptions!$E$13^X10))</f>
        <v>0.367378697629484</v>
      </c>
      <c r="Y12" s="39" t="n">
        <f aca="false">IF(Y8=0,0,IF(Y10=0,Assumptions!$E$15,Assumptions!$E$14+(1-Assumptions!$E$14)*Assumptions!$E$13^Y10))</f>
        <v>0.365902958103587</v>
      </c>
      <c r="Z12" s="39" t="n">
        <f aca="false">IF(Z8=0,0,IF(Z10=0,Assumptions!$E$15,Assumptions!$E$14+(1-Assumptions!$E$14)*Assumptions!$E$13^Z10))</f>
        <v>0.36472236648287</v>
      </c>
      <c r="AA12" s="39" t="n">
        <f aca="false">IF(AA8=0,0,IF(AA10=0,Assumptions!$E$15,Assumptions!$E$14+(1-Assumptions!$E$14)*Assumptions!$E$13^AA10))</f>
        <v>0.363777893186296</v>
      </c>
      <c r="AB12" s="39" t="n">
        <f aca="false">IF(AB8=0,0,IF(AB10=0,Assumptions!$E$15,Assumptions!$E$14+(1-Assumptions!$E$14)*Assumptions!$E$13^AB10))</f>
        <v>0.363022314549037</v>
      </c>
      <c r="AC12" s="39" t="n">
        <f aca="false">IF(AC8=0,0,IF(AC10=0,Assumptions!$E$15,Assumptions!$E$14+(1-Assumptions!$E$14)*Assumptions!$E$13^AC10))</f>
        <v>0.362417851639229</v>
      </c>
      <c r="AD12" s="39" t="n">
        <f aca="false">IF(AD8=0,0,IF(AD10=0,Assumptions!$E$15,Assumptions!$E$14+(1-Assumptions!$E$14)*Assumptions!$E$13^AD10))</f>
        <v>0.361934281311383</v>
      </c>
      <c r="AE12" s="39" t="n">
        <f aca="false">IF(AE8=0,0,IF(AE10=0,Assumptions!$E$15,Assumptions!$E$14+(1-Assumptions!$E$14)*Assumptions!$E$13^AE10))</f>
        <v>0.361547425049107</v>
      </c>
      <c r="AF12" s="39" t="n">
        <f aca="false">IF(AF8=0,0,IF(AF10=0,Assumptions!$E$15,Assumptions!$E$14+(1-Assumptions!$E$14)*Assumptions!$E$13^AF10))</f>
        <v>0.361237940039285</v>
      </c>
      <c r="AG12" s="39" t="n">
        <f aca="false">IF(AG8=0,0,IF(AG10=0,Assumptions!$E$15,Assumptions!$E$14+(1-Assumptions!$E$14)*Assumptions!$E$13^AG10))</f>
        <v>0.360990352031428</v>
      </c>
      <c r="AH12" s="39" t="n">
        <f aca="false">IF(AH8=0,0,IF(AH10=0,Assumptions!$E$15,Assumptions!$E$14+(1-Assumptions!$E$14)*Assumptions!$E$13^AH10))</f>
        <v>0.360792281625143</v>
      </c>
      <c r="AI12" s="39" t="n">
        <f aca="false">IF(AI8=0,0,IF(AI10=0,Assumptions!$E$15,Assumptions!$E$14+(1-Assumptions!$E$14)*Assumptions!$E$13^AI10))</f>
        <v>0.360633825300114</v>
      </c>
      <c r="AJ12" s="39" t="n">
        <f aca="false">IF(AJ8=0,0,IF(AJ10=0,Assumptions!$E$15,Assumptions!$E$14+(1-Assumptions!$E$14)*Assumptions!$E$13^AJ10))</f>
        <v>0.360507060240091</v>
      </c>
      <c r="AK12" s="39" t="n">
        <f aca="false">IF(AK8=0,0,IF(AK10=0,Assumptions!$E$15,Assumptions!$E$14+(1-Assumptions!$E$14)*Assumptions!$E$13^AK10))</f>
        <v>0.360405648192073</v>
      </c>
      <c r="AL12" s="39" t="n">
        <f aca="false">IF(AL8=0,0,IF(AL10=0,Assumptions!$E$15,Assumptions!$E$14+(1-Assumptions!$E$14)*Assumptions!$E$13^AL10))</f>
        <v>0.360324518553658</v>
      </c>
      <c r="AM12" s="39"/>
    </row>
    <row r="13" customFormat="false" ht="15" hidden="false" customHeight="false" outlineLevel="0" collapsed="false">
      <c r="A13" s="10" t="s">
        <v>598</v>
      </c>
      <c r="B13" s="9" t="s">
        <v>77</v>
      </c>
      <c r="C13" s="43" t="n">
        <f aca="false">C11*C12</f>
        <v>0</v>
      </c>
      <c r="D13" s="43" t="n">
        <f aca="false">D11*D12</f>
        <v>101270.4</v>
      </c>
      <c r="E13" s="43" t="n">
        <f aca="false">E11*E12</f>
        <v>40139.904</v>
      </c>
      <c r="F13" s="43" t="n">
        <f aca="false">F11*F12</f>
        <v>35426.2272</v>
      </c>
      <c r="G13" s="43" t="n">
        <f aca="false">G11*G12</f>
        <v>31655.28576</v>
      </c>
      <c r="H13" s="43" t="n">
        <f aca="false">H11*H12</f>
        <v>28638.532608</v>
      </c>
      <c r="I13" s="43" t="n">
        <f aca="false">I11*I12</f>
        <v>26225.1300864</v>
      </c>
      <c r="J13" s="43" t="n">
        <f aca="false">J11*J12</f>
        <v>24294.40806912</v>
      </c>
      <c r="K13" s="43" t="n">
        <f aca="false">K11*K12</f>
        <v>22749.830455296</v>
      </c>
      <c r="L13" s="43" t="n">
        <f aca="false">L11*L12</f>
        <v>21514.1683642368</v>
      </c>
      <c r="M13" s="43" t="n">
        <f aca="false">M11*M12</f>
        <v>20525.6386913894</v>
      </c>
      <c r="N13" s="43" t="n">
        <f aca="false">N11*N12</f>
        <v>19734.8149531116</v>
      </c>
      <c r="O13" s="43" t="n">
        <f aca="false">O11*O12</f>
        <v>19102.1559624892</v>
      </c>
      <c r="P13" s="43" t="n">
        <f aca="false">P11*P12</f>
        <v>18596.0287699914</v>
      </c>
      <c r="Q13" s="43" t="n">
        <f aca="false">Q11*Q12</f>
        <v>18191.1270159931</v>
      </c>
      <c r="R13" s="43" t="n">
        <f aca="false">R11*R12</f>
        <v>17867.2056127945</v>
      </c>
      <c r="S13" s="43" t="n">
        <f aca="false">S11*S12</f>
        <v>17608.0684902356</v>
      </c>
      <c r="T13" s="43" t="n">
        <f aca="false">T11*T12</f>
        <v>17400.7587921885</v>
      </c>
      <c r="U13" s="43" t="n">
        <f aca="false">U11*U12</f>
        <v>17234.9110337508</v>
      </c>
      <c r="V13" s="43" t="n">
        <f aca="false">V11*V12</f>
        <v>17102.2328270006</v>
      </c>
      <c r="W13" s="43" t="n">
        <f aca="false">W11*W12</f>
        <v>16996.0902616005</v>
      </c>
      <c r="X13" s="43" t="n">
        <f aca="false">X11*X12</f>
        <v>16911.1762092804</v>
      </c>
      <c r="Y13" s="43" t="n">
        <f aca="false">Y11*Y12</f>
        <v>16843.2449674243</v>
      </c>
      <c r="Z13" s="43" t="n">
        <f aca="false">Z11*Z12</f>
        <v>16788.8999739395</v>
      </c>
      <c r="AA13" s="43" t="n">
        <f aca="false">AA11*AA12</f>
        <v>16745.4239791516</v>
      </c>
      <c r="AB13" s="43" t="n">
        <f aca="false">AB11*AB12</f>
        <v>16710.6431833213</v>
      </c>
      <c r="AC13" s="43" t="n">
        <f aca="false">AC11*AC12</f>
        <v>16682.818546657</v>
      </c>
      <c r="AD13" s="43" t="n">
        <f aca="false">AD11*AD12</f>
        <v>16660.5588373256</v>
      </c>
      <c r="AE13" s="43" t="n">
        <f aca="false">AE11*AE12</f>
        <v>16642.7510698605</v>
      </c>
      <c r="AF13" s="43" t="n">
        <f aca="false">AF11*AF12</f>
        <v>16628.5048558884</v>
      </c>
      <c r="AG13" s="43" t="n">
        <f aca="false">AG11*AG12</f>
        <v>16617.1078847107</v>
      </c>
      <c r="AH13" s="43" t="n">
        <f aca="false">AH11*AH12</f>
        <v>16607.9903077686</v>
      </c>
      <c r="AI13" s="43" t="n">
        <f aca="false">AI11*AI12</f>
        <v>16600.6962462149</v>
      </c>
      <c r="AJ13" s="43" t="n">
        <f aca="false">AJ11*AJ12</f>
        <v>16594.8609969719</v>
      </c>
      <c r="AK13" s="43" t="n">
        <f aca="false">AK11*AK12</f>
        <v>16590.1927975775</v>
      </c>
      <c r="AL13" s="43" t="n">
        <f aca="false">AL11*AL12</f>
        <v>16586.458238062</v>
      </c>
      <c r="AM13" s="43" t="n">
        <f aca="false">SUM(C13:AL13)</f>
        <v>782484.247047752</v>
      </c>
    </row>
    <row r="14" customFormat="false" ht="15" hidden="false" customHeight="false" outlineLevel="0" collapsed="false">
      <c r="A14" s="10" t="s">
        <v>599</v>
      </c>
      <c r="B14" s="9" t="s">
        <v>77</v>
      </c>
      <c r="C14" s="43" t="n">
        <f aca="false">MIN(Assumptions!$E$19,Assumptions!$E$17*(1+Assumptions!$E$18)^(C$5-1))</f>
        <v>2200</v>
      </c>
      <c r="D14" s="43" t="n">
        <f aca="false">MIN(Assumptions!$E$19,Assumptions!$E$17*(1+Assumptions!$E$18)^(D$5-1))</f>
        <v>2398</v>
      </c>
      <c r="E14" s="43" t="n">
        <f aca="false">MIN(Assumptions!$E$19,Assumptions!$E$17*(1+Assumptions!$E$18)^(E$5-1))</f>
        <v>2613.82</v>
      </c>
      <c r="F14" s="43" t="n">
        <f aca="false">MIN(Assumptions!$E$19,Assumptions!$E$17*(1+Assumptions!$E$18)^(F$5-1))</f>
        <v>2849.0638</v>
      </c>
      <c r="G14" s="43" t="n">
        <f aca="false">MIN(Assumptions!$E$19,Assumptions!$E$17*(1+Assumptions!$E$18)^(G$5-1))</f>
        <v>3105.479542</v>
      </c>
      <c r="H14" s="43" t="n">
        <f aca="false">MIN(Assumptions!$E$19,Assumptions!$E$17*(1+Assumptions!$E$18)^(H$5-1))</f>
        <v>3384.97270078</v>
      </c>
      <c r="I14" s="43" t="n">
        <f aca="false">MIN(Assumptions!$E$19,Assumptions!$E$17*(1+Assumptions!$E$18)^(I$5-1))</f>
        <v>3689.6202438502</v>
      </c>
      <c r="J14" s="43" t="n">
        <f aca="false">MIN(Assumptions!$E$19,Assumptions!$E$17*(1+Assumptions!$E$18)^(J$5-1))</f>
        <v>4021.68606579672</v>
      </c>
      <c r="K14" s="43" t="n">
        <f aca="false">MIN(Assumptions!$E$19,Assumptions!$E$17*(1+Assumptions!$E$18)^(K$5-1))</f>
        <v>4383.63781171843</v>
      </c>
      <c r="L14" s="43" t="n">
        <f aca="false">MIN(Assumptions!$E$19,Assumptions!$E$17*(1+Assumptions!$E$18)^(L$5-1))</f>
        <v>4778.16521477308</v>
      </c>
      <c r="M14" s="43" t="n">
        <f aca="false">MIN(Assumptions!$E$19,Assumptions!$E$17*(1+Assumptions!$E$18)^(M$5-1))</f>
        <v>5208.20008410266</v>
      </c>
      <c r="N14" s="43" t="n">
        <f aca="false">MIN(Assumptions!$E$19,Assumptions!$E$17*(1+Assumptions!$E$18)^(N$5-1))</f>
        <v>5676.9380916719</v>
      </c>
      <c r="O14" s="43" t="n">
        <f aca="false">MIN(Assumptions!$E$19,Assumptions!$E$17*(1+Assumptions!$E$18)^(O$5-1))</f>
        <v>6187.86251992237</v>
      </c>
      <c r="P14" s="43" t="n">
        <f aca="false">MIN(Assumptions!$E$19,Assumptions!$E$17*(1+Assumptions!$E$18)^(P$5-1))</f>
        <v>6744.77014671539</v>
      </c>
      <c r="Q14" s="43" t="n">
        <f aca="false">MIN(Assumptions!$E$19,Assumptions!$E$17*(1+Assumptions!$E$18)^(Q$5-1))</f>
        <v>7351.79945991977</v>
      </c>
      <c r="R14" s="43" t="n">
        <f aca="false">MIN(Assumptions!$E$19,Assumptions!$E$17*(1+Assumptions!$E$18)^(R$5-1))</f>
        <v>8013.46141131255</v>
      </c>
      <c r="S14" s="43" t="n">
        <f aca="false">MIN(Assumptions!$E$19,Assumptions!$E$17*(1+Assumptions!$E$18)^(S$5-1))</f>
        <v>8734.67293833068</v>
      </c>
      <c r="T14" s="43" t="n">
        <f aca="false">MIN(Assumptions!$E$19,Assumptions!$E$17*(1+Assumptions!$E$18)^(T$5-1))</f>
        <v>9520.79350278045</v>
      </c>
      <c r="U14" s="43" t="n">
        <f aca="false">MIN(Assumptions!$E$19,Assumptions!$E$17*(1+Assumptions!$E$18)^(U$5-1))</f>
        <v>10377.6649180307</v>
      </c>
      <c r="V14" s="43" t="n">
        <f aca="false">MIN(Assumptions!$E$19,Assumptions!$E$17*(1+Assumptions!$E$18)^(V$5-1))</f>
        <v>11311.6547606535</v>
      </c>
      <c r="W14" s="43" t="n">
        <f aca="false">MIN(Assumptions!$E$19,Assumptions!$E$17*(1+Assumptions!$E$18)^(W$5-1))</f>
        <v>12329.7036891123</v>
      </c>
      <c r="X14" s="43" t="n">
        <f aca="false">MIN(Assumptions!$E$19,Assumptions!$E$17*(1+Assumptions!$E$18)^(X$5-1))</f>
        <v>13439.3770211324</v>
      </c>
      <c r="Y14" s="43" t="n">
        <f aca="false">MIN(Assumptions!$E$19,Assumptions!$E$17*(1+Assumptions!$E$18)^(Y$5-1))</f>
        <v>14648.9209530343</v>
      </c>
      <c r="Z14" s="43" t="n">
        <f aca="false">MIN(Assumptions!$E$19,Assumptions!$E$17*(1+Assumptions!$E$18)^(Z$5-1))</f>
        <v>15967.3238388074</v>
      </c>
      <c r="AA14" s="43" t="n">
        <f aca="false">MIN(Assumptions!$E$19,Assumptions!$E$17*(1+Assumptions!$E$18)^(AA$5-1))</f>
        <v>17404.3829843</v>
      </c>
      <c r="AB14" s="43" t="n">
        <f aca="false">MIN(Assumptions!$E$19,Assumptions!$E$17*(1+Assumptions!$E$18)^(AB$5-1))</f>
        <v>18970.777452887</v>
      </c>
      <c r="AC14" s="43" t="n">
        <f aca="false">MIN(Assumptions!$E$19,Assumptions!$E$17*(1+Assumptions!$E$18)^(AC$5-1))</f>
        <v>20678.1474236469</v>
      </c>
      <c r="AD14" s="43" t="n">
        <f aca="false">MIN(Assumptions!$E$19,Assumptions!$E$17*(1+Assumptions!$E$18)^(AD$5-1))</f>
        <v>22539.1806917751</v>
      </c>
      <c r="AE14" s="43" t="n">
        <f aca="false">MIN(Assumptions!$E$19,Assumptions!$E$17*(1+Assumptions!$E$18)^(AE$5-1))</f>
        <v>24567.7069540349</v>
      </c>
      <c r="AF14" s="43" t="n">
        <f aca="false">MIN(Assumptions!$E$19,Assumptions!$E$17*(1+Assumptions!$E$18)^(AF$5-1))</f>
        <v>26778.800579898</v>
      </c>
      <c r="AG14" s="43" t="n">
        <f aca="false">MIN(Assumptions!$E$19,Assumptions!$E$17*(1+Assumptions!$E$18)^(AG$5-1))</f>
        <v>29188.8926320888</v>
      </c>
      <c r="AH14" s="43" t="n">
        <f aca="false">MIN(Assumptions!$E$19,Assumptions!$E$17*(1+Assumptions!$E$18)^(AH$5-1))</f>
        <v>31815.8929689768</v>
      </c>
      <c r="AI14" s="43" t="n">
        <f aca="false">MIN(Assumptions!$E$19,Assumptions!$E$17*(1+Assumptions!$E$18)^(AI$5-1))</f>
        <v>34679.3233361847</v>
      </c>
      <c r="AJ14" s="43" t="n">
        <f aca="false">MIN(Assumptions!$E$19,Assumptions!$E$17*(1+Assumptions!$E$18)^(AJ$5-1))</f>
        <v>37800.4624364413</v>
      </c>
      <c r="AK14" s="43" t="n">
        <f aca="false">MIN(Assumptions!$E$19,Assumptions!$E$17*(1+Assumptions!$E$18)^(AK$5-1))</f>
        <v>41202.5040557211</v>
      </c>
      <c r="AL14" s="43" t="n">
        <f aca="false">MIN(Assumptions!$E$19,Assumptions!$E$17*(1+Assumptions!$E$18)^(AL$5-1))</f>
        <v>44910.729420736</v>
      </c>
      <c r="AM14" s="43" t="n">
        <f aca="false">SUM(C14:AL14)</f>
        <v>519474.389651135</v>
      </c>
    </row>
    <row r="15" customFormat="false" ht="15" hidden="false" customHeight="false" outlineLevel="0" collapsed="false">
      <c r="A15" s="10" t="s">
        <v>600</v>
      </c>
      <c r="B15" s="9" t="s">
        <v>90</v>
      </c>
      <c r="C15" s="50" t="n">
        <f aca="false">Assumptions!$E$21</f>
        <v>8000</v>
      </c>
      <c r="D15" s="50" t="n">
        <f aca="false">IF(D8=0,Assumptions!$E$21,MIN(Assumptions!$E$25,MAX(Assumptions!$E$22,C60*Assumptions!$E$23)))</f>
        <v>30000</v>
      </c>
      <c r="E15" s="50" t="n">
        <f aca="false">IF(E8=0,Assumptions!$E$21,MIN(Assumptions!$E$25,MAX(Assumptions!$E$22,D60*Assumptions!$E$23)))</f>
        <v>30000</v>
      </c>
      <c r="F15" s="50" t="n">
        <f aca="false">IF(F8=0,Assumptions!$E$21,MIN(Assumptions!$E$25,MAX(Assumptions!$E$22,E60*Assumptions!$E$23)))</f>
        <v>30000</v>
      </c>
      <c r="G15" s="50" t="n">
        <f aca="false">IF(G8=0,Assumptions!$E$21,MIN(Assumptions!$E$25,MAX(Assumptions!$E$22,F60*Assumptions!$E$23)))</f>
        <v>30000</v>
      </c>
      <c r="H15" s="50" t="n">
        <f aca="false">IF(H8=0,Assumptions!$E$21,MIN(Assumptions!$E$25,MAX(Assumptions!$E$22,G60*Assumptions!$E$23)))</f>
        <v>31950.405845679</v>
      </c>
      <c r="I15" s="50" t="n">
        <f aca="false">IF(I8=0,Assumptions!$E$21,MIN(Assumptions!$E$25,MAX(Assumptions!$E$22,H60*Assumptions!$E$23)))</f>
        <v>34665.723053094</v>
      </c>
      <c r="J15" s="50" t="n">
        <f aca="false">IF(J8=0,Assumptions!$E$21,MIN(Assumptions!$E$25,MAX(Assumptions!$E$22,I60*Assumptions!$E$23)))</f>
        <v>39441.0953521055</v>
      </c>
      <c r="K15" s="50" t="n">
        <f aca="false">IF(K8=0,Assumptions!$E$21,MIN(Assumptions!$E$25,MAX(Assumptions!$E$22,J60*Assumptions!$E$23)))</f>
        <v>43304.2081585852</v>
      </c>
      <c r="L15" s="50" t="n">
        <f aca="false">IF(L8=0,Assumptions!$E$21,MIN(Assumptions!$E$25,MAX(Assumptions!$E$22,K60*Assumptions!$E$23)))</f>
        <v>46982.393395028</v>
      </c>
      <c r="M15" s="50" t="n">
        <f aca="false">IF(M8=0,Assumptions!$E$21,MIN(Assumptions!$E$25,MAX(Assumptions!$E$22,L60*Assumptions!$E$23)))</f>
        <v>50541.4888287415</v>
      </c>
      <c r="N15" s="50" t="n">
        <f aca="false">IF(N8=0,Assumptions!$E$21,MIN(Assumptions!$E$25,MAX(Assumptions!$E$22,M60*Assumptions!$E$23)))</f>
        <v>54024.9069739565</v>
      </c>
      <c r="O15" s="50" t="n">
        <f aca="false">IF(O8=0,Assumptions!$E$21,MIN(Assumptions!$E$25,MAX(Assumptions!$E$22,N60*Assumptions!$E$23)))</f>
        <v>57466.510269178</v>
      </c>
      <c r="P15" s="50" t="n">
        <f aca="false">IF(P8=0,Assumptions!$E$21,MIN(Assumptions!$E$25,MAX(Assumptions!$E$22,O60*Assumptions!$E$23)))</f>
        <v>60895.7748722075</v>
      </c>
      <c r="Q15" s="50" t="n">
        <f aca="false">IF(Q8=0,Assumptions!$E$21,MIN(Assumptions!$E$25,MAX(Assumptions!$E$22,P60*Assumptions!$E$23)))</f>
        <v>64338.9832117083</v>
      </c>
      <c r="R15" s="50" t="n">
        <f aca="false">IF(R8=0,Assumptions!$E$21,MIN(Assumptions!$E$25,MAX(Assumptions!$E$22,Q60*Assumptions!$E$23)))</f>
        <v>67820.028038684</v>
      </c>
      <c r="S15" s="50" t="n">
        <f aca="false">IF(S8=0,Assumptions!$E$21,MIN(Assumptions!$E$25,MAX(Assumptions!$E$22,R60*Assumptions!$E$23)))</f>
        <v>71361.0668454285</v>
      </c>
      <c r="T15" s="50" t="n">
        <f aca="false">IF(T8=0,Assumptions!$E$21,MIN(Assumptions!$E$25,MAX(Assumptions!$E$22,S60*Assumptions!$E$23)))</f>
        <v>74983.0784031499</v>
      </c>
      <c r="U15" s="50" t="n">
        <f aca="false">IF(U8=0,Assumptions!$E$21,MIN(Assumptions!$E$25,MAX(Assumptions!$E$22,T60*Assumptions!$E$23)))</f>
        <v>78706.3425725169</v>
      </c>
      <c r="V15" s="50" t="n">
        <f aca="false">IF(V8=0,Assumptions!$E$21,MIN(Assumptions!$E$25,MAX(Assumptions!$E$22,U60*Assumptions!$E$23)))</f>
        <v>82550.8591803466</v>
      </c>
      <c r="W15" s="50" t="n">
        <f aca="false">IF(W8=0,Assumptions!$E$21,MIN(Assumptions!$E$25,MAX(Assumptions!$E$22,V60*Assumptions!$E$23)))</f>
        <v>86536.7190175265</v>
      </c>
      <c r="X15" s="50" t="n">
        <f aca="false">IF(X8=0,Assumptions!$E$21,MIN(Assumptions!$E$25,MAX(Assumptions!$E$22,W60*Assumptions!$E$23)))</f>
        <v>90684.4379408649</v>
      </c>
      <c r="Y15" s="50" t="n">
        <f aca="false">IF(Y8=0,Assumptions!$E$21,MIN(Assumptions!$E$25,MAX(Assumptions!$E$22,X60*Assumptions!$E$23)))</f>
        <v>95015.2633716502</v>
      </c>
      <c r="Z15" s="50" t="n">
        <f aca="false">IF(Z8=0,Assumptions!$E$21,MIN(Assumptions!$E$25,MAX(Assumptions!$E$22,Y60*Assumptions!$E$23)))</f>
        <v>99551.4610982424</v>
      </c>
      <c r="AA15" s="50" t="n">
        <f aca="false">IF(AA8=0,Assumptions!$E$21,MIN(Assumptions!$E$25,MAX(Assumptions!$E$22,Z60*Assumptions!$E$23)))</f>
        <v>104316.589159596</v>
      </c>
      <c r="AB15" s="50" t="n">
        <f aca="false">IF(AB8=0,Assumptions!$E$21,MIN(Assumptions!$E$25,MAX(Assumptions!$E$22,AA60*Assumptions!$E$23)))</f>
        <v>109335.76467161</v>
      </c>
      <c r="AC15" s="50" t="n">
        <f aca="false">IF(AC8=0,Assumptions!$E$21,MIN(Assumptions!$E$25,MAX(Assumptions!$E$22,AB60*Assumptions!$E$23)))</f>
        <v>114487.204182683</v>
      </c>
      <c r="AD15" s="50" t="n">
        <f aca="false">IF(AD8=0,Assumptions!$E$21,MIN(Assumptions!$E$25,MAX(Assumptions!$E$22,AC60*Assumptions!$E$23)))</f>
        <v>119741.481129305</v>
      </c>
      <c r="AE15" s="50" t="n">
        <f aca="false">IF(AE8=0,Assumptions!$E$21,MIN(Assumptions!$E$25,MAX(Assumptions!$E$22,AD60*Assumptions!$E$23)))</f>
        <v>125159.90312471</v>
      </c>
      <c r="AF15" s="50" t="n">
        <f aca="false">IF(AF8=0,Assumptions!$E$21,MIN(Assumptions!$E$25,MAX(Assumptions!$E$22,AE60*Assumptions!$E$23)))</f>
        <v>130772.381816126</v>
      </c>
      <c r="AG15" s="50" t="n">
        <f aca="false">IF(AG8=0,Assumptions!$E$21,MIN(Assumptions!$E$25,MAX(Assumptions!$E$22,AF60*Assumptions!$E$23)))</f>
        <v>136609.150333111</v>
      </c>
      <c r="AH15" s="50" t="n">
        <f aca="false">IF(AH8=0,Assumptions!$E$21,MIN(Assumptions!$E$25,MAX(Assumptions!$E$22,AG60*Assumptions!$E$23)))</f>
        <v>142701.992744051</v>
      </c>
      <c r="AI15" s="50" t="n">
        <f aca="false">IF(AI8=0,Assumptions!$E$21,MIN(Assumptions!$E$25,MAX(Assumptions!$E$22,AH60*Assumptions!$E$23)))</f>
        <v>149084.645008539</v>
      </c>
      <c r="AJ15" s="50" t="n">
        <f aca="false">IF(AJ8=0,Assumptions!$E$21,MIN(Assumptions!$E$25,MAX(Assumptions!$E$22,AI60*Assumptions!$E$23)))</f>
        <v>155793.041460737</v>
      </c>
      <c r="AK15" s="50" t="n">
        <f aca="false">IF(AK8=0,Assumptions!$E$21,MIN(Assumptions!$E$25,MAX(Assumptions!$E$22,AJ60*Assumptions!$E$23)))</f>
        <v>162865.561470213</v>
      </c>
      <c r="AL15" s="50" t="n">
        <f aca="false">IF(AL8=0,Assumptions!$E$21,MIN(Assumptions!$E$25,MAX(Assumptions!$E$22,AK60*Assumptions!$E$23)))</f>
        <v>170343.288399812</v>
      </c>
      <c r="AM15" s="50" t="n">
        <f aca="false">SUM(C15:AL15)</f>
        <v>2980031.74992919</v>
      </c>
    </row>
    <row r="16" customFormat="false" ht="15" hidden="false" customHeight="false" outlineLevel="0" collapsed="false">
      <c r="A16" s="10" t="s">
        <v>601</v>
      </c>
      <c r="B16" s="9" t="s">
        <v>77</v>
      </c>
      <c r="C16" s="43" t="n">
        <f aca="false">(Assumptions!$E$22/Assumptions!$E$20)*(C15/Assumptions!$E$22)^Assumptions!$E$26</f>
        <v>5177.96778365347</v>
      </c>
      <c r="D16" s="43" t="n">
        <f aca="false">(Assumptions!$E$22/Assumptions!$E$20)*(D15/Assumptions!$E$22)^Assumptions!$E$26</f>
        <v>13953.488372093</v>
      </c>
      <c r="E16" s="43" t="n">
        <f aca="false">(Assumptions!$E$22/Assumptions!$E$20)*(E15/Assumptions!$E$22)^Assumptions!$E$26</f>
        <v>13953.488372093</v>
      </c>
      <c r="F16" s="43" t="n">
        <f aca="false">(Assumptions!$E$22/Assumptions!$E$20)*(F15/Assumptions!$E$22)^Assumptions!$E$26</f>
        <v>13953.488372093</v>
      </c>
      <c r="G16" s="43" t="n">
        <f aca="false">(Assumptions!$E$22/Assumptions!$E$20)*(G15/Assumptions!$E$22)^Assumptions!$E$26</f>
        <v>13953.488372093</v>
      </c>
      <c r="H16" s="43" t="n">
        <f aca="false">(Assumptions!$E$22/Assumptions!$E$20)*(H15/Assumptions!$E$22)^Assumptions!$E$26</f>
        <v>14628.4778378586</v>
      </c>
      <c r="I16" s="43" t="n">
        <f aca="false">(Assumptions!$E$22/Assumptions!$E$20)*(I15/Assumptions!$E$22)^Assumptions!$E$26</f>
        <v>15551.3125921933</v>
      </c>
      <c r="J16" s="43" t="n">
        <f aca="false">(Assumptions!$E$22/Assumptions!$E$20)*(J15/Assumptions!$E$22)^Assumptions!$E$26</f>
        <v>17131.8230273354</v>
      </c>
      <c r="K16" s="43" t="n">
        <f aca="false">(Assumptions!$E$22/Assumptions!$E$20)*(K15/Assumptions!$E$22)^Assumptions!$E$26</f>
        <v>18375.5112083315</v>
      </c>
      <c r="L16" s="43" t="n">
        <f aca="false">(Assumptions!$E$22/Assumptions!$E$20)*(L15/Assumptions!$E$22)^Assumptions!$E$26</f>
        <v>19534.0909980501</v>
      </c>
      <c r="M16" s="43" t="n">
        <f aca="false">(Assumptions!$E$22/Assumptions!$E$20)*(M15/Assumptions!$E$22)^Assumptions!$E$26</f>
        <v>20633.7363519934</v>
      </c>
      <c r="N16" s="43" t="n">
        <f aca="false">(Assumptions!$E$22/Assumptions!$E$20)*(N15/Assumptions!$E$22)^Assumptions!$E$26</f>
        <v>21691.3895883389</v>
      </c>
      <c r="O16" s="43" t="n">
        <f aca="false">(Assumptions!$E$22/Assumptions!$E$20)*(O15/Assumptions!$E$22)^Assumptions!$E$26</f>
        <v>22719.7198741426</v>
      </c>
      <c r="P16" s="43" t="n">
        <f aca="false">(Assumptions!$E$22/Assumptions!$E$20)*(P15/Assumptions!$E$22)^Assumptions!$E$26</f>
        <v>23729.1523431523</v>
      </c>
      <c r="Q16" s="43" t="n">
        <f aca="false">(Assumptions!$E$22/Assumptions!$E$20)*(Q15/Assumptions!$E$22)^Assumptions!$E$26</f>
        <v>24728.4843567626</v>
      </c>
      <c r="R16" s="43" t="n">
        <f aca="false">(Assumptions!$E$22/Assumptions!$E$20)*(R15/Assumptions!$E$22)^Assumptions!$E$26</f>
        <v>25725.2928589226</v>
      </c>
      <c r="S16" s="43" t="n">
        <f aca="false">(Assumptions!$E$22/Assumptions!$E$20)*(S15/Assumptions!$E$22)^Assumptions!$E$26</f>
        <v>26726.2394039807</v>
      </c>
      <c r="T16" s="43" t="n">
        <f aca="false">(Assumptions!$E$22/Assumptions!$E$20)*(T15/Assumptions!$E$22)^Assumptions!$E$26</f>
        <v>27737.307644121</v>
      </c>
      <c r="U16" s="43" t="n">
        <f aca="false">(Assumptions!$E$22/Assumptions!$E$20)*(U15/Assumptions!$E$22)^Assumptions!$E$26</f>
        <v>28763.9915433078</v>
      </c>
      <c r="V16" s="43" t="n">
        <f aca="false">(Assumptions!$E$22/Assumptions!$E$20)*(V15/Assumptions!$E$22)^Assumptions!$E$26</f>
        <v>29811.446694117</v>
      </c>
      <c r="W16" s="43" t="n">
        <f aca="false">(Assumptions!$E$22/Assumptions!$E$20)*(W15/Assumptions!$E$22)^Assumptions!$E$26</f>
        <v>30884.613631397</v>
      </c>
      <c r="X16" s="43" t="n">
        <f aca="false">(Assumptions!$E$22/Assumptions!$E$20)*(X15/Assumptions!$E$22)^Assumptions!$E$26</f>
        <v>31988.3197103875</v>
      </c>
      <c r="Y16" s="43" t="n">
        <f aca="false">(Assumptions!$E$22/Assumptions!$E$20)*(Y15/Assumptions!$E$22)^Assumptions!$E$26</f>
        <v>33127.3644903515</v>
      </c>
      <c r="Z16" s="43" t="n">
        <f aca="false">(Assumptions!$E$22/Assumptions!$E$20)*(Z15/Assumptions!$E$22)^Assumptions!$E$26</f>
        <v>34306.5923963884</v>
      </c>
      <c r="AA16" s="43" t="n">
        <f aca="false">(Assumptions!$E$22/Assumptions!$E$20)*(AA15/Assumptions!$E$22)^Assumptions!$E$26</f>
        <v>35530.9555751918</v>
      </c>
      <c r="AB16" s="43" t="n">
        <f aca="false">(Assumptions!$E$22/Assumptions!$E$20)*(AB15/Assumptions!$E$22)^Assumptions!$E$26</f>
        <v>36805.5692214943</v>
      </c>
      <c r="AC16" s="43" t="n">
        <f aca="false">(Assumptions!$E$22/Assumptions!$E$20)*(AC15/Assumptions!$E$22)^Assumptions!$E$26</f>
        <v>38098.6481715199</v>
      </c>
      <c r="AD16" s="43" t="n">
        <f aca="false">(Assumptions!$E$22/Assumptions!$E$20)*(AD15/Assumptions!$E$22)^Assumptions!$E$26</f>
        <v>39402.6402113902</v>
      </c>
      <c r="AE16" s="43" t="n">
        <f aca="false">(Assumptions!$E$22/Assumptions!$E$20)*(AE15/Assumptions!$E$22)^Assumptions!$E$26</f>
        <v>40732.4719871529</v>
      </c>
      <c r="AF16" s="43" t="n">
        <f aca="false">(Assumptions!$E$22/Assumptions!$E$20)*(AF15/Assumptions!$E$22)^Assumptions!$E$26</f>
        <v>42094.8415499366</v>
      </c>
      <c r="AG16" s="43" t="n">
        <f aca="false">(Assumptions!$E$22/Assumptions!$E$20)*(AG15/Assumptions!$E$22)^Assumptions!$E$26</f>
        <v>43496.2380043313</v>
      </c>
      <c r="AH16" s="43" t="n">
        <f aca="false">(Assumptions!$E$22/Assumptions!$E$20)*(AH15/Assumptions!$E$22)^Assumptions!$E$26</f>
        <v>44943.2404361929</v>
      </c>
      <c r="AI16" s="43" t="n">
        <f aca="false">(Assumptions!$E$22/Assumptions!$E$20)*(AI15/Assumptions!$E$22)^Assumptions!$E$26</f>
        <v>46442.6016606761</v>
      </c>
      <c r="AJ16" s="43" t="n">
        <f aca="false">(Assumptions!$E$22/Assumptions!$E$20)*(AJ15/Assumptions!$E$22)^Assumptions!$E$26</f>
        <v>48001.2885406389</v>
      </c>
      <c r="AK16" s="43" t="n">
        <f aca="false">(Assumptions!$E$22/Assumptions!$E$20)*(AK15/Assumptions!$E$22)^Assumptions!$E$26</f>
        <v>49626.5174289129</v>
      </c>
      <c r="AL16" s="43" t="n">
        <f aca="false">(Assumptions!$E$22/Assumptions!$E$20)*(AL15/Assumptions!$E$22)^Assumptions!$E$26</f>
        <v>51325.7877783181</v>
      </c>
      <c r="AM16" s="43" t="n">
        <f aca="false">SUM(C16:AL16)</f>
        <v>1045287.58838891</v>
      </c>
    </row>
    <row r="17" customFormat="false" ht="15" hidden="false" customHeight="false" outlineLevel="0" collapsed="false">
      <c r="A17" s="10" t="s">
        <v>602</v>
      </c>
      <c r="B17" s="9" t="s">
        <v>90</v>
      </c>
      <c r="C17" s="51" t="n">
        <f aca="false">IFERROR(C15/C16,0)</f>
        <v>1.54500768144126</v>
      </c>
      <c r="D17" s="51" t="n">
        <f aca="false">IFERROR(D15/D16,0)</f>
        <v>2.15</v>
      </c>
      <c r="E17" s="51" t="n">
        <f aca="false">IFERROR(E15/E16,0)</f>
        <v>2.15</v>
      </c>
      <c r="F17" s="51" t="n">
        <f aca="false">IFERROR(F15/F16,0)</f>
        <v>2.15</v>
      </c>
      <c r="G17" s="51" t="n">
        <f aca="false">IFERROR(G15/G16,0)</f>
        <v>2.15</v>
      </c>
      <c r="H17" s="51" t="n">
        <f aca="false">IFERROR(H15/H16,0)</f>
        <v>2.18412374819964</v>
      </c>
      <c r="I17" s="51" t="n">
        <f aca="false">IFERROR(I15/I16,0)</f>
        <v>2.22911878644225</v>
      </c>
      <c r="J17" s="51" t="n">
        <f aca="false">IFERROR(J15/J16,0)</f>
        <v>2.30221239672938</v>
      </c>
      <c r="K17" s="51" t="n">
        <f aca="false">IFERROR(K15/K16,0)</f>
        <v>2.35662603710045</v>
      </c>
      <c r="L17" s="51" t="n">
        <f aca="false">IFERROR(L15/L16,0)</f>
        <v>2.40514869106107</v>
      </c>
      <c r="M17" s="51" t="n">
        <f aca="false">IFERROR(M15/M16,0)</f>
        <v>2.44945888454462</v>
      </c>
      <c r="N17" s="51" t="n">
        <f aca="false">IFERROR(N15/N16,0)</f>
        <v>2.49061530861996</v>
      </c>
      <c r="O17" s="51" t="n">
        <f aca="false">IFERROR(O15/O16,0)</f>
        <v>2.52936702510055</v>
      </c>
      <c r="P17" s="51" t="n">
        <f aca="false">IFERROR(P15/P16,0)</f>
        <v>2.56628530137026</v>
      </c>
      <c r="Q17" s="51" t="n">
        <f aca="false">IFERROR(Q15/Q16,0)</f>
        <v>2.60181668570857</v>
      </c>
      <c r="R17" s="51" t="n">
        <f aca="false">IFERROR(R15/R16,0)</f>
        <v>2.63631704449815</v>
      </c>
      <c r="S17" s="51" t="n">
        <f aca="false">IFERROR(S15/S16,0)</f>
        <v>2.6700751185668</v>
      </c>
      <c r="T17" s="51" t="n">
        <f aca="false">IFERROR(T15/T16,0)</f>
        <v>2.70332937014681</v>
      </c>
      <c r="U17" s="51" t="n">
        <f aca="false">IFERROR(U15/U16,0)</f>
        <v>2.73628027090797</v>
      </c>
      <c r="V17" s="51" t="n">
        <f aca="false">IFERROR(V15/V16,0)</f>
        <v>2.7690994008901</v>
      </c>
      <c r="W17" s="51" t="n">
        <f aca="false">IFERROR(W15/W16,0)</f>
        <v>2.8019362667226</v>
      </c>
      <c r="X17" s="51" t="n">
        <f aca="false">IFERROR(X15/X16,0)</f>
        <v>2.8349234583715</v>
      </c>
      <c r="Y17" s="51" t="n">
        <f aca="false">IFERROR(Y15/Y16,0)</f>
        <v>2.86818057619174</v>
      </c>
      <c r="Z17" s="51" t="n">
        <f aca="false">IFERROR(Z15/Z16,0)</f>
        <v>2.90181723524142</v>
      </c>
      <c r="AA17" s="51" t="n">
        <f aca="false">IFERROR(AA15/AA16,0)</f>
        <v>2.93593536877549</v>
      </c>
      <c r="AB17" s="51" t="n">
        <f aca="false">IFERROR(AB15/AB16,0)</f>
        <v>2.9706309937399</v>
      </c>
      <c r="AC17" s="51" t="n">
        <f aca="false">IFERROR(AC15/AC16,0)</f>
        <v>3.00502011691496</v>
      </c>
      <c r="AD17" s="51" t="n">
        <f aca="false">IFERROR(AD15/AD16,0)</f>
        <v>3.03892024714353</v>
      </c>
      <c r="AE17" s="51" t="n">
        <f aca="false">IFERROR(AE15/AE16,0)</f>
        <v>3.07273035538293</v>
      </c>
      <c r="AF17" s="51" t="n">
        <f aca="false">IFERROR(AF15/AF16,0)</f>
        <v>3.1066129958226</v>
      </c>
      <c r="AG17" s="51" t="n">
        <f aca="false">IFERROR(AG15/AG16,0)</f>
        <v>3.14071185465528</v>
      </c>
      <c r="AH17" s="51" t="n">
        <f aca="false">IFERROR(AH15/AH16,0)</f>
        <v>3.17516029905874</v>
      </c>
      <c r="AI17" s="51" t="n">
        <f aca="false">IFERROR(AI15/AI16,0)</f>
        <v>3.21008383849373</v>
      </c>
      <c r="AJ17" s="51" t="n">
        <f aca="false">IFERROR(AJ15/AJ16,0)</f>
        <v>3.24560123690927</v>
      </c>
      <c r="AK17" s="51" t="n">
        <f aca="false">IFERROR(AK15/AK16,0)</f>
        <v>3.281825320576</v>
      </c>
      <c r="AL17" s="51" t="n">
        <f aca="false">IFERROR(AL15/AL16,0)</f>
        <v>3.31886359222667</v>
      </c>
      <c r="AM17" s="51" t="n">
        <f aca="false">AVERAGE(N17:AL17)</f>
        <v>2.90448557128142</v>
      </c>
    </row>
    <row r="18" customFormat="false" ht="15" hidden="false" customHeight="false" outlineLevel="0" collapsed="false">
      <c r="A18" s="26" t="s">
        <v>603</v>
      </c>
      <c r="B18" s="9" t="s">
        <v>77</v>
      </c>
      <c r="C18" s="52" t="n">
        <f aca="false">C13+C14+C16</f>
        <v>7377.96778365347</v>
      </c>
      <c r="D18" s="52" t="n">
        <f aca="false">D13+D14+D16</f>
        <v>117621.888372093</v>
      </c>
      <c r="E18" s="52" t="n">
        <f aca="false">E13+E14+E16</f>
        <v>56707.212372093</v>
      </c>
      <c r="F18" s="52" t="n">
        <f aca="false">F13+F14+F16</f>
        <v>52228.779372093</v>
      </c>
      <c r="G18" s="52" t="n">
        <f aca="false">G13+G14+G16</f>
        <v>48714.253674093</v>
      </c>
      <c r="H18" s="52" t="n">
        <f aca="false">H13+H14+H16</f>
        <v>46651.9831466386</v>
      </c>
      <c r="I18" s="52" t="n">
        <f aca="false">I13+I14+I16</f>
        <v>45466.0629224435</v>
      </c>
      <c r="J18" s="52" t="n">
        <f aca="false">J13+J14+J16</f>
        <v>45447.9171622521</v>
      </c>
      <c r="K18" s="52" t="n">
        <f aca="false">K13+K14+K16</f>
        <v>45508.979475346</v>
      </c>
      <c r="L18" s="52" t="n">
        <f aca="false">L13+L14+L16</f>
        <v>45826.42457706</v>
      </c>
      <c r="M18" s="52" t="n">
        <f aca="false">M13+M14+M16</f>
        <v>46367.5751274855</v>
      </c>
      <c r="N18" s="52" t="n">
        <f aca="false">N13+N14+N16</f>
        <v>47103.1426331224</v>
      </c>
      <c r="O18" s="52" t="n">
        <f aca="false">O13+O14+O16</f>
        <v>48009.7383565543</v>
      </c>
      <c r="P18" s="52" t="n">
        <f aca="false">P13+P14+P16</f>
        <v>49069.9512598591</v>
      </c>
      <c r="Q18" s="52" t="n">
        <f aca="false">Q13+Q14+Q16</f>
        <v>50271.4108326755</v>
      </c>
      <c r="R18" s="52" t="n">
        <f aca="false">R13+R14+R16</f>
        <v>51605.9598830296</v>
      </c>
      <c r="S18" s="52" t="n">
        <f aca="false">S13+S14+S16</f>
        <v>53068.980832547</v>
      </c>
      <c r="T18" s="52" t="n">
        <f aca="false">T13+T14+T16</f>
        <v>54658.8599390899</v>
      </c>
      <c r="U18" s="52" t="n">
        <f aca="false">U13+U14+U16</f>
        <v>56376.5674950893</v>
      </c>
      <c r="V18" s="52" t="n">
        <f aca="false">V13+V14+V16</f>
        <v>58225.3342817711</v>
      </c>
      <c r="W18" s="52" t="n">
        <f aca="false">W13+W14+W16</f>
        <v>60210.4075821098</v>
      </c>
      <c r="X18" s="52" t="n">
        <f aca="false">X13+X14+X16</f>
        <v>62338.8729408003</v>
      </c>
      <c r="Y18" s="52" t="n">
        <f aca="false">Y13+Y14+Y16</f>
        <v>64619.5304108101</v>
      </c>
      <c r="Z18" s="52" t="n">
        <f aca="false">Z13+Z14+Z16</f>
        <v>67062.8162091353</v>
      </c>
      <c r="AA18" s="52" t="n">
        <f aca="false">AA13+AA14+AA16</f>
        <v>69680.7625386434</v>
      </c>
      <c r="AB18" s="52" t="n">
        <f aca="false">AB13+AB14+AB16</f>
        <v>72486.9898577026</v>
      </c>
      <c r="AC18" s="52" t="n">
        <f aca="false">AC13+AC14+AC16</f>
        <v>75459.6141418238</v>
      </c>
      <c r="AD18" s="52" t="n">
        <f aca="false">AD13+AD14+AD16</f>
        <v>78602.3797404909</v>
      </c>
      <c r="AE18" s="52" t="n">
        <f aca="false">AE13+AE14+AE16</f>
        <v>81942.9300110483</v>
      </c>
      <c r="AF18" s="52" t="n">
        <f aca="false">AF13+AF14+AF16</f>
        <v>85502.1469857229</v>
      </c>
      <c r="AG18" s="52" t="n">
        <f aca="false">AG13+AG14+AG16</f>
        <v>89302.2385211309</v>
      </c>
      <c r="AH18" s="52" t="n">
        <f aca="false">AH13+AH14+AH16</f>
        <v>93367.1237129383</v>
      </c>
      <c r="AI18" s="52" t="n">
        <f aca="false">AI13+AI14+AI16</f>
        <v>97722.6212430757</v>
      </c>
      <c r="AJ18" s="52" t="n">
        <f aca="false">AJ13+AJ14+AJ16</f>
        <v>102396.611974052</v>
      </c>
      <c r="AK18" s="52" t="n">
        <f aca="false">AK13+AK14+AK16</f>
        <v>107419.214282212</v>
      </c>
      <c r="AL18" s="52" t="n">
        <f aca="false">AL13+AL14+AL16</f>
        <v>112822.975437116</v>
      </c>
      <c r="AM18" s="52" t="n">
        <f aca="false">SUM(C18:AL18)</f>
        <v>2347246.2250878</v>
      </c>
    </row>
    <row r="19" customFormat="false" ht="15" hidden="false" customHeight="false" outlineLevel="0" collapsed="false">
      <c r="A19" s="10" t="s">
        <v>604</v>
      </c>
      <c r="B19" s="9" t="s">
        <v>44</v>
      </c>
      <c r="C19" s="43" t="n">
        <f aca="false">C8*Assumptions!$E$28*Assumptions!$E$29^C10</f>
        <v>0</v>
      </c>
      <c r="D19" s="43" t="n">
        <f aca="false">D8*Assumptions!$E$28*Assumptions!$E$29^D10</f>
        <v>1500</v>
      </c>
      <c r="E19" s="43" t="n">
        <f aca="false">E8*Assumptions!$E$28*Assumptions!$E$29^E10</f>
        <v>2025</v>
      </c>
      <c r="F19" s="43" t="n">
        <f aca="false">F8*Assumptions!$E$28*Assumptions!$E$29^F10</f>
        <v>2733.75</v>
      </c>
      <c r="G19" s="43" t="n">
        <f aca="false">G8*Assumptions!$E$28*Assumptions!$E$29^G10</f>
        <v>3690.5625</v>
      </c>
      <c r="H19" s="43" t="n">
        <f aca="false">H8*Assumptions!$E$28*Assumptions!$E$29^H10</f>
        <v>4982.259375</v>
      </c>
      <c r="I19" s="43" t="n">
        <f aca="false">I8*Assumptions!$E$28*Assumptions!$E$29^I10</f>
        <v>6726.05015625</v>
      </c>
      <c r="J19" s="43" t="n">
        <f aca="false">J8*Assumptions!$E$28*Assumptions!$E$29^J10</f>
        <v>9080.1677109375</v>
      </c>
      <c r="K19" s="43" t="n">
        <f aca="false">K8*Assumptions!$E$28*Assumptions!$E$29^K10</f>
        <v>12258.2264097656</v>
      </c>
      <c r="L19" s="43" t="n">
        <f aca="false">L8*Assumptions!$E$28*Assumptions!$E$29^L10</f>
        <v>16548.6056531836</v>
      </c>
      <c r="M19" s="43" t="n">
        <f aca="false">M8*Assumptions!$E$28*Assumptions!$E$29^M10</f>
        <v>22340.6176317979</v>
      </c>
      <c r="N19" s="43" t="n">
        <f aca="false">N8*Assumptions!$E$28*Assumptions!$E$29^N10</f>
        <v>30159.8338029271</v>
      </c>
      <c r="O19" s="43" t="n">
        <f aca="false">O8*Assumptions!$E$28*Assumptions!$E$29^O10</f>
        <v>40715.7756339516</v>
      </c>
      <c r="P19" s="43" t="n">
        <f aca="false">P8*Assumptions!$E$28*Assumptions!$E$29^P10</f>
        <v>54966.2971058347</v>
      </c>
      <c r="Q19" s="43" t="n">
        <f aca="false">Q8*Assumptions!$E$28*Assumptions!$E$29^Q10</f>
        <v>74204.5010928768</v>
      </c>
      <c r="R19" s="43" t="n">
        <f aca="false">R8*Assumptions!$E$28*Assumptions!$E$29^R10</f>
        <v>100176.076475384</v>
      </c>
      <c r="S19" s="43" t="n">
        <f aca="false">S8*Assumptions!$E$28*Assumptions!$E$29^S10</f>
        <v>135237.703241768</v>
      </c>
      <c r="T19" s="43" t="n">
        <f aca="false">T8*Assumptions!$E$28*Assumptions!$E$29^T10</f>
        <v>182570.899376387</v>
      </c>
      <c r="U19" s="43" t="n">
        <f aca="false">U8*Assumptions!$E$28*Assumptions!$E$29^U10</f>
        <v>246470.714158122</v>
      </c>
      <c r="V19" s="43" t="n">
        <f aca="false">V8*Assumptions!$E$28*Assumptions!$E$29^V10</f>
        <v>332735.464113465</v>
      </c>
      <c r="W19" s="43" t="n">
        <f aca="false">W8*Assumptions!$E$28*Assumptions!$E$29^W10</f>
        <v>449192.876553178</v>
      </c>
      <c r="X19" s="43" t="n">
        <f aca="false">X8*Assumptions!$E$28*Assumptions!$E$29^X10</f>
        <v>606410.38334679</v>
      </c>
      <c r="Y19" s="43" t="n">
        <f aca="false">Y8*Assumptions!$E$28*Assumptions!$E$29^Y10</f>
        <v>818654.017518167</v>
      </c>
      <c r="Z19" s="43" t="n">
        <f aca="false">Z8*Assumptions!$E$28*Assumptions!$E$29^Z10</f>
        <v>1105182.92364953</v>
      </c>
      <c r="AA19" s="43" t="n">
        <f aca="false">AA8*Assumptions!$E$28*Assumptions!$E$29^AA10</f>
        <v>1491996.94692686</v>
      </c>
      <c r="AB19" s="43" t="n">
        <f aca="false">AB8*Assumptions!$E$28*Assumptions!$E$29^AB10</f>
        <v>2014195.87835126</v>
      </c>
      <c r="AC19" s="43" t="n">
        <f aca="false">AC8*Assumptions!$E$28*Assumptions!$E$29^AC10</f>
        <v>2719164.4357742</v>
      </c>
      <c r="AD19" s="43" t="n">
        <f aca="false">AD8*Assumptions!$E$28*Assumptions!$E$29^AD10</f>
        <v>3670871.98829517</v>
      </c>
      <c r="AE19" s="43" t="n">
        <f aca="false">AE8*Assumptions!$E$28*Assumptions!$E$29^AE10</f>
        <v>4955677.18419848</v>
      </c>
      <c r="AF19" s="43" t="n">
        <f aca="false">AF8*Assumptions!$E$28*Assumptions!$E$29^AF10</f>
        <v>6690164.19866795</v>
      </c>
      <c r="AG19" s="43" t="n">
        <f aca="false">AG8*Assumptions!$E$28*Assumptions!$E$29^AG10</f>
        <v>9031721.66820174</v>
      </c>
      <c r="AH19" s="43" t="n">
        <f aca="false">AH8*Assumptions!$E$28*Assumptions!$E$29^AH10</f>
        <v>12192824.2520723</v>
      </c>
      <c r="AI19" s="43" t="n">
        <f aca="false">AI8*Assumptions!$E$28*Assumptions!$E$29^AI10</f>
        <v>16460312.7402977</v>
      </c>
      <c r="AJ19" s="43" t="n">
        <f aca="false">AJ8*Assumptions!$E$28*Assumptions!$E$29^AJ10</f>
        <v>22221422.1994018</v>
      </c>
      <c r="AK19" s="43" t="n">
        <f aca="false">AK8*Assumptions!$E$28*Assumptions!$E$29^AK10</f>
        <v>29998919.9691925</v>
      </c>
      <c r="AL19" s="43" t="n">
        <f aca="false">AL8*Assumptions!$E$28*Assumptions!$E$29^AL10</f>
        <v>40498541.9584099</v>
      </c>
      <c r="AM19" s="43" t="n">
        <f aca="false">AL19</f>
        <v>40498541.9584099</v>
      </c>
    </row>
    <row r="20" customFormat="false" ht="15" hidden="false" customHeight="false" outlineLevel="0" collapsed="false">
      <c r="A20" s="10" t="s">
        <v>605</v>
      </c>
      <c r="B20" s="9" t="s">
        <v>44</v>
      </c>
      <c r="C20" s="43" t="n">
        <f aca="false">C18*Assumptions!$E$30*C8</f>
        <v>0</v>
      </c>
      <c r="D20" s="43" t="n">
        <f aca="false">D18*Assumptions!$E$30*D8</f>
        <v>1646.7064372093</v>
      </c>
      <c r="E20" s="43" t="n">
        <f aca="false">E18*Assumptions!$E$30*E8</f>
        <v>793.900973209303</v>
      </c>
      <c r="F20" s="43" t="n">
        <f aca="false">F18*Assumptions!$E$30*F8</f>
        <v>731.202911209303</v>
      </c>
      <c r="G20" s="43" t="n">
        <f aca="false">G18*Assumptions!$E$30*G8</f>
        <v>681.999551437303</v>
      </c>
      <c r="H20" s="43" t="n">
        <f aca="false">H18*Assumptions!$E$30*H8</f>
        <v>653.12776405294</v>
      </c>
      <c r="I20" s="43" t="n">
        <f aca="false">I18*Assumptions!$E$30*I8</f>
        <v>636.524880914209</v>
      </c>
      <c r="J20" s="43" t="n">
        <f aca="false">J18*Assumptions!$E$30*J8</f>
        <v>636.27084027153</v>
      </c>
      <c r="K20" s="43" t="n">
        <f aca="false">K18*Assumptions!$E$30*K8</f>
        <v>637.125712654844</v>
      </c>
      <c r="L20" s="43" t="n">
        <f aca="false">L18*Assumptions!$E$30*L8</f>
        <v>641.56994407884</v>
      </c>
      <c r="M20" s="43" t="n">
        <f aca="false">M18*Assumptions!$E$30*M8</f>
        <v>649.146051784798</v>
      </c>
      <c r="N20" s="43" t="n">
        <f aca="false">N18*Assumptions!$E$30*N8</f>
        <v>659.443996863713</v>
      </c>
      <c r="O20" s="43" t="n">
        <f aca="false">O18*Assumptions!$E$30*O8</f>
        <v>672.13633699176</v>
      </c>
      <c r="P20" s="43" t="n">
        <f aca="false">P18*Assumptions!$E$30*P8</f>
        <v>686.979317638027</v>
      </c>
      <c r="Q20" s="43" t="n">
        <f aca="false">Q18*Assumptions!$E$30*Q8</f>
        <v>703.799751657457</v>
      </c>
      <c r="R20" s="43" t="n">
        <f aca="false">R18*Assumptions!$E$30*R8</f>
        <v>722.483438362414</v>
      </c>
      <c r="S20" s="43" t="n">
        <f aca="false">S18*Assumptions!$E$30*S8</f>
        <v>742.965731655658</v>
      </c>
      <c r="T20" s="43" t="n">
        <f aca="false">T18*Assumptions!$E$30*T8</f>
        <v>765.224039147259</v>
      </c>
      <c r="U20" s="43" t="n">
        <f aca="false">U18*Assumptions!$E$30*U8</f>
        <v>789.27194493125</v>
      </c>
      <c r="V20" s="43" t="n">
        <f aca="false">V18*Assumptions!$E$30*V8</f>
        <v>815.154679944796</v>
      </c>
      <c r="W20" s="43" t="n">
        <f aca="false">W18*Assumptions!$E$30*W8</f>
        <v>842.945706149537</v>
      </c>
      <c r="X20" s="43" t="n">
        <f aca="false">X18*Assumptions!$E$30*X8</f>
        <v>872.744221171203</v>
      </c>
      <c r="Y20" s="43" t="n">
        <f aca="false">Y18*Assumptions!$E$30*Y8</f>
        <v>904.673425751342</v>
      </c>
      <c r="Z20" s="43" t="n">
        <f aca="false">Z18*Assumptions!$E$30*Z8</f>
        <v>938.879426927894</v>
      </c>
      <c r="AA20" s="43" t="n">
        <f aca="false">AA18*Assumptions!$E$30*AA8</f>
        <v>975.530675541008</v>
      </c>
      <c r="AB20" s="43" t="n">
        <f aca="false">AB18*Assumptions!$E$30*AB8</f>
        <v>1014.81785800784</v>
      </c>
      <c r="AC20" s="43" t="n">
        <f aca="false">AC18*Assumptions!$E$30*AC8</f>
        <v>1056.43459798553</v>
      </c>
      <c r="AD20" s="43" t="n">
        <f aca="false">AD18*Assumptions!$E$30*AD8</f>
        <v>1100.43331636687</v>
      </c>
      <c r="AE20" s="43" t="n">
        <f aca="false">AE18*Assumptions!$E$30*AE8</f>
        <v>1147.20102015468</v>
      </c>
      <c r="AF20" s="43" t="n">
        <f aca="false">AF18*Assumptions!$E$30*AF8</f>
        <v>1197.03005780012</v>
      </c>
      <c r="AG20" s="43" t="n">
        <f aca="false">AG18*Assumptions!$E$30*AG8</f>
        <v>1250.23133929583</v>
      </c>
      <c r="AH20" s="43" t="n">
        <f aca="false">AH18*Assumptions!$E$30*AH8</f>
        <v>1307.13973198114</v>
      </c>
      <c r="AI20" s="43" t="n">
        <f aca="false">AI18*Assumptions!$E$30*AI8</f>
        <v>1368.11669740306</v>
      </c>
      <c r="AJ20" s="43" t="n">
        <f aca="false">AJ18*Assumptions!$E$30*AJ8</f>
        <v>1433.55256763673</v>
      </c>
      <c r="AK20" s="43" t="n">
        <f aca="false">AK18*Assumptions!$E$30*AK8</f>
        <v>1503.86899995096</v>
      </c>
      <c r="AL20" s="43" t="n">
        <f aca="false">AL18*Assumptions!$E$30*AL8</f>
        <v>1579.52165611962</v>
      </c>
      <c r="AM20" s="43" t="n">
        <f aca="false">SUM(C20:AL20)</f>
        <v>32758.1556022581</v>
      </c>
    </row>
    <row r="21" customFormat="false" ht="15" hidden="false" customHeight="false" outlineLevel="0" collapsed="false">
      <c r="A21" s="26" t="s">
        <v>606</v>
      </c>
      <c r="B21" s="9" t="s">
        <v>44</v>
      </c>
      <c r="C21" s="52" t="n">
        <f aca="false">MIN(C20,C19)</f>
        <v>0</v>
      </c>
      <c r="D21" s="52" t="n">
        <f aca="false">MIN(D20,D19)</f>
        <v>1500</v>
      </c>
      <c r="E21" s="52" t="n">
        <f aca="false">MIN(E20,E19)</f>
        <v>793.900973209303</v>
      </c>
      <c r="F21" s="52" t="n">
        <f aca="false">MIN(F20,F19)</f>
        <v>731.202911209303</v>
      </c>
      <c r="G21" s="52" t="n">
        <f aca="false">MIN(G20,G19)</f>
        <v>681.999551437303</v>
      </c>
      <c r="H21" s="52" t="n">
        <f aca="false">MIN(H20,H19)</f>
        <v>653.12776405294</v>
      </c>
      <c r="I21" s="52" t="n">
        <f aca="false">MIN(I20,I19)</f>
        <v>636.524880914209</v>
      </c>
      <c r="J21" s="52" t="n">
        <f aca="false">MIN(J20,J19)</f>
        <v>636.27084027153</v>
      </c>
      <c r="K21" s="52" t="n">
        <f aca="false">MIN(K20,K19)</f>
        <v>637.125712654844</v>
      </c>
      <c r="L21" s="52" t="n">
        <f aca="false">MIN(L20,L19)</f>
        <v>641.56994407884</v>
      </c>
      <c r="M21" s="52" t="n">
        <f aca="false">MIN(M20,M19)</f>
        <v>649.146051784798</v>
      </c>
      <c r="N21" s="52" t="n">
        <f aca="false">MIN(N20,N19)</f>
        <v>659.443996863713</v>
      </c>
      <c r="O21" s="52" t="n">
        <f aca="false">MIN(O20,O19)</f>
        <v>672.13633699176</v>
      </c>
      <c r="P21" s="52" t="n">
        <f aca="false">MIN(P20,P19)</f>
        <v>686.979317638027</v>
      </c>
      <c r="Q21" s="52" t="n">
        <f aca="false">MIN(Q20,Q19)</f>
        <v>703.799751657457</v>
      </c>
      <c r="R21" s="52" t="n">
        <f aca="false">MIN(R20,R19)</f>
        <v>722.483438362414</v>
      </c>
      <c r="S21" s="52" t="n">
        <f aca="false">MIN(S20,S19)</f>
        <v>742.965731655658</v>
      </c>
      <c r="T21" s="52" t="n">
        <f aca="false">MIN(T20,T19)</f>
        <v>765.224039147259</v>
      </c>
      <c r="U21" s="52" t="n">
        <f aca="false">MIN(U20,U19)</f>
        <v>789.27194493125</v>
      </c>
      <c r="V21" s="52" t="n">
        <f aca="false">MIN(V20,V19)</f>
        <v>815.154679944796</v>
      </c>
      <c r="W21" s="52" t="n">
        <f aca="false">MIN(W20,W19)</f>
        <v>842.945706149537</v>
      </c>
      <c r="X21" s="52" t="n">
        <f aca="false">MIN(X20,X19)</f>
        <v>872.744221171203</v>
      </c>
      <c r="Y21" s="52" t="n">
        <f aca="false">MIN(Y20,Y19)</f>
        <v>904.673425751342</v>
      </c>
      <c r="Z21" s="52" t="n">
        <f aca="false">MIN(Z20,Z19)</f>
        <v>938.879426927894</v>
      </c>
      <c r="AA21" s="52" t="n">
        <f aca="false">MIN(AA20,AA19)</f>
        <v>975.530675541008</v>
      </c>
      <c r="AB21" s="52" t="n">
        <f aca="false">MIN(AB20,AB19)</f>
        <v>1014.81785800784</v>
      </c>
      <c r="AC21" s="52" t="n">
        <f aca="false">MIN(AC20,AC19)</f>
        <v>1056.43459798553</v>
      </c>
      <c r="AD21" s="52" t="n">
        <f aca="false">MIN(AD20,AD19)</f>
        <v>1100.43331636687</v>
      </c>
      <c r="AE21" s="52" t="n">
        <f aca="false">MIN(AE20,AE19)</f>
        <v>1147.20102015468</v>
      </c>
      <c r="AF21" s="52" t="n">
        <f aca="false">MIN(AF20,AF19)</f>
        <v>1197.03005780012</v>
      </c>
      <c r="AG21" s="52" t="n">
        <f aca="false">MIN(AG20,AG19)</f>
        <v>1250.23133929583</v>
      </c>
      <c r="AH21" s="52" t="n">
        <f aca="false">MIN(AH20,AH19)</f>
        <v>1307.13973198114</v>
      </c>
      <c r="AI21" s="52" t="n">
        <f aca="false">MIN(AI20,AI19)</f>
        <v>1368.11669740306</v>
      </c>
      <c r="AJ21" s="52" t="n">
        <f aca="false">MIN(AJ20,AJ19)</f>
        <v>1433.55256763673</v>
      </c>
      <c r="AK21" s="52" t="n">
        <f aca="false">MIN(AK20,AK19)</f>
        <v>1503.86899995096</v>
      </c>
      <c r="AL21" s="52" t="n">
        <f aca="false">MIN(AL20,AL19)</f>
        <v>1579.52165611962</v>
      </c>
      <c r="AM21" s="52" t="n">
        <f aca="false">SUM(C21:AL21)</f>
        <v>32611.4491650488</v>
      </c>
    </row>
    <row r="22" customFormat="false" ht="15" hidden="false" customHeight="false" outlineLevel="0" collapsed="false">
      <c r="A22" s="10" t="s">
        <v>607</v>
      </c>
      <c r="B22" s="9" t="s">
        <v>44</v>
      </c>
      <c r="C22" s="43" t="n">
        <f aca="false">MAX(0,C20-C19)</f>
        <v>0</v>
      </c>
      <c r="D22" s="43" t="n">
        <f aca="false">MAX(0,D20-D19)</f>
        <v>146.706437209303</v>
      </c>
      <c r="E22" s="43" t="n">
        <f aca="false">MAX(0,E20-E19)</f>
        <v>0</v>
      </c>
      <c r="F22" s="43" t="n">
        <f aca="false">MAX(0,F20-F19)</f>
        <v>0</v>
      </c>
      <c r="G22" s="43" t="n">
        <f aca="false">MAX(0,G20-G19)</f>
        <v>0</v>
      </c>
      <c r="H22" s="43" t="n">
        <f aca="false">MAX(0,H20-H19)</f>
        <v>0</v>
      </c>
      <c r="I22" s="43" t="n">
        <f aca="false">MAX(0,I20-I19)</f>
        <v>0</v>
      </c>
      <c r="J22" s="43" t="n">
        <f aca="false">MAX(0,J20-J19)</f>
        <v>0</v>
      </c>
      <c r="K22" s="43" t="n">
        <f aca="false">MAX(0,K20-K19)</f>
        <v>0</v>
      </c>
      <c r="L22" s="43" t="n">
        <f aca="false">MAX(0,L20-L19)</f>
        <v>0</v>
      </c>
      <c r="M22" s="43" t="n">
        <f aca="false">MAX(0,M20-M19)</f>
        <v>0</v>
      </c>
      <c r="N22" s="43" t="n">
        <f aca="false">MAX(0,N20-N19)</f>
        <v>0</v>
      </c>
      <c r="O22" s="43" t="n">
        <f aca="false">MAX(0,O20-O19)</f>
        <v>0</v>
      </c>
      <c r="P22" s="43" t="n">
        <f aca="false">MAX(0,P20-P19)</f>
        <v>0</v>
      </c>
      <c r="Q22" s="43" t="n">
        <f aca="false">MAX(0,Q20-Q19)</f>
        <v>0</v>
      </c>
      <c r="R22" s="43" t="n">
        <f aca="false">MAX(0,R20-R19)</f>
        <v>0</v>
      </c>
      <c r="S22" s="43" t="n">
        <f aca="false">MAX(0,S20-S19)</f>
        <v>0</v>
      </c>
      <c r="T22" s="43" t="n">
        <f aca="false">MAX(0,T20-T19)</f>
        <v>0</v>
      </c>
      <c r="U22" s="43" t="n">
        <f aca="false">MAX(0,U20-U19)</f>
        <v>0</v>
      </c>
      <c r="V22" s="43" t="n">
        <f aca="false">MAX(0,V20-V19)</f>
        <v>0</v>
      </c>
      <c r="W22" s="43" t="n">
        <f aca="false">MAX(0,W20-W19)</f>
        <v>0</v>
      </c>
      <c r="X22" s="43" t="n">
        <f aca="false">MAX(0,X20-X19)</f>
        <v>0</v>
      </c>
      <c r="Y22" s="43" t="n">
        <f aca="false">MAX(0,Y20-Y19)</f>
        <v>0</v>
      </c>
      <c r="Z22" s="43" t="n">
        <f aca="false">MAX(0,Z20-Z19)</f>
        <v>0</v>
      </c>
      <c r="AA22" s="43" t="n">
        <f aca="false">MAX(0,AA20-AA19)</f>
        <v>0</v>
      </c>
      <c r="AB22" s="43" t="n">
        <f aca="false">MAX(0,AB20-AB19)</f>
        <v>0</v>
      </c>
      <c r="AC22" s="43" t="n">
        <f aca="false">MAX(0,AC20-AC19)</f>
        <v>0</v>
      </c>
      <c r="AD22" s="43" t="n">
        <f aca="false">MAX(0,AD20-AD19)</f>
        <v>0</v>
      </c>
      <c r="AE22" s="43" t="n">
        <f aca="false">MAX(0,AE20-AE19)</f>
        <v>0</v>
      </c>
      <c r="AF22" s="43" t="n">
        <f aca="false">MAX(0,AF20-AF19)</f>
        <v>0</v>
      </c>
      <c r="AG22" s="43" t="n">
        <f aca="false">MAX(0,AG20-AG19)</f>
        <v>0</v>
      </c>
      <c r="AH22" s="43" t="n">
        <f aca="false">MAX(0,AH20-AH19)</f>
        <v>0</v>
      </c>
      <c r="AI22" s="43" t="n">
        <f aca="false">MAX(0,AI20-AI19)</f>
        <v>0</v>
      </c>
      <c r="AJ22" s="43" t="n">
        <f aca="false">MAX(0,AJ20-AJ19)</f>
        <v>0</v>
      </c>
      <c r="AK22" s="43" t="n">
        <f aca="false">MAX(0,AK20-AK19)</f>
        <v>0</v>
      </c>
      <c r="AL22" s="43" t="n">
        <f aca="false">MAX(0,AL20-AL19)</f>
        <v>0</v>
      </c>
      <c r="AM22" s="43" t="n">
        <f aca="false">SUM(C22:AL22)</f>
        <v>146.706437209303</v>
      </c>
    </row>
    <row r="23" customFormat="false" ht="15" hidden="false" customHeight="false" outlineLevel="0" collapsed="false">
      <c r="A23" s="10" t="s">
        <v>608</v>
      </c>
      <c r="B23" s="9" t="s">
        <v>44</v>
      </c>
      <c r="C23" s="43" t="n">
        <f aca="false">C21*Assumptions!$E$32</f>
        <v>0</v>
      </c>
      <c r="D23" s="43" t="n">
        <f aca="false">D21*Assumptions!$E$32</f>
        <v>600</v>
      </c>
      <c r="E23" s="43" t="n">
        <f aca="false">E21*Assumptions!$E$32</f>
        <v>317.560389283721</v>
      </c>
      <c r="F23" s="43" t="n">
        <f aca="false">F21*Assumptions!$E$32</f>
        <v>292.481164483721</v>
      </c>
      <c r="G23" s="43" t="n">
        <f aca="false">G21*Assumptions!$E$32</f>
        <v>272.799820574921</v>
      </c>
      <c r="H23" s="43" t="n">
        <f aca="false">H21*Assumptions!$E$32</f>
        <v>261.251105621176</v>
      </c>
      <c r="I23" s="43" t="n">
        <f aca="false">I21*Assumptions!$E$32</f>
        <v>254.609952365684</v>
      </c>
      <c r="J23" s="43" t="n">
        <f aca="false">J21*Assumptions!$E$32</f>
        <v>254.508336108612</v>
      </c>
      <c r="K23" s="43" t="n">
        <f aca="false">K21*Assumptions!$E$32</f>
        <v>254.850285061937</v>
      </c>
      <c r="L23" s="43" t="n">
        <f aca="false">L21*Assumptions!$E$32</f>
        <v>256.627977631536</v>
      </c>
      <c r="M23" s="43" t="n">
        <f aca="false">M21*Assumptions!$E$32</f>
        <v>259.658420713919</v>
      </c>
      <c r="N23" s="43" t="n">
        <f aca="false">N21*Assumptions!$E$32</f>
        <v>263.777598745485</v>
      </c>
      <c r="O23" s="43" t="n">
        <f aca="false">O21*Assumptions!$E$32</f>
        <v>268.854534796704</v>
      </c>
      <c r="P23" s="43" t="n">
        <f aca="false">P21*Assumptions!$E$32</f>
        <v>274.791727055211</v>
      </c>
      <c r="Q23" s="43" t="n">
        <f aca="false">Q21*Assumptions!$E$32</f>
        <v>281.519900662983</v>
      </c>
      <c r="R23" s="43" t="n">
        <f aca="false">R21*Assumptions!$E$32</f>
        <v>288.993375344966</v>
      </c>
      <c r="S23" s="43" t="n">
        <f aca="false">S21*Assumptions!$E$32</f>
        <v>297.186292662263</v>
      </c>
      <c r="T23" s="43" t="n">
        <f aca="false">T21*Assumptions!$E$32</f>
        <v>306.089615658904</v>
      </c>
      <c r="U23" s="43" t="n">
        <f aca="false">U21*Assumptions!$E$32</f>
        <v>315.7087779725</v>
      </c>
      <c r="V23" s="43" t="n">
        <f aca="false">V21*Assumptions!$E$32</f>
        <v>326.061871977918</v>
      </c>
      <c r="W23" s="43" t="n">
        <f aca="false">W21*Assumptions!$E$32</f>
        <v>337.178282459815</v>
      </c>
      <c r="X23" s="43" t="n">
        <f aca="false">X21*Assumptions!$E$32</f>
        <v>349.097688468481</v>
      </c>
      <c r="Y23" s="43" t="n">
        <f aca="false">Y21*Assumptions!$E$32</f>
        <v>361.869370300537</v>
      </c>
      <c r="Z23" s="43" t="n">
        <f aca="false">Z21*Assumptions!$E$32</f>
        <v>375.551770771157</v>
      </c>
      <c r="AA23" s="43" t="n">
        <f aca="false">AA21*Assumptions!$E$32</f>
        <v>390.212270216403</v>
      </c>
      <c r="AB23" s="43" t="n">
        <f aca="false">AB21*Assumptions!$E$32</f>
        <v>405.927143203134</v>
      </c>
      <c r="AC23" s="43" t="n">
        <f aca="false">AC21*Assumptions!$E$32</f>
        <v>422.573839194213</v>
      </c>
      <c r="AD23" s="43" t="n">
        <f aca="false">AD21*Assumptions!$E$32</f>
        <v>440.173326546749</v>
      </c>
      <c r="AE23" s="43" t="n">
        <f aca="false">AE21*Assumptions!$E$32</f>
        <v>458.88040806187</v>
      </c>
      <c r="AF23" s="43" t="n">
        <f aca="false">AF21*Assumptions!$E$32</f>
        <v>478.812023120049</v>
      </c>
      <c r="AG23" s="43" t="n">
        <f aca="false">AG21*Assumptions!$E$32</f>
        <v>500.092535718333</v>
      </c>
      <c r="AH23" s="43" t="n">
        <f aca="false">AH21*Assumptions!$E$32</f>
        <v>522.855892792455</v>
      </c>
      <c r="AI23" s="43" t="n">
        <f aca="false">AI21*Assumptions!$E$32</f>
        <v>547.246678961224</v>
      </c>
      <c r="AJ23" s="43" t="n">
        <f aca="false">AJ21*Assumptions!$E$32</f>
        <v>573.421027054692</v>
      </c>
      <c r="AK23" s="43" t="n">
        <f aca="false">AK21*Assumptions!$E$32</f>
        <v>601.547599980385</v>
      </c>
      <c r="AL23" s="43" t="n">
        <f aca="false">AL21*Assumptions!$E$32</f>
        <v>631.80866244785</v>
      </c>
      <c r="AM23" s="43" t="n">
        <f aca="false">SUM(C23:AL23)</f>
        <v>13044.5796660195</v>
      </c>
    </row>
    <row r="24" customFormat="false" ht="15" hidden="false" customHeight="false" outlineLevel="0" collapsed="false">
      <c r="A24" s="10" t="s">
        <v>609</v>
      </c>
      <c r="B24" s="9" t="s">
        <v>44</v>
      </c>
      <c r="C24" s="43" t="n">
        <f aca="false">C21*(1-Assumptions!$E$32)</f>
        <v>0</v>
      </c>
      <c r="D24" s="43" t="n">
        <f aca="false">D21*(1-Assumptions!$E$32)</f>
        <v>900</v>
      </c>
      <c r="E24" s="43" t="n">
        <f aca="false">E21*(1-Assumptions!$E$32)</f>
        <v>476.340583925582</v>
      </c>
      <c r="F24" s="43" t="n">
        <f aca="false">F21*(1-Assumptions!$E$32)</f>
        <v>438.721746725582</v>
      </c>
      <c r="G24" s="43" t="n">
        <f aca="false">G21*(1-Assumptions!$E$32)</f>
        <v>409.199730862382</v>
      </c>
      <c r="H24" s="43" t="n">
        <f aca="false">H21*(1-Assumptions!$E$32)</f>
        <v>391.876658431764</v>
      </c>
      <c r="I24" s="43" t="n">
        <f aca="false">I21*(1-Assumptions!$E$32)</f>
        <v>381.914928548525</v>
      </c>
      <c r="J24" s="43" t="n">
        <f aca="false">J21*(1-Assumptions!$E$32)</f>
        <v>381.762504162918</v>
      </c>
      <c r="K24" s="43" t="n">
        <f aca="false">K21*(1-Assumptions!$E$32)</f>
        <v>382.275427592906</v>
      </c>
      <c r="L24" s="43" t="n">
        <f aca="false">L21*(1-Assumptions!$E$32)</f>
        <v>384.941966447304</v>
      </c>
      <c r="M24" s="43" t="n">
        <f aca="false">M21*(1-Assumptions!$E$32)</f>
        <v>389.487631070879</v>
      </c>
      <c r="N24" s="43" t="n">
        <f aca="false">N21*(1-Assumptions!$E$32)</f>
        <v>395.666398118228</v>
      </c>
      <c r="O24" s="43" t="n">
        <f aca="false">O21*(1-Assumptions!$E$32)</f>
        <v>403.281802195056</v>
      </c>
      <c r="P24" s="43" t="n">
        <f aca="false">P21*(1-Assumptions!$E$32)</f>
        <v>412.187590582816</v>
      </c>
      <c r="Q24" s="43" t="n">
        <f aca="false">Q21*(1-Assumptions!$E$32)</f>
        <v>422.279850994474</v>
      </c>
      <c r="R24" s="43" t="n">
        <f aca="false">R21*(1-Assumptions!$E$32)</f>
        <v>433.490063017449</v>
      </c>
      <c r="S24" s="43" t="n">
        <f aca="false">S21*(1-Assumptions!$E$32)</f>
        <v>445.779438993395</v>
      </c>
      <c r="T24" s="43" t="n">
        <f aca="false">T21*(1-Assumptions!$E$32)</f>
        <v>459.134423488355</v>
      </c>
      <c r="U24" s="43" t="n">
        <f aca="false">U21*(1-Assumptions!$E$32)</f>
        <v>473.56316695875</v>
      </c>
      <c r="V24" s="43" t="n">
        <f aca="false">V21*(1-Assumptions!$E$32)</f>
        <v>489.092807966877</v>
      </c>
      <c r="W24" s="43" t="n">
        <f aca="false">W21*(1-Assumptions!$E$32)</f>
        <v>505.767423689722</v>
      </c>
      <c r="X24" s="43" t="n">
        <f aca="false">X21*(1-Assumptions!$E$32)</f>
        <v>523.646532702722</v>
      </c>
      <c r="Y24" s="43" t="n">
        <f aca="false">Y21*(1-Assumptions!$E$32)</f>
        <v>542.804055450805</v>
      </c>
      <c r="Z24" s="43" t="n">
        <f aca="false">Z21*(1-Assumptions!$E$32)</f>
        <v>563.327656156736</v>
      </c>
      <c r="AA24" s="43" t="n">
        <f aca="false">AA21*(1-Assumptions!$E$32)</f>
        <v>585.318405324605</v>
      </c>
      <c r="AB24" s="43" t="n">
        <f aca="false">AB21*(1-Assumptions!$E$32)</f>
        <v>608.890714804701</v>
      </c>
      <c r="AC24" s="43" t="n">
        <f aca="false">AC21*(1-Assumptions!$E$32)</f>
        <v>633.86075879132</v>
      </c>
      <c r="AD24" s="43" t="n">
        <f aca="false">AD21*(1-Assumptions!$E$32)</f>
        <v>660.259989820123</v>
      </c>
      <c r="AE24" s="43" t="n">
        <f aca="false">AE21*(1-Assumptions!$E$32)</f>
        <v>688.320612092806</v>
      </c>
      <c r="AF24" s="43" t="n">
        <f aca="false">AF21*(1-Assumptions!$E$32)</f>
        <v>718.218034680073</v>
      </c>
      <c r="AG24" s="43" t="n">
        <f aca="false">AG21*(1-Assumptions!$E$32)</f>
        <v>750.138803577499</v>
      </c>
      <c r="AH24" s="43" t="n">
        <f aca="false">AH21*(1-Assumptions!$E$32)</f>
        <v>784.283839188682</v>
      </c>
      <c r="AI24" s="43" t="n">
        <f aca="false">AI21*(1-Assumptions!$E$32)</f>
        <v>820.870018441836</v>
      </c>
      <c r="AJ24" s="43" t="n">
        <f aca="false">AJ21*(1-Assumptions!$E$32)</f>
        <v>860.131540582038</v>
      </c>
      <c r="AK24" s="43" t="n">
        <f aca="false">AK21*(1-Assumptions!$E$32)</f>
        <v>902.321399970577</v>
      </c>
      <c r="AL24" s="43" t="n">
        <f aca="false">AL21*(1-Assumptions!$E$32)</f>
        <v>947.712993671775</v>
      </c>
      <c r="AM24" s="43" t="n">
        <f aca="false">SUM(C24:AL24)</f>
        <v>19566.8694990293</v>
      </c>
    </row>
    <row r="25" customFormat="false" ht="15" hidden="false" customHeight="false" outlineLevel="0" collapsed="false">
      <c r="A25" s="26" t="s">
        <v>610</v>
      </c>
      <c r="B25" s="9" t="s">
        <v>44</v>
      </c>
      <c r="C25" s="52" t="n">
        <f aca="false">C23</f>
        <v>0</v>
      </c>
      <c r="D25" s="52" t="n">
        <f aca="false">C25*(1-Assumptions!$E$33)+D23</f>
        <v>600</v>
      </c>
      <c r="E25" s="52" t="n">
        <f aca="false">D25*(1-Assumptions!$E$33)+E23</f>
        <v>875.560389283721</v>
      </c>
      <c r="F25" s="52" t="n">
        <f aca="false">E25*(1-Assumptions!$E$33)+F23</f>
        <v>1106.75232651758</v>
      </c>
      <c r="G25" s="52" t="n">
        <f aca="false">F25*(1-Assumptions!$E$33)+G23</f>
        <v>1302.07948423627</v>
      </c>
      <c r="H25" s="52" t="n">
        <f aca="false">G25*(1-Assumptions!$E$33)+H23</f>
        <v>1472.18502596091</v>
      </c>
      <c r="I25" s="52" t="n">
        <f aca="false">H25*(1-Assumptions!$E$33)+I23</f>
        <v>1623.74202650933</v>
      </c>
      <c r="J25" s="52" t="n">
        <f aca="false">I25*(1-Assumptions!$E$33)+J23</f>
        <v>1764.58842076229</v>
      </c>
      <c r="K25" s="52" t="n">
        <f aca="false">J25*(1-Assumptions!$E$33)+K23</f>
        <v>1895.91751637086</v>
      </c>
      <c r="L25" s="52" t="n">
        <f aca="false">K25*(1-Assumptions!$E$33)+L23</f>
        <v>2019.83126785644</v>
      </c>
      <c r="M25" s="52" t="n">
        <f aca="false">L25*(1-Assumptions!$E$33)+M23</f>
        <v>2138.10149982041</v>
      </c>
      <c r="N25" s="52" t="n">
        <f aca="false">M25*(1-Assumptions!$E$33)+N23</f>
        <v>2252.21199357847</v>
      </c>
      <c r="O25" s="52" t="n">
        <f aca="false">N25*(1-Assumptions!$E$33)+O23</f>
        <v>2363.41168882468</v>
      </c>
      <c r="P25" s="52" t="n">
        <f aca="false">O25*(1-Assumptions!$E$33)+P23</f>
        <v>2472.76459766216</v>
      </c>
      <c r="Q25" s="52" t="n">
        <f aca="false">P25*(1-Assumptions!$E$33)+Q23</f>
        <v>2581.19097648879</v>
      </c>
      <c r="R25" s="52" t="n">
        <f aca="false">Q25*(1-Assumptions!$E$33)+R23</f>
        <v>2689.50098347954</v>
      </c>
      <c r="S25" s="52" t="n">
        <f aca="false">R25*(1-Assumptions!$E$33)+S23</f>
        <v>2798.42220729824</v>
      </c>
      <c r="T25" s="52" t="n">
        <f aca="false">S25*(1-Assumptions!$E$33)+T23</f>
        <v>2908.62226844626</v>
      </c>
      <c r="U25" s="52" t="n">
        <f aca="false">T25*(1-Assumptions!$E$33)+U23</f>
        <v>3020.72748762752</v>
      </c>
      <c r="V25" s="52" t="n">
        <f aca="false">U25*(1-Assumptions!$E$33)+V23</f>
        <v>3135.33843547152</v>
      </c>
      <c r="W25" s="52" t="n">
        <f aca="false">V25*(1-Assumptions!$E$33)+W23</f>
        <v>3253.04302744832</v>
      </c>
      <c r="X25" s="52" t="n">
        <f aca="false">W25*(1-Assumptions!$E$33)+X23</f>
        <v>3374.42770399542</v>
      </c>
      <c r="Y25" s="52" t="n">
        <f aca="false">X25*(1-Assumptions!$E$33)+Y23</f>
        <v>3500.08713501628</v>
      </c>
      <c r="Z25" s="52" t="n">
        <f aca="false">Y25*(1-Assumptions!$E$33)+Z23</f>
        <v>3630.6328063363</v>
      </c>
      <c r="AA25" s="52" t="n">
        <f aca="false">Z25*(1-Assumptions!$E$33)+AA23</f>
        <v>3766.70078010916</v>
      </c>
      <c r="AB25" s="52" t="n">
        <f aca="false">AA25*(1-Assumptions!$E$33)+AB23</f>
        <v>3908.95886870465</v>
      </c>
      <c r="AC25" s="52" t="n">
        <f aca="false">AB25*(1-Assumptions!$E$33)+AC23</f>
        <v>4057.90558708954</v>
      </c>
      <c r="AD25" s="52" t="n">
        <f aca="false">AC25*(1-Assumptions!$E$33)+AD23</f>
        <v>4214.02552254002</v>
      </c>
      <c r="AE25" s="52" t="n">
        <f aca="false">AD25*(1-Assumptions!$E$33)+AE23</f>
        <v>4377.92414402409</v>
      </c>
      <c r="AF25" s="52" t="n">
        <f aca="false">AE25*(1-Assumptions!$E$33)+AF23</f>
        <v>4550.28147706245</v>
      </c>
      <c r="AG25" s="52" t="n">
        <f aca="false">AF25*(1-Assumptions!$E$33)+AG23</f>
        <v>4731.85430938641</v>
      </c>
      <c r="AH25" s="52" t="n">
        <f aca="false">AG25*(1-Assumptions!$E$33)+AH23</f>
        <v>4923.48040052182</v>
      </c>
      <c r="AI25" s="52" t="n">
        <f aca="false">AH25*(1-Assumptions!$E$33)+AI23</f>
        <v>5126.08345144651</v>
      </c>
      <c r="AJ25" s="52" t="n">
        <f aca="false">AI25*(1-Assumptions!$E$33)+AJ23</f>
        <v>5340.67863689995</v>
      </c>
      <c r="AK25" s="52" t="n">
        <f aca="false">AJ25*(1-Assumptions!$E$33)+AK23</f>
        <v>5568.37873229734</v>
      </c>
      <c r="AL25" s="52" t="n">
        <f aca="false">AK25*(1-Assumptions!$E$33)+AL23</f>
        <v>5810.40088348437</v>
      </c>
      <c r="AM25" s="52" t="n">
        <f aca="false">AL25</f>
        <v>5810.40088348437</v>
      </c>
    </row>
    <row r="26" customFormat="false" ht="15" hidden="false" customHeight="false" outlineLevel="0" collapsed="false">
      <c r="A26" s="10" t="s">
        <v>611</v>
      </c>
      <c r="B26" s="9" t="s">
        <v>44</v>
      </c>
      <c r="C26" s="43" t="n">
        <f aca="false">0</f>
        <v>0</v>
      </c>
      <c r="D26" s="43" t="n">
        <f aca="false">C25*Assumptions!$E$33</f>
        <v>0</v>
      </c>
      <c r="E26" s="43" t="n">
        <f aca="false">D25*Assumptions!$E$33</f>
        <v>42</v>
      </c>
      <c r="F26" s="43" t="n">
        <f aca="false">E25*Assumptions!$E$33</f>
        <v>61.2892272498605</v>
      </c>
      <c r="G26" s="43" t="n">
        <f aca="false">F25*Assumptions!$E$33</f>
        <v>77.4726628562307</v>
      </c>
      <c r="H26" s="43" t="n">
        <f aca="false">G25*Assumptions!$E$33</f>
        <v>91.145563896539</v>
      </c>
      <c r="I26" s="43" t="n">
        <f aca="false">H25*Assumptions!$E$33</f>
        <v>103.052951817264</v>
      </c>
      <c r="J26" s="43" t="n">
        <f aca="false">I25*Assumptions!$E$33</f>
        <v>113.661941855653</v>
      </c>
      <c r="K26" s="43" t="n">
        <f aca="false">J25*Assumptions!$E$33</f>
        <v>123.52118945336</v>
      </c>
      <c r="L26" s="43" t="n">
        <f aca="false">K25*Assumptions!$E$33</f>
        <v>132.714226145961</v>
      </c>
      <c r="M26" s="43" t="n">
        <f aca="false">L25*Assumptions!$E$33</f>
        <v>141.388188749951</v>
      </c>
      <c r="N26" s="43" t="n">
        <f aca="false">M25*Assumptions!$E$33</f>
        <v>149.667104987429</v>
      </c>
      <c r="O26" s="43" t="n">
        <f aca="false">N25*Assumptions!$E$33</f>
        <v>157.654839550493</v>
      </c>
      <c r="P26" s="43" t="n">
        <f aca="false">O25*Assumptions!$E$33</f>
        <v>165.438818217727</v>
      </c>
      <c r="Q26" s="43" t="n">
        <f aca="false">P25*Assumptions!$E$33</f>
        <v>173.093521836351</v>
      </c>
      <c r="R26" s="43" t="n">
        <f aca="false">Q25*Assumptions!$E$33</f>
        <v>180.683368354215</v>
      </c>
      <c r="S26" s="43" t="n">
        <f aca="false">R25*Assumptions!$E$33</f>
        <v>188.265068843568</v>
      </c>
      <c r="T26" s="43" t="n">
        <f aca="false">S25*Assumptions!$E$33</f>
        <v>195.889554510877</v>
      </c>
      <c r="U26" s="43" t="n">
        <f aca="false">T25*Assumptions!$E$33</f>
        <v>203.603558791238</v>
      </c>
      <c r="V26" s="43" t="n">
        <f aca="false">U25*Assumptions!$E$33</f>
        <v>211.450924133927</v>
      </c>
      <c r="W26" s="43" t="n">
        <f aca="false">V25*Assumptions!$E$33</f>
        <v>219.473690483006</v>
      </c>
      <c r="X26" s="43" t="n">
        <f aca="false">W25*Assumptions!$E$33</f>
        <v>227.713011921383</v>
      </c>
      <c r="Y26" s="43" t="n">
        <f aca="false">X25*Assumptions!$E$33</f>
        <v>236.20993927968</v>
      </c>
      <c r="Z26" s="43" t="n">
        <f aca="false">Y25*Assumptions!$E$33</f>
        <v>245.00609945114</v>
      </c>
      <c r="AA26" s="43" t="n">
        <f aca="false">Z25*Assumptions!$E$33</f>
        <v>254.144296443541</v>
      </c>
      <c r="AB26" s="43" t="n">
        <f aca="false">AA25*Assumptions!$E$33</f>
        <v>263.669054607641</v>
      </c>
      <c r="AC26" s="43" t="n">
        <f aca="false">AB25*Assumptions!$E$33</f>
        <v>273.627120809326</v>
      </c>
      <c r="AD26" s="43" t="n">
        <f aca="false">AC25*Assumptions!$E$33</f>
        <v>284.053391096268</v>
      </c>
      <c r="AE26" s="43" t="n">
        <f aca="false">AD25*Assumptions!$E$33</f>
        <v>294.981786577802</v>
      </c>
      <c r="AF26" s="43" t="n">
        <f aca="false">AE25*Assumptions!$E$33</f>
        <v>306.454690081686</v>
      </c>
      <c r="AG26" s="43" t="n">
        <f aca="false">AF25*Assumptions!$E$33</f>
        <v>318.519703394372</v>
      </c>
      <c r="AH26" s="43" t="n">
        <f aca="false">AG25*Assumptions!$E$33</f>
        <v>331.229801657049</v>
      </c>
      <c r="AI26" s="43" t="n">
        <f aca="false">AH25*Assumptions!$E$33</f>
        <v>344.643628036527</v>
      </c>
      <c r="AJ26" s="43" t="n">
        <f aca="false">AI25*Assumptions!$E$33</f>
        <v>358.825841601256</v>
      </c>
      <c r="AK26" s="43" t="n">
        <f aca="false">AJ25*Assumptions!$E$33</f>
        <v>373.847504582996</v>
      </c>
      <c r="AL26" s="43" t="n">
        <f aca="false">AK25*Assumptions!$E$33</f>
        <v>389.786511260814</v>
      </c>
      <c r="AM26" s="43" t="n">
        <f aca="false">SUM(C26:AL26)</f>
        <v>7234.17878253513</v>
      </c>
    </row>
    <row r="27" customFormat="false" ht="15" hidden="false" customHeight="false" outlineLevel="0" collapsed="false">
      <c r="A27" s="10" t="s">
        <v>612</v>
      </c>
      <c r="B27" s="9" t="s">
        <v>44</v>
      </c>
      <c r="C27" s="43" t="n">
        <f aca="false">0</f>
        <v>0</v>
      </c>
      <c r="D27" s="43" t="n">
        <f aca="false">C24*Assumptions!$E$34</f>
        <v>0</v>
      </c>
      <c r="E27" s="43" t="n">
        <f aca="false">D24*Assumptions!$E$34</f>
        <v>99</v>
      </c>
      <c r="F27" s="43" t="n">
        <f aca="false">E24*Assumptions!$E$34</f>
        <v>52.397464231814</v>
      </c>
      <c r="G27" s="43" t="n">
        <f aca="false">F24*Assumptions!$E$34</f>
        <v>48.259392139814</v>
      </c>
      <c r="H27" s="43" t="n">
        <f aca="false">G24*Assumptions!$E$34</f>
        <v>45.011970394862</v>
      </c>
      <c r="I27" s="43" t="n">
        <f aca="false">H24*Assumptions!$E$34</f>
        <v>43.106432427494</v>
      </c>
      <c r="J27" s="43" t="n">
        <f aca="false">I24*Assumptions!$E$34</f>
        <v>42.0106421403378</v>
      </c>
      <c r="K27" s="43" t="n">
        <f aca="false">J24*Assumptions!$E$34</f>
        <v>41.993875457921</v>
      </c>
      <c r="L27" s="43" t="n">
        <f aca="false">K24*Assumptions!$E$34</f>
        <v>42.0502970352197</v>
      </c>
      <c r="M27" s="43" t="n">
        <f aca="false">L24*Assumptions!$E$34</f>
        <v>42.3436163092034</v>
      </c>
      <c r="N27" s="43" t="n">
        <f aca="false">M24*Assumptions!$E$34</f>
        <v>42.8436394177966</v>
      </c>
      <c r="O27" s="43" t="n">
        <f aca="false">N24*Assumptions!$E$34</f>
        <v>43.5233037930051</v>
      </c>
      <c r="P27" s="43" t="n">
        <f aca="false">O24*Assumptions!$E$34</f>
        <v>44.3609982414561</v>
      </c>
      <c r="Q27" s="43" t="n">
        <f aca="false">P24*Assumptions!$E$34</f>
        <v>45.3406349641098</v>
      </c>
      <c r="R27" s="43" t="n">
        <f aca="false">Q24*Assumptions!$E$34</f>
        <v>46.4507836093922</v>
      </c>
      <c r="S27" s="43" t="n">
        <f aca="false">R24*Assumptions!$E$34</f>
        <v>47.6839069319193</v>
      </c>
      <c r="T27" s="43" t="n">
        <f aca="false">S24*Assumptions!$E$34</f>
        <v>49.0357382892734</v>
      </c>
      <c r="U27" s="43" t="n">
        <f aca="false">T24*Assumptions!$E$34</f>
        <v>50.5047865837191</v>
      </c>
      <c r="V27" s="43" t="n">
        <f aca="false">U24*Assumptions!$E$34</f>
        <v>52.0919483654625</v>
      </c>
      <c r="W27" s="43" t="n">
        <f aca="false">V24*Assumptions!$E$34</f>
        <v>53.8002088763565</v>
      </c>
      <c r="X27" s="43" t="n">
        <f aca="false">W24*Assumptions!$E$34</f>
        <v>55.6344166058694</v>
      </c>
      <c r="Y27" s="43" t="n">
        <f aca="false">X24*Assumptions!$E$34</f>
        <v>57.6011185972994</v>
      </c>
      <c r="Z27" s="43" t="n">
        <f aca="false">Y24*Assumptions!$E$34</f>
        <v>59.7084460995886</v>
      </c>
      <c r="AA27" s="43" t="n">
        <f aca="false">Z24*Assumptions!$E$34</f>
        <v>61.966042177241</v>
      </c>
      <c r="AB27" s="43" t="n">
        <f aca="false">AA24*Assumptions!$E$34</f>
        <v>64.3850245857066</v>
      </c>
      <c r="AC27" s="43" t="n">
        <f aca="false">AB24*Assumptions!$E$34</f>
        <v>66.9779786285172</v>
      </c>
      <c r="AD27" s="43" t="n">
        <f aca="false">AC24*Assumptions!$E$34</f>
        <v>69.7246834670452</v>
      </c>
      <c r="AE27" s="43" t="n">
        <f aca="false">AD24*Assumptions!$E$34</f>
        <v>72.6285988802136</v>
      </c>
      <c r="AF27" s="43" t="n">
        <f aca="false">AE24*Assumptions!$E$34</f>
        <v>75.7152673302086</v>
      </c>
      <c r="AG27" s="43" t="n">
        <f aca="false">AF24*Assumptions!$E$34</f>
        <v>79.003983814808</v>
      </c>
      <c r="AH27" s="43" t="n">
        <f aca="false">AG24*Assumptions!$E$34</f>
        <v>82.5152683935249</v>
      </c>
      <c r="AI27" s="43" t="n">
        <f aca="false">AH24*Assumptions!$E$34</f>
        <v>86.271222310755</v>
      </c>
      <c r="AJ27" s="43" t="n">
        <f aca="false">AI24*Assumptions!$E$34</f>
        <v>90.295702028602</v>
      </c>
      <c r="AK27" s="43" t="n">
        <f aca="false">AJ24*Assumptions!$E$34</f>
        <v>94.6144694640242</v>
      </c>
      <c r="AL27" s="43" t="n">
        <f aca="false">AK24*Assumptions!$E$34</f>
        <v>99.2553539967635</v>
      </c>
      <c r="AM27" s="43" t="n">
        <f aca="false">SUM(C27:AL27)</f>
        <v>2048.10721558932</v>
      </c>
    </row>
    <row r="28" customFormat="false" ht="15" hidden="false" customHeight="false" outlineLevel="0" collapsed="false">
      <c r="A28" s="26" t="s">
        <v>613</v>
      </c>
      <c r="B28" s="9" t="s">
        <v>44</v>
      </c>
      <c r="C28" s="52" t="n">
        <f aca="false">C24+C25+C27</f>
        <v>0</v>
      </c>
      <c r="D28" s="52" t="n">
        <f aca="false">D24+D25+D27</f>
        <v>1500</v>
      </c>
      <c r="E28" s="52" t="n">
        <f aca="false">E24+E25+E27</f>
        <v>1450.9009732093</v>
      </c>
      <c r="F28" s="52" t="n">
        <f aca="false">F24+F25+F27</f>
        <v>1597.87153747498</v>
      </c>
      <c r="G28" s="52" t="n">
        <f aca="false">G24+G25+G27</f>
        <v>1759.53860723847</v>
      </c>
      <c r="H28" s="52" t="n">
        <f aca="false">H24+H25+H27</f>
        <v>1909.07365478753</v>
      </c>
      <c r="I28" s="52" t="n">
        <f aca="false">I24+I25+I27</f>
        <v>2048.76338748535</v>
      </c>
      <c r="J28" s="52" t="n">
        <f aca="false">J24+J25+J27</f>
        <v>2188.36156706554</v>
      </c>
      <c r="K28" s="52" t="n">
        <f aca="false">K24+K25+K27</f>
        <v>2320.18681942169</v>
      </c>
      <c r="L28" s="52" t="n">
        <f aca="false">L24+L25+L27</f>
        <v>2446.82353133896</v>
      </c>
      <c r="M28" s="52" t="n">
        <f aca="false">M24+M25+M27</f>
        <v>2569.93274720049</v>
      </c>
      <c r="N28" s="52" t="n">
        <f aca="false">N24+N25+N27</f>
        <v>2690.72203111449</v>
      </c>
      <c r="O28" s="52" t="n">
        <f aca="false">O24+O25+O27</f>
        <v>2810.21679481274</v>
      </c>
      <c r="P28" s="52" t="n">
        <f aca="false">P24+P25+P27</f>
        <v>2929.31318648643</v>
      </c>
      <c r="Q28" s="52" t="n">
        <f aca="false">Q24+Q25+Q27</f>
        <v>3048.81146244738</v>
      </c>
      <c r="R28" s="52" t="n">
        <f aca="false">R24+R25+R27</f>
        <v>3169.44183010638</v>
      </c>
      <c r="S28" s="52" t="n">
        <f aca="false">S24+S25+S27</f>
        <v>3291.88555322355</v>
      </c>
      <c r="T28" s="52" t="n">
        <f aca="false">T24+T25+T27</f>
        <v>3416.79243022389</v>
      </c>
      <c r="U28" s="52" t="n">
        <f aca="false">U24+U25+U27</f>
        <v>3544.79544116999</v>
      </c>
      <c r="V28" s="52" t="n">
        <f aca="false">V24+V25+V27</f>
        <v>3676.52319180386</v>
      </c>
      <c r="W28" s="52" t="n">
        <f aca="false">W24+W25+W27</f>
        <v>3812.6106600144</v>
      </c>
      <c r="X28" s="52" t="n">
        <f aca="false">X24+X25+X27</f>
        <v>3953.70865330401</v>
      </c>
      <c r="Y28" s="52" t="n">
        <f aca="false">Y24+Y25+Y27</f>
        <v>4100.49230906438</v>
      </c>
      <c r="Z28" s="52" t="n">
        <f aca="false">Z24+Z25+Z27</f>
        <v>4253.66890859262</v>
      </c>
      <c r="AA28" s="52" t="n">
        <f aca="false">AA24+AA25+AA27</f>
        <v>4413.98522761101</v>
      </c>
      <c r="AB28" s="52" t="n">
        <f aca="false">AB24+AB25+AB27</f>
        <v>4582.23460809506</v>
      </c>
      <c r="AC28" s="52" t="n">
        <f aca="false">AC24+AC25+AC27</f>
        <v>4758.74432450938</v>
      </c>
      <c r="AD28" s="52" t="n">
        <f aca="false">AD24+AD25+AD27</f>
        <v>4944.01019582719</v>
      </c>
      <c r="AE28" s="52" t="n">
        <f aca="false">AE24+AE25+AE27</f>
        <v>5138.87335499711</v>
      </c>
      <c r="AF28" s="52" t="n">
        <f aca="false">AF24+AF25+AF27</f>
        <v>5344.21477907273</v>
      </c>
      <c r="AG28" s="52" t="n">
        <f aca="false">AG24+AG25+AG27</f>
        <v>5560.99709677872</v>
      </c>
      <c r="AH28" s="52" t="n">
        <f aca="false">AH24+AH25+AH27</f>
        <v>5790.27950810402</v>
      </c>
      <c r="AI28" s="52" t="n">
        <f aca="false">AI24+AI25+AI27</f>
        <v>6033.2246921991</v>
      </c>
      <c r="AJ28" s="52" t="n">
        <f aca="false">AJ24+AJ25+AJ27</f>
        <v>6291.10587951059</v>
      </c>
      <c r="AK28" s="52" t="n">
        <f aca="false">AK24+AK25+AK27</f>
        <v>6565.31460173194</v>
      </c>
      <c r="AL28" s="52" t="n">
        <f aca="false">AL24+AL25+AL27</f>
        <v>6857.36923115291</v>
      </c>
      <c r="AM28" s="52" t="n">
        <f aca="false">SUM(C28:AL28)</f>
        <v>130770.788777176</v>
      </c>
    </row>
    <row r="29" customFormat="false" ht="15" hidden="false" customHeight="false" outlineLevel="0" collapsed="false">
      <c r="A29" s="10" t="s">
        <v>614</v>
      </c>
      <c r="B29" s="9" t="s">
        <v>90</v>
      </c>
      <c r="C29" s="50" t="n">
        <f aca="false">C28*Assumptions!$E$31</f>
        <v>0</v>
      </c>
      <c r="D29" s="50" t="n">
        <f aca="false">D28*Assumptions!$E$31</f>
        <v>117000</v>
      </c>
      <c r="E29" s="50" t="n">
        <f aca="false">E28*Assumptions!$E$31</f>
        <v>113170.275910326</v>
      </c>
      <c r="F29" s="50" t="n">
        <f aca="false">F28*Assumptions!$E$31</f>
        <v>124633.979923048</v>
      </c>
      <c r="G29" s="50" t="n">
        <f aca="false">G28*Assumptions!$E$31</f>
        <v>137244.0113646</v>
      </c>
      <c r="H29" s="50" t="n">
        <f aca="false">H28*Assumptions!$E$31</f>
        <v>148907.745073428</v>
      </c>
      <c r="I29" s="50" t="n">
        <f aca="false">I28*Assumptions!$E$31</f>
        <v>159803.544223857</v>
      </c>
      <c r="J29" s="50" t="n">
        <f aca="false">J28*Assumptions!$E$31</f>
        <v>170692.202231112</v>
      </c>
      <c r="K29" s="50" t="n">
        <f aca="false">K28*Assumptions!$E$31</f>
        <v>180974.571914892</v>
      </c>
      <c r="L29" s="50" t="n">
        <f aca="false">L28*Assumptions!$E$31</f>
        <v>190852.235444439</v>
      </c>
      <c r="M29" s="50" t="n">
        <f aca="false">M28*Assumptions!$E$31</f>
        <v>200454.754281638</v>
      </c>
      <c r="N29" s="50" t="n">
        <f aca="false">N28*Assumptions!$E$31</f>
        <v>209876.31842693</v>
      </c>
      <c r="O29" s="50" t="n">
        <f aca="false">O28*Assumptions!$E$31</f>
        <v>219196.909995393</v>
      </c>
      <c r="P29" s="50" t="n">
        <f aca="false">P28*Assumptions!$E$31</f>
        <v>228486.428545942</v>
      </c>
      <c r="Q29" s="50" t="n">
        <f aca="false">Q28*Assumptions!$E$31</f>
        <v>237807.294070895</v>
      </c>
      <c r="R29" s="50" t="n">
        <f aca="false">R28*Assumptions!$E$31</f>
        <v>247216.462748298</v>
      </c>
      <c r="S29" s="50" t="n">
        <f aca="false">S28*Assumptions!$E$31</f>
        <v>256767.073151437</v>
      </c>
      <c r="T29" s="50" t="n">
        <f aca="false">T28*Assumptions!$E$31</f>
        <v>266509.809557464</v>
      </c>
      <c r="U29" s="50" t="n">
        <f aca="false">U28*Assumptions!$E$31</f>
        <v>276494.044411259</v>
      </c>
      <c r="V29" s="50" t="n">
        <f aca="false">V28*Assumptions!$E$31</f>
        <v>286768.808960701</v>
      </c>
      <c r="W29" s="50" t="n">
        <f aca="false">W28*Assumptions!$E$31</f>
        <v>297383.631481123</v>
      </c>
      <c r="X29" s="50" t="n">
        <f aca="false">X28*Assumptions!$E$31</f>
        <v>308389.274957713</v>
      </c>
      <c r="Y29" s="50" t="n">
        <f aca="false">Y28*Assumptions!$E$31</f>
        <v>319838.400107022</v>
      </c>
      <c r="Z29" s="50" t="n">
        <f aca="false">Z28*Assumptions!$E$31</f>
        <v>331786.174870225</v>
      </c>
      <c r="AA29" s="50" t="n">
        <f aca="false">AA28*Assumptions!$E$31</f>
        <v>344290.847753658</v>
      </c>
      <c r="AB29" s="50" t="n">
        <f aca="false">AB28*Assumptions!$E$31</f>
        <v>357414.299431415</v>
      </c>
      <c r="AC29" s="50" t="n">
        <f aca="false">AC28*Assumptions!$E$31</f>
        <v>371182.057311731</v>
      </c>
      <c r="AD29" s="50" t="n">
        <f aca="false">AD28*Assumptions!$E$31</f>
        <v>385632.795274521</v>
      </c>
      <c r="AE29" s="50" t="n">
        <f aca="false">AE28*Assumptions!$E$31</f>
        <v>400832.121689774</v>
      </c>
      <c r="AF29" s="50" t="n">
        <f aca="false">AF28*Assumptions!$E$31</f>
        <v>416848.752767673</v>
      </c>
      <c r="AG29" s="50" t="n">
        <f aca="false">AG28*Assumptions!$E$31</f>
        <v>433757.77354874</v>
      </c>
      <c r="AH29" s="50" t="n">
        <f aca="false">AH28*Assumptions!$E$31</f>
        <v>451641.801632114</v>
      </c>
      <c r="AI29" s="50" t="n">
        <f aca="false">AI28*Assumptions!$E$31</f>
        <v>470591.52599153</v>
      </c>
      <c r="AJ29" s="50" t="n">
        <f aca="false">AJ28*Assumptions!$E$31</f>
        <v>490706.258601826</v>
      </c>
      <c r="AK29" s="50" t="n">
        <f aca="false">AK28*Assumptions!$E$31</f>
        <v>512094.538935091</v>
      </c>
      <c r="AL29" s="50" t="n">
        <f aca="false">AL28*Assumptions!$E$31</f>
        <v>534874.800029927</v>
      </c>
      <c r="AM29" s="50" t="n">
        <f aca="false">SUM(C29:AL29)</f>
        <v>10200121.5246197</v>
      </c>
    </row>
    <row r="30" customFormat="false" ht="15" hidden="false" customHeight="false" outlineLevel="0" collapsed="false">
      <c r="A30" s="10" t="s">
        <v>615</v>
      </c>
      <c r="B30" s="9" t="s">
        <v>90</v>
      </c>
      <c r="C30" s="50" t="n">
        <f aca="false">-C29*Assumptions!$E$61</f>
        <v>-0</v>
      </c>
      <c r="D30" s="50" t="n">
        <f aca="false">-D29*Assumptions!$E$61</f>
        <v>-3510</v>
      </c>
      <c r="E30" s="50" t="n">
        <f aca="false">-E29*Assumptions!$E$61</f>
        <v>-3395.10827730977</v>
      </c>
      <c r="F30" s="50" t="n">
        <f aca="false">-F29*Assumptions!$E$61</f>
        <v>-3739.01939769145</v>
      </c>
      <c r="G30" s="50" t="n">
        <f aca="false">-G29*Assumptions!$E$61</f>
        <v>-4117.32034093801</v>
      </c>
      <c r="H30" s="50" t="n">
        <f aca="false">-H29*Assumptions!$E$61</f>
        <v>-4467.23235220283</v>
      </c>
      <c r="I30" s="50" t="n">
        <f aca="false">-I29*Assumptions!$E$61</f>
        <v>-4794.10632671572</v>
      </c>
      <c r="J30" s="50" t="n">
        <f aca="false">-J29*Assumptions!$E$61</f>
        <v>-5120.76606693337</v>
      </c>
      <c r="K30" s="50" t="n">
        <f aca="false">-K29*Assumptions!$E$61</f>
        <v>-5429.23715744676</v>
      </c>
      <c r="L30" s="50" t="n">
        <f aca="false">-L29*Assumptions!$E$61</f>
        <v>-5725.56706333317</v>
      </c>
      <c r="M30" s="50" t="n">
        <f aca="false">-M29*Assumptions!$E$61</f>
        <v>-6013.64262844915</v>
      </c>
      <c r="N30" s="50" t="n">
        <f aca="false">-N29*Assumptions!$E$61</f>
        <v>-6296.28955280791</v>
      </c>
      <c r="O30" s="50" t="n">
        <f aca="false">-O29*Assumptions!$E$61</f>
        <v>-6575.9072998618</v>
      </c>
      <c r="P30" s="50" t="n">
        <f aca="false">-P29*Assumptions!$E$61</f>
        <v>-6854.59285637825</v>
      </c>
      <c r="Q30" s="50" t="n">
        <f aca="false">-Q29*Assumptions!$E$61</f>
        <v>-7134.21882212686</v>
      </c>
      <c r="R30" s="50" t="n">
        <f aca="false">-R29*Assumptions!$E$61</f>
        <v>-7416.49388244893</v>
      </c>
      <c r="S30" s="50" t="n">
        <f aca="false">-S29*Assumptions!$E$61</f>
        <v>-7703.01219454311</v>
      </c>
      <c r="T30" s="50" t="n">
        <f aca="false">-T29*Assumptions!$E$61</f>
        <v>-7995.29428672391</v>
      </c>
      <c r="U30" s="50" t="n">
        <f aca="false">-U29*Assumptions!$E$61</f>
        <v>-8294.82133233778</v>
      </c>
      <c r="V30" s="50" t="n">
        <f aca="false">-V29*Assumptions!$E$61</f>
        <v>-8603.06426882102</v>
      </c>
      <c r="W30" s="50" t="n">
        <f aca="false">-W29*Assumptions!$E$61</f>
        <v>-8921.5089444337</v>
      </c>
      <c r="X30" s="50" t="n">
        <f aca="false">-X29*Assumptions!$E$61</f>
        <v>-9251.67824873139</v>
      </c>
      <c r="Y30" s="50" t="n">
        <f aca="false">-Y29*Assumptions!$E$61</f>
        <v>-9595.15200321066</v>
      </c>
      <c r="Z30" s="50" t="n">
        <f aca="false">-Z29*Assumptions!$E$61</f>
        <v>-9953.58524610674</v>
      </c>
      <c r="AA30" s="50" t="n">
        <f aca="false">-AA29*Assumptions!$E$61</f>
        <v>-10328.7254326098</v>
      </c>
      <c r="AB30" s="50" t="n">
        <f aca="false">-AB29*Assumptions!$E$61</f>
        <v>-10722.4289829424</v>
      </c>
      <c r="AC30" s="50" t="n">
        <f aca="false">-AC29*Assumptions!$E$61</f>
        <v>-11135.4617193519</v>
      </c>
      <c r="AD30" s="50" t="n">
        <f aca="false">-AD29*Assumptions!$E$61</f>
        <v>-11568.9838582356</v>
      </c>
      <c r="AE30" s="50" t="n">
        <f aca="false">-AE29*Assumptions!$E$61</f>
        <v>-12024.9636506932</v>
      </c>
      <c r="AF30" s="50" t="n">
        <f aca="false">-AF29*Assumptions!$E$61</f>
        <v>-12505.4625830302</v>
      </c>
      <c r="AG30" s="50" t="n">
        <f aca="false">-AG29*Assumptions!$E$61</f>
        <v>-13012.7332064622</v>
      </c>
      <c r="AH30" s="50" t="n">
        <f aca="false">-AH29*Assumptions!$E$61</f>
        <v>-13549.2540489634</v>
      </c>
      <c r="AI30" s="50" t="n">
        <f aca="false">-AI29*Assumptions!$E$61</f>
        <v>-14117.7457797459</v>
      </c>
      <c r="AJ30" s="50" t="n">
        <f aca="false">-AJ29*Assumptions!$E$61</f>
        <v>-14721.1877580548</v>
      </c>
      <c r="AK30" s="50" t="n">
        <f aca="false">-AK29*Assumptions!$E$61</f>
        <v>-15362.8361680527</v>
      </c>
      <c r="AL30" s="50" t="n">
        <f aca="false">-AL29*Assumptions!$E$61</f>
        <v>-16046.2440008978</v>
      </c>
      <c r="AM30" s="50" t="n">
        <f aca="false">SUM(C30:AL30)</f>
        <v>-306003.645738592</v>
      </c>
    </row>
    <row r="31" customFormat="false" ht="15" hidden="false" customHeight="false" outlineLevel="0" collapsed="false">
      <c r="A31" s="26" t="s">
        <v>616</v>
      </c>
      <c r="B31" s="9" t="s">
        <v>90</v>
      </c>
      <c r="C31" s="35" t="n">
        <f aca="false">C29+C30</f>
        <v>0</v>
      </c>
      <c r="D31" s="35" t="n">
        <f aca="false">D29+D30</f>
        <v>113490</v>
      </c>
      <c r="E31" s="35" t="n">
        <f aca="false">E29+E30</f>
        <v>109775.167633016</v>
      </c>
      <c r="F31" s="35" t="n">
        <f aca="false">F29+F30</f>
        <v>120894.960525357</v>
      </c>
      <c r="G31" s="35" t="n">
        <f aca="false">G29+G30</f>
        <v>133126.691023662</v>
      </c>
      <c r="H31" s="35" t="n">
        <f aca="false">H29+H30</f>
        <v>144440.512721225</v>
      </c>
      <c r="I31" s="35" t="n">
        <f aca="false">I29+I30</f>
        <v>155009.437897141</v>
      </c>
      <c r="J31" s="35" t="n">
        <f aca="false">J29+J30</f>
        <v>165571.436164179</v>
      </c>
      <c r="K31" s="35" t="n">
        <f aca="false">K29+K30</f>
        <v>175545.334757445</v>
      </c>
      <c r="L31" s="35" t="n">
        <f aca="false">L29+L30</f>
        <v>185126.668381106</v>
      </c>
      <c r="M31" s="35" t="n">
        <f aca="false">M29+M30</f>
        <v>194441.111653189</v>
      </c>
      <c r="N31" s="35" t="n">
        <f aca="false">N29+N30</f>
        <v>203580.028874122</v>
      </c>
      <c r="O31" s="35" t="n">
        <f aca="false">O29+O30</f>
        <v>212621.002695532</v>
      </c>
      <c r="P31" s="35" t="n">
        <f aca="false">P29+P30</f>
        <v>221631.835689563</v>
      </c>
      <c r="Q31" s="35" t="n">
        <f aca="false">Q29+Q30</f>
        <v>230673.075248768</v>
      </c>
      <c r="R31" s="35" t="n">
        <f aca="false">R29+R30</f>
        <v>239799.968865849</v>
      </c>
      <c r="S31" s="35" t="n">
        <f aca="false">S29+S30</f>
        <v>249064.060956894</v>
      </c>
      <c r="T31" s="35" t="n">
        <f aca="false">T29+T30</f>
        <v>258514.51527074</v>
      </c>
      <c r="U31" s="35" t="n">
        <f aca="false">U29+U30</f>
        <v>268199.223078922</v>
      </c>
      <c r="V31" s="35" t="n">
        <f aca="false">V29+V30</f>
        <v>278165.74469188</v>
      </c>
      <c r="W31" s="35" t="n">
        <f aca="false">W29+W30</f>
        <v>288462.12253669</v>
      </c>
      <c r="X31" s="35" t="n">
        <f aca="false">X29+X30</f>
        <v>299137.596708982</v>
      </c>
      <c r="Y31" s="35" t="n">
        <f aca="false">Y29+Y30</f>
        <v>310243.248103811</v>
      </c>
      <c r="Z31" s="35" t="n">
        <f aca="false">Z29+Z30</f>
        <v>321832.589624118</v>
      </c>
      <c r="AA31" s="35" t="n">
        <f aca="false">AA29+AA30</f>
        <v>333962.122321049</v>
      </c>
      <c r="AB31" s="35" t="n">
        <f aca="false">AB29+AB30</f>
        <v>346691.870448472</v>
      </c>
      <c r="AC31" s="35" t="n">
        <f aca="false">AC29+AC30</f>
        <v>360046.595592379</v>
      </c>
      <c r="AD31" s="35" t="n">
        <f aca="false">AD29+AD30</f>
        <v>374063.811416285</v>
      </c>
      <c r="AE31" s="35" t="n">
        <f aca="false">AE29+AE30</f>
        <v>388807.158039081</v>
      </c>
      <c r="AF31" s="35" t="n">
        <f aca="false">AF29+AF30</f>
        <v>404343.290184643</v>
      </c>
      <c r="AG31" s="35" t="n">
        <f aca="false">AG29+AG30</f>
        <v>420745.040342278</v>
      </c>
      <c r="AH31" s="35" t="n">
        <f aca="false">AH29+AH30</f>
        <v>438092.54758315</v>
      </c>
      <c r="AI31" s="35" t="n">
        <f aca="false">AI29+AI30</f>
        <v>456473.780211784</v>
      </c>
      <c r="AJ31" s="35" t="n">
        <f aca="false">AJ29+AJ30</f>
        <v>475985.070843771</v>
      </c>
      <c r="AK31" s="35" t="n">
        <f aca="false">AK29+AK30</f>
        <v>496731.702767038</v>
      </c>
      <c r="AL31" s="35" t="n">
        <f aca="false">AL29+AL30</f>
        <v>518828.556029029</v>
      </c>
      <c r="AM31" s="35" t="n">
        <f aca="false">SUM(C31:AL31)</f>
        <v>9894117.87888115</v>
      </c>
    </row>
    <row r="32" customFormat="false" ht="15" hidden="false" customHeight="false" outlineLevel="0" collapsed="false">
      <c r="A32" s="10" t="s">
        <v>617</v>
      </c>
      <c r="B32" s="9" t="s">
        <v>90</v>
      </c>
      <c r="C32" s="50" t="n">
        <f aca="false">-C29*Assumptions!$E$36</f>
        <v>-0</v>
      </c>
      <c r="D32" s="50" t="n">
        <f aca="false">-D29*Assumptions!$E$36</f>
        <v>-30420</v>
      </c>
      <c r="E32" s="50" t="n">
        <f aca="false">-E29*Assumptions!$E$36</f>
        <v>-29424.2717366847</v>
      </c>
      <c r="F32" s="50" t="n">
        <f aca="false">-F29*Assumptions!$E$36</f>
        <v>-32404.8347799925</v>
      </c>
      <c r="G32" s="50" t="n">
        <f aca="false">-G29*Assumptions!$E$36</f>
        <v>-35683.4429547961</v>
      </c>
      <c r="H32" s="50" t="n">
        <f aca="false">-H29*Assumptions!$E$36</f>
        <v>-38716.0137190912</v>
      </c>
      <c r="I32" s="50" t="n">
        <f aca="false">-I29*Assumptions!$E$36</f>
        <v>-41548.9214982029</v>
      </c>
      <c r="J32" s="50" t="n">
        <f aca="false">-J29*Assumptions!$E$36</f>
        <v>-44379.9725800892</v>
      </c>
      <c r="K32" s="50" t="n">
        <f aca="false">-K29*Assumptions!$E$36</f>
        <v>-47053.3886978719</v>
      </c>
      <c r="L32" s="50" t="n">
        <f aca="false">-L29*Assumptions!$E$36</f>
        <v>-49621.5812155542</v>
      </c>
      <c r="M32" s="50" t="n">
        <f aca="false">-M29*Assumptions!$E$36</f>
        <v>-52118.236113226</v>
      </c>
      <c r="N32" s="50" t="n">
        <f aca="false">-N29*Assumptions!$E$36</f>
        <v>-54567.8427910018</v>
      </c>
      <c r="O32" s="50" t="n">
        <f aca="false">-O29*Assumptions!$E$36</f>
        <v>-56991.1965988023</v>
      </c>
      <c r="P32" s="50" t="n">
        <f aca="false">-P29*Assumptions!$E$36</f>
        <v>-59406.4714219448</v>
      </c>
      <c r="Q32" s="50" t="n">
        <f aca="false">-Q29*Assumptions!$E$36</f>
        <v>-61829.8964584328</v>
      </c>
      <c r="R32" s="50" t="n">
        <f aca="false">-R29*Assumptions!$E$36</f>
        <v>-64276.2803145574</v>
      </c>
      <c r="S32" s="50" t="n">
        <f aca="false">-S29*Assumptions!$E$36</f>
        <v>-66759.4390193736</v>
      </c>
      <c r="T32" s="50" t="n">
        <f aca="false">-T29*Assumptions!$E$36</f>
        <v>-69292.5504849405</v>
      </c>
      <c r="U32" s="50" t="n">
        <f aca="false">-U29*Assumptions!$E$36</f>
        <v>-71888.4515469275</v>
      </c>
      <c r="V32" s="50" t="n">
        <f aca="false">-V29*Assumptions!$E$36</f>
        <v>-74559.8903297822</v>
      </c>
      <c r="W32" s="50" t="n">
        <f aca="false">-W29*Assumptions!$E$36</f>
        <v>-77319.7441850921</v>
      </c>
      <c r="X32" s="50" t="n">
        <f aca="false">-X29*Assumptions!$E$36</f>
        <v>-80181.2114890054</v>
      </c>
      <c r="Y32" s="50" t="n">
        <f aca="false">-Y29*Assumptions!$E$36</f>
        <v>-83157.9840278257</v>
      </c>
      <c r="Z32" s="50" t="n">
        <f aca="false">-Z29*Assumptions!$E$36</f>
        <v>-86264.4054662584</v>
      </c>
      <c r="AA32" s="50" t="n">
        <f aca="false">-AA29*Assumptions!$E$36</f>
        <v>-89515.6204159512</v>
      </c>
      <c r="AB32" s="50" t="n">
        <f aca="false">-AB29*Assumptions!$E$36</f>
        <v>-92927.7178521678</v>
      </c>
      <c r="AC32" s="50" t="n">
        <f aca="false">-AC29*Assumptions!$E$36</f>
        <v>-96507.3349010502</v>
      </c>
      <c r="AD32" s="50" t="n">
        <f aca="false">-AD29*Assumptions!$E$36</f>
        <v>-100264.526771375</v>
      </c>
      <c r="AE32" s="50" t="n">
        <f aca="false">-AE29*Assumptions!$E$36</f>
        <v>-104216.351639341</v>
      </c>
      <c r="AF32" s="50" t="n">
        <f aca="false">-AF29*Assumptions!$E$36</f>
        <v>-108380.675719595</v>
      </c>
      <c r="AG32" s="50" t="n">
        <f aca="false">-AG29*Assumptions!$E$36</f>
        <v>-112777.021122672</v>
      </c>
      <c r="AH32" s="50" t="n">
        <f aca="false">-AH29*Assumptions!$E$36</f>
        <v>-117426.86842435</v>
      </c>
      <c r="AI32" s="50" t="n">
        <f aca="false">-AI29*Assumptions!$E$36</f>
        <v>-122353.796757798</v>
      </c>
      <c r="AJ32" s="50" t="n">
        <f aca="false">-AJ29*Assumptions!$E$36</f>
        <v>-127583.627236475</v>
      </c>
      <c r="AK32" s="50" t="n">
        <f aca="false">-AK29*Assumptions!$E$36</f>
        <v>-133144.580123124</v>
      </c>
      <c r="AL32" s="50" t="n">
        <f aca="false">-AL29*Assumptions!$E$36</f>
        <v>-139067.448007781</v>
      </c>
      <c r="AM32" s="50" t="n">
        <f aca="false">SUM(C32:AL32)</f>
        <v>-2652031.59640113</v>
      </c>
    </row>
    <row r="33" customFormat="false" ht="15" hidden="false" customHeight="false" outlineLevel="0" collapsed="false">
      <c r="A33" s="10" t="s">
        <v>618</v>
      </c>
      <c r="B33" s="9" t="s">
        <v>90</v>
      </c>
      <c r="C33" s="50" t="n">
        <f aca="false">-C28*Assumptions!$E$37</f>
        <v>-0</v>
      </c>
      <c r="D33" s="50" t="n">
        <f aca="false">-D28*Assumptions!$E$37</f>
        <v>-11250</v>
      </c>
      <c r="E33" s="50" t="n">
        <f aca="false">-E28*Assumptions!$E$37</f>
        <v>-10881.7572990698</v>
      </c>
      <c r="F33" s="50" t="n">
        <f aca="false">-F28*Assumptions!$E$37</f>
        <v>-11984.0365310623</v>
      </c>
      <c r="G33" s="50" t="n">
        <f aca="false">-G28*Assumptions!$E$37</f>
        <v>-13196.5395542885</v>
      </c>
      <c r="H33" s="50" t="n">
        <f aca="false">-H28*Assumptions!$E$37</f>
        <v>-14318.0524109065</v>
      </c>
      <c r="I33" s="50" t="n">
        <f aca="false">-I28*Assumptions!$E$37</f>
        <v>-15365.7254061401</v>
      </c>
      <c r="J33" s="50" t="n">
        <f aca="false">-J28*Assumptions!$E$37</f>
        <v>-16412.7117529916</v>
      </c>
      <c r="K33" s="50" t="n">
        <f aca="false">-K28*Assumptions!$E$37</f>
        <v>-17401.4011456627</v>
      </c>
      <c r="L33" s="50" t="n">
        <f aca="false">-L28*Assumptions!$E$37</f>
        <v>-18351.1764850422</v>
      </c>
      <c r="M33" s="50" t="n">
        <f aca="false">-M28*Assumptions!$E$37</f>
        <v>-19274.4956040037</v>
      </c>
      <c r="N33" s="50" t="n">
        <f aca="false">-N28*Assumptions!$E$37</f>
        <v>-20180.4152333587</v>
      </c>
      <c r="O33" s="50" t="n">
        <f aca="false">-O28*Assumptions!$E$37</f>
        <v>-21076.6259610955</v>
      </c>
      <c r="P33" s="50" t="n">
        <f aca="false">-P28*Assumptions!$E$37</f>
        <v>-21969.8488986482</v>
      </c>
      <c r="Q33" s="50" t="n">
        <f aca="false">-Q28*Assumptions!$E$37</f>
        <v>-22866.0859683553</v>
      </c>
      <c r="R33" s="50" t="n">
        <f aca="false">-R28*Assumptions!$E$37</f>
        <v>-23770.8137257979</v>
      </c>
      <c r="S33" s="50" t="n">
        <f aca="false">-S28*Assumptions!$E$37</f>
        <v>-24689.1416491766</v>
      </c>
      <c r="T33" s="50" t="n">
        <f aca="false">-T28*Assumptions!$E$37</f>
        <v>-25625.9432266792</v>
      </c>
      <c r="U33" s="50" t="n">
        <f aca="false">-U28*Assumptions!$E$37</f>
        <v>-26585.965808775</v>
      </c>
      <c r="V33" s="50" t="n">
        <f aca="false">-V28*Assumptions!$E$37</f>
        <v>-27573.9239385289</v>
      </c>
      <c r="W33" s="50" t="n">
        <f aca="false">-W28*Assumptions!$E$37</f>
        <v>-28594.579950108</v>
      </c>
      <c r="X33" s="50" t="n">
        <f aca="false">-X28*Assumptions!$E$37</f>
        <v>-29652.8148997801</v>
      </c>
      <c r="Y33" s="50" t="n">
        <f aca="false">-Y28*Assumptions!$E$37</f>
        <v>-30753.6923179829</v>
      </c>
      <c r="Z33" s="50" t="n">
        <f aca="false">-Z28*Assumptions!$E$37</f>
        <v>-31902.5168144447</v>
      </c>
      <c r="AA33" s="50" t="n">
        <f aca="false">-AA28*Assumptions!$E$37</f>
        <v>-33104.8892070825</v>
      </c>
      <c r="AB33" s="50" t="n">
        <f aca="false">-AB28*Assumptions!$E$37</f>
        <v>-34366.759560713</v>
      </c>
      <c r="AC33" s="50" t="n">
        <f aca="false">-AC28*Assumptions!$E$37</f>
        <v>-35690.5824338203</v>
      </c>
      <c r="AD33" s="50" t="n">
        <f aca="false">-AD28*Assumptions!$E$37</f>
        <v>-37080.0764687039</v>
      </c>
      <c r="AE33" s="50" t="n">
        <f aca="false">-AE28*Assumptions!$E$37</f>
        <v>-38541.5501624783</v>
      </c>
      <c r="AF33" s="50" t="n">
        <f aca="false">-AF28*Assumptions!$E$37</f>
        <v>-40081.6108430455</v>
      </c>
      <c r="AG33" s="50" t="n">
        <f aca="false">-AG28*Assumptions!$E$37</f>
        <v>-41707.4782258404</v>
      </c>
      <c r="AH33" s="50" t="n">
        <f aca="false">-AH28*Assumptions!$E$37</f>
        <v>-43427.0963107802</v>
      </c>
      <c r="AI33" s="50" t="n">
        <f aca="false">-AI28*Assumptions!$E$37</f>
        <v>-45249.1851914933</v>
      </c>
      <c r="AJ33" s="50" t="n">
        <f aca="false">-AJ28*Assumptions!$E$37</f>
        <v>-47183.2940963294</v>
      </c>
      <c r="AK33" s="50" t="n">
        <f aca="false">-AK28*Assumptions!$E$37</f>
        <v>-49239.8595129895</v>
      </c>
      <c r="AL33" s="50" t="n">
        <f aca="false">-AL28*Assumptions!$E$37</f>
        <v>-51430.2692336468</v>
      </c>
      <c r="AM33" s="50" t="n">
        <f aca="false">SUM(C33:AL33)</f>
        <v>-980780.915828822</v>
      </c>
    </row>
    <row r="34" customFormat="false" ht="15" hidden="false" customHeight="false" outlineLevel="0" collapsed="false">
      <c r="A34" s="10" t="s">
        <v>619</v>
      </c>
      <c r="B34" s="9" t="s">
        <v>90</v>
      </c>
      <c r="C34" s="50" t="n">
        <f aca="false">-C31*Assumptions!$E$60</f>
        <v>-0</v>
      </c>
      <c r="D34" s="50" t="n">
        <f aca="false">-D31*Assumptions!$E$60</f>
        <v>-3291.21</v>
      </c>
      <c r="E34" s="50" t="n">
        <f aca="false">-E31*Assumptions!$E$60</f>
        <v>-3183.47986135746</v>
      </c>
      <c r="F34" s="50" t="n">
        <f aca="false">-F31*Assumptions!$E$60</f>
        <v>-3505.95385523535</v>
      </c>
      <c r="G34" s="50" t="n">
        <f aca="false">-G31*Assumptions!$E$60</f>
        <v>-3860.67403968621</v>
      </c>
      <c r="H34" s="50" t="n">
        <f aca="false">-H31*Assumptions!$E$60</f>
        <v>-4188.77486891552</v>
      </c>
      <c r="I34" s="50" t="n">
        <f aca="false">-I31*Assumptions!$E$60</f>
        <v>-4495.2736990171</v>
      </c>
      <c r="J34" s="50" t="n">
        <f aca="false">-J31*Assumptions!$E$60</f>
        <v>-4801.57164876119</v>
      </c>
      <c r="K34" s="50" t="n">
        <f aca="false">-K31*Assumptions!$E$60</f>
        <v>-5090.81470796591</v>
      </c>
      <c r="L34" s="50" t="n">
        <f aca="false">-L31*Assumptions!$E$60</f>
        <v>-5368.67338305207</v>
      </c>
      <c r="M34" s="50" t="n">
        <f aca="false">-M31*Assumptions!$E$60</f>
        <v>-5638.79223794248</v>
      </c>
      <c r="N34" s="50" t="n">
        <f aca="false">-N31*Assumptions!$E$60</f>
        <v>-5903.82083734955</v>
      </c>
      <c r="O34" s="50" t="n">
        <f aca="false">-O31*Assumptions!$E$60</f>
        <v>-6166.00907817042</v>
      </c>
      <c r="P34" s="50" t="n">
        <f aca="false">-P31*Assumptions!$E$60</f>
        <v>-6427.32323499734</v>
      </c>
      <c r="Q34" s="50" t="n">
        <f aca="false">-Q31*Assumptions!$E$60</f>
        <v>-6689.51918221428</v>
      </c>
      <c r="R34" s="50" t="n">
        <f aca="false">-R31*Assumptions!$E$60</f>
        <v>-6954.19909710962</v>
      </c>
      <c r="S34" s="50" t="n">
        <f aca="false">-S31*Assumptions!$E$60</f>
        <v>-7222.85776774992</v>
      </c>
      <c r="T34" s="50" t="n">
        <f aca="false">-T31*Assumptions!$E$60</f>
        <v>-7496.92094285145</v>
      </c>
      <c r="U34" s="50" t="n">
        <f aca="false">-U31*Assumptions!$E$60</f>
        <v>-7777.77746928873</v>
      </c>
      <c r="V34" s="50" t="n">
        <f aca="false">-V31*Assumptions!$E$60</f>
        <v>-8066.80659606451</v>
      </c>
      <c r="W34" s="50" t="n">
        <f aca="false">-W31*Assumptions!$E$60</f>
        <v>-8365.401553564</v>
      </c>
      <c r="X34" s="50" t="n">
        <f aca="false">-X31*Assumptions!$E$60</f>
        <v>-8674.99030456047</v>
      </c>
      <c r="Y34" s="50" t="n">
        <f aca="false">-Y31*Assumptions!$E$60</f>
        <v>-8997.05419501053</v>
      </c>
      <c r="Z34" s="50" t="n">
        <f aca="false">-Z31*Assumptions!$E$60</f>
        <v>-9333.14509909942</v>
      </c>
      <c r="AA34" s="50" t="n">
        <f aca="false">-AA31*Assumptions!$E$60</f>
        <v>-9684.90154731041</v>
      </c>
      <c r="AB34" s="50" t="n">
        <f aca="false">-AB31*Assumptions!$E$60</f>
        <v>-10054.0642430057</v>
      </c>
      <c r="AC34" s="50" t="n">
        <f aca="false">-AC31*Assumptions!$E$60</f>
        <v>-10441.351272179</v>
      </c>
      <c r="AD34" s="50" t="n">
        <f aca="false">-AD31*Assumptions!$E$60</f>
        <v>-10847.8505310723</v>
      </c>
      <c r="AE34" s="50" t="n">
        <f aca="false">-AE31*Assumptions!$E$60</f>
        <v>-11275.4075831334</v>
      </c>
      <c r="AF34" s="50" t="n">
        <f aca="false">-AF31*Assumptions!$E$60</f>
        <v>-11725.9554153546</v>
      </c>
      <c r="AG34" s="50" t="n">
        <f aca="false">-AG31*Assumptions!$E$60</f>
        <v>-12201.6061699261</v>
      </c>
      <c r="AH34" s="50" t="n">
        <f aca="false">-AH31*Assumptions!$E$60</f>
        <v>-12704.6838799114</v>
      </c>
      <c r="AI34" s="50" t="n">
        <f aca="false">-AI31*Assumptions!$E$60</f>
        <v>-13237.7396261417</v>
      </c>
      <c r="AJ34" s="50" t="n">
        <f aca="false">-AJ31*Assumptions!$E$60</f>
        <v>-13803.5670544694</v>
      </c>
      <c r="AK34" s="50" t="n">
        <f aca="false">-AK31*Assumptions!$E$60</f>
        <v>-14405.2193802441</v>
      </c>
      <c r="AL34" s="50" t="n">
        <f aca="false">-AL31*Assumptions!$E$60</f>
        <v>-15046.0281248418</v>
      </c>
      <c r="AM34" s="50" t="n">
        <f aca="false">SUM(C34:AL34)</f>
        <v>-286929.418487553</v>
      </c>
    </row>
    <row r="35" customFormat="false" ht="15" hidden="false" customHeight="false" outlineLevel="0" collapsed="false">
      <c r="A35" s="26" t="s">
        <v>620</v>
      </c>
      <c r="B35" s="9" t="s">
        <v>90</v>
      </c>
      <c r="C35" s="35" t="n">
        <f aca="false">C31+C32+C33+C34</f>
        <v>0</v>
      </c>
      <c r="D35" s="35" t="n">
        <f aca="false">D31+D32+D33+D34</f>
        <v>68528.79</v>
      </c>
      <c r="E35" s="35" t="n">
        <f aca="false">E31+E32+E33+E34</f>
        <v>66285.658735904</v>
      </c>
      <c r="F35" s="35" t="n">
        <f aca="false">F31+F32+F33+F34</f>
        <v>73000.1353590665</v>
      </c>
      <c r="G35" s="35" t="n">
        <f aca="false">G31+G32+G33+G34</f>
        <v>80386.0344748916</v>
      </c>
      <c r="H35" s="35" t="n">
        <f aca="false">H31+H32+H33+H34</f>
        <v>87217.6717223116</v>
      </c>
      <c r="I35" s="35" t="n">
        <f aca="false">I31+I32+I33+I34</f>
        <v>93599.5172937814</v>
      </c>
      <c r="J35" s="35" t="n">
        <f aca="false">J31+J32+J33+J34</f>
        <v>99977.180182337</v>
      </c>
      <c r="K35" s="35" t="n">
        <f aca="false">K31+K32+K33+K34</f>
        <v>105999.730205945</v>
      </c>
      <c r="L35" s="35" t="n">
        <f aca="false">L31+L32+L33+L34</f>
        <v>111785.237297457</v>
      </c>
      <c r="M35" s="35" t="n">
        <f aca="false">M31+M32+M33+M34</f>
        <v>117409.587698017</v>
      </c>
      <c r="N35" s="35" t="n">
        <f aca="false">N31+N32+N33+N34</f>
        <v>122927.950012412</v>
      </c>
      <c r="O35" s="35" t="n">
        <f aca="false">O31+O32+O33+O34</f>
        <v>128387.171057463</v>
      </c>
      <c r="P35" s="35" t="n">
        <f aca="false">P31+P32+P33+P34</f>
        <v>133828.192133973</v>
      </c>
      <c r="Q35" s="35" t="n">
        <f aca="false">Q31+Q32+Q33+Q34</f>
        <v>139287.573639766</v>
      </c>
      <c r="R35" s="35" t="n">
        <f aca="false">R31+R32+R33+R34</f>
        <v>144798.675728384</v>
      </c>
      <c r="S35" s="35" t="n">
        <f aca="false">S31+S32+S33+S34</f>
        <v>150392.622520594</v>
      </c>
      <c r="T35" s="35" t="n">
        <f aca="false">T31+T32+T33+T34</f>
        <v>156099.100616269</v>
      </c>
      <c r="U35" s="35" t="n">
        <f aca="false">U31+U32+U33+U34</f>
        <v>161947.028253931</v>
      </c>
      <c r="V35" s="35" t="n">
        <f aca="false">V31+V32+V33+V34</f>
        <v>167965.123827504</v>
      </c>
      <c r="W35" s="35" t="n">
        <f aca="false">W31+W32+W33+W34</f>
        <v>174182.396847926</v>
      </c>
      <c r="X35" s="35" t="n">
        <f aca="false">X31+X32+X33+X34</f>
        <v>180628.580015636</v>
      </c>
      <c r="Y35" s="35" t="n">
        <f aca="false">Y31+Y32+Y33+Y34</f>
        <v>187334.517562992</v>
      </c>
      <c r="Z35" s="35" t="n">
        <f aca="false">Z31+Z32+Z33+Z34</f>
        <v>194332.522244315</v>
      </c>
      <c r="AA35" s="35" t="n">
        <f aca="false">AA31+AA32+AA33+AA34</f>
        <v>201656.711150705</v>
      </c>
      <c r="AB35" s="35" t="n">
        <f aca="false">AB31+AB32+AB33+AB34</f>
        <v>209343.328792586</v>
      </c>
      <c r="AC35" s="35" t="n">
        <f aca="false">AC31+AC32+AC33+AC34</f>
        <v>217407.32698533</v>
      </c>
      <c r="AD35" s="35" t="n">
        <f aca="false">AD31+AD32+AD33+AD34</f>
        <v>225871.357645134</v>
      </c>
      <c r="AE35" s="35" t="n">
        <f aca="false">AE31+AE32+AE33+AE34</f>
        <v>234773.848654128</v>
      </c>
      <c r="AF35" s="35" t="n">
        <f aca="false">AF31+AF32+AF33+AF34</f>
        <v>244155.048206648</v>
      </c>
      <c r="AG35" s="35" t="n">
        <f aca="false">AG31+AG32+AG33+AG34</f>
        <v>254058.934823839</v>
      </c>
      <c r="AH35" s="35" t="n">
        <f aca="false">AH31+AH32+AH33+AH34</f>
        <v>264533.898968109</v>
      </c>
      <c r="AI35" s="35" t="n">
        <f aca="false">AI31+AI32+AI33+AI34</f>
        <v>275633.058636351</v>
      </c>
      <c r="AJ35" s="35" t="n">
        <f aca="false">AJ31+AJ32+AJ33+AJ34</f>
        <v>287414.582456498</v>
      </c>
      <c r="AK35" s="35" t="n">
        <f aca="false">AK31+AK32+AK33+AK34</f>
        <v>299942.043750681</v>
      </c>
      <c r="AL35" s="35" t="n">
        <f aca="false">AL31+AL32+AL33+AL34</f>
        <v>313284.81066276</v>
      </c>
      <c r="AM35" s="35" t="n">
        <f aca="false">SUM(C35:AL35)</f>
        <v>5974375.94816364</v>
      </c>
    </row>
    <row r="36" customFormat="false" ht="15" hidden="false" customHeight="false" outlineLevel="0" collapsed="false">
      <c r="A36" s="10" t="s">
        <v>621</v>
      </c>
      <c r="B36" s="9" t="s">
        <v>54</v>
      </c>
      <c r="C36" s="44" t="n">
        <f aca="false">IFERROR(C35/C31,0)</f>
        <v>0</v>
      </c>
      <c r="D36" s="44" t="n">
        <f aca="false">IFERROR(D35/D31,0)</f>
        <v>0.603831086439334</v>
      </c>
      <c r="E36" s="44" t="n">
        <f aca="false">IFERROR(E35/E31,0)</f>
        <v>0.603831086439334</v>
      </c>
      <c r="F36" s="44" t="n">
        <f aca="false">IFERROR(F35/F31,0)</f>
        <v>0.603831086439334</v>
      </c>
      <c r="G36" s="44" t="n">
        <f aca="false">IFERROR(G35/G31,0)</f>
        <v>0.603831086439334</v>
      </c>
      <c r="H36" s="44" t="n">
        <f aca="false">IFERROR(H35/H31,0)</f>
        <v>0.603831086439334</v>
      </c>
      <c r="I36" s="44" t="n">
        <f aca="false">IFERROR(I35/I31,0)</f>
        <v>0.603831086439334</v>
      </c>
      <c r="J36" s="44" t="n">
        <f aca="false">IFERROR(J35/J31,0)</f>
        <v>0.603831086439334</v>
      </c>
      <c r="K36" s="44" t="n">
        <f aca="false">IFERROR(K35/K31,0)</f>
        <v>0.603831086439334</v>
      </c>
      <c r="L36" s="44" t="n">
        <f aca="false">IFERROR(L35/L31,0)</f>
        <v>0.603831086439334</v>
      </c>
      <c r="M36" s="44" t="n">
        <f aca="false">IFERROR(M35/M31,0)</f>
        <v>0.603831086439334</v>
      </c>
      <c r="N36" s="44" t="n">
        <f aca="false">IFERROR(N35/N31,0)</f>
        <v>0.603831086439334</v>
      </c>
      <c r="O36" s="44" t="n">
        <f aca="false">IFERROR(O35/O31,0)</f>
        <v>0.603831086439334</v>
      </c>
      <c r="P36" s="44" t="n">
        <f aca="false">IFERROR(P35/P31,0)</f>
        <v>0.603831086439334</v>
      </c>
      <c r="Q36" s="44" t="n">
        <f aca="false">IFERROR(Q35/Q31,0)</f>
        <v>0.603831086439334</v>
      </c>
      <c r="R36" s="44" t="n">
        <f aca="false">IFERROR(R35/R31,0)</f>
        <v>0.603831086439334</v>
      </c>
      <c r="S36" s="44" t="n">
        <f aca="false">IFERROR(S35/S31,0)</f>
        <v>0.603831086439334</v>
      </c>
      <c r="T36" s="44" t="n">
        <f aca="false">IFERROR(T35/T31,0)</f>
        <v>0.603831086439334</v>
      </c>
      <c r="U36" s="44" t="n">
        <f aca="false">IFERROR(U35/U31,0)</f>
        <v>0.603831086439334</v>
      </c>
      <c r="V36" s="44" t="n">
        <f aca="false">IFERROR(V35/V31,0)</f>
        <v>0.603831086439334</v>
      </c>
      <c r="W36" s="44" t="n">
        <f aca="false">IFERROR(W35/W31,0)</f>
        <v>0.603831086439334</v>
      </c>
      <c r="X36" s="44" t="n">
        <f aca="false">IFERROR(X35/X31,0)</f>
        <v>0.603831086439334</v>
      </c>
      <c r="Y36" s="44" t="n">
        <f aca="false">IFERROR(Y35/Y31,0)</f>
        <v>0.603831086439334</v>
      </c>
      <c r="Z36" s="44" t="n">
        <f aca="false">IFERROR(Z35/Z31,0)</f>
        <v>0.603831086439334</v>
      </c>
      <c r="AA36" s="44" t="n">
        <f aca="false">IFERROR(AA35/AA31,0)</f>
        <v>0.603831086439334</v>
      </c>
      <c r="AB36" s="44" t="n">
        <f aca="false">IFERROR(AB35/AB31,0)</f>
        <v>0.603831086439334</v>
      </c>
      <c r="AC36" s="44" t="n">
        <f aca="false">IFERROR(AC35/AC31,0)</f>
        <v>0.603831086439334</v>
      </c>
      <c r="AD36" s="44" t="n">
        <f aca="false">IFERROR(AD35/AD31,0)</f>
        <v>0.603831086439334</v>
      </c>
      <c r="AE36" s="44" t="n">
        <f aca="false">IFERROR(AE35/AE31,0)</f>
        <v>0.603831086439334</v>
      </c>
      <c r="AF36" s="44" t="n">
        <f aca="false">IFERROR(AF35/AF31,0)</f>
        <v>0.603831086439334</v>
      </c>
      <c r="AG36" s="44" t="n">
        <f aca="false">IFERROR(AG35/AG31,0)</f>
        <v>0.603831086439334</v>
      </c>
      <c r="AH36" s="44" t="n">
        <f aca="false">IFERROR(AH35/AH31,0)</f>
        <v>0.603831086439334</v>
      </c>
      <c r="AI36" s="44" t="n">
        <f aca="false">IFERROR(AI35/AI31,0)</f>
        <v>0.603831086439334</v>
      </c>
      <c r="AJ36" s="44" t="n">
        <f aca="false">IFERROR(AJ35/AJ31,0)</f>
        <v>0.603831086439334</v>
      </c>
      <c r="AK36" s="44" t="n">
        <f aca="false">IFERROR(AK35/AK31,0)</f>
        <v>0.603831086439334</v>
      </c>
      <c r="AL36" s="44" t="n">
        <f aca="false">IFERROR(AL35/AL31,0)</f>
        <v>0.603831086439334</v>
      </c>
      <c r="AM36" s="44" t="n">
        <f aca="false">AVERAGE(N36:AL36)</f>
        <v>0.603831086439334</v>
      </c>
    </row>
    <row r="37" customFormat="false" ht="15" hidden="false" customHeight="false" outlineLevel="0" collapsed="false">
      <c r="A37" s="10" t="s">
        <v>622</v>
      </c>
      <c r="B37" s="9" t="s">
        <v>54</v>
      </c>
      <c r="C37" s="44" t="n">
        <f aca="false">IF(C9=0,0,MIN(Assumptions!$E$44,Assumptions!$E$42+Assumptions!$E$43*(C$5-Assumptions!$E$7)))</f>
        <v>0</v>
      </c>
      <c r="D37" s="44" t="n">
        <f aca="false">IF(D9=0,0,MIN(Assumptions!$E$44,Assumptions!$E$42+Assumptions!$E$43*(D$5-Assumptions!$E$7)))</f>
        <v>0</v>
      </c>
      <c r="E37" s="44" t="n">
        <f aca="false">IF(E9=0,0,MIN(Assumptions!$E$44,Assumptions!$E$42+Assumptions!$E$43*(E$5-Assumptions!$E$7)))</f>
        <v>0</v>
      </c>
      <c r="F37" s="44" t="n">
        <f aca="false">IF(F9=0,0,MIN(Assumptions!$E$44,Assumptions!$E$42+Assumptions!$E$43*(F$5-Assumptions!$E$7)))</f>
        <v>0</v>
      </c>
      <c r="G37" s="44" t="n">
        <f aca="false">IF(G9=0,0,MIN(Assumptions!$E$44,Assumptions!$E$42+Assumptions!$E$43*(G$5-Assumptions!$E$7)))</f>
        <v>0</v>
      </c>
      <c r="H37" s="44" t="n">
        <f aca="false">IF(H9=0,0,MIN(Assumptions!$E$44,Assumptions!$E$42+Assumptions!$E$43*(H$5-Assumptions!$E$7)))</f>
        <v>0</v>
      </c>
      <c r="I37" s="44" t="n">
        <f aca="false">IF(I9=0,0,MIN(Assumptions!$E$44,Assumptions!$E$42+Assumptions!$E$43*(I$5-Assumptions!$E$7)))</f>
        <v>0.36</v>
      </c>
      <c r="J37" s="44" t="n">
        <f aca="false">IF(J9=0,0,MIN(Assumptions!$E$44,Assumptions!$E$42+Assumptions!$E$43*(J$5-Assumptions!$E$7)))</f>
        <v>0.385</v>
      </c>
      <c r="K37" s="44" t="n">
        <f aca="false">IF(K9=0,0,MIN(Assumptions!$E$44,Assumptions!$E$42+Assumptions!$E$43*(K$5-Assumptions!$E$7)))</f>
        <v>0.41</v>
      </c>
      <c r="L37" s="44" t="n">
        <f aca="false">IF(L9=0,0,MIN(Assumptions!$E$44,Assumptions!$E$42+Assumptions!$E$43*(L$5-Assumptions!$E$7)))</f>
        <v>0.435</v>
      </c>
      <c r="M37" s="44" t="n">
        <f aca="false">IF(M9=0,0,MIN(Assumptions!$E$44,Assumptions!$E$42+Assumptions!$E$43*(M$5-Assumptions!$E$7)))</f>
        <v>0.46</v>
      </c>
      <c r="N37" s="44" t="n">
        <f aca="false">IF(N9=0,0,MIN(Assumptions!$E$44,Assumptions!$E$42+Assumptions!$E$43*(N$5-Assumptions!$E$7)))</f>
        <v>0.485</v>
      </c>
      <c r="O37" s="44" t="n">
        <f aca="false">IF(O9=0,0,MIN(Assumptions!$E$44,Assumptions!$E$42+Assumptions!$E$43*(O$5-Assumptions!$E$7)))</f>
        <v>0.51</v>
      </c>
      <c r="P37" s="44" t="n">
        <f aca="false">IF(P9=0,0,MIN(Assumptions!$E$44,Assumptions!$E$42+Assumptions!$E$43*(P$5-Assumptions!$E$7)))</f>
        <v>0.535</v>
      </c>
      <c r="Q37" s="44" t="n">
        <f aca="false">IF(Q9=0,0,MIN(Assumptions!$E$44,Assumptions!$E$42+Assumptions!$E$43*(Q$5-Assumptions!$E$7)))</f>
        <v>0.56</v>
      </c>
      <c r="R37" s="44" t="n">
        <f aca="false">IF(R9=0,0,MIN(Assumptions!$E$44,Assumptions!$E$42+Assumptions!$E$43*(R$5-Assumptions!$E$7)))</f>
        <v>0.585</v>
      </c>
      <c r="S37" s="44" t="n">
        <f aca="false">IF(S9=0,0,MIN(Assumptions!$E$44,Assumptions!$E$42+Assumptions!$E$43*(S$5-Assumptions!$E$7)))</f>
        <v>0.61</v>
      </c>
      <c r="T37" s="44" t="n">
        <f aca="false">IF(T9=0,0,MIN(Assumptions!$E$44,Assumptions!$E$42+Assumptions!$E$43*(T$5-Assumptions!$E$7)))</f>
        <v>0.635</v>
      </c>
      <c r="U37" s="44" t="n">
        <f aca="false">IF(U9=0,0,MIN(Assumptions!$E$44,Assumptions!$E$42+Assumptions!$E$43*(U$5-Assumptions!$E$7)))</f>
        <v>0.66</v>
      </c>
      <c r="V37" s="44" t="n">
        <f aca="false">IF(V9=0,0,MIN(Assumptions!$E$44,Assumptions!$E$42+Assumptions!$E$43*(V$5-Assumptions!$E$7)))</f>
        <v>0.685</v>
      </c>
      <c r="W37" s="44" t="n">
        <f aca="false">IF(W9=0,0,MIN(Assumptions!$E$44,Assumptions!$E$42+Assumptions!$E$43*(W$5-Assumptions!$E$7)))</f>
        <v>0.71</v>
      </c>
      <c r="X37" s="44" t="n">
        <f aca="false">IF(X9=0,0,MIN(Assumptions!$E$44,Assumptions!$E$42+Assumptions!$E$43*(X$5-Assumptions!$E$7)))</f>
        <v>0.735</v>
      </c>
      <c r="Y37" s="44" t="n">
        <f aca="false">IF(Y9=0,0,MIN(Assumptions!$E$44,Assumptions!$E$42+Assumptions!$E$43*(Y$5-Assumptions!$E$7)))</f>
        <v>0.76</v>
      </c>
      <c r="Z37" s="44" t="n">
        <f aca="false">IF(Z9=0,0,MIN(Assumptions!$E$44,Assumptions!$E$42+Assumptions!$E$43*(Z$5-Assumptions!$E$7)))</f>
        <v>0.785</v>
      </c>
      <c r="AA37" s="44" t="n">
        <f aca="false">IF(AA9=0,0,MIN(Assumptions!$E$44,Assumptions!$E$42+Assumptions!$E$43*(AA$5-Assumptions!$E$7)))</f>
        <v>0.81</v>
      </c>
      <c r="AB37" s="44" t="n">
        <f aca="false">IF(AB9=0,0,MIN(Assumptions!$E$44,Assumptions!$E$42+Assumptions!$E$43*(AB$5-Assumptions!$E$7)))</f>
        <v>0.82</v>
      </c>
      <c r="AC37" s="44" t="n">
        <f aca="false">IF(AC9=0,0,MIN(Assumptions!$E$44,Assumptions!$E$42+Assumptions!$E$43*(AC$5-Assumptions!$E$7)))</f>
        <v>0.82</v>
      </c>
      <c r="AD37" s="44" t="n">
        <f aca="false">IF(AD9=0,0,MIN(Assumptions!$E$44,Assumptions!$E$42+Assumptions!$E$43*(AD$5-Assumptions!$E$7)))</f>
        <v>0.82</v>
      </c>
      <c r="AE37" s="44" t="n">
        <f aca="false">IF(AE9=0,0,MIN(Assumptions!$E$44,Assumptions!$E$42+Assumptions!$E$43*(AE$5-Assumptions!$E$7)))</f>
        <v>0.82</v>
      </c>
      <c r="AF37" s="44" t="n">
        <f aca="false">IF(AF9=0,0,MIN(Assumptions!$E$44,Assumptions!$E$42+Assumptions!$E$43*(AF$5-Assumptions!$E$7)))</f>
        <v>0.82</v>
      </c>
      <c r="AG37" s="44" t="n">
        <f aca="false">IF(AG9=0,0,MIN(Assumptions!$E$44,Assumptions!$E$42+Assumptions!$E$43*(AG$5-Assumptions!$E$7)))</f>
        <v>0.82</v>
      </c>
      <c r="AH37" s="44" t="n">
        <f aca="false">IF(AH9=0,0,MIN(Assumptions!$E$44,Assumptions!$E$42+Assumptions!$E$43*(AH$5-Assumptions!$E$7)))</f>
        <v>0.82</v>
      </c>
      <c r="AI37" s="44" t="n">
        <f aca="false">IF(AI9=0,0,MIN(Assumptions!$E$44,Assumptions!$E$42+Assumptions!$E$43*(AI$5-Assumptions!$E$7)))</f>
        <v>0.82</v>
      </c>
      <c r="AJ37" s="44" t="n">
        <f aca="false">IF(AJ9=0,0,MIN(Assumptions!$E$44,Assumptions!$E$42+Assumptions!$E$43*(AJ$5-Assumptions!$E$7)))</f>
        <v>0.82</v>
      </c>
      <c r="AK37" s="44" t="n">
        <f aca="false">IF(AK9=0,0,MIN(Assumptions!$E$44,Assumptions!$E$42+Assumptions!$E$43*(AK$5-Assumptions!$E$7)))</f>
        <v>0.82</v>
      </c>
      <c r="AL37" s="44" t="n">
        <f aca="false">IF(AL9=0,0,MIN(Assumptions!$E$44,Assumptions!$E$42+Assumptions!$E$43*(AL$5-Assumptions!$E$7)))</f>
        <v>0.82</v>
      </c>
      <c r="AM37" s="44" t="n">
        <f aca="false">AL37</f>
        <v>0.82</v>
      </c>
    </row>
    <row r="38" customFormat="false" ht="15" hidden="false" customHeight="false" outlineLevel="0" collapsed="false">
      <c r="A38" s="10" t="s">
        <v>623</v>
      </c>
      <c r="B38" s="9" t="s">
        <v>44</v>
      </c>
      <c r="C38" s="43" t="n">
        <f aca="false">C18*Assumptions!$E$39*C9</f>
        <v>0</v>
      </c>
      <c r="D38" s="43" t="n">
        <f aca="false">D18*Assumptions!$E$39*D9</f>
        <v>0</v>
      </c>
      <c r="E38" s="43" t="n">
        <f aca="false">E18*Assumptions!$E$39*E9</f>
        <v>0</v>
      </c>
      <c r="F38" s="43" t="n">
        <f aca="false">F18*Assumptions!$E$39*F9</f>
        <v>0</v>
      </c>
      <c r="G38" s="43" t="n">
        <f aca="false">G18*Assumptions!$E$39*G9</f>
        <v>0</v>
      </c>
      <c r="H38" s="43" t="n">
        <f aca="false">H18*Assumptions!$E$39*H9</f>
        <v>0</v>
      </c>
      <c r="I38" s="43" t="n">
        <f aca="false">I18*Assumptions!$E$39*I9</f>
        <v>818.389132603983</v>
      </c>
      <c r="J38" s="43" t="n">
        <f aca="false">J18*Assumptions!$E$39*J9</f>
        <v>818.062508920538</v>
      </c>
      <c r="K38" s="43" t="n">
        <f aca="false">K18*Assumptions!$E$39*K9</f>
        <v>819.161630556227</v>
      </c>
      <c r="L38" s="43" t="n">
        <f aca="false">L18*Assumptions!$E$39*L9</f>
        <v>824.87564238708</v>
      </c>
      <c r="M38" s="43" t="n">
        <f aca="false">M18*Assumptions!$E$39*M9</f>
        <v>834.61635229474</v>
      </c>
      <c r="N38" s="43" t="n">
        <f aca="false">N18*Assumptions!$E$39*N9</f>
        <v>847.856567396203</v>
      </c>
      <c r="O38" s="43" t="n">
        <f aca="false">O18*Assumptions!$E$39*O9</f>
        <v>864.175290417977</v>
      </c>
      <c r="P38" s="43" t="n">
        <f aca="false">P18*Assumptions!$E$39*P9</f>
        <v>883.259122677464</v>
      </c>
      <c r="Q38" s="43" t="n">
        <f aca="false">Q18*Assumptions!$E$39*Q9</f>
        <v>904.885394988159</v>
      </c>
      <c r="R38" s="43" t="n">
        <f aca="false">R18*Assumptions!$E$39*R9</f>
        <v>928.907277894533</v>
      </c>
      <c r="S38" s="43" t="n">
        <f aca="false">S18*Assumptions!$E$39*S9</f>
        <v>955.241654985846</v>
      </c>
      <c r="T38" s="43" t="n">
        <f aca="false">T18*Assumptions!$E$39*T9</f>
        <v>983.859478903618</v>
      </c>
      <c r="U38" s="43" t="n">
        <f aca="false">U18*Assumptions!$E$39*U9</f>
        <v>1014.77821491161</v>
      </c>
      <c r="V38" s="43" t="n">
        <f aca="false">V18*Assumptions!$E$39*V9</f>
        <v>1048.05601707188</v>
      </c>
      <c r="W38" s="43" t="n">
        <f aca="false">W18*Assumptions!$E$39*W9</f>
        <v>1083.78733647798</v>
      </c>
      <c r="X38" s="43" t="n">
        <f aca="false">X18*Assumptions!$E$39*X9</f>
        <v>1122.0997129344</v>
      </c>
      <c r="Y38" s="43" t="n">
        <f aca="false">Y18*Assumptions!$E$39*Y9</f>
        <v>1163.15154739458</v>
      </c>
      <c r="Z38" s="43" t="n">
        <f aca="false">Z18*Assumptions!$E$39*Z9</f>
        <v>1207.13069176443</v>
      </c>
      <c r="AA38" s="43" t="n">
        <f aca="false">AA18*Assumptions!$E$39*AA9</f>
        <v>1254.25372569558</v>
      </c>
      <c r="AB38" s="43" t="n">
        <f aca="false">AB18*Assumptions!$E$39*AB9</f>
        <v>1304.76581743865</v>
      </c>
      <c r="AC38" s="43" t="n">
        <f aca="false">AC18*Assumptions!$E$39*AC9</f>
        <v>1358.27305455283</v>
      </c>
      <c r="AD38" s="43" t="n">
        <f aca="false">AD18*Assumptions!$E$39*AD9</f>
        <v>1414.84283532884</v>
      </c>
      <c r="AE38" s="43" t="n">
        <f aca="false">AE18*Assumptions!$E$39*AE9</f>
        <v>1474.97274019887</v>
      </c>
      <c r="AF38" s="43" t="n">
        <f aca="false">AF18*Assumptions!$E$39*AF9</f>
        <v>1539.03864574301</v>
      </c>
      <c r="AG38" s="43" t="n">
        <f aca="false">AG18*Assumptions!$E$39*AG9</f>
        <v>1607.44029338036</v>
      </c>
      <c r="AH38" s="43" t="n">
        <f aca="false">AH18*Assumptions!$E$39*AH9</f>
        <v>1680.60822683289</v>
      </c>
      <c r="AI38" s="43" t="n">
        <f aca="false">AI18*Assumptions!$E$39*AI9</f>
        <v>1759.00718237536</v>
      </c>
      <c r="AJ38" s="43" t="n">
        <f aca="false">AJ18*Assumptions!$E$39*AJ9</f>
        <v>1843.13901553294</v>
      </c>
      <c r="AK38" s="43" t="n">
        <f aca="false">AK18*Assumptions!$E$39*AK9</f>
        <v>1933.54585707981</v>
      </c>
      <c r="AL38" s="43" t="n">
        <f aca="false">AL18*Assumptions!$E$39*AL9</f>
        <v>2030.81355786809</v>
      </c>
      <c r="AM38" s="43" t="n">
        <f aca="false">SUM(C38:AL38)</f>
        <v>36322.9945266085</v>
      </c>
    </row>
    <row r="39" customFormat="false" ht="15" hidden="false" customHeight="false" outlineLevel="0" collapsed="false">
      <c r="A39" s="10" t="s">
        <v>624</v>
      </c>
      <c r="B39" s="9" t="s">
        <v>44</v>
      </c>
      <c r="C39" s="43" t="n">
        <f aca="false">C38*Assumptions!$E$40</f>
        <v>0</v>
      </c>
      <c r="D39" s="43" t="n">
        <f aca="false">D38*Assumptions!$E$40</f>
        <v>0</v>
      </c>
      <c r="E39" s="43" t="n">
        <f aca="false">E38*Assumptions!$E$40</f>
        <v>0</v>
      </c>
      <c r="F39" s="43" t="n">
        <f aca="false">F38*Assumptions!$E$40</f>
        <v>0</v>
      </c>
      <c r="G39" s="43" t="n">
        <f aca="false">G38*Assumptions!$E$40</f>
        <v>0</v>
      </c>
      <c r="H39" s="43" t="n">
        <f aca="false">H38*Assumptions!$E$40</f>
        <v>0</v>
      </c>
      <c r="I39" s="43" t="n">
        <f aca="false">I38*Assumptions!$E$40</f>
        <v>572.872392822788</v>
      </c>
      <c r="J39" s="43" t="n">
        <f aca="false">J38*Assumptions!$E$40</f>
        <v>572.643756244377</v>
      </c>
      <c r="K39" s="43" t="n">
        <f aca="false">K38*Assumptions!$E$40</f>
        <v>573.413141389359</v>
      </c>
      <c r="L39" s="43" t="n">
        <f aca="false">L38*Assumptions!$E$40</f>
        <v>577.412949670956</v>
      </c>
      <c r="M39" s="43" t="n">
        <f aca="false">M38*Assumptions!$E$40</f>
        <v>584.231446606318</v>
      </c>
      <c r="N39" s="43" t="n">
        <f aca="false">N38*Assumptions!$E$40</f>
        <v>593.499597177342</v>
      </c>
      <c r="O39" s="43" t="n">
        <f aca="false">O38*Assumptions!$E$40</f>
        <v>604.922703292584</v>
      </c>
      <c r="P39" s="43" t="n">
        <f aca="false">P38*Assumptions!$E$40</f>
        <v>618.281385874225</v>
      </c>
      <c r="Q39" s="43" t="n">
        <f aca="false">Q38*Assumptions!$E$40</f>
        <v>633.419776491711</v>
      </c>
      <c r="R39" s="43" t="n">
        <f aca="false">R38*Assumptions!$E$40</f>
        <v>650.235094526173</v>
      </c>
      <c r="S39" s="43" t="n">
        <f aca="false">S38*Assumptions!$E$40</f>
        <v>668.669158490092</v>
      </c>
      <c r="T39" s="43" t="n">
        <f aca="false">T38*Assumptions!$E$40</f>
        <v>688.701635232533</v>
      </c>
      <c r="U39" s="43" t="n">
        <f aca="false">U38*Assumptions!$E$40</f>
        <v>710.344750438125</v>
      </c>
      <c r="V39" s="43" t="n">
        <f aca="false">V38*Assumptions!$E$40</f>
        <v>733.639211950316</v>
      </c>
      <c r="W39" s="43" t="n">
        <f aca="false">W38*Assumptions!$E$40</f>
        <v>758.651135534583</v>
      </c>
      <c r="X39" s="43" t="n">
        <f aca="false">X38*Assumptions!$E$40</f>
        <v>785.469799054083</v>
      </c>
      <c r="Y39" s="43" t="n">
        <f aca="false">Y38*Assumptions!$E$40</f>
        <v>814.206083176208</v>
      </c>
      <c r="Z39" s="43" t="n">
        <f aca="false">Z38*Assumptions!$E$40</f>
        <v>844.991484235104</v>
      </c>
      <c r="AA39" s="43" t="n">
        <f aca="false">AA38*Assumptions!$E$40</f>
        <v>877.977607986907</v>
      </c>
      <c r="AB39" s="43" t="n">
        <f aca="false">AB38*Assumptions!$E$40</f>
        <v>913.336072207052</v>
      </c>
      <c r="AC39" s="43" t="n">
        <f aca="false">AC38*Assumptions!$E$40</f>
        <v>950.79113818698</v>
      </c>
      <c r="AD39" s="43" t="n">
        <f aca="false">AD38*Assumptions!$E$40</f>
        <v>990.389984730185</v>
      </c>
      <c r="AE39" s="43" t="n">
        <f aca="false">AE38*Assumptions!$E$40</f>
        <v>1032.48091813921</v>
      </c>
      <c r="AF39" s="43" t="n">
        <f aca="false">AF38*Assumptions!$E$40</f>
        <v>1077.32705202011</v>
      </c>
      <c r="AG39" s="43" t="n">
        <f aca="false">AG38*Assumptions!$E$40</f>
        <v>1125.20820536625</v>
      </c>
      <c r="AH39" s="43" t="n">
        <f aca="false">AH38*Assumptions!$E$40</f>
        <v>1176.42575878302</v>
      </c>
      <c r="AI39" s="43" t="n">
        <f aca="false">AI38*Assumptions!$E$40</f>
        <v>1231.30502766275</v>
      </c>
      <c r="AJ39" s="43" t="n">
        <f aca="false">AJ38*Assumptions!$E$40</f>
        <v>1290.19731087306</v>
      </c>
      <c r="AK39" s="43" t="n">
        <f aca="false">AK38*Assumptions!$E$40</f>
        <v>1353.48209995587</v>
      </c>
      <c r="AL39" s="43" t="n">
        <f aca="false">AL38*Assumptions!$E$40</f>
        <v>1421.56949050766</v>
      </c>
      <c r="AM39" s="43" t="n">
        <f aca="false">SUM(C39:AL39)</f>
        <v>25426.0961686259</v>
      </c>
    </row>
    <row r="40" customFormat="false" ht="15" hidden="false" customHeight="false" outlineLevel="0" collapsed="false">
      <c r="A40" s="10" t="s">
        <v>625</v>
      </c>
      <c r="B40" s="9" t="s">
        <v>44</v>
      </c>
      <c r="C40" s="43" t="n">
        <f aca="false">C39*Assumptions!$E$41*C37</f>
        <v>0</v>
      </c>
      <c r="D40" s="43" t="n">
        <f aca="false">D39*Assumptions!$E$41*D37</f>
        <v>0</v>
      </c>
      <c r="E40" s="43" t="n">
        <f aca="false">E39*Assumptions!$E$41*E37</f>
        <v>0</v>
      </c>
      <c r="F40" s="43" t="n">
        <f aca="false">F39*Assumptions!$E$41*F37</f>
        <v>0</v>
      </c>
      <c r="G40" s="43" t="n">
        <f aca="false">G39*Assumptions!$E$41*G37</f>
        <v>0</v>
      </c>
      <c r="H40" s="43" t="n">
        <f aca="false">H39*Assumptions!$E$41*H37</f>
        <v>0</v>
      </c>
      <c r="I40" s="43" t="n">
        <f aca="false">I39*Assumptions!$E$41*I37</f>
        <v>119.615755621398</v>
      </c>
      <c r="J40" s="43" t="n">
        <f aca="false">J39*Assumptions!$E$41*J37</f>
        <v>127.871350769369</v>
      </c>
      <c r="K40" s="43" t="n">
        <f aca="false">K39*Assumptions!$E$41*K37</f>
        <v>136.35764502239</v>
      </c>
      <c r="L40" s="43" t="n">
        <f aca="false">L39*Assumptions!$E$41*L37</f>
        <v>145.681287201982</v>
      </c>
      <c r="M40" s="43" t="n">
        <f aca="false">M39*Assumptions!$E$41*M37</f>
        <v>155.872949954566</v>
      </c>
      <c r="N40" s="43" t="n">
        <f aca="false">N39*Assumptions!$E$41*N37</f>
        <v>166.951436685986</v>
      </c>
      <c r="O40" s="43" t="n">
        <f aca="false">O39*Assumptions!$E$41*O37</f>
        <v>178.936135633946</v>
      </c>
      <c r="P40" s="43" t="n">
        <f aca="false">P39*Assumptions!$E$41*P37</f>
        <v>191.852714036772</v>
      </c>
      <c r="Q40" s="43" t="n">
        <f aca="false">Q39*Assumptions!$E$41*Q37</f>
        <v>205.734743404508</v>
      </c>
      <c r="R40" s="43" t="n">
        <f aca="false">R39*Assumptions!$E$41*R37</f>
        <v>220.62476757273</v>
      </c>
      <c r="S40" s="43" t="n">
        <f aca="false">S39*Assumptions!$E$41*S37</f>
        <v>236.575148273795</v>
      </c>
      <c r="T40" s="43" t="n">
        <f aca="false">T39*Assumptions!$E$41*T37</f>
        <v>253.648812256142</v>
      </c>
      <c r="U40" s="43" t="n">
        <f aca="false">U39*Assumptions!$E$41*U37</f>
        <v>271.919970467714</v>
      </c>
      <c r="V40" s="43" t="n">
        <f aca="false">V39*Assumptions!$E$41*V37</f>
        <v>291.474858907861</v>
      </c>
      <c r="W40" s="43" t="n">
        <f aca="false">W39*Assumptions!$E$41*W37</f>
        <v>312.412537613141</v>
      </c>
      <c r="X40" s="43" t="n">
        <f aca="false">X39*Assumptions!$E$41*X37</f>
        <v>334.845775336756</v>
      </c>
      <c r="Y40" s="43" t="n">
        <f aca="false">Y39*Assumptions!$E$41*Y37</f>
        <v>358.902041464072</v>
      </c>
      <c r="Z40" s="43" t="n">
        <f aca="false">Z39*Assumptions!$E$41*Z37</f>
        <v>384.724622772243</v>
      </c>
      <c r="AA40" s="43" t="n">
        <f aca="false">AA39*Assumptions!$E$41*AA37</f>
        <v>412.473880232249</v>
      </c>
      <c r="AB40" s="43" t="n">
        <f aca="false">AB39*Assumptions!$E$41*AB37</f>
        <v>434.382635941674</v>
      </c>
      <c r="AC40" s="43" t="n">
        <f aca="false">AC39*Assumptions!$E$41*AC37</f>
        <v>452.196265321727</v>
      </c>
      <c r="AD40" s="43" t="n">
        <f aca="false">AD39*Assumptions!$E$41*AD37</f>
        <v>471.029476737676</v>
      </c>
      <c r="AE40" s="43" t="n">
        <f aca="false">AE39*Assumptions!$E$41*AE37</f>
        <v>491.047924667007</v>
      </c>
      <c r="AF40" s="43" t="n">
        <f aca="false">AF39*Assumptions!$E$41*AF37</f>
        <v>512.376745940764</v>
      </c>
      <c r="AG40" s="43" t="n">
        <f aca="false">AG39*Assumptions!$E$41*AG37</f>
        <v>535.149022472188</v>
      </c>
      <c r="AH40" s="43" t="n">
        <f aca="false">AH39*Assumptions!$E$41*AH37</f>
        <v>559.508090877205</v>
      </c>
      <c r="AI40" s="43" t="n">
        <f aca="false">AI39*Assumptions!$E$41*AI37</f>
        <v>585.608671156406</v>
      </c>
      <c r="AJ40" s="43" t="n">
        <f aca="false">AJ39*Assumptions!$E$41*AJ37</f>
        <v>613.617841051226</v>
      </c>
      <c r="AK40" s="43" t="n">
        <f aca="false">AK39*Assumptions!$E$41*AK37</f>
        <v>643.716086739009</v>
      </c>
      <c r="AL40" s="43" t="n">
        <f aca="false">AL39*Assumptions!$E$41*AL37</f>
        <v>676.098449685444</v>
      </c>
      <c r="AM40" s="43" t="n">
        <f aca="false">SUM(C40:AL40)</f>
        <v>10481.2076438179</v>
      </c>
    </row>
    <row r="41" customFormat="false" ht="15" hidden="false" customHeight="false" outlineLevel="0" collapsed="false">
      <c r="A41" s="10" t="s">
        <v>626</v>
      </c>
      <c r="B41" s="9" t="s">
        <v>44</v>
      </c>
      <c r="C41" s="43" t="n">
        <f aca="false">C40*Assumptions!$E$45</f>
        <v>0</v>
      </c>
      <c r="D41" s="43" t="n">
        <f aca="false">D40*Assumptions!$E$45</f>
        <v>0</v>
      </c>
      <c r="E41" s="43" t="n">
        <f aca="false">E40*Assumptions!$E$45</f>
        <v>0</v>
      </c>
      <c r="F41" s="43" t="n">
        <f aca="false">F40*Assumptions!$E$45</f>
        <v>0</v>
      </c>
      <c r="G41" s="43" t="n">
        <f aca="false">G40*Assumptions!$E$45</f>
        <v>0</v>
      </c>
      <c r="H41" s="43" t="n">
        <f aca="false">H40*Assumptions!$E$45</f>
        <v>0</v>
      </c>
      <c r="I41" s="43" t="n">
        <f aca="false">I40*Assumptions!$E$45</f>
        <v>66.984823147983</v>
      </c>
      <c r="J41" s="43" t="n">
        <f aca="false">J40*Assumptions!$E$45</f>
        <v>71.6079564308468</v>
      </c>
      <c r="K41" s="43" t="n">
        <f aca="false">K40*Assumptions!$E$45</f>
        <v>76.3602812125382</v>
      </c>
      <c r="L41" s="43" t="n">
        <f aca="false">L40*Assumptions!$E$45</f>
        <v>81.58152083311</v>
      </c>
      <c r="M41" s="43" t="n">
        <f aca="false">M40*Assumptions!$E$45</f>
        <v>87.2888519745567</v>
      </c>
      <c r="N41" s="43" t="n">
        <f aca="false">N40*Assumptions!$E$45</f>
        <v>93.4928045441523</v>
      </c>
      <c r="O41" s="43" t="n">
        <f aca="false">O40*Assumptions!$E$45</f>
        <v>100.20423595501</v>
      </c>
      <c r="P41" s="43" t="n">
        <f aca="false">P40*Assumptions!$E$45</f>
        <v>107.437519860592</v>
      </c>
      <c r="Q41" s="43" t="n">
        <f aca="false">Q40*Assumptions!$E$45</f>
        <v>115.211456306524</v>
      </c>
      <c r="R41" s="43" t="n">
        <f aca="false">R40*Assumptions!$E$45</f>
        <v>123.549869840729</v>
      </c>
      <c r="S41" s="43" t="n">
        <f aca="false">S40*Assumptions!$E$45</f>
        <v>132.482083033325</v>
      </c>
      <c r="T41" s="43" t="n">
        <f aca="false">T40*Assumptions!$E$45</f>
        <v>142.043334863439</v>
      </c>
      <c r="U41" s="43" t="n">
        <f aca="false">U40*Assumptions!$E$45</f>
        <v>152.27518346192</v>
      </c>
      <c r="V41" s="43" t="n">
        <f aca="false">V40*Assumptions!$E$45</f>
        <v>163.225920988402</v>
      </c>
      <c r="W41" s="43" t="n">
        <f aca="false">W40*Assumptions!$E$45</f>
        <v>174.951021063359</v>
      </c>
      <c r="X41" s="43" t="n">
        <f aca="false">X40*Assumptions!$E$45</f>
        <v>187.513634188583</v>
      </c>
      <c r="Y41" s="43" t="n">
        <f aca="false">Y40*Assumptions!$E$45</f>
        <v>200.98514321988</v>
      </c>
      <c r="Z41" s="43" t="n">
        <f aca="false">Z40*Assumptions!$E$45</f>
        <v>215.445788752456</v>
      </c>
      <c r="AA41" s="43" t="n">
        <f aca="false">AA40*Assumptions!$E$45</f>
        <v>230.985372930059</v>
      </c>
      <c r="AB41" s="43" t="n">
        <f aca="false">AB40*Assumptions!$E$45</f>
        <v>243.254276127337</v>
      </c>
      <c r="AC41" s="43" t="n">
        <f aca="false">AC40*Assumptions!$E$45</f>
        <v>253.229908580167</v>
      </c>
      <c r="AD41" s="43" t="n">
        <f aca="false">AD40*Assumptions!$E$45</f>
        <v>263.776506973099</v>
      </c>
      <c r="AE41" s="43" t="n">
        <f aca="false">AE40*Assumptions!$E$45</f>
        <v>274.986837813524</v>
      </c>
      <c r="AF41" s="43" t="n">
        <f aca="false">AF40*Assumptions!$E$45</f>
        <v>286.930977726828</v>
      </c>
      <c r="AG41" s="43" t="n">
        <f aca="false">AG40*Assumptions!$E$45</f>
        <v>299.683452584425</v>
      </c>
      <c r="AH41" s="43" t="n">
        <f aca="false">AH40*Assumptions!$E$45</f>
        <v>313.324530891235</v>
      </c>
      <c r="AI41" s="43" t="n">
        <f aca="false">AI40*Assumptions!$E$45</f>
        <v>327.940855847587</v>
      </c>
      <c r="AJ41" s="43" t="n">
        <f aca="false">AJ40*Assumptions!$E$45</f>
        <v>343.625990988687</v>
      </c>
      <c r="AK41" s="43" t="n">
        <f aca="false">AK40*Assumptions!$E$45</f>
        <v>360.481008573845</v>
      </c>
      <c r="AL41" s="43" t="n">
        <f aca="false">AL40*Assumptions!$E$45</f>
        <v>378.615131823849</v>
      </c>
      <c r="AM41" s="43" t="n">
        <f aca="false">SUM(C41:AL41)</f>
        <v>5869.47628053805</v>
      </c>
    </row>
    <row r="42" customFormat="false" ht="15" hidden="false" customHeight="false" outlineLevel="0" collapsed="false">
      <c r="A42" s="10" t="s">
        <v>627</v>
      </c>
      <c r="B42" s="9" t="s">
        <v>44</v>
      </c>
      <c r="C42" s="43" t="n">
        <f aca="false">C41*Assumptions!$E$46</f>
        <v>0</v>
      </c>
      <c r="D42" s="43" t="n">
        <f aca="false">D41*Assumptions!$E$46</f>
        <v>0</v>
      </c>
      <c r="E42" s="43" t="n">
        <f aca="false">E41*Assumptions!$E$46</f>
        <v>0</v>
      </c>
      <c r="F42" s="43" t="n">
        <f aca="false">F41*Assumptions!$E$46</f>
        <v>0</v>
      </c>
      <c r="G42" s="43" t="n">
        <f aca="false">G41*Assumptions!$E$46</f>
        <v>0</v>
      </c>
      <c r="H42" s="43" t="n">
        <f aca="false">H41*Assumptions!$E$46</f>
        <v>0</v>
      </c>
      <c r="I42" s="43" t="n">
        <f aca="false">I41*Assumptions!$E$46</f>
        <v>55.5974032128258</v>
      </c>
      <c r="J42" s="43" t="n">
        <f aca="false">J41*Assumptions!$E$46</f>
        <v>59.4346038376029</v>
      </c>
      <c r="K42" s="43" t="n">
        <f aca="false">K41*Assumptions!$E$46</f>
        <v>63.3790334064067</v>
      </c>
      <c r="L42" s="43" t="n">
        <f aca="false">L41*Assumptions!$E$46</f>
        <v>67.7126622914813</v>
      </c>
      <c r="M42" s="43" t="n">
        <f aca="false">M41*Assumptions!$E$46</f>
        <v>72.4497471388821</v>
      </c>
      <c r="N42" s="43" t="n">
        <f aca="false">N41*Assumptions!$E$46</f>
        <v>77.5990277716464</v>
      </c>
      <c r="O42" s="43" t="n">
        <f aca="false">O41*Assumptions!$E$46</f>
        <v>83.1695158426582</v>
      </c>
      <c r="P42" s="43" t="n">
        <f aca="false">P41*Assumptions!$E$46</f>
        <v>89.1731414842916</v>
      </c>
      <c r="Q42" s="43" t="n">
        <f aca="false">Q41*Assumptions!$E$46</f>
        <v>95.6255087344153</v>
      </c>
      <c r="R42" s="43" t="n">
        <f aca="false">R41*Assumptions!$E$46</f>
        <v>102.546391967805</v>
      </c>
      <c r="S42" s="43" t="n">
        <f aca="false">S41*Assumptions!$E$46</f>
        <v>109.96012891766</v>
      </c>
      <c r="T42" s="43" t="n">
        <f aca="false">T41*Assumptions!$E$46</f>
        <v>117.895967936655</v>
      </c>
      <c r="U42" s="43" t="n">
        <f aca="false">U41*Assumptions!$E$46</f>
        <v>126.388402273394</v>
      </c>
      <c r="V42" s="43" t="n">
        <f aca="false">V41*Assumptions!$E$46</f>
        <v>135.477514420374</v>
      </c>
      <c r="W42" s="43" t="n">
        <f aca="false">W41*Assumptions!$E$46</f>
        <v>145.209347482588</v>
      </c>
      <c r="X42" s="43" t="n">
        <f aca="false">X41*Assumptions!$E$46</f>
        <v>155.636316376524</v>
      </c>
      <c r="Y42" s="43" t="n">
        <f aca="false">Y41*Assumptions!$E$46</f>
        <v>166.817668872501</v>
      </c>
      <c r="Z42" s="43" t="n">
        <f aca="false">Z41*Assumptions!$E$46</f>
        <v>178.820004664539</v>
      </c>
      <c r="AA42" s="43" t="n">
        <f aca="false">AA41*Assumptions!$E$46</f>
        <v>191.717859531949</v>
      </c>
      <c r="AB42" s="43" t="n">
        <f aca="false">AB41*Assumptions!$E$46</f>
        <v>201.90104918569</v>
      </c>
      <c r="AC42" s="43" t="n">
        <f aca="false">AC41*Assumptions!$E$46</f>
        <v>210.180824121539</v>
      </c>
      <c r="AD42" s="43" t="n">
        <f aca="false">AD41*Assumptions!$E$46</f>
        <v>218.934500787672</v>
      </c>
      <c r="AE42" s="43" t="n">
        <f aca="false">AE41*Assumptions!$E$46</f>
        <v>228.239075385225</v>
      </c>
      <c r="AF42" s="43" t="n">
        <f aca="false">AF41*Assumptions!$E$46</f>
        <v>238.152711513267</v>
      </c>
      <c r="AG42" s="43" t="n">
        <f aca="false">AG41*Assumptions!$E$46</f>
        <v>248.737265645073</v>
      </c>
      <c r="AH42" s="43" t="n">
        <f aca="false">AH41*Assumptions!$E$46</f>
        <v>260.059360639725</v>
      </c>
      <c r="AI42" s="43" t="n">
        <f aca="false">AI41*Assumptions!$E$46</f>
        <v>272.190910353497</v>
      </c>
      <c r="AJ42" s="43" t="n">
        <f aca="false">AJ41*Assumptions!$E$46</f>
        <v>285.20957252061</v>
      </c>
      <c r="AK42" s="43" t="n">
        <f aca="false">AK41*Assumptions!$E$46</f>
        <v>299.199237116292</v>
      </c>
      <c r="AL42" s="43" t="n">
        <f aca="false">AL41*Assumptions!$E$46</f>
        <v>314.250559413794</v>
      </c>
      <c r="AM42" s="43" t="n">
        <f aca="false">SUM(C42:AL42)</f>
        <v>4871.66531284658</v>
      </c>
    </row>
    <row r="43" customFormat="false" ht="15" hidden="false" customHeight="false" outlineLevel="0" collapsed="false">
      <c r="A43" s="10" t="s">
        <v>628</v>
      </c>
      <c r="B43" s="9" t="s">
        <v>44</v>
      </c>
      <c r="C43" s="43" t="n">
        <f aca="false">C42*Assumptions!$E$47</f>
        <v>0</v>
      </c>
      <c r="D43" s="43" t="n">
        <f aca="false">D42*Assumptions!$E$47</f>
        <v>0</v>
      </c>
      <c r="E43" s="43" t="n">
        <f aca="false">E42*Assumptions!$E$47</f>
        <v>0</v>
      </c>
      <c r="F43" s="43" t="n">
        <f aca="false">F42*Assumptions!$E$47</f>
        <v>0</v>
      </c>
      <c r="G43" s="43" t="n">
        <f aca="false">G42*Assumptions!$E$47</f>
        <v>0</v>
      </c>
      <c r="H43" s="43" t="n">
        <f aca="false">H42*Assumptions!$E$47</f>
        <v>0</v>
      </c>
      <c r="I43" s="43" t="n">
        <f aca="false">I42*Assumptions!$E$47</f>
        <v>34.470389991952</v>
      </c>
      <c r="J43" s="43" t="n">
        <f aca="false">J42*Assumptions!$E$47</f>
        <v>36.8494543793138</v>
      </c>
      <c r="K43" s="43" t="n">
        <f aca="false">K42*Assumptions!$E$47</f>
        <v>39.2950007119721</v>
      </c>
      <c r="L43" s="43" t="n">
        <f aca="false">L42*Assumptions!$E$47</f>
        <v>41.9818506207184</v>
      </c>
      <c r="M43" s="43" t="n">
        <f aca="false">M42*Assumptions!$E$47</f>
        <v>44.9188432261069</v>
      </c>
      <c r="N43" s="43" t="n">
        <f aca="false">N42*Assumptions!$E$47</f>
        <v>48.1113972184208</v>
      </c>
      <c r="O43" s="43" t="n">
        <f aca="false">O42*Assumptions!$E$47</f>
        <v>51.5650998224481</v>
      </c>
      <c r="P43" s="43" t="n">
        <f aca="false">P42*Assumptions!$E$47</f>
        <v>55.2873477202608</v>
      </c>
      <c r="Q43" s="43" t="n">
        <f aca="false">Q42*Assumptions!$E$47</f>
        <v>59.2878154153375</v>
      </c>
      <c r="R43" s="43" t="n">
        <f aca="false">R42*Assumptions!$E$47</f>
        <v>63.5787630200392</v>
      </c>
      <c r="S43" s="43" t="n">
        <f aca="false">S42*Assumptions!$E$47</f>
        <v>68.1752799289491</v>
      </c>
      <c r="T43" s="43" t="n">
        <f aca="false">T42*Assumptions!$E$47</f>
        <v>73.0955001207259</v>
      </c>
      <c r="U43" s="43" t="n">
        <f aca="false">U42*Assumptions!$E$47</f>
        <v>78.360809409504</v>
      </c>
      <c r="V43" s="43" t="n">
        <f aca="false">V42*Assumptions!$E$47</f>
        <v>83.9960589406316</v>
      </c>
      <c r="W43" s="43" t="n">
        <f aca="false">W42*Assumptions!$E$47</f>
        <v>90.0297954392046</v>
      </c>
      <c r="X43" s="43" t="n">
        <f aca="false">X42*Assumptions!$E$47</f>
        <v>96.4945161534449</v>
      </c>
      <c r="Y43" s="43" t="n">
        <f aca="false">Y42*Assumptions!$E$47</f>
        <v>103.426954700951</v>
      </c>
      <c r="Z43" s="43" t="n">
        <f aca="false">Z42*Assumptions!$E$47</f>
        <v>110.868402892014</v>
      </c>
      <c r="AA43" s="43" t="n">
        <f aca="false">AA42*Assumptions!$E$47</f>
        <v>118.865072909809</v>
      </c>
      <c r="AB43" s="43" t="n">
        <f aca="false">AB42*Assumptions!$E$47</f>
        <v>125.178650495128</v>
      </c>
      <c r="AC43" s="43" t="n">
        <f aca="false">AC42*Assumptions!$E$47</f>
        <v>130.312110955354</v>
      </c>
      <c r="AD43" s="43" t="n">
        <f aca="false">AD42*Assumptions!$E$47</f>
        <v>135.739390488356</v>
      </c>
      <c r="AE43" s="43" t="n">
        <f aca="false">AE42*Assumptions!$E$47</f>
        <v>141.50822673884</v>
      </c>
      <c r="AF43" s="43" t="n">
        <f aca="false">AF42*Assumptions!$E$47</f>
        <v>147.654681138226</v>
      </c>
      <c r="AG43" s="43" t="n">
        <f aca="false">AG42*Assumptions!$E$47</f>
        <v>154.217104699945</v>
      </c>
      <c r="AH43" s="43" t="n">
        <f aca="false">AH42*Assumptions!$E$47</f>
        <v>161.23680359663</v>
      </c>
      <c r="AI43" s="43" t="n">
        <f aca="false">AI42*Assumptions!$E$47</f>
        <v>168.758364419168</v>
      </c>
      <c r="AJ43" s="43" t="n">
        <f aca="false">AJ42*Assumptions!$E$47</f>
        <v>176.829934962778</v>
      </c>
      <c r="AK43" s="43" t="n">
        <f aca="false">AK42*Assumptions!$E$47</f>
        <v>185.503527012101</v>
      </c>
      <c r="AL43" s="43" t="n">
        <f aca="false">AL42*Assumptions!$E$47</f>
        <v>194.835346836553</v>
      </c>
      <c r="AM43" s="43" t="n">
        <f aca="false">SUM(C43:AL43)</f>
        <v>3020.43249396488</v>
      </c>
    </row>
    <row r="44" customFormat="false" ht="15" hidden="false" customHeight="false" outlineLevel="0" collapsed="false">
      <c r="A44" s="10" t="s">
        <v>629</v>
      </c>
      <c r="B44" s="9" t="s">
        <v>44</v>
      </c>
      <c r="C44" s="43" t="n">
        <f aca="false">C43*Assumptions!$E$48</f>
        <v>0</v>
      </c>
      <c r="D44" s="43" t="n">
        <f aca="false">D43*Assumptions!$E$48</f>
        <v>0</v>
      </c>
      <c r="E44" s="43" t="n">
        <f aca="false">E43*Assumptions!$E$48</f>
        <v>0</v>
      </c>
      <c r="F44" s="43" t="n">
        <f aca="false">F43*Assumptions!$E$48</f>
        <v>0</v>
      </c>
      <c r="G44" s="43" t="n">
        <f aca="false">G43*Assumptions!$E$48</f>
        <v>0</v>
      </c>
      <c r="H44" s="43" t="n">
        <f aca="false">H43*Assumptions!$E$48</f>
        <v>0</v>
      </c>
      <c r="I44" s="43" t="n">
        <f aca="false">I43*Assumptions!$E$48</f>
        <v>22.7504573946883</v>
      </c>
      <c r="J44" s="43" t="n">
        <f aca="false">J43*Assumptions!$E$48</f>
        <v>24.3206398903471</v>
      </c>
      <c r="K44" s="43" t="n">
        <f aca="false">K43*Assumptions!$E$48</f>
        <v>25.9347004699016</v>
      </c>
      <c r="L44" s="43" t="n">
        <f aca="false">L43*Assumptions!$E$48</f>
        <v>27.7080214096742</v>
      </c>
      <c r="M44" s="43" t="n">
        <f aca="false">M43*Assumptions!$E$48</f>
        <v>29.6464365292305</v>
      </c>
      <c r="N44" s="43" t="n">
        <f aca="false">N43*Assumptions!$E$48</f>
        <v>31.7535221641577</v>
      </c>
      <c r="O44" s="43" t="n">
        <f aca="false">O43*Assumptions!$E$48</f>
        <v>34.0329658828157</v>
      </c>
      <c r="P44" s="43" t="n">
        <f aca="false">P43*Assumptions!$E$48</f>
        <v>36.4896494953721</v>
      </c>
      <c r="Q44" s="43" t="n">
        <f aca="false">Q43*Assumptions!$E$48</f>
        <v>39.1299581741227</v>
      </c>
      <c r="R44" s="43" t="n">
        <f aca="false">R43*Assumptions!$E$48</f>
        <v>41.9619835932259</v>
      </c>
      <c r="S44" s="43" t="n">
        <f aca="false">S43*Assumptions!$E$48</f>
        <v>44.9956847531064</v>
      </c>
      <c r="T44" s="43" t="n">
        <f aca="false">T43*Assumptions!$E$48</f>
        <v>48.2430300796791</v>
      </c>
      <c r="U44" s="43" t="n">
        <f aca="false">U43*Assumptions!$E$48</f>
        <v>51.7181342102726</v>
      </c>
      <c r="V44" s="43" t="n">
        <f aca="false">V43*Assumptions!$E$48</f>
        <v>55.4373989008169</v>
      </c>
      <c r="W44" s="43" t="n">
        <f aca="false">W43*Assumptions!$E$48</f>
        <v>59.4196649898751</v>
      </c>
      <c r="X44" s="43" t="n">
        <f aca="false">X43*Assumptions!$E$48</f>
        <v>63.6863806612736</v>
      </c>
      <c r="Y44" s="43" t="n">
        <f aca="false">Y43*Assumptions!$E$48</f>
        <v>68.2617901026273</v>
      </c>
      <c r="Z44" s="43" t="n">
        <f aca="false">Z43*Assumptions!$E$48</f>
        <v>73.1731459087292</v>
      </c>
      <c r="AA44" s="43" t="n">
        <f aca="false">AA43*Assumptions!$E$48</f>
        <v>78.4509481204737</v>
      </c>
      <c r="AB44" s="43" t="n">
        <f aca="false">AB43*Assumptions!$E$48</f>
        <v>82.6179093267844</v>
      </c>
      <c r="AC44" s="43" t="n">
        <f aca="false">AC43*Assumptions!$E$48</f>
        <v>86.0059932305337</v>
      </c>
      <c r="AD44" s="43" t="n">
        <f aca="false">AD43*Assumptions!$E$48</f>
        <v>89.5879977223153</v>
      </c>
      <c r="AE44" s="43" t="n">
        <f aca="false">AE43*Assumptions!$E$48</f>
        <v>93.3954296476341</v>
      </c>
      <c r="AF44" s="43" t="n">
        <f aca="false">AF43*Assumptions!$E$48</f>
        <v>97.4520895512288</v>
      </c>
      <c r="AG44" s="43" t="n">
        <f aca="false">AG43*Assumptions!$E$48</f>
        <v>101.783289101964</v>
      </c>
      <c r="AH44" s="43" t="n">
        <f aca="false">AH43*Assumptions!$E$48</f>
        <v>106.416290373775</v>
      </c>
      <c r="AI44" s="43" t="n">
        <f aca="false">AI43*Assumptions!$E$48</f>
        <v>111.380520516651</v>
      </c>
      <c r="AJ44" s="43" t="n">
        <f aca="false">AJ43*Assumptions!$E$48</f>
        <v>116.707757075434</v>
      </c>
      <c r="AK44" s="43" t="n">
        <f aca="false">AK43*Assumptions!$E$48</f>
        <v>122.432327827986</v>
      </c>
      <c r="AL44" s="43" t="n">
        <f aca="false">AL43*Assumptions!$E$48</f>
        <v>128.591328912125</v>
      </c>
      <c r="AM44" s="43" t="n">
        <f aca="false">SUM(C44:AL44)</f>
        <v>1993.48544601682</v>
      </c>
    </row>
    <row r="45" customFormat="false" ht="15" hidden="false" customHeight="false" outlineLevel="0" collapsed="false">
      <c r="A45" s="26" t="s">
        <v>630</v>
      </c>
      <c r="B45" s="9" t="s">
        <v>44</v>
      </c>
      <c r="C45" s="52" t="n">
        <f aca="false">C44</f>
        <v>0</v>
      </c>
      <c r="D45" s="52" t="n">
        <f aca="false">C45*(1-Assumptions!$E$49)+D44</f>
        <v>0</v>
      </c>
      <c r="E45" s="52" t="n">
        <f aca="false">D45*(1-Assumptions!$E$49)+E44</f>
        <v>0</v>
      </c>
      <c r="F45" s="52" t="n">
        <f aca="false">E45*(1-Assumptions!$E$49)+F44</f>
        <v>0</v>
      </c>
      <c r="G45" s="52" t="n">
        <f aca="false">F45*(1-Assumptions!$E$49)+G44</f>
        <v>0</v>
      </c>
      <c r="H45" s="52" t="n">
        <f aca="false">G45*(1-Assumptions!$E$49)+H44</f>
        <v>0</v>
      </c>
      <c r="I45" s="52" t="n">
        <f aca="false">H45*(1-Assumptions!$E$49)+I44</f>
        <v>22.7504573946883</v>
      </c>
      <c r="J45" s="52" t="n">
        <f aca="false">I45*(1-Assumptions!$E$49)+J44</f>
        <v>44.5685469716197</v>
      </c>
      <c r="K45" s="52" t="n">
        <f aca="false">J45*(1-Assumptions!$E$49)+K44</f>
        <v>65.6007072746432</v>
      </c>
      <c r="L45" s="52" t="n">
        <f aca="false">K45*(1-Assumptions!$E$49)+L44</f>
        <v>86.0926508841066</v>
      </c>
      <c r="M45" s="52" t="n">
        <f aca="false">L45*(1-Assumptions!$E$49)+M44</f>
        <v>106.268895816085</v>
      </c>
      <c r="N45" s="52" t="n">
        <f aca="false">M45*(1-Assumptions!$E$49)+N44</f>
        <v>126.332839440474</v>
      </c>
      <c r="O45" s="52" t="n">
        <f aca="false">N45*(1-Assumptions!$E$49)+O44</f>
        <v>146.469192984837</v>
      </c>
      <c r="P45" s="52" t="n">
        <f aca="false">O45*(1-Assumptions!$E$49)+P44</f>
        <v>166.847231251877</v>
      </c>
      <c r="Q45" s="52" t="n">
        <f aca="false">P45*(1-Assumptions!$E$49)+Q44</f>
        <v>187.623993988294</v>
      </c>
      <c r="R45" s="52" t="n">
        <f aca="false">Q45*(1-Assumptions!$E$49)+R44</f>
        <v>208.947338242807</v>
      </c>
      <c r="S45" s="52" t="n">
        <f aca="false">R45*(1-Assumptions!$E$49)+S44</f>
        <v>230.958815789205</v>
      </c>
      <c r="T45" s="52" t="n">
        <f aca="false">S45*(1-Assumptions!$E$49)+T44</f>
        <v>253.796376132071</v>
      </c>
      <c r="U45" s="52" t="n">
        <f aca="false">T45*(1-Assumptions!$E$49)+U44</f>
        <v>277.596908967816</v>
      </c>
      <c r="V45" s="52" t="n">
        <f aca="false">U45*(1-Assumptions!$E$49)+V44</f>
        <v>302.498647882173</v>
      </c>
      <c r="W45" s="52" t="n">
        <f aca="false">V45*(1-Assumptions!$E$49)+W44</f>
        <v>328.643461605009</v>
      </c>
      <c r="X45" s="52" t="n">
        <f aca="false">W45*(1-Assumptions!$E$49)+X44</f>
        <v>356.179061489732</v>
      </c>
      <c r="Y45" s="52" t="n">
        <f aca="false">X45*(1-Assumptions!$E$49)+Y44</f>
        <v>385.261154828489</v>
      </c>
      <c r="Z45" s="52" t="n">
        <f aca="false">Y45*(1-Assumptions!$E$49)+Z44</f>
        <v>416.055573706084</v>
      </c>
      <c r="AA45" s="52" t="n">
        <f aca="false">Z45*(1-Assumptions!$E$49)+AA44</f>
        <v>448.740408718889</v>
      </c>
      <c r="AB45" s="52" t="n">
        <f aca="false">AA45*(1-Assumptions!$E$49)+AB44</f>
        <v>481.996873086595</v>
      </c>
      <c r="AC45" s="52" t="n">
        <f aca="false">AB45*(1-Assumptions!$E$49)+AC44</f>
        <v>514.983210277604</v>
      </c>
      <c r="AD45" s="52" t="n">
        <f aca="false">AC45*(1-Assumptions!$E$49)+AD44</f>
        <v>547.923054869382</v>
      </c>
      <c r="AE45" s="52" t="n">
        <f aca="false">AD45*(1-Assumptions!$E$49)+AE44</f>
        <v>581.046948481384</v>
      </c>
      <c r="AF45" s="52" t="n">
        <f aca="false">AE45*(1-Assumptions!$E$49)+AF44</f>
        <v>614.583873699661</v>
      </c>
      <c r="AG45" s="52" t="n">
        <f aca="false">AF45*(1-Assumptions!$E$49)+AG44</f>
        <v>648.762936694662</v>
      </c>
      <c r="AH45" s="52" t="n">
        <f aca="false">AG45*(1-Assumptions!$E$49)+AH44</f>
        <v>683.815304032025</v>
      </c>
      <c r="AI45" s="52" t="n">
        <f aca="false">AH45*(1-Assumptions!$E$49)+AI44</f>
        <v>719.976141105153</v>
      </c>
      <c r="AJ45" s="52" t="n">
        <f aca="false">AI45*(1-Assumptions!$E$49)+AJ44</f>
        <v>757.48652265902</v>
      </c>
      <c r="AK45" s="52" t="n">
        <f aca="false">AJ45*(1-Assumptions!$E$49)+AK44</f>
        <v>796.595332994514</v>
      </c>
      <c r="AL45" s="52" t="n">
        <f aca="false">AK45*(1-Assumptions!$E$49)+AL44</f>
        <v>837.561175277242</v>
      </c>
      <c r="AM45" s="52" t="n">
        <f aca="false">AL45</f>
        <v>837.561175277242</v>
      </c>
    </row>
    <row r="46" customFormat="false" ht="15" hidden="false" customHeight="false" outlineLevel="0" collapsed="false">
      <c r="A46" s="10" t="s">
        <v>631</v>
      </c>
      <c r="B46" s="9" t="s">
        <v>44</v>
      </c>
      <c r="C46" s="43" t="n">
        <f aca="false">0</f>
        <v>0</v>
      </c>
      <c r="D46" s="43" t="n">
        <f aca="false">C45*Assumptions!$E$49</f>
        <v>0</v>
      </c>
      <c r="E46" s="43" t="n">
        <f aca="false">D45*Assumptions!$E$49</f>
        <v>0</v>
      </c>
      <c r="F46" s="43" t="n">
        <f aca="false">E45*Assumptions!$E$49</f>
        <v>0</v>
      </c>
      <c r="G46" s="43" t="n">
        <f aca="false">F45*Assumptions!$E$49</f>
        <v>0</v>
      </c>
      <c r="H46" s="43" t="n">
        <f aca="false">G45*Assumptions!$E$49</f>
        <v>0</v>
      </c>
      <c r="I46" s="43" t="n">
        <f aca="false">H45*Assumptions!$E$49</f>
        <v>0</v>
      </c>
      <c r="J46" s="43" t="n">
        <f aca="false">I45*Assumptions!$E$49</f>
        <v>2.50255031341572</v>
      </c>
      <c r="K46" s="43" t="n">
        <f aca="false">J45*Assumptions!$E$49</f>
        <v>4.90254016687817</v>
      </c>
      <c r="L46" s="43" t="n">
        <f aca="false">K45*Assumptions!$E$49</f>
        <v>7.21607780021075</v>
      </c>
      <c r="M46" s="43" t="n">
        <f aca="false">L45*Assumptions!$E$49</f>
        <v>9.47019159725172</v>
      </c>
      <c r="N46" s="43" t="n">
        <f aca="false">M45*Assumptions!$E$49</f>
        <v>11.6895785397694</v>
      </c>
      <c r="O46" s="43" t="n">
        <f aca="false">N45*Assumptions!$E$49</f>
        <v>13.8966123384521</v>
      </c>
      <c r="P46" s="43" t="n">
        <f aca="false">O45*Assumptions!$E$49</f>
        <v>16.1116112283321</v>
      </c>
      <c r="Q46" s="43" t="n">
        <f aca="false">P45*Assumptions!$E$49</f>
        <v>18.3531954377065</v>
      </c>
      <c r="R46" s="43" t="n">
        <f aca="false">Q45*Assumptions!$E$49</f>
        <v>20.6386393387123</v>
      </c>
      <c r="S46" s="43" t="n">
        <f aca="false">R45*Assumptions!$E$49</f>
        <v>22.9842072067088</v>
      </c>
      <c r="T46" s="43" t="n">
        <f aca="false">S45*Assumptions!$E$49</f>
        <v>25.4054697368125</v>
      </c>
      <c r="U46" s="43" t="n">
        <f aca="false">T45*Assumptions!$E$49</f>
        <v>27.9176013745278</v>
      </c>
      <c r="V46" s="43" t="n">
        <f aca="false">U45*Assumptions!$E$49</f>
        <v>30.5356599864598</v>
      </c>
      <c r="W46" s="43" t="n">
        <f aca="false">V45*Assumptions!$E$49</f>
        <v>33.2748512670391</v>
      </c>
      <c r="X46" s="43" t="n">
        <f aca="false">W45*Assumptions!$E$49</f>
        <v>36.150780776551</v>
      </c>
      <c r="Y46" s="43" t="n">
        <f aca="false">X45*Assumptions!$E$49</f>
        <v>39.1796967638705</v>
      </c>
      <c r="Z46" s="43" t="n">
        <f aca="false">Y45*Assumptions!$E$49</f>
        <v>42.3787270311338</v>
      </c>
      <c r="AA46" s="43" t="n">
        <f aca="false">Z45*Assumptions!$E$49</f>
        <v>45.7661131076693</v>
      </c>
      <c r="AB46" s="43" t="n">
        <f aca="false">AA45*Assumptions!$E$49</f>
        <v>49.3614449590777</v>
      </c>
      <c r="AC46" s="43" t="n">
        <f aca="false">AB45*Assumptions!$E$49</f>
        <v>53.0196560395255</v>
      </c>
      <c r="AD46" s="43" t="n">
        <f aca="false">AC45*Assumptions!$E$49</f>
        <v>56.6481531305364</v>
      </c>
      <c r="AE46" s="43" t="n">
        <f aca="false">AD45*Assumptions!$E$49</f>
        <v>60.2715360356321</v>
      </c>
      <c r="AF46" s="43" t="n">
        <f aca="false">AE45*Assumptions!$E$49</f>
        <v>63.9151643329523</v>
      </c>
      <c r="AG46" s="43" t="n">
        <f aca="false">AF45*Assumptions!$E$49</f>
        <v>67.6042261069627</v>
      </c>
      <c r="AH46" s="43" t="n">
        <f aca="false">AG45*Assumptions!$E$49</f>
        <v>71.3639230364128</v>
      </c>
      <c r="AI46" s="43" t="n">
        <f aca="false">AH45*Assumptions!$E$49</f>
        <v>75.2196834435227</v>
      </c>
      <c r="AJ46" s="43" t="n">
        <f aca="false">AI45*Assumptions!$E$49</f>
        <v>79.1973755215668</v>
      </c>
      <c r="AK46" s="43" t="n">
        <f aca="false">AJ45*Assumptions!$E$49</f>
        <v>83.3235174924922</v>
      </c>
      <c r="AL46" s="43" t="n">
        <f aca="false">AK45*Assumptions!$E$49</f>
        <v>87.6254866293966</v>
      </c>
      <c r="AM46" s="43" t="n">
        <f aca="false">SUM(C46:AL46)</f>
        <v>1155.92427073958</v>
      </c>
    </row>
    <row r="47" customFormat="false" ht="15" hidden="false" customHeight="false" outlineLevel="0" collapsed="false">
      <c r="A47" s="10" t="s">
        <v>632</v>
      </c>
      <c r="B47" s="9" t="s">
        <v>90</v>
      </c>
      <c r="C47" s="50" t="n">
        <f aca="false">C45*Assumptions!$E$51</f>
        <v>0</v>
      </c>
      <c r="D47" s="50" t="n">
        <f aca="false">D45*Assumptions!$E$51</f>
        <v>0</v>
      </c>
      <c r="E47" s="50" t="n">
        <f aca="false">E45*Assumptions!$E$51</f>
        <v>0</v>
      </c>
      <c r="F47" s="50" t="n">
        <f aca="false">F45*Assumptions!$E$51</f>
        <v>0</v>
      </c>
      <c r="G47" s="50" t="n">
        <f aca="false">G45*Assumptions!$E$51</f>
        <v>0</v>
      </c>
      <c r="H47" s="50" t="n">
        <f aca="false">H45*Assumptions!$E$51</f>
        <v>0</v>
      </c>
      <c r="I47" s="50" t="n">
        <f aca="false">I45*Assumptions!$E$51</f>
        <v>5664.8638912774</v>
      </c>
      <c r="J47" s="50" t="n">
        <f aca="false">J45*Assumptions!$E$51</f>
        <v>11097.5681959333</v>
      </c>
      <c r="K47" s="50" t="n">
        <f aca="false">K45*Assumptions!$E$51</f>
        <v>16334.5761113861</v>
      </c>
      <c r="L47" s="50" t="n">
        <f aca="false">L45*Assumptions!$E$51</f>
        <v>21437.0700701425</v>
      </c>
      <c r="M47" s="50" t="n">
        <f aca="false">M45*Assumptions!$E$51</f>
        <v>26460.9550582053</v>
      </c>
      <c r="N47" s="50" t="n">
        <f aca="false">N45*Assumptions!$E$51</f>
        <v>31456.8770206779</v>
      </c>
      <c r="O47" s="50" t="n">
        <f aca="false">O45*Assumptions!$E$51</f>
        <v>36470.8290532245</v>
      </c>
      <c r="P47" s="50" t="n">
        <f aca="false">P45*Assumptions!$E$51</f>
        <v>41544.9605817175</v>
      </c>
      <c r="Q47" s="50" t="n">
        <f aca="false">Q45*Assumptions!$E$51</f>
        <v>46718.3745030851</v>
      </c>
      <c r="R47" s="50" t="n">
        <f aca="false">R45*Assumptions!$E$51</f>
        <v>52027.887222459</v>
      </c>
      <c r="S47" s="50" t="n">
        <f aca="false">S45*Assumptions!$E$51</f>
        <v>57508.745131512</v>
      </c>
      <c r="T47" s="50" t="n">
        <f aca="false">T45*Assumptions!$E$51</f>
        <v>63195.2976568858</v>
      </c>
      <c r="U47" s="50" t="n">
        <f aca="false">U45*Assumptions!$E$51</f>
        <v>69121.6303329862</v>
      </c>
      <c r="V47" s="50" t="n">
        <f aca="false">V45*Assumptions!$E$51</f>
        <v>75322.1633226611</v>
      </c>
      <c r="W47" s="50" t="n">
        <f aca="false">W45*Assumptions!$E$51</f>
        <v>81832.2219396473</v>
      </c>
      <c r="X47" s="50" t="n">
        <f aca="false">X45*Assumptions!$E$51</f>
        <v>88688.5863109432</v>
      </c>
      <c r="Y47" s="50" t="n">
        <f aca="false">Y45*Assumptions!$E$51</f>
        <v>95930.0275522937</v>
      </c>
      <c r="Z47" s="50" t="n">
        <f aca="false">Z45*Assumptions!$E$51</f>
        <v>103597.837852815</v>
      </c>
      <c r="AA47" s="50" t="n">
        <f aca="false">AA45*Assumptions!$E$51</f>
        <v>111736.361771003</v>
      </c>
      <c r="AB47" s="50" t="n">
        <f aca="false">AB45*Assumptions!$E$51</f>
        <v>120017.221398562</v>
      </c>
      <c r="AC47" s="50" t="n">
        <f aca="false">AC45*Assumptions!$E$51</f>
        <v>128230.819359123</v>
      </c>
      <c r="AD47" s="50" t="n">
        <f aca="false">AD45*Assumptions!$E$51</f>
        <v>136432.840662476</v>
      </c>
      <c r="AE47" s="50" t="n">
        <f aca="false">AE45*Assumptions!$E$51</f>
        <v>144680.690171865</v>
      </c>
      <c r="AF47" s="50" t="n">
        <f aca="false">AF45*Assumptions!$E$51</f>
        <v>153031.384551216</v>
      </c>
      <c r="AG47" s="50" t="n">
        <f aca="false">AG45*Assumptions!$E$51</f>
        <v>161541.971236971</v>
      </c>
      <c r="AH47" s="50" t="n">
        <f aca="false">AH45*Assumptions!$E$51</f>
        <v>170270.010703974</v>
      </c>
      <c r="AI47" s="50" t="n">
        <f aca="false">AI45*Assumptions!$E$51</f>
        <v>179274.059135183</v>
      </c>
      <c r="AJ47" s="50" t="n">
        <f aca="false">AJ45*Assumptions!$E$51</f>
        <v>188614.144142096</v>
      </c>
      <c r="AK47" s="50" t="n">
        <f aca="false">AK45*Assumptions!$E$51</f>
        <v>198352.237915634</v>
      </c>
      <c r="AL47" s="50" t="n">
        <f aca="false">AL45*Assumptions!$E$51</f>
        <v>208552.732644033</v>
      </c>
      <c r="AM47" s="50" t="n">
        <f aca="false">SUM(C47:AL47)</f>
        <v>2825144.94549999</v>
      </c>
    </row>
    <row r="48" customFormat="false" ht="15" hidden="false" customHeight="false" outlineLevel="0" collapsed="false">
      <c r="A48" s="10" t="s">
        <v>633</v>
      </c>
      <c r="B48" s="9" t="s">
        <v>90</v>
      </c>
      <c r="C48" s="50" t="n">
        <f aca="false">C41*Assumptions!$E$52</f>
        <v>0</v>
      </c>
      <c r="D48" s="50" t="n">
        <f aca="false">D41*Assumptions!$E$52</f>
        <v>0</v>
      </c>
      <c r="E48" s="50" t="n">
        <f aca="false">E41*Assumptions!$E$52</f>
        <v>0</v>
      </c>
      <c r="F48" s="50" t="n">
        <f aca="false">F41*Assumptions!$E$52</f>
        <v>0</v>
      </c>
      <c r="G48" s="50" t="n">
        <f aca="false">G41*Assumptions!$E$52</f>
        <v>0</v>
      </c>
      <c r="H48" s="50" t="n">
        <f aca="false">H41*Assumptions!$E$52</f>
        <v>0</v>
      </c>
      <c r="I48" s="50" t="n">
        <f aca="false">I41*Assumptions!$E$52</f>
        <v>3952.10456573099</v>
      </c>
      <c r="J48" s="50" t="n">
        <f aca="false">J41*Assumptions!$E$52</f>
        <v>4224.86942941996</v>
      </c>
      <c r="K48" s="50" t="n">
        <f aca="false">K41*Assumptions!$E$52</f>
        <v>4505.25659153975</v>
      </c>
      <c r="L48" s="50" t="n">
        <f aca="false">L41*Assumptions!$E$52</f>
        <v>4813.30972915349</v>
      </c>
      <c r="M48" s="50" t="n">
        <f aca="false">M41*Assumptions!$E$52</f>
        <v>5150.04226649885</v>
      </c>
      <c r="N48" s="50" t="n">
        <f aca="false">N41*Assumptions!$E$52</f>
        <v>5516.07546810499</v>
      </c>
      <c r="O48" s="50" t="n">
        <f aca="false">O41*Assumptions!$E$52</f>
        <v>5912.04992134558</v>
      </c>
      <c r="P48" s="50" t="n">
        <f aca="false">P41*Assumptions!$E$52</f>
        <v>6338.81367177494</v>
      </c>
      <c r="Q48" s="50" t="n">
        <f aca="false">Q41*Assumptions!$E$52</f>
        <v>6797.47592208494</v>
      </c>
      <c r="R48" s="50" t="n">
        <f aca="false">R41*Assumptions!$E$52</f>
        <v>7289.44232060301</v>
      </c>
      <c r="S48" s="50" t="n">
        <f aca="false">S41*Assumptions!$E$52</f>
        <v>7816.44289896618</v>
      </c>
      <c r="T48" s="50" t="n">
        <f aca="false">T41*Assumptions!$E$52</f>
        <v>8380.55675694293</v>
      </c>
      <c r="U48" s="50" t="n">
        <f aca="false">U41*Assumptions!$E$52</f>
        <v>8984.23582425328</v>
      </c>
      <c r="V48" s="50" t="n">
        <f aca="false">V41*Assumptions!$E$52</f>
        <v>9630.32933831571</v>
      </c>
      <c r="W48" s="50" t="n">
        <f aca="false">W41*Assumptions!$E$52</f>
        <v>10322.1102427382</v>
      </c>
      <c r="X48" s="50" t="n">
        <f aca="false">X41*Assumptions!$E$52</f>
        <v>11063.3044171264</v>
      </c>
      <c r="Y48" s="50" t="n">
        <f aca="false">Y41*Assumptions!$E$52</f>
        <v>11858.1234499729</v>
      </c>
      <c r="Z48" s="50" t="n">
        <f aca="false">Z41*Assumptions!$E$52</f>
        <v>12711.3015363949</v>
      </c>
      <c r="AA48" s="50" t="n">
        <f aca="false">AA41*Assumptions!$E$52</f>
        <v>13628.1370028735</v>
      </c>
      <c r="AB48" s="50" t="n">
        <f aca="false">AB41*Assumptions!$E$52</f>
        <v>14352.0022915129</v>
      </c>
      <c r="AC48" s="50" t="n">
        <f aca="false">AC41*Assumptions!$E$52</f>
        <v>14940.5646062299</v>
      </c>
      <c r="AD48" s="50" t="n">
        <f aca="false">AD41*Assumptions!$E$52</f>
        <v>15562.8139114128</v>
      </c>
      <c r="AE48" s="50" t="n">
        <f aca="false">AE41*Assumptions!$E$52</f>
        <v>16224.2234309979</v>
      </c>
      <c r="AF48" s="50" t="n">
        <f aca="false">AF41*Assumptions!$E$52</f>
        <v>16928.9276858828</v>
      </c>
      <c r="AG48" s="50" t="n">
        <f aca="false">AG41*Assumptions!$E$52</f>
        <v>17681.3237024811</v>
      </c>
      <c r="AH48" s="50" t="n">
        <f aca="false">AH41*Assumptions!$E$52</f>
        <v>18486.1473225829</v>
      </c>
      <c r="AI48" s="50" t="n">
        <f aca="false">AI41*Assumptions!$E$52</f>
        <v>19348.5104950076</v>
      </c>
      <c r="AJ48" s="50" t="n">
        <f aca="false">AJ41*Assumptions!$E$52</f>
        <v>20273.9334683325</v>
      </c>
      <c r="AK48" s="50" t="n">
        <f aca="false">AK41*Assumptions!$E$52</f>
        <v>21268.3795058569</v>
      </c>
      <c r="AL48" s="50" t="n">
        <f aca="false">AL41*Assumptions!$E$52</f>
        <v>22338.2927776071</v>
      </c>
      <c r="AM48" s="50" t="n">
        <f aca="false">SUM(C48:AL48)</f>
        <v>346299.100551745</v>
      </c>
    </row>
    <row r="49" customFormat="false" ht="15" hidden="false" customHeight="false" outlineLevel="0" collapsed="false">
      <c r="A49" s="10" t="s">
        <v>634</v>
      </c>
      <c r="B49" s="9" t="s">
        <v>90</v>
      </c>
      <c r="C49" s="50" t="n">
        <f aca="false">C47+C48</f>
        <v>0</v>
      </c>
      <c r="D49" s="50" t="n">
        <f aca="false">D47+D48</f>
        <v>0</v>
      </c>
      <c r="E49" s="50" t="n">
        <f aca="false">E47+E48</f>
        <v>0</v>
      </c>
      <c r="F49" s="50" t="n">
        <f aca="false">F47+F48</f>
        <v>0</v>
      </c>
      <c r="G49" s="50" t="n">
        <f aca="false">G47+G48</f>
        <v>0</v>
      </c>
      <c r="H49" s="50" t="n">
        <f aca="false">H47+H48</f>
        <v>0</v>
      </c>
      <c r="I49" s="50" t="n">
        <f aca="false">I47+I48</f>
        <v>9616.96845700839</v>
      </c>
      <c r="J49" s="50" t="n">
        <f aca="false">J47+J48</f>
        <v>15322.4376253533</v>
      </c>
      <c r="K49" s="50" t="n">
        <f aca="false">K47+K48</f>
        <v>20839.8327029259</v>
      </c>
      <c r="L49" s="50" t="n">
        <f aca="false">L47+L48</f>
        <v>26250.379799296</v>
      </c>
      <c r="M49" s="50" t="n">
        <f aca="false">M47+M48</f>
        <v>31610.9973247041</v>
      </c>
      <c r="N49" s="50" t="n">
        <f aca="false">N47+N48</f>
        <v>36972.9524887829</v>
      </c>
      <c r="O49" s="50" t="n">
        <f aca="false">O47+O48</f>
        <v>42382.8789745701</v>
      </c>
      <c r="P49" s="50" t="n">
        <f aca="false">P47+P48</f>
        <v>47883.7742534924</v>
      </c>
      <c r="Q49" s="50" t="n">
        <f aca="false">Q47+Q48</f>
        <v>53515.85042517</v>
      </c>
      <c r="R49" s="50" t="n">
        <f aca="false">R47+R48</f>
        <v>59317.329543062</v>
      </c>
      <c r="S49" s="50" t="n">
        <f aca="false">S47+S48</f>
        <v>65325.1880304781</v>
      </c>
      <c r="T49" s="50" t="n">
        <f aca="false">T47+T48</f>
        <v>71575.8544138287</v>
      </c>
      <c r="U49" s="50" t="n">
        <f aca="false">U47+U48</f>
        <v>78105.8661572395</v>
      </c>
      <c r="V49" s="50" t="n">
        <f aca="false">V47+V48</f>
        <v>84952.4926609768</v>
      </c>
      <c r="W49" s="50" t="n">
        <f aca="false">W47+W48</f>
        <v>92154.3321823855</v>
      </c>
      <c r="X49" s="50" t="n">
        <f aca="false">X47+X48</f>
        <v>99751.8907280696</v>
      </c>
      <c r="Y49" s="50" t="n">
        <f aca="false">Y47+Y48</f>
        <v>107788.151002267</v>
      </c>
      <c r="Z49" s="50" t="n">
        <f aca="false">Z47+Z48</f>
        <v>116309.13938921</v>
      </c>
      <c r="AA49" s="50" t="n">
        <f aca="false">AA47+AA48</f>
        <v>125364.498773877</v>
      </c>
      <c r="AB49" s="50" t="n">
        <f aca="false">AB47+AB48</f>
        <v>134369.223690075</v>
      </c>
      <c r="AC49" s="50" t="n">
        <f aca="false">AC47+AC48</f>
        <v>143171.383965353</v>
      </c>
      <c r="AD49" s="50" t="n">
        <f aca="false">AD47+AD48</f>
        <v>151995.654573889</v>
      </c>
      <c r="AE49" s="50" t="n">
        <f aca="false">AE47+AE48</f>
        <v>160904.913602863</v>
      </c>
      <c r="AF49" s="50" t="n">
        <f aca="false">AF47+AF48</f>
        <v>169960.312237098</v>
      </c>
      <c r="AG49" s="50" t="n">
        <f aca="false">AG47+AG48</f>
        <v>179223.294939452</v>
      </c>
      <c r="AH49" s="50" t="n">
        <f aca="false">AH47+AH48</f>
        <v>188756.158026557</v>
      </c>
      <c r="AI49" s="50" t="n">
        <f aca="false">AI47+AI48</f>
        <v>198622.569630191</v>
      </c>
      <c r="AJ49" s="50" t="n">
        <f aca="false">AJ47+AJ48</f>
        <v>208888.077610428</v>
      </c>
      <c r="AK49" s="50" t="n">
        <f aca="false">AK47+AK48</f>
        <v>219620.617421491</v>
      </c>
      <c r="AL49" s="50" t="n">
        <f aca="false">AL47+AL48</f>
        <v>230891.02542164</v>
      </c>
      <c r="AM49" s="50" t="n">
        <f aca="false">SUM(C49:AL49)</f>
        <v>3171444.04605173</v>
      </c>
    </row>
    <row r="50" customFormat="false" ht="15" hidden="false" customHeight="false" outlineLevel="0" collapsed="false">
      <c r="A50" s="10" t="s">
        <v>635</v>
      </c>
      <c r="B50" s="9" t="s">
        <v>90</v>
      </c>
      <c r="C50" s="50" t="n">
        <f aca="false">-C49*Assumptions!$E$61</f>
        <v>-0</v>
      </c>
      <c r="D50" s="50" t="n">
        <f aca="false">-D49*Assumptions!$E$61</f>
        <v>-0</v>
      </c>
      <c r="E50" s="50" t="n">
        <f aca="false">-E49*Assumptions!$E$61</f>
        <v>-0</v>
      </c>
      <c r="F50" s="50" t="n">
        <f aca="false">-F49*Assumptions!$E$61</f>
        <v>-0</v>
      </c>
      <c r="G50" s="50" t="n">
        <f aca="false">-G49*Assumptions!$E$61</f>
        <v>-0</v>
      </c>
      <c r="H50" s="50" t="n">
        <f aca="false">-H49*Assumptions!$E$61</f>
        <v>-0</v>
      </c>
      <c r="I50" s="50" t="n">
        <f aca="false">-I49*Assumptions!$E$61</f>
        <v>-288.509053710252</v>
      </c>
      <c r="J50" s="50" t="n">
        <f aca="false">-J49*Assumptions!$E$61</f>
        <v>-459.673128760598</v>
      </c>
      <c r="K50" s="50" t="n">
        <f aca="false">-K49*Assumptions!$E$61</f>
        <v>-625.194981087777</v>
      </c>
      <c r="L50" s="50" t="n">
        <f aca="false">-L49*Assumptions!$E$61</f>
        <v>-787.511393978881</v>
      </c>
      <c r="M50" s="50" t="n">
        <f aca="false">-M49*Assumptions!$E$61</f>
        <v>-948.329919741123</v>
      </c>
      <c r="N50" s="50" t="n">
        <f aca="false">-N49*Assumptions!$E$61</f>
        <v>-1109.18857466349</v>
      </c>
      <c r="O50" s="50" t="n">
        <f aca="false">-O49*Assumptions!$E$61</f>
        <v>-1271.4863692371</v>
      </c>
      <c r="P50" s="50" t="n">
        <f aca="false">-P49*Assumptions!$E$61</f>
        <v>-1436.51322760477</v>
      </c>
      <c r="Q50" s="50" t="n">
        <f aca="false">-Q49*Assumptions!$E$61</f>
        <v>-1605.4755127551</v>
      </c>
      <c r="R50" s="50" t="n">
        <f aca="false">-R49*Assumptions!$E$61</f>
        <v>-1779.51988629186</v>
      </c>
      <c r="S50" s="50" t="n">
        <f aca="false">-S49*Assumptions!$E$61</f>
        <v>-1959.75564091434</v>
      </c>
      <c r="T50" s="50" t="n">
        <f aca="false">-T49*Assumptions!$E$61</f>
        <v>-2147.27563241486</v>
      </c>
      <c r="U50" s="50" t="n">
        <f aca="false">-U49*Assumptions!$E$61</f>
        <v>-2343.17598471718</v>
      </c>
      <c r="V50" s="50" t="n">
        <f aca="false">-V49*Assumptions!$E$61</f>
        <v>-2548.57477982931</v>
      </c>
      <c r="W50" s="50" t="n">
        <f aca="false">-W49*Assumptions!$E$61</f>
        <v>-2764.62996547156</v>
      </c>
      <c r="X50" s="50" t="n">
        <f aca="false">-X49*Assumptions!$E$61</f>
        <v>-2992.55672184209</v>
      </c>
      <c r="Y50" s="50" t="n">
        <f aca="false">-Y49*Assumptions!$E$61</f>
        <v>-3233.644530068</v>
      </c>
      <c r="Z50" s="50" t="n">
        <f aca="false">-Z49*Assumptions!$E$61</f>
        <v>-3489.2741816763</v>
      </c>
      <c r="AA50" s="50" t="n">
        <f aca="false">-AA49*Assumptions!$E$61</f>
        <v>-3760.9349632163</v>
      </c>
      <c r="AB50" s="50" t="n">
        <f aca="false">-AB49*Assumptions!$E$61</f>
        <v>-4031.07671070225</v>
      </c>
      <c r="AC50" s="50" t="n">
        <f aca="false">-AC49*Assumptions!$E$61</f>
        <v>-4295.14151896059</v>
      </c>
      <c r="AD50" s="50" t="n">
        <f aca="false">-AD49*Assumptions!$E$61</f>
        <v>-4559.86963721667</v>
      </c>
      <c r="AE50" s="50" t="n">
        <f aca="false">-AE49*Assumptions!$E$61</f>
        <v>-4827.14740808588</v>
      </c>
      <c r="AF50" s="50" t="n">
        <f aca="false">-AF49*Assumptions!$E$61</f>
        <v>-5098.80936711295</v>
      </c>
      <c r="AG50" s="50" t="n">
        <f aca="false">-AG49*Assumptions!$E$61</f>
        <v>-5376.69884818356</v>
      </c>
      <c r="AH50" s="50" t="n">
        <f aca="false">-AH49*Assumptions!$E$61</f>
        <v>-5662.68474079671</v>
      </c>
      <c r="AI50" s="50" t="n">
        <f aca="false">-AI49*Assumptions!$E$61</f>
        <v>-5958.67708890572</v>
      </c>
      <c r="AJ50" s="50" t="n">
        <f aca="false">-AJ49*Assumptions!$E$61</f>
        <v>-6266.64232831285</v>
      </c>
      <c r="AK50" s="50" t="n">
        <f aca="false">-AK49*Assumptions!$E$61</f>
        <v>-6588.61852264473</v>
      </c>
      <c r="AL50" s="50" t="n">
        <f aca="false">-AL49*Assumptions!$E$61</f>
        <v>-6926.73076264921</v>
      </c>
      <c r="AM50" s="50" t="n">
        <f aca="false">SUM(C50:AL50)</f>
        <v>-95143.321381552</v>
      </c>
    </row>
    <row r="51" customFormat="false" ht="15" hidden="false" customHeight="false" outlineLevel="0" collapsed="false">
      <c r="A51" s="26" t="s">
        <v>636</v>
      </c>
      <c r="B51" s="9" t="s">
        <v>90</v>
      </c>
      <c r="C51" s="35" t="n">
        <f aca="false">C49+C50</f>
        <v>0</v>
      </c>
      <c r="D51" s="35" t="n">
        <f aca="false">D49+D50</f>
        <v>0</v>
      </c>
      <c r="E51" s="35" t="n">
        <f aca="false">E49+E50</f>
        <v>0</v>
      </c>
      <c r="F51" s="35" t="n">
        <f aca="false">F49+F50</f>
        <v>0</v>
      </c>
      <c r="G51" s="35" t="n">
        <f aca="false">G49+G50</f>
        <v>0</v>
      </c>
      <c r="H51" s="35" t="n">
        <f aca="false">H49+H50</f>
        <v>0</v>
      </c>
      <c r="I51" s="35" t="n">
        <f aca="false">I49+I50</f>
        <v>9328.45940329814</v>
      </c>
      <c r="J51" s="35" t="n">
        <f aca="false">J49+J50</f>
        <v>14862.7644965927</v>
      </c>
      <c r="K51" s="35" t="n">
        <f aca="false">K49+K50</f>
        <v>20214.6377218381</v>
      </c>
      <c r="L51" s="35" t="n">
        <f aca="false">L49+L50</f>
        <v>25462.8684053171</v>
      </c>
      <c r="M51" s="35" t="n">
        <f aca="false">M49+M50</f>
        <v>30662.667404963</v>
      </c>
      <c r="N51" s="35" t="n">
        <f aca="false">N49+N50</f>
        <v>35863.7639141194</v>
      </c>
      <c r="O51" s="35" t="n">
        <f aca="false">O49+O50</f>
        <v>41111.392605333</v>
      </c>
      <c r="P51" s="35" t="n">
        <f aca="false">P49+P50</f>
        <v>46447.2610258876</v>
      </c>
      <c r="Q51" s="35" t="n">
        <f aca="false">Q49+Q50</f>
        <v>51910.3749124149</v>
      </c>
      <c r="R51" s="35" t="n">
        <f aca="false">R49+R50</f>
        <v>57537.8096567701</v>
      </c>
      <c r="S51" s="35" t="n">
        <f aca="false">S49+S50</f>
        <v>63365.4323895638</v>
      </c>
      <c r="T51" s="35" t="n">
        <f aca="false">T49+T50</f>
        <v>69428.5787814138</v>
      </c>
      <c r="U51" s="35" t="n">
        <f aca="false">U49+U50</f>
        <v>75762.6901725223</v>
      </c>
      <c r="V51" s="35" t="n">
        <f aca="false">V49+V50</f>
        <v>82403.9178811475</v>
      </c>
      <c r="W51" s="35" t="n">
        <f aca="false">W49+W50</f>
        <v>89389.7022169139</v>
      </c>
      <c r="X51" s="35" t="n">
        <f aca="false">X49+X50</f>
        <v>96759.3340062275</v>
      </c>
      <c r="Y51" s="35" t="n">
        <f aca="false">Y49+Y50</f>
        <v>104554.506472199</v>
      </c>
      <c r="Z51" s="35" t="n">
        <f aca="false">Z49+Z50</f>
        <v>112819.865207534</v>
      </c>
      <c r="AA51" s="35" t="n">
        <f aca="false">AA49+AA50</f>
        <v>121603.56381066</v>
      </c>
      <c r="AB51" s="35" t="n">
        <f aca="false">AB49+AB50</f>
        <v>130338.146979373</v>
      </c>
      <c r="AC51" s="35" t="n">
        <f aca="false">AC49+AC50</f>
        <v>138876.242446393</v>
      </c>
      <c r="AD51" s="35" t="n">
        <f aca="false">AD49+AD50</f>
        <v>147435.784936672</v>
      </c>
      <c r="AE51" s="35" t="n">
        <f aca="false">AE49+AE50</f>
        <v>156077.766194777</v>
      </c>
      <c r="AF51" s="35" t="n">
        <f aca="false">AF49+AF50</f>
        <v>164861.502869985</v>
      </c>
      <c r="AG51" s="35" t="n">
        <f aca="false">AG49+AG50</f>
        <v>173846.596091268</v>
      </c>
      <c r="AH51" s="35" t="n">
        <f aca="false">AH49+AH50</f>
        <v>183093.47328576</v>
      </c>
      <c r="AI51" s="35" t="n">
        <f aca="false">AI49+AI50</f>
        <v>192663.892541285</v>
      </c>
      <c r="AJ51" s="35" t="n">
        <f aca="false">AJ49+AJ50</f>
        <v>202621.435282116</v>
      </c>
      <c r="AK51" s="35" t="n">
        <f aca="false">AK49+AK50</f>
        <v>213031.998898846</v>
      </c>
      <c r="AL51" s="35" t="n">
        <f aca="false">AL49+AL50</f>
        <v>223964.294658991</v>
      </c>
      <c r="AM51" s="35" t="n">
        <f aca="false">SUM(C51:AL51)</f>
        <v>3076300.72467018</v>
      </c>
    </row>
    <row r="52" customFormat="false" ht="15" hidden="false" customHeight="false" outlineLevel="0" collapsed="false">
      <c r="A52" s="10" t="s">
        <v>637</v>
      </c>
      <c r="B52" s="9" t="s">
        <v>90</v>
      </c>
      <c r="C52" s="50" t="n">
        <f aca="false">-C45*Assumptions!$E$54</f>
        <v>-0</v>
      </c>
      <c r="D52" s="50" t="n">
        <f aca="false">-D45*Assumptions!$E$54</f>
        <v>-0</v>
      </c>
      <c r="E52" s="50" t="n">
        <f aca="false">-E45*Assumptions!$E$54</f>
        <v>-0</v>
      </c>
      <c r="F52" s="50" t="n">
        <f aca="false">-F45*Assumptions!$E$54</f>
        <v>-0</v>
      </c>
      <c r="G52" s="50" t="n">
        <f aca="false">-G45*Assumptions!$E$54</f>
        <v>-0</v>
      </c>
      <c r="H52" s="50" t="n">
        <f aca="false">-H45*Assumptions!$E$54</f>
        <v>-0</v>
      </c>
      <c r="I52" s="50" t="n">
        <f aca="false">-I45*Assumptions!$E$54</f>
        <v>-2002.04025073257</v>
      </c>
      <c r="J52" s="50" t="n">
        <f aca="false">-J45*Assumptions!$E$54</f>
        <v>-3922.03213350254</v>
      </c>
      <c r="K52" s="50" t="n">
        <f aca="false">-K45*Assumptions!$E$54</f>
        <v>-5772.8622401686</v>
      </c>
      <c r="L52" s="50" t="n">
        <f aca="false">-L45*Assumptions!$E$54</f>
        <v>-7576.15327780138</v>
      </c>
      <c r="M52" s="50" t="n">
        <f aca="false">-M45*Assumptions!$E$54</f>
        <v>-9351.66283181551</v>
      </c>
      <c r="N52" s="50" t="n">
        <f aca="false">-N45*Assumptions!$E$54</f>
        <v>-11117.2898707617</v>
      </c>
      <c r="O52" s="50" t="n">
        <f aca="false">-O45*Assumptions!$E$54</f>
        <v>-12889.2889826657</v>
      </c>
      <c r="P52" s="50" t="n">
        <f aca="false">-P45*Assumptions!$E$54</f>
        <v>-14682.5563501652</v>
      </c>
      <c r="Q52" s="50" t="n">
        <f aca="false">-Q45*Assumptions!$E$54</f>
        <v>-16510.9114709698</v>
      </c>
      <c r="R52" s="50" t="n">
        <f aca="false">-R45*Assumptions!$E$54</f>
        <v>-18387.365765367</v>
      </c>
      <c r="S52" s="50" t="n">
        <f aca="false">-S45*Assumptions!$E$54</f>
        <v>-20324.37578945</v>
      </c>
      <c r="T52" s="50" t="n">
        <f aca="false">-T45*Assumptions!$E$54</f>
        <v>-22334.0810996223</v>
      </c>
      <c r="U52" s="50" t="n">
        <f aca="false">-U45*Assumptions!$E$54</f>
        <v>-24428.5279891678</v>
      </c>
      <c r="V52" s="50" t="n">
        <f aca="false">-V45*Assumptions!$E$54</f>
        <v>-26619.8810136312</v>
      </c>
      <c r="W52" s="50" t="n">
        <f aca="false">-W45*Assumptions!$E$54</f>
        <v>-28920.6246212408</v>
      </c>
      <c r="X52" s="50" t="n">
        <f aca="false">-X45*Assumptions!$E$54</f>
        <v>-31343.7574110964</v>
      </c>
      <c r="Y52" s="50" t="n">
        <f aca="false">-Y45*Assumptions!$E$54</f>
        <v>-33902.981624907</v>
      </c>
      <c r="Z52" s="50" t="n">
        <f aca="false">-Z45*Assumptions!$E$54</f>
        <v>-36612.8904861354</v>
      </c>
      <c r="AA52" s="50" t="n">
        <f aca="false">-AA45*Assumptions!$E$54</f>
        <v>-39489.1559672622</v>
      </c>
      <c r="AB52" s="50" t="n">
        <f aca="false">-AB45*Assumptions!$E$54</f>
        <v>-42415.7248316204</v>
      </c>
      <c r="AC52" s="50" t="n">
        <f aca="false">-AC45*Assumptions!$E$54</f>
        <v>-45318.5225044291</v>
      </c>
      <c r="AD52" s="50" t="n">
        <f aca="false">-AD45*Assumptions!$E$54</f>
        <v>-48217.2288285056</v>
      </c>
      <c r="AE52" s="50" t="n">
        <f aca="false">-AE45*Assumptions!$E$54</f>
        <v>-51132.1314663618</v>
      </c>
      <c r="AF52" s="50" t="n">
        <f aca="false">-AF45*Assumptions!$E$54</f>
        <v>-54083.3808855702</v>
      </c>
      <c r="AG52" s="50" t="n">
        <f aca="false">-AG45*Assumptions!$E$54</f>
        <v>-57091.1384291303</v>
      </c>
      <c r="AH52" s="50" t="n">
        <f aca="false">-AH45*Assumptions!$E$54</f>
        <v>-60175.7467548182</v>
      </c>
      <c r="AI52" s="50" t="n">
        <f aca="false">-AI45*Assumptions!$E$54</f>
        <v>-63357.9004172535</v>
      </c>
      <c r="AJ52" s="50" t="n">
        <f aca="false">-AJ45*Assumptions!$E$54</f>
        <v>-66658.8139939937</v>
      </c>
      <c r="AK52" s="50" t="n">
        <f aca="false">-AK45*Assumptions!$E$54</f>
        <v>-70100.3893035172</v>
      </c>
      <c r="AL52" s="50" t="n">
        <f aca="false">-AL45*Assumptions!$E$54</f>
        <v>-73705.3834243973</v>
      </c>
      <c r="AM52" s="50" t="n">
        <f aca="false">SUM(C52:AL52)</f>
        <v>-998444.800016061</v>
      </c>
    </row>
    <row r="53" customFormat="false" ht="15" hidden="false" customHeight="false" outlineLevel="0" collapsed="false">
      <c r="A53" s="10" t="s">
        <v>638</v>
      </c>
      <c r="B53" s="9" t="s">
        <v>90</v>
      </c>
      <c r="C53" s="50" t="n">
        <f aca="false">-C42*Assumptions!$E$55</f>
        <v>-0</v>
      </c>
      <c r="D53" s="50" t="n">
        <f aca="false">-D42*Assumptions!$E$55</f>
        <v>-0</v>
      </c>
      <c r="E53" s="50" t="n">
        <f aca="false">-E42*Assumptions!$E$55</f>
        <v>-0</v>
      </c>
      <c r="F53" s="50" t="n">
        <f aca="false">-F42*Assumptions!$E$55</f>
        <v>-0</v>
      </c>
      <c r="G53" s="50" t="n">
        <f aca="false">-G42*Assumptions!$E$55</f>
        <v>-0</v>
      </c>
      <c r="H53" s="50" t="n">
        <f aca="false">-H42*Assumptions!$E$55</f>
        <v>-0</v>
      </c>
      <c r="I53" s="50" t="n">
        <f aca="false">-I42*Assumptions!$E$55</f>
        <v>-2112.70132208738</v>
      </c>
      <c r="J53" s="50" t="n">
        <f aca="false">-J42*Assumptions!$E$55</f>
        <v>-2258.51494582891</v>
      </c>
      <c r="K53" s="50" t="n">
        <f aca="false">-K42*Assumptions!$E$55</f>
        <v>-2408.40326944345</v>
      </c>
      <c r="L53" s="50" t="n">
        <f aca="false">-L42*Assumptions!$E$55</f>
        <v>-2573.08116707629</v>
      </c>
      <c r="M53" s="50" t="n">
        <f aca="false">-M42*Assumptions!$E$55</f>
        <v>-2753.09039127752</v>
      </c>
      <c r="N53" s="50" t="n">
        <f aca="false">-N42*Assumptions!$E$55</f>
        <v>-2948.76305532256</v>
      </c>
      <c r="O53" s="50" t="n">
        <f aca="false">-O42*Assumptions!$E$55</f>
        <v>-3160.44160202101</v>
      </c>
      <c r="P53" s="50" t="n">
        <f aca="false">-P42*Assumptions!$E$55</f>
        <v>-3388.57937640308</v>
      </c>
      <c r="Q53" s="50" t="n">
        <f aca="false">-Q42*Assumptions!$E$55</f>
        <v>-3633.76933190778</v>
      </c>
      <c r="R53" s="50" t="n">
        <f aca="false">-R42*Assumptions!$E$55</f>
        <v>-3896.76289477659</v>
      </c>
      <c r="S53" s="50" t="n">
        <f aca="false">-S42*Assumptions!$E$55</f>
        <v>-4178.48489887107</v>
      </c>
      <c r="T53" s="50" t="n">
        <f aca="false">-T42*Assumptions!$E$55</f>
        <v>-4480.04678159288</v>
      </c>
      <c r="U53" s="50" t="n">
        <f aca="false">-U42*Assumptions!$E$55</f>
        <v>-4802.75928638895</v>
      </c>
      <c r="V53" s="50" t="n">
        <f aca="false">-V42*Assumptions!$E$55</f>
        <v>-5148.1455479742</v>
      </c>
      <c r="W53" s="50" t="n">
        <f aca="false">-W42*Assumptions!$E$55</f>
        <v>-5517.95520433835</v>
      </c>
      <c r="X53" s="50" t="n">
        <f aca="false">-X42*Assumptions!$E$55</f>
        <v>-5914.18002230791</v>
      </c>
      <c r="Y53" s="50" t="n">
        <f aca="false">-Y42*Assumptions!$E$55</f>
        <v>-6339.07141715503</v>
      </c>
      <c r="Z53" s="50" t="n">
        <f aca="false">-Z42*Assumptions!$E$55</f>
        <v>-6795.16017725246</v>
      </c>
      <c r="AA53" s="50" t="n">
        <f aca="false">-AA42*Assumptions!$E$55</f>
        <v>-7285.27866221408</v>
      </c>
      <c r="AB53" s="50" t="n">
        <f aca="false">-AB42*Assumptions!$E$55</f>
        <v>-7672.23986905622</v>
      </c>
      <c r="AC53" s="50" t="n">
        <f aca="false">-AC42*Assumptions!$E$55</f>
        <v>-7986.87131661848</v>
      </c>
      <c r="AD53" s="50" t="n">
        <f aca="false">-AD42*Assumptions!$E$55</f>
        <v>-8319.51102993153</v>
      </c>
      <c r="AE53" s="50" t="n">
        <f aca="false">-AE42*Assumptions!$E$55</f>
        <v>-8673.08486463855</v>
      </c>
      <c r="AF53" s="50" t="n">
        <f aca="false">-AF42*Assumptions!$E$55</f>
        <v>-9049.80303750414</v>
      </c>
      <c r="AG53" s="50" t="n">
        <f aca="false">-AG42*Assumptions!$E$55</f>
        <v>-9452.01609451277</v>
      </c>
      <c r="AH53" s="50" t="n">
        <f aca="false">-AH42*Assumptions!$E$55</f>
        <v>-9882.25570430955</v>
      </c>
      <c r="AI53" s="50" t="n">
        <f aca="false">-AI42*Assumptions!$E$55</f>
        <v>-10343.2545934329</v>
      </c>
      <c r="AJ53" s="50" t="n">
        <f aca="false">-AJ42*Assumptions!$E$55</f>
        <v>-10837.9637557832</v>
      </c>
      <c r="AK53" s="50" t="n">
        <f aca="false">-AK42*Assumptions!$E$55</f>
        <v>-11369.5710104191</v>
      </c>
      <c r="AL53" s="50" t="n">
        <f aca="false">-AL42*Assumptions!$E$55</f>
        <v>-11941.5212577242</v>
      </c>
      <c r="AM53" s="50" t="n">
        <f aca="false">SUM(C53:AL53)</f>
        <v>-185123.28188817</v>
      </c>
    </row>
    <row r="54" customFormat="false" ht="15" hidden="false" customHeight="false" outlineLevel="0" collapsed="false">
      <c r="A54" s="10" t="s">
        <v>639</v>
      </c>
      <c r="B54" s="9" t="s">
        <v>90</v>
      </c>
      <c r="C54" s="50" t="n">
        <f aca="false">-C45*Assumptions!$E$56</f>
        <v>-0</v>
      </c>
      <c r="D54" s="50" t="n">
        <f aca="false">-D45*Assumptions!$E$56</f>
        <v>-0</v>
      </c>
      <c r="E54" s="50" t="n">
        <f aca="false">-E45*Assumptions!$E$56</f>
        <v>-0</v>
      </c>
      <c r="F54" s="50" t="n">
        <f aca="false">-F45*Assumptions!$E$56</f>
        <v>-0</v>
      </c>
      <c r="G54" s="50" t="n">
        <f aca="false">-G45*Assumptions!$E$56</f>
        <v>-0</v>
      </c>
      <c r="H54" s="50" t="n">
        <f aca="false">-H45*Assumptions!$E$56</f>
        <v>-0</v>
      </c>
      <c r="I54" s="50" t="n">
        <f aca="false">-I45*Assumptions!$E$56</f>
        <v>-182.003659157507</v>
      </c>
      <c r="J54" s="50" t="n">
        <f aca="false">-J45*Assumptions!$E$56</f>
        <v>-356.548375772958</v>
      </c>
      <c r="K54" s="50" t="n">
        <f aca="false">-K45*Assumptions!$E$56</f>
        <v>-524.805658197145</v>
      </c>
      <c r="L54" s="50" t="n">
        <f aca="false">-L45*Assumptions!$E$56</f>
        <v>-688.741207072853</v>
      </c>
      <c r="M54" s="50" t="n">
        <f aca="false">-M45*Assumptions!$E$56</f>
        <v>-850.151166528683</v>
      </c>
      <c r="N54" s="50" t="n">
        <f aca="false">-N45*Assumptions!$E$56</f>
        <v>-1010.66271552379</v>
      </c>
      <c r="O54" s="50" t="n">
        <f aca="false">-O45*Assumptions!$E$56</f>
        <v>-1171.7535438787</v>
      </c>
      <c r="P54" s="50" t="n">
        <f aca="false">-P45*Assumptions!$E$56</f>
        <v>-1334.77785001502</v>
      </c>
      <c r="Q54" s="50" t="n">
        <f aca="false">-Q45*Assumptions!$E$56</f>
        <v>-1500.99195190635</v>
      </c>
      <c r="R54" s="50" t="n">
        <f aca="false">-R45*Assumptions!$E$56</f>
        <v>-1671.57870594246</v>
      </c>
      <c r="S54" s="50" t="n">
        <f aca="false">-S45*Assumptions!$E$56</f>
        <v>-1847.67052631364</v>
      </c>
      <c r="T54" s="50" t="n">
        <f aca="false">-T45*Assumptions!$E$56</f>
        <v>-2030.37100905657</v>
      </c>
      <c r="U54" s="50" t="n">
        <f aca="false">-U45*Assumptions!$E$56</f>
        <v>-2220.77527174253</v>
      </c>
      <c r="V54" s="50" t="n">
        <f aca="false">-V45*Assumptions!$E$56</f>
        <v>-2419.98918305739</v>
      </c>
      <c r="W54" s="50" t="n">
        <f aca="false">-W45*Assumptions!$E$56</f>
        <v>-2629.14769284007</v>
      </c>
      <c r="X54" s="50" t="n">
        <f aca="false">-X45*Assumptions!$E$56</f>
        <v>-2849.43249191786</v>
      </c>
      <c r="Y54" s="50" t="n">
        <f aca="false">-Y45*Assumptions!$E$56</f>
        <v>-3082.08923862791</v>
      </c>
      <c r="Z54" s="50" t="n">
        <f aca="false">-Z45*Assumptions!$E$56</f>
        <v>-3328.44458964867</v>
      </c>
      <c r="AA54" s="50" t="n">
        <f aca="false">-AA45*Assumptions!$E$56</f>
        <v>-3589.92326975111</v>
      </c>
      <c r="AB54" s="50" t="n">
        <f aca="false">-AB45*Assumptions!$E$56</f>
        <v>-3855.97498469276</v>
      </c>
      <c r="AC54" s="50" t="n">
        <f aca="false">-AC45*Assumptions!$E$56</f>
        <v>-4119.86568222083</v>
      </c>
      <c r="AD54" s="50" t="n">
        <f aca="false">-AD45*Assumptions!$E$56</f>
        <v>-4383.38443895506</v>
      </c>
      <c r="AE54" s="50" t="n">
        <f aca="false">-AE45*Assumptions!$E$56</f>
        <v>-4648.37558785108</v>
      </c>
      <c r="AF54" s="50" t="n">
        <f aca="false">-AF45*Assumptions!$E$56</f>
        <v>-4916.67098959729</v>
      </c>
      <c r="AG54" s="50" t="n">
        <f aca="false">-AG45*Assumptions!$E$56</f>
        <v>-5190.1034935573</v>
      </c>
      <c r="AH54" s="50" t="n">
        <f aca="false">-AH45*Assumptions!$E$56</f>
        <v>-5470.5224322562</v>
      </c>
      <c r="AI54" s="50" t="n">
        <f aca="false">-AI45*Assumptions!$E$56</f>
        <v>-5759.80912884123</v>
      </c>
      <c r="AJ54" s="50" t="n">
        <f aca="false">-AJ45*Assumptions!$E$56</f>
        <v>-6059.89218127216</v>
      </c>
      <c r="AK54" s="50" t="n">
        <f aca="false">-AK45*Assumptions!$E$56</f>
        <v>-6372.76266395611</v>
      </c>
      <c r="AL54" s="50" t="n">
        <f aca="false">-AL45*Assumptions!$E$56</f>
        <v>-6700.48940221794</v>
      </c>
      <c r="AM54" s="50" t="n">
        <f aca="false">SUM(C54:AL54)</f>
        <v>-90767.7090923691</v>
      </c>
    </row>
    <row r="55" customFormat="false" ht="15" hidden="false" customHeight="false" outlineLevel="0" collapsed="false">
      <c r="A55" s="10" t="s">
        <v>640</v>
      </c>
      <c r="B55" s="9" t="s">
        <v>90</v>
      </c>
      <c r="C55" s="50" t="n">
        <f aca="false">-C45*Assumptions!$E$57</f>
        <v>-0</v>
      </c>
      <c r="D55" s="50" t="n">
        <f aca="false">-D45*Assumptions!$E$57</f>
        <v>-0</v>
      </c>
      <c r="E55" s="50" t="n">
        <f aca="false">-E45*Assumptions!$E$57</f>
        <v>-0</v>
      </c>
      <c r="F55" s="50" t="n">
        <f aca="false">-F45*Assumptions!$E$57</f>
        <v>-0</v>
      </c>
      <c r="G55" s="50" t="n">
        <f aca="false">-G45*Assumptions!$E$57</f>
        <v>-0</v>
      </c>
      <c r="H55" s="50" t="n">
        <f aca="false">-H45*Assumptions!$E$57</f>
        <v>-0</v>
      </c>
      <c r="I55" s="50" t="n">
        <f aca="false">-I45*Assumptions!$E$57</f>
        <v>-409.50823310439</v>
      </c>
      <c r="J55" s="50" t="n">
        <f aca="false">-J45*Assumptions!$E$57</f>
        <v>-802.233845489155</v>
      </c>
      <c r="K55" s="50" t="n">
        <f aca="false">-K45*Assumptions!$E$57</f>
        <v>-1180.81273094358</v>
      </c>
      <c r="L55" s="50" t="n">
        <f aca="false">-L45*Assumptions!$E$57</f>
        <v>-1549.66771591392</v>
      </c>
      <c r="M55" s="50" t="n">
        <f aca="false">-M45*Assumptions!$E$57</f>
        <v>-1912.84012468954</v>
      </c>
      <c r="N55" s="50" t="n">
        <f aca="false">-N45*Assumptions!$E$57</f>
        <v>-2273.99110992853</v>
      </c>
      <c r="O55" s="50" t="n">
        <f aca="false">-O45*Assumptions!$E$57</f>
        <v>-2636.44547372707</v>
      </c>
      <c r="P55" s="50" t="n">
        <f aca="false">-P45*Assumptions!$E$57</f>
        <v>-3003.25016253379</v>
      </c>
      <c r="Q55" s="50" t="n">
        <f aca="false">-Q45*Assumptions!$E$57</f>
        <v>-3377.23189178928</v>
      </c>
      <c r="R55" s="50" t="n">
        <f aca="false">-R45*Assumptions!$E$57</f>
        <v>-3761.05208837053</v>
      </c>
      <c r="S55" s="50" t="n">
        <f aca="false">-S45*Assumptions!$E$57</f>
        <v>-4157.25868420568</v>
      </c>
      <c r="T55" s="50" t="n">
        <f aca="false">-T45*Assumptions!$E$57</f>
        <v>-4568.33477037728</v>
      </c>
      <c r="U55" s="50" t="n">
        <f aca="false">-U45*Assumptions!$E$57</f>
        <v>-4996.74436142069</v>
      </c>
      <c r="V55" s="50" t="n">
        <f aca="false">-V45*Assumptions!$E$57</f>
        <v>-5444.97566187912</v>
      </c>
      <c r="W55" s="50" t="n">
        <f aca="false">-W45*Assumptions!$E$57</f>
        <v>-5915.58230889017</v>
      </c>
      <c r="X55" s="50" t="n">
        <f aca="false">-X45*Assumptions!$E$57</f>
        <v>-6411.22310681517</v>
      </c>
      <c r="Y55" s="50" t="n">
        <f aca="false">-Y45*Assumptions!$E$57</f>
        <v>-6934.7007869128</v>
      </c>
      <c r="Z55" s="50" t="n">
        <f aca="false">-Z45*Assumptions!$E$57</f>
        <v>-7489.00032670951</v>
      </c>
      <c r="AA55" s="50" t="n">
        <f aca="false">-AA45*Assumptions!$E$57</f>
        <v>-8077.32735694</v>
      </c>
      <c r="AB55" s="50" t="n">
        <f aca="false">-AB45*Assumptions!$E$57</f>
        <v>-8675.94371555871</v>
      </c>
      <c r="AC55" s="50" t="n">
        <f aca="false">-AC45*Assumptions!$E$57</f>
        <v>-9269.69778499686</v>
      </c>
      <c r="AD55" s="50" t="n">
        <f aca="false">-AD45*Assumptions!$E$57</f>
        <v>-9862.61498764888</v>
      </c>
      <c r="AE55" s="50" t="n">
        <f aca="false">-AE45*Assumptions!$E$57</f>
        <v>-10458.8450726649</v>
      </c>
      <c r="AF55" s="50" t="n">
        <f aca="false">-AF45*Assumptions!$E$57</f>
        <v>-11062.5097265939</v>
      </c>
      <c r="AG55" s="50" t="n">
        <f aca="false">-AG45*Assumptions!$E$57</f>
        <v>-11677.7328605039</v>
      </c>
      <c r="AH55" s="50" t="n">
        <f aca="false">-AH45*Assumptions!$E$57</f>
        <v>-12308.6754725764</v>
      </c>
      <c r="AI55" s="50" t="n">
        <f aca="false">-AI45*Assumptions!$E$57</f>
        <v>-12959.5705398928</v>
      </c>
      <c r="AJ55" s="50" t="n">
        <f aca="false">-AJ45*Assumptions!$E$57</f>
        <v>-13634.7574078624</v>
      </c>
      <c r="AK55" s="50" t="n">
        <f aca="false">-AK45*Assumptions!$E$57</f>
        <v>-14338.7159939013</v>
      </c>
      <c r="AL55" s="50" t="n">
        <f aca="false">-AL45*Assumptions!$E$57</f>
        <v>-15076.1011549904</v>
      </c>
      <c r="AM55" s="50" t="n">
        <f aca="false">SUM(C55:AL55)</f>
        <v>-204227.345457831</v>
      </c>
    </row>
    <row r="56" customFormat="false" ht="15" hidden="false" customHeight="false" outlineLevel="0" collapsed="false">
      <c r="A56" s="10" t="s">
        <v>641</v>
      </c>
      <c r="B56" s="9" t="s">
        <v>90</v>
      </c>
      <c r="C56" s="50" t="n">
        <f aca="false">-C45*Assumptions!$E$58</f>
        <v>-0</v>
      </c>
      <c r="D56" s="50" t="n">
        <f aca="false">-D45*Assumptions!$E$58</f>
        <v>-0</v>
      </c>
      <c r="E56" s="50" t="n">
        <f aca="false">-E45*Assumptions!$E$58</f>
        <v>-0</v>
      </c>
      <c r="F56" s="50" t="n">
        <f aca="false">-F45*Assumptions!$E$58</f>
        <v>-0</v>
      </c>
      <c r="G56" s="50" t="n">
        <f aca="false">-G45*Assumptions!$E$58</f>
        <v>-0</v>
      </c>
      <c r="H56" s="50" t="n">
        <f aca="false">-H45*Assumptions!$E$58</f>
        <v>-0</v>
      </c>
      <c r="I56" s="50" t="n">
        <f aca="false">-I45*Assumptions!$E$58</f>
        <v>-102.377058276098</v>
      </c>
      <c r="J56" s="50" t="n">
        <f aca="false">-J45*Assumptions!$E$58</f>
        <v>-200.558461372289</v>
      </c>
      <c r="K56" s="50" t="n">
        <f aca="false">-K45*Assumptions!$E$58</f>
        <v>-295.203182735894</v>
      </c>
      <c r="L56" s="50" t="n">
        <f aca="false">-L45*Assumptions!$E$58</f>
        <v>-387.41692897848</v>
      </c>
      <c r="M56" s="50" t="n">
        <f aca="false">-M45*Assumptions!$E$58</f>
        <v>-478.210031172384</v>
      </c>
      <c r="N56" s="50" t="n">
        <f aca="false">-N45*Assumptions!$E$58</f>
        <v>-568.497777482132</v>
      </c>
      <c r="O56" s="50" t="n">
        <f aca="false">-O45*Assumptions!$E$58</f>
        <v>-659.111368431768</v>
      </c>
      <c r="P56" s="50" t="n">
        <f aca="false">-P45*Assumptions!$E$58</f>
        <v>-750.812540633448</v>
      </c>
      <c r="Q56" s="50" t="n">
        <f aca="false">-Q45*Assumptions!$E$58</f>
        <v>-844.307972947321</v>
      </c>
      <c r="R56" s="50" t="n">
        <f aca="false">-R45*Assumptions!$E$58</f>
        <v>-940.263022092632</v>
      </c>
      <c r="S56" s="50" t="n">
        <f aca="false">-S45*Assumptions!$E$58</f>
        <v>-1039.31467105142</v>
      </c>
      <c r="T56" s="50" t="n">
        <f aca="false">-T45*Assumptions!$E$58</f>
        <v>-1142.08369259432</v>
      </c>
      <c r="U56" s="50" t="n">
        <f aca="false">-U45*Assumptions!$E$58</f>
        <v>-1249.18609035517</v>
      </c>
      <c r="V56" s="50" t="n">
        <f aca="false">-V45*Assumptions!$E$58</f>
        <v>-1361.24391546978</v>
      </c>
      <c r="W56" s="50" t="n">
        <f aca="false">-W45*Assumptions!$E$58</f>
        <v>-1478.89557722254</v>
      </c>
      <c r="X56" s="50" t="n">
        <f aca="false">-X45*Assumptions!$E$58</f>
        <v>-1602.80577670379</v>
      </c>
      <c r="Y56" s="50" t="n">
        <f aca="false">-Y45*Assumptions!$E$58</f>
        <v>-1733.6751967282</v>
      </c>
      <c r="Z56" s="50" t="n">
        <f aca="false">-Z45*Assumptions!$E$58</f>
        <v>-1872.25008167738</v>
      </c>
      <c r="AA56" s="50" t="n">
        <f aca="false">-AA45*Assumptions!$E$58</f>
        <v>-2019.331839235</v>
      </c>
      <c r="AB56" s="50" t="n">
        <f aca="false">-AB45*Assumptions!$E$58</f>
        <v>-2168.98592888968</v>
      </c>
      <c r="AC56" s="50" t="n">
        <f aca="false">-AC45*Assumptions!$E$58</f>
        <v>-2317.42444624922</v>
      </c>
      <c r="AD56" s="50" t="n">
        <f aca="false">-AD45*Assumptions!$E$58</f>
        <v>-2465.65374691222</v>
      </c>
      <c r="AE56" s="50" t="n">
        <f aca="false">-AE45*Assumptions!$E$58</f>
        <v>-2614.71126816623</v>
      </c>
      <c r="AF56" s="50" t="n">
        <f aca="false">-AF45*Assumptions!$E$58</f>
        <v>-2765.62743164847</v>
      </c>
      <c r="AG56" s="50" t="n">
        <f aca="false">-AG45*Assumptions!$E$58</f>
        <v>-2919.43321512598</v>
      </c>
      <c r="AH56" s="50" t="n">
        <f aca="false">-AH45*Assumptions!$E$58</f>
        <v>-3077.16886814411</v>
      </c>
      <c r="AI56" s="50" t="n">
        <f aca="false">-AI45*Assumptions!$E$58</f>
        <v>-3239.89263497319</v>
      </c>
      <c r="AJ56" s="50" t="n">
        <f aca="false">-AJ45*Assumptions!$E$58</f>
        <v>-3408.68935196559</v>
      </c>
      <c r="AK56" s="50" t="n">
        <f aca="false">-AK45*Assumptions!$E$58</f>
        <v>-3584.67899847531</v>
      </c>
      <c r="AL56" s="50" t="n">
        <f aca="false">-AL45*Assumptions!$E$58</f>
        <v>-3769.02528874759</v>
      </c>
      <c r="AM56" s="50" t="n">
        <f aca="false">SUM(C56:AL56)</f>
        <v>-51056.8363644576</v>
      </c>
    </row>
    <row r="57" customFormat="false" ht="15" hidden="false" customHeight="false" outlineLevel="0" collapsed="false">
      <c r="A57" s="10" t="s">
        <v>642</v>
      </c>
      <c r="B57" s="9" t="s">
        <v>90</v>
      </c>
      <c r="C57" s="50" t="n">
        <f aca="false">-C51*Assumptions!$E$60</f>
        <v>-0</v>
      </c>
      <c r="D57" s="50" t="n">
        <f aca="false">-D51*Assumptions!$E$60</f>
        <v>-0</v>
      </c>
      <c r="E57" s="50" t="n">
        <f aca="false">-E51*Assumptions!$E$60</f>
        <v>-0</v>
      </c>
      <c r="F57" s="50" t="n">
        <f aca="false">-F51*Assumptions!$E$60</f>
        <v>-0</v>
      </c>
      <c r="G57" s="50" t="n">
        <f aca="false">-G51*Assumptions!$E$60</f>
        <v>-0</v>
      </c>
      <c r="H57" s="50" t="n">
        <f aca="false">-H51*Assumptions!$E$60</f>
        <v>-0</v>
      </c>
      <c r="I57" s="50" t="n">
        <f aca="false">-I51*Assumptions!$E$60</f>
        <v>-270.525322695646</v>
      </c>
      <c r="J57" s="50" t="n">
        <f aca="false">-J51*Assumptions!$E$60</f>
        <v>-431.020170401188</v>
      </c>
      <c r="K57" s="50" t="n">
        <f aca="false">-K51*Assumptions!$E$60</f>
        <v>-586.224493933306</v>
      </c>
      <c r="L57" s="50" t="n">
        <f aca="false">-L51*Assumptions!$E$60</f>
        <v>-738.423183754197</v>
      </c>
      <c r="M57" s="50" t="n">
        <f aca="false">-M51*Assumptions!$E$60</f>
        <v>-889.217354743926</v>
      </c>
      <c r="N57" s="50" t="n">
        <f aca="false">-N51*Assumptions!$E$60</f>
        <v>-1040.04915350946</v>
      </c>
      <c r="O57" s="50" t="n">
        <f aca="false">-O51*Assumptions!$E$60</f>
        <v>-1192.23038555466</v>
      </c>
      <c r="P57" s="50" t="n">
        <f aca="false">-P51*Assumptions!$E$60</f>
        <v>-1346.97056975074</v>
      </c>
      <c r="Q57" s="50" t="n">
        <f aca="false">-Q51*Assumptions!$E$60</f>
        <v>-1505.40087246003</v>
      </c>
      <c r="R57" s="50" t="n">
        <f aca="false">-R51*Assumptions!$E$60</f>
        <v>-1668.59648004633</v>
      </c>
      <c r="S57" s="50" t="n">
        <f aca="false">-S51*Assumptions!$E$60</f>
        <v>-1837.59753929735</v>
      </c>
      <c r="T57" s="50" t="n">
        <f aca="false">-T51*Assumptions!$E$60</f>
        <v>-2013.428784661</v>
      </c>
      <c r="U57" s="50" t="n">
        <f aca="false">-U51*Assumptions!$E$60</f>
        <v>-2197.11801500315</v>
      </c>
      <c r="V57" s="50" t="n">
        <f aca="false">-V51*Assumptions!$E$60</f>
        <v>-2389.71361855328</v>
      </c>
      <c r="W57" s="50" t="n">
        <f aca="false">-W51*Assumptions!$E$60</f>
        <v>-2592.3013642905</v>
      </c>
      <c r="X57" s="50" t="n">
        <f aca="false">-X51*Assumptions!$E$60</f>
        <v>-2806.0206861806</v>
      </c>
      <c r="Y57" s="50" t="n">
        <f aca="false">-Y51*Assumptions!$E$60</f>
        <v>-3032.08068769376</v>
      </c>
      <c r="Z57" s="50" t="n">
        <f aca="false">-Z51*Assumptions!$E$60</f>
        <v>-3271.77609101847</v>
      </c>
      <c r="AA57" s="50" t="n">
        <f aca="false">-AA51*Assumptions!$E$60</f>
        <v>-3526.50335050915</v>
      </c>
      <c r="AB57" s="50" t="n">
        <f aca="false">-AB51*Assumptions!$E$60</f>
        <v>-3779.80626240181</v>
      </c>
      <c r="AC57" s="50" t="n">
        <f aca="false">-AC51*Assumptions!$E$60</f>
        <v>-4027.41103094538</v>
      </c>
      <c r="AD57" s="50" t="n">
        <f aca="false">-AD51*Assumptions!$E$60</f>
        <v>-4275.6377631635</v>
      </c>
      <c r="AE57" s="50" t="n">
        <f aca="false">-AE51*Assumptions!$E$60</f>
        <v>-4526.25521964853</v>
      </c>
      <c r="AF57" s="50" t="n">
        <f aca="false">-AF51*Assumptions!$E$60</f>
        <v>-4780.98358322958</v>
      </c>
      <c r="AG57" s="50" t="n">
        <f aca="false">-AG51*Assumptions!$E$60</f>
        <v>-5041.55128664678</v>
      </c>
      <c r="AH57" s="50" t="n">
        <f aca="false">-AH51*Assumptions!$E$60</f>
        <v>-5309.71072528705</v>
      </c>
      <c r="AI57" s="50" t="n">
        <f aca="false">-AI51*Assumptions!$E$60</f>
        <v>-5587.25288369727</v>
      </c>
      <c r="AJ57" s="50" t="n">
        <f aca="false">-AJ51*Assumptions!$E$60</f>
        <v>-5876.02162318135</v>
      </c>
      <c r="AK57" s="50" t="n">
        <f aca="false">-AK51*Assumptions!$E$60</f>
        <v>-6177.92796806654</v>
      </c>
      <c r="AL57" s="50" t="n">
        <f aca="false">-AL51*Assumptions!$E$60</f>
        <v>-6494.96454511074</v>
      </c>
      <c r="AM57" s="50" t="n">
        <f aca="false">SUM(C57:AL57)</f>
        <v>-89212.7210154353</v>
      </c>
    </row>
    <row r="58" customFormat="false" ht="15" hidden="false" customHeight="false" outlineLevel="0" collapsed="false">
      <c r="A58" s="26" t="s">
        <v>643</v>
      </c>
      <c r="B58" s="9" t="s">
        <v>90</v>
      </c>
      <c r="C58" s="35" t="n">
        <f aca="false">C51+C52+C53+C54+C55+C56+C57</f>
        <v>0</v>
      </c>
      <c r="D58" s="35" t="n">
        <f aca="false">D51+D52+D53+D54+D55+D56+D57</f>
        <v>0</v>
      </c>
      <c r="E58" s="35" t="n">
        <f aca="false">E51+E52+E53+E54+E55+E56+E57</f>
        <v>0</v>
      </c>
      <c r="F58" s="35" t="n">
        <f aca="false">F51+F52+F53+F54+F55+F56+F57</f>
        <v>0</v>
      </c>
      <c r="G58" s="35" t="n">
        <f aca="false">G51+G52+G53+G54+G55+G56+G57</f>
        <v>0</v>
      </c>
      <c r="H58" s="35" t="n">
        <f aca="false">H51+H52+H53+H54+H55+H56+H57</f>
        <v>0</v>
      </c>
      <c r="I58" s="35" t="n">
        <f aca="false">I51+I52+I53+I54+I55+I56+I57</f>
        <v>4249.30355724454</v>
      </c>
      <c r="J58" s="35" t="n">
        <f aca="false">J51+J52+J53+J54+J55+J56+J57</f>
        <v>6891.85656422564</v>
      </c>
      <c r="K58" s="35" t="n">
        <f aca="false">K51+K52+K53+K54+K55+K56+K57</f>
        <v>9446.32614641615</v>
      </c>
      <c r="L58" s="35" t="n">
        <f aca="false">L51+L52+L53+L54+L55+L56+L57</f>
        <v>11949.38492472</v>
      </c>
      <c r="M58" s="35" t="n">
        <f aca="false">M51+M52+M53+M54+M55+M56+M57</f>
        <v>14427.4955047354</v>
      </c>
      <c r="N58" s="35" t="n">
        <f aca="false">N51+N52+N53+N54+N55+N56+N57</f>
        <v>16904.5102315913</v>
      </c>
      <c r="O58" s="35" t="n">
        <f aca="false">O51+O52+O53+O54+O55+O56+O57</f>
        <v>19402.1212490541</v>
      </c>
      <c r="P58" s="35" t="n">
        <f aca="false">P51+P52+P53+P54+P55+P56+P57</f>
        <v>21940.3141763863</v>
      </c>
      <c r="Q58" s="35" t="n">
        <f aca="false">Q51+Q52+Q53+Q54+Q55+Q56+Q57</f>
        <v>24537.7614204343</v>
      </c>
      <c r="R58" s="35" t="n">
        <f aca="false">R51+R52+R53+R54+R55+R56+R57</f>
        <v>27212.1907001746</v>
      </c>
      <c r="S58" s="35" t="n">
        <f aca="false">S51+S52+S53+S54+S55+S56+S57</f>
        <v>29980.7302803746</v>
      </c>
      <c r="T58" s="35" t="n">
        <f aca="false">T51+T52+T53+T54+T55+T56+T57</f>
        <v>32860.2326435095</v>
      </c>
      <c r="U58" s="35" t="n">
        <f aca="false">U51+U52+U53+U54+U55+U56+U57</f>
        <v>35867.579158444</v>
      </c>
      <c r="V58" s="35" t="n">
        <f aca="false">V51+V52+V53+V54+V55+V56+V57</f>
        <v>39019.9689405825</v>
      </c>
      <c r="W58" s="35" t="n">
        <f aca="false">W51+W52+W53+W54+W55+W56+W57</f>
        <v>42335.1954480915</v>
      </c>
      <c r="X58" s="35" t="n">
        <f aca="false">X51+X52+X53+X54+X55+X56+X57</f>
        <v>45831.9145112058</v>
      </c>
      <c r="Y58" s="35" t="n">
        <f aca="false">Y51+Y52+Y53+Y54+Y55+Y56+Y57</f>
        <v>49529.907520174</v>
      </c>
      <c r="Z58" s="35" t="n">
        <f aca="false">Z51+Z52+Z53+Z54+Z55+Z56+Z57</f>
        <v>53450.3434550917</v>
      </c>
      <c r="AA58" s="35" t="n">
        <f aca="false">AA51+AA52+AA53+AA54+AA55+AA56+AA57</f>
        <v>57616.0433647489</v>
      </c>
      <c r="AB58" s="35" t="n">
        <f aca="false">AB51+AB52+AB53+AB54+AB55+AB56+AB57</f>
        <v>61769.4713871533</v>
      </c>
      <c r="AC58" s="35" t="n">
        <f aca="false">AC51+AC52+AC53+AC54+AC55+AC56+AC57</f>
        <v>65836.4496809327</v>
      </c>
      <c r="AD58" s="35" t="n">
        <f aca="false">AD51+AD52+AD53+AD54+AD55+AD56+AD57</f>
        <v>69911.7541415555</v>
      </c>
      <c r="AE58" s="35" t="n">
        <f aca="false">AE51+AE52+AE53+AE54+AE55+AE56+AE57</f>
        <v>74024.3627154456</v>
      </c>
      <c r="AF58" s="35" t="n">
        <f aca="false">AF51+AF52+AF53+AF54+AF55+AF56+AF57</f>
        <v>78202.5272158419</v>
      </c>
      <c r="AG58" s="35" t="n">
        <f aca="false">AG51+AG52+AG53+AG54+AG55+AG56+AG57</f>
        <v>82474.6207117914</v>
      </c>
      <c r="AH58" s="35" t="n">
        <f aca="false">AH51+AH52+AH53+AH54+AH55+AH56+AH57</f>
        <v>86869.3933283688</v>
      </c>
      <c r="AI58" s="35" t="n">
        <f aca="false">AI51+AI52+AI53+AI54+AI55+AI56+AI57</f>
        <v>91416.2123431943</v>
      </c>
      <c r="AJ58" s="35" t="n">
        <f aca="false">AJ51+AJ52+AJ53+AJ54+AJ55+AJ56+AJ57</f>
        <v>96145.2969680572</v>
      </c>
      <c r="AK58" s="35" t="n">
        <f aca="false">AK51+AK52+AK53+AK54+AK55+AK56+AK57</f>
        <v>101087.952960511</v>
      </c>
      <c r="AL58" s="35" t="n">
        <f aca="false">AL51+AL52+AL53+AL54+AL55+AL56+AL57</f>
        <v>106276.809585803</v>
      </c>
      <c r="AM58" s="35" t="n">
        <f aca="false">SUM(C58:AL58)</f>
        <v>1457468.03083586</v>
      </c>
    </row>
    <row r="59" customFormat="false" ht="15" hidden="false" customHeight="false" outlineLevel="0" collapsed="false">
      <c r="A59" s="10" t="s">
        <v>644</v>
      </c>
      <c r="B59" s="9" t="s">
        <v>54</v>
      </c>
      <c r="C59" s="44" t="n">
        <f aca="false">IFERROR(C58/C51,0)</f>
        <v>0</v>
      </c>
      <c r="D59" s="44" t="n">
        <f aca="false">IFERROR(D58/D51,0)</f>
        <v>0</v>
      </c>
      <c r="E59" s="44" t="n">
        <f aca="false">IFERROR(E58/E51,0)</f>
        <v>0</v>
      </c>
      <c r="F59" s="44" t="n">
        <f aca="false">IFERROR(F58/F51,0)</f>
        <v>0</v>
      </c>
      <c r="G59" s="44" t="n">
        <f aca="false">IFERROR(G58/G51,0)</f>
        <v>0</v>
      </c>
      <c r="H59" s="44" t="n">
        <f aca="false">IFERROR(H58/H51,0)</f>
        <v>0</v>
      </c>
      <c r="I59" s="44" t="n">
        <f aca="false">IFERROR(I58/I51,0)</f>
        <v>0.45552039983603</v>
      </c>
      <c r="J59" s="44" t="n">
        <f aca="false">IFERROR(J58/J51,0)</f>
        <v>0.463699506629848</v>
      </c>
      <c r="K59" s="44" t="n">
        <f aca="false">IFERROR(K58/K51,0)</f>
        <v>0.467301283179128</v>
      </c>
      <c r="L59" s="44" t="n">
        <f aca="false">IFERROR(L58/L51,0)</f>
        <v>0.46928667793864</v>
      </c>
      <c r="M59" s="44" t="n">
        <f aca="false">IFERROR(M58/M51,0)</f>
        <v>0.470523171196783</v>
      </c>
      <c r="N59" s="44" t="n">
        <f aca="false">IFERROR(N58/N51,0)</f>
        <v>0.471353488498067</v>
      </c>
      <c r="O59" s="44" t="n">
        <f aca="false">IFERROR(O58/O51,0)</f>
        <v>0.471940258392931</v>
      </c>
      <c r="P59" s="44" t="n">
        <f aca="false">IFERROR(P58/P51,0)</f>
        <v>0.472370462580297</v>
      </c>
      <c r="Q59" s="44" t="n">
        <f aca="false">IFERROR(Q58/Q51,0)</f>
        <v>0.47269474477569</v>
      </c>
      <c r="R59" s="44" t="n">
        <f aca="false">IFERROR(R58/R51,0)</f>
        <v>0.472944501407044</v>
      </c>
      <c r="S59" s="44" t="n">
        <f aca="false">IFERROR(S58/S51,0)</f>
        <v>0.473140151495477</v>
      </c>
      <c r="T59" s="44" t="n">
        <f aca="false">IFERROR(T58/T51,0)</f>
        <v>0.473295481777977</v>
      </c>
      <c r="U59" s="44" t="n">
        <f aca="false">IFERROR(U58/U51,0)</f>
        <v>0.473420084170302</v>
      </c>
      <c r="V59" s="44" t="n">
        <f aca="false">IFERROR(V58/V51,0)</f>
        <v>0.473520797844365</v>
      </c>
      <c r="W59" s="44" t="n">
        <f aca="false">IFERROR(W58/W51,0)</f>
        <v>0.473602600726429</v>
      </c>
      <c r="X59" s="44" t="n">
        <f aca="false">IFERROR(X58/X51,0)</f>
        <v>0.473669181189858</v>
      </c>
      <c r="Y59" s="44" t="n">
        <f aca="false">IFERROR(Y58/Y51,0)</f>
        <v>0.473723316109231</v>
      </c>
      <c r="Z59" s="44" t="n">
        <f aca="false">IFERROR(Z58/Z51,0)</f>
        <v>0.473767127418288</v>
      </c>
      <c r="AA59" s="44" t="n">
        <f aca="false">IFERROR(AA58/AA51,0)</f>
        <v>0.47380226005924</v>
      </c>
      <c r="AB59" s="44" t="n">
        <f aca="false">IFERROR(AB58/AB51,0)</f>
        <v>0.473917059730248</v>
      </c>
      <c r="AC59" s="44" t="n">
        <f aca="false">IFERROR(AC58/AC51,0)</f>
        <v>0.474065603455149</v>
      </c>
      <c r="AD59" s="44" t="n">
        <f aca="false">IFERROR(AD58/AD51,0)</f>
        <v>0.474184433389658</v>
      </c>
      <c r="AE59" s="44" t="n">
        <f aca="false">IFERROR(AE58/AE51,0)</f>
        <v>0.474278717079197</v>
      </c>
      <c r="AF59" s="44" t="n">
        <f aca="false">IFERROR(AF58/AF51,0)</f>
        <v>0.474352871073332</v>
      </c>
      <c r="AG59" s="44" t="n">
        <f aca="false">IFERROR(AG58/AG51,0)</f>
        <v>0.474410328221167</v>
      </c>
      <c r="AH59" s="44" t="n">
        <f aca="false">IFERROR(AH58/AH51,0)</f>
        <v>0.474453795481768</v>
      </c>
      <c r="AI59" s="44" t="n">
        <f aca="false">IFERROR(AI58/AI51,0)</f>
        <v>0.474485442691889</v>
      </c>
      <c r="AJ59" s="44" t="n">
        <f aca="false">IFERROR(AJ58/AJ51,0)</f>
        <v>0.474507037393114</v>
      </c>
      <c r="AK59" s="44" t="n">
        <f aca="false">IFERROR(AK58/AK51,0)</f>
        <v>0.474520041510337</v>
      </c>
      <c r="AL59" s="44" t="n">
        <f aca="false">IFERROR(AL58/AL51,0)</f>
        <v>0.474525681638765</v>
      </c>
      <c r="AM59" s="44" t="n">
        <f aca="false">AVERAGE(N59:AL59)</f>
        <v>0.473637818724393</v>
      </c>
    </row>
    <row r="60" customFormat="false" ht="15" hidden="false" customHeight="false" outlineLevel="0" collapsed="false">
      <c r="A60" s="26" t="s">
        <v>645</v>
      </c>
      <c r="B60" s="9" t="s">
        <v>90</v>
      </c>
      <c r="C60" s="35" t="n">
        <f aca="false">C31+C51</f>
        <v>0</v>
      </c>
      <c r="D60" s="35" t="n">
        <f aca="false">D31+D51</f>
        <v>113490</v>
      </c>
      <c r="E60" s="35" t="n">
        <f aca="false">E31+E51</f>
        <v>109775.167633016</v>
      </c>
      <c r="F60" s="35" t="n">
        <f aca="false">F31+F51</f>
        <v>120894.960525357</v>
      </c>
      <c r="G60" s="35" t="n">
        <f aca="false">G31+G51</f>
        <v>133126.691023662</v>
      </c>
      <c r="H60" s="35" t="n">
        <f aca="false">H31+H51</f>
        <v>144440.512721225</v>
      </c>
      <c r="I60" s="35" t="n">
        <f aca="false">I31+I51</f>
        <v>164337.89730044</v>
      </c>
      <c r="J60" s="35" t="n">
        <f aca="false">J31+J51</f>
        <v>180434.200660772</v>
      </c>
      <c r="K60" s="35" t="n">
        <f aca="false">K31+K51</f>
        <v>195759.972479283</v>
      </c>
      <c r="L60" s="35" t="n">
        <f aca="false">L31+L51</f>
        <v>210589.536786423</v>
      </c>
      <c r="M60" s="35" t="n">
        <f aca="false">M31+M51</f>
        <v>225103.779058152</v>
      </c>
      <c r="N60" s="35" t="n">
        <f aca="false">N31+N51</f>
        <v>239443.792788242</v>
      </c>
      <c r="O60" s="35" t="n">
        <f aca="false">O31+O51</f>
        <v>253732.395300865</v>
      </c>
      <c r="P60" s="35" t="n">
        <f aca="false">P31+P51</f>
        <v>268079.096715451</v>
      </c>
      <c r="Q60" s="35" t="n">
        <f aca="false">Q31+Q51</f>
        <v>282583.450161183</v>
      </c>
      <c r="R60" s="35" t="n">
        <f aca="false">R31+R51</f>
        <v>297337.778522619</v>
      </c>
      <c r="S60" s="35" t="n">
        <f aca="false">S31+S51</f>
        <v>312429.493346458</v>
      </c>
      <c r="T60" s="35" t="n">
        <f aca="false">T31+T51</f>
        <v>327943.094052154</v>
      </c>
      <c r="U60" s="35" t="n">
        <f aca="false">U31+U51</f>
        <v>343961.913251444</v>
      </c>
      <c r="V60" s="35" t="n">
        <f aca="false">V31+V51</f>
        <v>360569.662573027</v>
      </c>
      <c r="W60" s="35" t="n">
        <f aca="false">W31+W51</f>
        <v>377851.824753604</v>
      </c>
      <c r="X60" s="35" t="n">
        <f aca="false">X31+X51</f>
        <v>395896.930715209</v>
      </c>
      <c r="Y60" s="35" t="n">
        <f aca="false">Y31+Y51</f>
        <v>414797.75457601</v>
      </c>
      <c r="Z60" s="35" t="n">
        <f aca="false">Z31+Z51</f>
        <v>434652.454831651</v>
      </c>
      <c r="AA60" s="35" t="n">
        <f aca="false">AA31+AA51</f>
        <v>455565.686131709</v>
      </c>
      <c r="AB60" s="35" t="n">
        <f aca="false">AB31+AB51</f>
        <v>477030.017427845</v>
      </c>
      <c r="AC60" s="35" t="n">
        <f aca="false">AC31+AC51</f>
        <v>498922.838038772</v>
      </c>
      <c r="AD60" s="35" t="n">
        <f aca="false">AD31+AD51</f>
        <v>521499.596352957</v>
      </c>
      <c r="AE60" s="35" t="n">
        <f aca="false">AE31+AE51</f>
        <v>544884.924233858</v>
      </c>
      <c r="AF60" s="35" t="n">
        <f aca="false">AF31+AF51</f>
        <v>569204.793054628</v>
      </c>
      <c r="AG60" s="35" t="n">
        <f aca="false">AG31+AG51</f>
        <v>594591.636433546</v>
      </c>
      <c r="AH60" s="35" t="n">
        <f aca="false">AH31+AH51</f>
        <v>621186.020868911</v>
      </c>
      <c r="AI60" s="35" t="n">
        <f aca="false">AI31+AI51</f>
        <v>649137.672753069</v>
      </c>
      <c r="AJ60" s="35" t="n">
        <f aca="false">AJ31+AJ51</f>
        <v>678606.506125887</v>
      </c>
      <c r="AK60" s="35" t="n">
        <f aca="false">AK31+AK51</f>
        <v>709763.701665885</v>
      </c>
      <c r="AL60" s="35" t="n">
        <f aca="false">AL31+AL51</f>
        <v>742792.850688021</v>
      </c>
      <c r="AM60" s="35" t="n">
        <f aca="false">SUM(C60:AL60)</f>
        <v>12970418.6035513</v>
      </c>
    </row>
    <row r="61" customFormat="false" ht="15" hidden="false" customHeight="false" outlineLevel="0" collapsed="false">
      <c r="A61" s="26" t="s">
        <v>646</v>
      </c>
      <c r="B61" s="9" t="s">
        <v>90</v>
      </c>
      <c r="C61" s="35" t="n">
        <f aca="false">C35+C58</f>
        <v>0</v>
      </c>
      <c r="D61" s="35" t="n">
        <f aca="false">D35+D58</f>
        <v>68528.79</v>
      </c>
      <c r="E61" s="35" t="n">
        <f aca="false">E35+E58</f>
        <v>66285.658735904</v>
      </c>
      <c r="F61" s="35" t="n">
        <f aca="false">F35+F58</f>
        <v>73000.1353590665</v>
      </c>
      <c r="G61" s="35" t="n">
        <f aca="false">G35+G58</f>
        <v>80386.0344748916</v>
      </c>
      <c r="H61" s="35" t="n">
        <f aca="false">H35+H58</f>
        <v>87217.6717223116</v>
      </c>
      <c r="I61" s="35" t="n">
        <f aca="false">I35+I58</f>
        <v>97848.8208510259</v>
      </c>
      <c r="J61" s="35" t="n">
        <f aca="false">J35+J58</f>
        <v>106869.036746563</v>
      </c>
      <c r="K61" s="35" t="n">
        <f aca="false">K35+K58</f>
        <v>115446.056352361</v>
      </c>
      <c r="L61" s="35" t="n">
        <f aca="false">L35+L58</f>
        <v>123734.622222178</v>
      </c>
      <c r="M61" s="35" t="n">
        <f aca="false">M35+M58</f>
        <v>131837.083202752</v>
      </c>
      <c r="N61" s="35" t="n">
        <f aca="false">N35+N58</f>
        <v>139832.460244004</v>
      </c>
      <c r="O61" s="35" t="n">
        <f aca="false">O35+O58</f>
        <v>147789.292306517</v>
      </c>
      <c r="P61" s="35" t="n">
        <f aca="false">P35+P58</f>
        <v>155768.506310359</v>
      </c>
      <c r="Q61" s="35" t="n">
        <f aca="false">Q35+Q58</f>
        <v>163825.3350602</v>
      </c>
      <c r="R61" s="35" t="n">
        <f aca="false">R35+R58</f>
        <v>172010.866428558</v>
      </c>
      <c r="S61" s="35" t="n">
        <f aca="false">S35+S58</f>
        <v>180373.352800968</v>
      </c>
      <c r="T61" s="35" t="n">
        <f aca="false">T35+T58</f>
        <v>188959.333259778</v>
      </c>
      <c r="U61" s="35" t="n">
        <f aca="false">U35+U58</f>
        <v>197814.607412375</v>
      </c>
      <c r="V61" s="35" t="n">
        <f aca="false">V35+V58</f>
        <v>206985.092768087</v>
      </c>
      <c r="W61" s="35" t="n">
        <f aca="false">W35+W58</f>
        <v>216517.592296017</v>
      </c>
      <c r="X61" s="35" t="n">
        <f aca="false">X35+X58</f>
        <v>226460.494526841</v>
      </c>
      <c r="Y61" s="35" t="n">
        <f aca="false">Y35+Y58</f>
        <v>236864.425083166</v>
      </c>
      <c r="Z61" s="35" t="n">
        <f aca="false">Z35+Z58</f>
        <v>247782.865699407</v>
      </c>
      <c r="AA61" s="35" t="n">
        <f aca="false">AA35+AA58</f>
        <v>259272.754515453</v>
      </c>
      <c r="AB61" s="35" t="n">
        <f aca="false">AB35+AB58</f>
        <v>271112.800179739</v>
      </c>
      <c r="AC61" s="35" t="n">
        <f aca="false">AC35+AC58</f>
        <v>283243.776666263</v>
      </c>
      <c r="AD61" s="35" t="n">
        <f aca="false">AD35+AD58</f>
        <v>295783.111786689</v>
      </c>
      <c r="AE61" s="35" t="n">
        <f aca="false">AE35+AE58</f>
        <v>308798.211369574</v>
      </c>
      <c r="AF61" s="35" t="n">
        <f aca="false">AF35+AF58</f>
        <v>322357.57542249</v>
      </c>
      <c r="AG61" s="35" t="n">
        <f aca="false">AG35+AG58</f>
        <v>336533.55553563</v>
      </c>
      <c r="AH61" s="35" t="n">
        <f aca="false">AH35+AH58</f>
        <v>351403.292296478</v>
      </c>
      <c r="AI61" s="35" t="n">
        <f aca="false">AI35+AI58</f>
        <v>367049.270979546</v>
      </c>
      <c r="AJ61" s="35" t="n">
        <f aca="false">AJ35+AJ58</f>
        <v>383559.879424555</v>
      </c>
      <c r="AK61" s="35" t="n">
        <f aca="false">AK35+AK58</f>
        <v>401029.996711192</v>
      </c>
      <c r="AL61" s="35" t="n">
        <f aca="false">AL35+AL58</f>
        <v>419561.620248563</v>
      </c>
      <c r="AM61" s="35" t="n">
        <f aca="false">SUM(C61:AL61)</f>
        <v>7431843.9789995</v>
      </c>
    </row>
    <row r="62" customFormat="false" ht="15" hidden="false" customHeight="false" outlineLevel="0" collapsed="false">
      <c r="A62" s="26" t="s">
        <v>647</v>
      </c>
      <c r="B62" s="9" t="s">
        <v>54</v>
      </c>
      <c r="C62" s="34" t="n">
        <f aca="false">IFERROR(C61/C60,0)</f>
        <v>0</v>
      </c>
      <c r="D62" s="34" t="n">
        <f aca="false">IFERROR(D61/D60,0)</f>
        <v>0.603831086439334</v>
      </c>
      <c r="E62" s="34" t="n">
        <f aca="false">IFERROR(E61/E60,0)</f>
        <v>0.603831086439334</v>
      </c>
      <c r="F62" s="34" t="n">
        <f aca="false">IFERROR(F61/F60,0)</f>
        <v>0.603831086439334</v>
      </c>
      <c r="G62" s="34" t="n">
        <f aca="false">IFERROR(G61/G60,0)</f>
        <v>0.603831086439334</v>
      </c>
      <c r="H62" s="34" t="n">
        <f aca="false">IFERROR(H61/H60,0)</f>
        <v>0.603831086439334</v>
      </c>
      <c r="I62" s="34" t="n">
        <f aca="false">IFERROR(I61/I60,0)</f>
        <v>0.595412393966198</v>
      </c>
      <c r="J62" s="34" t="n">
        <f aca="false">IFERROR(J61/J60,0)</f>
        <v>0.592288138031457</v>
      </c>
      <c r="K62" s="34" t="n">
        <f aca="false">IFERROR(K61/K60,0)</f>
        <v>0.589732696067773</v>
      </c>
      <c r="L62" s="34" t="n">
        <f aca="false">IFERROR(L61/L60,0)</f>
        <v>0.587563010538683</v>
      </c>
      <c r="M62" s="34" t="n">
        <f aca="false">IFERROR(M61/M60,0)</f>
        <v>0.585672456297121</v>
      </c>
      <c r="N62" s="34" t="n">
        <f aca="false">IFERROR(N61/N60,0)</f>
        <v>0.583988662289809</v>
      </c>
      <c r="O62" s="34" t="n">
        <f aca="false">IFERROR(O61/O60,0)</f>
        <v>0.582461266450725</v>
      </c>
      <c r="P62" s="34" t="n">
        <f aca="false">IFERROR(P61/P60,0)</f>
        <v>0.581054279199164</v>
      </c>
      <c r="Q62" s="34" t="n">
        <f aca="false">IFERROR(Q61/Q60,0)</f>
        <v>0.579741435553836</v>
      </c>
      <c r="R62" s="34" t="n">
        <f aca="false">IFERROR(R61/R60,0)</f>
        <v>0.57850323387505</v>
      </c>
      <c r="S62" s="34" t="n">
        <f aca="false">IFERROR(S61/S60,0)</f>
        <v>0.577324985771909</v>
      </c>
      <c r="T62" s="34" t="n">
        <f aca="false">IFERROR(T61/T60,0)</f>
        <v>0.576195494544329</v>
      </c>
      <c r="U62" s="34" t="n">
        <f aca="false">IFERROR(U61/U60,0)</f>
        <v>0.575106137602414</v>
      </c>
      <c r="V62" s="34" t="n">
        <f aca="false">IFERROR(V61/V60,0)</f>
        <v>0.574050216235719</v>
      </c>
      <c r="W62" s="34" t="n">
        <f aca="false">IFERROR(W61/W60,0)</f>
        <v>0.573022486889425</v>
      </c>
      <c r="X62" s="34" t="n">
        <f aca="false">IFERROR(X61/X60,0)</f>
        <v>0.572018818427636</v>
      </c>
      <c r="Y62" s="34" t="n">
        <f aca="false">IFERROR(Y61/Y60,0)</f>
        <v>0.571035938526909</v>
      </c>
      <c r="Z62" s="34" t="n">
        <f aca="false">IFERROR(Z61/Z60,0)</f>
        <v>0.570071244151555</v>
      </c>
      <c r="AA62" s="34" t="n">
        <f aca="false">IFERROR(AA61/AA60,0)</f>
        <v>0.56912265872565</v>
      </c>
      <c r="AB62" s="34" t="n">
        <f aca="false">IFERROR(AB61/AB60,0)</f>
        <v>0.568334885174699</v>
      </c>
      <c r="AC62" s="34" t="n">
        <f aca="false">IFERROR(AC61/AC60,0)</f>
        <v>0.567710585828607</v>
      </c>
      <c r="AD62" s="34" t="n">
        <f aca="false">IFERROR(AD61/AD60,0)</f>
        <v>0.567178026321039</v>
      </c>
      <c r="AE62" s="34" t="n">
        <f aca="false">IFERROR(AE61/AE60,0)</f>
        <v>0.566721884999412</v>
      </c>
      <c r="AF62" s="34" t="n">
        <f aca="false">IFERROR(AF61/AF60,0)</f>
        <v>0.566329692504104</v>
      </c>
      <c r="AG62" s="34" t="n">
        <f aca="false">IFERROR(AG61/AG60,0)</f>
        <v>0.565991068347701</v>
      </c>
      <c r="AH62" s="34" t="n">
        <f aca="false">IFERROR(AH61/AH60,0)</f>
        <v>0.56569736035743</v>
      </c>
      <c r="AI62" s="34" t="n">
        <f aca="false">IFERROR(AI61/AI60,0)</f>
        <v>0.565441332996199</v>
      </c>
      <c r="AJ62" s="34" t="n">
        <f aca="false">IFERROR(AJ61/AJ60,0)</f>
        <v>0.565216920206482</v>
      </c>
      <c r="AK62" s="34" t="n">
        <f aca="false">IFERROR(AK61/AK60,0)</f>
        <v>0.565019027839738</v>
      </c>
      <c r="AL62" s="34" t="n">
        <f aca="false">IFERROR(AL61/AL60,0)</f>
        <v>0.56484337438081</v>
      </c>
      <c r="AM62" s="34" t="n">
        <f aca="false">AVERAGE(N62:AL62)</f>
        <v>0.571687240688014</v>
      </c>
    </row>
    <row r="63" customFormat="false" ht="15" hidden="false" customHeight="false" outlineLevel="0" collapsed="false">
      <c r="A63" s="10" t="s">
        <v>648</v>
      </c>
      <c r="B63" s="9" t="s">
        <v>90</v>
      </c>
      <c r="C63" s="50" t="n">
        <f aca="false">-Assumptions!$E$63</f>
        <v>-600</v>
      </c>
      <c r="D63" s="50" t="n">
        <f aca="false">-Assumptions!$E$63</f>
        <v>-600</v>
      </c>
      <c r="E63" s="50" t="n">
        <f aca="false">-Assumptions!$E$63</f>
        <v>-600</v>
      </c>
      <c r="F63" s="50" t="n">
        <f aca="false">-Assumptions!$E$63</f>
        <v>-600</v>
      </c>
      <c r="G63" s="50" t="n">
        <f aca="false">-Assumptions!$E$63</f>
        <v>-600</v>
      </c>
      <c r="H63" s="50" t="n">
        <f aca="false">-Assumptions!$E$63</f>
        <v>-600</v>
      </c>
      <c r="I63" s="50" t="n">
        <f aca="false">-Assumptions!$E$63</f>
        <v>-600</v>
      </c>
      <c r="J63" s="50" t="n">
        <f aca="false">-Assumptions!$E$63</f>
        <v>-600</v>
      </c>
      <c r="K63" s="50" t="n">
        <f aca="false">-Assumptions!$E$63</f>
        <v>-600</v>
      </c>
      <c r="L63" s="50" t="n">
        <f aca="false">-Assumptions!$E$63</f>
        <v>-600</v>
      </c>
      <c r="M63" s="50" t="n">
        <f aca="false">-Assumptions!$E$63</f>
        <v>-600</v>
      </c>
      <c r="N63" s="50" t="n">
        <f aca="false">-Assumptions!$E$63</f>
        <v>-600</v>
      </c>
      <c r="O63" s="50" t="n">
        <f aca="false">-Assumptions!$E$63</f>
        <v>-600</v>
      </c>
      <c r="P63" s="50" t="n">
        <f aca="false">-Assumptions!$E$63</f>
        <v>-600</v>
      </c>
      <c r="Q63" s="50" t="n">
        <f aca="false">-Assumptions!$E$63</f>
        <v>-600</v>
      </c>
      <c r="R63" s="50" t="n">
        <f aca="false">-Assumptions!$E$63</f>
        <v>-600</v>
      </c>
      <c r="S63" s="50" t="n">
        <f aca="false">-Assumptions!$E$63</f>
        <v>-600</v>
      </c>
      <c r="T63" s="50" t="n">
        <f aca="false">-Assumptions!$E$63</f>
        <v>-600</v>
      </c>
      <c r="U63" s="50" t="n">
        <f aca="false">-Assumptions!$E$63</f>
        <v>-600</v>
      </c>
      <c r="V63" s="50" t="n">
        <f aca="false">-Assumptions!$E$63</f>
        <v>-600</v>
      </c>
      <c r="W63" s="50" t="n">
        <f aca="false">-Assumptions!$E$63</f>
        <v>-600</v>
      </c>
      <c r="X63" s="50" t="n">
        <f aca="false">-Assumptions!$E$63</f>
        <v>-600</v>
      </c>
      <c r="Y63" s="50" t="n">
        <f aca="false">-Assumptions!$E$63</f>
        <v>-600</v>
      </c>
      <c r="Z63" s="50" t="n">
        <f aca="false">-Assumptions!$E$63</f>
        <v>-600</v>
      </c>
      <c r="AA63" s="50" t="n">
        <f aca="false">-Assumptions!$E$63</f>
        <v>-600</v>
      </c>
      <c r="AB63" s="50" t="n">
        <f aca="false">-Assumptions!$E$63</f>
        <v>-600</v>
      </c>
      <c r="AC63" s="50" t="n">
        <f aca="false">-Assumptions!$E$63</f>
        <v>-600</v>
      </c>
      <c r="AD63" s="50" t="n">
        <f aca="false">-Assumptions!$E$63</f>
        <v>-600</v>
      </c>
      <c r="AE63" s="50" t="n">
        <f aca="false">-Assumptions!$E$63</f>
        <v>-600</v>
      </c>
      <c r="AF63" s="50" t="n">
        <f aca="false">-Assumptions!$E$63</f>
        <v>-600</v>
      </c>
      <c r="AG63" s="50" t="n">
        <f aca="false">-Assumptions!$E$63</f>
        <v>-600</v>
      </c>
      <c r="AH63" s="50" t="n">
        <f aca="false">-Assumptions!$E$63</f>
        <v>-600</v>
      </c>
      <c r="AI63" s="50" t="n">
        <f aca="false">-Assumptions!$E$63</f>
        <v>-600</v>
      </c>
      <c r="AJ63" s="50" t="n">
        <f aca="false">-Assumptions!$E$63</f>
        <v>-600</v>
      </c>
      <c r="AK63" s="50" t="n">
        <f aca="false">-Assumptions!$E$63</f>
        <v>-600</v>
      </c>
      <c r="AL63" s="50" t="n">
        <f aca="false">-Assumptions!$E$63</f>
        <v>-600</v>
      </c>
      <c r="AM63" s="50" t="n">
        <f aca="false">SUM(C63:AL63)</f>
        <v>-21600</v>
      </c>
    </row>
    <row r="64" customFormat="false" ht="15" hidden="false" customHeight="false" outlineLevel="0" collapsed="false">
      <c r="A64" s="10" t="s">
        <v>649</v>
      </c>
      <c r="B64" s="9" t="s">
        <v>90</v>
      </c>
      <c r="C64" s="50" t="n">
        <f aca="false">-Assumptions!$E$64</f>
        <v>-280</v>
      </c>
      <c r="D64" s="50" t="n">
        <f aca="false">-Assumptions!$E$64</f>
        <v>-280</v>
      </c>
      <c r="E64" s="50" t="n">
        <f aca="false">-Assumptions!$E$64</f>
        <v>-280</v>
      </c>
      <c r="F64" s="50" t="n">
        <f aca="false">-Assumptions!$E$64</f>
        <v>-280</v>
      </c>
      <c r="G64" s="50" t="n">
        <f aca="false">-Assumptions!$E$64</f>
        <v>-280</v>
      </c>
      <c r="H64" s="50" t="n">
        <f aca="false">-Assumptions!$E$64</f>
        <v>-280</v>
      </c>
      <c r="I64" s="50" t="n">
        <f aca="false">-Assumptions!$E$64</f>
        <v>-280</v>
      </c>
      <c r="J64" s="50" t="n">
        <f aca="false">-Assumptions!$E$64</f>
        <v>-280</v>
      </c>
      <c r="K64" s="50" t="n">
        <f aca="false">-Assumptions!$E$64</f>
        <v>-280</v>
      </c>
      <c r="L64" s="50" t="n">
        <f aca="false">-Assumptions!$E$64</f>
        <v>-280</v>
      </c>
      <c r="M64" s="50" t="n">
        <f aca="false">-Assumptions!$E$64</f>
        <v>-280</v>
      </c>
      <c r="N64" s="50" t="n">
        <f aca="false">-Assumptions!$E$64</f>
        <v>-280</v>
      </c>
      <c r="O64" s="50" t="n">
        <f aca="false">-Assumptions!$E$64</f>
        <v>-280</v>
      </c>
      <c r="P64" s="50" t="n">
        <f aca="false">-Assumptions!$E$64</f>
        <v>-280</v>
      </c>
      <c r="Q64" s="50" t="n">
        <f aca="false">-Assumptions!$E$64</f>
        <v>-280</v>
      </c>
      <c r="R64" s="50" t="n">
        <f aca="false">-Assumptions!$E$64</f>
        <v>-280</v>
      </c>
      <c r="S64" s="50" t="n">
        <f aca="false">-Assumptions!$E$64</f>
        <v>-280</v>
      </c>
      <c r="T64" s="50" t="n">
        <f aca="false">-Assumptions!$E$64</f>
        <v>-280</v>
      </c>
      <c r="U64" s="50" t="n">
        <f aca="false">-Assumptions!$E$64</f>
        <v>-280</v>
      </c>
      <c r="V64" s="50" t="n">
        <f aca="false">-Assumptions!$E$64</f>
        <v>-280</v>
      </c>
      <c r="W64" s="50" t="n">
        <f aca="false">-Assumptions!$E$64</f>
        <v>-280</v>
      </c>
      <c r="X64" s="50" t="n">
        <f aca="false">-Assumptions!$E$64</f>
        <v>-280</v>
      </c>
      <c r="Y64" s="50" t="n">
        <f aca="false">-Assumptions!$E$64</f>
        <v>-280</v>
      </c>
      <c r="Z64" s="50" t="n">
        <f aca="false">-Assumptions!$E$64</f>
        <v>-280</v>
      </c>
      <c r="AA64" s="50" t="n">
        <f aca="false">-Assumptions!$E$64</f>
        <v>-280</v>
      </c>
      <c r="AB64" s="50" t="n">
        <f aca="false">-Assumptions!$E$64</f>
        <v>-280</v>
      </c>
      <c r="AC64" s="50" t="n">
        <f aca="false">-Assumptions!$E$64</f>
        <v>-280</v>
      </c>
      <c r="AD64" s="50" t="n">
        <f aca="false">-Assumptions!$E$64</f>
        <v>-280</v>
      </c>
      <c r="AE64" s="50" t="n">
        <f aca="false">-Assumptions!$E$64</f>
        <v>-280</v>
      </c>
      <c r="AF64" s="50" t="n">
        <f aca="false">-Assumptions!$E$64</f>
        <v>-280</v>
      </c>
      <c r="AG64" s="50" t="n">
        <f aca="false">-Assumptions!$E$64</f>
        <v>-280</v>
      </c>
      <c r="AH64" s="50" t="n">
        <f aca="false">-Assumptions!$E$64</f>
        <v>-280</v>
      </c>
      <c r="AI64" s="50" t="n">
        <f aca="false">-Assumptions!$E$64</f>
        <v>-280</v>
      </c>
      <c r="AJ64" s="50" t="n">
        <f aca="false">-Assumptions!$E$64</f>
        <v>-280</v>
      </c>
      <c r="AK64" s="50" t="n">
        <f aca="false">-Assumptions!$E$64</f>
        <v>-280</v>
      </c>
      <c r="AL64" s="50" t="n">
        <f aca="false">-Assumptions!$E$64</f>
        <v>-280</v>
      </c>
      <c r="AM64" s="50" t="n">
        <f aca="false">SUM(C64:AL64)</f>
        <v>-10080</v>
      </c>
    </row>
    <row r="65" customFormat="false" ht="15" hidden="false" customHeight="false" outlineLevel="0" collapsed="false">
      <c r="A65" s="10" t="s">
        <v>650</v>
      </c>
      <c r="B65" s="9" t="s">
        <v>90</v>
      </c>
      <c r="C65" s="50" t="n">
        <f aca="false">-IF(C8=0,Assumptions!$E$65,IF(C$5&lt;=12,Assumptions!$E$66,IF(C$5&lt;=24,Assumptions!$E$67,Assumptions!$E$68)))</f>
        <v>-18000</v>
      </c>
      <c r="D65" s="50" t="n">
        <f aca="false">-IF(D8=0,Assumptions!$E$65,IF(D$5&lt;=12,Assumptions!$E$66,IF(D$5&lt;=24,Assumptions!$E$67,Assumptions!$E$68)))</f>
        <v>-45000</v>
      </c>
      <c r="E65" s="50" t="n">
        <f aca="false">-IF(E8=0,Assumptions!$E$65,IF(E$5&lt;=12,Assumptions!$E$66,IF(E$5&lt;=24,Assumptions!$E$67,Assumptions!$E$68)))</f>
        <v>-45000</v>
      </c>
      <c r="F65" s="50" t="n">
        <f aca="false">-IF(F8=0,Assumptions!$E$65,IF(F$5&lt;=12,Assumptions!$E$66,IF(F$5&lt;=24,Assumptions!$E$67,Assumptions!$E$68)))</f>
        <v>-45000</v>
      </c>
      <c r="G65" s="50" t="n">
        <f aca="false">-IF(G8=0,Assumptions!$E$65,IF(G$5&lt;=12,Assumptions!$E$66,IF(G$5&lt;=24,Assumptions!$E$67,Assumptions!$E$68)))</f>
        <v>-45000</v>
      </c>
      <c r="H65" s="50" t="n">
        <f aca="false">-IF(H8=0,Assumptions!$E$65,IF(H$5&lt;=12,Assumptions!$E$66,IF(H$5&lt;=24,Assumptions!$E$67,Assumptions!$E$68)))</f>
        <v>-45000</v>
      </c>
      <c r="I65" s="50" t="n">
        <f aca="false">-IF(I8=0,Assumptions!$E$65,IF(I$5&lt;=12,Assumptions!$E$66,IF(I$5&lt;=24,Assumptions!$E$67,Assumptions!$E$68)))</f>
        <v>-45000</v>
      </c>
      <c r="J65" s="50" t="n">
        <f aca="false">-IF(J8=0,Assumptions!$E$65,IF(J$5&lt;=12,Assumptions!$E$66,IF(J$5&lt;=24,Assumptions!$E$67,Assumptions!$E$68)))</f>
        <v>-45000</v>
      </c>
      <c r="K65" s="50" t="n">
        <f aca="false">-IF(K8=0,Assumptions!$E$65,IF(K$5&lt;=12,Assumptions!$E$66,IF(K$5&lt;=24,Assumptions!$E$67,Assumptions!$E$68)))</f>
        <v>-45000</v>
      </c>
      <c r="L65" s="50" t="n">
        <f aca="false">-IF(L8=0,Assumptions!$E$65,IF(L$5&lt;=12,Assumptions!$E$66,IF(L$5&lt;=24,Assumptions!$E$67,Assumptions!$E$68)))</f>
        <v>-45000</v>
      </c>
      <c r="M65" s="50" t="n">
        <f aca="false">-IF(M8=0,Assumptions!$E$65,IF(M$5&lt;=12,Assumptions!$E$66,IF(M$5&lt;=24,Assumptions!$E$67,Assumptions!$E$68)))</f>
        <v>-45000</v>
      </c>
      <c r="N65" s="50" t="n">
        <f aca="false">-IF(N8=0,Assumptions!$E$65,IF(N$5&lt;=12,Assumptions!$E$66,IF(N$5&lt;=24,Assumptions!$E$67,Assumptions!$E$68)))</f>
        <v>-45000</v>
      </c>
      <c r="O65" s="50" t="n">
        <f aca="false">-IF(O8=0,Assumptions!$E$65,IF(O$5&lt;=12,Assumptions!$E$66,IF(O$5&lt;=24,Assumptions!$E$67,Assumptions!$E$68)))</f>
        <v>-62000</v>
      </c>
      <c r="P65" s="50" t="n">
        <f aca="false">-IF(P8=0,Assumptions!$E$65,IF(P$5&lt;=12,Assumptions!$E$66,IF(P$5&lt;=24,Assumptions!$E$67,Assumptions!$E$68)))</f>
        <v>-62000</v>
      </c>
      <c r="Q65" s="50" t="n">
        <f aca="false">-IF(Q8=0,Assumptions!$E$65,IF(Q$5&lt;=12,Assumptions!$E$66,IF(Q$5&lt;=24,Assumptions!$E$67,Assumptions!$E$68)))</f>
        <v>-62000</v>
      </c>
      <c r="R65" s="50" t="n">
        <f aca="false">-IF(R8=0,Assumptions!$E$65,IF(R$5&lt;=12,Assumptions!$E$66,IF(R$5&lt;=24,Assumptions!$E$67,Assumptions!$E$68)))</f>
        <v>-62000</v>
      </c>
      <c r="S65" s="50" t="n">
        <f aca="false">-IF(S8=0,Assumptions!$E$65,IF(S$5&lt;=12,Assumptions!$E$66,IF(S$5&lt;=24,Assumptions!$E$67,Assumptions!$E$68)))</f>
        <v>-62000</v>
      </c>
      <c r="T65" s="50" t="n">
        <f aca="false">-IF(T8=0,Assumptions!$E$65,IF(T$5&lt;=12,Assumptions!$E$66,IF(T$5&lt;=24,Assumptions!$E$67,Assumptions!$E$68)))</f>
        <v>-62000</v>
      </c>
      <c r="U65" s="50" t="n">
        <f aca="false">-IF(U8=0,Assumptions!$E$65,IF(U$5&lt;=12,Assumptions!$E$66,IF(U$5&lt;=24,Assumptions!$E$67,Assumptions!$E$68)))</f>
        <v>-62000</v>
      </c>
      <c r="V65" s="50" t="n">
        <f aca="false">-IF(V8=0,Assumptions!$E$65,IF(V$5&lt;=12,Assumptions!$E$66,IF(V$5&lt;=24,Assumptions!$E$67,Assumptions!$E$68)))</f>
        <v>-62000</v>
      </c>
      <c r="W65" s="50" t="n">
        <f aca="false">-IF(W8=0,Assumptions!$E$65,IF(W$5&lt;=12,Assumptions!$E$66,IF(W$5&lt;=24,Assumptions!$E$67,Assumptions!$E$68)))</f>
        <v>-62000</v>
      </c>
      <c r="X65" s="50" t="n">
        <f aca="false">-IF(X8=0,Assumptions!$E$65,IF(X$5&lt;=12,Assumptions!$E$66,IF(X$5&lt;=24,Assumptions!$E$67,Assumptions!$E$68)))</f>
        <v>-62000</v>
      </c>
      <c r="Y65" s="50" t="n">
        <f aca="false">-IF(Y8=0,Assumptions!$E$65,IF(Y$5&lt;=12,Assumptions!$E$66,IF(Y$5&lt;=24,Assumptions!$E$67,Assumptions!$E$68)))</f>
        <v>-62000</v>
      </c>
      <c r="Z65" s="50" t="n">
        <f aca="false">-IF(Z8=0,Assumptions!$E$65,IF(Z$5&lt;=12,Assumptions!$E$66,IF(Z$5&lt;=24,Assumptions!$E$67,Assumptions!$E$68)))</f>
        <v>-62000</v>
      </c>
      <c r="AA65" s="50" t="n">
        <f aca="false">-IF(AA8=0,Assumptions!$E$65,IF(AA$5&lt;=12,Assumptions!$E$66,IF(AA$5&lt;=24,Assumptions!$E$67,Assumptions!$E$68)))</f>
        <v>-92000</v>
      </c>
      <c r="AB65" s="50" t="n">
        <f aca="false">-IF(AB8=0,Assumptions!$E$65,IF(AB$5&lt;=12,Assumptions!$E$66,IF(AB$5&lt;=24,Assumptions!$E$67,Assumptions!$E$68)))</f>
        <v>-92000</v>
      </c>
      <c r="AC65" s="50" t="n">
        <f aca="false">-IF(AC8=0,Assumptions!$E$65,IF(AC$5&lt;=12,Assumptions!$E$66,IF(AC$5&lt;=24,Assumptions!$E$67,Assumptions!$E$68)))</f>
        <v>-92000</v>
      </c>
      <c r="AD65" s="50" t="n">
        <f aca="false">-IF(AD8=0,Assumptions!$E$65,IF(AD$5&lt;=12,Assumptions!$E$66,IF(AD$5&lt;=24,Assumptions!$E$67,Assumptions!$E$68)))</f>
        <v>-92000</v>
      </c>
      <c r="AE65" s="50" t="n">
        <f aca="false">-IF(AE8=0,Assumptions!$E$65,IF(AE$5&lt;=12,Assumptions!$E$66,IF(AE$5&lt;=24,Assumptions!$E$67,Assumptions!$E$68)))</f>
        <v>-92000</v>
      </c>
      <c r="AF65" s="50" t="n">
        <f aca="false">-IF(AF8=0,Assumptions!$E$65,IF(AF$5&lt;=12,Assumptions!$E$66,IF(AF$5&lt;=24,Assumptions!$E$67,Assumptions!$E$68)))</f>
        <v>-92000</v>
      </c>
      <c r="AG65" s="50" t="n">
        <f aca="false">-IF(AG8=0,Assumptions!$E$65,IF(AG$5&lt;=12,Assumptions!$E$66,IF(AG$5&lt;=24,Assumptions!$E$67,Assumptions!$E$68)))</f>
        <v>-92000</v>
      </c>
      <c r="AH65" s="50" t="n">
        <f aca="false">-IF(AH8=0,Assumptions!$E$65,IF(AH$5&lt;=12,Assumptions!$E$66,IF(AH$5&lt;=24,Assumptions!$E$67,Assumptions!$E$68)))</f>
        <v>-92000</v>
      </c>
      <c r="AI65" s="50" t="n">
        <f aca="false">-IF(AI8=0,Assumptions!$E$65,IF(AI$5&lt;=12,Assumptions!$E$66,IF(AI$5&lt;=24,Assumptions!$E$67,Assumptions!$E$68)))</f>
        <v>-92000</v>
      </c>
      <c r="AJ65" s="50" t="n">
        <f aca="false">-IF(AJ8=0,Assumptions!$E$65,IF(AJ$5&lt;=12,Assumptions!$E$66,IF(AJ$5&lt;=24,Assumptions!$E$67,Assumptions!$E$68)))</f>
        <v>-92000</v>
      </c>
      <c r="AK65" s="50" t="n">
        <f aca="false">-IF(AK8=0,Assumptions!$E$65,IF(AK$5&lt;=12,Assumptions!$E$66,IF(AK$5&lt;=24,Assumptions!$E$67,Assumptions!$E$68)))</f>
        <v>-92000</v>
      </c>
      <c r="AL65" s="50" t="n">
        <f aca="false">-IF(AL8=0,Assumptions!$E$65,IF(AL$5&lt;=12,Assumptions!$E$66,IF(AL$5&lt;=24,Assumptions!$E$67,Assumptions!$E$68)))</f>
        <v>-92000</v>
      </c>
      <c r="AM65" s="50" t="n">
        <f aca="false">SUM(C65:AL65)</f>
        <v>-2361000</v>
      </c>
    </row>
    <row r="66" customFormat="false" ht="15" hidden="false" customHeight="false" outlineLevel="0" collapsed="false">
      <c r="A66" s="10" t="s">
        <v>651</v>
      </c>
      <c r="B66" s="9" t="s">
        <v>90</v>
      </c>
      <c r="C66" s="50" t="n">
        <f aca="false">-IF(C$5&gt;=Assumptions!$E$7-2,Assumptions!$E$69,0)</f>
        <v>-0</v>
      </c>
      <c r="D66" s="50" t="n">
        <f aca="false">-IF(D$5&gt;=Assumptions!$E$7-2,Assumptions!$E$69,0)</f>
        <v>-0</v>
      </c>
      <c r="E66" s="50" t="n">
        <f aca="false">-IF(E$5&gt;=Assumptions!$E$7-2,Assumptions!$E$69,0)</f>
        <v>-0</v>
      </c>
      <c r="F66" s="50" t="n">
        <f aca="false">-IF(F$5&gt;=Assumptions!$E$7-2,Assumptions!$E$69,0)</f>
        <v>-0</v>
      </c>
      <c r="G66" s="50" t="n">
        <f aca="false">-IF(G$5&gt;=Assumptions!$E$7-2,Assumptions!$E$69,0)</f>
        <v>-9000</v>
      </c>
      <c r="H66" s="50" t="n">
        <f aca="false">-IF(H$5&gt;=Assumptions!$E$7-2,Assumptions!$E$69,0)</f>
        <v>-9000</v>
      </c>
      <c r="I66" s="50" t="n">
        <f aca="false">-IF(I$5&gt;=Assumptions!$E$7-2,Assumptions!$E$69,0)</f>
        <v>-9000</v>
      </c>
      <c r="J66" s="50" t="n">
        <f aca="false">-IF(J$5&gt;=Assumptions!$E$7-2,Assumptions!$E$69,0)</f>
        <v>-9000</v>
      </c>
      <c r="K66" s="50" t="n">
        <f aca="false">-IF(K$5&gt;=Assumptions!$E$7-2,Assumptions!$E$69,0)</f>
        <v>-9000</v>
      </c>
      <c r="L66" s="50" t="n">
        <f aca="false">-IF(L$5&gt;=Assumptions!$E$7-2,Assumptions!$E$69,0)</f>
        <v>-9000</v>
      </c>
      <c r="M66" s="50" t="n">
        <f aca="false">-IF(M$5&gt;=Assumptions!$E$7-2,Assumptions!$E$69,0)</f>
        <v>-9000</v>
      </c>
      <c r="N66" s="50" t="n">
        <f aca="false">-IF(N$5&gt;=Assumptions!$E$7-2,Assumptions!$E$69,0)</f>
        <v>-9000</v>
      </c>
      <c r="O66" s="50" t="n">
        <f aca="false">-IF(O$5&gt;=Assumptions!$E$7-2,Assumptions!$E$69,0)</f>
        <v>-9000</v>
      </c>
      <c r="P66" s="50" t="n">
        <f aca="false">-IF(P$5&gt;=Assumptions!$E$7-2,Assumptions!$E$69,0)</f>
        <v>-9000</v>
      </c>
      <c r="Q66" s="50" t="n">
        <f aca="false">-IF(Q$5&gt;=Assumptions!$E$7-2,Assumptions!$E$69,0)</f>
        <v>-9000</v>
      </c>
      <c r="R66" s="50" t="n">
        <f aca="false">-IF(R$5&gt;=Assumptions!$E$7-2,Assumptions!$E$69,0)</f>
        <v>-9000</v>
      </c>
      <c r="S66" s="50" t="n">
        <f aca="false">-IF(S$5&gt;=Assumptions!$E$7-2,Assumptions!$E$69,0)</f>
        <v>-9000</v>
      </c>
      <c r="T66" s="50" t="n">
        <f aca="false">-IF(T$5&gt;=Assumptions!$E$7-2,Assumptions!$E$69,0)</f>
        <v>-9000</v>
      </c>
      <c r="U66" s="50" t="n">
        <f aca="false">-IF(U$5&gt;=Assumptions!$E$7-2,Assumptions!$E$69,0)</f>
        <v>-9000</v>
      </c>
      <c r="V66" s="50" t="n">
        <f aca="false">-IF(V$5&gt;=Assumptions!$E$7-2,Assumptions!$E$69,0)</f>
        <v>-9000</v>
      </c>
      <c r="W66" s="50" t="n">
        <f aca="false">-IF(W$5&gt;=Assumptions!$E$7-2,Assumptions!$E$69,0)</f>
        <v>-9000</v>
      </c>
      <c r="X66" s="50" t="n">
        <f aca="false">-IF(X$5&gt;=Assumptions!$E$7-2,Assumptions!$E$69,0)</f>
        <v>-9000</v>
      </c>
      <c r="Y66" s="50" t="n">
        <f aca="false">-IF(Y$5&gt;=Assumptions!$E$7-2,Assumptions!$E$69,0)</f>
        <v>-9000</v>
      </c>
      <c r="Z66" s="50" t="n">
        <f aca="false">-IF(Z$5&gt;=Assumptions!$E$7-2,Assumptions!$E$69,0)</f>
        <v>-9000</v>
      </c>
      <c r="AA66" s="50" t="n">
        <f aca="false">-IF(AA$5&gt;=Assumptions!$E$7-2,Assumptions!$E$69,0)</f>
        <v>-9000</v>
      </c>
      <c r="AB66" s="50" t="n">
        <f aca="false">-IF(AB$5&gt;=Assumptions!$E$7-2,Assumptions!$E$69,0)</f>
        <v>-9000</v>
      </c>
      <c r="AC66" s="50" t="n">
        <f aca="false">-IF(AC$5&gt;=Assumptions!$E$7-2,Assumptions!$E$69,0)</f>
        <v>-9000</v>
      </c>
      <c r="AD66" s="50" t="n">
        <f aca="false">-IF(AD$5&gt;=Assumptions!$E$7-2,Assumptions!$E$69,0)</f>
        <v>-9000</v>
      </c>
      <c r="AE66" s="50" t="n">
        <f aca="false">-IF(AE$5&gt;=Assumptions!$E$7-2,Assumptions!$E$69,0)</f>
        <v>-9000</v>
      </c>
      <c r="AF66" s="50" t="n">
        <f aca="false">-IF(AF$5&gt;=Assumptions!$E$7-2,Assumptions!$E$69,0)</f>
        <v>-9000</v>
      </c>
      <c r="AG66" s="50" t="n">
        <f aca="false">-IF(AG$5&gt;=Assumptions!$E$7-2,Assumptions!$E$69,0)</f>
        <v>-9000</v>
      </c>
      <c r="AH66" s="50" t="n">
        <f aca="false">-IF(AH$5&gt;=Assumptions!$E$7-2,Assumptions!$E$69,0)</f>
        <v>-9000</v>
      </c>
      <c r="AI66" s="50" t="n">
        <f aca="false">-IF(AI$5&gt;=Assumptions!$E$7-2,Assumptions!$E$69,0)</f>
        <v>-9000</v>
      </c>
      <c r="AJ66" s="50" t="n">
        <f aca="false">-IF(AJ$5&gt;=Assumptions!$E$7-2,Assumptions!$E$69,0)</f>
        <v>-9000</v>
      </c>
      <c r="AK66" s="50" t="n">
        <f aca="false">-IF(AK$5&gt;=Assumptions!$E$7-2,Assumptions!$E$69,0)</f>
        <v>-9000</v>
      </c>
      <c r="AL66" s="50" t="n">
        <f aca="false">-IF(AL$5&gt;=Assumptions!$E$7-2,Assumptions!$E$69,0)</f>
        <v>-9000</v>
      </c>
      <c r="AM66" s="50" t="n">
        <f aca="false">SUM(C66:AL66)</f>
        <v>-288000</v>
      </c>
    </row>
    <row r="67" customFormat="false" ht="15" hidden="false" customHeight="false" outlineLevel="0" collapsed="false">
      <c r="A67" s="10" t="s">
        <v>652</v>
      </c>
      <c r="B67" s="9" t="s">
        <v>90</v>
      </c>
      <c r="C67" s="50" t="n">
        <f aca="false">-Assumptions!$E$70</f>
        <v>-2500</v>
      </c>
      <c r="D67" s="50" t="n">
        <f aca="false">-Assumptions!$E$70</f>
        <v>-2500</v>
      </c>
      <c r="E67" s="50" t="n">
        <f aca="false">-Assumptions!$E$70</f>
        <v>-2500</v>
      </c>
      <c r="F67" s="50" t="n">
        <f aca="false">-Assumptions!$E$70</f>
        <v>-2500</v>
      </c>
      <c r="G67" s="50" t="n">
        <f aca="false">-Assumptions!$E$70</f>
        <v>-2500</v>
      </c>
      <c r="H67" s="50" t="n">
        <f aca="false">-Assumptions!$E$70</f>
        <v>-2500</v>
      </c>
      <c r="I67" s="50" t="n">
        <f aca="false">-Assumptions!$E$70</f>
        <v>-2500</v>
      </c>
      <c r="J67" s="50" t="n">
        <f aca="false">-Assumptions!$E$70</f>
        <v>-2500</v>
      </c>
      <c r="K67" s="50" t="n">
        <f aca="false">-Assumptions!$E$70</f>
        <v>-2500</v>
      </c>
      <c r="L67" s="50" t="n">
        <f aca="false">-Assumptions!$E$70</f>
        <v>-2500</v>
      </c>
      <c r="M67" s="50" t="n">
        <f aca="false">-Assumptions!$E$70</f>
        <v>-2500</v>
      </c>
      <c r="N67" s="50" t="n">
        <f aca="false">-Assumptions!$E$70</f>
        <v>-2500</v>
      </c>
      <c r="O67" s="50" t="n">
        <f aca="false">-Assumptions!$E$70</f>
        <v>-2500</v>
      </c>
      <c r="P67" s="50" t="n">
        <f aca="false">-Assumptions!$E$70</f>
        <v>-2500</v>
      </c>
      <c r="Q67" s="50" t="n">
        <f aca="false">-Assumptions!$E$70</f>
        <v>-2500</v>
      </c>
      <c r="R67" s="50" t="n">
        <f aca="false">-Assumptions!$E$70</f>
        <v>-2500</v>
      </c>
      <c r="S67" s="50" t="n">
        <f aca="false">-Assumptions!$E$70</f>
        <v>-2500</v>
      </c>
      <c r="T67" s="50" t="n">
        <f aca="false">-Assumptions!$E$70</f>
        <v>-2500</v>
      </c>
      <c r="U67" s="50" t="n">
        <f aca="false">-Assumptions!$E$70</f>
        <v>-2500</v>
      </c>
      <c r="V67" s="50" t="n">
        <f aca="false">-Assumptions!$E$70</f>
        <v>-2500</v>
      </c>
      <c r="W67" s="50" t="n">
        <f aca="false">-Assumptions!$E$70</f>
        <v>-2500</v>
      </c>
      <c r="X67" s="50" t="n">
        <f aca="false">-Assumptions!$E$70</f>
        <v>-2500</v>
      </c>
      <c r="Y67" s="50" t="n">
        <f aca="false">-Assumptions!$E$70</f>
        <v>-2500</v>
      </c>
      <c r="Z67" s="50" t="n">
        <f aca="false">-Assumptions!$E$70</f>
        <v>-2500</v>
      </c>
      <c r="AA67" s="50" t="n">
        <f aca="false">-Assumptions!$E$70</f>
        <v>-2500</v>
      </c>
      <c r="AB67" s="50" t="n">
        <f aca="false">-Assumptions!$E$70</f>
        <v>-2500</v>
      </c>
      <c r="AC67" s="50" t="n">
        <f aca="false">-Assumptions!$E$70</f>
        <v>-2500</v>
      </c>
      <c r="AD67" s="50" t="n">
        <f aca="false">-Assumptions!$E$70</f>
        <v>-2500</v>
      </c>
      <c r="AE67" s="50" t="n">
        <f aca="false">-Assumptions!$E$70</f>
        <v>-2500</v>
      </c>
      <c r="AF67" s="50" t="n">
        <f aca="false">-Assumptions!$E$70</f>
        <v>-2500</v>
      </c>
      <c r="AG67" s="50" t="n">
        <f aca="false">-Assumptions!$E$70</f>
        <v>-2500</v>
      </c>
      <c r="AH67" s="50" t="n">
        <f aca="false">-Assumptions!$E$70</f>
        <v>-2500</v>
      </c>
      <c r="AI67" s="50" t="n">
        <f aca="false">-Assumptions!$E$70</f>
        <v>-2500</v>
      </c>
      <c r="AJ67" s="50" t="n">
        <f aca="false">-Assumptions!$E$70</f>
        <v>-2500</v>
      </c>
      <c r="AK67" s="50" t="n">
        <f aca="false">-Assumptions!$E$70</f>
        <v>-2500</v>
      </c>
      <c r="AL67" s="50" t="n">
        <f aca="false">-Assumptions!$E$70</f>
        <v>-2500</v>
      </c>
      <c r="AM67" s="50" t="n">
        <f aca="false">SUM(C67:AL67)</f>
        <v>-90000</v>
      </c>
    </row>
    <row r="68" customFormat="false" ht="15" hidden="false" customHeight="false" outlineLevel="0" collapsed="false">
      <c r="A68" s="10" t="s">
        <v>653</v>
      </c>
      <c r="B68" s="9" t="s">
        <v>90</v>
      </c>
      <c r="C68" s="50" t="n">
        <f aca="false">-IF(C$5&lt;=4,Assumptions!$E$71,Assumptions!$E$72)</f>
        <v>-25000</v>
      </c>
      <c r="D68" s="50" t="n">
        <f aca="false">-IF(D$5&lt;=4,Assumptions!$E$71,Assumptions!$E$72)</f>
        <v>-25000</v>
      </c>
      <c r="E68" s="50" t="n">
        <f aca="false">-IF(E$5&lt;=4,Assumptions!$E$71,Assumptions!$E$72)</f>
        <v>-25000</v>
      </c>
      <c r="F68" s="50" t="n">
        <f aca="false">-IF(F$5&lt;=4,Assumptions!$E$71,Assumptions!$E$72)</f>
        <v>-25000</v>
      </c>
      <c r="G68" s="50" t="n">
        <f aca="false">-IF(G$5&lt;=4,Assumptions!$E$71,Assumptions!$E$72)</f>
        <v>-9000</v>
      </c>
      <c r="H68" s="50" t="n">
        <f aca="false">-IF(H$5&lt;=4,Assumptions!$E$71,Assumptions!$E$72)</f>
        <v>-9000</v>
      </c>
      <c r="I68" s="50" t="n">
        <f aca="false">-IF(I$5&lt;=4,Assumptions!$E$71,Assumptions!$E$72)</f>
        <v>-9000</v>
      </c>
      <c r="J68" s="50" t="n">
        <f aca="false">-IF(J$5&lt;=4,Assumptions!$E$71,Assumptions!$E$72)</f>
        <v>-9000</v>
      </c>
      <c r="K68" s="50" t="n">
        <f aca="false">-IF(K$5&lt;=4,Assumptions!$E$71,Assumptions!$E$72)</f>
        <v>-9000</v>
      </c>
      <c r="L68" s="50" t="n">
        <f aca="false">-IF(L$5&lt;=4,Assumptions!$E$71,Assumptions!$E$72)</f>
        <v>-9000</v>
      </c>
      <c r="M68" s="50" t="n">
        <f aca="false">-IF(M$5&lt;=4,Assumptions!$E$71,Assumptions!$E$72)</f>
        <v>-9000</v>
      </c>
      <c r="N68" s="50" t="n">
        <f aca="false">-IF(N$5&lt;=4,Assumptions!$E$71,Assumptions!$E$72)</f>
        <v>-9000</v>
      </c>
      <c r="O68" s="50" t="n">
        <f aca="false">-IF(O$5&lt;=4,Assumptions!$E$71,Assumptions!$E$72)</f>
        <v>-9000</v>
      </c>
      <c r="P68" s="50" t="n">
        <f aca="false">-IF(P$5&lt;=4,Assumptions!$E$71,Assumptions!$E$72)</f>
        <v>-9000</v>
      </c>
      <c r="Q68" s="50" t="n">
        <f aca="false">-IF(Q$5&lt;=4,Assumptions!$E$71,Assumptions!$E$72)</f>
        <v>-9000</v>
      </c>
      <c r="R68" s="50" t="n">
        <f aca="false">-IF(R$5&lt;=4,Assumptions!$E$71,Assumptions!$E$72)</f>
        <v>-9000</v>
      </c>
      <c r="S68" s="50" t="n">
        <f aca="false">-IF(S$5&lt;=4,Assumptions!$E$71,Assumptions!$E$72)</f>
        <v>-9000</v>
      </c>
      <c r="T68" s="50" t="n">
        <f aca="false">-IF(T$5&lt;=4,Assumptions!$E$71,Assumptions!$E$72)</f>
        <v>-9000</v>
      </c>
      <c r="U68" s="50" t="n">
        <f aca="false">-IF(U$5&lt;=4,Assumptions!$E$71,Assumptions!$E$72)</f>
        <v>-9000</v>
      </c>
      <c r="V68" s="50" t="n">
        <f aca="false">-IF(V$5&lt;=4,Assumptions!$E$71,Assumptions!$E$72)</f>
        <v>-9000</v>
      </c>
      <c r="W68" s="50" t="n">
        <f aca="false">-IF(W$5&lt;=4,Assumptions!$E$71,Assumptions!$E$72)</f>
        <v>-9000</v>
      </c>
      <c r="X68" s="50" t="n">
        <f aca="false">-IF(X$5&lt;=4,Assumptions!$E$71,Assumptions!$E$72)</f>
        <v>-9000</v>
      </c>
      <c r="Y68" s="50" t="n">
        <f aca="false">-IF(Y$5&lt;=4,Assumptions!$E$71,Assumptions!$E$72)</f>
        <v>-9000</v>
      </c>
      <c r="Z68" s="50" t="n">
        <f aca="false">-IF(Z$5&lt;=4,Assumptions!$E$71,Assumptions!$E$72)</f>
        <v>-9000</v>
      </c>
      <c r="AA68" s="50" t="n">
        <f aca="false">-IF(AA$5&lt;=4,Assumptions!$E$71,Assumptions!$E$72)</f>
        <v>-9000</v>
      </c>
      <c r="AB68" s="50" t="n">
        <f aca="false">-IF(AB$5&lt;=4,Assumptions!$E$71,Assumptions!$E$72)</f>
        <v>-9000</v>
      </c>
      <c r="AC68" s="50" t="n">
        <f aca="false">-IF(AC$5&lt;=4,Assumptions!$E$71,Assumptions!$E$72)</f>
        <v>-9000</v>
      </c>
      <c r="AD68" s="50" t="n">
        <f aca="false">-IF(AD$5&lt;=4,Assumptions!$E$71,Assumptions!$E$72)</f>
        <v>-9000</v>
      </c>
      <c r="AE68" s="50" t="n">
        <f aca="false">-IF(AE$5&lt;=4,Assumptions!$E$71,Assumptions!$E$72)</f>
        <v>-9000</v>
      </c>
      <c r="AF68" s="50" t="n">
        <f aca="false">-IF(AF$5&lt;=4,Assumptions!$E$71,Assumptions!$E$72)</f>
        <v>-9000</v>
      </c>
      <c r="AG68" s="50" t="n">
        <f aca="false">-IF(AG$5&lt;=4,Assumptions!$E$71,Assumptions!$E$72)</f>
        <v>-9000</v>
      </c>
      <c r="AH68" s="50" t="n">
        <f aca="false">-IF(AH$5&lt;=4,Assumptions!$E$71,Assumptions!$E$72)</f>
        <v>-9000</v>
      </c>
      <c r="AI68" s="50" t="n">
        <f aca="false">-IF(AI$5&lt;=4,Assumptions!$E$71,Assumptions!$E$72)</f>
        <v>-9000</v>
      </c>
      <c r="AJ68" s="50" t="n">
        <f aca="false">-IF(AJ$5&lt;=4,Assumptions!$E$71,Assumptions!$E$72)</f>
        <v>-9000</v>
      </c>
      <c r="AK68" s="50" t="n">
        <f aca="false">-IF(AK$5&lt;=4,Assumptions!$E$71,Assumptions!$E$72)</f>
        <v>-9000</v>
      </c>
      <c r="AL68" s="50" t="n">
        <f aca="false">-IF(AL$5&lt;=4,Assumptions!$E$71,Assumptions!$E$72)</f>
        <v>-9000</v>
      </c>
      <c r="AM68" s="50" t="n">
        <f aca="false">SUM(C68:AL68)</f>
        <v>-388000</v>
      </c>
    </row>
    <row r="69" customFormat="false" ht="15" hidden="false" customHeight="false" outlineLevel="0" collapsed="false">
      <c r="A69" s="10" t="s">
        <v>654</v>
      </c>
      <c r="B69" s="9" t="s">
        <v>90</v>
      </c>
      <c r="C69" s="50" t="n">
        <f aca="false">-C8*Assumptions!$E$73</f>
        <v>-0</v>
      </c>
      <c r="D69" s="50" t="n">
        <f aca="false">-D8*Assumptions!$E$73</f>
        <v>-3500</v>
      </c>
      <c r="E69" s="50" t="n">
        <f aca="false">-E8*Assumptions!$E$73</f>
        <v>-3500</v>
      </c>
      <c r="F69" s="50" t="n">
        <f aca="false">-F8*Assumptions!$E$73</f>
        <v>-3500</v>
      </c>
      <c r="G69" s="50" t="n">
        <f aca="false">-G8*Assumptions!$E$73</f>
        <v>-3500</v>
      </c>
      <c r="H69" s="50" t="n">
        <f aca="false">-H8*Assumptions!$E$73</f>
        <v>-3500</v>
      </c>
      <c r="I69" s="50" t="n">
        <f aca="false">-I8*Assumptions!$E$73</f>
        <v>-3500</v>
      </c>
      <c r="J69" s="50" t="n">
        <f aca="false">-J8*Assumptions!$E$73</f>
        <v>-3500</v>
      </c>
      <c r="K69" s="50" t="n">
        <f aca="false">-K8*Assumptions!$E$73</f>
        <v>-3500</v>
      </c>
      <c r="L69" s="50" t="n">
        <f aca="false">-L8*Assumptions!$E$73</f>
        <v>-3500</v>
      </c>
      <c r="M69" s="50" t="n">
        <f aca="false">-M8*Assumptions!$E$73</f>
        <v>-3500</v>
      </c>
      <c r="N69" s="50" t="n">
        <f aca="false">-N8*Assumptions!$E$73</f>
        <v>-3500</v>
      </c>
      <c r="O69" s="50" t="n">
        <f aca="false">-O8*Assumptions!$E$73</f>
        <v>-3500</v>
      </c>
      <c r="P69" s="50" t="n">
        <f aca="false">-P8*Assumptions!$E$73</f>
        <v>-3500</v>
      </c>
      <c r="Q69" s="50" t="n">
        <f aca="false">-Q8*Assumptions!$E$73</f>
        <v>-3500</v>
      </c>
      <c r="R69" s="50" t="n">
        <f aca="false">-R8*Assumptions!$E$73</f>
        <v>-3500</v>
      </c>
      <c r="S69" s="50" t="n">
        <f aca="false">-S8*Assumptions!$E$73</f>
        <v>-3500</v>
      </c>
      <c r="T69" s="50" t="n">
        <f aca="false">-T8*Assumptions!$E$73</f>
        <v>-3500</v>
      </c>
      <c r="U69" s="50" t="n">
        <f aca="false">-U8*Assumptions!$E$73</f>
        <v>-3500</v>
      </c>
      <c r="V69" s="50" t="n">
        <f aca="false">-V8*Assumptions!$E$73</f>
        <v>-3500</v>
      </c>
      <c r="W69" s="50" t="n">
        <f aca="false">-W8*Assumptions!$E$73</f>
        <v>-3500</v>
      </c>
      <c r="X69" s="50" t="n">
        <f aca="false">-X8*Assumptions!$E$73</f>
        <v>-3500</v>
      </c>
      <c r="Y69" s="50" t="n">
        <f aca="false">-Y8*Assumptions!$E$73</f>
        <v>-3500</v>
      </c>
      <c r="Z69" s="50" t="n">
        <f aca="false">-Z8*Assumptions!$E$73</f>
        <v>-3500</v>
      </c>
      <c r="AA69" s="50" t="n">
        <f aca="false">-AA8*Assumptions!$E$73</f>
        <v>-3500</v>
      </c>
      <c r="AB69" s="50" t="n">
        <f aca="false">-AB8*Assumptions!$E$73</f>
        <v>-3500</v>
      </c>
      <c r="AC69" s="50" t="n">
        <f aca="false">-AC8*Assumptions!$E$73</f>
        <v>-3500</v>
      </c>
      <c r="AD69" s="50" t="n">
        <f aca="false">-AD8*Assumptions!$E$73</f>
        <v>-3500</v>
      </c>
      <c r="AE69" s="50" t="n">
        <f aca="false">-AE8*Assumptions!$E$73</f>
        <v>-3500</v>
      </c>
      <c r="AF69" s="50" t="n">
        <f aca="false">-AF8*Assumptions!$E$73</f>
        <v>-3500</v>
      </c>
      <c r="AG69" s="50" t="n">
        <f aca="false">-AG8*Assumptions!$E$73</f>
        <v>-3500</v>
      </c>
      <c r="AH69" s="50" t="n">
        <f aca="false">-AH8*Assumptions!$E$73</f>
        <v>-3500</v>
      </c>
      <c r="AI69" s="50" t="n">
        <f aca="false">-AI8*Assumptions!$E$73</f>
        <v>-3500</v>
      </c>
      <c r="AJ69" s="50" t="n">
        <f aca="false">-AJ8*Assumptions!$E$73</f>
        <v>-3500</v>
      </c>
      <c r="AK69" s="50" t="n">
        <f aca="false">-AK8*Assumptions!$E$73</f>
        <v>-3500</v>
      </c>
      <c r="AL69" s="50" t="n">
        <f aca="false">-AL8*Assumptions!$E$73</f>
        <v>-3500</v>
      </c>
      <c r="AM69" s="50" t="n">
        <f aca="false">SUM(C69:AL69)</f>
        <v>-122500</v>
      </c>
    </row>
    <row r="70" customFormat="false" ht="15" hidden="false" customHeight="false" outlineLevel="0" collapsed="false">
      <c r="A70" s="10" t="s">
        <v>655</v>
      </c>
      <c r="B70" s="9" t="s">
        <v>90</v>
      </c>
      <c r="C70" s="50" t="n">
        <f aca="false">-Assumptions!$E$74</f>
        <v>-12000</v>
      </c>
      <c r="D70" s="50" t="n">
        <f aca="false">-Assumptions!$E$74</f>
        <v>-12000</v>
      </c>
      <c r="E70" s="50" t="n">
        <f aca="false">-Assumptions!$E$74</f>
        <v>-12000</v>
      </c>
      <c r="F70" s="50" t="n">
        <f aca="false">-Assumptions!$E$74</f>
        <v>-12000</v>
      </c>
      <c r="G70" s="50" t="n">
        <f aca="false">-Assumptions!$E$74</f>
        <v>-12000</v>
      </c>
      <c r="H70" s="50" t="n">
        <f aca="false">-Assumptions!$E$74</f>
        <v>-12000</v>
      </c>
      <c r="I70" s="50" t="n">
        <f aca="false">-Assumptions!$E$74</f>
        <v>-12000</v>
      </c>
      <c r="J70" s="50" t="n">
        <f aca="false">-Assumptions!$E$74</f>
        <v>-12000</v>
      </c>
      <c r="K70" s="50" t="n">
        <f aca="false">-Assumptions!$E$74</f>
        <v>-12000</v>
      </c>
      <c r="L70" s="50" t="n">
        <f aca="false">-Assumptions!$E$74</f>
        <v>-12000</v>
      </c>
      <c r="M70" s="50" t="n">
        <f aca="false">-Assumptions!$E$74</f>
        <v>-12000</v>
      </c>
      <c r="N70" s="50" t="n">
        <f aca="false">-Assumptions!$E$74</f>
        <v>-12000</v>
      </c>
      <c r="O70" s="50" t="n">
        <f aca="false">-Assumptions!$E$74</f>
        <v>-12000</v>
      </c>
      <c r="P70" s="50" t="n">
        <f aca="false">-Assumptions!$E$74</f>
        <v>-12000</v>
      </c>
      <c r="Q70" s="50" t="n">
        <f aca="false">-Assumptions!$E$74</f>
        <v>-12000</v>
      </c>
      <c r="R70" s="50" t="n">
        <f aca="false">-Assumptions!$E$74</f>
        <v>-12000</v>
      </c>
      <c r="S70" s="50" t="n">
        <f aca="false">-Assumptions!$E$74</f>
        <v>-12000</v>
      </c>
      <c r="T70" s="50" t="n">
        <f aca="false">-Assumptions!$E$74</f>
        <v>-12000</v>
      </c>
      <c r="U70" s="50" t="n">
        <f aca="false">-Assumptions!$E$74</f>
        <v>-12000</v>
      </c>
      <c r="V70" s="50" t="n">
        <f aca="false">-Assumptions!$E$74</f>
        <v>-12000</v>
      </c>
      <c r="W70" s="50" t="n">
        <f aca="false">-Assumptions!$E$74</f>
        <v>-12000</v>
      </c>
      <c r="X70" s="50" t="n">
        <f aca="false">-Assumptions!$E$74</f>
        <v>-12000</v>
      </c>
      <c r="Y70" s="50" t="n">
        <f aca="false">-Assumptions!$E$74</f>
        <v>-12000</v>
      </c>
      <c r="Z70" s="50" t="n">
        <f aca="false">-Assumptions!$E$74</f>
        <v>-12000</v>
      </c>
      <c r="AA70" s="50" t="n">
        <f aca="false">-Assumptions!$E$74</f>
        <v>-12000</v>
      </c>
      <c r="AB70" s="50" t="n">
        <f aca="false">-Assumptions!$E$74</f>
        <v>-12000</v>
      </c>
      <c r="AC70" s="50" t="n">
        <f aca="false">-Assumptions!$E$74</f>
        <v>-12000</v>
      </c>
      <c r="AD70" s="50" t="n">
        <f aca="false">-Assumptions!$E$74</f>
        <v>-12000</v>
      </c>
      <c r="AE70" s="50" t="n">
        <f aca="false">-Assumptions!$E$74</f>
        <v>-12000</v>
      </c>
      <c r="AF70" s="50" t="n">
        <f aca="false">-Assumptions!$E$74</f>
        <v>-12000</v>
      </c>
      <c r="AG70" s="50" t="n">
        <f aca="false">-Assumptions!$E$74</f>
        <v>-12000</v>
      </c>
      <c r="AH70" s="50" t="n">
        <f aca="false">-Assumptions!$E$74</f>
        <v>-12000</v>
      </c>
      <c r="AI70" s="50" t="n">
        <f aca="false">-Assumptions!$E$74</f>
        <v>-12000</v>
      </c>
      <c r="AJ70" s="50" t="n">
        <f aca="false">-Assumptions!$E$74</f>
        <v>-12000</v>
      </c>
      <c r="AK70" s="50" t="n">
        <f aca="false">-Assumptions!$E$74</f>
        <v>-12000</v>
      </c>
      <c r="AL70" s="50" t="n">
        <f aca="false">-Assumptions!$E$74</f>
        <v>-12000</v>
      </c>
      <c r="AM70" s="50" t="n">
        <f aca="false">SUM(C70:AL70)</f>
        <v>-432000</v>
      </c>
    </row>
    <row r="71" customFormat="false" ht="15" hidden="false" customHeight="false" outlineLevel="0" collapsed="false">
      <c r="A71" s="10" t="s">
        <v>656</v>
      </c>
      <c r="B71" s="9" t="s">
        <v>90</v>
      </c>
      <c r="C71" s="50" t="n">
        <f aca="false">-C15</f>
        <v>-8000</v>
      </c>
      <c r="D71" s="50" t="n">
        <f aca="false">-D15</f>
        <v>-30000</v>
      </c>
      <c r="E71" s="50" t="n">
        <f aca="false">-E15</f>
        <v>-30000</v>
      </c>
      <c r="F71" s="50" t="n">
        <f aca="false">-F15</f>
        <v>-30000</v>
      </c>
      <c r="G71" s="50" t="n">
        <f aca="false">-G15</f>
        <v>-30000</v>
      </c>
      <c r="H71" s="50" t="n">
        <f aca="false">-H15</f>
        <v>-31950.405845679</v>
      </c>
      <c r="I71" s="50" t="n">
        <f aca="false">-I15</f>
        <v>-34665.723053094</v>
      </c>
      <c r="J71" s="50" t="n">
        <f aca="false">-J15</f>
        <v>-39441.0953521055</v>
      </c>
      <c r="K71" s="50" t="n">
        <f aca="false">-K15</f>
        <v>-43304.2081585852</v>
      </c>
      <c r="L71" s="50" t="n">
        <f aca="false">-L15</f>
        <v>-46982.393395028</v>
      </c>
      <c r="M71" s="50" t="n">
        <f aca="false">-M15</f>
        <v>-50541.4888287415</v>
      </c>
      <c r="N71" s="50" t="n">
        <f aca="false">-N15</f>
        <v>-54024.9069739565</v>
      </c>
      <c r="O71" s="50" t="n">
        <f aca="false">-O15</f>
        <v>-57466.510269178</v>
      </c>
      <c r="P71" s="50" t="n">
        <f aca="false">-P15</f>
        <v>-60895.7748722075</v>
      </c>
      <c r="Q71" s="50" t="n">
        <f aca="false">-Q15</f>
        <v>-64338.9832117083</v>
      </c>
      <c r="R71" s="50" t="n">
        <f aca="false">-R15</f>
        <v>-67820.028038684</v>
      </c>
      <c r="S71" s="50" t="n">
        <f aca="false">-S15</f>
        <v>-71361.0668454285</v>
      </c>
      <c r="T71" s="50" t="n">
        <f aca="false">-T15</f>
        <v>-74983.0784031499</v>
      </c>
      <c r="U71" s="50" t="n">
        <f aca="false">-U15</f>
        <v>-78706.3425725169</v>
      </c>
      <c r="V71" s="50" t="n">
        <f aca="false">-V15</f>
        <v>-82550.8591803466</v>
      </c>
      <c r="W71" s="50" t="n">
        <f aca="false">-W15</f>
        <v>-86536.7190175265</v>
      </c>
      <c r="X71" s="50" t="n">
        <f aca="false">-X15</f>
        <v>-90684.4379408649</v>
      </c>
      <c r="Y71" s="50" t="n">
        <f aca="false">-Y15</f>
        <v>-95015.2633716502</v>
      </c>
      <c r="Z71" s="50" t="n">
        <f aca="false">-Z15</f>
        <v>-99551.4610982424</v>
      </c>
      <c r="AA71" s="50" t="n">
        <f aca="false">-AA15</f>
        <v>-104316.589159596</v>
      </c>
      <c r="AB71" s="50" t="n">
        <f aca="false">-AB15</f>
        <v>-109335.76467161</v>
      </c>
      <c r="AC71" s="50" t="n">
        <f aca="false">-AC15</f>
        <v>-114487.204182683</v>
      </c>
      <c r="AD71" s="50" t="n">
        <f aca="false">-AD15</f>
        <v>-119741.481129305</v>
      </c>
      <c r="AE71" s="50" t="n">
        <f aca="false">-AE15</f>
        <v>-125159.90312471</v>
      </c>
      <c r="AF71" s="50" t="n">
        <f aca="false">-AF15</f>
        <v>-130772.381816126</v>
      </c>
      <c r="AG71" s="50" t="n">
        <f aca="false">-AG15</f>
        <v>-136609.150333111</v>
      </c>
      <c r="AH71" s="50" t="n">
        <f aca="false">-AH15</f>
        <v>-142701.992744051</v>
      </c>
      <c r="AI71" s="50" t="n">
        <f aca="false">-AI15</f>
        <v>-149084.645008539</v>
      </c>
      <c r="AJ71" s="50" t="n">
        <f aca="false">-AJ15</f>
        <v>-155793.041460737</v>
      </c>
      <c r="AK71" s="50" t="n">
        <f aca="false">-AK15</f>
        <v>-162865.561470213</v>
      </c>
      <c r="AL71" s="50" t="n">
        <f aca="false">-AL15</f>
        <v>-170343.288399812</v>
      </c>
      <c r="AM71" s="50" t="n">
        <f aca="false">SUM(C71:AL71)</f>
        <v>-2980031.74992919</v>
      </c>
    </row>
    <row r="72" customFormat="false" ht="15" hidden="false" customHeight="false" outlineLevel="0" collapsed="false">
      <c r="A72" s="10" t="s">
        <v>657</v>
      </c>
      <c r="B72" s="9" t="s">
        <v>90</v>
      </c>
      <c r="C72" s="50" t="n">
        <f aca="false">-IF(C$5=Assumptions!$E$6,Assumptions!$E$24,0)</f>
        <v>-0</v>
      </c>
      <c r="D72" s="50" t="n">
        <f aca="false">-IF(D$5=Assumptions!$E$6,Assumptions!$E$24,0)</f>
        <v>-150000</v>
      </c>
      <c r="E72" s="50" t="n">
        <f aca="false">-IF(E$5=Assumptions!$E$6,Assumptions!$E$24,0)</f>
        <v>-0</v>
      </c>
      <c r="F72" s="50" t="n">
        <f aca="false">-IF(F$5=Assumptions!$E$6,Assumptions!$E$24,0)</f>
        <v>-0</v>
      </c>
      <c r="G72" s="50" t="n">
        <f aca="false">-IF(G$5=Assumptions!$E$6,Assumptions!$E$24,0)</f>
        <v>-0</v>
      </c>
      <c r="H72" s="50" t="n">
        <f aca="false">-IF(H$5=Assumptions!$E$6,Assumptions!$E$24,0)</f>
        <v>-0</v>
      </c>
      <c r="I72" s="50" t="n">
        <f aca="false">-IF(I$5=Assumptions!$E$6,Assumptions!$E$24,0)</f>
        <v>-0</v>
      </c>
      <c r="J72" s="50" t="n">
        <f aca="false">-IF(J$5=Assumptions!$E$6,Assumptions!$E$24,0)</f>
        <v>-0</v>
      </c>
      <c r="K72" s="50" t="n">
        <f aca="false">-IF(K$5=Assumptions!$E$6,Assumptions!$E$24,0)</f>
        <v>-0</v>
      </c>
      <c r="L72" s="50" t="n">
        <f aca="false">-IF(L$5=Assumptions!$E$6,Assumptions!$E$24,0)</f>
        <v>-0</v>
      </c>
      <c r="M72" s="50" t="n">
        <f aca="false">-IF(M$5=Assumptions!$E$6,Assumptions!$E$24,0)</f>
        <v>-0</v>
      </c>
      <c r="N72" s="50" t="n">
        <f aca="false">-IF(N$5=Assumptions!$E$6,Assumptions!$E$24,0)</f>
        <v>-0</v>
      </c>
      <c r="O72" s="50" t="n">
        <f aca="false">-IF(O$5=Assumptions!$E$6,Assumptions!$E$24,0)</f>
        <v>-0</v>
      </c>
      <c r="P72" s="50" t="n">
        <f aca="false">-IF(P$5=Assumptions!$E$6,Assumptions!$E$24,0)</f>
        <v>-0</v>
      </c>
      <c r="Q72" s="50" t="n">
        <f aca="false">-IF(Q$5=Assumptions!$E$6,Assumptions!$E$24,0)</f>
        <v>-0</v>
      </c>
      <c r="R72" s="50" t="n">
        <f aca="false">-IF(R$5=Assumptions!$E$6,Assumptions!$E$24,0)</f>
        <v>-0</v>
      </c>
      <c r="S72" s="50" t="n">
        <f aca="false">-IF(S$5=Assumptions!$E$6,Assumptions!$E$24,0)</f>
        <v>-0</v>
      </c>
      <c r="T72" s="50" t="n">
        <f aca="false">-IF(T$5=Assumptions!$E$6,Assumptions!$E$24,0)</f>
        <v>-0</v>
      </c>
      <c r="U72" s="50" t="n">
        <f aca="false">-IF(U$5=Assumptions!$E$6,Assumptions!$E$24,0)</f>
        <v>-0</v>
      </c>
      <c r="V72" s="50" t="n">
        <f aca="false">-IF(V$5=Assumptions!$E$6,Assumptions!$E$24,0)</f>
        <v>-0</v>
      </c>
      <c r="W72" s="50" t="n">
        <f aca="false">-IF(W$5=Assumptions!$E$6,Assumptions!$E$24,0)</f>
        <v>-0</v>
      </c>
      <c r="X72" s="50" t="n">
        <f aca="false">-IF(X$5=Assumptions!$E$6,Assumptions!$E$24,0)</f>
        <v>-0</v>
      </c>
      <c r="Y72" s="50" t="n">
        <f aca="false">-IF(Y$5=Assumptions!$E$6,Assumptions!$E$24,0)</f>
        <v>-0</v>
      </c>
      <c r="Z72" s="50" t="n">
        <f aca="false">-IF(Z$5=Assumptions!$E$6,Assumptions!$E$24,0)</f>
        <v>-0</v>
      </c>
      <c r="AA72" s="50" t="n">
        <f aca="false">-IF(AA$5=Assumptions!$E$6,Assumptions!$E$24,0)</f>
        <v>-0</v>
      </c>
      <c r="AB72" s="50" t="n">
        <f aca="false">-IF(AB$5=Assumptions!$E$6,Assumptions!$E$24,0)</f>
        <v>-0</v>
      </c>
      <c r="AC72" s="50" t="n">
        <f aca="false">-IF(AC$5=Assumptions!$E$6,Assumptions!$E$24,0)</f>
        <v>-0</v>
      </c>
      <c r="AD72" s="50" t="n">
        <f aca="false">-IF(AD$5=Assumptions!$E$6,Assumptions!$E$24,0)</f>
        <v>-0</v>
      </c>
      <c r="AE72" s="50" t="n">
        <f aca="false">-IF(AE$5=Assumptions!$E$6,Assumptions!$E$24,0)</f>
        <v>-0</v>
      </c>
      <c r="AF72" s="50" t="n">
        <f aca="false">-IF(AF$5=Assumptions!$E$6,Assumptions!$E$24,0)</f>
        <v>-0</v>
      </c>
      <c r="AG72" s="50" t="n">
        <f aca="false">-IF(AG$5=Assumptions!$E$6,Assumptions!$E$24,0)</f>
        <v>-0</v>
      </c>
      <c r="AH72" s="50" t="n">
        <f aca="false">-IF(AH$5=Assumptions!$E$6,Assumptions!$E$24,0)</f>
        <v>-0</v>
      </c>
      <c r="AI72" s="50" t="n">
        <f aca="false">-IF(AI$5=Assumptions!$E$6,Assumptions!$E$24,0)</f>
        <v>-0</v>
      </c>
      <c r="AJ72" s="50" t="n">
        <f aca="false">-IF(AJ$5=Assumptions!$E$6,Assumptions!$E$24,0)</f>
        <v>-0</v>
      </c>
      <c r="AK72" s="50" t="n">
        <f aca="false">-IF(AK$5=Assumptions!$E$6,Assumptions!$E$24,0)</f>
        <v>-0</v>
      </c>
      <c r="AL72" s="50" t="n">
        <f aca="false">-IF(AL$5=Assumptions!$E$6,Assumptions!$E$24,0)</f>
        <v>-0</v>
      </c>
      <c r="AM72" s="50" t="n">
        <f aca="false">SUM(C72:AL72)</f>
        <v>-150000</v>
      </c>
    </row>
    <row r="73" customFormat="false" ht="15" hidden="false" customHeight="false" outlineLevel="0" collapsed="false">
      <c r="A73" s="10" t="s">
        <v>658</v>
      </c>
      <c r="B73" s="9" t="s">
        <v>90</v>
      </c>
      <c r="C73" s="50" t="n">
        <f aca="false">-C8*Assumptions!$E$76</f>
        <v>-0</v>
      </c>
      <c r="D73" s="50" t="n">
        <f aca="false">-D8*Assumptions!$E$76</f>
        <v>-15000</v>
      </c>
      <c r="E73" s="50" t="n">
        <f aca="false">-E8*Assumptions!$E$76</f>
        <v>-15000</v>
      </c>
      <c r="F73" s="50" t="n">
        <f aca="false">-F8*Assumptions!$E$76</f>
        <v>-15000</v>
      </c>
      <c r="G73" s="50" t="n">
        <f aca="false">-G8*Assumptions!$E$76</f>
        <v>-15000</v>
      </c>
      <c r="H73" s="50" t="n">
        <f aca="false">-H8*Assumptions!$E$76</f>
        <v>-15000</v>
      </c>
      <c r="I73" s="50" t="n">
        <f aca="false">-I8*Assumptions!$E$76</f>
        <v>-15000</v>
      </c>
      <c r="J73" s="50" t="n">
        <f aca="false">-J8*Assumptions!$E$76</f>
        <v>-15000</v>
      </c>
      <c r="K73" s="50" t="n">
        <f aca="false">-K8*Assumptions!$E$76</f>
        <v>-15000</v>
      </c>
      <c r="L73" s="50" t="n">
        <f aca="false">-L8*Assumptions!$E$76</f>
        <v>-15000</v>
      </c>
      <c r="M73" s="50" t="n">
        <f aca="false">-M8*Assumptions!$E$76</f>
        <v>-15000</v>
      </c>
      <c r="N73" s="50" t="n">
        <f aca="false">-N8*Assumptions!$E$76</f>
        <v>-15000</v>
      </c>
      <c r="O73" s="50" t="n">
        <f aca="false">-O8*Assumptions!$E$76</f>
        <v>-15000</v>
      </c>
      <c r="P73" s="50" t="n">
        <f aca="false">-P8*Assumptions!$E$76</f>
        <v>-15000</v>
      </c>
      <c r="Q73" s="50" t="n">
        <f aca="false">-Q8*Assumptions!$E$76</f>
        <v>-15000</v>
      </c>
      <c r="R73" s="50" t="n">
        <f aca="false">-R8*Assumptions!$E$76</f>
        <v>-15000</v>
      </c>
      <c r="S73" s="50" t="n">
        <f aca="false">-S8*Assumptions!$E$76</f>
        <v>-15000</v>
      </c>
      <c r="T73" s="50" t="n">
        <f aca="false">-T8*Assumptions!$E$76</f>
        <v>-15000</v>
      </c>
      <c r="U73" s="50" t="n">
        <f aca="false">-U8*Assumptions!$E$76</f>
        <v>-15000</v>
      </c>
      <c r="V73" s="50" t="n">
        <f aca="false">-V8*Assumptions!$E$76</f>
        <v>-15000</v>
      </c>
      <c r="W73" s="50" t="n">
        <f aca="false">-W8*Assumptions!$E$76</f>
        <v>-15000</v>
      </c>
      <c r="X73" s="50" t="n">
        <f aca="false">-X8*Assumptions!$E$76</f>
        <v>-15000</v>
      </c>
      <c r="Y73" s="50" t="n">
        <f aca="false">-Y8*Assumptions!$E$76</f>
        <v>-15000</v>
      </c>
      <c r="Z73" s="50" t="n">
        <f aca="false">-Z8*Assumptions!$E$76</f>
        <v>-15000</v>
      </c>
      <c r="AA73" s="50" t="n">
        <f aca="false">-AA8*Assumptions!$E$76</f>
        <v>-15000</v>
      </c>
      <c r="AB73" s="50" t="n">
        <f aca="false">-AB8*Assumptions!$E$76</f>
        <v>-15000</v>
      </c>
      <c r="AC73" s="50" t="n">
        <f aca="false">-AC8*Assumptions!$E$76</f>
        <v>-15000</v>
      </c>
      <c r="AD73" s="50" t="n">
        <f aca="false">-AD8*Assumptions!$E$76</f>
        <v>-15000</v>
      </c>
      <c r="AE73" s="50" t="n">
        <f aca="false">-AE8*Assumptions!$E$76</f>
        <v>-15000</v>
      </c>
      <c r="AF73" s="50" t="n">
        <f aca="false">-AF8*Assumptions!$E$76</f>
        <v>-15000</v>
      </c>
      <c r="AG73" s="50" t="n">
        <f aca="false">-AG8*Assumptions!$E$76</f>
        <v>-15000</v>
      </c>
      <c r="AH73" s="50" t="n">
        <f aca="false">-AH8*Assumptions!$E$76</f>
        <v>-15000</v>
      </c>
      <c r="AI73" s="50" t="n">
        <f aca="false">-AI8*Assumptions!$E$76</f>
        <v>-15000</v>
      </c>
      <c r="AJ73" s="50" t="n">
        <f aca="false">-AJ8*Assumptions!$E$76</f>
        <v>-15000</v>
      </c>
      <c r="AK73" s="50" t="n">
        <f aca="false">-AK8*Assumptions!$E$76</f>
        <v>-15000</v>
      </c>
      <c r="AL73" s="50" t="n">
        <f aca="false">-AL8*Assumptions!$E$76</f>
        <v>-15000</v>
      </c>
      <c r="AM73" s="50" t="n">
        <f aca="false">SUM(C73:AL73)</f>
        <v>-525000</v>
      </c>
    </row>
    <row r="74" customFormat="false" ht="15" hidden="false" customHeight="false" outlineLevel="0" collapsed="false">
      <c r="A74" s="10" t="s">
        <v>281</v>
      </c>
      <c r="B74" s="9" t="s">
        <v>90</v>
      </c>
      <c r="C74" s="50" t="n">
        <f aca="false">-C60*Assumptions!$E$77</f>
        <v>-0</v>
      </c>
      <c r="D74" s="50" t="n">
        <f aca="false">-D60*Assumptions!$E$77</f>
        <v>-5674.5</v>
      </c>
      <c r="E74" s="50" t="n">
        <f aca="false">-E60*Assumptions!$E$77</f>
        <v>-5488.75838165079</v>
      </c>
      <c r="F74" s="50" t="n">
        <f aca="false">-F60*Assumptions!$E$77</f>
        <v>-6044.74802626784</v>
      </c>
      <c r="G74" s="50" t="n">
        <f aca="false">-G60*Assumptions!$E$77</f>
        <v>-6656.33455118312</v>
      </c>
      <c r="H74" s="50" t="n">
        <f aca="false">-H60*Assumptions!$E$77</f>
        <v>-7222.02563606124</v>
      </c>
      <c r="I74" s="50" t="n">
        <f aca="false">-I60*Assumptions!$E$77</f>
        <v>-8216.89486502198</v>
      </c>
      <c r="J74" s="50" t="n">
        <f aca="false">-J60*Assumptions!$E$77</f>
        <v>-9021.71003303859</v>
      </c>
      <c r="K74" s="50" t="n">
        <f aca="false">-K60*Assumptions!$E$77</f>
        <v>-9787.99862396417</v>
      </c>
      <c r="L74" s="50" t="n">
        <f aca="false">-L60*Assumptions!$E$77</f>
        <v>-10529.4768393212</v>
      </c>
      <c r="M74" s="50" t="n">
        <f aca="false">-M60*Assumptions!$E$77</f>
        <v>-11255.1889529076</v>
      </c>
      <c r="N74" s="50" t="n">
        <f aca="false">-N60*Assumptions!$E$77</f>
        <v>-11972.1896394121</v>
      </c>
      <c r="O74" s="50" t="n">
        <f aca="false">-O60*Assumptions!$E$77</f>
        <v>-12686.6197650432</v>
      </c>
      <c r="P74" s="50" t="n">
        <f aca="false">-P60*Assumptions!$E$77</f>
        <v>-13403.9548357726</v>
      </c>
      <c r="Q74" s="50" t="n">
        <f aca="false">-Q60*Assumptions!$E$77</f>
        <v>-14129.1725080592</v>
      </c>
      <c r="R74" s="50" t="n">
        <f aca="false">-R60*Assumptions!$E$77</f>
        <v>-14866.8889261309</v>
      </c>
      <c r="S74" s="50" t="n">
        <f aca="false">-S60*Assumptions!$E$77</f>
        <v>-15621.4746673229</v>
      </c>
      <c r="T74" s="50" t="n">
        <f aca="false">-T60*Assumptions!$E$77</f>
        <v>-16397.1547026077</v>
      </c>
      <c r="U74" s="50" t="n">
        <f aca="false">-U60*Assumptions!$E$77</f>
        <v>-17198.0956625722</v>
      </c>
      <c r="V74" s="50" t="n">
        <f aca="false">-V60*Assumptions!$E$77</f>
        <v>-18028.4831286514</v>
      </c>
      <c r="W74" s="50" t="n">
        <f aca="false">-W60*Assumptions!$E$77</f>
        <v>-18892.5912376802</v>
      </c>
      <c r="X74" s="50" t="n">
        <f aca="false">-X60*Assumptions!$E$77</f>
        <v>-19794.8465357605</v>
      </c>
      <c r="Y74" s="50" t="n">
        <f aca="false">-Y60*Assumptions!$E$77</f>
        <v>-20739.8877288005</v>
      </c>
      <c r="Z74" s="50" t="n">
        <f aca="false">-Z60*Assumptions!$E$77</f>
        <v>-21732.6227415826</v>
      </c>
      <c r="AA74" s="50" t="n">
        <f aca="false">-AA60*Assumptions!$E$77</f>
        <v>-22778.2843065855</v>
      </c>
      <c r="AB74" s="50" t="n">
        <f aca="false">-AB60*Assumptions!$E$77</f>
        <v>-23851.5008713923</v>
      </c>
      <c r="AC74" s="50" t="n">
        <f aca="false">-AC60*Assumptions!$E$77</f>
        <v>-24946.1419019386</v>
      </c>
      <c r="AD74" s="50" t="n">
        <f aca="false">-AD60*Assumptions!$E$77</f>
        <v>-26074.9798176479</v>
      </c>
      <c r="AE74" s="50" t="n">
        <f aca="false">-AE60*Assumptions!$E$77</f>
        <v>-27244.2462116929</v>
      </c>
      <c r="AF74" s="50" t="n">
        <f aca="false">-AF60*Assumptions!$E$77</f>
        <v>-28460.2396527314</v>
      </c>
      <c r="AG74" s="50" t="n">
        <f aca="false">-AG60*Assumptions!$E$77</f>
        <v>-29729.5818216773</v>
      </c>
      <c r="AH74" s="50" t="n">
        <f aca="false">-AH60*Assumptions!$E$77</f>
        <v>-31059.3010434455</v>
      </c>
      <c r="AI74" s="50" t="n">
        <f aca="false">-AI60*Assumptions!$E$77</f>
        <v>-32456.8836376535</v>
      </c>
      <c r="AJ74" s="50" t="n">
        <f aca="false">-AJ60*Assumptions!$E$77</f>
        <v>-33930.3253062943</v>
      </c>
      <c r="AK74" s="50" t="n">
        <f aca="false">-AK60*Assumptions!$E$77</f>
        <v>-35488.1850832942</v>
      </c>
      <c r="AL74" s="50" t="n">
        <f aca="false">-AL60*Assumptions!$E$77</f>
        <v>-37139.642534401</v>
      </c>
      <c r="AM74" s="50" t="n">
        <f aca="false">SUM(C74:AL74)</f>
        <v>-648520.930177567</v>
      </c>
    </row>
    <row r="75" customFormat="false" ht="15" hidden="false" customHeight="false" outlineLevel="0" collapsed="false">
      <c r="A75" s="26" t="s">
        <v>659</v>
      </c>
      <c r="B75" s="9" t="s">
        <v>90</v>
      </c>
      <c r="C75" s="35" t="n">
        <f aca="false">C63+C64+C65+C66+C67+C68+C69+C70+C71+C72+C73+C74</f>
        <v>-66380</v>
      </c>
      <c r="D75" s="35" t="n">
        <f aca="false">D63+D64+D65+D66+D67+D68+D69+D70+D71+D72+D73+D74</f>
        <v>-289554.5</v>
      </c>
      <c r="E75" s="35" t="n">
        <f aca="false">E63+E64+E65+E66+E67+E68+E69+E70+E71+E72+E73+E74</f>
        <v>-139368.758381651</v>
      </c>
      <c r="F75" s="35" t="n">
        <f aca="false">F63+F64+F65+F66+F67+F68+F69+F70+F71+F72+F73+F74</f>
        <v>-139924.748026268</v>
      </c>
      <c r="G75" s="35" t="n">
        <f aca="false">G63+G64+G65+G66+G67+G68+G69+G70+G71+G72+G73+G74</f>
        <v>-133536.334551183</v>
      </c>
      <c r="H75" s="35" t="n">
        <f aca="false">H63+H64+H65+H66+H67+H68+H69+H70+H71+H72+H73+H74</f>
        <v>-136052.43148174</v>
      </c>
      <c r="I75" s="35" t="n">
        <f aca="false">I63+I64+I65+I66+I67+I68+I69+I70+I71+I72+I73+I74</f>
        <v>-139762.617918116</v>
      </c>
      <c r="J75" s="35" t="n">
        <f aca="false">J63+J64+J65+J66+J67+J68+J69+J70+J71+J72+J73+J74</f>
        <v>-145342.805385144</v>
      </c>
      <c r="K75" s="35" t="n">
        <f aca="false">K63+K64+K65+K66+K67+K68+K69+K70+K71+K72+K73+K74</f>
        <v>-149972.206782549</v>
      </c>
      <c r="L75" s="35" t="n">
        <f aca="false">L63+L64+L65+L66+L67+L68+L69+L70+L71+L72+L73+L74</f>
        <v>-154391.870234349</v>
      </c>
      <c r="M75" s="35" t="n">
        <f aca="false">M63+M64+M65+M66+M67+M68+M69+M70+M71+M72+M73+M74</f>
        <v>-158676.677781649</v>
      </c>
      <c r="N75" s="35" t="n">
        <f aca="false">N63+N64+N65+N66+N67+N68+N69+N70+N71+N72+N73+N74</f>
        <v>-162877.096613369</v>
      </c>
      <c r="O75" s="35" t="n">
        <f aca="false">O63+O64+O65+O66+O67+O68+O69+O70+O71+O72+O73+O74</f>
        <v>-184033.130034221</v>
      </c>
      <c r="P75" s="35" t="n">
        <f aca="false">P63+P64+P65+P66+P67+P68+P69+P70+P71+P72+P73+P74</f>
        <v>-188179.72970798</v>
      </c>
      <c r="Q75" s="35" t="n">
        <f aca="false">Q63+Q64+Q65+Q66+Q67+Q68+Q69+Q70+Q71+Q72+Q73+Q74</f>
        <v>-192348.155719767</v>
      </c>
      <c r="R75" s="35" t="n">
        <f aca="false">R63+R64+R65+R66+R67+R68+R69+R70+R71+R72+R73+R74</f>
        <v>-196566.916964815</v>
      </c>
      <c r="S75" s="35" t="n">
        <f aca="false">S63+S64+S65+S66+S67+S68+S69+S70+S71+S72+S73+S74</f>
        <v>-200862.541512751</v>
      </c>
      <c r="T75" s="35" t="n">
        <f aca="false">T63+T64+T65+T66+T67+T68+T69+T70+T71+T72+T73+T74</f>
        <v>-205260.233105758</v>
      </c>
      <c r="U75" s="35" t="n">
        <f aca="false">U63+U64+U65+U66+U67+U68+U69+U70+U71+U72+U73+U74</f>
        <v>-209784.438235089</v>
      </c>
      <c r="V75" s="35" t="n">
        <f aca="false">V63+V64+V65+V66+V67+V68+V69+V70+V71+V72+V73+V74</f>
        <v>-214459.342308998</v>
      </c>
      <c r="W75" s="35" t="n">
        <f aca="false">W63+W64+W65+W66+W67+W68+W69+W70+W71+W72+W73+W74</f>
        <v>-219309.310255207</v>
      </c>
      <c r="X75" s="35" t="n">
        <f aca="false">X63+X64+X65+X66+X67+X68+X69+X70+X71+X72+X73+X74</f>
        <v>-224359.284476625</v>
      </c>
      <c r="Y75" s="35" t="n">
        <f aca="false">Y63+Y64+Y65+Y66+Y67+Y68+Y69+Y70+Y71+Y72+Y73+Y74</f>
        <v>-229635.151100451</v>
      </c>
      <c r="Z75" s="35" t="n">
        <f aca="false">Z63+Z64+Z65+Z66+Z67+Z68+Z69+Z70+Z71+Z72+Z73+Z74</f>
        <v>-235164.083839825</v>
      </c>
      <c r="AA75" s="35" t="n">
        <f aca="false">AA63+AA64+AA65+AA66+AA67+AA68+AA69+AA70+AA71+AA72+AA73+AA74</f>
        <v>-270974.873466182</v>
      </c>
      <c r="AB75" s="35" t="n">
        <f aca="false">AB63+AB64+AB65+AB66+AB67+AB68+AB69+AB70+AB71+AB72+AB73+AB74</f>
        <v>-277067.265543002</v>
      </c>
      <c r="AC75" s="35" t="n">
        <f aca="false">AC63+AC64+AC65+AC66+AC67+AC68+AC69+AC70+AC71+AC72+AC73+AC74</f>
        <v>-283313.346084621</v>
      </c>
      <c r="AD75" s="35" t="n">
        <f aca="false">AD63+AD64+AD65+AD66+AD67+AD68+AD69+AD70+AD71+AD72+AD73+AD74</f>
        <v>-289696.460946953</v>
      </c>
      <c r="AE75" s="35" t="n">
        <f aca="false">AE63+AE64+AE65+AE66+AE67+AE68+AE69+AE70+AE71+AE72+AE73+AE74</f>
        <v>-296284.149336403</v>
      </c>
      <c r="AF75" s="35" t="n">
        <f aca="false">AF63+AF64+AF65+AF66+AF67+AF68+AF69+AF70+AF71+AF72+AF73+AF74</f>
        <v>-303112.621468857</v>
      </c>
      <c r="AG75" s="35" t="n">
        <f aca="false">AG63+AG64+AG65+AG66+AG67+AG68+AG69+AG70+AG71+AG72+AG73+AG74</f>
        <v>-310218.732154788</v>
      </c>
      <c r="AH75" s="35" t="n">
        <f aca="false">AH63+AH64+AH65+AH66+AH67+AH68+AH69+AH70+AH71+AH72+AH73+AH74</f>
        <v>-317641.293787497</v>
      </c>
      <c r="AI75" s="35" t="n">
        <f aca="false">AI63+AI64+AI65+AI66+AI67+AI68+AI69+AI70+AI71+AI72+AI73+AI74</f>
        <v>-325421.528646192</v>
      </c>
      <c r="AJ75" s="35" t="n">
        <f aca="false">AJ63+AJ64+AJ65+AJ66+AJ67+AJ68+AJ69+AJ70+AJ71+AJ72+AJ73+AJ74</f>
        <v>-333603.366767031</v>
      </c>
      <c r="AK75" s="35" t="n">
        <f aca="false">AK63+AK64+AK65+AK66+AK67+AK68+AK69+AK70+AK71+AK72+AK73+AK74</f>
        <v>-342233.746553507</v>
      </c>
      <c r="AL75" s="35" t="n">
        <f aca="false">AL63+AL64+AL65+AL66+AL67+AL68+AL69+AL70+AL71+AL72+AL73+AL74</f>
        <v>-351362.930934213</v>
      </c>
      <c r="AM75" s="35" t="n">
        <f aca="false">SUM(C75:AL75)</f>
        <v>-8016732.68010675</v>
      </c>
    </row>
    <row r="76" customFormat="false" ht="15" hidden="false" customHeight="false" outlineLevel="0" collapsed="false">
      <c r="A76" s="26" t="s">
        <v>660</v>
      </c>
      <c r="B76" s="9" t="s">
        <v>90</v>
      </c>
      <c r="C76" s="35" t="n">
        <f aca="false">C61+C75</f>
        <v>-66380</v>
      </c>
      <c r="D76" s="35" t="n">
        <f aca="false">D61+D75</f>
        <v>-221025.71</v>
      </c>
      <c r="E76" s="35" t="n">
        <f aca="false">E61+E75</f>
        <v>-73083.0996457468</v>
      </c>
      <c r="F76" s="35" t="n">
        <f aca="false">F61+F75</f>
        <v>-66924.6126672013</v>
      </c>
      <c r="G76" s="35" t="n">
        <f aca="false">G61+G75</f>
        <v>-53150.3000762916</v>
      </c>
      <c r="H76" s="35" t="n">
        <f aca="false">H61+H75</f>
        <v>-48834.7597594286</v>
      </c>
      <c r="I76" s="35" t="n">
        <f aca="false">I61+I75</f>
        <v>-41913.7970670901</v>
      </c>
      <c r="J76" s="35" t="n">
        <f aca="false">J61+J75</f>
        <v>-38473.7686385814</v>
      </c>
      <c r="K76" s="35" t="n">
        <f aca="false">K61+K75</f>
        <v>-34526.1504301885</v>
      </c>
      <c r="L76" s="35" t="n">
        <f aca="false">L61+L75</f>
        <v>-30657.2480121717</v>
      </c>
      <c r="M76" s="35" t="n">
        <f aca="false">M61+M75</f>
        <v>-26839.5945788967</v>
      </c>
      <c r="N76" s="35" t="n">
        <f aca="false">N61+N75</f>
        <v>-23044.6363693651</v>
      </c>
      <c r="O76" s="35" t="n">
        <f aca="false">O61+O75</f>
        <v>-36243.8377277038</v>
      </c>
      <c r="P76" s="35" t="n">
        <f aca="false">P61+P75</f>
        <v>-32411.2233976207</v>
      </c>
      <c r="Q76" s="35" t="n">
        <f aca="false">Q61+Q75</f>
        <v>-28522.8206595671</v>
      </c>
      <c r="R76" s="35" t="n">
        <f aca="false">R61+R75</f>
        <v>-24556.0505362565</v>
      </c>
      <c r="S76" s="35" t="n">
        <f aca="false">S61+S75</f>
        <v>-20489.1887117831</v>
      </c>
      <c r="T76" s="35" t="n">
        <f aca="false">T61+T75</f>
        <v>-16300.8998459796</v>
      </c>
      <c r="U76" s="35" t="n">
        <f aca="false">U61+U75</f>
        <v>-11969.8308227145</v>
      </c>
      <c r="V76" s="35" t="n">
        <f aca="false">V61+V75</f>
        <v>-7474.24954091129</v>
      </c>
      <c r="W76" s="35" t="n">
        <f aca="false">W61+W75</f>
        <v>-2791.7179591897</v>
      </c>
      <c r="X76" s="35" t="n">
        <f aca="false">X61+X75</f>
        <v>2101.21005021612</v>
      </c>
      <c r="Y76" s="35" t="n">
        <f aca="false">Y61+Y75</f>
        <v>7229.27398271539</v>
      </c>
      <c r="Z76" s="35" t="n">
        <f aca="false">Z61+Z75</f>
        <v>12618.781859582</v>
      </c>
      <c r="AA76" s="35" t="n">
        <f aca="false">AA61+AA75</f>
        <v>-11702.1189507283</v>
      </c>
      <c r="AB76" s="35" t="n">
        <f aca="false">AB61+AB75</f>
        <v>-5954.46536326339</v>
      </c>
      <c r="AC76" s="35" t="n">
        <f aca="false">AC61+AC75</f>
        <v>-69.5694183588494</v>
      </c>
      <c r="AD76" s="35" t="n">
        <f aca="false">AD61+AD75</f>
        <v>6086.65083973587</v>
      </c>
      <c r="AE76" s="35" t="n">
        <f aca="false">AE61+AE75</f>
        <v>12514.0620331711</v>
      </c>
      <c r="AF76" s="35" t="n">
        <f aca="false">AF61+AF75</f>
        <v>19244.9539536324</v>
      </c>
      <c r="AG76" s="35" t="n">
        <f aca="false">AG61+AG75</f>
        <v>26314.8233808422</v>
      </c>
      <c r="AH76" s="35" t="n">
        <f aca="false">AH61+AH75</f>
        <v>33761.9985089814</v>
      </c>
      <c r="AI76" s="35" t="n">
        <f aca="false">AI61+AI75</f>
        <v>41627.7423333535</v>
      </c>
      <c r="AJ76" s="35" t="n">
        <f aca="false">AJ61+AJ75</f>
        <v>49956.5126575239</v>
      </c>
      <c r="AK76" s="35" t="n">
        <f aca="false">AK61+AK75</f>
        <v>58796.2501576847</v>
      </c>
      <c r="AL76" s="35" t="n">
        <f aca="false">AL61+AL75</f>
        <v>68198.6893143493</v>
      </c>
      <c r="AM76" s="35" t="n">
        <f aca="false">SUM(C76:AL76)</f>
        <v>-584888.701107251</v>
      </c>
    </row>
    <row r="77" customFormat="false" ht="15" hidden="false" customHeight="false" outlineLevel="0" collapsed="false">
      <c r="A77" s="26" t="s">
        <v>661</v>
      </c>
      <c r="B77" s="9" t="s">
        <v>54</v>
      </c>
      <c r="C77" s="34" t="n">
        <f aca="false">IFERROR(C76/C60,0)</f>
        <v>0</v>
      </c>
      <c r="D77" s="34" t="n">
        <f aca="false">IFERROR(D76/D60,0)</f>
        <v>-1.94753467265838</v>
      </c>
      <c r="E77" s="34" t="n">
        <f aca="false">IFERROR(E76/E60,0)</f>
        <v>-0.665752567011034</v>
      </c>
      <c r="F77" s="34" t="n">
        <f aca="false">IFERROR(F76/F60,0)</f>
        <v>-0.553576529380349</v>
      </c>
      <c r="G77" s="34" t="n">
        <f aca="false">IFERROR(G76/G60,0)</f>
        <v>-0.399246008952813</v>
      </c>
      <c r="H77" s="34" t="n">
        <f aca="false">IFERROR(H76/H60,0)</f>
        <v>-0.338096001179955</v>
      </c>
      <c r="I77" s="34" t="n">
        <f aca="false">IFERROR(I76/I60,0)</f>
        <v>-0.255046448540497</v>
      </c>
      <c r="J77" s="34" t="n">
        <f aca="false">IFERROR(J76/J60,0)</f>
        <v>-0.21322880306331</v>
      </c>
      <c r="K77" s="34" t="n">
        <f aca="false">IFERROR(K76/K60,0)</f>
        <v>-0.176369816530508</v>
      </c>
      <c r="L77" s="34" t="n">
        <f aca="false">IFERROR(L76/L60,0)</f>
        <v>-0.145578210959568</v>
      </c>
      <c r="M77" s="34" t="n">
        <f aca="false">IFERROR(M76/M60,0)</f>
        <v>-0.119232092376215</v>
      </c>
      <c r="N77" s="34" t="n">
        <f aca="false">IFERROR(N76/N60,0)</f>
        <v>-0.0962423627734013</v>
      </c>
      <c r="O77" s="34" t="n">
        <f aca="false">IFERROR(O76/O60,0)</f>
        <v>-0.142842768203593</v>
      </c>
      <c r="P77" s="34" t="n">
        <f aca="false">IFERROR(P76/P60,0)</f>
        <v>-0.120901718167243</v>
      </c>
      <c r="Q77" s="34" t="n">
        <f aca="false">IFERROR(Q76/Q60,0)</f>
        <v>-0.100935920498167</v>
      </c>
      <c r="R77" s="34" t="n">
        <f aca="false">IFERROR(R76/R60,0)</f>
        <v>-0.0825863792292658</v>
      </c>
      <c r="S77" s="34" t="n">
        <f aca="false">IFERROR(S76/S60,0)</f>
        <v>-0.0655802001671536</v>
      </c>
      <c r="T77" s="34" t="n">
        <f aca="false">IFERROR(T76/T60,0)</f>
        <v>-0.0497064891489594</v>
      </c>
      <c r="U77" s="34" t="n">
        <f aca="false">IFERROR(U76/U60,0)</f>
        <v>-0.0347998727811596</v>
      </c>
      <c r="V77" s="34" t="n">
        <f aca="false">IFERROR(V76/V60,0)</f>
        <v>-0.0207290027884626</v>
      </c>
      <c r="W77" s="34" t="n">
        <f aca="false">IFERROR(W76/W60,0)</f>
        <v>-0.00738839348204862</v>
      </c>
      <c r="X77" s="34" t="n">
        <f aca="false">IFERROR(X76/X60,0)</f>
        <v>0.00530746739162683</v>
      </c>
      <c r="Y77" s="34" t="n">
        <f aca="false">IFERROR(Y76/Y60,0)</f>
        <v>0.0174284308508489</v>
      </c>
      <c r="Z77" s="34" t="n">
        <f aca="false">IFERROR(Z76/Z60,0)</f>
        <v>0.0290318890858893</v>
      </c>
      <c r="AA77" s="34" t="n">
        <f aca="false">IFERROR(AA76/AA60,0)</f>
        <v>-0.0256870069607154</v>
      </c>
      <c r="AB77" s="34" t="n">
        <f aca="false">IFERROR(AB76/AB60,0)</f>
        <v>-0.0124823703870251</v>
      </c>
      <c r="AC77" s="34" t="n">
        <f aca="false">IFERROR(AC76/AC60,0)</f>
        <v>-0.000139439233995224</v>
      </c>
      <c r="AD77" s="34" t="n">
        <f aca="false">IFERROR(AD76/AD60,0)</f>
        <v>0.0116714392154895</v>
      </c>
      <c r="AE77" s="34" t="n">
        <f aca="false">IFERROR(AE76/AE60,0)</f>
        <v>0.022966431032693</v>
      </c>
      <c r="AF77" s="34" t="n">
        <f aca="false">IFERROR(AF76/AF60,0)</f>
        <v>0.0338102457822863</v>
      </c>
      <c r="AG77" s="34" t="n">
        <f aca="false">IFERROR(AG76/AG60,0)</f>
        <v>0.0442569685955938</v>
      </c>
      <c r="AH77" s="34" t="n">
        <f aca="false">IFERROR(AH76/AH60,0)</f>
        <v>0.0543508665274782</v>
      </c>
      <c r="AI77" s="34" t="n">
        <f aca="false">IFERROR(AI76/AI60,0)</f>
        <v>0.0641277560687633</v>
      </c>
      <c r="AJ77" s="34" t="n">
        <f aca="false">IFERROR(AJ76/AJ60,0)</f>
        <v>0.0736163184504697</v>
      </c>
      <c r="AK77" s="34" t="n">
        <f aca="false">IFERROR(AK76/AK60,0)</f>
        <v>0.0828391900285745</v>
      </c>
      <c r="AL77" s="34" t="n">
        <f aca="false">IFERROR(AL76/AL60,0)</f>
        <v>0.091813874152369</v>
      </c>
      <c r="AM77" s="34" t="n">
        <f aca="false">AVERAGE(N77:AL77)</f>
        <v>-0.00915204186556431</v>
      </c>
    </row>
    <row r="78" customFormat="false" ht="15" hidden="false" customHeight="false" outlineLevel="0" collapsed="false">
      <c r="A78" s="10" t="s">
        <v>662</v>
      </c>
      <c r="B78" s="9" t="s">
        <v>90</v>
      </c>
      <c r="C78" s="50" t="n">
        <f aca="false">-C32*Assumptions!$E$80</f>
        <v>0</v>
      </c>
      <c r="D78" s="50" t="n">
        <f aca="false">-D32*Assumptions!$E$80</f>
        <v>60840</v>
      </c>
      <c r="E78" s="50" t="n">
        <f aca="false">-E32*Assumptions!$E$80</f>
        <v>58848.5434733693</v>
      </c>
      <c r="F78" s="50" t="n">
        <f aca="false">-F32*Assumptions!$E$80</f>
        <v>64809.6695599851</v>
      </c>
      <c r="G78" s="50" t="n">
        <f aca="false">-G32*Assumptions!$E$80</f>
        <v>71366.8859095922</v>
      </c>
      <c r="H78" s="50" t="n">
        <f aca="false">-H32*Assumptions!$E$80</f>
        <v>77432.0274381824</v>
      </c>
      <c r="I78" s="50" t="n">
        <f aca="false">-I32*Assumptions!$E$80</f>
        <v>83097.8429964057</v>
      </c>
      <c r="J78" s="50" t="n">
        <f aca="false">-J32*Assumptions!$E$80</f>
        <v>88759.9451601785</v>
      </c>
      <c r="K78" s="50" t="n">
        <f aca="false">-K32*Assumptions!$E$80</f>
        <v>94106.7773957439</v>
      </c>
      <c r="L78" s="50" t="n">
        <f aca="false">-L32*Assumptions!$E$80</f>
        <v>99243.1624311084</v>
      </c>
      <c r="M78" s="50" t="n">
        <f aca="false">-M32*Assumptions!$E$80</f>
        <v>104236.472226452</v>
      </c>
      <c r="N78" s="50" t="n">
        <f aca="false">-N32*Assumptions!$E$80</f>
        <v>109135.685582004</v>
      </c>
      <c r="O78" s="50" t="n">
        <f aca="false">-O32*Assumptions!$E$80</f>
        <v>113982.393197605</v>
      </c>
      <c r="P78" s="50" t="n">
        <f aca="false">-P32*Assumptions!$E$80</f>
        <v>118812.94284389</v>
      </c>
      <c r="Q78" s="50" t="n">
        <f aca="false">-Q32*Assumptions!$E$80</f>
        <v>123659.792916866</v>
      </c>
      <c r="R78" s="50" t="n">
        <f aca="false">-R32*Assumptions!$E$80</f>
        <v>128552.560629115</v>
      </c>
      <c r="S78" s="50" t="n">
        <f aca="false">-S32*Assumptions!$E$80</f>
        <v>133518.878038747</v>
      </c>
      <c r="T78" s="50" t="n">
        <f aca="false">-T32*Assumptions!$E$80</f>
        <v>138585.100969881</v>
      </c>
      <c r="U78" s="50" t="n">
        <f aca="false">-U32*Assumptions!$E$80</f>
        <v>143776.903093855</v>
      </c>
      <c r="V78" s="50" t="n">
        <f aca="false">-V32*Assumptions!$E$80</f>
        <v>149119.780659564</v>
      </c>
      <c r="W78" s="50" t="n">
        <f aca="false">-W32*Assumptions!$E$80</f>
        <v>154639.488370184</v>
      </c>
      <c r="X78" s="50" t="n">
        <f aca="false">-X32*Assumptions!$E$80</f>
        <v>160362.422978011</v>
      </c>
      <c r="Y78" s="50" t="n">
        <f aca="false">-Y32*Assumptions!$E$80</f>
        <v>166315.968055651</v>
      </c>
      <c r="Z78" s="50" t="n">
        <f aca="false">-Z32*Assumptions!$E$80</f>
        <v>172528.810932517</v>
      </c>
      <c r="AA78" s="50" t="n">
        <f aca="false">-AA32*Assumptions!$E$80</f>
        <v>179031.240831902</v>
      </c>
      <c r="AB78" s="50" t="n">
        <f aca="false">-AB32*Assumptions!$E$80</f>
        <v>185855.435704336</v>
      </c>
      <c r="AC78" s="50" t="n">
        <f aca="false">-AC32*Assumptions!$E$80</f>
        <v>193014.6698021</v>
      </c>
      <c r="AD78" s="50" t="n">
        <f aca="false">-AD32*Assumptions!$E$80</f>
        <v>200529.053542751</v>
      </c>
      <c r="AE78" s="50" t="n">
        <f aca="false">-AE32*Assumptions!$E$80</f>
        <v>208432.703278683</v>
      </c>
      <c r="AF78" s="50" t="n">
        <f aca="false">-AF32*Assumptions!$E$80</f>
        <v>216761.35143919</v>
      </c>
      <c r="AG78" s="50" t="n">
        <f aca="false">-AG32*Assumptions!$E$80</f>
        <v>225554.042245345</v>
      </c>
      <c r="AH78" s="50" t="n">
        <f aca="false">-AH32*Assumptions!$E$80</f>
        <v>234853.736848699</v>
      </c>
      <c r="AI78" s="50" t="n">
        <f aca="false">-AI32*Assumptions!$E$80</f>
        <v>244707.593515596</v>
      </c>
      <c r="AJ78" s="50" t="n">
        <f aca="false">-AJ32*Assumptions!$E$80</f>
        <v>255167.254472949</v>
      </c>
      <c r="AK78" s="50" t="n">
        <f aca="false">-AK32*Assumptions!$E$80</f>
        <v>266289.160246247</v>
      </c>
      <c r="AL78" s="50" t="n">
        <f aca="false">-AL32*Assumptions!$E$80</f>
        <v>278134.896015562</v>
      </c>
      <c r="AM78" s="50" t="n">
        <f aca="false">AL78</f>
        <v>278134.896015562</v>
      </c>
    </row>
    <row r="79" customFormat="false" ht="15" hidden="false" customHeight="false" outlineLevel="0" collapsed="false">
      <c r="A79" s="10" t="s">
        <v>663</v>
      </c>
      <c r="B79" s="9" t="s">
        <v>90</v>
      </c>
      <c r="C79" s="50" t="n">
        <f aca="false">-C78</f>
        <v>-0</v>
      </c>
      <c r="D79" s="50" t="n">
        <f aca="false">-(D78-C78)</f>
        <v>-60840</v>
      </c>
      <c r="E79" s="50" t="n">
        <f aca="false">-(E78-D78)</f>
        <v>1991.45652663069</v>
      </c>
      <c r="F79" s="50" t="n">
        <f aca="false">-(F78-E78)</f>
        <v>-5961.12608661575</v>
      </c>
      <c r="G79" s="50" t="n">
        <f aca="false">-(G78-F78)</f>
        <v>-6557.21634960718</v>
      </c>
      <c r="H79" s="50" t="n">
        <f aca="false">-(H78-G78)</f>
        <v>-6065.14152859016</v>
      </c>
      <c r="I79" s="50" t="n">
        <f aca="false">-(I78-H78)</f>
        <v>-5665.81555822333</v>
      </c>
      <c r="J79" s="50" t="n">
        <f aca="false">-(J78-I78)</f>
        <v>-5662.10216377272</v>
      </c>
      <c r="K79" s="50" t="n">
        <f aca="false">-(K78-J78)</f>
        <v>-5346.83223556539</v>
      </c>
      <c r="L79" s="50" t="n">
        <f aca="false">-(L78-K78)</f>
        <v>-5136.38503536451</v>
      </c>
      <c r="M79" s="50" t="n">
        <f aca="false">-(M78-L78)</f>
        <v>-4993.30979534354</v>
      </c>
      <c r="N79" s="50" t="n">
        <f aca="false">-(N78-M78)</f>
        <v>-4899.21335555179</v>
      </c>
      <c r="O79" s="50" t="n">
        <f aca="false">-(O78-N78)</f>
        <v>-4846.70761560091</v>
      </c>
      <c r="P79" s="50" t="n">
        <f aca="false">-(P78-O78)</f>
        <v>-4830.54964628509</v>
      </c>
      <c r="Q79" s="50" t="n">
        <f aca="false">-(Q78-P78)</f>
        <v>-4846.85007297585</v>
      </c>
      <c r="R79" s="50" t="n">
        <f aca="false">-(R78-Q78)</f>
        <v>-4892.76771224932</v>
      </c>
      <c r="S79" s="50" t="n">
        <f aca="false">-(S78-R78)</f>
        <v>-4966.31740963241</v>
      </c>
      <c r="T79" s="50" t="n">
        <f aca="false">-(T78-S78)</f>
        <v>-5066.22293113382</v>
      </c>
      <c r="U79" s="50" t="n">
        <f aca="false">-(U78-T78)</f>
        <v>-5191.80212397385</v>
      </c>
      <c r="V79" s="50" t="n">
        <f aca="false">-(V78-U78)</f>
        <v>-5342.87756570947</v>
      </c>
      <c r="W79" s="50" t="n">
        <f aca="false">-(W78-V78)</f>
        <v>-5519.70771061978</v>
      </c>
      <c r="X79" s="50" t="n">
        <f aca="false">-(X78-W78)</f>
        <v>-5722.93460782664</v>
      </c>
      <c r="Y79" s="50" t="n">
        <f aca="false">-(Y78-X78)</f>
        <v>-5953.54507764062</v>
      </c>
      <c r="Z79" s="50" t="n">
        <f aca="false">-(Z78-Y78)</f>
        <v>-6212.8428768653</v>
      </c>
      <c r="AA79" s="50" t="n">
        <f aca="false">-(AA78-Z78)</f>
        <v>-6502.42989938564</v>
      </c>
      <c r="AB79" s="50" t="n">
        <f aca="false">-(AB78-AA78)</f>
        <v>-6824.19487243329</v>
      </c>
      <c r="AC79" s="50" t="n">
        <f aca="false">-(AC78-AB78)</f>
        <v>-7159.23409776465</v>
      </c>
      <c r="AD79" s="50" t="n">
        <f aca="false">-(AD78-AC78)</f>
        <v>-7514.38374065049</v>
      </c>
      <c r="AE79" s="50" t="n">
        <f aca="false">-(AE78-AD78)</f>
        <v>-7903.64973593192</v>
      </c>
      <c r="AF79" s="50" t="n">
        <f aca="false">-(AF78-AE78)</f>
        <v>-8328.64816050732</v>
      </c>
      <c r="AG79" s="50" t="n">
        <f aca="false">-(AG78-AF78)</f>
        <v>-8792.69080615477</v>
      </c>
      <c r="AH79" s="50" t="n">
        <f aca="false">-(AH78-AG78)</f>
        <v>-9299.69460335438</v>
      </c>
      <c r="AI79" s="50" t="n">
        <f aca="false">-(AI78-AH78)</f>
        <v>-9853.85666689643</v>
      </c>
      <c r="AJ79" s="50" t="n">
        <f aca="false">-(AJ78-AI78)</f>
        <v>-10459.6609573538</v>
      </c>
      <c r="AK79" s="50" t="n">
        <f aca="false">-(AK78-AJ78)</f>
        <v>-11121.9057732979</v>
      </c>
      <c r="AL79" s="50" t="n">
        <f aca="false">-(AL78-AK78)</f>
        <v>-11845.7357693147</v>
      </c>
      <c r="AM79" s="50" t="n">
        <f aca="false">SUM(C79:AL79)</f>
        <v>-278134.896015562</v>
      </c>
    </row>
    <row r="80" customFormat="false" ht="15" hidden="false" customHeight="false" outlineLevel="0" collapsed="false">
      <c r="A80" s="10" t="s">
        <v>664</v>
      </c>
      <c r="B80" s="9" t="s">
        <v>90</v>
      </c>
      <c r="C80" s="50" t="n">
        <f aca="false">C76+C79</f>
        <v>-66380</v>
      </c>
      <c r="D80" s="50" t="n">
        <f aca="false">D76+D79</f>
        <v>-281865.71</v>
      </c>
      <c r="E80" s="50" t="n">
        <f aca="false">E76+E79</f>
        <v>-71091.6431191161</v>
      </c>
      <c r="F80" s="50" t="n">
        <f aca="false">F76+F79</f>
        <v>-72885.738753817</v>
      </c>
      <c r="G80" s="50" t="n">
        <f aca="false">G76+G79</f>
        <v>-59707.5164258987</v>
      </c>
      <c r="H80" s="50" t="n">
        <f aca="false">H76+H79</f>
        <v>-54899.9012880188</v>
      </c>
      <c r="I80" s="50" t="n">
        <f aca="false">I76+I79</f>
        <v>-47579.6126253134</v>
      </c>
      <c r="J80" s="50" t="n">
        <f aca="false">J76+J79</f>
        <v>-44135.8708023541</v>
      </c>
      <c r="K80" s="50" t="n">
        <f aca="false">K76+K79</f>
        <v>-39872.9826657539</v>
      </c>
      <c r="L80" s="50" t="n">
        <f aca="false">L76+L79</f>
        <v>-35793.6330475362</v>
      </c>
      <c r="M80" s="50" t="n">
        <f aca="false">M76+M79</f>
        <v>-31832.9043742403</v>
      </c>
      <c r="N80" s="50" t="n">
        <f aca="false">N76+N79</f>
        <v>-27943.8497249169</v>
      </c>
      <c r="O80" s="50" t="n">
        <f aca="false">O76+O79</f>
        <v>-41090.5453433047</v>
      </c>
      <c r="P80" s="50" t="n">
        <f aca="false">P76+P79</f>
        <v>-37241.7730439058</v>
      </c>
      <c r="Q80" s="50" t="n">
        <f aca="false">Q76+Q79</f>
        <v>-33369.6707325429</v>
      </c>
      <c r="R80" s="50" t="n">
        <f aca="false">R76+R79</f>
        <v>-29448.8182485058</v>
      </c>
      <c r="S80" s="50" t="n">
        <f aca="false">S76+S79</f>
        <v>-25455.5061214155</v>
      </c>
      <c r="T80" s="50" t="n">
        <f aca="false">T76+T79</f>
        <v>-21367.1227771134</v>
      </c>
      <c r="U80" s="50" t="n">
        <f aca="false">U76+U79</f>
        <v>-17161.6329466883</v>
      </c>
      <c r="V80" s="50" t="n">
        <f aca="false">V76+V79</f>
        <v>-12817.1271066208</v>
      </c>
      <c r="W80" s="50" t="n">
        <f aca="false">W76+W79</f>
        <v>-8311.42566980948</v>
      </c>
      <c r="X80" s="50" t="n">
        <f aca="false">X76+X79</f>
        <v>-3621.72455761052</v>
      </c>
      <c r="Y80" s="50" t="n">
        <f aca="false">Y76+Y79</f>
        <v>1275.72890507476</v>
      </c>
      <c r="Z80" s="50" t="n">
        <f aca="false">Z76+Z79</f>
        <v>6405.93898271673</v>
      </c>
      <c r="AA80" s="50" t="n">
        <f aca="false">AA76+AA79</f>
        <v>-18204.5488501139</v>
      </c>
      <c r="AB80" s="50" t="n">
        <f aca="false">AB76+AB79</f>
        <v>-12778.6602356967</v>
      </c>
      <c r="AC80" s="50" t="n">
        <f aca="false">AC76+AC79</f>
        <v>-7228.8035161235</v>
      </c>
      <c r="AD80" s="50" t="n">
        <f aca="false">AD76+AD79</f>
        <v>-1427.73290091462</v>
      </c>
      <c r="AE80" s="50" t="n">
        <f aca="false">AE76+AE79</f>
        <v>4610.41229723915</v>
      </c>
      <c r="AF80" s="50" t="n">
        <f aca="false">AF76+AF79</f>
        <v>10916.3057931251</v>
      </c>
      <c r="AG80" s="50" t="n">
        <f aca="false">AG76+AG79</f>
        <v>17522.1325746874</v>
      </c>
      <c r="AH80" s="50" t="n">
        <f aca="false">AH76+AH79</f>
        <v>24462.3039056271</v>
      </c>
      <c r="AI80" s="50" t="n">
        <f aca="false">AI76+AI79</f>
        <v>31773.8856664571</v>
      </c>
      <c r="AJ80" s="50" t="n">
        <f aca="false">AJ76+AJ79</f>
        <v>39496.8517001701</v>
      </c>
      <c r="AK80" s="50" t="n">
        <f aca="false">AK76+AK79</f>
        <v>47674.3443843868</v>
      </c>
      <c r="AL80" s="50" t="n">
        <f aca="false">AL76+AL79</f>
        <v>56352.9535450346</v>
      </c>
      <c r="AM80" s="50" t="n">
        <f aca="false">SUM(C80:AL80)</f>
        <v>-863023.597122813</v>
      </c>
    </row>
    <row r="81" customFormat="false" ht="15" hidden="false" customHeight="false" outlineLevel="0" collapsed="false">
      <c r="A81" s="26" t="s">
        <v>665</v>
      </c>
      <c r="B81" s="9" t="s">
        <v>90</v>
      </c>
      <c r="C81" s="35" t="n">
        <f aca="false">C80</f>
        <v>-66380</v>
      </c>
      <c r="D81" s="35" t="n">
        <f aca="false">C81+D80</f>
        <v>-348245.71</v>
      </c>
      <c r="E81" s="35" t="n">
        <f aca="false">D81+E80</f>
        <v>-419337.353119116</v>
      </c>
      <c r="F81" s="35" t="n">
        <f aca="false">E81+F80</f>
        <v>-492223.091872933</v>
      </c>
      <c r="G81" s="35" t="n">
        <f aca="false">F81+G80</f>
        <v>-551930.608298832</v>
      </c>
      <c r="H81" s="35" t="n">
        <f aca="false">G81+H80</f>
        <v>-606830.509586851</v>
      </c>
      <c r="I81" s="35" t="n">
        <f aca="false">H81+I80</f>
        <v>-654410.122212164</v>
      </c>
      <c r="J81" s="35" t="n">
        <f aca="false">I81+J80</f>
        <v>-698545.993014518</v>
      </c>
      <c r="K81" s="35" t="n">
        <f aca="false">J81+K80</f>
        <v>-738418.975680272</v>
      </c>
      <c r="L81" s="35" t="n">
        <f aca="false">K81+L80</f>
        <v>-774212.608727808</v>
      </c>
      <c r="M81" s="35" t="n">
        <f aca="false">L81+M80</f>
        <v>-806045.513102049</v>
      </c>
      <c r="N81" s="35" t="n">
        <f aca="false">M81+N80</f>
        <v>-833989.362826965</v>
      </c>
      <c r="O81" s="35" t="n">
        <f aca="false">N81+O80</f>
        <v>-875079.90817027</v>
      </c>
      <c r="P81" s="35" t="n">
        <f aca="false">O81+P80</f>
        <v>-912321.681214176</v>
      </c>
      <c r="Q81" s="35" t="n">
        <f aca="false">P81+Q80</f>
        <v>-945691.351946719</v>
      </c>
      <c r="R81" s="35" t="n">
        <f aca="false">Q81+R80</f>
        <v>-975140.170195225</v>
      </c>
      <c r="S81" s="35" t="n">
        <f aca="false">R81+S80</f>
        <v>-1000595.67631664</v>
      </c>
      <c r="T81" s="35" t="n">
        <f aca="false">S81+T80</f>
        <v>-1021962.79909375</v>
      </c>
      <c r="U81" s="35" t="n">
        <f aca="false">T81+U80</f>
        <v>-1039124.43204044</v>
      </c>
      <c r="V81" s="35" t="n">
        <f aca="false">U81+V80</f>
        <v>-1051941.55914706</v>
      </c>
      <c r="W81" s="35" t="n">
        <f aca="false">V81+W80</f>
        <v>-1060252.98481687</v>
      </c>
      <c r="X81" s="35" t="n">
        <f aca="false">W81+X80</f>
        <v>-1063874.70937448</v>
      </c>
      <c r="Y81" s="35" t="n">
        <f aca="false">X81+Y80</f>
        <v>-1062598.98046941</v>
      </c>
      <c r="Z81" s="35" t="n">
        <f aca="false">Y81+Z80</f>
        <v>-1056193.04148669</v>
      </c>
      <c r="AA81" s="35" t="n">
        <f aca="false">Z81+AA80</f>
        <v>-1074397.59033681</v>
      </c>
      <c r="AB81" s="35" t="n">
        <f aca="false">AA81+AB80</f>
        <v>-1087176.2505725</v>
      </c>
      <c r="AC81" s="35" t="n">
        <f aca="false">AB81+AC80</f>
        <v>-1094405.05408863</v>
      </c>
      <c r="AD81" s="35" t="n">
        <f aca="false">AC81+AD80</f>
        <v>-1095832.78698954</v>
      </c>
      <c r="AE81" s="35" t="n">
        <f aca="false">AD81+AE80</f>
        <v>-1091222.3746923</v>
      </c>
      <c r="AF81" s="35" t="n">
        <f aca="false">AE81+AF80</f>
        <v>-1080306.06889918</v>
      </c>
      <c r="AG81" s="35" t="n">
        <f aca="false">AF81+AG80</f>
        <v>-1062783.93632449</v>
      </c>
      <c r="AH81" s="35" t="n">
        <f aca="false">AG81+AH80</f>
        <v>-1038321.63241886</v>
      </c>
      <c r="AI81" s="35" t="n">
        <f aca="false">AH81+AI80</f>
        <v>-1006547.7467524</v>
      </c>
      <c r="AJ81" s="35" t="n">
        <f aca="false">AI81+AJ80</f>
        <v>-967050.895052234</v>
      </c>
      <c r="AK81" s="35" t="n">
        <f aca="false">AJ81+AK80</f>
        <v>-919376.550667847</v>
      </c>
      <c r="AL81" s="35" t="n">
        <f aca="false">AK81+AL80</f>
        <v>-863023.597122813</v>
      </c>
      <c r="AM81" s="35" t="n">
        <f aca="false">AL81</f>
        <v>-863023.597122813</v>
      </c>
    </row>
    <row r="82" customFormat="false" ht="15" hidden="false" customHeight="false" outlineLevel="0" collapsed="false">
      <c r="A82" s="10" t="s">
        <v>666</v>
      </c>
      <c r="B82" s="9" t="s">
        <v>44</v>
      </c>
      <c r="C82" s="49" t="n">
        <f aca="false">IF(C76&gt;0,C$5,999)</f>
        <v>999</v>
      </c>
      <c r="D82" s="49" t="n">
        <f aca="false">IF(D76&gt;0,D$5,999)</f>
        <v>999</v>
      </c>
      <c r="E82" s="49" t="n">
        <f aca="false">IF(E76&gt;0,E$5,999)</f>
        <v>999</v>
      </c>
      <c r="F82" s="49" t="n">
        <f aca="false">IF(F76&gt;0,F$5,999)</f>
        <v>999</v>
      </c>
      <c r="G82" s="49" t="n">
        <f aca="false">IF(G76&gt;0,G$5,999)</f>
        <v>999</v>
      </c>
      <c r="H82" s="49" t="n">
        <f aca="false">IF(H76&gt;0,H$5,999)</f>
        <v>999</v>
      </c>
      <c r="I82" s="49" t="n">
        <f aca="false">IF(I76&gt;0,I$5,999)</f>
        <v>999</v>
      </c>
      <c r="J82" s="49" t="n">
        <f aca="false">IF(J76&gt;0,J$5,999)</f>
        <v>999</v>
      </c>
      <c r="K82" s="49" t="n">
        <f aca="false">IF(K76&gt;0,K$5,999)</f>
        <v>999</v>
      </c>
      <c r="L82" s="49" t="n">
        <f aca="false">IF(L76&gt;0,L$5,999)</f>
        <v>999</v>
      </c>
      <c r="M82" s="49" t="n">
        <f aca="false">IF(M76&gt;0,M$5,999)</f>
        <v>999</v>
      </c>
      <c r="N82" s="49" t="n">
        <f aca="false">IF(N76&gt;0,N$5,999)</f>
        <v>999</v>
      </c>
      <c r="O82" s="49" t="n">
        <f aca="false">IF(O76&gt;0,O$5,999)</f>
        <v>999</v>
      </c>
      <c r="P82" s="49" t="n">
        <f aca="false">IF(P76&gt;0,P$5,999)</f>
        <v>999</v>
      </c>
      <c r="Q82" s="49" t="n">
        <f aca="false">IF(Q76&gt;0,Q$5,999)</f>
        <v>999</v>
      </c>
      <c r="R82" s="49" t="n">
        <f aca="false">IF(R76&gt;0,R$5,999)</f>
        <v>999</v>
      </c>
      <c r="S82" s="49" t="n">
        <f aca="false">IF(S76&gt;0,S$5,999)</f>
        <v>999</v>
      </c>
      <c r="T82" s="49" t="n">
        <f aca="false">IF(T76&gt;0,T$5,999)</f>
        <v>999</v>
      </c>
      <c r="U82" s="49" t="n">
        <f aca="false">IF(U76&gt;0,U$5,999)</f>
        <v>999</v>
      </c>
      <c r="V82" s="49" t="n">
        <f aca="false">IF(V76&gt;0,V$5,999)</f>
        <v>999</v>
      </c>
      <c r="W82" s="49" t="n">
        <f aca="false">IF(W76&gt;0,W$5,999)</f>
        <v>999</v>
      </c>
      <c r="X82" s="49" t="n">
        <f aca="false">IF(X76&gt;0,X$5,999)</f>
        <v>22</v>
      </c>
      <c r="Y82" s="49" t="n">
        <f aca="false">IF(Y76&gt;0,Y$5,999)</f>
        <v>23</v>
      </c>
      <c r="Z82" s="49" t="n">
        <f aca="false">IF(Z76&gt;0,Z$5,999)</f>
        <v>24</v>
      </c>
      <c r="AA82" s="49" t="n">
        <f aca="false">IF(AA76&gt;0,AA$5,999)</f>
        <v>999</v>
      </c>
      <c r="AB82" s="49" t="n">
        <f aca="false">IF(AB76&gt;0,AB$5,999)</f>
        <v>999</v>
      </c>
      <c r="AC82" s="49" t="n">
        <f aca="false">IF(AC76&gt;0,AC$5,999)</f>
        <v>999</v>
      </c>
      <c r="AD82" s="49" t="n">
        <f aca="false">IF(AD76&gt;0,AD$5,999)</f>
        <v>28</v>
      </c>
      <c r="AE82" s="49" t="n">
        <f aca="false">IF(AE76&gt;0,AE$5,999)</f>
        <v>29</v>
      </c>
      <c r="AF82" s="49" t="n">
        <f aca="false">IF(AF76&gt;0,AF$5,999)</f>
        <v>30</v>
      </c>
      <c r="AG82" s="49" t="n">
        <f aca="false">IF(AG76&gt;0,AG$5,999)</f>
        <v>31</v>
      </c>
      <c r="AH82" s="49" t="n">
        <f aca="false">IF(AH76&gt;0,AH$5,999)</f>
        <v>32</v>
      </c>
      <c r="AI82" s="49" t="n">
        <f aca="false">IF(AI76&gt;0,AI$5,999)</f>
        <v>33</v>
      </c>
      <c r="AJ82" s="49" t="n">
        <f aca="false">IF(AJ76&gt;0,AJ$5,999)</f>
        <v>34</v>
      </c>
      <c r="AK82" s="49" t="n">
        <f aca="false">IF(AK76&gt;0,AK$5,999)</f>
        <v>35</v>
      </c>
      <c r="AL82" s="49" t="n">
        <f aca="false">IF(AL76&gt;0,AL$5,999)</f>
        <v>36</v>
      </c>
      <c r="AM82" s="49"/>
    </row>
    <row r="83" customFormat="false" ht="15" hidden="false" customHeight="false" outlineLevel="0" collapsed="false">
      <c r="A83" s="10" t="s">
        <v>667</v>
      </c>
      <c r="B83" s="9" t="s">
        <v>44</v>
      </c>
      <c r="C83" s="43" t="n">
        <f aca="false">C21+C44</f>
        <v>0</v>
      </c>
      <c r="D83" s="43" t="n">
        <f aca="false">D21+D44</f>
        <v>1500</v>
      </c>
      <c r="E83" s="43" t="n">
        <f aca="false">E21+E44</f>
        <v>793.900973209303</v>
      </c>
      <c r="F83" s="43" t="n">
        <f aca="false">F21+F44</f>
        <v>731.202911209303</v>
      </c>
      <c r="G83" s="43" t="n">
        <f aca="false">G21+G44</f>
        <v>681.999551437303</v>
      </c>
      <c r="H83" s="43" t="n">
        <f aca="false">H21+H44</f>
        <v>653.12776405294</v>
      </c>
      <c r="I83" s="43" t="n">
        <f aca="false">I21+I44</f>
        <v>659.275338308897</v>
      </c>
      <c r="J83" s="43" t="n">
        <f aca="false">J21+J44</f>
        <v>660.591480161877</v>
      </c>
      <c r="K83" s="43" t="n">
        <f aca="false">K21+K44</f>
        <v>663.060413124745</v>
      </c>
      <c r="L83" s="43" t="n">
        <f aca="false">L21+L44</f>
        <v>669.277965488514</v>
      </c>
      <c r="M83" s="43" t="n">
        <f aca="false">M21+M44</f>
        <v>678.792488314028</v>
      </c>
      <c r="N83" s="43" t="n">
        <f aca="false">N21+N44</f>
        <v>691.197519027871</v>
      </c>
      <c r="O83" s="43" t="n">
        <f aca="false">O21+O44</f>
        <v>706.169302874575</v>
      </c>
      <c r="P83" s="43" t="n">
        <f aca="false">P21+P44</f>
        <v>723.4689671334</v>
      </c>
      <c r="Q83" s="43" t="n">
        <f aca="false">Q21+Q44</f>
        <v>742.92970983158</v>
      </c>
      <c r="R83" s="43" t="n">
        <f aca="false">R21+R44</f>
        <v>764.44542195564</v>
      </c>
      <c r="S83" s="43" t="n">
        <f aca="false">S21+S44</f>
        <v>787.961416408765</v>
      </c>
      <c r="T83" s="43" t="n">
        <f aca="false">T21+T44</f>
        <v>813.467069226938</v>
      </c>
      <c r="U83" s="43" t="n">
        <f aca="false">U21+U44</f>
        <v>840.990079141522</v>
      </c>
      <c r="V83" s="43" t="n">
        <f aca="false">V21+V44</f>
        <v>870.592078845613</v>
      </c>
      <c r="W83" s="43" t="n">
        <f aca="false">W21+W44</f>
        <v>902.365371139412</v>
      </c>
      <c r="X83" s="43" t="n">
        <f aca="false">X21+X44</f>
        <v>936.430601832477</v>
      </c>
      <c r="Y83" s="43" t="n">
        <f aca="false">Y21+Y44</f>
        <v>972.935215853969</v>
      </c>
      <c r="Z83" s="43" t="n">
        <f aca="false">Z21+Z44</f>
        <v>1012.05257283662</v>
      </c>
      <c r="AA83" s="43" t="n">
        <f aca="false">AA21+AA44</f>
        <v>1053.98162366148</v>
      </c>
      <c r="AB83" s="43" t="n">
        <f aca="false">AB21+AB44</f>
        <v>1097.43576733462</v>
      </c>
      <c r="AC83" s="43" t="n">
        <f aca="false">AC21+AC44</f>
        <v>1142.44059121607</v>
      </c>
      <c r="AD83" s="43" t="n">
        <f aca="false">AD21+AD44</f>
        <v>1190.02131408919</v>
      </c>
      <c r="AE83" s="43" t="n">
        <f aca="false">AE21+AE44</f>
        <v>1240.59644980231</v>
      </c>
      <c r="AF83" s="43" t="n">
        <f aca="false">AF21+AF44</f>
        <v>1294.48214735135</v>
      </c>
      <c r="AG83" s="43" t="n">
        <f aca="false">AG21+AG44</f>
        <v>1352.0146283978</v>
      </c>
      <c r="AH83" s="43" t="n">
        <f aca="false">AH21+AH44</f>
        <v>1413.55602235491</v>
      </c>
      <c r="AI83" s="43" t="n">
        <f aca="false">AI21+AI44</f>
        <v>1479.49721791971</v>
      </c>
      <c r="AJ83" s="43" t="n">
        <f aca="false">AJ21+AJ44</f>
        <v>1550.26032471216</v>
      </c>
      <c r="AK83" s="43" t="n">
        <f aca="false">AK21+AK44</f>
        <v>1626.30132777895</v>
      </c>
      <c r="AL83" s="43" t="n">
        <f aca="false">AL21+AL44</f>
        <v>1708.11298503175</v>
      </c>
      <c r="AM83" s="43" t="n">
        <f aca="false">SUM(C83:AL83)</f>
        <v>34604.9346110656</v>
      </c>
    </row>
    <row r="84" customFormat="false" ht="15" hidden="false" customHeight="false" outlineLevel="0" collapsed="false">
      <c r="A84" s="26" t="s">
        <v>668</v>
      </c>
      <c r="B84" s="9" t="s">
        <v>90</v>
      </c>
      <c r="C84" s="33" t="n">
        <f aca="false">IFERROR((C15-C70)/C83,0)</f>
        <v>0</v>
      </c>
      <c r="D84" s="33" t="n">
        <f aca="false">IFERROR((D15-D70)/D83,0)</f>
        <v>28</v>
      </c>
      <c r="E84" s="33" t="n">
        <f aca="false">IFERROR((E15-E70)/E83,0)</f>
        <v>52.9033234840578</v>
      </c>
      <c r="F84" s="33" t="n">
        <f aca="false">IFERROR((F15-F70)/F83,0)</f>
        <v>57.439596254531</v>
      </c>
      <c r="G84" s="33" t="n">
        <f aca="false">IFERROR((G15-G70)/G83,0)</f>
        <v>61.5836182171758</v>
      </c>
      <c r="H84" s="33" t="n">
        <f aca="false">IFERROR((H15-H70)/H83,0)</f>
        <v>67.2922026357412</v>
      </c>
      <c r="I84" s="33" t="n">
        <f aca="false">IFERROR((I15-I70)/I83,0)</f>
        <v>70.783359154304</v>
      </c>
      <c r="J84" s="33" t="n">
        <f aca="false">IFERROR((J15-J70)/J83,0)</f>
        <v>77.8712667312935</v>
      </c>
      <c r="K84" s="33" t="n">
        <f aca="false">IFERROR((K15-K70)/K83,0)</f>
        <v>83.4074950998176</v>
      </c>
      <c r="L84" s="33" t="n">
        <f aca="false">IFERROR((L15-L70)/L83,0)</f>
        <v>88.1283957286358</v>
      </c>
      <c r="M84" s="33" t="n">
        <f aca="false">IFERROR((M15-M70)/M83,0)</f>
        <v>92.1363891107294</v>
      </c>
      <c r="N84" s="33" t="n">
        <f aca="false">IFERROR((N15-N70)/N83,0)</f>
        <v>95.5224883717995</v>
      </c>
      <c r="O84" s="33" t="n">
        <f aca="false">IFERROR((O15-O70)/O83,0)</f>
        <v>98.3709005565712</v>
      </c>
      <c r="P84" s="33" t="n">
        <f aca="false">IFERROR((P15-P70)/P83,0)</f>
        <v>100.758675470273</v>
      </c>
      <c r="Q84" s="33" t="n">
        <f aca="false">IFERROR((Q15-Q70)/Q83,0)</f>
        <v>102.753978204767</v>
      </c>
      <c r="R84" s="33" t="n">
        <f aca="false">IFERROR((R15-R70)/R83,0)</f>
        <v>104.415600834504</v>
      </c>
      <c r="S84" s="33" t="n">
        <f aca="false">IFERROR((S15-S70)/S83,0)</f>
        <v>105.793335954643</v>
      </c>
      <c r="T84" s="33" t="n">
        <f aca="false">IFERROR((T15-T70)/T83,0)</f>
        <v>106.928825632502</v>
      </c>
      <c r="U84" s="33" t="n">
        <f aca="false">IFERROR((U15-U70)/U83,0)</f>
        <v>107.856614271965</v>
      </c>
      <c r="V84" s="33" t="n">
        <f aca="false">IFERROR((V15-V70)/V83,0)</f>
        <v>108.605237145873</v>
      </c>
      <c r="W84" s="33" t="n">
        <f aca="false">IFERROR((W15-W70)/W83,0)</f>
        <v>109.198249588307</v>
      </c>
      <c r="X84" s="33" t="n">
        <f aca="false">IFERROR((X15-X70)/X83,0)</f>
        <v>109.655149820952</v>
      </c>
      <c r="Y84" s="33" t="n">
        <f aca="false">IFERROR((Y15-Y70)/Y83,0)</f>
        <v>109.992177924941</v>
      </c>
      <c r="Z84" s="33" t="n">
        <f aca="false">IFERROR((Z15-Z70)/Z83,0)</f>
        <v>110.222990477245</v>
      </c>
      <c r="AA84" s="33" t="n">
        <f aca="false">IFERROR((AA15-AA70)/AA83,0)</f>
        <v>110.359219314961</v>
      </c>
      <c r="AB84" s="33" t="n">
        <f aca="false">IFERROR((AB15-AB70)/AB83,0)</f>
        <v>110.562976242612</v>
      </c>
      <c r="AC84" s="33" t="n">
        <f aca="false">IFERROR((AC15-AC70)/AC83,0)</f>
        <v>110.716657964721</v>
      </c>
      <c r="AD84" s="33" t="n">
        <f aca="false">IFERROR((AD15-AD70)/AD83,0)</f>
        <v>110.705144159655</v>
      </c>
      <c r="AE84" s="33" t="n">
        <f aca="false">IFERROR((AE15-AE70)/AE83,0)</f>
        <v>110.559645037326</v>
      </c>
      <c r="AF84" s="33" t="n">
        <f aca="false">IFERROR((AF15-AF70)/AF83,0)</f>
        <v>110.293048156943</v>
      </c>
      <c r="AG84" s="33" t="n">
        <f aca="false">IFERROR((AG15-AG70)/AG83,0)</f>
        <v>109.916821321098</v>
      </c>
      <c r="AH84" s="33" t="n">
        <f aca="false">IFERROR((AH15-AH70)/AH83,0)</f>
        <v>109.441713167</v>
      </c>
      <c r="AI84" s="33" t="n">
        <f aca="false">IFERROR((AI15-AI70)/AI83,0)</f>
        <v>108.87796412016</v>
      </c>
      <c r="AJ84" s="33" t="n">
        <f aca="false">IFERROR((AJ15-AJ70)/AJ83,0)</f>
        <v>108.235396846585</v>
      </c>
      <c r="AK84" s="33" t="n">
        <f aca="false">IFERROR((AK15-AK70)/AK83,0)</f>
        <v>107.523469656775</v>
      </c>
      <c r="AL84" s="33" t="n">
        <f aca="false">IFERROR((AL15-AL70)/AL83,0)</f>
        <v>106.751303922921</v>
      </c>
      <c r="AM84" s="33" t="n">
        <f aca="false">AVERAGE(N84:AL84)</f>
        <v>107.360703366604</v>
      </c>
    </row>
    <row r="85" customFormat="false" ht="15" hidden="false" customHeight="false" outlineLevel="0" collapsed="false">
      <c r="A85" s="10" t="s">
        <v>669</v>
      </c>
      <c r="B85" s="9" t="s">
        <v>90</v>
      </c>
      <c r="C85" s="51" t="n">
        <f aca="false">Assumptions!$E$51*(1-Assumptions!$E$61)*(1-Assumptions!$E$60)-Assumptions!$E$54-Assumptions!$E$56-Assumptions!$E$57-Assumptions!$E$58</f>
        <v>116.02563</v>
      </c>
      <c r="D85" s="51" t="n">
        <f aca="false">Assumptions!$E$51*(1-Assumptions!$E$61)*(1-Assumptions!$E$60)-Assumptions!$E$54-Assumptions!$E$56-Assumptions!$E$57-Assumptions!$E$58</f>
        <v>116.02563</v>
      </c>
      <c r="E85" s="51" t="n">
        <f aca="false">Assumptions!$E$51*(1-Assumptions!$E$61)*(1-Assumptions!$E$60)-Assumptions!$E$54-Assumptions!$E$56-Assumptions!$E$57-Assumptions!$E$58</f>
        <v>116.02563</v>
      </c>
      <c r="F85" s="51" t="n">
        <f aca="false">Assumptions!$E$51*(1-Assumptions!$E$61)*(1-Assumptions!$E$60)-Assumptions!$E$54-Assumptions!$E$56-Assumptions!$E$57-Assumptions!$E$58</f>
        <v>116.02563</v>
      </c>
      <c r="G85" s="51" t="n">
        <f aca="false">Assumptions!$E$51*(1-Assumptions!$E$61)*(1-Assumptions!$E$60)-Assumptions!$E$54-Assumptions!$E$56-Assumptions!$E$57-Assumptions!$E$58</f>
        <v>116.02563</v>
      </c>
      <c r="H85" s="51" t="n">
        <f aca="false">Assumptions!$E$51*(1-Assumptions!$E$61)*(1-Assumptions!$E$60)-Assumptions!$E$54-Assumptions!$E$56-Assumptions!$E$57-Assumptions!$E$58</f>
        <v>116.02563</v>
      </c>
      <c r="I85" s="51" t="n">
        <f aca="false">Assumptions!$E$51*(1-Assumptions!$E$61)*(1-Assumptions!$E$60)-Assumptions!$E$54-Assumptions!$E$56-Assumptions!$E$57-Assumptions!$E$58</f>
        <v>116.02563</v>
      </c>
      <c r="J85" s="51" t="n">
        <f aca="false">Assumptions!$E$51*(1-Assumptions!$E$61)*(1-Assumptions!$E$60)-Assumptions!$E$54-Assumptions!$E$56-Assumptions!$E$57-Assumptions!$E$58</f>
        <v>116.02563</v>
      </c>
      <c r="K85" s="51" t="n">
        <f aca="false">Assumptions!$E$51*(1-Assumptions!$E$61)*(1-Assumptions!$E$60)-Assumptions!$E$54-Assumptions!$E$56-Assumptions!$E$57-Assumptions!$E$58</f>
        <v>116.02563</v>
      </c>
      <c r="L85" s="51" t="n">
        <f aca="false">Assumptions!$E$51*(1-Assumptions!$E$61)*(1-Assumptions!$E$60)-Assumptions!$E$54-Assumptions!$E$56-Assumptions!$E$57-Assumptions!$E$58</f>
        <v>116.02563</v>
      </c>
      <c r="M85" s="51" t="n">
        <f aca="false">Assumptions!$E$51*(1-Assumptions!$E$61)*(1-Assumptions!$E$60)-Assumptions!$E$54-Assumptions!$E$56-Assumptions!$E$57-Assumptions!$E$58</f>
        <v>116.02563</v>
      </c>
      <c r="N85" s="51" t="n">
        <f aca="false">Assumptions!$E$51*(1-Assumptions!$E$61)*(1-Assumptions!$E$60)-Assumptions!$E$54-Assumptions!$E$56-Assumptions!$E$57-Assumptions!$E$58</f>
        <v>116.02563</v>
      </c>
      <c r="O85" s="51" t="n">
        <f aca="false">Assumptions!$E$51*(1-Assumptions!$E$61)*(1-Assumptions!$E$60)-Assumptions!$E$54-Assumptions!$E$56-Assumptions!$E$57-Assumptions!$E$58</f>
        <v>116.02563</v>
      </c>
      <c r="P85" s="51" t="n">
        <f aca="false">Assumptions!$E$51*(1-Assumptions!$E$61)*(1-Assumptions!$E$60)-Assumptions!$E$54-Assumptions!$E$56-Assumptions!$E$57-Assumptions!$E$58</f>
        <v>116.02563</v>
      </c>
      <c r="Q85" s="51" t="n">
        <f aca="false">Assumptions!$E$51*(1-Assumptions!$E$61)*(1-Assumptions!$E$60)-Assumptions!$E$54-Assumptions!$E$56-Assumptions!$E$57-Assumptions!$E$58</f>
        <v>116.02563</v>
      </c>
      <c r="R85" s="51" t="n">
        <f aca="false">Assumptions!$E$51*(1-Assumptions!$E$61)*(1-Assumptions!$E$60)-Assumptions!$E$54-Assumptions!$E$56-Assumptions!$E$57-Assumptions!$E$58</f>
        <v>116.02563</v>
      </c>
      <c r="S85" s="51" t="n">
        <f aca="false">Assumptions!$E$51*(1-Assumptions!$E$61)*(1-Assumptions!$E$60)-Assumptions!$E$54-Assumptions!$E$56-Assumptions!$E$57-Assumptions!$E$58</f>
        <v>116.02563</v>
      </c>
      <c r="T85" s="51" t="n">
        <f aca="false">Assumptions!$E$51*(1-Assumptions!$E$61)*(1-Assumptions!$E$60)-Assumptions!$E$54-Assumptions!$E$56-Assumptions!$E$57-Assumptions!$E$58</f>
        <v>116.02563</v>
      </c>
      <c r="U85" s="51" t="n">
        <f aca="false">Assumptions!$E$51*(1-Assumptions!$E$61)*(1-Assumptions!$E$60)-Assumptions!$E$54-Assumptions!$E$56-Assumptions!$E$57-Assumptions!$E$58</f>
        <v>116.02563</v>
      </c>
      <c r="V85" s="51" t="n">
        <f aca="false">Assumptions!$E$51*(1-Assumptions!$E$61)*(1-Assumptions!$E$60)-Assumptions!$E$54-Assumptions!$E$56-Assumptions!$E$57-Assumptions!$E$58</f>
        <v>116.02563</v>
      </c>
      <c r="W85" s="51" t="n">
        <f aca="false">Assumptions!$E$51*(1-Assumptions!$E$61)*(1-Assumptions!$E$60)-Assumptions!$E$54-Assumptions!$E$56-Assumptions!$E$57-Assumptions!$E$58</f>
        <v>116.02563</v>
      </c>
      <c r="X85" s="51" t="n">
        <f aca="false">Assumptions!$E$51*(1-Assumptions!$E$61)*(1-Assumptions!$E$60)-Assumptions!$E$54-Assumptions!$E$56-Assumptions!$E$57-Assumptions!$E$58</f>
        <v>116.02563</v>
      </c>
      <c r="Y85" s="51" t="n">
        <f aca="false">Assumptions!$E$51*(1-Assumptions!$E$61)*(1-Assumptions!$E$60)-Assumptions!$E$54-Assumptions!$E$56-Assumptions!$E$57-Assumptions!$E$58</f>
        <v>116.02563</v>
      </c>
      <c r="Z85" s="51" t="n">
        <f aca="false">Assumptions!$E$51*(1-Assumptions!$E$61)*(1-Assumptions!$E$60)-Assumptions!$E$54-Assumptions!$E$56-Assumptions!$E$57-Assumptions!$E$58</f>
        <v>116.02563</v>
      </c>
      <c r="AA85" s="51" t="n">
        <f aca="false">Assumptions!$E$51*(1-Assumptions!$E$61)*(1-Assumptions!$E$60)-Assumptions!$E$54-Assumptions!$E$56-Assumptions!$E$57-Assumptions!$E$58</f>
        <v>116.02563</v>
      </c>
      <c r="AB85" s="51" t="n">
        <f aca="false">Assumptions!$E$51*(1-Assumptions!$E$61)*(1-Assumptions!$E$60)-Assumptions!$E$54-Assumptions!$E$56-Assumptions!$E$57-Assumptions!$E$58</f>
        <v>116.02563</v>
      </c>
      <c r="AC85" s="51" t="n">
        <f aca="false">Assumptions!$E$51*(1-Assumptions!$E$61)*(1-Assumptions!$E$60)-Assumptions!$E$54-Assumptions!$E$56-Assumptions!$E$57-Assumptions!$E$58</f>
        <v>116.02563</v>
      </c>
      <c r="AD85" s="51" t="n">
        <f aca="false">Assumptions!$E$51*(1-Assumptions!$E$61)*(1-Assumptions!$E$60)-Assumptions!$E$54-Assumptions!$E$56-Assumptions!$E$57-Assumptions!$E$58</f>
        <v>116.02563</v>
      </c>
      <c r="AE85" s="51" t="n">
        <f aca="false">Assumptions!$E$51*(1-Assumptions!$E$61)*(1-Assumptions!$E$60)-Assumptions!$E$54-Assumptions!$E$56-Assumptions!$E$57-Assumptions!$E$58</f>
        <v>116.02563</v>
      </c>
      <c r="AF85" s="51" t="n">
        <f aca="false">Assumptions!$E$51*(1-Assumptions!$E$61)*(1-Assumptions!$E$60)-Assumptions!$E$54-Assumptions!$E$56-Assumptions!$E$57-Assumptions!$E$58</f>
        <v>116.02563</v>
      </c>
      <c r="AG85" s="51" t="n">
        <f aca="false">Assumptions!$E$51*(1-Assumptions!$E$61)*(1-Assumptions!$E$60)-Assumptions!$E$54-Assumptions!$E$56-Assumptions!$E$57-Assumptions!$E$58</f>
        <v>116.02563</v>
      </c>
      <c r="AH85" s="51" t="n">
        <f aca="false">Assumptions!$E$51*(1-Assumptions!$E$61)*(1-Assumptions!$E$60)-Assumptions!$E$54-Assumptions!$E$56-Assumptions!$E$57-Assumptions!$E$58</f>
        <v>116.02563</v>
      </c>
      <c r="AI85" s="51" t="n">
        <f aca="false">Assumptions!$E$51*(1-Assumptions!$E$61)*(1-Assumptions!$E$60)-Assumptions!$E$54-Assumptions!$E$56-Assumptions!$E$57-Assumptions!$E$58</f>
        <v>116.02563</v>
      </c>
      <c r="AJ85" s="51" t="n">
        <f aca="false">Assumptions!$E$51*(1-Assumptions!$E$61)*(1-Assumptions!$E$60)-Assumptions!$E$54-Assumptions!$E$56-Assumptions!$E$57-Assumptions!$E$58</f>
        <v>116.02563</v>
      </c>
      <c r="AK85" s="51" t="n">
        <f aca="false">Assumptions!$E$51*(1-Assumptions!$E$61)*(1-Assumptions!$E$60)-Assumptions!$E$54-Assumptions!$E$56-Assumptions!$E$57-Assumptions!$E$58</f>
        <v>116.02563</v>
      </c>
      <c r="AL85" s="51" t="n">
        <f aca="false">Assumptions!$E$51*(1-Assumptions!$E$61)*(1-Assumptions!$E$60)-Assumptions!$E$54-Assumptions!$E$56-Assumptions!$E$57-Assumptions!$E$58</f>
        <v>116.02563</v>
      </c>
      <c r="AM85" s="51" t="n">
        <f aca="false">AVERAGE(N85:AL85)</f>
        <v>116.02563</v>
      </c>
    </row>
    <row r="86" customFormat="false" ht="15" hidden="false" customHeight="false" outlineLevel="0" collapsed="false">
      <c r="A86" s="10" t="s">
        <v>670</v>
      </c>
      <c r="B86" s="9" t="s">
        <v>90</v>
      </c>
      <c r="C86" s="50" t="n">
        <f aca="false">C85/Assumptions!$E$49</f>
        <v>1054.77845454545</v>
      </c>
      <c r="D86" s="50" t="n">
        <f aca="false">D85/Assumptions!$E$49</f>
        <v>1054.77845454545</v>
      </c>
      <c r="E86" s="50" t="n">
        <f aca="false">E85/Assumptions!$E$49</f>
        <v>1054.77845454545</v>
      </c>
      <c r="F86" s="50" t="n">
        <f aca="false">F85/Assumptions!$E$49</f>
        <v>1054.77845454545</v>
      </c>
      <c r="G86" s="50" t="n">
        <f aca="false">G85/Assumptions!$E$49</f>
        <v>1054.77845454545</v>
      </c>
      <c r="H86" s="50" t="n">
        <f aca="false">H85/Assumptions!$E$49</f>
        <v>1054.77845454545</v>
      </c>
      <c r="I86" s="50" t="n">
        <f aca="false">I85/Assumptions!$E$49</f>
        <v>1054.77845454545</v>
      </c>
      <c r="J86" s="50" t="n">
        <f aca="false">J85/Assumptions!$E$49</f>
        <v>1054.77845454545</v>
      </c>
      <c r="K86" s="50" t="n">
        <f aca="false">K85/Assumptions!$E$49</f>
        <v>1054.77845454545</v>
      </c>
      <c r="L86" s="50" t="n">
        <f aca="false">L85/Assumptions!$E$49</f>
        <v>1054.77845454545</v>
      </c>
      <c r="M86" s="50" t="n">
        <f aca="false">M85/Assumptions!$E$49</f>
        <v>1054.77845454545</v>
      </c>
      <c r="N86" s="50" t="n">
        <f aca="false">N85/Assumptions!$E$49</f>
        <v>1054.77845454545</v>
      </c>
      <c r="O86" s="50" t="n">
        <f aca="false">O85/Assumptions!$E$49</f>
        <v>1054.77845454545</v>
      </c>
      <c r="P86" s="50" t="n">
        <f aca="false">P85/Assumptions!$E$49</f>
        <v>1054.77845454545</v>
      </c>
      <c r="Q86" s="50" t="n">
        <f aca="false">Q85/Assumptions!$E$49</f>
        <v>1054.77845454545</v>
      </c>
      <c r="R86" s="50" t="n">
        <f aca="false">R85/Assumptions!$E$49</f>
        <v>1054.77845454545</v>
      </c>
      <c r="S86" s="50" t="n">
        <f aca="false">S85/Assumptions!$E$49</f>
        <v>1054.77845454545</v>
      </c>
      <c r="T86" s="50" t="n">
        <f aca="false">T85/Assumptions!$E$49</f>
        <v>1054.77845454545</v>
      </c>
      <c r="U86" s="50" t="n">
        <f aca="false">U85/Assumptions!$E$49</f>
        <v>1054.77845454545</v>
      </c>
      <c r="V86" s="50" t="n">
        <f aca="false">V85/Assumptions!$E$49</f>
        <v>1054.77845454545</v>
      </c>
      <c r="W86" s="50" t="n">
        <f aca="false">W85/Assumptions!$E$49</f>
        <v>1054.77845454545</v>
      </c>
      <c r="X86" s="50" t="n">
        <f aca="false">X85/Assumptions!$E$49</f>
        <v>1054.77845454545</v>
      </c>
      <c r="Y86" s="50" t="n">
        <f aca="false">Y85/Assumptions!$E$49</f>
        <v>1054.77845454545</v>
      </c>
      <c r="Z86" s="50" t="n">
        <f aca="false">Z85/Assumptions!$E$49</f>
        <v>1054.77845454545</v>
      </c>
      <c r="AA86" s="50" t="n">
        <f aca="false">AA85/Assumptions!$E$49</f>
        <v>1054.77845454545</v>
      </c>
      <c r="AB86" s="50" t="n">
        <f aca="false">AB85/Assumptions!$E$49</f>
        <v>1054.77845454545</v>
      </c>
      <c r="AC86" s="50" t="n">
        <f aca="false">AC85/Assumptions!$E$49</f>
        <v>1054.77845454545</v>
      </c>
      <c r="AD86" s="50" t="n">
        <f aca="false">AD85/Assumptions!$E$49</f>
        <v>1054.77845454545</v>
      </c>
      <c r="AE86" s="50" t="n">
        <f aca="false">AE85/Assumptions!$E$49</f>
        <v>1054.77845454545</v>
      </c>
      <c r="AF86" s="50" t="n">
        <f aca="false">AF85/Assumptions!$E$49</f>
        <v>1054.77845454545</v>
      </c>
      <c r="AG86" s="50" t="n">
        <f aca="false">AG85/Assumptions!$E$49</f>
        <v>1054.77845454545</v>
      </c>
      <c r="AH86" s="50" t="n">
        <f aca="false">AH85/Assumptions!$E$49</f>
        <v>1054.77845454545</v>
      </c>
      <c r="AI86" s="50" t="n">
        <f aca="false">AI85/Assumptions!$E$49</f>
        <v>1054.77845454545</v>
      </c>
      <c r="AJ86" s="50" t="n">
        <f aca="false">AJ85/Assumptions!$E$49</f>
        <v>1054.77845454545</v>
      </c>
      <c r="AK86" s="50" t="n">
        <f aca="false">AK85/Assumptions!$E$49</f>
        <v>1054.77845454545</v>
      </c>
      <c r="AL86" s="50" t="n">
        <f aca="false">AL85/Assumptions!$E$49</f>
        <v>1054.77845454545</v>
      </c>
      <c r="AM86" s="50" t="n">
        <f aca="false">AVERAGE(N86:AL86)</f>
        <v>1054.77845454545</v>
      </c>
    </row>
    <row r="87" customFormat="false" ht="15" hidden="false" customHeight="false" outlineLevel="0" collapsed="false">
      <c r="A87" s="10" t="s">
        <v>318</v>
      </c>
      <c r="B87" s="9" t="s">
        <v>90</v>
      </c>
      <c r="C87" s="51" t="n">
        <f aca="false">Assumptions!$E$31*(1-Assumptions!$E$61)*(1-Assumptions!$E$60)-Assumptions!$E$31*Assumptions!$E$36-Assumptions!$E$37</f>
        <v>45.68586</v>
      </c>
      <c r="D87" s="51" t="n">
        <f aca="false">Assumptions!$E$31*(1-Assumptions!$E$61)*(1-Assumptions!$E$60)-Assumptions!$E$31*Assumptions!$E$36-Assumptions!$E$37</f>
        <v>45.68586</v>
      </c>
      <c r="E87" s="51" t="n">
        <f aca="false">Assumptions!$E$31*(1-Assumptions!$E$61)*(1-Assumptions!$E$60)-Assumptions!$E$31*Assumptions!$E$36-Assumptions!$E$37</f>
        <v>45.68586</v>
      </c>
      <c r="F87" s="51" t="n">
        <f aca="false">Assumptions!$E$31*(1-Assumptions!$E$61)*(1-Assumptions!$E$60)-Assumptions!$E$31*Assumptions!$E$36-Assumptions!$E$37</f>
        <v>45.68586</v>
      </c>
      <c r="G87" s="51" t="n">
        <f aca="false">Assumptions!$E$31*(1-Assumptions!$E$61)*(1-Assumptions!$E$60)-Assumptions!$E$31*Assumptions!$E$36-Assumptions!$E$37</f>
        <v>45.68586</v>
      </c>
      <c r="H87" s="51" t="n">
        <f aca="false">Assumptions!$E$31*(1-Assumptions!$E$61)*(1-Assumptions!$E$60)-Assumptions!$E$31*Assumptions!$E$36-Assumptions!$E$37</f>
        <v>45.68586</v>
      </c>
      <c r="I87" s="51" t="n">
        <f aca="false">Assumptions!$E$31*(1-Assumptions!$E$61)*(1-Assumptions!$E$60)-Assumptions!$E$31*Assumptions!$E$36-Assumptions!$E$37</f>
        <v>45.68586</v>
      </c>
      <c r="J87" s="51" t="n">
        <f aca="false">Assumptions!$E$31*(1-Assumptions!$E$61)*(1-Assumptions!$E$60)-Assumptions!$E$31*Assumptions!$E$36-Assumptions!$E$37</f>
        <v>45.68586</v>
      </c>
      <c r="K87" s="51" t="n">
        <f aca="false">Assumptions!$E$31*(1-Assumptions!$E$61)*(1-Assumptions!$E$60)-Assumptions!$E$31*Assumptions!$E$36-Assumptions!$E$37</f>
        <v>45.68586</v>
      </c>
      <c r="L87" s="51" t="n">
        <f aca="false">Assumptions!$E$31*(1-Assumptions!$E$61)*(1-Assumptions!$E$60)-Assumptions!$E$31*Assumptions!$E$36-Assumptions!$E$37</f>
        <v>45.68586</v>
      </c>
      <c r="M87" s="51" t="n">
        <f aca="false">Assumptions!$E$31*(1-Assumptions!$E$61)*(1-Assumptions!$E$60)-Assumptions!$E$31*Assumptions!$E$36-Assumptions!$E$37</f>
        <v>45.68586</v>
      </c>
      <c r="N87" s="51" t="n">
        <f aca="false">Assumptions!$E$31*(1-Assumptions!$E$61)*(1-Assumptions!$E$60)-Assumptions!$E$31*Assumptions!$E$36-Assumptions!$E$37</f>
        <v>45.68586</v>
      </c>
      <c r="O87" s="51" t="n">
        <f aca="false">Assumptions!$E$31*(1-Assumptions!$E$61)*(1-Assumptions!$E$60)-Assumptions!$E$31*Assumptions!$E$36-Assumptions!$E$37</f>
        <v>45.68586</v>
      </c>
      <c r="P87" s="51" t="n">
        <f aca="false">Assumptions!$E$31*(1-Assumptions!$E$61)*(1-Assumptions!$E$60)-Assumptions!$E$31*Assumptions!$E$36-Assumptions!$E$37</f>
        <v>45.68586</v>
      </c>
      <c r="Q87" s="51" t="n">
        <f aca="false">Assumptions!$E$31*(1-Assumptions!$E$61)*(1-Assumptions!$E$60)-Assumptions!$E$31*Assumptions!$E$36-Assumptions!$E$37</f>
        <v>45.68586</v>
      </c>
      <c r="R87" s="51" t="n">
        <f aca="false">Assumptions!$E$31*(1-Assumptions!$E$61)*(1-Assumptions!$E$60)-Assumptions!$E$31*Assumptions!$E$36-Assumptions!$E$37</f>
        <v>45.68586</v>
      </c>
      <c r="S87" s="51" t="n">
        <f aca="false">Assumptions!$E$31*(1-Assumptions!$E$61)*(1-Assumptions!$E$60)-Assumptions!$E$31*Assumptions!$E$36-Assumptions!$E$37</f>
        <v>45.68586</v>
      </c>
      <c r="T87" s="51" t="n">
        <f aca="false">Assumptions!$E$31*(1-Assumptions!$E$61)*(1-Assumptions!$E$60)-Assumptions!$E$31*Assumptions!$E$36-Assumptions!$E$37</f>
        <v>45.68586</v>
      </c>
      <c r="U87" s="51" t="n">
        <f aca="false">Assumptions!$E$31*(1-Assumptions!$E$61)*(1-Assumptions!$E$60)-Assumptions!$E$31*Assumptions!$E$36-Assumptions!$E$37</f>
        <v>45.68586</v>
      </c>
      <c r="V87" s="51" t="n">
        <f aca="false">Assumptions!$E$31*(1-Assumptions!$E$61)*(1-Assumptions!$E$60)-Assumptions!$E$31*Assumptions!$E$36-Assumptions!$E$37</f>
        <v>45.68586</v>
      </c>
      <c r="W87" s="51" t="n">
        <f aca="false">Assumptions!$E$31*(1-Assumptions!$E$61)*(1-Assumptions!$E$60)-Assumptions!$E$31*Assumptions!$E$36-Assumptions!$E$37</f>
        <v>45.68586</v>
      </c>
      <c r="X87" s="51" t="n">
        <f aca="false">Assumptions!$E$31*(1-Assumptions!$E$61)*(1-Assumptions!$E$60)-Assumptions!$E$31*Assumptions!$E$36-Assumptions!$E$37</f>
        <v>45.68586</v>
      </c>
      <c r="Y87" s="51" t="n">
        <f aca="false">Assumptions!$E$31*(1-Assumptions!$E$61)*(1-Assumptions!$E$60)-Assumptions!$E$31*Assumptions!$E$36-Assumptions!$E$37</f>
        <v>45.68586</v>
      </c>
      <c r="Z87" s="51" t="n">
        <f aca="false">Assumptions!$E$31*(1-Assumptions!$E$61)*(1-Assumptions!$E$60)-Assumptions!$E$31*Assumptions!$E$36-Assumptions!$E$37</f>
        <v>45.68586</v>
      </c>
      <c r="AA87" s="51" t="n">
        <f aca="false">Assumptions!$E$31*(1-Assumptions!$E$61)*(1-Assumptions!$E$60)-Assumptions!$E$31*Assumptions!$E$36-Assumptions!$E$37</f>
        <v>45.68586</v>
      </c>
      <c r="AB87" s="51" t="n">
        <f aca="false">Assumptions!$E$31*(1-Assumptions!$E$61)*(1-Assumptions!$E$60)-Assumptions!$E$31*Assumptions!$E$36-Assumptions!$E$37</f>
        <v>45.68586</v>
      </c>
      <c r="AC87" s="51" t="n">
        <f aca="false">Assumptions!$E$31*(1-Assumptions!$E$61)*(1-Assumptions!$E$60)-Assumptions!$E$31*Assumptions!$E$36-Assumptions!$E$37</f>
        <v>45.68586</v>
      </c>
      <c r="AD87" s="51" t="n">
        <f aca="false">Assumptions!$E$31*(1-Assumptions!$E$61)*(1-Assumptions!$E$60)-Assumptions!$E$31*Assumptions!$E$36-Assumptions!$E$37</f>
        <v>45.68586</v>
      </c>
      <c r="AE87" s="51" t="n">
        <f aca="false">Assumptions!$E$31*(1-Assumptions!$E$61)*(1-Assumptions!$E$60)-Assumptions!$E$31*Assumptions!$E$36-Assumptions!$E$37</f>
        <v>45.68586</v>
      </c>
      <c r="AF87" s="51" t="n">
        <f aca="false">Assumptions!$E$31*(1-Assumptions!$E$61)*(1-Assumptions!$E$60)-Assumptions!$E$31*Assumptions!$E$36-Assumptions!$E$37</f>
        <v>45.68586</v>
      </c>
      <c r="AG87" s="51" t="n">
        <f aca="false">Assumptions!$E$31*(1-Assumptions!$E$61)*(1-Assumptions!$E$60)-Assumptions!$E$31*Assumptions!$E$36-Assumptions!$E$37</f>
        <v>45.68586</v>
      </c>
      <c r="AH87" s="51" t="n">
        <f aca="false">Assumptions!$E$31*(1-Assumptions!$E$61)*(1-Assumptions!$E$60)-Assumptions!$E$31*Assumptions!$E$36-Assumptions!$E$37</f>
        <v>45.68586</v>
      </c>
      <c r="AI87" s="51" t="n">
        <f aca="false">Assumptions!$E$31*(1-Assumptions!$E$61)*(1-Assumptions!$E$60)-Assumptions!$E$31*Assumptions!$E$36-Assumptions!$E$37</f>
        <v>45.68586</v>
      </c>
      <c r="AJ87" s="51" t="n">
        <f aca="false">Assumptions!$E$31*(1-Assumptions!$E$61)*(1-Assumptions!$E$60)-Assumptions!$E$31*Assumptions!$E$36-Assumptions!$E$37</f>
        <v>45.68586</v>
      </c>
      <c r="AK87" s="51" t="n">
        <f aca="false">Assumptions!$E$31*(1-Assumptions!$E$61)*(1-Assumptions!$E$60)-Assumptions!$E$31*Assumptions!$E$36-Assumptions!$E$37</f>
        <v>45.68586</v>
      </c>
      <c r="AL87" s="51" t="n">
        <f aca="false">Assumptions!$E$31*(1-Assumptions!$E$61)*(1-Assumptions!$E$60)-Assumptions!$E$31*Assumptions!$E$36-Assumptions!$E$37</f>
        <v>45.68586</v>
      </c>
      <c r="AM87" s="51" t="n">
        <f aca="false">AVERAGE(N87:AL87)</f>
        <v>45.68586</v>
      </c>
    </row>
    <row r="88" customFormat="false" ht="15" hidden="false" customHeight="false" outlineLevel="0" collapsed="false">
      <c r="A88" s="10" t="s">
        <v>319</v>
      </c>
      <c r="B88" s="9" t="s">
        <v>90</v>
      </c>
      <c r="C88" s="50" t="n">
        <f aca="false">C87/Assumptions!$E$33</f>
        <v>652.655142857143</v>
      </c>
      <c r="D88" s="50" t="n">
        <f aca="false">D87/Assumptions!$E$33</f>
        <v>652.655142857143</v>
      </c>
      <c r="E88" s="50" t="n">
        <f aca="false">E87/Assumptions!$E$33</f>
        <v>652.655142857143</v>
      </c>
      <c r="F88" s="50" t="n">
        <f aca="false">F87/Assumptions!$E$33</f>
        <v>652.655142857143</v>
      </c>
      <c r="G88" s="50" t="n">
        <f aca="false">G87/Assumptions!$E$33</f>
        <v>652.655142857143</v>
      </c>
      <c r="H88" s="50" t="n">
        <f aca="false">H87/Assumptions!$E$33</f>
        <v>652.655142857143</v>
      </c>
      <c r="I88" s="50" t="n">
        <f aca="false">I87/Assumptions!$E$33</f>
        <v>652.655142857143</v>
      </c>
      <c r="J88" s="50" t="n">
        <f aca="false">J87/Assumptions!$E$33</f>
        <v>652.655142857143</v>
      </c>
      <c r="K88" s="50" t="n">
        <f aca="false">K87/Assumptions!$E$33</f>
        <v>652.655142857143</v>
      </c>
      <c r="L88" s="50" t="n">
        <f aca="false">L87/Assumptions!$E$33</f>
        <v>652.655142857143</v>
      </c>
      <c r="M88" s="50" t="n">
        <f aca="false">M87/Assumptions!$E$33</f>
        <v>652.655142857143</v>
      </c>
      <c r="N88" s="50" t="n">
        <f aca="false">N87/Assumptions!$E$33</f>
        <v>652.655142857143</v>
      </c>
      <c r="O88" s="50" t="n">
        <f aca="false">O87/Assumptions!$E$33</f>
        <v>652.655142857143</v>
      </c>
      <c r="P88" s="50" t="n">
        <f aca="false">P87/Assumptions!$E$33</f>
        <v>652.655142857143</v>
      </c>
      <c r="Q88" s="50" t="n">
        <f aca="false">Q87/Assumptions!$E$33</f>
        <v>652.655142857143</v>
      </c>
      <c r="R88" s="50" t="n">
        <f aca="false">R87/Assumptions!$E$33</f>
        <v>652.655142857143</v>
      </c>
      <c r="S88" s="50" t="n">
        <f aca="false">S87/Assumptions!$E$33</f>
        <v>652.655142857143</v>
      </c>
      <c r="T88" s="50" t="n">
        <f aca="false">T87/Assumptions!$E$33</f>
        <v>652.655142857143</v>
      </c>
      <c r="U88" s="50" t="n">
        <f aca="false">U87/Assumptions!$E$33</f>
        <v>652.655142857143</v>
      </c>
      <c r="V88" s="50" t="n">
        <f aca="false">V87/Assumptions!$E$33</f>
        <v>652.655142857143</v>
      </c>
      <c r="W88" s="50" t="n">
        <f aca="false">W87/Assumptions!$E$33</f>
        <v>652.655142857143</v>
      </c>
      <c r="X88" s="50" t="n">
        <f aca="false">X87/Assumptions!$E$33</f>
        <v>652.655142857143</v>
      </c>
      <c r="Y88" s="50" t="n">
        <f aca="false">Y87/Assumptions!$E$33</f>
        <v>652.655142857143</v>
      </c>
      <c r="Z88" s="50" t="n">
        <f aca="false">Z87/Assumptions!$E$33</f>
        <v>652.655142857143</v>
      </c>
      <c r="AA88" s="50" t="n">
        <f aca="false">AA87/Assumptions!$E$33</f>
        <v>652.655142857143</v>
      </c>
      <c r="AB88" s="50" t="n">
        <f aca="false">AB87/Assumptions!$E$33</f>
        <v>652.655142857143</v>
      </c>
      <c r="AC88" s="50" t="n">
        <f aca="false">AC87/Assumptions!$E$33</f>
        <v>652.655142857143</v>
      </c>
      <c r="AD88" s="50" t="n">
        <f aca="false">AD87/Assumptions!$E$33</f>
        <v>652.655142857143</v>
      </c>
      <c r="AE88" s="50" t="n">
        <f aca="false">AE87/Assumptions!$E$33</f>
        <v>652.655142857143</v>
      </c>
      <c r="AF88" s="50" t="n">
        <f aca="false">AF87/Assumptions!$E$33</f>
        <v>652.655142857143</v>
      </c>
      <c r="AG88" s="50" t="n">
        <f aca="false">AG87/Assumptions!$E$33</f>
        <v>652.655142857143</v>
      </c>
      <c r="AH88" s="50" t="n">
        <f aca="false">AH87/Assumptions!$E$33</f>
        <v>652.655142857143</v>
      </c>
      <c r="AI88" s="50" t="n">
        <f aca="false">AI87/Assumptions!$E$33</f>
        <v>652.655142857143</v>
      </c>
      <c r="AJ88" s="50" t="n">
        <f aca="false">AJ87/Assumptions!$E$33</f>
        <v>652.655142857143</v>
      </c>
      <c r="AK88" s="50" t="n">
        <f aca="false">AK87/Assumptions!$E$33</f>
        <v>652.655142857143</v>
      </c>
      <c r="AL88" s="50" t="n">
        <f aca="false">AL87/Assumptions!$E$33</f>
        <v>652.655142857143</v>
      </c>
      <c r="AM88" s="50" t="n">
        <f aca="false">AVERAGE(N88:AL88)</f>
        <v>652.655142857143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88"/>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9"/>
    <col collapsed="false" customWidth="true" hidden="false" outlineLevel="0" max="38" min="3" style="0" width="12"/>
    <col collapsed="false" customWidth="true" hidden="false" outlineLevel="0" max="39" min="39" style="0" width="15"/>
  </cols>
  <sheetData>
    <row r="1" customFormat="false" ht="17.35" hidden="false" customHeight="false" outlineLevel="0" collapsed="false">
      <c r="A1" s="4" t="s">
        <v>672</v>
      </c>
    </row>
    <row r="2" customFormat="false" ht="15" hidden="false" customHeight="false" outlineLevel="0" collapsed="false">
      <c r="A2" s="47" t="s">
        <v>551</v>
      </c>
    </row>
    <row r="4" customFormat="false" ht="15" hidden="false" customHeight="false" outlineLevel="0" collapsed="false">
      <c r="A4" s="25" t="s">
        <v>552</v>
      </c>
      <c r="B4" s="25" t="s">
        <v>21</v>
      </c>
      <c r="C4" s="48" t="s">
        <v>553</v>
      </c>
      <c r="D4" s="48" t="s">
        <v>554</v>
      </c>
      <c r="E4" s="48" t="s">
        <v>555</v>
      </c>
      <c r="F4" s="48" t="s">
        <v>556</v>
      </c>
      <c r="G4" s="48" t="s">
        <v>557</v>
      </c>
      <c r="H4" s="48" t="s">
        <v>558</v>
      </c>
      <c r="I4" s="48" t="s">
        <v>559</v>
      </c>
      <c r="J4" s="48" t="s">
        <v>560</v>
      </c>
      <c r="K4" s="48" t="s">
        <v>561</v>
      </c>
      <c r="L4" s="48" t="s">
        <v>562</v>
      </c>
      <c r="M4" s="48" t="s">
        <v>563</v>
      </c>
      <c r="N4" s="48" t="s">
        <v>564</v>
      </c>
      <c r="O4" s="48" t="s">
        <v>565</v>
      </c>
      <c r="P4" s="48" t="s">
        <v>566</v>
      </c>
      <c r="Q4" s="48" t="s">
        <v>567</v>
      </c>
      <c r="R4" s="48" t="s">
        <v>568</v>
      </c>
      <c r="S4" s="48" t="s">
        <v>569</v>
      </c>
      <c r="T4" s="48" t="s">
        <v>570</v>
      </c>
      <c r="U4" s="48" t="s">
        <v>571</v>
      </c>
      <c r="V4" s="48" t="s">
        <v>572</v>
      </c>
      <c r="W4" s="48" t="s">
        <v>573</v>
      </c>
      <c r="X4" s="48" t="s">
        <v>574</v>
      </c>
      <c r="Y4" s="48" t="s">
        <v>575</v>
      </c>
      <c r="Z4" s="48" t="s">
        <v>576</v>
      </c>
      <c r="AA4" s="48" t="s">
        <v>577</v>
      </c>
      <c r="AB4" s="48" t="s">
        <v>578</v>
      </c>
      <c r="AC4" s="48" t="s">
        <v>579</v>
      </c>
      <c r="AD4" s="48" t="s">
        <v>580</v>
      </c>
      <c r="AE4" s="48" t="s">
        <v>581</v>
      </c>
      <c r="AF4" s="48" t="s">
        <v>582</v>
      </c>
      <c r="AG4" s="48" t="s">
        <v>583</v>
      </c>
      <c r="AH4" s="48" t="s">
        <v>584</v>
      </c>
      <c r="AI4" s="48" t="s">
        <v>585</v>
      </c>
      <c r="AJ4" s="48" t="s">
        <v>586</v>
      </c>
      <c r="AK4" s="48" t="s">
        <v>587</v>
      </c>
      <c r="AL4" s="48" t="s">
        <v>588</v>
      </c>
      <c r="AM4" s="25" t="s">
        <v>589</v>
      </c>
    </row>
    <row r="5" customFormat="false" ht="15" hidden="false" customHeight="false" outlineLevel="0" collapsed="false">
      <c r="A5" s="0" t="s">
        <v>590</v>
      </c>
      <c r="B5" s="0" t="s">
        <v>44</v>
      </c>
      <c r="C5" s="10" t="n">
        <v>1</v>
      </c>
      <c r="D5" s="10" t="n">
        <v>2</v>
      </c>
      <c r="E5" s="10" t="n">
        <v>3</v>
      </c>
      <c r="F5" s="10" t="n">
        <v>4</v>
      </c>
      <c r="G5" s="10" t="n">
        <v>5</v>
      </c>
      <c r="H5" s="10" t="n">
        <v>6</v>
      </c>
      <c r="I5" s="10" t="n">
        <v>7</v>
      </c>
      <c r="J5" s="10" t="n">
        <v>8</v>
      </c>
      <c r="K5" s="10" t="n">
        <v>9</v>
      </c>
      <c r="L5" s="10" t="n">
        <v>10</v>
      </c>
      <c r="M5" s="10" t="n">
        <v>11</v>
      </c>
      <c r="N5" s="10" t="n">
        <v>12</v>
      </c>
      <c r="O5" s="10" t="n">
        <v>13</v>
      </c>
      <c r="P5" s="10" t="n">
        <v>14</v>
      </c>
      <c r="Q5" s="10" t="n">
        <v>15</v>
      </c>
      <c r="R5" s="10" t="n">
        <v>16</v>
      </c>
      <c r="S5" s="10" t="n">
        <v>17</v>
      </c>
      <c r="T5" s="10" t="n">
        <v>18</v>
      </c>
      <c r="U5" s="10" t="n">
        <v>19</v>
      </c>
      <c r="V5" s="10" t="n">
        <v>20</v>
      </c>
      <c r="W5" s="10" t="n">
        <v>21</v>
      </c>
      <c r="X5" s="10" t="n">
        <v>22</v>
      </c>
      <c r="Y5" s="10" t="n">
        <v>23</v>
      </c>
      <c r="Z5" s="10" t="n">
        <v>24</v>
      </c>
      <c r="AA5" s="10" t="n">
        <v>25</v>
      </c>
      <c r="AB5" s="10" t="n">
        <v>26</v>
      </c>
      <c r="AC5" s="10" t="n">
        <v>27</v>
      </c>
      <c r="AD5" s="10" t="n">
        <v>28</v>
      </c>
      <c r="AE5" s="10" t="n">
        <v>29</v>
      </c>
      <c r="AF5" s="10" t="n">
        <v>30</v>
      </c>
      <c r="AG5" s="10" t="n">
        <v>31</v>
      </c>
      <c r="AH5" s="10" t="n">
        <v>32</v>
      </c>
      <c r="AI5" s="10" t="n">
        <v>33</v>
      </c>
      <c r="AJ5" s="10" t="n">
        <v>34</v>
      </c>
      <c r="AK5" s="10" t="n">
        <v>35</v>
      </c>
      <c r="AL5" s="10" t="n">
        <v>36</v>
      </c>
    </row>
    <row r="6" customFormat="false" ht="15" hidden="false" customHeight="false" outlineLevel="0" collapsed="false">
      <c r="A6" s="0" t="s">
        <v>591</v>
      </c>
      <c r="B6" s="0" t="s">
        <v>44</v>
      </c>
      <c r="C6" s="10" t="n">
        <f aca="false">ROUNDUP(C$5/12,0)</f>
        <v>1</v>
      </c>
      <c r="D6" s="10" t="n">
        <f aca="false">ROUNDUP(D$5/12,0)</f>
        <v>1</v>
      </c>
      <c r="E6" s="10" t="n">
        <f aca="false">ROUNDUP(E$5/12,0)</f>
        <v>1</v>
      </c>
      <c r="F6" s="10" t="n">
        <f aca="false">ROUNDUP(F$5/12,0)</f>
        <v>1</v>
      </c>
      <c r="G6" s="10" t="n">
        <f aca="false">ROUNDUP(G$5/12,0)</f>
        <v>1</v>
      </c>
      <c r="H6" s="10" t="n">
        <f aca="false">ROUNDUP(H$5/12,0)</f>
        <v>1</v>
      </c>
      <c r="I6" s="10" t="n">
        <f aca="false">ROUNDUP(I$5/12,0)</f>
        <v>1</v>
      </c>
      <c r="J6" s="10" t="n">
        <f aca="false">ROUNDUP(J$5/12,0)</f>
        <v>1</v>
      </c>
      <c r="K6" s="10" t="n">
        <f aca="false">ROUNDUP(K$5/12,0)</f>
        <v>1</v>
      </c>
      <c r="L6" s="10" t="n">
        <f aca="false">ROUNDUP(L$5/12,0)</f>
        <v>1</v>
      </c>
      <c r="M6" s="10" t="n">
        <f aca="false">ROUNDUP(M$5/12,0)</f>
        <v>1</v>
      </c>
      <c r="N6" s="10" t="n">
        <f aca="false">ROUNDUP(N$5/12,0)</f>
        <v>1</v>
      </c>
      <c r="O6" s="10" t="n">
        <f aca="false">ROUNDUP(O$5/12,0)</f>
        <v>2</v>
      </c>
      <c r="P6" s="10" t="n">
        <f aca="false">ROUNDUP(P$5/12,0)</f>
        <v>2</v>
      </c>
      <c r="Q6" s="10" t="n">
        <f aca="false">ROUNDUP(Q$5/12,0)</f>
        <v>2</v>
      </c>
      <c r="R6" s="10" t="n">
        <f aca="false">ROUNDUP(R$5/12,0)</f>
        <v>2</v>
      </c>
      <c r="S6" s="10" t="n">
        <f aca="false">ROUNDUP(S$5/12,0)</f>
        <v>2</v>
      </c>
      <c r="T6" s="10" t="n">
        <f aca="false">ROUNDUP(T$5/12,0)</f>
        <v>2</v>
      </c>
      <c r="U6" s="10" t="n">
        <f aca="false">ROUNDUP(U$5/12,0)</f>
        <v>2</v>
      </c>
      <c r="V6" s="10" t="n">
        <f aca="false">ROUNDUP(V$5/12,0)</f>
        <v>2</v>
      </c>
      <c r="W6" s="10" t="n">
        <f aca="false">ROUNDUP(W$5/12,0)</f>
        <v>2</v>
      </c>
      <c r="X6" s="10" t="n">
        <f aca="false">ROUNDUP(X$5/12,0)</f>
        <v>2</v>
      </c>
      <c r="Y6" s="10" t="n">
        <f aca="false">ROUNDUP(Y$5/12,0)</f>
        <v>2</v>
      </c>
      <c r="Z6" s="10" t="n">
        <f aca="false">ROUNDUP(Z$5/12,0)</f>
        <v>2</v>
      </c>
      <c r="AA6" s="10" t="n">
        <f aca="false">ROUNDUP(AA$5/12,0)</f>
        <v>3</v>
      </c>
      <c r="AB6" s="10" t="n">
        <f aca="false">ROUNDUP(AB$5/12,0)</f>
        <v>3</v>
      </c>
      <c r="AC6" s="10" t="n">
        <f aca="false">ROUNDUP(AC$5/12,0)</f>
        <v>3</v>
      </c>
      <c r="AD6" s="10" t="n">
        <f aca="false">ROUNDUP(AD$5/12,0)</f>
        <v>3</v>
      </c>
      <c r="AE6" s="10" t="n">
        <f aca="false">ROUNDUP(AE$5/12,0)</f>
        <v>3</v>
      </c>
      <c r="AF6" s="10" t="n">
        <f aca="false">ROUNDUP(AF$5/12,0)</f>
        <v>3</v>
      </c>
      <c r="AG6" s="10" t="n">
        <f aca="false">ROUNDUP(AG$5/12,0)</f>
        <v>3</v>
      </c>
      <c r="AH6" s="10" t="n">
        <f aca="false">ROUNDUP(AH$5/12,0)</f>
        <v>3</v>
      </c>
      <c r="AI6" s="10" t="n">
        <f aca="false">ROUNDUP(AI$5/12,0)</f>
        <v>3</v>
      </c>
      <c r="AJ6" s="10" t="n">
        <f aca="false">ROUNDUP(AJ$5/12,0)</f>
        <v>3</v>
      </c>
      <c r="AK6" s="10" t="n">
        <f aca="false">ROUNDUP(AK$5/12,0)</f>
        <v>3</v>
      </c>
      <c r="AL6" s="10" t="n">
        <f aca="false">ROUNDUP(AL$5/12,0)</f>
        <v>3</v>
      </c>
    </row>
    <row r="8" customFormat="false" ht="15" hidden="false" customHeight="false" outlineLevel="0" collapsed="false">
      <c r="A8" s="10" t="s">
        <v>592</v>
      </c>
      <c r="B8" s="9" t="s">
        <v>593</v>
      </c>
      <c r="C8" s="49" t="n">
        <f aca="false">IF(C$5&gt;=Assumptions!$F$6,1,0)</f>
        <v>0</v>
      </c>
      <c r="D8" s="49" t="n">
        <f aca="false">IF(D$5&gt;=Assumptions!$F$6,1,0)</f>
        <v>1</v>
      </c>
      <c r="E8" s="49" t="n">
        <f aca="false">IF(E$5&gt;=Assumptions!$F$6,1,0)</f>
        <v>1</v>
      </c>
      <c r="F8" s="49" t="n">
        <f aca="false">IF(F$5&gt;=Assumptions!$F$6,1,0)</f>
        <v>1</v>
      </c>
      <c r="G8" s="49" t="n">
        <f aca="false">IF(G$5&gt;=Assumptions!$F$6,1,0)</f>
        <v>1</v>
      </c>
      <c r="H8" s="49" t="n">
        <f aca="false">IF(H$5&gt;=Assumptions!$F$6,1,0)</f>
        <v>1</v>
      </c>
      <c r="I8" s="49" t="n">
        <f aca="false">IF(I$5&gt;=Assumptions!$F$6,1,0)</f>
        <v>1</v>
      </c>
      <c r="J8" s="49" t="n">
        <f aca="false">IF(J$5&gt;=Assumptions!$F$6,1,0)</f>
        <v>1</v>
      </c>
      <c r="K8" s="49" t="n">
        <f aca="false">IF(K$5&gt;=Assumptions!$F$6,1,0)</f>
        <v>1</v>
      </c>
      <c r="L8" s="49" t="n">
        <f aca="false">IF(L$5&gt;=Assumptions!$F$6,1,0)</f>
        <v>1</v>
      </c>
      <c r="M8" s="49" t="n">
        <f aca="false">IF(M$5&gt;=Assumptions!$F$6,1,0)</f>
        <v>1</v>
      </c>
      <c r="N8" s="49" t="n">
        <f aca="false">IF(N$5&gt;=Assumptions!$F$6,1,0)</f>
        <v>1</v>
      </c>
      <c r="O8" s="49" t="n">
        <f aca="false">IF(O$5&gt;=Assumptions!$F$6,1,0)</f>
        <v>1</v>
      </c>
      <c r="P8" s="49" t="n">
        <f aca="false">IF(P$5&gt;=Assumptions!$F$6,1,0)</f>
        <v>1</v>
      </c>
      <c r="Q8" s="49" t="n">
        <f aca="false">IF(Q$5&gt;=Assumptions!$F$6,1,0)</f>
        <v>1</v>
      </c>
      <c r="R8" s="49" t="n">
        <f aca="false">IF(R$5&gt;=Assumptions!$F$6,1,0)</f>
        <v>1</v>
      </c>
      <c r="S8" s="49" t="n">
        <f aca="false">IF(S$5&gt;=Assumptions!$F$6,1,0)</f>
        <v>1</v>
      </c>
      <c r="T8" s="49" t="n">
        <f aca="false">IF(T$5&gt;=Assumptions!$F$6,1,0)</f>
        <v>1</v>
      </c>
      <c r="U8" s="49" t="n">
        <f aca="false">IF(U$5&gt;=Assumptions!$F$6,1,0)</f>
        <v>1</v>
      </c>
      <c r="V8" s="49" t="n">
        <f aca="false">IF(V$5&gt;=Assumptions!$F$6,1,0)</f>
        <v>1</v>
      </c>
      <c r="W8" s="49" t="n">
        <f aca="false">IF(W$5&gt;=Assumptions!$F$6,1,0)</f>
        <v>1</v>
      </c>
      <c r="X8" s="49" t="n">
        <f aca="false">IF(X$5&gt;=Assumptions!$F$6,1,0)</f>
        <v>1</v>
      </c>
      <c r="Y8" s="49" t="n">
        <f aca="false">IF(Y$5&gt;=Assumptions!$F$6,1,0)</f>
        <v>1</v>
      </c>
      <c r="Z8" s="49" t="n">
        <f aca="false">IF(Z$5&gt;=Assumptions!$F$6,1,0)</f>
        <v>1</v>
      </c>
      <c r="AA8" s="49" t="n">
        <f aca="false">IF(AA$5&gt;=Assumptions!$F$6,1,0)</f>
        <v>1</v>
      </c>
      <c r="AB8" s="49" t="n">
        <f aca="false">IF(AB$5&gt;=Assumptions!$F$6,1,0)</f>
        <v>1</v>
      </c>
      <c r="AC8" s="49" t="n">
        <f aca="false">IF(AC$5&gt;=Assumptions!$F$6,1,0)</f>
        <v>1</v>
      </c>
      <c r="AD8" s="49" t="n">
        <f aca="false">IF(AD$5&gt;=Assumptions!$F$6,1,0)</f>
        <v>1</v>
      </c>
      <c r="AE8" s="49" t="n">
        <f aca="false">IF(AE$5&gt;=Assumptions!$F$6,1,0)</f>
        <v>1</v>
      </c>
      <c r="AF8" s="49" t="n">
        <f aca="false">IF(AF$5&gt;=Assumptions!$F$6,1,0)</f>
        <v>1</v>
      </c>
      <c r="AG8" s="49" t="n">
        <f aca="false">IF(AG$5&gt;=Assumptions!$F$6,1,0)</f>
        <v>1</v>
      </c>
      <c r="AH8" s="49" t="n">
        <f aca="false">IF(AH$5&gt;=Assumptions!$F$6,1,0)</f>
        <v>1</v>
      </c>
      <c r="AI8" s="49" t="n">
        <f aca="false">IF(AI$5&gt;=Assumptions!$F$6,1,0)</f>
        <v>1</v>
      </c>
      <c r="AJ8" s="49" t="n">
        <f aca="false">IF(AJ$5&gt;=Assumptions!$F$6,1,0)</f>
        <v>1</v>
      </c>
      <c r="AK8" s="49" t="n">
        <f aca="false">IF(AK$5&gt;=Assumptions!$F$6,1,0)</f>
        <v>1</v>
      </c>
      <c r="AL8" s="49" t="n">
        <f aca="false">IF(AL$5&gt;=Assumptions!$F$6,1,0)</f>
        <v>1</v>
      </c>
      <c r="AM8" s="49"/>
    </row>
    <row r="9" customFormat="false" ht="15" hidden="false" customHeight="false" outlineLevel="0" collapsed="false">
      <c r="A9" s="10" t="s">
        <v>594</v>
      </c>
      <c r="B9" s="9" t="s">
        <v>593</v>
      </c>
      <c r="C9" s="49" t="n">
        <f aca="false">IF(C$5&gt;=Assumptions!$F$7,1,0)</f>
        <v>0</v>
      </c>
      <c r="D9" s="49" t="n">
        <f aca="false">IF(D$5&gt;=Assumptions!$F$7,1,0)</f>
        <v>0</v>
      </c>
      <c r="E9" s="49" t="n">
        <f aca="false">IF(E$5&gt;=Assumptions!$F$7,1,0)</f>
        <v>0</v>
      </c>
      <c r="F9" s="49" t="n">
        <f aca="false">IF(F$5&gt;=Assumptions!$F$7,1,0)</f>
        <v>0</v>
      </c>
      <c r="G9" s="49" t="n">
        <f aca="false">IF(G$5&gt;=Assumptions!$F$7,1,0)</f>
        <v>1</v>
      </c>
      <c r="H9" s="49" t="n">
        <f aca="false">IF(H$5&gt;=Assumptions!$F$7,1,0)</f>
        <v>1</v>
      </c>
      <c r="I9" s="49" t="n">
        <f aca="false">IF(I$5&gt;=Assumptions!$F$7,1,0)</f>
        <v>1</v>
      </c>
      <c r="J9" s="49" t="n">
        <f aca="false">IF(J$5&gt;=Assumptions!$F$7,1,0)</f>
        <v>1</v>
      </c>
      <c r="K9" s="49" t="n">
        <f aca="false">IF(K$5&gt;=Assumptions!$F$7,1,0)</f>
        <v>1</v>
      </c>
      <c r="L9" s="49" t="n">
        <f aca="false">IF(L$5&gt;=Assumptions!$F$7,1,0)</f>
        <v>1</v>
      </c>
      <c r="M9" s="49" t="n">
        <f aca="false">IF(M$5&gt;=Assumptions!$F$7,1,0)</f>
        <v>1</v>
      </c>
      <c r="N9" s="49" t="n">
        <f aca="false">IF(N$5&gt;=Assumptions!$F$7,1,0)</f>
        <v>1</v>
      </c>
      <c r="O9" s="49" t="n">
        <f aca="false">IF(O$5&gt;=Assumptions!$F$7,1,0)</f>
        <v>1</v>
      </c>
      <c r="P9" s="49" t="n">
        <f aca="false">IF(P$5&gt;=Assumptions!$F$7,1,0)</f>
        <v>1</v>
      </c>
      <c r="Q9" s="49" t="n">
        <f aca="false">IF(Q$5&gt;=Assumptions!$F$7,1,0)</f>
        <v>1</v>
      </c>
      <c r="R9" s="49" t="n">
        <f aca="false">IF(R$5&gt;=Assumptions!$F$7,1,0)</f>
        <v>1</v>
      </c>
      <c r="S9" s="49" t="n">
        <f aca="false">IF(S$5&gt;=Assumptions!$F$7,1,0)</f>
        <v>1</v>
      </c>
      <c r="T9" s="49" t="n">
        <f aca="false">IF(T$5&gt;=Assumptions!$F$7,1,0)</f>
        <v>1</v>
      </c>
      <c r="U9" s="49" t="n">
        <f aca="false">IF(U$5&gt;=Assumptions!$F$7,1,0)</f>
        <v>1</v>
      </c>
      <c r="V9" s="49" t="n">
        <f aca="false">IF(V$5&gt;=Assumptions!$F$7,1,0)</f>
        <v>1</v>
      </c>
      <c r="W9" s="49" t="n">
        <f aca="false">IF(W$5&gt;=Assumptions!$F$7,1,0)</f>
        <v>1</v>
      </c>
      <c r="X9" s="49" t="n">
        <f aca="false">IF(X$5&gt;=Assumptions!$F$7,1,0)</f>
        <v>1</v>
      </c>
      <c r="Y9" s="49" t="n">
        <f aca="false">IF(Y$5&gt;=Assumptions!$F$7,1,0)</f>
        <v>1</v>
      </c>
      <c r="Z9" s="49" t="n">
        <f aca="false">IF(Z$5&gt;=Assumptions!$F$7,1,0)</f>
        <v>1</v>
      </c>
      <c r="AA9" s="49" t="n">
        <f aca="false">IF(AA$5&gt;=Assumptions!$F$7,1,0)</f>
        <v>1</v>
      </c>
      <c r="AB9" s="49" t="n">
        <f aca="false">IF(AB$5&gt;=Assumptions!$F$7,1,0)</f>
        <v>1</v>
      </c>
      <c r="AC9" s="49" t="n">
        <f aca="false">IF(AC$5&gt;=Assumptions!$F$7,1,0)</f>
        <v>1</v>
      </c>
      <c r="AD9" s="49" t="n">
        <f aca="false">IF(AD$5&gt;=Assumptions!$F$7,1,0)</f>
        <v>1</v>
      </c>
      <c r="AE9" s="49" t="n">
        <f aca="false">IF(AE$5&gt;=Assumptions!$F$7,1,0)</f>
        <v>1</v>
      </c>
      <c r="AF9" s="49" t="n">
        <f aca="false">IF(AF$5&gt;=Assumptions!$F$7,1,0)</f>
        <v>1</v>
      </c>
      <c r="AG9" s="49" t="n">
        <f aca="false">IF(AG$5&gt;=Assumptions!$F$7,1,0)</f>
        <v>1</v>
      </c>
      <c r="AH9" s="49" t="n">
        <f aca="false">IF(AH$5&gt;=Assumptions!$F$7,1,0)</f>
        <v>1</v>
      </c>
      <c r="AI9" s="49" t="n">
        <f aca="false">IF(AI$5&gt;=Assumptions!$F$7,1,0)</f>
        <v>1</v>
      </c>
      <c r="AJ9" s="49" t="n">
        <f aca="false">IF(AJ$5&gt;=Assumptions!$F$7,1,0)</f>
        <v>1</v>
      </c>
      <c r="AK9" s="49" t="n">
        <f aca="false">IF(AK$5&gt;=Assumptions!$F$7,1,0)</f>
        <v>1</v>
      </c>
      <c r="AL9" s="49" t="n">
        <f aca="false">IF(AL$5&gt;=Assumptions!$F$7,1,0)</f>
        <v>1</v>
      </c>
      <c r="AM9" s="49"/>
    </row>
    <row r="10" customFormat="false" ht="15" hidden="false" customHeight="false" outlineLevel="0" collapsed="false">
      <c r="A10" s="10" t="s">
        <v>595</v>
      </c>
      <c r="B10" s="9" t="s">
        <v>44</v>
      </c>
      <c r="C10" s="49" t="n">
        <f aca="false">MAX(0,C$5-Assumptions!$F$6)</f>
        <v>0</v>
      </c>
      <c r="D10" s="49" t="n">
        <f aca="false">MAX(0,D$5-Assumptions!$F$6)</f>
        <v>0</v>
      </c>
      <c r="E10" s="49" t="n">
        <f aca="false">MAX(0,E$5-Assumptions!$F$6)</f>
        <v>1</v>
      </c>
      <c r="F10" s="49" t="n">
        <f aca="false">MAX(0,F$5-Assumptions!$F$6)</f>
        <v>2</v>
      </c>
      <c r="G10" s="49" t="n">
        <f aca="false">MAX(0,G$5-Assumptions!$F$6)</f>
        <v>3</v>
      </c>
      <c r="H10" s="49" t="n">
        <f aca="false">MAX(0,H$5-Assumptions!$F$6)</f>
        <v>4</v>
      </c>
      <c r="I10" s="49" t="n">
        <f aca="false">MAX(0,I$5-Assumptions!$F$6)</f>
        <v>5</v>
      </c>
      <c r="J10" s="49" t="n">
        <f aca="false">MAX(0,J$5-Assumptions!$F$6)</f>
        <v>6</v>
      </c>
      <c r="K10" s="49" t="n">
        <f aca="false">MAX(0,K$5-Assumptions!$F$6)</f>
        <v>7</v>
      </c>
      <c r="L10" s="49" t="n">
        <f aca="false">MAX(0,L$5-Assumptions!$F$6)</f>
        <v>8</v>
      </c>
      <c r="M10" s="49" t="n">
        <f aca="false">MAX(0,M$5-Assumptions!$F$6)</f>
        <v>9</v>
      </c>
      <c r="N10" s="49" t="n">
        <f aca="false">MAX(0,N$5-Assumptions!$F$6)</f>
        <v>10</v>
      </c>
      <c r="O10" s="49" t="n">
        <f aca="false">MAX(0,O$5-Assumptions!$F$6)</f>
        <v>11</v>
      </c>
      <c r="P10" s="49" t="n">
        <f aca="false">MAX(0,P$5-Assumptions!$F$6)</f>
        <v>12</v>
      </c>
      <c r="Q10" s="49" t="n">
        <f aca="false">MAX(0,Q$5-Assumptions!$F$6)</f>
        <v>13</v>
      </c>
      <c r="R10" s="49" t="n">
        <f aca="false">MAX(0,R$5-Assumptions!$F$6)</f>
        <v>14</v>
      </c>
      <c r="S10" s="49" t="n">
        <f aca="false">MAX(0,S$5-Assumptions!$F$6)</f>
        <v>15</v>
      </c>
      <c r="T10" s="49" t="n">
        <f aca="false">MAX(0,T$5-Assumptions!$F$6)</f>
        <v>16</v>
      </c>
      <c r="U10" s="49" t="n">
        <f aca="false">MAX(0,U$5-Assumptions!$F$6)</f>
        <v>17</v>
      </c>
      <c r="V10" s="49" t="n">
        <f aca="false">MAX(0,V$5-Assumptions!$F$6)</f>
        <v>18</v>
      </c>
      <c r="W10" s="49" t="n">
        <f aca="false">MAX(0,W$5-Assumptions!$F$6)</f>
        <v>19</v>
      </c>
      <c r="X10" s="49" t="n">
        <f aca="false">MAX(0,X$5-Assumptions!$F$6)</f>
        <v>20</v>
      </c>
      <c r="Y10" s="49" t="n">
        <f aca="false">MAX(0,Y$5-Assumptions!$F$6)</f>
        <v>21</v>
      </c>
      <c r="Z10" s="49" t="n">
        <f aca="false">MAX(0,Z$5-Assumptions!$F$6)</f>
        <v>22</v>
      </c>
      <c r="AA10" s="49" t="n">
        <f aca="false">MAX(0,AA$5-Assumptions!$F$6)</f>
        <v>23</v>
      </c>
      <c r="AB10" s="49" t="n">
        <f aca="false">MAX(0,AB$5-Assumptions!$F$6)</f>
        <v>24</v>
      </c>
      <c r="AC10" s="49" t="n">
        <f aca="false">MAX(0,AC$5-Assumptions!$F$6)</f>
        <v>25</v>
      </c>
      <c r="AD10" s="49" t="n">
        <f aca="false">MAX(0,AD$5-Assumptions!$F$6)</f>
        <v>26</v>
      </c>
      <c r="AE10" s="49" t="n">
        <f aca="false">MAX(0,AE$5-Assumptions!$F$6)</f>
        <v>27</v>
      </c>
      <c r="AF10" s="49" t="n">
        <f aca="false">MAX(0,AF$5-Assumptions!$F$6)</f>
        <v>28</v>
      </c>
      <c r="AG10" s="49" t="n">
        <f aca="false">MAX(0,AG$5-Assumptions!$F$6)</f>
        <v>29</v>
      </c>
      <c r="AH10" s="49" t="n">
        <f aca="false">MAX(0,AH$5-Assumptions!$F$6)</f>
        <v>30</v>
      </c>
      <c r="AI10" s="49" t="n">
        <f aca="false">MAX(0,AI$5-Assumptions!$F$6)</f>
        <v>31</v>
      </c>
      <c r="AJ10" s="49" t="n">
        <f aca="false">MAX(0,AJ$5-Assumptions!$F$6)</f>
        <v>32</v>
      </c>
      <c r="AK10" s="49" t="n">
        <f aca="false">MAX(0,AK$5-Assumptions!$F$6)</f>
        <v>33</v>
      </c>
      <c r="AL10" s="49" t="n">
        <f aca="false">MAX(0,AL$5-Assumptions!$F$6)</f>
        <v>34</v>
      </c>
      <c r="AM10" s="49"/>
    </row>
    <row r="11" customFormat="false" ht="15" hidden="false" customHeight="false" outlineLevel="0" collapsed="false">
      <c r="A11" s="10" t="s">
        <v>596</v>
      </c>
      <c r="B11" s="9" t="s">
        <v>77</v>
      </c>
      <c r="C11" s="43" t="n">
        <f aca="false">Assumptions!$F$9*Assumptions!$F$10*Assumptions!$F$11*Assumptions!$F$12</f>
        <v>162756</v>
      </c>
      <c r="D11" s="43" t="n">
        <f aca="false">Assumptions!$F$9*Assumptions!$F$10*Assumptions!$F$11*Assumptions!$F$12</f>
        <v>162756</v>
      </c>
      <c r="E11" s="43" t="n">
        <f aca="false">Assumptions!$F$9*Assumptions!$F$10*Assumptions!$F$11*Assumptions!$F$12</f>
        <v>162756</v>
      </c>
      <c r="F11" s="43" t="n">
        <f aca="false">Assumptions!$F$9*Assumptions!$F$10*Assumptions!$F$11*Assumptions!$F$12</f>
        <v>162756</v>
      </c>
      <c r="G11" s="43" t="n">
        <f aca="false">Assumptions!$F$9*Assumptions!$F$10*Assumptions!$F$11*Assumptions!$F$12</f>
        <v>162756</v>
      </c>
      <c r="H11" s="43" t="n">
        <f aca="false">Assumptions!$F$9*Assumptions!$F$10*Assumptions!$F$11*Assumptions!$F$12</f>
        <v>162756</v>
      </c>
      <c r="I11" s="43" t="n">
        <f aca="false">Assumptions!$F$9*Assumptions!$F$10*Assumptions!$F$11*Assumptions!$F$12</f>
        <v>162756</v>
      </c>
      <c r="J11" s="43" t="n">
        <f aca="false">Assumptions!$F$9*Assumptions!$F$10*Assumptions!$F$11*Assumptions!$F$12</f>
        <v>162756</v>
      </c>
      <c r="K11" s="43" t="n">
        <f aca="false">Assumptions!$F$9*Assumptions!$F$10*Assumptions!$F$11*Assumptions!$F$12</f>
        <v>162756</v>
      </c>
      <c r="L11" s="43" t="n">
        <f aca="false">Assumptions!$F$9*Assumptions!$F$10*Assumptions!$F$11*Assumptions!$F$12</f>
        <v>162756</v>
      </c>
      <c r="M11" s="43" t="n">
        <f aca="false">Assumptions!$F$9*Assumptions!$F$10*Assumptions!$F$11*Assumptions!$F$12</f>
        <v>162756</v>
      </c>
      <c r="N11" s="43" t="n">
        <f aca="false">Assumptions!$F$9*Assumptions!$F$10*Assumptions!$F$11*Assumptions!$F$12</f>
        <v>162756</v>
      </c>
      <c r="O11" s="43" t="n">
        <f aca="false">Assumptions!$F$9*Assumptions!$F$10*Assumptions!$F$11*Assumptions!$F$12</f>
        <v>162756</v>
      </c>
      <c r="P11" s="43" t="n">
        <f aca="false">Assumptions!$F$9*Assumptions!$F$10*Assumptions!$F$11*Assumptions!$F$12</f>
        <v>162756</v>
      </c>
      <c r="Q11" s="43" t="n">
        <f aca="false">Assumptions!$F$9*Assumptions!$F$10*Assumptions!$F$11*Assumptions!$F$12</f>
        <v>162756</v>
      </c>
      <c r="R11" s="43" t="n">
        <f aca="false">Assumptions!$F$9*Assumptions!$F$10*Assumptions!$F$11*Assumptions!$F$12</f>
        <v>162756</v>
      </c>
      <c r="S11" s="43" t="n">
        <f aca="false">Assumptions!$F$9*Assumptions!$F$10*Assumptions!$F$11*Assumptions!$F$12</f>
        <v>162756</v>
      </c>
      <c r="T11" s="43" t="n">
        <f aca="false">Assumptions!$F$9*Assumptions!$F$10*Assumptions!$F$11*Assumptions!$F$12</f>
        <v>162756</v>
      </c>
      <c r="U11" s="43" t="n">
        <f aca="false">Assumptions!$F$9*Assumptions!$F$10*Assumptions!$F$11*Assumptions!$F$12</f>
        <v>162756</v>
      </c>
      <c r="V11" s="43" t="n">
        <f aca="false">Assumptions!$F$9*Assumptions!$F$10*Assumptions!$F$11*Assumptions!$F$12</f>
        <v>162756</v>
      </c>
      <c r="W11" s="43" t="n">
        <f aca="false">Assumptions!$F$9*Assumptions!$F$10*Assumptions!$F$11*Assumptions!$F$12</f>
        <v>162756</v>
      </c>
      <c r="X11" s="43" t="n">
        <f aca="false">Assumptions!$F$9*Assumptions!$F$10*Assumptions!$F$11*Assumptions!$F$12</f>
        <v>162756</v>
      </c>
      <c r="Y11" s="43" t="n">
        <f aca="false">Assumptions!$F$9*Assumptions!$F$10*Assumptions!$F$11*Assumptions!$F$12</f>
        <v>162756</v>
      </c>
      <c r="Z11" s="43" t="n">
        <f aca="false">Assumptions!$F$9*Assumptions!$F$10*Assumptions!$F$11*Assumptions!$F$12</f>
        <v>162756</v>
      </c>
      <c r="AA11" s="43" t="n">
        <f aca="false">Assumptions!$F$9*Assumptions!$F$10*Assumptions!$F$11*Assumptions!$F$12</f>
        <v>162756</v>
      </c>
      <c r="AB11" s="43" t="n">
        <f aca="false">Assumptions!$F$9*Assumptions!$F$10*Assumptions!$F$11*Assumptions!$F$12</f>
        <v>162756</v>
      </c>
      <c r="AC11" s="43" t="n">
        <f aca="false">Assumptions!$F$9*Assumptions!$F$10*Assumptions!$F$11*Assumptions!$F$12</f>
        <v>162756</v>
      </c>
      <c r="AD11" s="43" t="n">
        <f aca="false">Assumptions!$F$9*Assumptions!$F$10*Assumptions!$F$11*Assumptions!$F$12</f>
        <v>162756</v>
      </c>
      <c r="AE11" s="43" t="n">
        <f aca="false">Assumptions!$F$9*Assumptions!$F$10*Assumptions!$F$11*Assumptions!$F$12</f>
        <v>162756</v>
      </c>
      <c r="AF11" s="43" t="n">
        <f aca="false">Assumptions!$F$9*Assumptions!$F$10*Assumptions!$F$11*Assumptions!$F$12</f>
        <v>162756</v>
      </c>
      <c r="AG11" s="43" t="n">
        <f aca="false">Assumptions!$F$9*Assumptions!$F$10*Assumptions!$F$11*Assumptions!$F$12</f>
        <v>162756</v>
      </c>
      <c r="AH11" s="43" t="n">
        <f aca="false">Assumptions!$F$9*Assumptions!$F$10*Assumptions!$F$11*Assumptions!$F$12</f>
        <v>162756</v>
      </c>
      <c r="AI11" s="43" t="n">
        <f aca="false">Assumptions!$F$9*Assumptions!$F$10*Assumptions!$F$11*Assumptions!$F$12</f>
        <v>162756</v>
      </c>
      <c r="AJ11" s="43" t="n">
        <f aca="false">Assumptions!$F$9*Assumptions!$F$10*Assumptions!$F$11*Assumptions!$F$12</f>
        <v>162756</v>
      </c>
      <c r="AK11" s="43" t="n">
        <f aca="false">Assumptions!$F$9*Assumptions!$F$10*Assumptions!$F$11*Assumptions!$F$12</f>
        <v>162756</v>
      </c>
      <c r="AL11" s="43" t="n">
        <f aca="false">Assumptions!$F$9*Assumptions!$F$10*Assumptions!$F$11*Assumptions!$F$12</f>
        <v>162756</v>
      </c>
      <c r="AM11" s="43"/>
    </row>
    <row r="12" customFormat="false" ht="15" hidden="false" customHeight="false" outlineLevel="0" collapsed="false">
      <c r="A12" s="10" t="s">
        <v>597</v>
      </c>
      <c r="B12" s="9" t="s">
        <v>71</v>
      </c>
      <c r="C12" s="39" t="n">
        <f aca="false">IF(C8=0,0,IF(C10=0,Assumptions!$F$15,Assumptions!$F$14+(1-Assumptions!$F$14)*Assumptions!$F$13^C10))</f>
        <v>0</v>
      </c>
      <c r="D12" s="39" t="n">
        <f aca="false">IF(D8=0,0,IF(D10=0,Assumptions!$F$15,Assumptions!$F$14+(1-Assumptions!$F$14)*Assumptions!$F$13^D10))</f>
        <v>3</v>
      </c>
      <c r="E12" s="39" t="n">
        <f aca="false">IF(E8=0,0,IF(E10=0,Assumptions!$F$15,Assumptions!$F$14+(1-Assumptions!$F$14)*Assumptions!$F$13^E10))</f>
        <v>0.923</v>
      </c>
      <c r="F12" s="39" t="n">
        <f aca="false">IF(F8=0,0,IF(F10=0,Assumptions!$F$15,Assumptions!$F$14+(1-Assumptions!$F$14)*Assumptions!$F$13^F10))</f>
        <v>0.85678</v>
      </c>
      <c r="G12" s="39" t="n">
        <f aca="false">IF(G8=0,0,IF(G10=0,Assumptions!$F$15,Assumptions!$F$14+(1-Assumptions!$F$14)*Assumptions!$F$13^G10))</f>
        <v>0.7998308</v>
      </c>
      <c r="H12" s="39" t="n">
        <f aca="false">IF(H8=0,0,IF(H10=0,Assumptions!$F$15,Assumptions!$F$14+(1-Assumptions!$F$14)*Assumptions!$F$13^H10))</f>
        <v>0.750854488</v>
      </c>
      <c r="I12" s="39" t="n">
        <f aca="false">IF(I8=0,0,IF(I10=0,Assumptions!$F$15,Assumptions!$F$14+(1-Assumptions!$F$14)*Assumptions!$F$13^I10))</f>
        <v>0.70873485968</v>
      </c>
      <c r="J12" s="39" t="n">
        <f aca="false">IF(J8=0,0,IF(J10=0,Assumptions!$F$15,Assumptions!$F$14+(1-Assumptions!$F$14)*Assumptions!$F$13^J10))</f>
        <v>0.6725119793248</v>
      </c>
      <c r="K12" s="39" t="n">
        <f aca="false">IF(K8=0,0,IF(K10=0,Assumptions!$F$15,Assumptions!$F$14+(1-Assumptions!$F$14)*Assumptions!$F$13^K10))</f>
        <v>0.641360302219328</v>
      </c>
      <c r="L12" s="39" t="n">
        <f aca="false">IF(L8=0,0,IF(L10=0,Assumptions!$F$15,Assumptions!$F$14+(1-Assumptions!$F$14)*Assumptions!$F$13^L10))</f>
        <v>0.614569859908622</v>
      </c>
      <c r="M12" s="39" t="n">
        <f aca="false">IF(M8=0,0,IF(M10=0,Assumptions!$F$15,Assumptions!$F$14+(1-Assumptions!$F$14)*Assumptions!$F$13^M10))</f>
        <v>0.591530079521415</v>
      </c>
      <c r="N12" s="39" t="n">
        <f aca="false">IF(N8=0,0,IF(N10=0,Assumptions!$F$15,Assumptions!$F$14+(1-Assumptions!$F$14)*Assumptions!$F$13^N10))</f>
        <v>0.571715868388417</v>
      </c>
      <c r="O12" s="39" t="n">
        <f aca="false">IF(O8=0,0,IF(O10=0,Assumptions!$F$15,Assumptions!$F$14+(1-Assumptions!$F$14)*Assumptions!$F$13^O10))</f>
        <v>0.554675646814039</v>
      </c>
      <c r="P12" s="39" t="n">
        <f aca="false">IF(P8=0,0,IF(P10=0,Assumptions!$F$15,Assumptions!$F$14+(1-Assumptions!$F$14)*Assumptions!$F$13^P10))</f>
        <v>0.540021056260073</v>
      </c>
      <c r="Q12" s="39" t="n">
        <f aca="false">IF(Q8=0,0,IF(Q10=0,Assumptions!$F$15,Assumptions!$F$14+(1-Assumptions!$F$14)*Assumptions!$F$13^Q10))</f>
        <v>0.527418108383663</v>
      </c>
      <c r="R12" s="39" t="n">
        <f aca="false">IF(R8=0,0,IF(R10=0,Assumptions!$F$15,Assumptions!$F$14+(1-Assumptions!$F$14)*Assumptions!$F$13^R10))</f>
        <v>0.51657957320995</v>
      </c>
      <c r="S12" s="39" t="n">
        <f aca="false">IF(S8=0,0,IF(S10=0,Assumptions!$F$15,Assumptions!$F$14+(1-Assumptions!$F$14)*Assumptions!$F$13^S10))</f>
        <v>0.507258432960557</v>
      </c>
      <c r="T12" s="39" t="n">
        <f aca="false">IF(T8=0,0,IF(T10=0,Assumptions!$F$15,Assumptions!$F$14+(1-Assumptions!$F$14)*Assumptions!$F$13^T10))</f>
        <v>0.499242252346079</v>
      </c>
      <c r="U12" s="39" t="n">
        <f aca="false">IF(U8=0,0,IF(U10=0,Assumptions!$F$15,Assumptions!$F$14+(1-Assumptions!$F$14)*Assumptions!$F$13^U10))</f>
        <v>0.492348337017628</v>
      </c>
      <c r="V12" s="39" t="n">
        <f aca="false">IF(V8=0,0,IF(V10=0,Assumptions!$F$15,Assumptions!$F$14+(1-Assumptions!$F$14)*Assumptions!$F$13^V10))</f>
        <v>0.48641956983516</v>
      </c>
      <c r="W12" s="39" t="n">
        <f aca="false">IF(W8=0,0,IF(W10=0,Assumptions!$F$15,Assumptions!$F$14+(1-Assumptions!$F$14)*Assumptions!$F$13^W10))</f>
        <v>0.481320830058238</v>
      </c>
      <c r="X12" s="39" t="n">
        <f aca="false">IF(X8=0,0,IF(X10=0,Assumptions!$F$15,Assumptions!$F$14+(1-Assumptions!$F$14)*Assumptions!$F$13^X10))</f>
        <v>0.476935913850084</v>
      </c>
      <c r="Y12" s="39" t="n">
        <f aca="false">IF(Y8=0,0,IF(Y10=0,Assumptions!$F$15,Assumptions!$F$14+(1-Assumptions!$F$14)*Assumptions!$F$13^Y10))</f>
        <v>0.473164885911073</v>
      </c>
      <c r="Z12" s="39" t="n">
        <f aca="false">IF(Z8=0,0,IF(Z10=0,Assumptions!$F$15,Assumptions!$F$14+(1-Assumptions!$F$14)*Assumptions!$F$13^Z10))</f>
        <v>0.469921801883522</v>
      </c>
      <c r="AA12" s="39" t="n">
        <f aca="false">IF(AA8=0,0,IF(AA10=0,Assumptions!$F$15,Assumptions!$F$14+(1-Assumptions!$F$14)*Assumptions!$F$13^AA10))</f>
        <v>0.467132749619829</v>
      </c>
      <c r="AB12" s="39" t="n">
        <f aca="false">IF(AB8=0,0,IF(AB10=0,Assumptions!$F$15,Assumptions!$F$14+(1-Assumptions!$F$14)*Assumptions!$F$13^AB10))</f>
        <v>0.464734164673053</v>
      </c>
      <c r="AC12" s="39" t="n">
        <f aca="false">IF(AC8=0,0,IF(AC10=0,Assumptions!$F$15,Assumptions!$F$14+(1-Assumptions!$F$14)*Assumptions!$F$13^AC10))</f>
        <v>0.462671381618826</v>
      </c>
      <c r="AD12" s="39" t="n">
        <f aca="false">IF(AD8=0,0,IF(AD10=0,Assumptions!$F$15,Assumptions!$F$14+(1-Assumptions!$F$14)*Assumptions!$F$13^AD10))</f>
        <v>0.46089738819219</v>
      </c>
      <c r="AE12" s="39" t="n">
        <f aca="false">IF(AE8=0,0,IF(AE10=0,Assumptions!$F$15,Assumptions!$F$14+(1-Assumptions!$F$14)*Assumptions!$F$13^AE10))</f>
        <v>0.459371753845284</v>
      </c>
      <c r="AF12" s="39" t="n">
        <f aca="false">IF(AF8=0,0,IF(AF10=0,Assumptions!$F$15,Assumptions!$F$14+(1-Assumptions!$F$14)*Assumptions!$F$13^AF10))</f>
        <v>0.458059708306944</v>
      </c>
      <c r="AG12" s="39" t="n">
        <f aca="false">IF(AG8=0,0,IF(AG10=0,Assumptions!$F$15,Assumptions!$F$14+(1-Assumptions!$F$14)*Assumptions!$F$13^AG10))</f>
        <v>0.456931349143972</v>
      </c>
      <c r="AH12" s="39" t="n">
        <f aca="false">IF(AH8=0,0,IF(AH10=0,Assumptions!$F$15,Assumptions!$F$14+(1-Assumptions!$F$14)*Assumptions!$F$13^AH10))</f>
        <v>0.455960960263816</v>
      </c>
      <c r="AI12" s="39" t="n">
        <f aca="false">IF(AI8=0,0,IF(AI10=0,Assumptions!$F$15,Assumptions!$F$14+(1-Assumptions!$F$14)*Assumptions!$F$13^AI10))</f>
        <v>0.455126425826881</v>
      </c>
      <c r="AJ12" s="39" t="n">
        <f aca="false">IF(AJ8=0,0,IF(AJ10=0,Assumptions!$F$15,Assumptions!$F$14+(1-Assumptions!$F$14)*Assumptions!$F$13^AJ10))</f>
        <v>0.454408726211118</v>
      </c>
      <c r="AK12" s="39" t="n">
        <f aca="false">IF(AK8=0,0,IF(AK10=0,Assumptions!$F$15,Assumptions!$F$14+(1-Assumptions!$F$14)*Assumptions!$F$13^AK10))</f>
        <v>0.453791504541562</v>
      </c>
      <c r="AL12" s="39" t="n">
        <f aca="false">IF(AL8=0,0,IF(AL10=0,Assumptions!$F$15,Assumptions!$F$14+(1-Assumptions!$F$14)*Assumptions!$F$13^AL10))</f>
        <v>0.453260693905743</v>
      </c>
      <c r="AM12" s="39"/>
    </row>
    <row r="13" customFormat="false" ht="15" hidden="false" customHeight="false" outlineLevel="0" collapsed="false">
      <c r="A13" s="10" t="s">
        <v>598</v>
      </c>
      <c r="B13" s="9" t="s">
        <v>77</v>
      </c>
      <c r="C13" s="43" t="n">
        <f aca="false">C11*C12</f>
        <v>0</v>
      </c>
      <c r="D13" s="43" t="n">
        <f aca="false">D11*D12</f>
        <v>488268</v>
      </c>
      <c r="E13" s="43" t="n">
        <f aca="false">E11*E12</f>
        <v>150223.788</v>
      </c>
      <c r="F13" s="43" t="n">
        <f aca="false">F11*F12</f>
        <v>139446.08568</v>
      </c>
      <c r="G13" s="43" t="n">
        <f aca="false">G11*G12</f>
        <v>130177.2616848</v>
      </c>
      <c r="H13" s="43" t="n">
        <f aca="false">H11*H12</f>
        <v>122206.073048928</v>
      </c>
      <c r="I13" s="43" t="n">
        <f aca="false">I11*I12</f>
        <v>115350.850822078</v>
      </c>
      <c r="J13" s="43" t="n">
        <f aca="false">J11*J12</f>
        <v>109455.359706987</v>
      </c>
      <c r="K13" s="43" t="n">
        <f aca="false">K11*K12</f>
        <v>104385.237348009</v>
      </c>
      <c r="L13" s="43" t="n">
        <f aca="false">L11*L12</f>
        <v>100024.932119288</v>
      </c>
      <c r="M13" s="43" t="n">
        <f aca="false">M11*M12</f>
        <v>96275.0696225874</v>
      </c>
      <c r="N13" s="43" t="n">
        <f aca="false">N11*N12</f>
        <v>93050.1878754252</v>
      </c>
      <c r="O13" s="43" t="n">
        <f aca="false">O11*O12</f>
        <v>90276.7895728657</v>
      </c>
      <c r="P13" s="43" t="n">
        <f aca="false">P11*P12</f>
        <v>87891.6670326645</v>
      </c>
      <c r="Q13" s="43" t="n">
        <f aca="false">Q11*Q12</f>
        <v>85840.4616480914</v>
      </c>
      <c r="R13" s="43" t="n">
        <f aca="false">R11*R12</f>
        <v>84076.4250173586</v>
      </c>
      <c r="S13" s="43" t="n">
        <f aca="false">S11*S12</f>
        <v>82559.3535149284</v>
      </c>
      <c r="T13" s="43" t="n">
        <f aca="false">T11*T12</f>
        <v>81254.6720228385</v>
      </c>
      <c r="U13" s="43" t="n">
        <f aca="false">U11*U12</f>
        <v>80132.6459396411</v>
      </c>
      <c r="V13" s="43" t="n">
        <f aca="false">V11*V12</f>
        <v>79167.7035080913</v>
      </c>
      <c r="W13" s="43" t="n">
        <f aca="false">W11*W12</f>
        <v>78337.8530169585</v>
      </c>
      <c r="X13" s="43" t="n">
        <f aca="false">X11*X12</f>
        <v>77624.1815945843</v>
      </c>
      <c r="Y13" s="43" t="n">
        <f aca="false">Y11*Y12</f>
        <v>77010.4241713425</v>
      </c>
      <c r="Z13" s="43" t="n">
        <f aca="false">Z11*Z12</f>
        <v>76482.5927873546</v>
      </c>
      <c r="AA13" s="43" t="n">
        <f aca="false">AA11*AA12</f>
        <v>76028.6577971249</v>
      </c>
      <c r="AB13" s="43" t="n">
        <f aca="false">AB11*AB12</f>
        <v>75638.2737055275</v>
      </c>
      <c r="AC13" s="43" t="n">
        <f aca="false">AC11*AC12</f>
        <v>75302.5433867536</v>
      </c>
      <c r="AD13" s="43" t="n">
        <f aca="false">AD11*AD12</f>
        <v>75013.8153126081</v>
      </c>
      <c r="AE13" s="43" t="n">
        <f aca="false">AE11*AE12</f>
        <v>74765.509168843</v>
      </c>
      <c r="AF13" s="43" t="n">
        <f aca="false">AF11*AF12</f>
        <v>74551.965885205</v>
      </c>
      <c r="AG13" s="43" t="n">
        <f aca="false">AG11*AG12</f>
        <v>74368.3186612763</v>
      </c>
      <c r="AH13" s="43" t="n">
        <f aca="false">AH11*AH12</f>
        <v>74210.3820486976</v>
      </c>
      <c r="AI13" s="43" t="n">
        <f aca="false">AI11*AI12</f>
        <v>74074.5565618799</v>
      </c>
      <c r="AJ13" s="43" t="n">
        <f aca="false">AJ11*AJ12</f>
        <v>73957.7466432167</v>
      </c>
      <c r="AK13" s="43" t="n">
        <f aca="false">AK11*AK12</f>
        <v>73857.2901131664</v>
      </c>
      <c r="AL13" s="43" t="n">
        <f aca="false">AL11*AL12</f>
        <v>73770.8974973231</v>
      </c>
      <c r="AM13" s="43" t="n">
        <f aca="false">SUM(C13:AL13)</f>
        <v>3525057.57251644</v>
      </c>
    </row>
    <row r="14" customFormat="false" ht="15" hidden="false" customHeight="false" outlineLevel="0" collapsed="false">
      <c r="A14" s="10" t="s">
        <v>599</v>
      </c>
      <c r="B14" s="9" t="s">
        <v>77</v>
      </c>
      <c r="C14" s="43" t="n">
        <f aca="false">MIN(Assumptions!$F$19,Assumptions!$F$17*(1+Assumptions!$F$18)^(C$5-1))</f>
        <v>3500</v>
      </c>
      <c r="D14" s="43" t="n">
        <f aca="false">MIN(Assumptions!$F$19,Assumptions!$F$17*(1+Assumptions!$F$18)^(D$5-1))</f>
        <v>3920</v>
      </c>
      <c r="E14" s="43" t="n">
        <f aca="false">MIN(Assumptions!$F$19,Assumptions!$F$17*(1+Assumptions!$F$18)^(E$5-1))</f>
        <v>4390.4</v>
      </c>
      <c r="F14" s="43" t="n">
        <f aca="false">MIN(Assumptions!$F$19,Assumptions!$F$17*(1+Assumptions!$F$18)^(F$5-1))</f>
        <v>4917.248</v>
      </c>
      <c r="G14" s="43" t="n">
        <f aca="false">MIN(Assumptions!$F$19,Assumptions!$F$17*(1+Assumptions!$F$18)^(G$5-1))</f>
        <v>5507.31776</v>
      </c>
      <c r="H14" s="43" t="n">
        <f aca="false">MIN(Assumptions!$F$19,Assumptions!$F$17*(1+Assumptions!$F$18)^(H$5-1))</f>
        <v>6168.1958912</v>
      </c>
      <c r="I14" s="43" t="n">
        <f aca="false">MIN(Assumptions!$F$19,Assumptions!$F$17*(1+Assumptions!$F$18)^(I$5-1))</f>
        <v>6908.379398144</v>
      </c>
      <c r="J14" s="43" t="n">
        <f aca="false">MIN(Assumptions!$F$19,Assumptions!$F$17*(1+Assumptions!$F$18)^(J$5-1))</f>
        <v>7737.38492592129</v>
      </c>
      <c r="K14" s="43" t="n">
        <f aca="false">MIN(Assumptions!$F$19,Assumptions!$F$17*(1+Assumptions!$F$18)^(K$5-1))</f>
        <v>8665.87111703184</v>
      </c>
      <c r="L14" s="43" t="n">
        <f aca="false">MIN(Assumptions!$F$19,Assumptions!$F$17*(1+Assumptions!$F$18)^(L$5-1))</f>
        <v>9705.77565107566</v>
      </c>
      <c r="M14" s="43" t="n">
        <f aca="false">MIN(Assumptions!$F$19,Assumptions!$F$17*(1+Assumptions!$F$18)^(M$5-1))</f>
        <v>10870.4687292047</v>
      </c>
      <c r="N14" s="43" t="n">
        <f aca="false">MIN(Assumptions!$F$19,Assumptions!$F$17*(1+Assumptions!$F$18)^(N$5-1))</f>
        <v>12174.9249767093</v>
      </c>
      <c r="O14" s="43" t="n">
        <f aca="false">MIN(Assumptions!$F$19,Assumptions!$F$17*(1+Assumptions!$F$18)^(O$5-1))</f>
        <v>13635.9159739144</v>
      </c>
      <c r="P14" s="43" t="n">
        <f aca="false">MIN(Assumptions!$F$19,Assumptions!$F$17*(1+Assumptions!$F$18)^(P$5-1))</f>
        <v>15272.2258907842</v>
      </c>
      <c r="Q14" s="43" t="n">
        <f aca="false">MIN(Assumptions!$F$19,Assumptions!$F$17*(1+Assumptions!$F$18)^(Q$5-1))</f>
        <v>17104.8929976783</v>
      </c>
      <c r="R14" s="43" t="n">
        <f aca="false">MIN(Assumptions!$F$19,Assumptions!$F$17*(1+Assumptions!$F$18)^(R$5-1))</f>
        <v>19157.4801573997</v>
      </c>
      <c r="S14" s="43" t="n">
        <f aca="false">MIN(Assumptions!$F$19,Assumptions!$F$17*(1+Assumptions!$F$18)^(S$5-1))</f>
        <v>21456.3777762876</v>
      </c>
      <c r="T14" s="43" t="n">
        <f aca="false">MIN(Assumptions!$F$19,Assumptions!$F$17*(1+Assumptions!$F$18)^(T$5-1))</f>
        <v>24031.1431094421</v>
      </c>
      <c r="U14" s="43" t="n">
        <f aca="false">MIN(Assumptions!$F$19,Assumptions!$F$17*(1+Assumptions!$F$18)^(U$5-1))</f>
        <v>26914.8802825752</v>
      </c>
      <c r="V14" s="43" t="n">
        <f aca="false">MIN(Assumptions!$F$19,Assumptions!$F$17*(1+Assumptions!$F$18)^(V$5-1))</f>
        <v>30144.6659164842</v>
      </c>
      <c r="W14" s="43" t="n">
        <f aca="false">MIN(Assumptions!$F$19,Assumptions!$F$17*(1+Assumptions!$F$18)^(W$5-1))</f>
        <v>33762.0258264623</v>
      </c>
      <c r="X14" s="43" t="n">
        <f aca="false">MIN(Assumptions!$F$19,Assumptions!$F$17*(1+Assumptions!$F$18)^(X$5-1))</f>
        <v>37813.4689256378</v>
      </c>
      <c r="Y14" s="43" t="n">
        <f aca="false">MIN(Assumptions!$F$19,Assumptions!$F$17*(1+Assumptions!$F$18)^(Y$5-1))</f>
        <v>42351.0851967144</v>
      </c>
      <c r="Z14" s="43" t="n">
        <f aca="false">MIN(Assumptions!$F$19,Assumptions!$F$17*(1+Assumptions!$F$18)^(Z$5-1))</f>
        <v>47433.2154203201</v>
      </c>
      <c r="AA14" s="43" t="n">
        <f aca="false">MIN(Assumptions!$F$19,Assumptions!$F$17*(1+Assumptions!$F$18)^(AA$5-1))</f>
        <v>53125.2012707585</v>
      </c>
      <c r="AB14" s="43" t="n">
        <f aca="false">MIN(Assumptions!$F$19,Assumptions!$F$17*(1+Assumptions!$F$18)^(AB$5-1))</f>
        <v>59500.2254232495</v>
      </c>
      <c r="AC14" s="43" t="n">
        <f aca="false">MIN(Assumptions!$F$19,Assumptions!$F$17*(1+Assumptions!$F$18)^(AC$5-1))</f>
        <v>66640.2524740395</v>
      </c>
      <c r="AD14" s="43" t="n">
        <f aca="false">MIN(Assumptions!$F$19,Assumptions!$F$17*(1+Assumptions!$F$18)^(AD$5-1))</f>
        <v>74637.0827709242</v>
      </c>
      <c r="AE14" s="43" t="n">
        <f aca="false">MIN(Assumptions!$F$19,Assumptions!$F$17*(1+Assumptions!$F$18)^(AE$5-1))</f>
        <v>83593.5327034351</v>
      </c>
      <c r="AF14" s="43" t="n">
        <f aca="false">MIN(Assumptions!$F$19,Assumptions!$F$17*(1+Assumptions!$F$18)^(AF$5-1))</f>
        <v>93624.7566278474</v>
      </c>
      <c r="AG14" s="43" t="n">
        <f aca="false">MIN(Assumptions!$F$19,Assumptions!$F$17*(1+Assumptions!$F$18)^(AG$5-1))</f>
        <v>104859.727423189</v>
      </c>
      <c r="AH14" s="43" t="n">
        <f aca="false">MIN(Assumptions!$F$19,Assumptions!$F$17*(1+Assumptions!$F$18)^(AH$5-1))</f>
        <v>117442.894713972</v>
      </c>
      <c r="AI14" s="43" t="n">
        <f aca="false">MIN(Assumptions!$F$19,Assumptions!$F$17*(1+Assumptions!$F$18)^(AI$5-1))</f>
        <v>131536.042079648</v>
      </c>
      <c r="AJ14" s="43" t="n">
        <f aca="false">MIN(Assumptions!$F$19,Assumptions!$F$17*(1+Assumptions!$F$18)^(AJ$5-1))</f>
        <v>147320.367129206</v>
      </c>
      <c r="AK14" s="43" t="n">
        <f aca="false">MIN(Assumptions!$F$19,Assumptions!$F$17*(1+Assumptions!$F$18)^(AK$5-1))</f>
        <v>164998.811184711</v>
      </c>
      <c r="AL14" s="43" t="n">
        <f aca="false">MIN(Assumptions!$F$19,Assumptions!$F$17*(1+Assumptions!$F$18)^(AL$5-1))</f>
        <v>184798.668526876</v>
      </c>
      <c r="AM14" s="43" t="n">
        <f aca="false">SUM(C14:AL14)</f>
        <v>1695620.90625084</v>
      </c>
    </row>
    <row r="15" customFormat="false" ht="15" hidden="false" customHeight="false" outlineLevel="0" collapsed="false">
      <c r="A15" s="10" t="s">
        <v>600</v>
      </c>
      <c r="B15" s="9" t="s">
        <v>90</v>
      </c>
      <c r="C15" s="50" t="n">
        <f aca="false">Assumptions!$F$21</f>
        <v>15000</v>
      </c>
      <c r="D15" s="50" t="n">
        <f aca="false">IF(D8=0,Assumptions!$F$21,MIN(Assumptions!$F$25,MAX(Assumptions!$F$22,C60*Assumptions!$F$23)))</f>
        <v>60000</v>
      </c>
      <c r="E15" s="50" t="n">
        <f aca="false">IF(E8=0,Assumptions!$F$21,MIN(Assumptions!$F$25,MAX(Assumptions!$F$22,D60*Assumptions!$F$23)))</f>
        <v>60000</v>
      </c>
      <c r="F15" s="50" t="n">
        <f aca="false">IF(F8=0,Assumptions!$F$21,MIN(Assumptions!$F$25,MAX(Assumptions!$F$22,E60*Assumptions!$F$23)))</f>
        <v>89186.1572954081</v>
      </c>
      <c r="G15" s="50" t="n">
        <f aca="false">IF(G8=0,Assumptions!$F$21,MIN(Assumptions!$F$25,MAX(Assumptions!$F$22,F60*Assumptions!$F$23)))</f>
        <v>118136.848680637</v>
      </c>
      <c r="H15" s="50" t="n">
        <f aca="false">IF(H8=0,Assumptions!$F$21,MIN(Assumptions!$F$25,MAX(Assumptions!$F$22,G60*Assumptions!$F$23)))</f>
        <v>171593.601269477</v>
      </c>
      <c r="I15" s="50" t="n">
        <f aca="false">IF(I8=0,Assumptions!$F$21,MIN(Assumptions!$F$25,MAX(Assumptions!$F$22,H60*Assumptions!$F$23)))</f>
        <v>219656.524065337</v>
      </c>
      <c r="J15" s="50" t="n">
        <f aca="false">IF(J8=0,Assumptions!$F$21,MIN(Assumptions!$F$25,MAX(Assumptions!$F$22,I60*Assumptions!$F$23)))</f>
        <v>268742.840472671</v>
      </c>
      <c r="K15" s="50" t="n">
        <f aca="false">IF(K8=0,Assumptions!$F$21,MIN(Assumptions!$F$25,MAX(Assumptions!$F$22,J60*Assumptions!$F$23)))</f>
        <v>319384.375047679</v>
      </c>
      <c r="L15" s="50" t="n">
        <f aca="false">IF(L8=0,Assumptions!$F$21,MIN(Assumptions!$F$25,MAX(Assumptions!$F$22,K60*Assumptions!$F$23)))</f>
        <v>371968.757232118</v>
      </c>
      <c r="M15" s="50" t="n">
        <f aca="false">IF(M8=0,Assumptions!$F$21,MIN(Assumptions!$F$25,MAX(Assumptions!$F$22,L60*Assumptions!$F$23)))</f>
        <v>426829.877460483</v>
      </c>
      <c r="N15" s="50" t="n">
        <f aca="false">IF(N8=0,Assumptions!$F$21,MIN(Assumptions!$F$25,MAX(Assumptions!$F$22,M60*Assumptions!$F$23)))</f>
        <v>484303.831311619</v>
      </c>
      <c r="O15" s="50" t="n">
        <f aca="false">IF(O8=0,Assumptions!$F$21,MIN(Assumptions!$F$25,MAX(Assumptions!$F$22,N60*Assumptions!$F$23)))</f>
        <v>544735.772461127</v>
      </c>
      <c r="P15" s="50" t="n">
        <f aca="false">IF(P8=0,Assumptions!$F$21,MIN(Assumptions!$F$25,MAX(Assumptions!$F$22,O60*Assumptions!$F$23)))</f>
        <v>608483.140556552</v>
      </c>
      <c r="Q15" s="50" t="n">
        <f aca="false">IF(Q8=0,Assumptions!$F$21,MIN(Assumptions!$F$25,MAX(Assumptions!$F$22,P60*Assumptions!$F$23)))</f>
        <v>675918.531940563</v>
      </c>
      <c r="R15" s="50" t="n">
        <f aca="false">IF(R8=0,Assumptions!$F$21,MIN(Assumptions!$F$25,MAX(Assumptions!$F$22,Q60*Assumptions!$F$23)))</f>
        <v>747432.772101931</v>
      </c>
      <c r="S15" s="50" t="n">
        <f aca="false">IF(S8=0,Assumptions!$F$21,MIN(Assumptions!$F$25,MAX(Assumptions!$F$22,R60*Assumptions!$F$23)))</f>
        <v>823438.24786328</v>
      </c>
      <c r="T15" s="50" t="n">
        <f aca="false">IF(T8=0,Assumptions!$F$21,MIN(Assumptions!$F$25,MAX(Assumptions!$F$22,S60*Assumptions!$F$23)))</f>
        <v>904372.514490742</v>
      </c>
      <c r="U15" s="50" t="n">
        <f aca="false">IF(U8=0,Assumptions!$F$21,MIN(Assumptions!$F$25,MAX(Assumptions!$F$22,T60*Assumptions!$F$23)))</f>
        <v>987650.568918723</v>
      </c>
      <c r="V15" s="50" t="n">
        <f aca="false">IF(V8=0,Assumptions!$F$21,MIN(Assumptions!$F$25,MAX(Assumptions!$F$22,U60*Assumptions!$F$23)))</f>
        <v>1072973.52904521</v>
      </c>
      <c r="W15" s="50" t="n">
        <f aca="false">IF(W8=0,Assumptions!$F$21,MIN(Assumptions!$F$25,MAX(Assumptions!$F$22,V60*Assumptions!$F$23)))</f>
        <v>1160840.80613158</v>
      </c>
      <c r="X15" s="50" t="n">
        <f aca="false">IF(X8=0,Assumptions!$F$21,MIN(Assumptions!$F$25,MAX(Assumptions!$F$22,W60*Assumptions!$F$23)))</f>
        <v>1251424.12988424</v>
      </c>
      <c r="Y15" s="50" t="n">
        <f aca="false">IF(Y8=0,Assumptions!$F$21,MIN(Assumptions!$F$25,MAX(Assumptions!$F$22,X60*Assumptions!$F$23)))</f>
        <v>1344890.9558773</v>
      </c>
      <c r="Z15" s="50" t="n">
        <f aca="false">IF(Z8=0,Assumptions!$F$21,MIN(Assumptions!$F$25,MAX(Assumptions!$F$22,Y60*Assumptions!$F$23)))</f>
        <v>1441421.64891191</v>
      </c>
      <c r="AA15" s="50" t="n">
        <f aca="false">IF(AA8=0,Assumptions!$F$21,MIN(Assumptions!$F$25,MAX(Assumptions!$F$22,Z60*Assumptions!$F$23)))</f>
        <v>1541214.99563597</v>
      </c>
      <c r="AB15" s="50" t="n">
        <f aca="false">IF(AB8=0,Assumptions!$F$21,MIN(Assumptions!$F$25,MAX(Assumptions!$F$22,AA60*Assumptions!$F$23)))</f>
        <v>1644491.42683043</v>
      </c>
      <c r="AC15" s="50" t="n">
        <f aca="false">IF(AC8=0,Assumptions!$F$21,MIN(Assumptions!$F$25,MAX(Assumptions!$F$22,AB60*Assumptions!$F$23)))</f>
        <v>1751496.26734469</v>
      </c>
      <c r="AD15" s="50" t="n">
        <f aca="false">IF(AD8=0,Assumptions!$F$21,MIN(Assumptions!$F$25,MAX(Assumptions!$F$22,AC60*Assumptions!$F$23)))</f>
        <v>1862503.24672744</v>
      </c>
      <c r="AE15" s="50" t="n">
        <f aca="false">IF(AE8=0,Assumptions!$F$21,MIN(Assumptions!$F$25,MAX(Assumptions!$F$22,AD60*Assumptions!$F$23)))</f>
        <v>1977818.33370292</v>
      </c>
      <c r="AF15" s="50" t="n">
        <f aca="false">IF(AF8=0,Assumptions!$F$21,MIN(Assumptions!$F$25,MAX(Assumptions!$F$22,AE60*Assumptions!$F$23)))</f>
        <v>2097783.93952321</v>
      </c>
      <c r="AG15" s="50" t="n">
        <f aca="false">IF(AG8=0,Assumptions!$F$21,MIN(Assumptions!$F$25,MAX(Assumptions!$F$22,AF60*Assumptions!$F$23)))</f>
        <v>2222783.53755913</v>
      </c>
      <c r="AH15" s="50" t="n">
        <f aca="false">IF(AH8=0,Assumptions!$F$21,MIN(Assumptions!$F$25,MAX(Assumptions!$F$22,AG60*Assumptions!$F$23)))</f>
        <v>2353246.75122434</v>
      </c>
      <c r="AI15" s="50" t="n">
        <f aca="false">IF(AI8=0,Assumptions!$F$21,MIN(Assumptions!$F$25,MAX(Assumptions!$F$22,AH60*Assumptions!$F$23)))</f>
        <v>2489654.96770935</v>
      </c>
      <c r="AJ15" s="50" t="n">
        <f aca="false">IF(AJ8=0,Assumptions!$F$21,MIN(Assumptions!$F$25,MAX(Assumptions!$F$22,AI60*Assumptions!$F$23)))</f>
        <v>2500000</v>
      </c>
      <c r="AK15" s="50" t="n">
        <f aca="false">IF(AK8=0,Assumptions!$F$21,MIN(Assumptions!$F$25,MAX(Assumptions!$F$22,AJ60*Assumptions!$F$23)))</f>
        <v>2500000</v>
      </c>
      <c r="AL15" s="50" t="n">
        <f aca="false">IF(AL8=0,Assumptions!$F$21,MIN(Assumptions!$F$25,MAX(Assumptions!$F$22,AK60*Assumptions!$F$23)))</f>
        <v>2500000</v>
      </c>
      <c r="AM15" s="50" t="n">
        <f aca="false">SUM(C15:AL15)</f>
        <v>39609378.8972761</v>
      </c>
    </row>
    <row r="16" customFormat="false" ht="15" hidden="false" customHeight="false" outlineLevel="0" collapsed="false">
      <c r="A16" s="10" t="s">
        <v>601</v>
      </c>
      <c r="B16" s="9" t="s">
        <v>77</v>
      </c>
      <c r="C16" s="43" t="n">
        <f aca="false">(Assumptions!$F$22/Assumptions!$F$20)*(C15/Assumptions!$F$22)^Assumptions!$F$26</f>
        <v>10406.1559261857</v>
      </c>
      <c r="D16" s="43" t="n">
        <f aca="false">(Assumptions!$F$22/Assumptions!$F$20)*(D15/Assumptions!$F$22)^Assumptions!$F$26</f>
        <v>32432.4324324324</v>
      </c>
      <c r="E16" s="43" t="n">
        <f aca="false">(Assumptions!$F$22/Assumptions!$F$20)*(E15/Assumptions!$F$22)^Assumptions!$F$26</f>
        <v>32432.4324324324</v>
      </c>
      <c r="F16" s="43" t="n">
        <f aca="false">(Assumptions!$F$22/Assumptions!$F$20)*(F15/Assumptions!$F$22)^Assumptions!$F$26</f>
        <v>44888.9459206097</v>
      </c>
      <c r="G16" s="43" t="n">
        <f aca="false">(Assumptions!$F$22/Assumptions!$F$20)*(G15/Assumptions!$F$22)^Assumptions!$F$26</f>
        <v>56526.4237327159</v>
      </c>
      <c r="H16" s="43" t="n">
        <f aca="false">(Assumptions!$F$22/Assumptions!$F$20)*(H15/Assumptions!$F$22)^Assumptions!$F$26</f>
        <v>76769.0894671142</v>
      </c>
      <c r="I16" s="43" t="n">
        <f aca="false">(Assumptions!$F$22/Assumptions!$F$20)*(I15/Assumptions!$F$22)^Assumptions!$F$26</f>
        <v>93999.526141784</v>
      </c>
      <c r="J16" s="43" t="n">
        <f aca="false">(Assumptions!$F$22/Assumptions!$F$20)*(J15/Assumptions!$F$22)^Assumptions!$F$26</f>
        <v>110905.161153396</v>
      </c>
      <c r="K16" s="43" t="n">
        <f aca="false">(Assumptions!$F$22/Assumptions!$F$20)*(K15/Assumptions!$F$22)^Assumptions!$F$26</f>
        <v>127771.120255381</v>
      </c>
      <c r="L16" s="43" t="n">
        <f aca="false">(Assumptions!$F$22/Assumptions!$F$20)*(L15/Assumptions!$F$22)^Assumptions!$F$26</f>
        <v>144780.741621486</v>
      </c>
      <c r="M16" s="43" t="n">
        <f aca="false">(Assumptions!$F$22/Assumptions!$F$20)*(M15/Assumptions!$F$22)^Assumptions!$F$26</f>
        <v>162070.675536271</v>
      </c>
      <c r="N16" s="43" t="n">
        <f aca="false">(Assumptions!$F$22/Assumptions!$F$20)*(N15/Assumptions!$F$22)^Assumptions!$F$26</f>
        <v>179759.635405167</v>
      </c>
      <c r="O16" s="43" t="n">
        <f aca="false">(Assumptions!$F$22/Assumptions!$F$20)*(O15/Assumptions!$F$22)^Assumptions!$F$26</f>
        <v>197955.663513245</v>
      </c>
      <c r="P16" s="43" t="n">
        <f aca="false">(Assumptions!$F$22/Assumptions!$F$20)*(P15/Assumptions!$F$22)^Assumptions!$F$26</f>
        <v>216760.08234849</v>
      </c>
      <c r="Q16" s="43" t="n">
        <f aca="false">(Assumptions!$F$22/Assumptions!$F$20)*(Q15/Assumptions!$F$22)^Assumptions!$F$26</f>
        <v>236270.155331525</v>
      </c>
      <c r="R16" s="43" t="n">
        <f aca="false">(Assumptions!$F$22/Assumptions!$F$20)*(R15/Assumptions!$F$22)^Assumptions!$F$26</f>
        <v>256581.091483254</v>
      </c>
      <c r="S16" s="43" t="n">
        <f aca="false">(Assumptions!$F$22/Assumptions!$F$20)*(S15/Assumptions!$F$22)^Assumptions!$F$26</f>
        <v>277787.657756208</v>
      </c>
      <c r="T16" s="43" t="n">
        <f aca="false">(Assumptions!$F$22/Assumptions!$F$20)*(T15/Assumptions!$F$22)^Assumptions!$F$26</f>
        <v>299985.544454309</v>
      </c>
      <c r="U16" s="43" t="n">
        <f aca="false">(Assumptions!$F$22/Assumptions!$F$20)*(U15/Assumptions!$F$22)^Assumptions!$F$26</f>
        <v>322455.818294745</v>
      </c>
      <c r="V16" s="43" t="n">
        <f aca="false">(Assumptions!$F$22/Assumptions!$F$20)*(V15/Assumptions!$F$22)^Assumptions!$F$26</f>
        <v>345126.639738614</v>
      </c>
      <c r="W16" s="43" t="n">
        <f aca="false">(Assumptions!$F$22/Assumptions!$F$20)*(W15/Assumptions!$F$22)^Assumptions!$F$26</f>
        <v>368136.672809787</v>
      </c>
      <c r="X16" s="43" t="n">
        <f aca="false">(Assumptions!$F$22/Assumptions!$F$20)*(X15/Assumptions!$F$22)^Assumptions!$F$26</f>
        <v>391531.949639311</v>
      </c>
      <c r="Y16" s="43" t="n">
        <f aca="false">(Assumptions!$F$22/Assumptions!$F$20)*(Y15/Assumptions!$F$22)^Assumptions!$F$26</f>
        <v>415354.477566663</v>
      </c>
      <c r="Z16" s="43" t="n">
        <f aca="false">(Assumptions!$F$22/Assumptions!$F$20)*(Z15/Assumptions!$F$22)^Assumptions!$F$26</f>
        <v>439647.036291163</v>
      </c>
      <c r="AA16" s="43" t="n">
        <f aca="false">(Assumptions!$F$22/Assumptions!$F$20)*(AA15/Assumptions!$F$22)^Assumptions!$F$26</f>
        <v>464454.678505668</v>
      </c>
      <c r="AB16" s="43" t="n">
        <f aca="false">(Assumptions!$F$22/Assumptions!$F$20)*(AB15/Assumptions!$F$22)^Assumptions!$F$26</f>
        <v>489825.53322508</v>
      </c>
      <c r="AC16" s="43" t="n">
        <f aca="false">(Assumptions!$F$22/Assumptions!$F$20)*(AC15/Assumptions!$F$22)^Assumptions!$F$26</f>
        <v>515811.539661183</v>
      </c>
      <c r="AD16" s="43" t="n">
        <f aca="false">(Assumptions!$F$22/Assumptions!$F$20)*(AD15/Assumptions!$F$22)^Assumptions!$F$26</f>
        <v>542469.178919035</v>
      </c>
      <c r="AE16" s="43" t="n">
        <f aca="false">(Assumptions!$F$22/Assumptions!$F$20)*(AE15/Assumptions!$F$22)^Assumptions!$F$26</f>
        <v>569860.222476764</v>
      </c>
      <c r="AF16" s="43" t="n">
        <f aca="false">(Assumptions!$F$22/Assumptions!$F$20)*(AF15/Assumptions!$F$22)^Assumptions!$F$26</f>
        <v>598052.509011751</v>
      </c>
      <c r="AG16" s="43" t="n">
        <f aca="false">(Assumptions!$F$22/Assumptions!$F$20)*(AG15/Assumptions!$F$22)^Assumptions!$F$26</f>
        <v>627120.759504133</v>
      </c>
      <c r="AH16" s="43" t="n">
        <f aca="false">(Assumptions!$F$22/Assumptions!$F$20)*(AH15/Assumptions!$F$22)^Assumptions!$F$26</f>
        <v>657147.439802223</v>
      </c>
      <c r="AI16" s="43" t="n">
        <f aca="false">(Assumptions!$F$22/Assumptions!$F$20)*(AI15/Assumptions!$F$22)^Assumptions!$F$26</f>
        <v>688223.679399574</v>
      </c>
      <c r="AJ16" s="43" t="n">
        <f aca="false">(Assumptions!$F$22/Assumptions!$F$20)*(AJ15/Assumptions!$F$22)^Assumptions!$F$26</f>
        <v>690567.767726491</v>
      </c>
      <c r="AK16" s="43" t="n">
        <f aca="false">(Assumptions!$F$22/Assumptions!$F$20)*(AK15/Assumptions!$F$22)^Assumptions!$F$26</f>
        <v>690567.767726491</v>
      </c>
      <c r="AL16" s="43" t="n">
        <f aca="false">(Assumptions!$F$22/Assumptions!$F$20)*(AL15/Assumptions!$F$22)^Assumptions!$F$26</f>
        <v>690567.767726491</v>
      </c>
      <c r="AM16" s="43" t="n">
        <f aca="false">SUM(C16:AL16)</f>
        <v>12065003.9729372</v>
      </c>
    </row>
    <row r="17" customFormat="false" ht="15" hidden="false" customHeight="false" outlineLevel="0" collapsed="false">
      <c r="A17" s="10" t="s">
        <v>602</v>
      </c>
      <c r="B17" s="9" t="s">
        <v>90</v>
      </c>
      <c r="C17" s="51" t="n">
        <f aca="false">IFERROR(C15/C16,0)</f>
        <v>1.44145447237193</v>
      </c>
      <c r="D17" s="51" t="n">
        <f aca="false">IFERROR(D15/D16,0)</f>
        <v>1.85</v>
      </c>
      <c r="E17" s="51" t="n">
        <f aca="false">IFERROR(E15/E16,0)</f>
        <v>1.85</v>
      </c>
      <c r="F17" s="51" t="n">
        <f aca="false">IFERROR(F15/F16,0)</f>
        <v>1.98681781151962</v>
      </c>
      <c r="G17" s="51" t="n">
        <f aca="false">IFERROR(G15/G16,0)</f>
        <v>2.08994025943061</v>
      </c>
      <c r="H17" s="51" t="n">
        <f aca="false">IFERROR(H15/H16,0)</f>
        <v>2.23519130499761</v>
      </c>
      <c r="I17" s="51" t="n">
        <f aca="false">IFERROR(I15/I16,0)</f>
        <v>2.33678331243946</v>
      </c>
      <c r="J17" s="51" t="n">
        <f aca="false">IFERROR(J15/J16,0)</f>
        <v>2.42317704314018</v>
      </c>
      <c r="K17" s="51" t="n">
        <f aca="false">IFERROR(K15/K16,0)</f>
        <v>2.49966012984243</v>
      </c>
      <c r="L17" s="51" t="n">
        <f aca="false">IFERROR(L15/L16,0)</f>
        <v>2.5691867099603</v>
      </c>
      <c r="M17" s="51" t="n">
        <f aca="false">IFERROR(M15/M16,0)</f>
        <v>2.63360337117222</v>
      </c>
      <c r="N17" s="51" t="n">
        <f aca="false">IFERROR(N15/N16,0)</f>
        <v>2.69417453045022</v>
      </c>
      <c r="O17" s="51" t="n">
        <f aca="false">IFERROR(O15/O16,0)</f>
        <v>2.75180695916123</v>
      </c>
      <c r="P17" s="51" t="n">
        <f aca="false">IFERROR(P15/P16,0)</f>
        <v>2.80717341479083</v>
      </c>
      <c r="Q17" s="51" t="n">
        <f aca="false">IFERROR(Q15/Q16,0)</f>
        <v>2.86078675909</v>
      </c>
      <c r="R17" s="51" t="n">
        <f aca="false">IFERROR(R15/R16,0)</f>
        <v>2.91304697388705</v>
      </c>
      <c r="S17" s="51" t="n">
        <f aca="false">IFERROR(S15/S16,0)</f>
        <v>2.96427225930227</v>
      </c>
      <c r="T17" s="51" t="n">
        <f aca="false">IFERROR(T15/T16,0)</f>
        <v>3.01472031305991</v>
      </c>
      <c r="U17" s="51" t="n">
        <f aca="false">IFERROR(U15/U16,0)</f>
        <v>3.06290199426933</v>
      </c>
      <c r="V17" s="51" t="n">
        <f aca="false">IFERROR(V15/V16,0)</f>
        <v>3.10892700099255</v>
      </c>
      <c r="W17" s="51" t="n">
        <f aca="false">IFERROR(W15/W16,0)</f>
        <v>3.15328760177983</v>
      </c>
      <c r="X17" s="51" t="n">
        <f aca="false">IFERROR(X15/X16,0)</f>
        <v>3.19622480626953</v>
      </c>
      <c r="Y17" s="51" t="n">
        <f aca="false">IFERROR(Y15/Y16,0)</f>
        <v>3.23793537451742</v>
      </c>
      <c r="Z17" s="51" t="n">
        <f aca="false">IFERROR(Z15/Z16,0)</f>
        <v>3.27858834457672</v>
      </c>
      <c r="AA17" s="51" t="n">
        <f aca="false">IFERROR(AA15/AA16,0)</f>
        <v>3.318332373343</v>
      </c>
      <c r="AB17" s="51" t="n">
        <f aca="false">IFERROR(AB15/AB16,0)</f>
        <v>3.35730033508639</v>
      </c>
      <c r="AC17" s="51" t="n">
        <f aca="false">IFERROR(AC15/AC16,0)</f>
        <v>3.39561280171277</v>
      </c>
      <c r="AD17" s="51" t="n">
        <f aca="false">IFERROR(AD15/AD16,0)</f>
        <v>3.43338076909513</v>
      </c>
      <c r="AE17" s="51" t="n">
        <f aca="false">IFERROR(AE15/AE16,0)</f>
        <v>3.47070782569592</v>
      </c>
      <c r="AF17" s="51" t="n">
        <f aca="false">IFERROR(AF15/AF16,0)</f>
        <v>3.50769189646856</v>
      </c>
      <c r="AG17" s="51" t="n">
        <f aca="false">IFERROR(AG15/AG16,0)</f>
        <v>3.54442665766111</v>
      </c>
      <c r="AH17" s="51" t="n">
        <f aca="false">IFERROR(AH15/AH16,0)</f>
        <v>3.58100269238297</v>
      </c>
      <c r="AI17" s="51" t="n">
        <f aca="false">IFERROR(AI15/AI16,0)</f>
        <v>3.61750843836323</v>
      </c>
      <c r="AJ17" s="51" t="n">
        <f aca="false">IFERROR(AJ15/AJ16,0)</f>
        <v>3.62020950996682</v>
      </c>
      <c r="AK17" s="51" t="n">
        <f aca="false">IFERROR(AK15/AK16,0)</f>
        <v>3.62020950996682</v>
      </c>
      <c r="AL17" s="51" t="n">
        <f aca="false">IFERROR(AL15/AL16,0)</f>
        <v>3.62020950996682</v>
      </c>
      <c r="AM17" s="51" t="n">
        <f aca="false">AVERAGE(N17:AL17)</f>
        <v>3.24521754607426</v>
      </c>
    </row>
    <row r="18" customFormat="false" ht="15" hidden="false" customHeight="false" outlineLevel="0" collapsed="false">
      <c r="A18" s="26" t="s">
        <v>603</v>
      </c>
      <c r="B18" s="9" t="s">
        <v>77</v>
      </c>
      <c r="C18" s="52" t="n">
        <f aca="false">C13+C14+C16</f>
        <v>13906.1559261857</v>
      </c>
      <c r="D18" s="52" t="n">
        <f aca="false">D13+D14+D16</f>
        <v>524620.432432432</v>
      </c>
      <c r="E18" s="52" t="n">
        <f aca="false">E13+E14+E16</f>
        <v>187046.620432432</v>
      </c>
      <c r="F18" s="52" t="n">
        <f aca="false">F13+F14+F16</f>
        <v>189252.27960061</v>
      </c>
      <c r="G18" s="52" t="n">
        <f aca="false">G13+G14+G16</f>
        <v>192211.003177516</v>
      </c>
      <c r="H18" s="52" t="n">
        <f aca="false">H13+H14+H16</f>
        <v>205143.358407242</v>
      </c>
      <c r="I18" s="52" t="n">
        <f aca="false">I13+I14+I16</f>
        <v>216258.756362006</v>
      </c>
      <c r="J18" s="52" t="n">
        <f aca="false">J13+J14+J16</f>
        <v>228097.905786304</v>
      </c>
      <c r="K18" s="52" t="n">
        <f aca="false">K13+K14+K16</f>
        <v>240822.228720422</v>
      </c>
      <c r="L18" s="52" t="n">
        <f aca="false">L13+L14+L16</f>
        <v>254511.449391849</v>
      </c>
      <c r="M18" s="52" t="n">
        <f aca="false">M13+M14+M16</f>
        <v>269216.213888063</v>
      </c>
      <c r="N18" s="52" t="n">
        <f aca="false">N13+N14+N16</f>
        <v>284984.748257302</v>
      </c>
      <c r="O18" s="52" t="n">
        <f aca="false">O13+O14+O16</f>
        <v>301868.369060025</v>
      </c>
      <c r="P18" s="52" t="n">
        <f aca="false">P13+P14+P16</f>
        <v>319923.975271939</v>
      </c>
      <c r="Q18" s="52" t="n">
        <f aca="false">Q13+Q14+Q16</f>
        <v>339215.509977294</v>
      </c>
      <c r="R18" s="52" t="n">
        <f aca="false">R13+R14+R16</f>
        <v>359814.996658013</v>
      </c>
      <c r="S18" s="52" t="n">
        <f aca="false">S13+S14+S16</f>
        <v>381803.389047424</v>
      </c>
      <c r="T18" s="52" t="n">
        <f aca="false">T13+T14+T16</f>
        <v>405271.35958659</v>
      </c>
      <c r="U18" s="52" t="n">
        <f aca="false">U13+U14+U16</f>
        <v>429503.344516961</v>
      </c>
      <c r="V18" s="52" t="n">
        <f aca="false">V13+V14+V16</f>
        <v>454439.009163189</v>
      </c>
      <c r="W18" s="52" t="n">
        <f aca="false">W13+W14+W16</f>
        <v>480236.551653208</v>
      </c>
      <c r="X18" s="52" t="n">
        <f aca="false">X13+X14+X16</f>
        <v>506969.600159533</v>
      </c>
      <c r="Y18" s="52" t="n">
        <f aca="false">Y13+Y14+Y16</f>
        <v>534715.98693472</v>
      </c>
      <c r="Z18" s="52" t="n">
        <f aca="false">Z13+Z14+Z16</f>
        <v>563562.844498838</v>
      </c>
      <c r="AA18" s="52" t="n">
        <f aca="false">AA13+AA14+AA16</f>
        <v>593608.537573552</v>
      </c>
      <c r="AB18" s="52" t="n">
        <f aca="false">AB13+AB14+AB16</f>
        <v>624964.032353857</v>
      </c>
      <c r="AC18" s="52" t="n">
        <f aca="false">AC13+AC14+AC16</f>
        <v>657754.335521976</v>
      </c>
      <c r="AD18" s="52" t="n">
        <f aca="false">AD13+AD14+AD16</f>
        <v>692120.077002568</v>
      </c>
      <c r="AE18" s="52" t="n">
        <f aca="false">AE13+AE14+AE16</f>
        <v>728219.264349042</v>
      </c>
      <c r="AF18" s="52" t="n">
        <f aca="false">AF13+AF14+AF16</f>
        <v>766229.231524804</v>
      </c>
      <c r="AG18" s="52" t="n">
        <f aca="false">AG13+AG14+AG16</f>
        <v>806348.805588599</v>
      </c>
      <c r="AH18" s="52" t="n">
        <f aca="false">AH13+AH14+AH16</f>
        <v>848800.716564892</v>
      </c>
      <c r="AI18" s="52" t="n">
        <f aca="false">AI13+AI14+AI16</f>
        <v>893834.278041102</v>
      </c>
      <c r="AJ18" s="52" t="n">
        <f aca="false">AJ13+AJ14+AJ16</f>
        <v>911845.881498914</v>
      </c>
      <c r="AK18" s="52" t="n">
        <f aca="false">AK13+AK14+AK16</f>
        <v>929423.869024369</v>
      </c>
      <c r="AL18" s="52" t="n">
        <f aca="false">AL13+AL14+AL16</f>
        <v>949137.333750691</v>
      </c>
      <c r="AM18" s="52" t="n">
        <f aca="false">SUM(C18:AL18)</f>
        <v>17285682.4517045</v>
      </c>
    </row>
    <row r="19" customFormat="false" ht="15" hidden="false" customHeight="false" outlineLevel="0" collapsed="false">
      <c r="A19" s="10" t="s">
        <v>604</v>
      </c>
      <c r="B19" s="9" t="s">
        <v>44</v>
      </c>
      <c r="C19" s="43" t="n">
        <f aca="false">C8*Assumptions!$F$28*Assumptions!$F$29^C10</f>
        <v>0</v>
      </c>
      <c r="D19" s="43" t="n">
        <f aca="false">D8*Assumptions!$F$28*Assumptions!$F$29^D10</f>
        <v>3000</v>
      </c>
      <c r="E19" s="43" t="n">
        <f aca="false">E8*Assumptions!$F$28*Assumptions!$F$29^E10</f>
        <v>4350</v>
      </c>
      <c r="F19" s="43" t="n">
        <f aca="false">F8*Assumptions!$F$28*Assumptions!$F$29^F10</f>
        <v>6307.5</v>
      </c>
      <c r="G19" s="43" t="n">
        <f aca="false">G8*Assumptions!$F$28*Assumptions!$F$29^G10</f>
        <v>9145.875</v>
      </c>
      <c r="H19" s="43" t="n">
        <f aca="false">H8*Assumptions!$F$28*Assumptions!$F$29^H10</f>
        <v>13261.51875</v>
      </c>
      <c r="I19" s="43" t="n">
        <f aca="false">I8*Assumptions!$F$28*Assumptions!$F$29^I10</f>
        <v>19229.2021875</v>
      </c>
      <c r="J19" s="43" t="n">
        <f aca="false">J8*Assumptions!$F$28*Assumptions!$F$29^J10</f>
        <v>27882.343171875</v>
      </c>
      <c r="K19" s="43" t="n">
        <f aca="false">K8*Assumptions!$F$28*Assumptions!$F$29^K10</f>
        <v>40429.3975992187</v>
      </c>
      <c r="L19" s="43" t="n">
        <f aca="false">L8*Assumptions!$F$28*Assumptions!$F$29^L10</f>
        <v>58622.6265188672</v>
      </c>
      <c r="M19" s="43" t="n">
        <f aca="false">M8*Assumptions!$F$28*Assumptions!$F$29^M10</f>
        <v>85002.8084523574</v>
      </c>
      <c r="N19" s="43" t="n">
        <f aca="false">N8*Assumptions!$F$28*Assumptions!$F$29^N10</f>
        <v>123254.072255918</v>
      </c>
      <c r="O19" s="43" t="n">
        <f aca="false">O8*Assumptions!$F$28*Assumptions!$F$29^O10</f>
        <v>178718.404771081</v>
      </c>
      <c r="P19" s="43" t="n">
        <f aca="false">P8*Assumptions!$F$28*Assumptions!$F$29^P10</f>
        <v>259141.686918068</v>
      </c>
      <c r="Q19" s="43" t="n">
        <f aca="false">Q8*Assumptions!$F$28*Assumptions!$F$29^Q10</f>
        <v>375755.446031199</v>
      </c>
      <c r="R19" s="43" t="n">
        <f aca="false">R8*Assumptions!$F$28*Assumptions!$F$29^R10</f>
        <v>544845.396745238</v>
      </c>
      <c r="S19" s="43" t="n">
        <f aca="false">S8*Assumptions!$F$28*Assumptions!$F$29^S10</f>
        <v>790025.825280595</v>
      </c>
      <c r="T19" s="43" t="n">
        <f aca="false">T8*Assumptions!$F$28*Assumptions!$F$29^T10</f>
        <v>1145537.44665686</v>
      </c>
      <c r="U19" s="43" t="n">
        <f aca="false">U8*Assumptions!$F$28*Assumptions!$F$29^U10</f>
        <v>1661029.29765245</v>
      </c>
      <c r="V19" s="43" t="n">
        <f aca="false">V8*Assumptions!$F$28*Assumptions!$F$29^V10</f>
        <v>2408492.48159605</v>
      </c>
      <c r="W19" s="43" t="n">
        <f aca="false">W8*Assumptions!$F$28*Assumptions!$F$29^W10</f>
        <v>3492314.09831428</v>
      </c>
      <c r="X19" s="43" t="n">
        <f aca="false">X8*Assumptions!$F$28*Assumptions!$F$29^X10</f>
        <v>5063855.4425557</v>
      </c>
      <c r="Y19" s="43" t="n">
        <f aca="false">Y8*Assumptions!$F$28*Assumptions!$F$29^Y10</f>
        <v>7342590.39170577</v>
      </c>
      <c r="Z19" s="43" t="n">
        <f aca="false">Z8*Assumptions!$F$28*Assumptions!$F$29^Z10</f>
        <v>10646756.0679734</v>
      </c>
      <c r="AA19" s="43" t="n">
        <f aca="false">AA8*Assumptions!$F$28*Assumptions!$F$29^AA10</f>
        <v>15437796.2985614</v>
      </c>
      <c r="AB19" s="43" t="n">
        <f aca="false">AB8*Assumptions!$F$28*Assumptions!$F$29^AB10</f>
        <v>22384804.632914</v>
      </c>
      <c r="AC19" s="43" t="n">
        <f aca="false">AC8*Assumptions!$F$28*Assumptions!$F$29^AC10</f>
        <v>32457966.7177253</v>
      </c>
      <c r="AD19" s="43" t="n">
        <f aca="false">AD8*Assumptions!$F$28*Assumptions!$F$29^AD10</f>
        <v>47064051.7407017</v>
      </c>
      <c r="AE19" s="43" t="n">
        <f aca="false">AE8*Assumptions!$F$28*Assumptions!$F$29^AE10</f>
        <v>68242875.0240174</v>
      </c>
      <c r="AF19" s="43" t="n">
        <f aca="false">AF8*Assumptions!$F$28*Assumptions!$F$29^AF10</f>
        <v>98952168.7848253</v>
      </c>
      <c r="AG19" s="43" t="n">
        <f aca="false">AG8*Assumptions!$F$28*Assumptions!$F$29^AG10</f>
        <v>143480644.737997</v>
      </c>
      <c r="AH19" s="43" t="n">
        <f aca="false">AH8*Assumptions!$F$28*Assumptions!$F$29^AH10</f>
        <v>208046934.870095</v>
      </c>
      <c r="AI19" s="43" t="n">
        <f aca="false">AI8*Assumptions!$F$28*Assumptions!$F$29^AI10</f>
        <v>301668055.561638</v>
      </c>
      <c r="AJ19" s="43" t="n">
        <f aca="false">AJ8*Assumptions!$F$28*Assumptions!$F$29^AJ10</f>
        <v>437418680.564375</v>
      </c>
      <c r="AK19" s="43" t="n">
        <f aca="false">AK8*Assumptions!$F$28*Assumptions!$F$29^AK10</f>
        <v>634257086.818344</v>
      </c>
      <c r="AL19" s="43" t="n">
        <f aca="false">AL8*Assumptions!$F$28*Assumptions!$F$29^AL10</f>
        <v>919672775.886599</v>
      </c>
      <c r="AM19" s="43" t="n">
        <f aca="false">AL19</f>
        <v>919672775.886599</v>
      </c>
    </row>
    <row r="20" customFormat="false" ht="15" hidden="false" customHeight="false" outlineLevel="0" collapsed="false">
      <c r="A20" s="10" t="s">
        <v>605</v>
      </c>
      <c r="B20" s="9" t="s">
        <v>44</v>
      </c>
      <c r="C20" s="43" t="n">
        <f aca="false">C18*Assumptions!$F$30*C8</f>
        <v>0</v>
      </c>
      <c r="D20" s="43" t="n">
        <f aca="false">D18*Assumptions!$F$30*D8</f>
        <v>9967.78821621622</v>
      </c>
      <c r="E20" s="43" t="n">
        <f aca="false">E18*Assumptions!$F$30*E8</f>
        <v>3553.88578821622</v>
      </c>
      <c r="F20" s="43" t="n">
        <f aca="false">F18*Assumptions!$F$30*F8</f>
        <v>3595.79331241158</v>
      </c>
      <c r="G20" s="43" t="n">
        <f aca="false">G18*Assumptions!$F$30*G8</f>
        <v>3652.0090603728</v>
      </c>
      <c r="H20" s="43" t="n">
        <f aca="false">H18*Assumptions!$F$30*H8</f>
        <v>3897.7238097376</v>
      </c>
      <c r="I20" s="43" t="n">
        <f aca="false">I18*Assumptions!$F$30*I8</f>
        <v>4108.91637087812</v>
      </c>
      <c r="J20" s="43" t="n">
        <f aca="false">J18*Assumptions!$F$30*J8</f>
        <v>4333.86020993978</v>
      </c>
      <c r="K20" s="43" t="n">
        <f aca="false">K18*Assumptions!$F$30*K8</f>
        <v>4575.62234568802</v>
      </c>
      <c r="L20" s="43" t="n">
        <f aca="false">L18*Assumptions!$F$30*L8</f>
        <v>4835.71753844514</v>
      </c>
      <c r="M20" s="43" t="n">
        <f aca="false">M18*Assumptions!$F$30*M8</f>
        <v>5115.10806387321</v>
      </c>
      <c r="N20" s="43" t="n">
        <f aca="false">N18*Assumptions!$F$30*N8</f>
        <v>5414.71021688873</v>
      </c>
      <c r="O20" s="43" t="n">
        <f aca="false">O18*Assumptions!$F$30*O8</f>
        <v>5735.49901214047</v>
      </c>
      <c r="P20" s="43" t="n">
        <f aca="false">P18*Assumptions!$F$30*P8</f>
        <v>6078.55553016684</v>
      </c>
      <c r="Q20" s="43" t="n">
        <f aca="false">Q18*Assumptions!$F$30*Q8</f>
        <v>6445.09468956859</v>
      </c>
      <c r="R20" s="43" t="n">
        <f aca="false">R18*Assumptions!$F$30*R8</f>
        <v>6836.48493650224</v>
      </c>
      <c r="S20" s="43" t="n">
        <f aca="false">S18*Assumptions!$F$30*S8</f>
        <v>7254.26439190105</v>
      </c>
      <c r="T20" s="43" t="n">
        <f aca="false">T18*Assumptions!$F$30*T8</f>
        <v>7700.1558321452</v>
      </c>
      <c r="U20" s="43" t="n">
        <f aca="false">U18*Assumptions!$F$30*U8</f>
        <v>8160.56354582226</v>
      </c>
      <c r="V20" s="43" t="n">
        <f aca="false">V18*Assumptions!$F$30*V8</f>
        <v>8634.3411741006</v>
      </c>
      <c r="W20" s="43" t="n">
        <f aca="false">W18*Assumptions!$F$30*W8</f>
        <v>9124.49448141095</v>
      </c>
      <c r="X20" s="43" t="n">
        <f aca="false">X18*Assumptions!$F$30*X8</f>
        <v>9632.42240303113</v>
      </c>
      <c r="Y20" s="43" t="n">
        <f aca="false">Y18*Assumptions!$F$30*Y8</f>
        <v>10159.6037517597</v>
      </c>
      <c r="Z20" s="43" t="n">
        <f aca="false">Z18*Assumptions!$F$30*Z8</f>
        <v>10707.6940454779</v>
      </c>
      <c r="AA20" s="43" t="n">
        <f aca="false">AA18*Assumptions!$F$30*AA8</f>
        <v>11278.5622138975</v>
      </c>
      <c r="AB20" s="43" t="n">
        <f aca="false">AB18*Assumptions!$F$30*AB8</f>
        <v>11874.3166147233</v>
      </c>
      <c r="AC20" s="43" t="n">
        <f aca="false">AC18*Assumptions!$F$30*AC8</f>
        <v>12497.3323749175</v>
      </c>
      <c r="AD20" s="43" t="n">
        <f aca="false">AD18*Assumptions!$F$30*AD8</f>
        <v>13150.2814630488</v>
      </c>
      <c r="AE20" s="43" t="n">
        <f aca="false">AE18*Assumptions!$F$30*AE8</f>
        <v>13836.1660226318</v>
      </c>
      <c r="AF20" s="43" t="n">
        <f aca="false">AF18*Assumptions!$F$30*AF8</f>
        <v>14558.3553989713</v>
      </c>
      <c r="AG20" s="43" t="n">
        <f aca="false">AG18*Assumptions!$F$30*AG8</f>
        <v>15320.6273061834</v>
      </c>
      <c r="AH20" s="43" t="n">
        <f aca="false">AH18*Assumptions!$F$30*AH8</f>
        <v>16127.213614733</v>
      </c>
      <c r="AI20" s="43" t="n">
        <f aca="false">AI18*Assumptions!$F$30*AI8</f>
        <v>16982.8512827809</v>
      </c>
      <c r="AJ20" s="43" t="n">
        <f aca="false">AJ18*Assumptions!$F$30*AJ8</f>
        <v>17325.0717484794</v>
      </c>
      <c r="AK20" s="43" t="n">
        <f aca="false">AK18*Assumptions!$F$30*AK8</f>
        <v>17659.053511463</v>
      </c>
      <c r="AL20" s="43" t="n">
        <f aca="false">AL18*Assumptions!$F$30*AL8</f>
        <v>18033.6093412631</v>
      </c>
      <c r="AM20" s="43" t="n">
        <f aca="false">SUM(C20:AL20)</f>
        <v>328163.749619787</v>
      </c>
    </row>
    <row r="21" customFormat="false" ht="15" hidden="false" customHeight="false" outlineLevel="0" collapsed="false">
      <c r="A21" s="26" t="s">
        <v>606</v>
      </c>
      <c r="B21" s="9" t="s">
        <v>44</v>
      </c>
      <c r="C21" s="52" t="n">
        <f aca="false">MIN(C20,C19)</f>
        <v>0</v>
      </c>
      <c r="D21" s="52" t="n">
        <f aca="false">MIN(D20,D19)</f>
        <v>3000</v>
      </c>
      <c r="E21" s="52" t="n">
        <f aca="false">MIN(E20,E19)</f>
        <v>3553.88578821622</v>
      </c>
      <c r="F21" s="52" t="n">
        <f aca="false">MIN(F20,F19)</f>
        <v>3595.79331241158</v>
      </c>
      <c r="G21" s="52" t="n">
        <f aca="false">MIN(G20,G19)</f>
        <v>3652.0090603728</v>
      </c>
      <c r="H21" s="52" t="n">
        <f aca="false">MIN(H20,H19)</f>
        <v>3897.7238097376</v>
      </c>
      <c r="I21" s="52" t="n">
        <f aca="false">MIN(I20,I19)</f>
        <v>4108.91637087812</v>
      </c>
      <c r="J21" s="52" t="n">
        <f aca="false">MIN(J20,J19)</f>
        <v>4333.86020993978</v>
      </c>
      <c r="K21" s="52" t="n">
        <f aca="false">MIN(K20,K19)</f>
        <v>4575.62234568802</v>
      </c>
      <c r="L21" s="52" t="n">
        <f aca="false">MIN(L20,L19)</f>
        <v>4835.71753844514</v>
      </c>
      <c r="M21" s="52" t="n">
        <f aca="false">MIN(M20,M19)</f>
        <v>5115.10806387321</v>
      </c>
      <c r="N21" s="52" t="n">
        <f aca="false">MIN(N20,N19)</f>
        <v>5414.71021688873</v>
      </c>
      <c r="O21" s="52" t="n">
        <f aca="false">MIN(O20,O19)</f>
        <v>5735.49901214047</v>
      </c>
      <c r="P21" s="52" t="n">
        <f aca="false">MIN(P20,P19)</f>
        <v>6078.55553016684</v>
      </c>
      <c r="Q21" s="52" t="n">
        <f aca="false">MIN(Q20,Q19)</f>
        <v>6445.09468956859</v>
      </c>
      <c r="R21" s="52" t="n">
        <f aca="false">MIN(R20,R19)</f>
        <v>6836.48493650224</v>
      </c>
      <c r="S21" s="52" t="n">
        <f aca="false">MIN(S20,S19)</f>
        <v>7254.26439190105</v>
      </c>
      <c r="T21" s="52" t="n">
        <f aca="false">MIN(T20,T19)</f>
        <v>7700.1558321452</v>
      </c>
      <c r="U21" s="52" t="n">
        <f aca="false">MIN(U20,U19)</f>
        <v>8160.56354582226</v>
      </c>
      <c r="V21" s="52" t="n">
        <f aca="false">MIN(V20,V19)</f>
        <v>8634.3411741006</v>
      </c>
      <c r="W21" s="52" t="n">
        <f aca="false">MIN(W20,W19)</f>
        <v>9124.49448141095</v>
      </c>
      <c r="X21" s="52" t="n">
        <f aca="false">MIN(X20,X19)</f>
        <v>9632.42240303113</v>
      </c>
      <c r="Y21" s="52" t="n">
        <f aca="false">MIN(Y20,Y19)</f>
        <v>10159.6037517597</v>
      </c>
      <c r="Z21" s="52" t="n">
        <f aca="false">MIN(Z20,Z19)</f>
        <v>10707.6940454779</v>
      </c>
      <c r="AA21" s="52" t="n">
        <f aca="false">MIN(AA20,AA19)</f>
        <v>11278.5622138975</v>
      </c>
      <c r="AB21" s="52" t="n">
        <f aca="false">MIN(AB20,AB19)</f>
        <v>11874.3166147233</v>
      </c>
      <c r="AC21" s="52" t="n">
        <f aca="false">MIN(AC20,AC19)</f>
        <v>12497.3323749175</v>
      </c>
      <c r="AD21" s="52" t="n">
        <f aca="false">MIN(AD20,AD19)</f>
        <v>13150.2814630488</v>
      </c>
      <c r="AE21" s="52" t="n">
        <f aca="false">MIN(AE20,AE19)</f>
        <v>13836.1660226318</v>
      </c>
      <c r="AF21" s="52" t="n">
        <f aca="false">MIN(AF20,AF19)</f>
        <v>14558.3553989713</v>
      </c>
      <c r="AG21" s="52" t="n">
        <f aca="false">MIN(AG20,AG19)</f>
        <v>15320.6273061834</v>
      </c>
      <c r="AH21" s="52" t="n">
        <f aca="false">MIN(AH20,AH19)</f>
        <v>16127.213614733</v>
      </c>
      <c r="AI21" s="52" t="n">
        <f aca="false">MIN(AI20,AI19)</f>
        <v>16982.8512827809</v>
      </c>
      <c r="AJ21" s="52" t="n">
        <f aca="false">MIN(AJ20,AJ19)</f>
        <v>17325.0717484794</v>
      </c>
      <c r="AK21" s="52" t="n">
        <f aca="false">MIN(AK20,AK19)</f>
        <v>17659.053511463</v>
      </c>
      <c r="AL21" s="52" t="n">
        <f aca="false">MIN(AL20,AL19)</f>
        <v>18033.6093412631</v>
      </c>
      <c r="AM21" s="52" t="n">
        <f aca="false">SUM(C21:AL21)</f>
        <v>321195.961403571</v>
      </c>
    </row>
    <row r="22" customFormat="false" ht="15" hidden="false" customHeight="false" outlineLevel="0" collapsed="false">
      <c r="A22" s="10" t="s">
        <v>607</v>
      </c>
      <c r="B22" s="9" t="s">
        <v>44</v>
      </c>
      <c r="C22" s="43" t="n">
        <f aca="false">MAX(0,C20-C19)</f>
        <v>0</v>
      </c>
      <c r="D22" s="43" t="n">
        <f aca="false">MAX(0,D20-D19)</f>
        <v>6967.78821621622</v>
      </c>
      <c r="E22" s="43" t="n">
        <f aca="false">MAX(0,E20-E19)</f>
        <v>0</v>
      </c>
      <c r="F22" s="43" t="n">
        <f aca="false">MAX(0,F20-F19)</f>
        <v>0</v>
      </c>
      <c r="G22" s="43" t="n">
        <f aca="false">MAX(0,G20-G19)</f>
        <v>0</v>
      </c>
      <c r="H22" s="43" t="n">
        <f aca="false">MAX(0,H20-H19)</f>
        <v>0</v>
      </c>
      <c r="I22" s="43" t="n">
        <f aca="false">MAX(0,I20-I19)</f>
        <v>0</v>
      </c>
      <c r="J22" s="43" t="n">
        <f aca="false">MAX(0,J20-J19)</f>
        <v>0</v>
      </c>
      <c r="K22" s="43" t="n">
        <f aca="false">MAX(0,K20-K19)</f>
        <v>0</v>
      </c>
      <c r="L22" s="43" t="n">
        <f aca="false">MAX(0,L20-L19)</f>
        <v>0</v>
      </c>
      <c r="M22" s="43" t="n">
        <f aca="false">MAX(0,M20-M19)</f>
        <v>0</v>
      </c>
      <c r="N22" s="43" t="n">
        <f aca="false">MAX(0,N20-N19)</f>
        <v>0</v>
      </c>
      <c r="O22" s="43" t="n">
        <f aca="false">MAX(0,O20-O19)</f>
        <v>0</v>
      </c>
      <c r="P22" s="43" t="n">
        <f aca="false">MAX(0,P20-P19)</f>
        <v>0</v>
      </c>
      <c r="Q22" s="43" t="n">
        <f aca="false">MAX(0,Q20-Q19)</f>
        <v>0</v>
      </c>
      <c r="R22" s="43" t="n">
        <f aca="false">MAX(0,R20-R19)</f>
        <v>0</v>
      </c>
      <c r="S22" s="43" t="n">
        <f aca="false">MAX(0,S20-S19)</f>
        <v>0</v>
      </c>
      <c r="T22" s="43" t="n">
        <f aca="false">MAX(0,T20-T19)</f>
        <v>0</v>
      </c>
      <c r="U22" s="43" t="n">
        <f aca="false">MAX(0,U20-U19)</f>
        <v>0</v>
      </c>
      <c r="V22" s="43" t="n">
        <f aca="false">MAX(0,V20-V19)</f>
        <v>0</v>
      </c>
      <c r="W22" s="43" t="n">
        <f aca="false">MAX(0,W20-W19)</f>
        <v>0</v>
      </c>
      <c r="X22" s="43" t="n">
        <f aca="false">MAX(0,X20-X19)</f>
        <v>0</v>
      </c>
      <c r="Y22" s="43" t="n">
        <f aca="false">MAX(0,Y20-Y19)</f>
        <v>0</v>
      </c>
      <c r="Z22" s="43" t="n">
        <f aca="false">MAX(0,Z20-Z19)</f>
        <v>0</v>
      </c>
      <c r="AA22" s="43" t="n">
        <f aca="false">MAX(0,AA20-AA19)</f>
        <v>0</v>
      </c>
      <c r="AB22" s="43" t="n">
        <f aca="false">MAX(0,AB20-AB19)</f>
        <v>0</v>
      </c>
      <c r="AC22" s="43" t="n">
        <f aca="false">MAX(0,AC20-AC19)</f>
        <v>0</v>
      </c>
      <c r="AD22" s="43" t="n">
        <f aca="false">MAX(0,AD20-AD19)</f>
        <v>0</v>
      </c>
      <c r="AE22" s="43" t="n">
        <f aca="false">MAX(0,AE20-AE19)</f>
        <v>0</v>
      </c>
      <c r="AF22" s="43" t="n">
        <f aca="false">MAX(0,AF20-AF19)</f>
        <v>0</v>
      </c>
      <c r="AG22" s="43" t="n">
        <f aca="false">MAX(0,AG20-AG19)</f>
        <v>0</v>
      </c>
      <c r="AH22" s="43" t="n">
        <f aca="false">MAX(0,AH20-AH19)</f>
        <v>0</v>
      </c>
      <c r="AI22" s="43" t="n">
        <f aca="false">MAX(0,AI20-AI19)</f>
        <v>0</v>
      </c>
      <c r="AJ22" s="43" t="n">
        <f aca="false">MAX(0,AJ20-AJ19)</f>
        <v>0</v>
      </c>
      <c r="AK22" s="43" t="n">
        <f aca="false">MAX(0,AK20-AK19)</f>
        <v>0</v>
      </c>
      <c r="AL22" s="43" t="n">
        <f aca="false">MAX(0,AL20-AL19)</f>
        <v>0</v>
      </c>
      <c r="AM22" s="43" t="n">
        <f aca="false">SUM(C22:AL22)</f>
        <v>6967.78821621622</v>
      </c>
    </row>
    <row r="23" customFormat="false" ht="15" hidden="false" customHeight="false" outlineLevel="0" collapsed="false">
      <c r="A23" s="10" t="s">
        <v>608</v>
      </c>
      <c r="B23" s="9" t="s">
        <v>44</v>
      </c>
      <c r="C23" s="43" t="n">
        <f aca="false">C21*Assumptions!$F$32</f>
        <v>0</v>
      </c>
      <c r="D23" s="43" t="n">
        <f aca="false">D21*Assumptions!$F$32</f>
        <v>1500</v>
      </c>
      <c r="E23" s="43" t="n">
        <f aca="false">E21*Assumptions!$F$32</f>
        <v>1776.94289410811</v>
      </c>
      <c r="F23" s="43" t="n">
        <f aca="false">F21*Assumptions!$F$32</f>
        <v>1797.89665620579</v>
      </c>
      <c r="G23" s="43" t="n">
        <f aca="false">G21*Assumptions!$F$32</f>
        <v>1826.0045301864</v>
      </c>
      <c r="H23" s="43" t="n">
        <f aca="false">H21*Assumptions!$F$32</f>
        <v>1948.8619048688</v>
      </c>
      <c r="I23" s="43" t="n">
        <f aca="false">I21*Assumptions!$F$32</f>
        <v>2054.45818543906</v>
      </c>
      <c r="J23" s="43" t="n">
        <f aca="false">J21*Assumptions!$F$32</f>
        <v>2166.93010496989</v>
      </c>
      <c r="K23" s="43" t="n">
        <f aca="false">K21*Assumptions!$F$32</f>
        <v>2287.81117284401</v>
      </c>
      <c r="L23" s="43" t="n">
        <f aca="false">L21*Assumptions!$F$32</f>
        <v>2417.85876922257</v>
      </c>
      <c r="M23" s="43" t="n">
        <f aca="false">M21*Assumptions!$F$32</f>
        <v>2557.5540319366</v>
      </c>
      <c r="N23" s="43" t="n">
        <f aca="false">N21*Assumptions!$F$32</f>
        <v>2707.35510844437</v>
      </c>
      <c r="O23" s="43" t="n">
        <f aca="false">O21*Assumptions!$F$32</f>
        <v>2867.74950607024</v>
      </c>
      <c r="P23" s="43" t="n">
        <f aca="false">P21*Assumptions!$F$32</f>
        <v>3039.27776508342</v>
      </c>
      <c r="Q23" s="43" t="n">
        <f aca="false">Q21*Assumptions!$F$32</f>
        <v>3222.5473447843</v>
      </c>
      <c r="R23" s="43" t="n">
        <f aca="false">R21*Assumptions!$F$32</f>
        <v>3418.24246825112</v>
      </c>
      <c r="S23" s="43" t="n">
        <f aca="false">S21*Assumptions!$F$32</f>
        <v>3627.13219595053</v>
      </c>
      <c r="T23" s="43" t="n">
        <f aca="false">T21*Assumptions!$F$32</f>
        <v>3850.0779160726</v>
      </c>
      <c r="U23" s="43" t="n">
        <f aca="false">U21*Assumptions!$F$32</f>
        <v>4080.28177291113</v>
      </c>
      <c r="V23" s="43" t="n">
        <f aca="false">V21*Assumptions!$F$32</f>
        <v>4317.1705870503</v>
      </c>
      <c r="W23" s="43" t="n">
        <f aca="false">W21*Assumptions!$F$32</f>
        <v>4562.24724070548</v>
      </c>
      <c r="X23" s="43" t="n">
        <f aca="false">X21*Assumptions!$F$32</f>
        <v>4816.21120151557</v>
      </c>
      <c r="Y23" s="43" t="n">
        <f aca="false">Y21*Assumptions!$F$32</f>
        <v>5079.80187587984</v>
      </c>
      <c r="Z23" s="43" t="n">
        <f aca="false">Z21*Assumptions!$F$32</f>
        <v>5353.84702273896</v>
      </c>
      <c r="AA23" s="43" t="n">
        <f aca="false">AA21*Assumptions!$F$32</f>
        <v>5639.28110694874</v>
      </c>
      <c r="AB23" s="43" t="n">
        <f aca="false">AB21*Assumptions!$F$32</f>
        <v>5937.15830736164</v>
      </c>
      <c r="AC23" s="43" t="n">
        <f aca="false">AC21*Assumptions!$F$32</f>
        <v>6248.66618745877</v>
      </c>
      <c r="AD23" s="43" t="n">
        <f aca="false">AD21*Assumptions!$F$32</f>
        <v>6575.14073152439</v>
      </c>
      <c r="AE23" s="43" t="n">
        <f aca="false">AE21*Assumptions!$F$32</f>
        <v>6918.0830113159</v>
      </c>
      <c r="AF23" s="43" t="n">
        <f aca="false">AF21*Assumptions!$F$32</f>
        <v>7279.17769948563</v>
      </c>
      <c r="AG23" s="43" t="n">
        <f aca="false">AG21*Assumptions!$F$32</f>
        <v>7660.31365309169</v>
      </c>
      <c r="AH23" s="43" t="n">
        <f aca="false">AH21*Assumptions!$F$32</f>
        <v>8063.60680736648</v>
      </c>
      <c r="AI23" s="43" t="n">
        <f aca="false">AI21*Assumptions!$F$32</f>
        <v>8491.42564139047</v>
      </c>
      <c r="AJ23" s="43" t="n">
        <f aca="false">AJ21*Assumptions!$F$32</f>
        <v>8662.53587423969</v>
      </c>
      <c r="AK23" s="43" t="n">
        <f aca="false">AK21*Assumptions!$F$32</f>
        <v>8829.5267557315</v>
      </c>
      <c r="AL23" s="43" t="n">
        <f aca="false">AL21*Assumptions!$F$32</f>
        <v>9016.80467063156</v>
      </c>
      <c r="AM23" s="43" t="n">
        <f aca="false">SUM(C23:AL23)</f>
        <v>160597.980701786</v>
      </c>
    </row>
    <row r="24" customFormat="false" ht="15" hidden="false" customHeight="false" outlineLevel="0" collapsed="false">
      <c r="A24" s="10" t="s">
        <v>609</v>
      </c>
      <c r="B24" s="9" t="s">
        <v>44</v>
      </c>
      <c r="C24" s="43" t="n">
        <f aca="false">C21*(1-Assumptions!$F$32)</f>
        <v>0</v>
      </c>
      <c r="D24" s="43" t="n">
        <f aca="false">D21*(1-Assumptions!$F$32)</f>
        <v>1500</v>
      </c>
      <c r="E24" s="43" t="n">
        <f aca="false">E21*(1-Assumptions!$F$32)</f>
        <v>1776.94289410811</v>
      </c>
      <c r="F24" s="43" t="n">
        <f aca="false">F21*(1-Assumptions!$F$32)</f>
        <v>1797.89665620579</v>
      </c>
      <c r="G24" s="43" t="n">
        <f aca="false">G21*(1-Assumptions!$F$32)</f>
        <v>1826.0045301864</v>
      </c>
      <c r="H24" s="43" t="n">
        <f aca="false">H21*(1-Assumptions!$F$32)</f>
        <v>1948.8619048688</v>
      </c>
      <c r="I24" s="43" t="n">
        <f aca="false">I21*(1-Assumptions!$F$32)</f>
        <v>2054.45818543906</v>
      </c>
      <c r="J24" s="43" t="n">
        <f aca="false">J21*(1-Assumptions!$F$32)</f>
        <v>2166.93010496989</v>
      </c>
      <c r="K24" s="43" t="n">
        <f aca="false">K21*(1-Assumptions!$F$32)</f>
        <v>2287.81117284401</v>
      </c>
      <c r="L24" s="43" t="n">
        <f aca="false">L21*(1-Assumptions!$F$32)</f>
        <v>2417.85876922257</v>
      </c>
      <c r="M24" s="43" t="n">
        <f aca="false">M21*(1-Assumptions!$F$32)</f>
        <v>2557.5540319366</v>
      </c>
      <c r="N24" s="43" t="n">
        <f aca="false">N21*(1-Assumptions!$F$32)</f>
        <v>2707.35510844437</v>
      </c>
      <c r="O24" s="43" t="n">
        <f aca="false">O21*(1-Assumptions!$F$32)</f>
        <v>2867.74950607024</v>
      </c>
      <c r="P24" s="43" t="n">
        <f aca="false">P21*(1-Assumptions!$F$32)</f>
        <v>3039.27776508342</v>
      </c>
      <c r="Q24" s="43" t="n">
        <f aca="false">Q21*(1-Assumptions!$F$32)</f>
        <v>3222.5473447843</v>
      </c>
      <c r="R24" s="43" t="n">
        <f aca="false">R21*(1-Assumptions!$F$32)</f>
        <v>3418.24246825112</v>
      </c>
      <c r="S24" s="43" t="n">
        <f aca="false">S21*(1-Assumptions!$F$32)</f>
        <v>3627.13219595053</v>
      </c>
      <c r="T24" s="43" t="n">
        <f aca="false">T21*(1-Assumptions!$F$32)</f>
        <v>3850.0779160726</v>
      </c>
      <c r="U24" s="43" t="n">
        <f aca="false">U21*(1-Assumptions!$F$32)</f>
        <v>4080.28177291113</v>
      </c>
      <c r="V24" s="43" t="n">
        <f aca="false">V21*(1-Assumptions!$F$32)</f>
        <v>4317.1705870503</v>
      </c>
      <c r="W24" s="43" t="n">
        <f aca="false">W21*(1-Assumptions!$F$32)</f>
        <v>4562.24724070548</v>
      </c>
      <c r="X24" s="43" t="n">
        <f aca="false">X21*(1-Assumptions!$F$32)</f>
        <v>4816.21120151557</v>
      </c>
      <c r="Y24" s="43" t="n">
        <f aca="false">Y21*(1-Assumptions!$F$32)</f>
        <v>5079.80187587984</v>
      </c>
      <c r="Z24" s="43" t="n">
        <f aca="false">Z21*(1-Assumptions!$F$32)</f>
        <v>5353.84702273896</v>
      </c>
      <c r="AA24" s="43" t="n">
        <f aca="false">AA21*(1-Assumptions!$F$32)</f>
        <v>5639.28110694874</v>
      </c>
      <c r="AB24" s="43" t="n">
        <f aca="false">AB21*(1-Assumptions!$F$32)</f>
        <v>5937.15830736164</v>
      </c>
      <c r="AC24" s="43" t="n">
        <f aca="false">AC21*(1-Assumptions!$F$32)</f>
        <v>6248.66618745877</v>
      </c>
      <c r="AD24" s="43" t="n">
        <f aca="false">AD21*(1-Assumptions!$F$32)</f>
        <v>6575.14073152439</v>
      </c>
      <c r="AE24" s="43" t="n">
        <f aca="false">AE21*(1-Assumptions!$F$32)</f>
        <v>6918.0830113159</v>
      </c>
      <c r="AF24" s="43" t="n">
        <f aca="false">AF21*(1-Assumptions!$F$32)</f>
        <v>7279.17769948563</v>
      </c>
      <c r="AG24" s="43" t="n">
        <f aca="false">AG21*(1-Assumptions!$F$32)</f>
        <v>7660.31365309169</v>
      </c>
      <c r="AH24" s="43" t="n">
        <f aca="false">AH21*(1-Assumptions!$F$32)</f>
        <v>8063.60680736648</v>
      </c>
      <c r="AI24" s="43" t="n">
        <f aca="false">AI21*(1-Assumptions!$F$32)</f>
        <v>8491.42564139047</v>
      </c>
      <c r="AJ24" s="43" t="n">
        <f aca="false">AJ21*(1-Assumptions!$F$32)</f>
        <v>8662.53587423969</v>
      </c>
      <c r="AK24" s="43" t="n">
        <f aca="false">AK21*(1-Assumptions!$F$32)</f>
        <v>8829.5267557315</v>
      </c>
      <c r="AL24" s="43" t="n">
        <f aca="false">AL21*(1-Assumptions!$F$32)</f>
        <v>9016.80467063156</v>
      </c>
      <c r="AM24" s="43" t="n">
        <f aca="false">SUM(C24:AL24)</f>
        <v>160597.980701786</v>
      </c>
    </row>
    <row r="25" customFormat="false" ht="15" hidden="false" customHeight="false" outlineLevel="0" collapsed="false">
      <c r="A25" s="26" t="s">
        <v>610</v>
      </c>
      <c r="B25" s="9" t="s">
        <v>44</v>
      </c>
      <c r="C25" s="52" t="n">
        <f aca="false">C23</f>
        <v>0</v>
      </c>
      <c r="D25" s="52" t="n">
        <f aca="false">C25*(1-Assumptions!$F$33)+D23</f>
        <v>1500</v>
      </c>
      <c r="E25" s="52" t="n">
        <f aca="false">D25*(1-Assumptions!$F$33)+E23</f>
        <v>3194.44289410811</v>
      </c>
      <c r="F25" s="52" t="n">
        <f aca="false">E25*(1-Assumptions!$F$33)+F23</f>
        <v>4816.64519113795</v>
      </c>
      <c r="G25" s="52" t="n">
        <f aca="false">F25*(1-Assumptions!$F$33)+G23</f>
        <v>6377.73423581177</v>
      </c>
      <c r="H25" s="52" t="n">
        <f aca="false">G25*(1-Assumptions!$F$33)+H23</f>
        <v>7975.82075771092</v>
      </c>
      <c r="I25" s="52" t="n">
        <f aca="false">H25*(1-Assumptions!$F$33)+I23</f>
        <v>9591.60880147588</v>
      </c>
      <c r="J25" s="52" t="n">
        <f aca="false">I25*(1-Assumptions!$F$33)+J23</f>
        <v>11231.0004223646</v>
      </c>
      <c r="K25" s="52" t="n">
        <f aca="false">J25*(1-Assumptions!$F$33)+K23</f>
        <v>12901.1065719786</v>
      </c>
      <c r="L25" s="52" t="n">
        <f aca="false">K25*(1-Assumptions!$F$33)+L23</f>
        <v>14609.4044797423</v>
      </c>
      <c r="M25" s="52" t="n">
        <f aca="false">L25*(1-Assumptions!$F$33)+M23</f>
        <v>16363.4412652931</v>
      </c>
      <c r="N25" s="52" t="n">
        <f aca="false">M25*(1-Assumptions!$F$33)+N23</f>
        <v>18170.8071041463</v>
      </c>
      <c r="O25" s="52" t="n">
        <f aca="false">N25*(1-Assumptions!$F$33)+O23</f>
        <v>20039.1622194885</v>
      </c>
      <c r="P25" s="52" t="n">
        <f aca="false">O25*(1-Assumptions!$F$33)+P23</f>
        <v>21976.2860625001</v>
      </c>
      <c r="Q25" s="52" t="n">
        <f aca="false">P25*(1-Assumptions!$F$33)+Q23</f>
        <v>23990.1376738469</v>
      </c>
      <c r="R25" s="52" t="n">
        <f aca="false">Q25*(1-Assumptions!$F$33)+R23</f>
        <v>26088.9225700364</v>
      </c>
      <c r="S25" s="52" t="n">
        <f aca="false">R25*(1-Assumptions!$F$33)+S23</f>
        <v>28281.1640246349</v>
      </c>
      <c r="T25" s="52" t="n">
        <f aca="false">S25*(1-Assumptions!$F$33)+T23</f>
        <v>30575.7779193526</v>
      </c>
      <c r="U25" s="52" t="n">
        <f aca="false">T25*(1-Assumptions!$F$33)+U23</f>
        <v>32974.3919066993</v>
      </c>
      <c r="V25" s="52" t="n">
        <f aca="false">U25*(1-Assumptions!$F$33)+V23</f>
        <v>35477.9709388812</v>
      </c>
      <c r="W25" s="52" t="n">
        <f aca="false">V25*(1-Assumptions!$F$33)+W23</f>
        <v>38088.9297779482</v>
      </c>
      <c r="X25" s="52" t="n">
        <f aca="false">W25*(1-Assumptions!$F$33)+X23</f>
        <v>40810.2498416766</v>
      </c>
      <c r="Y25" s="52" t="n">
        <f aca="false">X25*(1-Assumptions!$F$33)+Y23</f>
        <v>43645.4879762642</v>
      </c>
      <c r="Z25" s="52" t="n">
        <f aca="false">Y25*(1-Assumptions!$F$33)+Z23</f>
        <v>46598.8331603086</v>
      </c>
      <c r="AA25" s="52" t="n">
        <f aca="false">Z25*(1-Assumptions!$F$33)+AA23</f>
        <v>49675.1784434404</v>
      </c>
      <c r="AB25" s="52" t="n">
        <f aca="false">AA25*(1-Assumptions!$F$33)+AB23</f>
        <v>52880.2019364128</v>
      </c>
      <c r="AC25" s="52" t="n">
        <f aca="false">AB25*(1-Assumptions!$F$33)+AC23</f>
        <v>56220.4570173689</v>
      </c>
      <c r="AD25" s="52" t="n">
        <f aca="false">AC25*(1-Assumptions!$F$33)+AD23</f>
        <v>59703.472612938</v>
      </c>
      <c r="AE25" s="52" t="n">
        <f aca="false">AD25*(1-Assumptions!$F$33)+AE23</f>
        <v>63337.8646305423</v>
      </c>
      <c r="AF25" s="52" t="n">
        <f aca="false">AE25*(1-Assumptions!$F$33)+AF23</f>
        <v>67133.4597753481</v>
      </c>
      <c r="AG25" s="52" t="n">
        <f aca="false">AF25*(1-Assumptions!$F$33)+AG23</f>
        <v>71101.4331407957</v>
      </c>
      <c r="AH25" s="52" t="n">
        <f aca="false">AG25*(1-Assumptions!$F$33)+AH23</f>
        <v>75254.4611254184</v>
      </c>
      <c r="AI25" s="52" t="n">
        <f aca="false">AH25*(1-Assumptions!$F$33)+AI23</f>
        <v>79606.8914049108</v>
      </c>
      <c r="AJ25" s="52" t="n">
        <f aca="false">AI25*(1-Assumptions!$F$33)+AJ23</f>
        <v>83891.0482518804</v>
      </c>
      <c r="AK25" s="52" t="n">
        <f aca="false">AJ25*(1-Assumptions!$F$33)+AK23</f>
        <v>88106.5673537585</v>
      </c>
      <c r="AL25" s="52" t="n">
        <f aca="false">AK25*(1-Assumptions!$F$33)+AL23</f>
        <v>92277.5108199333</v>
      </c>
      <c r="AM25" s="52" t="n">
        <f aca="false">AL25</f>
        <v>92277.5108199333</v>
      </c>
    </row>
    <row r="26" customFormat="false" ht="15" hidden="false" customHeight="false" outlineLevel="0" collapsed="false">
      <c r="A26" s="10" t="s">
        <v>611</v>
      </c>
      <c r="B26" s="9" t="s">
        <v>44</v>
      </c>
      <c r="C26" s="43" t="n">
        <f aca="false">0</f>
        <v>0</v>
      </c>
      <c r="D26" s="43" t="n">
        <f aca="false">C25*Assumptions!$F$33</f>
        <v>0</v>
      </c>
      <c r="E26" s="43" t="n">
        <f aca="false">D25*Assumptions!$F$33</f>
        <v>82.5</v>
      </c>
      <c r="F26" s="43" t="n">
        <f aca="false">E25*Assumptions!$F$33</f>
        <v>175.694359175946</v>
      </c>
      <c r="G26" s="43" t="n">
        <f aca="false">F25*Assumptions!$F$33</f>
        <v>264.915485512587</v>
      </c>
      <c r="H26" s="43" t="n">
        <f aca="false">G25*Assumptions!$F$33</f>
        <v>350.775382969647</v>
      </c>
      <c r="I26" s="43" t="n">
        <f aca="false">H25*Assumptions!$F$33</f>
        <v>438.670141674101</v>
      </c>
      <c r="J26" s="43" t="n">
        <f aca="false">I25*Assumptions!$F$33</f>
        <v>527.538484081173</v>
      </c>
      <c r="K26" s="43" t="n">
        <f aca="false">J25*Assumptions!$F$33</f>
        <v>617.705023230053</v>
      </c>
      <c r="L26" s="43" t="n">
        <f aca="false">K25*Assumptions!$F$33</f>
        <v>709.560861458821</v>
      </c>
      <c r="M26" s="43" t="n">
        <f aca="false">L25*Assumptions!$F$33</f>
        <v>803.517246385826</v>
      </c>
      <c r="N26" s="43" t="n">
        <f aca="false">M25*Assumptions!$F$33</f>
        <v>899.989269591119</v>
      </c>
      <c r="O26" s="43" t="n">
        <f aca="false">N25*Assumptions!$F$33</f>
        <v>999.394390728048</v>
      </c>
      <c r="P26" s="43" t="n">
        <f aca="false">O25*Assumptions!$F$33</f>
        <v>1102.15392207187</v>
      </c>
      <c r="Q26" s="43" t="n">
        <f aca="false">P25*Assumptions!$F$33</f>
        <v>1208.6957334375</v>
      </c>
      <c r="R26" s="43" t="n">
        <f aca="false">Q25*Assumptions!$F$33</f>
        <v>1319.45757206158</v>
      </c>
      <c r="S26" s="43" t="n">
        <f aca="false">R25*Assumptions!$F$33</f>
        <v>1434.890741352</v>
      </c>
      <c r="T26" s="43" t="n">
        <f aca="false">S25*Assumptions!$F$33</f>
        <v>1555.46402135492</v>
      </c>
      <c r="U26" s="43" t="n">
        <f aca="false">T25*Assumptions!$F$33</f>
        <v>1681.66778556439</v>
      </c>
      <c r="V26" s="43" t="n">
        <f aca="false">U25*Assumptions!$F$33</f>
        <v>1813.59155486846</v>
      </c>
      <c r="W26" s="43" t="n">
        <f aca="false">V25*Assumptions!$F$33</f>
        <v>1951.28840163846</v>
      </c>
      <c r="X26" s="43" t="n">
        <f aca="false">W25*Assumptions!$F$33</f>
        <v>2094.89113778715</v>
      </c>
      <c r="Y26" s="43" t="n">
        <f aca="false">X25*Assumptions!$F$33</f>
        <v>2244.56374129221</v>
      </c>
      <c r="Z26" s="43" t="n">
        <f aca="false">Y25*Assumptions!$F$33</f>
        <v>2400.50183869453</v>
      </c>
      <c r="AA26" s="43" t="n">
        <f aca="false">Z25*Assumptions!$F$33</f>
        <v>2562.93582381698</v>
      </c>
      <c r="AB26" s="43" t="n">
        <f aca="false">AA25*Assumptions!$F$33</f>
        <v>2732.13481438922</v>
      </c>
      <c r="AC26" s="43" t="n">
        <f aca="false">AB25*Assumptions!$F$33</f>
        <v>2908.41110650271</v>
      </c>
      <c r="AD26" s="43" t="n">
        <f aca="false">AC25*Assumptions!$F$33</f>
        <v>3092.12513595529</v>
      </c>
      <c r="AE26" s="43" t="n">
        <f aca="false">AD25*Assumptions!$F$33</f>
        <v>3283.69099371159</v>
      </c>
      <c r="AF26" s="43" t="n">
        <f aca="false">AE25*Assumptions!$F$33</f>
        <v>3483.58255467983</v>
      </c>
      <c r="AG26" s="43" t="n">
        <f aca="false">AF25*Assumptions!$F$33</f>
        <v>3692.34028764415</v>
      </c>
      <c r="AH26" s="43" t="n">
        <f aca="false">AG25*Assumptions!$F$33</f>
        <v>3910.57882274376</v>
      </c>
      <c r="AI26" s="43" t="n">
        <f aca="false">AH25*Assumptions!$F$33</f>
        <v>4138.99536189801</v>
      </c>
      <c r="AJ26" s="43" t="n">
        <f aca="false">AI25*Assumptions!$F$33</f>
        <v>4378.3790272701</v>
      </c>
      <c r="AK26" s="43" t="n">
        <f aca="false">AJ25*Assumptions!$F$33</f>
        <v>4614.00765385342</v>
      </c>
      <c r="AL26" s="43" t="n">
        <f aca="false">AK25*Assumptions!$F$33</f>
        <v>4845.86120445672</v>
      </c>
      <c r="AM26" s="43" t="n">
        <f aca="false">SUM(C26:AL26)</f>
        <v>68320.4698818522</v>
      </c>
    </row>
    <row r="27" customFormat="false" ht="15" hidden="false" customHeight="false" outlineLevel="0" collapsed="false">
      <c r="A27" s="10" t="s">
        <v>612</v>
      </c>
      <c r="B27" s="9" t="s">
        <v>44</v>
      </c>
      <c r="C27" s="43" t="n">
        <f aca="false">0</f>
        <v>0</v>
      </c>
      <c r="D27" s="43" t="n">
        <f aca="false">C24*Assumptions!$F$34</f>
        <v>0</v>
      </c>
      <c r="E27" s="43" t="n">
        <f aca="false">D24*Assumptions!$F$34</f>
        <v>210</v>
      </c>
      <c r="F27" s="43" t="n">
        <f aca="false">E24*Assumptions!$F$34</f>
        <v>248.772005175135</v>
      </c>
      <c r="G27" s="43" t="n">
        <f aca="false">F24*Assumptions!$F$34</f>
        <v>251.705531868811</v>
      </c>
      <c r="H27" s="43" t="n">
        <f aca="false">G24*Assumptions!$F$34</f>
        <v>255.640634226096</v>
      </c>
      <c r="I27" s="43" t="n">
        <f aca="false">H24*Assumptions!$F$34</f>
        <v>272.840666681632</v>
      </c>
      <c r="J27" s="43" t="n">
        <f aca="false">I24*Assumptions!$F$34</f>
        <v>287.624145961468</v>
      </c>
      <c r="K27" s="43" t="n">
        <f aca="false">J24*Assumptions!$F$34</f>
        <v>303.370214695785</v>
      </c>
      <c r="L27" s="43" t="n">
        <f aca="false">K24*Assumptions!$F$34</f>
        <v>320.293564198162</v>
      </c>
      <c r="M27" s="43" t="n">
        <f aca="false">L24*Assumptions!$F$34</f>
        <v>338.500227691159</v>
      </c>
      <c r="N27" s="43" t="n">
        <f aca="false">M24*Assumptions!$F$34</f>
        <v>358.057564471124</v>
      </c>
      <c r="O27" s="43" t="n">
        <f aca="false">N24*Assumptions!$F$34</f>
        <v>379.029715182211</v>
      </c>
      <c r="P27" s="43" t="n">
        <f aca="false">O24*Assumptions!$F$34</f>
        <v>401.484930849833</v>
      </c>
      <c r="Q27" s="43" t="n">
        <f aca="false">P24*Assumptions!$F$34</f>
        <v>425.498887111678</v>
      </c>
      <c r="R27" s="43" t="n">
        <f aca="false">Q24*Assumptions!$F$34</f>
        <v>451.156628269802</v>
      </c>
      <c r="S27" s="43" t="n">
        <f aca="false">R24*Assumptions!$F$34</f>
        <v>478.553945555157</v>
      </c>
      <c r="T27" s="43" t="n">
        <f aca="false">S24*Assumptions!$F$34</f>
        <v>507.798507433074</v>
      </c>
      <c r="U27" s="43" t="n">
        <f aca="false">T24*Assumptions!$F$34</f>
        <v>539.010908250164</v>
      </c>
      <c r="V27" s="43" t="n">
        <f aca="false">U24*Assumptions!$F$34</f>
        <v>571.239448207558</v>
      </c>
      <c r="W27" s="43" t="n">
        <f aca="false">V24*Assumptions!$F$34</f>
        <v>604.403882187042</v>
      </c>
      <c r="X27" s="43" t="n">
        <f aca="false">W24*Assumptions!$F$34</f>
        <v>638.714613698767</v>
      </c>
      <c r="Y27" s="43" t="n">
        <f aca="false">X24*Assumptions!$F$34</f>
        <v>674.269568212179</v>
      </c>
      <c r="Z27" s="43" t="n">
        <f aca="false">Y24*Assumptions!$F$34</f>
        <v>711.172262623178</v>
      </c>
      <c r="AA27" s="43" t="n">
        <f aca="false">Z24*Assumptions!$F$34</f>
        <v>749.538583183455</v>
      </c>
      <c r="AB27" s="43" t="n">
        <f aca="false">AA24*Assumptions!$F$34</f>
        <v>789.499354972824</v>
      </c>
      <c r="AC27" s="43" t="n">
        <f aca="false">AB24*Assumptions!$F$34</f>
        <v>831.20216303063</v>
      </c>
      <c r="AD27" s="43" t="n">
        <f aca="false">AC24*Assumptions!$F$34</f>
        <v>874.813266244229</v>
      </c>
      <c r="AE27" s="43" t="n">
        <f aca="false">AD24*Assumptions!$F$34</f>
        <v>920.519702413415</v>
      </c>
      <c r="AF27" s="43" t="n">
        <f aca="false">AE24*Assumptions!$F$34</f>
        <v>968.531621584226</v>
      </c>
      <c r="AG27" s="43" t="n">
        <f aca="false">AF24*Assumptions!$F$34</f>
        <v>1019.08487792799</v>
      </c>
      <c r="AH27" s="43" t="n">
        <f aca="false">AG24*Assumptions!$F$34</f>
        <v>1072.44391143284</v>
      </c>
      <c r="AI27" s="43" t="n">
        <f aca="false">AH24*Assumptions!$F$34</f>
        <v>1128.90495303131</v>
      </c>
      <c r="AJ27" s="43" t="n">
        <f aca="false">AI24*Assumptions!$F$34</f>
        <v>1188.79958979467</v>
      </c>
      <c r="AK27" s="43" t="n">
        <f aca="false">AJ24*Assumptions!$F$34</f>
        <v>1212.75502239356</v>
      </c>
      <c r="AL27" s="43" t="n">
        <f aca="false">AK24*Assumptions!$F$34</f>
        <v>1236.13374580241</v>
      </c>
      <c r="AM27" s="43" t="n">
        <f aca="false">SUM(C27:AL27)</f>
        <v>21221.3646443616</v>
      </c>
    </row>
    <row r="28" customFormat="false" ht="15" hidden="false" customHeight="false" outlineLevel="0" collapsed="false">
      <c r="A28" s="26" t="s">
        <v>613</v>
      </c>
      <c r="B28" s="9" t="s">
        <v>44</v>
      </c>
      <c r="C28" s="52" t="n">
        <f aca="false">C24+C25+C27</f>
        <v>0</v>
      </c>
      <c r="D28" s="52" t="n">
        <f aca="false">D24+D25+D27</f>
        <v>3000</v>
      </c>
      <c r="E28" s="52" t="n">
        <f aca="false">E24+E25+E27</f>
        <v>5181.38578821622</v>
      </c>
      <c r="F28" s="52" t="n">
        <f aca="false">F24+F25+F27</f>
        <v>6863.31385251888</v>
      </c>
      <c r="G28" s="52" t="n">
        <f aca="false">G24+G25+G27</f>
        <v>8455.44429786698</v>
      </c>
      <c r="H28" s="52" t="n">
        <f aca="false">H24+H25+H27</f>
        <v>10180.3232968058</v>
      </c>
      <c r="I28" s="52" t="n">
        <f aca="false">I24+I25+I27</f>
        <v>11918.9076535966</v>
      </c>
      <c r="J28" s="52" t="n">
        <f aca="false">J24+J25+J27</f>
        <v>13685.554673296</v>
      </c>
      <c r="K28" s="52" t="n">
        <f aca="false">K24+K25+K27</f>
        <v>15492.2879595183</v>
      </c>
      <c r="L28" s="52" t="n">
        <f aca="false">L24+L25+L27</f>
        <v>17347.556813163</v>
      </c>
      <c r="M28" s="52" t="n">
        <f aca="false">M24+M25+M27</f>
        <v>19259.4955249208</v>
      </c>
      <c r="N28" s="52" t="n">
        <f aca="false">N24+N25+N27</f>
        <v>21236.2197770618</v>
      </c>
      <c r="O28" s="52" t="n">
        <f aca="false">O24+O25+O27</f>
        <v>23285.941440741</v>
      </c>
      <c r="P28" s="52" t="n">
        <f aca="false">P24+P25+P27</f>
        <v>25417.0487584333</v>
      </c>
      <c r="Q28" s="52" t="n">
        <f aca="false">Q24+Q25+Q27</f>
        <v>27638.1839057428</v>
      </c>
      <c r="R28" s="52" t="n">
        <f aca="false">R24+R25+R27</f>
        <v>29958.3216665573</v>
      </c>
      <c r="S28" s="52" t="n">
        <f aca="false">S24+S25+S27</f>
        <v>32386.8501661406</v>
      </c>
      <c r="T28" s="52" t="n">
        <f aca="false">T24+T25+T27</f>
        <v>34933.6543428583</v>
      </c>
      <c r="U28" s="52" t="n">
        <f aca="false">U24+U25+U27</f>
        <v>37593.6845878606</v>
      </c>
      <c r="V28" s="52" t="n">
        <f aca="false">V24+V25+V27</f>
        <v>40366.380974139</v>
      </c>
      <c r="W28" s="52" t="n">
        <f aca="false">W24+W25+W27</f>
        <v>43255.5809008407</v>
      </c>
      <c r="X28" s="52" t="n">
        <f aca="false">X24+X25+X27</f>
        <v>46265.1756568909</v>
      </c>
      <c r="Y28" s="52" t="n">
        <f aca="false">Y24+Y25+Y27</f>
        <v>49399.5594203562</v>
      </c>
      <c r="Z28" s="52" t="n">
        <f aca="false">Z24+Z25+Z27</f>
        <v>52663.8524456708</v>
      </c>
      <c r="AA28" s="52" t="n">
        <f aca="false">AA24+AA25+AA27</f>
        <v>56063.9981335726</v>
      </c>
      <c r="AB28" s="52" t="n">
        <f aca="false">AB24+AB25+AB27</f>
        <v>59606.8595987473</v>
      </c>
      <c r="AC28" s="52" t="n">
        <f aca="false">AC24+AC25+AC27</f>
        <v>63300.3253678583</v>
      </c>
      <c r="AD28" s="52" t="n">
        <f aca="false">AD24+AD25+AD27</f>
        <v>67153.4266107066</v>
      </c>
      <c r="AE28" s="52" t="n">
        <f aca="false">AE24+AE25+AE27</f>
        <v>71176.4673442716</v>
      </c>
      <c r="AF28" s="52" t="n">
        <f aca="false">AF24+AF25+AF27</f>
        <v>75381.169096418</v>
      </c>
      <c r="AG28" s="52" t="n">
        <f aca="false">AG24+AG25+AG27</f>
        <v>79780.8316718153</v>
      </c>
      <c r="AH28" s="52" t="n">
        <f aca="false">AH24+AH25+AH27</f>
        <v>84390.5118442177</v>
      </c>
      <c r="AI28" s="52" t="n">
        <f aca="false">AI24+AI25+AI27</f>
        <v>89227.2219993326</v>
      </c>
      <c r="AJ28" s="52" t="n">
        <f aca="false">AJ24+AJ25+AJ27</f>
        <v>93742.3837159148</v>
      </c>
      <c r="AK28" s="52" t="n">
        <f aca="false">AK24+AK25+AK27</f>
        <v>98148.8491318835</v>
      </c>
      <c r="AL28" s="52" t="n">
        <f aca="false">AL24+AL25+AL27</f>
        <v>102530.449236367</v>
      </c>
      <c r="AM28" s="52" t="n">
        <f aca="false">SUM(C28:AL28)</f>
        <v>1516287.2176543</v>
      </c>
    </row>
    <row r="29" customFormat="false" ht="15" hidden="false" customHeight="false" outlineLevel="0" collapsed="false">
      <c r="A29" s="10" t="s">
        <v>614</v>
      </c>
      <c r="B29" s="9" t="s">
        <v>90</v>
      </c>
      <c r="C29" s="50" t="n">
        <f aca="false">C28*Assumptions!$F$31</f>
        <v>0</v>
      </c>
      <c r="D29" s="50" t="n">
        <f aca="false">D28*Assumptions!$F$31</f>
        <v>264000</v>
      </c>
      <c r="E29" s="50" t="n">
        <f aca="false">E28*Assumptions!$F$31</f>
        <v>455961.949363027</v>
      </c>
      <c r="F29" s="50" t="n">
        <f aca="false">F28*Assumptions!$F$31</f>
        <v>603971.619021662</v>
      </c>
      <c r="G29" s="50" t="n">
        <f aca="false">G28*Assumptions!$F$31</f>
        <v>744079.098212294</v>
      </c>
      <c r="H29" s="50" t="n">
        <f aca="false">H28*Assumptions!$F$31</f>
        <v>895868.450118912</v>
      </c>
      <c r="I29" s="50" t="n">
        <f aca="false">I28*Assumptions!$F$31</f>
        <v>1048863.8735165</v>
      </c>
      <c r="J29" s="50" t="n">
        <f aca="false">J28*Assumptions!$F$31</f>
        <v>1204328.81125004</v>
      </c>
      <c r="K29" s="50" t="n">
        <f aca="false">K28*Assumptions!$F$31</f>
        <v>1363321.34043761</v>
      </c>
      <c r="L29" s="50" t="n">
        <f aca="false">L28*Assumptions!$F$31</f>
        <v>1526584.99955835</v>
      </c>
      <c r="M29" s="50" t="n">
        <f aca="false">M28*Assumptions!$F$31</f>
        <v>1694835.60619303</v>
      </c>
      <c r="N29" s="50" t="n">
        <f aca="false">N28*Assumptions!$F$31</f>
        <v>1868787.34038144</v>
      </c>
      <c r="O29" s="50" t="n">
        <f aca="false">O28*Assumptions!$F$31</f>
        <v>2049162.8467852</v>
      </c>
      <c r="P29" s="50" t="n">
        <f aca="false">P28*Assumptions!$F$31</f>
        <v>2236700.29074213</v>
      </c>
      <c r="Q29" s="50" t="n">
        <f aca="false">Q28*Assumptions!$F$31</f>
        <v>2432160.18370537</v>
      </c>
      <c r="R29" s="50" t="n">
        <f aca="false">R28*Assumptions!$F$31</f>
        <v>2636332.30665704</v>
      </c>
      <c r="S29" s="50" t="n">
        <f aca="false">S28*Assumptions!$F$31</f>
        <v>2850042.81462037</v>
      </c>
      <c r="T29" s="50" t="n">
        <f aca="false">T28*Assumptions!$F$31</f>
        <v>3074161.58217153</v>
      </c>
      <c r="U29" s="50" t="n">
        <f aca="false">U28*Assumptions!$F$31</f>
        <v>3308244.24373173</v>
      </c>
      <c r="V29" s="50" t="n">
        <f aca="false">V28*Assumptions!$F$31</f>
        <v>3552241.52572423</v>
      </c>
      <c r="W29" s="50" t="n">
        <f aca="false">W28*Assumptions!$F$31</f>
        <v>3806491.11927398</v>
      </c>
      <c r="X29" s="50" t="n">
        <f aca="false">X28*Assumptions!$F$31</f>
        <v>4071335.4578064</v>
      </c>
      <c r="Y29" s="50" t="n">
        <f aca="false">Y28*Assumptions!$F$31</f>
        <v>4347161.22899135</v>
      </c>
      <c r="Z29" s="50" t="n">
        <f aca="false">Z28*Assumptions!$F$31</f>
        <v>4634419.01521903</v>
      </c>
      <c r="AA29" s="50" t="n">
        <f aca="false">AA28*Assumptions!$F$31</f>
        <v>4933631.83575439</v>
      </c>
      <c r="AB29" s="50" t="n">
        <f aca="false">AB28*Assumptions!$F$31</f>
        <v>5245403.64468976</v>
      </c>
      <c r="AC29" s="50" t="n">
        <f aca="false">AC28*Assumptions!$F$31</f>
        <v>5570428.63237153</v>
      </c>
      <c r="AD29" s="50" t="n">
        <f aca="false">AD28*Assumptions!$F$31</f>
        <v>5909501.54174218</v>
      </c>
      <c r="AE29" s="50" t="n">
        <f aca="false">AE28*Assumptions!$F$31</f>
        <v>6263529.1262959</v>
      </c>
      <c r="AF29" s="50" t="n">
        <f aca="false">AF28*Assumptions!$F$31</f>
        <v>6633542.88048478</v>
      </c>
      <c r="AG29" s="50" t="n">
        <f aca="false">AG28*Assumptions!$F$31</f>
        <v>7020713.18711975</v>
      </c>
      <c r="AH29" s="50" t="n">
        <f aca="false">AH28*Assumptions!$F$31</f>
        <v>7426365.04229116</v>
      </c>
      <c r="AI29" s="50" t="n">
        <f aca="false">AI28*Assumptions!$F$31</f>
        <v>7851995.53594127</v>
      </c>
      <c r="AJ29" s="50" t="n">
        <f aca="false">AJ28*Assumptions!$F$31</f>
        <v>8249329.7670005</v>
      </c>
      <c r="AK29" s="50" t="n">
        <f aca="false">AK28*Assumptions!$F$31</f>
        <v>8637098.72360575</v>
      </c>
      <c r="AL29" s="50" t="n">
        <f aca="false">AL28*Assumptions!$F$31</f>
        <v>9022679.53280032</v>
      </c>
      <c r="AM29" s="50" t="n">
        <f aca="false">SUM(C29:AL29)</f>
        <v>133433275.153579</v>
      </c>
    </row>
    <row r="30" customFormat="false" ht="15" hidden="false" customHeight="false" outlineLevel="0" collapsed="false">
      <c r="A30" s="10" t="s">
        <v>615</v>
      </c>
      <c r="B30" s="9" t="s">
        <v>90</v>
      </c>
      <c r="C30" s="50" t="n">
        <f aca="false">-C29*Assumptions!$F$61</f>
        <v>-0</v>
      </c>
      <c r="D30" s="50" t="n">
        <f aca="false">-D29*Assumptions!$F$61</f>
        <v>-5808</v>
      </c>
      <c r="E30" s="50" t="n">
        <f aca="false">-E29*Assumptions!$F$61</f>
        <v>-10031.1628859866</v>
      </c>
      <c r="F30" s="50" t="n">
        <f aca="false">-F29*Assumptions!$F$61</f>
        <v>-13287.3756184766</v>
      </c>
      <c r="G30" s="50" t="n">
        <f aca="false">-G29*Assumptions!$F$61</f>
        <v>-16369.7401606705</v>
      </c>
      <c r="H30" s="50" t="n">
        <f aca="false">-H29*Assumptions!$F$61</f>
        <v>-19709.1059026161</v>
      </c>
      <c r="I30" s="50" t="n">
        <f aca="false">-I29*Assumptions!$F$61</f>
        <v>-23075.005217363</v>
      </c>
      <c r="J30" s="50" t="n">
        <f aca="false">-J29*Assumptions!$F$61</f>
        <v>-26495.233847501</v>
      </c>
      <c r="K30" s="50" t="n">
        <f aca="false">-K29*Assumptions!$F$61</f>
        <v>-29993.0694896275</v>
      </c>
      <c r="L30" s="50" t="n">
        <f aca="false">-L29*Assumptions!$F$61</f>
        <v>-33584.8699902836</v>
      </c>
      <c r="M30" s="50" t="n">
        <f aca="false">-M29*Assumptions!$F$61</f>
        <v>-37286.3833362467</v>
      </c>
      <c r="N30" s="50" t="n">
        <f aca="false">-N29*Assumptions!$F$61</f>
        <v>-41113.3214883917</v>
      </c>
      <c r="O30" s="50" t="n">
        <f aca="false">-O29*Assumptions!$F$61</f>
        <v>-45081.5826292745</v>
      </c>
      <c r="P30" s="50" t="n">
        <f aca="false">-P29*Assumptions!$F$61</f>
        <v>-49207.4063963269</v>
      </c>
      <c r="Q30" s="50" t="n">
        <f aca="false">-Q29*Assumptions!$F$61</f>
        <v>-53507.5240415181</v>
      </c>
      <c r="R30" s="50" t="n">
        <f aca="false">-R29*Assumptions!$F$61</f>
        <v>-57999.310746455</v>
      </c>
      <c r="S30" s="50" t="n">
        <f aca="false">-S29*Assumptions!$F$61</f>
        <v>-62700.9419216482</v>
      </c>
      <c r="T30" s="50" t="n">
        <f aca="false">-T29*Assumptions!$F$61</f>
        <v>-67631.5548077736</v>
      </c>
      <c r="U30" s="50" t="n">
        <f aca="false">-U29*Assumptions!$F$61</f>
        <v>-72781.3733620982</v>
      </c>
      <c r="V30" s="50" t="n">
        <f aca="false">-V29*Assumptions!$F$61</f>
        <v>-78149.3135659332</v>
      </c>
      <c r="W30" s="50" t="n">
        <f aca="false">-W29*Assumptions!$F$61</f>
        <v>-83742.8046240276</v>
      </c>
      <c r="X30" s="50" t="n">
        <f aca="false">-X29*Assumptions!$F$61</f>
        <v>-89569.3800717408</v>
      </c>
      <c r="Y30" s="50" t="n">
        <f aca="false">-Y29*Assumptions!$F$61</f>
        <v>-95637.5470378097</v>
      </c>
      <c r="Z30" s="50" t="n">
        <f aca="false">-Z29*Assumptions!$F$61</f>
        <v>-101957.218334819</v>
      </c>
      <c r="AA30" s="50" t="n">
        <f aca="false">-AA29*Assumptions!$F$61</f>
        <v>-108539.900386597</v>
      </c>
      <c r="AB30" s="50" t="n">
        <f aca="false">-AB29*Assumptions!$F$61</f>
        <v>-115398.880183175</v>
      </c>
      <c r="AC30" s="50" t="n">
        <f aca="false">-AC29*Assumptions!$F$61</f>
        <v>-122549.429912174</v>
      </c>
      <c r="AD30" s="50" t="n">
        <f aca="false">-AD29*Assumptions!$F$61</f>
        <v>-130009.033918328</v>
      </c>
      <c r="AE30" s="50" t="n">
        <f aca="false">-AE29*Assumptions!$F$61</f>
        <v>-137797.64077851</v>
      </c>
      <c r="AF30" s="50" t="n">
        <f aca="false">-AF29*Assumptions!$F$61</f>
        <v>-145937.943370665</v>
      </c>
      <c r="AG30" s="50" t="n">
        <f aca="false">-AG29*Assumptions!$F$61</f>
        <v>-154455.690116634</v>
      </c>
      <c r="AH30" s="50" t="n">
        <f aca="false">-AH29*Assumptions!$F$61</f>
        <v>-163380.030930405</v>
      </c>
      <c r="AI30" s="50" t="n">
        <f aca="false">-AI29*Assumptions!$F$61</f>
        <v>-172743.901790708</v>
      </c>
      <c r="AJ30" s="50" t="n">
        <f aca="false">-AJ29*Assumptions!$F$61</f>
        <v>-181485.254874011</v>
      </c>
      <c r="AK30" s="50" t="n">
        <f aca="false">-AK29*Assumptions!$F$61</f>
        <v>-190016.171919327</v>
      </c>
      <c r="AL30" s="50" t="n">
        <f aca="false">-AL29*Assumptions!$F$61</f>
        <v>-198498.949721607</v>
      </c>
      <c r="AM30" s="50" t="n">
        <f aca="false">SUM(C30:AL30)</f>
        <v>-2935532.05337873</v>
      </c>
    </row>
    <row r="31" customFormat="false" ht="15" hidden="false" customHeight="false" outlineLevel="0" collapsed="false">
      <c r="A31" s="26" t="s">
        <v>616</v>
      </c>
      <c r="B31" s="9" t="s">
        <v>90</v>
      </c>
      <c r="C31" s="35" t="n">
        <f aca="false">C29+C30</f>
        <v>0</v>
      </c>
      <c r="D31" s="35" t="n">
        <f aca="false">D29+D30</f>
        <v>258192</v>
      </c>
      <c r="E31" s="35" t="n">
        <f aca="false">E29+E30</f>
        <v>445930.78647704</v>
      </c>
      <c r="F31" s="35" t="n">
        <f aca="false">F29+F30</f>
        <v>590684.243403185</v>
      </c>
      <c r="G31" s="35" t="n">
        <f aca="false">G29+G30</f>
        <v>727709.358051624</v>
      </c>
      <c r="H31" s="35" t="n">
        <f aca="false">H29+H30</f>
        <v>876159.344216296</v>
      </c>
      <c r="I31" s="35" t="n">
        <f aca="false">I29+I30</f>
        <v>1025788.86829914</v>
      </c>
      <c r="J31" s="35" t="n">
        <f aca="false">J29+J30</f>
        <v>1177833.57740254</v>
      </c>
      <c r="K31" s="35" t="n">
        <f aca="false">K29+K30</f>
        <v>1333328.27094799</v>
      </c>
      <c r="L31" s="35" t="n">
        <f aca="false">L29+L30</f>
        <v>1493000.12956806</v>
      </c>
      <c r="M31" s="35" t="n">
        <f aca="false">M29+M30</f>
        <v>1657549.22285679</v>
      </c>
      <c r="N31" s="35" t="n">
        <f aca="false">N29+N30</f>
        <v>1827674.01889305</v>
      </c>
      <c r="O31" s="35" t="n">
        <f aca="false">O29+O30</f>
        <v>2004081.26415593</v>
      </c>
      <c r="P31" s="35" t="n">
        <f aca="false">P29+P30</f>
        <v>2187492.8843458</v>
      </c>
      <c r="Q31" s="35" t="n">
        <f aca="false">Q29+Q30</f>
        <v>2378652.65966385</v>
      </c>
      <c r="R31" s="35" t="n">
        <f aca="false">R29+R30</f>
        <v>2578332.99591059</v>
      </c>
      <c r="S31" s="35" t="n">
        <f aca="false">S29+S30</f>
        <v>2787341.87269872</v>
      </c>
      <c r="T31" s="35" t="n">
        <f aca="false">T29+T30</f>
        <v>3006530.02736375</v>
      </c>
      <c r="U31" s="35" t="n">
        <f aca="false">U29+U30</f>
        <v>3235462.87036964</v>
      </c>
      <c r="V31" s="35" t="n">
        <f aca="false">V29+V30</f>
        <v>3474092.2121583</v>
      </c>
      <c r="W31" s="35" t="n">
        <f aca="false">W29+W30</f>
        <v>3722748.31464995</v>
      </c>
      <c r="X31" s="35" t="n">
        <f aca="false">X29+X30</f>
        <v>3981766.07773466</v>
      </c>
      <c r="Y31" s="35" t="n">
        <f aca="false">Y29+Y30</f>
        <v>4251523.68195354</v>
      </c>
      <c r="Z31" s="35" t="n">
        <f aca="false">Z29+Z30</f>
        <v>4532461.79688421</v>
      </c>
      <c r="AA31" s="35" t="n">
        <f aca="false">AA29+AA30</f>
        <v>4825091.93536779</v>
      </c>
      <c r="AB31" s="35" t="n">
        <f aca="false">AB29+AB30</f>
        <v>5130004.76450659</v>
      </c>
      <c r="AC31" s="35" t="n">
        <f aca="false">AC29+AC30</f>
        <v>5447879.20245936</v>
      </c>
      <c r="AD31" s="35" t="n">
        <f aca="false">AD29+AD30</f>
        <v>5779492.50782385</v>
      </c>
      <c r="AE31" s="35" t="n">
        <f aca="false">AE29+AE30</f>
        <v>6125731.48551739</v>
      </c>
      <c r="AF31" s="35" t="n">
        <f aca="false">AF29+AF30</f>
        <v>6487604.93711412</v>
      </c>
      <c r="AG31" s="35" t="n">
        <f aca="false">AG29+AG30</f>
        <v>6866257.49700311</v>
      </c>
      <c r="AH31" s="35" t="n">
        <f aca="false">AH29+AH30</f>
        <v>7262985.01136075</v>
      </c>
      <c r="AI31" s="35" t="n">
        <f aca="false">AI29+AI30</f>
        <v>7679251.63415056</v>
      </c>
      <c r="AJ31" s="35" t="n">
        <f aca="false">AJ29+AJ30</f>
        <v>8067844.51212649</v>
      </c>
      <c r="AK31" s="35" t="n">
        <f aca="false">AK29+AK30</f>
        <v>8447082.55168643</v>
      </c>
      <c r="AL31" s="35" t="n">
        <f aca="false">AL29+AL30</f>
        <v>8824180.58307872</v>
      </c>
      <c r="AM31" s="35" t="n">
        <f aca="false">SUM(C31:AL31)</f>
        <v>130497743.1002</v>
      </c>
    </row>
    <row r="32" customFormat="false" ht="15" hidden="false" customHeight="false" outlineLevel="0" collapsed="false">
      <c r="A32" s="10" t="s">
        <v>617</v>
      </c>
      <c r="B32" s="9" t="s">
        <v>90</v>
      </c>
      <c r="C32" s="50" t="n">
        <f aca="false">-C29*Assumptions!$F$36</f>
        <v>-0</v>
      </c>
      <c r="D32" s="50" t="n">
        <f aca="false">-D29*Assumptions!$F$36</f>
        <v>-58080</v>
      </c>
      <c r="E32" s="50" t="n">
        <f aca="false">-E29*Assumptions!$F$36</f>
        <v>-100311.628859866</v>
      </c>
      <c r="F32" s="50" t="n">
        <f aca="false">-F29*Assumptions!$F$36</f>
        <v>-132873.756184766</v>
      </c>
      <c r="G32" s="50" t="n">
        <f aca="false">-G29*Assumptions!$F$36</f>
        <v>-163697.401606705</v>
      </c>
      <c r="H32" s="50" t="n">
        <f aca="false">-H29*Assumptions!$F$36</f>
        <v>-197091.059026161</v>
      </c>
      <c r="I32" s="50" t="n">
        <f aca="false">-I29*Assumptions!$F$36</f>
        <v>-230750.05217363</v>
      </c>
      <c r="J32" s="50" t="n">
        <f aca="false">-J29*Assumptions!$F$36</f>
        <v>-264952.33847501</v>
      </c>
      <c r="K32" s="50" t="n">
        <f aca="false">-K29*Assumptions!$F$36</f>
        <v>-299930.694896275</v>
      </c>
      <c r="L32" s="50" t="n">
        <f aca="false">-L29*Assumptions!$F$36</f>
        <v>-335848.699902836</v>
      </c>
      <c r="M32" s="50" t="n">
        <f aca="false">-M29*Assumptions!$F$36</f>
        <v>-372863.833362467</v>
      </c>
      <c r="N32" s="50" t="n">
        <f aca="false">-N29*Assumptions!$F$36</f>
        <v>-411133.214883917</v>
      </c>
      <c r="O32" s="50" t="n">
        <f aca="false">-O29*Assumptions!$F$36</f>
        <v>-450815.826292745</v>
      </c>
      <c r="P32" s="50" t="n">
        <f aca="false">-P29*Assumptions!$F$36</f>
        <v>-492074.063963269</v>
      </c>
      <c r="Q32" s="50" t="n">
        <f aca="false">-Q29*Assumptions!$F$36</f>
        <v>-535075.240415181</v>
      </c>
      <c r="R32" s="50" t="n">
        <f aca="false">-R29*Assumptions!$F$36</f>
        <v>-579993.10746455</v>
      </c>
      <c r="S32" s="50" t="n">
        <f aca="false">-S29*Assumptions!$F$36</f>
        <v>-627009.419216482</v>
      </c>
      <c r="T32" s="50" t="n">
        <f aca="false">-T29*Assumptions!$F$36</f>
        <v>-676315.548077736</v>
      </c>
      <c r="U32" s="50" t="n">
        <f aca="false">-U29*Assumptions!$F$36</f>
        <v>-727813.733620982</v>
      </c>
      <c r="V32" s="50" t="n">
        <f aca="false">-V29*Assumptions!$F$36</f>
        <v>-781493.135659332</v>
      </c>
      <c r="W32" s="50" t="n">
        <f aca="false">-W29*Assumptions!$F$36</f>
        <v>-837428.046240276</v>
      </c>
      <c r="X32" s="50" t="n">
        <f aca="false">-X29*Assumptions!$F$36</f>
        <v>-895693.800717408</v>
      </c>
      <c r="Y32" s="50" t="n">
        <f aca="false">-Y29*Assumptions!$F$36</f>
        <v>-956375.470378097</v>
      </c>
      <c r="Z32" s="50" t="n">
        <f aca="false">-Z29*Assumptions!$F$36</f>
        <v>-1019572.18334819</v>
      </c>
      <c r="AA32" s="50" t="n">
        <f aca="false">-AA29*Assumptions!$F$36</f>
        <v>-1085399.00386597</v>
      </c>
      <c r="AB32" s="50" t="n">
        <f aca="false">-AB29*Assumptions!$F$36</f>
        <v>-1153988.80183175</v>
      </c>
      <c r="AC32" s="50" t="n">
        <f aca="false">-AC29*Assumptions!$F$36</f>
        <v>-1225494.29912174</v>
      </c>
      <c r="AD32" s="50" t="n">
        <f aca="false">-AD29*Assumptions!$F$36</f>
        <v>-1300090.33918328</v>
      </c>
      <c r="AE32" s="50" t="n">
        <f aca="false">-AE29*Assumptions!$F$36</f>
        <v>-1377976.4077851</v>
      </c>
      <c r="AF32" s="50" t="n">
        <f aca="false">-AF29*Assumptions!$F$36</f>
        <v>-1459379.43370665</v>
      </c>
      <c r="AG32" s="50" t="n">
        <f aca="false">-AG29*Assumptions!$F$36</f>
        <v>-1544556.90116634</v>
      </c>
      <c r="AH32" s="50" t="n">
        <f aca="false">-AH29*Assumptions!$F$36</f>
        <v>-1633800.30930405</v>
      </c>
      <c r="AI32" s="50" t="n">
        <f aca="false">-AI29*Assumptions!$F$36</f>
        <v>-1727439.01790708</v>
      </c>
      <c r="AJ32" s="50" t="n">
        <f aca="false">-AJ29*Assumptions!$F$36</f>
        <v>-1814852.54874011</v>
      </c>
      <c r="AK32" s="50" t="n">
        <f aca="false">-AK29*Assumptions!$F$36</f>
        <v>-1900161.71919327</v>
      </c>
      <c r="AL32" s="50" t="n">
        <f aca="false">-AL29*Assumptions!$F$36</f>
        <v>-1984989.49721607</v>
      </c>
      <c r="AM32" s="50" t="n">
        <f aca="false">SUM(C32:AL32)</f>
        <v>-29355320.5337873</v>
      </c>
    </row>
    <row r="33" customFormat="false" ht="15" hidden="false" customHeight="false" outlineLevel="0" collapsed="false">
      <c r="A33" s="10" t="s">
        <v>618</v>
      </c>
      <c r="B33" s="9" t="s">
        <v>90</v>
      </c>
      <c r="C33" s="50" t="n">
        <f aca="false">-C28*Assumptions!$F$37</f>
        <v>-0</v>
      </c>
      <c r="D33" s="50" t="n">
        <f aca="false">-D28*Assumptions!$F$37</f>
        <v>-19500</v>
      </c>
      <c r="E33" s="50" t="n">
        <f aca="false">-E28*Assumptions!$F$37</f>
        <v>-33679.0076234054</v>
      </c>
      <c r="F33" s="50" t="n">
        <f aca="false">-F28*Assumptions!$F$37</f>
        <v>-44611.5400413727</v>
      </c>
      <c r="G33" s="50" t="n">
        <f aca="false">-G28*Assumptions!$F$37</f>
        <v>-54960.3879361354</v>
      </c>
      <c r="H33" s="50" t="n">
        <f aca="false">-H28*Assumptions!$F$37</f>
        <v>-66172.1014292378</v>
      </c>
      <c r="I33" s="50" t="n">
        <f aca="false">-I28*Assumptions!$F$37</f>
        <v>-77472.8997483777</v>
      </c>
      <c r="J33" s="50" t="n">
        <f aca="false">-J28*Assumptions!$F$37</f>
        <v>-88956.1053764237</v>
      </c>
      <c r="K33" s="50" t="n">
        <f aca="false">-K28*Assumptions!$F$37</f>
        <v>-100699.871736869</v>
      </c>
      <c r="L33" s="50" t="n">
        <f aca="false">-L28*Assumptions!$F$37</f>
        <v>-112759.11928556</v>
      </c>
      <c r="M33" s="50" t="n">
        <f aca="false">-M28*Assumptions!$F$37</f>
        <v>-125186.720911985</v>
      </c>
      <c r="N33" s="50" t="n">
        <f aca="false">-N28*Assumptions!$F$37</f>
        <v>-138035.428550902</v>
      </c>
      <c r="O33" s="50" t="n">
        <f aca="false">-O28*Assumptions!$F$37</f>
        <v>-151358.619364816</v>
      </c>
      <c r="P33" s="50" t="n">
        <f aca="false">-P28*Assumptions!$F$37</f>
        <v>-165210.816929817</v>
      </c>
      <c r="Q33" s="50" t="n">
        <f aca="false">-Q28*Assumptions!$F$37</f>
        <v>-179648.195387328</v>
      </c>
      <c r="R33" s="50" t="n">
        <f aca="false">-R28*Assumptions!$F$37</f>
        <v>-194729.090832623</v>
      </c>
      <c r="S33" s="50" t="n">
        <f aca="false">-S28*Assumptions!$F$37</f>
        <v>-210514.526079914</v>
      </c>
      <c r="T33" s="50" t="n">
        <f aca="false">-T28*Assumptions!$F$37</f>
        <v>-227068.753228579</v>
      </c>
      <c r="U33" s="50" t="n">
        <f aca="false">-U28*Assumptions!$F$37</f>
        <v>-244358.949821094</v>
      </c>
      <c r="V33" s="50" t="n">
        <f aca="false">-V28*Assumptions!$F$37</f>
        <v>-262381.476331904</v>
      </c>
      <c r="W33" s="50" t="n">
        <f aca="false">-W28*Assumptions!$F$37</f>
        <v>-281161.275855464</v>
      </c>
      <c r="X33" s="50" t="n">
        <f aca="false">-X28*Assumptions!$F$37</f>
        <v>-300723.641769791</v>
      </c>
      <c r="Y33" s="50" t="n">
        <f aca="false">-Y28*Assumptions!$F$37</f>
        <v>-321097.136232316</v>
      </c>
      <c r="Z33" s="50" t="n">
        <f aca="false">-Z28*Assumptions!$F$37</f>
        <v>-342315.04089686</v>
      </c>
      <c r="AA33" s="50" t="n">
        <f aca="false">-AA28*Assumptions!$F$37</f>
        <v>-364415.987868222</v>
      </c>
      <c r="AB33" s="50" t="n">
        <f aca="false">-AB28*Assumptions!$F$37</f>
        <v>-387444.587391857</v>
      </c>
      <c r="AC33" s="50" t="n">
        <f aca="false">-AC28*Assumptions!$F$37</f>
        <v>-411452.114891079</v>
      </c>
      <c r="AD33" s="50" t="n">
        <f aca="false">-AD28*Assumptions!$F$37</f>
        <v>-436497.272969593</v>
      </c>
      <c r="AE33" s="50" t="n">
        <f aca="false">-AE28*Assumptions!$F$37</f>
        <v>-462647.037737765</v>
      </c>
      <c r="AF33" s="50" t="n">
        <f aca="false">-AF28*Assumptions!$F$37</f>
        <v>-489977.599126717</v>
      </c>
      <c r="AG33" s="50" t="n">
        <f aca="false">-AG28*Assumptions!$F$37</f>
        <v>-518575.4058668</v>
      </c>
      <c r="AH33" s="50" t="n">
        <f aca="false">-AH28*Assumptions!$F$37</f>
        <v>-548538.326987415</v>
      </c>
      <c r="AI33" s="50" t="n">
        <f aca="false">-AI28*Assumptions!$F$37</f>
        <v>-579976.942995662</v>
      </c>
      <c r="AJ33" s="50" t="n">
        <f aca="false">-AJ28*Assumptions!$F$37</f>
        <v>-609325.494153446</v>
      </c>
      <c r="AK33" s="50" t="n">
        <f aca="false">-AK28*Assumptions!$F$37</f>
        <v>-637967.519357243</v>
      </c>
      <c r="AL33" s="50" t="n">
        <f aca="false">-AL28*Assumptions!$F$37</f>
        <v>-666447.920036388</v>
      </c>
      <c r="AM33" s="50" t="n">
        <f aca="false">SUM(C33:AL33)</f>
        <v>-9855866.91475296</v>
      </c>
    </row>
    <row r="34" customFormat="false" ht="15" hidden="false" customHeight="false" outlineLevel="0" collapsed="false">
      <c r="A34" s="10" t="s">
        <v>619</v>
      </c>
      <c r="B34" s="9" t="s">
        <v>90</v>
      </c>
      <c r="C34" s="50" t="n">
        <f aca="false">-C31*Assumptions!$F$60</f>
        <v>-0</v>
      </c>
      <c r="D34" s="50" t="n">
        <f aca="false">-D31*Assumptions!$F$60</f>
        <v>-6971.184</v>
      </c>
      <c r="E34" s="50" t="n">
        <f aca="false">-E31*Assumptions!$F$60</f>
        <v>-12040.1312348801</v>
      </c>
      <c r="F34" s="50" t="n">
        <f aca="false">-F31*Assumptions!$F$60</f>
        <v>-15948.474571886</v>
      </c>
      <c r="G34" s="50" t="n">
        <f aca="false">-G31*Assumptions!$F$60</f>
        <v>-19648.1526673938</v>
      </c>
      <c r="H34" s="50" t="n">
        <f aca="false">-H31*Assumptions!$F$60</f>
        <v>-23656.30229384</v>
      </c>
      <c r="I34" s="50" t="n">
        <f aca="false">-I31*Assumptions!$F$60</f>
        <v>-27696.2994440767</v>
      </c>
      <c r="J34" s="50" t="n">
        <f aca="false">-J31*Assumptions!$F$60</f>
        <v>-31801.5065898687</v>
      </c>
      <c r="K34" s="50" t="n">
        <f aca="false">-K31*Assumptions!$F$60</f>
        <v>-35999.8633155957</v>
      </c>
      <c r="L34" s="50" t="n">
        <f aca="false">-L31*Assumptions!$F$60</f>
        <v>-40311.0034983377</v>
      </c>
      <c r="M34" s="50" t="n">
        <f aca="false">-M31*Assumptions!$F$60</f>
        <v>-44753.8290171332</v>
      </c>
      <c r="N34" s="50" t="n">
        <f aca="false">-N31*Assumptions!$F$60</f>
        <v>-49347.1985101123</v>
      </c>
      <c r="O34" s="50" t="n">
        <f aca="false">-O31*Assumptions!$F$60</f>
        <v>-54110.1941322101</v>
      </c>
      <c r="P34" s="50" t="n">
        <f aca="false">-P31*Assumptions!$F$60</f>
        <v>-59062.3078773367</v>
      </c>
      <c r="Q34" s="50" t="n">
        <f aca="false">-Q31*Assumptions!$F$60</f>
        <v>-64223.621810924</v>
      </c>
      <c r="R34" s="50" t="n">
        <f aca="false">-R31*Assumptions!$F$60</f>
        <v>-69614.9908895859</v>
      </c>
      <c r="S34" s="50" t="n">
        <f aca="false">-S31*Assumptions!$F$60</f>
        <v>-75258.2305628656</v>
      </c>
      <c r="T34" s="50" t="n">
        <f aca="false">-T31*Assumptions!$F$60</f>
        <v>-81176.3107388214</v>
      </c>
      <c r="U34" s="50" t="n">
        <f aca="false">-U31*Assumptions!$F$60</f>
        <v>-87357.4974999802</v>
      </c>
      <c r="V34" s="50" t="n">
        <f aca="false">-V31*Assumptions!$F$60</f>
        <v>-93800.4897282741</v>
      </c>
      <c r="W34" s="50" t="n">
        <f aca="false">-W31*Assumptions!$F$60</f>
        <v>-100514.204495549</v>
      </c>
      <c r="X34" s="50" t="n">
        <f aca="false">-X31*Assumptions!$F$60</f>
        <v>-107507.684098836</v>
      </c>
      <c r="Y34" s="50" t="n">
        <f aca="false">-Y31*Assumptions!$F$60</f>
        <v>-114791.139412746</v>
      </c>
      <c r="Z34" s="50" t="n">
        <f aca="false">-Z31*Assumptions!$F$60</f>
        <v>-122376.468515874</v>
      </c>
      <c r="AA34" s="50" t="n">
        <f aca="false">-AA31*Assumptions!$F$60</f>
        <v>-130277.48225493</v>
      </c>
      <c r="AB34" s="50" t="n">
        <f aca="false">-AB31*Assumptions!$F$60</f>
        <v>-138510.128641678</v>
      </c>
      <c r="AC34" s="50" t="n">
        <f aca="false">-AC31*Assumptions!$F$60</f>
        <v>-147092.738466403</v>
      </c>
      <c r="AD34" s="50" t="n">
        <f aca="false">-AD31*Assumptions!$F$60</f>
        <v>-156046.297711244</v>
      </c>
      <c r="AE34" s="50" t="n">
        <f aca="false">-AE31*Assumptions!$F$60</f>
        <v>-165394.75010897</v>
      </c>
      <c r="AF34" s="50" t="n">
        <f aca="false">-AF31*Assumptions!$F$60</f>
        <v>-175165.333302081</v>
      </c>
      <c r="AG34" s="50" t="n">
        <f aca="false">-AG31*Assumptions!$F$60</f>
        <v>-185388.952419084</v>
      </c>
      <c r="AH34" s="50" t="n">
        <f aca="false">-AH31*Assumptions!$F$60</f>
        <v>-196100.59530674</v>
      </c>
      <c r="AI34" s="50" t="n">
        <f aca="false">-AI31*Assumptions!$F$60</f>
        <v>-207339.794122065</v>
      </c>
      <c r="AJ34" s="50" t="n">
        <f aca="false">-AJ31*Assumptions!$F$60</f>
        <v>-217831.801827415</v>
      </c>
      <c r="AK34" s="50" t="n">
        <f aca="false">-AK31*Assumptions!$F$60</f>
        <v>-228071.228895533</v>
      </c>
      <c r="AL34" s="50" t="n">
        <f aca="false">-AL31*Assumptions!$F$60</f>
        <v>-238252.875743125</v>
      </c>
      <c r="AM34" s="50" t="n">
        <f aca="false">SUM(C34:AL34)</f>
        <v>-3523439.0637054</v>
      </c>
    </row>
    <row r="35" customFormat="false" ht="15" hidden="false" customHeight="false" outlineLevel="0" collapsed="false">
      <c r="A35" s="26" t="s">
        <v>620</v>
      </c>
      <c r="B35" s="9" t="s">
        <v>90</v>
      </c>
      <c r="C35" s="35" t="n">
        <f aca="false">C31+C32+C33+C34</f>
        <v>0</v>
      </c>
      <c r="D35" s="35" t="n">
        <f aca="false">D31+D32+D33+D34</f>
        <v>173640.816</v>
      </c>
      <c r="E35" s="35" t="n">
        <f aca="false">E31+E32+E33+E34</f>
        <v>299900.018758889</v>
      </c>
      <c r="F35" s="35" t="n">
        <f aca="false">F31+F32+F33+F34</f>
        <v>397250.472605161</v>
      </c>
      <c r="G35" s="35" t="n">
        <f aca="false">G31+G32+G33+G34</f>
        <v>489403.41584139</v>
      </c>
      <c r="H35" s="35" t="n">
        <f aca="false">H31+H32+H33+H34</f>
        <v>589239.881467058</v>
      </c>
      <c r="I35" s="35" t="n">
        <f aca="false">I31+I32+I33+I34</f>
        <v>689869.616933051</v>
      </c>
      <c r="J35" s="35" t="n">
        <f aca="false">J31+J32+J33+J34</f>
        <v>792123.626961241</v>
      </c>
      <c r="K35" s="35" t="n">
        <f aca="false">K31+K32+K33+K34</f>
        <v>896697.840999247</v>
      </c>
      <c r="L35" s="35" t="n">
        <f aca="false">L31+L32+L33+L34</f>
        <v>1004081.30688133</v>
      </c>
      <c r="M35" s="35" t="n">
        <f aca="false">M31+M32+M33+M34</f>
        <v>1114744.8395652</v>
      </c>
      <c r="N35" s="35" t="n">
        <f aca="false">N31+N32+N33+N34</f>
        <v>1229158.17694812</v>
      </c>
      <c r="O35" s="35" t="n">
        <f aca="false">O31+O32+O33+O34</f>
        <v>1347796.62436616</v>
      </c>
      <c r="P35" s="35" t="n">
        <f aca="false">P31+P32+P33+P34</f>
        <v>1471145.69557538</v>
      </c>
      <c r="Q35" s="35" t="n">
        <f aca="false">Q31+Q32+Q33+Q34</f>
        <v>1599705.60205042</v>
      </c>
      <c r="R35" s="35" t="n">
        <f aca="false">R31+R32+R33+R34</f>
        <v>1733995.80672383</v>
      </c>
      <c r="S35" s="35" t="n">
        <f aca="false">S31+S32+S33+S34</f>
        <v>1874559.69683946</v>
      </c>
      <c r="T35" s="35" t="n">
        <f aca="false">T31+T32+T33+T34</f>
        <v>2021969.41531862</v>
      </c>
      <c r="U35" s="35" t="n">
        <f aca="false">U31+U32+U33+U34</f>
        <v>2175932.68942758</v>
      </c>
      <c r="V35" s="35" t="n">
        <f aca="false">V31+V32+V33+V34</f>
        <v>2336417.11043879</v>
      </c>
      <c r="W35" s="35" t="n">
        <f aca="false">W31+W32+W33+W34</f>
        <v>2503644.78805866</v>
      </c>
      <c r="X35" s="35" t="n">
        <f aca="false">X31+X32+X33+X34</f>
        <v>2677840.95114863</v>
      </c>
      <c r="Y35" s="35" t="n">
        <f aca="false">Y31+Y32+Y33+Y34</f>
        <v>2859259.93593038</v>
      </c>
      <c r="Z35" s="35" t="n">
        <f aca="false">Z31+Z32+Z33+Z34</f>
        <v>3048198.10412329</v>
      </c>
      <c r="AA35" s="35" t="n">
        <f aca="false">AA31+AA32+AA33+AA34</f>
        <v>3244999.46137868</v>
      </c>
      <c r="AB35" s="35" t="n">
        <f aca="false">AB31+AB32+AB33+AB34</f>
        <v>3450061.2466413</v>
      </c>
      <c r="AC35" s="35" t="n">
        <f aca="false">AC31+AC32+AC33+AC34</f>
        <v>3663840.04998014</v>
      </c>
      <c r="AD35" s="35" t="n">
        <f aca="false">AD31+AD32+AD33+AD34</f>
        <v>3886858.59795974</v>
      </c>
      <c r="AE35" s="35" t="n">
        <f aca="false">AE31+AE32+AE33+AE34</f>
        <v>4119713.28988556</v>
      </c>
      <c r="AF35" s="35" t="n">
        <f aca="false">AF31+AF32+AF33+AF34</f>
        <v>4363082.57097867</v>
      </c>
      <c r="AG35" s="35" t="n">
        <f aca="false">AG31+AG32+AG33+AG34</f>
        <v>4617736.23755088</v>
      </c>
      <c r="AH35" s="35" t="n">
        <f aca="false">AH31+AH32+AH33+AH34</f>
        <v>4884545.77976254</v>
      </c>
      <c r="AI35" s="35" t="n">
        <f aca="false">AI31+AI32+AI33+AI34</f>
        <v>5164495.87912575</v>
      </c>
      <c r="AJ35" s="35" t="n">
        <f aca="false">AJ31+AJ32+AJ33+AJ34</f>
        <v>5425834.66740552</v>
      </c>
      <c r="AK35" s="35" t="n">
        <f aca="false">AK31+AK32+AK33+AK34</f>
        <v>5680882.08424038</v>
      </c>
      <c r="AL35" s="35" t="n">
        <f aca="false">AL31+AL32+AL33+AL34</f>
        <v>5934490.29008313</v>
      </c>
      <c r="AM35" s="35" t="n">
        <f aca="false">SUM(C35:AL35)</f>
        <v>87763116.5879542</v>
      </c>
    </row>
    <row r="36" customFormat="false" ht="15" hidden="false" customHeight="false" outlineLevel="0" collapsed="false">
      <c r="A36" s="10" t="s">
        <v>621</v>
      </c>
      <c r="B36" s="9" t="s">
        <v>54</v>
      </c>
      <c r="C36" s="44" t="n">
        <f aca="false">IFERROR(C35/C31,0)</f>
        <v>0</v>
      </c>
      <c r="D36" s="44" t="n">
        <f aca="false">IFERROR(D35/D31,0)</f>
        <v>0.672525934188511</v>
      </c>
      <c r="E36" s="44" t="n">
        <f aca="false">IFERROR(E35/E31,0)</f>
        <v>0.672525934188511</v>
      </c>
      <c r="F36" s="44" t="n">
        <f aca="false">IFERROR(F35/F31,0)</f>
        <v>0.672525934188511</v>
      </c>
      <c r="G36" s="44" t="n">
        <f aca="false">IFERROR(G35/G31,0)</f>
        <v>0.672525934188511</v>
      </c>
      <c r="H36" s="44" t="n">
        <f aca="false">IFERROR(H35/H31,0)</f>
        <v>0.672525934188511</v>
      </c>
      <c r="I36" s="44" t="n">
        <f aca="false">IFERROR(I35/I31,0)</f>
        <v>0.672525934188511</v>
      </c>
      <c r="J36" s="44" t="n">
        <f aca="false">IFERROR(J35/J31,0)</f>
        <v>0.672525934188511</v>
      </c>
      <c r="K36" s="44" t="n">
        <f aca="false">IFERROR(K35/K31,0)</f>
        <v>0.672525934188511</v>
      </c>
      <c r="L36" s="44" t="n">
        <f aca="false">IFERROR(L35/L31,0)</f>
        <v>0.672525934188511</v>
      </c>
      <c r="M36" s="44" t="n">
        <f aca="false">IFERROR(M35/M31,0)</f>
        <v>0.672525934188511</v>
      </c>
      <c r="N36" s="44" t="n">
        <f aca="false">IFERROR(N35/N31,0)</f>
        <v>0.672525934188511</v>
      </c>
      <c r="O36" s="44" t="n">
        <f aca="false">IFERROR(O35/O31,0)</f>
        <v>0.672525934188511</v>
      </c>
      <c r="P36" s="44" t="n">
        <f aca="false">IFERROR(P35/P31,0)</f>
        <v>0.672525934188511</v>
      </c>
      <c r="Q36" s="44" t="n">
        <f aca="false">IFERROR(Q35/Q31,0)</f>
        <v>0.672525934188511</v>
      </c>
      <c r="R36" s="44" t="n">
        <f aca="false">IFERROR(R35/R31,0)</f>
        <v>0.672525934188511</v>
      </c>
      <c r="S36" s="44" t="n">
        <f aca="false">IFERROR(S35/S31,0)</f>
        <v>0.672525934188511</v>
      </c>
      <c r="T36" s="44" t="n">
        <f aca="false">IFERROR(T35/T31,0)</f>
        <v>0.672525934188511</v>
      </c>
      <c r="U36" s="44" t="n">
        <f aca="false">IFERROR(U35/U31,0)</f>
        <v>0.672525934188511</v>
      </c>
      <c r="V36" s="44" t="n">
        <f aca="false">IFERROR(V35/V31,0)</f>
        <v>0.672525934188511</v>
      </c>
      <c r="W36" s="44" t="n">
        <f aca="false">IFERROR(W35/W31,0)</f>
        <v>0.672525934188511</v>
      </c>
      <c r="X36" s="44" t="n">
        <f aca="false">IFERROR(X35/X31,0)</f>
        <v>0.672525934188511</v>
      </c>
      <c r="Y36" s="44" t="n">
        <f aca="false">IFERROR(Y35/Y31,0)</f>
        <v>0.672525934188511</v>
      </c>
      <c r="Z36" s="44" t="n">
        <f aca="false">IFERROR(Z35/Z31,0)</f>
        <v>0.672525934188511</v>
      </c>
      <c r="AA36" s="44" t="n">
        <f aca="false">IFERROR(AA35/AA31,0)</f>
        <v>0.672525934188511</v>
      </c>
      <c r="AB36" s="44" t="n">
        <f aca="false">IFERROR(AB35/AB31,0)</f>
        <v>0.672525934188511</v>
      </c>
      <c r="AC36" s="44" t="n">
        <f aca="false">IFERROR(AC35/AC31,0)</f>
        <v>0.672525934188511</v>
      </c>
      <c r="AD36" s="44" t="n">
        <f aca="false">IFERROR(AD35/AD31,0)</f>
        <v>0.672525934188511</v>
      </c>
      <c r="AE36" s="44" t="n">
        <f aca="false">IFERROR(AE35/AE31,0)</f>
        <v>0.672525934188511</v>
      </c>
      <c r="AF36" s="44" t="n">
        <f aca="false">IFERROR(AF35/AF31,0)</f>
        <v>0.672525934188511</v>
      </c>
      <c r="AG36" s="44" t="n">
        <f aca="false">IFERROR(AG35/AG31,0)</f>
        <v>0.672525934188511</v>
      </c>
      <c r="AH36" s="44" t="n">
        <f aca="false">IFERROR(AH35/AH31,0)</f>
        <v>0.672525934188511</v>
      </c>
      <c r="AI36" s="44" t="n">
        <f aca="false">IFERROR(AI35/AI31,0)</f>
        <v>0.672525934188511</v>
      </c>
      <c r="AJ36" s="44" t="n">
        <f aca="false">IFERROR(AJ35/AJ31,0)</f>
        <v>0.672525934188511</v>
      </c>
      <c r="AK36" s="44" t="n">
        <f aca="false">IFERROR(AK35/AK31,0)</f>
        <v>0.672525934188511</v>
      </c>
      <c r="AL36" s="44" t="n">
        <f aca="false">IFERROR(AL35/AL31,0)</f>
        <v>0.672525934188511</v>
      </c>
      <c r="AM36" s="44" t="n">
        <f aca="false">AVERAGE(N36:AL36)</f>
        <v>0.672525934188511</v>
      </c>
    </row>
    <row r="37" customFormat="false" ht="15" hidden="false" customHeight="false" outlineLevel="0" collapsed="false">
      <c r="A37" s="10" t="s">
        <v>622</v>
      </c>
      <c r="B37" s="9" t="s">
        <v>54</v>
      </c>
      <c r="C37" s="44" t="n">
        <f aca="false">IF(C9=0,0,MIN(Assumptions!$F$44,Assumptions!$F$42+Assumptions!$F$43*(C$5-Assumptions!$F$7)))</f>
        <v>0</v>
      </c>
      <c r="D37" s="44" t="n">
        <f aca="false">IF(D9=0,0,MIN(Assumptions!$F$44,Assumptions!$F$42+Assumptions!$F$43*(D$5-Assumptions!$F$7)))</f>
        <v>0</v>
      </c>
      <c r="E37" s="44" t="n">
        <f aca="false">IF(E9=0,0,MIN(Assumptions!$F$44,Assumptions!$F$42+Assumptions!$F$43*(E$5-Assumptions!$F$7)))</f>
        <v>0</v>
      </c>
      <c r="F37" s="44" t="n">
        <f aca="false">IF(F9=0,0,MIN(Assumptions!$F$44,Assumptions!$F$42+Assumptions!$F$43*(F$5-Assumptions!$F$7)))</f>
        <v>0</v>
      </c>
      <c r="G37" s="44" t="n">
        <f aca="false">IF(G9=0,0,MIN(Assumptions!$F$44,Assumptions!$F$42+Assumptions!$F$43*(G$5-Assumptions!$F$7)))</f>
        <v>0.45</v>
      </c>
      <c r="H37" s="44" t="n">
        <f aca="false">IF(H9=0,0,MIN(Assumptions!$F$44,Assumptions!$F$42+Assumptions!$F$43*(H$5-Assumptions!$F$7)))</f>
        <v>0.485</v>
      </c>
      <c r="I37" s="44" t="n">
        <f aca="false">IF(I9=0,0,MIN(Assumptions!$F$44,Assumptions!$F$42+Assumptions!$F$43*(I$5-Assumptions!$F$7)))</f>
        <v>0.52</v>
      </c>
      <c r="J37" s="44" t="n">
        <f aca="false">IF(J9=0,0,MIN(Assumptions!$F$44,Assumptions!$F$42+Assumptions!$F$43*(J$5-Assumptions!$F$7)))</f>
        <v>0.555</v>
      </c>
      <c r="K37" s="44" t="n">
        <f aca="false">IF(K9=0,0,MIN(Assumptions!$F$44,Assumptions!$F$42+Assumptions!$F$43*(K$5-Assumptions!$F$7)))</f>
        <v>0.59</v>
      </c>
      <c r="L37" s="44" t="n">
        <f aca="false">IF(L9=0,0,MIN(Assumptions!$F$44,Assumptions!$F$42+Assumptions!$F$43*(L$5-Assumptions!$F$7)))</f>
        <v>0.625</v>
      </c>
      <c r="M37" s="44" t="n">
        <f aca="false">IF(M9=0,0,MIN(Assumptions!$F$44,Assumptions!$F$42+Assumptions!$F$43*(M$5-Assumptions!$F$7)))</f>
        <v>0.66</v>
      </c>
      <c r="N37" s="44" t="n">
        <f aca="false">IF(N9=0,0,MIN(Assumptions!$F$44,Assumptions!$F$42+Assumptions!$F$43*(N$5-Assumptions!$F$7)))</f>
        <v>0.695</v>
      </c>
      <c r="O37" s="44" t="n">
        <f aca="false">IF(O9=0,0,MIN(Assumptions!$F$44,Assumptions!$F$42+Assumptions!$F$43*(O$5-Assumptions!$F$7)))</f>
        <v>0.73</v>
      </c>
      <c r="P37" s="44" t="n">
        <f aca="false">IF(P9=0,0,MIN(Assumptions!$F$44,Assumptions!$F$42+Assumptions!$F$43*(P$5-Assumptions!$F$7)))</f>
        <v>0.765</v>
      </c>
      <c r="Q37" s="44" t="n">
        <f aca="false">IF(Q9=0,0,MIN(Assumptions!$F$44,Assumptions!$F$42+Assumptions!$F$43*(Q$5-Assumptions!$F$7)))</f>
        <v>0.8</v>
      </c>
      <c r="R37" s="44" t="n">
        <f aca="false">IF(R9=0,0,MIN(Assumptions!$F$44,Assumptions!$F$42+Assumptions!$F$43*(R$5-Assumptions!$F$7)))</f>
        <v>0.835</v>
      </c>
      <c r="S37" s="44" t="n">
        <f aca="false">IF(S9=0,0,MIN(Assumptions!$F$44,Assumptions!$F$42+Assumptions!$F$43*(S$5-Assumptions!$F$7)))</f>
        <v>0.87</v>
      </c>
      <c r="T37" s="44" t="n">
        <f aca="false">IF(T9=0,0,MIN(Assumptions!$F$44,Assumptions!$F$42+Assumptions!$F$43*(T$5-Assumptions!$F$7)))</f>
        <v>0.88</v>
      </c>
      <c r="U37" s="44" t="n">
        <f aca="false">IF(U9=0,0,MIN(Assumptions!$F$44,Assumptions!$F$42+Assumptions!$F$43*(U$5-Assumptions!$F$7)))</f>
        <v>0.88</v>
      </c>
      <c r="V37" s="44" t="n">
        <f aca="false">IF(V9=0,0,MIN(Assumptions!$F$44,Assumptions!$F$42+Assumptions!$F$43*(V$5-Assumptions!$F$7)))</f>
        <v>0.88</v>
      </c>
      <c r="W37" s="44" t="n">
        <f aca="false">IF(W9=0,0,MIN(Assumptions!$F$44,Assumptions!$F$42+Assumptions!$F$43*(W$5-Assumptions!$F$7)))</f>
        <v>0.88</v>
      </c>
      <c r="X37" s="44" t="n">
        <f aca="false">IF(X9=0,0,MIN(Assumptions!$F$44,Assumptions!$F$42+Assumptions!$F$43*(X$5-Assumptions!$F$7)))</f>
        <v>0.88</v>
      </c>
      <c r="Y37" s="44" t="n">
        <f aca="false">IF(Y9=0,0,MIN(Assumptions!$F$44,Assumptions!$F$42+Assumptions!$F$43*(Y$5-Assumptions!$F$7)))</f>
        <v>0.88</v>
      </c>
      <c r="Z37" s="44" t="n">
        <f aca="false">IF(Z9=0,0,MIN(Assumptions!$F$44,Assumptions!$F$42+Assumptions!$F$43*(Z$5-Assumptions!$F$7)))</f>
        <v>0.88</v>
      </c>
      <c r="AA37" s="44" t="n">
        <f aca="false">IF(AA9=0,0,MIN(Assumptions!$F$44,Assumptions!$F$42+Assumptions!$F$43*(AA$5-Assumptions!$F$7)))</f>
        <v>0.88</v>
      </c>
      <c r="AB37" s="44" t="n">
        <f aca="false">IF(AB9=0,0,MIN(Assumptions!$F$44,Assumptions!$F$42+Assumptions!$F$43*(AB$5-Assumptions!$F$7)))</f>
        <v>0.88</v>
      </c>
      <c r="AC37" s="44" t="n">
        <f aca="false">IF(AC9=0,0,MIN(Assumptions!$F$44,Assumptions!$F$42+Assumptions!$F$43*(AC$5-Assumptions!$F$7)))</f>
        <v>0.88</v>
      </c>
      <c r="AD37" s="44" t="n">
        <f aca="false">IF(AD9=0,0,MIN(Assumptions!$F$44,Assumptions!$F$42+Assumptions!$F$43*(AD$5-Assumptions!$F$7)))</f>
        <v>0.88</v>
      </c>
      <c r="AE37" s="44" t="n">
        <f aca="false">IF(AE9=0,0,MIN(Assumptions!$F$44,Assumptions!$F$42+Assumptions!$F$43*(AE$5-Assumptions!$F$7)))</f>
        <v>0.88</v>
      </c>
      <c r="AF37" s="44" t="n">
        <f aca="false">IF(AF9=0,0,MIN(Assumptions!$F$44,Assumptions!$F$42+Assumptions!$F$43*(AF$5-Assumptions!$F$7)))</f>
        <v>0.88</v>
      </c>
      <c r="AG37" s="44" t="n">
        <f aca="false">IF(AG9=0,0,MIN(Assumptions!$F$44,Assumptions!$F$42+Assumptions!$F$43*(AG$5-Assumptions!$F$7)))</f>
        <v>0.88</v>
      </c>
      <c r="AH37" s="44" t="n">
        <f aca="false">IF(AH9=0,0,MIN(Assumptions!$F$44,Assumptions!$F$42+Assumptions!$F$43*(AH$5-Assumptions!$F$7)))</f>
        <v>0.88</v>
      </c>
      <c r="AI37" s="44" t="n">
        <f aca="false">IF(AI9=0,0,MIN(Assumptions!$F$44,Assumptions!$F$42+Assumptions!$F$43*(AI$5-Assumptions!$F$7)))</f>
        <v>0.88</v>
      </c>
      <c r="AJ37" s="44" t="n">
        <f aca="false">IF(AJ9=0,0,MIN(Assumptions!$F$44,Assumptions!$F$42+Assumptions!$F$43*(AJ$5-Assumptions!$F$7)))</f>
        <v>0.88</v>
      </c>
      <c r="AK37" s="44" t="n">
        <f aca="false">IF(AK9=0,0,MIN(Assumptions!$F$44,Assumptions!$F$42+Assumptions!$F$43*(AK$5-Assumptions!$F$7)))</f>
        <v>0.88</v>
      </c>
      <c r="AL37" s="44" t="n">
        <f aca="false">IF(AL9=0,0,MIN(Assumptions!$F$44,Assumptions!$F$42+Assumptions!$F$43*(AL$5-Assumptions!$F$7)))</f>
        <v>0.88</v>
      </c>
      <c r="AM37" s="44" t="n">
        <f aca="false">AL37</f>
        <v>0.88</v>
      </c>
    </row>
    <row r="38" customFormat="false" ht="15" hidden="false" customHeight="false" outlineLevel="0" collapsed="false">
      <c r="A38" s="10" t="s">
        <v>623</v>
      </c>
      <c r="B38" s="9" t="s">
        <v>44</v>
      </c>
      <c r="C38" s="43" t="n">
        <f aca="false">C18*Assumptions!$F$39*C9</f>
        <v>0</v>
      </c>
      <c r="D38" s="43" t="n">
        <f aca="false">D18*Assumptions!$F$39*D9</f>
        <v>0</v>
      </c>
      <c r="E38" s="43" t="n">
        <f aca="false">E18*Assumptions!$F$39*E9</f>
        <v>0</v>
      </c>
      <c r="F38" s="43" t="n">
        <f aca="false">F18*Assumptions!$F$39*F9</f>
        <v>0</v>
      </c>
      <c r="G38" s="43" t="n">
        <f aca="false">G18*Assumptions!$F$39*G9</f>
        <v>4805.2750794379</v>
      </c>
      <c r="H38" s="43" t="n">
        <f aca="false">H18*Assumptions!$F$39*H9</f>
        <v>5128.58396018106</v>
      </c>
      <c r="I38" s="43" t="n">
        <f aca="false">I18*Assumptions!$F$39*I9</f>
        <v>5406.46890905015</v>
      </c>
      <c r="J38" s="43" t="n">
        <f aca="false">J18*Assumptions!$F$39*J9</f>
        <v>5702.44764465761</v>
      </c>
      <c r="K38" s="43" t="n">
        <f aca="false">K18*Assumptions!$F$39*K9</f>
        <v>6020.55571801055</v>
      </c>
      <c r="L38" s="43" t="n">
        <f aca="false">L18*Assumptions!$F$39*L9</f>
        <v>6362.78623479623</v>
      </c>
      <c r="M38" s="43" t="n">
        <f aca="false">M18*Assumptions!$F$39*M9</f>
        <v>6730.40534720159</v>
      </c>
      <c r="N38" s="43" t="n">
        <f aca="false">N18*Assumptions!$F$39*N9</f>
        <v>7124.61870643255</v>
      </c>
      <c r="O38" s="43" t="n">
        <f aca="false">O18*Assumptions!$F$39*O9</f>
        <v>7546.70922650063</v>
      </c>
      <c r="P38" s="43" t="n">
        <f aca="false">P18*Assumptions!$F$39*P9</f>
        <v>7998.09938179847</v>
      </c>
      <c r="Q38" s="43" t="n">
        <f aca="false">Q18*Assumptions!$F$39*Q9</f>
        <v>8480.38774943236</v>
      </c>
      <c r="R38" s="43" t="n">
        <f aca="false">R18*Assumptions!$F$39*R9</f>
        <v>8995.37491645031</v>
      </c>
      <c r="S38" s="43" t="n">
        <f aca="false">S18*Assumptions!$F$39*S9</f>
        <v>9545.0847261856</v>
      </c>
      <c r="T38" s="43" t="n">
        <f aca="false">T18*Assumptions!$F$39*T9</f>
        <v>10131.7839896647</v>
      </c>
      <c r="U38" s="43" t="n">
        <f aca="false">U18*Assumptions!$F$39*U9</f>
        <v>10737.583612924</v>
      </c>
      <c r="V38" s="43" t="n">
        <f aca="false">V18*Assumptions!$F$39*V9</f>
        <v>11360.9752290797</v>
      </c>
      <c r="W38" s="43" t="n">
        <f aca="false">W18*Assumptions!$F$39*W9</f>
        <v>12005.9137913302</v>
      </c>
      <c r="X38" s="43" t="n">
        <f aca="false">X18*Assumptions!$F$39*X9</f>
        <v>12674.2400039883</v>
      </c>
      <c r="Y38" s="43" t="n">
        <f aca="false">Y18*Assumptions!$F$39*Y9</f>
        <v>13367.899673368</v>
      </c>
      <c r="Z38" s="43" t="n">
        <f aca="false">Z18*Assumptions!$F$39*Z9</f>
        <v>14089.071112471</v>
      </c>
      <c r="AA38" s="43" t="n">
        <f aca="false">AA18*Assumptions!$F$39*AA9</f>
        <v>14840.2134393388</v>
      </c>
      <c r="AB38" s="43" t="n">
        <f aca="false">AB18*Assumptions!$F$39*AB9</f>
        <v>15624.1008088464</v>
      </c>
      <c r="AC38" s="43" t="n">
        <f aca="false">AC18*Assumptions!$F$39*AC9</f>
        <v>16443.8583880494</v>
      </c>
      <c r="AD38" s="43" t="n">
        <f aca="false">AD18*Assumptions!$F$39*AD9</f>
        <v>17303.0019250642</v>
      </c>
      <c r="AE38" s="43" t="n">
        <f aca="false">AE18*Assumptions!$F$39*AE9</f>
        <v>18205.4816087261</v>
      </c>
      <c r="AF38" s="43" t="n">
        <f aca="false">AF18*Assumptions!$F$39*AF9</f>
        <v>19155.7307881201</v>
      </c>
      <c r="AG38" s="43" t="n">
        <f aca="false">AG18*Assumptions!$F$39*AG9</f>
        <v>20158.720139715</v>
      </c>
      <c r="AH38" s="43" t="n">
        <f aca="false">AH18*Assumptions!$F$39*AH9</f>
        <v>21220.0179141223</v>
      </c>
      <c r="AI38" s="43" t="n">
        <f aca="false">AI18*Assumptions!$F$39*AI9</f>
        <v>22345.8569510276</v>
      </c>
      <c r="AJ38" s="43" t="n">
        <f aca="false">AJ18*Assumptions!$F$39*AJ9</f>
        <v>22796.1470374729</v>
      </c>
      <c r="AK38" s="43" t="n">
        <f aca="false">AK18*Assumptions!$F$39*AK9</f>
        <v>23235.5967256092</v>
      </c>
      <c r="AL38" s="43" t="n">
        <f aca="false">AL18*Assumptions!$F$39*AL9</f>
        <v>23728.4333437673</v>
      </c>
      <c r="AM38" s="43" t="n">
        <f aca="false">SUM(C38:AL38)</f>
        <v>409271.42408282</v>
      </c>
    </row>
    <row r="39" customFormat="false" ht="15" hidden="false" customHeight="false" outlineLevel="0" collapsed="false">
      <c r="A39" s="10" t="s">
        <v>624</v>
      </c>
      <c r="B39" s="9" t="s">
        <v>44</v>
      </c>
      <c r="C39" s="43" t="n">
        <f aca="false">C38*Assumptions!$F$40</f>
        <v>0</v>
      </c>
      <c r="D39" s="43" t="n">
        <f aca="false">D38*Assumptions!$F$40</f>
        <v>0</v>
      </c>
      <c r="E39" s="43" t="n">
        <f aca="false">E38*Assumptions!$F$40</f>
        <v>0</v>
      </c>
      <c r="F39" s="43" t="n">
        <f aca="false">F38*Assumptions!$F$40</f>
        <v>0</v>
      </c>
      <c r="G39" s="43" t="n">
        <f aca="false">G38*Assumptions!$F$40</f>
        <v>3652.0090603728</v>
      </c>
      <c r="H39" s="43" t="n">
        <f aca="false">H38*Assumptions!$F$40</f>
        <v>3897.7238097376</v>
      </c>
      <c r="I39" s="43" t="n">
        <f aca="false">I38*Assumptions!$F$40</f>
        <v>4108.91637087812</v>
      </c>
      <c r="J39" s="43" t="n">
        <f aca="false">J38*Assumptions!$F$40</f>
        <v>4333.86020993978</v>
      </c>
      <c r="K39" s="43" t="n">
        <f aca="false">K38*Assumptions!$F$40</f>
        <v>4575.62234568802</v>
      </c>
      <c r="L39" s="43" t="n">
        <f aca="false">L38*Assumptions!$F$40</f>
        <v>4835.71753844514</v>
      </c>
      <c r="M39" s="43" t="n">
        <f aca="false">M38*Assumptions!$F$40</f>
        <v>5115.10806387321</v>
      </c>
      <c r="N39" s="43" t="n">
        <f aca="false">N38*Assumptions!$F$40</f>
        <v>5414.71021688874</v>
      </c>
      <c r="O39" s="43" t="n">
        <f aca="false">O38*Assumptions!$F$40</f>
        <v>5735.49901214048</v>
      </c>
      <c r="P39" s="43" t="n">
        <f aca="false">P38*Assumptions!$F$40</f>
        <v>6078.55553016684</v>
      </c>
      <c r="Q39" s="43" t="n">
        <f aca="false">Q38*Assumptions!$F$40</f>
        <v>6445.09468956859</v>
      </c>
      <c r="R39" s="43" t="n">
        <f aca="false">R38*Assumptions!$F$40</f>
        <v>6836.48493650224</v>
      </c>
      <c r="S39" s="43" t="n">
        <f aca="false">S38*Assumptions!$F$40</f>
        <v>7254.26439190105</v>
      </c>
      <c r="T39" s="43" t="n">
        <f aca="false">T38*Assumptions!$F$40</f>
        <v>7700.1558321452</v>
      </c>
      <c r="U39" s="43" t="n">
        <f aca="false">U38*Assumptions!$F$40</f>
        <v>8160.56354582226</v>
      </c>
      <c r="V39" s="43" t="n">
        <f aca="false">V38*Assumptions!$F$40</f>
        <v>8634.3411741006</v>
      </c>
      <c r="W39" s="43" t="n">
        <f aca="false">W38*Assumptions!$F$40</f>
        <v>9124.49448141096</v>
      </c>
      <c r="X39" s="43" t="n">
        <f aca="false">X38*Assumptions!$F$40</f>
        <v>9632.42240303113</v>
      </c>
      <c r="Y39" s="43" t="n">
        <f aca="false">Y38*Assumptions!$F$40</f>
        <v>10159.6037517597</v>
      </c>
      <c r="Z39" s="43" t="n">
        <f aca="false">Z38*Assumptions!$F$40</f>
        <v>10707.6940454779</v>
      </c>
      <c r="AA39" s="43" t="n">
        <f aca="false">AA38*Assumptions!$F$40</f>
        <v>11278.5622138975</v>
      </c>
      <c r="AB39" s="43" t="n">
        <f aca="false">AB38*Assumptions!$F$40</f>
        <v>11874.3166147233</v>
      </c>
      <c r="AC39" s="43" t="n">
        <f aca="false">AC38*Assumptions!$F$40</f>
        <v>12497.3323749176</v>
      </c>
      <c r="AD39" s="43" t="n">
        <f aca="false">AD38*Assumptions!$F$40</f>
        <v>13150.2814630488</v>
      </c>
      <c r="AE39" s="43" t="n">
        <f aca="false">AE38*Assumptions!$F$40</f>
        <v>13836.1660226318</v>
      </c>
      <c r="AF39" s="43" t="n">
        <f aca="false">AF38*Assumptions!$F$40</f>
        <v>14558.3553989713</v>
      </c>
      <c r="AG39" s="43" t="n">
        <f aca="false">AG38*Assumptions!$F$40</f>
        <v>15320.6273061834</v>
      </c>
      <c r="AH39" s="43" t="n">
        <f aca="false">AH38*Assumptions!$F$40</f>
        <v>16127.213614733</v>
      </c>
      <c r="AI39" s="43" t="n">
        <f aca="false">AI38*Assumptions!$F$40</f>
        <v>16982.8512827809</v>
      </c>
      <c r="AJ39" s="43" t="n">
        <f aca="false">AJ38*Assumptions!$F$40</f>
        <v>17325.0717484794</v>
      </c>
      <c r="AK39" s="43" t="n">
        <f aca="false">AK38*Assumptions!$F$40</f>
        <v>17659.053511463</v>
      </c>
      <c r="AL39" s="43" t="n">
        <f aca="false">AL38*Assumptions!$F$40</f>
        <v>18033.6093412631</v>
      </c>
      <c r="AM39" s="43" t="n">
        <f aca="false">SUM(C39:AL39)</f>
        <v>311046.282302943</v>
      </c>
    </row>
    <row r="40" customFormat="false" ht="15" hidden="false" customHeight="false" outlineLevel="0" collapsed="false">
      <c r="A40" s="10" t="s">
        <v>625</v>
      </c>
      <c r="B40" s="9" t="s">
        <v>44</v>
      </c>
      <c r="C40" s="43" t="n">
        <f aca="false">C39*Assumptions!$F$41*C37</f>
        <v>0</v>
      </c>
      <c r="D40" s="43" t="n">
        <f aca="false">D39*Assumptions!$F$41*D37</f>
        <v>0</v>
      </c>
      <c r="E40" s="43" t="n">
        <f aca="false">E39*Assumptions!$F$41*E37</f>
        <v>0</v>
      </c>
      <c r="F40" s="43" t="n">
        <f aca="false">F39*Assumptions!$F$41*F37</f>
        <v>0</v>
      </c>
      <c r="G40" s="43" t="n">
        <f aca="false">G39*Assumptions!$F$41*G37</f>
        <v>1051.77860938737</v>
      </c>
      <c r="H40" s="43" t="n">
        <f aca="false">H39*Assumptions!$F$41*H37</f>
        <v>1209.85347054255</v>
      </c>
      <c r="I40" s="43" t="n">
        <f aca="false">I39*Assumptions!$F$41*I37</f>
        <v>1367.44736822824</v>
      </c>
      <c r="J40" s="43" t="n">
        <f aca="false">J39*Assumptions!$F$41*J37</f>
        <v>1539.38714657061</v>
      </c>
      <c r="K40" s="43" t="n">
        <f aca="false">K39*Assumptions!$F$41*K37</f>
        <v>1727.7549977318</v>
      </c>
      <c r="L40" s="43" t="n">
        <f aca="false">L39*Assumptions!$F$41*L37</f>
        <v>1934.28701537805</v>
      </c>
      <c r="M40" s="43" t="n">
        <f aca="false">M39*Assumptions!$F$41*M37</f>
        <v>2160.62164618004</v>
      </c>
      <c r="N40" s="43" t="n">
        <f aca="false">N39*Assumptions!$F$41*N37</f>
        <v>2408.46310447211</v>
      </c>
      <c r="O40" s="43" t="n">
        <f aca="false">O39*Assumptions!$F$41*O37</f>
        <v>2679.62513847203</v>
      </c>
      <c r="P40" s="43" t="n">
        <f aca="false">P39*Assumptions!$F$41*P37</f>
        <v>2976.06078756968</v>
      </c>
      <c r="Q40" s="43" t="n">
        <f aca="false">Q39*Assumptions!$F$41*Q37</f>
        <v>3299.88848105912</v>
      </c>
      <c r="R40" s="43" t="n">
        <f aca="false">R39*Assumptions!$F$41*R37</f>
        <v>3653.4175500668</v>
      </c>
      <c r="S40" s="43" t="n">
        <f aca="false">S39*Assumptions!$F$41*S37</f>
        <v>4039.17441341051</v>
      </c>
      <c r="T40" s="43" t="n">
        <f aca="false">T39*Assumptions!$F$41*T37</f>
        <v>4336.72776466418</v>
      </c>
      <c r="U40" s="43" t="n">
        <f aca="false">U39*Assumptions!$F$41*U37</f>
        <v>4596.0293890071</v>
      </c>
      <c r="V40" s="43" t="n">
        <f aca="false">V39*Assumptions!$F$41*V37</f>
        <v>4862.86094925346</v>
      </c>
      <c r="W40" s="43" t="n">
        <f aca="false">W39*Assumptions!$F$41*W37</f>
        <v>5138.91529193065</v>
      </c>
      <c r="X40" s="43" t="n">
        <f aca="false">X39*Assumptions!$F$41*X37</f>
        <v>5424.98029738714</v>
      </c>
      <c r="Y40" s="43" t="n">
        <f aca="false">Y39*Assumptions!$F$41*Y37</f>
        <v>5721.88883299105</v>
      </c>
      <c r="Z40" s="43" t="n">
        <f aca="false">Z39*Assumptions!$F$41*Z37</f>
        <v>6030.57328641317</v>
      </c>
      <c r="AA40" s="43" t="n">
        <f aca="false">AA39*Assumptions!$F$41*AA37</f>
        <v>6352.08623886706</v>
      </c>
      <c r="AB40" s="43" t="n">
        <f aca="false">AB39*Assumptions!$F$41*AB37</f>
        <v>6687.61511741215</v>
      </c>
      <c r="AC40" s="43" t="n">
        <f aca="false">AC39*Assumptions!$F$41*AC37</f>
        <v>7038.49759355357</v>
      </c>
      <c r="AD40" s="43" t="n">
        <f aca="false">AD39*Assumptions!$F$41*AD37</f>
        <v>7406.23851998908</v>
      </c>
      <c r="AE40" s="43" t="n">
        <f aca="false">AE39*Assumptions!$F$41*AE37</f>
        <v>7792.52870394623</v>
      </c>
      <c r="AF40" s="43" t="n">
        <f aca="false">AF39*Assumptions!$F$41*AF37</f>
        <v>8199.26576070062</v>
      </c>
      <c r="AG40" s="43" t="n">
        <f aca="false">AG39*Assumptions!$F$41*AG37</f>
        <v>8628.57729884248</v>
      </c>
      <c r="AH40" s="43" t="n">
        <f aca="false">AH39*Assumptions!$F$41*AH37</f>
        <v>9082.8467078176</v>
      </c>
      <c r="AI40" s="43" t="n">
        <f aca="false">AI39*Assumptions!$F$41*AI37</f>
        <v>9564.74184246223</v>
      </c>
      <c r="AJ40" s="43" t="n">
        <f aca="false">AJ39*Assumptions!$F$41*AJ37</f>
        <v>9757.48040874358</v>
      </c>
      <c r="AK40" s="43" t="n">
        <f aca="false">AK39*Assumptions!$F$41*AK37</f>
        <v>9945.57893765597</v>
      </c>
      <c r="AL40" s="43" t="n">
        <f aca="false">AL39*Assumptions!$F$41*AL37</f>
        <v>10156.5287809994</v>
      </c>
      <c r="AM40" s="43" t="n">
        <f aca="false">SUM(C40:AL40)</f>
        <v>166771.721451706</v>
      </c>
    </row>
    <row r="41" customFormat="false" ht="15" hidden="false" customHeight="false" outlineLevel="0" collapsed="false">
      <c r="A41" s="10" t="s">
        <v>626</v>
      </c>
      <c r="B41" s="9" t="s">
        <v>44</v>
      </c>
      <c r="C41" s="43" t="n">
        <f aca="false">C40*Assumptions!$F$45</f>
        <v>0</v>
      </c>
      <c r="D41" s="43" t="n">
        <f aca="false">D40*Assumptions!$F$45</f>
        <v>0</v>
      </c>
      <c r="E41" s="43" t="n">
        <f aca="false">E40*Assumptions!$F$45</f>
        <v>0</v>
      </c>
      <c r="F41" s="43" t="n">
        <f aca="false">F40*Assumptions!$F$45</f>
        <v>0</v>
      </c>
      <c r="G41" s="43" t="n">
        <f aca="false">G40*Assumptions!$F$45</f>
        <v>652.102737820168</v>
      </c>
      <c r="H41" s="43" t="n">
        <f aca="false">H40*Assumptions!$F$45</f>
        <v>750.109151736382</v>
      </c>
      <c r="I41" s="43" t="n">
        <f aca="false">I40*Assumptions!$F$45</f>
        <v>847.817368301507</v>
      </c>
      <c r="J41" s="43" t="n">
        <f aca="false">J40*Assumptions!$F$45</f>
        <v>954.420030873778</v>
      </c>
      <c r="K41" s="43" t="n">
        <f aca="false">K40*Assumptions!$F$45</f>
        <v>1071.20809859371</v>
      </c>
      <c r="L41" s="43" t="n">
        <f aca="false">L40*Assumptions!$F$45</f>
        <v>1199.25794953439</v>
      </c>
      <c r="M41" s="43" t="n">
        <f aca="false">M40*Assumptions!$F$45</f>
        <v>1339.58542063163</v>
      </c>
      <c r="N41" s="43" t="n">
        <f aca="false">N40*Assumptions!$F$45</f>
        <v>1493.24712477271</v>
      </c>
      <c r="O41" s="43" t="n">
        <f aca="false">O40*Assumptions!$F$45</f>
        <v>1661.36758585266</v>
      </c>
      <c r="P41" s="43" t="n">
        <f aca="false">P40*Assumptions!$F$45</f>
        <v>1845.1576882932</v>
      </c>
      <c r="Q41" s="43" t="n">
        <f aca="false">Q40*Assumptions!$F$45</f>
        <v>2045.93085825665</v>
      </c>
      <c r="R41" s="43" t="n">
        <f aca="false">R40*Assumptions!$F$45</f>
        <v>2265.11888104141</v>
      </c>
      <c r="S41" s="43" t="n">
        <f aca="false">S40*Assumptions!$F$45</f>
        <v>2504.28813631451</v>
      </c>
      <c r="T41" s="43" t="n">
        <f aca="false">T40*Assumptions!$F$45</f>
        <v>2688.77121409179</v>
      </c>
      <c r="U41" s="43" t="n">
        <f aca="false">U40*Assumptions!$F$45</f>
        <v>2849.5382211844</v>
      </c>
      <c r="V41" s="43" t="n">
        <f aca="false">V40*Assumptions!$F$45</f>
        <v>3014.97378853714</v>
      </c>
      <c r="W41" s="43" t="n">
        <f aca="false">W40*Assumptions!$F$45</f>
        <v>3186.127480997</v>
      </c>
      <c r="X41" s="43" t="n">
        <f aca="false">X40*Assumptions!$F$45</f>
        <v>3363.48778438002</v>
      </c>
      <c r="Y41" s="43" t="n">
        <f aca="false">Y40*Assumptions!$F$45</f>
        <v>3547.57107645445</v>
      </c>
      <c r="Z41" s="43" t="n">
        <f aca="false">Z40*Assumptions!$F$45</f>
        <v>3738.95543757616</v>
      </c>
      <c r="AA41" s="43" t="n">
        <f aca="false">AA40*Assumptions!$F$45</f>
        <v>3938.29346809758</v>
      </c>
      <c r="AB41" s="43" t="n">
        <f aca="false">AB40*Assumptions!$F$45</f>
        <v>4146.32137279554</v>
      </c>
      <c r="AC41" s="43" t="n">
        <f aca="false">AC40*Assumptions!$F$45</f>
        <v>4363.86850800321</v>
      </c>
      <c r="AD41" s="43" t="n">
        <f aca="false">AD40*Assumptions!$F$45</f>
        <v>4591.86788239323</v>
      </c>
      <c r="AE41" s="43" t="n">
        <f aca="false">AE40*Assumptions!$F$45</f>
        <v>4831.36779644667</v>
      </c>
      <c r="AF41" s="43" t="n">
        <f aca="false">AF40*Assumptions!$F$45</f>
        <v>5083.54477163438</v>
      </c>
      <c r="AG41" s="43" t="n">
        <f aca="false">AG40*Assumptions!$F$45</f>
        <v>5349.71792528234</v>
      </c>
      <c r="AH41" s="43" t="n">
        <f aca="false">AH40*Assumptions!$F$45</f>
        <v>5631.36495884691</v>
      </c>
      <c r="AI41" s="43" t="n">
        <f aca="false">AI40*Assumptions!$F$45</f>
        <v>5930.13994232658</v>
      </c>
      <c r="AJ41" s="43" t="n">
        <f aca="false">AJ40*Assumptions!$F$45</f>
        <v>6049.63785342102</v>
      </c>
      <c r="AK41" s="43" t="n">
        <f aca="false">AK40*Assumptions!$F$45</f>
        <v>6166.2589413467</v>
      </c>
      <c r="AL41" s="43" t="n">
        <f aca="false">AL40*Assumptions!$F$45</f>
        <v>6297.04784421962</v>
      </c>
      <c r="AM41" s="43" t="n">
        <f aca="false">SUM(C41:AL41)</f>
        <v>103398.467300057</v>
      </c>
    </row>
    <row r="42" customFormat="false" ht="15" hidden="false" customHeight="false" outlineLevel="0" collapsed="false">
      <c r="A42" s="10" t="s">
        <v>627</v>
      </c>
      <c r="B42" s="9" t="s">
        <v>44</v>
      </c>
      <c r="C42" s="43" t="n">
        <f aca="false">C41*Assumptions!$F$46</f>
        <v>0</v>
      </c>
      <c r="D42" s="43" t="n">
        <f aca="false">D41*Assumptions!$F$46</f>
        <v>0</v>
      </c>
      <c r="E42" s="43" t="n">
        <f aca="false">E41*Assumptions!$F$46</f>
        <v>0</v>
      </c>
      <c r="F42" s="43" t="n">
        <f aca="false">F41*Assumptions!$F$46</f>
        <v>0</v>
      </c>
      <c r="G42" s="43" t="n">
        <f aca="false">G41*Assumptions!$F$46</f>
        <v>573.850409281748</v>
      </c>
      <c r="H42" s="43" t="n">
        <f aca="false">H41*Assumptions!$F$46</f>
        <v>660.096053528016</v>
      </c>
      <c r="I42" s="43" t="n">
        <f aca="false">I41*Assumptions!$F$46</f>
        <v>746.079284105326</v>
      </c>
      <c r="J42" s="43" t="n">
        <f aca="false">J41*Assumptions!$F$46</f>
        <v>839.889627168925</v>
      </c>
      <c r="K42" s="43" t="n">
        <f aca="false">K41*Assumptions!$F$46</f>
        <v>942.663126762468</v>
      </c>
      <c r="L42" s="43" t="n">
        <f aca="false">L41*Assumptions!$F$46</f>
        <v>1055.34699559027</v>
      </c>
      <c r="M42" s="43" t="n">
        <f aca="false">M41*Assumptions!$F$46</f>
        <v>1178.83517015583</v>
      </c>
      <c r="N42" s="43" t="n">
        <f aca="false">N41*Assumptions!$F$46</f>
        <v>1314.05746979998</v>
      </c>
      <c r="O42" s="43" t="n">
        <f aca="false">O41*Assumptions!$F$46</f>
        <v>1462.00347555034</v>
      </c>
      <c r="P42" s="43" t="n">
        <f aca="false">P41*Assumptions!$F$46</f>
        <v>1623.73876569802</v>
      </c>
      <c r="Q42" s="43" t="n">
        <f aca="false">Q41*Assumptions!$F$46</f>
        <v>1800.41915526586</v>
      </c>
      <c r="R42" s="43" t="n">
        <f aca="false">R41*Assumptions!$F$46</f>
        <v>1993.30461531644</v>
      </c>
      <c r="S42" s="43" t="n">
        <f aca="false">S41*Assumptions!$F$46</f>
        <v>2203.77355995677</v>
      </c>
      <c r="T42" s="43" t="n">
        <f aca="false">T41*Assumptions!$F$46</f>
        <v>2366.11866840078</v>
      </c>
      <c r="U42" s="43" t="n">
        <f aca="false">U41*Assumptions!$F$46</f>
        <v>2507.59363464227</v>
      </c>
      <c r="V42" s="43" t="n">
        <f aca="false">V41*Assumptions!$F$46</f>
        <v>2653.17693391269</v>
      </c>
      <c r="W42" s="43" t="n">
        <f aca="false">W41*Assumptions!$F$46</f>
        <v>2803.79218327736</v>
      </c>
      <c r="X42" s="43" t="n">
        <f aca="false">X41*Assumptions!$F$46</f>
        <v>2959.86925025442</v>
      </c>
      <c r="Y42" s="43" t="n">
        <f aca="false">Y41*Assumptions!$F$46</f>
        <v>3121.86254727992</v>
      </c>
      <c r="Z42" s="43" t="n">
        <f aca="false">Z41*Assumptions!$F$46</f>
        <v>3290.28078506702</v>
      </c>
      <c r="AA42" s="43" t="n">
        <f aca="false">AA41*Assumptions!$F$46</f>
        <v>3465.69825192587</v>
      </c>
      <c r="AB42" s="43" t="n">
        <f aca="false">AB41*Assumptions!$F$46</f>
        <v>3648.76280806007</v>
      </c>
      <c r="AC42" s="43" t="n">
        <f aca="false">AC41*Assumptions!$F$46</f>
        <v>3840.20428704283</v>
      </c>
      <c r="AD42" s="43" t="n">
        <f aca="false">AD41*Assumptions!$F$46</f>
        <v>4040.84373650604</v>
      </c>
      <c r="AE42" s="43" t="n">
        <f aca="false">AE41*Assumptions!$F$46</f>
        <v>4251.60366087307</v>
      </c>
      <c r="AF42" s="43" t="n">
        <f aca="false">AF41*Assumptions!$F$46</f>
        <v>4473.51939903826</v>
      </c>
      <c r="AG42" s="43" t="n">
        <f aca="false">AG41*Assumptions!$F$46</f>
        <v>4707.75177424846</v>
      </c>
      <c r="AH42" s="43" t="n">
        <f aca="false">AH41*Assumptions!$F$46</f>
        <v>4955.60116378528</v>
      </c>
      <c r="AI42" s="43" t="n">
        <f aca="false">AI41*Assumptions!$F$46</f>
        <v>5218.52314924739</v>
      </c>
      <c r="AJ42" s="43" t="n">
        <f aca="false">AJ41*Assumptions!$F$46</f>
        <v>5323.6813110105</v>
      </c>
      <c r="AK42" s="43" t="n">
        <f aca="false">AK41*Assumptions!$F$46</f>
        <v>5426.30786838509</v>
      </c>
      <c r="AL42" s="43" t="n">
        <f aca="false">AL41*Assumptions!$F$46</f>
        <v>5541.40210291327</v>
      </c>
      <c r="AM42" s="43" t="n">
        <f aca="false">SUM(C42:AL42)</f>
        <v>90990.6512240506</v>
      </c>
    </row>
    <row r="43" customFormat="false" ht="15" hidden="false" customHeight="false" outlineLevel="0" collapsed="false">
      <c r="A43" s="10" t="s">
        <v>628</v>
      </c>
      <c r="B43" s="9" t="s">
        <v>44</v>
      </c>
      <c r="C43" s="43" t="n">
        <f aca="false">C42*Assumptions!$F$47</f>
        <v>0</v>
      </c>
      <c r="D43" s="43" t="n">
        <f aca="false">D42*Assumptions!$F$47</f>
        <v>0</v>
      </c>
      <c r="E43" s="43" t="n">
        <f aca="false">E42*Assumptions!$F$47</f>
        <v>0</v>
      </c>
      <c r="F43" s="43" t="n">
        <f aca="false">F42*Assumptions!$F$47</f>
        <v>0</v>
      </c>
      <c r="G43" s="43" t="n">
        <f aca="false">G42*Assumptions!$F$47</f>
        <v>390.218278311588</v>
      </c>
      <c r="H43" s="43" t="n">
        <f aca="false">H42*Assumptions!$F$47</f>
        <v>448.865316399051</v>
      </c>
      <c r="I43" s="43" t="n">
        <f aca="false">I42*Assumptions!$F$47</f>
        <v>507.333913191622</v>
      </c>
      <c r="J43" s="43" t="n">
        <f aca="false">J42*Assumptions!$F$47</f>
        <v>571.124946474869</v>
      </c>
      <c r="K43" s="43" t="n">
        <f aca="false">K42*Assumptions!$F$47</f>
        <v>641.010926198479</v>
      </c>
      <c r="L43" s="43" t="n">
        <f aca="false">L42*Assumptions!$F$47</f>
        <v>717.635957001381</v>
      </c>
      <c r="M43" s="43" t="n">
        <f aca="false">M42*Assumptions!$F$47</f>
        <v>801.607915705965</v>
      </c>
      <c r="N43" s="43" t="n">
        <f aca="false">N42*Assumptions!$F$47</f>
        <v>893.559079463989</v>
      </c>
      <c r="O43" s="43" t="n">
        <f aca="false">O42*Assumptions!$F$47</f>
        <v>994.162363374231</v>
      </c>
      <c r="P43" s="43" t="n">
        <f aca="false">P42*Assumptions!$F$47</f>
        <v>1104.14236067465</v>
      </c>
      <c r="Q43" s="43" t="n">
        <f aca="false">Q42*Assumptions!$F$47</f>
        <v>1224.28502558078</v>
      </c>
      <c r="R43" s="43" t="n">
        <f aca="false">R42*Assumptions!$F$47</f>
        <v>1355.44713841518</v>
      </c>
      <c r="S43" s="43" t="n">
        <f aca="false">S42*Assumptions!$F$47</f>
        <v>1498.56602077061</v>
      </c>
      <c r="T43" s="43" t="n">
        <f aca="false">T42*Assumptions!$F$47</f>
        <v>1608.96069451253</v>
      </c>
      <c r="U43" s="43" t="n">
        <f aca="false">U42*Assumptions!$F$47</f>
        <v>1705.16367155675</v>
      </c>
      <c r="V43" s="43" t="n">
        <f aca="false">V42*Assumptions!$F$47</f>
        <v>1804.16031506063</v>
      </c>
      <c r="W43" s="43" t="n">
        <f aca="false">W42*Assumptions!$F$47</f>
        <v>1906.57868462861</v>
      </c>
      <c r="X43" s="43" t="n">
        <f aca="false">X42*Assumptions!$F$47</f>
        <v>2012.71109017301</v>
      </c>
      <c r="Y43" s="43" t="n">
        <f aca="false">Y42*Assumptions!$F$47</f>
        <v>2122.86653215035</v>
      </c>
      <c r="Z43" s="43" t="n">
        <f aca="false">Z42*Assumptions!$F$47</f>
        <v>2237.39093384558</v>
      </c>
      <c r="AA43" s="43" t="n">
        <f aca="false">AA42*Assumptions!$F$47</f>
        <v>2356.67481130959</v>
      </c>
      <c r="AB43" s="43" t="n">
        <f aca="false">AB42*Assumptions!$F$47</f>
        <v>2481.15870948085</v>
      </c>
      <c r="AC43" s="43" t="n">
        <f aca="false">AC42*Assumptions!$F$47</f>
        <v>2611.33891518912</v>
      </c>
      <c r="AD43" s="43" t="n">
        <f aca="false">AD42*Assumptions!$F$47</f>
        <v>2747.77374082411</v>
      </c>
      <c r="AE43" s="43" t="n">
        <f aca="false">AE42*Assumptions!$F$47</f>
        <v>2891.09048939369</v>
      </c>
      <c r="AF43" s="43" t="n">
        <f aca="false">AF42*Assumptions!$F$47</f>
        <v>3041.99319134602</v>
      </c>
      <c r="AG43" s="43" t="n">
        <f aca="false">AG42*Assumptions!$F$47</f>
        <v>3201.27120648895</v>
      </c>
      <c r="AH43" s="43" t="n">
        <f aca="false">AH42*Assumptions!$F$47</f>
        <v>3369.80879137399</v>
      </c>
      <c r="AI43" s="43" t="n">
        <f aca="false">AI42*Assumptions!$F$47</f>
        <v>3548.59574148823</v>
      </c>
      <c r="AJ43" s="43" t="n">
        <f aca="false">AJ42*Assumptions!$F$47</f>
        <v>3620.10329148714</v>
      </c>
      <c r="AK43" s="43" t="n">
        <f aca="false">AK42*Assumptions!$F$47</f>
        <v>3689.88935050186</v>
      </c>
      <c r="AL43" s="43" t="n">
        <f aca="false">AL42*Assumptions!$F$47</f>
        <v>3768.15342998102</v>
      </c>
      <c r="AM43" s="43" t="n">
        <f aca="false">SUM(C43:AL43)</f>
        <v>61873.6428323544</v>
      </c>
    </row>
    <row r="44" customFormat="false" ht="15" hidden="false" customHeight="false" outlineLevel="0" collapsed="false">
      <c r="A44" s="10" t="s">
        <v>629</v>
      </c>
      <c r="B44" s="9" t="s">
        <v>44</v>
      </c>
      <c r="C44" s="43" t="n">
        <f aca="false">C43*Assumptions!$F$48</f>
        <v>0</v>
      </c>
      <c r="D44" s="43" t="n">
        <f aca="false">D43*Assumptions!$F$48</f>
        <v>0</v>
      </c>
      <c r="E44" s="43" t="n">
        <f aca="false">E43*Assumptions!$F$48</f>
        <v>0</v>
      </c>
      <c r="F44" s="43" t="n">
        <f aca="false">F43*Assumptions!$F$48</f>
        <v>0</v>
      </c>
      <c r="G44" s="43" t="n">
        <f aca="false">G43*Assumptions!$F$48</f>
        <v>273.152794818112</v>
      </c>
      <c r="H44" s="43" t="n">
        <f aca="false">H43*Assumptions!$F$48</f>
        <v>314.205721479336</v>
      </c>
      <c r="I44" s="43" t="n">
        <f aca="false">I43*Assumptions!$F$48</f>
        <v>355.133739234135</v>
      </c>
      <c r="J44" s="43" t="n">
        <f aca="false">J43*Assumptions!$F$48</f>
        <v>399.787462532408</v>
      </c>
      <c r="K44" s="43" t="n">
        <f aca="false">K43*Assumptions!$F$48</f>
        <v>448.707648338935</v>
      </c>
      <c r="L44" s="43" t="n">
        <f aca="false">L43*Assumptions!$F$48</f>
        <v>502.345169900967</v>
      </c>
      <c r="M44" s="43" t="n">
        <f aca="false">M43*Assumptions!$F$48</f>
        <v>561.125540994176</v>
      </c>
      <c r="N44" s="43" t="n">
        <f aca="false">N43*Assumptions!$F$48</f>
        <v>625.491355624792</v>
      </c>
      <c r="O44" s="43" t="n">
        <f aca="false">O43*Assumptions!$F$48</f>
        <v>695.913654361962</v>
      </c>
      <c r="P44" s="43" t="n">
        <f aca="false">P43*Assumptions!$F$48</f>
        <v>772.899652472257</v>
      </c>
      <c r="Q44" s="43" t="n">
        <f aca="false">Q43*Assumptions!$F$48</f>
        <v>856.999517906548</v>
      </c>
      <c r="R44" s="43" t="n">
        <f aca="false">R43*Assumptions!$F$48</f>
        <v>948.812996890627</v>
      </c>
      <c r="S44" s="43" t="n">
        <f aca="false">S43*Assumptions!$F$48</f>
        <v>1048.99621453942</v>
      </c>
      <c r="T44" s="43" t="n">
        <f aca="false">T43*Assumptions!$F$48</f>
        <v>1126.27248615877</v>
      </c>
      <c r="U44" s="43" t="n">
        <f aca="false">U43*Assumptions!$F$48</f>
        <v>1193.61457008972</v>
      </c>
      <c r="V44" s="43" t="n">
        <f aca="false">V43*Assumptions!$F$48</f>
        <v>1262.91222054244</v>
      </c>
      <c r="W44" s="43" t="n">
        <f aca="false">W43*Assumptions!$F$48</f>
        <v>1334.60507924002</v>
      </c>
      <c r="X44" s="43" t="n">
        <f aca="false">X43*Assumptions!$F$48</f>
        <v>1408.8977631211</v>
      </c>
      <c r="Y44" s="43" t="n">
        <f aca="false">Y43*Assumptions!$F$48</f>
        <v>1486.00657250524</v>
      </c>
      <c r="Z44" s="43" t="n">
        <f aca="false">Z43*Assumptions!$F$48</f>
        <v>1566.1736536919</v>
      </c>
      <c r="AA44" s="43" t="n">
        <f aca="false">AA43*Assumptions!$F$48</f>
        <v>1649.67236791671</v>
      </c>
      <c r="AB44" s="43" t="n">
        <f aca="false">AB43*Assumptions!$F$48</f>
        <v>1736.81109663659</v>
      </c>
      <c r="AC44" s="43" t="n">
        <f aca="false">AC43*Assumptions!$F$48</f>
        <v>1827.93724063238</v>
      </c>
      <c r="AD44" s="43" t="n">
        <f aca="false">AD43*Assumptions!$F$48</f>
        <v>1923.44161857687</v>
      </c>
      <c r="AE44" s="43" t="n">
        <f aca="false">AE43*Assumptions!$F$48</f>
        <v>2023.76334257558</v>
      </c>
      <c r="AF44" s="43" t="n">
        <f aca="false">AF43*Assumptions!$F$48</f>
        <v>2129.39523394221</v>
      </c>
      <c r="AG44" s="43" t="n">
        <f aca="false">AG43*Assumptions!$F$48</f>
        <v>2240.88984454226</v>
      </c>
      <c r="AH44" s="43" t="n">
        <f aca="false">AH43*Assumptions!$F$48</f>
        <v>2358.86615396179</v>
      </c>
      <c r="AI44" s="43" t="n">
        <f aca="false">AI43*Assumptions!$F$48</f>
        <v>2484.01701904176</v>
      </c>
      <c r="AJ44" s="43" t="n">
        <f aca="false">AJ43*Assumptions!$F$48</f>
        <v>2534.072304041</v>
      </c>
      <c r="AK44" s="43" t="n">
        <f aca="false">AK43*Assumptions!$F$48</f>
        <v>2582.92254535131</v>
      </c>
      <c r="AL44" s="43" t="n">
        <f aca="false">AL43*Assumptions!$F$48</f>
        <v>2637.70740098672</v>
      </c>
      <c r="AM44" s="43" t="n">
        <f aca="false">SUM(C44:AL44)</f>
        <v>43311.5499826481</v>
      </c>
    </row>
    <row r="45" customFormat="false" ht="15" hidden="false" customHeight="false" outlineLevel="0" collapsed="false">
      <c r="A45" s="26" t="s">
        <v>630</v>
      </c>
      <c r="B45" s="9" t="s">
        <v>44</v>
      </c>
      <c r="C45" s="52" t="n">
        <f aca="false">C44</f>
        <v>0</v>
      </c>
      <c r="D45" s="52" t="n">
        <f aca="false">C45*(1-Assumptions!$F$49)+D44</f>
        <v>0</v>
      </c>
      <c r="E45" s="52" t="n">
        <f aca="false">D45*(1-Assumptions!$F$49)+E44</f>
        <v>0</v>
      </c>
      <c r="F45" s="52" t="n">
        <f aca="false">E45*(1-Assumptions!$F$49)+F44</f>
        <v>0</v>
      </c>
      <c r="G45" s="52" t="n">
        <f aca="false">F45*(1-Assumptions!$F$49)+G44</f>
        <v>273.152794818112</v>
      </c>
      <c r="H45" s="52" t="n">
        <f aca="false">G45*(1-Assumptions!$F$49)+H44</f>
        <v>561.409000789727</v>
      </c>
      <c r="I45" s="52" t="n">
        <f aca="false">H45*(1-Assumptions!$F$49)+I44</f>
        <v>863.208884948838</v>
      </c>
      <c r="J45" s="52" t="n">
        <f aca="false">I45*(1-Assumptions!$F$49)+J44</f>
        <v>1180.99150341111</v>
      </c>
      <c r="K45" s="52" t="n">
        <f aca="false">J45*(1-Assumptions!$F$49)+K44</f>
        <v>1517.50495892599</v>
      </c>
      <c r="L45" s="52" t="n">
        <f aca="false">K45*(1-Assumptions!$F$49)+L44</f>
        <v>1875.68715772898</v>
      </c>
      <c r="M45" s="52" t="n">
        <f aca="false">L45*(1-Assumptions!$F$49)+M44</f>
        <v>2258.62241873891</v>
      </c>
      <c r="N45" s="52" t="n">
        <f aca="false">M45*(1-Assumptions!$F$49)+N44</f>
        <v>2669.5446445835</v>
      </c>
      <c r="O45" s="52" t="n">
        <f aca="false">N45*(1-Assumptions!$F$49)+O44</f>
        <v>3111.85155771003</v>
      </c>
      <c r="P45" s="52" t="n">
        <f aca="false">O45*(1-Assumptions!$F$49)+P44</f>
        <v>3589.12531219984</v>
      </c>
      <c r="Q45" s="52" t="n">
        <f aca="false">P45*(1-Assumptions!$F$49)+Q44</f>
        <v>4105.1579254474</v>
      </c>
      <c r="R45" s="52" t="n">
        <f aca="false">Q45*(1-Assumptions!$F$49)+R44</f>
        <v>4663.98091942052</v>
      </c>
      <c r="S45" s="52" t="n">
        <f aca="false">R45*(1-Assumptions!$F$49)+S44</f>
        <v>5269.898946615</v>
      </c>
      <c r="T45" s="52" t="n">
        <f aca="false">S45*(1-Assumptions!$F$49)+T44</f>
        <v>5895.53103284534</v>
      </c>
      <c r="U45" s="52" t="n">
        <f aca="false">T45*(1-Assumptions!$F$49)+U44</f>
        <v>6529.07015481476</v>
      </c>
      <c r="V45" s="52" t="n">
        <f aca="false">U45*(1-Assumptions!$F$49)+V44</f>
        <v>7171.72071064979</v>
      </c>
      <c r="W45" s="52" t="n">
        <f aca="false">V45*(1-Assumptions!$F$49)+W44</f>
        <v>7825.01232237809</v>
      </c>
      <c r="X45" s="52" t="n">
        <f aca="false">W45*(1-Assumptions!$F$49)+X44</f>
        <v>8490.53391487327</v>
      </c>
      <c r="Y45" s="52" t="n">
        <f aca="false">X45*(1-Assumptions!$F$49)+Y44</f>
        <v>9169.93976546555</v>
      </c>
      <c r="Z45" s="52" t="n">
        <f aca="false">Y45*(1-Assumptions!$F$49)+Z44</f>
        <v>9864.96914143823</v>
      </c>
      <c r="AA45" s="52" t="n">
        <f aca="false">Z45*(1-Assumptions!$F$49)+AA44</f>
        <v>10577.4694409183</v>
      </c>
      <c r="AB45" s="52" t="n">
        <f aca="false">AA45*(1-Assumptions!$F$49)+AB44</f>
        <v>11309.4209406677</v>
      </c>
      <c r="AC45" s="52" t="n">
        <f aca="false">AB45*(1-Assumptions!$F$49)+AC44</f>
        <v>12062.9631919366</v>
      </c>
      <c r="AD45" s="52" t="n">
        <f aca="false">AC45*(1-Assumptions!$F$49)+AD44</f>
        <v>12840.4233072795</v>
      </c>
      <c r="AE45" s="52" t="n">
        <f aca="false">AD45*(1-Assumptions!$F$49)+AE44</f>
        <v>13644.3464356635</v>
      </c>
      <c r="AF45" s="52" t="n">
        <f aca="false">AE45*(1-Assumptions!$F$49)+AF44</f>
        <v>14477.5287582177</v>
      </c>
      <c r="AG45" s="52" t="n">
        <f aca="false">AF45*(1-Assumptions!$F$49)+AG44</f>
        <v>15343.0533707293</v>
      </c>
      <c r="AH45" s="52" t="n">
        <f aca="false">AG45*(1-Assumptions!$F$49)+AH44</f>
        <v>16244.3294544718</v>
      </c>
      <c r="AI45" s="52" t="n">
        <f aca="false">AH45*(1-Assumptions!$F$49)+AI44</f>
        <v>17185.1351753388</v>
      </c>
      <c r="AJ45" s="52" t="n">
        <f aca="false">AI45*(1-Assumptions!$F$49)+AJ44</f>
        <v>18086.6196377226</v>
      </c>
      <c r="AK45" s="52" t="n">
        <f aca="false">AJ45*(1-Assumptions!$F$49)+AK44</f>
        <v>18951.3133174902</v>
      </c>
      <c r="AL45" s="52" t="n">
        <f aca="false">AK45*(1-Assumptions!$F$49)+AL44</f>
        <v>19788.6459533154</v>
      </c>
      <c r="AM45" s="52" t="n">
        <f aca="false">AL45</f>
        <v>19788.6459533154</v>
      </c>
    </row>
    <row r="46" customFormat="false" ht="15" hidden="false" customHeight="false" outlineLevel="0" collapsed="false">
      <c r="A46" s="10" t="s">
        <v>631</v>
      </c>
      <c r="B46" s="9" t="s">
        <v>44</v>
      </c>
      <c r="C46" s="43" t="n">
        <f aca="false">0</f>
        <v>0</v>
      </c>
      <c r="D46" s="43" t="n">
        <f aca="false">C45*Assumptions!$F$49</f>
        <v>0</v>
      </c>
      <c r="E46" s="43" t="n">
        <f aca="false">D45*Assumptions!$F$49</f>
        <v>0</v>
      </c>
      <c r="F46" s="43" t="n">
        <f aca="false">E45*Assumptions!$F$49</f>
        <v>0</v>
      </c>
      <c r="G46" s="43" t="n">
        <f aca="false">F45*Assumptions!$F$49</f>
        <v>0</v>
      </c>
      <c r="H46" s="43" t="n">
        <f aca="false">G45*Assumptions!$F$49</f>
        <v>25.9495155077206</v>
      </c>
      <c r="I46" s="43" t="n">
        <f aca="false">H45*Assumptions!$F$49</f>
        <v>53.3338550750241</v>
      </c>
      <c r="J46" s="43" t="n">
        <f aca="false">I45*Assumptions!$F$49</f>
        <v>82.0048440701396</v>
      </c>
      <c r="K46" s="43" t="n">
        <f aca="false">J45*Assumptions!$F$49</f>
        <v>112.194192824055</v>
      </c>
      <c r="L46" s="43" t="n">
        <f aca="false">K45*Assumptions!$F$49</f>
        <v>144.162971097969</v>
      </c>
      <c r="M46" s="43" t="n">
        <f aca="false">L45*Assumptions!$F$49</f>
        <v>178.190279984254</v>
      </c>
      <c r="N46" s="43" t="n">
        <f aca="false">M45*Assumptions!$F$49</f>
        <v>214.569129780196</v>
      </c>
      <c r="O46" s="43" t="n">
        <f aca="false">N45*Assumptions!$F$49</f>
        <v>253.606741235433</v>
      </c>
      <c r="P46" s="43" t="n">
        <f aca="false">O45*Assumptions!$F$49</f>
        <v>295.625897982453</v>
      </c>
      <c r="Q46" s="43" t="n">
        <f aca="false">P45*Assumptions!$F$49</f>
        <v>340.966904658984</v>
      </c>
      <c r="R46" s="43" t="n">
        <f aca="false">Q45*Assumptions!$F$49</f>
        <v>389.990002917503</v>
      </c>
      <c r="S46" s="43" t="n">
        <f aca="false">R45*Assumptions!$F$49</f>
        <v>443.07818734495</v>
      </c>
      <c r="T46" s="43" t="n">
        <f aca="false">S45*Assumptions!$F$49</f>
        <v>500.640399928425</v>
      </c>
      <c r="U46" s="43" t="n">
        <f aca="false">T45*Assumptions!$F$49</f>
        <v>560.075448120307</v>
      </c>
      <c r="V46" s="43" t="n">
        <f aca="false">U45*Assumptions!$F$49</f>
        <v>620.261664707402</v>
      </c>
      <c r="W46" s="43" t="n">
        <f aca="false">V45*Assumptions!$F$49</f>
        <v>681.31346751173</v>
      </c>
      <c r="X46" s="43" t="n">
        <f aca="false">W45*Assumptions!$F$49</f>
        <v>743.376170625918</v>
      </c>
      <c r="Y46" s="43" t="n">
        <f aca="false">X45*Assumptions!$F$49</f>
        <v>806.600721912961</v>
      </c>
      <c r="Z46" s="43" t="n">
        <f aca="false">Y45*Assumptions!$F$49</f>
        <v>871.144277719228</v>
      </c>
      <c r="AA46" s="43" t="n">
        <f aca="false">Z45*Assumptions!$F$49</f>
        <v>937.172068436632</v>
      </c>
      <c r="AB46" s="43" t="n">
        <f aca="false">AA45*Assumptions!$F$49</f>
        <v>1004.85959688724</v>
      </c>
      <c r="AC46" s="43" t="n">
        <f aca="false">AB45*Assumptions!$F$49</f>
        <v>1074.39498936343</v>
      </c>
      <c r="AD46" s="43" t="n">
        <f aca="false">AC45*Assumptions!$F$49</f>
        <v>1145.98150323398</v>
      </c>
      <c r="AE46" s="43" t="n">
        <f aca="false">AD45*Assumptions!$F$49</f>
        <v>1219.84021419155</v>
      </c>
      <c r="AF46" s="43" t="n">
        <f aca="false">AE45*Assumptions!$F$49</f>
        <v>1296.21291138804</v>
      </c>
      <c r="AG46" s="43" t="n">
        <f aca="false">AF45*Assumptions!$F$49</f>
        <v>1375.36523203068</v>
      </c>
      <c r="AH46" s="43" t="n">
        <f aca="false">AG45*Assumptions!$F$49</f>
        <v>1457.59007021928</v>
      </c>
      <c r="AI46" s="43" t="n">
        <f aca="false">AH45*Assumptions!$F$49</f>
        <v>1543.21129817482</v>
      </c>
      <c r="AJ46" s="43" t="n">
        <f aca="false">AI45*Assumptions!$F$49</f>
        <v>1632.58784165718</v>
      </c>
      <c r="AK46" s="43" t="n">
        <f aca="false">AJ45*Assumptions!$F$49</f>
        <v>1718.22886558364</v>
      </c>
      <c r="AL46" s="43" t="n">
        <f aca="false">AK45*Assumptions!$F$49</f>
        <v>1800.37476516157</v>
      </c>
      <c r="AM46" s="43" t="n">
        <f aca="false">SUM(C46:AL46)</f>
        <v>23522.9040293327</v>
      </c>
    </row>
    <row r="47" customFormat="false" ht="15" hidden="false" customHeight="false" outlineLevel="0" collapsed="false">
      <c r="A47" s="10" t="s">
        <v>632</v>
      </c>
      <c r="B47" s="9" t="s">
        <v>90</v>
      </c>
      <c r="C47" s="50" t="n">
        <f aca="false">C45*Assumptions!$F$51</f>
        <v>0</v>
      </c>
      <c r="D47" s="50" t="n">
        <f aca="false">D45*Assumptions!$F$51</f>
        <v>0</v>
      </c>
      <c r="E47" s="50" t="n">
        <f aca="false">E45*Assumptions!$F$51</f>
        <v>0</v>
      </c>
      <c r="F47" s="50" t="n">
        <f aca="false">F45*Assumptions!$F$51</f>
        <v>0</v>
      </c>
      <c r="G47" s="50" t="n">
        <f aca="false">G45*Assumptions!$F$51</f>
        <v>81672.6856506154</v>
      </c>
      <c r="H47" s="50" t="n">
        <f aca="false">H45*Assumptions!$F$51</f>
        <v>167861.291236128</v>
      </c>
      <c r="I47" s="50" t="n">
        <f aca="false">I45*Assumptions!$F$51</f>
        <v>258099.456599703</v>
      </c>
      <c r="J47" s="50" t="n">
        <f aca="false">J45*Assumptions!$F$51</f>
        <v>353116.459519921</v>
      </c>
      <c r="K47" s="50" t="n">
        <f aca="false">K45*Assumptions!$F$51</f>
        <v>453733.98271887</v>
      </c>
      <c r="L47" s="50" t="n">
        <f aca="false">L45*Assumptions!$F$51</f>
        <v>560830.460160966</v>
      </c>
      <c r="M47" s="50" t="n">
        <f aca="false">M45*Assumptions!$F$51</f>
        <v>675328.103202933</v>
      </c>
      <c r="N47" s="50" t="n">
        <f aca="false">N45*Assumptions!$F$51</f>
        <v>798193.848730467</v>
      </c>
      <c r="O47" s="50" t="n">
        <f aca="false">O45*Assumptions!$F$51</f>
        <v>930443.615755299</v>
      </c>
      <c r="P47" s="50" t="n">
        <f aca="false">P45*Assumptions!$F$51</f>
        <v>1073148.46834775</v>
      </c>
      <c r="Q47" s="50" t="n">
        <f aca="false">Q45*Assumptions!$F$51</f>
        <v>1227442.21970877</v>
      </c>
      <c r="R47" s="50" t="n">
        <f aca="false">R45*Assumptions!$F$51</f>
        <v>1394530.29490674</v>
      </c>
      <c r="S47" s="50" t="n">
        <f aca="false">S45*Assumptions!$F$51</f>
        <v>1575699.78503788</v>
      </c>
      <c r="T47" s="50" t="n">
        <f aca="false">T45*Assumptions!$F$51</f>
        <v>1762763.77882076</v>
      </c>
      <c r="U47" s="50" t="n">
        <f aca="false">U45*Assumptions!$F$51</f>
        <v>1952191.97628961</v>
      </c>
      <c r="V47" s="50" t="n">
        <f aca="false">V45*Assumptions!$F$51</f>
        <v>2144344.49248429</v>
      </c>
      <c r="W47" s="50" t="n">
        <f aca="false">W45*Assumptions!$F$51</f>
        <v>2339678.68439105</v>
      </c>
      <c r="X47" s="50" t="n">
        <f aca="false">X45*Assumptions!$F$51</f>
        <v>2538669.64054711</v>
      </c>
      <c r="Y47" s="50" t="n">
        <f aca="false">Y45*Assumptions!$F$51</f>
        <v>2741811.9898742</v>
      </c>
      <c r="Z47" s="50" t="n">
        <f aca="false">Z45*Assumptions!$F$51</f>
        <v>2949625.77329003</v>
      </c>
      <c r="AA47" s="50" t="n">
        <f aca="false">AA45*Assumptions!$F$51</f>
        <v>3162663.36283457</v>
      </c>
      <c r="AB47" s="50" t="n">
        <f aca="false">AB45*Assumptions!$F$51</f>
        <v>3381516.86125963</v>
      </c>
      <c r="AC47" s="50" t="n">
        <f aca="false">AC45*Assumptions!$F$51</f>
        <v>3606825.99438905</v>
      </c>
      <c r="AD47" s="50" t="n">
        <f aca="false">AD45*Assumptions!$F$51</f>
        <v>3839286.56887658</v>
      </c>
      <c r="AE47" s="50" t="n">
        <f aca="false">AE45*Assumptions!$F$51</f>
        <v>4079659.5842634</v>
      </c>
      <c r="AF47" s="50" t="n">
        <f aca="false">AF45*Assumptions!$F$51</f>
        <v>4328781.0987071</v>
      </c>
      <c r="AG47" s="50" t="n">
        <f aca="false">AG45*Assumptions!$F$51</f>
        <v>4587572.95784806</v>
      </c>
      <c r="AH47" s="50" t="n">
        <f aca="false">AH45*Assumptions!$F$51</f>
        <v>4857054.50688707</v>
      </c>
      <c r="AI47" s="50" t="n">
        <f aca="false">AI45*Assumptions!$F$51</f>
        <v>5138355.41742629</v>
      </c>
      <c r="AJ47" s="50" t="n">
        <f aca="false">AJ45*Assumptions!$F$51</f>
        <v>5407899.27167905</v>
      </c>
      <c r="AK47" s="50" t="n">
        <f aca="false">AK45*Assumptions!$F$51</f>
        <v>5666442.68192958</v>
      </c>
      <c r="AL47" s="50" t="n">
        <f aca="false">AL45*Assumptions!$F$51</f>
        <v>5916805.1400413</v>
      </c>
      <c r="AM47" s="50" t="n">
        <f aca="false">SUM(C47:AL47)</f>
        <v>79952050.4534148</v>
      </c>
    </row>
    <row r="48" customFormat="false" ht="15" hidden="false" customHeight="false" outlineLevel="0" collapsed="false">
      <c r="A48" s="10" t="s">
        <v>633</v>
      </c>
      <c r="B48" s="9" t="s">
        <v>90</v>
      </c>
      <c r="C48" s="50" t="n">
        <f aca="false">C41*Assumptions!$F$52</f>
        <v>0</v>
      </c>
      <c r="D48" s="50" t="n">
        <f aca="false">D41*Assumptions!$F$52</f>
        <v>0</v>
      </c>
      <c r="E48" s="50" t="n">
        <f aca="false">E41*Assumptions!$F$52</f>
        <v>0</v>
      </c>
      <c r="F48" s="50" t="n">
        <f aca="false">F41*Assumptions!$F$52</f>
        <v>0</v>
      </c>
      <c r="G48" s="50" t="n">
        <f aca="false">G41*Assumptions!$F$52</f>
        <v>51516.1162877932</v>
      </c>
      <c r="H48" s="50" t="n">
        <f aca="false">H41*Assumptions!$F$52</f>
        <v>59258.6229871742</v>
      </c>
      <c r="I48" s="50" t="n">
        <f aca="false">I41*Assumptions!$F$52</f>
        <v>66977.5720958191</v>
      </c>
      <c r="J48" s="50" t="n">
        <f aca="false">J41*Assumptions!$F$52</f>
        <v>75399.1824390285</v>
      </c>
      <c r="K48" s="50" t="n">
        <f aca="false">K41*Assumptions!$F$52</f>
        <v>84625.4397889034</v>
      </c>
      <c r="L48" s="50" t="n">
        <f aca="false">L41*Assumptions!$F$52</f>
        <v>94741.3780132171</v>
      </c>
      <c r="M48" s="50" t="n">
        <f aca="false">M41*Assumptions!$F$52</f>
        <v>105827.248229898</v>
      </c>
      <c r="N48" s="50" t="n">
        <f aca="false">N41*Assumptions!$F$52</f>
        <v>117966.522857044</v>
      </c>
      <c r="O48" s="50" t="n">
        <f aca="false">O41*Assumptions!$F$52</f>
        <v>131248.03928236</v>
      </c>
      <c r="P48" s="50" t="n">
        <f aca="false">P41*Assumptions!$F$52</f>
        <v>145767.457375163</v>
      </c>
      <c r="Q48" s="50" t="n">
        <f aca="false">Q41*Assumptions!$F$52</f>
        <v>161628.537802276</v>
      </c>
      <c r="R48" s="50" t="n">
        <f aca="false">R41*Assumptions!$F$52</f>
        <v>178944.391602272</v>
      </c>
      <c r="S48" s="50" t="n">
        <f aca="false">S41*Assumptions!$F$52</f>
        <v>197838.762768847</v>
      </c>
      <c r="T48" s="50" t="n">
        <f aca="false">T41*Assumptions!$F$52</f>
        <v>212412.925913251</v>
      </c>
      <c r="U48" s="50" t="n">
        <f aca="false">U41*Assumptions!$F$52</f>
        <v>225113.519473568</v>
      </c>
      <c r="V48" s="50" t="n">
        <f aca="false">V41*Assumptions!$F$52</f>
        <v>238182.929294434</v>
      </c>
      <c r="W48" s="50" t="n">
        <f aca="false">W41*Assumptions!$F$52</f>
        <v>251704.070998763</v>
      </c>
      <c r="X48" s="50" t="n">
        <f aca="false">X41*Assumptions!$F$52</f>
        <v>265715.534966022</v>
      </c>
      <c r="Y48" s="50" t="n">
        <f aca="false">Y41*Assumptions!$F$52</f>
        <v>280258.115039902</v>
      </c>
      <c r="Z48" s="50" t="n">
        <f aca="false">Z41*Assumptions!$F$52</f>
        <v>295377.479568517</v>
      </c>
      <c r="AA48" s="50" t="n">
        <f aca="false">AA41*Assumptions!$F$52</f>
        <v>311125.183979709</v>
      </c>
      <c r="AB48" s="50" t="n">
        <f aca="false">AB41*Assumptions!$F$52</f>
        <v>327559.388450847</v>
      </c>
      <c r="AC48" s="50" t="n">
        <f aca="false">AC41*Assumptions!$F$52</f>
        <v>344745.612132254</v>
      </c>
      <c r="AD48" s="50" t="n">
        <f aca="false">AD41*Assumptions!$F$52</f>
        <v>362757.562709065</v>
      </c>
      <c r="AE48" s="50" t="n">
        <f aca="false">AE41*Assumptions!$F$52</f>
        <v>381678.055919287</v>
      </c>
      <c r="AF48" s="50" t="n">
        <f aca="false">AF41*Assumptions!$F$52</f>
        <v>401600.036959116</v>
      </c>
      <c r="AG48" s="50" t="n">
        <f aca="false">AG41*Assumptions!$F$52</f>
        <v>422627.716097305</v>
      </c>
      <c r="AH48" s="50" t="n">
        <f aca="false">AH41*Assumptions!$F$52</f>
        <v>444877.831748906</v>
      </c>
      <c r="AI48" s="50" t="n">
        <f aca="false">AI41*Assumptions!$F$52</f>
        <v>468481.0554438</v>
      </c>
      <c r="AJ48" s="50" t="n">
        <f aca="false">AJ41*Assumptions!$F$52</f>
        <v>477921.390420261</v>
      </c>
      <c r="AK48" s="50" t="n">
        <f aca="false">AK41*Assumptions!$F$52</f>
        <v>487134.456366389</v>
      </c>
      <c r="AL48" s="50" t="n">
        <f aca="false">AL41*Assumptions!$F$52</f>
        <v>497466.77969335</v>
      </c>
      <c r="AM48" s="50" t="n">
        <f aca="false">SUM(C48:AL48)</f>
        <v>8168478.91670454</v>
      </c>
    </row>
    <row r="49" customFormat="false" ht="15" hidden="false" customHeight="false" outlineLevel="0" collapsed="false">
      <c r="A49" s="10" t="s">
        <v>634</v>
      </c>
      <c r="B49" s="9" t="s">
        <v>90</v>
      </c>
      <c r="C49" s="50" t="n">
        <f aca="false">C47+C48</f>
        <v>0</v>
      </c>
      <c r="D49" s="50" t="n">
        <f aca="false">D47+D48</f>
        <v>0</v>
      </c>
      <c r="E49" s="50" t="n">
        <f aca="false">E47+E48</f>
        <v>0</v>
      </c>
      <c r="F49" s="50" t="n">
        <f aca="false">F47+F48</f>
        <v>0</v>
      </c>
      <c r="G49" s="50" t="n">
        <f aca="false">G47+G48</f>
        <v>133188.801938409</v>
      </c>
      <c r="H49" s="50" t="n">
        <f aca="false">H47+H48</f>
        <v>227119.914223303</v>
      </c>
      <c r="I49" s="50" t="n">
        <f aca="false">I47+I48</f>
        <v>325077.028695522</v>
      </c>
      <c r="J49" s="50" t="n">
        <f aca="false">J47+J48</f>
        <v>428515.641958949</v>
      </c>
      <c r="K49" s="50" t="n">
        <f aca="false">K47+K48</f>
        <v>538359.422507773</v>
      </c>
      <c r="L49" s="50" t="n">
        <f aca="false">L47+L48</f>
        <v>655571.838174184</v>
      </c>
      <c r="M49" s="50" t="n">
        <f aca="false">M47+M48</f>
        <v>781155.351432832</v>
      </c>
      <c r="N49" s="50" t="n">
        <f aca="false">N47+N48</f>
        <v>916160.371587511</v>
      </c>
      <c r="O49" s="50" t="n">
        <f aca="false">O47+O48</f>
        <v>1061691.65503766</v>
      </c>
      <c r="P49" s="50" t="n">
        <f aca="false">P47+P48</f>
        <v>1218915.92572291</v>
      </c>
      <c r="Q49" s="50" t="n">
        <f aca="false">Q47+Q48</f>
        <v>1389070.75751105</v>
      </c>
      <c r="R49" s="50" t="n">
        <f aca="false">R47+R48</f>
        <v>1573474.68650901</v>
      </c>
      <c r="S49" s="50" t="n">
        <f aca="false">S47+S48</f>
        <v>1773538.54780673</v>
      </c>
      <c r="T49" s="50" t="n">
        <f aca="false">T47+T48</f>
        <v>1975176.70473401</v>
      </c>
      <c r="U49" s="50" t="n">
        <f aca="false">U47+U48</f>
        <v>2177305.49576318</v>
      </c>
      <c r="V49" s="50" t="n">
        <f aca="false">V47+V48</f>
        <v>2382527.42177872</v>
      </c>
      <c r="W49" s="50" t="n">
        <f aca="false">W47+W48</f>
        <v>2591382.75538981</v>
      </c>
      <c r="X49" s="50" t="n">
        <f aca="false">X47+X48</f>
        <v>2804385.17551313</v>
      </c>
      <c r="Y49" s="50" t="n">
        <f aca="false">Y47+Y48</f>
        <v>3022070.1049141</v>
      </c>
      <c r="Z49" s="50" t="n">
        <f aca="false">Z47+Z48</f>
        <v>3245003.25285855</v>
      </c>
      <c r="AA49" s="50" t="n">
        <f aca="false">AA47+AA48</f>
        <v>3473788.54681428</v>
      </c>
      <c r="AB49" s="50" t="n">
        <f aca="false">AB47+AB48</f>
        <v>3709076.24971048</v>
      </c>
      <c r="AC49" s="50" t="n">
        <f aca="false">AC47+AC48</f>
        <v>3951571.6065213</v>
      </c>
      <c r="AD49" s="50" t="n">
        <f aca="false">AD47+AD48</f>
        <v>4202044.13158564</v>
      </c>
      <c r="AE49" s="50" t="n">
        <f aca="false">AE47+AE48</f>
        <v>4461337.64018269</v>
      </c>
      <c r="AF49" s="50" t="n">
        <f aca="false">AF47+AF48</f>
        <v>4730381.13566621</v>
      </c>
      <c r="AG49" s="50" t="n">
        <f aca="false">AG47+AG48</f>
        <v>5010200.67394537</v>
      </c>
      <c r="AH49" s="50" t="n">
        <f aca="false">AH47+AH48</f>
        <v>5301932.33863598</v>
      </c>
      <c r="AI49" s="50" t="n">
        <f aca="false">AI47+AI48</f>
        <v>5606836.47287009</v>
      </c>
      <c r="AJ49" s="50" t="n">
        <f aca="false">AJ47+AJ48</f>
        <v>5885820.66209931</v>
      </c>
      <c r="AK49" s="50" t="n">
        <f aca="false">AK47+AK48</f>
        <v>6153577.13829597</v>
      </c>
      <c r="AL49" s="50" t="n">
        <f aca="false">AL47+AL48</f>
        <v>6414271.91973465</v>
      </c>
      <c r="AM49" s="50" t="n">
        <f aca="false">SUM(C49:AL49)</f>
        <v>88120529.3701193</v>
      </c>
    </row>
    <row r="50" customFormat="false" ht="15" hidden="false" customHeight="false" outlineLevel="0" collapsed="false">
      <c r="A50" s="10" t="s">
        <v>635</v>
      </c>
      <c r="B50" s="9" t="s">
        <v>90</v>
      </c>
      <c r="C50" s="50" t="n">
        <f aca="false">-C49*Assumptions!$F$61</f>
        <v>-0</v>
      </c>
      <c r="D50" s="50" t="n">
        <f aca="false">-D49*Assumptions!$F$61</f>
        <v>-0</v>
      </c>
      <c r="E50" s="50" t="n">
        <f aca="false">-E49*Assumptions!$F$61</f>
        <v>-0</v>
      </c>
      <c r="F50" s="50" t="n">
        <f aca="false">-F49*Assumptions!$F$61</f>
        <v>-0</v>
      </c>
      <c r="G50" s="50" t="n">
        <f aca="false">-G49*Assumptions!$F$61</f>
        <v>-2930.15364264499</v>
      </c>
      <c r="H50" s="50" t="n">
        <f aca="false">-H49*Assumptions!$F$61</f>
        <v>-4996.63811291266</v>
      </c>
      <c r="I50" s="50" t="n">
        <f aca="false">-I49*Assumptions!$F$61</f>
        <v>-7151.69463130148</v>
      </c>
      <c r="J50" s="50" t="n">
        <f aca="false">-J49*Assumptions!$F$61</f>
        <v>-9427.34412309689</v>
      </c>
      <c r="K50" s="50" t="n">
        <f aca="false">-K49*Assumptions!$F$61</f>
        <v>-11843.907295171</v>
      </c>
      <c r="L50" s="50" t="n">
        <f aca="false">-L49*Assumptions!$F$61</f>
        <v>-14422.580439832</v>
      </c>
      <c r="M50" s="50" t="n">
        <f aca="false">-M49*Assumptions!$F$61</f>
        <v>-17185.4177315223</v>
      </c>
      <c r="N50" s="50" t="n">
        <f aca="false">-N49*Assumptions!$F$61</f>
        <v>-20155.5281749252</v>
      </c>
      <c r="O50" s="50" t="n">
        <f aca="false">-O49*Assumptions!$F$61</f>
        <v>-23357.2164108285</v>
      </c>
      <c r="P50" s="50" t="n">
        <f aca="false">-P49*Assumptions!$F$61</f>
        <v>-26816.1503659041</v>
      </c>
      <c r="Q50" s="50" t="n">
        <f aca="false">-Q49*Assumptions!$F$61</f>
        <v>-30559.5566652431</v>
      </c>
      <c r="R50" s="50" t="n">
        <f aca="false">-R49*Assumptions!$F$61</f>
        <v>-34616.4431031982</v>
      </c>
      <c r="S50" s="50" t="n">
        <f aca="false">-S49*Assumptions!$F$61</f>
        <v>-39017.8480517481</v>
      </c>
      <c r="T50" s="50" t="n">
        <f aca="false">-T49*Assumptions!$F$61</f>
        <v>-43453.8875041482</v>
      </c>
      <c r="U50" s="50" t="n">
        <f aca="false">-U49*Assumptions!$F$61</f>
        <v>-47900.7209067899</v>
      </c>
      <c r="V50" s="50" t="n">
        <f aca="false">-V49*Assumptions!$F$61</f>
        <v>-52415.6032791319</v>
      </c>
      <c r="W50" s="50" t="n">
        <f aca="false">-W49*Assumptions!$F$61</f>
        <v>-57010.4206185758</v>
      </c>
      <c r="X50" s="50" t="n">
        <f aca="false">-X49*Assumptions!$F$61</f>
        <v>-61696.4738612889</v>
      </c>
      <c r="Y50" s="50" t="n">
        <f aca="false">-Y49*Assumptions!$F$61</f>
        <v>-66485.5423081103</v>
      </c>
      <c r="Z50" s="50" t="n">
        <f aca="false">-Z49*Assumptions!$F$61</f>
        <v>-71390.071562888</v>
      </c>
      <c r="AA50" s="50" t="n">
        <f aca="false">-AA49*Assumptions!$F$61</f>
        <v>-76423.3480299142</v>
      </c>
      <c r="AB50" s="50" t="n">
        <f aca="false">-AB49*Assumptions!$F$61</f>
        <v>-81599.6774936305</v>
      </c>
      <c r="AC50" s="50" t="n">
        <f aca="false">-AC49*Assumptions!$F$61</f>
        <v>-86934.5753434687</v>
      </c>
      <c r="AD50" s="50" t="n">
        <f aca="false">-AD49*Assumptions!$F$61</f>
        <v>-92444.9708948841</v>
      </c>
      <c r="AE50" s="50" t="n">
        <f aca="false">-AE49*Assumptions!$F$61</f>
        <v>-98149.4280840191</v>
      </c>
      <c r="AF50" s="50" t="n">
        <f aca="false">-AF49*Assumptions!$F$61</f>
        <v>-104068.384984657</v>
      </c>
      <c r="AG50" s="50" t="n">
        <f aca="false">-AG49*Assumptions!$F$61</f>
        <v>-110224.414826798</v>
      </c>
      <c r="AH50" s="50" t="n">
        <f aca="false">-AH49*Assumptions!$F$61</f>
        <v>-116642.511449991</v>
      </c>
      <c r="AI50" s="50" t="n">
        <f aca="false">-AI49*Assumptions!$F$61</f>
        <v>-123350.402403142</v>
      </c>
      <c r="AJ50" s="50" t="n">
        <f aca="false">-AJ49*Assumptions!$F$61</f>
        <v>-129488.054566185</v>
      </c>
      <c r="AK50" s="50" t="n">
        <f aca="false">-AK49*Assumptions!$F$61</f>
        <v>-135378.697042511</v>
      </c>
      <c r="AL50" s="50" t="n">
        <f aca="false">-AL49*Assumptions!$F$61</f>
        <v>-141113.982234162</v>
      </c>
      <c r="AM50" s="50" t="n">
        <f aca="false">SUM(C50:AL50)</f>
        <v>-1938651.64614262</v>
      </c>
    </row>
    <row r="51" customFormat="false" ht="15" hidden="false" customHeight="false" outlineLevel="0" collapsed="false">
      <c r="A51" s="26" t="s">
        <v>636</v>
      </c>
      <c r="B51" s="9" t="s">
        <v>90</v>
      </c>
      <c r="C51" s="35" t="n">
        <f aca="false">C49+C50</f>
        <v>0</v>
      </c>
      <c r="D51" s="35" t="n">
        <f aca="false">D49+D50</f>
        <v>0</v>
      </c>
      <c r="E51" s="35" t="n">
        <f aca="false">E49+E50</f>
        <v>0</v>
      </c>
      <c r="F51" s="35" t="n">
        <f aca="false">F49+F50</f>
        <v>0</v>
      </c>
      <c r="G51" s="35" t="n">
        <f aca="false">G49+G50</f>
        <v>130258.648295764</v>
      </c>
      <c r="H51" s="35" t="n">
        <f aca="false">H49+H50</f>
        <v>222123.27611039</v>
      </c>
      <c r="I51" s="35" t="n">
        <f aca="false">I49+I50</f>
        <v>317925.33406422</v>
      </c>
      <c r="J51" s="35" t="n">
        <f aca="false">J49+J50</f>
        <v>419088.297835853</v>
      </c>
      <c r="K51" s="35" t="n">
        <f aca="false">K49+K50</f>
        <v>526515.515212602</v>
      </c>
      <c r="L51" s="35" t="n">
        <f aca="false">L49+L50</f>
        <v>641149.257734351</v>
      </c>
      <c r="M51" s="35" t="n">
        <f aca="false">M49+M50</f>
        <v>763969.933701309</v>
      </c>
      <c r="N51" s="35" t="n">
        <f aca="false">N49+N50</f>
        <v>896004.843412586</v>
      </c>
      <c r="O51" s="35" t="n">
        <f aca="false">O49+O50</f>
        <v>1038334.43862683</v>
      </c>
      <c r="P51" s="35" t="n">
        <f aca="false">P49+P50</f>
        <v>1192099.77535701</v>
      </c>
      <c r="Q51" s="35" t="n">
        <f aca="false">Q49+Q50</f>
        <v>1358511.2008458</v>
      </c>
      <c r="R51" s="35" t="n">
        <f aca="false">R49+R50</f>
        <v>1538858.24340581</v>
      </c>
      <c r="S51" s="35" t="n">
        <f aca="false">S49+S50</f>
        <v>1734520.69975498</v>
      </c>
      <c r="T51" s="35" t="n">
        <f aca="false">T49+T50</f>
        <v>1931722.81722986</v>
      </c>
      <c r="U51" s="35" t="n">
        <f aca="false">U49+U50</f>
        <v>2129404.77485639</v>
      </c>
      <c r="V51" s="35" t="n">
        <f aca="false">V49+V50</f>
        <v>2330111.81849959</v>
      </c>
      <c r="W51" s="35" t="n">
        <f aca="false">W49+W50</f>
        <v>2534372.33477124</v>
      </c>
      <c r="X51" s="35" t="n">
        <f aca="false">X49+X50</f>
        <v>2742688.70165184</v>
      </c>
      <c r="Y51" s="35" t="n">
        <f aca="false">Y49+Y50</f>
        <v>2955584.56260599</v>
      </c>
      <c r="Z51" s="35" t="n">
        <f aca="false">Z49+Z50</f>
        <v>3173613.18129566</v>
      </c>
      <c r="AA51" s="35" t="n">
        <f aca="false">AA49+AA50</f>
        <v>3397365.19878437</v>
      </c>
      <c r="AB51" s="35" t="n">
        <f aca="false">AB49+AB50</f>
        <v>3627476.57221685</v>
      </c>
      <c r="AC51" s="35" t="n">
        <f aca="false">AC49+AC50</f>
        <v>3864637.03117784</v>
      </c>
      <c r="AD51" s="35" t="n">
        <f aca="false">AD49+AD50</f>
        <v>4109599.16069076</v>
      </c>
      <c r="AE51" s="35" t="n">
        <f aca="false">AE49+AE50</f>
        <v>4363188.21209867</v>
      </c>
      <c r="AF51" s="35" t="n">
        <f aca="false">AF49+AF50</f>
        <v>4626312.75068156</v>
      </c>
      <c r="AG51" s="35" t="n">
        <f aca="false">AG49+AG50</f>
        <v>4899976.25911857</v>
      </c>
      <c r="AH51" s="35" t="n">
        <f aca="false">AH49+AH50</f>
        <v>5185289.82718599</v>
      </c>
      <c r="AI51" s="35" t="n">
        <f aca="false">AI49+AI50</f>
        <v>5483486.07046694</v>
      </c>
      <c r="AJ51" s="35" t="n">
        <f aca="false">AJ49+AJ50</f>
        <v>5756332.60753312</v>
      </c>
      <c r="AK51" s="35" t="n">
        <f aca="false">AK49+AK50</f>
        <v>6018198.44125346</v>
      </c>
      <c r="AL51" s="35" t="n">
        <f aca="false">AL49+AL50</f>
        <v>6273157.93750048</v>
      </c>
      <c r="AM51" s="35" t="n">
        <f aca="false">SUM(C51:AL51)</f>
        <v>86181877.7239767</v>
      </c>
    </row>
    <row r="52" customFormat="false" ht="15" hidden="false" customHeight="false" outlineLevel="0" collapsed="false">
      <c r="A52" s="10" t="s">
        <v>637</v>
      </c>
      <c r="B52" s="9" t="s">
        <v>90</v>
      </c>
      <c r="C52" s="50" t="n">
        <f aca="false">-C45*Assumptions!$F$54</f>
        <v>-0</v>
      </c>
      <c r="D52" s="50" t="n">
        <f aca="false">-D45*Assumptions!$F$54</f>
        <v>-0</v>
      </c>
      <c r="E52" s="50" t="n">
        <f aca="false">-E45*Assumptions!$F$54</f>
        <v>-0</v>
      </c>
      <c r="F52" s="50" t="n">
        <f aca="false">-F45*Assumptions!$F$54</f>
        <v>-0</v>
      </c>
      <c r="G52" s="50" t="n">
        <f aca="false">-G45*Assumptions!$F$54</f>
        <v>-20486.4596113584</v>
      </c>
      <c r="H52" s="50" t="n">
        <f aca="false">-H45*Assumptions!$F$54</f>
        <v>-42105.6750592295</v>
      </c>
      <c r="I52" s="50" t="n">
        <f aca="false">-I45*Assumptions!$F$54</f>
        <v>-64740.6663711629</v>
      </c>
      <c r="J52" s="50" t="n">
        <f aca="false">-J45*Assumptions!$F$54</f>
        <v>-88574.362755833</v>
      </c>
      <c r="K52" s="50" t="n">
        <f aca="false">-K45*Assumptions!$F$54</f>
        <v>-113812.871919449</v>
      </c>
      <c r="L52" s="50" t="n">
        <f aca="false">-L45*Assumptions!$F$54</f>
        <v>-140676.536829674</v>
      </c>
      <c r="M52" s="50" t="n">
        <f aca="false">-M45*Assumptions!$F$54</f>
        <v>-169396.681405418</v>
      </c>
      <c r="N52" s="50" t="n">
        <f aca="false">-N45*Assumptions!$F$54</f>
        <v>-200215.848343763</v>
      </c>
      <c r="O52" s="50" t="n">
        <f aca="false">-O45*Assumptions!$F$54</f>
        <v>-233388.866828252</v>
      </c>
      <c r="P52" s="50" t="n">
        <f aca="false">-P45*Assumptions!$F$54</f>
        <v>-269184.398414988</v>
      </c>
      <c r="Q52" s="50" t="n">
        <f aca="false">-Q45*Assumptions!$F$54</f>
        <v>-307886.844408555</v>
      </c>
      <c r="R52" s="50" t="n">
        <f aca="false">-R45*Assumptions!$F$54</f>
        <v>-349798.568956539</v>
      </c>
      <c r="S52" s="50" t="n">
        <f aca="false">-S45*Assumptions!$F$54</f>
        <v>-395242.420996125</v>
      </c>
      <c r="T52" s="50" t="n">
        <f aca="false">-T45*Assumptions!$F$54</f>
        <v>-442164.827463401</v>
      </c>
      <c r="U52" s="50" t="n">
        <f aca="false">-U45*Assumptions!$F$54</f>
        <v>-489680.261611107</v>
      </c>
      <c r="V52" s="50" t="n">
        <f aca="false">-V45*Assumptions!$F$54</f>
        <v>-537879.053298734</v>
      </c>
      <c r="W52" s="50" t="n">
        <f aca="false">-W45*Assumptions!$F$54</f>
        <v>-586875.924178357</v>
      </c>
      <c r="X52" s="50" t="n">
        <f aca="false">-X45*Assumptions!$F$54</f>
        <v>-636790.043615495</v>
      </c>
      <c r="Y52" s="50" t="n">
        <f aca="false">-Y45*Assumptions!$F$54</f>
        <v>-687745.482409917</v>
      </c>
      <c r="Z52" s="50" t="n">
        <f aca="false">-Z45*Assumptions!$F$54</f>
        <v>-739872.685607867</v>
      </c>
      <c r="AA52" s="50" t="n">
        <f aca="false">-AA45*Assumptions!$F$54</f>
        <v>-793310.208068873</v>
      </c>
      <c r="AB52" s="50" t="n">
        <f aca="false">-AB45*Assumptions!$F$54</f>
        <v>-848206.570550075</v>
      </c>
      <c r="AC52" s="50" t="n">
        <f aca="false">-AC45*Assumptions!$F$54</f>
        <v>-904722.239395247</v>
      </c>
      <c r="AD52" s="50" t="n">
        <f aca="false">-AD45*Assumptions!$F$54</f>
        <v>-963031.748045964</v>
      </c>
      <c r="AE52" s="50" t="n">
        <f aca="false">-AE45*Assumptions!$F$54</f>
        <v>-1023325.98267477</v>
      </c>
      <c r="AF52" s="50" t="n">
        <f aca="false">-AF45*Assumptions!$F$54</f>
        <v>-1085814.65686633</v>
      </c>
      <c r="AG52" s="50" t="n">
        <f aca="false">-AG45*Assumptions!$F$54</f>
        <v>-1150729.0028047</v>
      </c>
      <c r="AH52" s="50" t="n">
        <f aca="false">-AH45*Assumptions!$F$54</f>
        <v>-1218324.70908539</v>
      </c>
      <c r="AI52" s="50" t="n">
        <f aca="false">-AI45*Assumptions!$F$54</f>
        <v>-1288885.13815041</v>
      </c>
      <c r="AJ52" s="50" t="n">
        <f aca="false">-AJ45*Assumptions!$F$54</f>
        <v>-1356496.47282919</v>
      </c>
      <c r="AK52" s="50" t="n">
        <f aca="false">-AK45*Assumptions!$F$54</f>
        <v>-1421348.49881177</v>
      </c>
      <c r="AL52" s="50" t="n">
        <f aca="false">-AL45*Assumptions!$F$54</f>
        <v>-1484148.44649865</v>
      </c>
      <c r="AM52" s="50" t="n">
        <f aca="false">SUM(C52:AL52)</f>
        <v>-20054862.1538666</v>
      </c>
    </row>
    <row r="53" customFormat="false" ht="15" hidden="false" customHeight="false" outlineLevel="0" collapsed="false">
      <c r="A53" s="10" t="s">
        <v>638</v>
      </c>
      <c r="B53" s="9" t="s">
        <v>90</v>
      </c>
      <c r="C53" s="50" t="n">
        <f aca="false">-C42*Assumptions!$F$55</f>
        <v>-0</v>
      </c>
      <c r="D53" s="50" t="n">
        <f aca="false">-D42*Assumptions!$F$55</f>
        <v>-0</v>
      </c>
      <c r="E53" s="50" t="n">
        <f aca="false">-E42*Assumptions!$F$55</f>
        <v>-0</v>
      </c>
      <c r="F53" s="50" t="n">
        <f aca="false">-F42*Assumptions!$F$55</f>
        <v>-0</v>
      </c>
      <c r="G53" s="50" t="n">
        <f aca="false">-G42*Assumptions!$F$55</f>
        <v>-18363.2130970159</v>
      </c>
      <c r="H53" s="50" t="n">
        <f aca="false">-H42*Assumptions!$F$55</f>
        <v>-21123.0737128965</v>
      </c>
      <c r="I53" s="50" t="n">
        <f aca="false">-I42*Assumptions!$F$55</f>
        <v>-23874.5370913704</v>
      </c>
      <c r="J53" s="50" t="n">
        <f aca="false">-J42*Assumptions!$F$55</f>
        <v>-26876.4680694056</v>
      </c>
      <c r="K53" s="50" t="n">
        <f aca="false">-K42*Assumptions!$F$55</f>
        <v>-30165.220056399</v>
      </c>
      <c r="L53" s="50" t="n">
        <f aca="false">-L42*Assumptions!$F$55</f>
        <v>-33771.1038588885</v>
      </c>
      <c r="M53" s="50" t="n">
        <f aca="false">-M42*Assumptions!$F$55</f>
        <v>-37722.7254449866</v>
      </c>
      <c r="N53" s="50" t="n">
        <f aca="false">-N42*Assumptions!$F$55</f>
        <v>-42049.8390335995</v>
      </c>
      <c r="O53" s="50" t="n">
        <f aca="false">-O42*Assumptions!$F$55</f>
        <v>-46784.1112176109</v>
      </c>
      <c r="P53" s="50" t="n">
        <f aca="false">-P42*Assumptions!$F$55</f>
        <v>-51959.6405023366</v>
      </c>
      <c r="Q53" s="50" t="n">
        <f aca="false">-Q42*Assumptions!$F$55</f>
        <v>-57613.4129685074</v>
      </c>
      <c r="R53" s="50" t="n">
        <f aca="false">-R42*Assumptions!$F$55</f>
        <v>-63785.7476901262</v>
      </c>
      <c r="S53" s="50" t="n">
        <f aca="false">-S42*Assumptions!$F$55</f>
        <v>-70520.7539186167</v>
      </c>
      <c r="T53" s="50" t="n">
        <f aca="false">-T42*Assumptions!$F$55</f>
        <v>-75715.7973888248</v>
      </c>
      <c r="U53" s="50" t="n">
        <f aca="false">-U42*Assumptions!$F$55</f>
        <v>-80242.9963085527</v>
      </c>
      <c r="V53" s="50" t="n">
        <f aca="false">-V42*Assumptions!$F$55</f>
        <v>-84901.661885206</v>
      </c>
      <c r="W53" s="50" t="n">
        <f aca="false">-W42*Assumptions!$F$55</f>
        <v>-89721.3498648756</v>
      </c>
      <c r="X53" s="50" t="n">
        <f aca="false">-X42*Assumptions!$F$55</f>
        <v>-94715.8160081415</v>
      </c>
      <c r="Y53" s="50" t="n">
        <f aca="false">-Y42*Assumptions!$F$55</f>
        <v>-99899.6015129574</v>
      </c>
      <c r="Z53" s="50" t="n">
        <f aca="false">-Z42*Assumptions!$F$55</f>
        <v>-105288.985122145</v>
      </c>
      <c r="AA53" s="50" t="n">
        <f aca="false">-AA42*Assumptions!$F$55</f>
        <v>-110902.344061628</v>
      </c>
      <c r="AB53" s="50" t="n">
        <f aca="false">-AB42*Assumptions!$F$55</f>
        <v>-116760.409857922</v>
      </c>
      <c r="AC53" s="50" t="n">
        <f aca="false">-AC42*Assumptions!$F$55</f>
        <v>-122886.53718537</v>
      </c>
      <c r="AD53" s="50" t="n">
        <f aca="false">-AD42*Assumptions!$F$55</f>
        <v>-129306.999568193</v>
      </c>
      <c r="AE53" s="50" t="n">
        <f aca="false">-AE42*Assumptions!$F$55</f>
        <v>-136051.317147938</v>
      </c>
      <c r="AF53" s="50" t="n">
        <f aca="false">-AF42*Assumptions!$F$55</f>
        <v>-143152.620769224</v>
      </c>
      <c r="AG53" s="50" t="n">
        <f aca="false">-AG42*Assumptions!$F$55</f>
        <v>-150648.056775951</v>
      </c>
      <c r="AH53" s="50" t="n">
        <f aca="false">-AH42*Assumptions!$F$55</f>
        <v>-158579.237241129</v>
      </c>
      <c r="AI53" s="50" t="n">
        <f aca="false">-AI42*Assumptions!$F$55</f>
        <v>-166992.740775917</v>
      </c>
      <c r="AJ53" s="50" t="n">
        <f aca="false">-AJ42*Assumptions!$F$55</f>
        <v>-170357.801952336</v>
      </c>
      <c r="AK53" s="50" t="n">
        <f aca="false">-AK42*Assumptions!$F$55</f>
        <v>-173641.851788323</v>
      </c>
      <c r="AL53" s="50" t="n">
        <f aca="false">-AL42*Assumptions!$F$55</f>
        <v>-177324.867293225</v>
      </c>
      <c r="AM53" s="50" t="n">
        <f aca="false">SUM(C53:AL53)</f>
        <v>-2911700.83916962</v>
      </c>
    </row>
    <row r="54" customFormat="false" ht="15" hidden="false" customHeight="false" outlineLevel="0" collapsed="false">
      <c r="A54" s="10" t="s">
        <v>639</v>
      </c>
      <c r="B54" s="9" t="s">
        <v>90</v>
      </c>
      <c r="C54" s="50" t="n">
        <f aca="false">-C45*Assumptions!$F$56</f>
        <v>-0</v>
      </c>
      <c r="D54" s="50" t="n">
        <f aca="false">-D45*Assumptions!$F$56</f>
        <v>-0</v>
      </c>
      <c r="E54" s="50" t="n">
        <f aca="false">-E45*Assumptions!$F$56</f>
        <v>-0</v>
      </c>
      <c r="F54" s="50" t="n">
        <f aca="false">-F45*Assumptions!$F$56</f>
        <v>-0</v>
      </c>
      <c r="G54" s="50" t="n">
        <f aca="false">-G45*Assumptions!$F$56</f>
        <v>-1775.49316631773</v>
      </c>
      <c r="H54" s="50" t="n">
        <f aca="false">-H45*Assumptions!$F$56</f>
        <v>-3649.15850513323</v>
      </c>
      <c r="I54" s="50" t="n">
        <f aca="false">-I45*Assumptions!$F$56</f>
        <v>-5610.85775216745</v>
      </c>
      <c r="J54" s="50" t="n">
        <f aca="false">-J45*Assumptions!$F$56</f>
        <v>-7676.44477217219</v>
      </c>
      <c r="K54" s="50" t="n">
        <f aca="false">-K45*Assumptions!$F$56</f>
        <v>-9863.78223301891</v>
      </c>
      <c r="L54" s="50" t="n">
        <f aca="false">-L45*Assumptions!$F$56</f>
        <v>-12191.9665252384</v>
      </c>
      <c r="M54" s="50" t="n">
        <f aca="false">-M45*Assumptions!$F$56</f>
        <v>-14681.0457218029</v>
      </c>
      <c r="N54" s="50" t="n">
        <f aca="false">-N45*Assumptions!$F$56</f>
        <v>-17352.0401897928</v>
      </c>
      <c r="O54" s="50" t="n">
        <f aca="false">-O45*Assumptions!$F$56</f>
        <v>-20227.0351251152</v>
      </c>
      <c r="P54" s="50" t="n">
        <f aca="false">-P45*Assumptions!$F$56</f>
        <v>-23329.3145292989</v>
      </c>
      <c r="Q54" s="50" t="n">
        <f aca="false">-Q45*Assumptions!$F$56</f>
        <v>-26683.5265154081</v>
      </c>
      <c r="R54" s="50" t="n">
        <f aca="false">-R45*Assumptions!$F$56</f>
        <v>-30315.8759762334</v>
      </c>
      <c r="S54" s="50" t="n">
        <f aca="false">-S45*Assumptions!$F$56</f>
        <v>-34254.3431529975</v>
      </c>
      <c r="T54" s="50" t="n">
        <f aca="false">-T45*Assumptions!$F$56</f>
        <v>-38320.9517134947</v>
      </c>
      <c r="U54" s="50" t="n">
        <f aca="false">-U45*Assumptions!$F$56</f>
        <v>-42438.9560062959</v>
      </c>
      <c r="V54" s="50" t="n">
        <f aca="false">-V45*Assumptions!$F$56</f>
        <v>-46616.1846192237</v>
      </c>
      <c r="W54" s="50" t="n">
        <f aca="false">-W45*Assumptions!$F$56</f>
        <v>-50862.5800954576</v>
      </c>
      <c r="X54" s="50" t="n">
        <f aca="false">-X45*Assumptions!$F$56</f>
        <v>-55188.4704466763</v>
      </c>
      <c r="Y54" s="50" t="n">
        <f aca="false">-Y45*Assumptions!$F$56</f>
        <v>-59604.6084755261</v>
      </c>
      <c r="Z54" s="50" t="n">
        <f aca="false">-Z45*Assumptions!$F$56</f>
        <v>-64122.2994193485</v>
      </c>
      <c r="AA54" s="50" t="n">
        <f aca="false">-AA45*Assumptions!$F$56</f>
        <v>-68753.551365969</v>
      </c>
      <c r="AB54" s="50" t="n">
        <f aca="false">-AB45*Assumptions!$F$56</f>
        <v>-73511.2361143398</v>
      </c>
      <c r="AC54" s="50" t="n">
        <f aca="false">-AC45*Assumptions!$F$56</f>
        <v>-78409.260747588</v>
      </c>
      <c r="AD54" s="50" t="n">
        <f aca="false">-AD45*Assumptions!$F$56</f>
        <v>-83462.7514973169</v>
      </c>
      <c r="AE54" s="50" t="n">
        <f aca="false">-AE45*Assumptions!$F$56</f>
        <v>-88688.251831813</v>
      </c>
      <c r="AF54" s="50" t="n">
        <f aca="false">-AF45*Assumptions!$F$56</f>
        <v>-94103.9369284152</v>
      </c>
      <c r="AG54" s="50" t="n">
        <f aca="false">-AG45*Assumptions!$F$56</f>
        <v>-99729.8469097404</v>
      </c>
      <c r="AH54" s="50" t="n">
        <f aca="false">-AH45*Assumptions!$F$56</f>
        <v>-105588.141454067</v>
      </c>
      <c r="AI54" s="50" t="n">
        <f aca="false">-AI45*Assumptions!$F$56</f>
        <v>-111703.378639702</v>
      </c>
      <c r="AJ54" s="50" t="n">
        <f aca="false">-AJ45*Assumptions!$F$56</f>
        <v>-117563.027645197</v>
      </c>
      <c r="AK54" s="50" t="n">
        <f aca="false">-AK45*Assumptions!$F$56</f>
        <v>-123183.536563686</v>
      </c>
      <c r="AL54" s="50" t="n">
        <f aca="false">-AL45*Assumptions!$F$56</f>
        <v>-128626.19869655</v>
      </c>
      <c r="AM54" s="50" t="n">
        <f aca="false">SUM(C54:AL54)</f>
        <v>-1738088.0533351</v>
      </c>
    </row>
    <row r="55" customFormat="false" ht="15" hidden="false" customHeight="false" outlineLevel="0" collapsed="false">
      <c r="A55" s="10" t="s">
        <v>640</v>
      </c>
      <c r="B55" s="9" t="s">
        <v>90</v>
      </c>
      <c r="C55" s="50" t="n">
        <f aca="false">-C45*Assumptions!$F$57</f>
        <v>-0</v>
      </c>
      <c r="D55" s="50" t="n">
        <f aca="false">-D45*Assumptions!$F$57</f>
        <v>-0</v>
      </c>
      <c r="E55" s="50" t="n">
        <f aca="false">-E45*Assumptions!$F$57</f>
        <v>-0</v>
      </c>
      <c r="F55" s="50" t="n">
        <f aca="false">-F45*Assumptions!$F$57</f>
        <v>-0</v>
      </c>
      <c r="G55" s="50" t="n">
        <f aca="false">-G45*Assumptions!$F$57</f>
        <v>-4097.29192227168</v>
      </c>
      <c r="H55" s="50" t="n">
        <f aca="false">-H45*Assumptions!$F$57</f>
        <v>-8421.13501184591</v>
      </c>
      <c r="I55" s="50" t="n">
        <f aca="false">-I45*Assumptions!$F$57</f>
        <v>-12948.1332742326</v>
      </c>
      <c r="J55" s="50" t="n">
        <f aca="false">-J45*Assumptions!$F$57</f>
        <v>-17714.8725511666</v>
      </c>
      <c r="K55" s="50" t="n">
        <f aca="false">-K45*Assumptions!$F$57</f>
        <v>-22762.5743838898</v>
      </c>
      <c r="L55" s="50" t="n">
        <f aca="false">-L45*Assumptions!$F$57</f>
        <v>-28135.3073659348</v>
      </c>
      <c r="M55" s="50" t="n">
        <f aca="false">-M45*Assumptions!$F$57</f>
        <v>-33879.3362810836</v>
      </c>
      <c r="N55" s="50" t="n">
        <f aca="false">-N45*Assumptions!$F$57</f>
        <v>-40043.1696687525</v>
      </c>
      <c r="O55" s="50" t="n">
        <f aca="false">-O45*Assumptions!$F$57</f>
        <v>-46677.7733656505</v>
      </c>
      <c r="P55" s="50" t="n">
        <f aca="false">-P45*Assumptions!$F$57</f>
        <v>-53836.8796829975</v>
      </c>
      <c r="Q55" s="50" t="n">
        <f aca="false">-Q45*Assumptions!$F$57</f>
        <v>-61577.368881711</v>
      </c>
      <c r="R55" s="50" t="n">
        <f aca="false">-R45*Assumptions!$F$57</f>
        <v>-69959.7137913079</v>
      </c>
      <c r="S55" s="50" t="n">
        <f aca="false">-S45*Assumptions!$F$57</f>
        <v>-79048.484199225</v>
      </c>
      <c r="T55" s="50" t="n">
        <f aca="false">-T45*Assumptions!$F$57</f>
        <v>-88432.9654926801</v>
      </c>
      <c r="U55" s="50" t="n">
        <f aca="false">-U45*Assumptions!$F$57</f>
        <v>-97936.0523222213</v>
      </c>
      <c r="V55" s="50" t="n">
        <f aca="false">-V45*Assumptions!$F$57</f>
        <v>-107575.810659747</v>
      </c>
      <c r="W55" s="50" t="n">
        <f aca="false">-W45*Assumptions!$F$57</f>
        <v>-117375.184835671</v>
      </c>
      <c r="X55" s="50" t="n">
        <f aca="false">-X45*Assumptions!$F$57</f>
        <v>-127358.008723099</v>
      </c>
      <c r="Y55" s="50" t="n">
        <f aca="false">-Y45*Assumptions!$F$57</f>
        <v>-137549.096481983</v>
      </c>
      <c r="Z55" s="50" t="n">
        <f aca="false">-Z45*Assumptions!$F$57</f>
        <v>-147974.537121573</v>
      </c>
      <c r="AA55" s="50" t="n">
        <f aca="false">-AA45*Assumptions!$F$57</f>
        <v>-158662.041613775</v>
      </c>
      <c r="AB55" s="50" t="n">
        <f aca="false">-AB45*Assumptions!$F$57</f>
        <v>-169641.314110015</v>
      </c>
      <c r="AC55" s="50" t="n">
        <f aca="false">-AC45*Assumptions!$F$57</f>
        <v>-180944.447879049</v>
      </c>
      <c r="AD55" s="50" t="n">
        <f aca="false">-AD45*Assumptions!$F$57</f>
        <v>-192606.349609193</v>
      </c>
      <c r="AE55" s="50" t="n">
        <f aca="false">-AE45*Assumptions!$F$57</f>
        <v>-204665.196534953</v>
      </c>
      <c r="AF55" s="50" t="n">
        <f aca="false">-AF45*Assumptions!$F$57</f>
        <v>-217162.931373266</v>
      </c>
      <c r="AG55" s="50" t="n">
        <f aca="false">-AG45*Assumptions!$F$57</f>
        <v>-230145.80056094</v>
      </c>
      <c r="AH55" s="50" t="n">
        <f aca="false">-AH45*Assumptions!$F$57</f>
        <v>-243664.941817077</v>
      </c>
      <c r="AI55" s="50" t="n">
        <f aca="false">-AI45*Assumptions!$F$57</f>
        <v>-257777.027630081</v>
      </c>
      <c r="AJ55" s="50" t="n">
        <f aca="false">-AJ45*Assumptions!$F$57</f>
        <v>-271299.294565838</v>
      </c>
      <c r="AK55" s="50" t="n">
        <f aca="false">-AK45*Assumptions!$F$57</f>
        <v>-284269.699762353</v>
      </c>
      <c r="AL55" s="50" t="n">
        <f aca="false">-AL45*Assumptions!$F$57</f>
        <v>-296829.689299731</v>
      </c>
      <c r="AM55" s="50" t="n">
        <f aca="false">SUM(C55:AL55)</f>
        <v>-4010972.43077332</v>
      </c>
    </row>
    <row r="56" customFormat="false" ht="15" hidden="false" customHeight="false" outlineLevel="0" collapsed="false">
      <c r="A56" s="10" t="s">
        <v>641</v>
      </c>
      <c r="B56" s="9" t="s">
        <v>90</v>
      </c>
      <c r="C56" s="50" t="n">
        <f aca="false">-C45*Assumptions!$F$58</f>
        <v>-0</v>
      </c>
      <c r="D56" s="50" t="n">
        <f aca="false">-D45*Assumptions!$F$58</f>
        <v>-0</v>
      </c>
      <c r="E56" s="50" t="n">
        <f aca="false">-E45*Assumptions!$F$58</f>
        <v>-0</v>
      </c>
      <c r="F56" s="50" t="n">
        <f aca="false">-F45*Assumptions!$F$58</f>
        <v>-0</v>
      </c>
      <c r="G56" s="50" t="n">
        <f aca="false">-G45*Assumptions!$F$58</f>
        <v>-956.034781863391</v>
      </c>
      <c r="H56" s="50" t="n">
        <f aca="false">-H45*Assumptions!$F$58</f>
        <v>-1964.93150276404</v>
      </c>
      <c r="I56" s="50" t="n">
        <f aca="false">-I45*Assumptions!$F$58</f>
        <v>-3021.23109732093</v>
      </c>
      <c r="J56" s="50" t="n">
        <f aca="false">-J45*Assumptions!$F$58</f>
        <v>-4133.47026193887</v>
      </c>
      <c r="K56" s="50" t="n">
        <f aca="false">-K45*Assumptions!$F$58</f>
        <v>-5311.26735624095</v>
      </c>
      <c r="L56" s="50" t="n">
        <f aca="false">-L45*Assumptions!$F$58</f>
        <v>-6564.90505205145</v>
      </c>
      <c r="M56" s="50" t="n">
        <f aca="false">-M45*Assumptions!$F$58</f>
        <v>-7905.17846558617</v>
      </c>
      <c r="N56" s="50" t="n">
        <f aca="false">-N45*Assumptions!$F$58</f>
        <v>-9343.40625604226</v>
      </c>
      <c r="O56" s="50" t="n">
        <f aca="false">-O45*Assumptions!$F$58</f>
        <v>-10891.4804519851</v>
      </c>
      <c r="P56" s="50" t="n">
        <f aca="false">-P45*Assumptions!$F$58</f>
        <v>-12561.9385926994</v>
      </c>
      <c r="Q56" s="50" t="n">
        <f aca="false">-Q45*Assumptions!$F$58</f>
        <v>-14368.0527390659</v>
      </c>
      <c r="R56" s="50" t="n">
        <f aca="false">-R45*Assumptions!$F$58</f>
        <v>-16323.9332179718</v>
      </c>
      <c r="S56" s="50" t="n">
        <f aca="false">-S45*Assumptions!$F$58</f>
        <v>-18444.6463131525</v>
      </c>
      <c r="T56" s="50" t="n">
        <f aca="false">-T45*Assumptions!$F$58</f>
        <v>-20634.3586149587</v>
      </c>
      <c r="U56" s="50" t="n">
        <f aca="false">-U45*Assumptions!$F$58</f>
        <v>-22851.7455418516</v>
      </c>
      <c r="V56" s="50" t="n">
        <f aca="false">-V45*Assumptions!$F$58</f>
        <v>-25101.0224872743</v>
      </c>
      <c r="W56" s="50" t="n">
        <f aca="false">-W45*Assumptions!$F$58</f>
        <v>-27387.5431283233</v>
      </c>
      <c r="X56" s="50" t="n">
        <f aca="false">-X45*Assumptions!$F$58</f>
        <v>-29716.8687020565</v>
      </c>
      <c r="Y56" s="50" t="n">
        <f aca="false">-Y45*Assumptions!$F$58</f>
        <v>-32094.7891791294</v>
      </c>
      <c r="Z56" s="50" t="n">
        <f aca="false">-Z45*Assumptions!$F$58</f>
        <v>-34527.3919950338</v>
      </c>
      <c r="AA56" s="50" t="n">
        <f aca="false">-AA45*Assumptions!$F$58</f>
        <v>-37021.1430432141</v>
      </c>
      <c r="AB56" s="50" t="n">
        <f aca="false">-AB45*Assumptions!$F$58</f>
        <v>-39582.9732923368</v>
      </c>
      <c r="AC56" s="50" t="n">
        <f aca="false">-AC45*Assumptions!$F$58</f>
        <v>-42220.3711717782</v>
      </c>
      <c r="AD56" s="50" t="n">
        <f aca="false">-AD45*Assumptions!$F$58</f>
        <v>-44941.4815754783</v>
      </c>
      <c r="AE56" s="50" t="n">
        <f aca="false">-AE45*Assumptions!$F$58</f>
        <v>-47755.2125248224</v>
      </c>
      <c r="AF56" s="50" t="n">
        <f aca="false">-AF45*Assumptions!$F$58</f>
        <v>-50671.350653762</v>
      </c>
      <c r="AG56" s="50" t="n">
        <f aca="false">-AG45*Assumptions!$F$58</f>
        <v>-53700.6867975526</v>
      </c>
      <c r="AH56" s="50" t="n">
        <f aca="false">-AH45*Assumptions!$F$58</f>
        <v>-56855.1530906513</v>
      </c>
      <c r="AI56" s="50" t="n">
        <f aca="false">-AI45*Assumptions!$F$58</f>
        <v>-60147.9731136856</v>
      </c>
      <c r="AJ56" s="50" t="n">
        <f aca="false">-AJ45*Assumptions!$F$58</f>
        <v>-63303.168732029</v>
      </c>
      <c r="AK56" s="50" t="n">
        <f aca="false">-AK45*Assumptions!$F$58</f>
        <v>-66329.5966112158</v>
      </c>
      <c r="AL56" s="50" t="n">
        <f aca="false">-AL45*Assumptions!$F$58</f>
        <v>-69260.2608366038</v>
      </c>
      <c r="AM56" s="50" t="n">
        <f aca="false">SUM(C56:AL56)</f>
        <v>-935893.56718044</v>
      </c>
    </row>
    <row r="57" customFormat="false" ht="15" hidden="false" customHeight="false" outlineLevel="0" collapsed="false">
      <c r="A57" s="10" t="s">
        <v>642</v>
      </c>
      <c r="B57" s="9" t="s">
        <v>90</v>
      </c>
      <c r="C57" s="50" t="n">
        <f aca="false">-C51*Assumptions!$F$60</f>
        <v>-0</v>
      </c>
      <c r="D57" s="50" t="n">
        <f aca="false">-D51*Assumptions!$F$60</f>
        <v>-0</v>
      </c>
      <c r="E57" s="50" t="n">
        <f aca="false">-E51*Assumptions!$F$60</f>
        <v>-0</v>
      </c>
      <c r="F57" s="50" t="n">
        <f aca="false">-F51*Assumptions!$F$60</f>
        <v>-0</v>
      </c>
      <c r="G57" s="50" t="n">
        <f aca="false">-G51*Assumptions!$F$60</f>
        <v>-3516.98350398562</v>
      </c>
      <c r="H57" s="50" t="n">
        <f aca="false">-H51*Assumptions!$F$60</f>
        <v>-5997.32845498053</v>
      </c>
      <c r="I57" s="50" t="n">
        <f aca="false">-I51*Assumptions!$F$60</f>
        <v>-8583.98401973395</v>
      </c>
      <c r="J57" s="50" t="n">
        <f aca="false">-J51*Assumptions!$F$60</f>
        <v>-11315.384041568</v>
      </c>
      <c r="K57" s="50" t="n">
        <f aca="false">-K51*Assumptions!$F$60</f>
        <v>-14215.9189107403</v>
      </c>
      <c r="L57" s="50" t="n">
        <f aca="false">-L51*Assumptions!$F$60</f>
        <v>-17311.0299588275</v>
      </c>
      <c r="M57" s="50" t="n">
        <f aca="false">-M51*Assumptions!$F$60</f>
        <v>-20627.1882099354</v>
      </c>
      <c r="N57" s="50" t="n">
        <f aca="false">-N51*Assumptions!$F$60</f>
        <v>-24192.1307721398</v>
      </c>
      <c r="O57" s="50" t="n">
        <f aca="false">-O51*Assumptions!$F$60</f>
        <v>-28035.0298429244</v>
      </c>
      <c r="P57" s="50" t="n">
        <f aca="false">-P51*Assumptions!$F$60</f>
        <v>-32186.6939346393</v>
      </c>
      <c r="Q57" s="50" t="n">
        <f aca="false">-Q51*Assumptions!$F$60</f>
        <v>-36679.8024228367</v>
      </c>
      <c r="R57" s="50" t="n">
        <f aca="false">-R51*Assumptions!$F$60</f>
        <v>-41549.1725719569</v>
      </c>
      <c r="S57" s="50" t="n">
        <f aca="false">-S51*Assumptions!$F$60</f>
        <v>-46832.0588933845</v>
      </c>
      <c r="T57" s="50" t="n">
        <f aca="false">-T51*Assumptions!$F$60</f>
        <v>-52156.5160652062</v>
      </c>
      <c r="U57" s="50" t="n">
        <f aca="false">-U51*Assumptions!$F$60</f>
        <v>-57493.9289211225</v>
      </c>
      <c r="V57" s="50" t="n">
        <f aca="false">-V51*Assumptions!$F$60</f>
        <v>-62913.0190994889</v>
      </c>
      <c r="W57" s="50" t="n">
        <f aca="false">-W51*Assumptions!$F$60</f>
        <v>-68428.0530388234</v>
      </c>
      <c r="X57" s="50" t="n">
        <f aca="false">-X51*Assumptions!$F$60</f>
        <v>-74052.5949445997</v>
      </c>
      <c r="Y57" s="50" t="n">
        <f aca="false">-Y51*Assumptions!$F$60</f>
        <v>-79800.7831903618</v>
      </c>
      <c r="Z57" s="50" t="n">
        <f aca="false">-Z51*Assumptions!$F$60</f>
        <v>-85687.5558949828</v>
      </c>
      <c r="AA57" s="50" t="n">
        <f aca="false">-AA51*Assumptions!$F$60</f>
        <v>-91728.860367178</v>
      </c>
      <c r="AB57" s="50" t="n">
        <f aca="false">-AB51*Assumptions!$F$60</f>
        <v>-97941.8674498549</v>
      </c>
      <c r="AC57" s="50" t="n">
        <f aca="false">-AC51*Assumptions!$F$60</f>
        <v>-104345.199841802</v>
      </c>
      <c r="AD57" s="50" t="n">
        <f aca="false">-AD51*Assumptions!$F$60</f>
        <v>-110959.17733865</v>
      </c>
      <c r="AE57" s="50" t="n">
        <f aca="false">-AE51*Assumptions!$F$60</f>
        <v>-117806.081726664</v>
      </c>
      <c r="AF57" s="50" t="n">
        <f aca="false">-AF51*Assumptions!$F$60</f>
        <v>-124910.444268402</v>
      </c>
      <c r="AG57" s="50" t="n">
        <f aca="false">-AG51*Assumptions!$F$60</f>
        <v>-132299.358996201</v>
      </c>
      <c r="AH57" s="50" t="n">
        <f aca="false">-AH51*Assumptions!$F$60</f>
        <v>-140002.825334022</v>
      </c>
      <c r="AI57" s="50" t="n">
        <f aca="false">-AI51*Assumptions!$F$60</f>
        <v>-148054.123902607</v>
      </c>
      <c r="AJ57" s="50" t="n">
        <f aca="false">-AJ51*Assumptions!$F$60</f>
        <v>-155420.980403394</v>
      </c>
      <c r="AK57" s="50" t="n">
        <f aca="false">-AK51*Assumptions!$F$60</f>
        <v>-162491.357913843</v>
      </c>
      <c r="AL57" s="50" t="n">
        <f aca="false">-AL51*Assumptions!$F$60</f>
        <v>-169375.264312513</v>
      </c>
      <c r="AM57" s="50" t="n">
        <f aca="false">SUM(C57:AL57)</f>
        <v>-2326910.69854737</v>
      </c>
    </row>
    <row r="58" customFormat="false" ht="15" hidden="false" customHeight="false" outlineLevel="0" collapsed="false">
      <c r="A58" s="26" t="s">
        <v>643</v>
      </c>
      <c r="B58" s="9" t="s">
        <v>90</v>
      </c>
      <c r="C58" s="35" t="n">
        <f aca="false">C51+C52+C53+C54+C55+C56+C57</f>
        <v>0</v>
      </c>
      <c r="D58" s="35" t="n">
        <f aca="false">D51+D52+D53+D54+D55+D56+D57</f>
        <v>0</v>
      </c>
      <c r="E58" s="35" t="n">
        <f aca="false">E51+E52+E53+E54+E55+E56+E57</f>
        <v>0</v>
      </c>
      <c r="F58" s="35" t="n">
        <f aca="false">F51+F52+F53+F54+F55+F56+F57</f>
        <v>0</v>
      </c>
      <c r="G58" s="35" t="n">
        <f aca="false">G51+G52+G53+G54+G55+G56+G57</f>
        <v>81063.172212951</v>
      </c>
      <c r="H58" s="35" t="n">
        <f aca="false">H51+H52+H53+H54+H55+H56+H57</f>
        <v>138861.97386354</v>
      </c>
      <c r="I58" s="35" t="n">
        <f aca="false">I51+I52+I53+I54+I55+I56+I57</f>
        <v>199145.924458232</v>
      </c>
      <c r="J58" s="35" t="n">
        <f aca="false">J51+J52+J53+J54+J55+J56+J57</f>
        <v>262797.295383768</v>
      </c>
      <c r="K58" s="35" t="n">
        <f aca="false">K51+K52+K53+K54+K55+K56+K57</f>
        <v>330383.880352864</v>
      </c>
      <c r="L58" s="35" t="n">
        <f aca="false">L51+L52+L53+L54+L55+L56+L57</f>
        <v>402498.408143737</v>
      </c>
      <c r="M58" s="35" t="n">
        <f aca="false">M51+M52+M53+M54+M55+M56+M57</f>
        <v>479757.778172497</v>
      </c>
      <c r="N58" s="35" t="n">
        <f aca="false">N51+N52+N53+N54+N55+N56+N57</f>
        <v>562808.409148496</v>
      </c>
      <c r="O58" s="35" t="n">
        <f aca="false">O51+O52+O53+O54+O55+O56+O57</f>
        <v>652330.141795293</v>
      </c>
      <c r="P58" s="35" t="n">
        <f aca="false">P51+P52+P53+P54+P55+P56+P57</f>
        <v>749040.90970005</v>
      </c>
      <c r="Q58" s="35" t="n">
        <f aca="false">Q51+Q52+Q53+Q54+Q55+Q56+Q57</f>
        <v>853702.192909721</v>
      </c>
      <c r="R58" s="35" t="n">
        <f aca="false">R51+R52+R53+R54+R55+R56+R57</f>
        <v>967125.231201674</v>
      </c>
      <c r="S58" s="35" t="n">
        <f aca="false">S51+S52+S53+S54+S55+S56+S57</f>
        <v>1090177.99228148</v>
      </c>
      <c r="T58" s="35" t="n">
        <f aca="false">T51+T52+T53+T54+T55+T56+T57</f>
        <v>1214297.4004913</v>
      </c>
      <c r="U58" s="35" t="n">
        <f aca="false">U51+U52+U53+U54+U55+U56+U57</f>
        <v>1338760.83414524</v>
      </c>
      <c r="V58" s="35" t="n">
        <f aca="false">V51+V52+V53+V54+V55+V56+V57</f>
        <v>1465125.06644992</v>
      </c>
      <c r="W58" s="35" t="n">
        <f aca="false">W51+W52+W53+W54+W55+W56+W57</f>
        <v>1593721.69962973</v>
      </c>
      <c r="X58" s="35" t="n">
        <f aca="false">X51+X52+X53+X54+X55+X56+X57</f>
        <v>1724866.89921177</v>
      </c>
      <c r="Y58" s="35" t="n">
        <f aca="false">Y51+Y52+Y53+Y54+Y55+Y56+Y57</f>
        <v>1858890.20135612</v>
      </c>
      <c r="Z58" s="35" t="n">
        <f aca="false">Z51+Z52+Z53+Z54+Z55+Z56+Z57</f>
        <v>1996139.72613471</v>
      </c>
      <c r="AA58" s="35" t="n">
        <f aca="false">AA51+AA52+AA53+AA54+AA55+AA56+AA57</f>
        <v>2136987.05026373</v>
      </c>
      <c r="AB58" s="35" t="n">
        <f aca="false">AB51+AB52+AB53+AB54+AB55+AB56+AB57</f>
        <v>2281832.20084231</v>
      </c>
      <c r="AC58" s="35" t="n">
        <f aca="false">AC51+AC52+AC53+AC54+AC55+AC56+AC57</f>
        <v>2431108.974957</v>
      </c>
      <c r="AD58" s="35" t="n">
        <f aca="false">AD51+AD52+AD53+AD54+AD55+AD56+AD57</f>
        <v>2585290.65305596</v>
      </c>
      <c r="AE58" s="35" t="n">
        <f aca="false">AE51+AE52+AE53+AE54+AE55+AE56+AE57</f>
        <v>2744896.16965771</v>
      </c>
      <c r="AF58" s="35" t="n">
        <f aca="false">AF51+AF52+AF53+AF54+AF55+AF56+AF57</f>
        <v>2910496.80982216</v>
      </c>
      <c r="AG58" s="35" t="n">
        <f aca="false">AG51+AG52+AG53+AG54+AG55+AG56+AG57</f>
        <v>3082723.50627349</v>
      </c>
      <c r="AH58" s="35" t="n">
        <f aca="false">AH51+AH52+AH53+AH54+AH55+AH56+AH57</f>
        <v>3262274.81916365</v>
      </c>
      <c r="AI58" s="35" t="n">
        <f aca="false">AI51+AI52+AI53+AI54+AI55+AI56+AI57</f>
        <v>3449925.68825454</v>
      </c>
      <c r="AJ58" s="35" t="n">
        <f aca="false">AJ51+AJ52+AJ53+AJ54+AJ55+AJ56+AJ57</f>
        <v>3621891.86140514</v>
      </c>
      <c r="AK58" s="35" t="n">
        <f aca="false">AK51+AK52+AK53+AK54+AK55+AK56+AK57</f>
        <v>3786933.89980227</v>
      </c>
      <c r="AL58" s="35" t="n">
        <f aca="false">AL51+AL52+AL53+AL54+AL55+AL56+AL57</f>
        <v>3947593.21056321</v>
      </c>
      <c r="AM58" s="35" t="n">
        <f aca="false">SUM(C58:AL58)</f>
        <v>54203449.9811043</v>
      </c>
    </row>
    <row r="59" customFormat="false" ht="15" hidden="false" customHeight="false" outlineLevel="0" collapsed="false">
      <c r="A59" s="10" t="s">
        <v>644</v>
      </c>
      <c r="B59" s="9" t="s">
        <v>54</v>
      </c>
      <c r="C59" s="44" t="n">
        <f aca="false">IFERROR(C58/C51,0)</f>
        <v>0</v>
      </c>
      <c r="D59" s="44" t="n">
        <f aca="false">IFERROR(D58/D51,0)</f>
        <v>0</v>
      </c>
      <c r="E59" s="44" t="n">
        <f aca="false">IFERROR(E58/E51,0)</f>
        <v>0</v>
      </c>
      <c r="F59" s="44" t="n">
        <f aca="false">IFERROR(F58/F51,0)</f>
        <v>0</v>
      </c>
      <c r="G59" s="44" t="n">
        <f aca="false">IFERROR(G58/G51,0)</f>
        <v>0.622324684568275</v>
      </c>
      <c r="H59" s="44" t="n">
        <f aca="false">IFERROR(H58/H51,0)</f>
        <v>0.625157238337008</v>
      </c>
      <c r="I59" s="44" t="n">
        <f aca="false">IFERROR(I58/I51,0)</f>
        <v>0.626392121421834</v>
      </c>
      <c r="J59" s="44" t="n">
        <f aca="false">IFERROR(J58/J51,0)</f>
        <v>0.62706903709991</v>
      </c>
      <c r="K59" s="44" t="n">
        <f aca="false">IFERROR(K58/K51,0)</f>
        <v>0.627491252977528</v>
      </c>
      <c r="L59" s="44" t="n">
        <f aca="false">IFERROR(L58/L51,0)</f>
        <v>0.627776454995921</v>
      </c>
      <c r="M59" s="44" t="n">
        <f aca="false">IFERROR(M58/M51,0)</f>
        <v>0.62797992042455</v>
      </c>
      <c r="N59" s="44" t="n">
        <f aca="false">IFERROR(N58/N51,0)</f>
        <v>0.628130989789012</v>
      </c>
      <c r="O59" s="44" t="n">
        <f aca="false">IFERROR(O58/O51,0)</f>
        <v>0.628246658810606</v>
      </c>
      <c r="P59" s="44" t="n">
        <f aca="false">IFERROR(P58/P51,0)</f>
        <v>0.628337430460238</v>
      </c>
      <c r="Q59" s="44" t="n">
        <f aca="false">IFERROR(Q58/Q51,0)</f>
        <v>0.628410124537957</v>
      </c>
      <c r="R59" s="44" t="n">
        <f aca="false">IFERROR(R58/R51,0)</f>
        <v>0.628469344298554</v>
      </c>
      <c r="S59" s="44" t="n">
        <f aca="false">IFERROR(S58/S51,0)</f>
        <v>0.62851829467096</v>
      </c>
      <c r="T59" s="44" t="n">
        <f aca="false">IFERROR(T58/T51,0)</f>
        <v>0.628608509285317</v>
      </c>
      <c r="U59" s="44" t="n">
        <f aca="false">IFERROR(U58/U51,0)</f>
        <v>0.628701902969822</v>
      </c>
      <c r="V59" s="44" t="n">
        <f aca="false">IFERROR(V58/V51,0)</f>
        <v>0.628778865811402</v>
      </c>
      <c r="W59" s="44" t="n">
        <f aca="false">IFERROR(W58/W51,0)</f>
        <v>0.628842762274543</v>
      </c>
      <c r="X59" s="44" t="n">
        <f aca="false">IFERROR(X58/X51,0)</f>
        <v>0.628896344733887</v>
      </c>
      <c r="Y59" s="44" t="n">
        <f aca="false">IFERROR(Y58/Y51,0)</f>
        <v>0.628941639794295</v>
      </c>
      <c r="Z59" s="44" t="n">
        <f aca="false">IFERROR(Z58/Z51,0)</f>
        <v>0.628980159869315</v>
      </c>
      <c r="AA59" s="44" t="n">
        <f aca="false">IFERROR(AA58/AA51,0)</f>
        <v>0.629013051357676</v>
      </c>
      <c r="AB59" s="44" t="n">
        <f aca="false">IFERROR(AB58/AB51,0)</f>
        <v>0.629041195832677</v>
      </c>
      <c r="AC59" s="44" t="n">
        <f aca="false">IFERROR(AC58/AC51,0)</f>
        <v>0.629065279700036</v>
      </c>
      <c r="AD59" s="44" t="n">
        <f aca="false">IFERROR(AD58/AD51,0)</f>
        <v>0.629085843160776</v>
      </c>
      <c r="AE59" s="44" t="n">
        <f aca="false">IFERROR(AE58/AE51,0)</f>
        <v>0.629103315334048</v>
      </c>
      <c r="AF59" s="44" t="n">
        <f aca="false">IFERROR(AF58/AF51,0)</f>
        <v>0.629118039932207</v>
      </c>
      <c r="AG59" s="44" t="n">
        <f aca="false">IFERROR(AG58/AG51,0)</f>
        <v>0.629130294363512</v>
      </c>
      <c r="AH59" s="44" t="n">
        <f aca="false">IFERROR(AH58/AH51,0)</f>
        <v>0.629140304185092</v>
      </c>
      <c r="AI59" s="44" t="n">
        <f aca="false">IFERROR(AI58/AI51,0)</f>
        <v>0.629148254216458</v>
      </c>
      <c r="AJ59" s="44" t="n">
        <f aca="false">IFERROR(AJ58/AJ51,0)</f>
        <v>0.629201282890653</v>
      </c>
      <c r="AK59" s="44" t="n">
        <f aca="false">IFERROR(AK58/AK51,0)</f>
        <v>0.629247097244858</v>
      </c>
      <c r="AL59" s="44" t="n">
        <f aca="false">IFERROR(AL58/AL51,0)</f>
        <v>0.629283249344765</v>
      </c>
      <c r="AM59" s="44" t="n">
        <f aca="false">AVERAGE(N59:AL59)</f>
        <v>0.628857609394747</v>
      </c>
    </row>
    <row r="60" customFormat="false" ht="15" hidden="false" customHeight="false" outlineLevel="0" collapsed="false">
      <c r="A60" s="26" t="s">
        <v>645</v>
      </c>
      <c r="B60" s="9" t="s">
        <v>90</v>
      </c>
      <c r="C60" s="35" t="n">
        <f aca="false">C31+C51</f>
        <v>0</v>
      </c>
      <c r="D60" s="35" t="n">
        <f aca="false">D31+D51</f>
        <v>258192</v>
      </c>
      <c r="E60" s="35" t="n">
        <f aca="false">E31+E51</f>
        <v>445930.78647704</v>
      </c>
      <c r="F60" s="35" t="n">
        <f aca="false">F31+F51</f>
        <v>590684.243403185</v>
      </c>
      <c r="G60" s="35" t="n">
        <f aca="false">G31+G51</f>
        <v>857968.006347387</v>
      </c>
      <c r="H60" s="35" t="n">
        <f aca="false">H31+H51</f>
        <v>1098282.62032669</v>
      </c>
      <c r="I60" s="35" t="n">
        <f aca="false">I31+I51</f>
        <v>1343714.20236336</v>
      </c>
      <c r="J60" s="35" t="n">
        <f aca="false">J31+J51</f>
        <v>1596921.8752384</v>
      </c>
      <c r="K60" s="35" t="n">
        <f aca="false">K31+K51</f>
        <v>1859843.78616059</v>
      </c>
      <c r="L60" s="35" t="n">
        <f aca="false">L31+L51</f>
        <v>2134149.38730241</v>
      </c>
      <c r="M60" s="35" t="n">
        <f aca="false">M31+M51</f>
        <v>2421519.1565581</v>
      </c>
      <c r="N60" s="35" t="n">
        <f aca="false">N31+N51</f>
        <v>2723678.86230563</v>
      </c>
      <c r="O60" s="35" t="n">
        <f aca="false">O31+O51</f>
        <v>3042415.70278276</v>
      </c>
      <c r="P60" s="35" t="n">
        <f aca="false">P31+P51</f>
        <v>3379592.65970281</v>
      </c>
      <c r="Q60" s="35" t="n">
        <f aca="false">Q31+Q51</f>
        <v>3737163.86050966</v>
      </c>
      <c r="R60" s="35" t="n">
        <f aca="false">R31+R51</f>
        <v>4117191.2393164</v>
      </c>
      <c r="S60" s="35" t="n">
        <f aca="false">S31+S51</f>
        <v>4521862.57245371</v>
      </c>
      <c r="T60" s="35" t="n">
        <f aca="false">T31+T51</f>
        <v>4938252.84459361</v>
      </c>
      <c r="U60" s="35" t="n">
        <f aca="false">U31+U51</f>
        <v>5364867.64522603</v>
      </c>
      <c r="V60" s="35" t="n">
        <f aca="false">V31+V51</f>
        <v>5804204.03065789</v>
      </c>
      <c r="W60" s="35" t="n">
        <f aca="false">W31+W51</f>
        <v>6257120.64942119</v>
      </c>
      <c r="X60" s="35" t="n">
        <f aca="false">X31+X51</f>
        <v>6724454.7793865</v>
      </c>
      <c r="Y60" s="35" t="n">
        <f aca="false">Y31+Y51</f>
        <v>7207108.24455953</v>
      </c>
      <c r="Z60" s="35" t="n">
        <f aca="false">Z31+Z51</f>
        <v>7706074.97817987</v>
      </c>
      <c r="AA60" s="35" t="n">
        <f aca="false">AA31+AA51</f>
        <v>8222457.13415216</v>
      </c>
      <c r="AB60" s="35" t="n">
        <f aca="false">AB31+AB51</f>
        <v>8757481.33672344</v>
      </c>
      <c r="AC60" s="35" t="n">
        <f aca="false">AC31+AC51</f>
        <v>9312516.23363719</v>
      </c>
      <c r="AD60" s="35" t="n">
        <f aca="false">AD31+AD51</f>
        <v>9889091.66851461</v>
      </c>
      <c r="AE60" s="35" t="n">
        <f aca="false">AE31+AE51</f>
        <v>10488919.6976161</v>
      </c>
      <c r="AF60" s="35" t="n">
        <f aca="false">AF31+AF51</f>
        <v>11113917.6877957</v>
      </c>
      <c r="AG60" s="35" t="n">
        <f aca="false">AG31+AG51</f>
        <v>11766233.7561217</v>
      </c>
      <c r="AH60" s="35" t="n">
        <f aca="false">AH31+AH51</f>
        <v>12448274.8385467</v>
      </c>
      <c r="AI60" s="35" t="n">
        <f aca="false">AI31+AI51</f>
        <v>13162737.7046175</v>
      </c>
      <c r="AJ60" s="35" t="n">
        <f aca="false">AJ31+AJ51</f>
        <v>13824177.1196596</v>
      </c>
      <c r="AK60" s="35" t="n">
        <f aca="false">AK31+AK51</f>
        <v>14465280.9929399</v>
      </c>
      <c r="AL60" s="35" t="n">
        <f aca="false">AL31+AL51</f>
        <v>15097338.5205792</v>
      </c>
      <c r="AM60" s="35" t="n">
        <f aca="false">SUM(C60:AL60)</f>
        <v>216679620.824177</v>
      </c>
    </row>
    <row r="61" customFormat="false" ht="15" hidden="false" customHeight="false" outlineLevel="0" collapsed="false">
      <c r="A61" s="26" t="s">
        <v>646</v>
      </c>
      <c r="B61" s="9" t="s">
        <v>90</v>
      </c>
      <c r="C61" s="35" t="n">
        <f aca="false">C35+C58</f>
        <v>0</v>
      </c>
      <c r="D61" s="35" t="n">
        <f aca="false">D35+D58</f>
        <v>173640.816</v>
      </c>
      <c r="E61" s="35" t="n">
        <f aca="false">E35+E58</f>
        <v>299900.018758889</v>
      </c>
      <c r="F61" s="35" t="n">
        <f aca="false">F35+F58</f>
        <v>397250.472605161</v>
      </c>
      <c r="G61" s="35" t="n">
        <f aca="false">G35+G58</f>
        <v>570466.588054341</v>
      </c>
      <c r="H61" s="35" t="n">
        <f aca="false">H35+H58</f>
        <v>728101.855330598</v>
      </c>
      <c r="I61" s="35" t="n">
        <f aca="false">I35+I58</f>
        <v>889015.541391283</v>
      </c>
      <c r="J61" s="35" t="n">
        <f aca="false">J35+J58</f>
        <v>1054920.92234501</v>
      </c>
      <c r="K61" s="35" t="n">
        <f aca="false">K35+K58</f>
        <v>1227081.72135211</v>
      </c>
      <c r="L61" s="35" t="n">
        <f aca="false">L35+L58</f>
        <v>1406579.71502507</v>
      </c>
      <c r="M61" s="35" t="n">
        <f aca="false">M35+M58</f>
        <v>1594502.6177377</v>
      </c>
      <c r="N61" s="35" t="n">
        <f aca="false">N35+N58</f>
        <v>1791966.58609661</v>
      </c>
      <c r="O61" s="35" t="n">
        <f aca="false">O35+O58</f>
        <v>2000126.76616145</v>
      </c>
      <c r="P61" s="35" t="n">
        <f aca="false">P35+P58</f>
        <v>2220186.60527543</v>
      </c>
      <c r="Q61" s="35" t="n">
        <f aca="false">Q35+Q58</f>
        <v>2453407.79496014</v>
      </c>
      <c r="R61" s="35" t="n">
        <f aca="false">R35+R58</f>
        <v>2701121.0379255</v>
      </c>
      <c r="S61" s="35" t="n">
        <f aca="false">S35+S58</f>
        <v>2964737.68912094</v>
      </c>
      <c r="T61" s="35" t="n">
        <f aca="false">T35+T58</f>
        <v>3236266.81580991</v>
      </c>
      <c r="U61" s="35" t="n">
        <f aca="false">U35+U58</f>
        <v>3514693.52357282</v>
      </c>
      <c r="V61" s="35" t="n">
        <f aca="false">V35+V58</f>
        <v>3801542.17688871</v>
      </c>
      <c r="W61" s="35" t="n">
        <f aca="false">W35+W58</f>
        <v>4097366.48768839</v>
      </c>
      <c r="X61" s="35" t="n">
        <f aca="false">X35+X58</f>
        <v>4402707.8503604</v>
      </c>
      <c r="Y61" s="35" t="n">
        <f aca="false">Y35+Y58</f>
        <v>4718150.1372865</v>
      </c>
      <c r="Z61" s="35" t="n">
        <f aca="false">Z35+Z58</f>
        <v>5044337.830258</v>
      </c>
      <c r="AA61" s="35" t="n">
        <f aca="false">AA35+AA58</f>
        <v>5381986.51164241</v>
      </c>
      <c r="AB61" s="35" t="n">
        <f aca="false">AB35+AB58</f>
        <v>5731893.44748361</v>
      </c>
      <c r="AC61" s="35" t="n">
        <f aca="false">AC35+AC58</f>
        <v>6094949.02493714</v>
      </c>
      <c r="AD61" s="35" t="n">
        <f aca="false">AD35+AD58</f>
        <v>6472149.2510157</v>
      </c>
      <c r="AE61" s="35" t="n">
        <f aca="false">AE35+AE58</f>
        <v>6864609.45954327</v>
      </c>
      <c r="AF61" s="35" t="n">
        <f aca="false">AF35+AF58</f>
        <v>7273579.38080082</v>
      </c>
      <c r="AG61" s="35" t="n">
        <f aca="false">AG35+AG58</f>
        <v>7700459.74382437</v>
      </c>
      <c r="AH61" s="35" t="n">
        <f aca="false">AH35+AH58</f>
        <v>8146820.5989262</v>
      </c>
      <c r="AI61" s="35" t="n">
        <f aca="false">AI35+AI58</f>
        <v>8614421.5673803</v>
      </c>
      <c r="AJ61" s="35" t="n">
        <f aca="false">AJ35+AJ58</f>
        <v>9047726.52881065</v>
      </c>
      <c r="AK61" s="35" t="n">
        <f aca="false">AK35+AK58</f>
        <v>9467815.98404265</v>
      </c>
      <c r="AL61" s="35" t="n">
        <f aca="false">AL35+AL58</f>
        <v>9882083.50064634</v>
      </c>
      <c r="AM61" s="35" t="n">
        <f aca="false">SUM(C61:AL61)</f>
        <v>141966566.569058</v>
      </c>
    </row>
    <row r="62" customFormat="false" ht="15" hidden="false" customHeight="false" outlineLevel="0" collapsed="false">
      <c r="A62" s="26" t="s">
        <v>647</v>
      </c>
      <c r="B62" s="9" t="s">
        <v>54</v>
      </c>
      <c r="C62" s="34" t="n">
        <f aca="false">IFERROR(C61/C60,0)</f>
        <v>0</v>
      </c>
      <c r="D62" s="34" t="n">
        <f aca="false">IFERROR(D61/D60,0)</f>
        <v>0.672525934188511</v>
      </c>
      <c r="E62" s="34" t="n">
        <f aca="false">IFERROR(E61/E60,0)</f>
        <v>0.672525934188511</v>
      </c>
      <c r="F62" s="34" t="n">
        <f aca="false">IFERROR(F61/F60,0)</f>
        <v>0.672525934188511</v>
      </c>
      <c r="G62" s="34" t="n">
        <f aca="false">IFERROR(G61/G60,0)</f>
        <v>0.664904266632247</v>
      </c>
      <c r="H62" s="34" t="n">
        <f aca="false">IFERROR(H61/H60,0)</f>
        <v>0.662945804527092</v>
      </c>
      <c r="I62" s="34" t="n">
        <f aca="false">IFERROR(I61/I60,0)</f>
        <v>0.661610586408674</v>
      </c>
      <c r="J62" s="34" t="n">
        <f aca="false">IFERROR(J61/J60,0)</f>
        <v>0.660596450397754</v>
      </c>
      <c r="K62" s="34" t="n">
        <f aca="false">IFERROR(K61/K60,0)</f>
        <v>0.659776767534474</v>
      </c>
      <c r="L62" s="34" t="n">
        <f aca="false">IFERROR(L61/L60,0)</f>
        <v>0.659082125831405</v>
      </c>
      <c r="M62" s="34" t="n">
        <f aca="false">IFERROR(M61/M60,0)</f>
        <v>0.658472022994067</v>
      </c>
      <c r="N62" s="34" t="n">
        <f aca="false">IFERROR(N61/N60,0)</f>
        <v>0.657921391136284</v>
      </c>
      <c r="O62" s="34" t="n">
        <f aca="false">IFERROR(O61/O60,0)</f>
        <v>0.657414029362268</v>
      </c>
      <c r="P62" s="34" t="n">
        <f aca="false">IFERROR(P61/P60,0)</f>
        <v>0.656939113328133</v>
      </c>
      <c r="Q62" s="34" t="n">
        <f aca="false">IFERROR(Q61/Q60,0)</f>
        <v>0.656489221916418</v>
      </c>
      <c r="R62" s="34" t="n">
        <f aca="false">IFERROR(R61/R60,0)</f>
        <v>0.656059162890376</v>
      </c>
      <c r="S62" s="34" t="n">
        <f aca="false">IFERROR(S61/S60,0)</f>
        <v>0.655645243882806</v>
      </c>
      <c r="T62" s="34" t="n">
        <f aca="false">IFERROR(T61/T60,0)</f>
        <v>0.65534651984314</v>
      </c>
      <c r="U62" s="34" t="n">
        <f aca="false">IFERROR(U61/U60,0)</f>
        <v>0.655131450763823</v>
      </c>
      <c r="V62" s="34" t="n">
        <f aca="false">IFERROR(V61/V60,0)</f>
        <v>0.654963567236594</v>
      </c>
      <c r="W62" s="34" t="n">
        <f aca="false">IFERROR(W61/W60,0)</f>
        <v>0.654832584707699</v>
      </c>
      <c r="X62" s="34" t="n">
        <f aca="false">IFERROR(X61/X60,0)</f>
        <v>0.654730828714425</v>
      </c>
      <c r="Y62" s="34" t="n">
        <f aca="false">IFERROR(Y61/Y60,0)</f>
        <v>0.654652320623617</v>
      </c>
      <c r="Z62" s="34" t="n">
        <f aca="false">IFERROR(Z61/Z60,0)</f>
        <v>0.654592363108494</v>
      </c>
      <c r="AA62" s="34" t="n">
        <f aca="false">IFERROR(AA61/AA60,0)</f>
        <v>0.654547226435296</v>
      </c>
      <c r="AB62" s="34" t="n">
        <f aca="false">IFERROR(AB61/AB60,0)</f>
        <v>0.654513920965793</v>
      </c>
      <c r="AC62" s="34" t="n">
        <f aca="false">IFERROR(AC61/AC60,0)</f>
        <v>0.654490029549901</v>
      </c>
      <c r="AD62" s="34" t="n">
        <f aca="false">IFERROR(AD61/AD60,0)</f>
        <v>0.654473582404141</v>
      </c>
      <c r="AE62" s="34" t="n">
        <f aca="false">IFERROR(AE61/AE60,0)</f>
        <v>0.654462962577878</v>
      </c>
      <c r="AF62" s="34" t="n">
        <f aca="false">IFERROR(AF61/AF60,0)</f>
        <v>0.654456833775909</v>
      </c>
      <c r="AG62" s="34" t="n">
        <f aca="false">IFERROR(AG61/AG60,0)</f>
        <v>0.654454084750612</v>
      </c>
      <c r="AH62" s="34" t="n">
        <f aca="false">IFERROR(AH61/AH60,0)</f>
        <v>0.654453786134215</v>
      </c>
      <c r="AI62" s="34" t="n">
        <f aca="false">IFERROR(AI61/AI60,0)</f>
        <v>0.654455156723084</v>
      </c>
      <c r="AJ62" s="34" t="n">
        <f aca="false">IFERROR(AJ61/AJ60,0)</f>
        <v>0.654485720957938</v>
      </c>
      <c r="AK62" s="34" t="n">
        <f aca="false">IFERROR(AK61/AK60,0)</f>
        <v>0.654520018564703</v>
      </c>
      <c r="AL62" s="34" t="n">
        <f aca="false">IFERROR(AL61/AL60,0)</f>
        <v>0.654557986308386</v>
      </c>
      <c r="AM62" s="34" t="n">
        <f aca="false">AVERAGE(N62:AL62)</f>
        <v>0.655143564266477</v>
      </c>
    </row>
    <row r="63" customFormat="false" ht="15" hidden="false" customHeight="false" outlineLevel="0" collapsed="false">
      <c r="A63" s="10" t="s">
        <v>648</v>
      </c>
      <c r="B63" s="9" t="s">
        <v>90</v>
      </c>
      <c r="C63" s="50" t="n">
        <f aca="false">-Assumptions!$F$63</f>
        <v>-600</v>
      </c>
      <c r="D63" s="50" t="n">
        <f aca="false">-Assumptions!$F$63</f>
        <v>-600</v>
      </c>
      <c r="E63" s="50" t="n">
        <f aca="false">-Assumptions!$F$63</f>
        <v>-600</v>
      </c>
      <c r="F63" s="50" t="n">
        <f aca="false">-Assumptions!$F$63</f>
        <v>-600</v>
      </c>
      <c r="G63" s="50" t="n">
        <f aca="false">-Assumptions!$F$63</f>
        <v>-600</v>
      </c>
      <c r="H63" s="50" t="n">
        <f aca="false">-Assumptions!$F$63</f>
        <v>-600</v>
      </c>
      <c r="I63" s="50" t="n">
        <f aca="false">-Assumptions!$F$63</f>
        <v>-600</v>
      </c>
      <c r="J63" s="50" t="n">
        <f aca="false">-Assumptions!$F$63</f>
        <v>-600</v>
      </c>
      <c r="K63" s="50" t="n">
        <f aca="false">-Assumptions!$F$63</f>
        <v>-600</v>
      </c>
      <c r="L63" s="50" t="n">
        <f aca="false">-Assumptions!$F$63</f>
        <v>-600</v>
      </c>
      <c r="M63" s="50" t="n">
        <f aca="false">-Assumptions!$F$63</f>
        <v>-600</v>
      </c>
      <c r="N63" s="50" t="n">
        <f aca="false">-Assumptions!$F$63</f>
        <v>-600</v>
      </c>
      <c r="O63" s="50" t="n">
        <f aca="false">-Assumptions!$F$63</f>
        <v>-600</v>
      </c>
      <c r="P63" s="50" t="n">
        <f aca="false">-Assumptions!$F$63</f>
        <v>-600</v>
      </c>
      <c r="Q63" s="50" t="n">
        <f aca="false">-Assumptions!$F$63</f>
        <v>-600</v>
      </c>
      <c r="R63" s="50" t="n">
        <f aca="false">-Assumptions!$F$63</f>
        <v>-600</v>
      </c>
      <c r="S63" s="50" t="n">
        <f aca="false">-Assumptions!$F$63</f>
        <v>-600</v>
      </c>
      <c r="T63" s="50" t="n">
        <f aca="false">-Assumptions!$F$63</f>
        <v>-600</v>
      </c>
      <c r="U63" s="50" t="n">
        <f aca="false">-Assumptions!$F$63</f>
        <v>-600</v>
      </c>
      <c r="V63" s="50" t="n">
        <f aca="false">-Assumptions!$F$63</f>
        <v>-600</v>
      </c>
      <c r="W63" s="50" t="n">
        <f aca="false">-Assumptions!$F$63</f>
        <v>-600</v>
      </c>
      <c r="X63" s="50" t="n">
        <f aca="false">-Assumptions!$F$63</f>
        <v>-600</v>
      </c>
      <c r="Y63" s="50" t="n">
        <f aca="false">-Assumptions!$F$63</f>
        <v>-600</v>
      </c>
      <c r="Z63" s="50" t="n">
        <f aca="false">-Assumptions!$F$63</f>
        <v>-600</v>
      </c>
      <c r="AA63" s="50" t="n">
        <f aca="false">-Assumptions!$F$63</f>
        <v>-600</v>
      </c>
      <c r="AB63" s="50" t="n">
        <f aca="false">-Assumptions!$F$63</f>
        <v>-600</v>
      </c>
      <c r="AC63" s="50" t="n">
        <f aca="false">-Assumptions!$F$63</f>
        <v>-600</v>
      </c>
      <c r="AD63" s="50" t="n">
        <f aca="false">-Assumptions!$F$63</f>
        <v>-600</v>
      </c>
      <c r="AE63" s="50" t="n">
        <f aca="false">-Assumptions!$F$63</f>
        <v>-600</v>
      </c>
      <c r="AF63" s="50" t="n">
        <f aca="false">-Assumptions!$F$63</f>
        <v>-600</v>
      </c>
      <c r="AG63" s="50" t="n">
        <f aca="false">-Assumptions!$F$63</f>
        <v>-600</v>
      </c>
      <c r="AH63" s="50" t="n">
        <f aca="false">-Assumptions!$F$63</f>
        <v>-600</v>
      </c>
      <c r="AI63" s="50" t="n">
        <f aca="false">-Assumptions!$F$63</f>
        <v>-600</v>
      </c>
      <c r="AJ63" s="50" t="n">
        <f aca="false">-Assumptions!$F$63</f>
        <v>-600</v>
      </c>
      <c r="AK63" s="50" t="n">
        <f aca="false">-Assumptions!$F$63</f>
        <v>-600</v>
      </c>
      <c r="AL63" s="50" t="n">
        <f aca="false">-Assumptions!$F$63</f>
        <v>-600</v>
      </c>
      <c r="AM63" s="50" t="n">
        <f aca="false">SUM(C63:AL63)</f>
        <v>-21600</v>
      </c>
    </row>
    <row r="64" customFormat="false" ht="15" hidden="false" customHeight="false" outlineLevel="0" collapsed="false">
      <c r="A64" s="10" t="s">
        <v>649</v>
      </c>
      <c r="B64" s="9" t="s">
        <v>90</v>
      </c>
      <c r="C64" s="50" t="n">
        <f aca="false">-Assumptions!$F$64</f>
        <v>-260</v>
      </c>
      <c r="D64" s="50" t="n">
        <f aca="false">-Assumptions!$F$64</f>
        <v>-260</v>
      </c>
      <c r="E64" s="50" t="n">
        <f aca="false">-Assumptions!$F$64</f>
        <v>-260</v>
      </c>
      <c r="F64" s="50" t="n">
        <f aca="false">-Assumptions!$F$64</f>
        <v>-260</v>
      </c>
      <c r="G64" s="50" t="n">
        <f aca="false">-Assumptions!$F$64</f>
        <v>-260</v>
      </c>
      <c r="H64" s="50" t="n">
        <f aca="false">-Assumptions!$F$64</f>
        <v>-260</v>
      </c>
      <c r="I64" s="50" t="n">
        <f aca="false">-Assumptions!$F$64</f>
        <v>-260</v>
      </c>
      <c r="J64" s="50" t="n">
        <f aca="false">-Assumptions!$F$64</f>
        <v>-260</v>
      </c>
      <c r="K64" s="50" t="n">
        <f aca="false">-Assumptions!$F$64</f>
        <v>-260</v>
      </c>
      <c r="L64" s="50" t="n">
        <f aca="false">-Assumptions!$F$64</f>
        <v>-260</v>
      </c>
      <c r="M64" s="50" t="n">
        <f aca="false">-Assumptions!$F$64</f>
        <v>-260</v>
      </c>
      <c r="N64" s="50" t="n">
        <f aca="false">-Assumptions!$F$64</f>
        <v>-260</v>
      </c>
      <c r="O64" s="50" t="n">
        <f aca="false">-Assumptions!$F$64</f>
        <v>-260</v>
      </c>
      <c r="P64" s="50" t="n">
        <f aca="false">-Assumptions!$F$64</f>
        <v>-260</v>
      </c>
      <c r="Q64" s="50" t="n">
        <f aca="false">-Assumptions!$F$64</f>
        <v>-260</v>
      </c>
      <c r="R64" s="50" t="n">
        <f aca="false">-Assumptions!$F$64</f>
        <v>-260</v>
      </c>
      <c r="S64" s="50" t="n">
        <f aca="false">-Assumptions!$F$64</f>
        <v>-260</v>
      </c>
      <c r="T64" s="50" t="n">
        <f aca="false">-Assumptions!$F$64</f>
        <v>-260</v>
      </c>
      <c r="U64" s="50" t="n">
        <f aca="false">-Assumptions!$F$64</f>
        <v>-260</v>
      </c>
      <c r="V64" s="50" t="n">
        <f aca="false">-Assumptions!$F$64</f>
        <v>-260</v>
      </c>
      <c r="W64" s="50" t="n">
        <f aca="false">-Assumptions!$F$64</f>
        <v>-260</v>
      </c>
      <c r="X64" s="50" t="n">
        <f aca="false">-Assumptions!$F$64</f>
        <v>-260</v>
      </c>
      <c r="Y64" s="50" t="n">
        <f aca="false">-Assumptions!$F$64</f>
        <v>-260</v>
      </c>
      <c r="Z64" s="50" t="n">
        <f aca="false">-Assumptions!$F$64</f>
        <v>-260</v>
      </c>
      <c r="AA64" s="50" t="n">
        <f aca="false">-Assumptions!$F$64</f>
        <v>-260</v>
      </c>
      <c r="AB64" s="50" t="n">
        <f aca="false">-Assumptions!$F$64</f>
        <v>-260</v>
      </c>
      <c r="AC64" s="50" t="n">
        <f aca="false">-Assumptions!$F$64</f>
        <v>-260</v>
      </c>
      <c r="AD64" s="50" t="n">
        <f aca="false">-Assumptions!$F$64</f>
        <v>-260</v>
      </c>
      <c r="AE64" s="50" t="n">
        <f aca="false">-Assumptions!$F$64</f>
        <v>-260</v>
      </c>
      <c r="AF64" s="50" t="n">
        <f aca="false">-Assumptions!$F$64</f>
        <v>-260</v>
      </c>
      <c r="AG64" s="50" t="n">
        <f aca="false">-Assumptions!$F$64</f>
        <v>-260</v>
      </c>
      <c r="AH64" s="50" t="n">
        <f aca="false">-Assumptions!$F$64</f>
        <v>-260</v>
      </c>
      <c r="AI64" s="50" t="n">
        <f aca="false">-Assumptions!$F$64</f>
        <v>-260</v>
      </c>
      <c r="AJ64" s="50" t="n">
        <f aca="false">-Assumptions!$F$64</f>
        <v>-260</v>
      </c>
      <c r="AK64" s="50" t="n">
        <f aca="false">-Assumptions!$F$64</f>
        <v>-260</v>
      </c>
      <c r="AL64" s="50" t="n">
        <f aca="false">-Assumptions!$F$64</f>
        <v>-260</v>
      </c>
      <c r="AM64" s="50" t="n">
        <f aca="false">SUM(C64:AL64)</f>
        <v>-9360</v>
      </c>
    </row>
    <row r="65" customFormat="false" ht="15" hidden="false" customHeight="false" outlineLevel="0" collapsed="false">
      <c r="A65" s="10" t="s">
        <v>650</v>
      </c>
      <c r="B65" s="9" t="s">
        <v>90</v>
      </c>
      <c r="C65" s="50" t="n">
        <f aca="false">-IF(C8=0,Assumptions!$F$65,IF(C$5&lt;=12,Assumptions!$F$66,IF(C$5&lt;=24,Assumptions!$F$67,Assumptions!$F$68)))</f>
        <v>-25000</v>
      </c>
      <c r="D65" s="50" t="n">
        <f aca="false">-IF(D8=0,Assumptions!$F$65,IF(D$5&lt;=12,Assumptions!$F$66,IF(D$5&lt;=24,Assumptions!$F$67,Assumptions!$F$68)))</f>
        <v>-70000</v>
      </c>
      <c r="E65" s="50" t="n">
        <f aca="false">-IF(E8=0,Assumptions!$F$65,IF(E$5&lt;=12,Assumptions!$F$66,IF(E$5&lt;=24,Assumptions!$F$67,Assumptions!$F$68)))</f>
        <v>-70000</v>
      </c>
      <c r="F65" s="50" t="n">
        <f aca="false">-IF(F8=0,Assumptions!$F$65,IF(F$5&lt;=12,Assumptions!$F$66,IF(F$5&lt;=24,Assumptions!$F$67,Assumptions!$F$68)))</f>
        <v>-70000</v>
      </c>
      <c r="G65" s="50" t="n">
        <f aca="false">-IF(G8=0,Assumptions!$F$65,IF(G$5&lt;=12,Assumptions!$F$66,IF(G$5&lt;=24,Assumptions!$F$67,Assumptions!$F$68)))</f>
        <v>-70000</v>
      </c>
      <c r="H65" s="50" t="n">
        <f aca="false">-IF(H8=0,Assumptions!$F$65,IF(H$5&lt;=12,Assumptions!$F$66,IF(H$5&lt;=24,Assumptions!$F$67,Assumptions!$F$68)))</f>
        <v>-70000</v>
      </c>
      <c r="I65" s="50" t="n">
        <f aca="false">-IF(I8=0,Assumptions!$F$65,IF(I$5&lt;=12,Assumptions!$F$66,IF(I$5&lt;=24,Assumptions!$F$67,Assumptions!$F$68)))</f>
        <v>-70000</v>
      </c>
      <c r="J65" s="50" t="n">
        <f aca="false">-IF(J8=0,Assumptions!$F$65,IF(J$5&lt;=12,Assumptions!$F$66,IF(J$5&lt;=24,Assumptions!$F$67,Assumptions!$F$68)))</f>
        <v>-70000</v>
      </c>
      <c r="K65" s="50" t="n">
        <f aca="false">-IF(K8=0,Assumptions!$F$65,IF(K$5&lt;=12,Assumptions!$F$66,IF(K$5&lt;=24,Assumptions!$F$67,Assumptions!$F$68)))</f>
        <v>-70000</v>
      </c>
      <c r="L65" s="50" t="n">
        <f aca="false">-IF(L8=0,Assumptions!$F$65,IF(L$5&lt;=12,Assumptions!$F$66,IF(L$5&lt;=24,Assumptions!$F$67,Assumptions!$F$68)))</f>
        <v>-70000</v>
      </c>
      <c r="M65" s="50" t="n">
        <f aca="false">-IF(M8=0,Assumptions!$F$65,IF(M$5&lt;=12,Assumptions!$F$66,IF(M$5&lt;=24,Assumptions!$F$67,Assumptions!$F$68)))</f>
        <v>-70000</v>
      </c>
      <c r="N65" s="50" t="n">
        <f aca="false">-IF(N8=0,Assumptions!$F$65,IF(N$5&lt;=12,Assumptions!$F$66,IF(N$5&lt;=24,Assumptions!$F$67,Assumptions!$F$68)))</f>
        <v>-70000</v>
      </c>
      <c r="O65" s="50" t="n">
        <f aca="false">-IF(O8=0,Assumptions!$F$65,IF(O$5&lt;=12,Assumptions!$F$66,IF(O$5&lt;=24,Assumptions!$F$67,Assumptions!$F$68)))</f>
        <v>-140000</v>
      </c>
      <c r="P65" s="50" t="n">
        <f aca="false">-IF(P8=0,Assumptions!$F$65,IF(P$5&lt;=12,Assumptions!$F$66,IF(P$5&lt;=24,Assumptions!$F$67,Assumptions!$F$68)))</f>
        <v>-140000</v>
      </c>
      <c r="Q65" s="50" t="n">
        <f aca="false">-IF(Q8=0,Assumptions!$F$65,IF(Q$5&lt;=12,Assumptions!$F$66,IF(Q$5&lt;=24,Assumptions!$F$67,Assumptions!$F$68)))</f>
        <v>-140000</v>
      </c>
      <c r="R65" s="50" t="n">
        <f aca="false">-IF(R8=0,Assumptions!$F$65,IF(R$5&lt;=12,Assumptions!$F$66,IF(R$5&lt;=24,Assumptions!$F$67,Assumptions!$F$68)))</f>
        <v>-140000</v>
      </c>
      <c r="S65" s="50" t="n">
        <f aca="false">-IF(S8=0,Assumptions!$F$65,IF(S$5&lt;=12,Assumptions!$F$66,IF(S$5&lt;=24,Assumptions!$F$67,Assumptions!$F$68)))</f>
        <v>-140000</v>
      </c>
      <c r="T65" s="50" t="n">
        <f aca="false">-IF(T8=0,Assumptions!$F$65,IF(T$5&lt;=12,Assumptions!$F$66,IF(T$5&lt;=24,Assumptions!$F$67,Assumptions!$F$68)))</f>
        <v>-140000</v>
      </c>
      <c r="U65" s="50" t="n">
        <f aca="false">-IF(U8=0,Assumptions!$F$65,IF(U$5&lt;=12,Assumptions!$F$66,IF(U$5&lt;=24,Assumptions!$F$67,Assumptions!$F$68)))</f>
        <v>-140000</v>
      </c>
      <c r="V65" s="50" t="n">
        <f aca="false">-IF(V8=0,Assumptions!$F$65,IF(V$5&lt;=12,Assumptions!$F$66,IF(V$5&lt;=24,Assumptions!$F$67,Assumptions!$F$68)))</f>
        <v>-140000</v>
      </c>
      <c r="W65" s="50" t="n">
        <f aca="false">-IF(W8=0,Assumptions!$F$65,IF(W$5&lt;=12,Assumptions!$F$66,IF(W$5&lt;=24,Assumptions!$F$67,Assumptions!$F$68)))</f>
        <v>-140000</v>
      </c>
      <c r="X65" s="50" t="n">
        <f aca="false">-IF(X8=0,Assumptions!$F$65,IF(X$5&lt;=12,Assumptions!$F$66,IF(X$5&lt;=24,Assumptions!$F$67,Assumptions!$F$68)))</f>
        <v>-140000</v>
      </c>
      <c r="Y65" s="50" t="n">
        <f aca="false">-IF(Y8=0,Assumptions!$F$65,IF(Y$5&lt;=12,Assumptions!$F$66,IF(Y$5&lt;=24,Assumptions!$F$67,Assumptions!$F$68)))</f>
        <v>-140000</v>
      </c>
      <c r="Z65" s="50" t="n">
        <f aca="false">-IF(Z8=0,Assumptions!$F$65,IF(Z$5&lt;=12,Assumptions!$F$66,IF(Z$5&lt;=24,Assumptions!$F$67,Assumptions!$F$68)))</f>
        <v>-140000</v>
      </c>
      <c r="AA65" s="50" t="n">
        <f aca="false">-IF(AA8=0,Assumptions!$F$65,IF(AA$5&lt;=12,Assumptions!$F$66,IF(AA$5&lt;=24,Assumptions!$F$67,Assumptions!$F$68)))</f>
        <v>-230000</v>
      </c>
      <c r="AB65" s="50" t="n">
        <f aca="false">-IF(AB8=0,Assumptions!$F$65,IF(AB$5&lt;=12,Assumptions!$F$66,IF(AB$5&lt;=24,Assumptions!$F$67,Assumptions!$F$68)))</f>
        <v>-230000</v>
      </c>
      <c r="AC65" s="50" t="n">
        <f aca="false">-IF(AC8=0,Assumptions!$F$65,IF(AC$5&lt;=12,Assumptions!$F$66,IF(AC$5&lt;=24,Assumptions!$F$67,Assumptions!$F$68)))</f>
        <v>-230000</v>
      </c>
      <c r="AD65" s="50" t="n">
        <f aca="false">-IF(AD8=0,Assumptions!$F$65,IF(AD$5&lt;=12,Assumptions!$F$66,IF(AD$5&lt;=24,Assumptions!$F$67,Assumptions!$F$68)))</f>
        <v>-230000</v>
      </c>
      <c r="AE65" s="50" t="n">
        <f aca="false">-IF(AE8=0,Assumptions!$F$65,IF(AE$5&lt;=12,Assumptions!$F$66,IF(AE$5&lt;=24,Assumptions!$F$67,Assumptions!$F$68)))</f>
        <v>-230000</v>
      </c>
      <c r="AF65" s="50" t="n">
        <f aca="false">-IF(AF8=0,Assumptions!$F$65,IF(AF$5&lt;=12,Assumptions!$F$66,IF(AF$5&lt;=24,Assumptions!$F$67,Assumptions!$F$68)))</f>
        <v>-230000</v>
      </c>
      <c r="AG65" s="50" t="n">
        <f aca="false">-IF(AG8=0,Assumptions!$F$65,IF(AG$5&lt;=12,Assumptions!$F$66,IF(AG$5&lt;=24,Assumptions!$F$67,Assumptions!$F$68)))</f>
        <v>-230000</v>
      </c>
      <c r="AH65" s="50" t="n">
        <f aca="false">-IF(AH8=0,Assumptions!$F$65,IF(AH$5&lt;=12,Assumptions!$F$66,IF(AH$5&lt;=24,Assumptions!$F$67,Assumptions!$F$68)))</f>
        <v>-230000</v>
      </c>
      <c r="AI65" s="50" t="n">
        <f aca="false">-IF(AI8=0,Assumptions!$F$65,IF(AI$5&lt;=12,Assumptions!$F$66,IF(AI$5&lt;=24,Assumptions!$F$67,Assumptions!$F$68)))</f>
        <v>-230000</v>
      </c>
      <c r="AJ65" s="50" t="n">
        <f aca="false">-IF(AJ8=0,Assumptions!$F$65,IF(AJ$5&lt;=12,Assumptions!$F$66,IF(AJ$5&lt;=24,Assumptions!$F$67,Assumptions!$F$68)))</f>
        <v>-230000</v>
      </c>
      <c r="AK65" s="50" t="n">
        <f aca="false">-IF(AK8=0,Assumptions!$F$65,IF(AK$5&lt;=12,Assumptions!$F$66,IF(AK$5&lt;=24,Assumptions!$F$67,Assumptions!$F$68)))</f>
        <v>-230000</v>
      </c>
      <c r="AL65" s="50" t="n">
        <f aca="false">-IF(AL8=0,Assumptions!$F$65,IF(AL$5&lt;=12,Assumptions!$F$66,IF(AL$5&lt;=24,Assumptions!$F$67,Assumptions!$F$68)))</f>
        <v>-230000</v>
      </c>
      <c r="AM65" s="50" t="n">
        <f aca="false">SUM(C65:AL65)</f>
        <v>-5235000</v>
      </c>
    </row>
    <row r="66" customFormat="false" ht="15" hidden="false" customHeight="false" outlineLevel="0" collapsed="false">
      <c r="A66" s="10" t="s">
        <v>651</v>
      </c>
      <c r="B66" s="9" t="s">
        <v>90</v>
      </c>
      <c r="C66" s="50" t="n">
        <f aca="false">-IF(C$5&gt;=Assumptions!$F$7-2,Assumptions!$F$69,0)</f>
        <v>-0</v>
      </c>
      <c r="D66" s="50" t="n">
        <f aca="false">-IF(D$5&gt;=Assumptions!$F$7-2,Assumptions!$F$69,0)</f>
        <v>-0</v>
      </c>
      <c r="E66" s="50" t="n">
        <f aca="false">-IF(E$5&gt;=Assumptions!$F$7-2,Assumptions!$F$69,0)</f>
        <v>-14000</v>
      </c>
      <c r="F66" s="50" t="n">
        <f aca="false">-IF(F$5&gt;=Assumptions!$F$7-2,Assumptions!$F$69,0)</f>
        <v>-14000</v>
      </c>
      <c r="G66" s="50" t="n">
        <f aca="false">-IF(G$5&gt;=Assumptions!$F$7-2,Assumptions!$F$69,0)</f>
        <v>-14000</v>
      </c>
      <c r="H66" s="50" t="n">
        <f aca="false">-IF(H$5&gt;=Assumptions!$F$7-2,Assumptions!$F$69,0)</f>
        <v>-14000</v>
      </c>
      <c r="I66" s="50" t="n">
        <f aca="false">-IF(I$5&gt;=Assumptions!$F$7-2,Assumptions!$F$69,0)</f>
        <v>-14000</v>
      </c>
      <c r="J66" s="50" t="n">
        <f aca="false">-IF(J$5&gt;=Assumptions!$F$7-2,Assumptions!$F$69,0)</f>
        <v>-14000</v>
      </c>
      <c r="K66" s="50" t="n">
        <f aca="false">-IF(K$5&gt;=Assumptions!$F$7-2,Assumptions!$F$69,0)</f>
        <v>-14000</v>
      </c>
      <c r="L66" s="50" t="n">
        <f aca="false">-IF(L$5&gt;=Assumptions!$F$7-2,Assumptions!$F$69,0)</f>
        <v>-14000</v>
      </c>
      <c r="M66" s="50" t="n">
        <f aca="false">-IF(M$5&gt;=Assumptions!$F$7-2,Assumptions!$F$69,0)</f>
        <v>-14000</v>
      </c>
      <c r="N66" s="50" t="n">
        <f aca="false">-IF(N$5&gt;=Assumptions!$F$7-2,Assumptions!$F$69,0)</f>
        <v>-14000</v>
      </c>
      <c r="O66" s="50" t="n">
        <f aca="false">-IF(O$5&gt;=Assumptions!$F$7-2,Assumptions!$F$69,0)</f>
        <v>-14000</v>
      </c>
      <c r="P66" s="50" t="n">
        <f aca="false">-IF(P$5&gt;=Assumptions!$F$7-2,Assumptions!$F$69,0)</f>
        <v>-14000</v>
      </c>
      <c r="Q66" s="50" t="n">
        <f aca="false">-IF(Q$5&gt;=Assumptions!$F$7-2,Assumptions!$F$69,0)</f>
        <v>-14000</v>
      </c>
      <c r="R66" s="50" t="n">
        <f aca="false">-IF(R$5&gt;=Assumptions!$F$7-2,Assumptions!$F$69,0)</f>
        <v>-14000</v>
      </c>
      <c r="S66" s="50" t="n">
        <f aca="false">-IF(S$5&gt;=Assumptions!$F$7-2,Assumptions!$F$69,0)</f>
        <v>-14000</v>
      </c>
      <c r="T66" s="50" t="n">
        <f aca="false">-IF(T$5&gt;=Assumptions!$F$7-2,Assumptions!$F$69,0)</f>
        <v>-14000</v>
      </c>
      <c r="U66" s="50" t="n">
        <f aca="false">-IF(U$5&gt;=Assumptions!$F$7-2,Assumptions!$F$69,0)</f>
        <v>-14000</v>
      </c>
      <c r="V66" s="50" t="n">
        <f aca="false">-IF(V$5&gt;=Assumptions!$F$7-2,Assumptions!$F$69,0)</f>
        <v>-14000</v>
      </c>
      <c r="W66" s="50" t="n">
        <f aca="false">-IF(W$5&gt;=Assumptions!$F$7-2,Assumptions!$F$69,0)</f>
        <v>-14000</v>
      </c>
      <c r="X66" s="50" t="n">
        <f aca="false">-IF(X$5&gt;=Assumptions!$F$7-2,Assumptions!$F$69,0)</f>
        <v>-14000</v>
      </c>
      <c r="Y66" s="50" t="n">
        <f aca="false">-IF(Y$5&gt;=Assumptions!$F$7-2,Assumptions!$F$69,0)</f>
        <v>-14000</v>
      </c>
      <c r="Z66" s="50" t="n">
        <f aca="false">-IF(Z$5&gt;=Assumptions!$F$7-2,Assumptions!$F$69,0)</f>
        <v>-14000</v>
      </c>
      <c r="AA66" s="50" t="n">
        <f aca="false">-IF(AA$5&gt;=Assumptions!$F$7-2,Assumptions!$F$69,0)</f>
        <v>-14000</v>
      </c>
      <c r="AB66" s="50" t="n">
        <f aca="false">-IF(AB$5&gt;=Assumptions!$F$7-2,Assumptions!$F$69,0)</f>
        <v>-14000</v>
      </c>
      <c r="AC66" s="50" t="n">
        <f aca="false">-IF(AC$5&gt;=Assumptions!$F$7-2,Assumptions!$F$69,0)</f>
        <v>-14000</v>
      </c>
      <c r="AD66" s="50" t="n">
        <f aca="false">-IF(AD$5&gt;=Assumptions!$F$7-2,Assumptions!$F$69,0)</f>
        <v>-14000</v>
      </c>
      <c r="AE66" s="50" t="n">
        <f aca="false">-IF(AE$5&gt;=Assumptions!$F$7-2,Assumptions!$F$69,0)</f>
        <v>-14000</v>
      </c>
      <c r="AF66" s="50" t="n">
        <f aca="false">-IF(AF$5&gt;=Assumptions!$F$7-2,Assumptions!$F$69,0)</f>
        <v>-14000</v>
      </c>
      <c r="AG66" s="50" t="n">
        <f aca="false">-IF(AG$5&gt;=Assumptions!$F$7-2,Assumptions!$F$69,0)</f>
        <v>-14000</v>
      </c>
      <c r="AH66" s="50" t="n">
        <f aca="false">-IF(AH$5&gt;=Assumptions!$F$7-2,Assumptions!$F$69,0)</f>
        <v>-14000</v>
      </c>
      <c r="AI66" s="50" t="n">
        <f aca="false">-IF(AI$5&gt;=Assumptions!$F$7-2,Assumptions!$F$69,0)</f>
        <v>-14000</v>
      </c>
      <c r="AJ66" s="50" t="n">
        <f aca="false">-IF(AJ$5&gt;=Assumptions!$F$7-2,Assumptions!$F$69,0)</f>
        <v>-14000</v>
      </c>
      <c r="AK66" s="50" t="n">
        <f aca="false">-IF(AK$5&gt;=Assumptions!$F$7-2,Assumptions!$F$69,0)</f>
        <v>-14000</v>
      </c>
      <c r="AL66" s="50" t="n">
        <f aca="false">-IF(AL$5&gt;=Assumptions!$F$7-2,Assumptions!$F$69,0)</f>
        <v>-14000</v>
      </c>
      <c r="AM66" s="50" t="n">
        <f aca="false">SUM(C66:AL66)</f>
        <v>-476000</v>
      </c>
    </row>
    <row r="67" customFormat="false" ht="15" hidden="false" customHeight="false" outlineLevel="0" collapsed="false">
      <c r="A67" s="10" t="s">
        <v>652</v>
      </c>
      <c r="B67" s="9" t="s">
        <v>90</v>
      </c>
      <c r="C67" s="50" t="n">
        <f aca="false">-Assumptions!$F$70</f>
        <v>-4000</v>
      </c>
      <c r="D67" s="50" t="n">
        <f aca="false">-Assumptions!$F$70</f>
        <v>-4000</v>
      </c>
      <c r="E67" s="50" t="n">
        <f aca="false">-Assumptions!$F$70</f>
        <v>-4000</v>
      </c>
      <c r="F67" s="50" t="n">
        <f aca="false">-Assumptions!$F$70</f>
        <v>-4000</v>
      </c>
      <c r="G67" s="50" t="n">
        <f aca="false">-Assumptions!$F$70</f>
        <v>-4000</v>
      </c>
      <c r="H67" s="50" t="n">
        <f aca="false">-Assumptions!$F$70</f>
        <v>-4000</v>
      </c>
      <c r="I67" s="50" t="n">
        <f aca="false">-Assumptions!$F$70</f>
        <v>-4000</v>
      </c>
      <c r="J67" s="50" t="n">
        <f aca="false">-Assumptions!$F$70</f>
        <v>-4000</v>
      </c>
      <c r="K67" s="50" t="n">
        <f aca="false">-Assumptions!$F$70</f>
        <v>-4000</v>
      </c>
      <c r="L67" s="50" t="n">
        <f aca="false">-Assumptions!$F$70</f>
        <v>-4000</v>
      </c>
      <c r="M67" s="50" t="n">
        <f aca="false">-Assumptions!$F$70</f>
        <v>-4000</v>
      </c>
      <c r="N67" s="50" t="n">
        <f aca="false">-Assumptions!$F$70</f>
        <v>-4000</v>
      </c>
      <c r="O67" s="50" t="n">
        <f aca="false">-Assumptions!$F$70</f>
        <v>-4000</v>
      </c>
      <c r="P67" s="50" t="n">
        <f aca="false">-Assumptions!$F$70</f>
        <v>-4000</v>
      </c>
      <c r="Q67" s="50" t="n">
        <f aca="false">-Assumptions!$F$70</f>
        <v>-4000</v>
      </c>
      <c r="R67" s="50" t="n">
        <f aca="false">-Assumptions!$F$70</f>
        <v>-4000</v>
      </c>
      <c r="S67" s="50" t="n">
        <f aca="false">-Assumptions!$F$70</f>
        <v>-4000</v>
      </c>
      <c r="T67" s="50" t="n">
        <f aca="false">-Assumptions!$F$70</f>
        <v>-4000</v>
      </c>
      <c r="U67" s="50" t="n">
        <f aca="false">-Assumptions!$F$70</f>
        <v>-4000</v>
      </c>
      <c r="V67" s="50" t="n">
        <f aca="false">-Assumptions!$F$70</f>
        <v>-4000</v>
      </c>
      <c r="W67" s="50" t="n">
        <f aca="false">-Assumptions!$F$70</f>
        <v>-4000</v>
      </c>
      <c r="X67" s="50" t="n">
        <f aca="false">-Assumptions!$F$70</f>
        <v>-4000</v>
      </c>
      <c r="Y67" s="50" t="n">
        <f aca="false">-Assumptions!$F$70</f>
        <v>-4000</v>
      </c>
      <c r="Z67" s="50" t="n">
        <f aca="false">-Assumptions!$F$70</f>
        <v>-4000</v>
      </c>
      <c r="AA67" s="50" t="n">
        <f aca="false">-Assumptions!$F$70</f>
        <v>-4000</v>
      </c>
      <c r="AB67" s="50" t="n">
        <f aca="false">-Assumptions!$F$70</f>
        <v>-4000</v>
      </c>
      <c r="AC67" s="50" t="n">
        <f aca="false">-Assumptions!$F$70</f>
        <v>-4000</v>
      </c>
      <c r="AD67" s="50" t="n">
        <f aca="false">-Assumptions!$F$70</f>
        <v>-4000</v>
      </c>
      <c r="AE67" s="50" t="n">
        <f aca="false">-Assumptions!$F$70</f>
        <v>-4000</v>
      </c>
      <c r="AF67" s="50" t="n">
        <f aca="false">-Assumptions!$F$70</f>
        <v>-4000</v>
      </c>
      <c r="AG67" s="50" t="n">
        <f aca="false">-Assumptions!$F$70</f>
        <v>-4000</v>
      </c>
      <c r="AH67" s="50" t="n">
        <f aca="false">-Assumptions!$F$70</f>
        <v>-4000</v>
      </c>
      <c r="AI67" s="50" t="n">
        <f aca="false">-Assumptions!$F$70</f>
        <v>-4000</v>
      </c>
      <c r="AJ67" s="50" t="n">
        <f aca="false">-Assumptions!$F$70</f>
        <v>-4000</v>
      </c>
      <c r="AK67" s="50" t="n">
        <f aca="false">-Assumptions!$F$70</f>
        <v>-4000</v>
      </c>
      <c r="AL67" s="50" t="n">
        <f aca="false">-Assumptions!$F$70</f>
        <v>-4000</v>
      </c>
      <c r="AM67" s="50" t="n">
        <f aca="false">SUM(C67:AL67)</f>
        <v>-144000</v>
      </c>
    </row>
    <row r="68" customFormat="false" ht="15" hidden="false" customHeight="false" outlineLevel="0" collapsed="false">
      <c r="A68" s="10" t="s">
        <v>653</v>
      </c>
      <c r="B68" s="9" t="s">
        <v>90</v>
      </c>
      <c r="C68" s="50" t="n">
        <f aca="false">-IF(C$5&lt;=4,Assumptions!$F$71,Assumptions!$F$72)</f>
        <v>-32000</v>
      </c>
      <c r="D68" s="50" t="n">
        <f aca="false">-IF(D$5&lt;=4,Assumptions!$F$71,Assumptions!$F$72)</f>
        <v>-32000</v>
      </c>
      <c r="E68" s="50" t="n">
        <f aca="false">-IF(E$5&lt;=4,Assumptions!$F$71,Assumptions!$F$72)</f>
        <v>-32000</v>
      </c>
      <c r="F68" s="50" t="n">
        <f aca="false">-IF(F$5&lt;=4,Assumptions!$F$71,Assumptions!$F$72)</f>
        <v>-32000</v>
      </c>
      <c r="G68" s="50" t="n">
        <f aca="false">-IF(G$5&lt;=4,Assumptions!$F$71,Assumptions!$F$72)</f>
        <v>-12000</v>
      </c>
      <c r="H68" s="50" t="n">
        <f aca="false">-IF(H$5&lt;=4,Assumptions!$F$71,Assumptions!$F$72)</f>
        <v>-12000</v>
      </c>
      <c r="I68" s="50" t="n">
        <f aca="false">-IF(I$5&lt;=4,Assumptions!$F$71,Assumptions!$F$72)</f>
        <v>-12000</v>
      </c>
      <c r="J68" s="50" t="n">
        <f aca="false">-IF(J$5&lt;=4,Assumptions!$F$71,Assumptions!$F$72)</f>
        <v>-12000</v>
      </c>
      <c r="K68" s="50" t="n">
        <f aca="false">-IF(K$5&lt;=4,Assumptions!$F$71,Assumptions!$F$72)</f>
        <v>-12000</v>
      </c>
      <c r="L68" s="50" t="n">
        <f aca="false">-IF(L$5&lt;=4,Assumptions!$F$71,Assumptions!$F$72)</f>
        <v>-12000</v>
      </c>
      <c r="M68" s="50" t="n">
        <f aca="false">-IF(M$5&lt;=4,Assumptions!$F$71,Assumptions!$F$72)</f>
        <v>-12000</v>
      </c>
      <c r="N68" s="50" t="n">
        <f aca="false">-IF(N$5&lt;=4,Assumptions!$F$71,Assumptions!$F$72)</f>
        <v>-12000</v>
      </c>
      <c r="O68" s="50" t="n">
        <f aca="false">-IF(O$5&lt;=4,Assumptions!$F$71,Assumptions!$F$72)</f>
        <v>-12000</v>
      </c>
      <c r="P68" s="50" t="n">
        <f aca="false">-IF(P$5&lt;=4,Assumptions!$F$71,Assumptions!$F$72)</f>
        <v>-12000</v>
      </c>
      <c r="Q68" s="50" t="n">
        <f aca="false">-IF(Q$5&lt;=4,Assumptions!$F$71,Assumptions!$F$72)</f>
        <v>-12000</v>
      </c>
      <c r="R68" s="50" t="n">
        <f aca="false">-IF(R$5&lt;=4,Assumptions!$F$71,Assumptions!$F$72)</f>
        <v>-12000</v>
      </c>
      <c r="S68" s="50" t="n">
        <f aca="false">-IF(S$5&lt;=4,Assumptions!$F$71,Assumptions!$F$72)</f>
        <v>-12000</v>
      </c>
      <c r="T68" s="50" t="n">
        <f aca="false">-IF(T$5&lt;=4,Assumptions!$F$71,Assumptions!$F$72)</f>
        <v>-12000</v>
      </c>
      <c r="U68" s="50" t="n">
        <f aca="false">-IF(U$5&lt;=4,Assumptions!$F$71,Assumptions!$F$72)</f>
        <v>-12000</v>
      </c>
      <c r="V68" s="50" t="n">
        <f aca="false">-IF(V$5&lt;=4,Assumptions!$F$71,Assumptions!$F$72)</f>
        <v>-12000</v>
      </c>
      <c r="W68" s="50" t="n">
        <f aca="false">-IF(W$5&lt;=4,Assumptions!$F$71,Assumptions!$F$72)</f>
        <v>-12000</v>
      </c>
      <c r="X68" s="50" t="n">
        <f aca="false">-IF(X$5&lt;=4,Assumptions!$F$71,Assumptions!$F$72)</f>
        <v>-12000</v>
      </c>
      <c r="Y68" s="50" t="n">
        <f aca="false">-IF(Y$5&lt;=4,Assumptions!$F$71,Assumptions!$F$72)</f>
        <v>-12000</v>
      </c>
      <c r="Z68" s="50" t="n">
        <f aca="false">-IF(Z$5&lt;=4,Assumptions!$F$71,Assumptions!$F$72)</f>
        <v>-12000</v>
      </c>
      <c r="AA68" s="50" t="n">
        <f aca="false">-IF(AA$5&lt;=4,Assumptions!$F$71,Assumptions!$F$72)</f>
        <v>-12000</v>
      </c>
      <c r="AB68" s="50" t="n">
        <f aca="false">-IF(AB$5&lt;=4,Assumptions!$F$71,Assumptions!$F$72)</f>
        <v>-12000</v>
      </c>
      <c r="AC68" s="50" t="n">
        <f aca="false">-IF(AC$5&lt;=4,Assumptions!$F$71,Assumptions!$F$72)</f>
        <v>-12000</v>
      </c>
      <c r="AD68" s="50" t="n">
        <f aca="false">-IF(AD$5&lt;=4,Assumptions!$F$71,Assumptions!$F$72)</f>
        <v>-12000</v>
      </c>
      <c r="AE68" s="50" t="n">
        <f aca="false">-IF(AE$5&lt;=4,Assumptions!$F$71,Assumptions!$F$72)</f>
        <v>-12000</v>
      </c>
      <c r="AF68" s="50" t="n">
        <f aca="false">-IF(AF$5&lt;=4,Assumptions!$F$71,Assumptions!$F$72)</f>
        <v>-12000</v>
      </c>
      <c r="AG68" s="50" t="n">
        <f aca="false">-IF(AG$5&lt;=4,Assumptions!$F$71,Assumptions!$F$72)</f>
        <v>-12000</v>
      </c>
      <c r="AH68" s="50" t="n">
        <f aca="false">-IF(AH$5&lt;=4,Assumptions!$F$71,Assumptions!$F$72)</f>
        <v>-12000</v>
      </c>
      <c r="AI68" s="50" t="n">
        <f aca="false">-IF(AI$5&lt;=4,Assumptions!$F$71,Assumptions!$F$72)</f>
        <v>-12000</v>
      </c>
      <c r="AJ68" s="50" t="n">
        <f aca="false">-IF(AJ$5&lt;=4,Assumptions!$F$71,Assumptions!$F$72)</f>
        <v>-12000</v>
      </c>
      <c r="AK68" s="50" t="n">
        <f aca="false">-IF(AK$5&lt;=4,Assumptions!$F$71,Assumptions!$F$72)</f>
        <v>-12000</v>
      </c>
      <c r="AL68" s="50" t="n">
        <f aca="false">-IF(AL$5&lt;=4,Assumptions!$F$71,Assumptions!$F$72)</f>
        <v>-12000</v>
      </c>
      <c r="AM68" s="50" t="n">
        <f aca="false">SUM(C68:AL68)</f>
        <v>-512000</v>
      </c>
    </row>
    <row r="69" customFormat="false" ht="15" hidden="false" customHeight="false" outlineLevel="0" collapsed="false">
      <c r="A69" s="10" t="s">
        <v>654</v>
      </c>
      <c r="B69" s="9" t="s">
        <v>90</v>
      </c>
      <c r="C69" s="50" t="n">
        <f aca="false">-C8*Assumptions!$F$73</f>
        <v>-0</v>
      </c>
      <c r="D69" s="50" t="n">
        <f aca="false">-D8*Assumptions!$F$73</f>
        <v>-5000</v>
      </c>
      <c r="E69" s="50" t="n">
        <f aca="false">-E8*Assumptions!$F$73</f>
        <v>-5000</v>
      </c>
      <c r="F69" s="50" t="n">
        <f aca="false">-F8*Assumptions!$F$73</f>
        <v>-5000</v>
      </c>
      <c r="G69" s="50" t="n">
        <f aca="false">-G8*Assumptions!$F$73</f>
        <v>-5000</v>
      </c>
      <c r="H69" s="50" t="n">
        <f aca="false">-H8*Assumptions!$F$73</f>
        <v>-5000</v>
      </c>
      <c r="I69" s="50" t="n">
        <f aca="false">-I8*Assumptions!$F$73</f>
        <v>-5000</v>
      </c>
      <c r="J69" s="50" t="n">
        <f aca="false">-J8*Assumptions!$F$73</f>
        <v>-5000</v>
      </c>
      <c r="K69" s="50" t="n">
        <f aca="false">-K8*Assumptions!$F$73</f>
        <v>-5000</v>
      </c>
      <c r="L69" s="50" t="n">
        <f aca="false">-L8*Assumptions!$F$73</f>
        <v>-5000</v>
      </c>
      <c r="M69" s="50" t="n">
        <f aca="false">-M8*Assumptions!$F$73</f>
        <v>-5000</v>
      </c>
      <c r="N69" s="50" t="n">
        <f aca="false">-N8*Assumptions!$F$73</f>
        <v>-5000</v>
      </c>
      <c r="O69" s="50" t="n">
        <f aca="false">-O8*Assumptions!$F$73</f>
        <v>-5000</v>
      </c>
      <c r="P69" s="50" t="n">
        <f aca="false">-P8*Assumptions!$F$73</f>
        <v>-5000</v>
      </c>
      <c r="Q69" s="50" t="n">
        <f aca="false">-Q8*Assumptions!$F$73</f>
        <v>-5000</v>
      </c>
      <c r="R69" s="50" t="n">
        <f aca="false">-R8*Assumptions!$F$73</f>
        <v>-5000</v>
      </c>
      <c r="S69" s="50" t="n">
        <f aca="false">-S8*Assumptions!$F$73</f>
        <v>-5000</v>
      </c>
      <c r="T69" s="50" t="n">
        <f aca="false">-T8*Assumptions!$F$73</f>
        <v>-5000</v>
      </c>
      <c r="U69" s="50" t="n">
        <f aca="false">-U8*Assumptions!$F$73</f>
        <v>-5000</v>
      </c>
      <c r="V69" s="50" t="n">
        <f aca="false">-V8*Assumptions!$F$73</f>
        <v>-5000</v>
      </c>
      <c r="W69" s="50" t="n">
        <f aca="false">-W8*Assumptions!$F$73</f>
        <v>-5000</v>
      </c>
      <c r="X69" s="50" t="n">
        <f aca="false">-X8*Assumptions!$F$73</f>
        <v>-5000</v>
      </c>
      <c r="Y69" s="50" t="n">
        <f aca="false">-Y8*Assumptions!$F$73</f>
        <v>-5000</v>
      </c>
      <c r="Z69" s="50" t="n">
        <f aca="false">-Z8*Assumptions!$F$73</f>
        <v>-5000</v>
      </c>
      <c r="AA69" s="50" t="n">
        <f aca="false">-AA8*Assumptions!$F$73</f>
        <v>-5000</v>
      </c>
      <c r="AB69" s="50" t="n">
        <f aca="false">-AB8*Assumptions!$F$73</f>
        <v>-5000</v>
      </c>
      <c r="AC69" s="50" t="n">
        <f aca="false">-AC8*Assumptions!$F$73</f>
        <v>-5000</v>
      </c>
      <c r="AD69" s="50" t="n">
        <f aca="false">-AD8*Assumptions!$F$73</f>
        <v>-5000</v>
      </c>
      <c r="AE69" s="50" t="n">
        <f aca="false">-AE8*Assumptions!$F$73</f>
        <v>-5000</v>
      </c>
      <c r="AF69" s="50" t="n">
        <f aca="false">-AF8*Assumptions!$F$73</f>
        <v>-5000</v>
      </c>
      <c r="AG69" s="50" t="n">
        <f aca="false">-AG8*Assumptions!$F$73</f>
        <v>-5000</v>
      </c>
      <c r="AH69" s="50" t="n">
        <f aca="false">-AH8*Assumptions!$F$73</f>
        <v>-5000</v>
      </c>
      <c r="AI69" s="50" t="n">
        <f aca="false">-AI8*Assumptions!$F$73</f>
        <v>-5000</v>
      </c>
      <c r="AJ69" s="50" t="n">
        <f aca="false">-AJ8*Assumptions!$F$73</f>
        <v>-5000</v>
      </c>
      <c r="AK69" s="50" t="n">
        <f aca="false">-AK8*Assumptions!$F$73</f>
        <v>-5000</v>
      </c>
      <c r="AL69" s="50" t="n">
        <f aca="false">-AL8*Assumptions!$F$73</f>
        <v>-5000</v>
      </c>
      <c r="AM69" s="50" t="n">
        <f aca="false">SUM(C69:AL69)</f>
        <v>-175000</v>
      </c>
    </row>
    <row r="70" customFormat="false" ht="15" hidden="false" customHeight="false" outlineLevel="0" collapsed="false">
      <c r="A70" s="10" t="s">
        <v>655</v>
      </c>
      <c r="B70" s="9" t="s">
        <v>90</v>
      </c>
      <c r="C70" s="50" t="n">
        <f aca="false">-Assumptions!$F$74</f>
        <v>-26000</v>
      </c>
      <c r="D70" s="50" t="n">
        <f aca="false">-Assumptions!$F$74</f>
        <v>-26000</v>
      </c>
      <c r="E70" s="50" t="n">
        <f aca="false">-Assumptions!$F$74</f>
        <v>-26000</v>
      </c>
      <c r="F70" s="50" t="n">
        <f aca="false">-Assumptions!$F$74</f>
        <v>-26000</v>
      </c>
      <c r="G70" s="50" t="n">
        <f aca="false">-Assumptions!$F$74</f>
        <v>-26000</v>
      </c>
      <c r="H70" s="50" t="n">
        <f aca="false">-Assumptions!$F$74</f>
        <v>-26000</v>
      </c>
      <c r="I70" s="50" t="n">
        <f aca="false">-Assumptions!$F$74</f>
        <v>-26000</v>
      </c>
      <c r="J70" s="50" t="n">
        <f aca="false">-Assumptions!$F$74</f>
        <v>-26000</v>
      </c>
      <c r="K70" s="50" t="n">
        <f aca="false">-Assumptions!$F$74</f>
        <v>-26000</v>
      </c>
      <c r="L70" s="50" t="n">
        <f aca="false">-Assumptions!$F$74</f>
        <v>-26000</v>
      </c>
      <c r="M70" s="50" t="n">
        <f aca="false">-Assumptions!$F$74</f>
        <v>-26000</v>
      </c>
      <c r="N70" s="50" t="n">
        <f aca="false">-Assumptions!$F$74</f>
        <v>-26000</v>
      </c>
      <c r="O70" s="50" t="n">
        <f aca="false">-Assumptions!$F$74</f>
        <v>-26000</v>
      </c>
      <c r="P70" s="50" t="n">
        <f aca="false">-Assumptions!$F$74</f>
        <v>-26000</v>
      </c>
      <c r="Q70" s="50" t="n">
        <f aca="false">-Assumptions!$F$74</f>
        <v>-26000</v>
      </c>
      <c r="R70" s="50" t="n">
        <f aca="false">-Assumptions!$F$74</f>
        <v>-26000</v>
      </c>
      <c r="S70" s="50" t="n">
        <f aca="false">-Assumptions!$F$74</f>
        <v>-26000</v>
      </c>
      <c r="T70" s="50" t="n">
        <f aca="false">-Assumptions!$F$74</f>
        <v>-26000</v>
      </c>
      <c r="U70" s="50" t="n">
        <f aca="false">-Assumptions!$F$74</f>
        <v>-26000</v>
      </c>
      <c r="V70" s="50" t="n">
        <f aca="false">-Assumptions!$F$74</f>
        <v>-26000</v>
      </c>
      <c r="W70" s="50" t="n">
        <f aca="false">-Assumptions!$F$74</f>
        <v>-26000</v>
      </c>
      <c r="X70" s="50" t="n">
        <f aca="false">-Assumptions!$F$74</f>
        <v>-26000</v>
      </c>
      <c r="Y70" s="50" t="n">
        <f aca="false">-Assumptions!$F$74</f>
        <v>-26000</v>
      </c>
      <c r="Z70" s="50" t="n">
        <f aca="false">-Assumptions!$F$74</f>
        <v>-26000</v>
      </c>
      <c r="AA70" s="50" t="n">
        <f aca="false">-Assumptions!$F$74</f>
        <v>-26000</v>
      </c>
      <c r="AB70" s="50" t="n">
        <f aca="false">-Assumptions!$F$74</f>
        <v>-26000</v>
      </c>
      <c r="AC70" s="50" t="n">
        <f aca="false">-Assumptions!$F$74</f>
        <v>-26000</v>
      </c>
      <c r="AD70" s="50" t="n">
        <f aca="false">-Assumptions!$F$74</f>
        <v>-26000</v>
      </c>
      <c r="AE70" s="50" t="n">
        <f aca="false">-Assumptions!$F$74</f>
        <v>-26000</v>
      </c>
      <c r="AF70" s="50" t="n">
        <f aca="false">-Assumptions!$F$74</f>
        <v>-26000</v>
      </c>
      <c r="AG70" s="50" t="n">
        <f aca="false">-Assumptions!$F$74</f>
        <v>-26000</v>
      </c>
      <c r="AH70" s="50" t="n">
        <f aca="false">-Assumptions!$F$74</f>
        <v>-26000</v>
      </c>
      <c r="AI70" s="50" t="n">
        <f aca="false">-Assumptions!$F$74</f>
        <v>-26000</v>
      </c>
      <c r="AJ70" s="50" t="n">
        <f aca="false">-Assumptions!$F$74</f>
        <v>-26000</v>
      </c>
      <c r="AK70" s="50" t="n">
        <f aca="false">-Assumptions!$F$74</f>
        <v>-26000</v>
      </c>
      <c r="AL70" s="50" t="n">
        <f aca="false">-Assumptions!$F$74</f>
        <v>-26000</v>
      </c>
      <c r="AM70" s="50" t="n">
        <f aca="false">SUM(C70:AL70)</f>
        <v>-936000</v>
      </c>
    </row>
    <row r="71" customFormat="false" ht="15" hidden="false" customHeight="false" outlineLevel="0" collapsed="false">
      <c r="A71" s="10" t="s">
        <v>656</v>
      </c>
      <c r="B71" s="9" t="s">
        <v>90</v>
      </c>
      <c r="C71" s="50" t="n">
        <f aca="false">-C15</f>
        <v>-15000</v>
      </c>
      <c r="D71" s="50" t="n">
        <f aca="false">-D15</f>
        <v>-60000</v>
      </c>
      <c r="E71" s="50" t="n">
        <f aca="false">-E15</f>
        <v>-60000</v>
      </c>
      <c r="F71" s="50" t="n">
        <f aca="false">-F15</f>
        <v>-89186.1572954081</v>
      </c>
      <c r="G71" s="50" t="n">
        <f aca="false">-G15</f>
        <v>-118136.848680637</v>
      </c>
      <c r="H71" s="50" t="n">
        <f aca="false">-H15</f>
        <v>-171593.601269477</v>
      </c>
      <c r="I71" s="50" t="n">
        <f aca="false">-I15</f>
        <v>-219656.524065337</v>
      </c>
      <c r="J71" s="50" t="n">
        <f aca="false">-J15</f>
        <v>-268742.840472671</v>
      </c>
      <c r="K71" s="50" t="n">
        <f aca="false">-K15</f>
        <v>-319384.375047679</v>
      </c>
      <c r="L71" s="50" t="n">
        <f aca="false">-L15</f>
        <v>-371968.757232118</v>
      </c>
      <c r="M71" s="50" t="n">
        <f aca="false">-M15</f>
        <v>-426829.877460483</v>
      </c>
      <c r="N71" s="50" t="n">
        <f aca="false">-N15</f>
        <v>-484303.831311619</v>
      </c>
      <c r="O71" s="50" t="n">
        <f aca="false">-O15</f>
        <v>-544735.772461127</v>
      </c>
      <c r="P71" s="50" t="n">
        <f aca="false">-P15</f>
        <v>-608483.140556552</v>
      </c>
      <c r="Q71" s="50" t="n">
        <f aca="false">-Q15</f>
        <v>-675918.531940563</v>
      </c>
      <c r="R71" s="50" t="n">
        <f aca="false">-R15</f>
        <v>-747432.772101931</v>
      </c>
      <c r="S71" s="50" t="n">
        <f aca="false">-S15</f>
        <v>-823438.24786328</v>
      </c>
      <c r="T71" s="50" t="n">
        <f aca="false">-T15</f>
        <v>-904372.514490742</v>
      </c>
      <c r="U71" s="50" t="n">
        <f aca="false">-U15</f>
        <v>-987650.568918723</v>
      </c>
      <c r="V71" s="50" t="n">
        <f aca="false">-V15</f>
        <v>-1072973.52904521</v>
      </c>
      <c r="W71" s="50" t="n">
        <f aca="false">-W15</f>
        <v>-1160840.80613158</v>
      </c>
      <c r="X71" s="50" t="n">
        <f aca="false">-X15</f>
        <v>-1251424.12988424</v>
      </c>
      <c r="Y71" s="50" t="n">
        <f aca="false">-Y15</f>
        <v>-1344890.9558773</v>
      </c>
      <c r="Z71" s="50" t="n">
        <f aca="false">-Z15</f>
        <v>-1441421.64891191</v>
      </c>
      <c r="AA71" s="50" t="n">
        <f aca="false">-AA15</f>
        <v>-1541214.99563597</v>
      </c>
      <c r="AB71" s="50" t="n">
        <f aca="false">-AB15</f>
        <v>-1644491.42683043</v>
      </c>
      <c r="AC71" s="50" t="n">
        <f aca="false">-AC15</f>
        <v>-1751496.26734469</v>
      </c>
      <c r="AD71" s="50" t="n">
        <f aca="false">-AD15</f>
        <v>-1862503.24672744</v>
      </c>
      <c r="AE71" s="50" t="n">
        <f aca="false">-AE15</f>
        <v>-1977818.33370292</v>
      </c>
      <c r="AF71" s="50" t="n">
        <f aca="false">-AF15</f>
        <v>-2097783.93952321</v>
      </c>
      <c r="AG71" s="50" t="n">
        <f aca="false">-AG15</f>
        <v>-2222783.53755913</v>
      </c>
      <c r="AH71" s="50" t="n">
        <f aca="false">-AH15</f>
        <v>-2353246.75122434</v>
      </c>
      <c r="AI71" s="50" t="n">
        <f aca="false">-AI15</f>
        <v>-2489654.96770935</v>
      </c>
      <c r="AJ71" s="50" t="n">
        <f aca="false">-AJ15</f>
        <v>-2500000</v>
      </c>
      <c r="AK71" s="50" t="n">
        <f aca="false">-AK15</f>
        <v>-2500000</v>
      </c>
      <c r="AL71" s="50" t="n">
        <f aca="false">-AL15</f>
        <v>-2500000</v>
      </c>
      <c r="AM71" s="50" t="n">
        <f aca="false">SUM(C71:AL71)</f>
        <v>-39609378.8972761</v>
      </c>
    </row>
    <row r="72" customFormat="false" ht="15" hidden="false" customHeight="false" outlineLevel="0" collapsed="false">
      <c r="A72" s="10" t="s">
        <v>657</v>
      </c>
      <c r="B72" s="9" t="s">
        <v>90</v>
      </c>
      <c r="C72" s="50" t="n">
        <f aca="false">-IF(C$5=Assumptions!$F$6,Assumptions!$F$24,0)</f>
        <v>-0</v>
      </c>
      <c r="D72" s="50" t="n">
        <f aca="false">-IF(D$5=Assumptions!$F$6,Assumptions!$F$24,0)</f>
        <v>-400000</v>
      </c>
      <c r="E72" s="50" t="n">
        <f aca="false">-IF(E$5=Assumptions!$F$6,Assumptions!$F$24,0)</f>
        <v>-0</v>
      </c>
      <c r="F72" s="50" t="n">
        <f aca="false">-IF(F$5=Assumptions!$F$6,Assumptions!$F$24,0)</f>
        <v>-0</v>
      </c>
      <c r="G72" s="50" t="n">
        <f aca="false">-IF(G$5=Assumptions!$F$6,Assumptions!$F$24,0)</f>
        <v>-0</v>
      </c>
      <c r="H72" s="50" t="n">
        <f aca="false">-IF(H$5=Assumptions!$F$6,Assumptions!$F$24,0)</f>
        <v>-0</v>
      </c>
      <c r="I72" s="50" t="n">
        <f aca="false">-IF(I$5=Assumptions!$F$6,Assumptions!$F$24,0)</f>
        <v>-0</v>
      </c>
      <c r="J72" s="50" t="n">
        <f aca="false">-IF(J$5=Assumptions!$F$6,Assumptions!$F$24,0)</f>
        <v>-0</v>
      </c>
      <c r="K72" s="50" t="n">
        <f aca="false">-IF(K$5=Assumptions!$F$6,Assumptions!$F$24,0)</f>
        <v>-0</v>
      </c>
      <c r="L72" s="50" t="n">
        <f aca="false">-IF(L$5=Assumptions!$F$6,Assumptions!$F$24,0)</f>
        <v>-0</v>
      </c>
      <c r="M72" s="50" t="n">
        <f aca="false">-IF(M$5=Assumptions!$F$6,Assumptions!$F$24,0)</f>
        <v>-0</v>
      </c>
      <c r="N72" s="50" t="n">
        <f aca="false">-IF(N$5=Assumptions!$F$6,Assumptions!$F$24,0)</f>
        <v>-0</v>
      </c>
      <c r="O72" s="50" t="n">
        <f aca="false">-IF(O$5=Assumptions!$F$6,Assumptions!$F$24,0)</f>
        <v>-0</v>
      </c>
      <c r="P72" s="50" t="n">
        <f aca="false">-IF(P$5=Assumptions!$F$6,Assumptions!$F$24,0)</f>
        <v>-0</v>
      </c>
      <c r="Q72" s="50" t="n">
        <f aca="false">-IF(Q$5=Assumptions!$F$6,Assumptions!$F$24,0)</f>
        <v>-0</v>
      </c>
      <c r="R72" s="50" t="n">
        <f aca="false">-IF(R$5=Assumptions!$F$6,Assumptions!$F$24,0)</f>
        <v>-0</v>
      </c>
      <c r="S72" s="50" t="n">
        <f aca="false">-IF(S$5=Assumptions!$F$6,Assumptions!$F$24,0)</f>
        <v>-0</v>
      </c>
      <c r="T72" s="50" t="n">
        <f aca="false">-IF(T$5=Assumptions!$F$6,Assumptions!$F$24,0)</f>
        <v>-0</v>
      </c>
      <c r="U72" s="50" t="n">
        <f aca="false">-IF(U$5=Assumptions!$F$6,Assumptions!$F$24,0)</f>
        <v>-0</v>
      </c>
      <c r="V72" s="50" t="n">
        <f aca="false">-IF(V$5=Assumptions!$F$6,Assumptions!$F$24,0)</f>
        <v>-0</v>
      </c>
      <c r="W72" s="50" t="n">
        <f aca="false">-IF(W$5=Assumptions!$F$6,Assumptions!$F$24,0)</f>
        <v>-0</v>
      </c>
      <c r="X72" s="50" t="n">
        <f aca="false">-IF(X$5=Assumptions!$F$6,Assumptions!$F$24,0)</f>
        <v>-0</v>
      </c>
      <c r="Y72" s="50" t="n">
        <f aca="false">-IF(Y$5=Assumptions!$F$6,Assumptions!$F$24,0)</f>
        <v>-0</v>
      </c>
      <c r="Z72" s="50" t="n">
        <f aca="false">-IF(Z$5=Assumptions!$F$6,Assumptions!$F$24,0)</f>
        <v>-0</v>
      </c>
      <c r="AA72" s="50" t="n">
        <f aca="false">-IF(AA$5=Assumptions!$F$6,Assumptions!$F$24,0)</f>
        <v>-0</v>
      </c>
      <c r="AB72" s="50" t="n">
        <f aca="false">-IF(AB$5=Assumptions!$F$6,Assumptions!$F$24,0)</f>
        <v>-0</v>
      </c>
      <c r="AC72" s="50" t="n">
        <f aca="false">-IF(AC$5=Assumptions!$F$6,Assumptions!$F$24,0)</f>
        <v>-0</v>
      </c>
      <c r="AD72" s="50" t="n">
        <f aca="false">-IF(AD$5=Assumptions!$F$6,Assumptions!$F$24,0)</f>
        <v>-0</v>
      </c>
      <c r="AE72" s="50" t="n">
        <f aca="false">-IF(AE$5=Assumptions!$F$6,Assumptions!$F$24,0)</f>
        <v>-0</v>
      </c>
      <c r="AF72" s="50" t="n">
        <f aca="false">-IF(AF$5=Assumptions!$F$6,Assumptions!$F$24,0)</f>
        <v>-0</v>
      </c>
      <c r="AG72" s="50" t="n">
        <f aca="false">-IF(AG$5=Assumptions!$F$6,Assumptions!$F$24,0)</f>
        <v>-0</v>
      </c>
      <c r="AH72" s="50" t="n">
        <f aca="false">-IF(AH$5=Assumptions!$F$6,Assumptions!$F$24,0)</f>
        <v>-0</v>
      </c>
      <c r="AI72" s="50" t="n">
        <f aca="false">-IF(AI$5=Assumptions!$F$6,Assumptions!$F$24,0)</f>
        <v>-0</v>
      </c>
      <c r="AJ72" s="50" t="n">
        <f aca="false">-IF(AJ$5=Assumptions!$F$6,Assumptions!$F$24,0)</f>
        <v>-0</v>
      </c>
      <c r="AK72" s="50" t="n">
        <f aca="false">-IF(AK$5=Assumptions!$F$6,Assumptions!$F$24,0)</f>
        <v>-0</v>
      </c>
      <c r="AL72" s="50" t="n">
        <f aca="false">-IF(AL$5=Assumptions!$F$6,Assumptions!$F$24,0)</f>
        <v>-0</v>
      </c>
      <c r="AM72" s="50" t="n">
        <f aca="false">SUM(C72:AL72)</f>
        <v>-400000</v>
      </c>
    </row>
    <row r="73" customFormat="false" ht="15" hidden="false" customHeight="false" outlineLevel="0" collapsed="false">
      <c r="A73" s="10" t="s">
        <v>658</v>
      </c>
      <c r="B73" s="9" t="s">
        <v>90</v>
      </c>
      <c r="C73" s="50" t="n">
        <f aca="false">-C8*Assumptions!$F$76</f>
        <v>-0</v>
      </c>
      <c r="D73" s="50" t="n">
        <f aca="false">-D8*Assumptions!$F$76</f>
        <v>-25000</v>
      </c>
      <c r="E73" s="50" t="n">
        <f aca="false">-E8*Assumptions!$F$76</f>
        <v>-25000</v>
      </c>
      <c r="F73" s="50" t="n">
        <f aca="false">-F8*Assumptions!$F$76</f>
        <v>-25000</v>
      </c>
      <c r="G73" s="50" t="n">
        <f aca="false">-G8*Assumptions!$F$76</f>
        <v>-25000</v>
      </c>
      <c r="H73" s="50" t="n">
        <f aca="false">-H8*Assumptions!$F$76</f>
        <v>-25000</v>
      </c>
      <c r="I73" s="50" t="n">
        <f aca="false">-I8*Assumptions!$F$76</f>
        <v>-25000</v>
      </c>
      <c r="J73" s="50" t="n">
        <f aca="false">-J8*Assumptions!$F$76</f>
        <v>-25000</v>
      </c>
      <c r="K73" s="50" t="n">
        <f aca="false">-K8*Assumptions!$F$76</f>
        <v>-25000</v>
      </c>
      <c r="L73" s="50" t="n">
        <f aca="false">-L8*Assumptions!$F$76</f>
        <v>-25000</v>
      </c>
      <c r="M73" s="50" t="n">
        <f aca="false">-M8*Assumptions!$F$76</f>
        <v>-25000</v>
      </c>
      <c r="N73" s="50" t="n">
        <f aca="false">-N8*Assumptions!$F$76</f>
        <v>-25000</v>
      </c>
      <c r="O73" s="50" t="n">
        <f aca="false">-O8*Assumptions!$F$76</f>
        <v>-25000</v>
      </c>
      <c r="P73" s="50" t="n">
        <f aca="false">-P8*Assumptions!$F$76</f>
        <v>-25000</v>
      </c>
      <c r="Q73" s="50" t="n">
        <f aca="false">-Q8*Assumptions!$F$76</f>
        <v>-25000</v>
      </c>
      <c r="R73" s="50" t="n">
        <f aca="false">-R8*Assumptions!$F$76</f>
        <v>-25000</v>
      </c>
      <c r="S73" s="50" t="n">
        <f aca="false">-S8*Assumptions!$F$76</f>
        <v>-25000</v>
      </c>
      <c r="T73" s="50" t="n">
        <f aca="false">-T8*Assumptions!$F$76</f>
        <v>-25000</v>
      </c>
      <c r="U73" s="50" t="n">
        <f aca="false">-U8*Assumptions!$F$76</f>
        <v>-25000</v>
      </c>
      <c r="V73" s="50" t="n">
        <f aca="false">-V8*Assumptions!$F$76</f>
        <v>-25000</v>
      </c>
      <c r="W73" s="50" t="n">
        <f aca="false">-W8*Assumptions!$F$76</f>
        <v>-25000</v>
      </c>
      <c r="X73" s="50" t="n">
        <f aca="false">-X8*Assumptions!$F$76</f>
        <v>-25000</v>
      </c>
      <c r="Y73" s="50" t="n">
        <f aca="false">-Y8*Assumptions!$F$76</f>
        <v>-25000</v>
      </c>
      <c r="Z73" s="50" t="n">
        <f aca="false">-Z8*Assumptions!$F$76</f>
        <v>-25000</v>
      </c>
      <c r="AA73" s="50" t="n">
        <f aca="false">-AA8*Assumptions!$F$76</f>
        <v>-25000</v>
      </c>
      <c r="AB73" s="50" t="n">
        <f aca="false">-AB8*Assumptions!$F$76</f>
        <v>-25000</v>
      </c>
      <c r="AC73" s="50" t="n">
        <f aca="false">-AC8*Assumptions!$F$76</f>
        <v>-25000</v>
      </c>
      <c r="AD73" s="50" t="n">
        <f aca="false">-AD8*Assumptions!$F$76</f>
        <v>-25000</v>
      </c>
      <c r="AE73" s="50" t="n">
        <f aca="false">-AE8*Assumptions!$F$76</f>
        <v>-25000</v>
      </c>
      <c r="AF73" s="50" t="n">
        <f aca="false">-AF8*Assumptions!$F$76</f>
        <v>-25000</v>
      </c>
      <c r="AG73" s="50" t="n">
        <f aca="false">-AG8*Assumptions!$F$76</f>
        <v>-25000</v>
      </c>
      <c r="AH73" s="50" t="n">
        <f aca="false">-AH8*Assumptions!$F$76</f>
        <v>-25000</v>
      </c>
      <c r="AI73" s="50" t="n">
        <f aca="false">-AI8*Assumptions!$F$76</f>
        <v>-25000</v>
      </c>
      <c r="AJ73" s="50" t="n">
        <f aca="false">-AJ8*Assumptions!$F$76</f>
        <v>-25000</v>
      </c>
      <c r="AK73" s="50" t="n">
        <f aca="false">-AK8*Assumptions!$F$76</f>
        <v>-25000</v>
      </c>
      <c r="AL73" s="50" t="n">
        <f aca="false">-AL8*Assumptions!$F$76</f>
        <v>-25000</v>
      </c>
      <c r="AM73" s="50" t="n">
        <f aca="false">SUM(C73:AL73)</f>
        <v>-875000</v>
      </c>
    </row>
    <row r="74" customFormat="false" ht="15" hidden="false" customHeight="false" outlineLevel="0" collapsed="false">
      <c r="A74" s="10" t="s">
        <v>281</v>
      </c>
      <c r="B74" s="9" t="s">
        <v>90</v>
      </c>
      <c r="C74" s="50" t="n">
        <f aca="false">-C60*Assumptions!$F$77</f>
        <v>-0</v>
      </c>
      <c r="D74" s="50" t="n">
        <f aca="false">-D60*Assumptions!$F$77</f>
        <v>-12909.6</v>
      </c>
      <c r="E74" s="50" t="n">
        <f aca="false">-E60*Assumptions!$F$77</f>
        <v>-22296.539323852</v>
      </c>
      <c r="F74" s="50" t="n">
        <f aca="false">-F60*Assumptions!$F$77</f>
        <v>-29534.2121701592</v>
      </c>
      <c r="G74" s="50" t="n">
        <f aca="false">-G60*Assumptions!$F$77</f>
        <v>-42898.4003173694</v>
      </c>
      <c r="H74" s="50" t="n">
        <f aca="false">-H60*Assumptions!$F$77</f>
        <v>-54914.1310163343</v>
      </c>
      <c r="I74" s="50" t="n">
        <f aca="false">-I60*Assumptions!$F$77</f>
        <v>-67185.7101181678</v>
      </c>
      <c r="J74" s="50" t="n">
        <f aca="false">-J60*Assumptions!$F$77</f>
        <v>-79846.0937619198</v>
      </c>
      <c r="K74" s="50" t="n">
        <f aca="false">-K60*Assumptions!$F$77</f>
        <v>-92992.1893080295</v>
      </c>
      <c r="L74" s="50" t="n">
        <f aca="false">-L60*Assumptions!$F$77</f>
        <v>-106707.469365121</v>
      </c>
      <c r="M74" s="50" t="n">
        <f aca="false">-M60*Assumptions!$F$77</f>
        <v>-121075.957827905</v>
      </c>
      <c r="N74" s="50" t="n">
        <f aca="false">-N60*Assumptions!$F$77</f>
        <v>-136183.943115282</v>
      </c>
      <c r="O74" s="50" t="n">
        <f aca="false">-O60*Assumptions!$F$77</f>
        <v>-152120.785139138</v>
      </c>
      <c r="P74" s="50" t="n">
        <f aca="false">-P60*Assumptions!$F$77</f>
        <v>-168979.632985141</v>
      </c>
      <c r="Q74" s="50" t="n">
        <f aca="false">-Q60*Assumptions!$F$77</f>
        <v>-186858.193025483</v>
      </c>
      <c r="R74" s="50" t="n">
        <f aca="false">-R60*Assumptions!$F$77</f>
        <v>-205859.56196582</v>
      </c>
      <c r="S74" s="50" t="n">
        <f aca="false">-S60*Assumptions!$F$77</f>
        <v>-226093.128622685</v>
      </c>
      <c r="T74" s="50" t="n">
        <f aca="false">-T60*Assumptions!$F$77</f>
        <v>-246912.642229681</v>
      </c>
      <c r="U74" s="50" t="n">
        <f aca="false">-U60*Assumptions!$F$77</f>
        <v>-268243.382261301</v>
      </c>
      <c r="V74" s="50" t="n">
        <f aca="false">-V60*Assumptions!$F$77</f>
        <v>-290210.201532895</v>
      </c>
      <c r="W74" s="50" t="n">
        <f aca="false">-W60*Assumptions!$F$77</f>
        <v>-312856.032471059</v>
      </c>
      <c r="X74" s="50" t="n">
        <f aca="false">-X60*Assumptions!$F$77</f>
        <v>-336222.738969325</v>
      </c>
      <c r="Y74" s="50" t="n">
        <f aca="false">-Y60*Assumptions!$F$77</f>
        <v>-360355.412227977</v>
      </c>
      <c r="Z74" s="50" t="n">
        <f aca="false">-Z60*Assumptions!$F$77</f>
        <v>-385303.748908994</v>
      </c>
      <c r="AA74" s="50" t="n">
        <f aca="false">-AA60*Assumptions!$F$77</f>
        <v>-411122.856707608</v>
      </c>
      <c r="AB74" s="50" t="n">
        <f aca="false">-AB60*Assumptions!$F$77</f>
        <v>-437874.066836172</v>
      </c>
      <c r="AC74" s="50" t="n">
        <f aca="false">-AC60*Assumptions!$F$77</f>
        <v>-465625.81168186</v>
      </c>
      <c r="AD74" s="50" t="n">
        <f aca="false">-AD60*Assumptions!$F$77</f>
        <v>-494454.58342573</v>
      </c>
      <c r="AE74" s="50" t="n">
        <f aca="false">-AE60*Assumptions!$F$77</f>
        <v>-524445.984880803</v>
      </c>
      <c r="AF74" s="50" t="n">
        <f aca="false">-AF60*Assumptions!$F$77</f>
        <v>-555695.884389784</v>
      </c>
      <c r="AG74" s="50" t="n">
        <f aca="false">-AG60*Assumptions!$F$77</f>
        <v>-588311.687806084</v>
      </c>
      <c r="AH74" s="50" t="n">
        <f aca="false">-AH60*Assumptions!$F$77</f>
        <v>-622413.741927337</v>
      </c>
      <c r="AI74" s="50" t="n">
        <f aca="false">-AI60*Assumptions!$F$77</f>
        <v>-658136.885230875</v>
      </c>
      <c r="AJ74" s="50" t="n">
        <f aca="false">-AJ60*Assumptions!$F$77</f>
        <v>-691208.855982981</v>
      </c>
      <c r="AK74" s="50" t="n">
        <f aca="false">-AK60*Assumptions!$F$77</f>
        <v>-723264.049646994</v>
      </c>
      <c r="AL74" s="50" t="n">
        <f aca="false">-AL60*Assumptions!$F$77</f>
        <v>-754866.92602896</v>
      </c>
      <c r="AM74" s="50" t="n">
        <f aca="false">SUM(C74:AL74)</f>
        <v>-10833981.0412088</v>
      </c>
    </row>
    <row r="75" customFormat="false" ht="15" hidden="false" customHeight="false" outlineLevel="0" collapsed="false">
      <c r="A75" s="26" t="s">
        <v>659</v>
      </c>
      <c r="B75" s="9" t="s">
        <v>90</v>
      </c>
      <c r="C75" s="35" t="n">
        <f aca="false">C63+C64+C65+C66+C67+C68+C69+C70+C71+C72+C73+C74</f>
        <v>-102860</v>
      </c>
      <c r="D75" s="35" t="n">
        <f aca="false">D63+D64+D65+D66+D67+D68+D69+D70+D71+D72+D73+D74</f>
        <v>-635769.6</v>
      </c>
      <c r="E75" s="35" t="n">
        <f aca="false">E63+E64+E65+E66+E67+E68+E69+E70+E71+E72+E73+E74</f>
        <v>-259156.539323852</v>
      </c>
      <c r="F75" s="35" t="n">
        <f aca="false">F63+F64+F65+F66+F67+F68+F69+F70+F71+F72+F73+F74</f>
        <v>-295580.369465567</v>
      </c>
      <c r="G75" s="35" t="n">
        <f aca="false">G63+G64+G65+G66+G67+G68+G69+G70+G71+G72+G73+G74</f>
        <v>-317895.248998006</v>
      </c>
      <c r="H75" s="35" t="n">
        <f aca="false">H63+H64+H65+H66+H67+H68+H69+H70+H71+H72+H73+H74</f>
        <v>-383367.732285812</v>
      </c>
      <c r="I75" s="35" t="n">
        <f aca="false">I63+I64+I65+I66+I67+I68+I69+I70+I71+I72+I73+I74</f>
        <v>-443702.234183505</v>
      </c>
      <c r="J75" s="35" t="n">
        <f aca="false">J63+J64+J65+J66+J67+J68+J69+J70+J71+J72+J73+J74</f>
        <v>-505448.934234591</v>
      </c>
      <c r="K75" s="35" t="n">
        <f aca="false">K63+K64+K65+K66+K67+K68+K69+K70+K71+K72+K73+K74</f>
        <v>-569236.564355709</v>
      </c>
      <c r="L75" s="35" t="n">
        <f aca="false">L63+L64+L65+L66+L67+L68+L69+L70+L71+L72+L73+L74</f>
        <v>-635536.226597239</v>
      </c>
      <c r="M75" s="35" t="n">
        <f aca="false">M63+M64+M65+M66+M67+M68+M69+M70+M71+M72+M73+M74</f>
        <v>-704765.835288388</v>
      </c>
      <c r="N75" s="35" t="n">
        <f aca="false">N63+N64+N65+N66+N67+N68+N69+N70+N71+N72+N73+N74</f>
        <v>-777347.774426901</v>
      </c>
      <c r="O75" s="35" t="n">
        <f aca="false">O63+O64+O65+O66+O67+O68+O69+O70+O71+O72+O73+O74</f>
        <v>-923716.557600265</v>
      </c>
      <c r="P75" s="35" t="n">
        <f aca="false">P63+P64+P65+P66+P67+P68+P69+P70+P71+P72+P73+P74</f>
        <v>-1004322.77354169</v>
      </c>
      <c r="Q75" s="35" t="n">
        <f aca="false">Q63+Q64+Q65+Q66+Q67+Q68+Q69+Q70+Q71+Q72+Q73+Q74</f>
        <v>-1089636.72496605</v>
      </c>
      <c r="R75" s="35" t="n">
        <f aca="false">R63+R64+R65+R66+R67+R68+R69+R70+R71+R72+R73+R74</f>
        <v>-1180152.33406775</v>
      </c>
      <c r="S75" s="35" t="n">
        <f aca="false">S63+S64+S65+S66+S67+S68+S69+S70+S71+S72+S73+S74</f>
        <v>-1276391.37648597</v>
      </c>
      <c r="T75" s="35" t="n">
        <f aca="false">T63+T64+T65+T66+T67+T68+T69+T70+T71+T72+T73+T74</f>
        <v>-1378145.15672042</v>
      </c>
      <c r="U75" s="35" t="n">
        <f aca="false">U63+U64+U65+U66+U67+U68+U69+U70+U71+U72+U73+U74</f>
        <v>-1482753.95118002</v>
      </c>
      <c r="V75" s="35" t="n">
        <f aca="false">V63+V64+V65+V66+V67+V68+V69+V70+V71+V72+V73+V74</f>
        <v>-1590043.7305781</v>
      </c>
      <c r="W75" s="35" t="n">
        <f aca="false">W63+W64+W65+W66+W67+W68+W69+W70+W71+W72+W73+W74</f>
        <v>-1700556.83860264</v>
      </c>
      <c r="X75" s="35" t="n">
        <f aca="false">X63+X64+X65+X66+X67+X68+X69+X70+X71+X72+X73+X74</f>
        <v>-1814506.86885356</v>
      </c>
      <c r="Y75" s="35" t="n">
        <f aca="false">Y63+Y64+Y65+Y66+Y67+Y68+Y69+Y70+Y71+Y72+Y73+Y74</f>
        <v>-1932106.36810528</v>
      </c>
      <c r="Z75" s="35" t="n">
        <f aca="false">Z63+Z64+Z65+Z66+Z67+Z68+Z69+Z70+Z71+Z72+Z73+Z74</f>
        <v>-2053585.3978209</v>
      </c>
      <c r="AA75" s="35" t="n">
        <f aca="false">AA63+AA64+AA65+AA66+AA67+AA68+AA69+AA70+AA71+AA72+AA73+AA74</f>
        <v>-2269197.85234358</v>
      </c>
      <c r="AB75" s="35" t="n">
        <f aca="false">AB63+AB64+AB65+AB66+AB67+AB68+AB69+AB70+AB71+AB72+AB73+AB74</f>
        <v>-2399225.4936666</v>
      </c>
      <c r="AC75" s="35" t="n">
        <f aca="false">AC63+AC64+AC65+AC66+AC67+AC68+AC69+AC70+AC71+AC72+AC73+AC74</f>
        <v>-2533982.07902655</v>
      </c>
      <c r="AD75" s="35" t="n">
        <f aca="false">AD63+AD64+AD65+AD66+AD67+AD68+AD69+AD70+AD71+AD72+AD73+AD74</f>
        <v>-2673817.83015317</v>
      </c>
      <c r="AE75" s="35" t="n">
        <f aca="false">AE63+AE64+AE65+AE66+AE67+AE68+AE69+AE70+AE71+AE72+AE73+AE74</f>
        <v>-2819124.31858373</v>
      </c>
      <c r="AF75" s="35" t="n">
        <f aca="false">AF63+AF64+AF65+AF66+AF67+AF68+AF69+AF70+AF71+AF72+AF73+AF74</f>
        <v>-2970339.823913</v>
      </c>
      <c r="AG75" s="35" t="n">
        <f aca="false">AG63+AG64+AG65+AG66+AG67+AG68+AG69+AG70+AG71+AG72+AG73+AG74</f>
        <v>-3127955.22536522</v>
      </c>
      <c r="AH75" s="35" t="n">
        <f aca="false">AH63+AH64+AH65+AH66+AH67+AH68+AH69+AH70+AH71+AH72+AH73+AH74</f>
        <v>-3292520.49315167</v>
      </c>
      <c r="AI75" s="35" t="n">
        <f aca="false">AI63+AI64+AI65+AI66+AI67+AI68+AI69+AI70+AI71+AI72+AI73+AI74</f>
        <v>-3464651.85294022</v>
      </c>
      <c r="AJ75" s="35" t="n">
        <f aca="false">AJ63+AJ64+AJ65+AJ66+AJ67+AJ68+AJ69+AJ70+AJ71+AJ72+AJ73+AJ74</f>
        <v>-3508068.85598298</v>
      </c>
      <c r="AK75" s="35" t="n">
        <f aca="false">AK63+AK64+AK65+AK66+AK67+AK68+AK69+AK70+AK71+AK72+AK73+AK74</f>
        <v>-3540124.04964699</v>
      </c>
      <c r="AL75" s="35" t="n">
        <f aca="false">AL63+AL64+AL65+AL66+AL67+AL68+AL69+AL70+AL71+AL72+AL73+AL74</f>
        <v>-3571726.92602896</v>
      </c>
      <c r="AM75" s="35" t="n">
        <f aca="false">SUM(C75:AL75)</f>
        <v>-59227319.9384849</v>
      </c>
    </row>
    <row r="76" customFormat="false" ht="15" hidden="false" customHeight="false" outlineLevel="0" collapsed="false">
      <c r="A76" s="26" t="s">
        <v>660</v>
      </c>
      <c r="B76" s="9" t="s">
        <v>90</v>
      </c>
      <c r="C76" s="35" t="n">
        <f aca="false">C61+C75</f>
        <v>-102860</v>
      </c>
      <c r="D76" s="35" t="n">
        <f aca="false">D61+D75</f>
        <v>-462128.784</v>
      </c>
      <c r="E76" s="35" t="n">
        <f aca="false">E61+E75</f>
        <v>40743.4794350369</v>
      </c>
      <c r="F76" s="35" t="n">
        <f aca="false">F61+F75</f>
        <v>101670.103139593</v>
      </c>
      <c r="G76" s="35" t="n">
        <f aca="false">G61+G75</f>
        <v>252571.339056334</v>
      </c>
      <c r="H76" s="35" t="n">
        <f aca="false">H61+H75</f>
        <v>344734.123044786</v>
      </c>
      <c r="I76" s="35" t="n">
        <f aca="false">I61+I75</f>
        <v>445313.307207778</v>
      </c>
      <c r="J76" s="35" t="n">
        <f aca="false">J61+J75</f>
        <v>549471.988110418</v>
      </c>
      <c r="K76" s="35" t="n">
        <f aca="false">K61+K75</f>
        <v>657845.156996403</v>
      </c>
      <c r="L76" s="35" t="n">
        <f aca="false">L61+L75</f>
        <v>771043.488427827</v>
      </c>
      <c r="M76" s="35" t="n">
        <f aca="false">M61+M75</f>
        <v>889736.78244931</v>
      </c>
      <c r="N76" s="35" t="n">
        <f aca="false">N61+N75</f>
        <v>1014618.81166971</v>
      </c>
      <c r="O76" s="35" t="n">
        <f aca="false">O61+O75</f>
        <v>1076410.20856119</v>
      </c>
      <c r="P76" s="35" t="n">
        <f aca="false">P61+P75</f>
        <v>1215863.83173374</v>
      </c>
      <c r="Q76" s="35" t="n">
        <f aca="false">Q61+Q75</f>
        <v>1363771.06999409</v>
      </c>
      <c r="R76" s="35" t="n">
        <f aca="false">R61+R75</f>
        <v>1520968.70385775</v>
      </c>
      <c r="S76" s="35" t="n">
        <f aca="false">S61+S75</f>
        <v>1688346.31263498</v>
      </c>
      <c r="T76" s="35" t="n">
        <f aca="false">T61+T75</f>
        <v>1858121.65908949</v>
      </c>
      <c r="U76" s="35" t="n">
        <f aca="false">U61+U75</f>
        <v>2031939.57239279</v>
      </c>
      <c r="V76" s="35" t="n">
        <f aca="false">V61+V75</f>
        <v>2211498.44631061</v>
      </c>
      <c r="W76" s="35" t="n">
        <f aca="false">W61+W75</f>
        <v>2396809.64908575</v>
      </c>
      <c r="X76" s="35" t="n">
        <f aca="false">X61+X75</f>
        <v>2588200.98150684</v>
      </c>
      <c r="Y76" s="35" t="n">
        <f aca="false">Y61+Y75</f>
        <v>2786043.76918122</v>
      </c>
      <c r="Z76" s="35" t="n">
        <f aca="false">Z61+Z75</f>
        <v>2990752.4324371</v>
      </c>
      <c r="AA76" s="35" t="n">
        <f aca="false">AA61+AA75</f>
        <v>3112788.65929882</v>
      </c>
      <c r="AB76" s="35" t="n">
        <f aca="false">AB61+AB75</f>
        <v>3332667.953817</v>
      </c>
      <c r="AC76" s="35" t="n">
        <f aca="false">AC61+AC75</f>
        <v>3560966.94591059</v>
      </c>
      <c r="AD76" s="35" t="n">
        <f aca="false">AD61+AD75</f>
        <v>3798331.42086253</v>
      </c>
      <c r="AE76" s="35" t="n">
        <f aca="false">AE61+AE75</f>
        <v>4045485.14095954</v>
      </c>
      <c r="AF76" s="35" t="n">
        <f aca="false">AF61+AF75</f>
        <v>4303239.55688783</v>
      </c>
      <c r="AG76" s="35" t="n">
        <f aca="false">AG61+AG75</f>
        <v>4572504.51845915</v>
      </c>
      <c r="AH76" s="35" t="n">
        <f aca="false">AH61+AH75</f>
        <v>4854300.10577452</v>
      </c>
      <c r="AI76" s="35" t="n">
        <f aca="false">AI61+AI75</f>
        <v>5149769.71444008</v>
      </c>
      <c r="AJ76" s="35" t="n">
        <f aca="false">AJ61+AJ75</f>
        <v>5539657.67282767</v>
      </c>
      <c r="AK76" s="35" t="n">
        <f aca="false">AK61+AK75</f>
        <v>5927691.93439566</v>
      </c>
      <c r="AL76" s="35" t="n">
        <f aca="false">AL61+AL75</f>
        <v>6310356.57461738</v>
      </c>
      <c r="AM76" s="35" t="n">
        <f aca="false">SUM(C76:AL76)</f>
        <v>82739246.6305735</v>
      </c>
    </row>
    <row r="77" customFormat="false" ht="15" hidden="false" customHeight="false" outlineLevel="0" collapsed="false">
      <c r="A77" s="26" t="s">
        <v>661</v>
      </c>
      <c r="B77" s="9" t="s">
        <v>54</v>
      </c>
      <c r="C77" s="34" t="n">
        <f aca="false">IFERROR(C76/C60,0)</f>
        <v>0</v>
      </c>
      <c r="D77" s="34" t="n">
        <f aca="false">IFERROR(D76/D60,0)</f>
        <v>-1.78986484476669</v>
      </c>
      <c r="E77" s="34" t="n">
        <f aca="false">IFERROR(E76/E60,0)</f>
        <v>0.0913672719412807</v>
      </c>
      <c r="F77" s="34" t="n">
        <f aca="false">IFERROR(F76/F60,0)</f>
        <v>0.172122592188727</v>
      </c>
      <c r="G77" s="34" t="n">
        <f aca="false">IFERROR(G76/G60,0)</f>
        <v>0.294383167190117</v>
      </c>
      <c r="H77" s="34" t="n">
        <f aca="false">IFERROR(H76/H60,0)</f>
        <v>0.313884711152257</v>
      </c>
      <c r="I77" s="34" t="n">
        <f aca="false">IFERROR(I76/I60,0)</f>
        <v>0.331404778206966</v>
      </c>
      <c r="J77" s="34" t="n">
        <f aca="false">IFERROR(J76/J60,0)</f>
        <v>0.344081947044774</v>
      </c>
      <c r="K77" s="34" t="n">
        <f aca="false">IFERROR(K76/K60,0)</f>
        <v>0.353709898590161</v>
      </c>
      <c r="L77" s="34" t="n">
        <f aca="false">IFERROR(L76/L60,0)</f>
        <v>0.361288433234954</v>
      </c>
      <c r="M77" s="34" t="n">
        <f aca="false">IFERROR(M76/M60,0)</f>
        <v>0.367429173558125</v>
      </c>
      <c r="N77" s="34" t="n">
        <f aca="false">IFERROR(N76/N60,0)</f>
        <v>0.372517783102676</v>
      </c>
      <c r="O77" s="34" t="n">
        <f aca="false">IFERROR(O76/O60,0)</f>
        <v>0.353801161220882</v>
      </c>
      <c r="P77" s="34" t="n">
        <f aca="false">IFERROR(P76/P60,0)</f>
        <v>0.359766384343093</v>
      </c>
      <c r="Q77" s="34" t="n">
        <f aca="false">IFERROR(Q76/Q60,0)</f>
        <v>0.364921400531822</v>
      </c>
      <c r="R77" s="34" t="n">
        <f aca="false">IFERROR(R76/R60,0)</f>
        <v>0.369419008117361</v>
      </c>
      <c r="S77" s="34" t="n">
        <f aca="false">IFERROR(S76/S60,0)</f>
        <v>0.373374087686798</v>
      </c>
      <c r="T77" s="34" t="n">
        <f aca="false">IFERROR(T76/T60,0)</f>
        <v>0.376271065408033</v>
      </c>
      <c r="U77" s="34" t="n">
        <f aca="false">IFERROR(U76/U60,0)</f>
        <v>0.378749245417253</v>
      </c>
      <c r="V77" s="34" t="n">
        <f aca="false">IFERROR(V76/V60,0)</f>
        <v>0.381016662169255</v>
      </c>
      <c r="W77" s="34" t="n">
        <f aca="false">IFERROR(W76/W60,0)</f>
        <v>0.383053129926058</v>
      </c>
      <c r="X77" s="34" t="n">
        <f aca="false">IFERROR(X76/X60,0)</f>
        <v>0.3848938042443</v>
      </c>
      <c r="Y77" s="34" t="n">
        <f aca="false">IFERROR(Y76/Y60,0)</f>
        <v>0.38656888097724</v>
      </c>
      <c r="Z77" s="34" t="n">
        <f aca="false">IFERROR(Z76/Z60,0)</f>
        <v>0.388103209598344</v>
      </c>
      <c r="AA77" s="34" t="n">
        <f aca="false">IFERROR(AA76/AA60,0)</f>
        <v>0.378571588579013</v>
      </c>
      <c r="AB77" s="34" t="n">
        <f aca="false">IFERROR(AB76/AB60,0)</f>
        <v>0.380550962734213</v>
      </c>
      <c r="AC77" s="34" t="n">
        <f aca="false">IFERROR(AC76/AC60,0)</f>
        <v>0.382385045735355</v>
      </c>
      <c r="AD77" s="34" t="n">
        <f aca="false">IFERROR(AD76/AD60,0)</f>
        <v>0.384093054062371</v>
      </c>
      <c r="AE77" s="34" t="n">
        <f aca="false">IFERROR(AE76/AE60,0)</f>
        <v>0.385691306405846</v>
      </c>
      <c r="AF77" s="34" t="n">
        <f aca="false">IFERROR(AF76/AF60,0)</f>
        <v>0.387193758112251</v>
      </c>
      <c r="AG77" s="34" t="n">
        <f aca="false">IFERROR(AG76/AG60,0)</f>
        <v>0.388612415258212</v>
      </c>
      <c r="AH77" s="34" t="n">
        <f aca="false">IFERROR(AH76/AH60,0)</f>
        <v>0.389957658288756</v>
      </c>
      <c r="AI77" s="34" t="n">
        <f aca="false">IFERROR(AI76/AI60,0)</f>
        <v>0.391238496884545</v>
      </c>
      <c r="AJ77" s="34" t="n">
        <f aca="false">IFERROR(AJ76/AJ60,0)</f>
        <v>0.400722417318397</v>
      </c>
      <c r="AK77" s="34" t="n">
        <f aca="false">IFERROR(AK76/AK60,0)</f>
        <v>0.409787541444152</v>
      </c>
      <c r="AL77" s="34" t="n">
        <f aca="false">IFERROR(AL76/AL60,0)</f>
        <v>0.417978080442174</v>
      </c>
      <c r="AM77" s="34" t="n">
        <f aca="false">AVERAGE(N77:AL77)</f>
        <v>0.382769525920336</v>
      </c>
    </row>
    <row r="78" customFormat="false" ht="15" hidden="false" customHeight="false" outlineLevel="0" collapsed="false">
      <c r="A78" s="10" t="s">
        <v>662</v>
      </c>
      <c r="B78" s="9" t="s">
        <v>90</v>
      </c>
      <c r="C78" s="50" t="n">
        <f aca="false">-C32*Assumptions!$F$80</f>
        <v>0</v>
      </c>
      <c r="D78" s="50" t="n">
        <f aca="false">-D32*Assumptions!$F$80</f>
        <v>116160</v>
      </c>
      <c r="E78" s="50" t="n">
        <f aca="false">-E32*Assumptions!$F$80</f>
        <v>200623.257719732</v>
      </c>
      <c r="F78" s="50" t="n">
        <f aca="false">-F32*Assumptions!$F$80</f>
        <v>265747.512369531</v>
      </c>
      <c r="G78" s="50" t="n">
        <f aca="false">-G32*Assumptions!$F$80</f>
        <v>327394.803213409</v>
      </c>
      <c r="H78" s="50" t="n">
        <f aca="false">-H32*Assumptions!$F$80</f>
        <v>394182.118052321</v>
      </c>
      <c r="I78" s="50" t="n">
        <f aca="false">-I32*Assumptions!$F$80</f>
        <v>461500.104347259</v>
      </c>
      <c r="J78" s="50" t="n">
        <f aca="false">-J32*Assumptions!$F$80</f>
        <v>529904.676950019</v>
      </c>
      <c r="K78" s="50" t="n">
        <f aca="false">-K32*Assumptions!$F$80</f>
        <v>599861.389792551</v>
      </c>
      <c r="L78" s="50" t="n">
        <f aca="false">-L32*Assumptions!$F$80</f>
        <v>671697.399805672</v>
      </c>
      <c r="M78" s="50" t="n">
        <f aca="false">-M32*Assumptions!$F$80</f>
        <v>745727.666724935</v>
      </c>
      <c r="N78" s="50" t="n">
        <f aca="false">-N32*Assumptions!$F$80</f>
        <v>822266.429767833</v>
      </c>
      <c r="O78" s="50" t="n">
        <f aca="false">-O32*Assumptions!$F$80</f>
        <v>901631.65258549</v>
      </c>
      <c r="P78" s="50" t="n">
        <f aca="false">-P32*Assumptions!$F$80</f>
        <v>984148.127926538</v>
      </c>
      <c r="Q78" s="50" t="n">
        <f aca="false">-Q32*Assumptions!$F$80</f>
        <v>1070150.48083036</v>
      </c>
      <c r="R78" s="50" t="n">
        <f aca="false">-R32*Assumptions!$F$80</f>
        <v>1159986.2149291</v>
      </c>
      <c r="S78" s="50" t="n">
        <f aca="false">-S32*Assumptions!$F$80</f>
        <v>1254018.83843296</v>
      </c>
      <c r="T78" s="50" t="n">
        <f aca="false">-T32*Assumptions!$F$80</f>
        <v>1352631.09615547</v>
      </c>
      <c r="U78" s="50" t="n">
        <f aca="false">-U32*Assumptions!$F$80</f>
        <v>1455627.46724196</v>
      </c>
      <c r="V78" s="50" t="n">
        <f aca="false">-V32*Assumptions!$F$80</f>
        <v>1562986.27131866</v>
      </c>
      <c r="W78" s="50" t="n">
        <f aca="false">-W32*Assumptions!$F$80</f>
        <v>1674856.09248055</v>
      </c>
      <c r="X78" s="50" t="n">
        <f aca="false">-X32*Assumptions!$F$80</f>
        <v>1791387.60143482</v>
      </c>
      <c r="Y78" s="50" t="n">
        <f aca="false">-Y32*Assumptions!$F$80</f>
        <v>1912750.94075619</v>
      </c>
      <c r="Z78" s="50" t="n">
        <f aca="false">-Z32*Assumptions!$F$80</f>
        <v>2039144.36669637</v>
      </c>
      <c r="AA78" s="50" t="n">
        <f aca="false">-AA32*Assumptions!$F$80</f>
        <v>2170798.00773193</v>
      </c>
      <c r="AB78" s="50" t="n">
        <f aca="false">-AB32*Assumptions!$F$80</f>
        <v>2307977.6036635</v>
      </c>
      <c r="AC78" s="50" t="n">
        <f aca="false">-AC32*Assumptions!$F$80</f>
        <v>2450988.59824347</v>
      </c>
      <c r="AD78" s="50" t="n">
        <f aca="false">-AD32*Assumptions!$F$80</f>
        <v>2600180.67836656</v>
      </c>
      <c r="AE78" s="50" t="n">
        <f aca="false">-AE32*Assumptions!$F$80</f>
        <v>2755952.8155702</v>
      </c>
      <c r="AF78" s="50" t="n">
        <f aca="false">-AF32*Assumptions!$F$80</f>
        <v>2918758.8674133</v>
      </c>
      <c r="AG78" s="50" t="n">
        <f aca="false">-AG32*Assumptions!$F$80</f>
        <v>3089113.80233269</v>
      </c>
      <c r="AH78" s="50" t="n">
        <f aca="false">-AH32*Assumptions!$F$80</f>
        <v>3267600.61860811</v>
      </c>
      <c r="AI78" s="50" t="n">
        <f aca="false">-AI32*Assumptions!$F$80</f>
        <v>3454878.03581416</v>
      </c>
      <c r="AJ78" s="50" t="n">
        <f aca="false">-AJ32*Assumptions!$F$80</f>
        <v>3629705.09748022</v>
      </c>
      <c r="AK78" s="50" t="n">
        <f aca="false">-AK32*Assumptions!$F$80</f>
        <v>3800323.43838653</v>
      </c>
      <c r="AL78" s="50" t="n">
        <f aca="false">-AL32*Assumptions!$F$80</f>
        <v>3969978.99443214</v>
      </c>
      <c r="AM78" s="50" t="n">
        <f aca="false">AL78</f>
        <v>3969978.99443214</v>
      </c>
    </row>
    <row r="79" customFormat="false" ht="15" hidden="false" customHeight="false" outlineLevel="0" collapsed="false">
      <c r="A79" s="10" t="s">
        <v>663</v>
      </c>
      <c r="B79" s="9" t="s">
        <v>90</v>
      </c>
      <c r="C79" s="50" t="n">
        <f aca="false">-C78</f>
        <v>-0</v>
      </c>
      <c r="D79" s="50" t="n">
        <f aca="false">-(D78-C78)</f>
        <v>-116160</v>
      </c>
      <c r="E79" s="50" t="n">
        <f aca="false">-(E78-D78)</f>
        <v>-84463.2577197319</v>
      </c>
      <c r="F79" s="50" t="n">
        <f aca="false">-(F78-E78)</f>
        <v>-65124.2546497991</v>
      </c>
      <c r="G79" s="50" t="n">
        <f aca="false">-(G78-F78)</f>
        <v>-61647.2908438784</v>
      </c>
      <c r="H79" s="50" t="n">
        <f aca="false">-(H78-G78)</f>
        <v>-66787.3148389119</v>
      </c>
      <c r="I79" s="50" t="n">
        <f aca="false">-(I78-H78)</f>
        <v>-67317.9862949378</v>
      </c>
      <c r="J79" s="50" t="n">
        <f aca="false">-(J78-I78)</f>
        <v>-68404.5726027603</v>
      </c>
      <c r="K79" s="50" t="n">
        <f aca="false">-(K78-J78)</f>
        <v>-69956.712842531</v>
      </c>
      <c r="L79" s="50" t="n">
        <f aca="false">-(L78-K78)</f>
        <v>-71836.0100131219</v>
      </c>
      <c r="M79" s="50" t="n">
        <f aca="false">-(M78-L78)</f>
        <v>-74030.2669192622</v>
      </c>
      <c r="N79" s="50" t="n">
        <f aca="false">-(N78-M78)</f>
        <v>-76538.7630428987</v>
      </c>
      <c r="O79" s="50" t="n">
        <f aca="false">-(O78-N78)</f>
        <v>-79365.2228176567</v>
      </c>
      <c r="P79" s="50" t="n">
        <f aca="false">-(P78-O78)</f>
        <v>-82516.4753410479</v>
      </c>
      <c r="Q79" s="50" t="n">
        <f aca="false">-(Q78-P78)</f>
        <v>-86002.3529038242</v>
      </c>
      <c r="R79" s="50" t="n">
        <f aca="false">-(R78-Q78)</f>
        <v>-89835.7340987369</v>
      </c>
      <c r="S79" s="50" t="n">
        <f aca="false">-(S78-R78)</f>
        <v>-94032.623503865</v>
      </c>
      <c r="T79" s="50" t="n">
        <f aca="false">-(T78-S78)</f>
        <v>-98612.2577225082</v>
      </c>
      <c r="U79" s="50" t="n">
        <f aca="false">-(U78-T78)</f>
        <v>-102996.371086491</v>
      </c>
      <c r="V79" s="50" t="n">
        <f aca="false">-(V78-U78)</f>
        <v>-107358.8040767</v>
      </c>
      <c r="W79" s="50" t="n">
        <f aca="false">-(W78-V78)</f>
        <v>-111869.821161889</v>
      </c>
      <c r="X79" s="50" t="n">
        <f aca="false">-(X78-W78)</f>
        <v>-116531.508954265</v>
      </c>
      <c r="Y79" s="50" t="n">
        <f aca="false">-(Y78-X78)</f>
        <v>-121363.339321377</v>
      </c>
      <c r="Z79" s="50" t="n">
        <f aca="false">-(Z78-Y78)</f>
        <v>-126393.42594018</v>
      </c>
      <c r="AA79" s="50" t="n">
        <f aca="false">-(AA78-Z78)</f>
        <v>-131653.641035558</v>
      </c>
      <c r="AB79" s="50" t="n">
        <f aca="false">-(AB78-AA78)</f>
        <v>-137179.595931564</v>
      </c>
      <c r="AC79" s="50" t="n">
        <f aca="false">-(AC78-AB78)</f>
        <v>-143010.994579978</v>
      </c>
      <c r="AD79" s="50" t="n">
        <f aca="false">-(AD78-AC78)</f>
        <v>-149192.080123086</v>
      </c>
      <c r="AE79" s="50" t="n">
        <f aca="false">-(AE78-AD78)</f>
        <v>-155772.137203637</v>
      </c>
      <c r="AF79" s="50" t="n">
        <f aca="false">-(AF78-AE78)</f>
        <v>-162806.051843107</v>
      </c>
      <c r="AG79" s="50" t="n">
        <f aca="false">-(AG78-AF78)</f>
        <v>-170354.934919386</v>
      </c>
      <c r="AH79" s="50" t="n">
        <f aca="false">-(AH78-AG78)</f>
        <v>-178486.81627542</v>
      </c>
      <c r="AI79" s="50" t="n">
        <f aca="false">-(AI78-AH78)</f>
        <v>-187277.417206049</v>
      </c>
      <c r="AJ79" s="50" t="n">
        <f aca="false">-(AJ78-AI78)</f>
        <v>-174827.061666062</v>
      </c>
      <c r="AK79" s="50" t="n">
        <f aca="false">-(AK78-AJ78)</f>
        <v>-170618.340906311</v>
      </c>
      <c r="AL79" s="50" t="n">
        <f aca="false">-(AL78-AK78)</f>
        <v>-169655.556045611</v>
      </c>
      <c r="AM79" s="50" t="n">
        <f aca="false">SUM(C79:AL79)</f>
        <v>-3969978.99443214</v>
      </c>
    </row>
    <row r="80" customFormat="false" ht="15" hidden="false" customHeight="false" outlineLevel="0" collapsed="false">
      <c r="A80" s="10" t="s">
        <v>664</v>
      </c>
      <c r="B80" s="9" t="s">
        <v>90</v>
      </c>
      <c r="C80" s="50" t="n">
        <f aca="false">C76+C79</f>
        <v>-102860</v>
      </c>
      <c r="D80" s="50" t="n">
        <f aca="false">D76+D79</f>
        <v>-578288.784</v>
      </c>
      <c r="E80" s="50" t="n">
        <f aca="false">E76+E79</f>
        <v>-43719.778284695</v>
      </c>
      <c r="F80" s="50" t="n">
        <f aca="false">F76+F79</f>
        <v>36545.8484897942</v>
      </c>
      <c r="G80" s="50" t="n">
        <f aca="false">G76+G79</f>
        <v>190924.048212456</v>
      </c>
      <c r="H80" s="50" t="n">
        <f aca="false">H76+H79</f>
        <v>277946.808205874</v>
      </c>
      <c r="I80" s="50" t="n">
        <f aca="false">I76+I79</f>
        <v>377995.320912841</v>
      </c>
      <c r="J80" s="50" t="n">
        <f aca="false">J76+J79</f>
        <v>481067.415507658</v>
      </c>
      <c r="K80" s="50" t="n">
        <f aca="false">K76+K79</f>
        <v>587888.444153872</v>
      </c>
      <c r="L80" s="50" t="n">
        <f aca="false">L76+L79</f>
        <v>699207.478414705</v>
      </c>
      <c r="M80" s="50" t="n">
        <f aca="false">M76+M79</f>
        <v>815706.515530047</v>
      </c>
      <c r="N80" s="50" t="n">
        <f aca="false">N76+N79</f>
        <v>938080.048626814</v>
      </c>
      <c r="O80" s="50" t="n">
        <f aca="false">O76+O79</f>
        <v>997044.98574353</v>
      </c>
      <c r="P80" s="50" t="n">
        <f aca="false">P76+P79</f>
        <v>1133347.35639269</v>
      </c>
      <c r="Q80" s="50" t="n">
        <f aca="false">Q76+Q79</f>
        <v>1277768.71709027</v>
      </c>
      <c r="R80" s="50" t="n">
        <f aca="false">R76+R79</f>
        <v>1431132.96975902</v>
      </c>
      <c r="S80" s="50" t="n">
        <f aca="false">S76+S79</f>
        <v>1594313.68913111</v>
      </c>
      <c r="T80" s="50" t="n">
        <f aca="false">T76+T79</f>
        <v>1759509.40136698</v>
      </c>
      <c r="U80" s="50" t="n">
        <f aca="false">U76+U79</f>
        <v>1928943.2013063</v>
      </c>
      <c r="V80" s="50" t="n">
        <f aca="false">V76+V79</f>
        <v>2104139.64223391</v>
      </c>
      <c r="W80" s="50" t="n">
        <f aca="false">W76+W79</f>
        <v>2284939.82792387</v>
      </c>
      <c r="X80" s="50" t="n">
        <f aca="false">X76+X79</f>
        <v>2471669.47255257</v>
      </c>
      <c r="Y80" s="50" t="n">
        <f aca="false">Y76+Y79</f>
        <v>2664680.42985984</v>
      </c>
      <c r="Z80" s="50" t="n">
        <f aca="false">Z76+Z79</f>
        <v>2864359.00649692</v>
      </c>
      <c r="AA80" s="50" t="n">
        <f aca="false">AA76+AA79</f>
        <v>2981135.01826327</v>
      </c>
      <c r="AB80" s="50" t="n">
        <f aca="false">AB76+AB79</f>
        <v>3195488.35788544</v>
      </c>
      <c r="AC80" s="50" t="n">
        <f aca="false">AC76+AC79</f>
        <v>3417955.95133061</v>
      </c>
      <c r="AD80" s="50" t="n">
        <f aca="false">AD76+AD79</f>
        <v>3649139.34073944</v>
      </c>
      <c r="AE80" s="50" t="n">
        <f aca="false">AE76+AE79</f>
        <v>3889713.00375591</v>
      </c>
      <c r="AF80" s="50" t="n">
        <f aca="false">AF76+AF79</f>
        <v>4140433.50504472</v>
      </c>
      <c r="AG80" s="50" t="n">
        <f aca="false">AG76+AG79</f>
        <v>4402149.58353977</v>
      </c>
      <c r="AH80" s="50" t="n">
        <f aca="false">AH76+AH79</f>
        <v>4675813.2894991</v>
      </c>
      <c r="AI80" s="50" t="n">
        <f aca="false">AI76+AI79</f>
        <v>4962492.29723403</v>
      </c>
      <c r="AJ80" s="50" t="n">
        <f aca="false">AJ76+AJ79</f>
        <v>5364830.61116161</v>
      </c>
      <c r="AK80" s="50" t="n">
        <f aca="false">AK76+AK79</f>
        <v>5757073.59348935</v>
      </c>
      <c r="AL80" s="50" t="n">
        <f aca="false">AL76+AL79</f>
        <v>6140701.01857177</v>
      </c>
      <c r="AM80" s="50" t="n">
        <f aca="false">SUM(C80:AL80)</f>
        <v>78769267.6361414</v>
      </c>
    </row>
    <row r="81" customFormat="false" ht="15" hidden="false" customHeight="false" outlineLevel="0" collapsed="false">
      <c r="A81" s="26" t="s">
        <v>665</v>
      </c>
      <c r="B81" s="9" t="s">
        <v>90</v>
      </c>
      <c r="C81" s="35" t="n">
        <f aca="false">C80</f>
        <v>-102860</v>
      </c>
      <c r="D81" s="35" t="n">
        <f aca="false">C81+D80</f>
        <v>-681148.784</v>
      </c>
      <c r="E81" s="35" t="n">
        <f aca="false">D81+E80</f>
        <v>-724868.562284695</v>
      </c>
      <c r="F81" s="35" t="n">
        <f aca="false">E81+F80</f>
        <v>-688322.713794901</v>
      </c>
      <c r="G81" s="35" t="n">
        <f aca="false">F81+G80</f>
        <v>-497398.665582445</v>
      </c>
      <c r="H81" s="35" t="n">
        <f aca="false">G81+H80</f>
        <v>-219451.857376571</v>
      </c>
      <c r="I81" s="35" t="n">
        <f aca="false">H81+I80</f>
        <v>158543.46353627</v>
      </c>
      <c r="J81" s="35" t="n">
        <f aca="false">I81+J80</f>
        <v>639610.879043928</v>
      </c>
      <c r="K81" s="35" t="n">
        <f aca="false">J81+K80</f>
        <v>1227499.3231978</v>
      </c>
      <c r="L81" s="35" t="n">
        <f aca="false">K81+L80</f>
        <v>1926706.8016125</v>
      </c>
      <c r="M81" s="35" t="n">
        <f aca="false">L81+M80</f>
        <v>2742413.31714255</v>
      </c>
      <c r="N81" s="35" t="n">
        <f aca="false">M81+N80</f>
        <v>3680493.36576937</v>
      </c>
      <c r="O81" s="35" t="n">
        <f aca="false">N81+O80</f>
        <v>4677538.3515129</v>
      </c>
      <c r="P81" s="35" t="n">
        <f aca="false">O81+P80</f>
        <v>5810885.70790559</v>
      </c>
      <c r="Q81" s="35" t="n">
        <f aca="false">P81+Q80</f>
        <v>7088654.42499586</v>
      </c>
      <c r="R81" s="35" t="n">
        <f aca="false">Q81+R80</f>
        <v>8519787.39475487</v>
      </c>
      <c r="S81" s="35" t="n">
        <f aca="false">R81+S80</f>
        <v>10114101.083886</v>
      </c>
      <c r="T81" s="35" t="n">
        <f aca="false">S81+T80</f>
        <v>11873610.485253</v>
      </c>
      <c r="U81" s="35" t="n">
        <f aca="false">T81+U80</f>
        <v>13802553.6865593</v>
      </c>
      <c r="V81" s="35" t="n">
        <f aca="false">U81+V80</f>
        <v>15906693.3287932</v>
      </c>
      <c r="W81" s="35" t="n">
        <f aca="false">V81+W80</f>
        <v>18191633.156717</v>
      </c>
      <c r="X81" s="35" t="n">
        <f aca="false">W81+X80</f>
        <v>20663302.6292696</v>
      </c>
      <c r="Y81" s="35" t="n">
        <f aca="false">X81+Y80</f>
        <v>23327983.0591295</v>
      </c>
      <c r="Z81" s="35" t="n">
        <f aca="false">Y81+Z80</f>
        <v>26192342.0656264</v>
      </c>
      <c r="AA81" s="35" t="n">
        <f aca="false">Z81+AA80</f>
        <v>29173477.0838896</v>
      </c>
      <c r="AB81" s="35" t="n">
        <f aca="false">AA81+AB80</f>
        <v>32368965.4417751</v>
      </c>
      <c r="AC81" s="35" t="n">
        <f aca="false">AB81+AC80</f>
        <v>35786921.3931057</v>
      </c>
      <c r="AD81" s="35" t="n">
        <f aca="false">AC81+AD80</f>
        <v>39436060.7338451</v>
      </c>
      <c r="AE81" s="35" t="n">
        <f aca="false">AD81+AE80</f>
        <v>43325773.7376011</v>
      </c>
      <c r="AF81" s="35" t="n">
        <f aca="false">AE81+AF80</f>
        <v>47466207.2426458</v>
      </c>
      <c r="AG81" s="35" t="n">
        <f aca="false">AF81+AG80</f>
        <v>51868356.8261855</v>
      </c>
      <c r="AH81" s="35" t="n">
        <f aca="false">AG81+AH80</f>
        <v>56544170.1156846</v>
      </c>
      <c r="AI81" s="35" t="n">
        <f aca="false">AH81+AI80</f>
        <v>61506662.4129187</v>
      </c>
      <c r="AJ81" s="35" t="n">
        <f aca="false">AI81+AJ80</f>
        <v>66871493.0240803</v>
      </c>
      <c r="AK81" s="35" t="n">
        <f aca="false">AJ81+AK80</f>
        <v>72628566.6175696</v>
      </c>
      <c r="AL81" s="35" t="n">
        <f aca="false">AK81+AL80</f>
        <v>78769267.6361414</v>
      </c>
      <c r="AM81" s="35" t="n">
        <f aca="false">AL81</f>
        <v>78769267.6361414</v>
      </c>
    </row>
    <row r="82" customFormat="false" ht="15" hidden="false" customHeight="false" outlineLevel="0" collapsed="false">
      <c r="A82" s="10" t="s">
        <v>666</v>
      </c>
      <c r="B82" s="9" t="s">
        <v>44</v>
      </c>
      <c r="C82" s="49" t="n">
        <f aca="false">IF(C76&gt;0,C$5,999)</f>
        <v>999</v>
      </c>
      <c r="D82" s="49" t="n">
        <f aca="false">IF(D76&gt;0,D$5,999)</f>
        <v>999</v>
      </c>
      <c r="E82" s="49" t="n">
        <f aca="false">IF(E76&gt;0,E$5,999)</f>
        <v>3</v>
      </c>
      <c r="F82" s="49" t="n">
        <f aca="false">IF(F76&gt;0,F$5,999)</f>
        <v>4</v>
      </c>
      <c r="G82" s="49" t="n">
        <f aca="false">IF(G76&gt;0,G$5,999)</f>
        <v>5</v>
      </c>
      <c r="H82" s="49" t="n">
        <f aca="false">IF(H76&gt;0,H$5,999)</f>
        <v>6</v>
      </c>
      <c r="I82" s="49" t="n">
        <f aca="false">IF(I76&gt;0,I$5,999)</f>
        <v>7</v>
      </c>
      <c r="J82" s="49" t="n">
        <f aca="false">IF(J76&gt;0,J$5,999)</f>
        <v>8</v>
      </c>
      <c r="K82" s="49" t="n">
        <f aca="false">IF(K76&gt;0,K$5,999)</f>
        <v>9</v>
      </c>
      <c r="L82" s="49" t="n">
        <f aca="false">IF(L76&gt;0,L$5,999)</f>
        <v>10</v>
      </c>
      <c r="M82" s="49" t="n">
        <f aca="false">IF(M76&gt;0,M$5,999)</f>
        <v>11</v>
      </c>
      <c r="N82" s="49" t="n">
        <f aca="false">IF(N76&gt;0,N$5,999)</f>
        <v>12</v>
      </c>
      <c r="O82" s="49" t="n">
        <f aca="false">IF(O76&gt;0,O$5,999)</f>
        <v>13</v>
      </c>
      <c r="P82" s="49" t="n">
        <f aca="false">IF(P76&gt;0,P$5,999)</f>
        <v>14</v>
      </c>
      <c r="Q82" s="49" t="n">
        <f aca="false">IF(Q76&gt;0,Q$5,999)</f>
        <v>15</v>
      </c>
      <c r="R82" s="49" t="n">
        <f aca="false">IF(R76&gt;0,R$5,999)</f>
        <v>16</v>
      </c>
      <c r="S82" s="49" t="n">
        <f aca="false">IF(S76&gt;0,S$5,999)</f>
        <v>17</v>
      </c>
      <c r="T82" s="49" t="n">
        <f aca="false">IF(T76&gt;0,T$5,999)</f>
        <v>18</v>
      </c>
      <c r="U82" s="49" t="n">
        <f aca="false">IF(U76&gt;0,U$5,999)</f>
        <v>19</v>
      </c>
      <c r="V82" s="49" t="n">
        <f aca="false">IF(V76&gt;0,V$5,999)</f>
        <v>20</v>
      </c>
      <c r="W82" s="49" t="n">
        <f aca="false">IF(W76&gt;0,W$5,999)</f>
        <v>21</v>
      </c>
      <c r="X82" s="49" t="n">
        <f aca="false">IF(X76&gt;0,X$5,999)</f>
        <v>22</v>
      </c>
      <c r="Y82" s="49" t="n">
        <f aca="false">IF(Y76&gt;0,Y$5,999)</f>
        <v>23</v>
      </c>
      <c r="Z82" s="49" t="n">
        <f aca="false">IF(Z76&gt;0,Z$5,999)</f>
        <v>24</v>
      </c>
      <c r="AA82" s="49" t="n">
        <f aca="false">IF(AA76&gt;0,AA$5,999)</f>
        <v>25</v>
      </c>
      <c r="AB82" s="49" t="n">
        <f aca="false">IF(AB76&gt;0,AB$5,999)</f>
        <v>26</v>
      </c>
      <c r="AC82" s="49" t="n">
        <f aca="false">IF(AC76&gt;0,AC$5,999)</f>
        <v>27</v>
      </c>
      <c r="AD82" s="49" t="n">
        <f aca="false">IF(AD76&gt;0,AD$5,999)</f>
        <v>28</v>
      </c>
      <c r="AE82" s="49" t="n">
        <f aca="false">IF(AE76&gt;0,AE$5,999)</f>
        <v>29</v>
      </c>
      <c r="AF82" s="49" t="n">
        <f aca="false">IF(AF76&gt;0,AF$5,999)</f>
        <v>30</v>
      </c>
      <c r="AG82" s="49" t="n">
        <f aca="false">IF(AG76&gt;0,AG$5,999)</f>
        <v>31</v>
      </c>
      <c r="AH82" s="49" t="n">
        <f aca="false">IF(AH76&gt;0,AH$5,999)</f>
        <v>32</v>
      </c>
      <c r="AI82" s="49" t="n">
        <f aca="false">IF(AI76&gt;0,AI$5,999)</f>
        <v>33</v>
      </c>
      <c r="AJ82" s="49" t="n">
        <f aca="false">IF(AJ76&gt;0,AJ$5,999)</f>
        <v>34</v>
      </c>
      <c r="AK82" s="49" t="n">
        <f aca="false">IF(AK76&gt;0,AK$5,999)</f>
        <v>35</v>
      </c>
      <c r="AL82" s="49" t="n">
        <f aca="false">IF(AL76&gt;0,AL$5,999)</f>
        <v>36</v>
      </c>
      <c r="AM82" s="49"/>
    </row>
    <row r="83" customFormat="false" ht="15" hidden="false" customHeight="false" outlineLevel="0" collapsed="false">
      <c r="A83" s="10" t="s">
        <v>667</v>
      </c>
      <c r="B83" s="9" t="s">
        <v>44</v>
      </c>
      <c r="C83" s="43" t="n">
        <f aca="false">C21+C44</f>
        <v>0</v>
      </c>
      <c r="D83" s="43" t="n">
        <f aca="false">D21+D44</f>
        <v>3000</v>
      </c>
      <c r="E83" s="43" t="n">
        <f aca="false">E21+E44</f>
        <v>3553.88578821622</v>
      </c>
      <c r="F83" s="43" t="n">
        <f aca="false">F21+F44</f>
        <v>3595.79331241158</v>
      </c>
      <c r="G83" s="43" t="n">
        <f aca="false">G21+G44</f>
        <v>3925.16185519091</v>
      </c>
      <c r="H83" s="43" t="n">
        <f aca="false">H21+H44</f>
        <v>4211.92953121694</v>
      </c>
      <c r="I83" s="43" t="n">
        <f aca="false">I21+I44</f>
        <v>4464.05011011225</v>
      </c>
      <c r="J83" s="43" t="n">
        <f aca="false">J21+J44</f>
        <v>4733.64767247219</v>
      </c>
      <c r="K83" s="43" t="n">
        <f aca="false">K21+K44</f>
        <v>5024.32999402696</v>
      </c>
      <c r="L83" s="43" t="n">
        <f aca="false">L21+L44</f>
        <v>5338.0627083461</v>
      </c>
      <c r="M83" s="43" t="n">
        <f aca="false">M21+M44</f>
        <v>5676.23360486738</v>
      </c>
      <c r="N83" s="43" t="n">
        <f aca="false">N21+N44</f>
        <v>6040.20157251353</v>
      </c>
      <c r="O83" s="43" t="n">
        <f aca="false">O21+O44</f>
        <v>6431.41266650244</v>
      </c>
      <c r="P83" s="43" t="n">
        <f aca="false">P21+P44</f>
        <v>6851.45518263909</v>
      </c>
      <c r="Q83" s="43" t="n">
        <f aca="false">Q21+Q44</f>
        <v>7302.09420747514</v>
      </c>
      <c r="R83" s="43" t="n">
        <f aca="false">R21+R44</f>
        <v>7785.29793339286</v>
      </c>
      <c r="S83" s="43" t="n">
        <f aca="false">S21+S44</f>
        <v>8303.26060644048</v>
      </c>
      <c r="T83" s="43" t="n">
        <f aca="false">T21+T44</f>
        <v>8826.42831830397</v>
      </c>
      <c r="U83" s="43" t="n">
        <f aca="false">U21+U44</f>
        <v>9354.17811591198</v>
      </c>
      <c r="V83" s="43" t="n">
        <f aca="false">V21+V44</f>
        <v>9897.25339464304</v>
      </c>
      <c r="W83" s="43" t="n">
        <f aca="false">W21+W44</f>
        <v>10459.099560651</v>
      </c>
      <c r="X83" s="43" t="n">
        <f aca="false">X21+X44</f>
        <v>11041.3201661522</v>
      </c>
      <c r="Y83" s="43" t="n">
        <f aca="false">Y21+Y44</f>
        <v>11645.6103242649</v>
      </c>
      <c r="Z83" s="43" t="n">
        <f aca="false">Z21+Z44</f>
        <v>12273.8676991698</v>
      </c>
      <c r="AA83" s="43" t="n">
        <f aca="false">AA21+AA44</f>
        <v>12928.2345818142</v>
      </c>
      <c r="AB83" s="43" t="n">
        <f aca="false">AB21+AB44</f>
        <v>13611.1277113599</v>
      </c>
      <c r="AC83" s="43" t="n">
        <f aca="false">AC21+AC44</f>
        <v>14325.2696155499</v>
      </c>
      <c r="AD83" s="43" t="n">
        <f aca="false">AD21+AD44</f>
        <v>15073.7230816257</v>
      </c>
      <c r="AE83" s="43" t="n">
        <f aca="false">AE21+AE44</f>
        <v>15859.9293652074</v>
      </c>
      <c r="AF83" s="43" t="n">
        <f aca="false">AF21+AF44</f>
        <v>16687.7506329135</v>
      </c>
      <c r="AG83" s="43" t="n">
        <f aca="false">AG21+AG44</f>
        <v>17561.5171507256</v>
      </c>
      <c r="AH83" s="43" t="n">
        <f aca="false">AH21+AH44</f>
        <v>18486.0797686947</v>
      </c>
      <c r="AI83" s="43" t="n">
        <f aca="false">AI21+AI44</f>
        <v>19466.8683018227</v>
      </c>
      <c r="AJ83" s="43" t="n">
        <f aca="false">AJ21+AJ44</f>
        <v>19859.1440525204</v>
      </c>
      <c r="AK83" s="43" t="n">
        <f aca="false">AK21+AK44</f>
        <v>20241.9760568143</v>
      </c>
      <c r="AL83" s="43" t="n">
        <f aca="false">AL21+AL44</f>
        <v>20671.3167422498</v>
      </c>
      <c r="AM83" s="43" t="n">
        <f aca="false">SUM(C83:AL83)</f>
        <v>364507.511386219</v>
      </c>
    </row>
    <row r="84" customFormat="false" ht="15" hidden="false" customHeight="false" outlineLevel="0" collapsed="false">
      <c r="A84" s="26" t="s">
        <v>668</v>
      </c>
      <c r="B84" s="9" t="s">
        <v>90</v>
      </c>
      <c r="C84" s="33" t="n">
        <f aca="false">IFERROR((C15-C70)/C83,0)</f>
        <v>0</v>
      </c>
      <c r="D84" s="33" t="n">
        <f aca="false">IFERROR((D15-D70)/D83,0)</f>
        <v>28.6666666666667</v>
      </c>
      <c r="E84" s="33" t="n">
        <f aca="false">IFERROR((E15-E70)/E83,0)</f>
        <v>24.1988643206133</v>
      </c>
      <c r="F84" s="33" t="n">
        <f aca="false">IFERROR((F15-F70)/F83,0)</f>
        <v>32.0335868298716</v>
      </c>
      <c r="G84" s="33" t="n">
        <f aca="false">IFERROR((G15-G70)/G83,0)</f>
        <v>36.7212497212109</v>
      </c>
      <c r="H84" s="33" t="n">
        <f aca="false">IFERROR((H15-H70)/H83,0)</f>
        <v>46.9128459545684</v>
      </c>
      <c r="I84" s="33" t="n">
        <f aca="false">IFERROR((I15-I70)/I83,0)</f>
        <v>55.029965615498</v>
      </c>
      <c r="J84" s="33" t="n">
        <f aca="false">IFERROR((J15-J70)/J83,0)</f>
        <v>62.2654791539944</v>
      </c>
      <c r="K84" s="33" t="n">
        <f aca="false">IFERROR((K15-K70)/K83,0)</f>
        <v>68.7423746963835</v>
      </c>
      <c r="L84" s="33" t="n">
        <f aca="false">IFERROR((L15-L70)/L83,0)</f>
        <v>74.5530314977175</v>
      </c>
      <c r="M84" s="33" t="n">
        <f aca="false">IFERROR((M15-M70)/M83,0)</f>
        <v>79.7764695716858</v>
      </c>
      <c r="N84" s="33" t="n">
        <f aca="false">IFERROR((N15-N70)/N83,0)</f>
        <v>84.4845697921411</v>
      </c>
      <c r="O84" s="33" t="n">
        <f aca="false">IFERROR((O15-O70)/O83,0)</f>
        <v>88.7418988729746</v>
      </c>
      <c r="P84" s="33" t="n">
        <f aca="false">IFERROR((P15-P70)/P83,0)</f>
        <v>92.605603283266</v>
      </c>
      <c r="Q84" s="33" t="n">
        <f aca="false">IFERROR((Q15-Q70)/Q83,0)</f>
        <v>96.1256472454176</v>
      </c>
      <c r="R84" s="33" t="n">
        <f aca="false">IFERROR((R15-R70)/R83,0)</f>
        <v>99.3453017108706</v>
      </c>
      <c r="S84" s="33" t="n">
        <f aca="false">IFERROR((S15-S70)/S83,0)</f>
        <v>102.301768922489</v>
      </c>
      <c r="T84" s="33" t="n">
        <f aca="false">IFERROR((T15-T70)/T83,0)</f>
        <v>105.407587411248</v>
      </c>
      <c r="U84" s="33" t="n">
        <f aca="false">IFERROR((U15-U70)/U83,0)</f>
        <v>108.363402573492</v>
      </c>
      <c r="V84" s="33" t="n">
        <f aca="false">IFERROR((V15-V70)/V83,0)</f>
        <v>111.038233055651</v>
      </c>
      <c r="W84" s="33" t="n">
        <f aca="false">IFERROR((W15-W70)/W83,0)</f>
        <v>113.474472563268</v>
      </c>
      <c r="X84" s="33" t="n">
        <f aca="false">IFERROR((X15-X70)/X83,0)</f>
        <v>115.694872593248</v>
      </c>
      <c r="Y84" s="33" t="n">
        <f aca="false">IFERROR((Y15-Y70)/Y83,0)</f>
        <v>117.717398891572</v>
      </c>
      <c r="Z84" s="33" t="n">
        <f aca="false">IFERROR((Z15-Z70)/Z83,0)</f>
        <v>119.556580279186</v>
      </c>
      <c r="AA84" s="33" t="n">
        <f aca="false">IFERROR((AA15-AA70)/AA83,0)</f>
        <v>121.224207815701</v>
      </c>
      <c r="AB84" s="33" t="n">
        <f aca="false">IFERROR((AB15-AB70)/AB83,0)</f>
        <v>122.729832696834</v>
      </c>
      <c r="AC84" s="33" t="n">
        <f aca="false">IFERROR((AC15-AC70)/AC83,0)</f>
        <v>124.081173691505</v>
      </c>
      <c r="AD84" s="33" t="n">
        <f aca="false">IFERROR((AD15-AD70)/AD83,0)</f>
        <v>125.284459353606</v>
      </c>
      <c r="AE84" s="33" t="n">
        <f aca="false">IFERROR((AE15-AE70)/AE83,0)</f>
        <v>126.344719926609</v>
      </c>
      <c r="AF84" s="33" t="n">
        <f aca="false">IFERROR((AF15-AF70)/AF83,0)</f>
        <v>127.266039997892</v>
      </c>
      <c r="AG84" s="33" t="n">
        <f aca="false">IFERROR((AG15-AG70)/AG83,0)</f>
        <v>128.051780393371</v>
      </c>
      <c r="AH84" s="33" t="n">
        <f aca="false">IFERROR((AH15-AH70)/AH83,0)</f>
        <v>128.704775755294</v>
      </c>
      <c r="AI84" s="33" t="n">
        <f aca="false">IFERROR((AI15-AI70)/AI83,0)</f>
        <v>129.227512546217</v>
      </c>
      <c r="AJ84" s="33" t="n">
        <f aca="false">IFERROR((AJ15-AJ70)/AJ83,0)</f>
        <v>127.195814347266</v>
      </c>
      <c r="AK84" s="33" t="n">
        <f aca="false">IFERROR((AK15-AK70)/AK83,0)</f>
        <v>124.79018811751</v>
      </c>
      <c r="AL84" s="33" t="n">
        <f aca="false">IFERROR((AL15-AL70)/AL83,0)</f>
        <v>122.198311384642</v>
      </c>
      <c r="AM84" s="33" t="n">
        <f aca="false">AVERAGE(N84:AL84)</f>
        <v>114.478246128851</v>
      </c>
    </row>
    <row r="85" customFormat="false" ht="15" hidden="false" customHeight="false" outlineLevel="0" collapsed="false">
      <c r="A85" s="10" t="s">
        <v>669</v>
      </c>
      <c r="B85" s="9" t="s">
        <v>90</v>
      </c>
      <c r="C85" s="51" t="n">
        <f aca="false">Assumptions!$F$51*(1-Assumptions!$F$61)*(1-Assumptions!$F$60)-Assumptions!$F$54-Assumptions!$F$56-Assumptions!$F$57-Assumptions!$F$58</f>
        <v>184.526606</v>
      </c>
      <c r="D85" s="51" t="n">
        <f aca="false">Assumptions!$F$51*(1-Assumptions!$F$61)*(1-Assumptions!$F$60)-Assumptions!$F$54-Assumptions!$F$56-Assumptions!$F$57-Assumptions!$F$58</f>
        <v>184.526606</v>
      </c>
      <c r="E85" s="51" t="n">
        <f aca="false">Assumptions!$F$51*(1-Assumptions!$F$61)*(1-Assumptions!$F$60)-Assumptions!$F$54-Assumptions!$F$56-Assumptions!$F$57-Assumptions!$F$58</f>
        <v>184.526606</v>
      </c>
      <c r="F85" s="51" t="n">
        <f aca="false">Assumptions!$F$51*(1-Assumptions!$F$61)*(1-Assumptions!$F$60)-Assumptions!$F$54-Assumptions!$F$56-Assumptions!$F$57-Assumptions!$F$58</f>
        <v>184.526606</v>
      </c>
      <c r="G85" s="51" t="n">
        <f aca="false">Assumptions!$F$51*(1-Assumptions!$F$61)*(1-Assumptions!$F$60)-Assumptions!$F$54-Assumptions!$F$56-Assumptions!$F$57-Assumptions!$F$58</f>
        <v>184.526606</v>
      </c>
      <c r="H85" s="51" t="n">
        <f aca="false">Assumptions!$F$51*(1-Assumptions!$F$61)*(1-Assumptions!$F$60)-Assumptions!$F$54-Assumptions!$F$56-Assumptions!$F$57-Assumptions!$F$58</f>
        <v>184.526606</v>
      </c>
      <c r="I85" s="51" t="n">
        <f aca="false">Assumptions!$F$51*(1-Assumptions!$F$61)*(1-Assumptions!$F$60)-Assumptions!$F$54-Assumptions!$F$56-Assumptions!$F$57-Assumptions!$F$58</f>
        <v>184.526606</v>
      </c>
      <c r="J85" s="51" t="n">
        <f aca="false">Assumptions!$F$51*(1-Assumptions!$F$61)*(1-Assumptions!$F$60)-Assumptions!$F$54-Assumptions!$F$56-Assumptions!$F$57-Assumptions!$F$58</f>
        <v>184.526606</v>
      </c>
      <c r="K85" s="51" t="n">
        <f aca="false">Assumptions!$F$51*(1-Assumptions!$F$61)*(1-Assumptions!$F$60)-Assumptions!$F$54-Assumptions!$F$56-Assumptions!$F$57-Assumptions!$F$58</f>
        <v>184.526606</v>
      </c>
      <c r="L85" s="51" t="n">
        <f aca="false">Assumptions!$F$51*(1-Assumptions!$F$61)*(1-Assumptions!$F$60)-Assumptions!$F$54-Assumptions!$F$56-Assumptions!$F$57-Assumptions!$F$58</f>
        <v>184.526606</v>
      </c>
      <c r="M85" s="51" t="n">
        <f aca="false">Assumptions!$F$51*(1-Assumptions!$F$61)*(1-Assumptions!$F$60)-Assumptions!$F$54-Assumptions!$F$56-Assumptions!$F$57-Assumptions!$F$58</f>
        <v>184.526606</v>
      </c>
      <c r="N85" s="51" t="n">
        <f aca="false">Assumptions!$F$51*(1-Assumptions!$F$61)*(1-Assumptions!$F$60)-Assumptions!$F$54-Assumptions!$F$56-Assumptions!$F$57-Assumptions!$F$58</f>
        <v>184.526606</v>
      </c>
      <c r="O85" s="51" t="n">
        <f aca="false">Assumptions!$F$51*(1-Assumptions!$F$61)*(1-Assumptions!$F$60)-Assumptions!$F$54-Assumptions!$F$56-Assumptions!$F$57-Assumptions!$F$58</f>
        <v>184.526606</v>
      </c>
      <c r="P85" s="51" t="n">
        <f aca="false">Assumptions!$F$51*(1-Assumptions!$F$61)*(1-Assumptions!$F$60)-Assumptions!$F$54-Assumptions!$F$56-Assumptions!$F$57-Assumptions!$F$58</f>
        <v>184.526606</v>
      </c>
      <c r="Q85" s="51" t="n">
        <f aca="false">Assumptions!$F$51*(1-Assumptions!$F$61)*(1-Assumptions!$F$60)-Assumptions!$F$54-Assumptions!$F$56-Assumptions!$F$57-Assumptions!$F$58</f>
        <v>184.526606</v>
      </c>
      <c r="R85" s="51" t="n">
        <f aca="false">Assumptions!$F$51*(1-Assumptions!$F$61)*(1-Assumptions!$F$60)-Assumptions!$F$54-Assumptions!$F$56-Assumptions!$F$57-Assumptions!$F$58</f>
        <v>184.526606</v>
      </c>
      <c r="S85" s="51" t="n">
        <f aca="false">Assumptions!$F$51*(1-Assumptions!$F$61)*(1-Assumptions!$F$60)-Assumptions!$F$54-Assumptions!$F$56-Assumptions!$F$57-Assumptions!$F$58</f>
        <v>184.526606</v>
      </c>
      <c r="T85" s="51" t="n">
        <f aca="false">Assumptions!$F$51*(1-Assumptions!$F$61)*(1-Assumptions!$F$60)-Assumptions!$F$54-Assumptions!$F$56-Assumptions!$F$57-Assumptions!$F$58</f>
        <v>184.526606</v>
      </c>
      <c r="U85" s="51" t="n">
        <f aca="false">Assumptions!$F$51*(1-Assumptions!$F$61)*(1-Assumptions!$F$60)-Assumptions!$F$54-Assumptions!$F$56-Assumptions!$F$57-Assumptions!$F$58</f>
        <v>184.526606</v>
      </c>
      <c r="V85" s="51" t="n">
        <f aca="false">Assumptions!$F$51*(1-Assumptions!$F$61)*(1-Assumptions!$F$60)-Assumptions!$F$54-Assumptions!$F$56-Assumptions!$F$57-Assumptions!$F$58</f>
        <v>184.526606</v>
      </c>
      <c r="W85" s="51" t="n">
        <f aca="false">Assumptions!$F$51*(1-Assumptions!$F$61)*(1-Assumptions!$F$60)-Assumptions!$F$54-Assumptions!$F$56-Assumptions!$F$57-Assumptions!$F$58</f>
        <v>184.526606</v>
      </c>
      <c r="X85" s="51" t="n">
        <f aca="false">Assumptions!$F$51*(1-Assumptions!$F$61)*(1-Assumptions!$F$60)-Assumptions!$F$54-Assumptions!$F$56-Assumptions!$F$57-Assumptions!$F$58</f>
        <v>184.526606</v>
      </c>
      <c r="Y85" s="51" t="n">
        <f aca="false">Assumptions!$F$51*(1-Assumptions!$F$61)*(1-Assumptions!$F$60)-Assumptions!$F$54-Assumptions!$F$56-Assumptions!$F$57-Assumptions!$F$58</f>
        <v>184.526606</v>
      </c>
      <c r="Z85" s="51" t="n">
        <f aca="false">Assumptions!$F$51*(1-Assumptions!$F$61)*(1-Assumptions!$F$60)-Assumptions!$F$54-Assumptions!$F$56-Assumptions!$F$57-Assumptions!$F$58</f>
        <v>184.526606</v>
      </c>
      <c r="AA85" s="51" t="n">
        <f aca="false">Assumptions!$F$51*(1-Assumptions!$F$61)*(1-Assumptions!$F$60)-Assumptions!$F$54-Assumptions!$F$56-Assumptions!$F$57-Assumptions!$F$58</f>
        <v>184.526606</v>
      </c>
      <c r="AB85" s="51" t="n">
        <f aca="false">Assumptions!$F$51*(1-Assumptions!$F$61)*(1-Assumptions!$F$60)-Assumptions!$F$54-Assumptions!$F$56-Assumptions!$F$57-Assumptions!$F$58</f>
        <v>184.526606</v>
      </c>
      <c r="AC85" s="51" t="n">
        <f aca="false">Assumptions!$F$51*(1-Assumptions!$F$61)*(1-Assumptions!$F$60)-Assumptions!$F$54-Assumptions!$F$56-Assumptions!$F$57-Assumptions!$F$58</f>
        <v>184.526606</v>
      </c>
      <c r="AD85" s="51" t="n">
        <f aca="false">Assumptions!$F$51*(1-Assumptions!$F$61)*(1-Assumptions!$F$60)-Assumptions!$F$54-Assumptions!$F$56-Assumptions!$F$57-Assumptions!$F$58</f>
        <v>184.526606</v>
      </c>
      <c r="AE85" s="51" t="n">
        <f aca="false">Assumptions!$F$51*(1-Assumptions!$F$61)*(1-Assumptions!$F$60)-Assumptions!$F$54-Assumptions!$F$56-Assumptions!$F$57-Assumptions!$F$58</f>
        <v>184.526606</v>
      </c>
      <c r="AF85" s="51" t="n">
        <f aca="false">Assumptions!$F$51*(1-Assumptions!$F$61)*(1-Assumptions!$F$60)-Assumptions!$F$54-Assumptions!$F$56-Assumptions!$F$57-Assumptions!$F$58</f>
        <v>184.526606</v>
      </c>
      <c r="AG85" s="51" t="n">
        <f aca="false">Assumptions!$F$51*(1-Assumptions!$F$61)*(1-Assumptions!$F$60)-Assumptions!$F$54-Assumptions!$F$56-Assumptions!$F$57-Assumptions!$F$58</f>
        <v>184.526606</v>
      </c>
      <c r="AH85" s="51" t="n">
        <f aca="false">Assumptions!$F$51*(1-Assumptions!$F$61)*(1-Assumptions!$F$60)-Assumptions!$F$54-Assumptions!$F$56-Assumptions!$F$57-Assumptions!$F$58</f>
        <v>184.526606</v>
      </c>
      <c r="AI85" s="51" t="n">
        <f aca="false">Assumptions!$F$51*(1-Assumptions!$F$61)*(1-Assumptions!$F$60)-Assumptions!$F$54-Assumptions!$F$56-Assumptions!$F$57-Assumptions!$F$58</f>
        <v>184.526606</v>
      </c>
      <c r="AJ85" s="51" t="n">
        <f aca="false">Assumptions!$F$51*(1-Assumptions!$F$61)*(1-Assumptions!$F$60)-Assumptions!$F$54-Assumptions!$F$56-Assumptions!$F$57-Assumptions!$F$58</f>
        <v>184.526606</v>
      </c>
      <c r="AK85" s="51" t="n">
        <f aca="false">Assumptions!$F$51*(1-Assumptions!$F$61)*(1-Assumptions!$F$60)-Assumptions!$F$54-Assumptions!$F$56-Assumptions!$F$57-Assumptions!$F$58</f>
        <v>184.526606</v>
      </c>
      <c r="AL85" s="51" t="n">
        <f aca="false">Assumptions!$F$51*(1-Assumptions!$F$61)*(1-Assumptions!$F$60)-Assumptions!$F$54-Assumptions!$F$56-Assumptions!$F$57-Assumptions!$F$58</f>
        <v>184.526606</v>
      </c>
      <c r="AM85" s="51" t="n">
        <f aca="false">AVERAGE(N85:AL85)</f>
        <v>184.526606</v>
      </c>
    </row>
    <row r="86" customFormat="false" ht="15" hidden="false" customHeight="false" outlineLevel="0" collapsed="false">
      <c r="A86" s="10" t="s">
        <v>670</v>
      </c>
      <c r="B86" s="9" t="s">
        <v>90</v>
      </c>
      <c r="C86" s="50" t="n">
        <f aca="false">C85/Assumptions!$F$49</f>
        <v>1942.38532631579</v>
      </c>
      <c r="D86" s="50" t="n">
        <f aca="false">D85/Assumptions!$F$49</f>
        <v>1942.38532631579</v>
      </c>
      <c r="E86" s="50" t="n">
        <f aca="false">E85/Assumptions!$F$49</f>
        <v>1942.38532631579</v>
      </c>
      <c r="F86" s="50" t="n">
        <f aca="false">F85/Assumptions!$F$49</f>
        <v>1942.38532631579</v>
      </c>
      <c r="G86" s="50" t="n">
        <f aca="false">G85/Assumptions!$F$49</f>
        <v>1942.38532631579</v>
      </c>
      <c r="H86" s="50" t="n">
        <f aca="false">H85/Assumptions!$F$49</f>
        <v>1942.38532631579</v>
      </c>
      <c r="I86" s="50" t="n">
        <f aca="false">I85/Assumptions!$F$49</f>
        <v>1942.38532631579</v>
      </c>
      <c r="J86" s="50" t="n">
        <f aca="false">J85/Assumptions!$F$49</f>
        <v>1942.38532631579</v>
      </c>
      <c r="K86" s="50" t="n">
        <f aca="false">K85/Assumptions!$F$49</f>
        <v>1942.38532631579</v>
      </c>
      <c r="L86" s="50" t="n">
        <f aca="false">L85/Assumptions!$F$49</f>
        <v>1942.38532631579</v>
      </c>
      <c r="M86" s="50" t="n">
        <f aca="false">M85/Assumptions!$F$49</f>
        <v>1942.38532631579</v>
      </c>
      <c r="N86" s="50" t="n">
        <f aca="false">N85/Assumptions!$F$49</f>
        <v>1942.38532631579</v>
      </c>
      <c r="O86" s="50" t="n">
        <f aca="false">O85/Assumptions!$F$49</f>
        <v>1942.38532631579</v>
      </c>
      <c r="P86" s="50" t="n">
        <f aca="false">P85/Assumptions!$F$49</f>
        <v>1942.38532631579</v>
      </c>
      <c r="Q86" s="50" t="n">
        <f aca="false">Q85/Assumptions!$F$49</f>
        <v>1942.38532631579</v>
      </c>
      <c r="R86" s="50" t="n">
        <f aca="false">R85/Assumptions!$F$49</f>
        <v>1942.38532631579</v>
      </c>
      <c r="S86" s="50" t="n">
        <f aca="false">S85/Assumptions!$F$49</f>
        <v>1942.38532631579</v>
      </c>
      <c r="T86" s="50" t="n">
        <f aca="false">T85/Assumptions!$F$49</f>
        <v>1942.38532631579</v>
      </c>
      <c r="U86" s="50" t="n">
        <f aca="false">U85/Assumptions!$F$49</f>
        <v>1942.38532631579</v>
      </c>
      <c r="V86" s="50" t="n">
        <f aca="false">V85/Assumptions!$F$49</f>
        <v>1942.38532631579</v>
      </c>
      <c r="W86" s="50" t="n">
        <f aca="false">W85/Assumptions!$F$49</f>
        <v>1942.38532631579</v>
      </c>
      <c r="X86" s="50" t="n">
        <f aca="false">X85/Assumptions!$F$49</f>
        <v>1942.38532631579</v>
      </c>
      <c r="Y86" s="50" t="n">
        <f aca="false">Y85/Assumptions!$F$49</f>
        <v>1942.38532631579</v>
      </c>
      <c r="Z86" s="50" t="n">
        <f aca="false">Z85/Assumptions!$F$49</f>
        <v>1942.38532631579</v>
      </c>
      <c r="AA86" s="50" t="n">
        <f aca="false">AA85/Assumptions!$F$49</f>
        <v>1942.38532631579</v>
      </c>
      <c r="AB86" s="50" t="n">
        <f aca="false">AB85/Assumptions!$F$49</f>
        <v>1942.38532631579</v>
      </c>
      <c r="AC86" s="50" t="n">
        <f aca="false">AC85/Assumptions!$F$49</f>
        <v>1942.38532631579</v>
      </c>
      <c r="AD86" s="50" t="n">
        <f aca="false">AD85/Assumptions!$F$49</f>
        <v>1942.38532631579</v>
      </c>
      <c r="AE86" s="50" t="n">
        <f aca="false">AE85/Assumptions!$F$49</f>
        <v>1942.38532631579</v>
      </c>
      <c r="AF86" s="50" t="n">
        <f aca="false">AF85/Assumptions!$F$49</f>
        <v>1942.38532631579</v>
      </c>
      <c r="AG86" s="50" t="n">
        <f aca="false">AG85/Assumptions!$F$49</f>
        <v>1942.38532631579</v>
      </c>
      <c r="AH86" s="50" t="n">
        <f aca="false">AH85/Assumptions!$F$49</f>
        <v>1942.38532631579</v>
      </c>
      <c r="AI86" s="50" t="n">
        <f aca="false">AI85/Assumptions!$F$49</f>
        <v>1942.38532631579</v>
      </c>
      <c r="AJ86" s="50" t="n">
        <f aca="false">AJ85/Assumptions!$F$49</f>
        <v>1942.38532631579</v>
      </c>
      <c r="AK86" s="50" t="n">
        <f aca="false">AK85/Assumptions!$F$49</f>
        <v>1942.38532631579</v>
      </c>
      <c r="AL86" s="50" t="n">
        <f aca="false">AL85/Assumptions!$F$49</f>
        <v>1942.38532631579</v>
      </c>
      <c r="AM86" s="50" t="n">
        <f aca="false">AVERAGE(N86:AL86)</f>
        <v>1942.38532631579</v>
      </c>
    </row>
    <row r="87" customFormat="false" ht="15" hidden="false" customHeight="false" outlineLevel="0" collapsed="false">
      <c r="A87" s="10" t="s">
        <v>318</v>
      </c>
      <c r="B87" s="9" t="s">
        <v>90</v>
      </c>
      <c r="C87" s="51" t="n">
        <f aca="false">Assumptions!$F$31*(1-Assumptions!$F$61)*(1-Assumptions!$F$60)-Assumptions!$F$31*Assumptions!$F$36-Assumptions!$F$37</f>
        <v>57.880272</v>
      </c>
      <c r="D87" s="51" t="n">
        <f aca="false">Assumptions!$F$31*(1-Assumptions!$F$61)*(1-Assumptions!$F$60)-Assumptions!$F$31*Assumptions!$F$36-Assumptions!$F$37</f>
        <v>57.880272</v>
      </c>
      <c r="E87" s="51" t="n">
        <f aca="false">Assumptions!$F$31*(1-Assumptions!$F$61)*(1-Assumptions!$F$60)-Assumptions!$F$31*Assumptions!$F$36-Assumptions!$F$37</f>
        <v>57.880272</v>
      </c>
      <c r="F87" s="51" t="n">
        <f aca="false">Assumptions!$F$31*(1-Assumptions!$F$61)*(1-Assumptions!$F$60)-Assumptions!$F$31*Assumptions!$F$36-Assumptions!$F$37</f>
        <v>57.880272</v>
      </c>
      <c r="G87" s="51" t="n">
        <f aca="false">Assumptions!$F$31*(1-Assumptions!$F$61)*(1-Assumptions!$F$60)-Assumptions!$F$31*Assumptions!$F$36-Assumptions!$F$37</f>
        <v>57.880272</v>
      </c>
      <c r="H87" s="51" t="n">
        <f aca="false">Assumptions!$F$31*(1-Assumptions!$F$61)*(1-Assumptions!$F$60)-Assumptions!$F$31*Assumptions!$F$36-Assumptions!$F$37</f>
        <v>57.880272</v>
      </c>
      <c r="I87" s="51" t="n">
        <f aca="false">Assumptions!$F$31*(1-Assumptions!$F$61)*(1-Assumptions!$F$60)-Assumptions!$F$31*Assumptions!$F$36-Assumptions!$F$37</f>
        <v>57.880272</v>
      </c>
      <c r="J87" s="51" t="n">
        <f aca="false">Assumptions!$F$31*(1-Assumptions!$F$61)*(1-Assumptions!$F$60)-Assumptions!$F$31*Assumptions!$F$36-Assumptions!$F$37</f>
        <v>57.880272</v>
      </c>
      <c r="K87" s="51" t="n">
        <f aca="false">Assumptions!$F$31*(1-Assumptions!$F$61)*(1-Assumptions!$F$60)-Assumptions!$F$31*Assumptions!$F$36-Assumptions!$F$37</f>
        <v>57.880272</v>
      </c>
      <c r="L87" s="51" t="n">
        <f aca="false">Assumptions!$F$31*(1-Assumptions!$F$61)*(1-Assumptions!$F$60)-Assumptions!$F$31*Assumptions!$F$36-Assumptions!$F$37</f>
        <v>57.880272</v>
      </c>
      <c r="M87" s="51" t="n">
        <f aca="false">Assumptions!$F$31*(1-Assumptions!$F$61)*(1-Assumptions!$F$60)-Assumptions!$F$31*Assumptions!$F$36-Assumptions!$F$37</f>
        <v>57.880272</v>
      </c>
      <c r="N87" s="51" t="n">
        <f aca="false">Assumptions!$F$31*(1-Assumptions!$F$61)*(1-Assumptions!$F$60)-Assumptions!$F$31*Assumptions!$F$36-Assumptions!$F$37</f>
        <v>57.880272</v>
      </c>
      <c r="O87" s="51" t="n">
        <f aca="false">Assumptions!$F$31*(1-Assumptions!$F$61)*(1-Assumptions!$F$60)-Assumptions!$F$31*Assumptions!$F$36-Assumptions!$F$37</f>
        <v>57.880272</v>
      </c>
      <c r="P87" s="51" t="n">
        <f aca="false">Assumptions!$F$31*(1-Assumptions!$F$61)*(1-Assumptions!$F$60)-Assumptions!$F$31*Assumptions!$F$36-Assumptions!$F$37</f>
        <v>57.880272</v>
      </c>
      <c r="Q87" s="51" t="n">
        <f aca="false">Assumptions!$F$31*(1-Assumptions!$F$61)*(1-Assumptions!$F$60)-Assumptions!$F$31*Assumptions!$F$36-Assumptions!$F$37</f>
        <v>57.880272</v>
      </c>
      <c r="R87" s="51" t="n">
        <f aca="false">Assumptions!$F$31*(1-Assumptions!$F$61)*(1-Assumptions!$F$60)-Assumptions!$F$31*Assumptions!$F$36-Assumptions!$F$37</f>
        <v>57.880272</v>
      </c>
      <c r="S87" s="51" t="n">
        <f aca="false">Assumptions!$F$31*(1-Assumptions!$F$61)*(1-Assumptions!$F$60)-Assumptions!$F$31*Assumptions!$F$36-Assumptions!$F$37</f>
        <v>57.880272</v>
      </c>
      <c r="T87" s="51" t="n">
        <f aca="false">Assumptions!$F$31*(1-Assumptions!$F$61)*(1-Assumptions!$F$60)-Assumptions!$F$31*Assumptions!$F$36-Assumptions!$F$37</f>
        <v>57.880272</v>
      </c>
      <c r="U87" s="51" t="n">
        <f aca="false">Assumptions!$F$31*(1-Assumptions!$F$61)*(1-Assumptions!$F$60)-Assumptions!$F$31*Assumptions!$F$36-Assumptions!$F$37</f>
        <v>57.880272</v>
      </c>
      <c r="V87" s="51" t="n">
        <f aca="false">Assumptions!$F$31*(1-Assumptions!$F$61)*(1-Assumptions!$F$60)-Assumptions!$F$31*Assumptions!$F$36-Assumptions!$F$37</f>
        <v>57.880272</v>
      </c>
      <c r="W87" s="51" t="n">
        <f aca="false">Assumptions!$F$31*(1-Assumptions!$F$61)*(1-Assumptions!$F$60)-Assumptions!$F$31*Assumptions!$F$36-Assumptions!$F$37</f>
        <v>57.880272</v>
      </c>
      <c r="X87" s="51" t="n">
        <f aca="false">Assumptions!$F$31*(1-Assumptions!$F$61)*(1-Assumptions!$F$60)-Assumptions!$F$31*Assumptions!$F$36-Assumptions!$F$37</f>
        <v>57.880272</v>
      </c>
      <c r="Y87" s="51" t="n">
        <f aca="false">Assumptions!$F$31*(1-Assumptions!$F$61)*(1-Assumptions!$F$60)-Assumptions!$F$31*Assumptions!$F$36-Assumptions!$F$37</f>
        <v>57.880272</v>
      </c>
      <c r="Z87" s="51" t="n">
        <f aca="false">Assumptions!$F$31*(1-Assumptions!$F$61)*(1-Assumptions!$F$60)-Assumptions!$F$31*Assumptions!$F$36-Assumptions!$F$37</f>
        <v>57.880272</v>
      </c>
      <c r="AA87" s="51" t="n">
        <f aca="false">Assumptions!$F$31*(1-Assumptions!$F$61)*(1-Assumptions!$F$60)-Assumptions!$F$31*Assumptions!$F$36-Assumptions!$F$37</f>
        <v>57.880272</v>
      </c>
      <c r="AB87" s="51" t="n">
        <f aca="false">Assumptions!$F$31*(1-Assumptions!$F$61)*(1-Assumptions!$F$60)-Assumptions!$F$31*Assumptions!$F$36-Assumptions!$F$37</f>
        <v>57.880272</v>
      </c>
      <c r="AC87" s="51" t="n">
        <f aca="false">Assumptions!$F$31*(1-Assumptions!$F$61)*(1-Assumptions!$F$60)-Assumptions!$F$31*Assumptions!$F$36-Assumptions!$F$37</f>
        <v>57.880272</v>
      </c>
      <c r="AD87" s="51" t="n">
        <f aca="false">Assumptions!$F$31*(1-Assumptions!$F$61)*(1-Assumptions!$F$60)-Assumptions!$F$31*Assumptions!$F$36-Assumptions!$F$37</f>
        <v>57.880272</v>
      </c>
      <c r="AE87" s="51" t="n">
        <f aca="false">Assumptions!$F$31*(1-Assumptions!$F$61)*(1-Assumptions!$F$60)-Assumptions!$F$31*Assumptions!$F$36-Assumptions!$F$37</f>
        <v>57.880272</v>
      </c>
      <c r="AF87" s="51" t="n">
        <f aca="false">Assumptions!$F$31*(1-Assumptions!$F$61)*(1-Assumptions!$F$60)-Assumptions!$F$31*Assumptions!$F$36-Assumptions!$F$37</f>
        <v>57.880272</v>
      </c>
      <c r="AG87" s="51" t="n">
        <f aca="false">Assumptions!$F$31*(1-Assumptions!$F$61)*(1-Assumptions!$F$60)-Assumptions!$F$31*Assumptions!$F$36-Assumptions!$F$37</f>
        <v>57.880272</v>
      </c>
      <c r="AH87" s="51" t="n">
        <f aca="false">Assumptions!$F$31*(1-Assumptions!$F$61)*(1-Assumptions!$F$60)-Assumptions!$F$31*Assumptions!$F$36-Assumptions!$F$37</f>
        <v>57.880272</v>
      </c>
      <c r="AI87" s="51" t="n">
        <f aca="false">Assumptions!$F$31*(1-Assumptions!$F$61)*(1-Assumptions!$F$60)-Assumptions!$F$31*Assumptions!$F$36-Assumptions!$F$37</f>
        <v>57.880272</v>
      </c>
      <c r="AJ87" s="51" t="n">
        <f aca="false">Assumptions!$F$31*(1-Assumptions!$F$61)*(1-Assumptions!$F$60)-Assumptions!$F$31*Assumptions!$F$36-Assumptions!$F$37</f>
        <v>57.880272</v>
      </c>
      <c r="AK87" s="51" t="n">
        <f aca="false">Assumptions!$F$31*(1-Assumptions!$F$61)*(1-Assumptions!$F$60)-Assumptions!$F$31*Assumptions!$F$36-Assumptions!$F$37</f>
        <v>57.880272</v>
      </c>
      <c r="AL87" s="51" t="n">
        <f aca="false">Assumptions!$F$31*(1-Assumptions!$F$61)*(1-Assumptions!$F$60)-Assumptions!$F$31*Assumptions!$F$36-Assumptions!$F$37</f>
        <v>57.880272</v>
      </c>
      <c r="AM87" s="51" t="n">
        <f aca="false">AVERAGE(N87:AL87)</f>
        <v>57.880272</v>
      </c>
    </row>
    <row r="88" customFormat="false" ht="15" hidden="false" customHeight="false" outlineLevel="0" collapsed="false">
      <c r="A88" s="10" t="s">
        <v>319</v>
      </c>
      <c r="B88" s="9" t="s">
        <v>90</v>
      </c>
      <c r="C88" s="50" t="n">
        <f aca="false">C87/Assumptions!$F$33</f>
        <v>1052.36858181818</v>
      </c>
      <c r="D88" s="50" t="n">
        <f aca="false">D87/Assumptions!$F$33</f>
        <v>1052.36858181818</v>
      </c>
      <c r="E88" s="50" t="n">
        <f aca="false">E87/Assumptions!$F$33</f>
        <v>1052.36858181818</v>
      </c>
      <c r="F88" s="50" t="n">
        <f aca="false">F87/Assumptions!$F$33</f>
        <v>1052.36858181818</v>
      </c>
      <c r="G88" s="50" t="n">
        <f aca="false">G87/Assumptions!$F$33</f>
        <v>1052.36858181818</v>
      </c>
      <c r="H88" s="50" t="n">
        <f aca="false">H87/Assumptions!$F$33</f>
        <v>1052.36858181818</v>
      </c>
      <c r="I88" s="50" t="n">
        <f aca="false">I87/Assumptions!$F$33</f>
        <v>1052.36858181818</v>
      </c>
      <c r="J88" s="50" t="n">
        <f aca="false">J87/Assumptions!$F$33</f>
        <v>1052.36858181818</v>
      </c>
      <c r="K88" s="50" t="n">
        <f aca="false">K87/Assumptions!$F$33</f>
        <v>1052.36858181818</v>
      </c>
      <c r="L88" s="50" t="n">
        <f aca="false">L87/Assumptions!$F$33</f>
        <v>1052.36858181818</v>
      </c>
      <c r="M88" s="50" t="n">
        <f aca="false">M87/Assumptions!$F$33</f>
        <v>1052.36858181818</v>
      </c>
      <c r="N88" s="50" t="n">
        <f aca="false">N87/Assumptions!$F$33</f>
        <v>1052.36858181818</v>
      </c>
      <c r="O88" s="50" t="n">
        <f aca="false">O87/Assumptions!$F$33</f>
        <v>1052.36858181818</v>
      </c>
      <c r="P88" s="50" t="n">
        <f aca="false">P87/Assumptions!$F$33</f>
        <v>1052.36858181818</v>
      </c>
      <c r="Q88" s="50" t="n">
        <f aca="false">Q87/Assumptions!$F$33</f>
        <v>1052.36858181818</v>
      </c>
      <c r="R88" s="50" t="n">
        <f aca="false">R87/Assumptions!$F$33</f>
        <v>1052.36858181818</v>
      </c>
      <c r="S88" s="50" t="n">
        <f aca="false">S87/Assumptions!$F$33</f>
        <v>1052.36858181818</v>
      </c>
      <c r="T88" s="50" t="n">
        <f aca="false">T87/Assumptions!$F$33</f>
        <v>1052.36858181818</v>
      </c>
      <c r="U88" s="50" t="n">
        <f aca="false">U87/Assumptions!$F$33</f>
        <v>1052.36858181818</v>
      </c>
      <c r="V88" s="50" t="n">
        <f aca="false">V87/Assumptions!$F$33</f>
        <v>1052.36858181818</v>
      </c>
      <c r="W88" s="50" t="n">
        <f aca="false">W87/Assumptions!$F$33</f>
        <v>1052.36858181818</v>
      </c>
      <c r="X88" s="50" t="n">
        <f aca="false">X87/Assumptions!$F$33</f>
        <v>1052.36858181818</v>
      </c>
      <c r="Y88" s="50" t="n">
        <f aca="false">Y87/Assumptions!$F$33</f>
        <v>1052.36858181818</v>
      </c>
      <c r="Z88" s="50" t="n">
        <f aca="false">Z87/Assumptions!$F$33</f>
        <v>1052.36858181818</v>
      </c>
      <c r="AA88" s="50" t="n">
        <f aca="false">AA87/Assumptions!$F$33</f>
        <v>1052.36858181818</v>
      </c>
      <c r="AB88" s="50" t="n">
        <f aca="false">AB87/Assumptions!$F$33</f>
        <v>1052.36858181818</v>
      </c>
      <c r="AC88" s="50" t="n">
        <f aca="false">AC87/Assumptions!$F$33</f>
        <v>1052.36858181818</v>
      </c>
      <c r="AD88" s="50" t="n">
        <f aca="false">AD87/Assumptions!$F$33</f>
        <v>1052.36858181818</v>
      </c>
      <c r="AE88" s="50" t="n">
        <f aca="false">AE87/Assumptions!$F$33</f>
        <v>1052.36858181818</v>
      </c>
      <c r="AF88" s="50" t="n">
        <f aca="false">AF87/Assumptions!$F$33</f>
        <v>1052.36858181818</v>
      </c>
      <c r="AG88" s="50" t="n">
        <f aca="false">AG87/Assumptions!$F$33</f>
        <v>1052.36858181818</v>
      </c>
      <c r="AH88" s="50" t="n">
        <f aca="false">AH87/Assumptions!$F$33</f>
        <v>1052.36858181818</v>
      </c>
      <c r="AI88" s="50" t="n">
        <f aca="false">AI87/Assumptions!$F$33</f>
        <v>1052.36858181818</v>
      </c>
      <c r="AJ88" s="50" t="n">
        <f aca="false">AJ87/Assumptions!$F$33</f>
        <v>1052.36858181818</v>
      </c>
      <c r="AK88" s="50" t="n">
        <f aca="false">AK87/Assumptions!$F$33</f>
        <v>1052.36858181818</v>
      </c>
      <c r="AL88" s="50" t="n">
        <f aca="false">AL87/Assumptions!$F$33</f>
        <v>1052.36858181818</v>
      </c>
      <c r="AM88" s="50" t="n">
        <f aca="false">AVERAGE(N88:AL88)</f>
        <v>1052.36858181818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2026-09-18T19:45:32Z</dcterms:created>
  <dc:creator>openpyxl</dc:creator>
  <dc:description/>
  <dc:language>en-US</dc:language>
  <cp:lastModifiedBy/>
  <dcterms:modified xsi:type="dcterms:W3CDTF">2026-09-18T19:45:32Z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