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_Me" sheetId="1" state="visible" r:id="rId3"/>
    <sheet name="Assumptions" sheetId="2" state="visible" r:id="rId4"/>
    <sheet name="Summary" sheetId="3" state="visible" r:id="rId5"/>
    <sheet name="Unit_Economics" sheetId="4" state="visible" r:id="rId6"/>
    <sheet name="Sensitivity" sheetId="5" state="visible" r:id="rId7"/>
    <sheet name="Partner_Economics" sheetId="6" state="visible" r:id="rId8"/>
    <sheet name="Provider_Diligence" sheetId="7" state="visible" r:id="rId9"/>
    <sheet name="Benchmarks" sheetId="8" state="visible" r:id="rId10"/>
    <sheet name="Paid_Media" sheetId="9" state="visible" r:id="rId11"/>
    <sheet name="Model_Conservative" sheetId="10" state="visible" r:id="rId12"/>
    <sheet name="Model_Baseline" sheetId="11" state="visible" r:id="rId13"/>
    <sheet name="Model_Aggressive" sheetId="12" state="visible" r:id="rId14"/>
    <sheet name="Model_No_Partner" sheetId="13" state="visible" r:id="rId15"/>
    <sheet name="Model_Weak_Audience" sheetId="14" state="visible" r:id="rId16"/>
    <sheet name="Model_Weak_Retention" sheetId="15" state="visible" r:id="rId1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<sst xmlns="http://schemas.openxmlformats.org/spreadsheetml/2006/main" count="2442" uniqueCount="829">
  <si>
    <t xml:space="preserve">Reserve Clinic - Margin and Growth Model</t>
  </si>
  <si>
    <t xml:space="preserve">What this is</t>
  </si>
  <si>
    <t xml:space="preserve">A driver-based 36-month model of a two-line peptide and supplement business: a non-prescription supplement line that can trade in all fifty states, and a prescription telehealth line fulfilled by 503A and 503B pharmacies whose state footprint expands over time. It is built for the specific operating structure the project owner described, including a turnkey compliance-and-fulfilment provider at a flat $600 per month. Paid media is modelled as three separately-priced tiers rather than one blended number, because that is the mechanism by which a brand partner's audience lowers acquisition cost. Four columns: Conservative, Baseline, Aggressive, and Baseline with no brand partner at all.</t>
  </si>
  <si>
    <t xml:space="preserve">What it is not</t>
  </si>
  <si>
    <t xml:space="preserve">Not a forecast, not a valuation, and not legal, medical, tax or investment advice. The outputs follow arithmetically from the drivers on the Assumptions sheet. Change a driver and the answer changes. Several of the most consequential drivers rest on analyst assumptions rather than measurements, and those are labelled Low confidence with a stated validation method.</t>
  </si>
  <si>
    <t xml:space="preserve">Status of the people named</t>
  </si>
  <si>
    <t xml:space="preserve">The proposed brand partner and the proposed medical co-founder are treated strictly as proposed. No public evidence connects either to this venture, no agreement exists, and nothing in this workbook is an offer or implies endorsement, ownership or authorisation. Partner compensation figures are illustrative arithmetic, not terms.</t>
  </si>
  <si>
    <t xml:space="preserve">Colour key</t>
  </si>
  <si>
    <t xml:space="preserve">Blue = editable input, on the Assumptions sheet only; bold blue in the last column marks a driver the no-partner case overrides. Black = formula. Green = link to another sheet. Yellow fill = high-sensitivity driver: get these wrong and the answer changes materially. Grey fill = the no-partner comparison column. Peach fill = a caution the reader should not skip.</t>
  </si>
  <si>
    <t xml:space="preserve">Sheet order</t>
  </si>
  <si>
    <t xml:space="preserve">Summary reads the four columns side by side. Unit_Economics shows where margin comes from per order and per member-month. Paid_Media explains the three ad tiers and what the structure does and does not claim. Sensitivity holds four grids: prescription LTV:CAC by churn and CAC, partner-driven sessions by reach and click-through, blended gross margin by COGS and pharmacy cost, and paid CAC by spend level with and without the partner. Partner_Economics is illustrative deal arithmetic. Provider_Diligence is the twenty questions to answer in writing before signing. Benchmarks is the evidence. Assumptions holds every input. The four Model_ sheets are the monthly grids.</t>
  </si>
  <si>
    <t xml:space="preserve">What the fourth column is for</t>
  </si>
  <si>
    <t xml:space="preserve">Model_No_Partner is the same business with no brand partner. Organic search, pricing, cost structure, the provider, the team plan and the whole operating base are held identical; only the four things the partnership actually supplies differ, namely the partner's own social traffic, the branded-search and engagement-retargeting inventory that traffic creates, the creative lift on cold prospecting, and the partner's compensation. It exists so that the partnership's contribution is a number rather than an assertion. Holding organic and press identical understates rather than flatters the partnership.</t>
  </si>
  <si>
    <t xml:space="preserve">On the claim that a celebrity buys a better CAC</t>
  </si>
  <si>
    <t xml:space="preserve">The model does not assume it. It derives it, through three mechanisms with explicit ceilings, and then applies an incrementality haircut to the two warm tiers because the evidence demands one: holdout tests show only 25-30% of retargeting conversions are incremental. Sensitivity grid 4 is the like-for-like answer, holding everything else equal. Two results matter. Blended CAC RISES with spend in every scenario, because of the auction; any model where it falls with scale has no competition in it. And the partnership's advantage is largest on the first tranche of spend and narrows as budget grows, which is an argument for spending into it early rather than trickling it.</t>
  </si>
  <si>
    <t xml:space="preserve">The four things most likely to be wrong</t>
  </si>
  <si>
    <t xml:space="preserve">1. Audience conversion. Reach per post and click-through are multiplied together and neither is measured; Sensitivity grid 2 shows the spread. 2. The partner-creative cost discount. No study quantifying celebrity or recognisable-face advertising lift was retrievable (B20); the supporting evidence is only general. A creative A/B test with and without the partner in month one is how this stops being an assumption. 3. Prescription retention. Benchmark B17 puts real-world discontinuation near 65% at twelve months; Sensitivity grid 1 shows that above roughly 15% monthly churn the prescription line does not pay for its own acquisition at any plausible CAC. 4. The provider's scope. A $600 flat fee is roughly one fifth of the low end of published market pricing for comparable turnkey telehealth infrastructure, so the model assumes it covers software and administration only and carries every variable cost separately.</t>
  </si>
  <si>
    <t xml:space="preserve">Structural limits the model encodes deliberately</t>
  </si>
  <si>
    <t xml:space="preserve">Fifty-state coverage applies to the non-prescription line only. The prescription line ramps from 26-45% of the US population at launch to a 70-88% ceiling, because asynchronous-prescribing rules, corporate-practice-of-medicine limits and the section 503A(b)(3) five percent interstate distribution cap all constrain it. FDA's compounding memorandum-of-understanding index currently lists three MOUs, all suspended, and FDA has repeatedly deferred enforcement of the five percent limit pending rulemaking. Deferred enforcement is discretionary and revocable. Every one of these areas needs qualified counsel: FDA and pharmacy regulatory, corporate practice of medicine, healthcare privacy, advertising and endorsement, consumer protection and auto-renewal, and intellectual property.</t>
  </si>
  <si>
    <t xml:space="preserve">Prepared</t>
  </si>
  <si>
    <t xml:space="preserve">2026-09-18. Rebuild with: python3 build/build_margin_model.py outputs/09_ReserveClinic_Margin_and_Growth_Model.xlsx, then recalculate with LibreOffice, then python3 build/extract_margin_values.py and python3 build/build_margin_proposal.py.</t>
  </si>
  <si>
    <t xml:space="preserve">Reserve Clinic - Margin and Growth Model: Assumptions</t>
  </si>
  <si>
    <t xml:space="preserve">Blue cells are the only inputs. Six scenario columns drive the six Model_ sheets. Columns G, H and I each equal Baseline on every driver except the ones shown in bold: G removes the brand partnership, H moves only the audience drivers to their Conservative values, and I moves only the churn drivers. G measures what the partnership contributes; H and I test whether any single factor can sink the business on its own. Yellow fill marks high-sensitivity drivers. Prepared 2026-09-18. Proposed concept: the brand partner's and the medical co-founder's participation is unverified and subject to definitive agreements. Not legal, medical, tax or investment advice.</t>
  </si>
  <si>
    <t xml:space="preserve">Key</t>
  </si>
  <si>
    <t xml:space="preserve">Driver</t>
  </si>
  <si>
    <t xml:space="preserve">Unit</t>
  </si>
  <si>
    <t xml:space="preserve">Conservative</t>
  </si>
  <si>
    <t xml:space="preserve">Baseline</t>
  </si>
  <si>
    <t xml:space="preserve">Aggressive</t>
  </si>
  <si>
    <t xml:space="preserve">Baseline, no partner</t>
  </si>
  <si>
    <t xml:space="preserve">Baseline, weak audience</t>
  </si>
  <si>
    <t xml:space="preserve">Baseline, weak retention</t>
  </si>
  <si>
    <t xml:space="preserve">Rationale / source</t>
  </si>
  <si>
    <t xml:space="preserve">Confidence</t>
  </si>
  <si>
    <t xml:space="preserve">Sensitivity</t>
  </si>
  <si>
    <t xml:space="preserve">Validation method</t>
  </si>
  <si>
    <t xml:space="preserve">Timing and sequencing</t>
  </si>
  <si>
    <t xml:space="preserve">nonrx_launch</t>
  </si>
  <si>
    <t xml:space="preserve">Non-prescription line goes live (model month)</t>
  </si>
  <si>
    <t xml:space="preserve">month</t>
  </si>
  <si>
    <t xml:space="preserve">Supplement line needs only manufacturing, label/claims review and a storefront. Conservative allows one month of slippage on label review.</t>
  </si>
  <si>
    <t xml:space="preserve">High</t>
  </si>
  <si>
    <t xml:space="preserve">Medium</t>
  </si>
  <si>
    <t xml:space="preserve">Phase exit checklist</t>
  </si>
  <si>
    <t xml:space="preserve">rx_launch</t>
  </si>
  <si>
    <t xml:space="preserve">Prescription telehealth line goes live (model month)</t>
  </si>
  <si>
    <t xml:space="preserve">Requires the provider agreement, physician entity, pharmacy contracts, LegitScript certification and a state-by-state licensure map. Benchmark B10, B11.</t>
  </si>
  <si>
    <t xml:space="preserve">Counsel and provider go-live sign-off</t>
  </si>
  <si>
    <t xml:space="preserve">Audience engine (the proposed brand partner's reach)</t>
  </si>
  <si>
    <t xml:space="preserve">followers</t>
  </si>
  <si>
    <t xml:space="preserve">Proposed brand partner Instagram followers</t>
  </si>
  <si>
    <t xml:space="preserve">#</t>
  </si>
  <si>
    <t xml:space="preserve">Third-party trackers report 27,410,219 as of June 2026 (range 27.0M-28.3M). Benchmark B16. Held constant across scenarios because it is measured, not chosen. NOT an audited or first-party figure.</t>
  </si>
  <si>
    <t xml:space="preserve">First-party creator analytics export</t>
  </si>
  <si>
    <t xml:space="preserve">posts_per_month</t>
  </si>
  <si>
    <t xml:space="preserve">Brand posts per month by the partner (feed plus reels)</t>
  </si>
  <si>
    <t xml:space="preserve">A contract deliverable, not a market variable. Set to whatever the agreement actually obliges.</t>
  </si>
  <si>
    <t xml:space="preserve">n/a</t>
  </si>
  <si>
    <t xml:space="preserve">Signed content schedule</t>
  </si>
  <si>
    <t xml:space="preserve">reach_pct</t>
  </si>
  <si>
    <t xml:space="preserve">Reach per brand post as a share of followers</t>
  </si>
  <si>
    <t xml:space="preserve">%</t>
  </si>
  <si>
    <t xml:space="preserve">Analyst assumption bounded by benchmark B15: the 10M-plus tier averages ~1.77% ENGAGEMENT; reach exceeds engagement but organic reach at this tier is heavily throttled and branded content more so. Reels reach higher than static.</t>
  </si>
  <si>
    <t xml:space="preserve">Low</t>
  </si>
  <si>
    <t xml:space="preserve">Creator-account reach data, first 60 days</t>
  </si>
  <si>
    <t xml:space="preserve">ctr_reach</t>
  </si>
  <si>
    <t xml:space="preserve">Click-through to site per reached impression</t>
  </si>
  <si>
    <t xml:space="preserve">Analyst assumption. No tier-level link-click benchmark was retrievable (benchmark B15 notes this gap). This is the single least-evidenced driver in the model.</t>
  </si>
  <si>
    <t xml:space="preserve">UTM-tagged link data, first 30 days</t>
  </si>
  <si>
    <t xml:space="preserve">attn_decay</t>
  </si>
  <si>
    <t xml:space="preserve">Monthly decay of partner-driven traffic toward a floor</t>
  </si>
  <si>
    <t xml:space="preserve">Analyst assumption. Celebrity launch demand spikes then settles; benchmark B14 notes IM8's founders deliberately did not rely on fame for durability.</t>
  </si>
  <si>
    <t xml:space="preserve">Cohort traffic by source, monthly</t>
  </si>
  <si>
    <t xml:space="preserve">attn_floor</t>
  </si>
  <si>
    <t xml:space="preserve">Floor for partner-driven traffic as a share of the launch peak</t>
  </si>
  <si>
    <t xml:space="preserve">Analyst assumption. Represents the durable follower demand that persists after novelty.</t>
  </si>
  <si>
    <t xml:space="preserve">launch_spike</t>
  </si>
  <si>
    <t xml:space="preserve">Launch-month multiplier on partner-driven traffic</t>
  </si>
  <si>
    <t xml:space="preserve">x</t>
  </si>
  <si>
    <t xml:space="preserve">Announcement window concentrates attention. Analyst assumption.</t>
  </si>
  <si>
    <t xml:space="preserve">Launch-week analytics</t>
  </si>
  <si>
    <t xml:space="preserve">Other traffic</t>
  </si>
  <si>
    <t xml:space="preserve">organic_m1</t>
  </si>
  <si>
    <t xml:space="preserve">Organic and direct sessions, month 1</t>
  </si>
  <si>
    <t xml:space="preserve">sessions</t>
  </si>
  <si>
    <t xml:space="preserve">New domain with an editorial library. Analyst assumption.</t>
  </si>
  <si>
    <t xml:space="preserve">GA4 after month 1</t>
  </si>
  <si>
    <t xml:space="preserve">organic_growth</t>
  </si>
  <si>
    <t xml:space="preserve">Organic monthly growth rate</t>
  </si>
  <si>
    <t xml:space="preserve">Content-led SEO compounding from a small base. Analyst inference.</t>
  </si>
  <si>
    <t xml:space="preserve">Search Console trend</t>
  </si>
  <si>
    <t xml:space="preserve">organic_cap</t>
  </si>
  <si>
    <t xml:space="preserve">Organic and direct sessions ceiling</t>
  </si>
  <si>
    <t xml:space="preserve">Caps compounding; category search demand is finite. Analyst inference.</t>
  </si>
  <si>
    <t xml:space="preserve">Search Console</t>
  </si>
  <si>
    <t xml:space="preserve">paid_pre</t>
  </si>
  <si>
    <t xml:space="preserve">Paid media per month before the non-Rx launch</t>
  </si>
  <si>
    <t xml:space="preserve">$</t>
  </si>
  <si>
    <t xml:space="preserve">Waitlist and audience building only.</t>
  </si>
  <si>
    <t xml:space="preserve">Budget actuals</t>
  </si>
  <si>
    <t xml:space="preserve">paid_floor</t>
  </si>
  <si>
    <t xml:space="preserve">Minimum paid media per month after launch</t>
  </si>
  <si>
    <t xml:space="preserve">Keeps a spend floor while revenue is small.</t>
  </si>
  <si>
    <t xml:space="preserve">paid_pct</t>
  </si>
  <si>
    <t xml:space="preserve">Paid media as a share of prior-month net revenue</t>
  </si>
  <si>
    <t xml:space="preserve">Benchmark B02: the closest listed telehealth comparable ran marketing at 35-40% of revenue. A celebrity-led brand should sit WELL below that, because the point of the partnership is that owned audience substitutes for bought audience; if this driver has to rise toward 35% the partnership is not working. Prior-month basis avoids a circular reference.</t>
  </si>
  <si>
    <t xml:space="preserve">Monthly payback review</t>
  </si>
  <si>
    <t xml:space="preserve">launch_push</t>
  </si>
  <si>
    <t xml:space="preserve">One-time launch marketing and PR, non-Rx launch month</t>
  </si>
  <si>
    <t xml:space="preserve">Announcement window spend. Deliberately modest: the point of a founder with a large audience is that the launch does not have to be bought. A brand spending heavily here is paying twice for the same attention.</t>
  </si>
  <si>
    <t xml:space="preserve">Agency scopes</t>
  </si>
  <si>
    <t xml:space="preserve">paid_cap</t>
  </si>
  <si>
    <t xml:space="preserve">Maximum paid media per month</t>
  </si>
  <si>
    <t xml:space="preserve">A budget ceiling and a backstop. Diminishing returns and the fulfilment capacity ramp now do most of the work of bounding growth, so this is set high enough that the percent-of-revenue rule governs rather than the cap. At the Aggressive ceiling it is roughly 27% of revenue at scale, in line with benchmark B02.</t>
  </si>
  <si>
    <t xml:space="preserve">Board-approved budget</t>
  </si>
  <si>
    <t xml:space="preserve">paid_elast</t>
  </si>
  <si>
    <t xml:space="preserve">Paid response elasticity (sessions per marginal dollar)</t>
  </si>
  <si>
    <t xml:space="preserve">Diminishing returns on the cold prospecting tier. Sessions scale as (spend / reference spend) raised to this power, so at ten times the reference the effective cost per session rises about 1.8x at 0.74. Below 1.0 is the whole point: auction competition and audience exhaustion mean the second million never buys what the first did. Analyst assumption, standard media-mix practice.</t>
  </si>
  <si>
    <t xml:space="preserve">Marginal CAC by spend decile</t>
  </si>
  <si>
    <t xml:space="preserve">Targeted paid media, tier 1: branded and intent search (harvests demand the partner creates)</t>
  </si>
  <si>
    <t xml:space="preserve">bsearch_per_reach</t>
  </si>
  <si>
    <t xml:space="preserve">Branded searches generated per reached impression</t>
  </si>
  <si>
    <t xml:space="preserve">Each brand post sends some viewers to a search engine rather than to the link. Analyst assumption; no tier-level benchmark was retrievable. This is the mechanism by which celebrity promotion creates cheap paid inventory rather than just free traffic.</t>
  </si>
  <si>
    <t xml:space="preserve">Branded-query volume in Search Console and Google Ads</t>
  </si>
  <si>
    <t xml:space="preserve">bsearch_organic_factor</t>
  </si>
  <si>
    <t xml:space="preserve">Branded and intent searches per organic session</t>
  </si>
  <si>
    <t xml:space="preserve">Baseline brand-name and category-intent search that exists independently of the partner. Analyst assumption.</t>
  </si>
  <si>
    <t xml:space="preserve">bsearch_capture</t>
  </si>
  <si>
    <t xml:space="preserve">Share of available branded and intent search bought</t>
  </si>
  <si>
    <t xml:space="preserve">You cannot buy every query, and you should not: some arrive free through organic listings. Analyst assumption.</t>
  </si>
  <si>
    <t xml:space="preserve">Impression share in Google Ads</t>
  </si>
  <si>
    <t xml:space="preserve">cps_search</t>
  </si>
  <si>
    <t xml:space="preserve">Cost per session, branded and intent search</t>
  </si>
  <si>
    <t xml:space="preserve">Branded queries are the cheapest paid inventory a brand owns because it faces little auction competition on its own name. Analyst assumption anchored to health-category CPC proxies.</t>
  </si>
  <si>
    <t xml:space="preserve">Google Ads cost per click</t>
  </si>
  <si>
    <t xml:space="preserve">conv_mult_search</t>
  </si>
  <si>
    <t xml:space="preserve">Conversion multiplier, branded and intent search</t>
  </si>
  <si>
    <t xml:space="preserve">High-intent traffic converts well above the site average. Analyst assumption; no branded-search multiplier benchmark was retrievable (B19 notes the gap).</t>
  </si>
  <si>
    <t xml:space="preserve">Conversion rate by channel</t>
  </si>
  <si>
    <t xml:space="preserve">search_increment</t>
  </si>
  <si>
    <t xml:space="preserve">Share of branded-search conversions that are incremental</t>
  </si>
  <si>
    <t xml:space="preserve">THE HONEST HAIRCUT. Paying for a query you would rank for organically buys a click you already had. Benchmark B19 makes the same point about retargeting. Without this factor the model would double-count the partner's organic traffic and the paid search that harvests it.</t>
  </si>
  <si>
    <t xml:space="preserve">Paid-search holdout or geo test</t>
  </si>
  <si>
    <t xml:space="preserve">Targeted paid media, tier 2: retargeting site visitors and the partner's engagers</t>
  </si>
  <si>
    <t xml:space="preserve">retarget_pool_sessions</t>
  </si>
  <si>
    <t xml:space="preserve">Share of prior-month sessions addressable for retargeting</t>
  </si>
  <si>
    <t xml:space="preserve">Cookie and consent loss, app-tracking opt-outs and platform matching all shrink the pool. Analyst assumption.</t>
  </si>
  <si>
    <t xml:space="preserve">Custom-audience sizes in the ad platforms</t>
  </si>
  <si>
    <t xml:space="preserve">retarget_pool_engagers</t>
  </si>
  <si>
    <t xml:space="preserve">Partner-post engagers addressable per reached impression</t>
  </si>
  <si>
    <t xml:space="preserve">People who engaged with a brand post can be retargeted from the platform's engagement audience. This is the second mechanism by which the partnership creates cheap, warm ad inventory. Analyst assumption bounded by benchmark B15: the 10M-plus tier averages about 1.77% engagement.</t>
  </si>
  <si>
    <t xml:space="preserve">Engagement-audience size in Meta</t>
  </si>
  <si>
    <t xml:space="preserve">retarget_freq</t>
  </si>
  <si>
    <t xml:space="preserve">Sessions bought per addressable pool member per month</t>
  </si>
  <si>
    <t xml:space="preserve">How hard the warm pool is worked before fatigue. Analyst assumption.</t>
  </si>
  <si>
    <t xml:space="preserve">Frequency and pool-decay reports</t>
  </si>
  <si>
    <t xml:space="preserve">cps_retarget</t>
  </si>
  <si>
    <t xml:space="preserve">Cost per session, retargeting</t>
  </si>
  <si>
    <t xml:space="preserve">Warm audiences cost less per click than cold. Benchmark B19: retargeting CPA runs 40-70% below cold acquisition.</t>
  </si>
  <si>
    <t xml:space="preserve">Ad platform reports</t>
  </si>
  <si>
    <t xml:space="preserve">conv_mult_retarget</t>
  </si>
  <si>
    <t xml:space="preserve">Conversion multiplier, retargeting</t>
  </si>
  <si>
    <t xml:space="preserve">Benchmark B19: retargeting ROAS averages about 4.2x against 1.5-3x for cold prospecting, roughly 71% higher.</t>
  </si>
  <si>
    <t xml:space="preserve">retarget_increment</t>
  </si>
  <si>
    <t xml:space="preserve">Share of retargeting conversions that are incremental</t>
  </si>
  <si>
    <t xml:space="preserve">THE SECOND HONEST HAIRCUT, and the one most often ignored. Benchmark B19: holdout tests show true incremental lift of 25-30%, meaning up to 75% of retargeting conversions would have happened anyway. Retargeting mostly harvests demand that the partner's organic posts and the prospecting tier already created.</t>
  </si>
  <si>
    <t xml:space="preserve">Retargeting holdout test, month 2 onward</t>
  </si>
  <si>
    <t xml:space="preserve">Targeted paid media, tier 3: cold prospecting with partner creative</t>
  </si>
  <si>
    <t xml:space="preserve">cps_prospect</t>
  </si>
  <si>
    <t xml:space="preserve">Cost per session, cold prospecting, generic creative</t>
  </si>
  <si>
    <t xml:space="preserve">Health and wellness CPC proxies; restricted-category ad review raises cost. LegitScript certification is a precondition for scaled healthcare advertising (benchmark B10). Instagram feed ad click-through commonly 0.22-0.88% (B20).</t>
  </si>
  <si>
    <t xml:space="preserve">creative_disc</t>
  </si>
  <si>
    <t xml:space="preserve">Cost-per-session discount from partner creative</t>
  </si>
  <si>
    <t xml:space="preserve">A recognisable face and partner-voiced video should raise click-through and so lower cost per session. NO celebrity-specific benchmark was retrievable; the supporting evidence is only general (video creative 30-50% higher click-through, faces in visuals recommended) per B20. Treat as an analyst assumption, and note that using the partner's likeness in PAID media needs broader licensing than organic posting and faces additional health-category ad review.</t>
  </si>
  <si>
    <t xml:space="preserve">Creative A/B test with and without the partner, month 1</t>
  </si>
  <si>
    <t xml:space="preserve">conv_mult_prospect</t>
  </si>
  <si>
    <t xml:space="preserve">Conversion multiplier, cold prospecting</t>
  </si>
  <si>
    <t xml:space="preserve">The reference tier. Held at 1.0 by definition so the other multipliers are read relative to cold traffic.</t>
  </si>
  <si>
    <t xml:space="preserve">conv_mult_partner_organic</t>
  </si>
  <si>
    <t xml:space="preserve">Conversion multiplier, the partner's own organic traffic</t>
  </si>
  <si>
    <t xml:space="preserve">Followers arriving from a brand post are warmer than cold prospects but colder than someone searching the brand by name. Analyst assumption.</t>
  </si>
  <si>
    <t xml:space="preserve">rx_celeb_factor</t>
  </si>
  <si>
    <t xml:space="preserve">Prescription-intent factor on partner-driven and cold-prospecting traffic</t>
  </si>
  <si>
    <t xml:space="preserve">A follower who clicks a supplement post is much less likely to start a prescription consult than someone who searched for peptide therapy. The partner also cannot promote compounded prescription products, so prescription intent has to come from search, organic content and on-site cross-sell rather than from partner creative. Analyst assumption.</t>
  </si>
  <si>
    <t xml:space="preserve">Quiz-start rate by traffic source</t>
  </si>
  <si>
    <t xml:space="preserve">Non-prescription line: funnel and pricing</t>
  </si>
  <si>
    <t xml:space="preserve">cap_m1</t>
  </si>
  <si>
    <t xml:space="preserve">Orders the supply chain can ship in the first live month</t>
  </si>
  <si>
    <t xml:space="preserve">Manufacturing minimum order quantities, batch lead times, label print runs and 3PL onboarding all gate the first months. Demand above this ceiling is treated as LOST, not backlogged, which is the conservative treatment. Analyst assumption; replace with the contract manufacturer's actual run schedule.</t>
  </si>
  <si>
    <t xml:space="preserve">Manufacturer run schedule and 3PL onboarding plan</t>
  </si>
  <si>
    <t xml:space="preserve">cap_growth</t>
  </si>
  <si>
    <t xml:space="preserve">Monthly growth in shippable capacity</t>
  </si>
  <si>
    <t xml:space="preserve">How fast production and fulfilment can be scaled. Binds hard in the first year of the Aggressive case and stops binding thereafter. Analyst assumption.</t>
  </si>
  <si>
    <t xml:space="preserve">Purchase-order lead times</t>
  </si>
  <si>
    <t xml:space="preserve">shop_conv</t>
  </si>
  <si>
    <t xml:space="preserve">Order conversion rate, all sessions</t>
  </si>
  <si>
    <t xml:space="preserve">DTC supplement conversion commonly 0.5-1.5%; a warm follower audience should sit at the top of or above that band, but benchmark B15 warns mega-tier audiences convert worse than their reach implies.</t>
  </si>
  <si>
    <t xml:space="preserve">Shopify analytics</t>
  </si>
  <si>
    <t xml:space="preserve">nonrx_aov</t>
  </si>
  <si>
    <t xml:space="preserve">Average order value</t>
  </si>
  <si>
    <t xml:space="preserve">Above the $30-65 monthly band in benchmark B06, reflecting a premium multi-product basket. Requires validation.</t>
  </si>
  <si>
    <t xml:space="preserve">sub_attach</t>
  </si>
  <si>
    <t xml:space="preserve">Share of new customers taking a subscription</t>
  </si>
  <si>
    <t xml:space="preserve">Subscribe-and-save attach on consumables. Analyst assumption.</t>
  </si>
  <si>
    <t xml:space="preserve">Subscription app data</t>
  </si>
  <si>
    <t xml:space="preserve">sub_churn</t>
  </si>
  <si>
    <t xml:space="preserve">Monthly subscription churn</t>
  </si>
  <si>
    <t xml:space="preserve">Benchmark B05: 4-7% monthly well run, 8-12% category average, 12-20% churning in month one alone.</t>
  </si>
  <si>
    <t xml:space="preserve">Cohort analysis</t>
  </si>
  <si>
    <t xml:space="preserve">onetime_repeat</t>
  </si>
  <si>
    <t xml:space="preserve">Monthly reorder rate of one-time buyers</t>
  </si>
  <si>
    <t xml:space="preserve">Approximation: applied to the prior month's one-time cohort only, which understates a long tail and is deliberately conservative.</t>
  </si>
  <si>
    <t xml:space="preserve">Non-prescription line: cost of revenue</t>
  </si>
  <si>
    <t xml:space="preserve">nonrx_cogs_pct</t>
  </si>
  <si>
    <t xml:space="preserve">Landed product COGS as a share of retail</t>
  </si>
  <si>
    <t xml:space="preserve">Benchmark B03: landed COGS 20-30% of retail for DTC supplements, giving 70-80% product gross margin.</t>
  </si>
  <si>
    <t xml:space="preserve">Contract manufacturer quotes</t>
  </si>
  <si>
    <t xml:space="preserve">nonrx_fulfil</t>
  </si>
  <si>
    <t xml:space="preserve">Pick, pack and ship per order (ambient)</t>
  </si>
  <si>
    <t xml:space="preserve">3PL pick-pack plus domestic parcel. Ambient, not cold chain.</t>
  </si>
  <si>
    <t xml:space="preserve">3PL quotes</t>
  </si>
  <si>
    <t xml:space="preserve">Prescription line: funnel</t>
  </si>
  <si>
    <t xml:space="preserve">rx_intent</t>
  </si>
  <si>
    <t xml:space="preserve">Eligibility-quiz start rate, all sessions</t>
  </si>
  <si>
    <t xml:space="preserve">Analyst assumption. Prescription intent is a small slice of brand traffic.</t>
  </si>
  <si>
    <t xml:space="preserve">Analytics</t>
  </si>
  <si>
    <t xml:space="preserve">quiz_complete</t>
  </si>
  <si>
    <t xml:space="preserve">Quiz completion rate</t>
  </si>
  <si>
    <t xml:space="preserve">One-question-per-screen intake typically 55-75%.</t>
  </si>
  <si>
    <t xml:space="preserve">eligible_rate</t>
  </si>
  <si>
    <t xml:space="preserve">Share of completions with a clinically eligible outcome</t>
  </si>
  <si>
    <t xml:space="preserve">Red-flag screening removes a material share. Never a target; a safety control.</t>
  </si>
  <si>
    <t xml:space="preserve">Medical director audit</t>
  </si>
  <si>
    <t xml:space="preserve">state_cov_launch</t>
  </si>
  <si>
    <t xml:space="preserve">US population covered by served states at Rx launch</t>
  </si>
  <si>
    <t xml:space="preserve">Licensure, asynchronous-prescribing rules and corporate-practice-of-medicine limits gate this. Fifty-state prescription coverage is NOT available on day one.</t>
  </si>
  <si>
    <t xml:space="preserve">State readiness tracker</t>
  </si>
  <si>
    <t xml:space="preserve">state_cov_step</t>
  </si>
  <si>
    <t xml:space="preserve">Monthly increase in covered population</t>
  </si>
  <si>
    <t xml:space="preserve">Tranche-based state expansion.</t>
  </si>
  <si>
    <t xml:space="preserve">state_cov_cap</t>
  </si>
  <si>
    <t xml:space="preserve">Maximum covered population</t>
  </si>
  <si>
    <t xml:space="preserve">Some states stay excluded on asynchronous or CPOM grounds.</t>
  </si>
  <si>
    <t xml:space="preserve">Counsel memo</t>
  </si>
  <si>
    <t xml:space="preserve">intake_submit</t>
  </si>
  <si>
    <t xml:space="preserve">Intake submission rate, eligible to intake</t>
  </si>
  <si>
    <t xml:space="preserve">Identity verification and consent friction.</t>
  </si>
  <si>
    <t xml:space="preserve">consult_complete</t>
  </si>
  <si>
    <t xml:space="preserve">Consult completion rate</t>
  </si>
  <si>
    <t xml:space="preserve">Asynchronous review completes above video.</t>
  </si>
  <si>
    <t xml:space="preserve">EHR data</t>
  </si>
  <si>
    <t xml:space="preserve">rx_rate</t>
  </si>
  <si>
    <t xml:space="preserve">Clinician prescribing rate</t>
  </si>
  <si>
    <t xml:space="preserve">A clinical decision, never a target. Observed telehealth ranges 50-70%. Monitored solely for safety and for evidence of undue influence.</t>
  </si>
  <si>
    <t xml:space="preserve">Independent medical audit</t>
  </si>
  <si>
    <t xml:space="preserve">enroll_rate</t>
  </si>
  <si>
    <t xml:space="preserve">Paid enrolment rate after a prescription is issued</t>
  </si>
  <si>
    <t xml:space="preserve">Price friction at the plan step; all-in pricing shown before intake improves this.</t>
  </si>
  <si>
    <t xml:space="preserve">rx_churn</t>
  </si>
  <si>
    <t xml:space="preserve">Monthly churn, prescription programmes</t>
  </si>
  <si>
    <t xml:space="preserve">Benchmark B17: ~65% discontinuation within 12 months in the comparable telehealth population, 84.4% by 24 months. THE most damaging driver if wrong.</t>
  </si>
  <si>
    <t xml:space="preserve">Cohort analysis, monthly</t>
  </si>
  <si>
    <t xml:space="preserve">Prescription line: pricing</t>
  </si>
  <si>
    <t xml:space="preserve">rx_price</t>
  </si>
  <si>
    <t xml:space="preserve">Programme price per member-month, blended</t>
  </si>
  <si>
    <t xml:space="preserve">Benchmark B07: sermorelin $96-199 telehealth, tissue protocols $100-300, stacks $80-180, combinations $350-600.</t>
  </si>
  <si>
    <t xml:space="preserve">Van Westendorp plus live price tests</t>
  </si>
  <si>
    <t xml:space="preserve">consult_fee</t>
  </si>
  <si>
    <t xml:space="preserve">Consultation fee charged at intake</t>
  </si>
  <si>
    <t xml:space="preserve">Benchmark B08: asynchronous visits price at $15-40 commonly, up to $60 for longer reviews. Charged whether or not a prescription follows; refunded if screened ineligible.</t>
  </si>
  <si>
    <t xml:space="preserve">Pricing test</t>
  </si>
  <si>
    <t xml:space="preserve">Prescription line: cost of revenue</t>
  </si>
  <si>
    <t xml:space="preserve">pharm_cost</t>
  </si>
  <si>
    <t xml:space="preserve">Pharmacy medication cost per member-month</t>
  </si>
  <si>
    <t xml:space="preserve">503A compounded peptide cost to a telehealth sponsor, volume-tiered. Not independently verified; obtain a written tiered schedule.</t>
  </si>
  <si>
    <t xml:space="preserve">Pharmacy contract schedule</t>
  </si>
  <si>
    <t xml:space="preserve">consult_cost</t>
  </si>
  <si>
    <t xml:space="preserve">Clinician cost per completed consult</t>
  </si>
  <si>
    <t xml:space="preserve">Benchmark B08 cites provider time around $30 per programme plus platform and support. One-time at enrolment.</t>
  </si>
  <si>
    <t xml:space="preserve">Provider network contract</t>
  </si>
  <si>
    <t xml:space="preserve">refill_cost</t>
  </si>
  <si>
    <t xml:space="preserve">Clinician cost per active member-month (monitoring and refill review)</t>
  </si>
  <si>
    <t xml:space="preserve">Recurring clinical review. Must be paid per unit of clinical work, never as a share of revenue.</t>
  </si>
  <si>
    <t xml:space="preserve">coldchain_ship</t>
  </si>
  <si>
    <t xml:space="preserve">Cold-chain fulfilment and shipping per fill</t>
  </si>
  <si>
    <t xml:space="preserve">Benchmark B09: $1.95 base pack rate plus cold storage, insulated mailers, gel packs and a 2-day temperature-controlled lane. The pack rate alone is NOT the landed cost.</t>
  </si>
  <si>
    <t xml:space="preserve">Pharmacy and carrier quotes</t>
  </si>
  <si>
    <t xml:space="preserve">rx_support</t>
  </si>
  <si>
    <t xml:space="preserve">Non-clinical support cost per active member-month</t>
  </si>
  <si>
    <t xml:space="preserve">Tooling plus staffed support per member.</t>
  </si>
  <si>
    <t xml:space="preserve">Support actuals</t>
  </si>
  <si>
    <t xml:space="preserve">Shared cost of revenue</t>
  </si>
  <si>
    <t xml:space="preserve">pay_fee</t>
  </si>
  <si>
    <t xml:space="preserve">Payment processing</t>
  </si>
  <si>
    <t xml:space="preserve">Card fees 2.7-3.2%. Healthcare and supplement merchants are frequently underwritten as elevated risk, which raises the rate and makes LegitScript certification close to a prerequisite (benchmark B10).</t>
  </si>
  <si>
    <t xml:space="preserve">Processor statements</t>
  </si>
  <si>
    <t xml:space="preserve">refund_pct</t>
  </si>
  <si>
    <t xml:space="preserve">Refunds and chargebacks</t>
  </si>
  <si>
    <t xml:space="preserve">2-5% typical. Auto-renewal programmes attract chargebacks; ROSCA-compliant cancellation reduces them.</t>
  </si>
  <si>
    <t xml:space="preserve">Finance actuals</t>
  </si>
  <si>
    <t xml:space="preserve">Operating expenses</t>
  </si>
  <si>
    <t xml:space="preserve">provider_fee</t>
  </si>
  <si>
    <t xml:space="preserve">Turnkey compliance and fulfilment provider, flat fee</t>
  </si>
  <si>
    <t xml:space="preserve">As specified by the project owner. Modelled as a PLATFORM fee only. Published market pricing for comparable turnkey telehealth infrastructure is $3,000-6,000/month plus $5,000-10,000 onboarding plus per-consult fees (benchmark B11), so a $600 fee is very unlikely to absorb medication, per-consult, cold-chain or processing costs. Those are carried separately above. See the Provider_Diligence sheet.</t>
  </si>
  <si>
    <t xml:space="preserve">Executed agreement and fee schedule</t>
  </si>
  <si>
    <t xml:space="preserve">cert_cost</t>
  </si>
  <si>
    <t xml:space="preserve">Certification and registrations per month</t>
  </si>
  <si>
    <t xml:space="preserve">Benchmark B10: ~$3,125 year one and ~$2,150/yr thereafter per site for LegitScript, plus state registrations and renewals; amortised monthly.</t>
  </si>
  <si>
    <t xml:space="preserve">Live fee schedule</t>
  </si>
  <si>
    <t xml:space="preserve">team_pre</t>
  </si>
  <si>
    <t xml:space="preserve">Team per month before the non-Rx launch</t>
  </si>
  <si>
    <t xml:space="preserve">Founder or GM plus fractional operations and contract creative. Small because the provider carries clinical and fulfilment operations. The Conservative column is deliberately a LEAN operator, not a normal operator with weak demand, so that the Conservative outcome reflects demand risk rather than an arbitrary spending choice.</t>
  </si>
  <si>
    <t xml:space="preserve">Hiring plan</t>
  </si>
  <si>
    <t xml:space="preserve">team_p1</t>
  </si>
  <si>
    <t xml:space="preserve">Team per month, non-Rx launch through month 12</t>
  </si>
  <si>
    <t xml:space="preserve">A founder or general manager, one capable performance-media buyer, and part-time support. Deliberately small: the provider carries clinical operations, fulfilment and compliance administration, and the brand partner supplies much of the creative. A team larger than this is rebuilding in-house what the $600 fee already covers.</t>
  </si>
  <si>
    <t xml:space="preserve">team_p2</t>
  </si>
  <si>
    <t xml:space="preserve">Team per month, months 13-24</t>
  </si>
  <si>
    <t xml:space="preserve">Scales with order volume and state count, but stays small relative to revenue because the provider carries clinical operations and fulfilment. A brand at this revenue running team above roughly 15% of net revenue has rebuilt in-house what it is already paying the provider for.</t>
  </si>
  <si>
    <t xml:space="preserve">team_p3</t>
  </si>
  <si>
    <t xml:space="preserve">Team per month, months 25-36</t>
  </si>
  <si>
    <t xml:space="preserve">team_pct_floor</t>
  </si>
  <si>
    <t xml:space="preserve">Team cost floor as a share of net revenue</t>
  </si>
  <si>
    <t xml:space="preserve">Flat headcount steps are the classic way a model overstates profitability at scale: a brand doing tens of millions a month cannot be run by the team that ran it at one million. Team cost is therefore the GREATER of the step above and this share of revenue. It does not bind at Conservative or Baseline volumes; it binds hard in the Aggressive case, which is the point.</t>
  </si>
  <si>
    <t xml:space="preserve">Headcount plan against revenue per employee</t>
  </si>
  <si>
    <t xml:space="preserve">creative_pct_floor</t>
  </si>
  <si>
    <t xml:space="preserve">Creative and content floor as a share of net revenue</t>
  </si>
  <si>
    <t xml:space="preserve">Same correction applied to production. Creative volume has to grow with spend or the ads fatigue; 2-3% of revenue is a modest allowance for a brand whose whole acquisition model is creative-led.</t>
  </si>
  <si>
    <t xml:space="preserve">Agency scopes against spend</t>
  </si>
  <si>
    <t xml:space="preserve">tech_pct_floor</t>
  </si>
  <si>
    <t xml:space="preserve">Technology floor as a share of net revenue</t>
  </si>
  <si>
    <t xml:space="preserve">Storefront, subscription, support, data and consent tooling all price on volume. Flat SaaS line items stop being flat.</t>
  </si>
  <si>
    <t xml:space="preserve">Vendor invoices against order volume</t>
  </si>
  <si>
    <t xml:space="preserve">med_lead</t>
  </si>
  <si>
    <t xml:space="preserve">Medical director and clinical oversight per month</t>
  </si>
  <si>
    <t xml:space="preserve">Fractional medical director retainer. Compensation must never vary with prescription volume or revenue.</t>
  </si>
  <si>
    <t xml:space="preserve">Executed agreement</t>
  </si>
  <si>
    <t xml:space="preserve">tech</t>
  </si>
  <si>
    <t xml:space="preserve">Technology and software per month</t>
  </si>
  <si>
    <t xml:space="preserve">Storefront, subscription management, analytics, consent management, CRM, helpdesk. Separate from the provider fee.</t>
  </si>
  <si>
    <t xml:space="preserve">Vendor invoices</t>
  </si>
  <si>
    <t xml:space="preserve">legal_p0</t>
  </si>
  <si>
    <t xml:space="preserve">Legal and regulatory per month, months 1-3</t>
  </si>
  <si>
    <t xml:space="preserve">Entity structure and MSO or friendly-PC review, provider agreement review, formulary eligibility opinion, claims and label review, endorsement and disclosure protocol, trademark, privacy. Front-loaded deliberately.</t>
  </si>
  <si>
    <t xml:space="preserve">Counsel estimates</t>
  </si>
  <si>
    <t xml:space="preserve">legal_ongoing</t>
  </si>
  <si>
    <t xml:space="preserve">Legal and compliance per month thereafter</t>
  </si>
  <si>
    <t xml:space="preserve">Ongoing claims review, state expansion opinions, FDA list monitoring, contract maintenance.</t>
  </si>
  <si>
    <t xml:space="preserve">insurance</t>
  </si>
  <si>
    <t xml:space="preserve">Insurance per month from the non-Rx launch</t>
  </si>
  <si>
    <t xml:space="preserve">Product liability, professional, cyber and D&amp;O. A vendor contract does not transfer the brand's own liability.</t>
  </si>
  <si>
    <t xml:space="preserve">Broker quotes</t>
  </si>
  <si>
    <t xml:space="preserve">creative</t>
  </si>
  <si>
    <t xml:space="preserve">Creative, content and organic social per month</t>
  </si>
  <si>
    <t xml:space="preserve">Production the brand controls, distinct from paid media and from partner compensation. Materially lower than a comparable brand would spend, because a founder-partner posting several times a month supplies usable creative as a by-product. That saving is one of the concrete economic benefits of the partnership.</t>
  </si>
  <si>
    <t xml:space="preserve">Agency quotes</t>
  </si>
  <si>
    <t xml:space="preserve">Proposed brand-partner economics (hypothetical; no terms offered or accepted)</t>
  </si>
  <si>
    <t xml:space="preserve">partner_cash</t>
  </si>
  <si>
    <t xml:space="preserve">Partner cash retainer per month from the non-Rx launch</t>
  </si>
  <si>
    <t xml:space="preserve">Illustrative only. Structure, amount and mix are entirely unnegotiated. Conservative case models an equity-only deal with no cash retainer.</t>
  </si>
  <si>
    <t xml:space="preserve">Negotiation</t>
  </si>
  <si>
    <t xml:space="preserve">partner_royalty</t>
  </si>
  <si>
    <t xml:space="preserve">Partner royalty on net revenue</t>
  </si>
  <si>
    <t xml:space="preserve">Illustrative. Consumer-brand licensing royalties commonly 3-10%. Held flat across scenarios so the scenarios isolate business performance rather than deal terms.</t>
  </si>
  <si>
    <t xml:space="preserve">partner_equity</t>
  </si>
  <si>
    <t xml:space="preserve">Partner equity, fully diluted (reference only)</t>
  </si>
  <si>
    <t xml:space="preserve">Illustrative. Non-cash; shown on the Partner_Economics sheet for reference and NOT charged to EBITDA.</t>
  </si>
  <si>
    <t xml:space="preserve">Working capital</t>
  </si>
  <si>
    <t xml:space="preserve">inv_months</t>
  </si>
  <si>
    <t xml:space="preserve">Non-Rx inventory held, in months of COGS</t>
  </si>
  <si>
    <t xml:space="preserve">months</t>
  </si>
  <si>
    <t xml:space="preserve">Supplement manufacturing runs have long lead times and minimum order quantities, so inventory is the main working-capital draw. The Rx line carries no inventory; the pharmacy does.</t>
  </si>
  <si>
    <t xml:space="preserve">Purchase orders</t>
  </si>
  <si>
    <t xml:space="preserve">Reserve Clinic - Margin and Growth Summary</t>
  </si>
  <si>
    <t xml:space="preserve">All figures are model outputs, not forecasts. They follow arithmetically from the drivers on Assumptions. Read them as a band produced by a stated set of assumptions, each of which is listed with its confidence and its validation method. Proposed concept; partner participation unverified.</t>
  </si>
  <si>
    <t xml:space="preserve">Metric</t>
  </si>
  <si>
    <t xml:space="preserve">Baseline,
no partner</t>
  </si>
  <si>
    <t xml:space="preserve">Baseline,
weak audience</t>
  </si>
  <si>
    <t xml:space="preserve">Baseline,
weak retention</t>
  </si>
  <si>
    <t xml:space="preserve">Net revenue, year 1</t>
  </si>
  <si>
    <t xml:space="preserve">Net revenue, year 2</t>
  </si>
  <si>
    <t xml:space="preserve">Net revenue, year 3</t>
  </si>
  <si>
    <t xml:space="preserve">Net revenue, 36-month total</t>
  </si>
  <si>
    <t xml:space="preserve">Gross profit, year 3</t>
  </si>
  <si>
    <t xml:space="preserve">Blended gross margin, year 1</t>
  </si>
  <si>
    <t xml:space="preserve">Blended gross margin, year 3</t>
  </si>
  <si>
    <t xml:space="preserve">Non-Rx gross margin, year 3</t>
  </si>
  <si>
    <t xml:space="preserve">Rx gross margin, year 3</t>
  </si>
  <si>
    <t xml:space="preserve">EBITDA, year 1</t>
  </si>
  <si>
    <t xml:space="preserve">EBITDA, year 2</t>
  </si>
  <si>
    <t xml:space="preserve">EBITDA, year 3</t>
  </si>
  <si>
    <t xml:space="preserve">EBITDA margin, year 3</t>
  </si>
  <si>
    <t xml:space="preserve">EBITDA, 36-month total</t>
  </si>
  <si>
    <t xml:space="preserve">First EBITDA-positive month</t>
  </si>
  <si>
    <t xml:space="preserve">Peak cumulative cash deficit</t>
  </si>
  <si>
    <t xml:space="preserve">Capital required (deficit plus 30% buffer)</t>
  </si>
  <si>
    <t xml:space="preserve">Cumulative cash at month 36</t>
  </si>
  <si>
    <t xml:space="preserve">Active subscribers at month 36 (non-Rx)</t>
  </si>
  <si>
    <t xml:space="preserve">Active programme members at month 36 (Rx)</t>
  </si>
  <si>
    <t xml:space="preserve">Non-Rx share of year-3 net revenue</t>
  </si>
  <si>
    <t xml:space="preserve">Rx contribution per member-month</t>
  </si>
  <si>
    <t xml:space="preserve">Rx gross LTV</t>
  </si>
  <si>
    <t xml:space="preserve">Non-Rx contribution per order</t>
  </si>
  <si>
    <t xml:space="preserve">Non-Rx subscriber gross LTV</t>
  </si>
  <si>
    <t xml:space="preserve">Blended CAC, year 3 average</t>
  </si>
  <si>
    <t xml:space="preserve">Non-Rx LTV:CAC, year 3</t>
  </si>
  <si>
    <t xml:space="preserve">Unit economics: where the margin actually comes from</t>
  </si>
  <si>
    <t xml:space="preserve">Two separate businesses with very different shapes. The non-prescription line is a high-margin consumer product that can trade in all fifty states. The prescription line carries medication, clinician and cold-chain cost on every single fill, so its margin is structurally lower and its retention risk structurally higher.</t>
  </si>
  <si>
    <t xml:space="preserve">A. Non-prescription order (one shipment)</t>
  </si>
  <si>
    <t xml:space="preserve">Line item</t>
  </si>
  <si>
    <t xml:space="preserve">less refunds and chargebacks</t>
  </si>
  <si>
    <t xml:space="preserve">Net revenue per order</t>
  </si>
  <si>
    <t xml:space="preserve">less landed product COGS</t>
  </si>
  <si>
    <t xml:space="preserve">less pick, pack and ship</t>
  </si>
  <si>
    <t xml:space="preserve">less payment processing</t>
  </si>
  <si>
    <t xml:space="preserve">Contribution per order</t>
  </si>
  <si>
    <t xml:space="preserve">Contribution margin</t>
  </si>
  <si>
    <t xml:space="preserve">Implied subscriber life</t>
  </si>
  <si>
    <t xml:space="preserve">Subscriber gross LTV</t>
  </si>
  <si>
    <t xml:space="preserve">B. Prescription programme member (steady-state month)</t>
  </si>
  <si>
    <t xml:space="preserve">Programme price per member-month</t>
  </si>
  <si>
    <t xml:space="preserve">Net revenue per member-month</t>
  </si>
  <si>
    <t xml:space="preserve">less pharmacy medication cost</t>
  </si>
  <si>
    <t xml:space="preserve">less clinician monitoring and refill review</t>
  </si>
  <si>
    <t xml:space="preserve">less cold-chain fulfilment and shipping</t>
  </si>
  <si>
    <t xml:space="preserve">less non-clinical support</t>
  </si>
  <si>
    <t xml:space="preserve">Contribution per member-month</t>
  </si>
  <si>
    <t xml:space="preserve">Monthly churn</t>
  </si>
  <si>
    <t xml:space="preserve">Implied member life, months</t>
  </si>
  <si>
    <t xml:space="preserve">Member gross LTV</t>
  </si>
  <si>
    <t xml:space="preserve">C. Prescription enrolment (one-time, at intake)</t>
  </si>
  <si>
    <t xml:space="preserve">Consultation fee charged</t>
  </si>
  <si>
    <t xml:space="preserve">less clinician cost per completed consult</t>
  </si>
  <si>
    <t xml:space="preserve">Net on the consultation step</t>
  </si>
  <si>
    <t xml:space="preserve">Consults per enrolled member (1 / enrolment rate)</t>
  </si>
  <si>
    <t xml:space="preserve">Consultation-step cost carried per enrolled member</t>
  </si>
  <si>
    <t xml:space="preserve">D. What the flat $600/month provider fee changes, and what it does not</t>
  </si>
  <si>
    <t xml:space="preserve">The flat fee removes most FIXED operating cost from the model. It does not remove VARIABLE cost. Medication, per-consult clinician time, cold-chain shipping and card processing all scale with every order and every fill, and they are carried as separate drivers above.</t>
  </si>
  <si>
    <t xml:space="preserve">Published pricing for comparable turnkey telehealth infrastructure is $3,000-6,000 per month by tier, plus $5,000-10,000 onboarding, plus per-consult fees (benchmark B11). A $600 flat fee sits at roughly one fifth of the low end of that range.</t>
  </si>
  <si>
    <t xml:space="preserve">Read that two ways. Either the fee genuinely covers only software and compliance administration, which is the assumption used here and is the safe way to model it, or the scope is narrower than expected. Both readings lead to the same action: get the fee schedule in writing and confirm line by line what is and is not included.</t>
  </si>
  <si>
    <t xml:space="preserve">A vendor contract does not transfer the brand's own legal exposure. The brand remains responsible for its own advertising claims, its own endorsement disclosures, its own auto-renewal terms and its own privacy practices, whoever operates the platform.</t>
  </si>
  <si>
    <t xml:space="preserve">At $600 per month the provider has no economic stake in volume. That is good for margin and bad for alignment: nothing in the fee structure funds the provider's scaling, so capacity, turnaround time and service levels need to be contractual rather than assumed.</t>
  </si>
  <si>
    <t xml:space="preserve">Sensitivity: which assumptions actually decide the outcome</t>
  </si>
  <si>
    <t xml:space="preserve">Closed-form grids computed from the Baseline column of Assumptions, so they recalculate with the rest of the workbook rather than needing a what-if table. Change the Baseline inputs and these move.</t>
  </si>
  <si>
    <t xml:space="preserve">Grid 1. Prescription LTV:CAC by monthly churn and blended CAC</t>
  </si>
  <si>
    <t xml:space="preserve">Rx contribution per member-month (Baseline drivers)</t>
  </si>
  <si>
    <t xml:space="preserve">Below 3.0x the programme does not pay for its own acquisition. Cells at or above 3.0x are viable.</t>
  </si>
  <si>
    <t xml:space="preserve">Monthly churn \ CAC</t>
  </si>
  <si>
    <t xml:space="preserve">Baseline churn is 11.0%. Benchmark B17 puts real-world discontinuation near 65% at 12 months, which is roughly 8.4% monthly, and 84.4% at 24 months, roughly 7.4% monthly. Churn worse than about 15% monthly makes the prescription line unviable at any plausible CAC.</t>
  </si>
  <si>
    <t xml:space="preserve">Grid 2. Month-12 partner-driven sessions by reach per post and click-through</t>
  </si>
  <si>
    <t xml:space="preserve">These two drivers are the least evidenced in the model and they multiply, so the band they produce is wide by construction.</t>
  </si>
  <si>
    <t xml:space="preserve">Reach % \ CTR</t>
  </si>
  <si>
    <t xml:space="preserve">Grid 3. Year-3 blended gross margin by non-Rx COGS share and pharmacy cost per member-month</t>
  </si>
  <si>
    <t xml:space="preserve">Approximated at the Baseline year-3 revenue mix so the grid is readable. Non-Rx share of year-3 net revenue is taken from the Summary sheet.</t>
  </si>
  <si>
    <t xml:space="preserve">Non-Rx share of year-3 net revenue (Baseline)</t>
  </si>
  <si>
    <t xml:space="preserve">Non-Rx COGS % \ pharmacy $/mm</t>
  </si>
  <si>
    <t xml:space="preserve">Grid 4. Paid CAC by monthly spend, with and without the brand partner</t>
  </si>
  <si>
    <t xml:space="preserve">The like-for-like answer to whether the partnership buys a better CAC. Both columns use identical Baseline drivers, identical prices and identical conversion rates. They differ only in the audience conditions of month 24: partner impressions, and the warm pools those impressions create. Read down: CAC rises with spend in both cases, because of the auction. Read across: at every spend level the partner column is cheaper, and the gap is what the partnership is actually buying.</t>
  </si>
  <si>
    <t xml:space="preserve">Monthly paid spend</t>
  </si>
  <si>
    <t xml:space="preserve">Paid CAC, with partner</t>
  </si>
  <si>
    <t xml:space="preserve">Paid CAC, no partner</t>
  </si>
  <si>
    <t xml:space="preserve">CAC advantage</t>
  </si>
  <si>
    <t xml:space="preserve">Advantage %</t>
  </si>
  <si>
    <t xml:space="preserve">Note the shape. The advantage is largest at low spend, where the partner's cheap warm inventory is a big share of a small budget, and it narrows as budget grows and cold prospecting dominates. That is the correct reading of a celebrity partnership: it is a strong subsidy on the first tranche of spend, not a permanent discount on all of it.</t>
  </si>
  <si>
    <t xml:space="preserve">Proposed brand-partner economics - illustrative only</t>
  </si>
  <si>
    <t xml:space="preserve">No terms have been offered, negotiated or accepted. Nothing on this sheet is an offer. The structure below exists so the conversation can start from arithmetic instead of adjectives. The equity figures use an illustrative revenue multiple and are NOT a valuation; a valuation requires an actual process.</t>
  </si>
  <si>
    <t xml:space="preserve">Illustrative revenue multiple on year-3 net revenue</t>
  </si>
  <si>
    <t xml:space="preserve">Editable. DTC and telehealth multiples move with growth, margin and rate cycles; 2-5x net revenue is a commonly quoted range for profitable consumer health at scale. Not a valuation.</t>
  </si>
  <si>
    <t xml:space="preserve">Item</t>
  </si>
  <si>
    <t xml:space="preserve">Cash retainer over 36 months</t>
  </si>
  <si>
    <t xml:space="preserve">Royalty over 36 months</t>
  </si>
  <si>
    <t xml:space="preserve">Total cash to partner over 36 months</t>
  </si>
  <si>
    <t xml:space="preserve">Royalty in year 3 alone</t>
  </si>
  <si>
    <t xml:space="preserve">Partner equity, fully diluted</t>
  </si>
  <si>
    <t xml:space="preserve">Illustrative equity value at year-3 revenue multiple</t>
  </si>
  <si>
    <t xml:space="preserve">Total illustrative 36-month partner value</t>
  </si>
  <si>
    <t xml:space="preserve">Partner cash as a share of 36-month net revenue</t>
  </si>
  <si>
    <t xml:space="preserve">Constraints that shape any deal here</t>
  </si>
  <si>
    <t xml:space="preserve">The partner can promote the brand and the non-prescription line. The partner should not promote specific compounded prescription drugs. 503A compounders operate under advertising and promotion limits, prescription-drug advertising carries its own disclosure requirements, and celebrity promotion of a prescription product invites exactly the scrutiny a new brand cannot absorb. Separating what is promotable from what is prescribable is a design requirement, not a preference.</t>
  </si>
  <si>
    <t xml:space="preserve">Every paid or equity-holding endorsement needs a clear and conspicuous disclosure of the material connection, on every post and in every format, under the FTC Endorsement Guides. A founder's equity stake is a material connection. Earlier research in this project found the proposed partner named on the FTC's September 2017 list of influencers sent warning letters about undisclosed endorsements, which makes disclosure discipline a specific and personal risk here rather than a generic one.</t>
  </si>
  <si>
    <t xml:space="preserve">Compensation to the medical entity and to clinicians must never vary with prescription volume, programme enrolments or revenue. Partner compensation may be tied to revenue; clinical compensation may not. Keeping those two facts in separate contracts is the point of the structure.</t>
  </si>
  <si>
    <t xml:space="preserve">A prior or concurrent promotion of a competing weight-management or GLP-1 product may create a category-exclusivity conflict. Earlier research in this project flagged a possible prior GLP-1-adjacent promotion; brand and paid status were not verified. Resolve it in diligence before any announcement.</t>
  </si>
  <si>
    <t xml:space="preserve">Nothing here is an offer, and nothing here should be shared as though terms exist. Until definitive agreements are signed the brand is a proposed concept and the partner's role is proposed.</t>
  </si>
  <si>
    <t xml:space="preserve">Turnkey provider at $600/month - what to confirm before signing</t>
  </si>
  <si>
    <t xml:space="preserve">The whole model rests on this vendor. At this fee the vendor carries no volume risk, so scope has to be contractual. Every row is a question to put in writing; the Why column says what breaks in the model if the answer is not what you expect.</t>
  </si>
  <si>
    <t xml:space="preserve">Question to put in writing</t>
  </si>
  <si>
    <t xml:space="preserve">Why it matters to the model</t>
  </si>
  <si>
    <t xml:space="preserve">Status</t>
  </si>
  <si>
    <t xml:space="preserve">Does the $600 include per-consult clinician fees, or are those billed separately per visit?</t>
  </si>
  <si>
    <t xml:space="preserve">The model assumes separately, at $32-45 per completed consult. If included, Rx gross margin improves by roughly the consult cost divided by enrolments. If excluded and higher than assumed, enrolment economics compress.</t>
  </si>
  <si>
    <t xml:space="preserve">Open</t>
  </si>
  <si>
    <t xml:space="preserve">Does the $600 include medication cost, or does the pharmacy bill per fill?</t>
  </si>
  <si>
    <t xml:space="preserve">The model assumes the pharmacy bills per fill at $75-105 per member-month. This is the largest single variable cost in the Rx line; a written tiered schedule is essential.</t>
  </si>
  <si>
    <t xml:space="preserve">Does the $600 include cold-chain shipping and packaging, or is that billed per shipment?</t>
  </si>
  <si>
    <t xml:space="preserve">The model assumes per shipment at $15-22. Benchmark B09 shows a $1.95 pack rate is only the pack step, not the landed temperature-controlled cost.</t>
  </si>
  <si>
    <t xml:space="preserve">Is payment processing inside the fee, and at what rate and risk classification?</t>
  </si>
  <si>
    <t xml:space="preserve">The model carries 2.7-3.2% separately. Healthcare and supplement merchants are frequently underwritten as elevated risk.</t>
  </si>
  <si>
    <t xml:space="preserve">Which specific pharmacies fulfil, under which licences, and in which states?</t>
  </si>
  <si>
    <t xml:space="preserve">Drives the state-coverage ramp, which is the gate on the whole Rx funnel. Name the pharmacies; do not accept a count.</t>
  </si>
  <si>
    <t xml:space="preserve">For each pharmacy: 503A, 503B, or both, and which is used for which product?</t>
  </si>
  <si>
    <t xml:space="preserve">503A compounds pursuant to individual patient prescriptions. 503B outsourcing facilities are built for non-patient-specific office stock. They are not interchangeable for a consumer-direct model, and assuming they are is a common and expensive error.</t>
  </si>
  <si>
    <t xml:space="preserve">How does the arrangement handle interstate distribution limits for 503A pharmacies?</t>
  </si>
  <si>
    <t xml:space="preserve">Section 503A(b)(3) caps interstate distribution of compounded drugs at 5% of total prescription orders unless the pharmacy's state has signed the FDA memorandum of understanding. FDA's compounding MOU index currently lists only three MOUs, all suspended, and FDA has repeatedly deferred enforcement of the 5% limit pending rulemaking. Deferred enforcement is discretionary and revocable, so a national single-pharmacy Rx model is a policy bet, not a settled structure.</t>
  </si>
  <si>
    <t xml:space="preserve">Which peptides are on the current FDA 503A Category 1 bulks list, as of the signing date?</t>
  </si>
  <si>
    <t xml:space="preserve">Determines the formulary. Benchmark B18: FDA removed 12 peptides from Category 2 in April 2026, the PCAC met in July 2026 on three more and will meet again before the end of February 2027 on five others. The list moves; the contract should require the provider to track it.</t>
  </si>
  <si>
    <t xml:space="preserve">Is any product 'essentially a copy' of an approved drug?</t>
  </si>
  <si>
    <t xml:space="preserve">Section 503A limits compounding of drugs that are essentially copies of commercially available products. This is where compounded-GLP-1 programmes have drawn enforcement.</t>
  </si>
  <si>
    <t xml:space="preserve">Who holds the LegitScript healthcare merchant certification, and for which website?</t>
  </si>
  <si>
    <t xml:space="preserve">Certification is site-specific and gates healthcare advertising across Google, Meta, Microsoft and TikTok. If it is the provider's certification on the provider's domain, the brand's own site may not be covered. No certification means no scaled paid acquisition, which removes most of the paid-traffic line from the model.</t>
  </si>
  <si>
    <t xml:space="preserve">What is the legal structure: MSO and friendly-PC, and who owns the physician entity?</t>
  </si>
  <si>
    <t xml:space="preserve">Corporate-practice-of-medicine rules in many states bar a non-physician company from owning a medical practice or splitting professional fees. Get the structure opinion, not a reassurance.</t>
  </si>
  <si>
    <t xml:space="preserve">How are clinicians compensated, and does any element vary with prescribing or revenue?</t>
  </si>
  <si>
    <t xml:space="preserve">Any volume- or revenue-linked clinical compensation is a fee-splitting and kickback problem and undermines the clinical-independence position the whole model depends on.</t>
  </si>
  <si>
    <t xml:space="preserve">Who owns the patient relationship, the medical records and the customer data on exit?</t>
  </si>
  <si>
    <t xml:space="preserve">Determines whether the brand has an asset or a rental. Ask for the data-portability and records-transfer terms in the termination clause.</t>
  </si>
  <si>
    <t xml:space="preserve">Who is the named party on advertising claims, and who indemnifies whom?</t>
  </si>
  <si>
    <t xml:space="preserve">A vendor contract does not transfer the brand's own advertising liability. Read the indemnity in both directions and check the cap against the insurance limits.</t>
  </si>
  <si>
    <t xml:space="preserve">What are the service levels: consult turnaround, fill turnaround, ship-by, support response?</t>
  </si>
  <si>
    <t xml:space="preserve">At a flat fee the provider has no economic incentive to scale with you. Without contractual service levels, growth degrades the customer experience exactly when volume arrives.</t>
  </si>
  <si>
    <t xml:space="preserve">What are the capacity ceilings, and what happens when the brand exceeds them?</t>
  </si>
  <si>
    <t xml:space="preserve">The aggressive scenario implies order volumes that a $600/month arrangement is unlikely to have been sized for. Get the ceiling in writing and the repricing mechanism with it.</t>
  </si>
  <si>
    <t xml:space="preserve">What are the termination terms, notice period and post-termination continuity of care?</t>
  </si>
  <si>
    <t xml:space="preserve">Members on active prescription programmes cannot simply be dropped. Continuity-of-care obligations survive the contract and belong in the plan.</t>
  </si>
  <si>
    <t xml:space="preserve">What insurance does the provider carry, at what limits, and is the brand an additional insured?</t>
  </si>
  <si>
    <t xml:space="preserve">Determines the real gap the brand's own product-liability, professional and cyber cover has to fill.</t>
  </si>
  <si>
    <t xml:space="preserve">Has the provider or any affiliated pharmacy or clinician been subject to FDA, DEA, state board or FTC action?</t>
  </si>
  <si>
    <t xml:space="preserve">Basic counterparty diligence. A provider's enforcement history becomes the brand's reputational problem on day one.</t>
  </si>
  <si>
    <t xml:space="preserve">Auto-renewal mechanics: consent capture, renewal reminders, cancellation path, and who is liable?</t>
  </si>
  <si>
    <t xml:space="preserve">ROSCA and state auto-renewal laws are the most common source of consumer-protection claims in subscription health. The cancellation path must be as easy as the sign-up path, and the brand is liable for it whoever built it.</t>
  </si>
  <si>
    <t xml:space="preserve">Benchmarks behind the drivers</t>
  </si>
  <si>
    <t xml:space="preserve">Third-party unless marked as an analyst assumption. Figures were taken from search-result summaries during a session in which direct page loads were restricted; load-bearing figures were corroborated across two independent queries. Ranges are ranges, not measurements.</t>
  </si>
  <si>
    <t xml:space="preserve">ID</t>
  </si>
  <si>
    <t xml:space="preserve">Topic</t>
  </si>
  <si>
    <t xml:space="preserve">Finding</t>
  </si>
  <si>
    <t xml:space="preserve">How it is used</t>
  </si>
  <si>
    <t xml:space="preserve">Sources</t>
  </si>
  <si>
    <t xml:space="preserve">B01</t>
  </si>
  <si>
    <t xml:space="preserve">Public telehealth gross margin (closest listed comparable)</t>
  </si>
  <si>
    <t xml:space="preserve">Hims &amp; Hers gross margin 74% FY2025 vs 79% FY2024; 65% in Q1 2026 and 63.8% in Q2 2026. Decline attributed to weight-loss offerings with shorter shipping cadences and higher fulfilment costs, plus international mix.</t>
  </si>
  <si>
    <t xml:space="preserve">Ceiling reference for a telehealth blended gross margin. Reserve Clinic's Rx line is modelled well below this because it carries cold-chain shipping on every fill.</t>
  </si>
  <si>
    <t xml:space="preserve">High (company-reported)</t>
  </si>
  <si>
    <t xml:space="preserve">https://investors.hims.com/news/news-details/2026/Hims--Hers-Health-Inc--Reports-Fourth-Quarter-and-Full-Year-2025-Financial-Results/default.aspx
https://www.sec.gov/Archives/edgar/data/1773751/000177375126000022/hims-20251231.htm</t>
  </si>
  <si>
    <t xml:space="preserve">B02</t>
  </si>
  <si>
    <t xml:space="preserve">Telehealth marketing intensity</t>
  </si>
  <si>
    <t xml:space="preserve">Hims &amp; Hers marketing expense was ~40% of revenue in Q2 2025 (down from ~46% a year earlier) and ~34.8% of revenue in Q2 2026 ($262.2M on $753.2M).</t>
  </si>
  <si>
    <t xml:space="preserve">Anchors the paid-media-as-percent-of-revenue driver (25-32% by scenario). A celebrity-led brand should sit below this, not above, or the audience is not doing any work.</t>
  </si>
  <si>
    <t xml:space="preserve">https://www.sec.gov/Archives/edgar/data/0001773751/000177375126000161/hims-20260630x8xkearningsr.htm
https://finance.yahoo.com/markets/stocks/articles/hims-hers-stock-plunges-post-171900613.html</t>
  </si>
  <si>
    <t xml:space="preserve">B03</t>
  </si>
  <si>
    <t xml:space="preserve">DTC supplement gross margin and landed COGS</t>
  </si>
  <si>
    <t xml:space="preserve">Landed COGS (materials, packaging, manufacturing, inbound freight, duties) typically 20-30% of retail for a DTC supplement, producing 70-80% gross margin. Target range cited as 60-80%. Public DTC median gross margin ~57% for non-food categories. Per-unit COGS $3-15 depending on dosage form and volume.</t>
  </si>
  <si>
    <t xml:space="preserve">Non-Rx line COGS driver set at 22-30% of retail.</t>
  </si>
  <si>
    <t xml:space="preserve">Medium (aggregator/advisory sources, not audited)</t>
  </si>
  <si>
    <t xml:space="preserve">https://eightx.co/blog/supplements-brand-unit-economics
https://commercecatalyst.ai/benchmarks/supplements/
https://eightx.co/blog/average-dtc-gross-margin-public-companies
https://inventoryready.com/guides/supplement-pricing-strategy</t>
  </si>
  <si>
    <t xml:space="preserve">B04</t>
  </si>
  <si>
    <t xml:space="preserve">DTC supplement CAC</t>
  </si>
  <si>
    <t xml:space="preserve">CAC $45-80 for supplements per triangulated industry estimates; $53-91 across ecommerce categories generally.</t>
  </si>
  <si>
    <t xml:space="preserve">Sanity band for the computed blended CAC output. The model derives CAC rather than assuming it.</t>
  </si>
  <si>
    <t xml:space="preserve">https://commercecatalyst.ai/benchmarks/supplements/
https://foundrycro.com/blog/dtc-supplements-marketing-benchmarks-2026/</t>
  </si>
  <si>
    <t xml:space="preserve">B05</t>
  </si>
  <si>
    <t xml:space="preserve">Supplement subscription churn</t>
  </si>
  <si>
    <t xml:space="preserve">4-7% monthly when well run; 8-12% at health-and-wellness category average; 12-20% of subscribers churn in month 1 alone. Below 5% strong, below 4% top-tier, sustained above 10% a retention emergency.</t>
  </si>
  <si>
    <t xml:space="preserve">Non-Rx subscription churn driver 5.5-9% monthly by scenario.</t>
  </si>
  <si>
    <t xml:space="preserve">https://eightx.co/blog/supplement-subscription-churn-rate-benchmark
https://eightx.co/blog/average-subscription-churn-rate-by-category
https://eightx.co/blog/supplements-subscription-economics</t>
  </si>
  <si>
    <t xml:space="preserve">B06</t>
  </si>
  <si>
    <t xml:space="preserve">Supplement AOV, LTV and LTV:CAC</t>
  </si>
  <si>
    <t xml:space="preserve">AOV $30-65 monthly with 12-month LTV $300-600 (Recharge benchmarks cited). At 8% monthly churn a $40 subscriber at 55% margin returns ~$275 LTV. Healthy LTV:CAC 3.5:1 to 6:1, with 3:1 the floor.</t>
  </si>
  <si>
    <t xml:space="preserve">Non-Rx AOV driver $68-88 (premium positioning above the cited band) and the 3.0x LTV:CAC gate.</t>
  </si>
  <si>
    <t xml:space="preserve">https://eightx.co/blog/supplements-subscription-economics
https://www.retentionlab.ai/blog/good-ltv-dtc-benchmarks-2026
https://commercecatalyst.ai/benchmarks/supplements/</t>
  </si>
  <si>
    <t xml:space="preserve">B07</t>
  </si>
  <si>
    <t xml:space="preserve">Compounded peptide programme pricing, US, 2026</t>
  </si>
  <si>
    <t xml:space="preserve">Sermorelin $96-199/mo via telehealth, $200-400/mo in-clinic. BPC-157 or TB-500 tissue protocols $100-300/mo. CJC-1295/ipamorelin stack $80-180/mo. Sermorelin plus CJC-1295 combination protocols $350-600/mo.</t>
  </si>
  <si>
    <t xml:space="preserve">Rx programme price driver $199-299 per member-month, blended across protocols.</t>
  </si>
  <si>
    <t xml:space="preserve">Medium (marketing pages and category guides, not a price survey)</t>
  </si>
  <si>
    <t xml:space="preserve">https://healingmaps.com/sermorelin-cost-guide/
https://peptidenewsdigest.org/pricing/peptides/
https://www.peptidemark.com/news/peptide-therapy-cost-breakdown-2026
https://healingmaps.com/peptide-telehealth/</t>
  </si>
  <si>
    <t xml:space="preserve">B08</t>
  </si>
  <si>
    <t xml:space="preserve">Asynchronous consult cost and price</t>
  </si>
  <si>
    <t xml:space="preserve">Asynchronous e-visits price at roughly $15-40 to the patient; raw median prices $20 (5-10 min) to $60 (21+ min). From the operator side a cited COGS breakdown is provider time $30, platform $10, support $10 per ongoing-care programme. Synchronous video $50-100.</t>
  </si>
  <si>
    <t xml:space="preserve">Clinician cost per completed consult driver $32-45, and consult fee charged $49-79.</t>
  </si>
  <si>
    <t xml:space="preserve">https://bask.health/blog/pricing-for-telemedicine-services
https://www.ncbi.nlm.nih.gov/books/NBK459384/
https://openmypro.com/cost/telehealth-visit-cost</t>
  </si>
  <si>
    <t xml:space="preserve">B09</t>
  </si>
  <si>
    <t xml:space="preserve">Cold-chain fulfilment cost for peptides</t>
  </si>
  <si>
    <t xml:space="preserve">Quoted base pack rate $1.95 per order plus $350/month cold storage for refrigerated peptide inventory; FedEx 2-Day temperature-controlled is the standard lane. Additional cost for insulated mailers, gel packs, refrigerated carrier surcharges. Most peptides require 2-8 C.</t>
  </si>
  <si>
    <t xml:space="preserve">Cold-chain shipping driver $15-22 per Rx fill, which is the pack rate plus the expedited insulated lane, not the pack rate alone.</t>
  </si>
  <si>
    <t xml:space="preserve">Medium (vendor marketing pages)</t>
  </si>
  <si>
    <t xml:space="preserve">https://rapidfulfillment.com/blogs/news/peptide-fulfillment-pricing
https://3plguys.com/articles/peptide-shipping-guide
https://amzprep.com/peptide-fulfilment-services/</t>
  </si>
  <si>
    <t xml:space="preserve">B10</t>
  </si>
  <si>
    <t xml:space="preserve">LegitScript healthcare merchant certification cost</t>
  </si>
  <si>
    <t xml:space="preserve">2025-2026 schedule cited as $975 application plus $2,150 annual per website; ~$3,125 year one for a single-site brand, ~$2,150/yr ongoing; expedited review ~$2,500 extra. It gates healthcare advertising on Google, Meta, Microsoft, TikTok, LinkedIn and Nextdoor, and is close to a prerequisite for card-not-present acceptance.</t>
  </si>
  <si>
    <t xml:space="preserve">Certification line in opex. Also a gating dependency for the paid-media plan: no certification, no paid healthcare advertising at scale.</t>
  </si>
  <si>
    <t xml:space="preserve">Medium (third-party summaries of a schedule that changes; confirm live)</t>
  </si>
  <si>
    <t xml:space="preserve">https://myorbithealth.com/blog/legitscript-certification-telehealth-guide
https://www.legitscript.com/certification/healthcare-certification/
https://www.2accept.net/blog/legitscript-certification-cost</t>
  </si>
  <si>
    <t xml:space="preserve">B11</t>
  </si>
  <si>
    <t xml:space="preserve">Market rate for turnkey white-label telehealth infrastructure</t>
  </si>
  <si>
    <t xml:space="preserve">One vendor's published pricing is $3,000-6,000 per month by plan tier plus a $5,000-10,000 one-time onboarding fee and separate per-consult fees, as of mid-2026. Other vendors advertise a flat monthly fee with zero revenue share including LegitScript and multi-pharmacy access; most gate pricing behind a demo. The category supplies licensed providers, HIPAA intake and EMR, e-prescribing, pharmacy fulfilment and the MSO / friendly-PC legal structure while the brand owns the customer.</t>
  </si>
  <si>
    <t xml:space="preserve">Directly relevant to the stated $600/month flat fee. The model treats $600 as a platform/SaaS fee only and carries per-consult, medication, shipping and processing costs separately, because a fee at one fifth of the low end of published market pricing is very unlikely to absorb per-unit variable costs.</t>
  </si>
  <si>
    <t xml:space="preserve">https://myorbithealth.com/blog/best-white-label-telehealth-platforms
https://cuvo.co/blog/best-white-label-telehealth-platforms
https://pharmabro.co/
https://thepharmacyhub.com/telehealth/
https://whitelabelmd.com/</t>
  </si>
  <si>
    <t xml:space="preserve">B12</t>
  </si>
  <si>
    <t xml:space="preserve">Category growth: peptide therapeutics (global)</t>
  </si>
  <si>
    <t xml:space="preserve">Global peptide therapeutics estimated ~$58B in 2026 (estimates range $54.6B to $164B depending on scope), reaching ~$83.6B by 2030 at a cited 11.2% CAGR; most firms project 5-8% CAGR, some 10.8% to 2036.</t>
  </si>
  <si>
    <t xml:space="preserve">Context only. This market is pharmaceutical-dominated and is NOT the addressable market for a cash-pay DTC brand. Shown in the proposal as context and labelled as such.</t>
  </si>
  <si>
    <t xml:space="preserve">Low (vendor market reports, wide disagreement)</t>
  </si>
  <si>
    <t xml:space="preserve">https://www.thebusinessresearchcompany.com/report/peptide-therapeutics-global-market-report
https://www.grandviewresearch.com/industry-analysis/peptide-therapeutics-market
https://www.precedenceresearch.com/peptide-therapeutics-market</t>
  </si>
  <si>
    <t xml:space="preserve">B13</t>
  </si>
  <si>
    <t xml:space="preserve">Category growth: dietary supplements</t>
  </si>
  <si>
    <t xml:space="preserve">Dietary supplements projected from ~$228.2B in 2026; nutritional supplements to ~$635.6B by 2030 at a cited 7.2% CAGR; dietary supplements cited at 7.2-9.5% CAGR depending on firm.</t>
  </si>
  <si>
    <t xml:space="preserve">Growth context for the non-Rx line, which is the line that can operate in all fifty states.</t>
  </si>
  <si>
    <t xml:space="preserve">Low (vendor market reports)</t>
  </si>
  <si>
    <t xml:space="preserve">https://www.grandviewresearch.com/industry-analysis/dietary-supplements-market-report
https://www.thebusinessresearchcompany.com/report/nutritional-supplements-global-market-report
https://www.fortunebusinessinsights.com/dietary-supplements-market-102082</t>
  </si>
  <si>
    <t xml:space="preserve">B14</t>
  </si>
  <si>
    <t xml:space="preserve">Celebrity-founded supplement brand outcomes (existence proof for the upside case)</t>
  </si>
  <si>
    <t xml:space="preserve">IM8, co-founded by David Beckham (~88M Instagram followers), reported $100M in 11 months and ~$120M ARR within the first year; its founders stated they deliberately did not lean on the fame but on product efficacy. Gruns reached profitability 14 months in with nine-figure ARR and a reported $500M valuation. For contrast, SHREDZ did $90k in its first year (2012) and $5M in 2013.</t>
  </si>
  <si>
    <t xml:space="preserve">Calibrates the aggressive scenario. It establishes the outcome is achievable but the spread between SHREDZ and IM8 is roughly three orders of magnitude, which is why the scenario band is wide.</t>
  </si>
  <si>
    <t xml:space="preserve">Medium (press reporting, self-reported revenue)</t>
  </si>
  <si>
    <t xml:space="preserve">https://www.entrepreneur.com/building-a-business/david-beckhams-supplement-brand-is-doing-10-million-a-month
https://www.inc.com/jennifer-conrad/gruns-follow-the-money/91181108
https://tnge.substack.com/p/the-supplement-brand-that-grows-faster-than-anyone-else</t>
  </si>
  <si>
    <t xml:space="preserve">B15</t>
  </si>
  <si>
    <t xml:space="preserve">Instagram performance at the 10M-plus follower tier</t>
  </si>
  <si>
    <t xml:space="preserve">Accounts above 10M followers average ~1.77% engagement, the lowest of any tier; accounts above 5M average ~1.97%, down ~24% year over year. Reels engagement averages ~3.8% and runs 3-5x static posts. Multiple sources note smaller creators convert to sales better than mega accounts despite lower reach.</t>
  </si>
  <si>
    <t xml:space="preserve">Constrains the audience-conversion drivers. Engagement is not reach and reach is not purchase; the model steps followers to impressions to sessions to orders with a separate, explicit rate at each step and a decay curve on attention.</t>
  </si>
  <si>
    <t xml:space="preserve">https://creatorflow.so/blog/instagram-engagement-rate/
https://nowadays.media/blog/influencer-engagement-rate-benchmarks-2026-by-platform-niche-follower-tier/
https://www.upgrow.com/blog/instagram-engagement-rate-statistics-2026-industry-follower-size</t>
  </si>
  <si>
    <t xml:space="preserve">B16</t>
  </si>
  <si>
    <t xml:space="preserve">Proposed brand partner audience size</t>
  </si>
  <si>
    <t xml:space="preserve">Scott Disick (@letthelordbewithyou) reported at 27,410,219 followers as of June 2026; other trackers report 27M to 28.3M. Counts vary by refresh time.</t>
  </si>
  <si>
    <t xml:space="preserve">Model input set to 27,400,000 and held constant across all three scenarios, because it is a measured quantity rather than a scenario choice. Audience quality, US share and health-category receptivity are NOT known and are handled by the reach and click-through drivers.</t>
  </si>
  <si>
    <t xml:space="preserve">Medium (third-party trackers; not an audited or first-party figure)</t>
  </si>
  <si>
    <t xml:space="preserve">https://hypeauditor.com/instagram/letthelordbewithyou/
https://socialblade.com/instagram/user/letthelordbewithyou
https://www.instagram.com/letthelordbewithyou/</t>
  </si>
  <si>
    <t xml:space="preserve">B17</t>
  </si>
  <si>
    <t xml:space="preserve">Prescription-programme retention reality check</t>
  </si>
  <si>
    <t xml:space="preserve">For the non-diabetic weight-loss population, discontinuation approaches 65% within the first year and 84.4% by 24 months. A real-world telehealth obesity provider reported programme retention of 78%, 63% and 58% at 3, 6 and 9 months. Commentary describes a 2026 'retention cliff' as the category's central problem.</t>
  </si>
  <si>
    <t xml:space="preserve">Rx churn driver 9.5-13% monthly. This is the single most damaging assumption if wrong, and it is flagged as such in the sensitivity analysis.</t>
  </si>
  <si>
    <t xml:space="preserve">Medium-High (peer-reviewed real-world evidence plus trade commentary)</t>
  </si>
  <si>
    <t xml:space="preserve">https://pmc.ncbi.nlm.nih.gov/articles/PMC11589532/
https://glp-1.reviews/glp-1-industry-secrets-revealed-what-2026-data-shows-about-telehealth-success-rates/</t>
  </si>
  <si>
    <t xml:space="preserve">B18</t>
  </si>
  <si>
    <t xml:space="preserve">503A bulk substances list movement on peptides, 2026</t>
  </si>
  <si>
    <t xml:space="preserve">On 15 April 2026 FDA removed 12 peptides from Category 2 of the 503A bulk drug substances list. First-batch substances under review include BPC-157, KPV, MOTS-c, Emideltide (DSIP), Epitalon, Semax and TB-500. The Pharmacy Compounding Advisory Committee met 23-24 July 2026 on Emideltide, Semax and Epitalon related substances, and FDA announced a further meeting before the end of February 2027 covering GHK-Cu, Melanotan II, Cathelicidin (LL-37), Dihexa acetate and PEG-MGF. Gonadorelin acetate has been added to Category 1. One category guide states CJC-1295 and ipamorelin 'returned to Category 1 in 2026'.</t>
  </si>
  <si>
    <t xml:space="preserve">Not a financial driver but the gate on which products the Rx line may legally carry. The formulary must be re-verified against the live FDA list before launch and re-verified on each PCAC action; the CJC-1295/ipamorelin claim in particular rests on a single secondary source and is NOT treated as established.</t>
  </si>
  <si>
    <t xml:space="preserve">Medium for the FDA actions, Low for the CJC-1295/ipamorelin Category 1 claim</t>
  </si>
  <si>
    <t xml:space="preserve">https://www.fda.gov/advisory-committees/advisory-committee-calendar/july-23-24-2026-meeting-pharmacy-compounding-advisory-committee-07232026
https://www.thefdalawblog.com/2026/04/fdas-peptide-rally-what-compounders-and-industry-need-to-know-post-1-of-2/
https://www.fagronacademy.us/blog/industry-update-503a-and-503b-bulks-lists-new-revisions</t>
  </si>
  <si>
    <t xml:space="preserve">B19</t>
  </si>
  <si>
    <t xml:space="preserve">Retargeting versus cold prospecting economics, and the incrementality problem</t>
  </si>
  <si>
    <t xml:space="preserve">Retargeting ROAS averages about 4.2x in 2026, roughly 71% above prospecting; benchmark ranges given as 3-5x for prospecting and 5-10x for retargeting, with cold Meta prospecting typically 1.5-3x and retargeting often clearing 5x. Cost per acquisition drops 40-70% on retargeting audiences versus cold, and retargeting campaigns are described as costing 60-70% less than prospecting. Returning customers show a 3-4x conversion multiplier. CRITICALLY, the same sources warn that retargeting looks efficient mainly because it harvests demand prospecting already created, that cutting prospecting starves it weeks later, and that up to 75% of retargeting conversions may be non-incremental, with holdout tests showing true incremental lift of only 25-30%.</t>
  </si>
  <si>
    <t xml:space="preserve">Sets cost per session and the conversion multiplier for the retargeting tier, AND sets the incrementality haircut driver (25-40% by scenario) applied to that tier's conversions. The haircut is the reason the model does not simply assume a better CAC: at the baseline 30% incrementality, retargeting's incremental CAC comes out roughly level with cold prospecting despite a much cheaper nominal CPA. The same logic sets a 35-55% incrementality haircut on paid branded search, which otherwise double-counts the partner's organic traffic.</t>
  </si>
  <si>
    <t xml:space="preserve">Medium for the nominal efficiency figures, Medium-High for the incrementality warning (holdout-test based)</t>
  </si>
  <si>
    <t xml:space="preserve">https://www.admetrics.io/post/retargeting-advertising-dtc-ecommerce-99811
https://mhigrowthengine.com/blog/prospecting-vs-retargeting-spend-ratio/
https://parahgroup.com/blogs/retargeting-vs-prospecting-which-brings-better-conversion-rates/
https://www.webtonic.io/blog/retargeting</t>
  </si>
  <si>
    <t xml:space="preserve">B20</t>
  </si>
  <si>
    <t xml:space="preserve">Paid social creative performance, and the absence of a celebrity-specific benchmark</t>
  </si>
  <si>
    <t xml:space="preserve">Facebook traffic campaigns average about 1.71% click-through across industries and lead campaigns about 2.59%; roughly 1% or better is a practical 2026 target for paid social. Instagram feed ads run 0.22-0.88% click-through and Stories ads 0.33-0.54%. On creative: video content is cited at 30-50% higher click-through, including faces in visuals is a recommended practice, and social proof is credited with 15-25% higher conversion. NO study focused specifically on celebrity or recognisable-face ad performance lift was retrievable.</t>
  </si>
  <si>
    <t xml:space="preserve">Sets cost per session on the cold prospecting tier. Also bounds the partner-creative cost-per-session discount driver (0.72-0.88), which is labelled a LOW-confidence analyst assumption precisely because no celebrity-specific lift benchmark exists. The model's validation method for it is a creative A/B test with and without the partner in month one.</t>
  </si>
  <si>
    <t xml:space="preserve">Medium for the general paid-social figures, None for celebrity-specific lift (no source found)</t>
  </si>
  <si>
    <t xml:space="preserve">https://www.theedigital.com/blog/facebook-ads-benchmarks
https://focus-digital.co/social-media-ads-ctr-benchmarks-2025/
https://www.adstellar.ai/blog/ad-creative-benchmarks-2026
https://www.triplewhale.com/blog/facebook-ads-benchmarks</t>
  </si>
  <si>
    <t xml:space="preserve">Not retrievable in this environment</t>
  </si>
  <si>
    <t xml:space="preserve">First-party analytics for any competitor (sessions, conversion rate, CAC, churn) — no traffic tool or ad library was reachable.</t>
  </si>
  <si>
    <t xml:space="preserve">Audited financials for any private peptide or celebrity supplement brand. IM8 and Gruns revenue figures are self-reported via press.</t>
  </si>
  <si>
    <t xml:space="preserve">Scott Disick's audience composition (US share, age, gender, health-category affinity) and any historical conversion performance on a paid endorsement.</t>
  </si>
  <si>
    <t xml:space="preserve">The identity, licences, contract terms, insurance, pharmacy network and LegitScript status of the $600/month provider — no provider was named.</t>
  </si>
  <si>
    <t xml:space="preserve">Any study quantifying the advertising performance lift from celebrity or recognisable-face creative. The creative-discount driver is an analyst assumption supported only by general findings on video and faces in visuals.</t>
  </si>
  <si>
    <t xml:space="preserve">A branded-search conversion-rate multiplier benchmark, and any benchmark for branded-search volume generated per unit of social reach. Both are analyst assumptions.</t>
  </si>
  <si>
    <t xml:space="preserve">Whether the proposed partner's likeness rights extend to paid media. Organic posting rights and paid-usage rights are separately licensed, and health-category ad review plus LegitScript certification gate the paid use regardless.</t>
  </si>
  <si>
    <t xml:space="preserve">Targeted paid media: three tiers, allocated cheapest first</t>
  </si>
  <si>
    <t xml:space="preserve">The brand partnership does not lower the cost of advertising by magic. It works through three specific, measurable mechanisms, and each one is a separate tier below with its own volume ceiling, its own cost per session, its own conversion rate and its own incrementality haircut. The budget is set as a share of the prior month's net revenue, then filled from the cheapest tier upward: search first, retargeting second, cold prospecting takes whatever is left.</t>
  </si>
  <si>
    <t xml:space="preserve">Tier</t>
  </si>
  <si>
    <t xml:space="preserve">What it is</t>
  </si>
  <si>
    <t xml:space="preserve">How the partnership creates it</t>
  </si>
  <si>
    <t xml:space="preserve">Volume ceiling</t>
  </si>
  <si>
    <t xml:space="preserve">Incrementality haircut</t>
  </si>
  <si>
    <t xml:space="preserve">1. Branded and intent search</t>
  </si>
  <si>
    <t xml:space="preserve">Paid search against the brand name and against category-intent queries. The cheapest inventory a brand owns, because it faces little auction competition on its own name.</t>
  </si>
  <si>
    <t xml:space="preserve">Every brand post sends some viewers to a search engine instead of to the link. That converts partner reach into cheap, high-intent paid inventory. Without the partner this tier is almost empty.</t>
  </si>
  <si>
    <t xml:space="preserve">Capped by the queries that actually exist: partner impressions times the branded-search rate, plus a baseline from organic, times the share you choose to buy.</t>
  </si>
  <si>
    <t xml:space="preserve">35-55% incremental. Paying for a query you would rank for organically buys a click you already had. Without this haircut the model would count the partner's organic traffic twice.</t>
  </si>
  <si>
    <t xml:space="preserve">2. Retargeting</t>
  </si>
  <si>
    <t xml:space="preserve">Site visitors plus the partner's post engagers, reached again through platform custom and engagement audiences.</t>
  </si>
  <si>
    <t xml:space="preserve">Anyone who engaged with a brand post enters the platform's engagement audience. The partner's reach therefore builds a large warm pool at no media cost.</t>
  </si>
  <si>
    <t xml:space="preserve">Capped by the pool: addressable share of prior-month sessions, plus engagers generated per partner impression, times how hard the pool can be worked before fatigue.</t>
  </si>
  <si>
    <t xml:space="preserve">25-40% incremental, and this is the number that matters most. Benchmark B19: holdout tests show true incremental lift of only 25-30%, so up to 75% of retargeting conversions would have happened anyway.</t>
  </si>
  <si>
    <t xml:space="preserve">3. Cold prospecting with partner creative</t>
  </si>
  <si>
    <t xml:space="preserve">Lookalike and broad audiences, run on creative featuring the partner.</t>
  </si>
  <si>
    <t xml:space="preserve">A recognisable face and partner-voiced video should raise click-through and so lower cost per session. This is the only tier where the partnership improves efficiency rather than creating volume.</t>
  </si>
  <si>
    <t xml:space="preserve">Effectively unlimited volume, but subject to diminishing returns: sessions scale as spend raised to the elasticity, so effective cost per session rises as spend grows.</t>
  </si>
  <si>
    <t xml:space="preserve">100%. Cold prospecting creates the demand the other two tiers harvest, which is exactly why it cannot be starved.</t>
  </si>
  <si>
    <t xml:space="preserve">What this structure does and does not claim</t>
  </si>
  <si>
    <t xml:space="preserve">IT DOES claim the partnership lowers blended acquisition cost AT A GIVEN LEVEL OF SPEND, because it shifts the mix toward cheap high-intent inventory and discounts the cold tier through better creative. The grid on the Sensitivity sheet measures exactly that, holding everything else equal.</t>
  </si>
  <si>
    <t xml:space="preserve">IT DOES NOT claim blended CAC falls as the business grows. It rises, in every scenario, because scale pushes spend further out on the diminishing-returns curve. A model showing CAC falling with scale is a model with no auction in it. The partnership's real benefit is that it raises the spend level at which CAC stays acceptable.</t>
  </si>
  <si>
    <t xml:space="preserve">IT DOES NOT take the widely quoted 40-70% retargeting CPA advantage at face value. After the incrementality haircut, retargeting's INCREMENTAL cost per customer comes out roughly level with cold prospecting at Baseline drivers. Run a holdout test in month two: if incrementality lands at the low end of the band, that budget belongs in prospecting instead.</t>
  </si>
  <si>
    <t xml:space="preserve">IT ASSUMES the partner's likeness can be used in paid media. Organic posting rights and paid-usage rights are licensed separately, and paid healthcare creative additionally faces platform ad review and needs LegitScript certification. Confirm both before building the paid plan around partner creative.</t>
  </si>
  <si>
    <t xml:space="preserve">IT EXCLUDES the prescription line from partner creative entirely. Compounded prescription products are not promoted by the partner, so prescription intent is weighted down on partner-driven and cold-prospecting traffic and comes instead from search, editorial content and on-site cross-sell.</t>
  </si>
  <si>
    <t xml:space="preserve">Reserve Clinic - Conservative scenario, months 1-36</t>
  </si>
  <si>
    <t xml:space="preserve">Every cell is a formula. Inputs live on Assumptions only. Green = link to Assumptions.</t>
  </si>
  <si>
    <t xml:space="preserve">Line</t>
  </si>
  <si>
    <t xml:space="preserve">M1</t>
  </si>
  <si>
    <t xml:space="preserve">M2</t>
  </si>
  <si>
    <t xml:space="preserve">M3</t>
  </si>
  <si>
    <t xml:space="preserve">M4</t>
  </si>
  <si>
    <t xml:space="preserve">M5</t>
  </si>
  <si>
    <t xml:space="preserve">M6</t>
  </si>
  <si>
    <t xml:space="preserve">M7</t>
  </si>
  <si>
    <t xml:space="preserve">M8</t>
  </si>
  <si>
    <t xml:space="preserve">M9</t>
  </si>
  <si>
    <t xml:space="preserve">M10</t>
  </si>
  <si>
    <t xml:space="preserve">M11</t>
  </si>
  <si>
    <t xml:space="preserve">M12</t>
  </si>
  <si>
    <t xml:space="preserve">M13</t>
  </si>
  <si>
    <t xml:space="preserve">M14</t>
  </si>
  <si>
    <t xml:space="preserve">M15</t>
  </si>
  <si>
    <t xml:space="preserve">M16</t>
  </si>
  <si>
    <t xml:space="preserve">M17</t>
  </si>
  <si>
    <t xml:space="preserve">M18</t>
  </si>
  <si>
    <t xml:space="preserve">M19</t>
  </si>
  <si>
    <t xml:space="preserve">M20</t>
  </si>
  <si>
    <t xml:space="preserve">M21</t>
  </si>
  <si>
    <t xml:space="preserve">M22</t>
  </si>
  <si>
    <t xml:space="preserve">M23</t>
  </si>
  <si>
    <t xml:space="preserve">M24</t>
  </si>
  <si>
    <t xml:space="preserve">M25</t>
  </si>
  <si>
    <t xml:space="preserve">M26</t>
  </si>
  <si>
    <t xml:space="preserve">M27</t>
  </si>
  <si>
    <t xml:space="preserve">M28</t>
  </si>
  <si>
    <t xml:space="preserve">M29</t>
  </si>
  <si>
    <t xml:space="preserve">M30</t>
  </si>
  <si>
    <t xml:space="preserve">M31</t>
  </si>
  <si>
    <t xml:space="preserve">M32</t>
  </si>
  <si>
    <t xml:space="preserve">M33</t>
  </si>
  <si>
    <t xml:space="preserve">M34</t>
  </si>
  <si>
    <t xml:space="preserve">M35</t>
  </si>
  <si>
    <t xml:space="preserve">M36</t>
  </si>
  <si>
    <t xml:space="preserve">Total / final</t>
  </si>
  <si>
    <t xml:space="preserve">Month index</t>
  </si>
  <si>
    <t xml:space="preserve">Year</t>
  </si>
  <si>
    <t xml:space="preserve">Non-Rx line live (1/0)</t>
  </si>
  <si>
    <t xml:space="preserve">flag</t>
  </si>
  <si>
    <t xml:space="preserve">Rx line live (1/0)</t>
  </si>
  <si>
    <t xml:space="preserve">Months since non-Rx launch</t>
  </si>
  <si>
    <t xml:space="preserve">Partner-driven sessions at launch peak</t>
  </si>
  <si>
    <t xml:space="preserve">Attention index (decay toward floor)</t>
  </si>
  <si>
    <t xml:space="preserve">Partner-driven sessions</t>
  </si>
  <si>
    <t xml:space="preserve">Partner-post impressions reached</t>
  </si>
  <si>
    <t xml:space="preserve">impressions</t>
  </si>
  <si>
    <t xml:space="preserve">Organic and direct sessions</t>
  </si>
  <si>
    <t xml:space="preserve">Paid media budget</t>
  </si>
  <si>
    <t xml:space="preserve">Branded and intent sessions available to buy</t>
  </si>
  <si>
    <t xml:space="preserve">Spend, branded and intent search</t>
  </si>
  <si>
    <t xml:space="preserve">Sessions, branded and intent search</t>
  </si>
  <si>
    <t xml:space="preserve">Addressable retargeting pool</t>
  </si>
  <si>
    <t xml:space="preserve">Retargeting sessions available to buy</t>
  </si>
  <si>
    <t xml:space="preserve">Spend, retargeting</t>
  </si>
  <si>
    <t xml:space="preserve">Sessions, retargeting</t>
  </si>
  <si>
    <t xml:space="preserve">Spend, cold prospecting</t>
  </si>
  <si>
    <t xml:space="preserve">Sessions, cold prospecting (diminishing returns and creative lift applied)</t>
  </si>
  <si>
    <t xml:space="preserve">Paid media spend, all tiers</t>
  </si>
  <si>
    <t xml:space="preserve">Paid sessions, all tiers</t>
  </si>
  <si>
    <t xml:space="preserve">Blended effective cost per paid session</t>
  </si>
  <si>
    <t xml:space="preserve">Total sessions</t>
  </si>
  <si>
    <t xml:space="preserve">Shippable new-order capacity</t>
  </si>
  <si>
    <t xml:space="preserve">New non-Rx customer demand (conversion-weighted by source)</t>
  </si>
  <si>
    <t xml:space="preserve">New non-Rx customers served</t>
  </si>
  <si>
    <t xml:space="preserve">Demand lost to capacity</t>
  </si>
  <si>
    <t xml:space="preserve">New subscribers</t>
  </si>
  <si>
    <t xml:space="preserve">New one-time buyers</t>
  </si>
  <si>
    <t xml:space="preserve">Active subscribers (end of month)</t>
  </si>
  <si>
    <t xml:space="preserve">Subscribers churned</t>
  </si>
  <si>
    <t xml:space="preserve">Repeat orders from one-time buyers</t>
  </si>
  <si>
    <t xml:space="preserve">Non-Rx orders shipped</t>
  </si>
  <si>
    <t xml:space="preserve">Non-Rx gross revenue</t>
  </si>
  <si>
    <t xml:space="preserve">Non-Rx refunds and chargebacks</t>
  </si>
  <si>
    <t xml:space="preserve">Non-Rx net revenue</t>
  </si>
  <si>
    <t xml:space="preserve">Non-Rx product COGS</t>
  </si>
  <si>
    <t xml:space="preserve">Non-Rx pick, pack and ship</t>
  </si>
  <si>
    <t xml:space="preserve">Non-Rx payment processing</t>
  </si>
  <si>
    <t xml:space="preserve">Non-Rx gross profit</t>
  </si>
  <si>
    <t xml:space="preserve">Non-Rx gross margin</t>
  </si>
  <si>
    <t xml:space="preserve">US population covered by served states</t>
  </si>
  <si>
    <t xml:space="preserve">Prescription-intent-weighted sessions</t>
  </si>
  <si>
    <t xml:space="preserve">Eligibility quiz starts</t>
  </si>
  <si>
    <t xml:space="preserve">Quiz completions</t>
  </si>
  <si>
    <t xml:space="preserve">Eligible outcomes (clinical screen and state)</t>
  </si>
  <si>
    <t xml:space="preserve">Intakes submitted (consult fee charged)</t>
  </si>
  <si>
    <t xml:space="preserve">Consults completed</t>
  </si>
  <si>
    <t xml:space="preserve">Prescriptions issued (clinician decision)</t>
  </si>
  <si>
    <t xml:space="preserve">New paying programme members</t>
  </si>
  <si>
    <t xml:space="preserve">Active programme members (end of month)</t>
  </si>
  <si>
    <t xml:space="preserve">Programme members churned</t>
  </si>
  <si>
    <t xml:space="preserve">Programme subscription revenue</t>
  </si>
  <si>
    <t xml:space="preserve">Consultation fee revenue</t>
  </si>
  <si>
    <t xml:space="preserve">Rx gross revenue</t>
  </si>
  <si>
    <t xml:space="preserve">Rx refunds and chargebacks</t>
  </si>
  <si>
    <t xml:space="preserve">Rx net revenue</t>
  </si>
  <si>
    <t xml:space="preserve">Pharmacy medication cost</t>
  </si>
  <si>
    <t xml:space="preserve">Clinician cost, new consults</t>
  </si>
  <si>
    <t xml:space="preserve">Clinician cost, monitoring and refills</t>
  </si>
  <si>
    <t xml:space="preserve">Cold-chain fulfilment and shipping</t>
  </si>
  <si>
    <t xml:space="preserve">Rx support cost</t>
  </si>
  <si>
    <t xml:space="preserve">Rx payment processing</t>
  </si>
  <si>
    <t xml:space="preserve">Rx gross profit</t>
  </si>
  <si>
    <t xml:space="preserve">Rx gross margin</t>
  </si>
  <si>
    <t xml:space="preserve">TOTAL NET REVENUE</t>
  </si>
  <si>
    <t xml:space="preserve">TOTAL GROSS PROFIT</t>
  </si>
  <si>
    <t xml:space="preserve">Blended gross margin</t>
  </si>
  <si>
    <t xml:space="preserve">Provider flat fee</t>
  </si>
  <si>
    <t xml:space="preserve">Certification and registrations</t>
  </si>
  <si>
    <t xml:space="preserve">Team</t>
  </si>
  <si>
    <t xml:space="preserve">Medical director and clinical oversight</t>
  </si>
  <si>
    <t xml:space="preserve">Technology and software</t>
  </si>
  <si>
    <t xml:space="preserve">Legal, regulatory and compliance</t>
  </si>
  <si>
    <t xml:space="preserve">Insurance</t>
  </si>
  <si>
    <t xml:space="preserve">Creative and content</t>
  </si>
  <si>
    <t xml:space="preserve">Paid media</t>
  </si>
  <si>
    <t xml:space="preserve">One-time launch marketing and PR</t>
  </si>
  <si>
    <t xml:space="preserve">Partner cash retainer</t>
  </si>
  <si>
    <t xml:space="preserve">TOTAL OPERATING EXPENSE</t>
  </si>
  <si>
    <t xml:space="preserve">EBITDA</t>
  </si>
  <si>
    <t xml:space="preserve">EBITDA margin</t>
  </si>
  <si>
    <t xml:space="preserve">Non-Rx inventory balance</t>
  </si>
  <si>
    <t xml:space="preserve">Inventory investment (increase in stock)</t>
  </si>
  <si>
    <t xml:space="preserve">Net cash flow</t>
  </si>
  <si>
    <t xml:space="preserve">Cumulative cash flow</t>
  </si>
  <si>
    <t xml:space="preserve">Break-even helper (month if EBITDA positive, else 999)</t>
  </si>
  <si>
    <t xml:space="preserve">New customers, both lines</t>
  </si>
  <si>
    <t xml:space="preserve">Blended CAC (paid media plus creative)</t>
  </si>
  <si>
    <t xml:space="preserve">CAC, branded and intent search (incremental)</t>
  </si>
  <si>
    <t xml:space="preserve">CAC, retargeting (incremental)</t>
  </si>
  <si>
    <t xml:space="preserve">CAC, cold prospecting</t>
  </si>
  <si>
    <t xml:space="preserve">CAC, all paid tiers, non-Rx</t>
  </si>
  <si>
    <t xml:space="preserve">Months for a non-Rx subscriber to repay paid CAC</t>
  </si>
  <si>
    <t xml:space="preserve">Rx contribution per member-month, steady state</t>
  </si>
  <si>
    <t xml:space="preserve">Rx gross LTV (contribution / churn)</t>
  </si>
  <si>
    <t xml:space="preserve">Reserve Clinic - Baseline scenario, months 1-36</t>
  </si>
  <si>
    <t xml:space="preserve">Reserve Clinic - Aggressive scenario, months 1-36</t>
  </si>
  <si>
    <t xml:space="preserve">Reserve Clinic - No_Partner scenario, months 1-36</t>
  </si>
  <si>
    <t xml:space="preserve">Reserve Clinic - Weak_Audience scenario, months 1-36</t>
  </si>
  <si>
    <t xml:space="preserve">Reserve Clinic - Weak_Retention scenario, months 1-36</t>
  </si>
</sst>
</file>

<file path=xl/styles.xml><?xml version="1.0" encoding="utf-8"?>
<styleSheet xmlns="http://schemas.openxmlformats.org/spreadsheetml/2006/main">
  <numFmts count="9">
    <numFmt numFmtId="164" formatCode="General"/>
    <numFmt numFmtId="165" formatCode="#,##0;\(#,##0\);\-"/>
    <numFmt numFmtId="166" formatCode="0.0%"/>
    <numFmt numFmtId="167" formatCode="0.00%"/>
    <numFmt numFmtId="168" formatCode="#,##0.00"/>
    <numFmt numFmtId="169" formatCode="\$#,##0;&quot;($&quot;#,##0\);\-"/>
    <numFmt numFmtId="170" formatCode="\$#,##0.00;&quot;($&quot;#,##0.00\);\-"/>
    <numFmt numFmtId="171" formatCode="0.0"/>
    <numFmt numFmtId="172" formatCode="0"/>
  </numFmts>
  <fonts count="18">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b val="true"/>
      <sz val="11"/>
      <name val="Arial"/>
      <family val="0"/>
      <charset val="1"/>
    </font>
    <font>
      <sz val="10"/>
      <name val="Arial"/>
      <family val="0"/>
      <charset val="1"/>
    </font>
    <font>
      <b val="true"/>
      <sz val="14"/>
      <name val="Arial"/>
      <family val="0"/>
      <charset val="1"/>
    </font>
    <font>
      <i val="true"/>
      <sz val="9"/>
      <name val="Arial"/>
      <family val="0"/>
      <charset val="1"/>
    </font>
    <font>
      <b val="true"/>
      <sz val="11"/>
      <color rgb="FFFFFFFF"/>
      <name val="Arial"/>
      <family val="0"/>
      <charset val="1"/>
    </font>
    <font>
      <b val="true"/>
      <sz val="10"/>
      <name val="Arial"/>
      <family val="0"/>
      <charset val="1"/>
    </font>
    <font>
      <sz val="8"/>
      <color rgb="FF777777"/>
      <name val="Arial"/>
      <family val="0"/>
      <charset val="1"/>
    </font>
    <font>
      <sz val="10"/>
      <color rgb="FF000000"/>
      <name val="Arial"/>
      <family val="0"/>
      <charset val="1"/>
    </font>
    <font>
      <sz val="10"/>
      <color rgb="FF0000FF"/>
      <name val="Arial"/>
      <family val="0"/>
      <charset val="1"/>
    </font>
    <font>
      <sz val="9"/>
      <name val="Arial"/>
      <family val="0"/>
      <charset val="1"/>
    </font>
    <font>
      <b val="true"/>
      <sz val="10"/>
      <color rgb="FF0000FF"/>
      <name val="Arial"/>
      <family val="0"/>
      <charset val="1"/>
    </font>
    <font>
      <sz val="10"/>
      <color rgb="FF008000"/>
      <name val="Arial"/>
      <family val="0"/>
      <charset val="1"/>
    </font>
    <font>
      <sz val="7"/>
      <name val="Arial"/>
      <family val="0"/>
      <charset val="1"/>
    </font>
  </fonts>
  <fills count="7">
    <fill>
      <patternFill patternType="none"/>
    </fill>
    <fill>
      <patternFill patternType="gray125"/>
    </fill>
    <fill>
      <patternFill patternType="solid">
        <fgColor rgb="FF1F3D33"/>
        <bgColor rgb="FF333300"/>
      </patternFill>
    </fill>
    <fill>
      <patternFill patternType="solid">
        <fgColor rgb="FFE8EFEA"/>
        <bgColor rgb="FFEDEDEA"/>
      </patternFill>
    </fill>
    <fill>
      <patternFill patternType="solid">
        <fgColor rgb="FFEDEDEA"/>
        <bgColor rgb="FFE8EFEA"/>
      </patternFill>
    </fill>
    <fill>
      <patternFill patternType="solid">
        <fgColor rgb="FFFFFF00"/>
        <bgColor rgb="FFFFFF00"/>
      </patternFill>
    </fill>
    <fill>
      <patternFill patternType="solid">
        <fgColor rgb="FFFDEBE7"/>
        <bgColor rgb="FFEDEDEA"/>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9" fillId="2" borderId="0" xfId="0" applyFont="true" applyBorder="false" applyAlignment="true" applyProtection="false">
      <alignment horizontal="general" vertical="bottom" textRotation="0" wrapText="tru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5" fontId="13" fillId="4"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5" fontId="13" fillId="5" borderId="0" xfId="0" applyFont="true" applyBorder="false" applyAlignment="false" applyProtection="false">
      <alignment horizontal="general" vertical="bottom" textRotation="0" wrapText="false" indent="0" shrinkToFit="false"/>
      <protection locked="true" hidden="false"/>
    </xf>
    <xf numFmtId="165" fontId="15" fillId="4" borderId="0" xfId="0" applyFont="true" applyBorder="false" applyAlignment="false" applyProtection="false">
      <alignment horizontal="general" vertical="bottom" textRotation="0" wrapText="false" indent="0" shrinkToFit="false"/>
      <protection locked="true" hidden="false"/>
    </xf>
    <xf numFmtId="166" fontId="13" fillId="5" borderId="0" xfId="0" applyFont="true" applyBorder="false" applyAlignment="false" applyProtection="false">
      <alignment horizontal="general" vertical="bottom" textRotation="0" wrapText="false" indent="0" shrinkToFit="false"/>
      <protection locked="true" hidden="false"/>
    </xf>
    <xf numFmtId="166" fontId="13" fillId="4" borderId="0" xfId="0" applyFont="true" applyBorder="false" applyAlignment="false" applyProtection="false">
      <alignment horizontal="general" vertical="bottom" textRotation="0" wrapText="false" indent="0" shrinkToFit="false"/>
      <protection locked="true" hidden="false"/>
    </xf>
    <xf numFmtId="166" fontId="15" fillId="4" borderId="0" xfId="0" applyFont="true" applyBorder="false" applyAlignment="false" applyProtection="false">
      <alignment horizontal="general" vertical="bottom" textRotation="0" wrapText="false" indent="0" shrinkToFit="false"/>
      <protection locked="true" hidden="false"/>
    </xf>
    <xf numFmtId="167" fontId="13" fillId="5" borderId="0" xfId="0" applyFont="true" applyBorder="false" applyAlignment="false" applyProtection="false">
      <alignment horizontal="general" vertical="bottom" textRotation="0" wrapText="false" indent="0" shrinkToFit="false"/>
      <protection locked="true" hidden="false"/>
    </xf>
    <xf numFmtId="167" fontId="13" fillId="4" borderId="0" xfId="0" applyFont="true" applyBorder="false" applyAlignment="false" applyProtection="false">
      <alignment horizontal="general" vertical="bottom" textRotation="0" wrapText="false" indent="0" shrinkToFit="false"/>
      <protection locked="true" hidden="false"/>
    </xf>
    <xf numFmtId="167" fontId="15" fillId="4" borderId="0" xfId="0" applyFont="true" applyBorder="false" applyAlignment="false" applyProtection="false">
      <alignment horizontal="general" vertical="bottom" textRotation="0" wrapText="false" indent="0" shrinkToFit="false"/>
      <protection locked="true" hidden="false"/>
    </xf>
    <xf numFmtId="168" fontId="13" fillId="0" borderId="0" xfId="0" applyFont="true" applyBorder="false" applyAlignment="false" applyProtection="false">
      <alignment horizontal="general" vertical="bottom" textRotation="0" wrapText="false" indent="0" shrinkToFit="false"/>
      <protection locked="true" hidden="false"/>
    </xf>
    <xf numFmtId="168" fontId="15" fillId="4" borderId="0" xfId="0" applyFont="true" applyBorder="false" applyAlignment="false" applyProtection="false">
      <alignment horizontal="general" vertical="bottom" textRotation="0" wrapText="false" indent="0" shrinkToFit="false"/>
      <protection locked="true" hidden="false"/>
    </xf>
    <xf numFmtId="168" fontId="13" fillId="4"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69" fontId="13" fillId="0" borderId="0" xfId="0" applyFont="true" applyBorder="false" applyAlignment="false" applyProtection="false">
      <alignment horizontal="general" vertical="bottom" textRotation="0" wrapText="false" indent="0" shrinkToFit="false"/>
      <protection locked="true" hidden="false"/>
    </xf>
    <xf numFmtId="169" fontId="13" fillId="4" borderId="0" xfId="0" applyFont="true" applyBorder="false" applyAlignment="false" applyProtection="false">
      <alignment horizontal="general" vertical="bottom" textRotation="0" wrapText="false" indent="0" shrinkToFit="false"/>
      <protection locked="true" hidden="false"/>
    </xf>
    <xf numFmtId="169" fontId="15" fillId="4" borderId="0" xfId="0" applyFont="true" applyBorder="false" applyAlignment="false" applyProtection="false">
      <alignment horizontal="general" vertical="bottom" textRotation="0" wrapText="false" indent="0" shrinkToFit="false"/>
      <protection locked="true" hidden="false"/>
    </xf>
    <xf numFmtId="168" fontId="13" fillId="5" borderId="0" xfId="0" applyFont="true" applyBorder="false" applyAlignment="false" applyProtection="false">
      <alignment horizontal="general" vertical="bottom" textRotation="0" wrapText="false" indent="0" shrinkToFit="false"/>
      <protection locked="true" hidden="false"/>
    </xf>
    <xf numFmtId="170" fontId="13" fillId="5" borderId="0" xfId="0" applyFont="true" applyBorder="false" applyAlignment="false" applyProtection="false">
      <alignment horizontal="general" vertical="bottom" textRotation="0" wrapText="false" indent="0" shrinkToFit="false"/>
      <protection locked="true" hidden="false"/>
    </xf>
    <xf numFmtId="170" fontId="13" fillId="4" borderId="0" xfId="0" applyFont="true" applyBorder="false" applyAlignment="false" applyProtection="false">
      <alignment horizontal="general" vertical="bottom" textRotation="0" wrapText="false" indent="0" shrinkToFit="false"/>
      <protection locked="true" hidden="false"/>
    </xf>
    <xf numFmtId="169" fontId="13" fillId="5" borderId="0" xfId="0" applyFont="true" applyBorder="false" applyAlignment="false" applyProtection="false">
      <alignment horizontal="general" vertical="bottom" textRotation="0" wrapText="false" indent="0" shrinkToFit="false"/>
      <protection locked="true" hidden="false"/>
    </xf>
    <xf numFmtId="170" fontId="13" fillId="0" borderId="0" xfId="0" applyFont="true" applyBorder="false" applyAlignment="false" applyProtection="false">
      <alignment horizontal="general" vertical="bottom" textRotation="0" wrapText="fals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71" fontId="13" fillId="0" borderId="0" xfId="0" applyFont="true" applyBorder="false" applyAlignment="false" applyProtection="false">
      <alignment horizontal="general" vertical="bottom" textRotation="0" wrapText="false" indent="0" shrinkToFit="false"/>
      <protection locked="true" hidden="false"/>
    </xf>
    <xf numFmtId="171" fontId="13" fillId="4"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9" fontId="16" fillId="0" borderId="0" xfId="0" applyFont="true" applyBorder="false" applyAlignment="false" applyProtection="false">
      <alignment horizontal="general" vertical="bottom" textRotation="0" wrapText="false" indent="0" shrinkToFit="false"/>
      <protection locked="true" hidden="false"/>
    </xf>
    <xf numFmtId="169" fontId="16" fillId="4"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66" fontId="16" fillId="4" borderId="0" xfId="0" applyFont="true" applyBorder="false" applyAlignment="false" applyProtection="false">
      <alignment horizontal="general" vertical="bottom" textRotation="0" wrapText="false" indent="0" shrinkToFit="false"/>
      <protection locked="true" hidden="false"/>
    </xf>
    <xf numFmtId="172" fontId="16" fillId="0" borderId="0" xfId="0" applyFont="true" applyBorder="false" applyAlignment="false" applyProtection="false">
      <alignment horizontal="general" vertical="bottom" textRotation="0" wrapText="false" indent="0" shrinkToFit="false"/>
      <protection locked="true" hidden="false"/>
    </xf>
    <xf numFmtId="172" fontId="16" fillId="4" borderId="0" xfId="0" applyFont="true" applyBorder="false" applyAlignment="false" applyProtection="false">
      <alignment horizontal="general" vertical="bottom" textRotation="0" wrapText="false" indent="0" shrinkToFit="false"/>
      <protection locked="true" hidden="false"/>
    </xf>
    <xf numFmtId="165" fontId="16" fillId="0" borderId="0" xfId="0" applyFont="true" applyBorder="false" applyAlignment="false" applyProtection="false">
      <alignment horizontal="general" vertical="bottom" textRotation="0" wrapText="false" indent="0" shrinkToFit="false"/>
      <protection locked="true" hidden="false"/>
    </xf>
    <xf numFmtId="165" fontId="16" fillId="4" borderId="0" xfId="0" applyFont="true" applyBorder="false" applyAlignment="false" applyProtection="false">
      <alignment horizontal="general" vertical="bottom" textRotation="0" wrapText="false" indent="0" shrinkToFit="false"/>
      <protection locked="true" hidden="false"/>
    </xf>
    <xf numFmtId="170" fontId="16" fillId="0" borderId="0" xfId="0" applyFont="true" applyBorder="false" applyAlignment="false" applyProtection="false">
      <alignment horizontal="general" vertical="bottom" textRotation="0" wrapText="false" indent="0" shrinkToFit="false"/>
      <protection locked="true" hidden="false"/>
    </xf>
    <xf numFmtId="170" fontId="16" fillId="4" borderId="0" xfId="0" applyFont="true" applyBorder="false" applyAlignment="false" applyProtection="false">
      <alignment horizontal="general" vertical="bottom" textRotation="0" wrapText="false" indent="0" shrinkToFit="false"/>
      <protection locked="true" hidden="false"/>
    </xf>
    <xf numFmtId="168" fontId="16" fillId="0" borderId="0" xfId="0" applyFont="true" applyBorder="false" applyAlignment="false" applyProtection="false">
      <alignment horizontal="general" vertical="bottom" textRotation="0" wrapText="false" indent="0" shrinkToFit="false"/>
      <protection locked="true" hidden="false"/>
    </xf>
    <xf numFmtId="168" fontId="16" fillId="4"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4" fontId="14" fillId="6" borderId="0"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9" fontId="9" fillId="2" borderId="0" xfId="0" applyFont="true" applyBorder="false" applyAlignment="false" applyProtection="false">
      <alignment horizontal="general" vertical="bottom" textRotation="0" wrapText="false" indent="0" shrinkToFit="false"/>
      <protection locked="true" hidden="false"/>
    </xf>
    <xf numFmtId="168" fontId="12"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false" applyProtection="false">
      <alignment horizontal="general" vertical="bottom" textRotation="0" wrapText="false" indent="0" shrinkToFit="false"/>
      <protection locked="true" hidden="false"/>
    </xf>
    <xf numFmtId="167" fontId="9" fillId="2"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70" fontId="12"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72" fontId="12" fillId="0" borderId="0" xfId="0" applyFont="true" applyBorder="false" applyAlignment="false" applyProtection="false">
      <alignment horizontal="general" vertical="bottom" textRotation="0" wrapText="false" indent="0" shrinkToFit="false"/>
      <protection locked="true" hidden="false"/>
    </xf>
    <xf numFmtId="169" fontId="12"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77777"/>
      <rgbColor rgb="FF9999FF"/>
      <rgbColor rgb="FF993366"/>
      <rgbColor rgb="FFFDEBE7"/>
      <rgbColor rgb="FFE8EFEA"/>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A"/>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D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6" min="2" style="0" width="22"/>
  </cols>
  <sheetData>
    <row r="1" customFormat="false" ht="19.7" hidden="false" customHeight="false" outlineLevel="0" collapsed="false">
      <c r="A1" s="1" t="s">
        <v>0</v>
      </c>
    </row>
    <row r="3" customFormat="false" ht="15" hidden="false" customHeight="false" outlineLevel="0" collapsed="false">
      <c r="A3" s="2" t="s">
        <v>1</v>
      </c>
    </row>
    <row r="4" customFormat="false" ht="78" hidden="false" customHeight="true" outlineLevel="0" collapsed="false">
      <c r="A4" s="3" t="s">
        <v>2</v>
      </c>
      <c r="B4" s="3"/>
      <c r="C4" s="3"/>
      <c r="D4" s="3"/>
      <c r="E4" s="3"/>
      <c r="F4" s="3"/>
    </row>
    <row r="6" customFormat="false" ht="15" hidden="false" customHeight="false" outlineLevel="0" collapsed="false">
      <c r="A6" s="2" t="s">
        <v>3</v>
      </c>
    </row>
    <row r="7" customFormat="false" ht="51.75" hidden="false" customHeight="true" outlineLevel="0" collapsed="false">
      <c r="A7" s="3" t="s">
        <v>4</v>
      </c>
      <c r="B7" s="3"/>
      <c r="C7" s="3"/>
      <c r="D7" s="3"/>
      <c r="E7" s="3"/>
      <c r="F7" s="3"/>
    </row>
    <row r="9" customFormat="false" ht="15" hidden="false" customHeight="false" outlineLevel="0" collapsed="false">
      <c r="A9" s="2" t="s">
        <v>5</v>
      </c>
    </row>
    <row r="10" customFormat="false" ht="39" hidden="false" customHeight="true" outlineLevel="0" collapsed="false">
      <c r="A10" s="3" t="s">
        <v>6</v>
      </c>
      <c r="B10" s="3"/>
      <c r="C10" s="3"/>
      <c r="D10" s="3"/>
      <c r="E10" s="3"/>
      <c r="F10" s="3"/>
    </row>
    <row r="12" customFormat="false" ht="15" hidden="false" customHeight="false" outlineLevel="0" collapsed="false">
      <c r="A12" s="2" t="s">
        <v>7</v>
      </c>
    </row>
    <row r="13" customFormat="false" ht="51.75" hidden="false" customHeight="true" outlineLevel="0" collapsed="false">
      <c r="A13" s="3" t="s">
        <v>8</v>
      </c>
      <c r="B13" s="3"/>
      <c r="C13" s="3"/>
      <c r="D13" s="3"/>
      <c r="E13" s="3"/>
      <c r="F13" s="3"/>
    </row>
    <row r="15" customFormat="false" ht="15" hidden="false" customHeight="false" outlineLevel="0" collapsed="false">
      <c r="A15" s="2" t="s">
        <v>9</v>
      </c>
    </row>
    <row r="16" customFormat="false" ht="78" hidden="false" customHeight="true" outlineLevel="0" collapsed="false">
      <c r="A16" s="3" t="s">
        <v>10</v>
      </c>
      <c r="B16" s="3"/>
      <c r="C16" s="3"/>
      <c r="D16" s="3"/>
      <c r="E16" s="3"/>
      <c r="F16" s="3"/>
    </row>
    <row r="18" customFormat="false" ht="15" hidden="false" customHeight="false" outlineLevel="0" collapsed="false">
      <c r="A18" s="2" t="s">
        <v>11</v>
      </c>
    </row>
    <row r="19" customFormat="false" ht="78" hidden="false" customHeight="true" outlineLevel="0" collapsed="false">
      <c r="A19" s="3" t="s">
        <v>12</v>
      </c>
      <c r="B19" s="3"/>
      <c r="C19" s="3"/>
      <c r="D19" s="3"/>
      <c r="E19" s="3"/>
      <c r="F19" s="3"/>
    </row>
    <row r="21" customFormat="false" ht="15" hidden="false" customHeight="false" outlineLevel="0" collapsed="false">
      <c r="A21" s="2" t="s">
        <v>13</v>
      </c>
    </row>
    <row r="22" customFormat="false" ht="78" hidden="false" customHeight="true" outlineLevel="0" collapsed="false">
      <c r="A22" s="3" t="s">
        <v>14</v>
      </c>
      <c r="B22" s="3"/>
      <c r="C22" s="3"/>
      <c r="D22" s="3"/>
      <c r="E22" s="3"/>
      <c r="F22" s="3"/>
    </row>
    <row r="24" customFormat="false" ht="15" hidden="false" customHeight="false" outlineLevel="0" collapsed="false">
      <c r="A24" s="2" t="s">
        <v>15</v>
      </c>
    </row>
    <row r="25" customFormat="false" ht="103.5" hidden="false" customHeight="true" outlineLevel="0" collapsed="false">
      <c r="A25" s="3" t="s">
        <v>16</v>
      </c>
      <c r="B25" s="3"/>
      <c r="C25" s="3"/>
      <c r="D25" s="3"/>
      <c r="E25" s="3"/>
      <c r="F25" s="3"/>
    </row>
    <row r="27" customFormat="false" ht="15" hidden="false" customHeight="false" outlineLevel="0" collapsed="false">
      <c r="A27" s="2" t="s">
        <v>17</v>
      </c>
    </row>
    <row r="28" customFormat="false" ht="90.75" hidden="false" customHeight="true" outlineLevel="0" collapsed="false">
      <c r="A28" s="3" t="s">
        <v>18</v>
      </c>
      <c r="B28" s="3"/>
      <c r="C28" s="3"/>
      <c r="D28" s="3"/>
      <c r="E28" s="3"/>
      <c r="F28" s="3"/>
    </row>
    <row r="30" customFormat="false" ht="15" hidden="false" customHeight="false" outlineLevel="0" collapsed="false">
      <c r="A30" s="2" t="s">
        <v>19</v>
      </c>
    </row>
    <row r="31" customFormat="false" ht="39" hidden="false" customHeight="true" outlineLevel="0" collapsed="false">
      <c r="A31" s="3" t="s">
        <v>20</v>
      </c>
      <c r="B31" s="3"/>
      <c r="C31" s="3"/>
      <c r="D31" s="3"/>
      <c r="E31" s="3"/>
      <c r="F31" s="3"/>
    </row>
  </sheetData>
  <mergeCells count="10">
    <mergeCell ref="A4:F4"/>
    <mergeCell ref="A7:F7"/>
    <mergeCell ref="A10:F10"/>
    <mergeCell ref="A13:F13"/>
    <mergeCell ref="A16:F16"/>
    <mergeCell ref="A19:F19"/>
    <mergeCell ref="A22:F22"/>
    <mergeCell ref="A25:F25"/>
    <mergeCell ref="A28:F28"/>
    <mergeCell ref="A31:F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02"/>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7"/>
    <col collapsed="false" customWidth="true" hidden="false" outlineLevel="0" max="2" min="2" style="0" width="52"/>
    <col collapsed="false" customWidth="true" hidden="false" outlineLevel="0" max="3" min="3" style="0" width="10"/>
    <col collapsed="false" customWidth="true" hidden="false" outlineLevel="0" max="6" min="4" style="0" width="12"/>
    <col collapsed="false" customWidth="true" hidden="false" outlineLevel="0" max="9" min="7" style="0" width="14"/>
    <col collapsed="false" customWidth="true" hidden="false" outlineLevel="0" max="10" min="10" style="0" width="70"/>
    <col collapsed="false" customWidth="true" hidden="false" outlineLevel="0" max="12" min="11" style="0" width="11"/>
    <col collapsed="false" customWidth="true" hidden="false" outlineLevel="0" max="13" min="13" style="0" width="26"/>
  </cols>
  <sheetData>
    <row r="1" customFormat="false" ht="17.35" hidden="false" customHeight="false" outlineLevel="0" collapsed="false">
      <c r="A1" s="4" t="s">
        <v>21</v>
      </c>
    </row>
    <row r="2" customFormat="false" ht="57.75" hidden="false" customHeight="true" outlineLevel="0" collapsed="false">
      <c r="A2" s="5" t="s">
        <v>22</v>
      </c>
      <c r="B2" s="5"/>
      <c r="C2" s="5"/>
      <c r="D2" s="5"/>
      <c r="E2" s="5"/>
      <c r="F2" s="5"/>
      <c r="G2" s="5"/>
      <c r="H2" s="5"/>
      <c r="I2" s="5"/>
      <c r="J2" s="5"/>
      <c r="K2" s="5"/>
      <c r="L2" s="5"/>
      <c r="M2" s="5"/>
    </row>
    <row r="4" customFormat="false" ht="26.85" hidden="false" customHeight="false" outlineLevel="0" collapsed="false">
      <c r="A4" s="6" t="s">
        <v>23</v>
      </c>
      <c r="B4" s="6" t="s">
        <v>24</v>
      </c>
      <c r="C4" s="6" t="s">
        <v>25</v>
      </c>
      <c r="D4" s="6" t="s">
        <v>26</v>
      </c>
      <c r="E4" s="6" t="s">
        <v>27</v>
      </c>
      <c r="F4" s="6" t="s">
        <v>28</v>
      </c>
      <c r="G4" s="6" t="s">
        <v>29</v>
      </c>
      <c r="H4" s="6" t="s">
        <v>30</v>
      </c>
      <c r="I4" s="6" t="s">
        <v>31</v>
      </c>
      <c r="J4" s="6" t="s">
        <v>32</v>
      </c>
      <c r="K4" s="6" t="s">
        <v>33</v>
      </c>
      <c r="L4" s="6" t="s">
        <v>34</v>
      </c>
      <c r="M4" s="6" t="s">
        <v>35</v>
      </c>
    </row>
    <row r="5" customFormat="false" ht="15" hidden="false" customHeight="false" outlineLevel="0" collapsed="false">
      <c r="A5" s="7" t="s">
        <v>36</v>
      </c>
      <c r="B5" s="8"/>
      <c r="C5" s="8"/>
      <c r="D5" s="8"/>
      <c r="E5" s="8"/>
      <c r="F5" s="8"/>
      <c r="G5" s="8"/>
      <c r="H5" s="8"/>
      <c r="I5" s="8"/>
      <c r="J5" s="8"/>
      <c r="K5" s="8"/>
      <c r="L5" s="8"/>
      <c r="M5" s="8"/>
    </row>
    <row r="6" customFormat="false" ht="22.35" hidden="false" customHeight="false" outlineLevel="0" collapsed="false">
      <c r="A6" s="9" t="s">
        <v>37</v>
      </c>
      <c r="B6" s="10" t="s">
        <v>38</v>
      </c>
      <c r="C6" s="10" t="s">
        <v>39</v>
      </c>
      <c r="D6" s="11" t="n">
        <v>3</v>
      </c>
      <c r="E6" s="11" t="n">
        <v>2</v>
      </c>
      <c r="F6" s="11" t="n">
        <v>2</v>
      </c>
      <c r="G6" s="12" t="n">
        <v>2</v>
      </c>
      <c r="H6" s="12" t="n">
        <v>2</v>
      </c>
      <c r="I6" s="12" t="n">
        <v>2</v>
      </c>
      <c r="J6" s="13" t="s">
        <v>40</v>
      </c>
      <c r="K6" s="10" t="s">
        <v>41</v>
      </c>
      <c r="L6" s="10" t="s">
        <v>42</v>
      </c>
      <c r="M6" s="13" t="s">
        <v>43</v>
      </c>
    </row>
    <row r="7" customFormat="false" ht="22.35" hidden="false" customHeight="false" outlineLevel="0" collapsed="false">
      <c r="A7" s="9" t="s">
        <v>44</v>
      </c>
      <c r="B7" s="10" t="s">
        <v>45</v>
      </c>
      <c r="C7" s="10" t="s">
        <v>39</v>
      </c>
      <c r="D7" s="14" t="n">
        <v>9</v>
      </c>
      <c r="E7" s="14" t="n">
        <v>7</v>
      </c>
      <c r="F7" s="14" t="n">
        <v>5</v>
      </c>
      <c r="G7" s="12" t="n">
        <v>7</v>
      </c>
      <c r="H7" s="12" t="n">
        <v>7</v>
      </c>
      <c r="I7" s="12" t="n">
        <v>7</v>
      </c>
      <c r="J7" s="13" t="s">
        <v>46</v>
      </c>
      <c r="K7" s="10" t="s">
        <v>42</v>
      </c>
      <c r="L7" s="10" t="s">
        <v>41</v>
      </c>
      <c r="M7" s="13" t="s">
        <v>47</v>
      </c>
    </row>
    <row r="8" customFormat="false" ht="15" hidden="false" customHeight="false" outlineLevel="0" collapsed="false">
      <c r="A8" s="7" t="s">
        <v>48</v>
      </c>
      <c r="B8" s="8"/>
      <c r="C8" s="8"/>
      <c r="D8" s="8"/>
      <c r="E8" s="8"/>
      <c r="F8" s="8"/>
      <c r="G8" s="8"/>
      <c r="H8" s="8"/>
      <c r="I8" s="8"/>
      <c r="J8" s="8"/>
      <c r="K8" s="8"/>
      <c r="L8" s="8"/>
      <c r="M8" s="8"/>
    </row>
    <row r="9" customFormat="false" ht="22.35" hidden="false" customHeight="false" outlineLevel="0" collapsed="false">
      <c r="A9" s="9" t="s">
        <v>49</v>
      </c>
      <c r="B9" s="10" t="s">
        <v>50</v>
      </c>
      <c r="C9" s="10" t="s">
        <v>51</v>
      </c>
      <c r="D9" s="14" t="n">
        <v>27400000</v>
      </c>
      <c r="E9" s="14" t="n">
        <v>27400000</v>
      </c>
      <c r="F9" s="14" t="n">
        <v>27400000</v>
      </c>
      <c r="G9" s="15" t="n">
        <v>0</v>
      </c>
      <c r="H9" s="12" t="n">
        <v>27400000</v>
      </c>
      <c r="I9" s="12" t="n">
        <v>27400000</v>
      </c>
      <c r="J9" s="13" t="s">
        <v>52</v>
      </c>
      <c r="K9" s="10" t="s">
        <v>42</v>
      </c>
      <c r="L9" s="10" t="s">
        <v>41</v>
      </c>
      <c r="M9" s="13" t="s">
        <v>53</v>
      </c>
    </row>
    <row r="10" customFormat="false" ht="15" hidden="false" customHeight="false" outlineLevel="0" collapsed="false">
      <c r="A10" s="9" t="s">
        <v>54</v>
      </c>
      <c r="B10" s="10" t="s">
        <v>55</v>
      </c>
      <c r="C10" s="10" t="s">
        <v>51</v>
      </c>
      <c r="D10" s="14" t="n">
        <v>3</v>
      </c>
      <c r="E10" s="14" t="n">
        <v>5</v>
      </c>
      <c r="F10" s="14" t="n">
        <v>7</v>
      </c>
      <c r="G10" s="15" t="n">
        <v>0</v>
      </c>
      <c r="H10" s="15" t="n">
        <v>3</v>
      </c>
      <c r="I10" s="12" t="n">
        <v>5</v>
      </c>
      <c r="J10" s="13" t="s">
        <v>56</v>
      </c>
      <c r="K10" s="10" t="s">
        <v>57</v>
      </c>
      <c r="L10" s="10" t="s">
        <v>41</v>
      </c>
      <c r="M10" s="13" t="s">
        <v>58</v>
      </c>
    </row>
    <row r="11" customFormat="false" ht="32.8" hidden="false" customHeight="false" outlineLevel="0" collapsed="false">
      <c r="A11" s="9" t="s">
        <v>59</v>
      </c>
      <c r="B11" s="10" t="s">
        <v>60</v>
      </c>
      <c r="C11" s="10" t="s">
        <v>61</v>
      </c>
      <c r="D11" s="16" t="n">
        <v>0.055</v>
      </c>
      <c r="E11" s="16" t="n">
        <v>0.08</v>
      </c>
      <c r="F11" s="16" t="n">
        <v>0.105</v>
      </c>
      <c r="G11" s="17" t="n">
        <v>0.08</v>
      </c>
      <c r="H11" s="18" t="n">
        <v>0.055</v>
      </c>
      <c r="I11" s="17" t="n">
        <v>0.08</v>
      </c>
      <c r="J11" s="13" t="s">
        <v>62</v>
      </c>
      <c r="K11" s="10" t="s">
        <v>63</v>
      </c>
      <c r="L11" s="10" t="s">
        <v>41</v>
      </c>
      <c r="M11" s="13" t="s">
        <v>64</v>
      </c>
    </row>
    <row r="12" customFormat="false" ht="22.35" hidden="false" customHeight="false" outlineLevel="0" collapsed="false">
      <c r="A12" s="9" t="s">
        <v>65</v>
      </c>
      <c r="B12" s="10" t="s">
        <v>66</v>
      </c>
      <c r="C12" s="10" t="s">
        <v>61</v>
      </c>
      <c r="D12" s="19" t="n">
        <v>0.005</v>
      </c>
      <c r="E12" s="19" t="n">
        <v>0.007</v>
      </c>
      <c r="F12" s="19" t="n">
        <v>0.0095</v>
      </c>
      <c r="G12" s="20" t="n">
        <v>0.007</v>
      </c>
      <c r="H12" s="21" t="n">
        <v>0.005</v>
      </c>
      <c r="I12" s="20" t="n">
        <v>0.007</v>
      </c>
      <c r="J12" s="13" t="s">
        <v>67</v>
      </c>
      <c r="K12" s="10" t="s">
        <v>63</v>
      </c>
      <c r="L12" s="10" t="s">
        <v>41</v>
      </c>
      <c r="M12" s="13" t="s">
        <v>68</v>
      </c>
    </row>
    <row r="13" customFormat="false" ht="22.35" hidden="false" customHeight="false" outlineLevel="0" collapsed="false">
      <c r="A13" s="9" t="s">
        <v>69</v>
      </c>
      <c r="B13" s="10" t="s">
        <v>70</v>
      </c>
      <c r="C13" s="10" t="s">
        <v>61</v>
      </c>
      <c r="D13" s="16" t="n">
        <v>0.72</v>
      </c>
      <c r="E13" s="16" t="n">
        <v>0.8</v>
      </c>
      <c r="F13" s="16" t="n">
        <v>0.86</v>
      </c>
      <c r="G13" s="17" t="n">
        <v>0.8</v>
      </c>
      <c r="H13" s="17" t="n">
        <v>0.8</v>
      </c>
      <c r="I13" s="17" t="n">
        <v>0.8</v>
      </c>
      <c r="J13" s="13" t="s">
        <v>71</v>
      </c>
      <c r="K13" s="10" t="s">
        <v>63</v>
      </c>
      <c r="L13" s="10" t="s">
        <v>41</v>
      </c>
      <c r="M13" s="13" t="s">
        <v>72</v>
      </c>
    </row>
    <row r="14" customFormat="false" ht="15" hidden="false" customHeight="false" outlineLevel="0" collapsed="false">
      <c r="A14" s="9" t="s">
        <v>73</v>
      </c>
      <c r="B14" s="10" t="s">
        <v>74</v>
      </c>
      <c r="C14" s="10" t="s">
        <v>61</v>
      </c>
      <c r="D14" s="16" t="n">
        <v>0.32</v>
      </c>
      <c r="E14" s="16" t="n">
        <v>0.38</v>
      </c>
      <c r="F14" s="16" t="n">
        <v>0.44</v>
      </c>
      <c r="G14" s="17" t="n">
        <v>0.38</v>
      </c>
      <c r="H14" s="18" t="n">
        <v>0.32</v>
      </c>
      <c r="I14" s="17" t="n">
        <v>0.38</v>
      </c>
      <c r="J14" s="13" t="s">
        <v>75</v>
      </c>
      <c r="K14" s="10" t="s">
        <v>63</v>
      </c>
      <c r="L14" s="10" t="s">
        <v>41</v>
      </c>
      <c r="M14" s="13" t="s">
        <v>72</v>
      </c>
    </row>
    <row r="15" customFormat="false" ht="15" hidden="false" customHeight="false" outlineLevel="0" collapsed="false">
      <c r="A15" s="9" t="s">
        <v>76</v>
      </c>
      <c r="B15" s="10" t="s">
        <v>77</v>
      </c>
      <c r="C15" s="10" t="s">
        <v>78</v>
      </c>
      <c r="D15" s="22" t="n">
        <v>1.8</v>
      </c>
      <c r="E15" s="22" t="n">
        <v>2.3</v>
      </c>
      <c r="F15" s="22" t="n">
        <v>2.8</v>
      </c>
      <c r="G15" s="23" t="n">
        <v>1</v>
      </c>
      <c r="H15" s="23" t="n">
        <v>1.8</v>
      </c>
      <c r="I15" s="24" t="n">
        <v>2.3</v>
      </c>
      <c r="J15" s="13" t="s">
        <v>79</v>
      </c>
      <c r="K15" s="10" t="s">
        <v>63</v>
      </c>
      <c r="L15" s="10" t="s">
        <v>42</v>
      </c>
      <c r="M15" s="13" t="s">
        <v>80</v>
      </c>
    </row>
    <row r="16" customFormat="false" ht="15" hidden="false" customHeight="false" outlineLevel="0" collapsed="false">
      <c r="A16" s="7" t="s">
        <v>81</v>
      </c>
      <c r="B16" s="8"/>
      <c r="C16" s="8"/>
      <c r="D16" s="8"/>
      <c r="E16" s="8"/>
      <c r="F16" s="8"/>
      <c r="G16" s="8"/>
      <c r="H16" s="8"/>
      <c r="I16" s="8"/>
      <c r="J16" s="8"/>
      <c r="K16" s="8"/>
      <c r="L16" s="8"/>
      <c r="M16" s="8"/>
    </row>
    <row r="17" customFormat="false" ht="15" hidden="false" customHeight="false" outlineLevel="0" collapsed="false">
      <c r="A17" s="9" t="s">
        <v>82</v>
      </c>
      <c r="B17" s="10" t="s">
        <v>83</v>
      </c>
      <c r="C17" s="10" t="s">
        <v>84</v>
      </c>
      <c r="D17" s="11" t="n">
        <v>1200</v>
      </c>
      <c r="E17" s="11" t="n">
        <v>2200</v>
      </c>
      <c r="F17" s="11" t="n">
        <v>3500</v>
      </c>
      <c r="G17" s="12" t="n">
        <v>2200</v>
      </c>
      <c r="H17" s="12" t="n">
        <v>2200</v>
      </c>
      <c r="I17" s="12" t="n">
        <v>2200</v>
      </c>
      <c r="J17" s="13" t="s">
        <v>85</v>
      </c>
      <c r="K17" s="10" t="s">
        <v>63</v>
      </c>
      <c r="L17" s="10" t="s">
        <v>63</v>
      </c>
      <c r="M17" s="13" t="s">
        <v>86</v>
      </c>
    </row>
    <row r="18" customFormat="false" ht="15" hidden="false" customHeight="false" outlineLevel="0" collapsed="false">
      <c r="A18" s="9" t="s">
        <v>87</v>
      </c>
      <c r="B18" s="10" t="s">
        <v>88</v>
      </c>
      <c r="C18" s="10" t="s">
        <v>61</v>
      </c>
      <c r="D18" s="25" t="n">
        <v>0.06</v>
      </c>
      <c r="E18" s="25" t="n">
        <v>0.09</v>
      </c>
      <c r="F18" s="25" t="n">
        <v>0.12</v>
      </c>
      <c r="G18" s="17" t="n">
        <v>0.09</v>
      </c>
      <c r="H18" s="17" t="n">
        <v>0.09</v>
      </c>
      <c r="I18" s="17" t="n">
        <v>0.09</v>
      </c>
      <c r="J18" s="13" t="s">
        <v>89</v>
      </c>
      <c r="K18" s="10" t="s">
        <v>63</v>
      </c>
      <c r="L18" s="10" t="s">
        <v>42</v>
      </c>
      <c r="M18" s="13" t="s">
        <v>90</v>
      </c>
    </row>
    <row r="19" customFormat="false" ht="15" hidden="false" customHeight="false" outlineLevel="0" collapsed="false">
      <c r="A19" s="9" t="s">
        <v>91</v>
      </c>
      <c r="B19" s="10" t="s">
        <v>92</v>
      </c>
      <c r="C19" s="10" t="s">
        <v>84</v>
      </c>
      <c r="D19" s="11" t="n">
        <v>90000</v>
      </c>
      <c r="E19" s="11" t="n">
        <v>180000</v>
      </c>
      <c r="F19" s="11" t="n">
        <v>280000</v>
      </c>
      <c r="G19" s="12" t="n">
        <v>180000</v>
      </c>
      <c r="H19" s="12" t="n">
        <v>180000</v>
      </c>
      <c r="I19" s="12" t="n">
        <v>180000</v>
      </c>
      <c r="J19" s="13" t="s">
        <v>93</v>
      </c>
      <c r="K19" s="10" t="s">
        <v>63</v>
      </c>
      <c r="L19" s="10" t="s">
        <v>42</v>
      </c>
      <c r="M19" s="13" t="s">
        <v>94</v>
      </c>
    </row>
    <row r="20" customFormat="false" ht="15" hidden="false" customHeight="false" outlineLevel="0" collapsed="false">
      <c r="A20" s="9" t="s">
        <v>95</v>
      </c>
      <c r="B20" s="10" t="s">
        <v>96</v>
      </c>
      <c r="C20" s="10" t="s">
        <v>97</v>
      </c>
      <c r="D20" s="26" t="n">
        <v>4000</v>
      </c>
      <c r="E20" s="26" t="n">
        <v>8000</v>
      </c>
      <c r="F20" s="26" t="n">
        <v>15000</v>
      </c>
      <c r="G20" s="27" t="n">
        <v>8000</v>
      </c>
      <c r="H20" s="27" t="n">
        <v>8000</v>
      </c>
      <c r="I20" s="27" t="n">
        <v>8000</v>
      </c>
      <c r="J20" s="13" t="s">
        <v>98</v>
      </c>
      <c r="K20" s="10" t="s">
        <v>42</v>
      </c>
      <c r="L20" s="10" t="s">
        <v>63</v>
      </c>
      <c r="M20" s="13" t="s">
        <v>99</v>
      </c>
    </row>
    <row r="21" customFormat="false" ht="15" hidden="false" customHeight="false" outlineLevel="0" collapsed="false">
      <c r="A21" s="9" t="s">
        <v>100</v>
      </c>
      <c r="B21" s="10" t="s">
        <v>101</v>
      </c>
      <c r="C21" s="10" t="s">
        <v>97</v>
      </c>
      <c r="D21" s="26" t="n">
        <v>10000</v>
      </c>
      <c r="E21" s="26" t="n">
        <v>30000</v>
      </c>
      <c r="F21" s="26" t="n">
        <v>60000</v>
      </c>
      <c r="G21" s="27" t="n">
        <v>30000</v>
      </c>
      <c r="H21" s="27" t="n">
        <v>30000</v>
      </c>
      <c r="I21" s="27" t="n">
        <v>30000</v>
      </c>
      <c r="J21" s="13" t="s">
        <v>102</v>
      </c>
      <c r="K21" s="10" t="s">
        <v>42</v>
      </c>
      <c r="L21" s="10" t="s">
        <v>42</v>
      </c>
      <c r="M21" s="13" t="s">
        <v>99</v>
      </c>
    </row>
    <row r="22" customFormat="false" ht="43.25" hidden="false" customHeight="false" outlineLevel="0" collapsed="false">
      <c r="A22" s="9" t="s">
        <v>103</v>
      </c>
      <c r="B22" s="10" t="s">
        <v>104</v>
      </c>
      <c r="C22" s="10" t="s">
        <v>61</v>
      </c>
      <c r="D22" s="16" t="n">
        <v>0.3</v>
      </c>
      <c r="E22" s="16" t="n">
        <v>0.24</v>
      </c>
      <c r="F22" s="16" t="n">
        <v>0.2</v>
      </c>
      <c r="G22" s="17" t="n">
        <v>0.24</v>
      </c>
      <c r="H22" s="17" t="n">
        <v>0.24</v>
      </c>
      <c r="I22" s="17" t="n">
        <v>0.24</v>
      </c>
      <c r="J22" s="13" t="s">
        <v>105</v>
      </c>
      <c r="K22" s="10" t="s">
        <v>42</v>
      </c>
      <c r="L22" s="10" t="s">
        <v>41</v>
      </c>
      <c r="M22" s="13" t="s">
        <v>106</v>
      </c>
    </row>
    <row r="23" customFormat="false" ht="22.35" hidden="false" customHeight="false" outlineLevel="0" collapsed="false">
      <c r="A23" s="9" t="s">
        <v>107</v>
      </c>
      <c r="B23" s="10" t="s">
        <v>108</v>
      </c>
      <c r="C23" s="10" t="s">
        <v>97</v>
      </c>
      <c r="D23" s="26" t="n">
        <v>20000</v>
      </c>
      <c r="E23" s="26" t="n">
        <v>60000</v>
      </c>
      <c r="F23" s="26" t="n">
        <v>150000</v>
      </c>
      <c r="G23" s="28" t="n">
        <v>20000</v>
      </c>
      <c r="H23" s="27" t="n">
        <v>60000</v>
      </c>
      <c r="I23" s="27" t="n">
        <v>60000</v>
      </c>
      <c r="J23" s="13" t="s">
        <v>109</v>
      </c>
      <c r="K23" s="10" t="s">
        <v>42</v>
      </c>
      <c r="L23" s="10" t="s">
        <v>42</v>
      </c>
      <c r="M23" s="13" t="s">
        <v>110</v>
      </c>
    </row>
    <row r="24" customFormat="false" ht="32.8" hidden="false" customHeight="false" outlineLevel="0" collapsed="false">
      <c r="A24" s="9" t="s">
        <v>111</v>
      </c>
      <c r="B24" s="10" t="s">
        <v>112</v>
      </c>
      <c r="C24" s="10" t="s">
        <v>97</v>
      </c>
      <c r="D24" s="26" t="n">
        <v>300000</v>
      </c>
      <c r="E24" s="26" t="n">
        <v>1500000</v>
      </c>
      <c r="F24" s="26" t="n">
        <v>4000000</v>
      </c>
      <c r="G24" s="27" t="n">
        <v>1500000</v>
      </c>
      <c r="H24" s="27" t="n">
        <v>1500000</v>
      </c>
      <c r="I24" s="27" t="n">
        <v>1500000</v>
      </c>
      <c r="J24" s="13" t="s">
        <v>113</v>
      </c>
      <c r="K24" s="10" t="s">
        <v>42</v>
      </c>
      <c r="L24" s="10" t="s">
        <v>42</v>
      </c>
      <c r="M24" s="13" t="s">
        <v>114</v>
      </c>
    </row>
    <row r="25" customFormat="false" ht="43.25" hidden="false" customHeight="false" outlineLevel="0" collapsed="false">
      <c r="A25" s="9" t="s">
        <v>115</v>
      </c>
      <c r="B25" s="10" t="s">
        <v>116</v>
      </c>
      <c r="C25" s="10" t="s">
        <v>78</v>
      </c>
      <c r="D25" s="29" t="n">
        <v>0.7</v>
      </c>
      <c r="E25" s="29" t="n">
        <v>0.74</v>
      </c>
      <c r="F25" s="29" t="n">
        <v>0.78</v>
      </c>
      <c r="G25" s="24" t="n">
        <v>0.74</v>
      </c>
      <c r="H25" s="24" t="n">
        <v>0.74</v>
      </c>
      <c r="I25" s="24" t="n">
        <v>0.74</v>
      </c>
      <c r="J25" s="13" t="s">
        <v>117</v>
      </c>
      <c r="K25" s="10" t="s">
        <v>63</v>
      </c>
      <c r="L25" s="10" t="s">
        <v>41</v>
      </c>
      <c r="M25" s="13" t="s">
        <v>118</v>
      </c>
    </row>
    <row r="26" customFormat="false" ht="15" hidden="false" customHeight="false" outlineLevel="0" collapsed="false">
      <c r="A26" s="7" t="s">
        <v>119</v>
      </c>
      <c r="B26" s="8"/>
      <c r="C26" s="8"/>
      <c r="D26" s="8"/>
      <c r="E26" s="8"/>
      <c r="F26" s="8"/>
      <c r="G26" s="8"/>
      <c r="H26" s="8"/>
      <c r="I26" s="8"/>
      <c r="J26" s="8"/>
      <c r="K26" s="8"/>
      <c r="L26" s="8"/>
      <c r="M26" s="8"/>
    </row>
    <row r="27" customFormat="false" ht="32.8" hidden="false" customHeight="false" outlineLevel="0" collapsed="false">
      <c r="A27" s="9" t="s">
        <v>120</v>
      </c>
      <c r="B27" s="10" t="s">
        <v>121</v>
      </c>
      <c r="C27" s="10" t="s">
        <v>61</v>
      </c>
      <c r="D27" s="19" t="n">
        <v>0.0008</v>
      </c>
      <c r="E27" s="19" t="n">
        <v>0.0015</v>
      </c>
      <c r="F27" s="19" t="n">
        <v>0.0025</v>
      </c>
      <c r="G27" s="21" t="n">
        <v>0</v>
      </c>
      <c r="H27" s="20" t="n">
        <v>0.0015</v>
      </c>
      <c r="I27" s="20" t="n">
        <v>0.0015</v>
      </c>
      <c r="J27" s="13" t="s">
        <v>122</v>
      </c>
      <c r="K27" s="10" t="s">
        <v>63</v>
      </c>
      <c r="L27" s="10" t="s">
        <v>41</v>
      </c>
      <c r="M27" s="13" t="s">
        <v>123</v>
      </c>
    </row>
    <row r="28" customFormat="false" ht="15" hidden="false" customHeight="false" outlineLevel="0" collapsed="false">
      <c r="A28" s="9" t="s">
        <v>124</v>
      </c>
      <c r="B28" s="10" t="s">
        <v>125</v>
      </c>
      <c r="C28" s="10" t="s">
        <v>61</v>
      </c>
      <c r="D28" s="25" t="n">
        <v>0.05</v>
      </c>
      <c r="E28" s="25" t="n">
        <v>0.08</v>
      </c>
      <c r="F28" s="25" t="n">
        <v>0.11</v>
      </c>
      <c r="G28" s="17" t="n">
        <v>0.08</v>
      </c>
      <c r="H28" s="17" t="n">
        <v>0.08</v>
      </c>
      <c r="I28" s="17" t="n">
        <v>0.08</v>
      </c>
      <c r="J28" s="13" t="s">
        <v>126</v>
      </c>
      <c r="K28" s="10" t="s">
        <v>63</v>
      </c>
      <c r="L28" s="10" t="s">
        <v>42</v>
      </c>
      <c r="M28" s="13" t="s">
        <v>94</v>
      </c>
    </row>
    <row r="29" customFormat="false" ht="15" hidden="false" customHeight="false" outlineLevel="0" collapsed="false">
      <c r="A29" s="9" t="s">
        <v>127</v>
      </c>
      <c r="B29" s="10" t="s">
        <v>128</v>
      </c>
      <c r="C29" s="10" t="s">
        <v>61</v>
      </c>
      <c r="D29" s="25" t="n">
        <v>0.55</v>
      </c>
      <c r="E29" s="25" t="n">
        <v>0.65</v>
      </c>
      <c r="F29" s="25" t="n">
        <v>0.75</v>
      </c>
      <c r="G29" s="17" t="n">
        <v>0.65</v>
      </c>
      <c r="H29" s="17" t="n">
        <v>0.65</v>
      </c>
      <c r="I29" s="17" t="n">
        <v>0.65</v>
      </c>
      <c r="J29" s="13" t="s">
        <v>129</v>
      </c>
      <c r="K29" s="10" t="s">
        <v>42</v>
      </c>
      <c r="L29" s="10" t="s">
        <v>42</v>
      </c>
      <c r="M29" s="13" t="s">
        <v>130</v>
      </c>
    </row>
    <row r="30" customFormat="false" ht="22.35" hidden="false" customHeight="false" outlineLevel="0" collapsed="false">
      <c r="A30" s="9" t="s">
        <v>131</v>
      </c>
      <c r="B30" s="10" t="s">
        <v>132</v>
      </c>
      <c r="C30" s="10" t="s">
        <v>97</v>
      </c>
      <c r="D30" s="30" t="n">
        <v>1.3</v>
      </c>
      <c r="E30" s="30" t="n">
        <v>1.1</v>
      </c>
      <c r="F30" s="30" t="n">
        <v>0.95</v>
      </c>
      <c r="G30" s="31" t="n">
        <v>1.1</v>
      </c>
      <c r="H30" s="31" t="n">
        <v>1.1</v>
      </c>
      <c r="I30" s="31" t="n">
        <v>1.1</v>
      </c>
      <c r="J30" s="13" t="s">
        <v>133</v>
      </c>
      <c r="K30" s="10" t="s">
        <v>42</v>
      </c>
      <c r="L30" s="10" t="s">
        <v>41</v>
      </c>
      <c r="M30" s="13" t="s">
        <v>134</v>
      </c>
    </row>
    <row r="31" customFormat="false" ht="22.35" hidden="false" customHeight="false" outlineLevel="0" collapsed="false">
      <c r="A31" s="9" t="s">
        <v>135</v>
      </c>
      <c r="B31" s="10" t="s">
        <v>136</v>
      </c>
      <c r="C31" s="10" t="s">
        <v>78</v>
      </c>
      <c r="D31" s="29" t="n">
        <v>2.2</v>
      </c>
      <c r="E31" s="29" t="n">
        <v>2.8</v>
      </c>
      <c r="F31" s="29" t="n">
        <v>3.4</v>
      </c>
      <c r="G31" s="24" t="n">
        <v>2.8</v>
      </c>
      <c r="H31" s="24" t="n">
        <v>2.8</v>
      </c>
      <c r="I31" s="24" t="n">
        <v>2.8</v>
      </c>
      <c r="J31" s="13" t="s">
        <v>137</v>
      </c>
      <c r="K31" s="10" t="s">
        <v>63</v>
      </c>
      <c r="L31" s="10" t="s">
        <v>41</v>
      </c>
      <c r="M31" s="13" t="s">
        <v>138</v>
      </c>
    </row>
    <row r="32" customFormat="false" ht="32.8" hidden="false" customHeight="false" outlineLevel="0" collapsed="false">
      <c r="A32" s="9" t="s">
        <v>139</v>
      </c>
      <c r="B32" s="10" t="s">
        <v>140</v>
      </c>
      <c r="C32" s="10" t="s">
        <v>61</v>
      </c>
      <c r="D32" s="16" t="n">
        <v>0.35</v>
      </c>
      <c r="E32" s="16" t="n">
        <v>0.45</v>
      </c>
      <c r="F32" s="16" t="n">
        <v>0.55</v>
      </c>
      <c r="G32" s="17" t="n">
        <v>0.45</v>
      </c>
      <c r="H32" s="17" t="n">
        <v>0.45</v>
      </c>
      <c r="I32" s="17" t="n">
        <v>0.45</v>
      </c>
      <c r="J32" s="13" t="s">
        <v>141</v>
      </c>
      <c r="K32" s="10" t="s">
        <v>42</v>
      </c>
      <c r="L32" s="10" t="s">
        <v>41</v>
      </c>
      <c r="M32" s="13" t="s">
        <v>142</v>
      </c>
    </row>
    <row r="33" customFormat="false" ht="15" hidden="false" customHeight="false" outlineLevel="0" collapsed="false">
      <c r="A33" s="7" t="s">
        <v>143</v>
      </c>
      <c r="B33" s="8"/>
      <c r="C33" s="8"/>
      <c r="D33" s="8"/>
      <c r="E33" s="8"/>
      <c r="F33" s="8"/>
      <c r="G33" s="8"/>
      <c r="H33" s="8"/>
      <c r="I33" s="8"/>
      <c r="J33" s="8"/>
      <c r="K33" s="8"/>
      <c r="L33" s="8"/>
      <c r="M33" s="8"/>
    </row>
    <row r="34" customFormat="false" ht="15" hidden="false" customHeight="false" outlineLevel="0" collapsed="false">
      <c r="A34" s="9" t="s">
        <v>144</v>
      </c>
      <c r="B34" s="10" t="s">
        <v>145</v>
      </c>
      <c r="C34" s="10" t="s">
        <v>61</v>
      </c>
      <c r="D34" s="25" t="n">
        <v>0.45</v>
      </c>
      <c r="E34" s="25" t="n">
        <v>0.55</v>
      </c>
      <c r="F34" s="25" t="n">
        <v>0.65</v>
      </c>
      <c r="G34" s="17" t="n">
        <v>0.55</v>
      </c>
      <c r="H34" s="17" t="n">
        <v>0.55</v>
      </c>
      <c r="I34" s="17" t="n">
        <v>0.55</v>
      </c>
      <c r="J34" s="13" t="s">
        <v>146</v>
      </c>
      <c r="K34" s="10" t="s">
        <v>42</v>
      </c>
      <c r="L34" s="10" t="s">
        <v>42</v>
      </c>
      <c r="M34" s="13" t="s">
        <v>147</v>
      </c>
    </row>
    <row r="35" customFormat="false" ht="32.8" hidden="false" customHeight="false" outlineLevel="0" collapsed="false">
      <c r="A35" s="9" t="s">
        <v>148</v>
      </c>
      <c r="B35" s="10" t="s">
        <v>149</v>
      </c>
      <c r="C35" s="10" t="s">
        <v>61</v>
      </c>
      <c r="D35" s="19" t="n">
        <v>0.006</v>
      </c>
      <c r="E35" s="19" t="n">
        <v>0.01</v>
      </c>
      <c r="F35" s="19" t="n">
        <v>0.016</v>
      </c>
      <c r="G35" s="21" t="n">
        <v>0</v>
      </c>
      <c r="H35" s="20" t="n">
        <v>0.01</v>
      </c>
      <c r="I35" s="20" t="n">
        <v>0.01</v>
      </c>
      <c r="J35" s="13" t="s">
        <v>150</v>
      </c>
      <c r="K35" s="10" t="s">
        <v>63</v>
      </c>
      <c r="L35" s="10" t="s">
        <v>41</v>
      </c>
      <c r="M35" s="13" t="s">
        <v>151</v>
      </c>
    </row>
    <row r="36" customFormat="false" ht="15" hidden="false" customHeight="false" outlineLevel="0" collapsed="false">
      <c r="A36" s="9" t="s">
        <v>152</v>
      </c>
      <c r="B36" s="10" t="s">
        <v>153</v>
      </c>
      <c r="C36" s="10" t="s">
        <v>61</v>
      </c>
      <c r="D36" s="25" t="n">
        <v>0.18</v>
      </c>
      <c r="E36" s="25" t="n">
        <v>0.25</v>
      </c>
      <c r="F36" s="25" t="n">
        <v>0.32</v>
      </c>
      <c r="G36" s="17" t="n">
        <v>0.25</v>
      </c>
      <c r="H36" s="17" t="n">
        <v>0.25</v>
      </c>
      <c r="I36" s="17" t="n">
        <v>0.25</v>
      </c>
      <c r="J36" s="13" t="s">
        <v>154</v>
      </c>
      <c r="K36" s="10" t="s">
        <v>63</v>
      </c>
      <c r="L36" s="10" t="s">
        <v>42</v>
      </c>
      <c r="M36" s="13" t="s">
        <v>155</v>
      </c>
    </row>
    <row r="37" customFormat="false" ht="15" hidden="false" customHeight="false" outlineLevel="0" collapsed="false">
      <c r="A37" s="9" t="s">
        <v>156</v>
      </c>
      <c r="B37" s="10" t="s">
        <v>157</v>
      </c>
      <c r="C37" s="10" t="s">
        <v>97</v>
      </c>
      <c r="D37" s="30" t="n">
        <v>1.7</v>
      </c>
      <c r="E37" s="30" t="n">
        <v>1.45</v>
      </c>
      <c r="F37" s="30" t="n">
        <v>1.25</v>
      </c>
      <c r="G37" s="31" t="n">
        <v>1.45</v>
      </c>
      <c r="H37" s="31" t="n">
        <v>1.45</v>
      </c>
      <c r="I37" s="31" t="n">
        <v>1.45</v>
      </c>
      <c r="J37" s="13" t="s">
        <v>158</v>
      </c>
      <c r="K37" s="10" t="s">
        <v>42</v>
      </c>
      <c r="L37" s="10" t="s">
        <v>41</v>
      </c>
      <c r="M37" s="13" t="s">
        <v>159</v>
      </c>
    </row>
    <row r="38" customFormat="false" ht="15" hidden="false" customHeight="false" outlineLevel="0" collapsed="false">
      <c r="A38" s="9" t="s">
        <v>160</v>
      </c>
      <c r="B38" s="10" t="s">
        <v>161</v>
      </c>
      <c r="C38" s="10" t="s">
        <v>78</v>
      </c>
      <c r="D38" s="29" t="n">
        <v>1.6</v>
      </c>
      <c r="E38" s="29" t="n">
        <v>2</v>
      </c>
      <c r="F38" s="29" t="n">
        <v>2.4</v>
      </c>
      <c r="G38" s="24" t="n">
        <v>2</v>
      </c>
      <c r="H38" s="24" t="n">
        <v>2</v>
      </c>
      <c r="I38" s="24" t="n">
        <v>2</v>
      </c>
      <c r="J38" s="13" t="s">
        <v>162</v>
      </c>
      <c r="K38" s="10" t="s">
        <v>42</v>
      </c>
      <c r="L38" s="10" t="s">
        <v>41</v>
      </c>
      <c r="M38" s="13" t="s">
        <v>138</v>
      </c>
    </row>
    <row r="39" customFormat="false" ht="32.8" hidden="false" customHeight="false" outlineLevel="0" collapsed="false">
      <c r="A39" s="9" t="s">
        <v>163</v>
      </c>
      <c r="B39" s="10" t="s">
        <v>164</v>
      </c>
      <c r="C39" s="10" t="s">
        <v>61</v>
      </c>
      <c r="D39" s="16" t="n">
        <v>0.25</v>
      </c>
      <c r="E39" s="16" t="n">
        <v>0.3</v>
      </c>
      <c r="F39" s="16" t="n">
        <v>0.4</v>
      </c>
      <c r="G39" s="17" t="n">
        <v>0.3</v>
      </c>
      <c r="H39" s="17" t="n">
        <v>0.3</v>
      </c>
      <c r="I39" s="17" t="n">
        <v>0.3</v>
      </c>
      <c r="J39" s="13" t="s">
        <v>165</v>
      </c>
      <c r="K39" s="10" t="s">
        <v>42</v>
      </c>
      <c r="L39" s="10" t="s">
        <v>41</v>
      </c>
      <c r="M39" s="13" t="s">
        <v>166</v>
      </c>
    </row>
    <row r="40" customFormat="false" ht="15" hidden="false" customHeight="false" outlineLevel="0" collapsed="false">
      <c r="A40" s="7" t="s">
        <v>167</v>
      </c>
      <c r="B40" s="8"/>
      <c r="C40" s="8"/>
      <c r="D40" s="8"/>
      <c r="E40" s="8"/>
      <c r="F40" s="8"/>
      <c r="G40" s="8"/>
      <c r="H40" s="8"/>
      <c r="I40" s="8"/>
      <c r="J40" s="8"/>
      <c r="K40" s="8"/>
      <c r="L40" s="8"/>
      <c r="M40" s="8"/>
    </row>
    <row r="41" customFormat="false" ht="22.35" hidden="false" customHeight="false" outlineLevel="0" collapsed="false">
      <c r="A41" s="9" t="s">
        <v>168</v>
      </c>
      <c r="B41" s="10" t="s">
        <v>169</v>
      </c>
      <c r="C41" s="10" t="s">
        <v>97</v>
      </c>
      <c r="D41" s="30" t="n">
        <v>2.8</v>
      </c>
      <c r="E41" s="30" t="n">
        <v>2.35</v>
      </c>
      <c r="F41" s="32" t="n">
        <v>2</v>
      </c>
      <c r="G41" s="31" t="n">
        <v>2.35</v>
      </c>
      <c r="H41" s="31" t="n">
        <v>2.35</v>
      </c>
      <c r="I41" s="31" t="n">
        <v>2.35</v>
      </c>
      <c r="J41" s="13" t="s">
        <v>170</v>
      </c>
      <c r="K41" s="10" t="s">
        <v>42</v>
      </c>
      <c r="L41" s="10" t="s">
        <v>41</v>
      </c>
      <c r="M41" s="13" t="s">
        <v>159</v>
      </c>
    </row>
    <row r="42" customFormat="false" ht="43.25" hidden="false" customHeight="false" outlineLevel="0" collapsed="false">
      <c r="A42" s="9" t="s">
        <v>171</v>
      </c>
      <c r="B42" s="10" t="s">
        <v>172</v>
      </c>
      <c r="C42" s="10" t="s">
        <v>78</v>
      </c>
      <c r="D42" s="29" t="n">
        <v>0.88</v>
      </c>
      <c r="E42" s="29" t="n">
        <v>0.8</v>
      </c>
      <c r="F42" s="29" t="n">
        <v>0.72</v>
      </c>
      <c r="G42" s="23" t="n">
        <v>1</v>
      </c>
      <c r="H42" s="24" t="n">
        <v>0.8</v>
      </c>
      <c r="I42" s="24" t="n">
        <v>0.8</v>
      </c>
      <c r="J42" s="13" t="s">
        <v>173</v>
      </c>
      <c r="K42" s="10" t="s">
        <v>63</v>
      </c>
      <c r="L42" s="10" t="s">
        <v>41</v>
      </c>
      <c r="M42" s="13" t="s">
        <v>174</v>
      </c>
    </row>
    <row r="43" customFormat="false" ht="15" hidden="false" customHeight="false" outlineLevel="0" collapsed="false">
      <c r="A43" s="9" t="s">
        <v>175</v>
      </c>
      <c r="B43" s="10" t="s">
        <v>176</v>
      </c>
      <c r="C43" s="10" t="s">
        <v>78</v>
      </c>
      <c r="D43" s="22" t="n">
        <v>1</v>
      </c>
      <c r="E43" s="22" t="n">
        <v>1</v>
      </c>
      <c r="F43" s="22" t="n">
        <v>1</v>
      </c>
      <c r="G43" s="24" t="n">
        <v>1</v>
      </c>
      <c r="H43" s="24" t="n">
        <v>1</v>
      </c>
      <c r="I43" s="24" t="n">
        <v>1</v>
      </c>
      <c r="J43" s="13" t="s">
        <v>177</v>
      </c>
      <c r="K43" s="10" t="s">
        <v>57</v>
      </c>
      <c r="L43" s="10" t="s">
        <v>63</v>
      </c>
      <c r="M43" s="13" t="s">
        <v>138</v>
      </c>
    </row>
    <row r="44" customFormat="false" ht="22.35" hidden="false" customHeight="false" outlineLevel="0" collapsed="false">
      <c r="A44" s="9" t="s">
        <v>178</v>
      </c>
      <c r="B44" s="10" t="s">
        <v>179</v>
      </c>
      <c r="C44" s="10" t="s">
        <v>78</v>
      </c>
      <c r="D44" s="29" t="n">
        <v>1.4</v>
      </c>
      <c r="E44" s="29" t="n">
        <v>1.7</v>
      </c>
      <c r="F44" s="29" t="n">
        <v>2</v>
      </c>
      <c r="G44" s="23" t="n">
        <v>1</v>
      </c>
      <c r="H44" s="24" t="n">
        <v>1.7</v>
      </c>
      <c r="I44" s="24" t="n">
        <v>1.7</v>
      </c>
      <c r="J44" s="13" t="s">
        <v>180</v>
      </c>
      <c r="K44" s="10" t="s">
        <v>63</v>
      </c>
      <c r="L44" s="10" t="s">
        <v>41</v>
      </c>
      <c r="M44" s="13" t="s">
        <v>138</v>
      </c>
    </row>
    <row r="45" customFormat="false" ht="32.8" hidden="false" customHeight="false" outlineLevel="0" collapsed="false">
      <c r="A45" s="9" t="s">
        <v>181</v>
      </c>
      <c r="B45" s="10" t="s">
        <v>182</v>
      </c>
      <c r="C45" s="10" t="s">
        <v>78</v>
      </c>
      <c r="D45" s="29" t="n">
        <v>0.45</v>
      </c>
      <c r="E45" s="29" t="n">
        <v>0.6</v>
      </c>
      <c r="F45" s="29" t="n">
        <v>0.75</v>
      </c>
      <c r="G45" s="24" t="n">
        <v>0.6</v>
      </c>
      <c r="H45" s="24" t="n">
        <v>0.6</v>
      </c>
      <c r="I45" s="24" t="n">
        <v>0.6</v>
      </c>
      <c r="J45" s="13" t="s">
        <v>183</v>
      </c>
      <c r="K45" s="10" t="s">
        <v>63</v>
      </c>
      <c r="L45" s="10" t="s">
        <v>41</v>
      </c>
      <c r="M45" s="13" t="s">
        <v>184</v>
      </c>
    </row>
    <row r="46" customFormat="false" ht="15" hidden="false" customHeight="false" outlineLevel="0" collapsed="false">
      <c r="A46" s="7" t="s">
        <v>185</v>
      </c>
      <c r="B46" s="8"/>
      <c r="C46" s="8"/>
      <c r="D46" s="8"/>
      <c r="E46" s="8"/>
      <c r="F46" s="8"/>
      <c r="G46" s="8"/>
      <c r="H46" s="8"/>
      <c r="I46" s="8"/>
      <c r="J46" s="8"/>
      <c r="K46" s="8"/>
      <c r="L46" s="8"/>
      <c r="M46" s="8"/>
    </row>
    <row r="47" customFormat="false" ht="32.8" hidden="false" customHeight="false" outlineLevel="0" collapsed="false">
      <c r="A47" s="9" t="s">
        <v>186</v>
      </c>
      <c r="B47" s="10" t="s">
        <v>187</v>
      </c>
      <c r="C47" s="10" t="s">
        <v>51</v>
      </c>
      <c r="D47" s="14" t="n">
        <v>600</v>
      </c>
      <c r="E47" s="14" t="n">
        <v>1500</v>
      </c>
      <c r="F47" s="14" t="n">
        <v>3000</v>
      </c>
      <c r="G47" s="12" t="n">
        <v>1500</v>
      </c>
      <c r="H47" s="12" t="n">
        <v>1500</v>
      </c>
      <c r="I47" s="12" t="n">
        <v>1500</v>
      </c>
      <c r="J47" s="13" t="s">
        <v>188</v>
      </c>
      <c r="K47" s="10" t="s">
        <v>63</v>
      </c>
      <c r="L47" s="10" t="s">
        <v>41</v>
      </c>
      <c r="M47" s="13" t="s">
        <v>189</v>
      </c>
    </row>
    <row r="48" customFormat="false" ht="22.35" hidden="false" customHeight="false" outlineLevel="0" collapsed="false">
      <c r="A48" s="9" t="s">
        <v>190</v>
      </c>
      <c r="B48" s="10" t="s">
        <v>191</v>
      </c>
      <c r="C48" s="10" t="s">
        <v>78</v>
      </c>
      <c r="D48" s="29" t="n">
        <v>1.25</v>
      </c>
      <c r="E48" s="29" t="n">
        <v>1.35</v>
      </c>
      <c r="F48" s="29" t="n">
        <v>1.45</v>
      </c>
      <c r="G48" s="24" t="n">
        <v>1.35</v>
      </c>
      <c r="H48" s="24" t="n">
        <v>1.35</v>
      </c>
      <c r="I48" s="24" t="n">
        <v>1.35</v>
      </c>
      <c r="J48" s="13" t="s">
        <v>192</v>
      </c>
      <c r="K48" s="10" t="s">
        <v>63</v>
      </c>
      <c r="L48" s="10" t="s">
        <v>41</v>
      </c>
      <c r="M48" s="13" t="s">
        <v>193</v>
      </c>
    </row>
    <row r="49" customFormat="false" ht="22.35" hidden="false" customHeight="false" outlineLevel="0" collapsed="false">
      <c r="A49" s="9" t="s">
        <v>194</v>
      </c>
      <c r="B49" s="10" t="s">
        <v>195</v>
      </c>
      <c r="C49" s="10" t="s">
        <v>61</v>
      </c>
      <c r="D49" s="19" t="n">
        <v>0.01</v>
      </c>
      <c r="E49" s="19" t="n">
        <v>0.015</v>
      </c>
      <c r="F49" s="16" t="n">
        <v>0.02</v>
      </c>
      <c r="G49" s="20" t="n">
        <v>0.015</v>
      </c>
      <c r="H49" s="21" t="n">
        <v>0.01</v>
      </c>
      <c r="I49" s="20" t="n">
        <v>0.015</v>
      </c>
      <c r="J49" s="13" t="s">
        <v>196</v>
      </c>
      <c r="K49" s="10" t="s">
        <v>63</v>
      </c>
      <c r="L49" s="10" t="s">
        <v>41</v>
      </c>
      <c r="M49" s="13" t="s">
        <v>197</v>
      </c>
    </row>
    <row r="50" customFormat="false" ht="15" hidden="false" customHeight="false" outlineLevel="0" collapsed="false">
      <c r="A50" s="9" t="s">
        <v>198</v>
      </c>
      <c r="B50" s="10" t="s">
        <v>199</v>
      </c>
      <c r="C50" s="10" t="s">
        <v>97</v>
      </c>
      <c r="D50" s="32" t="n">
        <v>68</v>
      </c>
      <c r="E50" s="32" t="n">
        <v>78</v>
      </c>
      <c r="F50" s="32" t="n">
        <v>88</v>
      </c>
      <c r="G50" s="27" t="n">
        <v>78</v>
      </c>
      <c r="H50" s="27" t="n">
        <v>78</v>
      </c>
      <c r="I50" s="27" t="n">
        <v>78</v>
      </c>
      <c r="J50" s="13" t="s">
        <v>200</v>
      </c>
      <c r="K50" s="10" t="s">
        <v>42</v>
      </c>
      <c r="L50" s="10" t="s">
        <v>41</v>
      </c>
      <c r="M50" s="13" t="s">
        <v>197</v>
      </c>
    </row>
    <row r="51" customFormat="false" ht="15" hidden="false" customHeight="false" outlineLevel="0" collapsed="false">
      <c r="A51" s="9" t="s">
        <v>201</v>
      </c>
      <c r="B51" s="10" t="s">
        <v>202</v>
      </c>
      <c r="C51" s="10" t="s">
        <v>61</v>
      </c>
      <c r="D51" s="16" t="n">
        <v>0.3</v>
      </c>
      <c r="E51" s="16" t="n">
        <v>0.4</v>
      </c>
      <c r="F51" s="16" t="n">
        <v>0.5</v>
      </c>
      <c r="G51" s="17" t="n">
        <v>0.4</v>
      </c>
      <c r="H51" s="17" t="n">
        <v>0.4</v>
      </c>
      <c r="I51" s="17" t="n">
        <v>0.4</v>
      </c>
      <c r="J51" s="13" t="s">
        <v>203</v>
      </c>
      <c r="K51" s="10" t="s">
        <v>63</v>
      </c>
      <c r="L51" s="10" t="s">
        <v>41</v>
      </c>
      <c r="M51" s="13" t="s">
        <v>204</v>
      </c>
    </row>
    <row r="52" customFormat="false" ht="15" hidden="false" customHeight="false" outlineLevel="0" collapsed="false">
      <c r="A52" s="9" t="s">
        <v>205</v>
      </c>
      <c r="B52" s="10" t="s">
        <v>206</v>
      </c>
      <c r="C52" s="10" t="s">
        <v>61</v>
      </c>
      <c r="D52" s="16" t="n">
        <v>0.09</v>
      </c>
      <c r="E52" s="16" t="n">
        <v>0.07</v>
      </c>
      <c r="F52" s="16" t="n">
        <v>0.055</v>
      </c>
      <c r="G52" s="17" t="n">
        <v>0.07</v>
      </c>
      <c r="H52" s="17" t="n">
        <v>0.07</v>
      </c>
      <c r="I52" s="18" t="n">
        <v>0.09</v>
      </c>
      <c r="J52" s="13" t="s">
        <v>207</v>
      </c>
      <c r="K52" s="10" t="s">
        <v>42</v>
      </c>
      <c r="L52" s="10" t="s">
        <v>41</v>
      </c>
      <c r="M52" s="13" t="s">
        <v>208</v>
      </c>
    </row>
    <row r="53" customFormat="false" ht="22.35" hidden="false" customHeight="false" outlineLevel="0" collapsed="false">
      <c r="A53" s="9" t="s">
        <v>209</v>
      </c>
      <c r="B53" s="10" t="s">
        <v>210</v>
      </c>
      <c r="C53" s="10" t="s">
        <v>61</v>
      </c>
      <c r="D53" s="25" t="n">
        <v>0.08</v>
      </c>
      <c r="E53" s="25" t="n">
        <v>0.11</v>
      </c>
      <c r="F53" s="25" t="n">
        <v>0.14</v>
      </c>
      <c r="G53" s="17" t="n">
        <v>0.11</v>
      </c>
      <c r="H53" s="17" t="n">
        <v>0.11</v>
      </c>
      <c r="I53" s="18" t="n">
        <v>0.08</v>
      </c>
      <c r="J53" s="13" t="s">
        <v>211</v>
      </c>
      <c r="K53" s="10" t="s">
        <v>63</v>
      </c>
      <c r="L53" s="10" t="s">
        <v>42</v>
      </c>
      <c r="M53" s="13" t="s">
        <v>208</v>
      </c>
    </row>
    <row r="54" customFormat="false" ht="15" hidden="false" customHeight="false" outlineLevel="0" collapsed="false">
      <c r="A54" s="7" t="s">
        <v>212</v>
      </c>
      <c r="B54" s="8"/>
      <c r="C54" s="8"/>
      <c r="D54" s="8"/>
      <c r="E54" s="8"/>
      <c r="F54" s="8"/>
      <c r="G54" s="8"/>
      <c r="H54" s="8"/>
      <c r="I54" s="8"/>
      <c r="J54" s="8"/>
      <c r="K54" s="8"/>
      <c r="L54" s="8"/>
      <c r="M54" s="8"/>
    </row>
    <row r="55" customFormat="false" ht="15" hidden="false" customHeight="false" outlineLevel="0" collapsed="false">
      <c r="A55" s="9" t="s">
        <v>213</v>
      </c>
      <c r="B55" s="10" t="s">
        <v>214</v>
      </c>
      <c r="C55" s="10" t="s">
        <v>61</v>
      </c>
      <c r="D55" s="16" t="n">
        <v>0.3</v>
      </c>
      <c r="E55" s="16" t="n">
        <v>0.26</v>
      </c>
      <c r="F55" s="16" t="n">
        <v>0.22</v>
      </c>
      <c r="G55" s="17" t="n">
        <v>0.26</v>
      </c>
      <c r="H55" s="17" t="n">
        <v>0.26</v>
      </c>
      <c r="I55" s="17" t="n">
        <v>0.26</v>
      </c>
      <c r="J55" s="13" t="s">
        <v>215</v>
      </c>
      <c r="K55" s="10" t="s">
        <v>42</v>
      </c>
      <c r="L55" s="10" t="s">
        <v>41</v>
      </c>
      <c r="M55" s="13" t="s">
        <v>216</v>
      </c>
    </row>
    <row r="56" customFormat="false" ht="15" hidden="false" customHeight="false" outlineLevel="0" collapsed="false">
      <c r="A56" s="9" t="s">
        <v>217</v>
      </c>
      <c r="B56" s="10" t="s">
        <v>218</v>
      </c>
      <c r="C56" s="10" t="s">
        <v>97</v>
      </c>
      <c r="D56" s="33" t="n">
        <v>8.5</v>
      </c>
      <c r="E56" s="33" t="n">
        <v>7.5</v>
      </c>
      <c r="F56" s="33" t="n">
        <v>6.5</v>
      </c>
      <c r="G56" s="31" t="n">
        <v>7.5</v>
      </c>
      <c r="H56" s="31" t="n">
        <v>7.5</v>
      </c>
      <c r="I56" s="31" t="n">
        <v>7.5</v>
      </c>
      <c r="J56" s="13" t="s">
        <v>219</v>
      </c>
      <c r="K56" s="10" t="s">
        <v>42</v>
      </c>
      <c r="L56" s="10" t="s">
        <v>63</v>
      </c>
      <c r="M56" s="13" t="s">
        <v>220</v>
      </c>
    </row>
    <row r="57" customFormat="false" ht="15" hidden="false" customHeight="false" outlineLevel="0" collapsed="false">
      <c r="A57" s="7" t="s">
        <v>221</v>
      </c>
      <c r="B57" s="8"/>
      <c r="C57" s="8"/>
      <c r="D57" s="8"/>
      <c r="E57" s="8"/>
      <c r="F57" s="8"/>
      <c r="G57" s="8"/>
      <c r="H57" s="8"/>
      <c r="I57" s="8"/>
      <c r="J57" s="8"/>
      <c r="K57" s="8"/>
      <c r="L57" s="8"/>
      <c r="M57" s="8"/>
    </row>
    <row r="58" customFormat="false" ht="15" hidden="false" customHeight="false" outlineLevel="0" collapsed="false">
      <c r="A58" s="9" t="s">
        <v>222</v>
      </c>
      <c r="B58" s="10" t="s">
        <v>223</v>
      </c>
      <c r="C58" s="10" t="s">
        <v>61</v>
      </c>
      <c r="D58" s="19" t="n">
        <v>0.012</v>
      </c>
      <c r="E58" s="19" t="n">
        <v>0.018</v>
      </c>
      <c r="F58" s="16" t="n">
        <v>0.025</v>
      </c>
      <c r="G58" s="20" t="n">
        <v>0.018</v>
      </c>
      <c r="H58" s="20" t="n">
        <v>0.018</v>
      </c>
      <c r="I58" s="20" t="n">
        <v>0.018</v>
      </c>
      <c r="J58" s="13" t="s">
        <v>224</v>
      </c>
      <c r="K58" s="10" t="s">
        <v>63</v>
      </c>
      <c r="L58" s="10" t="s">
        <v>41</v>
      </c>
      <c r="M58" s="13" t="s">
        <v>225</v>
      </c>
    </row>
    <row r="59" customFormat="false" ht="15" hidden="false" customHeight="false" outlineLevel="0" collapsed="false">
      <c r="A59" s="9" t="s">
        <v>226</v>
      </c>
      <c r="B59" s="10" t="s">
        <v>227</v>
      </c>
      <c r="C59" s="10" t="s">
        <v>61</v>
      </c>
      <c r="D59" s="25" t="n">
        <v>0.6</v>
      </c>
      <c r="E59" s="25" t="n">
        <v>0.7</v>
      </c>
      <c r="F59" s="25" t="n">
        <v>0.76</v>
      </c>
      <c r="G59" s="17" t="n">
        <v>0.7</v>
      </c>
      <c r="H59" s="17" t="n">
        <v>0.7</v>
      </c>
      <c r="I59" s="17" t="n">
        <v>0.7</v>
      </c>
      <c r="J59" s="13" t="s">
        <v>228</v>
      </c>
      <c r="K59" s="10" t="s">
        <v>42</v>
      </c>
      <c r="L59" s="10" t="s">
        <v>42</v>
      </c>
      <c r="M59" s="13" t="s">
        <v>225</v>
      </c>
    </row>
    <row r="60" customFormat="false" ht="15" hidden="false" customHeight="false" outlineLevel="0" collapsed="false">
      <c r="A60" s="9" t="s">
        <v>229</v>
      </c>
      <c r="B60" s="10" t="s">
        <v>230</v>
      </c>
      <c r="C60" s="10" t="s">
        <v>61</v>
      </c>
      <c r="D60" s="25" t="n">
        <v>0.5</v>
      </c>
      <c r="E60" s="25" t="n">
        <v>0.58</v>
      </c>
      <c r="F60" s="25" t="n">
        <v>0.64</v>
      </c>
      <c r="G60" s="17" t="n">
        <v>0.58</v>
      </c>
      <c r="H60" s="17" t="n">
        <v>0.58</v>
      </c>
      <c r="I60" s="17" t="n">
        <v>0.58</v>
      </c>
      <c r="J60" s="13" t="s">
        <v>231</v>
      </c>
      <c r="K60" s="10" t="s">
        <v>42</v>
      </c>
      <c r="L60" s="10" t="s">
        <v>42</v>
      </c>
      <c r="M60" s="13" t="s">
        <v>232</v>
      </c>
    </row>
    <row r="61" customFormat="false" ht="22.35" hidden="false" customHeight="false" outlineLevel="0" collapsed="false">
      <c r="A61" s="9" t="s">
        <v>233</v>
      </c>
      <c r="B61" s="10" t="s">
        <v>234</v>
      </c>
      <c r="C61" s="10" t="s">
        <v>61</v>
      </c>
      <c r="D61" s="16" t="n">
        <v>0.26</v>
      </c>
      <c r="E61" s="16" t="n">
        <v>0.36</v>
      </c>
      <c r="F61" s="16" t="n">
        <v>0.45</v>
      </c>
      <c r="G61" s="17" t="n">
        <v>0.36</v>
      </c>
      <c r="H61" s="17" t="n">
        <v>0.36</v>
      </c>
      <c r="I61" s="17" t="n">
        <v>0.36</v>
      </c>
      <c r="J61" s="13" t="s">
        <v>235</v>
      </c>
      <c r="K61" s="10" t="s">
        <v>42</v>
      </c>
      <c r="L61" s="10" t="s">
        <v>41</v>
      </c>
      <c r="M61" s="13" t="s">
        <v>236</v>
      </c>
    </row>
    <row r="62" customFormat="false" ht="15" hidden="false" customHeight="false" outlineLevel="0" collapsed="false">
      <c r="A62" s="9" t="s">
        <v>237</v>
      </c>
      <c r="B62" s="10" t="s">
        <v>238</v>
      </c>
      <c r="C62" s="10" t="s">
        <v>61</v>
      </c>
      <c r="D62" s="34" t="n">
        <v>0.015</v>
      </c>
      <c r="E62" s="25" t="n">
        <v>0.025</v>
      </c>
      <c r="F62" s="25" t="n">
        <v>0.035</v>
      </c>
      <c r="G62" s="17" t="n">
        <v>0.025</v>
      </c>
      <c r="H62" s="17" t="n">
        <v>0.025</v>
      </c>
      <c r="I62" s="17" t="n">
        <v>0.025</v>
      </c>
      <c r="J62" s="13" t="s">
        <v>239</v>
      </c>
      <c r="K62" s="10" t="s">
        <v>42</v>
      </c>
      <c r="L62" s="10" t="s">
        <v>42</v>
      </c>
      <c r="M62" s="13" t="s">
        <v>236</v>
      </c>
    </row>
    <row r="63" customFormat="false" ht="15" hidden="false" customHeight="false" outlineLevel="0" collapsed="false">
      <c r="A63" s="9" t="s">
        <v>240</v>
      </c>
      <c r="B63" s="10" t="s">
        <v>241</v>
      </c>
      <c r="C63" s="10" t="s">
        <v>61</v>
      </c>
      <c r="D63" s="25" t="n">
        <v>0.7</v>
      </c>
      <c r="E63" s="25" t="n">
        <v>0.82</v>
      </c>
      <c r="F63" s="25" t="n">
        <v>0.88</v>
      </c>
      <c r="G63" s="17" t="n">
        <v>0.82</v>
      </c>
      <c r="H63" s="17" t="n">
        <v>0.82</v>
      </c>
      <c r="I63" s="17" t="n">
        <v>0.82</v>
      </c>
      <c r="J63" s="13" t="s">
        <v>242</v>
      </c>
      <c r="K63" s="10" t="s">
        <v>42</v>
      </c>
      <c r="L63" s="10" t="s">
        <v>42</v>
      </c>
      <c r="M63" s="13" t="s">
        <v>243</v>
      </c>
    </row>
    <row r="64" customFormat="false" ht="15" hidden="false" customHeight="false" outlineLevel="0" collapsed="false">
      <c r="A64" s="9" t="s">
        <v>244</v>
      </c>
      <c r="B64" s="10" t="s">
        <v>245</v>
      </c>
      <c r="C64" s="10" t="s">
        <v>61</v>
      </c>
      <c r="D64" s="16" t="n">
        <v>0.48</v>
      </c>
      <c r="E64" s="16" t="n">
        <v>0.56</v>
      </c>
      <c r="F64" s="16" t="n">
        <v>0.62</v>
      </c>
      <c r="G64" s="17" t="n">
        <v>0.56</v>
      </c>
      <c r="H64" s="17" t="n">
        <v>0.56</v>
      </c>
      <c r="I64" s="17" t="n">
        <v>0.56</v>
      </c>
      <c r="J64" s="13" t="s">
        <v>246</v>
      </c>
      <c r="K64" s="10" t="s">
        <v>42</v>
      </c>
      <c r="L64" s="10" t="s">
        <v>41</v>
      </c>
      <c r="M64" s="13" t="s">
        <v>225</v>
      </c>
    </row>
    <row r="65" customFormat="false" ht="15" hidden="false" customHeight="false" outlineLevel="0" collapsed="false">
      <c r="A65" s="9" t="s">
        <v>247</v>
      </c>
      <c r="B65" s="10" t="s">
        <v>248</v>
      </c>
      <c r="C65" s="10" t="s">
        <v>61</v>
      </c>
      <c r="D65" s="25" t="n">
        <v>0.76</v>
      </c>
      <c r="E65" s="25" t="n">
        <v>0.83</v>
      </c>
      <c r="F65" s="25" t="n">
        <v>0.88</v>
      </c>
      <c r="G65" s="17" t="n">
        <v>0.83</v>
      </c>
      <c r="H65" s="17" t="n">
        <v>0.83</v>
      </c>
      <c r="I65" s="17" t="n">
        <v>0.83</v>
      </c>
      <c r="J65" s="13" t="s">
        <v>249</v>
      </c>
      <c r="K65" s="10" t="s">
        <v>42</v>
      </c>
      <c r="L65" s="10" t="s">
        <v>42</v>
      </c>
      <c r="M65" s="13" t="s">
        <v>250</v>
      </c>
    </row>
    <row r="66" customFormat="false" ht="22.35" hidden="false" customHeight="false" outlineLevel="0" collapsed="false">
      <c r="A66" s="9" t="s">
        <v>251</v>
      </c>
      <c r="B66" s="10" t="s">
        <v>252</v>
      </c>
      <c r="C66" s="10" t="s">
        <v>61</v>
      </c>
      <c r="D66" s="16" t="n">
        <v>0.55</v>
      </c>
      <c r="E66" s="16" t="n">
        <v>0.62</v>
      </c>
      <c r="F66" s="16" t="n">
        <v>0.68</v>
      </c>
      <c r="G66" s="17" t="n">
        <v>0.62</v>
      </c>
      <c r="H66" s="17" t="n">
        <v>0.62</v>
      </c>
      <c r="I66" s="17" t="n">
        <v>0.62</v>
      </c>
      <c r="J66" s="13" t="s">
        <v>253</v>
      </c>
      <c r="K66" s="10" t="s">
        <v>63</v>
      </c>
      <c r="L66" s="10" t="s">
        <v>41</v>
      </c>
      <c r="M66" s="13" t="s">
        <v>254</v>
      </c>
    </row>
    <row r="67" customFormat="false" ht="15" hidden="false" customHeight="false" outlineLevel="0" collapsed="false">
      <c r="A67" s="9" t="s">
        <v>255</v>
      </c>
      <c r="B67" s="10" t="s">
        <v>256</v>
      </c>
      <c r="C67" s="10" t="s">
        <v>61</v>
      </c>
      <c r="D67" s="16" t="n">
        <v>0.58</v>
      </c>
      <c r="E67" s="16" t="n">
        <v>0.66</v>
      </c>
      <c r="F67" s="16" t="n">
        <v>0.7</v>
      </c>
      <c r="G67" s="17" t="n">
        <v>0.66</v>
      </c>
      <c r="H67" s="17" t="n">
        <v>0.66</v>
      </c>
      <c r="I67" s="17" t="n">
        <v>0.66</v>
      </c>
      <c r="J67" s="13" t="s">
        <v>257</v>
      </c>
      <c r="K67" s="10" t="s">
        <v>42</v>
      </c>
      <c r="L67" s="10" t="s">
        <v>41</v>
      </c>
      <c r="M67" s="13" t="s">
        <v>225</v>
      </c>
    </row>
    <row r="68" customFormat="false" ht="22.35" hidden="false" customHeight="false" outlineLevel="0" collapsed="false">
      <c r="A68" s="9" t="s">
        <v>258</v>
      </c>
      <c r="B68" s="10" t="s">
        <v>259</v>
      </c>
      <c r="C68" s="10" t="s">
        <v>61</v>
      </c>
      <c r="D68" s="16" t="n">
        <v>0.13</v>
      </c>
      <c r="E68" s="16" t="n">
        <v>0.11</v>
      </c>
      <c r="F68" s="16" t="n">
        <v>0.095</v>
      </c>
      <c r="G68" s="17" t="n">
        <v>0.11</v>
      </c>
      <c r="H68" s="17" t="n">
        <v>0.11</v>
      </c>
      <c r="I68" s="18" t="n">
        <v>0.13</v>
      </c>
      <c r="J68" s="13" t="s">
        <v>260</v>
      </c>
      <c r="K68" s="10" t="s">
        <v>42</v>
      </c>
      <c r="L68" s="10" t="s">
        <v>41</v>
      </c>
      <c r="M68" s="13" t="s">
        <v>261</v>
      </c>
    </row>
    <row r="69" customFormat="false" ht="15" hidden="false" customHeight="false" outlineLevel="0" collapsed="false">
      <c r="A69" s="7" t="s">
        <v>262</v>
      </c>
      <c r="B69" s="8"/>
      <c r="C69" s="8"/>
      <c r="D69" s="8"/>
      <c r="E69" s="8"/>
      <c r="F69" s="8"/>
      <c r="G69" s="8"/>
      <c r="H69" s="8"/>
      <c r="I69" s="8"/>
      <c r="J69" s="8"/>
      <c r="K69" s="8"/>
      <c r="L69" s="8"/>
      <c r="M69" s="8"/>
    </row>
    <row r="70" customFormat="false" ht="15" hidden="false" customHeight="false" outlineLevel="0" collapsed="false">
      <c r="A70" s="9" t="s">
        <v>263</v>
      </c>
      <c r="B70" s="10" t="s">
        <v>264</v>
      </c>
      <c r="C70" s="10" t="s">
        <v>97</v>
      </c>
      <c r="D70" s="32" t="n">
        <v>199</v>
      </c>
      <c r="E70" s="32" t="n">
        <v>249</v>
      </c>
      <c r="F70" s="32" t="n">
        <v>299</v>
      </c>
      <c r="G70" s="27" t="n">
        <v>249</v>
      </c>
      <c r="H70" s="27" t="n">
        <v>249</v>
      </c>
      <c r="I70" s="27" t="n">
        <v>249</v>
      </c>
      <c r="J70" s="13" t="s">
        <v>265</v>
      </c>
      <c r="K70" s="10" t="s">
        <v>42</v>
      </c>
      <c r="L70" s="10" t="s">
        <v>41</v>
      </c>
      <c r="M70" s="13" t="s">
        <v>266</v>
      </c>
    </row>
    <row r="71" customFormat="false" ht="22.35" hidden="false" customHeight="false" outlineLevel="0" collapsed="false">
      <c r="A71" s="9" t="s">
        <v>267</v>
      </c>
      <c r="B71" s="10" t="s">
        <v>268</v>
      </c>
      <c r="C71" s="10" t="s">
        <v>97</v>
      </c>
      <c r="D71" s="26" t="n">
        <v>49</v>
      </c>
      <c r="E71" s="26" t="n">
        <v>59</v>
      </c>
      <c r="F71" s="26" t="n">
        <v>79</v>
      </c>
      <c r="G71" s="27" t="n">
        <v>59</v>
      </c>
      <c r="H71" s="27" t="n">
        <v>59</v>
      </c>
      <c r="I71" s="27" t="n">
        <v>59</v>
      </c>
      <c r="J71" s="13" t="s">
        <v>269</v>
      </c>
      <c r="K71" s="10" t="s">
        <v>42</v>
      </c>
      <c r="L71" s="10" t="s">
        <v>42</v>
      </c>
      <c r="M71" s="13" t="s">
        <v>270</v>
      </c>
    </row>
    <row r="72" customFormat="false" ht="15" hidden="false" customHeight="false" outlineLevel="0" collapsed="false">
      <c r="A72" s="7" t="s">
        <v>271</v>
      </c>
      <c r="B72" s="8"/>
      <c r="C72" s="8"/>
      <c r="D72" s="8"/>
      <c r="E72" s="8"/>
      <c r="F72" s="8"/>
      <c r="G72" s="8"/>
      <c r="H72" s="8"/>
      <c r="I72" s="8"/>
      <c r="J72" s="8"/>
      <c r="K72" s="8"/>
      <c r="L72" s="8"/>
      <c r="M72" s="8"/>
    </row>
    <row r="73" customFormat="false" ht="22.35" hidden="false" customHeight="false" outlineLevel="0" collapsed="false">
      <c r="A73" s="9" t="s">
        <v>272</v>
      </c>
      <c r="B73" s="10" t="s">
        <v>273</v>
      </c>
      <c r="C73" s="10" t="s">
        <v>97</v>
      </c>
      <c r="D73" s="32" t="n">
        <v>105</v>
      </c>
      <c r="E73" s="32" t="n">
        <v>88</v>
      </c>
      <c r="F73" s="32" t="n">
        <v>75</v>
      </c>
      <c r="G73" s="27" t="n">
        <v>88</v>
      </c>
      <c r="H73" s="27" t="n">
        <v>88</v>
      </c>
      <c r="I73" s="27" t="n">
        <v>88</v>
      </c>
      <c r="J73" s="13" t="s">
        <v>274</v>
      </c>
      <c r="K73" s="10" t="s">
        <v>63</v>
      </c>
      <c r="L73" s="10" t="s">
        <v>41</v>
      </c>
      <c r="M73" s="13" t="s">
        <v>275</v>
      </c>
    </row>
    <row r="74" customFormat="false" ht="15" hidden="false" customHeight="false" outlineLevel="0" collapsed="false">
      <c r="A74" s="9" t="s">
        <v>276</v>
      </c>
      <c r="B74" s="10" t="s">
        <v>277</v>
      </c>
      <c r="C74" s="10" t="s">
        <v>97</v>
      </c>
      <c r="D74" s="26" t="n">
        <v>45</v>
      </c>
      <c r="E74" s="26" t="n">
        <v>38</v>
      </c>
      <c r="F74" s="26" t="n">
        <v>32</v>
      </c>
      <c r="G74" s="27" t="n">
        <v>38</v>
      </c>
      <c r="H74" s="27" t="n">
        <v>38</v>
      </c>
      <c r="I74" s="27" t="n">
        <v>38</v>
      </c>
      <c r="J74" s="13" t="s">
        <v>278</v>
      </c>
      <c r="K74" s="10" t="s">
        <v>42</v>
      </c>
      <c r="L74" s="10" t="s">
        <v>42</v>
      </c>
      <c r="M74" s="13" t="s">
        <v>279</v>
      </c>
    </row>
    <row r="75" customFormat="false" ht="15" hidden="false" customHeight="false" outlineLevel="0" collapsed="false">
      <c r="A75" s="9" t="s">
        <v>280</v>
      </c>
      <c r="B75" s="10" t="s">
        <v>281</v>
      </c>
      <c r="C75" s="10" t="s">
        <v>97</v>
      </c>
      <c r="D75" s="26" t="n">
        <v>10</v>
      </c>
      <c r="E75" s="26" t="n">
        <v>8</v>
      </c>
      <c r="F75" s="33" t="n">
        <v>6.5</v>
      </c>
      <c r="G75" s="27" t="n">
        <v>8</v>
      </c>
      <c r="H75" s="27" t="n">
        <v>8</v>
      </c>
      <c r="I75" s="27" t="n">
        <v>8</v>
      </c>
      <c r="J75" s="13" t="s">
        <v>282</v>
      </c>
      <c r="K75" s="10" t="s">
        <v>42</v>
      </c>
      <c r="L75" s="10" t="s">
        <v>42</v>
      </c>
      <c r="M75" s="13" t="s">
        <v>279</v>
      </c>
    </row>
    <row r="76" customFormat="false" ht="22.35" hidden="false" customHeight="false" outlineLevel="0" collapsed="false">
      <c r="A76" s="9" t="s">
        <v>283</v>
      </c>
      <c r="B76" s="10" t="s">
        <v>284</v>
      </c>
      <c r="C76" s="10" t="s">
        <v>97</v>
      </c>
      <c r="D76" s="32" t="n">
        <v>22</v>
      </c>
      <c r="E76" s="32" t="n">
        <v>18</v>
      </c>
      <c r="F76" s="32" t="n">
        <v>15</v>
      </c>
      <c r="G76" s="27" t="n">
        <v>18</v>
      </c>
      <c r="H76" s="27" t="n">
        <v>18</v>
      </c>
      <c r="I76" s="27" t="n">
        <v>18</v>
      </c>
      <c r="J76" s="13" t="s">
        <v>285</v>
      </c>
      <c r="K76" s="10" t="s">
        <v>42</v>
      </c>
      <c r="L76" s="10" t="s">
        <v>41</v>
      </c>
      <c r="M76" s="13" t="s">
        <v>286</v>
      </c>
    </row>
    <row r="77" customFormat="false" ht="15" hidden="false" customHeight="false" outlineLevel="0" collapsed="false">
      <c r="A77" s="9" t="s">
        <v>287</v>
      </c>
      <c r="B77" s="10" t="s">
        <v>288</v>
      </c>
      <c r="C77" s="10" t="s">
        <v>97</v>
      </c>
      <c r="D77" s="26" t="n">
        <v>6</v>
      </c>
      <c r="E77" s="33" t="n">
        <v>4.5</v>
      </c>
      <c r="F77" s="33" t="n">
        <v>3.5</v>
      </c>
      <c r="G77" s="31" t="n">
        <v>4.5</v>
      </c>
      <c r="H77" s="31" t="n">
        <v>4.5</v>
      </c>
      <c r="I77" s="31" t="n">
        <v>4.5</v>
      </c>
      <c r="J77" s="13" t="s">
        <v>289</v>
      </c>
      <c r="K77" s="10" t="s">
        <v>42</v>
      </c>
      <c r="L77" s="10" t="s">
        <v>63</v>
      </c>
      <c r="M77" s="13" t="s">
        <v>290</v>
      </c>
    </row>
    <row r="78" customFormat="false" ht="15" hidden="false" customHeight="false" outlineLevel="0" collapsed="false">
      <c r="A78" s="7" t="s">
        <v>291</v>
      </c>
      <c r="B78" s="8"/>
      <c r="C78" s="8"/>
      <c r="D78" s="8"/>
      <c r="E78" s="8"/>
      <c r="F78" s="8"/>
      <c r="G78" s="8"/>
      <c r="H78" s="8"/>
      <c r="I78" s="8"/>
      <c r="J78" s="8"/>
      <c r="K78" s="8"/>
      <c r="L78" s="8"/>
      <c r="M78" s="8"/>
    </row>
    <row r="79" customFormat="false" ht="22.35" hidden="false" customHeight="false" outlineLevel="0" collapsed="false">
      <c r="A79" s="9" t="s">
        <v>292</v>
      </c>
      <c r="B79" s="10" t="s">
        <v>293</v>
      </c>
      <c r="C79" s="10" t="s">
        <v>61</v>
      </c>
      <c r="D79" s="25" t="n">
        <v>0.032</v>
      </c>
      <c r="E79" s="25" t="n">
        <v>0.029</v>
      </c>
      <c r="F79" s="25" t="n">
        <v>0.027</v>
      </c>
      <c r="G79" s="17" t="n">
        <v>0.029</v>
      </c>
      <c r="H79" s="17" t="n">
        <v>0.029</v>
      </c>
      <c r="I79" s="17" t="n">
        <v>0.029</v>
      </c>
      <c r="J79" s="13" t="s">
        <v>294</v>
      </c>
      <c r="K79" s="10" t="s">
        <v>41</v>
      </c>
      <c r="L79" s="10" t="s">
        <v>42</v>
      </c>
      <c r="M79" s="13" t="s">
        <v>295</v>
      </c>
    </row>
    <row r="80" customFormat="false" ht="15" hidden="false" customHeight="false" outlineLevel="0" collapsed="false">
      <c r="A80" s="9" t="s">
        <v>296</v>
      </c>
      <c r="B80" s="10" t="s">
        <v>297</v>
      </c>
      <c r="C80" s="10" t="s">
        <v>61</v>
      </c>
      <c r="D80" s="25" t="n">
        <v>0.04</v>
      </c>
      <c r="E80" s="25" t="n">
        <v>0.03</v>
      </c>
      <c r="F80" s="25" t="n">
        <v>0.022</v>
      </c>
      <c r="G80" s="17" t="n">
        <v>0.03</v>
      </c>
      <c r="H80" s="17" t="n">
        <v>0.03</v>
      </c>
      <c r="I80" s="17" t="n">
        <v>0.03</v>
      </c>
      <c r="J80" s="13" t="s">
        <v>298</v>
      </c>
      <c r="K80" s="10" t="s">
        <v>42</v>
      </c>
      <c r="L80" s="10" t="s">
        <v>42</v>
      </c>
      <c r="M80" s="13" t="s">
        <v>299</v>
      </c>
    </row>
    <row r="81" customFormat="false" ht="15" hidden="false" customHeight="false" outlineLevel="0" collapsed="false">
      <c r="A81" s="7" t="s">
        <v>300</v>
      </c>
      <c r="B81" s="8"/>
      <c r="C81" s="8"/>
      <c r="D81" s="8"/>
      <c r="E81" s="8"/>
      <c r="F81" s="8"/>
      <c r="G81" s="8"/>
      <c r="H81" s="8"/>
      <c r="I81" s="8"/>
      <c r="J81" s="8"/>
      <c r="K81" s="8"/>
      <c r="L81" s="8"/>
      <c r="M81" s="8"/>
    </row>
    <row r="82" customFormat="false" ht="43.25" hidden="false" customHeight="false" outlineLevel="0" collapsed="false">
      <c r="A82" s="9" t="s">
        <v>301</v>
      </c>
      <c r="B82" s="10" t="s">
        <v>302</v>
      </c>
      <c r="C82" s="10" t="s">
        <v>97</v>
      </c>
      <c r="D82" s="26" t="n">
        <v>600</v>
      </c>
      <c r="E82" s="26" t="n">
        <v>600</v>
      </c>
      <c r="F82" s="26" t="n">
        <v>600</v>
      </c>
      <c r="G82" s="27" t="n">
        <v>600</v>
      </c>
      <c r="H82" s="27" t="n">
        <v>600</v>
      </c>
      <c r="I82" s="27" t="n">
        <v>600</v>
      </c>
      <c r="J82" s="13" t="s">
        <v>303</v>
      </c>
      <c r="K82" s="10" t="s">
        <v>63</v>
      </c>
      <c r="L82" s="10" t="s">
        <v>42</v>
      </c>
      <c r="M82" s="13" t="s">
        <v>304</v>
      </c>
    </row>
    <row r="83" customFormat="false" ht="22.35" hidden="false" customHeight="false" outlineLevel="0" collapsed="false">
      <c r="A83" s="9" t="s">
        <v>305</v>
      </c>
      <c r="B83" s="10" t="s">
        <v>306</v>
      </c>
      <c r="C83" s="10" t="s">
        <v>97</v>
      </c>
      <c r="D83" s="26" t="n">
        <v>320</v>
      </c>
      <c r="E83" s="26" t="n">
        <v>280</v>
      </c>
      <c r="F83" s="26" t="n">
        <v>260</v>
      </c>
      <c r="G83" s="27" t="n">
        <v>280</v>
      </c>
      <c r="H83" s="27" t="n">
        <v>280</v>
      </c>
      <c r="I83" s="27" t="n">
        <v>280</v>
      </c>
      <c r="J83" s="13" t="s">
        <v>307</v>
      </c>
      <c r="K83" s="10" t="s">
        <v>42</v>
      </c>
      <c r="L83" s="10" t="s">
        <v>63</v>
      </c>
      <c r="M83" s="13" t="s">
        <v>308</v>
      </c>
    </row>
    <row r="84" customFormat="false" ht="32.8" hidden="false" customHeight="false" outlineLevel="0" collapsed="false">
      <c r="A84" s="9" t="s">
        <v>309</v>
      </c>
      <c r="B84" s="10" t="s">
        <v>310</v>
      </c>
      <c r="C84" s="10" t="s">
        <v>97</v>
      </c>
      <c r="D84" s="26" t="n">
        <v>4000</v>
      </c>
      <c r="E84" s="26" t="n">
        <v>6000</v>
      </c>
      <c r="F84" s="26" t="n">
        <v>9000</v>
      </c>
      <c r="G84" s="27" t="n">
        <v>6000</v>
      </c>
      <c r="H84" s="27" t="n">
        <v>6000</v>
      </c>
      <c r="I84" s="27" t="n">
        <v>6000</v>
      </c>
      <c r="J84" s="13" t="s">
        <v>311</v>
      </c>
      <c r="K84" s="10" t="s">
        <v>42</v>
      </c>
      <c r="L84" s="10" t="s">
        <v>42</v>
      </c>
      <c r="M84" s="13" t="s">
        <v>312</v>
      </c>
    </row>
    <row r="85" customFormat="false" ht="32.8" hidden="false" customHeight="false" outlineLevel="0" collapsed="false">
      <c r="A85" s="9" t="s">
        <v>313</v>
      </c>
      <c r="B85" s="10" t="s">
        <v>314</v>
      </c>
      <c r="C85" s="10" t="s">
        <v>97</v>
      </c>
      <c r="D85" s="26" t="n">
        <v>10000</v>
      </c>
      <c r="E85" s="26" t="n">
        <v>16000</v>
      </c>
      <c r="F85" s="26" t="n">
        <v>26000</v>
      </c>
      <c r="G85" s="27" t="n">
        <v>16000</v>
      </c>
      <c r="H85" s="27" t="n">
        <v>16000</v>
      </c>
      <c r="I85" s="27" t="n">
        <v>16000</v>
      </c>
      <c r="J85" s="13" t="s">
        <v>315</v>
      </c>
      <c r="K85" s="10" t="s">
        <v>42</v>
      </c>
      <c r="L85" s="10" t="s">
        <v>42</v>
      </c>
      <c r="M85" s="13" t="s">
        <v>312</v>
      </c>
    </row>
    <row r="86" customFormat="false" ht="32.8" hidden="false" customHeight="false" outlineLevel="0" collapsed="false">
      <c r="A86" s="9" t="s">
        <v>316</v>
      </c>
      <c r="B86" s="10" t="s">
        <v>317</v>
      </c>
      <c r="C86" s="10" t="s">
        <v>97</v>
      </c>
      <c r="D86" s="26" t="n">
        <v>18000</v>
      </c>
      <c r="E86" s="26" t="n">
        <v>34000</v>
      </c>
      <c r="F86" s="26" t="n">
        <v>65000</v>
      </c>
      <c r="G86" s="27" t="n">
        <v>34000</v>
      </c>
      <c r="H86" s="27" t="n">
        <v>34000</v>
      </c>
      <c r="I86" s="27" t="n">
        <v>34000</v>
      </c>
      <c r="J86" s="13" t="s">
        <v>318</v>
      </c>
      <c r="K86" s="10" t="s">
        <v>63</v>
      </c>
      <c r="L86" s="10" t="s">
        <v>42</v>
      </c>
      <c r="M86" s="13" t="s">
        <v>312</v>
      </c>
    </row>
    <row r="87" customFormat="false" ht="15" hidden="false" customHeight="false" outlineLevel="0" collapsed="false">
      <c r="A87" s="9" t="s">
        <v>319</v>
      </c>
      <c r="B87" s="10" t="s">
        <v>320</v>
      </c>
      <c r="C87" s="10" t="s">
        <v>97</v>
      </c>
      <c r="D87" s="26" t="n">
        <v>26000</v>
      </c>
      <c r="E87" s="26" t="n">
        <v>55000</v>
      </c>
      <c r="F87" s="26" t="n">
        <v>110000</v>
      </c>
      <c r="G87" s="27" t="n">
        <v>55000</v>
      </c>
      <c r="H87" s="27" t="n">
        <v>55000</v>
      </c>
      <c r="I87" s="27" t="n">
        <v>55000</v>
      </c>
      <c r="J87" s="13"/>
      <c r="K87" s="10" t="s">
        <v>63</v>
      </c>
      <c r="L87" s="10" t="s">
        <v>42</v>
      </c>
      <c r="M87" s="13" t="s">
        <v>312</v>
      </c>
    </row>
    <row r="88" customFormat="false" ht="43.25" hidden="false" customHeight="false" outlineLevel="0" collapsed="false">
      <c r="A88" s="9" t="s">
        <v>321</v>
      </c>
      <c r="B88" s="10" t="s">
        <v>322</v>
      </c>
      <c r="C88" s="10" t="s">
        <v>61</v>
      </c>
      <c r="D88" s="16" t="n">
        <v>0.07</v>
      </c>
      <c r="E88" s="16" t="n">
        <v>0.06</v>
      </c>
      <c r="F88" s="16" t="n">
        <v>0.05</v>
      </c>
      <c r="G88" s="17" t="n">
        <v>0.06</v>
      </c>
      <c r="H88" s="17" t="n">
        <v>0.06</v>
      </c>
      <c r="I88" s="17" t="n">
        <v>0.06</v>
      </c>
      <c r="J88" s="13" t="s">
        <v>323</v>
      </c>
      <c r="K88" s="10" t="s">
        <v>42</v>
      </c>
      <c r="L88" s="10" t="s">
        <v>41</v>
      </c>
      <c r="M88" s="13" t="s">
        <v>324</v>
      </c>
    </row>
    <row r="89" customFormat="false" ht="22.35" hidden="false" customHeight="false" outlineLevel="0" collapsed="false">
      <c r="A89" s="9" t="s">
        <v>325</v>
      </c>
      <c r="B89" s="10" t="s">
        <v>326</v>
      </c>
      <c r="C89" s="10" t="s">
        <v>61</v>
      </c>
      <c r="D89" s="25" t="n">
        <v>0.03</v>
      </c>
      <c r="E89" s="25" t="n">
        <v>0.025</v>
      </c>
      <c r="F89" s="25" t="n">
        <v>0.02</v>
      </c>
      <c r="G89" s="17" t="n">
        <v>0.025</v>
      </c>
      <c r="H89" s="17" t="n">
        <v>0.025</v>
      </c>
      <c r="I89" s="17" t="n">
        <v>0.025</v>
      </c>
      <c r="J89" s="13" t="s">
        <v>327</v>
      </c>
      <c r="K89" s="10" t="s">
        <v>42</v>
      </c>
      <c r="L89" s="10" t="s">
        <v>42</v>
      </c>
      <c r="M89" s="13" t="s">
        <v>328</v>
      </c>
    </row>
    <row r="90" customFormat="false" ht="15" hidden="false" customHeight="false" outlineLevel="0" collapsed="false">
      <c r="A90" s="9" t="s">
        <v>329</v>
      </c>
      <c r="B90" s="10" t="s">
        <v>330</v>
      </c>
      <c r="C90" s="10" t="s">
        <v>61</v>
      </c>
      <c r="D90" s="34" t="n">
        <v>0.01</v>
      </c>
      <c r="E90" s="34" t="n">
        <v>0.008</v>
      </c>
      <c r="F90" s="34" t="n">
        <v>0.006</v>
      </c>
      <c r="G90" s="20" t="n">
        <v>0.008</v>
      </c>
      <c r="H90" s="20" t="n">
        <v>0.008</v>
      </c>
      <c r="I90" s="20" t="n">
        <v>0.008</v>
      </c>
      <c r="J90" s="13" t="s">
        <v>331</v>
      </c>
      <c r="K90" s="10" t="s">
        <v>42</v>
      </c>
      <c r="L90" s="10" t="s">
        <v>63</v>
      </c>
      <c r="M90" s="13" t="s">
        <v>332</v>
      </c>
    </row>
    <row r="91" customFormat="false" ht="15" hidden="false" customHeight="false" outlineLevel="0" collapsed="false">
      <c r="A91" s="9" t="s">
        <v>333</v>
      </c>
      <c r="B91" s="10" t="s">
        <v>334</v>
      </c>
      <c r="C91" s="10" t="s">
        <v>97</v>
      </c>
      <c r="D91" s="26" t="n">
        <v>5000</v>
      </c>
      <c r="E91" s="26" t="n">
        <v>9000</v>
      </c>
      <c r="F91" s="26" t="n">
        <v>14000</v>
      </c>
      <c r="G91" s="27" t="n">
        <v>9000</v>
      </c>
      <c r="H91" s="27" t="n">
        <v>9000</v>
      </c>
      <c r="I91" s="27" t="n">
        <v>9000</v>
      </c>
      <c r="J91" s="13" t="s">
        <v>335</v>
      </c>
      <c r="K91" s="10" t="s">
        <v>42</v>
      </c>
      <c r="L91" s="10" t="s">
        <v>63</v>
      </c>
      <c r="M91" s="13" t="s">
        <v>336</v>
      </c>
    </row>
    <row r="92" customFormat="false" ht="22.35" hidden="false" customHeight="false" outlineLevel="0" collapsed="false">
      <c r="A92" s="9" t="s">
        <v>337</v>
      </c>
      <c r="B92" s="10" t="s">
        <v>338</v>
      </c>
      <c r="C92" s="10" t="s">
        <v>97</v>
      </c>
      <c r="D92" s="26" t="n">
        <v>900</v>
      </c>
      <c r="E92" s="26" t="n">
        <v>1200</v>
      </c>
      <c r="F92" s="26" t="n">
        <v>2000</v>
      </c>
      <c r="G92" s="27" t="n">
        <v>1200</v>
      </c>
      <c r="H92" s="27" t="n">
        <v>1200</v>
      </c>
      <c r="I92" s="27" t="n">
        <v>1200</v>
      </c>
      <c r="J92" s="13" t="s">
        <v>339</v>
      </c>
      <c r="K92" s="10" t="s">
        <v>41</v>
      </c>
      <c r="L92" s="10" t="s">
        <v>63</v>
      </c>
      <c r="M92" s="13" t="s">
        <v>340</v>
      </c>
    </row>
    <row r="93" customFormat="false" ht="22.35" hidden="false" customHeight="false" outlineLevel="0" collapsed="false">
      <c r="A93" s="9" t="s">
        <v>341</v>
      </c>
      <c r="B93" s="10" t="s">
        <v>342</v>
      </c>
      <c r="C93" s="10" t="s">
        <v>97</v>
      </c>
      <c r="D93" s="26" t="n">
        <v>12000</v>
      </c>
      <c r="E93" s="26" t="n">
        <v>15000</v>
      </c>
      <c r="F93" s="26" t="n">
        <v>20000</v>
      </c>
      <c r="G93" s="27" t="n">
        <v>15000</v>
      </c>
      <c r="H93" s="27" t="n">
        <v>15000</v>
      </c>
      <c r="I93" s="27" t="n">
        <v>15000</v>
      </c>
      <c r="J93" s="13" t="s">
        <v>343</v>
      </c>
      <c r="K93" s="10" t="s">
        <v>42</v>
      </c>
      <c r="L93" s="10" t="s">
        <v>63</v>
      </c>
      <c r="M93" s="13" t="s">
        <v>344</v>
      </c>
    </row>
    <row r="94" customFormat="false" ht="15" hidden="false" customHeight="false" outlineLevel="0" collapsed="false">
      <c r="A94" s="9" t="s">
        <v>345</v>
      </c>
      <c r="B94" s="10" t="s">
        <v>346</v>
      </c>
      <c r="C94" s="10" t="s">
        <v>97</v>
      </c>
      <c r="D94" s="26" t="n">
        <v>3000</v>
      </c>
      <c r="E94" s="26" t="n">
        <v>4500</v>
      </c>
      <c r="F94" s="26" t="n">
        <v>7000</v>
      </c>
      <c r="G94" s="27" t="n">
        <v>4500</v>
      </c>
      <c r="H94" s="27" t="n">
        <v>4500</v>
      </c>
      <c r="I94" s="27" t="n">
        <v>4500</v>
      </c>
      <c r="J94" s="13" t="s">
        <v>347</v>
      </c>
      <c r="K94" s="10" t="s">
        <v>42</v>
      </c>
      <c r="L94" s="10" t="s">
        <v>42</v>
      </c>
      <c r="M94" s="13" t="s">
        <v>344</v>
      </c>
    </row>
    <row r="95" customFormat="false" ht="15" hidden="false" customHeight="false" outlineLevel="0" collapsed="false">
      <c r="A95" s="9" t="s">
        <v>348</v>
      </c>
      <c r="B95" s="10" t="s">
        <v>349</v>
      </c>
      <c r="C95" s="10" t="s">
        <v>97</v>
      </c>
      <c r="D95" s="26" t="n">
        <v>1800</v>
      </c>
      <c r="E95" s="26" t="n">
        <v>2500</v>
      </c>
      <c r="F95" s="26" t="n">
        <v>3500</v>
      </c>
      <c r="G95" s="27" t="n">
        <v>2500</v>
      </c>
      <c r="H95" s="27" t="n">
        <v>2500</v>
      </c>
      <c r="I95" s="27" t="n">
        <v>2500</v>
      </c>
      <c r="J95" s="13" t="s">
        <v>350</v>
      </c>
      <c r="K95" s="10" t="s">
        <v>42</v>
      </c>
      <c r="L95" s="10" t="s">
        <v>63</v>
      </c>
      <c r="M95" s="13" t="s">
        <v>351</v>
      </c>
    </row>
    <row r="96" customFormat="false" ht="32.8" hidden="false" customHeight="false" outlineLevel="0" collapsed="false">
      <c r="A96" s="9" t="s">
        <v>352</v>
      </c>
      <c r="B96" s="10" t="s">
        <v>353</v>
      </c>
      <c r="C96" s="10" t="s">
        <v>97</v>
      </c>
      <c r="D96" s="26" t="n">
        <v>3000</v>
      </c>
      <c r="E96" s="26" t="n">
        <v>6000</v>
      </c>
      <c r="F96" s="26" t="n">
        <v>12000</v>
      </c>
      <c r="G96" s="28" t="n">
        <v>12000</v>
      </c>
      <c r="H96" s="27" t="n">
        <v>6000</v>
      </c>
      <c r="I96" s="27" t="n">
        <v>6000</v>
      </c>
      <c r="J96" s="13" t="s">
        <v>354</v>
      </c>
      <c r="K96" s="10" t="s">
        <v>42</v>
      </c>
      <c r="L96" s="10" t="s">
        <v>42</v>
      </c>
      <c r="M96" s="13" t="s">
        <v>355</v>
      </c>
    </row>
    <row r="97" customFormat="false" ht="15" hidden="false" customHeight="false" outlineLevel="0" collapsed="false">
      <c r="A97" s="7" t="s">
        <v>356</v>
      </c>
      <c r="B97" s="8"/>
      <c r="C97" s="8"/>
      <c r="D97" s="8"/>
      <c r="E97" s="8"/>
      <c r="F97" s="8"/>
      <c r="G97" s="8"/>
      <c r="H97" s="8"/>
      <c r="I97" s="8"/>
      <c r="J97" s="8"/>
      <c r="K97" s="8"/>
      <c r="L97" s="8"/>
      <c r="M97" s="8"/>
    </row>
    <row r="98" customFormat="false" ht="22.35" hidden="false" customHeight="false" outlineLevel="0" collapsed="false">
      <c r="A98" s="9" t="s">
        <v>357</v>
      </c>
      <c r="B98" s="10" t="s">
        <v>358</v>
      </c>
      <c r="C98" s="10" t="s">
        <v>97</v>
      </c>
      <c r="D98" s="32" t="n">
        <v>0</v>
      </c>
      <c r="E98" s="32" t="n">
        <v>15000</v>
      </c>
      <c r="F98" s="32" t="n">
        <v>25000</v>
      </c>
      <c r="G98" s="28" t="n">
        <v>0</v>
      </c>
      <c r="H98" s="27" t="n">
        <v>15000</v>
      </c>
      <c r="I98" s="27" t="n">
        <v>15000</v>
      </c>
      <c r="J98" s="13" t="s">
        <v>359</v>
      </c>
      <c r="K98" s="10" t="s">
        <v>57</v>
      </c>
      <c r="L98" s="10" t="s">
        <v>41</v>
      </c>
      <c r="M98" s="13" t="s">
        <v>360</v>
      </c>
    </row>
    <row r="99" customFormat="false" ht="22.35" hidden="false" customHeight="false" outlineLevel="0" collapsed="false">
      <c r="A99" s="9" t="s">
        <v>361</v>
      </c>
      <c r="B99" s="10" t="s">
        <v>362</v>
      </c>
      <c r="C99" s="10" t="s">
        <v>61</v>
      </c>
      <c r="D99" s="16" t="n">
        <v>0.05</v>
      </c>
      <c r="E99" s="16" t="n">
        <v>0.05</v>
      </c>
      <c r="F99" s="16" t="n">
        <v>0.05</v>
      </c>
      <c r="G99" s="18" t="n">
        <v>0</v>
      </c>
      <c r="H99" s="17" t="n">
        <v>0.05</v>
      </c>
      <c r="I99" s="17" t="n">
        <v>0.05</v>
      </c>
      <c r="J99" s="13" t="s">
        <v>363</v>
      </c>
      <c r="K99" s="10" t="s">
        <v>57</v>
      </c>
      <c r="L99" s="10" t="s">
        <v>41</v>
      </c>
      <c r="M99" s="13" t="s">
        <v>360</v>
      </c>
    </row>
    <row r="100" customFormat="false" ht="15" hidden="false" customHeight="false" outlineLevel="0" collapsed="false">
      <c r="A100" s="9" t="s">
        <v>364</v>
      </c>
      <c r="B100" s="10" t="s">
        <v>365</v>
      </c>
      <c r="C100" s="10" t="s">
        <v>61</v>
      </c>
      <c r="D100" s="25" t="n">
        <v>0.1</v>
      </c>
      <c r="E100" s="25" t="n">
        <v>0.15</v>
      </c>
      <c r="F100" s="25" t="n">
        <v>0.2</v>
      </c>
      <c r="G100" s="18" t="n">
        <v>0</v>
      </c>
      <c r="H100" s="17" t="n">
        <v>0.15</v>
      </c>
      <c r="I100" s="17" t="n">
        <v>0.15</v>
      </c>
      <c r="J100" s="13" t="s">
        <v>366</v>
      </c>
      <c r="K100" s="10" t="s">
        <v>57</v>
      </c>
      <c r="L100" s="10" t="s">
        <v>57</v>
      </c>
      <c r="M100" s="13" t="s">
        <v>360</v>
      </c>
    </row>
    <row r="101" customFormat="false" ht="15" hidden="false" customHeight="false" outlineLevel="0" collapsed="false">
      <c r="A101" s="7" t="s">
        <v>367</v>
      </c>
      <c r="B101" s="8"/>
      <c r="C101" s="8"/>
      <c r="D101" s="8"/>
      <c r="E101" s="8"/>
      <c r="F101" s="8"/>
      <c r="G101" s="8"/>
      <c r="H101" s="8"/>
      <c r="I101" s="8"/>
      <c r="J101" s="8"/>
      <c r="K101" s="8"/>
      <c r="L101" s="8"/>
      <c r="M101" s="8"/>
    </row>
    <row r="102" customFormat="false" ht="22.35" hidden="false" customHeight="false" outlineLevel="0" collapsed="false">
      <c r="A102" s="9" t="s">
        <v>368</v>
      </c>
      <c r="B102" s="10" t="s">
        <v>369</v>
      </c>
      <c r="C102" s="10" t="s">
        <v>370</v>
      </c>
      <c r="D102" s="35" t="n">
        <v>2.5</v>
      </c>
      <c r="E102" s="35" t="n">
        <v>2</v>
      </c>
      <c r="F102" s="35" t="n">
        <v>2</v>
      </c>
      <c r="G102" s="36" t="n">
        <v>2</v>
      </c>
      <c r="H102" s="36" t="n">
        <v>2</v>
      </c>
      <c r="I102" s="36" t="n">
        <v>2</v>
      </c>
      <c r="J102" s="13" t="s">
        <v>371</v>
      </c>
      <c r="K102" s="10" t="s">
        <v>42</v>
      </c>
      <c r="L102" s="10" t="s">
        <v>42</v>
      </c>
      <c r="M102" s="13" t="s">
        <v>372</v>
      </c>
    </row>
  </sheetData>
  <mergeCells count="1">
    <mergeCell ref="A2:M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4" min="2" style="0" width="16"/>
    <col collapsed="false" customWidth="true" hidden="false" outlineLevel="0" max="7" min="5" style="0" width="17"/>
  </cols>
  <sheetData>
    <row r="1" customFormat="false" ht="17.35" hidden="false" customHeight="false" outlineLevel="0" collapsed="false">
      <c r="A1" s="4" t="s">
        <v>373</v>
      </c>
    </row>
    <row r="2" customFormat="false" ht="43.5" hidden="false" customHeight="true" outlineLevel="0" collapsed="false">
      <c r="A2" s="5" t="s">
        <v>374</v>
      </c>
      <c r="B2" s="5"/>
      <c r="C2" s="5"/>
      <c r="D2" s="5"/>
      <c r="E2" s="5"/>
    </row>
    <row r="4" customFormat="false" ht="26.85" hidden="false" customHeight="false" outlineLevel="0" collapsed="false">
      <c r="A4" s="6" t="s">
        <v>375</v>
      </c>
      <c r="B4" s="6" t="s">
        <v>26</v>
      </c>
      <c r="C4" s="6" t="s">
        <v>27</v>
      </c>
      <c r="D4" s="6" t="s">
        <v>28</v>
      </c>
      <c r="E4" s="6" t="s">
        <v>376</v>
      </c>
      <c r="F4" s="6" t="s">
        <v>377</v>
      </c>
      <c r="G4" s="6" t="s">
        <v>378</v>
      </c>
    </row>
    <row r="5" customFormat="false" ht="15" hidden="false" customHeight="false" outlineLevel="0" collapsed="false">
      <c r="A5" s="37" t="s">
        <v>379</v>
      </c>
      <c r="B5" s="38" t="n">
        <f aca="false">SUM(Model_Conservative!C72:N72)</f>
        <v>370327.503467448</v>
      </c>
      <c r="C5" s="38" t="n">
        <f aca="false">SUM(Model_Baseline!C72:N72)</f>
        <v>4174790.77374439</v>
      </c>
      <c r="D5" s="38" t="n">
        <f aca="false">SUM(Model_Aggressive!C72:N72)</f>
        <v>33278188.8125066</v>
      </c>
      <c r="E5" s="39" t="n">
        <f aca="false">SUM(Model_No_Partner!C72:N72)</f>
        <v>579892.151092254</v>
      </c>
      <c r="F5" s="39" t="n">
        <f aca="false">SUM(Model_Weak_Audience!C72:N72)</f>
        <v>1170516.13722129</v>
      </c>
      <c r="G5" s="39" t="n">
        <f aca="false">SUM(Model_Weak_Retention!C72:N72)</f>
        <v>3936383.83497746</v>
      </c>
    </row>
    <row r="6" customFormat="false" ht="15" hidden="false" customHeight="false" outlineLevel="0" collapsed="false">
      <c r="A6" s="37" t="s">
        <v>380</v>
      </c>
      <c r="B6" s="38" t="n">
        <f aca="false">SUM(Model_Conservative!O72:Z72)</f>
        <v>559793.048176804</v>
      </c>
      <c r="C6" s="38" t="n">
        <f aca="false">SUM(Model_Baseline!O72:Z72)</f>
        <v>9696340.61366746</v>
      </c>
      <c r="D6" s="38" t="n">
        <f aca="false">SUM(Model_Aggressive!O72:Z72)</f>
        <v>155119258.131981</v>
      </c>
      <c r="E6" s="39" t="n">
        <f aca="false">SUM(Model_No_Partner!O72:Z72)</f>
        <v>1670467.73160294</v>
      </c>
      <c r="F6" s="39" t="n">
        <f aca="false">SUM(Model_Weak_Audience!O72:Z72)</f>
        <v>2552911.63467393</v>
      </c>
      <c r="G6" s="39" t="n">
        <f aca="false">SUM(Model_Weak_Retention!O72:Z72)</f>
        <v>8391868.24438735</v>
      </c>
    </row>
    <row r="7" customFormat="false" ht="15" hidden="false" customHeight="false" outlineLevel="0" collapsed="false">
      <c r="A7" s="37" t="s">
        <v>381</v>
      </c>
      <c r="B7" s="38" t="n">
        <f aca="false">SUM(Model_Conservative!AA72:AL72)</f>
        <v>710000.103492012</v>
      </c>
      <c r="C7" s="38" t="n">
        <f aca="false">SUM(Model_Baseline!AA72:AL72)</f>
        <v>14869547.420439</v>
      </c>
      <c r="D7" s="38" t="n">
        <f aca="false">SUM(Model_Aggressive!AA72:AL72)</f>
        <v>311455318.671375</v>
      </c>
      <c r="E7" s="39" t="n">
        <f aca="false">SUM(Model_No_Partner!AA72:AL72)</f>
        <v>3918172.1272594</v>
      </c>
      <c r="F7" s="39" t="n">
        <f aca="false">SUM(Model_Weak_Audience!AA72:AL72)</f>
        <v>4701463.17163945</v>
      </c>
      <c r="G7" s="39" t="n">
        <f aca="false">SUM(Model_Weak_Retention!AA72:AL72)</f>
        <v>12167127.9510978</v>
      </c>
    </row>
    <row r="8" customFormat="false" ht="15" hidden="false" customHeight="false" outlineLevel="0" collapsed="false">
      <c r="A8" s="37" t="s">
        <v>382</v>
      </c>
      <c r="B8" s="38" t="n">
        <f aca="false">SUM(Model_Conservative!C72:AL72)</f>
        <v>1640120.65513626</v>
      </c>
      <c r="C8" s="38" t="n">
        <f aca="false">SUM(Model_Baseline!C72:AL72)</f>
        <v>28740678.8078508</v>
      </c>
      <c r="D8" s="38" t="n">
        <f aca="false">SUM(Model_Aggressive!C72:AL72)</f>
        <v>499852765.615863</v>
      </c>
      <c r="E8" s="39" t="n">
        <f aca="false">SUM(Model_No_Partner!C72:AL72)</f>
        <v>6168532.00995459</v>
      </c>
      <c r="F8" s="39" t="n">
        <f aca="false">SUM(Model_Weak_Audience!C72:AL72)</f>
        <v>8424890.94353466</v>
      </c>
      <c r="G8" s="39" t="n">
        <f aca="false">SUM(Model_Weak_Retention!C72:AL72)</f>
        <v>24495380.0304626</v>
      </c>
    </row>
    <row r="10" customFormat="false" ht="15" hidden="false" customHeight="false" outlineLevel="0" collapsed="false">
      <c r="A10" s="37" t="s">
        <v>383</v>
      </c>
      <c r="B10" s="38" t="n">
        <f aca="false">SUM(Model_Conservative!AA73:AL73)</f>
        <v>354779.803444337</v>
      </c>
      <c r="C10" s="38" t="n">
        <f aca="false">SUM(Model_Baseline!AA73:AL73)</f>
        <v>8578319.48827285</v>
      </c>
      <c r="D10" s="38" t="n">
        <f aca="false">SUM(Model_Aggressive!AA73:AL73)</f>
        <v>204893725.145435</v>
      </c>
      <c r="E10" s="39" t="n">
        <f aca="false">SUM(Model_No_Partner!AA73:AL73)</f>
        <v>2231026.07225055</v>
      </c>
      <c r="F10" s="39" t="n">
        <f aca="false">SUM(Model_Weak_Audience!AA73:AL73)</f>
        <v>2646101.52629055</v>
      </c>
      <c r="G10" s="39" t="n">
        <f aca="false">SUM(Model_Weak_Retention!AA73:AL73)</f>
        <v>7005304.96125959</v>
      </c>
    </row>
    <row r="11" customFormat="false" ht="15" hidden="false" customHeight="false" outlineLevel="0" collapsed="false">
      <c r="A11" s="37" t="s">
        <v>384</v>
      </c>
      <c r="B11" s="40" t="n">
        <f aca="false">IFERROR(SUM(Model_Conservative!C73:N73)/SUM(Model_Conservative!C72:N72),0)</f>
        <v>0.522700922285096</v>
      </c>
      <c r="C11" s="40" t="n">
        <f aca="false">IFERROR(SUM(Model_Baseline!C73:N73)/SUM(Model_Baseline!C72:N72),0)</f>
        <v>0.596342679451588</v>
      </c>
      <c r="D11" s="40" t="n">
        <f aca="false">IFERROR(SUM(Model_Aggressive!C73:N73)/SUM(Model_Aggressive!C72:N72),0)</f>
        <v>0.663146294174281</v>
      </c>
      <c r="E11" s="41" t="n">
        <f aca="false">IFERROR(SUM(Model_No_Partner!C73:N73)/SUM(Model_No_Partner!C72:N72),0)</f>
        <v>0.593991550381954</v>
      </c>
      <c r="F11" s="41" t="n">
        <f aca="false">IFERROR(SUM(Model_Weak_Audience!C73:N73)/SUM(Model_Weak_Audience!C72:N72),0)</f>
        <v>0.593955795480649</v>
      </c>
      <c r="G11" s="41" t="n">
        <f aca="false">IFERROR(SUM(Model_Weak_Retention!C73:N73)/SUM(Model_Weak_Retention!C72:N72),0)</f>
        <v>0.596202823257913</v>
      </c>
    </row>
    <row r="12" customFormat="false" ht="15" hidden="false" customHeight="false" outlineLevel="0" collapsed="false">
      <c r="A12" s="37" t="s">
        <v>385</v>
      </c>
      <c r="B12" s="40" t="n">
        <f aca="false">IFERROR(SUM(Model_Conservative!AA73:AL73)/SUM(Model_Conservative!AA72:AL72),0)</f>
        <v>0.499689791169626</v>
      </c>
      <c r="C12" s="40" t="n">
        <f aca="false">IFERROR(SUM(Model_Baseline!AA73:AL73)/SUM(Model_Baseline!AA72:AL72),0)</f>
        <v>0.576905217470271</v>
      </c>
      <c r="D12" s="40" t="n">
        <f aca="false">IFERROR(SUM(Model_Aggressive!AA73:AL73)/SUM(Model_Aggressive!AA72:AL72),0)</f>
        <v>0.657859130547147</v>
      </c>
      <c r="E12" s="41" t="n">
        <f aca="false">IFERROR(SUM(Model_No_Partner!AA73:AL73)/SUM(Model_No_Partner!AA72:AL72),0)</f>
        <v>0.569404814231848</v>
      </c>
      <c r="F12" s="41" t="n">
        <f aca="false">IFERROR(SUM(Model_Weak_Audience!AA73:AL73)/SUM(Model_Weak_Audience!AA72:AL72),0)</f>
        <v>0.562825109904632</v>
      </c>
      <c r="G12" s="41" t="n">
        <f aca="false">IFERROR(SUM(Model_Weak_Retention!AA73:AL73)/SUM(Model_Weak_Retention!AA72:AL72),0)</f>
        <v>0.575756660850065</v>
      </c>
    </row>
    <row r="13" customFormat="false" ht="15" hidden="false" customHeight="false" outlineLevel="0" collapsed="false">
      <c r="A13" s="37" t="s">
        <v>386</v>
      </c>
      <c r="B13" s="40" t="n">
        <f aca="false">IFERROR(SUM(Model_Conservative!AA46:AL46)/SUM(Model_Conservative!AA42:AL42),0)</f>
        <v>0.525291666666667</v>
      </c>
      <c r="C13" s="40" t="n">
        <f aca="false">IFERROR(SUM(Model_Baseline!AA46:AL46)/SUM(Model_Baseline!AA42:AL42),0)</f>
        <v>0.603831086439334</v>
      </c>
      <c r="D13" s="40" t="n">
        <f aca="false">IFERROR(SUM(Model_Aggressive!AA46:AL46)/SUM(Model_Aggressive!AA42:AL42),0)</f>
        <v>0.672525934188511</v>
      </c>
      <c r="E13" s="41" t="n">
        <f aca="false">IFERROR(SUM(Model_No_Partner!AA46:AL46)/SUM(Model_No_Partner!AA42:AL42),0)</f>
        <v>0.603831086439334</v>
      </c>
      <c r="F13" s="41" t="n">
        <f aca="false">IFERROR(SUM(Model_Weak_Audience!AA46:AL46)/SUM(Model_Weak_Audience!AA42:AL42),0)</f>
        <v>0.603831086439334</v>
      </c>
      <c r="G13" s="41" t="n">
        <f aca="false">IFERROR(SUM(Model_Weak_Retention!AA46:AL46)/SUM(Model_Weak_Retention!AA42:AL42),0)</f>
        <v>0.603831086439334</v>
      </c>
    </row>
    <row r="14" customFormat="false" ht="15" hidden="false" customHeight="false" outlineLevel="0" collapsed="false">
      <c r="A14" s="37" t="s">
        <v>387</v>
      </c>
      <c r="B14" s="40" t="n">
        <f aca="false">IFERROR(SUM(Model_Conservative!AA70:AL70)/SUM(Model_Conservative!AA63:AL63),0)</f>
        <v>0.222779029128899</v>
      </c>
      <c r="C14" s="40" t="n">
        <f aca="false">IFERROR(SUM(Model_Baseline!AA70:AL70)/SUM(Model_Baseline!AA63:AL63),0)</f>
        <v>0.474568178866696</v>
      </c>
      <c r="D14" s="40" t="n">
        <f aca="false">IFERROR(SUM(Model_Aggressive!AA70:AL70)/SUM(Model_Aggressive!AA63:AL63),0)</f>
        <v>0.629310461827267</v>
      </c>
      <c r="E14" s="41" t="n">
        <f aca="false">IFERROR(SUM(Model_No_Partner!AA70:AL70)/SUM(Model_No_Partner!AA63:AL63),0)</f>
        <v>0.473501602026669</v>
      </c>
      <c r="F14" s="41" t="n">
        <f aca="false">IFERROR(SUM(Model_Weak_Audience!AA70:AL70)/SUM(Model_Weak_Audience!AA63:AL63),0)</f>
        <v>0.474017763397916</v>
      </c>
      <c r="G14" s="41" t="n">
        <f aca="false">IFERROR(SUM(Model_Weak_Retention!AA70:AL70)/SUM(Model_Weak_Retention!AA63:AL63),0)</f>
        <v>0.47400161625376</v>
      </c>
    </row>
    <row r="16" customFormat="false" ht="15" hidden="false" customHeight="false" outlineLevel="0" collapsed="false">
      <c r="A16" s="37" t="s">
        <v>388</v>
      </c>
      <c r="B16" s="38" t="n">
        <f aca="false">SUM(Model_Conservative!C88:N88)</f>
        <v>-238770.789541683</v>
      </c>
      <c r="C16" s="38" t="n">
        <f aca="false">SUM(Model_Baseline!C88:N88)</f>
        <v>571040.235449891</v>
      </c>
      <c r="D16" s="38" t="n">
        <f aca="false">SUM(Model_Aggressive!C88:N88)</f>
        <v>12116961.780784</v>
      </c>
      <c r="E16" s="39" t="n">
        <f aca="false">SUM(Model_No_Partner!C88:N88)</f>
        <v>-549508.962118386</v>
      </c>
      <c r="F16" s="39" t="n">
        <f aca="false">SUM(Model_Weak_Audience!C88:N88)</f>
        <v>-396275.467219358</v>
      </c>
      <c r="G16" s="39" t="n">
        <f aca="false">SUM(Model_Weak_Retention!C88:N88)</f>
        <v>501696.227795625</v>
      </c>
    </row>
    <row r="17" customFormat="false" ht="15" hidden="false" customHeight="false" outlineLevel="0" collapsed="false">
      <c r="A17" s="37" t="s">
        <v>389</v>
      </c>
      <c r="B17" s="38" t="n">
        <f aca="false">SUM(Model_Conservative!O88:Z88)</f>
        <v>-298485.500621075</v>
      </c>
      <c r="C17" s="38" t="n">
        <f aca="false">SUM(Model_Baseline!O88:Z88)</f>
        <v>1702872.99205228</v>
      </c>
      <c r="D17" s="38" t="n">
        <f aca="false">SUM(Model_Aggressive!O88:Z88)</f>
        <v>54459303.2369839</v>
      </c>
      <c r="E17" s="39" t="n">
        <f aca="false">SUM(Model_No_Partner!O88:Z88)</f>
        <v>-206536.442654136</v>
      </c>
      <c r="F17" s="39" t="n">
        <f aca="false">SUM(Model_Weak_Audience!O88:Z88)</f>
        <v>-126455.083957652</v>
      </c>
      <c r="G17" s="39" t="n">
        <f aca="false">SUM(Model_Weak_Retention!O88:Z88)</f>
        <v>1396874.34683614</v>
      </c>
    </row>
    <row r="18" customFormat="false" ht="15" hidden="false" customHeight="false" outlineLevel="0" collapsed="false">
      <c r="A18" s="37" t="s">
        <v>390</v>
      </c>
      <c r="B18" s="38" t="n">
        <f aca="false">SUM(Model_Conservative!AA88:AL88)</f>
        <v>-376553.931305704</v>
      </c>
      <c r="C18" s="38" t="n">
        <f aca="false">SUM(Model_Baseline!AA88:AL88)</f>
        <v>2657043.82350926</v>
      </c>
      <c r="D18" s="38" t="n">
        <f aca="false">SUM(Model_Aggressive!AA88:AL88)</f>
        <v>118127517.034859</v>
      </c>
      <c r="E18" s="39" t="n">
        <f aca="false">SUM(Model_No_Partner!AA88:AL88)</f>
        <v>321207.942400083</v>
      </c>
      <c r="F18" s="39" t="n">
        <f aca="false">SUM(Model_Weak_Audience!AA88:AL88)</f>
        <v>149482.036534559</v>
      </c>
      <c r="G18" s="39" t="n">
        <f aca="false">SUM(Model_Weak_Retention!AA88:AL88)</f>
        <v>2068469.76459605</v>
      </c>
    </row>
    <row r="19" customFormat="false" ht="15" hidden="false" customHeight="false" outlineLevel="0" collapsed="false">
      <c r="A19" s="37" t="s">
        <v>391</v>
      </c>
      <c r="B19" s="40" t="n">
        <f aca="false">IFERROR(SUM(Model_Conservative!AA88:AL88)/SUM(Model_Conservative!AA72:AL72),0)</f>
        <v>-0.530357572419622</v>
      </c>
      <c r="C19" s="40" t="n">
        <f aca="false">IFERROR(SUM(Model_Baseline!AA88:AL88)/SUM(Model_Baseline!AA72:AL72),0)</f>
        <v>0.178690295567235</v>
      </c>
      <c r="D19" s="40" t="n">
        <f aca="false">IFERROR(SUM(Model_Aggressive!AA88:AL88)/SUM(Model_Aggressive!AA72:AL72),0)</f>
        <v>0.379275966577725</v>
      </c>
      <c r="E19" s="41" t="n">
        <f aca="false">IFERROR(SUM(Model_No_Partner!AA88:AL88)/SUM(Model_No_Partner!AA72:AL72),0)</f>
        <v>0.0819790279669909</v>
      </c>
      <c r="F19" s="41" t="n">
        <f aca="false">IFERROR(SUM(Model_Weak_Audience!AA88:AL88)/SUM(Model_Weak_Audience!AA72:AL72),0)</f>
        <v>0.0317947904891134</v>
      </c>
      <c r="G19" s="41" t="n">
        <f aca="false">IFERROR(SUM(Model_Weak_Retention!AA88:AL88)/SUM(Model_Weak_Retention!AA72:AL72),0)</f>
        <v>0.170004768003563</v>
      </c>
    </row>
    <row r="20" customFormat="false" ht="15" hidden="false" customHeight="false" outlineLevel="0" collapsed="false">
      <c r="A20" s="37" t="s">
        <v>392</v>
      </c>
      <c r="B20" s="38" t="n">
        <f aca="false">SUM(Model_Conservative!C88:AL88)</f>
        <v>-913810.221468461</v>
      </c>
      <c r="C20" s="38" t="n">
        <f aca="false">SUM(Model_Baseline!C88:AL88)</f>
        <v>4930957.05101143</v>
      </c>
      <c r="D20" s="38" t="n">
        <f aca="false">SUM(Model_Aggressive!C88:AL88)</f>
        <v>184703782.052627</v>
      </c>
      <c r="E20" s="39" t="n">
        <f aca="false">SUM(Model_No_Partner!C88:AL88)</f>
        <v>-434837.462372439</v>
      </c>
      <c r="F20" s="39" t="n">
        <f aca="false">SUM(Model_Weak_Audience!C88:AL88)</f>
        <v>-373248.514642451</v>
      </c>
      <c r="G20" s="39" t="n">
        <f aca="false">SUM(Model_Weak_Retention!C88:AL88)</f>
        <v>3967040.33922782</v>
      </c>
    </row>
    <row r="22" customFormat="false" ht="15" hidden="false" customHeight="false" outlineLevel="0" collapsed="false">
      <c r="A22" s="37" t="s">
        <v>393</v>
      </c>
      <c r="B22" s="42" t="str">
        <f aca="false">IF(MIN(Model_Conservative!C94:AL94)=999,"Not within 36 months",MIN(Model_Conservative!C94:AL94))</f>
        <v>Not within 36 months</v>
      </c>
      <c r="C22" s="42" t="n">
        <f aca="false">IF(MIN(Model_Baseline!C94:AL94)=999,"Not within 36 months",MIN(Model_Baseline!C94:AL94))</f>
        <v>3</v>
      </c>
      <c r="D22" s="42" t="n">
        <f aca="false">IF(MIN(Model_Aggressive!C94:AL94)=999,"Not within 36 months",MIN(Model_Aggressive!C94:AL94))</f>
        <v>3</v>
      </c>
      <c r="E22" s="43" t="n">
        <f aca="false">IF(MIN(Model_No_Partner!C94:AL94)=999,"Not within 36 months",MIN(Model_No_Partner!C94:AL94))</f>
        <v>23</v>
      </c>
      <c r="F22" s="43" t="n">
        <f aca="false">IF(MIN(Model_Weak_Audience!C94:AL94)=999,"Not within 36 months",MIN(Model_Weak_Audience!C94:AL94))</f>
        <v>23</v>
      </c>
      <c r="G22" s="43" t="n">
        <f aca="false">IF(MIN(Model_Weak_Retention!C94:AL94)=999,"Not within 36 months",MIN(Model_Weak_Retention!C94:AL94))</f>
        <v>3</v>
      </c>
    </row>
    <row r="23" customFormat="false" ht="15" hidden="false" customHeight="false" outlineLevel="0" collapsed="false">
      <c r="A23" s="37" t="s">
        <v>394</v>
      </c>
      <c r="B23" s="38" t="n">
        <f aca="false">MIN(0,MIN(Model_Conservative!C93:AL93))</f>
        <v>-960822.408845643</v>
      </c>
      <c r="C23" s="38" t="n">
        <f aca="false">MIN(0,MIN(Model_Baseline!C93:AL93))</f>
        <v>-203784.15948</v>
      </c>
      <c r="D23" s="38" t="n">
        <f aca="false">MIN(0,MIN(Model_Aggressive!C93:AL93))</f>
        <v>-313648.784</v>
      </c>
      <c r="E23" s="39" t="n">
        <f aca="false">MIN(0,MIN(Model_No_Partner!C93:AL93))</f>
        <v>-873366.228393932</v>
      </c>
      <c r="F23" s="39" t="n">
        <f aca="false">MIN(0,MIN(Model_Weak_Audience!C93:AL93))</f>
        <v>-675733.4267883</v>
      </c>
      <c r="G23" s="39" t="n">
        <f aca="false">MIN(0,MIN(Model_Weak_Retention!C93:AL93))</f>
        <v>-203836.53102</v>
      </c>
    </row>
    <row r="24" customFormat="false" ht="15" hidden="false" customHeight="false" outlineLevel="0" collapsed="false">
      <c r="A24" s="37" t="s">
        <v>395</v>
      </c>
      <c r="B24" s="38" t="n">
        <f aca="false">-MIN(0,MIN(Model_Conservative!C93:AL93))*1.3</f>
        <v>1249069.13149934</v>
      </c>
      <c r="C24" s="38" t="n">
        <f aca="false">-MIN(0,MIN(Model_Baseline!C93:AL93))*1.3</f>
        <v>264919.407324</v>
      </c>
      <c r="D24" s="38" t="n">
        <f aca="false">-MIN(0,MIN(Model_Aggressive!C93:AL93))*1.3</f>
        <v>407743.4192</v>
      </c>
      <c r="E24" s="39" t="n">
        <f aca="false">-MIN(0,MIN(Model_No_Partner!C93:AL93))*1.3</f>
        <v>1135376.09691211</v>
      </c>
      <c r="F24" s="39" t="n">
        <f aca="false">-MIN(0,MIN(Model_Weak_Audience!C93:AL93))*1.3</f>
        <v>878453.45482479</v>
      </c>
      <c r="G24" s="39" t="n">
        <f aca="false">-MIN(0,MIN(Model_Weak_Retention!C93:AL93))*1.3</f>
        <v>264987.490326</v>
      </c>
    </row>
    <row r="25" customFormat="false" ht="15" hidden="false" customHeight="false" outlineLevel="0" collapsed="false">
      <c r="A25" s="37" t="s">
        <v>396</v>
      </c>
      <c r="B25" s="38" t="n">
        <f aca="false">Model_Conservative!AL93</f>
        <v>-960822.408845643</v>
      </c>
      <c r="C25" s="38" t="n">
        <f aca="false">Model_Baseline!AL93</f>
        <v>4320048.18619042</v>
      </c>
      <c r="D25" s="38" t="n">
        <f aca="false">Model_Aggressive!AL93</f>
        <v>175509505.728373</v>
      </c>
      <c r="E25" s="39" t="n">
        <f aca="false">Model_No_Partner!AL93</f>
        <v>-618416.543980206</v>
      </c>
      <c r="F25" s="39" t="n">
        <f aca="false">Model_Weak_Audience!AL93</f>
        <v>-556045.274091356</v>
      </c>
      <c r="G25" s="39" t="n">
        <f aca="false">Model_Weak_Retention!AL93</f>
        <v>3479002.00125322</v>
      </c>
    </row>
    <row r="27" customFormat="false" ht="15" hidden="false" customHeight="false" outlineLevel="0" collapsed="false">
      <c r="A27" s="37" t="s">
        <v>397</v>
      </c>
      <c r="B27" s="44" t="n">
        <f aca="false">Model_Conservative!AL36</f>
        <v>724.337488780873</v>
      </c>
      <c r="C27" s="44" t="n">
        <f aca="false">Model_Baseline!AL36</f>
        <v>12989.4812238635</v>
      </c>
      <c r="D27" s="44" t="n">
        <f aca="false">Model_Aggressive!AL36</f>
        <v>217215.206849695</v>
      </c>
      <c r="E27" s="45" t="n">
        <f aca="false">Model_No_Partner!AL36</f>
        <v>3707.69151876555</v>
      </c>
      <c r="F27" s="45" t="n">
        <f aca="false">Model_Weak_Audience!AL36</f>
        <v>3793.93101063309</v>
      </c>
      <c r="G27" s="45" t="n">
        <f aca="false">Model_Weak_Retention!AL36</f>
        <v>10163.573393906</v>
      </c>
    </row>
    <row r="28" customFormat="false" ht="15" hidden="false" customHeight="false" outlineLevel="0" collapsed="false">
      <c r="A28" s="37" t="s">
        <v>398</v>
      </c>
      <c r="B28" s="44" t="n">
        <f aca="false">Model_Conservative!AL57</f>
        <v>29.8343321708134</v>
      </c>
      <c r="C28" s="44" t="n">
        <f aca="false">Model_Baseline!AL57</f>
        <v>1219.20278826951</v>
      </c>
      <c r="D28" s="44" t="n">
        <f aca="false">Model_Aggressive!AL57</f>
        <v>33197.4904229713</v>
      </c>
      <c r="E28" s="45" t="n">
        <f aca="false">Model_No_Partner!AL57</f>
        <v>480.242729018601</v>
      </c>
      <c r="F28" s="45" t="n">
        <f aca="false">Model_Weak_Audience!AL57</f>
        <v>638.416379549107</v>
      </c>
      <c r="G28" s="45" t="n">
        <f aca="false">Model_Weak_Retention!AL57</f>
        <v>1011.85961983136</v>
      </c>
    </row>
    <row r="29" customFormat="false" ht="15" hidden="false" customHeight="false" outlineLevel="0" collapsed="false">
      <c r="A29" s="37" t="s">
        <v>399</v>
      </c>
      <c r="B29" s="40" t="n">
        <f aca="false">IFERROR(SUM(Model_Conservative!AA42:AL42)/SUM(Model_Conservative!AA72:AL72),0)</f>
        <v>0.915369236454315</v>
      </c>
      <c r="C29" s="40" t="n">
        <f aca="false">IFERROR(SUM(Model_Baseline!AA42:AL42)/SUM(Model_Baseline!AA72:AL72),0)</f>
        <v>0.791696864362017</v>
      </c>
      <c r="D29" s="40" t="n">
        <f aca="false">IFERROR(SUM(Model_Aggressive!AA42:AL42)/SUM(Model_Aggressive!AA72:AL72),0)</f>
        <v>0.660612210396258</v>
      </c>
      <c r="E29" s="41" t="n">
        <f aca="false">IFERROR(SUM(Model_No_Partner!AA42:AL42)/SUM(Model_No_Partner!AA72:AL72),0)</f>
        <v>0.73585200338489</v>
      </c>
      <c r="F29" s="41" t="n">
        <f aca="false">IFERROR(SUM(Model_Weak_Audience!AA42:AL42)/SUM(Model_Weak_Audience!AA72:AL72),0)</f>
        <v>0.684115808963473</v>
      </c>
      <c r="G29" s="41" t="n">
        <f aca="false">IFERROR(SUM(Model_Weak_Retention!AA42:AL42)/SUM(Model_Weak_Retention!AA72:AL72),0)</f>
        <v>0.783759222392729</v>
      </c>
    </row>
    <row r="31" customFormat="false" ht="15" hidden="false" customHeight="false" outlineLevel="0" collapsed="false">
      <c r="A31" s="37" t="s">
        <v>400</v>
      </c>
      <c r="B31" s="46" t="n">
        <f aca="false">Model_Conservative!AL102</f>
        <v>41.92672</v>
      </c>
      <c r="C31" s="46" t="n">
        <f aca="false">Model_Baseline!AL102</f>
        <v>116.02563</v>
      </c>
      <c r="D31" s="46" t="n">
        <f aca="false">Model_Aggressive!AL102</f>
        <v>184.526606</v>
      </c>
      <c r="E31" s="47" t="n">
        <f aca="false">Model_No_Partner!AL102</f>
        <v>116.02563</v>
      </c>
      <c r="F31" s="47" t="n">
        <f aca="false">Model_Weak_Audience!AL102</f>
        <v>116.02563</v>
      </c>
      <c r="G31" s="47" t="n">
        <f aca="false">Model_Weak_Retention!AL102</f>
        <v>116.02563</v>
      </c>
    </row>
    <row r="32" customFormat="false" ht="15" hidden="false" customHeight="false" outlineLevel="0" collapsed="false">
      <c r="A32" s="37" t="s">
        <v>401</v>
      </c>
      <c r="B32" s="38" t="n">
        <f aca="false">Model_Conservative!AL103</f>
        <v>322.513230769231</v>
      </c>
      <c r="C32" s="38" t="n">
        <f aca="false">Model_Baseline!AL103</f>
        <v>1054.77845454545</v>
      </c>
      <c r="D32" s="38" t="n">
        <f aca="false">Model_Aggressive!AL103</f>
        <v>1942.38532631579</v>
      </c>
      <c r="E32" s="39" t="n">
        <f aca="false">Model_No_Partner!AL103</f>
        <v>1054.77845454545</v>
      </c>
      <c r="F32" s="39" t="n">
        <f aca="false">Model_Weak_Audience!AL103</f>
        <v>1054.77845454545</v>
      </c>
      <c r="G32" s="39" t="n">
        <f aca="false">Model_Weak_Retention!AL103</f>
        <v>892.504846153846</v>
      </c>
    </row>
    <row r="33" customFormat="false" ht="15" hidden="false" customHeight="false" outlineLevel="0" collapsed="false">
      <c r="A33" s="37" t="s">
        <v>402</v>
      </c>
      <c r="B33" s="46" t="n">
        <f aca="false">Model_Conservative!AL104</f>
        <v>34.29104</v>
      </c>
      <c r="C33" s="46" t="n">
        <f aca="false">Model_Baseline!AL104</f>
        <v>45.68586</v>
      </c>
      <c r="D33" s="46" t="n">
        <f aca="false">Model_Aggressive!AL104</f>
        <v>57.880272</v>
      </c>
      <c r="E33" s="47" t="n">
        <f aca="false">Model_No_Partner!AL104</f>
        <v>45.68586</v>
      </c>
      <c r="F33" s="47" t="n">
        <f aca="false">Model_Weak_Audience!AL104</f>
        <v>45.68586</v>
      </c>
      <c r="G33" s="47" t="n">
        <f aca="false">Model_Weak_Retention!AL104</f>
        <v>45.68586</v>
      </c>
    </row>
    <row r="34" customFormat="false" ht="15" hidden="false" customHeight="false" outlineLevel="0" collapsed="false">
      <c r="A34" s="37" t="s">
        <v>403</v>
      </c>
      <c r="B34" s="38" t="n">
        <f aca="false">Model_Conservative!AL105</f>
        <v>381.011555555556</v>
      </c>
      <c r="C34" s="38" t="n">
        <f aca="false">Model_Baseline!AL105</f>
        <v>652.655142857143</v>
      </c>
      <c r="D34" s="38" t="n">
        <f aca="false">Model_Aggressive!AL105</f>
        <v>1052.36858181818</v>
      </c>
      <c r="E34" s="39" t="n">
        <f aca="false">Model_No_Partner!AL105</f>
        <v>652.655142857143</v>
      </c>
      <c r="F34" s="39" t="n">
        <f aca="false">Model_Weak_Audience!AL105</f>
        <v>652.655142857143</v>
      </c>
      <c r="G34" s="39" t="n">
        <f aca="false">Model_Weak_Retention!AL105</f>
        <v>507.620666666667</v>
      </c>
    </row>
    <row r="35" customFormat="false" ht="15" hidden="false" customHeight="false" outlineLevel="0" collapsed="false">
      <c r="A35" s="37" t="s">
        <v>404</v>
      </c>
      <c r="B35" s="46" t="n">
        <f aca="false">IFERROR((SUM(Model_Conservative!AA26:AL26)-SUM(Model_Conservative!AA82:AL82))/SUM(Model_Conservative!AA95:AL95),0)</f>
        <v>86.447935894385</v>
      </c>
      <c r="C35" s="46" t="n">
        <f aca="false">IFERROR((SUM(Model_Baseline!AA26:AL26)-SUM(Model_Baseline!AA82:AL82))/SUM(Model_Baseline!AA95:AL95),0)</f>
        <v>112.458506896287</v>
      </c>
      <c r="D35" s="46" t="n">
        <f aca="false">IFERROR((SUM(Model_Aggressive!AA26:AL26)-SUM(Model_Aggressive!AA82:AL82))/SUM(Model_Aggressive!AA95:AL95),0)</f>
        <v>120.704742568043</v>
      </c>
      <c r="E35" s="47" t="n">
        <f aca="false">IFERROR((SUM(Model_No_Partner!AA26:AL26)-SUM(Model_No_Partner!AA82:AL82))/SUM(Model_No_Partner!AA95:AL95),0)</f>
        <v>93.0257187978366</v>
      </c>
      <c r="F35" s="47" t="n">
        <f aca="false">IFERROR((SUM(Model_Weak_Audience!AA26:AL26)-SUM(Model_Weak_Audience!AA82:AL82))/SUM(Model_Weak_Audience!AA95:AL95),0)</f>
        <v>109.728963351907</v>
      </c>
      <c r="G35" s="47" t="n">
        <f aca="false">IFERROR((SUM(Model_Weak_Retention!AA26:AL26)-SUM(Model_Weak_Retention!AA82:AL82))/SUM(Model_Weak_Retention!AA95:AL95),0)</f>
        <v>99.3389919576006</v>
      </c>
    </row>
    <row r="36" customFormat="false" ht="15" hidden="false" customHeight="false" outlineLevel="0" collapsed="false">
      <c r="A36" s="37" t="s">
        <v>405</v>
      </c>
      <c r="B36" s="48" t="n">
        <f aca="false">IFERROR(Model_Conservative!AL105/((SUM(Model_Conservative!AA26:AL26)-SUM(Model_Conservative!AA82:AL82))/SUM(Model_Conservative!AA95:AL95)),0)</f>
        <v>4.40741067572792</v>
      </c>
      <c r="C36" s="48" t="n">
        <f aca="false">IFERROR(Model_Baseline!AL105/((SUM(Model_Baseline!AA26:AL26)-SUM(Model_Baseline!AA82:AL82))/SUM(Model_Baseline!AA95:AL95)),0)</f>
        <v>5.80351954573826</v>
      </c>
      <c r="D36" s="48" t="n">
        <f aca="false">IFERROR(Model_Aggressive!AL105/((SUM(Model_Aggressive!AA26:AL26)-SUM(Model_Aggressive!AA82:AL82))/SUM(Model_Aggressive!AA95:AL95)),0)</f>
        <v>8.71853548939842</v>
      </c>
      <c r="E36" s="49" t="n">
        <f aca="false">IFERROR(Model_No_Partner!AL105/((SUM(Model_No_Partner!AA26:AL26)-SUM(Model_No_Partner!AA82:AL82))/SUM(Model_No_Partner!AA95:AL95)),0)</f>
        <v>7.01585702632938</v>
      </c>
      <c r="F36" s="49" t="n">
        <f aca="false">IFERROR(Model_Weak_Audience!AL105/((SUM(Model_Weak_Audience!AA26:AL26)-SUM(Model_Weak_Audience!AA82:AL82))/SUM(Model_Weak_Audience!AA95:AL95)),0)</f>
        <v>5.94788397630294</v>
      </c>
      <c r="G36" s="49" t="n">
        <f aca="false">IFERROR(Model_Weak_Retention!AL105/((SUM(Model_Weak_Retention!AA26:AL26)-SUM(Model_Weak_Retention!AA82:AL82))/SUM(Model_Weak_Retention!AA95:AL95)),0)</f>
        <v>5.10998407235023</v>
      </c>
    </row>
  </sheetData>
  <mergeCells count="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6"/>
    <col collapsed="false" customWidth="true" hidden="false" outlineLevel="0" max="4" min="2" style="0" width="16"/>
    <col collapsed="false" customWidth="true" hidden="false" outlineLevel="0" max="5" min="5" style="0" width="19"/>
  </cols>
  <sheetData>
    <row r="1" customFormat="false" ht="17.35" hidden="false" customHeight="false" outlineLevel="0" collapsed="false">
      <c r="A1" s="4" t="s">
        <v>406</v>
      </c>
    </row>
    <row r="2" customFormat="false" ht="39.75" hidden="false" customHeight="true" outlineLevel="0" collapsed="false">
      <c r="A2" s="5" t="s">
        <v>407</v>
      </c>
      <c r="B2" s="5"/>
      <c r="C2" s="5"/>
      <c r="D2" s="5"/>
      <c r="E2" s="5"/>
      <c r="F2" s="5"/>
    </row>
    <row r="4" customFormat="false" ht="15" hidden="false" customHeight="false" outlineLevel="0" collapsed="false">
      <c r="A4" s="2" t="s">
        <v>408</v>
      </c>
    </row>
    <row r="5" customFormat="false" ht="15" hidden="false" customHeight="false" outlineLevel="0" collapsed="false">
      <c r="A5" s="50" t="s">
        <v>409</v>
      </c>
      <c r="B5" s="50" t="s">
        <v>26</v>
      </c>
      <c r="C5" s="50" t="s">
        <v>27</v>
      </c>
      <c r="D5" s="50" t="s">
        <v>28</v>
      </c>
      <c r="E5" s="50" t="s">
        <v>29</v>
      </c>
    </row>
    <row r="6" customFormat="false" ht="15" hidden="false" customHeight="false" outlineLevel="0" collapsed="false">
      <c r="A6" s="10" t="s">
        <v>199</v>
      </c>
      <c r="B6" s="46" t="n">
        <f aca="false">Assumptions!$D$50</f>
        <v>68</v>
      </c>
      <c r="C6" s="46" t="n">
        <f aca="false">Assumptions!$E$50</f>
        <v>78</v>
      </c>
      <c r="D6" s="46" t="n">
        <f aca="false">Assumptions!$F$50</f>
        <v>88</v>
      </c>
      <c r="E6" s="46" t="n">
        <f aca="false">Assumptions!$G$50</f>
        <v>78</v>
      </c>
    </row>
    <row r="7" customFormat="false" ht="15" hidden="false" customHeight="false" outlineLevel="0" collapsed="false">
      <c r="A7" s="10" t="s">
        <v>410</v>
      </c>
      <c r="B7" s="46" t="n">
        <f aca="false">-Assumptions!$D$50*Assumptions!$D$80</f>
        <v>-2.72</v>
      </c>
      <c r="C7" s="46" t="n">
        <f aca="false">-Assumptions!$E$50*Assumptions!$E$80</f>
        <v>-2.34</v>
      </c>
      <c r="D7" s="46" t="n">
        <f aca="false">-Assumptions!$F$50*Assumptions!$F$80</f>
        <v>-1.936</v>
      </c>
      <c r="E7" s="46" t="n">
        <f aca="false">-Assumptions!$G$50*Assumptions!$G$80</f>
        <v>-2.34</v>
      </c>
    </row>
    <row r="8" customFormat="false" ht="15" hidden="false" customHeight="false" outlineLevel="0" collapsed="false">
      <c r="A8" s="37" t="s">
        <v>411</v>
      </c>
      <c r="B8" s="51" t="n">
        <f aca="false">B6+B7</f>
        <v>65.28</v>
      </c>
      <c r="C8" s="51" t="n">
        <f aca="false">C6+C7</f>
        <v>75.66</v>
      </c>
      <c r="D8" s="51" t="n">
        <f aca="false">D6+D7</f>
        <v>86.064</v>
      </c>
      <c r="E8" s="51" t="n">
        <f aca="false">E6+E7</f>
        <v>75.66</v>
      </c>
    </row>
    <row r="9" customFormat="false" ht="15" hidden="false" customHeight="false" outlineLevel="0" collapsed="false">
      <c r="A9" s="10" t="s">
        <v>412</v>
      </c>
      <c r="B9" s="46" t="n">
        <f aca="false">-Assumptions!$D$50*Assumptions!$D$55</f>
        <v>-20.4</v>
      </c>
      <c r="C9" s="46" t="n">
        <f aca="false">-Assumptions!$E$50*Assumptions!$E$55</f>
        <v>-20.28</v>
      </c>
      <c r="D9" s="46" t="n">
        <f aca="false">-Assumptions!$F$50*Assumptions!$F$55</f>
        <v>-19.36</v>
      </c>
      <c r="E9" s="46" t="n">
        <f aca="false">-Assumptions!$G$50*Assumptions!$G$55</f>
        <v>-20.28</v>
      </c>
    </row>
    <row r="10" customFormat="false" ht="15" hidden="false" customHeight="false" outlineLevel="0" collapsed="false">
      <c r="A10" s="10" t="s">
        <v>413</v>
      </c>
      <c r="B10" s="46" t="n">
        <f aca="false">-Assumptions!$D$56</f>
        <v>-8.5</v>
      </c>
      <c r="C10" s="46" t="n">
        <f aca="false">-Assumptions!$E$56</f>
        <v>-7.5</v>
      </c>
      <c r="D10" s="46" t="n">
        <f aca="false">-Assumptions!$F$56</f>
        <v>-6.5</v>
      </c>
      <c r="E10" s="46" t="n">
        <f aca="false">-Assumptions!$G$56</f>
        <v>-7.5</v>
      </c>
    </row>
    <row r="11" customFormat="false" ht="15" hidden="false" customHeight="false" outlineLevel="0" collapsed="false">
      <c r="A11" s="10" t="s">
        <v>414</v>
      </c>
      <c r="B11" s="46" t="n">
        <f aca="false">-B8*Assumptions!$D$79</f>
        <v>-2.08896</v>
      </c>
      <c r="C11" s="46" t="n">
        <f aca="false">-C8*Assumptions!$E$79</f>
        <v>-2.19414</v>
      </c>
      <c r="D11" s="46" t="n">
        <f aca="false">-D8*Assumptions!$F$79</f>
        <v>-2.323728</v>
      </c>
      <c r="E11" s="46" t="n">
        <f aca="false">-E8*Assumptions!$G$79</f>
        <v>-2.19414</v>
      </c>
    </row>
    <row r="12" customFormat="false" ht="15" hidden="false" customHeight="false" outlineLevel="0" collapsed="false">
      <c r="A12" s="37" t="s">
        <v>415</v>
      </c>
      <c r="B12" s="51" t="n">
        <f aca="false">B8+B9+B10+B11</f>
        <v>34.29104</v>
      </c>
      <c r="C12" s="51" t="n">
        <f aca="false">C8+C9+C10+C11</f>
        <v>45.68586</v>
      </c>
      <c r="D12" s="51" t="n">
        <f aca="false">D8+D9+D10+D11</f>
        <v>57.880272</v>
      </c>
      <c r="E12" s="51" t="n">
        <f aca="false">E8+E9+E10+E11</f>
        <v>45.68586</v>
      </c>
    </row>
    <row r="13" customFormat="false" ht="15" hidden="false" customHeight="false" outlineLevel="0" collapsed="false">
      <c r="A13" s="37" t="s">
        <v>416</v>
      </c>
      <c r="B13" s="52" t="n">
        <f aca="false">IFERROR(B12/B8,0)</f>
        <v>0.525291666666667</v>
      </c>
      <c r="C13" s="52" t="n">
        <f aca="false">IFERROR(C12/C8,0)</f>
        <v>0.603831086439334</v>
      </c>
      <c r="D13" s="52" t="n">
        <f aca="false">IFERROR(D12/D8,0)</f>
        <v>0.672525934188511</v>
      </c>
      <c r="E13" s="52" t="n">
        <f aca="false">IFERROR(E12/E8,0)</f>
        <v>0.603831086439334</v>
      </c>
    </row>
    <row r="14" customFormat="false" ht="15" hidden="false" customHeight="false" outlineLevel="0" collapsed="false">
      <c r="A14" s="10" t="s">
        <v>206</v>
      </c>
      <c r="B14" s="40" t="n">
        <f aca="false">Assumptions!$D$52</f>
        <v>0.09</v>
      </c>
      <c r="C14" s="40" t="n">
        <f aca="false">Assumptions!$E$52</f>
        <v>0.07</v>
      </c>
      <c r="D14" s="40" t="n">
        <f aca="false">Assumptions!$F$52</f>
        <v>0.055</v>
      </c>
      <c r="E14" s="40" t="n">
        <f aca="false">Assumptions!$G$52</f>
        <v>0.07</v>
      </c>
    </row>
    <row r="15" customFormat="false" ht="15" hidden="false" customHeight="false" outlineLevel="0" collapsed="false">
      <c r="A15" s="10" t="s">
        <v>417</v>
      </c>
      <c r="B15" s="48" t="n">
        <f aca="false">1/Assumptions!$D$52</f>
        <v>11.1111111111111</v>
      </c>
      <c r="C15" s="48" t="n">
        <f aca="false">1/Assumptions!$E$52</f>
        <v>14.2857142857143</v>
      </c>
      <c r="D15" s="48" t="n">
        <f aca="false">1/Assumptions!$F$52</f>
        <v>18.1818181818182</v>
      </c>
      <c r="E15" s="48" t="n">
        <f aca="false">1/Assumptions!$G$52</f>
        <v>14.2857142857143</v>
      </c>
    </row>
    <row r="16" customFormat="false" ht="15" hidden="false" customHeight="false" outlineLevel="0" collapsed="false">
      <c r="A16" s="37" t="s">
        <v>418</v>
      </c>
      <c r="B16" s="53" t="n">
        <f aca="false">B12/Assumptions!$D$52</f>
        <v>381.011555555556</v>
      </c>
      <c r="C16" s="53" t="n">
        <f aca="false">C12/Assumptions!$E$52</f>
        <v>652.655142857143</v>
      </c>
      <c r="D16" s="53" t="n">
        <f aca="false">D12/Assumptions!$F$52</f>
        <v>1052.36858181818</v>
      </c>
      <c r="E16" s="53" t="n">
        <f aca="false">E12/Assumptions!$G$52</f>
        <v>652.655142857143</v>
      </c>
    </row>
    <row r="19" customFormat="false" ht="15" hidden="false" customHeight="false" outlineLevel="0" collapsed="false">
      <c r="A19" s="2" t="s">
        <v>419</v>
      </c>
    </row>
    <row r="20" customFormat="false" ht="15" hidden="false" customHeight="false" outlineLevel="0" collapsed="false">
      <c r="A20" s="50" t="s">
        <v>409</v>
      </c>
      <c r="B20" s="50" t="s">
        <v>26</v>
      </c>
      <c r="C20" s="50" t="s">
        <v>27</v>
      </c>
      <c r="D20" s="50" t="s">
        <v>28</v>
      </c>
      <c r="E20" s="50" t="s">
        <v>29</v>
      </c>
    </row>
    <row r="21" customFormat="false" ht="15" hidden="false" customHeight="false" outlineLevel="0" collapsed="false">
      <c r="A21" s="10" t="s">
        <v>420</v>
      </c>
      <c r="B21" s="46" t="n">
        <f aca="false">Assumptions!$D$70</f>
        <v>199</v>
      </c>
      <c r="C21" s="46" t="n">
        <f aca="false">Assumptions!$E$70</f>
        <v>249</v>
      </c>
      <c r="D21" s="46" t="n">
        <f aca="false">Assumptions!$F$70</f>
        <v>299</v>
      </c>
      <c r="E21" s="46" t="n">
        <f aca="false">Assumptions!$G$70</f>
        <v>249</v>
      </c>
    </row>
    <row r="22" customFormat="false" ht="15" hidden="false" customHeight="false" outlineLevel="0" collapsed="false">
      <c r="A22" s="10" t="s">
        <v>410</v>
      </c>
      <c r="B22" s="46" t="n">
        <f aca="false">-Assumptions!$D$70*Assumptions!$D$80</f>
        <v>-7.96</v>
      </c>
      <c r="C22" s="46" t="n">
        <f aca="false">-Assumptions!$E$70*Assumptions!$E$80</f>
        <v>-7.47</v>
      </c>
      <c r="D22" s="46" t="n">
        <f aca="false">-Assumptions!$F$70*Assumptions!$F$80</f>
        <v>-6.578</v>
      </c>
      <c r="E22" s="46" t="n">
        <f aca="false">-Assumptions!$G$70*Assumptions!$G$80</f>
        <v>-7.47</v>
      </c>
    </row>
    <row r="23" customFormat="false" ht="15" hidden="false" customHeight="false" outlineLevel="0" collapsed="false">
      <c r="A23" s="37" t="s">
        <v>421</v>
      </c>
      <c r="B23" s="51" t="n">
        <f aca="false">B21+B22</f>
        <v>191.04</v>
      </c>
      <c r="C23" s="51" t="n">
        <f aca="false">C21+C22</f>
        <v>241.53</v>
      </c>
      <c r="D23" s="51" t="n">
        <f aca="false">D21+D22</f>
        <v>292.422</v>
      </c>
      <c r="E23" s="51" t="n">
        <f aca="false">E21+E22</f>
        <v>241.53</v>
      </c>
    </row>
    <row r="24" customFormat="false" ht="15" hidden="false" customHeight="false" outlineLevel="0" collapsed="false">
      <c r="A24" s="10" t="s">
        <v>422</v>
      </c>
      <c r="B24" s="46" t="n">
        <f aca="false">-Assumptions!$D$73</f>
        <v>-105</v>
      </c>
      <c r="C24" s="46" t="n">
        <f aca="false">-Assumptions!$E$73</f>
        <v>-88</v>
      </c>
      <c r="D24" s="46" t="n">
        <f aca="false">-Assumptions!$F$73</f>
        <v>-75</v>
      </c>
      <c r="E24" s="46" t="n">
        <f aca="false">-Assumptions!$G$73</f>
        <v>-88</v>
      </c>
    </row>
    <row r="25" customFormat="false" ht="15" hidden="false" customHeight="false" outlineLevel="0" collapsed="false">
      <c r="A25" s="10" t="s">
        <v>423</v>
      </c>
      <c r="B25" s="46" t="n">
        <f aca="false">-Assumptions!$D$75</f>
        <v>-10</v>
      </c>
      <c r="C25" s="46" t="n">
        <f aca="false">-Assumptions!$E$75</f>
        <v>-8</v>
      </c>
      <c r="D25" s="46" t="n">
        <f aca="false">-Assumptions!$F$75</f>
        <v>-6.5</v>
      </c>
      <c r="E25" s="46" t="n">
        <f aca="false">-Assumptions!$G$75</f>
        <v>-8</v>
      </c>
    </row>
    <row r="26" customFormat="false" ht="15" hidden="false" customHeight="false" outlineLevel="0" collapsed="false">
      <c r="A26" s="10" t="s">
        <v>424</v>
      </c>
      <c r="B26" s="46" t="n">
        <f aca="false">-Assumptions!$D$76</f>
        <v>-22</v>
      </c>
      <c r="C26" s="46" t="n">
        <f aca="false">-Assumptions!$E$76</f>
        <v>-18</v>
      </c>
      <c r="D26" s="46" t="n">
        <f aca="false">-Assumptions!$F$76</f>
        <v>-15</v>
      </c>
      <c r="E26" s="46" t="n">
        <f aca="false">-Assumptions!$G$76</f>
        <v>-18</v>
      </c>
    </row>
    <row r="27" customFormat="false" ht="15" hidden="false" customHeight="false" outlineLevel="0" collapsed="false">
      <c r="A27" s="10" t="s">
        <v>425</v>
      </c>
      <c r="B27" s="46" t="n">
        <f aca="false">-Assumptions!$D$77</f>
        <v>-6</v>
      </c>
      <c r="C27" s="46" t="n">
        <f aca="false">-Assumptions!$E$77</f>
        <v>-4.5</v>
      </c>
      <c r="D27" s="46" t="n">
        <f aca="false">-Assumptions!$F$77</f>
        <v>-3.5</v>
      </c>
      <c r="E27" s="46" t="n">
        <f aca="false">-Assumptions!$G$77</f>
        <v>-4.5</v>
      </c>
    </row>
    <row r="28" customFormat="false" ht="15" hidden="false" customHeight="false" outlineLevel="0" collapsed="false">
      <c r="A28" s="10" t="s">
        <v>414</v>
      </c>
      <c r="B28" s="46" t="n">
        <f aca="false">-B23*Assumptions!$D$79</f>
        <v>-6.11328</v>
      </c>
      <c r="C28" s="46" t="n">
        <f aca="false">-C23*Assumptions!$E$79</f>
        <v>-7.00437</v>
      </c>
      <c r="D28" s="46" t="n">
        <f aca="false">-D23*Assumptions!$F$79</f>
        <v>-7.895394</v>
      </c>
      <c r="E28" s="46" t="n">
        <f aca="false">-E23*Assumptions!$G$79</f>
        <v>-7.00437</v>
      </c>
    </row>
    <row r="29" customFormat="false" ht="15" hidden="false" customHeight="false" outlineLevel="0" collapsed="false">
      <c r="A29" s="37" t="s">
        <v>426</v>
      </c>
      <c r="B29" s="51" t="n">
        <f aca="false">B23+B24+B25+B26+B27+B28</f>
        <v>41.92672</v>
      </c>
      <c r="C29" s="51" t="n">
        <f aca="false">C23+C24+C25+C26+C27+C28</f>
        <v>116.02563</v>
      </c>
      <c r="D29" s="51" t="n">
        <f aca="false">D23+D24+D25+D26+D27+D28</f>
        <v>184.526606</v>
      </c>
      <c r="E29" s="51" t="n">
        <f aca="false">E23+E24+E25+E26+E27+E28</f>
        <v>116.02563</v>
      </c>
    </row>
    <row r="30" customFormat="false" ht="15" hidden="false" customHeight="false" outlineLevel="0" collapsed="false">
      <c r="A30" s="37" t="s">
        <v>416</v>
      </c>
      <c r="B30" s="52" t="n">
        <f aca="false">IFERROR(B29/B23,0)</f>
        <v>0.219465661641541</v>
      </c>
      <c r="C30" s="52" t="n">
        <f aca="false">IFERROR(C29/C23,0)</f>
        <v>0.480377717053782</v>
      </c>
      <c r="D30" s="52" t="n">
        <f aca="false">IFERROR(D29/D23,0)</f>
        <v>0.631028465710514</v>
      </c>
      <c r="E30" s="52" t="n">
        <f aca="false">IFERROR(E29/E23,0)</f>
        <v>0.480377717053782</v>
      </c>
    </row>
    <row r="31" customFormat="false" ht="15" hidden="false" customHeight="false" outlineLevel="0" collapsed="false">
      <c r="A31" s="10" t="s">
        <v>427</v>
      </c>
      <c r="B31" s="40" t="n">
        <f aca="false">Assumptions!$D$68</f>
        <v>0.13</v>
      </c>
      <c r="C31" s="40" t="n">
        <f aca="false">Assumptions!$E$68</f>
        <v>0.11</v>
      </c>
      <c r="D31" s="40" t="n">
        <f aca="false">Assumptions!$F$68</f>
        <v>0.095</v>
      </c>
      <c r="E31" s="40" t="n">
        <f aca="false">Assumptions!$G$68</f>
        <v>0.11</v>
      </c>
    </row>
    <row r="32" customFormat="false" ht="15" hidden="false" customHeight="false" outlineLevel="0" collapsed="false">
      <c r="A32" s="10" t="s">
        <v>428</v>
      </c>
      <c r="B32" s="48" t="n">
        <f aca="false">1/Assumptions!$D$68</f>
        <v>7.69230769230769</v>
      </c>
      <c r="C32" s="48" t="n">
        <f aca="false">1/Assumptions!$E$68</f>
        <v>9.09090909090909</v>
      </c>
      <c r="D32" s="48" t="n">
        <f aca="false">1/Assumptions!$F$68</f>
        <v>10.5263157894737</v>
      </c>
      <c r="E32" s="48" t="n">
        <f aca="false">1/Assumptions!$G$68</f>
        <v>9.09090909090909</v>
      </c>
    </row>
    <row r="33" customFormat="false" ht="15" hidden="false" customHeight="false" outlineLevel="0" collapsed="false">
      <c r="A33" s="37" t="s">
        <v>429</v>
      </c>
      <c r="B33" s="53" t="n">
        <f aca="false">B29/Assumptions!$D$68</f>
        <v>322.513230769231</v>
      </c>
      <c r="C33" s="53" t="n">
        <f aca="false">C29/Assumptions!$E$68</f>
        <v>1054.77845454545</v>
      </c>
      <c r="D33" s="53" t="n">
        <f aca="false">D29/Assumptions!$F$68</f>
        <v>1942.38532631579</v>
      </c>
      <c r="E33" s="53" t="n">
        <f aca="false">E29/Assumptions!$G$68</f>
        <v>1054.77845454545</v>
      </c>
    </row>
    <row r="36" customFormat="false" ht="15" hidden="false" customHeight="false" outlineLevel="0" collapsed="false">
      <c r="A36" s="2" t="s">
        <v>430</v>
      </c>
    </row>
    <row r="37" customFormat="false" ht="15" hidden="false" customHeight="false" outlineLevel="0" collapsed="false">
      <c r="A37" s="50" t="s">
        <v>409</v>
      </c>
      <c r="B37" s="50" t="s">
        <v>26</v>
      </c>
      <c r="C37" s="50" t="s">
        <v>27</v>
      </c>
      <c r="D37" s="50" t="s">
        <v>28</v>
      </c>
      <c r="E37" s="50" t="s">
        <v>29</v>
      </c>
    </row>
    <row r="38" customFormat="false" ht="15" hidden="false" customHeight="false" outlineLevel="0" collapsed="false">
      <c r="A38" s="10" t="s">
        <v>431</v>
      </c>
      <c r="B38" s="46" t="n">
        <f aca="false">Assumptions!$D$71</f>
        <v>49</v>
      </c>
      <c r="C38" s="46" t="n">
        <f aca="false">Assumptions!$E$71</f>
        <v>59</v>
      </c>
      <c r="D38" s="46" t="n">
        <f aca="false">Assumptions!$F$71</f>
        <v>79</v>
      </c>
      <c r="E38" s="46" t="n">
        <f aca="false">Assumptions!$G$71</f>
        <v>59</v>
      </c>
    </row>
    <row r="39" customFormat="false" ht="15" hidden="false" customHeight="false" outlineLevel="0" collapsed="false">
      <c r="A39" s="10" t="s">
        <v>432</v>
      </c>
      <c r="B39" s="46" t="n">
        <f aca="false">-Assumptions!$D$74</f>
        <v>-45</v>
      </c>
      <c r="C39" s="46" t="n">
        <f aca="false">-Assumptions!$E$74</f>
        <v>-38</v>
      </c>
      <c r="D39" s="46" t="n">
        <f aca="false">-Assumptions!$F$74</f>
        <v>-32</v>
      </c>
      <c r="E39" s="46" t="n">
        <f aca="false">-Assumptions!$G$74</f>
        <v>-38</v>
      </c>
    </row>
    <row r="40" customFormat="false" ht="15" hidden="false" customHeight="false" outlineLevel="0" collapsed="false">
      <c r="A40" s="37" t="s">
        <v>433</v>
      </c>
      <c r="B40" s="51" t="n">
        <f aca="false">B38+B39</f>
        <v>4</v>
      </c>
      <c r="C40" s="51" t="n">
        <f aca="false">C38+C39</f>
        <v>21</v>
      </c>
      <c r="D40" s="51" t="n">
        <f aca="false">D38+D39</f>
        <v>47</v>
      </c>
      <c r="E40" s="51" t="n">
        <f aca="false">E38+E39</f>
        <v>21</v>
      </c>
    </row>
    <row r="41" customFormat="false" ht="15" hidden="false" customHeight="false" outlineLevel="0" collapsed="false">
      <c r="A41" s="10" t="s">
        <v>434</v>
      </c>
      <c r="B41" s="48" t="n">
        <f aca="false">1/Assumptions!$D$67</f>
        <v>1.72413793103448</v>
      </c>
      <c r="C41" s="48" t="n">
        <f aca="false">1/Assumptions!$E$67</f>
        <v>1.51515151515152</v>
      </c>
      <c r="D41" s="48" t="n">
        <f aca="false">1/Assumptions!$F$67</f>
        <v>1.42857142857143</v>
      </c>
      <c r="E41" s="48" t="n">
        <f aca="false">1/Assumptions!$G$67</f>
        <v>1.51515151515152</v>
      </c>
    </row>
    <row r="42" customFormat="false" ht="15" hidden="false" customHeight="false" outlineLevel="0" collapsed="false">
      <c r="A42" s="37" t="s">
        <v>435</v>
      </c>
      <c r="B42" s="51" t="n">
        <f aca="false">B40*B41</f>
        <v>6.89655172413793</v>
      </c>
      <c r="C42" s="51" t="n">
        <f aca="false">C40*C41</f>
        <v>31.8181818181818</v>
      </c>
      <c r="D42" s="51" t="n">
        <f aca="false">D40*D41</f>
        <v>67.1428571428571</v>
      </c>
      <c r="E42" s="51" t="n">
        <f aca="false">E40*E41</f>
        <v>31.8181818181818</v>
      </c>
    </row>
    <row r="45" customFormat="false" ht="15" hidden="false" customHeight="false" outlineLevel="0" collapsed="false">
      <c r="A45" s="2" t="s">
        <v>436</v>
      </c>
    </row>
    <row r="46" customFormat="false" ht="45.75" hidden="false" customHeight="true" outlineLevel="0" collapsed="false">
      <c r="A46" s="54" t="s">
        <v>437</v>
      </c>
      <c r="B46" s="54"/>
      <c r="C46" s="54"/>
      <c r="D46" s="54"/>
      <c r="E46" s="54"/>
    </row>
    <row r="47" customFormat="false" ht="45.75" hidden="false" customHeight="true" outlineLevel="0" collapsed="false">
      <c r="A47" s="54" t="s">
        <v>438</v>
      </c>
      <c r="B47" s="54"/>
      <c r="C47" s="54"/>
      <c r="D47" s="54"/>
      <c r="E47" s="54"/>
    </row>
    <row r="48" customFormat="false" ht="45.75" hidden="false" customHeight="true" outlineLevel="0" collapsed="false">
      <c r="A48" s="54" t="s">
        <v>439</v>
      </c>
      <c r="B48" s="54"/>
      <c r="C48" s="54"/>
      <c r="D48" s="54"/>
      <c r="E48" s="54"/>
    </row>
    <row r="49" customFormat="false" ht="45.75" hidden="false" customHeight="true" outlineLevel="0" collapsed="false">
      <c r="A49" s="54" t="s">
        <v>440</v>
      </c>
      <c r="B49" s="54"/>
      <c r="C49" s="54"/>
      <c r="D49" s="54"/>
      <c r="E49" s="54"/>
    </row>
    <row r="50" customFormat="false" ht="45.75" hidden="false" customHeight="true" outlineLevel="0" collapsed="false">
      <c r="A50" s="54" t="s">
        <v>441</v>
      </c>
      <c r="B50" s="54"/>
      <c r="C50" s="54"/>
      <c r="D50" s="54"/>
      <c r="E50" s="54"/>
    </row>
  </sheetData>
  <mergeCells count="6">
    <mergeCell ref="A2:F2"/>
    <mergeCell ref="A46:E46"/>
    <mergeCell ref="A47:E47"/>
    <mergeCell ref="A48:E48"/>
    <mergeCell ref="A49:E49"/>
    <mergeCell ref="A50:E5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8" min="2" style="0" width="14"/>
  </cols>
  <sheetData>
    <row r="1" customFormat="false" ht="17.35" hidden="false" customHeight="false" outlineLevel="0" collapsed="false">
      <c r="A1" s="4" t="s">
        <v>442</v>
      </c>
    </row>
    <row r="2" customFormat="false" ht="30" hidden="false" customHeight="true" outlineLevel="0" collapsed="false">
      <c r="A2" s="5" t="s">
        <v>443</v>
      </c>
      <c r="B2" s="5"/>
      <c r="C2" s="5"/>
      <c r="D2" s="5"/>
      <c r="E2" s="5"/>
      <c r="F2" s="5"/>
      <c r="G2" s="5"/>
      <c r="H2" s="5"/>
    </row>
    <row r="4" customFormat="false" ht="15" hidden="false" customHeight="false" outlineLevel="0" collapsed="false">
      <c r="A4" s="2" t="s">
        <v>444</v>
      </c>
    </row>
    <row r="5" customFormat="false" ht="15" hidden="false" customHeight="false" outlineLevel="0" collapsed="false">
      <c r="A5" s="37" t="s">
        <v>445</v>
      </c>
      <c r="D5" s="46" t="n">
        <f aca="false">Assumptions!$E$70*(1-Assumptions!$E$80)*(1-Assumptions!$E$79)-Assumptions!$E$73-Assumptions!$E$75-Assumptions!$E$76-Assumptions!$E$77</f>
        <v>116.02563</v>
      </c>
    </row>
    <row r="6" customFormat="false" ht="15" hidden="false" customHeight="false" outlineLevel="0" collapsed="false">
      <c r="A6" s="55" t="s">
        <v>446</v>
      </c>
    </row>
    <row r="8" customFormat="false" ht="15" hidden="false" customHeight="false" outlineLevel="0" collapsed="false">
      <c r="A8" s="50" t="s">
        <v>447</v>
      </c>
      <c r="B8" s="56" t="n">
        <v>150</v>
      </c>
      <c r="C8" s="56" t="n">
        <v>250</v>
      </c>
      <c r="D8" s="56" t="n">
        <v>350</v>
      </c>
      <c r="E8" s="56" t="n">
        <v>450</v>
      </c>
      <c r="F8" s="56" t="n">
        <v>600</v>
      </c>
      <c r="G8" s="56" t="n">
        <v>800</v>
      </c>
    </row>
    <row r="9" customFormat="false" ht="15" hidden="false" customHeight="false" outlineLevel="0" collapsed="false">
      <c r="A9" s="52" t="n">
        <v>0.08</v>
      </c>
      <c r="B9" s="57" t="n">
        <f aca="false">($D$5/$A9)/B$8</f>
        <v>9.6688025</v>
      </c>
      <c r="C9" s="57" t="n">
        <f aca="false">($D$5/$A9)/C$8</f>
        <v>5.8012815</v>
      </c>
      <c r="D9" s="57" t="n">
        <f aca="false">($D$5/$A9)/D$8</f>
        <v>4.1437725</v>
      </c>
      <c r="E9" s="57" t="n">
        <f aca="false">($D$5/$A9)/E$8</f>
        <v>3.22293416666667</v>
      </c>
      <c r="F9" s="57" t="n">
        <f aca="false">($D$5/$A9)/F$8</f>
        <v>2.417200625</v>
      </c>
      <c r="G9" s="57" t="n">
        <f aca="false">($D$5/$A9)/G$8</f>
        <v>1.81290046875</v>
      </c>
    </row>
    <row r="10" customFormat="false" ht="15" hidden="false" customHeight="false" outlineLevel="0" collapsed="false">
      <c r="A10" s="52" t="n">
        <v>0.095</v>
      </c>
      <c r="B10" s="57" t="n">
        <f aca="false">($D$5/$A10)/B$8</f>
        <v>8.14214947368421</v>
      </c>
      <c r="C10" s="57" t="n">
        <f aca="false">($D$5/$A10)/C$8</f>
        <v>4.88528968421053</v>
      </c>
      <c r="D10" s="57" t="n">
        <f aca="false">($D$5/$A10)/D$8</f>
        <v>3.48949263157895</v>
      </c>
      <c r="E10" s="57" t="n">
        <f aca="false">($D$5/$A10)/E$8</f>
        <v>2.7140498245614</v>
      </c>
      <c r="F10" s="57" t="n">
        <f aca="false">($D$5/$A10)/F$8</f>
        <v>2.03553736842105</v>
      </c>
      <c r="G10" s="57" t="n">
        <f aca="false">($D$5/$A10)/G$8</f>
        <v>1.52665302631579</v>
      </c>
    </row>
    <row r="11" customFormat="false" ht="15" hidden="false" customHeight="false" outlineLevel="0" collapsed="false">
      <c r="A11" s="52" t="n">
        <v>0.11</v>
      </c>
      <c r="B11" s="57" t="n">
        <f aca="false">($D$5/$A11)/B$8</f>
        <v>7.03185636363637</v>
      </c>
      <c r="C11" s="57" t="n">
        <f aca="false">($D$5/$A11)/C$8</f>
        <v>4.21911381818182</v>
      </c>
      <c r="D11" s="57" t="n">
        <f aca="false">($D$5/$A11)/D$8</f>
        <v>3.01365272727273</v>
      </c>
      <c r="E11" s="57" t="n">
        <f aca="false">($D$5/$A11)/E$8</f>
        <v>2.34395212121212</v>
      </c>
      <c r="F11" s="57" t="n">
        <f aca="false">($D$5/$A11)/F$8</f>
        <v>1.75796409090909</v>
      </c>
      <c r="G11" s="57" t="n">
        <f aca="false">($D$5/$A11)/G$8</f>
        <v>1.31847306818182</v>
      </c>
    </row>
    <row r="12" customFormat="false" ht="15" hidden="false" customHeight="false" outlineLevel="0" collapsed="false">
      <c r="A12" s="52" t="n">
        <v>0.13</v>
      </c>
      <c r="B12" s="57" t="n">
        <f aca="false">($D$5/$A12)/B$8</f>
        <v>5.95003230769231</v>
      </c>
      <c r="C12" s="57" t="n">
        <f aca="false">($D$5/$A12)/C$8</f>
        <v>3.57001938461538</v>
      </c>
      <c r="D12" s="57" t="n">
        <f aca="false">($D$5/$A12)/D$8</f>
        <v>2.55001384615385</v>
      </c>
      <c r="E12" s="57" t="n">
        <f aca="false">($D$5/$A12)/E$8</f>
        <v>1.9833441025641</v>
      </c>
      <c r="F12" s="57" t="n">
        <f aca="false">($D$5/$A12)/F$8</f>
        <v>1.48750807692308</v>
      </c>
      <c r="G12" s="57" t="n">
        <f aca="false">($D$5/$A12)/G$8</f>
        <v>1.11563105769231</v>
      </c>
    </row>
    <row r="13" customFormat="false" ht="15" hidden="false" customHeight="false" outlineLevel="0" collapsed="false">
      <c r="A13" s="52" t="n">
        <v>0.15</v>
      </c>
      <c r="B13" s="57" t="n">
        <f aca="false">($D$5/$A13)/B$8</f>
        <v>5.15669466666667</v>
      </c>
      <c r="C13" s="57" t="n">
        <f aca="false">($D$5/$A13)/C$8</f>
        <v>3.0940168</v>
      </c>
      <c r="D13" s="57" t="n">
        <f aca="false">($D$5/$A13)/D$8</f>
        <v>2.210012</v>
      </c>
      <c r="E13" s="57" t="n">
        <f aca="false">($D$5/$A13)/E$8</f>
        <v>1.71889822222222</v>
      </c>
      <c r="F13" s="57" t="n">
        <f aca="false">($D$5/$A13)/F$8</f>
        <v>1.28917366666667</v>
      </c>
      <c r="G13" s="57" t="n">
        <f aca="false">($D$5/$A13)/G$8</f>
        <v>0.96688025</v>
      </c>
    </row>
    <row r="14" customFormat="false" ht="15" hidden="false" customHeight="false" outlineLevel="0" collapsed="false">
      <c r="A14" s="52" t="n">
        <v>0.18</v>
      </c>
      <c r="B14" s="57" t="n">
        <f aca="false">($D$5/$A14)/B$8</f>
        <v>4.29724555555556</v>
      </c>
      <c r="C14" s="57" t="n">
        <f aca="false">($D$5/$A14)/C$8</f>
        <v>2.57834733333333</v>
      </c>
      <c r="D14" s="57" t="n">
        <f aca="false">($D$5/$A14)/D$8</f>
        <v>1.84167666666667</v>
      </c>
      <c r="E14" s="57" t="n">
        <f aca="false">($D$5/$A14)/E$8</f>
        <v>1.43241518518519</v>
      </c>
      <c r="F14" s="57" t="n">
        <f aca="false">($D$5/$A14)/F$8</f>
        <v>1.07431138888889</v>
      </c>
      <c r="G14" s="57" t="n">
        <f aca="false">($D$5/$A14)/G$8</f>
        <v>0.805733541666667</v>
      </c>
    </row>
    <row r="15" customFormat="false" ht="30" hidden="false" customHeight="true" outlineLevel="0" collapsed="false">
      <c r="A15" s="58" t="s">
        <v>448</v>
      </c>
      <c r="B15" s="58"/>
      <c r="C15" s="58"/>
      <c r="D15" s="58"/>
      <c r="E15" s="58"/>
      <c r="F15" s="58"/>
      <c r="G15" s="58"/>
      <c r="H15" s="58"/>
    </row>
    <row r="18" customFormat="false" ht="15" hidden="false" customHeight="false" outlineLevel="0" collapsed="false">
      <c r="A18" s="2" t="s">
        <v>449</v>
      </c>
    </row>
    <row r="19" customFormat="false" ht="15" hidden="false" customHeight="false" outlineLevel="0" collapsed="false">
      <c r="A19" s="59" t="s">
        <v>450</v>
      </c>
      <c r="B19" s="59"/>
      <c r="C19" s="59"/>
      <c r="D19" s="59"/>
      <c r="E19" s="59"/>
      <c r="F19" s="59"/>
      <c r="G19" s="59"/>
      <c r="H19" s="59"/>
    </row>
    <row r="21" customFormat="false" ht="15" hidden="false" customHeight="false" outlineLevel="0" collapsed="false">
      <c r="A21" s="50" t="s">
        <v>451</v>
      </c>
      <c r="B21" s="60" t="n">
        <v>0.002</v>
      </c>
      <c r="C21" s="60" t="n">
        <v>0.0035</v>
      </c>
      <c r="D21" s="60" t="n">
        <v>0.006</v>
      </c>
      <c r="E21" s="60" t="n">
        <v>0.009</v>
      </c>
      <c r="F21" s="60" t="n">
        <v>0.013</v>
      </c>
    </row>
    <row r="22" customFormat="false" ht="15" hidden="false" customHeight="false" outlineLevel="0" collapsed="false">
      <c r="A22" s="52" t="n">
        <v>0.02</v>
      </c>
      <c r="B22" s="61" t="n">
        <f aca="false">Assumptions!$E$9*Assumptions!$E$10*$A22*B$21*(Assumptions!$E$14+(1-Assumptions!$E$14)*Assumptions!$E$13^(12-Assumptions!$E$6))</f>
        <v>2447.21452212224</v>
      </c>
      <c r="C22" s="61" t="n">
        <f aca="false">Assumptions!$E$9*Assumptions!$E$10*$A22*C$21*(Assumptions!$E$14+(1-Assumptions!$E$14)*Assumptions!$E$13^(12-Assumptions!$E$6))</f>
        <v>4282.62541371392</v>
      </c>
      <c r="D22" s="61" t="n">
        <f aca="false">Assumptions!$E$9*Assumptions!$E$10*$A22*D$21*(Assumptions!$E$14+(1-Assumptions!$E$14)*Assumptions!$E$13^(12-Assumptions!$E$6))</f>
        <v>7341.64356636672</v>
      </c>
      <c r="E22" s="61" t="n">
        <f aca="false">Assumptions!$E$9*Assumptions!$E$10*$A22*E$21*(Assumptions!$E$14+(1-Assumptions!$E$14)*Assumptions!$E$13^(12-Assumptions!$E$6))</f>
        <v>11012.4653495501</v>
      </c>
      <c r="F22" s="61" t="n">
        <f aca="false">Assumptions!$E$9*Assumptions!$E$10*$A22*F$21*(Assumptions!$E$14+(1-Assumptions!$E$14)*Assumptions!$E$13^(12-Assumptions!$E$6))</f>
        <v>15906.8943937946</v>
      </c>
    </row>
    <row r="23" customFormat="false" ht="15" hidden="false" customHeight="false" outlineLevel="0" collapsed="false">
      <c r="A23" s="52" t="n">
        <v>0.04</v>
      </c>
      <c r="B23" s="61" t="n">
        <f aca="false">Assumptions!$E$9*Assumptions!$E$10*$A23*B$21*(Assumptions!$E$14+(1-Assumptions!$E$14)*Assumptions!$E$13^(12-Assumptions!$E$6))</f>
        <v>4894.42904424448</v>
      </c>
      <c r="C23" s="61" t="n">
        <f aca="false">Assumptions!$E$9*Assumptions!$E$10*$A23*C$21*(Assumptions!$E$14+(1-Assumptions!$E$14)*Assumptions!$E$13^(12-Assumptions!$E$6))</f>
        <v>8565.25082742784</v>
      </c>
      <c r="D23" s="61" t="n">
        <f aca="false">Assumptions!$E$9*Assumptions!$E$10*$A23*D$21*(Assumptions!$E$14+(1-Assumptions!$E$14)*Assumptions!$E$13^(12-Assumptions!$E$6))</f>
        <v>14683.2871327334</v>
      </c>
      <c r="E23" s="61" t="n">
        <f aca="false">Assumptions!$E$9*Assumptions!$E$10*$A23*E$21*(Assumptions!$E$14+(1-Assumptions!$E$14)*Assumptions!$E$13^(12-Assumptions!$E$6))</f>
        <v>22024.9306991002</v>
      </c>
      <c r="F23" s="61" t="n">
        <f aca="false">Assumptions!$E$9*Assumptions!$E$10*$A23*F$21*(Assumptions!$E$14+(1-Assumptions!$E$14)*Assumptions!$E$13^(12-Assumptions!$E$6))</f>
        <v>31813.7887875891</v>
      </c>
    </row>
    <row r="24" customFormat="false" ht="15" hidden="false" customHeight="false" outlineLevel="0" collapsed="false">
      <c r="A24" s="52" t="n">
        <v>0.07</v>
      </c>
      <c r="B24" s="61" t="n">
        <f aca="false">Assumptions!$E$9*Assumptions!$E$10*$A24*B$21*(Assumptions!$E$14+(1-Assumptions!$E$14)*Assumptions!$E$13^(12-Assumptions!$E$6))</f>
        <v>8565.25082742784</v>
      </c>
      <c r="C24" s="61" t="n">
        <f aca="false">Assumptions!$E$9*Assumptions!$E$10*$A24*C$21*(Assumptions!$E$14+(1-Assumptions!$E$14)*Assumptions!$E$13^(12-Assumptions!$E$6))</f>
        <v>14989.1889479987</v>
      </c>
      <c r="D24" s="61" t="n">
        <f aca="false">Assumptions!$E$9*Assumptions!$E$10*$A24*D$21*(Assumptions!$E$14+(1-Assumptions!$E$14)*Assumptions!$E$13^(12-Assumptions!$E$6))</f>
        <v>25695.7524822835</v>
      </c>
      <c r="E24" s="61" t="n">
        <f aca="false">Assumptions!$E$9*Assumptions!$E$10*$A24*E$21*(Assumptions!$E$14+(1-Assumptions!$E$14)*Assumptions!$E$13^(12-Assumptions!$E$6))</f>
        <v>38543.6287234253</v>
      </c>
      <c r="F24" s="61" t="n">
        <f aca="false">Assumptions!$E$9*Assumptions!$E$10*$A24*F$21*(Assumptions!$E$14+(1-Assumptions!$E$14)*Assumptions!$E$13^(12-Assumptions!$E$6))</f>
        <v>55674.130378281</v>
      </c>
    </row>
    <row r="25" customFormat="false" ht="15" hidden="false" customHeight="false" outlineLevel="0" collapsed="false">
      <c r="A25" s="52" t="n">
        <v>0.11</v>
      </c>
      <c r="B25" s="61" t="n">
        <f aca="false">Assumptions!$E$9*Assumptions!$E$10*$A25*B$21*(Assumptions!$E$14+(1-Assumptions!$E$14)*Assumptions!$E$13^(12-Assumptions!$E$6))</f>
        <v>13459.6798716723</v>
      </c>
      <c r="C25" s="61" t="n">
        <f aca="false">Assumptions!$E$9*Assumptions!$E$10*$A25*C$21*(Assumptions!$E$14+(1-Assumptions!$E$14)*Assumptions!$E$13^(12-Assumptions!$E$6))</f>
        <v>23554.4397754266</v>
      </c>
      <c r="D25" s="61" t="n">
        <f aca="false">Assumptions!$E$9*Assumptions!$E$10*$A25*D$21*(Assumptions!$E$14+(1-Assumptions!$E$14)*Assumptions!$E$13^(12-Assumptions!$E$6))</f>
        <v>40379.039615017</v>
      </c>
      <c r="E25" s="61" t="n">
        <f aca="false">Assumptions!$E$9*Assumptions!$E$10*$A25*E$21*(Assumptions!$E$14+(1-Assumptions!$E$14)*Assumptions!$E$13^(12-Assumptions!$E$6))</f>
        <v>60568.5594225254</v>
      </c>
      <c r="F25" s="61" t="n">
        <f aca="false">Assumptions!$E$9*Assumptions!$E$10*$A25*F$21*(Assumptions!$E$14+(1-Assumptions!$E$14)*Assumptions!$E$13^(12-Assumptions!$E$6))</f>
        <v>87487.9191658701</v>
      </c>
    </row>
    <row r="26" customFormat="false" ht="15" hidden="false" customHeight="false" outlineLevel="0" collapsed="false">
      <c r="A26" s="52" t="n">
        <v>0.15</v>
      </c>
      <c r="B26" s="61" t="n">
        <f aca="false">Assumptions!$E$9*Assumptions!$E$10*$A26*B$21*(Assumptions!$E$14+(1-Assumptions!$E$14)*Assumptions!$E$13^(12-Assumptions!$E$6))</f>
        <v>18354.1089159168</v>
      </c>
      <c r="C26" s="61" t="n">
        <f aca="false">Assumptions!$E$9*Assumptions!$E$10*$A26*C$21*(Assumptions!$E$14+(1-Assumptions!$E$14)*Assumptions!$E$13^(12-Assumptions!$E$6))</f>
        <v>32119.6906028544</v>
      </c>
      <c r="D26" s="61" t="n">
        <f aca="false">Assumptions!$E$9*Assumptions!$E$10*$A26*D$21*(Assumptions!$E$14+(1-Assumptions!$E$14)*Assumptions!$E$13^(12-Assumptions!$E$6))</f>
        <v>55062.3267477504</v>
      </c>
      <c r="E26" s="61" t="n">
        <f aca="false">Assumptions!$E$9*Assumptions!$E$10*$A26*E$21*(Assumptions!$E$14+(1-Assumptions!$E$14)*Assumptions!$E$13^(12-Assumptions!$E$6))</f>
        <v>82593.4901216256</v>
      </c>
      <c r="F26" s="61" t="n">
        <f aca="false">Assumptions!$E$9*Assumptions!$E$10*$A26*F$21*(Assumptions!$E$14+(1-Assumptions!$E$14)*Assumptions!$E$13^(12-Assumptions!$E$6))</f>
        <v>119301.707953459</v>
      </c>
    </row>
    <row r="29" customFormat="false" ht="15" hidden="false" customHeight="false" outlineLevel="0" collapsed="false">
      <c r="A29" s="2" t="s">
        <v>452</v>
      </c>
    </row>
    <row r="30" customFormat="false" ht="15" hidden="false" customHeight="false" outlineLevel="0" collapsed="false">
      <c r="A30" s="59" t="s">
        <v>453</v>
      </c>
      <c r="B30" s="59"/>
      <c r="C30" s="59"/>
      <c r="D30" s="59"/>
      <c r="E30" s="59"/>
      <c r="F30" s="59"/>
      <c r="G30" s="59"/>
      <c r="H30" s="59"/>
    </row>
    <row r="31" customFormat="false" ht="15" hidden="false" customHeight="false" outlineLevel="0" collapsed="false">
      <c r="A31" s="37" t="s">
        <v>454</v>
      </c>
      <c r="E31" s="40" t="n">
        <f aca="false">Summary!C29</f>
        <v>0.791696864362017</v>
      </c>
    </row>
    <row r="33" customFormat="false" ht="15" hidden="false" customHeight="false" outlineLevel="0" collapsed="false">
      <c r="A33" s="50" t="s">
        <v>455</v>
      </c>
      <c r="B33" s="56" t="n">
        <v>60</v>
      </c>
      <c r="C33" s="56" t="n">
        <v>75</v>
      </c>
      <c r="D33" s="56" t="n">
        <v>90</v>
      </c>
      <c r="E33" s="56" t="n">
        <v>105</v>
      </c>
      <c r="F33" s="56" t="n">
        <v>130</v>
      </c>
    </row>
    <row r="34" customFormat="false" ht="15" hidden="false" customHeight="false" outlineLevel="0" collapsed="false">
      <c r="A34" s="52" t="n">
        <v>0.2</v>
      </c>
      <c r="B34" s="62" t="n">
        <f aca="false">$E$31*(1-$A34/(1-Assumptions!$E$80)-Assumptions!$E$56/(Assumptions!$E$50*(1-Assumptions!$E$80))-Assumptions!$E$79)+(1-$E$31)*(1-(B$33+Assumptions!$E$75+Assumptions!$E$76+Assumptions!$E$77)/(Assumptions!$E$70*(1-Assumptions!$E$80))-Assumptions!$E$79)</f>
        <v>0.651234390982253</v>
      </c>
      <c r="C34" s="62" t="n">
        <f aca="false">$E$31*(1-$A34/(1-Assumptions!$E$80)-Assumptions!$E$56/(Assumptions!$E$50*(1-Assumptions!$E$80))-Assumptions!$E$79)+(1-$E$31)*(1-(C$33+Assumptions!$E$75+Assumptions!$E$76+Assumptions!$E$77)/(Assumptions!$E$70*(1-Assumptions!$E$80))-Assumptions!$E$79)</f>
        <v>0.638297915039017</v>
      </c>
      <c r="D34" s="62" t="n">
        <f aca="false">$E$31*(1-$A34/(1-Assumptions!$E$80)-Assumptions!$E$56/(Assumptions!$E$50*(1-Assumptions!$E$80))-Assumptions!$E$79)+(1-$E$31)*(1-(D$33+Assumptions!$E$75+Assumptions!$E$76+Assumptions!$E$77)/(Assumptions!$E$70*(1-Assumptions!$E$80))-Assumptions!$E$79)</f>
        <v>0.625361439095781</v>
      </c>
      <c r="E34" s="62" t="n">
        <f aca="false">$E$31*(1-$A34/(1-Assumptions!$E$80)-Assumptions!$E$56/(Assumptions!$E$50*(1-Assumptions!$E$80))-Assumptions!$E$79)+(1-$E$31)*(1-(E$33+Assumptions!$E$75+Assumptions!$E$76+Assumptions!$E$77)/(Assumptions!$E$70*(1-Assumptions!$E$80))-Assumptions!$E$79)</f>
        <v>0.612424963152545</v>
      </c>
      <c r="F34" s="62" t="n">
        <f aca="false">$E$31*(1-$A34/(1-Assumptions!$E$80)-Assumptions!$E$56/(Assumptions!$E$50*(1-Assumptions!$E$80))-Assumptions!$E$79)+(1-$E$31)*(1-(F$33+Assumptions!$E$75+Assumptions!$E$76+Assumptions!$E$77)/(Assumptions!$E$70*(1-Assumptions!$E$80))-Assumptions!$E$79)</f>
        <v>0.590864169913819</v>
      </c>
    </row>
    <row r="35" customFormat="false" ht="15" hidden="false" customHeight="false" outlineLevel="0" collapsed="false">
      <c r="A35" s="52" t="n">
        <v>0.24</v>
      </c>
      <c r="B35" s="62" t="n">
        <f aca="false">$E$31*(1-$A35/(1-Assumptions!$E$80)-Assumptions!$E$56/(Assumptions!$E$50*(1-Assumptions!$E$80))-Assumptions!$E$79)+(1-$E$31)*(1-(B$33+Assumptions!$E$75+Assumptions!$E$76+Assumptions!$E$77)/(Assumptions!$E$70*(1-Assumptions!$E$80))-Assumptions!$E$79)</f>
        <v>0.618587097606499</v>
      </c>
      <c r="C35" s="62" t="n">
        <f aca="false">$E$31*(1-$A35/(1-Assumptions!$E$80)-Assumptions!$E$56/(Assumptions!$E$50*(1-Assumptions!$E$80))-Assumptions!$E$79)+(1-$E$31)*(1-(C$33+Assumptions!$E$75+Assumptions!$E$76+Assumptions!$E$77)/(Assumptions!$E$70*(1-Assumptions!$E$80))-Assumptions!$E$79)</f>
        <v>0.605650621663264</v>
      </c>
      <c r="D35" s="62" t="n">
        <f aca="false">$E$31*(1-$A35/(1-Assumptions!$E$80)-Assumptions!$E$56/(Assumptions!$E$50*(1-Assumptions!$E$80))-Assumptions!$E$79)+(1-$E$31)*(1-(D$33+Assumptions!$E$75+Assumptions!$E$76+Assumptions!$E$77)/(Assumptions!$E$70*(1-Assumptions!$E$80))-Assumptions!$E$79)</f>
        <v>0.592714145720028</v>
      </c>
      <c r="E35" s="62" t="n">
        <f aca="false">$E$31*(1-$A35/(1-Assumptions!$E$80)-Assumptions!$E$56/(Assumptions!$E$50*(1-Assumptions!$E$80))-Assumptions!$E$79)+(1-$E$31)*(1-(E$33+Assumptions!$E$75+Assumptions!$E$76+Assumptions!$E$77)/(Assumptions!$E$70*(1-Assumptions!$E$80))-Assumptions!$E$79)</f>
        <v>0.579777669776792</v>
      </c>
      <c r="F35" s="62" t="n">
        <f aca="false">$E$31*(1-$A35/(1-Assumptions!$E$80)-Assumptions!$E$56/(Assumptions!$E$50*(1-Assumptions!$E$80))-Assumptions!$E$79)+(1-$E$31)*(1-(F$33+Assumptions!$E$75+Assumptions!$E$76+Assumptions!$E$77)/(Assumptions!$E$70*(1-Assumptions!$E$80))-Assumptions!$E$79)</f>
        <v>0.558216876538066</v>
      </c>
    </row>
    <row r="36" customFormat="false" ht="15" hidden="false" customHeight="false" outlineLevel="0" collapsed="false">
      <c r="A36" s="52" t="n">
        <v>0.28</v>
      </c>
      <c r="B36" s="62" t="n">
        <f aca="false">$E$31*(1-$A36/(1-Assumptions!$E$80)-Assumptions!$E$56/(Assumptions!$E$50*(1-Assumptions!$E$80))-Assumptions!$E$79)+(1-$E$31)*(1-(B$33+Assumptions!$E$75+Assumptions!$E$76+Assumptions!$E$77)/(Assumptions!$E$70*(1-Assumptions!$E$80))-Assumptions!$E$79)</f>
        <v>0.585939804230746</v>
      </c>
      <c r="C36" s="62" t="n">
        <f aca="false">$E$31*(1-$A36/(1-Assumptions!$E$80)-Assumptions!$E$56/(Assumptions!$E$50*(1-Assumptions!$E$80))-Assumptions!$E$79)+(1-$E$31)*(1-(C$33+Assumptions!$E$75+Assumptions!$E$76+Assumptions!$E$77)/(Assumptions!$E$70*(1-Assumptions!$E$80))-Assumptions!$E$79)</f>
        <v>0.57300332828751</v>
      </c>
      <c r="D36" s="62" t="n">
        <f aca="false">$E$31*(1-$A36/(1-Assumptions!$E$80)-Assumptions!$E$56/(Assumptions!$E$50*(1-Assumptions!$E$80))-Assumptions!$E$79)+(1-$E$31)*(1-(D$33+Assumptions!$E$75+Assumptions!$E$76+Assumptions!$E$77)/(Assumptions!$E$70*(1-Assumptions!$E$80))-Assumptions!$E$79)</f>
        <v>0.560066852344274</v>
      </c>
      <c r="E36" s="62" t="n">
        <f aca="false">$E$31*(1-$A36/(1-Assumptions!$E$80)-Assumptions!$E$56/(Assumptions!$E$50*(1-Assumptions!$E$80))-Assumptions!$E$79)+(1-$E$31)*(1-(E$33+Assumptions!$E$75+Assumptions!$E$76+Assumptions!$E$77)/(Assumptions!$E$70*(1-Assumptions!$E$80))-Assumptions!$E$79)</f>
        <v>0.547130376401039</v>
      </c>
      <c r="F36" s="62" t="n">
        <f aca="false">$E$31*(1-$A36/(1-Assumptions!$E$80)-Assumptions!$E$56/(Assumptions!$E$50*(1-Assumptions!$E$80))-Assumptions!$E$79)+(1-$E$31)*(1-(F$33+Assumptions!$E$75+Assumptions!$E$76+Assumptions!$E$77)/(Assumptions!$E$70*(1-Assumptions!$E$80))-Assumptions!$E$79)</f>
        <v>0.525569583162312</v>
      </c>
    </row>
    <row r="37" customFormat="false" ht="15" hidden="false" customHeight="false" outlineLevel="0" collapsed="false">
      <c r="A37" s="52" t="n">
        <v>0.32</v>
      </c>
      <c r="B37" s="62" t="n">
        <f aca="false">$E$31*(1-$A37/(1-Assumptions!$E$80)-Assumptions!$E$56/(Assumptions!$E$50*(1-Assumptions!$E$80))-Assumptions!$E$79)+(1-$E$31)*(1-(B$33+Assumptions!$E$75+Assumptions!$E$76+Assumptions!$E$77)/(Assumptions!$E$70*(1-Assumptions!$E$80))-Assumptions!$E$79)</f>
        <v>0.553292510854993</v>
      </c>
      <c r="C37" s="62" t="n">
        <f aca="false">$E$31*(1-$A37/(1-Assumptions!$E$80)-Assumptions!$E$56/(Assumptions!$E$50*(1-Assumptions!$E$80))-Assumptions!$E$79)+(1-$E$31)*(1-(C$33+Assumptions!$E$75+Assumptions!$E$76+Assumptions!$E$77)/(Assumptions!$E$70*(1-Assumptions!$E$80))-Assumptions!$E$79)</f>
        <v>0.540356034911757</v>
      </c>
      <c r="D37" s="62" t="n">
        <f aca="false">$E$31*(1-$A37/(1-Assumptions!$E$80)-Assumptions!$E$56/(Assumptions!$E$50*(1-Assumptions!$E$80))-Assumptions!$E$79)+(1-$E$31)*(1-(D$33+Assumptions!$E$75+Assumptions!$E$76+Assumptions!$E$77)/(Assumptions!$E$70*(1-Assumptions!$E$80))-Assumptions!$E$79)</f>
        <v>0.527419558968521</v>
      </c>
      <c r="E37" s="62" t="n">
        <f aca="false">$E$31*(1-$A37/(1-Assumptions!$E$80)-Assumptions!$E$56/(Assumptions!$E$50*(1-Assumptions!$E$80))-Assumptions!$E$79)+(1-$E$31)*(1-(E$33+Assumptions!$E$75+Assumptions!$E$76+Assumptions!$E$77)/(Assumptions!$E$70*(1-Assumptions!$E$80))-Assumptions!$E$79)</f>
        <v>0.514483083025285</v>
      </c>
      <c r="F37" s="62" t="n">
        <f aca="false">$E$31*(1-$A37/(1-Assumptions!$E$80)-Assumptions!$E$56/(Assumptions!$E$50*(1-Assumptions!$E$80))-Assumptions!$E$79)+(1-$E$31)*(1-(F$33+Assumptions!$E$75+Assumptions!$E$76+Assumptions!$E$77)/(Assumptions!$E$70*(1-Assumptions!$E$80))-Assumptions!$E$79)</f>
        <v>0.492922289786559</v>
      </c>
    </row>
    <row r="38" customFormat="false" ht="15" hidden="false" customHeight="false" outlineLevel="0" collapsed="false">
      <c r="A38" s="52" t="n">
        <v>0.38</v>
      </c>
      <c r="B38" s="62" t="n">
        <f aca="false">$E$31*(1-$A38/(1-Assumptions!$E$80)-Assumptions!$E$56/(Assumptions!$E$50*(1-Assumptions!$E$80))-Assumptions!$E$79)+(1-$E$31)*(1-(B$33+Assumptions!$E$75+Assumptions!$E$76+Assumptions!$E$77)/(Assumptions!$E$70*(1-Assumptions!$E$80))-Assumptions!$E$79)</f>
        <v>0.504321570791363</v>
      </c>
      <c r="C38" s="62" t="n">
        <f aca="false">$E$31*(1-$A38/(1-Assumptions!$E$80)-Assumptions!$E$56/(Assumptions!$E$50*(1-Assumptions!$E$80))-Assumptions!$E$79)+(1-$E$31)*(1-(C$33+Assumptions!$E$75+Assumptions!$E$76+Assumptions!$E$77)/(Assumptions!$E$70*(1-Assumptions!$E$80))-Assumptions!$E$79)</f>
        <v>0.491385094848127</v>
      </c>
      <c r="D38" s="62" t="n">
        <f aca="false">$E$31*(1-$A38/(1-Assumptions!$E$80)-Assumptions!$E$56/(Assumptions!$E$50*(1-Assumptions!$E$80))-Assumptions!$E$79)+(1-$E$31)*(1-(D$33+Assumptions!$E$75+Assumptions!$E$76+Assumptions!$E$77)/(Assumptions!$E$70*(1-Assumptions!$E$80))-Assumptions!$E$79)</f>
        <v>0.478448618904891</v>
      </c>
      <c r="E38" s="62" t="n">
        <f aca="false">$E$31*(1-$A38/(1-Assumptions!$E$80)-Assumptions!$E$56/(Assumptions!$E$50*(1-Assumptions!$E$80))-Assumptions!$E$79)+(1-$E$31)*(1-(E$33+Assumptions!$E$75+Assumptions!$E$76+Assumptions!$E$77)/(Assumptions!$E$70*(1-Assumptions!$E$80))-Assumptions!$E$79)</f>
        <v>0.465512142961656</v>
      </c>
      <c r="F38" s="62" t="n">
        <f aca="false">$E$31*(1-$A38/(1-Assumptions!$E$80)-Assumptions!$E$56/(Assumptions!$E$50*(1-Assumptions!$E$80))-Assumptions!$E$79)+(1-$E$31)*(1-(F$33+Assumptions!$E$75+Assumptions!$E$76+Assumptions!$E$77)/(Assumptions!$E$70*(1-Assumptions!$E$80))-Assumptions!$E$79)</f>
        <v>0.443951349722929</v>
      </c>
    </row>
    <row r="42" customFormat="false" ht="15" hidden="false" customHeight="false" outlineLevel="0" collapsed="false">
      <c r="A42" s="2" t="s">
        <v>456</v>
      </c>
    </row>
    <row r="43" customFormat="false" ht="43.5" hidden="false" customHeight="true" outlineLevel="0" collapsed="false">
      <c r="A43" s="58" t="s">
        <v>457</v>
      </c>
      <c r="B43" s="58"/>
      <c r="C43" s="58"/>
      <c r="D43" s="58"/>
      <c r="E43" s="58"/>
      <c r="F43" s="58"/>
      <c r="G43" s="58"/>
      <c r="H43" s="58"/>
    </row>
    <row r="45" customFormat="false" ht="26.85" hidden="false" customHeight="false" outlineLevel="0" collapsed="false">
      <c r="A45" s="6" t="s">
        <v>458</v>
      </c>
      <c r="B45" s="6" t="s">
        <v>459</v>
      </c>
      <c r="C45" s="6" t="s">
        <v>460</v>
      </c>
      <c r="D45" s="6" t="s">
        <v>461</v>
      </c>
      <c r="E45" s="6" t="s">
        <v>462</v>
      </c>
    </row>
    <row r="46" customFormat="false" ht="15" hidden="false" customHeight="false" outlineLevel="0" collapsed="false">
      <c r="A46" s="53" t="n">
        <v>15000</v>
      </c>
      <c r="B46" s="63" t="n">
        <f aca="false">IFERROR($A46/((MIN($A46,Model_Baseline!Z17*Assumptions!$E$30)/Assumptions!$E$30*Assumptions!$E$31*Assumptions!$E$32+MIN(MAX(0,$A46-MIN($A46,Model_Baseline!Z17*Assumptions!$E$30)),Model_Baseline!Z21*Assumptions!$E$37)/Assumptions!$E$37*Assumptions!$E$38*Assumptions!$E$39+(Assumptions!$E$21/(Assumptions!$E$41*Assumptions!$E$42))*(MAX(0,$A46-MIN($A46,Model_Baseline!Z17*Assumptions!$E$30)-MIN(MAX(0,$A46-MIN($A46,Model_Baseline!Z17*Assumptions!$E$30)),Model_Baseline!Z21*Assumptions!$E$37))/Assumptions!$E$21)^Assumptions!$E$25*Assumptions!$E$43)*Assumptions!$E$49),0)</f>
        <v>98.2063798522153</v>
      </c>
      <c r="C46" s="63" t="n">
        <f aca="false">IFERROR($A46/((MIN($A46,Model_No_Partner!Z17*Assumptions!$E$30)/Assumptions!$E$30*Assumptions!$E$31*Assumptions!$E$32+MIN(MAX(0,$A46-MIN($A46,Model_No_Partner!Z17*Assumptions!$E$30)),Model_No_Partner!Z21*Assumptions!$E$37)/Assumptions!$E$37*Assumptions!$E$38*Assumptions!$E$39+(Assumptions!$E$21/(Assumptions!$E$41*Assumptions!$G$42))*(MAX(0,$A46-MIN($A46,Model_No_Partner!Z17*Assumptions!$E$30)-MIN(MAX(0,$A46-MIN($A46,Model_No_Partner!Z17*Assumptions!$E$30)),Model_No_Partner!Z21*Assumptions!$E$37))/Assumptions!$E$21)^Assumptions!$E$25*Assumptions!$E$43)*Assumptions!$E$49),0)</f>
        <v>119.859044179813</v>
      </c>
      <c r="D46" s="51" t="n">
        <f aca="false">C46-B46</f>
        <v>21.6526643275977</v>
      </c>
      <c r="E46" s="52" t="n">
        <f aca="false">IFERROR((C46-B46)/C46,0)</f>
        <v>0.180651067892</v>
      </c>
    </row>
    <row r="47" customFormat="false" ht="15" hidden="false" customHeight="false" outlineLevel="0" collapsed="false">
      <c r="A47" s="53" t="n">
        <v>30000</v>
      </c>
      <c r="B47" s="63" t="n">
        <f aca="false">IFERROR($A47/((MIN($A47,Model_Baseline!Z17*Assumptions!$E$30)/Assumptions!$E$30*Assumptions!$E$31*Assumptions!$E$32+MIN(MAX(0,$A47-MIN($A47,Model_Baseline!Z17*Assumptions!$E$30)),Model_Baseline!Z21*Assumptions!$E$37)/Assumptions!$E$37*Assumptions!$E$38*Assumptions!$E$39+(Assumptions!$E$21/(Assumptions!$E$41*Assumptions!$E$42))*(MAX(0,$A47-MIN($A47,Model_Baseline!Z17*Assumptions!$E$30)-MIN(MAX(0,$A47-MIN($A47,Model_Baseline!Z17*Assumptions!$E$30)),Model_Baseline!Z21*Assumptions!$E$37))/Assumptions!$E$21)^Assumptions!$E$25*Assumptions!$E$43)*Assumptions!$E$49),0)</f>
        <v>122.029091963009</v>
      </c>
      <c r="C47" s="63" t="n">
        <f aca="false">IFERROR($A47/((MIN($A47,Model_No_Partner!Z17*Assumptions!$E$30)/Assumptions!$E$30*Assumptions!$E$31*Assumptions!$E$32+MIN(MAX(0,$A47-MIN($A47,Model_No_Partner!Z17*Assumptions!$E$30)),Model_No_Partner!Z21*Assumptions!$E$37)/Assumptions!$E$37*Assumptions!$E$38*Assumptions!$E$39+(Assumptions!$E$21/(Assumptions!$E$41*Assumptions!$G$42))*(MAX(0,$A47-MIN($A47,Model_No_Partner!Z17*Assumptions!$E$30)-MIN(MAX(0,$A47-MIN($A47,Model_No_Partner!Z17*Assumptions!$E$30)),Model_No_Partner!Z21*Assumptions!$E$37))/Assumptions!$E$21)^Assumptions!$E$25*Assumptions!$E$43)*Assumptions!$E$49),0)</f>
        <v>141.850277387922</v>
      </c>
      <c r="D47" s="51" t="n">
        <f aca="false">C47-B47</f>
        <v>19.8211854249131</v>
      </c>
      <c r="E47" s="52" t="n">
        <f aca="false">IFERROR((C47-B47)/C47,0)</f>
        <v>0.139733145326939</v>
      </c>
    </row>
    <row r="48" customFormat="false" ht="15" hidden="false" customHeight="false" outlineLevel="0" collapsed="false">
      <c r="A48" s="53" t="n">
        <v>60000</v>
      </c>
      <c r="B48" s="63" t="n">
        <f aca="false">IFERROR($A48/((MIN($A48,Model_Baseline!Z17*Assumptions!$E$30)/Assumptions!$E$30*Assumptions!$E$31*Assumptions!$E$32+MIN(MAX(0,$A48-MIN($A48,Model_Baseline!Z17*Assumptions!$E$30)),Model_Baseline!Z21*Assumptions!$E$37)/Assumptions!$E$37*Assumptions!$E$38*Assumptions!$E$39+(Assumptions!$E$21/(Assumptions!$E$41*Assumptions!$E$42))*(MAX(0,$A48-MIN($A48,Model_Baseline!Z17*Assumptions!$E$30)-MIN(MAX(0,$A48-MIN($A48,Model_Baseline!Z17*Assumptions!$E$30)),Model_Baseline!Z21*Assumptions!$E$37))/Assumptions!$E$21)^Assumptions!$E$25*Assumptions!$E$43)*Assumptions!$E$49),0)</f>
        <v>125.237366372627</v>
      </c>
      <c r="C48" s="63" t="n">
        <f aca="false">IFERROR($A48/((MIN($A48,Model_No_Partner!Z17*Assumptions!$E$30)/Assumptions!$E$30*Assumptions!$E$31*Assumptions!$E$32+MIN(MAX(0,$A48-MIN($A48,Model_No_Partner!Z17*Assumptions!$E$30)),Model_No_Partner!Z21*Assumptions!$E$37)/Assumptions!$E$37*Assumptions!$E$38*Assumptions!$E$39+(Assumptions!$E$21/(Assumptions!$E$41*Assumptions!$G$42))*(MAX(0,$A48-MIN($A48,Model_No_Partner!Z17*Assumptions!$E$30)-MIN(MAX(0,$A48-MIN($A48,Model_No_Partner!Z17*Assumptions!$E$30)),Model_No_Partner!Z21*Assumptions!$E$37))/Assumptions!$E$21)^Assumptions!$E$25*Assumptions!$E$43)*Assumptions!$E$49),0)</f>
        <v>173.120417124546</v>
      </c>
      <c r="D48" s="51" t="n">
        <f aca="false">C48-B48</f>
        <v>47.8830507519189</v>
      </c>
      <c r="E48" s="52" t="n">
        <f aca="false">IFERROR((C48-B48)/C48,0)</f>
        <v>0.2765881202647</v>
      </c>
    </row>
    <row r="49" customFormat="false" ht="15" hidden="false" customHeight="false" outlineLevel="0" collapsed="false">
      <c r="A49" s="53" t="n">
        <v>120000</v>
      </c>
      <c r="B49" s="63" t="n">
        <f aca="false">IFERROR($A49/((MIN($A49,Model_Baseline!Z17*Assumptions!$E$30)/Assumptions!$E$30*Assumptions!$E$31*Assumptions!$E$32+MIN(MAX(0,$A49-MIN($A49,Model_Baseline!Z17*Assumptions!$E$30)),Model_Baseline!Z21*Assumptions!$E$37)/Assumptions!$E$37*Assumptions!$E$38*Assumptions!$E$39+(Assumptions!$E$21/(Assumptions!$E$41*Assumptions!$E$42))*(MAX(0,$A49-MIN($A49,Model_Baseline!Z17*Assumptions!$E$30)-MIN(MAX(0,$A49-MIN($A49,Model_Baseline!Z17*Assumptions!$E$30)),Model_Baseline!Z21*Assumptions!$E$37))/Assumptions!$E$21)^Assumptions!$E$25*Assumptions!$E$43)*Assumptions!$E$49),0)</f>
        <v>147.228070433485</v>
      </c>
      <c r="C49" s="63" t="n">
        <f aca="false">IFERROR($A49/((MIN($A49,Model_No_Partner!Z17*Assumptions!$E$30)/Assumptions!$E$30*Assumptions!$E$31*Assumptions!$E$32+MIN(MAX(0,$A49-MIN($A49,Model_No_Partner!Z17*Assumptions!$E$30)),Model_No_Partner!Z21*Assumptions!$E$37)/Assumptions!$E$37*Assumptions!$E$38*Assumptions!$E$39+(Assumptions!$E$21/(Assumptions!$E$41*Assumptions!$G$42))*(MAX(0,$A49-MIN($A49,Model_No_Partner!Z17*Assumptions!$E$30)-MIN(MAX(0,$A49-MIN($A49,Model_No_Partner!Z17*Assumptions!$E$30)),Model_No_Partner!Z21*Assumptions!$E$37))/Assumptions!$E$21)^Assumptions!$E$25*Assumptions!$E$43)*Assumptions!$E$49),0)</f>
        <v>211.942501719992</v>
      </c>
      <c r="D49" s="51" t="n">
        <f aca="false">C49-B49</f>
        <v>64.7144312865069</v>
      </c>
      <c r="E49" s="52" t="n">
        <f aca="false">IFERROR((C49-B49)/C49,0)</f>
        <v>0.305339565029786</v>
      </c>
    </row>
    <row r="50" customFormat="false" ht="15" hidden="false" customHeight="false" outlineLevel="0" collapsed="false">
      <c r="A50" s="53" t="n">
        <v>250000</v>
      </c>
      <c r="B50" s="63" t="n">
        <f aca="false">IFERROR($A50/((MIN($A50,Model_Baseline!Z17*Assumptions!$E$30)/Assumptions!$E$30*Assumptions!$E$31*Assumptions!$E$32+MIN(MAX(0,$A50-MIN($A50,Model_Baseline!Z17*Assumptions!$E$30)),Model_Baseline!Z21*Assumptions!$E$37)/Assumptions!$E$37*Assumptions!$E$38*Assumptions!$E$39+(Assumptions!$E$21/(Assumptions!$E$41*Assumptions!$E$42))*(MAX(0,$A50-MIN($A50,Model_Baseline!Z17*Assumptions!$E$30)-MIN(MAX(0,$A50-MIN($A50,Model_Baseline!Z17*Assumptions!$E$30)),Model_Baseline!Z21*Assumptions!$E$37))/Assumptions!$E$21)^Assumptions!$E$25*Assumptions!$E$43)*Assumptions!$E$49),0)</f>
        <v>186.686238655395</v>
      </c>
      <c r="C50" s="63" t="n">
        <f aca="false">IFERROR($A50/((MIN($A50,Model_No_Partner!Z17*Assumptions!$E$30)/Assumptions!$E$30*Assumptions!$E$31*Assumptions!$E$32+MIN(MAX(0,$A50-MIN($A50,Model_No_Partner!Z17*Assumptions!$E$30)),Model_No_Partner!Z21*Assumptions!$E$37)/Assumptions!$E$37*Assumptions!$E$38*Assumptions!$E$39+(Assumptions!$E$21/(Assumptions!$E$41*Assumptions!$G$42))*(MAX(0,$A50-MIN($A50,Model_No_Partner!Z17*Assumptions!$E$30)-MIN(MAX(0,$A50-MIN($A50,Model_No_Partner!Z17*Assumptions!$E$30)),Model_No_Partner!Z21*Assumptions!$E$37))/Assumptions!$E$21)^Assumptions!$E$25*Assumptions!$E$43)*Assumptions!$E$49),0)</f>
        <v>261.498731163436</v>
      </c>
      <c r="D50" s="51" t="n">
        <f aca="false">C50-B50</f>
        <v>74.8124925080416</v>
      </c>
      <c r="E50" s="52" t="n">
        <f aca="false">IFERROR((C50-B50)/C50,0)</f>
        <v>0.286091225663668</v>
      </c>
    </row>
    <row r="51" customFormat="false" ht="15" hidden="false" customHeight="false" outlineLevel="0" collapsed="false">
      <c r="A51" s="53" t="n">
        <v>500000</v>
      </c>
      <c r="B51" s="63" t="n">
        <f aca="false">IFERROR($A51/((MIN($A51,Model_Baseline!Z17*Assumptions!$E$30)/Assumptions!$E$30*Assumptions!$E$31*Assumptions!$E$32+MIN(MAX(0,$A51-MIN($A51,Model_Baseline!Z17*Assumptions!$E$30)),Model_Baseline!Z21*Assumptions!$E$37)/Assumptions!$E$37*Assumptions!$E$38*Assumptions!$E$39+(Assumptions!$E$21/(Assumptions!$E$41*Assumptions!$E$42))*(MAX(0,$A51-MIN($A51,Model_Baseline!Z17*Assumptions!$E$30)-MIN(MAX(0,$A51-MIN($A51,Model_Baseline!Z17*Assumptions!$E$30)),Model_Baseline!Z21*Assumptions!$E$37))/Assumptions!$E$21)^Assumptions!$E$25*Assumptions!$E$43)*Assumptions!$E$49),0)</f>
        <v>233.752302880598</v>
      </c>
      <c r="C51" s="63" t="n">
        <f aca="false">IFERROR($A51/((MIN($A51,Model_No_Partner!Z17*Assumptions!$E$30)/Assumptions!$E$30*Assumptions!$E$31*Assumptions!$E$32+MIN(MAX(0,$A51-MIN($A51,Model_No_Partner!Z17*Assumptions!$E$30)),Model_No_Partner!Z21*Assumptions!$E$37)/Assumptions!$E$37*Assumptions!$E$38*Assumptions!$E$39+(Assumptions!$E$21/(Assumptions!$E$41*Assumptions!$G$42))*(MAX(0,$A51-MIN($A51,Model_No_Partner!Z17*Assumptions!$E$30)-MIN(MAX(0,$A51-MIN($A51,Model_No_Partner!Z17*Assumptions!$E$30)),Model_No_Partner!Z21*Assumptions!$E$37))/Assumptions!$E$21)^Assumptions!$E$25*Assumptions!$E$43)*Assumptions!$E$49),0)</f>
        <v>317.314091610835</v>
      </c>
      <c r="D51" s="51" t="n">
        <f aca="false">C51-B51</f>
        <v>83.5617887302371</v>
      </c>
      <c r="E51" s="52" t="n">
        <f aca="false">IFERROR((C51-B51)/C51,0)</f>
        <v>0.263340932342583</v>
      </c>
    </row>
    <row r="52" customFormat="false" ht="15" hidden="false" customHeight="false" outlineLevel="0" collapsed="false">
      <c r="A52" s="53" t="n">
        <v>1000000</v>
      </c>
      <c r="B52" s="63" t="n">
        <f aca="false">IFERROR($A52/((MIN($A52,Model_Baseline!Z17*Assumptions!$E$30)/Assumptions!$E$30*Assumptions!$E$31*Assumptions!$E$32+MIN(MAX(0,$A52-MIN($A52,Model_Baseline!Z17*Assumptions!$E$30)),Model_Baseline!Z21*Assumptions!$E$37)/Assumptions!$E$37*Assumptions!$E$38*Assumptions!$E$39+(Assumptions!$E$21/(Assumptions!$E$41*Assumptions!$E$42))*(MAX(0,$A52-MIN($A52,Model_Baseline!Z17*Assumptions!$E$30)-MIN(MAX(0,$A52-MIN($A52,Model_Baseline!Z17*Assumptions!$E$30)),Model_Baseline!Z21*Assumptions!$E$37))/Assumptions!$E$21)^Assumptions!$E$25*Assumptions!$E$43)*Assumptions!$E$49),0)</f>
        <v>289.934817298613</v>
      </c>
      <c r="C52" s="63" t="n">
        <f aca="false">IFERROR($A52/((MIN($A52,Model_No_Partner!Z17*Assumptions!$E$30)/Assumptions!$E$30*Assumptions!$E$31*Assumptions!$E$32+MIN(MAX(0,$A52-MIN($A52,Model_No_Partner!Z17*Assumptions!$E$30)),Model_No_Partner!Z21*Assumptions!$E$37)/Assumptions!$E$37*Assumptions!$E$38*Assumptions!$E$39+(Assumptions!$E$21/(Assumptions!$E$41*Assumptions!$G$42))*(MAX(0,$A52-MIN($A52,Model_No_Partner!Z17*Assumptions!$E$30)-MIN(MAX(0,$A52-MIN($A52,Model_No_Partner!Z17*Assumptions!$E$30)),Model_No_Partner!Z21*Assumptions!$E$37))/Assumptions!$E$21)^Assumptions!$E$25*Assumptions!$E$43)*Assumptions!$E$49),0)</f>
        <v>383.463555750519</v>
      </c>
      <c r="D52" s="51" t="n">
        <f aca="false">C52-B52</f>
        <v>93.528738451906</v>
      </c>
      <c r="E52" s="52" t="n">
        <f aca="false">IFERROR((C52-B52)/C52,0)</f>
        <v>0.243905156172796</v>
      </c>
    </row>
    <row r="53" customFormat="false" ht="15" hidden="false" customHeight="false" outlineLevel="0" collapsed="false">
      <c r="A53" s="53" t="n">
        <v>2500000</v>
      </c>
      <c r="B53" s="63" t="n">
        <f aca="false">IFERROR($A53/((MIN($A53,Model_Baseline!Z17*Assumptions!$E$30)/Assumptions!$E$30*Assumptions!$E$31*Assumptions!$E$32+MIN(MAX(0,$A53-MIN($A53,Model_Baseline!Z17*Assumptions!$E$30)),Model_Baseline!Z21*Assumptions!$E$37)/Assumptions!$E$37*Assumptions!$E$38*Assumptions!$E$39+(Assumptions!$E$21/(Assumptions!$E$41*Assumptions!$E$42))*(MAX(0,$A53-MIN($A53,Model_Baseline!Z17*Assumptions!$E$30)-MIN(MAX(0,$A53-MIN($A53,Model_Baseline!Z17*Assumptions!$E$30)),Model_Baseline!Z21*Assumptions!$E$37))/Assumptions!$E$21)^Assumptions!$E$25*Assumptions!$E$43)*Assumptions!$E$49),0)</f>
        <v>379.720349758625</v>
      </c>
      <c r="C53" s="63" t="n">
        <f aca="false">IFERROR($A53/((MIN($A53,Model_No_Partner!Z17*Assumptions!$E$30)/Assumptions!$E$30*Assumptions!$E$31*Assumptions!$E$32+MIN(MAX(0,$A53-MIN($A53,Model_No_Partner!Z17*Assumptions!$E$30)),Model_No_Partner!Z21*Assumptions!$E$37)/Assumptions!$E$37*Assumptions!$E$38*Assumptions!$E$39+(Assumptions!$E$21/(Assumptions!$E$41*Assumptions!$G$42))*(MAX(0,$A53-MIN($A53,Model_No_Partner!Z17*Assumptions!$E$30)-MIN(MAX(0,$A53-MIN($A53,Model_No_Partner!Z17*Assumptions!$E$30)),Model_No_Partner!Z21*Assumptions!$E$37))/Assumptions!$E$21)^Assumptions!$E$25*Assumptions!$E$43)*Assumptions!$E$49),0)</f>
        <v>490.29440891888</v>
      </c>
      <c r="D53" s="51" t="n">
        <f aca="false">C53-B53</f>
        <v>110.574059160255</v>
      </c>
      <c r="E53" s="52" t="n">
        <f aca="false">IFERROR((C53-B53)/C53,0)</f>
        <v>0.2255258415124</v>
      </c>
    </row>
    <row r="55" customFormat="false" ht="39.75" hidden="false" customHeight="true" outlineLevel="0" collapsed="false">
      <c r="A55" s="58" t="s">
        <v>463</v>
      </c>
      <c r="B55" s="58"/>
      <c r="C55" s="58"/>
      <c r="D55" s="58"/>
      <c r="E55" s="58"/>
      <c r="F55" s="58"/>
      <c r="G55" s="58"/>
      <c r="H55" s="58"/>
    </row>
  </sheetData>
  <mergeCells count="6">
    <mergeCell ref="A2:H2"/>
    <mergeCell ref="A15:H15"/>
    <mergeCell ref="A19:H19"/>
    <mergeCell ref="A30:H30"/>
    <mergeCell ref="A43:H43"/>
    <mergeCell ref="A55:H5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4" min="2" style="0" width="20"/>
  </cols>
  <sheetData>
    <row r="1" customFormat="false" ht="17.35" hidden="false" customHeight="false" outlineLevel="0" collapsed="false">
      <c r="A1" s="4" t="s">
        <v>464</v>
      </c>
    </row>
    <row r="2" customFormat="false" ht="43.5" hidden="false" customHeight="true" outlineLevel="0" collapsed="false">
      <c r="A2" s="5" t="s">
        <v>465</v>
      </c>
      <c r="B2" s="5"/>
      <c r="C2" s="5"/>
      <c r="D2" s="5"/>
      <c r="E2" s="5"/>
    </row>
    <row r="4" customFormat="false" ht="64.15" hidden="false" customHeight="false" outlineLevel="0" collapsed="false">
      <c r="A4" s="37" t="s">
        <v>466</v>
      </c>
      <c r="C4" s="22" t="n">
        <v>3</v>
      </c>
      <c r="D4" s="13" t="s">
        <v>467</v>
      </c>
    </row>
    <row r="6" customFormat="false" ht="15" hidden="false" customHeight="false" outlineLevel="0" collapsed="false">
      <c r="A6" s="50" t="s">
        <v>468</v>
      </c>
      <c r="B6" s="50" t="s">
        <v>26</v>
      </c>
      <c r="C6" s="50" t="s">
        <v>27</v>
      </c>
      <c r="D6" s="50" t="s">
        <v>28</v>
      </c>
    </row>
    <row r="7" customFormat="false" ht="15" hidden="false" customHeight="false" outlineLevel="0" collapsed="false">
      <c r="A7" s="37" t="s">
        <v>469</v>
      </c>
      <c r="B7" s="38" t="n">
        <f aca="false">-SUM(Model_Conservative!C85:AL85)</f>
        <v>-0</v>
      </c>
      <c r="C7" s="38" t="n">
        <f aca="false">-SUM(Model_Baseline!C85:AL85)</f>
        <v>525000</v>
      </c>
      <c r="D7" s="38" t="n">
        <f aca="false">-SUM(Model_Aggressive!C85:AL85)</f>
        <v>875000</v>
      </c>
    </row>
    <row r="8" customFormat="false" ht="15" hidden="false" customHeight="false" outlineLevel="0" collapsed="false">
      <c r="A8" s="37" t="s">
        <v>470</v>
      </c>
      <c r="B8" s="38" t="n">
        <f aca="false">-SUM(Model_Conservative!C86:AL86)</f>
        <v>82006.0327568132</v>
      </c>
      <c r="C8" s="38" t="n">
        <f aca="false">-SUM(Model_Baseline!C86:AL86)</f>
        <v>1437033.94039254</v>
      </c>
      <c r="D8" s="38" t="n">
        <f aca="false">-SUM(Model_Aggressive!C86:AL86)</f>
        <v>24992638.2807931</v>
      </c>
    </row>
    <row r="9" customFormat="false" ht="15" hidden="false" customHeight="false" outlineLevel="0" collapsed="false">
      <c r="A9" s="37" t="s">
        <v>471</v>
      </c>
      <c r="B9" s="38" t="n">
        <f aca="false">B7+B8</f>
        <v>82006.0327568132</v>
      </c>
      <c r="C9" s="38" t="n">
        <f aca="false">C7+C8</f>
        <v>1962033.94039254</v>
      </c>
      <c r="D9" s="38" t="n">
        <f aca="false">D7+D8</f>
        <v>25867638.2807931</v>
      </c>
    </row>
    <row r="10" customFormat="false" ht="15" hidden="false" customHeight="false" outlineLevel="0" collapsed="false">
      <c r="A10" s="37" t="s">
        <v>472</v>
      </c>
      <c r="B10" s="38" t="n">
        <f aca="false">-SUM(Model_Conservative!AA86:AL86)</f>
        <v>35500.0051746006</v>
      </c>
      <c r="C10" s="38" t="n">
        <f aca="false">-SUM(Model_Baseline!AA86:AL86)</f>
        <v>743477.371021949</v>
      </c>
      <c r="D10" s="38" t="n">
        <f aca="false">-SUM(Model_Aggressive!AA86:AL86)</f>
        <v>15572765.9335688</v>
      </c>
    </row>
    <row r="11" customFormat="false" ht="15" hidden="false" customHeight="false" outlineLevel="0" collapsed="false">
      <c r="A11" s="37" t="s">
        <v>473</v>
      </c>
      <c r="B11" s="40" t="n">
        <f aca="false">Assumptions!$D$100</f>
        <v>0.1</v>
      </c>
      <c r="C11" s="40" t="n">
        <f aca="false">Assumptions!$E$100</f>
        <v>0.15</v>
      </c>
      <c r="D11" s="40" t="n">
        <f aca="false">Assumptions!$F$100</f>
        <v>0.2</v>
      </c>
    </row>
    <row r="12" customFormat="false" ht="15" hidden="false" customHeight="false" outlineLevel="0" collapsed="false">
      <c r="A12" s="37" t="s">
        <v>474</v>
      </c>
      <c r="B12" s="38" t="n">
        <f aca="false">Summary!B7*$C$4*B11</f>
        <v>213000.031047604</v>
      </c>
      <c r="C12" s="38" t="n">
        <f aca="false">Summary!C7*$C$4*C11</f>
        <v>6691296.33919754</v>
      </c>
      <c r="D12" s="38" t="n">
        <f aca="false">Summary!D7*$C$4*D11</f>
        <v>186873191.202825</v>
      </c>
    </row>
    <row r="13" customFormat="false" ht="15" hidden="false" customHeight="false" outlineLevel="0" collapsed="false">
      <c r="A13" s="37" t="s">
        <v>475</v>
      </c>
      <c r="B13" s="38" t="n">
        <f aca="false">B9+B12</f>
        <v>295006.063804417</v>
      </c>
      <c r="C13" s="38" t="n">
        <f aca="false">C9+C12</f>
        <v>8653330.27959008</v>
      </c>
      <c r="D13" s="38" t="n">
        <f aca="false">D9+D12</f>
        <v>212740829.483618</v>
      </c>
    </row>
    <row r="14" customFormat="false" ht="15" hidden="false" customHeight="false" outlineLevel="0" collapsed="false">
      <c r="A14" s="37" t="s">
        <v>476</v>
      </c>
      <c r="B14" s="40" t="n">
        <f aca="false">IFERROR(B9/Summary!B8,0)</f>
        <v>0.05</v>
      </c>
      <c r="C14" s="40" t="n">
        <f aca="false">IFERROR(C9/Summary!C8,0)</f>
        <v>0.0682667919400912</v>
      </c>
      <c r="D14" s="40" t="n">
        <f aca="false">IFERROR(D9/Summary!D8,0)</f>
        <v>0.0517505154721349</v>
      </c>
    </row>
    <row r="16" customFormat="false" ht="15" hidden="false" customHeight="false" outlineLevel="0" collapsed="false">
      <c r="A16" s="2" t="s">
        <v>477</v>
      </c>
    </row>
    <row r="17" customFormat="false" ht="60" hidden="false" customHeight="true" outlineLevel="0" collapsed="false">
      <c r="A17" s="58" t="s">
        <v>478</v>
      </c>
      <c r="B17" s="58"/>
      <c r="C17" s="58"/>
      <c r="D17" s="58"/>
    </row>
    <row r="18" customFormat="false" ht="60" hidden="false" customHeight="true" outlineLevel="0" collapsed="false">
      <c r="A18" s="58" t="s">
        <v>479</v>
      </c>
      <c r="B18" s="58"/>
      <c r="C18" s="58"/>
      <c r="D18" s="58"/>
    </row>
    <row r="19" customFormat="false" ht="60" hidden="false" customHeight="true" outlineLevel="0" collapsed="false">
      <c r="A19" s="58" t="s">
        <v>480</v>
      </c>
      <c r="B19" s="58"/>
      <c r="C19" s="58"/>
      <c r="D19" s="58"/>
    </row>
    <row r="20" customFormat="false" ht="60" hidden="false" customHeight="true" outlineLevel="0" collapsed="false">
      <c r="A20" s="58" t="s">
        <v>481</v>
      </c>
      <c r="B20" s="58"/>
      <c r="C20" s="58"/>
      <c r="D20" s="58"/>
    </row>
    <row r="21" customFormat="false" ht="60" hidden="false" customHeight="true" outlineLevel="0" collapsed="false">
      <c r="A21" s="58" t="s">
        <v>482</v>
      </c>
      <c r="B21" s="58"/>
      <c r="C21" s="58"/>
      <c r="D21" s="58"/>
    </row>
  </sheetData>
  <mergeCells count="6">
    <mergeCell ref="A2:E2"/>
    <mergeCell ref="A17:D17"/>
    <mergeCell ref="A18:D18"/>
    <mergeCell ref="A19:D19"/>
    <mergeCell ref="A20:D20"/>
    <mergeCell ref="A21:D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60"/>
    <col collapsed="false" customWidth="true" hidden="false" outlineLevel="0" max="3" min="3" style="0" width="78"/>
    <col collapsed="false" customWidth="true" hidden="false" outlineLevel="0" max="4" min="4" style="0" width="12"/>
  </cols>
  <sheetData>
    <row r="1" customFormat="false" ht="17.35" hidden="false" customHeight="false" outlineLevel="0" collapsed="false">
      <c r="A1" s="4" t="s">
        <v>483</v>
      </c>
    </row>
    <row r="2" customFormat="false" ht="39.75" hidden="false" customHeight="true" outlineLevel="0" collapsed="false">
      <c r="A2" s="5" t="s">
        <v>484</v>
      </c>
      <c r="B2" s="5"/>
      <c r="C2" s="5"/>
      <c r="D2" s="5"/>
    </row>
    <row r="4" customFormat="false" ht="15" hidden="false" customHeight="false" outlineLevel="0" collapsed="false">
      <c r="A4" s="50" t="s">
        <v>51</v>
      </c>
      <c r="B4" s="50" t="s">
        <v>485</v>
      </c>
      <c r="C4" s="50" t="s">
        <v>486</v>
      </c>
      <c r="D4" s="50" t="s">
        <v>487</v>
      </c>
    </row>
    <row r="5" customFormat="false" ht="57.75" hidden="false" customHeight="true" outlineLevel="0" collapsed="false">
      <c r="A5" s="37" t="n">
        <v>1</v>
      </c>
      <c r="B5" s="64" t="s">
        <v>488</v>
      </c>
      <c r="C5" s="13" t="s">
        <v>489</v>
      </c>
      <c r="D5" s="10" t="s">
        <v>490</v>
      </c>
    </row>
    <row r="6" customFormat="false" ht="57.75" hidden="false" customHeight="true" outlineLevel="0" collapsed="false">
      <c r="A6" s="37" t="n">
        <v>2</v>
      </c>
      <c r="B6" s="64" t="s">
        <v>491</v>
      </c>
      <c r="C6" s="13" t="s">
        <v>492</v>
      </c>
      <c r="D6" s="10" t="s">
        <v>490</v>
      </c>
    </row>
    <row r="7" customFormat="false" ht="57.75" hidden="false" customHeight="true" outlineLevel="0" collapsed="false">
      <c r="A7" s="37" t="n">
        <v>3</v>
      </c>
      <c r="B7" s="64" t="s">
        <v>493</v>
      </c>
      <c r="C7" s="13" t="s">
        <v>494</v>
      </c>
      <c r="D7" s="10" t="s">
        <v>490</v>
      </c>
    </row>
    <row r="8" customFormat="false" ht="57.75" hidden="false" customHeight="true" outlineLevel="0" collapsed="false">
      <c r="A8" s="37" t="n">
        <v>4</v>
      </c>
      <c r="B8" s="64" t="s">
        <v>495</v>
      </c>
      <c r="C8" s="13" t="s">
        <v>496</v>
      </c>
      <c r="D8" s="10" t="s">
        <v>490</v>
      </c>
    </row>
    <row r="9" customFormat="false" ht="57.75" hidden="false" customHeight="true" outlineLevel="0" collapsed="false">
      <c r="A9" s="37" t="n">
        <v>5</v>
      </c>
      <c r="B9" s="64" t="s">
        <v>497</v>
      </c>
      <c r="C9" s="13" t="s">
        <v>498</v>
      </c>
      <c r="D9" s="10" t="s">
        <v>490</v>
      </c>
    </row>
    <row r="10" customFormat="false" ht="57.75" hidden="false" customHeight="true" outlineLevel="0" collapsed="false">
      <c r="A10" s="37" t="n">
        <v>6</v>
      </c>
      <c r="B10" s="64" t="s">
        <v>499</v>
      </c>
      <c r="C10" s="13" t="s">
        <v>500</v>
      </c>
      <c r="D10" s="10" t="s">
        <v>490</v>
      </c>
    </row>
    <row r="11" customFormat="false" ht="57.75" hidden="false" customHeight="true" outlineLevel="0" collapsed="false">
      <c r="A11" s="37" t="n">
        <v>7</v>
      </c>
      <c r="B11" s="64" t="s">
        <v>501</v>
      </c>
      <c r="C11" s="13" t="s">
        <v>502</v>
      </c>
      <c r="D11" s="10" t="s">
        <v>490</v>
      </c>
    </row>
    <row r="12" customFormat="false" ht="57.75" hidden="false" customHeight="true" outlineLevel="0" collapsed="false">
      <c r="A12" s="37" t="n">
        <v>8</v>
      </c>
      <c r="B12" s="64" t="s">
        <v>503</v>
      </c>
      <c r="C12" s="13" t="s">
        <v>504</v>
      </c>
      <c r="D12" s="10" t="s">
        <v>490</v>
      </c>
    </row>
    <row r="13" customFormat="false" ht="57.75" hidden="false" customHeight="true" outlineLevel="0" collapsed="false">
      <c r="A13" s="37" t="n">
        <v>9</v>
      </c>
      <c r="B13" s="64" t="s">
        <v>505</v>
      </c>
      <c r="C13" s="13" t="s">
        <v>506</v>
      </c>
      <c r="D13" s="10" t="s">
        <v>490</v>
      </c>
    </row>
    <row r="14" customFormat="false" ht="57.75" hidden="false" customHeight="true" outlineLevel="0" collapsed="false">
      <c r="A14" s="37" t="n">
        <v>10</v>
      </c>
      <c r="B14" s="64" t="s">
        <v>507</v>
      </c>
      <c r="C14" s="13" t="s">
        <v>508</v>
      </c>
      <c r="D14" s="10" t="s">
        <v>490</v>
      </c>
    </row>
    <row r="15" customFormat="false" ht="57.75" hidden="false" customHeight="true" outlineLevel="0" collapsed="false">
      <c r="A15" s="37" t="n">
        <v>11</v>
      </c>
      <c r="B15" s="64" t="s">
        <v>509</v>
      </c>
      <c r="C15" s="13" t="s">
        <v>510</v>
      </c>
      <c r="D15" s="10" t="s">
        <v>490</v>
      </c>
    </row>
    <row r="16" customFormat="false" ht="57.75" hidden="false" customHeight="true" outlineLevel="0" collapsed="false">
      <c r="A16" s="37" t="n">
        <v>12</v>
      </c>
      <c r="B16" s="64" t="s">
        <v>511</v>
      </c>
      <c r="C16" s="13" t="s">
        <v>512</v>
      </c>
      <c r="D16" s="10" t="s">
        <v>490</v>
      </c>
    </row>
    <row r="17" customFormat="false" ht="57.75" hidden="false" customHeight="true" outlineLevel="0" collapsed="false">
      <c r="A17" s="37" t="n">
        <v>13</v>
      </c>
      <c r="B17" s="64" t="s">
        <v>513</v>
      </c>
      <c r="C17" s="13" t="s">
        <v>514</v>
      </c>
      <c r="D17" s="10" t="s">
        <v>490</v>
      </c>
    </row>
    <row r="18" customFormat="false" ht="57.75" hidden="false" customHeight="true" outlineLevel="0" collapsed="false">
      <c r="A18" s="37" t="n">
        <v>14</v>
      </c>
      <c r="B18" s="64" t="s">
        <v>515</v>
      </c>
      <c r="C18" s="13" t="s">
        <v>516</v>
      </c>
      <c r="D18" s="10" t="s">
        <v>490</v>
      </c>
    </row>
    <row r="19" customFormat="false" ht="57.75" hidden="false" customHeight="true" outlineLevel="0" collapsed="false">
      <c r="A19" s="37" t="n">
        <v>15</v>
      </c>
      <c r="B19" s="64" t="s">
        <v>517</v>
      </c>
      <c r="C19" s="13" t="s">
        <v>518</v>
      </c>
      <c r="D19" s="10" t="s">
        <v>490</v>
      </c>
    </row>
    <row r="20" customFormat="false" ht="57.75" hidden="false" customHeight="true" outlineLevel="0" collapsed="false">
      <c r="A20" s="37" t="n">
        <v>16</v>
      </c>
      <c r="B20" s="64" t="s">
        <v>519</v>
      </c>
      <c r="C20" s="13" t="s">
        <v>520</v>
      </c>
      <c r="D20" s="10" t="s">
        <v>490</v>
      </c>
    </row>
    <row r="21" customFormat="false" ht="57.75" hidden="false" customHeight="true" outlineLevel="0" collapsed="false">
      <c r="A21" s="37" t="n">
        <v>17</v>
      </c>
      <c r="B21" s="64" t="s">
        <v>521</v>
      </c>
      <c r="C21" s="13" t="s">
        <v>522</v>
      </c>
      <c r="D21" s="10" t="s">
        <v>490</v>
      </c>
    </row>
    <row r="22" customFormat="false" ht="57.75" hidden="false" customHeight="true" outlineLevel="0" collapsed="false">
      <c r="A22" s="37" t="n">
        <v>18</v>
      </c>
      <c r="B22" s="64" t="s">
        <v>523</v>
      </c>
      <c r="C22" s="13" t="s">
        <v>524</v>
      </c>
      <c r="D22" s="10" t="s">
        <v>490</v>
      </c>
    </row>
    <row r="23" customFormat="false" ht="57.75" hidden="false" customHeight="true" outlineLevel="0" collapsed="false">
      <c r="A23" s="37" t="n">
        <v>19</v>
      </c>
      <c r="B23" s="64" t="s">
        <v>525</v>
      </c>
      <c r="C23" s="13" t="s">
        <v>526</v>
      </c>
      <c r="D23" s="10" t="s">
        <v>490</v>
      </c>
    </row>
    <row r="24" customFormat="false" ht="57.75" hidden="false" customHeight="true" outlineLevel="0" collapsed="false">
      <c r="A24" s="37" t="n">
        <v>20</v>
      </c>
      <c r="B24" s="64" t="s">
        <v>527</v>
      </c>
      <c r="C24" s="13" t="s">
        <v>528</v>
      </c>
      <c r="D24" s="10" t="s">
        <v>490</v>
      </c>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3" min="3" style="0" width="62"/>
    <col collapsed="false" customWidth="true" hidden="false" outlineLevel="0" max="4" min="4" style="0" width="58"/>
    <col collapsed="false" customWidth="true" hidden="false" outlineLevel="0" max="5" min="5" style="0" width="14"/>
    <col collapsed="false" customWidth="true" hidden="false" outlineLevel="0" max="6" min="6" style="0" width="46"/>
  </cols>
  <sheetData>
    <row r="1" customFormat="false" ht="17.35" hidden="false" customHeight="false" outlineLevel="0" collapsed="false">
      <c r="A1" s="4" t="s">
        <v>529</v>
      </c>
    </row>
    <row r="2" customFormat="false" ht="39.75" hidden="false" customHeight="true" outlineLevel="0" collapsed="false">
      <c r="A2" s="5" t="s">
        <v>530</v>
      </c>
      <c r="B2" s="5"/>
      <c r="C2" s="5"/>
      <c r="D2" s="5"/>
      <c r="E2" s="5"/>
      <c r="F2" s="5"/>
    </row>
    <row r="4" customFormat="false" ht="15" hidden="false" customHeight="false" outlineLevel="0" collapsed="false">
      <c r="A4" s="50" t="s">
        <v>531</v>
      </c>
      <c r="B4" s="50" t="s">
        <v>532</v>
      </c>
      <c r="C4" s="50" t="s">
        <v>533</v>
      </c>
      <c r="D4" s="50" t="s">
        <v>534</v>
      </c>
      <c r="E4" s="50" t="s">
        <v>33</v>
      </c>
      <c r="F4" s="50" t="s">
        <v>535</v>
      </c>
    </row>
    <row r="5" customFormat="false" ht="91.5" hidden="false" customHeight="true" outlineLevel="0" collapsed="false">
      <c r="A5" s="37" t="s">
        <v>536</v>
      </c>
      <c r="B5" s="64" t="s">
        <v>537</v>
      </c>
      <c r="C5" s="13" t="s">
        <v>538</v>
      </c>
      <c r="D5" s="13" t="s">
        <v>539</v>
      </c>
      <c r="E5" s="64" t="s">
        <v>540</v>
      </c>
      <c r="F5" s="65" t="s">
        <v>541</v>
      </c>
    </row>
    <row r="6" customFormat="false" ht="91.5" hidden="false" customHeight="true" outlineLevel="0" collapsed="false">
      <c r="A6" s="37" t="s">
        <v>542</v>
      </c>
      <c r="B6" s="64" t="s">
        <v>543</v>
      </c>
      <c r="C6" s="13" t="s">
        <v>544</v>
      </c>
      <c r="D6" s="13" t="s">
        <v>545</v>
      </c>
      <c r="E6" s="64" t="s">
        <v>540</v>
      </c>
      <c r="F6" s="65" t="s">
        <v>546</v>
      </c>
    </row>
    <row r="7" customFormat="false" ht="91.5" hidden="false" customHeight="true" outlineLevel="0" collapsed="false">
      <c r="A7" s="37" t="s">
        <v>547</v>
      </c>
      <c r="B7" s="64" t="s">
        <v>548</v>
      </c>
      <c r="C7" s="13" t="s">
        <v>549</v>
      </c>
      <c r="D7" s="13" t="s">
        <v>550</v>
      </c>
      <c r="E7" s="64" t="s">
        <v>551</v>
      </c>
      <c r="F7" s="65" t="s">
        <v>552</v>
      </c>
    </row>
    <row r="8" customFormat="false" ht="91.5" hidden="false" customHeight="true" outlineLevel="0" collapsed="false">
      <c r="A8" s="37" t="s">
        <v>553</v>
      </c>
      <c r="B8" s="64" t="s">
        <v>554</v>
      </c>
      <c r="C8" s="13" t="s">
        <v>555</v>
      </c>
      <c r="D8" s="13" t="s">
        <v>556</v>
      </c>
      <c r="E8" s="64" t="s">
        <v>42</v>
      </c>
      <c r="F8" s="65" t="s">
        <v>557</v>
      </c>
    </row>
    <row r="9" customFormat="false" ht="91.5" hidden="false" customHeight="true" outlineLevel="0" collapsed="false">
      <c r="A9" s="37" t="s">
        <v>558</v>
      </c>
      <c r="B9" s="64" t="s">
        <v>559</v>
      </c>
      <c r="C9" s="13" t="s">
        <v>560</v>
      </c>
      <c r="D9" s="13" t="s">
        <v>561</v>
      </c>
      <c r="E9" s="64" t="s">
        <v>42</v>
      </c>
      <c r="F9" s="65" t="s">
        <v>562</v>
      </c>
    </row>
    <row r="10" customFormat="false" ht="91.5" hidden="false" customHeight="true" outlineLevel="0" collapsed="false">
      <c r="A10" s="37" t="s">
        <v>563</v>
      </c>
      <c r="B10" s="64" t="s">
        <v>564</v>
      </c>
      <c r="C10" s="13" t="s">
        <v>565</v>
      </c>
      <c r="D10" s="13" t="s">
        <v>566</v>
      </c>
      <c r="E10" s="64" t="s">
        <v>42</v>
      </c>
      <c r="F10" s="65" t="s">
        <v>567</v>
      </c>
    </row>
    <row r="11" customFormat="false" ht="91.5" hidden="false" customHeight="true" outlineLevel="0" collapsed="false">
      <c r="A11" s="37" t="s">
        <v>568</v>
      </c>
      <c r="B11" s="64" t="s">
        <v>569</v>
      </c>
      <c r="C11" s="13" t="s">
        <v>570</v>
      </c>
      <c r="D11" s="13" t="s">
        <v>571</v>
      </c>
      <c r="E11" s="64" t="s">
        <v>572</v>
      </c>
      <c r="F11" s="65" t="s">
        <v>573</v>
      </c>
    </row>
    <row r="12" customFormat="false" ht="91.5" hidden="false" customHeight="true" outlineLevel="0" collapsed="false">
      <c r="A12" s="37" t="s">
        <v>574</v>
      </c>
      <c r="B12" s="64" t="s">
        <v>575</v>
      </c>
      <c r="C12" s="13" t="s">
        <v>576</v>
      </c>
      <c r="D12" s="13" t="s">
        <v>577</v>
      </c>
      <c r="E12" s="64" t="s">
        <v>42</v>
      </c>
      <c r="F12" s="65" t="s">
        <v>578</v>
      </c>
    </row>
    <row r="13" customFormat="false" ht="91.5" hidden="false" customHeight="true" outlineLevel="0" collapsed="false">
      <c r="A13" s="37" t="s">
        <v>579</v>
      </c>
      <c r="B13" s="64" t="s">
        <v>580</v>
      </c>
      <c r="C13" s="13" t="s">
        <v>581</v>
      </c>
      <c r="D13" s="13" t="s">
        <v>582</v>
      </c>
      <c r="E13" s="64" t="s">
        <v>583</v>
      </c>
      <c r="F13" s="65" t="s">
        <v>584</v>
      </c>
    </row>
    <row r="14" customFormat="false" ht="91.5" hidden="false" customHeight="true" outlineLevel="0" collapsed="false">
      <c r="A14" s="37" t="s">
        <v>585</v>
      </c>
      <c r="B14" s="64" t="s">
        <v>586</v>
      </c>
      <c r="C14" s="13" t="s">
        <v>587</v>
      </c>
      <c r="D14" s="13" t="s">
        <v>588</v>
      </c>
      <c r="E14" s="64" t="s">
        <v>589</v>
      </c>
      <c r="F14" s="65" t="s">
        <v>590</v>
      </c>
    </row>
    <row r="15" customFormat="false" ht="91.5" hidden="false" customHeight="true" outlineLevel="0" collapsed="false">
      <c r="A15" s="37" t="s">
        <v>591</v>
      </c>
      <c r="B15" s="64" t="s">
        <v>592</v>
      </c>
      <c r="C15" s="13" t="s">
        <v>593</v>
      </c>
      <c r="D15" s="13" t="s">
        <v>594</v>
      </c>
      <c r="E15" s="64" t="s">
        <v>42</v>
      </c>
      <c r="F15" s="65" t="s">
        <v>595</v>
      </c>
    </row>
    <row r="16" customFormat="false" ht="91.5" hidden="false" customHeight="true" outlineLevel="0" collapsed="false">
      <c r="A16" s="37" t="s">
        <v>596</v>
      </c>
      <c r="B16" s="64" t="s">
        <v>597</v>
      </c>
      <c r="C16" s="13" t="s">
        <v>598</v>
      </c>
      <c r="D16" s="13" t="s">
        <v>599</v>
      </c>
      <c r="E16" s="64" t="s">
        <v>600</v>
      </c>
      <c r="F16" s="65" t="s">
        <v>601</v>
      </c>
    </row>
    <row r="17" customFormat="false" ht="91.5" hidden="false" customHeight="true" outlineLevel="0" collapsed="false">
      <c r="A17" s="37" t="s">
        <v>602</v>
      </c>
      <c r="B17" s="64" t="s">
        <v>603</v>
      </c>
      <c r="C17" s="13" t="s">
        <v>604</v>
      </c>
      <c r="D17" s="13" t="s">
        <v>605</v>
      </c>
      <c r="E17" s="64" t="s">
        <v>606</v>
      </c>
      <c r="F17" s="65" t="s">
        <v>607</v>
      </c>
    </row>
    <row r="18" customFormat="false" ht="91.5" hidden="false" customHeight="true" outlineLevel="0" collapsed="false">
      <c r="A18" s="37" t="s">
        <v>608</v>
      </c>
      <c r="B18" s="64" t="s">
        <v>609</v>
      </c>
      <c r="C18" s="13" t="s">
        <v>610</v>
      </c>
      <c r="D18" s="13" t="s">
        <v>611</v>
      </c>
      <c r="E18" s="64" t="s">
        <v>612</v>
      </c>
      <c r="F18" s="65" t="s">
        <v>613</v>
      </c>
    </row>
    <row r="19" customFormat="false" ht="91.5" hidden="false" customHeight="true" outlineLevel="0" collapsed="false">
      <c r="A19" s="37" t="s">
        <v>614</v>
      </c>
      <c r="B19" s="64" t="s">
        <v>615</v>
      </c>
      <c r="C19" s="13" t="s">
        <v>616</v>
      </c>
      <c r="D19" s="13" t="s">
        <v>617</v>
      </c>
      <c r="E19" s="64" t="s">
        <v>42</v>
      </c>
      <c r="F19" s="65" t="s">
        <v>618</v>
      </c>
    </row>
    <row r="20" customFormat="false" ht="91.5" hidden="false" customHeight="true" outlineLevel="0" collapsed="false">
      <c r="A20" s="37" t="s">
        <v>619</v>
      </c>
      <c r="B20" s="64" t="s">
        <v>620</v>
      </c>
      <c r="C20" s="13" t="s">
        <v>621</v>
      </c>
      <c r="D20" s="13" t="s">
        <v>622</v>
      </c>
      <c r="E20" s="64" t="s">
        <v>623</v>
      </c>
      <c r="F20" s="65" t="s">
        <v>624</v>
      </c>
    </row>
    <row r="21" customFormat="false" ht="91.5" hidden="false" customHeight="true" outlineLevel="0" collapsed="false">
      <c r="A21" s="37" t="s">
        <v>625</v>
      </c>
      <c r="B21" s="64" t="s">
        <v>626</v>
      </c>
      <c r="C21" s="13" t="s">
        <v>627</v>
      </c>
      <c r="D21" s="13" t="s">
        <v>628</v>
      </c>
      <c r="E21" s="64" t="s">
        <v>629</v>
      </c>
      <c r="F21" s="65" t="s">
        <v>630</v>
      </c>
    </row>
    <row r="22" customFormat="false" ht="91.5" hidden="false" customHeight="true" outlineLevel="0" collapsed="false">
      <c r="A22" s="37" t="s">
        <v>631</v>
      </c>
      <c r="B22" s="64" t="s">
        <v>632</v>
      </c>
      <c r="C22" s="13" t="s">
        <v>633</v>
      </c>
      <c r="D22" s="13" t="s">
        <v>634</v>
      </c>
      <c r="E22" s="64" t="s">
        <v>635</v>
      </c>
      <c r="F22" s="65" t="s">
        <v>636</v>
      </c>
    </row>
    <row r="23" customFormat="false" ht="91.5" hidden="false" customHeight="true" outlineLevel="0" collapsed="false">
      <c r="A23" s="37" t="s">
        <v>637</v>
      </c>
      <c r="B23" s="64" t="s">
        <v>638</v>
      </c>
      <c r="C23" s="13" t="s">
        <v>639</v>
      </c>
      <c r="D23" s="13" t="s">
        <v>640</v>
      </c>
      <c r="E23" s="64" t="s">
        <v>641</v>
      </c>
      <c r="F23" s="65" t="s">
        <v>642</v>
      </c>
    </row>
    <row r="24" customFormat="false" ht="91.5" hidden="false" customHeight="true" outlineLevel="0" collapsed="false">
      <c r="A24" s="37" t="s">
        <v>643</v>
      </c>
      <c r="B24" s="64" t="s">
        <v>644</v>
      </c>
      <c r="C24" s="13" t="s">
        <v>645</v>
      </c>
      <c r="D24" s="13" t="s">
        <v>646</v>
      </c>
      <c r="E24" s="64" t="s">
        <v>647</v>
      </c>
      <c r="F24" s="65" t="s">
        <v>648</v>
      </c>
    </row>
    <row r="26" customFormat="false" ht="15" hidden="false" customHeight="false" outlineLevel="0" collapsed="false">
      <c r="A26" s="2" t="s">
        <v>649</v>
      </c>
    </row>
    <row r="27" customFormat="false" ht="30" hidden="false" customHeight="true" outlineLevel="0" collapsed="false">
      <c r="B27" s="58" t="s">
        <v>650</v>
      </c>
      <c r="C27" s="58"/>
      <c r="D27" s="58"/>
      <c r="E27" s="58"/>
      <c r="F27" s="58"/>
    </row>
    <row r="28" customFormat="false" ht="30" hidden="false" customHeight="true" outlineLevel="0" collapsed="false">
      <c r="B28" s="58" t="s">
        <v>651</v>
      </c>
      <c r="C28" s="58"/>
      <c r="D28" s="58"/>
      <c r="E28" s="58"/>
      <c r="F28" s="58"/>
    </row>
    <row r="29" customFormat="false" ht="30" hidden="false" customHeight="true" outlineLevel="0" collapsed="false">
      <c r="B29" s="58" t="s">
        <v>652</v>
      </c>
      <c r="C29" s="58"/>
      <c r="D29" s="58"/>
      <c r="E29" s="58"/>
      <c r="F29" s="58"/>
    </row>
    <row r="30" customFormat="false" ht="30" hidden="false" customHeight="true" outlineLevel="0" collapsed="false">
      <c r="B30" s="58" t="s">
        <v>653</v>
      </c>
      <c r="C30" s="58"/>
      <c r="D30" s="58"/>
      <c r="E30" s="58"/>
      <c r="F30" s="58"/>
    </row>
    <row r="31" customFormat="false" ht="30" hidden="false" customHeight="true" outlineLevel="0" collapsed="false">
      <c r="B31" s="58" t="s">
        <v>654</v>
      </c>
      <c r="C31" s="58"/>
      <c r="D31" s="58"/>
      <c r="E31" s="58"/>
      <c r="F31" s="58"/>
    </row>
    <row r="32" customFormat="false" ht="30" hidden="false" customHeight="true" outlineLevel="0" collapsed="false">
      <c r="B32" s="58" t="s">
        <v>655</v>
      </c>
      <c r="C32" s="58"/>
      <c r="D32" s="58"/>
      <c r="E32" s="58"/>
      <c r="F32" s="58"/>
    </row>
    <row r="33" customFormat="false" ht="30" hidden="false" customHeight="true" outlineLevel="0" collapsed="false">
      <c r="B33" s="58" t="s">
        <v>656</v>
      </c>
      <c r="C33" s="58"/>
      <c r="D33" s="58"/>
      <c r="E33" s="58"/>
      <c r="F33" s="58"/>
    </row>
  </sheetData>
  <mergeCells count="8">
    <mergeCell ref="A2:F2"/>
    <mergeCell ref="B27:F27"/>
    <mergeCell ref="B28:F28"/>
    <mergeCell ref="B29:F29"/>
    <mergeCell ref="B30:F30"/>
    <mergeCell ref="B31:F31"/>
    <mergeCell ref="B32:F32"/>
    <mergeCell ref="B33:F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4" min="2" style="0" width="44"/>
    <col collapsed="false" customWidth="true" hidden="false" outlineLevel="0" max="5" min="5" style="0" width="50"/>
  </cols>
  <sheetData>
    <row r="1" customFormat="false" ht="17.35" hidden="false" customHeight="false" outlineLevel="0" collapsed="false">
      <c r="A1" s="4" t="s">
        <v>657</v>
      </c>
    </row>
    <row r="2" customFormat="false" ht="57.75" hidden="false" customHeight="true" outlineLevel="0" collapsed="false">
      <c r="A2" s="5" t="s">
        <v>658</v>
      </c>
      <c r="B2" s="5"/>
      <c r="C2" s="5"/>
      <c r="D2" s="5"/>
      <c r="E2" s="5"/>
      <c r="F2" s="5"/>
    </row>
    <row r="4" customFormat="false" ht="15" hidden="false" customHeight="false" outlineLevel="0" collapsed="false">
      <c r="A4" s="6" t="s">
        <v>659</v>
      </c>
      <c r="B4" s="6" t="s">
        <v>660</v>
      </c>
      <c r="C4" s="6" t="s">
        <v>661</v>
      </c>
      <c r="D4" s="6" t="s">
        <v>662</v>
      </c>
      <c r="E4" s="6" t="s">
        <v>663</v>
      </c>
    </row>
    <row r="5" customFormat="false" ht="103.5" hidden="false" customHeight="true" outlineLevel="0" collapsed="false">
      <c r="A5" s="66" t="s">
        <v>664</v>
      </c>
      <c r="B5" s="13" t="s">
        <v>665</v>
      </c>
      <c r="C5" s="13" t="s">
        <v>666</v>
      </c>
      <c r="D5" s="13" t="s">
        <v>667</v>
      </c>
      <c r="E5" s="13" t="s">
        <v>668</v>
      </c>
    </row>
    <row r="6" customFormat="false" ht="103.5" hidden="false" customHeight="true" outlineLevel="0" collapsed="false">
      <c r="A6" s="66" t="s">
        <v>669</v>
      </c>
      <c r="B6" s="13" t="s">
        <v>670</v>
      </c>
      <c r="C6" s="13" t="s">
        <v>671</v>
      </c>
      <c r="D6" s="13" t="s">
        <v>672</v>
      </c>
      <c r="E6" s="13" t="s">
        <v>673</v>
      </c>
    </row>
    <row r="7" customFormat="false" ht="103.5" hidden="false" customHeight="true" outlineLevel="0" collapsed="false">
      <c r="A7" s="66" t="s">
        <v>674</v>
      </c>
      <c r="B7" s="13" t="s">
        <v>675</v>
      </c>
      <c r="C7" s="13" t="s">
        <v>676</v>
      </c>
      <c r="D7" s="13" t="s">
        <v>677</v>
      </c>
      <c r="E7" s="13" t="s">
        <v>678</v>
      </c>
    </row>
    <row r="9" customFormat="false" ht="15" hidden="false" customHeight="false" outlineLevel="0" collapsed="false">
      <c r="A9" s="2" t="s">
        <v>679</v>
      </c>
    </row>
    <row r="10" customFormat="false" ht="51.75" hidden="false" customHeight="true" outlineLevel="0" collapsed="false">
      <c r="A10" s="54" t="s">
        <v>680</v>
      </c>
      <c r="B10" s="54"/>
      <c r="C10" s="54"/>
      <c r="D10" s="54"/>
      <c r="E10" s="54"/>
    </row>
    <row r="11" customFormat="false" ht="51.75" hidden="false" customHeight="true" outlineLevel="0" collapsed="false">
      <c r="A11" s="54" t="s">
        <v>681</v>
      </c>
      <c r="B11" s="54"/>
      <c r="C11" s="54"/>
      <c r="D11" s="54"/>
      <c r="E11" s="54"/>
    </row>
    <row r="12" customFormat="false" ht="51.75" hidden="false" customHeight="true" outlineLevel="0" collapsed="false">
      <c r="A12" s="54" t="s">
        <v>682</v>
      </c>
      <c r="B12" s="54"/>
      <c r="C12" s="54"/>
      <c r="D12" s="54"/>
      <c r="E12" s="54"/>
    </row>
    <row r="13" customFormat="false" ht="51.75" hidden="false" customHeight="true" outlineLevel="0" collapsed="false">
      <c r="A13" s="54" t="s">
        <v>683</v>
      </c>
      <c r="B13" s="54"/>
      <c r="C13" s="54"/>
      <c r="D13" s="54"/>
      <c r="E13" s="54"/>
    </row>
    <row r="14" customFormat="false" ht="51.75" hidden="false" customHeight="true" outlineLevel="0" collapsed="false">
      <c r="A14" s="54" t="s">
        <v>684</v>
      </c>
      <c r="B14" s="54"/>
      <c r="C14" s="54"/>
      <c r="D14" s="54"/>
      <c r="E14" s="54"/>
    </row>
  </sheetData>
  <mergeCells count="6">
    <mergeCell ref="A2:F2"/>
    <mergeCell ref="A10:E10"/>
    <mergeCell ref="A11:E11"/>
    <mergeCell ref="A12:E12"/>
    <mergeCell ref="A13:E13"/>
    <mergeCell ref="A14:E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105"/>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8" min="3" style="0" width="12"/>
    <col collapsed="false" customWidth="true" hidden="false" outlineLevel="0" max="39" min="39" style="0" width="15"/>
  </cols>
  <sheetData>
    <row r="1" customFormat="false" ht="17.35" hidden="false" customHeight="false" outlineLevel="0" collapsed="false">
      <c r="A1" s="4" t="s">
        <v>685</v>
      </c>
    </row>
    <row r="2" customFormat="false" ht="15" hidden="false" customHeight="false" outlineLevel="0" collapsed="false">
      <c r="A2" s="67" t="s">
        <v>686</v>
      </c>
    </row>
    <row r="4" customFormat="false" ht="15" hidden="false" customHeight="false" outlineLevel="0" collapsed="false">
      <c r="A4" s="50" t="s">
        <v>687</v>
      </c>
      <c r="B4" s="50" t="s">
        <v>25</v>
      </c>
      <c r="C4" s="68" t="s">
        <v>688</v>
      </c>
      <c r="D4" s="68" t="s">
        <v>689</v>
      </c>
      <c r="E4" s="68" t="s">
        <v>690</v>
      </c>
      <c r="F4" s="68" t="s">
        <v>691</v>
      </c>
      <c r="G4" s="68" t="s">
        <v>692</v>
      </c>
      <c r="H4" s="68" t="s">
        <v>693</v>
      </c>
      <c r="I4" s="68" t="s">
        <v>694</v>
      </c>
      <c r="J4" s="68" t="s">
        <v>695</v>
      </c>
      <c r="K4" s="68" t="s">
        <v>696</v>
      </c>
      <c r="L4" s="68" t="s">
        <v>697</v>
      </c>
      <c r="M4" s="68" t="s">
        <v>698</v>
      </c>
      <c r="N4" s="68" t="s">
        <v>699</v>
      </c>
      <c r="O4" s="68" t="s">
        <v>700</v>
      </c>
      <c r="P4" s="68" t="s">
        <v>701</v>
      </c>
      <c r="Q4" s="68" t="s">
        <v>702</v>
      </c>
      <c r="R4" s="68" t="s">
        <v>703</v>
      </c>
      <c r="S4" s="68" t="s">
        <v>704</v>
      </c>
      <c r="T4" s="68" t="s">
        <v>705</v>
      </c>
      <c r="U4" s="68" t="s">
        <v>706</v>
      </c>
      <c r="V4" s="68" t="s">
        <v>707</v>
      </c>
      <c r="W4" s="68" t="s">
        <v>708</v>
      </c>
      <c r="X4" s="68" t="s">
        <v>709</v>
      </c>
      <c r="Y4" s="68" t="s">
        <v>710</v>
      </c>
      <c r="Z4" s="68" t="s">
        <v>711</v>
      </c>
      <c r="AA4" s="68" t="s">
        <v>712</v>
      </c>
      <c r="AB4" s="68" t="s">
        <v>713</v>
      </c>
      <c r="AC4" s="68" t="s">
        <v>714</v>
      </c>
      <c r="AD4" s="68" t="s">
        <v>715</v>
      </c>
      <c r="AE4" s="68" t="s">
        <v>716</v>
      </c>
      <c r="AF4" s="68" t="s">
        <v>717</v>
      </c>
      <c r="AG4" s="68" t="s">
        <v>718</v>
      </c>
      <c r="AH4" s="68" t="s">
        <v>719</v>
      </c>
      <c r="AI4" s="68" t="s">
        <v>720</v>
      </c>
      <c r="AJ4" s="68" t="s">
        <v>721</v>
      </c>
      <c r="AK4" s="68" t="s">
        <v>722</v>
      </c>
      <c r="AL4" s="68" t="s">
        <v>723</v>
      </c>
      <c r="AM4" s="50" t="s">
        <v>724</v>
      </c>
    </row>
    <row r="5" customFormat="false" ht="15" hidden="false" customHeight="false" outlineLevel="0" collapsed="false">
      <c r="A5" s="0" t="s">
        <v>725</v>
      </c>
      <c r="B5" s="0" t="s">
        <v>51</v>
      </c>
      <c r="C5" s="10" t="n">
        <v>1</v>
      </c>
      <c r="D5" s="10" t="n">
        <v>2</v>
      </c>
      <c r="E5" s="10" t="n">
        <v>3</v>
      </c>
      <c r="F5" s="10" t="n">
        <v>4</v>
      </c>
      <c r="G5" s="10" t="n">
        <v>5</v>
      </c>
      <c r="H5" s="10" t="n">
        <v>6</v>
      </c>
      <c r="I5" s="10" t="n">
        <v>7</v>
      </c>
      <c r="J5" s="10" t="n">
        <v>8</v>
      </c>
      <c r="K5" s="10" t="n">
        <v>9</v>
      </c>
      <c r="L5" s="10" t="n">
        <v>10</v>
      </c>
      <c r="M5" s="10" t="n">
        <v>11</v>
      </c>
      <c r="N5" s="10" t="n">
        <v>12</v>
      </c>
      <c r="O5" s="10" t="n">
        <v>13</v>
      </c>
      <c r="P5" s="10" t="n">
        <v>14</v>
      </c>
      <c r="Q5" s="10" t="n">
        <v>15</v>
      </c>
      <c r="R5" s="10" t="n">
        <v>16</v>
      </c>
      <c r="S5" s="10" t="n">
        <v>17</v>
      </c>
      <c r="T5" s="10" t="n">
        <v>18</v>
      </c>
      <c r="U5" s="10" t="n">
        <v>19</v>
      </c>
      <c r="V5" s="10" t="n">
        <v>20</v>
      </c>
      <c r="W5" s="10" t="n">
        <v>21</v>
      </c>
      <c r="X5" s="10" t="n">
        <v>22</v>
      </c>
      <c r="Y5" s="10" t="n">
        <v>23</v>
      </c>
      <c r="Z5" s="10" t="n">
        <v>24</v>
      </c>
      <c r="AA5" s="10" t="n">
        <v>25</v>
      </c>
      <c r="AB5" s="10" t="n">
        <v>26</v>
      </c>
      <c r="AC5" s="10" t="n">
        <v>27</v>
      </c>
      <c r="AD5" s="10" t="n">
        <v>28</v>
      </c>
      <c r="AE5" s="10" t="n">
        <v>29</v>
      </c>
      <c r="AF5" s="10" t="n">
        <v>30</v>
      </c>
      <c r="AG5" s="10" t="n">
        <v>31</v>
      </c>
      <c r="AH5" s="10" t="n">
        <v>32</v>
      </c>
      <c r="AI5" s="10" t="n">
        <v>33</v>
      </c>
      <c r="AJ5" s="10" t="n">
        <v>34</v>
      </c>
      <c r="AK5" s="10" t="n">
        <v>35</v>
      </c>
      <c r="AL5" s="10" t="n">
        <v>36</v>
      </c>
    </row>
    <row r="6" customFormat="false" ht="15" hidden="false" customHeight="false" outlineLevel="0" collapsed="false">
      <c r="A6" s="0" t="s">
        <v>726</v>
      </c>
      <c r="B6" s="0" t="s">
        <v>51</v>
      </c>
      <c r="C6" s="10" t="n">
        <f aca="false">ROUNDUP(C$5/12,0)</f>
        <v>1</v>
      </c>
      <c r="D6" s="10" t="n">
        <f aca="false">ROUNDUP(D$5/12,0)</f>
        <v>1</v>
      </c>
      <c r="E6" s="10" t="n">
        <f aca="false">ROUNDUP(E$5/12,0)</f>
        <v>1</v>
      </c>
      <c r="F6" s="10" t="n">
        <f aca="false">ROUNDUP(F$5/12,0)</f>
        <v>1</v>
      </c>
      <c r="G6" s="10" t="n">
        <f aca="false">ROUNDUP(G$5/12,0)</f>
        <v>1</v>
      </c>
      <c r="H6" s="10" t="n">
        <f aca="false">ROUNDUP(H$5/12,0)</f>
        <v>1</v>
      </c>
      <c r="I6" s="10" t="n">
        <f aca="false">ROUNDUP(I$5/12,0)</f>
        <v>1</v>
      </c>
      <c r="J6" s="10" t="n">
        <f aca="false">ROUNDUP(J$5/12,0)</f>
        <v>1</v>
      </c>
      <c r="K6" s="10" t="n">
        <f aca="false">ROUNDUP(K$5/12,0)</f>
        <v>1</v>
      </c>
      <c r="L6" s="10" t="n">
        <f aca="false">ROUNDUP(L$5/12,0)</f>
        <v>1</v>
      </c>
      <c r="M6" s="10" t="n">
        <f aca="false">ROUNDUP(M$5/12,0)</f>
        <v>1</v>
      </c>
      <c r="N6" s="10" t="n">
        <f aca="false">ROUNDUP(N$5/12,0)</f>
        <v>1</v>
      </c>
      <c r="O6" s="10" t="n">
        <f aca="false">ROUNDUP(O$5/12,0)</f>
        <v>2</v>
      </c>
      <c r="P6" s="10" t="n">
        <f aca="false">ROUNDUP(P$5/12,0)</f>
        <v>2</v>
      </c>
      <c r="Q6" s="10" t="n">
        <f aca="false">ROUNDUP(Q$5/12,0)</f>
        <v>2</v>
      </c>
      <c r="R6" s="10" t="n">
        <f aca="false">ROUNDUP(R$5/12,0)</f>
        <v>2</v>
      </c>
      <c r="S6" s="10" t="n">
        <f aca="false">ROUNDUP(S$5/12,0)</f>
        <v>2</v>
      </c>
      <c r="T6" s="10" t="n">
        <f aca="false">ROUNDUP(T$5/12,0)</f>
        <v>2</v>
      </c>
      <c r="U6" s="10" t="n">
        <f aca="false">ROUNDUP(U$5/12,0)</f>
        <v>2</v>
      </c>
      <c r="V6" s="10" t="n">
        <f aca="false">ROUNDUP(V$5/12,0)</f>
        <v>2</v>
      </c>
      <c r="W6" s="10" t="n">
        <f aca="false">ROUNDUP(W$5/12,0)</f>
        <v>2</v>
      </c>
      <c r="X6" s="10" t="n">
        <f aca="false">ROUNDUP(X$5/12,0)</f>
        <v>2</v>
      </c>
      <c r="Y6" s="10" t="n">
        <f aca="false">ROUNDUP(Y$5/12,0)</f>
        <v>2</v>
      </c>
      <c r="Z6" s="10" t="n">
        <f aca="false">ROUNDUP(Z$5/12,0)</f>
        <v>2</v>
      </c>
      <c r="AA6" s="10" t="n">
        <f aca="false">ROUNDUP(AA$5/12,0)</f>
        <v>3</v>
      </c>
      <c r="AB6" s="10" t="n">
        <f aca="false">ROUNDUP(AB$5/12,0)</f>
        <v>3</v>
      </c>
      <c r="AC6" s="10" t="n">
        <f aca="false">ROUNDUP(AC$5/12,0)</f>
        <v>3</v>
      </c>
      <c r="AD6" s="10" t="n">
        <f aca="false">ROUNDUP(AD$5/12,0)</f>
        <v>3</v>
      </c>
      <c r="AE6" s="10" t="n">
        <f aca="false">ROUNDUP(AE$5/12,0)</f>
        <v>3</v>
      </c>
      <c r="AF6" s="10" t="n">
        <f aca="false">ROUNDUP(AF$5/12,0)</f>
        <v>3</v>
      </c>
      <c r="AG6" s="10" t="n">
        <f aca="false">ROUNDUP(AG$5/12,0)</f>
        <v>3</v>
      </c>
      <c r="AH6" s="10" t="n">
        <f aca="false">ROUNDUP(AH$5/12,0)</f>
        <v>3</v>
      </c>
      <c r="AI6" s="10" t="n">
        <f aca="false">ROUNDUP(AI$5/12,0)</f>
        <v>3</v>
      </c>
      <c r="AJ6" s="10" t="n">
        <f aca="false">ROUNDUP(AJ$5/12,0)</f>
        <v>3</v>
      </c>
      <c r="AK6" s="10" t="n">
        <f aca="false">ROUNDUP(AK$5/12,0)</f>
        <v>3</v>
      </c>
      <c r="AL6" s="10" t="n">
        <f aca="false">ROUNDUP(AL$5/12,0)</f>
        <v>3</v>
      </c>
    </row>
    <row r="8" customFormat="false" ht="15" hidden="false" customHeight="false" outlineLevel="0" collapsed="false">
      <c r="A8" s="10" t="s">
        <v>727</v>
      </c>
      <c r="B8" s="9" t="s">
        <v>728</v>
      </c>
      <c r="C8" s="69" t="n">
        <f aca="false">IF(C$5&gt;=Assumptions!$D$6,1,0)</f>
        <v>0</v>
      </c>
      <c r="D8" s="69" t="n">
        <f aca="false">IF(D$5&gt;=Assumptions!$D$6,1,0)</f>
        <v>0</v>
      </c>
      <c r="E8" s="69" t="n">
        <f aca="false">IF(E$5&gt;=Assumptions!$D$6,1,0)</f>
        <v>1</v>
      </c>
      <c r="F8" s="69" t="n">
        <f aca="false">IF(F$5&gt;=Assumptions!$D$6,1,0)</f>
        <v>1</v>
      </c>
      <c r="G8" s="69" t="n">
        <f aca="false">IF(G$5&gt;=Assumptions!$D$6,1,0)</f>
        <v>1</v>
      </c>
      <c r="H8" s="69" t="n">
        <f aca="false">IF(H$5&gt;=Assumptions!$D$6,1,0)</f>
        <v>1</v>
      </c>
      <c r="I8" s="69" t="n">
        <f aca="false">IF(I$5&gt;=Assumptions!$D$6,1,0)</f>
        <v>1</v>
      </c>
      <c r="J8" s="69" t="n">
        <f aca="false">IF(J$5&gt;=Assumptions!$D$6,1,0)</f>
        <v>1</v>
      </c>
      <c r="K8" s="69" t="n">
        <f aca="false">IF(K$5&gt;=Assumptions!$D$6,1,0)</f>
        <v>1</v>
      </c>
      <c r="L8" s="69" t="n">
        <f aca="false">IF(L$5&gt;=Assumptions!$D$6,1,0)</f>
        <v>1</v>
      </c>
      <c r="M8" s="69" t="n">
        <f aca="false">IF(M$5&gt;=Assumptions!$D$6,1,0)</f>
        <v>1</v>
      </c>
      <c r="N8" s="69" t="n">
        <f aca="false">IF(N$5&gt;=Assumptions!$D$6,1,0)</f>
        <v>1</v>
      </c>
      <c r="O8" s="69" t="n">
        <f aca="false">IF(O$5&gt;=Assumptions!$D$6,1,0)</f>
        <v>1</v>
      </c>
      <c r="P8" s="69" t="n">
        <f aca="false">IF(P$5&gt;=Assumptions!$D$6,1,0)</f>
        <v>1</v>
      </c>
      <c r="Q8" s="69" t="n">
        <f aca="false">IF(Q$5&gt;=Assumptions!$D$6,1,0)</f>
        <v>1</v>
      </c>
      <c r="R8" s="69" t="n">
        <f aca="false">IF(R$5&gt;=Assumptions!$D$6,1,0)</f>
        <v>1</v>
      </c>
      <c r="S8" s="69" t="n">
        <f aca="false">IF(S$5&gt;=Assumptions!$D$6,1,0)</f>
        <v>1</v>
      </c>
      <c r="T8" s="69" t="n">
        <f aca="false">IF(T$5&gt;=Assumptions!$D$6,1,0)</f>
        <v>1</v>
      </c>
      <c r="U8" s="69" t="n">
        <f aca="false">IF(U$5&gt;=Assumptions!$D$6,1,0)</f>
        <v>1</v>
      </c>
      <c r="V8" s="69" t="n">
        <f aca="false">IF(V$5&gt;=Assumptions!$D$6,1,0)</f>
        <v>1</v>
      </c>
      <c r="W8" s="69" t="n">
        <f aca="false">IF(W$5&gt;=Assumptions!$D$6,1,0)</f>
        <v>1</v>
      </c>
      <c r="X8" s="69" t="n">
        <f aca="false">IF(X$5&gt;=Assumptions!$D$6,1,0)</f>
        <v>1</v>
      </c>
      <c r="Y8" s="69" t="n">
        <f aca="false">IF(Y$5&gt;=Assumptions!$D$6,1,0)</f>
        <v>1</v>
      </c>
      <c r="Z8" s="69" t="n">
        <f aca="false">IF(Z$5&gt;=Assumptions!$D$6,1,0)</f>
        <v>1</v>
      </c>
      <c r="AA8" s="69" t="n">
        <f aca="false">IF(AA$5&gt;=Assumptions!$D$6,1,0)</f>
        <v>1</v>
      </c>
      <c r="AB8" s="69" t="n">
        <f aca="false">IF(AB$5&gt;=Assumptions!$D$6,1,0)</f>
        <v>1</v>
      </c>
      <c r="AC8" s="69" t="n">
        <f aca="false">IF(AC$5&gt;=Assumptions!$D$6,1,0)</f>
        <v>1</v>
      </c>
      <c r="AD8" s="69" t="n">
        <f aca="false">IF(AD$5&gt;=Assumptions!$D$6,1,0)</f>
        <v>1</v>
      </c>
      <c r="AE8" s="69" t="n">
        <f aca="false">IF(AE$5&gt;=Assumptions!$D$6,1,0)</f>
        <v>1</v>
      </c>
      <c r="AF8" s="69" t="n">
        <f aca="false">IF(AF$5&gt;=Assumptions!$D$6,1,0)</f>
        <v>1</v>
      </c>
      <c r="AG8" s="69" t="n">
        <f aca="false">IF(AG$5&gt;=Assumptions!$D$6,1,0)</f>
        <v>1</v>
      </c>
      <c r="AH8" s="69" t="n">
        <f aca="false">IF(AH$5&gt;=Assumptions!$D$6,1,0)</f>
        <v>1</v>
      </c>
      <c r="AI8" s="69" t="n">
        <f aca="false">IF(AI$5&gt;=Assumptions!$D$6,1,0)</f>
        <v>1</v>
      </c>
      <c r="AJ8" s="69" t="n">
        <f aca="false">IF(AJ$5&gt;=Assumptions!$D$6,1,0)</f>
        <v>1</v>
      </c>
      <c r="AK8" s="69" t="n">
        <f aca="false">IF(AK$5&gt;=Assumptions!$D$6,1,0)</f>
        <v>1</v>
      </c>
      <c r="AL8" s="69" t="n">
        <f aca="false">IF(AL$5&gt;=Assumptions!$D$6,1,0)</f>
        <v>1</v>
      </c>
      <c r="AM8" s="69"/>
    </row>
    <row r="9" customFormat="false" ht="15" hidden="false" customHeight="false" outlineLevel="0" collapsed="false">
      <c r="A9" s="10" t="s">
        <v>729</v>
      </c>
      <c r="B9" s="9" t="s">
        <v>728</v>
      </c>
      <c r="C9" s="69" t="n">
        <f aca="false">IF(C$5&gt;=Assumptions!$D$7,1,0)</f>
        <v>0</v>
      </c>
      <c r="D9" s="69" t="n">
        <f aca="false">IF(D$5&gt;=Assumptions!$D$7,1,0)</f>
        <v>0</v>
      </c>
      <c r="E9" s="69" t="n">
        <f aca="false">IF(E$5&gt;=Assumptions!$D$7,1,0)</f>
        <v>0</v>
      </c>
      <c r="F9" s="69" t="n">
        <f aca="false">IF(F$5&gt;=Assumptions!$D$7,1,0)</f>
        <v>0</v>
      </c>
      <c r="G9" s="69" t="n">
        <f aca="false">IF(G$5&gt;=Assumptions!$D$7,1,0)</f>
        <v>0</v>
      </c>
      <c r="H9" s="69" t="n">
        <f aca="false">IF(H$5&gt;=Assumptions!$D$7,1,0)</f>
        <v>0</v>
      </c>
      <c r="I9" s="69" t="n">
        <f aca="false">IF(I$5&gt;=Assumptions!$D$7,1,0)</f>
        <v>0</v>
      </c>
      <c r="J9" s="69" t="n">
        <f aca="false">IF(J$5&gt;=Assumptions!$D$7,1,0)</f>
        <v>0</v>
      </c>
      <c r="K9" s="69" t="n">
        <f aca="false">IF(K$5&gt;=Assumptions!$D$7,1,0)</f>
        <v>1</v>
      </c>
      <c r="L9" s="69" t="n">
        <f aca="false">IF(L$5&gt;=Assumptions!$D$7,1,0)</f>
        <v>1</v>
      </c>
      <c r="M9" s="69" t="n">
        <f aca="false">IF(M$5&gt;=Assumptions!$D$7,1,0)</f>
        <v>1</v>
      </c>
      <c r="N9" s="69" t="n">
        <f aca="false">IF(N$5&gt;=Assumptions!$D$7,1,0)</f>
        <v>1</v>
      </c>
      <c r="O9" s="69" t="n">
        <f aca="false">IF(O$5&gt;=Assumptions!$D$7,1,0)</f>
        <v>1</v>
      </c>
      <c r="P9" s="69" t="n">
        <f aca="false">IF(P$5&gt;=Assumptions!$D$7,1,0)</f>
        <v>1</v>
      </c>
      <c r="Q9" s="69" t="n">
        <f aca="false">IF(Q$5&gt;=Assumptions!$D$7,1,0)</f>
        <v>1</v>
      </c>
      <c r="R9" s="69" t="n">
        <f aca="false">IF(R$5&gt;=Assumptions!$D$7,1,0)</f>
        <v>1</v>
      </c>
      <c r="S9" s="69" t="n">
        <f aca="false">IF(S$5&gt;=Assumptions!$D$7,1,0)</f>
        <v>1</v>
      </c>
      <c r="T9" s="69" t="n">
        <f aca="false">IF(T$5&gt;=Assumptions!$D$7,1,0)</f>
        <v>1</v>
      </c>
      <c r="U9" s="69" t="n">
        <f aca="false">IF(U$5&gt;=Assumptions!$D$7,1,0)</f>
        <v>1</v>
      </c>
      <c r="V9" s="69" t="n">
        <f aca="false">IF(V$5&gt;=Assumptions!$D$7,1,0)</f>
        <v>1</v>
      </c>
      <c r="W9" s="69" t="n">
        <f aca="false">IF(W$5&gt;=Assumptions!$D$7,1,0)</f>
        <v>1</v>
      </c>
      <c r="X9" s="69" t="n">
        <f aca="false">IF(X$5&gt;=Assumptions!$D$7,1,0)</f>
        <v>1</v>
      </c>
      <c r="Y9" s="69" t="n">
        <f aca="false">IF(Y$5&gt;=Assumptions!$D$7,1,0)</f>
        <v>1</v>
      </c>
      <c r="Z9" s="69" t="n">
        <f aca="false">IF(Z$5&gt;=Assumptions!$D$7,1,0)</f>
        <v>1</v>
      </c>
      <c r="AA9" s="69" t="n">
        <f aca="false">IF(AA$5&gt;=Assumptions!$D$7,1,0)</f>
        <v>1</v>
      </c>
      <c r="AB9" s="69" t="n">
        <f aca="false">IF(AB$5&gt;=Assumptions!$D$7,1,0)</f>
        <v>1</v>
      </c>
      <c r="AC9" s="69" t="n">
        <f aca="false">IF(AC$5&gt;=Assumptions!$D$7,1,0)</f>
        <v>1</v>
      </c>
      <c r="AD9" s="69" t="n">
        <f aca="false">IF(AD$5&gt;=Assumptions!$D$7,1,0)</f>
        <v>1</v>
      </c>
      <c r="AE9" s="69" t="n">
        <f aca="false">IF(AE$5&gt;=Assumptions!$D$7,1,0)</f>
        <v>1</v>
      </c>
      <c r="AF9" s="69" t="n">
        <f aca="false">IF(AF$5&gt;=Assumptions!$D$7,1,0)</f>
        <v>1</v>
      </c>
      <c r="AG9" s="69" t="n">
        <f aca="false">IF(AG$5&gt;=Assumptions!$D$7,1,0)</f>
        <v>1</v>
      </c>
      <c r="AH9" s="69" t="n">
        <f aca="false">IF(AH$5&gt;=Assumptions!$D$7,1,0)</f>
        <v>1</v>
      </c>
      <c r="AI9" s="69" t="n">
        <f aca="false">IF(AI$5&gt;=Assumptions!$D$7,1,0)</f>
        <v>1</v>
      </c>
      <c r="AJ9" s="69" t="n">
        <f aca="false">IF(AJ$5&gt;=Assumptions!$D$7,1,0)</f>
        <v>1</v>
      </c>
      <c r="AK9" s="69" t="n">
        <f aca="false">IF(AK$5&gt;=Assumptions!$D$7,1,0)</f>
        <v>1</v>
      </c>
      <c r="AL9" s="69" t="n">
        <f aca="false">IF(AL$5&gt;=Assumptions!$D$7,1,0)</f>
        <v>1</v>
      </c>
      <c r="AM9" s="69"/>
    </row>
    <row r="10" customFormat="false" ht="15" hidden="false" customHeight="false" outlineLevel="0" collapsed="false">
      <c r="A10" s="10" t="s">
        <v>730</v>
      </c>
      <c r="B10" s="9" t="s">
        <v>51</v>
      </c>
      <c r="C10" s="69" t="n">
        <f aca="false">MAX(0,C$5-Assumptions!$D$6)</f>
        <v>0</v>
      </c>
      <c r="D10" s="69" t="n">
        <f aca="false">MAX(0,D$5-Assumptions!$D$6)</f>
        <v>0</v>
      </c>
      <c r="E10" s="69" t="n">
        <f aca="false">MAX(0,E$5-Assumptions!$D$6)</f>
        <v>0</v>
      </c>
      <c r="F10" s="69" t="n">
        <f aca="false">MAX(0,F$5-Assumptions!$D$6)</f>
        <v>1</v>
      </c>
      <c r="G10" s="69" t="n">
        <f aca="false">MAX(0,G$5-Assumptions!$D$6)</f>
        <v>2</v>
      </c>
      <c r="H10" s="69" t="n">
        <f aca="false">MAX(0,H$5-Assumptions!$D$6)</f>
        <v>3</v>
      </c>
      <c r="I10" s="69" t="n">
        <f aca="false">MAX(0,I$5-Assumptions!$D$6)</f>
        <v>4</v>
      </c>
      <c r="J10" s="69" t="n">
        <f aca="false">MAX(0,J$5-Assumptions!$D$6)</f>
        <v>5</v>
      </c>
      <c r="K10" s="69" t="n">
        <f aca="false">MAX(0,K$5-Assumptions!$D$6)</f>
        <v>6</v>
      </c>
      <c r="L10" s="69" t="n">
        <f aca="false">MAX(0,L$5-Assumptions!$D$6)</f>
        <v>7</v>
      </c>
      <c r="M10" s="69" t="n">
        <f aca="false">MAX(0,M$5-Assumptions!$D$6)</f>
        <v>8</v>
      </c>
      <c r="N10" s="69" t="n">
        <f aca="false">MAX(0,N$5-Assumptions!$D$6)</f>
        <v>9</v>
      </c>
      <c r="O10" s="69" t="n">
        <f aca="false">MAX(0,O$5-Assumptions!$D$6)</f>
        <v>10</v>
      </c>
      <c r="P10" s="69" t="n">
        <f aca="false">MAX(0,P$5-Assumptions!$D$6)</f>
        <v>11</v>
      </c>
      <c r="Q10" s="69" t="n">
        <f aca="false">MAX(0,Q$5-Assumptions!$D$6)</f>
        <v>12</v>
      </c>
      <c r="R10" s="69" t="n">
        <f aca="false">MAX(0,R$5-Assumptions!$D$6)</f>
        <v>13</v>
      </c>
      <c r="S10" s="69" t="n">
        <f aca="false">MAX(0,S$5-Assumptions!$D$6)</f>
        <v>14</v>
      </c>
      <c r="T10" s="69" t="n">
        <f aca="false">MAX(0,T$5-Assumptions!$D$6)</f>
        <v>15</v>
      </c>
      <c r="U10" s="69" t="n">
        <f aca="false">MAX(0,U$5-Assumptions!$D$6)</f>
        <v>16</v>
      </c>
      <c r="V10" s="69" t="n">
        <f aca="false">MAX(0,V$5-Assumptions!$D$6)</f>
        <v>17</v>
      </c>
      <c r="W10" s="69" t="n">
        <f aca="false">MAX(0,W$5-Assumptions!$D$6)</f>
        <v>18</v>
      </c>
      <c r="X10" s="69" t="n">
        <f aca="false">MAX(0,X$5-Assumptions!$D$6)</f>
        <v>19</v>
      </c>
      <c r="Y10" s="69" t="n">
        <f aca="false">MAX(0,Y$5-Assumptions!$D$6)</f>
        <v>20</v>
      </c>
      <c r="Z10" s="69" t="n">
        <f aca="false">MAX(0,Z$5-Assumptions!$D$6)</f>
        <v>21</v>
      </c>
      <c r="AA10" s="69" t="n">
        <f aca="false">MAX(0,AA$5-Assumptions!$D$6)</f>
        <v>22</v>
      </c>
      <c r="AB10" s="69" t="n">
        <f aca="false">MAX(0,AB$5-Assumptions!$D$6)</f>
        <v>23</v>
      </c>
      <c r="AC10" s="69" t="n">
        <f aca="false">MAX(0,AC$5-Assumptions!$D$6)</f>
        <v>24</v>
      </c>
      <c r="AD10" s="69" t="n">
        <f aca="false">MAX(0,AD$5-Assumptions!$D$6)</f>
        <v>25</v>
      </c>
      <c r="AE10" s="69" t="n">
        <f aca="false">MAX(0,AE$5-Assumptions!$D$6)</f>
        <v>26</v>
      </c>
      <c r="AF10" s="69" t="n">
        <f aca="false">MAX(0,AF$5-Assumptions!$D$6)</f>
        <v>27</v>
      </c>
      <c r="AG10" s="69" t="n">
        <f aca="false">MAX(0,AG$5-Assumptions!$D$6)</f>
        <v>28</v>
      </c>
      <c r="AH10" s="69" t="n">
        <f aca="false">MAX(0,AH$5-Assumptions!$D$6)</f>
        <v>29</v>
      </c>
      <c r="AI10" s="69" t="n">
        <f aca="false">MAX(0,AI$5-Assumptions!$D$6)</f>
        <v>30</v>
      </c>
      <c r="AJ10" s="69" t="n">
        <f aca="false">MAX(0,AJ$5-Assumptions!$D$6)</f>
        <v>31</v>
      </c>
      <c r="AK10" s="69" t="n">
        <f aca="false">MAX(0,AK$5-Assumptions!$D$6)</f>
        <v>32</v>
      </c>
      <c r="AL10" s="69" t="n">
        <f aca="false">MAX(0,AL$5-Assumptions!$D$6)</f>
        <v>33</v>
      </c>
      <c r="AM10" s="69"/>
    </row>
    <row r="11" customFormat="false" ht="15" hidden="false" customHeight="false" outlineLevel="0" collapsed="false">
      <c r="A11" s="10" t="s">
        <v>731</v>
      </c>
      <c r="B11" s="9" t="s">
        <v>84</v>
      </c>
      <c r="C11" s="61" t="n">
        <f aca="false">Assumptions!$D$9*Assumptions!$D$10*Assumptions!$D$11*Assumptions!$D$12</f>
        <v>22605</v>
      </c>
      <c r="D11" s="61" t="n">
        <f aca="false">Assumptions!$D$9*Assumptions!$D$10*Assumptions!$D$11*Assumptions!$D$12</f>
        <v>22605</v>
      </c>
      <c r="E11" s="61" t="n">
        <f aca="false">Assumptions!$D$9*Assumptions!$D$10*Assumptions!$D$11*Assumptions!$D$12</f>
        <v>22605</v>
      </c>
      <c r="F11" s="61" t="n">
        <f aca="false">Assumptions!$D$9*Assumptions!$D$10*Assumptions!$D$11*Assumptions!$D$12</f>
        <v>22605</v>
      </c>
      <c r="G11" s="61" t="n">
        <f aca="false">Assumptions!$D$9*Assumptions!$D$10*Assumptions!$D$11*Assumptions!$D$12</f>
        <v>22605</v>
      </c>
      <c r="H11" s="61" t="n">
        <f aca="false">Assumptions!$D$9*Assumptions!$D$10*Assumptions!$D$11*Assumptions!$D$12</f>
        <v>22605</v>
      </c>
      <c r="I11" s="61" t="n">
        <f aca="false">Assumptions!$D$9*Assumptions!$D$10*Assumptions!$D$11*Assumptions!$D$12</f>
        <v>22605</v>
      </c>
      <c r="J11" s="61" t="n">
        <f aca="false">Assumptions!$D$9*Assumptions!$D$10*Assumptions!$D$11*Assumptions!$D$12</f>
        <v>22605</v>
      </c>
      <c r="K11" s="61" t="n">
        <f aca="false">Assumptions!$D$9*Assumptions!$D$10*Assumptions!$D$11*Assumptions!$D$12</f>
        <v>22605</v>
      </c>
      <c r="L11" s="61" t="n">
        <f aca="false">Assumptions!$D$9*Assumptions!$D$10*Assumptions!$D$11*Assumptions!$D$12</f>
        <v>22605</v>
      </c>
      <c r="M11" s="61" t="n">
        <f aca="false">Assumptions!$D$9*Assumptions!$D$10*Assumptions!$D$11*Assumptions!$D$12</f>
        <v>22605</v>
      </c>
      <c r="N11" s="61" t="n">
        <f aca="false">Assumptions!$D$9*Assumptions!$D$10*Assumptions!$D$11*Assumptions!$D$12</f>
        <v>22605</v>
      </c>
      <c r="O11" s="61" t="n">
        <f aca="false">Assumptions!$D$9*Assumptions!$D$10*Assumptions!$D$11*Assumptions!$D$12</f>
        <v>22605</v>
      </c>
      <c r="P11" s="61" t="n">
        <f aca="false">Assumptions!$D$9*Assumptions!$D$10*Assumptions!$D$11*Assumptions!$D$12</f>
        <v>22605</v>
      </c>
      <c r="Q11" s="61" t="n">
        <f aca="false">Assumptions!$D$9*Assumptions!$D$10*Assumptions!$D$11*Assumptions!$D$12</f>
        <v>22605</v>
      </c>
      <c r="R11" s="61" t="n">
        <f aca="false">Assumptions!$D$9*Assumptions!$D$10*Assumptions!$D$11*Assumptions!$D$12</f>
        <v>22605</v>
      </c>
      <c r="S11" s="61" t="n">
        <f aca="false">Assumptions!$D$9*Assumptions!$D$10*Assumptions!$D$11*Assumptions!$D$12</f>
        <v>22605</v>
      </c>
      <c r="T11" s="61" t="n">
        <f aca="false">Assumptions!$D$9*Assumptions!$D$10*Assumptions!$D$11*Assumptions!$D$12</f>
        <v>22605</v>
      </c>
      <c r="U11" s="61" t="n">
        <f aca="false">Assumptions!$D$9*Assumptions!$D$10*Assumptions!$D$11*Assumptions!$D$12</f>
        <v>22605</v>
      </c>
      <c r="V11" s="61" t="n">
        <f aca="false">Assumptions!$D$9*Assumptions!$D$10*Assumptions!$D$11*Assumptions!$D$12</f>
        <v>22605</v>
      </c>
      <c r="W11" s="61" t="n">
        <f aca="false">Assumptions!$D$9*Assumptions!$D$10*Assumptions!$D$11*Assumptions!$D$12</f>
        <v>22605</v>
      </c>
      <c r="X11" s="61" t="n">
        <f aca="false">Assumptions!$D$9*Assumptions!$D$10*Assumptions!$D$11*Assumptions!$D$12</f>
        <v>22605</v>
      </c>
      <c r="Y11" s="61" t="n">
        <f aca="false">Assumptions!$D$9*Assumptions!$D$10*Assumptions!$D$11*Assumptions!$D$12</f>
        <v>22605</v>
      </c>
      <c r="Z11" s="61" t="n">
        <f aca="false">Assumptions!$D$9*Assumptions!$D$10*Assumptions!$D$11*Assumptions!$D$12</f>
        <v>22605</v>
      </c>
      <c r="AA11" s="61" t="n">
        <f aca="false">Assumptions!$D$9*Assumptions!$D$10*Assumptions!$D$11*Assumptions!$D$12</f>
        <v>22605</v>
      </c>
      <c r="AB11" s="61" t="n">
        <f aca="false">Assumptions!$D$9*Assumptions!$D$10*Assumptions!$D$11*Assumptions!$D$12</f>
        <v>22605</v>
      </c>
      <c r="AC11" s="61" t="n">
        <f aca="false">Assumptions!$D$9*Assumptions!$D$10*Assumptions!$D$11*Assumptions!$D$12</f>
        <v>22605</v>
      </c>
      <c r="AD11" s="61" t="n">
        <f aca="false">Assumptions!$D$9*Assumptions!$D$10*Assumptions!$D$11*Assumptions!$D$12</f>
        <v>22605</v>
      </c>
      <c r="AE11" s="61" t="n">
        <f aca="false">Assumptions!$D$9*Assumptions!$D$10*Assumptions!$D$11*Assumptions!$D$12</f>
        <v>22605</v>
      </c>
      <c r="AF11" s="61" t="n">
        <f aca="false">Assumptions!$D$9*Assumptions!$D$10*Assumptions!$D$11*Assumptions!$D$12</f>
        <v>22605</v>
      </c>
      <c r="AG11" s="61" t="n">
        <f aca="false">Assumptions!$D$9*Assumptions!$D$10*Assumptions!$D$11*Assumptions!$D$12</f>
        <v>22605</v>
      </c>
      <c r="AH11" s="61" t="n">
        <f aca="false">Assumptions!$D$9*Assumptions!$D$10*Assumptions!$D$11*Assumptions!$D$12</f>
        <v>22605</v>
      </c>
      <c r="AI11" s="61" t="n">
        <f aca="false">Assumptions!$D$9*Assumptions!$D$10*Assumptions!$D$11*Assumptions!$D$12</f>
        <v>22605</v>
      </c>
      <c r="AJ11" s="61" t="n">
        <f aca="false">Assumptions!$D$9*Assumptions!$D$10*Assumptions!$D$11*Assumptions!$D$12</f>
        <v>22605</v>
      </c>
      <c r="AK11" s="61" t="n">
        <f aca="false">Assumptions!$D$9*Assumptions!$D$10*Assumptions!$D$11*Assumptions!$D$12</f>
        <v>22605</v>
      </c>
      <c r="AL11" s="61" t="n">
        <f aca="false">Assumptions!$D$9*Assumptions!$D$10*Assumptions!$D$11*Assumptions!$D$12</f>
        <v>22605</v>
      </c>
      <c r="AM11" s="61"/>
    </row>
    <row r="12" customFormat="false" ht="15" hidden="false" customHeight="false" outlineLevel="0" collapsed="false">
      <c r="A12" s="10" t="s">
        <v>732</v>
      </c>
      <c r="B12" s="9" t="s">
        <v>78</v>
      </c>
      <c r="C12" s="57" t="n">
        <f aca="false">IF(C8=0,0,IF(C10=0,Assumptions!$D$15,Assumptions!$D$14+(1-Assumptions!$D$14)*Assumptions!$D$13^C10))</f>
        <v>0</v>
      </c>
      <c r="D12" s="57" t="n">
        <f aca="false">IF(D8=0,0,IF(D10=0,Assumptions!$D$15,Assumptions!$D$14+(1-Assumptions!$D$14)*Assumptions!$D$13^D10))</f>
        <v>0</v>
      </c>
      <c r="E12" s="57" t="n">
        <f aca="false">IF(E8=0,0,IF(E10=0,Assumptions!$D$15,Assumptions!$D$14+(1-Assumptions!$D$14)*Assumptions!$D$13^E10))</f>
        <v>1.8</v>
      </c>
      <c r="F12" s="57" t="n">
        <f aca="false">IF(F8=0,0,IF(F10=0,Assumptions!$D$15,Assumptions!$D$14+(1-Assumptions!$D$14)*Assumptions!$D$13^F10))</f>
        <v>0.8096</v>
      </c>
      <c r="G12" s="57" t="n">
        <f aca="false">IF(G8=0,0,IF(G10=0,Assumptions!$D$15,Assumptions!$D$14+(1-Assumptions!$D$14)*Assumptions!$D$13^G10))</f>
        <v>0.672512</v>
      </c>
      <c r="H12" s="57" t="n">
        <f aca="false">IF(H8=0,0,IF(H10=0,Assumptions!$D$15,Assumptions!$D$14+(1-Assumptions!$D$14)*Assumptions!$D$13^H10))</f>
        <v>0.57380864</v>
      </c>
      <c r="I12" s="57" t="n">
        <f aca="false">IF(I8=0,0,IF(I10=0,Assumptions!$D$15,Assumptions!$D$14+(1-Assumptions!$D$14)*Assumptions!$D$13^I10))</f>
        <v>0.5027422208</v>
      </c>
      <c r="J12" s="57" t="n">
        <f aca="false">IF(J8=0,0,IF(J10=0,Assumptions!$D$15,Assumptions!$D$14+(1-Assumptions!$D$14)*Assumptions!$D$13^J10))</f>
        <v>0.451574398976</v>
      </c>
      <c r="K12" s="57" t="n">
        <f aca="false">IF(K8=0,0,IF(K10=0,Assumptions!$D$15,Assumptions!$D$14+(1-Assumptions!$D$14)*Assumptions!$D$13^K10))</f>
        <v>0.41473356726272</v>
      </c>
      <c r="L12" s="57" t="n">
        <f aca="false">IF(L8=0,0,IF(L10=0,Assumptions!$D$15,Assumptions!$D$14+(1-Assumptions!$D$14)*Assumptions!$D$13^L10))</f>
        <v>0.388208168429158</v>
      </c>
      <c r="M12" s="57" t="n">
        <f aca="false">IF(M8=0,0,IF(M10=0,Assumptions!$D$15,Assumptions!$D$14+(1-Assumptions!$D$14)*Assumptions!$D$13^M10))</f>
        <v>0.369109881268994</v>
      </c>
      <c r="N12" s="57" t="n">
        <f aca="false">IF(N8=0,0,IF(N10=0,Assumptions!$D$15,Assumptions!$D$14+(1-Assumptions!$D$14)*Assumptions!$D$13^N10))</f>
        <v>0.355359114513676</v>
      </c>
      <c r="O12" s="57" t="n">
        <f aca="false">IF(O8=0,0,IF(O10=0,Assumptions!$D$15,Assumptions!$D$14+(1-Assumptions!$D$14)*Assumptions!$D$13^O10))</f>
        <v>0.345458562449847</v>
      </c>
      <c r="P12" s="57" t="n">
        <f aca="false">IF(P8=0,0,IF(P10=0,Assumptions!$D$15,Assumptions!$D$14+(1-Assumptions!$D$14)*Assumptions!$D$13^P10))</f>
        <v>0.33833016496389</v>
      </c>
      <c r="Q12" s="57" t="n">
        <f aca="false">IF(Q8=0,0,IF(Q10=0,Assumptions!$D$15,Assumptions!$D$14+(1-Assumptions!$D$14)*Assumptions!$D$13^Q10))</f>
        <v>0.333197718774</v>
      </c>
      <c r="R12" s="57" t="n">
        <f aca="false">IF(R8=0,0,IF(R10=0,Assumptions!$D$15,Assumptions!$D$14+(1-Assumptions!$D$14)*Assumptions!$D$13^R10))</f>
        <v>0.32950235751728</v>
      </c>
      <c r="S12" s="57" t="n">
        <f aca="false">IF(S8=0,0,IF(S10=0,Assumptions!$D$15,Assumptions!$D$14+(1-Assumptions!$D$14)*Assumptions!$D$13^S10))</f>
        <v>0.326841697412442</v>
      </c>
      <c r="T12" s="57" t="n">
        <f aca="false">IF(T8=0,0,IF(T10=0,Assumptions!$D$15,Assumptions!$D$14+(1-Assumptions!$D$14)*Assumptions!$D$13^T10))</f>
        <v>0.324926022136958</v>
      </c>
      <c r="U12" s="57" t="n">
        <f aca="false">IF(U8=0,0,IF(U10=0,Assumptions!$D$15,Assumptions!$D$14+(1-Assumptions!$D$14)*Assumptions!$D$13^U10))</f>
        <v>0.32354673593861</v>
      </c>
      <c r="V12" s="57" t="n">
        <f aca="false">IF(V8=0,0,IF(V10=0,Assumptions!$D$15,Assumptions!$D$14+(1-Assumptions!$D$14)*Assumptions!$D$13^V10))</f>
        <v>0.322553649875799</v>
      </c>
      <c r="W12" s="57" t="n">
        <f aca="false">IF(W8=0,0,IF(W10=0,Assumptions!$D$15,Assumptions!$D$14+(1-Assumptions!$D$14)*Assumptions!$D$13^W10))</f>
        <v>0.321838627910575</v>
      </c>
      <c r="X12" s="57" t="n">
        <f aca="false">IF(X8=0,0,IF(X10=0,Assumptions!$D$15,Assumptions!$D$14+(1-Assumptions!$D$14)*Assumptions!$D$13^X10))</f>
        <v>0.321323812095614</v>
      </c>
      <c r="Y12" s="57" t="n">
        <f aca="false">IF(Y8=0,0,IF(Y10=0,Assumptions!$D$15,Assumptions!$D$14+(1-Assumptions!$D$14)*Assumptions!$D$13^Y10))</f>
        <v>0.320953144708842</v>
      </c>
      <c r="Z12" s="57" t="n">
        <f aca="false">IF(Z8=0,0,IF(Z10=0,Assumptions!$D$15,Assumptions!$D$14+(1-Assumptions!$D$14)*Assumptions!$D$13^Z10))</f>
        <v>0.320686264190366</v>
      </c>
      <c r="AA12" s="57" t="n">
        <f aca="false">IF(AA8=0,0,IF(AA10=0,Assumptions!$D$15,Assumptions!$D$14+(1-Assumptions!$D$14)*Assumptions!$D$13^AA10))</f>
        <v>0.320494110217064</v>
      </c>
      <c r="AB12" s="57" t="n">
        <f aca="false">IF(AB8=0,0,IF(AB10=0,Assumptions!$D$15,Assumptions!$D$14+(1-Assumptions!$D$14)*Assumptions!$D$13^AB10))</f>
        <v>0.320355759356286</v>
      </c>
      <c r="AC12" s="57" t="n">
        <f aca="false">IF(AC8=0,0,IF(AC10=0,Assumptions!$D$15,Assumptions!$D$14+(1-Assumptions!$D$14)*Assumptions!$D$13^AC10))</f>
        <v>0.320256146736526</v>
      </c>
      <c r="AD12" s="57" t="n">
        <f aca="false">IF(AD8=0,0,IF(AD10=0,Assumptions!$D$15,Assumptions!$D$14+(1-Assumptions!$D$14)*Assumptions!$D$13^AD10))</f>
        <v>0.320184425650299</v>
      </c>
      <c r="AE12" s="57" t="n">
        <f aca="false">IF(AE8=0,0,IF(AE10=0,Assumptions!$D$15,Assumptions!$D$14+(1-Assumptions!$D$14)*Assumptions!$D$13^AE10))</f>
        <v>0.320132786468215</v>
      </c>
      <c r="AF12" s="57" t="n">
        <f aca="false">IF(AF8=0,0,IF(AF10=0,Assumptions!$D$15,Assumptions!$D$14+(1-Assumptions!$D$14)*Assumptions!$D$13^AF10))</f>
        <v>0.320095606257115</v>
      </c>
      <c r="AG12" s="57" t="n">
        <f aca="false">IF(AG8=0,0,IF(AG10=0,Assumptions!$D$15,Assumptions!$D$14+(1-Assumptions!$D$14)*Assumptions!$D$13^AG10))</f>
        <v>0.320068836505123</v>
      </c>
      <c r="AH12" s="57" t="n">
        <f aca="false">IF(AH8=0,0,IF(AH10=0,Assumptions!$D$15,Assumptions!$D$14+(1-Assumptions!$D$14)*Assumptions!$D$13^AH10))</f>
        <v>0.320049562283688</v>
      </c>
      <c r="AI12" s="57" t="n">
        <f aca="false">IF(AI8=0,0,IF(AI10=0,Assumptions!$D$15,Assumptions!$D$14+(1-Assumptions!$D$14)*Assumptions!$D$13^AI10))</f>
        <v>0.320035684844256</v>
      </c>
      <c r="AJ12" s="57" t="n">
        <f aca="false">IF(AJ8=0,0,IF(AJ10=0,Assumptions!$D$15,Assumptions!$D$14+(1-Assumptions!$D$14)*Assumptions!$D$13^AJ10))</f>
        <v>0.320025693087864</v>
      </c>
      <c r="AK12" s="57" t="n">
        <f aca="false">IF(AK8=0,0,IF(AK10=0,Assumptions!$D$15,Assumptions!$D$14+(1-Assumptions!$D$14)*Assumptions!$D$13^AK10))</f>
        <v>0.320018499023262</v>
      </c>
      <c r="AL12" s="57" t="n">
        <f aca="false">IF(AL8=0,0,IF(AL10=0,Assumptions!$D$15,Assumptions!$D$14+(1-Assumptions!$D$14)*Assumptions!$D$13^AL10))</f>
        <v>0.320013319296749</v>
      </c>
      <c r="AM12" s="57"/>
    </row>
    <row r="13" customFormat="false" ht="15" hidden="false" customHeight="false" outlineLevel="0" collapsed="false">
      <c r="A13" s="10" t="s">
        <v>733</v>
      </c>
      <c r="B13" s="9" t="s">
        <v>84</v>
      </c>
      <c r="C13" s="61" t="n">
        <f aca="false">C11*C12</f>
        <v>0</v>
      </c>
      <c r="D13" s="61" t="n">
        <f aca="false">D11*D12</f>
        <v>0</v>
      </c>
      <c r="E13" s="61" t="n">
        <f aca="false">E11*E12</f>
        <v>40689</v>
      </c>
      <c r="F13" s="61" t="n">
        <f aca="false">F11*F12</f>
        <v>18301.008</v>
      </c>
      <c r="G13" s="61" t="n">
        <f aca="false">G11*G12</f>
        <v>15202.13376</v>
      </c>
      <c r="H13" s="61" t="n">
        <f aca="false">H11*H12</f>
        <v>12970.9443072</v>
      </c>
      <c r="I13" s="61" t="n">
        <f aca="false">I11*I12</f>
        <v>11364.487901184</v>
      </c>
      <c r="J13" s="61" t="n">
        <f aca="false">J11*J12</f>
        <v>10207.8392888525</v>
      </c>
      <c r="K13" s="61" t="n">
        <f aca="false">K11*K12</f>
        <v>9375.05228797379</v>
      </c>
      <c r="L13" s="61" t="n">
        <f aca="false">L11*L12</f>
        <v>8775.44564734113</v>
      </c>
      <c r="M13" s="61" t="n">
        <f aca="false">M11*M12</f>
        <v>8343.72886608561</v>
      </c>
      <c r="N13" s="61" t="n">
        <f aca="false">N11*N12</f>
        <v>8032.89278358164</v>
      </c>
      <c r="O13" s="61" t="n">
        <f aca="false">O11*O12</f>
        <v>7809.09080417878</v>
      </c>
      <c r="P13" s="61" t="n">
        <f aca="false">P11*P12</f>
        <v>7647.95337900872</v>
      </c>
      <c r="Q13" s="61" t="n">
        <f aca="false">Q11*Q12</f>
        <v>7531.93443288628</v>
      </c>
      <c r="R13" s="61" t="n">
        <f aca="false">R11*R12</f>
        <v>7448.40079167812</v>
      </c>
      <c r="S13" s="61" t="n">
        <f aca="false">S11*S12</f>
        <v>7388.25657000825</v>
      </c>
      <c r="T13" s="61" t="n">
        <f aca="false">T11*T12</f>
        <v>7344.95273040594</v>
      </c>
      <c r="U13" s="61" t="n">
        <f aca="false">U11*U12</f>
        <v>7313.77396589228</v>
      </c>
      <c r="V13" s="61" t="n">
        <f aca="false">V11*V12</f>
        <v>7291.32525544244</v>
      </c>
      <c r="W13" s="61" t="n">
        <f aca="false">W11*W12</f>
        <v>7275.16218391856</v>
      </c>
      <c r="X13" s="61" t="n">
        <f aca="false">X11*X12</f>
        <v>7263.52477242136</v>
      </c>
      <c r="Y13" s="61" t="n">
        <f aca="false">Y11*Y12</f>
        <v>7255.14583614338</v>
      </c>
      <c r="Z13" s="61" t="n">
        <f aca="false">Z11*Z12</f>
        <v>7249.11300202323</v>
      </c>
      <c r="AA13" s="61" t="n">
        <f aca="false">AA11*AA12</f>
        <v>7244.76936145673</v>
      </c>
      <c r="AB13" s="61" t="n">
        <f aca="false">AB11*AB12</f>
        <v>7241.64194024885</v>
      </c>
      <c r="AC13" s="61" t="n">
        <f aca="false">AC11*AC12</f>
        <v>7239.39019697917</v>
      </c>
      <c r="AD13" s="61" t="n">
        <f aca="false">AD11*AD12</f>
        <v>7237.768941825</v>
      </c>
      <c r="AE13" s="61" t="n">
        <f aca="false">AE11*AE12</f>
        <v>7236.601638114</v>
      </c>
      <c r="AF13" s="61" t="n">
        <f aca="false">AF11*AF12</f>
        <v>7235.76117944208</v>
      </c>
      <c r="AG13" s="61" t="n">
        <f aca="false">AG11*AG12</f>
        <v>7235.1560491983</v>
      </c>
      <c r="AH13" s="61" t="n">
        <f aca="false">AH11*AH12</f>
        <v>7234.72035542277</v>
      </c>
      <c r="AI13" s="61" t="n">
        <f aca="false">AI11*AI12</f>
        <v>7234.4066559044</v>
      </c>
      <c r="AJ13" s="61" t="n">
        <f aca="false">AJ11*AJ12</f>
        <v>7234.18079225117</v>
      </c>
      <c r="AK13" s="61" t="n">
        <f aca="false">AK11*AK12</f>
        <v>7234.01817042084</v>
      </c>
      <c r="AL13" s="61" t="n">
        <f aca="false">AL11*AL12</f>
        <v>7233.901082703</v>
      </c>
      <c r="AM13" s="61" t="n">
        <f aca="false">SUM(C13:AL13)</f>
        <v>318923.482930192</v>
      </c>
    </row>
    <row r="14" customFormat="false" ht="15" hidden="false" customHeight="false" outlineLevel="0" collapsed="false">
      <c r="A14" s="10" t="s">
        <v>734</v>
      </c>
      <c r="B14" s="9" t="s">
        <v>735</v>
      </c>
      <c r="C14" s="61" t="n">
        <f aca="false">Assumptions!$D$9*Assumptions!$D$10*Assumptions!$D$11*C12</f>
        <v>0</v>
      </c>
      <c r="D14" s="61" t="n">
        <f aca="false">Assumptions!$D$9*Assumptions!$D$10*Assumptions!$D$11*D12</f>
        <v>0</v>
      </c>
      <c r="E14" s="61" t="n">
        <f aca="false">Assumptions!$D$9*Assumptions!$D$10*Assumptions!$D$11*E12</f>
        <v>8137800</v>
      </c>
      <c r="F14" s="61" t="n">
        <f aca="false">Assumptions!$D$9*Assumptions!$D$10*Assumptions!$D$11*F12</f>
        <v>3660201.6</v>
      </c>
      <c r="G14" s="61" t="n">
        <f aca="false">Assumptions!$D$9*Assumptions!$D$10*Assumptions!$D$11*G12</f>
        <v>3040426.752</v>
      </c>
      <c r="H14" s="61" t="n">
        <f aca="false">Assumptions!$D$9*Assumptions!$D$10*Assumptions!$D$11*H12</f>
        <v>2594188.86144</v>
      </c>
      <c r="I14" s="61" t="n">
        <f aca="false">Assumptions!$D$9*Assumptions!$D$10*Assumptions!$D$11*I12</f>
        <v>2272897.5802368</v>
      </c>
      <c r="J14" s="61" t="n">
        <f aca="false">Assumptions!$D$9*Assumptions!$D$10*Assumptions!$D$11*J12</f>
        <v>2041567.8577705</v>
      </c>
      <c r="K14" s="61" t="n">
        <f aca="false">Assumptions!$D$9*Assumptions!$D$10*Assumptions!$D$11*K12</f>
        <v>1875010.45759476</v>
      </c>
      <c r="L14" s="61" t="n">
        <f aca="false">Assumptions!$D$9*Assumptions!$D$10*Assumptions!$D$11*L12</f>
        <v>1755089.12946823</v>
      </c>
      <c r="M14" s="61" t="n">
        <f aca="false">Assumptions!$D$9*Assumptions!$D$10*Assumptions!$D$11*M12</f>
        <v>1668745.77321712</v>
      </c>
      <c r="N14" s="61" t="n">
        <f aca="false">Assumptions!$D$9*Assumptions!$D$10*Assumptions!$D$11*N12</f>
        <v>1606578.55671633</v>
      </c>
      <c r="O14" s="61" t="n">
        <f aca="false">Assumptions!$D$9*Assumptions!$D$10*Assumptions!$D$11*O12</f>
        <v>1561818.16083576</v>
      </c>
      <c r="P14" s="61" t="n">
        <f aca="false">Assumptions!$D$9*Assumptions!$D$10*Assumptions!$D$11*P12</f>
        <v>1529590.67580174</v>
      </c>
      <c r="Q14" s="61" t="n">
        <f aca="false">Assumptions!$D$9*Assumptions!$D$10*Assumptions!$D$11*Q12</f>
        <v>1506386.88657726</v>
      </c>
      <c r="R14" s="61" t="n">
        <f aca="false">Assumptions!$D$9*Assumptions!$D$10*Assumptions!$D$11*R12</f>
        <v>1489680.15833562</v>
      </c>
      <c r="S14" s="61" t="n">
        <f aca="false">Assumptions!$D$9*Assumptions!$D$10*Assumptions!$D$11*S12</f>
        <v>1477651.31400165</v>
      </c>
      <c r="T14" s="61" t="n">
        <f aca="false">Assumptions!$D$9*Assumptions!$D$10*Assumptions!$D$11*T12</f>
        <v>1468990.54608119</v>
      </c>
      <c r="U14" s="61" t="n">
        <f aca="false">Assumptions!$D$9*Assumptions!$D$10*Assumptions!$D$11*U12</f>
        <v>1462754.79317846</v>
      </c>
      <c r="V14" s="61" t="n">
        <f aca="false">Assumptions!$D$9*Assumptions!$D$10*Assumptions!$D$11*V12</f>
        <v>1458265.05108849</v>
      </c>
      <c r="W14" s="61" t="n">
        <f aca="false">Assumptions!$D$9*Assumptions!$D$10*Assumptions!$D$11*W12</f>
        <v>1455032.43678371</v>
      </c>
      <c r="X14" s="61" t="n">
        <f aca="false">Assumptions!$D$9*Assumptions!$D$10*Assumptions!$D$11*X12</f>
        <v>1452704.95448427</v>
      </c>
      <c r="Y14" s="61" t="n">
        <f aca="false">Assumptions!$D$9*Assumptions!$D$10*Assumptions!$D$11*Y12</f>
        <v>1451029.16722868</v>
      </c>
      <c r="Z14" s="61" t="n">
        <f aca="false">Assumptions!$D$9*Assumptions!$D$10*Assumptions!$D$11*Z12</f>
        <v>1449822.60040465</v>
      </c>
      <c r="AA14" s="61" t="n">
        <f aca="false">Assumptions!$D$9*Assumptions!$D$10*Assumptions!$D$11*AA12</f>
        <v>1448953.87229135</v>
      </c>
      <c r="AB14" s="61" t="n">
        <f aca="false">Assumptions!$D$9*Assumptions!$D$10*Assumptions!$D$11*AB12</f>
        <v>1448328.38804977</v>
      </c>
      <c r="AC14" s="61" t="n">
        <f aca="false">Assumptions!$D$9*Assumptions!$D$10*Assumptions!$D$11*AC12</f>
        <v>1447878.03939583</v>
      </c>
      <c r="AD14" s="61" t="n">
        <f aca="false">Assumptions!$D$9*Assumptions!$D$10*Assumptions!$D$11*AD12</f>
        <v>1447553.788365</v>
      </c>
      <c r="AE14" s="61" t="n">
        <f aca="false">Assumptions!$D$9*Assumptions!$D$10*Assumptions!$D$11*AE12</f>
        <v>1447320.3276228</v>
      </c>
      <c r="AF14" s="61" t="n">
        <f aca="false">Assumptions!$D$9*Assumptions!$D$10*Assumptions!$D$11*AF12</f>
        <v>1447152.23588842</v>
      </c>
      <c r="AG14" s="61" t="n">
        <f aca="false">Assumptions!$D$9*Assumptions!$D$10*Assumptions!$D$11*AG12</f>
        <v>1447031.20983966</v>
      </c>
      <c r="AH14" s="61" t="n">
        <f aca="false">Assumptions!$D$9*Assumptions!$D$10*Assumptions!$D$11*AH12</f>
        <v>1446944.07108455</v>
      </c>
      <c r="AI14" s="61" t="n">
        <f aca="false">Assumptions!$D$9*Assumptions!$D$10*Assumptions!$D$11*AI12</f>
        <v>1446881.33118088</v>
      </c>
      <c r="AJ14" s="61" t="n">
        <f aca="false">Assumptions!$D$9*Assumptions!$D$10*Assumptions!$D$11*AJ12</f>
        <v>1446836.15845023</v>
      </c>
      <c r="AK14" s="61" t="n">
        <f aca="false">Assumptions!$D$9*Assumptions!$D$10*Assumptions!$D$11*AK12</f>
        <v>1446803.63408417</v>
      </c>
      <c r="AL14" s="61" t="n">
        <f aca="false">Assumptions!$D$9*Assumptions!$D$10*Assumptions!$D$11*AL12</f>
        <v>1446780.2165406</v>
      </c>
      <c r="AM14" s="61" t="n">
        <f aca="false">SUM(C14:AL14)</f>
        <v>63784696.5860385</v>
      </c>
    </row>
    <row r="15" customFormat="false" ht="15" hidden="false" customHeight="false" outlineLevel="0" collapsed="false">
      <c r="A15" s="10" t="s">
        <v>736</v>
      </c>
      <c r="B15" s="9" t="s">
        <v>84</v>
      </c>
      <c r="C15" s="61" t="n">
        <f aca="false">MIN(Assumptions!$D$19,Assumptions!$D$17*(1+Assumptions!$D$18)^(C$5-1))</f>
        <v>1200</v>
      </c>
      <c r="D15" s="61" t="n">
        <f aca="false">MIN(Assumptions!$D$19,Assumptions!$D$17*(1+Assumptions!$D$18)^(D$5-1))</f>
        <v>1272</v>
      </c>
      <c r="E15" s="61" t="n">
        <f aca="false">MIN(Assumptions!$D$19,Assumptions!$D$17*(1+Assumptions!$D$18)^(E$5-1))</f>
        <v>1348.32</v>
      </c>
      <c r="F15" s="61" t="n">
        <f aca="false">MIN(Assumptions!$D$19,Assumptions!$D$17*(1+Assumptions!$D$18)^(F$5-1))</f>
        <v>1429.2192</v>
      </c>
      <c r="G15" s="61" t="n">
        <f aca="false">MIN(Assumptions!$D$19,Assumptions!$D$17*(1+Assumptions!$D$18)^(G$5-1))</f>
        <v>1514.972352</v>
      </c>
      <c r="H15" s="61" t="n">
        <f aca="false">MIN(Assumptions!$D$19,Assumptions!$D$17*(1+Assumptions!$D$18)^(H$5-1))</f>
        <v>1605.87069312</v>
      </c>
      <c r="I15" s="61" t="n">
        <f aca="false">MIN(Assumptions!$D$19,Assumptions!$D$17*(1+Assumptions!$D$18)^(I$5-1))</f>
        <v>1702.2229347072</v>
      </c>
      <c r="J15" s="61" t="n">
        <f aca="false">MIN(Assumptions!$D$19,Assumptions!$D$17*(1+Assumptions!$D$18)^(J$5-1))</f>
        <v>1804.35631078963</v>
      </c>
      <c r="K15" s="61" t="n">
        <f aca="false">MIN(Assumptions!$D$19,Assumptions!$D$17*(1+Assumptions!$D$18)^(K$5-1))</f>
        <v>1912.61768943701</v>
      </c>
      <c r="L15" s="61" t="n">
        <f aca="false">MIN(Assumptions!$D$19,Assumptions!$D$17*(1+Assumptions!$D$18)^(L$5-1))</f>
        <v>2027.37475080323</v>
      </c>
      <c r="M15" s="61" t="n">
        <f aca="false">MIN(Assumptions!$D$19,Assumptions!$D$17*(1+Assumptions!$D$18)^(M$5-1))</f>
        <v>2149.01723585143</v>
      </c>
      <c r="N15" s="61" t="n">
        <f aca="false">MIN(Assumptions!$D$19,Assumptions!$D$17*(1+Assumptions!$D$18)^(N$5-1))</f>
        <v>2277.95827000251</v>
      </c>
      <c r="O15" s="61" t="n">
        <f aca="false">MIN(Assumptions!$D$19,Assumptions!$D$17*(1+Assumptions!$D$18)^(O$5-1))</f>
        <v>2414.63576620266</v>
      </c>
      <c r="P15" s="61" t="n">
        <f aca="false">MIN(Assumptions!$D$19,Assumptions!$D$17*(1+Assumptions!$D$18)^(P$5-1))</f>
        <v>2559.51391217482</v>
      </c>
      <c r="Q15" s="61" t="n">
        <f aca="false">MIN(Assumptions!$D$19,Assumptions!$D$17*(1+Assumptions!$D$18)^(Q$5-1))</f>
        <v>2713.08474690531</v>
      </c>
      <c r="R15" s="61" t="n">
        <f aca="false">MIN(Assumptions!$D$19,Assumptions!$D$17*(1+Assumptions!$D$18)^(R$5-1))</f>
        <v>2875.86983171963</v>
      </c>
      <c r="S15" s="61" t="n">
        <f aca="false">MIN(Assumptions!$D$19,Assumptions!$D$17*(1+Assumptions!$D$18)^(S$5-1))</f>
        <v>3048.42202162281</v>
      </c>
      <c r="T15" s="61" t="n">
        <f aca="false">MIN(Assumptions!$D$19,Assumptions!$D$17*(1+Assumptions!$D$18)^(T$5-1))</f>
        <v>3231.32734292018</v>
      </c>
      <c r="U15" s="61" t="n">
        <f aca="false">MIN(Assumptions!$D$19,Assumptions!$D$17*(1+Assumptions!$D$18)^(U$5-1))</f>
        <v>3425.20698349539</v>
      </c>
      <c r="V15" s="61" t="n">
        <f aca="false">MIN(Assumptions!$D$19,Assumptions!$D$17*(1+Assumptions!$D$18)^(V$5-1))</f>
        <v>3630.71940250511</v>
      </c>
      <c r="W15" s="61" t="n">
        <f aca="false">MIN(Assumptions!$D$19,Assumptions!$D$17*(1+Assumptions!$D$18)^(W$5-1))</f>
        <v>3848.56256665542</v>
      </c>
      <c r="X15" s="61" t="n">
        <f aca="false">MIN(Assumptions!$D$19,Assumptions!$D$17*(1+Assumptions!$D$18)^(X$5-1))</f>
        <v>4079.47632065474</v>
      </c>
      <c r="Y15" s="61" t="n">
        <f aca="false">MIN(Assumptions!$D$19,Assumptions!$D$17*(1+Assumptions!$D$18)^(Y$5-1))</f>
        <v>4324.24489989403</v>
      </c>
      <c r="Z15" s="61" t="n">
        <f aca="false">MIN(Assumptions!$D$19,Assumptions!$D$17*(1+Assumptions!$D$18)^(Z$5-1))</f>
        <v>4583.69959388767</v>
      </c>
      <c r="AA15" s="61" t="n">
        <f aca="false">MIN(Assumptions!$D$19,Assumptions!$D$17*(1+Assumptions!$D$18)^(AA$5-1))</f>
        <v>4858.72156952093</v>
      </c>
      <c r="AB15" s="61" t="n">
        <f aca="false">MIN(Assumptions!$D$19,Assumptions!$D$17*(1+Assumptions!$D$18)^(AB$5-1))</f>
        <v>5150.24486369219</v>
      </c>
      <c r="AC15" s="61" t="n">
        <f aca="false">MIN(Assumptions!$D$19,Assumptions!$D$17*(1+Assumptions!$D$18)^(AC$5-1))</f>
        <v>5459.25955551372</v>
      </c>
      <c r="AD15" s="61" t="n">
        <f aca="false">MIN(Assumptions!$D$19,Assumptions!$D$17*(1+Assumptions!$D$18)^(AD$5-1))</f>
        <v>5786.81512884454</v>
      </c>
      <c r="AE15" s="61" t="n">
        <f aca="false">MIN(Assumptions!$D$19,Assumptions!$D$17*(1+Assumptions!$D$18)^(AE$5-1))</f>
        <v>6134.02403657521</v>
      </c>
      <c r="AF15" s="61" t="n">
        <f aca="false">MIN(Assumptions!$D$19,Assumptions!$D$17*(1+Assumptions!$D$18)^(AF$5-1))</f>
        <v>6502.06547876973</v>
      </c>
      <c r="AG15" s="61" t="n">
        <f aca="false">MIN(Assumptions!$D$19,Assumptions!$D$17*(1+Assumptions!$D$18)^(AG$5-1))</f>
        <v>6892.18940749591</v>
      </c>
      <c r="AH15" s="61" t="n">
        <f aca="false">MIN(Assumptions!$D$19,Assumptions!$D$17*(1+Assumptions!$D$18)^(AH$5-1))</f>
        <v>7305.72077194567</v>
      </c>
      <c r="AI15" s="61" t="n">
        <f aca="false">MIN(Assumptions!$D$19,Assumptions!$D$17*(1+Assumptions!$D$18)^(AI$5-1))</f>
        <v>7744.06401826241</v>
      </c>
      <c r="AJ15" s="61" t="n">
        <f aca="false">MIN(Assumptions!$D$19,Assumptions!$D$17*(1+Assumptions!$D$18)^(AJ$5-1))</f>
        <v>8208.70785935815</v>
      </c>
      <c r="AK15" s="61" t="n">
        <f aca="false">MIN(Assumptions!$D$19,Assumptions!$D$17*(1+Assumptions!$D$18)^(AK$5-1))</f>
        <v>8701.23033091964</v>
      </c>
      <c r="AL15" s="61" t="n">
        <f aca="false">MIN(Assumptions!$D$19,Assumptions!$D$17*(1+Assumptions!$D$18)^(AL$5-1))</f>
        <v>9223.30415077482</v>
      </c>
      <c r="AM15" s="61" t="n">
        <f aca="false">SUM(C15:AL15)</f>
        <v>142945.039997022</v>
      </c>
    </row>
    <row r="16" customFormat="false" ht="15" hidden="false" customHeight="false" outlineLevel="0" collapsed="false">
      <c r="A16" s="37" t="s">
        <v>737</v>
      </c>
      <c r="B16" s="9" t="s">
        <v>97</v>
      </c>
      <c r="C16" s="53" t="n">
        <f aca="false">Assumptions!$D$20</f>
        <v>4000</v>
      </c>
      <c r="D16" s="53" t="n">
        <f aca="false">IF(D8=0,Assumptions!$D$20,MIN(Assumptions!$D$24,MAX(Assumptions!$D$21,C72*Assumptions!$D$22)))</f>
        <v>4000</v>
      </c>
      <c r="E16" s="53" t="n">
        <f aca="false">IF(E8=0,Assumptions!$D$20,MIN(Assumptions!$D$24,MAX(Assumptions!$D$21,D72*Assumptions!$D$22)))</f>
        <v>10000</v>
      </c>
      <c r="F16" s="53" t="n">
        <f aca="false">IF(F8=0,Assumptions!$D$20,MIN(Assumptions!$D$24,MAX(Assumptions!$D$21,E72*Assumptions!$D$22)))</f>
        <v>11750.4</v>
      </c>
      <c r="G16" s="53" t="n">
        <f aca="false">IF(G8=0,Assumptions!$D$20,MIN(Assumptions!$D$24,MAX(Assumptions!$D$21,F72*Assumptions!$D$22)))</f>
        <v>10000</v>
      </c>
      <c r="H16" s="53" t="n">
        <f aca="false">IF(H8=0,Assumptions!$D$20,MIN(Assumptions!$D$24,MAX(Assumptions!$D$21,G72*Assumptions!$D$22)))</f>
        <v>10000</v>
      </c>
      <c r="I16" s="53" t="n">
        <f aca="false">IF(I8=0,Assumptions!$D$20,MIN(Assumptions!$D$24,MAX(Assumptions!$D$21,H72*Assumptions!$D$22)))</f>
        <v>10323.4785593492</v>
      </c>
      <c r="J16" s="53" t="n">
        <f aca="false">IF(J8=0,Assumptions!$D$20,MIN(Assumptions!$D$24,MAX(Assumptions!$D$21,I72*Assumptions!$D$22)))</f>
        <v>10693.6464069198</v>
      </c>
      <c r="K16" s="53" t="n">
        <f aca="false">IF(K8=0,Assumptions!$D$20,MIN(Assumptions!$D$24,MAX(Assumptions!$D$21,J72*Assumptions!$D$22)))</f>
        <v>11007.401498855</v>
      </c>
      <c r="L16" s="53" t="n">
        <f aca="false">IF(L8=0,Assumptions!$D$20,MIN(Assumptions!$D$24,MAX(Assumptions!$D$21,K72*Assumptions!$D$22)))</f>
        <v>11424.1104119662</v>
      </c>
      <c r="M16" s="53" t="n">
        <f aca="false">IF(M8=0,Assumptions!$D$20,MIN(Assumptions!$D$24,MAX(Assumptions!$D$21,L72*Assumptions!$D$22)))</f>
        <v>11745.5278286907</v>
      </c>
      <c r="N16" s="53" t="n">
        <f aca="false">IF(N8=0,Assumptions!$D$20,MIN(Assumptions!$D$24,MAX(Assumptions!$D$21,M72*Assumptions!$D$22)))</f>
        <v>12040.3772725018</v>
      </c>
      <c r="O16" s="53" t="n">
        <f aca="false">IF(O8=0,Assumptions!$D$20,MIN(Assumptions!$D$24,MAX(Assumptions!$D$21,N72*Assumptions!$D$22)))</f>
        <v>12317.9493522611</v>
      </c>
      <c r="P16" s="53" t="n">
        <f aca="false">IF(P8=0,Assumptions!$D$20,MIN(Assumptions!$D$24,MAX(Assumptions!$D$21,O72*Assumptions!$D$22)))</f>
        <v>12583.7020216964</v>
      </c>
      <c r="Q16" s="53" t="n">
        <f aca="false">IF(Q8=0,Assumptions!$D$20,MIN(Assumptions!$D$24,MAX(Assumptions!$D$21,P72*Assumptions!$D$22)))</f>
        <v>12841.5643304598</v>
      </c>
      <c r="R16" s="53" t="n">
        <f aca="false">IF(R8=0,Assumptions!$D$20,MIN(Assumptions!$D$24,MAX(Assumptions!$D$21,Q72*Assumptions!$D$22)))</f>
        <v>13094.60510511</v>
      </c>
      <c r="S16" s="53" t="n">
        <f aca="false">IF(S8=0,Assumptions!$D$20,MIN(Assumptions!$D$24,MAX(Assumptions!$D$21,R72*Assumptions!$D$22)))</f>
        <v>13345.294858622</v>
      </c>
      <c r="T16" s="53" t="n">
        <f aca="false">IF(T8=0,Assumptions!$D$20,MIN(Assumptions!$D$24,MAX(Assumptions!$D$21,S72*Assumptions!$D$22)))</f>
        <v>13595.6778749783</v>
      </c>
      <c r="U16" s="53" t="n">
        <f aca="false">IF(U8=0,Assumptions!$D$20,MIN(Assumptions!$D$24,MAX(Assumptions!$D$21,T72*Assumptions!$D$22)))</f>
        <v>13847.4937232049</v>
      </c>
      <c r="V16" s="53" t="n">
        <f aca="false">IF(V8=0,Assumptions!$D$20,MIN(Assumptions!$D$24,MAX(Assumptions!$D$21,U72*Assumptions!$D$22)))</f>
        <v>14102.2651096595</v>
      </c>
      <c r="W16" s="53" t="n">
        <f aca="false">IF(W8=0,Assumptions!$D$20,MIN(Assumptions!$D$24,MAX(Assumptions!$D$21,V72*Assumptions!$D$22)))</f>
        <v>14361.3622157705</v>
      </c>
      <c r="X16" s="53" t="n">
        <f aca="false">IF(X8=0,Assumptions!$D$20,MIN(Assumptions!$D$24,MAX(Assumptions!$D$21,W72*Assumptions!$D$22)))</f>
        <v>14626.0503346991</v>
      </c>
      <c r="Y16" s="53" t="n">
        <f aca="false">IF(Y8=0,Assumptions!$D$20,MIN(Assumptions!$D$24,MAX(Assumptions!$D$21,X72*Assumptions!$D$22)))</f>
        <v>14897.525542681</v>
      </c>
      <c r="Z16" s="53" t="n">
        <f aca="false">IF(Z8=0,Assumptions!$D$20,MIN(Assumptions!$D$24,MAX(Assumptions!$D$21,Y72*Assumptions!$D$22)))</f>
        <v>15176.9417569578</v>
      </c>
      <c r="AA16" s="53" t="n">
        <f aca="false">IF(AA8=0,Assumptions!$D$20,MIN(Assumptions!$D$24,MAX(Assumptions!$D$21,Z72*Assumptions!$D$22)))</f>
        <v>15465.4315792019</v>
      </c>
      <c r="AB16" s="53" t="n">
        <f aca="false">IF(AB8=0,Assumptions!$D$20,MIN(Assumptions!$D$24,MAX(Assumptions!$D$21,AA72*Assumptions!$D$22)))</f>
        <v>15764.1226540446</v>
      </c>
      <c r="AC16" s="53" t="n">
        <f aca="false">IF(AC8=0,Assumptions!$D$20,MIN(Assumptions!$D$24,MAX(Assumptions!$D$21,AB72*Assumptions!$D$22)))</f>
        <v>16074.1507964927</v>
      </c>
      <c r="AD16" s="53" t="n">
        <f aca="false">IF(AD8=0,Assumptions!$D$20,MIN(Assumptions!$D$24,MAX(Assumptions!$D$21,AC72*Assumptions!$D$22)))</f>
        <v>16396.670801105</v>
      </c>
      <c r="AE16" s="53" t="n">
        <f aca="false">IF(AE8=0,Assumptions!$D$20,MIN(Assumptions!$D$24,MAX(Assumptions!$D$21,AD72*Assumptions!$D$22)))</f>
        <v>16732.8656003193</v>
      </c>
      <c r="AF16" s="53" t="n">
        <f aca="false">IF(AF8=0,Assumptions!$D$20,MIN(Assumptions!$D$24,MAX(Assumptions!$D$21,AE72*Assumptions!$D$22)))</f>
        <v>17083.9542620094</v>
      </c>
      <c r="AG16" s="53" t="n">
        <f aca="false">IF(AG8=0,Assumptions!$D$20,MIN(Assumptions!$D$24,MAX(Assumptions!$D$21,AF72*Assumptions!$D$22)))</f>
        <v>17451.1991880176</v>
      </c>
      <c r="AH16" s="53" t="n">
        <f aca="false">IF(AH8=0,Assumptions!$D$20,MIN(Assumptions!$D$24,MAX(Assumptions!$D$21,AG72*Assumptions!$D$22)))</f>
        <v>17835.91278244</v>
      </c>
      <c r="AI16" s="53" t="n">
        <f aca="false">IF(AI8=0,Assumptions!$D$20,MIN(Assumptions!$D$24,MAX(Assumptions!$D$21,AH72*Assumptions!$D$22)))</f>
        <v>18239.4637910734</v>
      </c>
      <c r="AJ16" s="53" t="n">
        <f aca="false">IF(AJ8=0,Assumptions!$D$20,MIN(Assumptions!$D$24,MAX(Assumptions!$D$21,AI72*Assumptions!$D$22)))</f>
        <v>18663.2834646366</v>
      </c>
      <c r="AK16" s="53" t="n">
        <f aca="false">IF(AK8=0,Assumptions!$D$20,MIN(Assumptions!$D$24,MAX(Assumptions!$D$21,AJ72*Assumptions!$D$22)))</f>
        <v>19108.8716630993</v>
      </c>
      <c r="AL16" s="53" t="n">
        <f aca="false">IF(AL8=0,Assumptions!$D$20,MIN(Assumptions!$D$24,MAX(Assumptions!$D$21,AK72*Assumptions!$D$22)))</f>
        <v>19577.8029930001</v>
      </c>
      <c r="AM16" s="53" t="n">
        <f aca="false">SUM(C16:AL16)</f>
        <v>490169.103779823</v>
      </c>
    </row>
    <row r="17" customFormat="false" ht="15" hidden="false" customHeight="false" outlineLevel="0" collapsed="false">
      <c r="A17" s="10" t="s">
        <v>738</v>
      </c>
      <c r="B17" s="9" t="s">
        <v>84</v>
      </c>
      <c r="C17" s="61" t="n">
        <f aca="false">(C14*Assumptions!$D$27+C15*Assumptions!$D$28)*Assumptions!$D$29*C8</f>
        <v>0</v>
      </c>
      <c r="D17" s="61" t="n">
        <f aca="false">(D14*Assumptions!$D$27+D15*Assumptions!$D$28)*Assumptions!$D$29*D8</f>
        <v>0</v>
      </c>
      <c r="E17" s="61" t="n">
        <f aca="false">(E14*Assumptions!$D$27+E15*Assumptions!$D$28)*Assumptions!$D$29*E8</f>
        <v>3617.7108</v>
      </c>
      <c r="F17" s="61" t="n">
        <f aca="false">(F14*Assumptions!$D$27+F15*Assumptions!$D$28)*Assumptions!$D$29*F8</f>
        <v>1649.792232</v>
      </c>
      <c r="G17" s="61" t="n">
        <f aca="false">(G14*Assumptions!$D$27+G15*Assumptions!$D$28)*Assumptions!$D$29*G8</f>
        <v>1379.44951056</v>
      </c>
      <c r="H17" s="61" t="n">
        <f aca="false">(H14*Assumptions!$D$27+H15*Assumptions!$D$28)*Assumptions!$D$29*H8</f>
        <v>1185.6045430944</v>
      </c>
      <c r="I17" s="61" t="n">
        <f aca="false">(I14*Assumptions!$D$27+I15*Assumptions!$D$28)*Assumptions!$D$29*I8</f>
        <v>1046.88606600864</v>
      </c>
      <c r="J17" s="61" t="n">
        <f aca="false">(J14*Assumptions!$D$27+J15*Assumptions!$D$28)*Assumptions!$D$29*J8</f>
        <v>947.909655965733</v>
      </c>
      <c r="K17" s="61" t="n">
        <f aca="false">(K14*Assumptions!$D$27+K15*Assumptions!$D$28)*Assumptions!$D$29*K8</f>
        <v>877.601587801211</v>
      </c>
      <c r="L17" s="61" t="n">
        <f aca="false">(L14*Assumptions!$D$27+L15*Assumptions!$D$28)*Assumptions!$D$29*L8</f>
        <v>827.992022613108</v>
      </c>
      <c r="M17" s="61" t="n">
        <f aca="false">(M14*Assumptions!$D$27+M15*Assumptions!$D$28)*Assumptions!$D$29*M8</f>
        <v>793.346114201448</v>
      </c>
      <c r="N17" s="61" t="n">
        <f aca="false">(N14*Assumptions!$D$27+N15*Assumptions!$D$28)*Assumptions!$D$29*N8</f>
        <v>769.538417380253</v>
      </c>
      <c r="O17" s="61" t="n">
        <f aca="false">(O14*Assumptions!$D$27+O15*Assumptions!$D$28)*Assumptions!$D$29*O8</f>
        <v>753.602474338306</v>
      </c>
      <c r="P17" s="61" t="n">
        <f aca="false">(P14*Assumptions!$D$27+P15*Assumptions!$D$28)*Assumptions!$D$29*P8</f>
        <v>743.406529937575</v>
      </c>
      <c r="Q17" s="61" t="n">
        <f aca="false">(Q14*Assumptions!$D$27+Q15*Assumptions!$D$28)*Assumptions!$D$29*Q8</f>
        <v>737.420060633889</v>
      </c>
      <c r="R17" s="61" t="n">
        <f aca="false">(R14*Assumptions!$D$27+R15*Assumptions!$D$28)*Assumptions!$D$29*R8</f>
        <v>734.545690039965</v>
      </c>
      <c r="S17" s="61" t="n">
        <f aca="false">(S14*Assumptions!$D$27+S15*Assumptions!$D$28)*Assumptions!$D$29*S8</f>
        <v>733.998183755353</v>
      </c>
      <c r="T17" s="61" t="n">
        <f aca="false">(T14*Assumptions!$D$27+T15*Assumptions!$D$28)*Assumptions!$D$29*T8</f>
        <v>735.217342206027</v>
      </c>
      <c r="U17" s="61" t="n">
        <f aca="false">(U14*Assumptions!$D$27+U15*Assumptions!$D$28)*Assumptions!$D$29*U8</f>
        <v>737.805301044643</v>
      </c>
      <c r="V17" s="61" t="n">
        <f aca="false">(V14*Assumptions!$D$27+V15*Assumptions!$D$28)*Assumptions!$D$29*V8</f>
        <v>741.481406047825</v>
      </c>
      <c r="W17" s="61" t="n">
        <f aca="false">(W14*Assumptions!$D$27+W15*Assumptions!$D$28)*Assumptions!$D$29*W8</f>
        <v>746.049742767857</v>
      </c>
      <c r="X17" s="61" t="n">
        <f aca="false">(X14*Assumptions!$D$27+X15*Assumptions!$D$28)*Assumptions!$D$29*X8</f>
        <v>751.375778791085</v>
      </c>
      <c r="Y17" s="61" t="n">
        <f aca="false">(Y14*Assumptions!$D$27+Y15*Assumptions!$D$28)*Assumptions!$D$29*Y8</f>
        <v>757.369568327703</v>
      </c>
      <c r="Z17" s="61" t="n">
        <f aca="false">(Z14*Assumptions!$D$27+Z15*Assumptions!$D$28)*Assumptions!$D$29*Z8</f>
        <v>763.973683009956</v>
      </c>
      <c r="AA17" s="61" t="n">
        <f aca="false">(AA14*Assumptions!$D$27+AA15*Assumptions!$D$28)*Assumptions!$D$29*AA8</f>
        <v>771.154546970018</v>
      </c>
      <c r="AB17" s="61" t="n">
        <f aca="false">(AB14*Assumptions!$D$27+AB15*Assumptions!$D$28)*Assumptions!$D$29*AB8</f>
        <v>778.896224493434</v>
      </c>
      <c r="AC17" s="61" t="n">
        <f aca="false">(AC14*Assumptions!$D$27+AC15*Assumptions!$D$28)*Assumptions!$D$29*AC8</f>
        <v>787.195975110794</v>
      </c>
      <c r="AD17" s="61" t="n">
        <f aca="false">(AD14*Assumptions!$D$27+AD15*Assumptions!$D$28)*Assumptions!$D$29*AD8</f>
        <v>796.061082923825</v>
      </c>
      <c r="AE17" s="61" t="n">
        <f aca="false">(AE14*Assumptions!$D$27+AE15*Assumptions!$D$28)*Assumptions!$D$29*AE8</f>
        <v>805.506605159851</v>
      </c>
      <c r="AF17" s="61" t="n">
        <f aca="false">(AF14*Assumptions!$D$27+AF15*Assumptions!$D$28)*Assumptions!$D$29*AF8</f>
        <v>815.553784457071</v>
      </c>
      <c r="AG17" s="61" t="n">
        <f aca="false">(AG14*Assumptions!$D$27+AG15*Assumptions!$D$28)*Assumptions!$D$29*AG8</f>
        <v>826.228941035588</v>
      </c>
      <c r="AH17" s="61" t="n">
        <f aca="false">(AH14*Assumptions!$D$27+AH15*Assumptions!$D$28)*Assumptions!$D$29*AH8</f>
        <v>837.56271250571</v>
      </c>
      <c r="AI17" s="61" t="n">
        <f aca="false">(AI14*Assumptions!$D$27+AI15*Assumptions!$D$28)*Assumptions!$D$29*AI8</f>
        <v>849.589546221803</v>
      </c>
      <c r="AJ17" s="61" t="n">
        <f aca="false">(AJ14*Assumptions!$D$27+AJ15*Assumptions!$D$28)*Assumptions!$D$29*AJ8</f>
        <v>862.347375850452</v>
      </c>
      <c r="AK17" s="61" t="n">
        <f aca="false">(AK14*Assumptions!$D$27+AK15*Assumptions!$D$28)*Assumptions!$D$29*AK8</f>
        <v>875.877433097324</v>
      </c>
      <c r="AL17" s="61" t="n">
        <f aca="false">(AL14*Assumptions!$D$27+AL15*Assumptions!$D$28)*Assumptions!$D$29*AL8</f>
        <v>890.224159424172</v>
      </c>
      <c r="AM17" s="61" t="n">
        <f aca="false">SUM(C17:AL17)</f>
        <v>31928.275097775</v>
      </c>
    </row>
    <row r="18" customFormat="false" ht="15" hidden="false" customHeight="false" outlineLevel="0" collapsed="false">
      <c r="A18" s="10" t="s">
        <v>739</v>
      </c>
      <c r="B18" s="9" t="s">
        <v>97</v>
      </c>
      <c r="C18" s="70" t="n">
        <f aca="false">MIN(C16,C17*Assumptions!$D$30)</f>
        <v>0</v>
      </c>
      <c r="D18" s="70" t="n">
        <f aca="false">MIN(D16,D17*Assumptions!$D$30)</f>
        <v>0</v>
      </c>
      <c r="E18" s="70" t="n">
        <f aca="false">MIN(E16,E17*Assumptions!$D$30)</f>
        <v>4703.02404</v>
      </c>
      <c r="F18" s="70" t="n">
        <f aca="false">MIN(F16,F17*Assumptions!$D$30)</f>
        <v>2144.7299016</v>
      </c>
      <c r="G18" s="70" t="n">
        <f aca="false">MIN(G16,G17*Assumptions!$D$30)</f>
        <v>1793.284363728</v>
      </c>
      <c r="H18" s="70" t="n">
        <f aca="false">MIN(H16,H17*Assumptions!$D$30)</f>
        <v>1541.28590602272</v>
      </c>
      <c r="I18" s="70" t="n">
        <f aca="false">MIN(I16,I17*Assumptions!$D$30)</f>
        <v>1360.95188581123</v>
      </c>
      <c r="J18" s="70" t="n">
        <f aca="false">MIN(J16,J17*Assumptions!$D$30)</f>
        <v>1232.28255275545</v>
      </c>
      <c r="K18" s="70" t="n">
        <f aca="false">MIN(K16,K17*Assumptions!$D$30)</f>
        <v>1140.88206414157</v>
      </c>
      <c r="L18" s="70" t="n">
        <f aca="false">MIN(L16,L17*Assumptions!$D$30)</f>
        <v>1076.38962939704</v>
      </c>
      <c r="M18" s="70" t="n">
        <f aca="false">MIN(M16,M17*Assumptions!$D$30)</f>
        <v>1031.34994846188</v>
      </c>
      <c r="N18" s="70" t="n">
        <f aca="false">MIN(N16,N17*Assumptions!$D$30)</f>
        <v>1000.39994259433</v>
      </c>
      <c r="O18" s="70" t="n">
        <f aca="false">MIN(O16,O17*Assumptions!$D$30)</f>
        <v>979.683216639798</v>
      </c>
      <c r="P18" s="70" t="n">
        <f aca="false">MIN(P16,P17*Assumptions!$D$30)</f>
        <v>966.428488918848</v>
      </c>
      <c r="Q18" s="70" t="n">
        <f aca="false">MIN(Q16,Q17*Assumptions!$D$30)</f>
        <v>958.646078824056</v>
      </c>
      <c r="R18" s="70" t="n">
        <f aca="false">MIN(R16,R17*Assumptions!$D$30)</f>
        <v>954.909397051954</v>
      </c>
      <c r="S18" s="70" t="n">
        <f aca="false">MIN(S16,S17*Assumptions!$D$30)</f>
        <v>954.197638881959</v>
      </c>
      <c r="T18" s="70" t="n">
        <f aca="false">MIN(T16,T17*Assumptions!$D$30)</f>
        <v>955.782544867836</v>
      </c>
      <c r="U18" s="70" t="n">
        <f aca="false">MIN(U16,U17*Assumptions!$D$30)</f>
        <v>959.146891358037</v>
      </c>
      <c r="V18" s="70" t="n">
        <f aca="false">MIN(V16,V17*Assumptions!$D$30)</f>
        <v>963.925827862173</v>
      </c>
      <c r="W18" s="70" t="n">
        <f aca="false">MIN(W16,W17*Assumptions!$D$30)</f>
        <v>969.864665598214</v>
      </c>
      <c r="X18" s="70" t="n">
        <f aca="false">MIN(X16,X17*Assumptions!$D$30)</f>
        <v>976.788512428411</v>
      </c>
      <c r="Y18" s="70" t="n">
        <f aca="false">MIN(Y16,Y17*Assumptions!$D$30)</f>
        <v>984.580438826014</v>
      </c>
      <c r="Z18" s="70" t="n">
        <f aca="false">MIN(Z16,Z17*Assumptions!$D$30)</f>
        <v>993.165787912942</v>
      </c>
      <c r="AA18" s="70" t="n">
        <f aca="false">MIN(AA16,AA17*Assumptions!$D$30)</f>
        <v>1002.50091106102</v>
      </c>
      <c r="AB18" s="70" t="n">
        <f aca="false">MIN(AB16,AB17*Assumptions!$D$30)</f>
        <v>1012.56509184146</v>
      </c>
      <c r="AC18" s="70" t="n">
        <f aca="false">MIN(AC16,AC17*Assumptions!$D$30)</f>
        <v>1023.35476764403</v>
      </c>
      <c r="AD18" s="70" t="n">
        <f aca="false">MIN(AD16,AD17*Assumptions!$D$30)</f>
        <v>1034.87940780097</v>
      </c>
      <c r="AE18" s="70" t="n">
        <f aca="false">MIN(AE16,AE17*Assumptions!$D$30)</f>
        <v>1047.15858670781</v>
      </c>
      <c r="AF18" s="70" t="n">
        <f aca="false">MIN(AF16,AF17*Assumptions!$D$30)</f>
        <v>1060.21991979419</v>
      </c>
      <c r="AG18" s="70" t="n">
        <f aca="false">MIN(AG16,AG17*Assumptions!$D$30)</f>
        <v>1074.09762334626</v>
      </c>
      <c r="AH18" s="70" t="n">
        <f aca="false">MIN(AH16,AH17*Assumptions!$D$30)</f>
        <v>1088.83152625742</v>
      </c>
      <c r="AI18" s="70" t="n">
        <f aca="false">MIN(AI16,AI17*Assumptions!$D$30)</f>
        <v>1104.46641008834</v>
      </c>
      <c r="AJ18" s="70" t="n">
        <f aca="false">MIN(AJ16,AJ17*Assumptions!$D$30)</f>
        <v>1121.05158860559</v>
      </c>
      <c r="AK18" s="70" t="n">
        <f aca="false">MIN(AK16,AK17*Assumptions!$D$30)</f>
        <v>1138.64066302652</v>
      </c>
      <c r="AL18" s="70" t="n">
        <f aca="false">MIN(AL16,AL17*Assumptions!$D$30)</f>
        <v>1157.29140725142</v>
      </c>
      <c r="AM18" s="70" t="n">
        <f aca="false">SUM(C18:AL18)</f>
        <v>41506.7576271075</v>
      </c>
    </row>
    <row r="19" customFormat="false" ht="15" hidden="false" customHeight="false" outlineLevel="0" collapsed="false">
      <c r="A19" s="10" t="s">
        <v>740</v>
      </c>
      <c r="B19" s="9" t="s">
        <v>84</v>
      </c>
      <c r="C19" s="61" t="n">
        <f aca="false">C18/Assumptions!$D$30</f>
        <v>0</v>
      </c>
      <c r="D19" s="61" t="n">
        <f aca="false">D18/Assumptions!$D$30</f>
        <v>0</v>
      </c>
      <c r="E19" s="61" t="n">
        <f aca="false">E18/Assumptions!$D$30</f>
        <v>3617.7108</v>
      </c>
      <c r="F19" s="61" t="n">
        <f aca="false">F18/Assumptions!$D$30</f>
        <v>1649.792232</v>
      </c>
      <c r="G19" s="61" t="n">
        <f aca="false">G18/Assumptions!$D$30</f>
        <v>1379.44951056</v>
      </c>
      <c r="H19" s="61" t="n">
        <f aca="false">H18/Assumptions!$D$30</f>
        <v>1185.6045430944</v>
      </c>
      <c r="I19" s="61" t="n">
        <f aca="false">I18/Assumptions!$D$30</f>
        <v>1046.88606600864</v>
      </c>
      <c r="J19" s="61" t="n">
        <f aca="false">J18/Assumptions!$D$30</f>
        <v>947.909655965733</v>
      </c>
      <c r="K19" s="61" t="n">
        <f aca="false">K18/Assumptions!$D$30</f>
        <v>877.601587801211</v>
      </c>
      <c r="L19" s="61" t="n">
        <f aca="false">L18/Assumptions!$D$30</f>
        <v>827.992022613108</v>
      </c>
      <c r="M19" s="61" t="n">
        <f aca="false">M18/Assumptions!$D$30</f>
        <v>793.346114201448</v>
      </c>
      <c r="N19" s="61" t="n">
        <f aca="false">N18/Assumptions!$D$30</f>
        <v>769.538417380253</v>
      </c>
      <c r="O19" s="61" t="n">
        <f aca="false">O18/Assumptions!$D$30</f>
        <v>753.602474338306</v>
      </c>
      <c r="P19" s="61" t="n">
        <f aca="false">P18/Assumptions!$D$30</f>
        <v>743.406529937575</v>
      </c>
      <c r="Q19" s="61" t="n">
        <f aca="false">Q18/Assumptions!$D$30</f>
        <v>737.420060633889</v>
      </c>
      <c r="R19" s="61" t="n">
        <f aca="false">R18/Assumptions!$D$30</f>
        <v>734.545690039965</v>
      </c>
      <c r="S19" s="61" t="n">
        <f aca="false">S18/Assumptions!$D$30</f>
        <v>733.998183755353</v>
      </c>
      <c r="T19" s="61" t="n">
        <f aca="false">T18/Assumptions!$D$30</f>
        <v>735.217342206027</v>
      </c>
      <c r="U19" s="61" t="n">
        <f aca="false">U18/Assumptions!$D$30</f>
        <v>737.805301044643</v>
      </c>
      <c r="V19" s="61" t="n">
        <f aca="false">V18/Assumptions!$D$30</f>
        <v>741.481406047825</v>
      </c>
      <c r="W19" s="61" t="n">
        <f aca="false">W18/Assumptions!$D$30</f>
        <v>746.049742767857</v>
      </c>
      <c r="X19" s="61" t="n">
        <f aca="false">X18/Assumptions!$D$30</f>
        <v>751.375778791085</v>
      </c>
      <c r="Y19" s="61" t="n">
        <f aca="false">Y18/Assumptions!$D$30</f>
        <v>757.369568327703</v>
      </c>
      <c r="Z19" s="61" t="n">
        <f aca="false">Z18/Assumptions!$D$30</f>
        <v>763.973683009956</v>
      </c>
      <c r="AA19" s="61" t="n">
        <f aca="false">AA18/Assumptions!$D$30</f>
        <v>771.154546970018</v>
      </c>
      <c r="AB19" s="61" t="n">
        <f aca="false">AB18/Assumptions!$D$30</f>
        <v>778.896224493434</v>
      </c>
      <c r="AC19" s="61" t="n">
        <f aca="false">AC18/Assumptions!$D$30</f>
        <v>787.195975110794</v>
      </c>
      <c r="AD19" s="61" t="n">
        <f aca="false">AD18/Assumptions!$D$30</f>
        <v>796.061082923825</v>
      </c>
      <c r="AE19" s="61" t="n">
        <f aca="false">AE18/Assumptions!$D$30</f>
        <v>805.506605159851</v>
      </c>
      <c r="AF19" s="61" t="n">
        <f aca="false">AF18/Assumptions!$D$30</f>
        <v>815.553784457071</v>
      </c>
      <c r="AG19" s="61" t="n">
        <f aca="false">AG18/Assumptions!$D$30</f>
        <v>826.228941035588</v>
      </c>
      <c r="AH19" s="61" t="n">
        <f aca="false">AH18/Assumptions!$D$30</f>
        <v>837.56271250571</v>
      </c>
      <c r="AI19" s="61" t="n">
        <f aca="false">AI18/Assumptions!$D$30</f>
        <v>849.589546221803</v>
      </c>
      <c r="AJ19" s="61" t="n">
        <f aca="false">AJ18/Assumptions!$D$30</f>
        <v>862.347375850452</v>
      </c>
      <c r="AK19" s="61" t="n">
        <f aca="false">AK18/Assumptions!$D$30</f>
        <v>875.877433097324</v>
      </c>
      <c r="AL19" s="61" t="n">
        <f aca="false">AL18/Assumptions!$D$30</f>
        <v>890.224159424172</v>
      </c>
      <c r="AM19" s="61" t="n">
        <f aca="false">SUM(C19:AL19)</f>
        <v>31928.275097775</v>
      </c>
    </row>
    <row r="20" customFormat="false" ht="15" hidden="false" customHeight="false" outlineLevel="0" collapsed="false">
      <c r="A20" s="10" t="s">
        <v>741</v>
      </c>
      <c r="B20" s="9" t="s">
        <v>51</v>
      </c>
      <c r="C20" s="61" t="n">
        <f aca="false">C8*(Assumptions!$D$35*C14)</f>
        <v>0</v>
      </c>
      <c r="D20" s="61" t="n">
        <f aca="false">D8*(Assumptions!$D$35*D14+Assumptions!$D$34*C29)</f>
        <v>0</v>
      </c>
      <c r="E20" s="61" t="n">
        <f aca="false">E8*(Assumptions!$D$35*E14+Assumptions!$D$34*D29)</f>
        <v>50360.8428440753</v>
      </c>
      <c r="F20" s="61" t="n">
        <f aca="false">F8*(Assumptions!$D$35*F14+Assumptions!$D$34*E29)</f>
        <v>43908.1141552941</v>
      </c>
      <c r="G20" s="61" t="n">
        <f aca="false">G8*(Assumptions!$D$35*G14+Assumptions!$D$34*F29)</f>
        <v>30406.2466353882</v>
      </c>
      <c r="H20" s="61" t="n">
        <f aca="false">H8*(Assumptions!$D$35*H14+Assumptions!$D$34*G29)</f>
        <v>25880.9491025111</v>
      </c>
      <c r="I20" s="61" t="n">
        <f aca="false">I8*(Assumptions!$D$35*I14+Assumptions!$D$34*H29)</f>
        <v>23063.2951179365</v>
      </c>
      <c r="J20" s="61" t="n">
        <f aca="false">J8*(Assumptions!$D$35*J14+Assumptions!$D$34*I29)</f>
        <v>21040.8206609163</v>
      </c>
      <c r="K20" s="61" t="n">
        <f aca="false">K8*(Assumptions!$D$35*K14+Assumptions!$D$34*J29)</f>
        <v>19576.8507689125</v>
      </c>
      <c r="L20" s="61" t="n">
        <f aca="false">L8*(Assumptions!$D$35*L14+Assumptions!$D$34*K29)</f>
        <v>18531.3092525512</v>
      </c>
      <c r="M20" s="61" t="n">
        <f aca="false">M8*(Assumptions!$D$35*M14+Assumptions!$D$34*L29)</f>
        <v>17820.2733967247</v>
      </c>
      <c r="N20" s="61" t="n">
        <f aca="false">N8*(Assumptions!$D$35*N14+Assumptions!$D$34*M29)</f>
        <v>17326.6650779372</v>
      </c>
      <c r="O20" s="61" t="n">
        <f aca="false">O8*(Assumptions!$D$35*O14+Assumptions!$D$34*N29)</f>
        <v>16998.4998869538</v>
      </c>
      <c r="P20" s="61" t="n">
        <f aca="false">P8*(Assumptions!$D$35*P14+Assumptions!$D$34*O29)</f>
        <v>16791.7807146857</v>
      </c>
      <c r="Q20" s="61" t="n">
        <f aca="false">Q8*(Assumptions!$D$35*Q14+Assumptions!$D$34*P29)</f>
        <v>16674.1531554848</v>
      </c>
      <c r="R20" s="61" t="n">
        <f aca="false">R8*(Assumptions!$D$35*R14+Assumptions!$D$34*Q29)</f>
        <v>16622.2129732106</v>
      </c>
      <c r="S20" s="61" t="n">
        <f aca="false">S8*(Assumptions!$D$35*S14+Assumptions!$D$34*R29)</f>
        <v>16619.1379013001</v>
      </c>
      <c r="T20" s="61" t="n">
        <f aca="false">T8*(Assumptions!$D$35*T14+Assumptions!$D$34*S29)</f>
        <v>16652.8935054708</v>
      </c>
      <c r="U20" s="61" t="n">
        <f aca="false">U8*(Assumptions!$D$35*U14+Assumptions!$D$34*T29)</f>
        <v>16714.9176074231</v>
      </c>
      <c r="V20" s="61" t="n">
        <f aca="false">V8*(Assumptions!$D$35*V14+Assumptions!$D$34*U29)</f>
        <v>16799.1633194108</v>
      </c>
      <c r="W20" s="61" t="n">
        <f aca="false">W8*(Assumptions!$D$35*W14+Assumptions!$D$34*V29)</f>
        <v>16901.405611136</v>
      </c>
      <c r="X20" s="61" t="n">
        <f aca="false">X8*(Assumptions!$D$35*X14+Assumptions!$D$34*W29)</f>
        <v>17018.7400519718</v>
      </c>
      <c r="Y20" s="61" t="n">
        <f aca="false">Y8*(Assumptions!$D$35*Y14+Assumptions!$D$34*X29)</f>
        <v>17149.2211149452</v>
      </c>
      <c r="Z20" s="61" t="n">
        <f aca="false">Z8*(Assumptions!$D$35*Z14+Assumptions!$D$34*Y29)</f>
        <v>17291.6015799213</v>
      </c>
      <c r="AA20" s="61" t="n">
        <f aca="false">AA8*(Assumptions!$D$35*AA14+Assumptions!$D$34*Z29)</f>
        <v>17445.1450584301</v>
      </c>
      <c r="AB20" s="61" t="n">
        <f aca="false">AB8*(Assumptions!$D$35*AB14+Assumptions!$D$34*AA29)</f>
        <v>17609.4913530245</v>
      </c>
      <c r="AC20" s="61" t="n">
        <f aca="false">AC8*(Assumptions!$D$35*AC14+Assumptions!$D$34*AB29)</f>
        <v>17784.5599708915</v>
      </c>
      <c r="AD20" s="61" t="n">
        <f aca="false">AD8*(Assumptions!$D$35*AD14+Assumptions!$D$34*AC29)</f>
        <v>17970.4811837393</v>
      </c>
      <c r="AE20" s="61" t="n">
        <f aca="false">AE8*(Assumptions!$D$35*AE14+Assumptions!$D$34*AD29)</f>
        <v>18167.546976457</v>
      </c>
      <c r="AF20" s="61" t="n">
        <f aca="false">AF8*(Assumptions!$D$35*AF14+Assumptions!$D$34*AE29)</f>
        <v>18376.1763612099</v>
      </c>
      <c r="AG20" s="61" t="n">
        <f aca="false">AG8*(Assumptions!$D$35*AG14+Assumptions!$D$34*AF29)</f>
        <v>18596.8910756136</v>
      </c>
      <c r="AH20" s="61" t="n">
        <f aca="false">AH8*(Assumptions!$D$35*AH14+Assumptions!$D$34*AG29)</f>
        <v>18830.2987968845</v>
      </c>
      <c r="AI20" s="61" t="n">
        <f aca="false">AI8*(Assumptions!$D$35*AI14+Assumptions!$D$34*AH29)</f>
        <v>19077.0818071721</v>
      </c>
      <c r="AJ20" s="61" t="n">
        <f aca="false">AJ8*(Assumptions!$D$35*AJ14+Assumptions!$D$34*AI29)</f>
        <v>19337.9896247354</v>
      </c>
      <c r="AK20" s="61" t="n">
        <f aca="false">AK8*(Assumptions!$D$35*AK14+Assumptions!$D$34*AJ29)</f>
        <v>19613.8345335175</v>
      </c>
      <c r="AL20" s="61" t="n">
        <f aca="false">AL8*(Assumptions!$D$35*AL14+Assumptions!$D$34*AK29)</f>
        <v>19905.4892450337</v>
      </c>
      <c r="AM20" s="61" t="n">
        <f aca="false">AL20</f>
        <v>19905.4892450337</v>
      </c>
    </row>
    <row r="21" customFormat="false" ht="15" hidden="false" customHeight="false" outlineLevel="0" collapsed="false">
      <c r="A21" s="10" t="s">
        <v>742</v>
      </c>
      <c r="B21" s="9" t="s">
        <v>84</v>
      </c>
      <c r="C21" s="61" t="n">
        <f aca="false">C20*Assumptions!$D$36</f>
        <v>0</v>
      </c>
      <c r="D21" s="61" t="n">
        <f aca="false">D20*Assumptions!$D$36</f>
        <v>0</v>
      </c>
      <c r="E21" s="61" t="n">
        <f aca="false">E20*Assumptions!$D$36</f>
        <v>9064.95171193356</v>
      </c>
      <c r="F21" s="61" t="n">
        <f aca="false">F20*Assumptions!$D$36</f>
        <v>7903.46054795294</v>
      </c>
      <c r="G21" s="61" t="n">
        <f aca="false">G20*Assumptions!$D$36</f>
        <v>5473.12439436988</v>
      </c>
      <c r="H21" s="61" t="n">
        <f aca="false">H20*Assumptions!$D$36</f>
        <v>4658.57083845199</v>
      </c>
      <c r="I21" s="61" t="n">
        <f aca="false">I20*Assumptions!$D$36</f>
        <v>4151.39312122856</v>
      </c>
      <c r="J21" s="61" t="n">
        <f aca="false">J20*Assumptions!$D$36</f>
        <v>3787.34771896494</v>
      </c>
      <c r="K21" s="61" t="n">
        <f aca="false">K20*Assumptions!$D$36</f>
        <v>3523.83313840425</v>
      </c>
      <c r="L21" s="61" t="n">
        <f aca="false">L20*Assumptions!$D$36</f>
        <v>3335.63566545921</v>
      </c>
      <c r="M21" s="61" t="n">
        <f aca="false">M20*Assumptions!$D$36</f>
        <v>3207.64921141045</v>
      </c>
      <c r="N21" s="61" t="n">
        <f aca="false">N20*Assumptions!$D$36</f>
        <v>3118.7997140287</v>
      </c>
      <c r="O21" s="61" t="n">
        <f aca="false">O20*Assumptions!$D$36</f>
        <v>3059.72997965169</v>
      </c>
      <c r="P21" s="61" t="n">
        <f aca="false">P20*Assumptions!$D$36</f>
        <v>3022.52052864343</v>
      </c>
      <c r="Q21" s="61" t="n">
        <f aca="false">Q20*Assumptions!$D$36</f>
        <v>3001.34756798726</v>
      </c>
      <c r="R21" s="61" t="n">
        <f aca="false">R20*Assumptions!$D$36</f>
        <v>2991.9983351779</v>
      </c>
      <c r="S21" s="61" t="n">
        <f aca="false">S20*Assumptions!$D$36</f>
        <v>2991.44482223401</v>
      </c>
      <c r="T21" s="61" t="n">
        <f aca="false">T20*Assumptions!$D$36</f>
        <v>2997.52083098474</v>
      </c>
      <c r="U21" s="61" t="n">
        <f aca="false">U20*Assumptions!$D$36</f>
        <v>3008.68516933615</v>
      </c>
      <c r="V21" s="61" t="n">
        <f aca="false">V20*Assumptions!$D$36</f>
        <v>3023.84939749394</v>
      </c>
      <c r="W21" s="61" t="n">
        <f aca="false">W20*Assumptions!$D$36</f>
        <v>3042.25301000447</v>
      </c>
      <c r="X21" s="61" t="n">
        <f aca="false">X20*Assumptions!$D$36</f>
        <v>3063.37320935493</v>
      </c>
      <c r="Y21" s="61" t="n">
        <f aca="false">Y20*Assumptions!$D$36</f>
        <v>3086.85980069014</v>
      </c>
      <c r="Z21" s="61" t="n">
        <f aca="false">Z20*Assumptions!$D$36</f>
        <v>3112.48828438584</v>
      </c>
      <c r="AA21" s="61" t="n">
        <f aca="false">AA20*Assumptions!$D$36</f>
        <v>3140.12611051742</v>
      </c>
      <c r="AB21" s="61" t="n">
        <f aca="false">AB20*Assumptions!$D$36</f>
        <v>3169.70844354441</v>
      </c>
      <c r="AC21" s="61" t="n">
        <f aca="false">AC20*Assumptions!$D$36</f>
        <v>3201.22079476047</v>
      </c>
      <c r="AD21" s="61" t="n">
        <f aca="false">AD20*Assumptions!$D$36</f>
        <v>3234.68661307308</v>
      </c>
      <c r="AE21" s="61" t="n">
        <f aca="false">AE20*Assumptions!$D$36</f>
        <v>3270.15845576227</v>
      </c>
      <c r="AF21" s="61" t="n">
        <f aca="false">AF20*Assumptions!$D$36</f>
        <v>3307.71174501779</v>
      </c>
      <c r="AG21" s="61" t="n">
        <f aca="false">AG20*Assumptions!$D$36</f>
        <v>3347.44039361045</v>
      </c>
      <c r="AH21" s="61" t="n">
        <f aca="false">AH20*Assumptions!$D$36</f>
        <v>3389.4537834392</v>
      </c>
      <c r="AI21" s="61" t="n">
        <f aca="false">AI20*Assumptions!$D$36</f>
        <v>3433.87472529098</v>
      </c>
      <c r="AJ21" s="61" t="n">
        <f aca="false">AJ20*Assumptions!$D$36</f>
        <v>3480.83813245236</v>
      </c>
      <c r="AK21" s="61" t="n">
        <f aca="false">AK20*Assumptions!$D$36</f>
        <v>3530.49021603315</v>
      </c>
      <c r="AL21" s="61" t="n">
        <f aca="false">AL20*Assumptions!$D$36</f>
        <v>3582.98806410607</v>
      </c>
      <c r="AM21" s="61" t="n">
        <f aca="false">SUM(C21:AL21)</f>
        <v>124715.534475757</v>
      </c>
    </row>
    <row r="22" customFormat="false" ht="15" hidden="false" customHeight="false" outlineLevel="0" collapsed="false">
      <c r="A22" s="10" t="s">
        <v>743</v>
      </c>
      <c r="B22" s="9" t="s">
        <v>97</v>
      </c>
      <c r="C22" s="70" t="n">
        <f aca="false">MIN(MAX(0,C16-C18),C21*Assumptions!$D$37)</f>
        <v>0</v>
      </c>
      <c r="D22" s="70" t="n">
        <f aca="false">MIN(MAX(0,D16-D18),D21*Assumptions!$D$37)</f>
        <v>0</v>
      </c>
      <c r="E22" s="70" t="n">
        <f aca="false">MIN(MAX(0,E16-E18),E21*Assumptions!$D$37)</f>
        <v>5296.97596</v>
      </c>
      <c r="F22" s="70" t="n">
        <f aca="false">MIN(MAX(0,F16-F18),F21*Assumptions!$D$37)</f>
        <v>9605.6700984</v>
      </c>
      <c r="G22" s="70" t="n">
        <f aca="false">MIN(MAX(0,G16-G18),G21*Assumptions!$D$37)</f>
        <v>8206.715636272</v>
      </c>
      <c r="H22" s="70" t="n">
        <f aca="false">MIN(MAX(0,H16-H18),H21*Assumptions!$D$37)</f>
        <v>7919.57042536839</v>
      </c>
      <c r="I22" s="70" t="n">
        <f aca="false">MIN(MAX(0,I16-I18),I21*Assumptions!$D$37)</f>
        <v>7057.36830608855</v>
      </c>
      <c r="J22" s="70" t="n">
        <f aca="false">MIN(MAX(0,J16-J18),J21*Assumptions!$D$37)</f>
        <v>6438.4911222404</v>
      </c>
      <c r="K22" s="70" t="n">
        <f aca="false">MIN(MAX(0,K16-K18),K21*Assumptions!$D$37)</f>
        <v>5990.51633528722</v>
      </c>
      <c r="L22" s="70" t="n">
        <f aca="false">MIN(MAX(0,L16-L18),L21*Assumptions!$D$37)</f>
        <v>5670.58063128066</v>
      </c>
      <c r="M22" s="70" t="n">
        <f aca="false">MIN(MAX(0,M16-M18),M21*Assumptions!$D$37)</f>
        <v>5453.00365939777</v>
      </c>
      <c r="N22" s="70" t="n">
        <f aca="false">MIN(MAX(0,N16-N18),N21*Assumptions!$D$37)</f>
        <v>5301.9595138488</v>
      </c>
      <c r="O22" s="70" t="n">
        <f aca="false">MIN(MAX(0,O16-O18),O21*Assumptions!$D$37)</f>
        <v>5201.54096540787</v>
      </c>
      <c r="P22" s="70" t="n">
        <f aca="false">MIN(MAX(0,P16-P18),P21*Assumptions!$D$37)</f>
        <v>5138.28489869384</v>
      </c>
      <c r="Q22" s="70" t="n">
        <f aca="false">MIN(MAX(0,Q16-Q18),Q21*Assumptions!$D$37)</f>
        <v>5102.29086557834</v>
      </c>
      <c r="R22" s="70" t="n">
        <f aca="false">MIN(MAX(0,R16-R18),R21*Assumptions!$D$37)</f>
        <v>5086.39716980243</v>
      </c>
      <c r="S22" s="70" t="n">
        <f aca="false">MIN(MAX(0,S16-S18),S21*Assumptions!$D$37)</f>
        <v>5085.45619779782</v>
      </c>
      <c r="T22" s="70" t="n">
        <f aca="false">MIN(MAX(0,T16-T18),T21*Assumptions!$D$37)</f>
        <v>5095.78541267406</v>
      </c>
      <c r="U22" s="70" t="n">
        <f aca="false">MIN(MAX(0,U16-U18),U21*Assumptions!$D$37)</f>
        <v>5114.76478787146</v>
      </c>
      <c r="V22" s="70" t="n">
        <f aca="false">MIN(MAX(0,V16-V18),V21*Assumptions!$D$37)</f>
        <v>5140.5439757397</v>
      </c>
      <c r="W22" s="70" t="n">
        <f aca="false">MIN(MAX(0,W16-W18),W21*Assumptions!$D$37)</f>
        <v>5171.8301170076</v>
      </c>
      <c r="X22" s="70" t="n">
        <f aca="false">MIN(MAX(0,X16-X18),X21*Assumptions!$D$37)</f>
        <v>5207.73445590338</v>
      </c>
      <c r="Y22" s="70" t="n">
        <f aca="false">MIN(MAX(0,Y16-Y18),Y21*Assumptions!$D$37)</f>
        <v>5247.66166117324</v>
      </c>
      <c r="Z22" s="70" t="n">
        <f aca="false">MIN(MAX(0,Z16-Z18),Z21*Assumptions!$D$37)</f>
        <v>5291.23008345592</v>
      </c>
      <c r="AA22" s="70" t="n">
        <f aca="false">MIN(MAX(0,AA16-AA18),AA21*Assumptions!$D$37)</f>
        <v>5338.21438787961</v>
      </c>
      <c r="AB22" s="70" t="n">
        <f aca="false">MIN(MAX(0,AB16-AB18),AB21*Assumptions!$D$37)</f>
        <v>5388.5043540255</v>
      </c>
      <c r="AC22" s="70" t="n">
        <f aca="false">MIN(MAX(0,AC16-AC18),AC21*Assumptions!$D$37)</f>
        <v>5442.0753510928</v>
      </c>
      <c r="AD22" s="70" t="n">
        <f aca="false">MIN(MAX(0,AD16-AD18),AD21*Assumptions!$D$37)</f>
        <v>5498.96724222424</v>
      </c>
      <c r="AE22" s="70" t="n">
        <f aca="false">MIN(MAX(0,AE16-AE18),AE21*Assumptions!$D$37)</f>
        <v>5559.26937479586</v>
      </c>
      <c r="AF22" s="70" t="n">
        <f aca="false">MIN(MAX(0,AF16-AF18),AF21*Assumptions!$D$37)</f>
        <v>5623.10996653024</v>
      </c>
      <c r="AG22" s="70" t="n">
        <f aca="false">MIN(MAX(0,AG16-AG18),AG21*Assumptions!$D$37)</f>
        <v>5690.64866913777</v>
      </c>
      <c r="AH22" s="70" t="n">
        <f aca="false">MIN(MAX(0,AH16-AH18),AH21*Assumptions!$D$37)</f>
        <v>5762.07143184665</v>
      </c>
      <c r="AI22" s="70" t="n">
        <f aca="false">MIN(MAX(0,AI16-AI18),AI21*Assumptions!$D$37)</f>
        <v>5837.58703299466</v>
      </c>
      <c r="AJ22" s="70" t="n">
        <f aca="false">MIN(MAX(0,AJ16-AJ18),AJ21*Assumptions!$D$37)</f>
        <v>5917.42482516902</v>
      </c>
      <c r="AK22" s="70" t="n">
        <f aca="false">MIN(MAX(0,AK16-AK18),AK21*Assumptions!$D$37)</f>
        <v>6001.83336725636</v>
      </c>
      <c r="AL22" s="70" t="n">
        <f aca="false">MIN(MAX(0,AL16-AL18),AL21*Assumptions!$D$37)</f>
        <v>6091.07970898032</v>
      </c>
      <c r="AM22" s="70" t="n">
        <f aca="false">SUM(C22:AL22)</f>
        <v>196975.157991222</v>
      </c>
    </row>
    <row r="23" customFormat="false" ht="15" hidden="false" customHeight="false" outlineLevel="0" collapsed="false">
      <c r="A23" s="10" t="s">
        <v>744</v>
      </c>
      <c r="B23" s="9" t="s">
        <v>84</v>
      </c>
      <c r="C23" s="61" t="n">
        <f aca="false">C22/Assumptions!$D$37</f>
        <v>0</v>
      </c>
      <c r="D23" s="61" t="n">
        <f aca="false">D22/Assumptions!$D$37</f>
        <v>0</v>
      </c>
      <c r="E23" s="61" t="n">
        <f aca="false">E22/Assumptions!$D$37</f>
        <v>3115.86821176471</v>
      </c>
      <c r="F23" s="61" t="n">
        <f aca="false">F22/Assumptions!$D$37</f>
        <v>5650.39417552941</v>
      </c>
      <c r="G23" s="61" t="n">
        <f aca="false">G22/Assumptions!$D$37</f>
        <v>4827.47978604235</v>
      </c>
      <c r="H23" s="61" t="n">
        <f aca="false">H22/Assumptions!$D$37</f>
        <v>4658.57083845199</v>
      </c>
      <c r="I23" s="61" t="n">
        <f aca="false">I22/Assumptions!$D$37</f>
        <v>4151.39312122856</v>
      </c>
      <c r="J23" s="61" t="n">
        <f aca="false">J22/Assumptions!$D$37</f>
        <v>3787.34771896494</v>
      </c>
      <c r="K23" s="61" t="n">
        <f aca="false">K22/Assumptions!$D$37</f>
        <v>3523.83313840425</v>
      </c>
      <c r="L23" s="61" t="n">
        <f aca="false">L22/Assumptions!$D$37</f>
        <v>3335.63566545921</v>
      </c>
      <c r="M23" s="61" t="n">
        <f aca="false">M22/Assumptions!$D$37</f>
        <v>3207.64921141045</v>
      </c>
      <c r="N23" s="61" t="n">
        <f aca="false">N22/Assumptions!$D$37</f>
        <v>3118.7997140287</v>
      </c>
      <c r="O23" s="61" t="n">
        <f aca="false">O22/Assumptions!$D$37</f>
        <v>3059.72997965169</v>
      </c>
      <c r="P23" s="61" t="n">
        <f aca="false">P22/Assumptions!$D$37</f>
        <v>3022.52052864343</v>
      </c>
      <c r="Q23" s="61" t="n">
        <f aca="false">Q22/Assumptions!$D$37</f>
        <v>3001.34756798726</v>
      </c>
      <c r="R23" s="61" t="n">
        <f aca="false">R22/Assumptions!$D$37</f>
        <v>2991.9983351779</v>
      </c>
      <c r="S23" s="61" t="n">
        <f aca="false">S22/Assumptions!$D$37</f>
        <v>2991.44482223401</v>
      </c>
      <c r="T23" s="61" t="n">
        <f aca="false">T22/Assumptions!$D$37</f>
        <v>2997.52083098474</v>
      </c>
      <c r="U23" s="61" t="n">
        <f aca="false">U22/Assumptions!$D$37</f>
        <v>3008.68516933615</v>
      </c>
      <c r="V23" s="61" t="n">
        <f aca="false">V22/Assumptions!$D$37</f>
        <v>3023.84939749394</v>
      </c>
      <c r="W23" s="61" t="n">
        <f aca="false">W22/Assumptions!$D$37</f>
        <v>3042.25301000447</v>
      </c>
      <c r="X23" s="61" t="n">
        <f aca="false">X22/Assumptions!$D$37</f>
        <v>3063.37320935493</v>
      </c>
      <c r="Y23" s="61" t="n">
        <f aca="false">Y22/Assumptions!$D$37</f>
        <v>3086.85980069014</v>
      </c>
      <c r="Z23" s="61" t="n">
        <f aca="false">Z22/Assumptions!$D$37</f>
        <v>3112.48828438584</v>
      </c>
      <c r="AA23" s="61" t="n">
        <f aca="false">AA22/Assumptions!$D$37</f>
        <v>3140.12611051742</v>
      </c>
      <c r="AB23" s="61" t="n">
        <f aca="false">AB22/Assumptions!$D$37</f>
        <v>3169.70844354441</v>
      </c>
      <c r="AC23" s="61" t="n">
        <f aca="false">AC22/Assumptions!$D$37</f>
        <v>3201.22079476047</v>
      </c>
      <c r="AD23" s="61" t="n">
        <f aca="false">AD22/Assumptions!$D$37</f>
        <v>3234.68661307308</v>
      </c>
      <c r="AE23" s="61" t="n">
        <f aca="false">AE22/Assumptions!$D$37</f>
        <v>3270.15845576227</v>
      </c>
      <c r="AF23" s="61" t="n">
        <f aca="false">AF22/Assumptions!$D$37</f>
        <v>3307.71174501779</v>
      </c>
      <c r="AG23" s="61" t="n">
        <f aca="false">AG22/Assumptions!$D$37</f>
        <v>3347.44039361045</v>
      </c>
      <c r="AH23" s="61" t="n">
        <f aca="false">AH22/Assumptions!$D$37</f>
        <v>3389.4537834392</v>
      </c>
      <c r="AI23" s="61" t="n">
        <f aca="false">AI22/Assumptions!$D$37</f>
        <v>3433.87472529098</v>
      </c>
      <c r="AJ23" s="61" t="n">
        <f aca="false">AJ22/Assumptions!$D$37</f>
        <v>3480.83813245236</v>
      </c>
      <c r="AK23" s="61" t="n">
        <f aca="false">AK22/Assumptions!$D$37</f>
        <v>3530.49021603315</v>
      </c>
      <c r="AL23" s="61" t="n">
        <f aca="false">AL22/Assumptions!$D$37</f>
        <v>3582.98806410607</v>
      </c>
      <c r="AM23" s="61" t="n">
        <f aca="false">SUM(C23:AL23)</f>
        <v>115867.739994837</v>
      </c>
    </row>
    <row r="24" customFormat="false" ht="15" hidden="false" customHeight="false" outlineLevel="0" collapsed="false">
      <c r="A24" s="10" t="s">
        <v>745</v>
      </c>
      <c r="B24" s="9" t="s">
        <v>97</v>
      </c>
      <c r="C24" s="70" t="n">
        <f aca="false">MAX(0,C16-C18-C22)</f>
        <v>4000</v>
      </c>
      <c r="D24" s="70" t="n">
        <f aca="false">MAX(0,D16-D18-D22)</f>
        <v>4000</v>
      </c>
      <c r="E24" s="70" t="n">
        <f aca="false">MAX(0,E16-E18-E22)</f>
        <v>0</v>
      </c>
      <c r="F24" s="70" t="n">
        <f aca="false">MAX(0,F16-F18-F22)</f>
        <v>0</v>
      </c>
      <c r="G24" s="70" t="n">
        <f aca="false">MAX(0,G16-G18-G22)</f>
        <v>0</v>
      </c>
      <c r="H24" s="70" t="n">
        <f aca="false">MAX(0,H16-H18-H22)</f>
        <v>539.143668608895</v>
      </c>
      <c r="I24" s="70" t="n">
        <f aca="false">MAX(0,I16-I18-I22)</f>
        <v>1905.15836744944</v>
      </c>
      <c r="J24" s="70" t="n">
        <f aca="false">MAX(0,J16-J18-J22)</f>
        <v>3022.87273192395</v>
      </c>
      <c r="K24" s="70" t="n">
        <f aca="false">MAX(0,K16-K18-K22)</f>
        <v>3876.00309942616</v>
      </c>
      <c r="L24" s="70" t="n">
        <f aca="false">MAX(0,L16-L18-L22)</f>
        <v>4677.14015128848</v>
      </c>
      <c r="M24" s="70" t="n">
        <f aca="false">MAX(0,M16-M18-M22)</f>
        <v>5261.17422083108</v>
      </c>
      <c r="N24" s="70" t="n">
        <f aca="false">MAX(0,N16-N18-N22)</f>
        <v>5738.01781605863</v>
      </c>
      <c r="O24" s="70" t="n">
        <f aca="false">MAX(0,O16-O18-O22)</f>
        <v>6136.72517021348</v>
      </c>
      <c r="P24" s="70" t="n">
        <f aca="false">MAX(0,P16-P18-P22)</f>
        <v>6478.9886340837</v>
      </c>
      <c r="Q24" s="70" t="n">
        <f aca="false">MAX(0,Q16-Q18-Q22)</f>
        <v>6780.62738605737</v>
      </c>
      <c r="R24" s="70" t="n">
        <f aca="false">MAX(0,R16-R18-R22)</f>
        <v>7053.2985382556</v>
      </c>
      <c r="S24" s="70" t="n">
        <f aca="false">MAX(0,S16-S18-S22)</f>
        <v>7305.64102194223</v>
      </c>
      <c r="T24" s="70" t="n">
        <f aca="false">MAX(0,T16-T18-T22)</f>
        <v>7544.10991743639</v>
      </c>
      <c r="U24" s="70" t="n">
        <f aca="false">MAX(0,U16-U18-U22)</f>
        <v>7773.58204397544</v>
      </c>
      <c r="V24" s="70" t="n">
        <f aca="false">MAX(0,V16-V18-V22)</f>
        <v>7997.79530605762</v>
      </c>
      <c r="W24" s="70" t="n">
        <f aca="false">MAX(0,W16-W18-W22)</f>
        <v>8219.66743316471</v>
      </c>
      <c r="X24" s="70" t="n">
        <f aca="false">MAX(0,X16-X18-X22)</f>
        <v>8441.52736636735</v>
      </c>
      <c r="Y24" s="70" t="n">
        <f aca="false">MAX(0,Y16-Y18-Y22)</f>
        <v>8665.28344268175</v>
      </c>
      <c r="Z24" s="70" t="n">
        <f aca="false">MAX(0,Z16-Z18-Z22)</f>
        <v>8892.54588558894</v>
      </c>
      <c r="AA24" s="70" t="n">
        <f aca="false">MAX(0,AA16-AA18-AA22)</f>
        <v>9124.71628026131</v>
      </c>
      <c r="AB24" s="70" t="n">
        <f aca="false">MAX(0,AB16-AB18-AB22)</f>
        <v>9363.05320817763</v>
      </c>
      <c r="AC24" s="70" t="n">
        <f aca="false">MAX(0,AC16-AC18-AC22)</f>
        <v>9608.72067775591</v>
      </c>
      <c r="AD24" s="70" t="n">
        <f aca="false">MAX(0,AD16-AD18-AD22)</f>
        <v>9862.8241510798</v>
      </c>
      <c r="AE24" s="70" t="n">
        <f aca="false">MAX(0,AE16-AE18-AE22)</f>
        <v>10126.4376388157</v>
      </c>
      <c r="AF24" s="70" t="n">
        <f aca="false">MAX(0,AF16-AF18-AF22)</f>
        <v>10400.624375685</v>
      </c>
      <c r="AG24" s="70" t="n">
        <f aca="false">MAX(0,AG16-AG18-AG22)</f>
        <v>10686.4528955335</v>
      </c>
      <c r="AH24" s="70" t="n">
        <f aca="false">MAX(0,AH16-AH18-AH22)</f>
        <v>10985.0098243359</v>
      </c>
      <c r="AI24" s="70" t="n">
        <f aca="false">MAX(0,AI16-AI18-AI22)</f>
        <v>11297.4103479904</v>
      </c>
      <c r="AJ24" s="70" t="n">
        <f aca="false">MAX(0,AJ16-AJ18-AJ22)</f>
        <v>11624.807050862</v>
      </c>
      <c r="AK24" s="70" t="n">
        <f aca="false">MAX(0,AK16-AK18-AK22)</f>
        <v>11968.3976328164</v>
      </c>
      <c r="AL24" s="70" t="n">
        <f aca="false">MAX(0,AL16-AL18-AL22)</f>
        <v>12329.4318767683</v>
      </c>
      <c r="AM24" s="70" t="n">
        <f aca="false">SUM(C24:AL24)</f>
        <v>251687.188161493</v>
      </c>
    </row>
    <row r="25" customFormat="false" ht="15" hidden="false" customHeight="false" outlineLevel="0" collapsed="false">
      <c r="A25" s="10" t="s">
        <v>746</v>
      </c>
      <c r="B25" s="9" t="s">
        <v>84</v>
      </c>
      <c r="C25" s="61" t="n">
        <f aca="false">(Assumptions!$D$21/(Assumptions!$D$41*Assumptions!$D$42))*(C24/Assumptions!$D$21)^Assumptions!$D$25</f>
        <v>2136.98409794519</v>
      </c>
      <c r="D25" s="61" t="n">
        <f aca="false">(Assumptions!$D$21/(Assumptions!$D$41*Assumptions!$D$42))*(D24/Assumptions!$D$21)^Assumptions!$D$25</f>
        <v>2136.98409794519</v>
      </c>
      <c r="E25" s="61" t="n">
        <f aca="false">(Assumptions!$D$21/(Assumptions!$D$41*Assumptions!$D$42))*(E24/Assumptions!$D$21)^Assumptions!$D$25</f>
        <v>0</v>
      </c>
      <c r="F25" s="61" t="n">
        <f aca="false">(Assumptions!$D$21/(Assumptions!$D$41*Assumptions!$D$42))*(F24/Assumptions!$D$21)^Assumptions!$D$25</f>
        <v>0</v>
      </c>
      <c r="G25" s="61" t="n">
        <f aca="false">(Assumptions!$D$21/(Assumptions!$D$41*Assumptions!$D$42))*(G24/Assumptions!$D$21)^Assumptions!$D$25</f>
        <v>0</v>
      </c>
      <c r="H25" s="61" t="n">
        <f aca="false">(Assumptions!$D$21/(Assumptions!$D$41*Assumptions!$D$42))*(H24/Assumptions!$D$21)^Assumptions!$D$25</f>
        <v>525.475477057282</v>
      </c>
      <c r="I25" s="61" t="n">
        <f aca="false">(Assumptions!$D$21/(Assumptions!$D$41*Assumptions!$D$42))*(I24/Assumptions!$D$21)^Assumptions!$D$25</f>
        <v>1271.48445307906</v>
      </c>
      <c r="J25" s="61" t="n">
        <f aca="false">(Assumptions!$D$21/(Assumptions!$D$41*Assumptions!$D$42))*(J24/Assumptions!$D$21)^Assumptions!$D$25</f>
        <v>1756.52041063597</v>
      </c>
      <c r="K25" s="61" t="n">
        <f aca="false">(Assumptions!$D$21/(Assumptions!$D$41*Assumptions!$D$42))*(K24/Assumptions!$D$21)^Assumptions!$D$25</f>
        <v>2090.39413136556</v>
      </c>
      <c r="L25" s="61" t="n">
        <f aca="false">(Assumptions!$D$21/(Assumptions!$D$41*Assumptions!$D$42))*(L24/Assumptions!$D$21)^Assumptions!$D$25</f>
        <v>2384.21581916557</v>
      </c>
      <c r="M25" s="61" t="n">
        <f aca="false">(Assumptions!$D$21/(Assumptions!$D$41*Assumptions!$D$42))*(M24/Assumptions!$D$21)^Assumptions!$D$25</f>
        <v>2588.91132276057</v>
      </c>
      <c r="N25" s="61" t="n">
        <f aca="false">(Assumptions!$D$21/(Assumptions!$D$41*Assumptions!$D$42))*(N24/Assumptions!$D$21)^Assumptions!$D$25</f>
        <v>2751.01286376089</v>
      </c>
      <c r="O25" s="61" t="n">
        <f aca="false">(Assumptions!$D$21/(Assumptions!$D$41*Assumptions!$D$42))*(O24/Assumptions!$D$21)^Assumptions!$D$25</f>
        <v>2883.46688646251</v>
      </c>
      <c r="P25" s="61" t="n">
        <f aca="false">(Assumptions!$D$21/(Assumptions!$D$41*Assumptions!$D$42))*(P24/Assumptions!$D$21)^Assumptions!$D$25</f>
        <v>2995.12084139375</v>
      </c>
      <c r="Q25" s="61" t="n">
        <f aca="false">(Assumptions!$D$21/(Assumptions!$D$41*Assumptions!$D$42))*(Q24/Assumptions!$D$21)^Assumptions!$D$25</f>
        <v>3092.06213202461</v>
      </c>
      <c r="R25" s="61" t="n">
        <f aca="false">(Assumptions!$D$21/(Assumptions!$D$41*Assumptions!$D$42))*(R24/Assumptions!$D$21)^Assumptions!$D$25</f>
        <v>3178.585389807</v>
      </c>
      <c r="S25" s="61" t="n">
        <f aca="false">(Assumptions!$D$21/(Assumptions!$D$41*Assumptions!$D$42))*(S24/Assumptions!$D$21)^Assumptions!$D$25</f>
        <v>3257.76780012102</v>
      </c>
      <c r="T25" s="61" t="n">
        <f aca="false">(Assumptions!$D$21/(Assumptions!$D$41*Assumptions!$D$42))*(T24/Assumptions!$D$21)^Assumptions!$D$25</f>
        <v>3331.84586093279</v>
      </c>
      <c r="U25" s="61" t="n">
        <f aca="false">(Assumptions!$D$21/(Assumptions!$D$41*Assumptions!$D$42))*(U24/Assumptions!$D$21)^Assumptions!$D$25</f>
        <v>3402.46860885344</v>
      </c>
      <c r="V25" s="61" t="n">
        <f aca="false">(Assumptions!$D$21/(Assumptions!$D$41*Assumptions!$D$42))*(V24/Assumptions!$D$21)^Assumptions!$D$25</f>
        <v>3470.8711839189</v>
      </c>
      <c r="W25" s="61" t="n">
        <f aca="false">(Assumptions!$D$21/(Assumptions!$D$41*Assumptions!$D$42))*(W24/Assumptions!$D$21)^Assumptions!$D$25</f>
        <v>3537.99544124522</v>
      </c>
      <c r="X25" s="61" t="n">
        <f aca="false">(Assumptions!$D$21/(Assumptions!$D$41*Assumptions!$D$42))*(X24/Assumptions!$D$21)^Assumptions!$D$25</f>
        <v>3604.57461116273</v>
      </c>
      <c r="Y25" s="61" t="n">
        <f aca="false">(Assumptions!$D$21/(Assumptions!$D$41*Assumptions!$D$42))*(Y24/Assumptions!$D$21)^Assumptions!$D$25</f>
        <v>3671.19317826347</v>
      </c>
      <c r="Z25" s="61" t="n">
        <f aca="false">(Assumptions!$D$21/(Assumptions!$D$41*Assumptions!$D$42))*(Z24/Assumptions!$D$21)^Assumptions!$D$25</f>
        <v>3738.32949154224</v>
      </c>
      <c r="AA25" s="61" t="n">
        <f aca="false">(Assumptions!$D$21/(Assumptions!$D$41*Assumptions!$D$42))*(AA24/Assumptions!$D$21)^Assumptions!$D$25</f>
        <v>3806.3862442591</v>
      </c>
      <c r="AB25" s="61" t="n">
        <f aca="false">(Assumptions!$D$21/(Assumptions!$D$41*Assumptions!$D$42))*(AB24/Assumptions!$D$21)^Assumptions!$D$25</f>
        <v>3875.71238250223</v>
      </c>
      <c r="AC25" s="61" t="n">
        <f aca="false">(Assumptions!$D$21/(Assumptions!$D$41*Assumptions!$D$42))*(AC24/Assumptions!$D$21)^Assumptions!$D$25</f>
        <v>3946.61892996769</v>
      </c>
      <c r="AD25" s="61" t="n">
        <f aca="false">(Assumptions!$D$21/(Assumptions!$D$41*Assumptions!$D$42))*(AD24/Assumptions!$D$21)^Assumptions!$D$25</f>
        <v>4019.39047937854</v>
      </c>
      <c r="AE25" s="61" t="n">
        <f aca="false">(Assumptions!$D$21/(Assumptions!$D$41*Assumptions!$D$42))*(AE24/Assumptions!$D$21)^Assumptions!$D$25</f>
        <v>4094.2935885652</v>
      </c>
      <c r="AF25" s="61" t="n">
        <f aca="false">(Assumptions!$D$21/(Assumptions!$D$41*Assumptions!$D$42))*(AF24/Assumptions!$D$21)^Assumptions!$D$25</f>
        <v>4171.58296025929</v>
      </c>
      <c r="AG25" s="61" t="n">
        <f aca="false">(Assumptions!$D$21/(Assumptions!$D$41*Assumptions!$D$42))*(AG24/Assumptions!$D$21)^Assumptions!$D$25</f>
        <v>4251.50603172006</v>
      </c>
      <c r="AH25" s="61" t="n">
        <f aca="false">(Assumptions!$D$21/(Assumptions!$D$41*Assumptions!$D$42))*(AH24/Assumptions!$D$21)^Assumptions!$D$25</f>
        <v>4334.30642132403</v>
      </c>
      <c r="AI25" s="61" t="n">
        <f aca="false">(Assumptions!$D$21/(Assumptions!$D$41*Assumptions!$D$42))*(AI24/Assumptions!$D$21)^Assumptions!$D$25</f>
        <v>4420.22655217364</v>
      </c>
      <c r="AJ25" s="61" t="n">
        <f aca="false">(Assumptions!$D$21/(Assumptions!$D$41*Assumptions!$D$42))*(AJ24/Assumptions!$D$21)^Assumptions!$D$25</f>
        <v>4509.50968233786</v>
      </c>
      <c r="AK25" s="61" t="n">
        <f aca="false">(Assumptions!$D$21/(Assumptions!$D$41*Assumptions!$D$42))*(AK24/Assumptions!$D$21)^Assumptions!$D$25</f>
        <v>4602.40150684042</v>
      </c>
      <c r="AL25" s="61" t="n">
        <f aca="false">(Assumptions!$D$21/(Assumptions!$D$41*Assumptions!$D$42))*(AL24/Assumptions!$D$21)^Assumptions!$D$25</f>
        <v>4699.1514504461</v>
      </c>
      <c r="AM25" s="61" t="n">
        <f aca="false">SUM(C25:AL25)</f>
        <v>108537.350329217</v>
      </c>
    </row>
    <row r="26" customFormat="false" ht="15" hidden="false" customHeight="false" outlineLevel="0" collapsed="false">
      <c r="A26" s="37" t="s">
        <v>747</v>
      </c>
      <c r="B26" s="9" t="s">
        <v>97</v>
      </c>
      <c r="C26" s="53" t="n">
        <f aca="false">C18+C22+C24</f>
        <v>4000</v>
      </c>
      <c r="D26" s="53" t="n">
        <f aca="false">D18+D22+D24</f>
        <v>4000</v>
      </c>
      <c r="E26" s="53" t="n">
        <f aca="false">E18+E22+E24</f>
        <v>10000</v>
      </c>
      <c r="F26" s="53" t="n">
        <f aca="false">F18+F22+F24</f>
        <v>11750.4</v>
      </c>
      <c r="G26" s="53" t="n">
        <f aca="false">G18+G22+G24</f>
        <v>10000</v>
      </c>
      <c r="H26" s="53" t="n">
        <f aca="false">H18+H22+H24</f>
        <v>10000</v>
      </c>
      <c r="I26" s="53" t="n">
        <f aca="false">I18+I22+I24</f>
        <v>10323.4785593492</v>
      </c>
      <c r="J26" s="53" t="n">
        <f aca="false">J18+J22+J24</f>
        <v>10693.6464069198</v>
      </c>
      <c r="K26" s="53" t="n">
        <f aca="false">K18+K22+K24</f>
        <v>11007.401498855</v>
      </c>
      <c r="L26" s="53" t="n">
        <f aca="false">L18+L22+L24</f>
        <v>11424.1104119662</v>
      </c>
      <c r="M26" s="53" t="n">
        <f aca="false">M18+M22+M24</f>
        <v>11745.5278286907</v>
      </c>
      <c r="N26" s="53" t="n">
        <f aca="false">N18+N22+N24</f>
        <v>12040.3772725018</v>
      </c>
      <c r="O26" s="53" t="n">
        <f aca="false">O18+O22+O24</f>
        <v>12317.9493522611</v>
      </c>
      <c r="P26" s="53" t="n">
        <f aca="false">P18+P22+P24</f>
        <v>12583.7020216964</v>
      </c>
      <c r="Q26" s="53" t="n">
        <f aca="false">Q18+Q22+Q24</f>
        <v>12841.5643304598</v>
      </c>
      <c r="R26" s="53" t="n">
        <f aca="false">R18+R22+R24</f>
        <v>13094.60510511</v>
      </c>
      <c r="S26" s="53" t="n">
        <f aca="false">S18+S22+S24</f>
        <v>13345.294858622</v>
      </c>
      <c r="T26" s="53" t="n">
        <f aca="false">T18+T22+T24</f>
        <v>13595.6778749783</v>
      </c>
      <c r="U26" s="53" t="n">
        <f aca="false">U18+U22+U24</f>
        <v>13847.4937232049</v>
      </c>
      <c r="V26" s="53" t="n">
        <f aca="false">V18+V22+V24</f>
        <v>14102.2651096595</v>
      </c>
      <c r="W26" s="53" t="n">
        <f aca="false">W18+W22+W24</f>
        <v>14361.3622157705</v>
      </c>
      <c r="X26" s="53" t="n">
        <f aca="false">X18+X22+X24</f>
        <v>14626.0503346991</v>
      </c>
      <c r="Y26" s="53" t="n">
        <f aca="false">Y18+Y22+Y24</f>
        <v>14897.525542681</v>
      </c>
      <c r="Z26" s="53" t="n">
        <f aca="false">Z18+Z22+Z24</f>
        <v>15176.9417569578</v>
      </c>
      <c r="AA26" s="53" t="n">
        <f aca="false">AA18+AA22+AA24</f>
        <v>15465.4315792019</v>
      </c>
      <c r="AB26" s="53" t="n">
        <f aca="false">AB18+AB22+AB24</f>
        <v>15764.1226540446</v>
      </c>
      <c r="AC26" s="53" t="n">
        <f aca="false">AC18+AC22+AC24</f>
        <v>16074.1507964927</v>
      </c>
      <c r="AD26" s="53" t="n">
        <f aca="false">AD18+AD22+AD24</f>
        <v>16396.670801105</v>
      </c>
      <c r="AE26" s="53" t="n">
        <f aca="false">AE18+AE22+AE24</f>
        <v>16732.8656003193</v>
      </c>
      <c r="AF26" s="53" t="n">
        <f aca="false">AF18+AF22+AF24</f>
        <v>17083.9542620094</v>
      </c>
      <c r="AG26" s="53" t="n">
        <f aca="false">AG18+AG22+AG24</f>
        <v>17451.1991880176</v>
      </c>
      <c r="AH26" s="53" t="n">
        <f aca="false">AH18+AH22+AH24</f>
        <v>17835.91278244</v>
      </c>
      <c r="AI26" s="53" t="n">
        <f aca="false">AI18+AI22+AI24</f>
        <v>18239.4637910734</v>
      </c>
      <c r="AJ26" s="53" t="n">
        <f aca="false">AJ18+AJ22+AJ24</f>
        <v>18663.2834646366</v>
      </c>
      <c r="AK26" s="53" t="n">
        <f aca="false">AK18+AK22+AK24</f>
        <v>19108.8716630993</v>
      </c>
      <c r="AL26" s="53" t="n">
        <f aca="false">AL18+AL22+AL24</f>
        <v>19577.8029930001</v>
      </c>
      <c r="AM26" s="53" t="n">
        <f aca="false">SUM(C26:AL26)</f>
        <v>490169.103779823</v>
      </c>
    </row>
    <row r="27" customFormat="false" ht="15" hidden="false" customHeight="false" outlineLevel="0" collapsed="false">
      <c r="A27" s="10" t="s">
        <v>748</v>
      </c>
      <c r="B27" s="9" t="s">
        <v>84</v>
      </c>
      <c r="C27" s="61" t="n">
        <f aca="false">C19+C23+C25</f>
        <v>2136.98409794519</v>
      </c>
      <c r="D27" s="61" t="n">
        <f aca="false">D19+D23+D25</f>
        <v>2136.98409794519</v>
      </c>
      <c r="E27" s="61" t="n">
        <f aca="false">E19+E23+E25</f>
        <v>6733.57901176471</v>
      </c>
      <c r="F27" s="61" t="n">
        <f aca="false">F19+F23+F25</f>
        <v>7300.18640752941</v>
      </c>
      <c r="G27" s="61" t="n">
        <f aca="false">G19+G23+G25</f>
        <v>6206.92929660235</v>
      </c>
      <c r="H27" s="61" t="n">
        <f aca="false">H19+H23+H25</f>
        <v>6369.65085860367</v>
      </c>
      <c r="I27" s="61" t="n">
        <f aca="false">I19+I23+I25</f>
        <v>6469.76364031626</v>
      </c>
      <c r="J27" s="61" t="n">
        <f aca="false">J19+J23+J25</f>
        <v>6491.77778556665</v>
      </c>
      <c r="K27" s="61" t="n">
        <f aca="false">K19+K23+K25</f>
        <v>6491.82885757101</v>
      </c>
      <c r="L27" s="61" t="n">
        <f aca="false">L19+L23+L25</f>
        <v>6547.84350723789</v>
      </c>
      <c r="M27" s="61" t="n">
        <f aca="false">M19+M23+M25</f>
        <v>6589.90664837247</v>
      </c>
      <c r="N27" s="61" t="n">
        <f aca="false">N19+N23+N25</f>
        <v>6639.35099516985</v>
      </c>
      <c r="O27" s="61" t="n">
        <f aca="false">O19+O23+O25</f>
        <v>6696.79934045251</v>
      </c>
      <c r="P27" s="61" t="n">
        <f aca="false">P19+P23+P25</f>
        <v>6761.04789997476</v>
      </c>
      <c r="Q27" s="61" t="n">
        <f aca="false">Q19+Q23+Q25</f>
        <v>6830.82976064575</v>
      </c>
      <c r="R27" s="61" t="n">
        <f aca="false">R19+R23+R25</f>
        <v>6905.12941502486</v>
      </c>
      <c r="S27" s="61" t="n">
        <f aca="false">S19+S23+S25</f>
        <v>6983.21080611038</v>
      </c>
      <c r="T27" s="61" t="n">
        <f aca="false">T19+T23+T25</f>
        <v>7064.58403412356</v>
      </c>
      <c r="U27" s="61" t="n">
        <f aca="false">U19+U23+U25</f>
        <v>7148.95907923424</v>
      </c>
      <c r="V27" s="61" t="n">
        <f aca="false">V19+V23+V25</f>
        <v>7236.20198746066</v>
      </c>
      <c r="W27" s="61" t="n">
        <f aca="false">W19+W23+W25</f>
        <v>7326.29819401755</v>
      </c>
      <c r="X27" s="61" t="n">
        <f aca="false">X19+X23+X25</f>
        <v>7419.32359930874</v>
      </c>
      <c r="Y27" s="61" t="n">
        <f aca="false">Y19+Y23+Y25</f>
        <v>7515.42254728132</v>
      </c>
      <c r="Z27" s="61" t="n">
        <f aca="false">Z19+Z23+Z25</f>
        <v>7614.79145893803</v>
      </c>
      <c r="AA27" s="61" t="n">
        <f aca="false">AA19+AA23+AA25</f>
        <v>7717.66690174654</v>
      </c>
      <c r="AB27" s="61" t="n">
        <f aca="false">AB19+AB23+AB25</f>
        <v>7824.31705054008</v>
      </c>
      <c r="AC27" s="61" t="n">
        <f aca="false">AC19+AC23+AC25</f>
        <v>7935.03569983895</v>
      </c>
      <c r="AD27" s="61" t="n">
        <f aca="false">AD19+AD23+AD25</f>
        <v>8050.13817537544</v>
      </c>
      <c r="AE27" s="61" t="n">
        <f aca="false">AE19+AE23+AE25</f>
        <v>8169.95864948732</v>
      </c>
      <c r="AF27" s="61" t="n">
        <f aca="false">AF19+AF23+AF25</f>
        <v>8294.84848973414</v>
      </c>
      <c r="AG27" s="61" t="n">
        <f aca="false">AG19+AG23+AG25</f>
        <v>8425.1753663661</v>
      </c>
      <c r="AH27" s="61" t="n">
        <f aca="false">AH19+AH23+AH25</f>
        <v>8561.32291726895</v>
      </c>
      <c r="AI27" s="61" t="n">
        <f aca="false">AI19+AI23+AI25</f>
        <v>8703.69082368642</v>
      </c>
      <c r="AJ27" s="61" t="n">
        <f aca="false">AJ19+AJ23+AJ25</f>
        <v>8852.69519064068</v>
      </c>
      <c r="AK27" s="61" t="n">
        <f aca="false">AK19+AK23+AK25</f>
        <v>9008.7691559709</v>
      </c>
      <c r="AL27" s="61" t="n">
        <f aca="false">AL19+AL23+AL25</f>
        <v>9172.36367397635</v>
      </c>
      <c r="AM27" s="61" t="n">
        <f aca="false">SUM(C27:AL27)</f>
        <v>256333.365421829</v>
      </c>
    </row>
    <row r="28" customFormat="false" ht="15" hidden="false" customHeight="false" outlineLevel="0" collapsed="false">
      <c r="A28" s="10" t="s">
        <v>749</v>
      </c>
      <c r="B28" s="9" t="s">
        <v>97</v>
      </c>
      <c r="C28" s="63" t="n">
        <f aca="false">IFERROR(C26/C27,0)</f>
        <v>1.87179680178537</v>
      </c>
      <c r="D28" s="63" t="n">
        <f aca="false">IFERROR(D26/D27,0)</f>
        <v>1.87179680178537</v>
      </c>
      <c r="E28" s="63" t="n">
        <f aca="false">IFERROR(E26/E27,0)</f>
        <v>1.48509432836955</v>
      </c>
      <c r="F28" s="63" t="n">
        <f aca="false">IFERROR(F26/F27,0)</f>
        <v>1.60960273396315</v>
      </c>
      <c r="G28" s="63" t="n">
        <f aca="false">IFERROR(G26/G27,0)</f>
        <v>1.61110261163664</v>
      </c>
      <c r="H28" s="63" t="n">
        <f aca="false">IFERROR(H26/H27,0)</f>
        <v>1.56994476180633</v>
      </c>
      <c r="I28" s="63" t="n">
        <f aca="false">IFERROR(I26/I27,0)</f>
        <v>1.59565003194531</v>
      </c>
      <c r="J28" s="63" t="n">
        <f aca="false">IFERROR(J26/J27,0)</f>
        <v>1.64726008192937</v>
      </c>
      <c r="K28" s="63" t="n">
        <f aca="false">IFERROR(K26/K27,0)</f>
        <v>1.6955778934341</v>
      </c>
      <c r="L28" s="63" t="n">
        <f aca="false">IFERROR(L26/L27,0)</f>
        <v>1.74471341585029</v>
      </c>
      <c r="M28" s="63" t="n">
        <f aca="false">IFERROR(M26/M27,0)</f>
        <v>1.78235117057259</v>
      </c>
      <c r="N28" s="63" t="n">
        <f aca="false">IFERROR(N26/N27,0)</f>
        <v>1.81348708349072</v>
      </c>
      <c r="O28" s="63" t="n">
        <f aca="false">IFERROR(O26/O27,0)</f>
        <v>1.83937859356987</v>
      </c>
      <c r="P28" s="63" t="n">
        <f aca="false">IFERROR(P26/P27,0)</f>
        <v>1.86120586747261</v>
      </c>
      <c r="Q28" s="63" t="n">
        <f aca="false">IFERROR(Q26/Q27,0)</f>
        <v>1.87994208323613</v>
      </c>
      <c r="R28" s="63" t="n">
        <f aca="false">IFERROR(R26/R27,0)</f>
        <v>1.89635911480782</v>
      </c>
      <c r="S28" s="63" t="n">
        <f aca="false">IFERROR(S26/S27,0)</f>
        <v>1.91105427419501</v>
      </c>
      <c r="T28" s="63" t="n">
        <f aca="false">IFERROR(T26/T27,0)</f>
        <v>1.92448384919877</v>
      </c>
      <c r="U28" s="63" t="n">
        <f aca="false">IFERROR(U26/U27,0)</f>
        <v>1.93699440292337</v>
      </c>
      <c r="V28" s="63" t="n">
        <f aca="false">IFERROR(V26/V27,0)</f>
        <v>1.94884901417854</v>
      </c>
      <c r="W28" s="63" t="n">
        <f aca="false">IFERROR(W26/W27,0)</f>
        <v>1.96024811377424</v>
      </c>
      <c r="X28" s="63" t="n">
        <f aca="false">IFERROR(X26/X27,0)</f>
        <v>1.97134551943008</v>
      </c>
      <c r="Y28" s="63" t="n">
        <f aca="false">IFERROR(Y26/Y27,0)</f>
        <v>1.98226053810775</v>
      </c>
      <c r="Z28" s="63" t="n">
        <f aca="false">IFERROR(Z26/Z27,0)</f>
        <v>1.99308698587452</v>
      </c>
      <c r="AA28" s="63" t="n">
        <f aca="false">IFERROR(AA26/AA27,0)</f>
        <v>2.00389985420361</v>
      </c>
      <c r="AB28" s="63" t="n">
        <f aca="false">IFERROR(AB26/AB27,0)</f>
        <v>2.01476020874646</v>
      </c>
      <c r="AC28" s="63" t="n">
        <f aca="false">IFERROR(AC26/AC27,0)</f>
        <v>2.02571877487823</v>
      </c>
      <c r="AD28" s="63" t="n">
        <f aca="false">IFERROR(AD26/AD27,0)</f>
        <v>2.03681855440206</v>
      </c>
      <c r="AE28" s="63" t="n">
        <f aca="false">IFERROR(AE26/AE27,0)</f>
        <v>2.04809673074286</v>
      </c>
      <c r="AF28" s="63" t="n">
        <f aca="false">IFERROR(AF26/AF27,0)</f>
        <v>2.05958605309703</v>
      </c>
      <c r="AG28" s="63" t="n">
        <f aca="false">IFERROR(AG26/AG27,0)</f>
        <v>2.07131583963035</v>
      </c>
      <c r="AH28" s="63" t="n">
        <f aca="false">IFERROR(AH26/AH27,0)</f>
        <v>2.0833127023469</v>
      </c>
      <c r="AI28" s="63" t="n">
        <f aca="false">IFERROR(AI26/AI27,0)</f>
        <v>2.09560106862207</v>
      </c>
      <c r="AJ28" s="63" t="n">
        <f aca="false">IFERROR(AJ26/AJ27,0)</f>
        <v>2.10820355414111</v>
      </c>
      <c r="AK28" s="63" t="n">
        <f aca="false">IFERROR(AK26/AK27,0)</f>
        <v>2.12114122720462</v>
      </c>
      <c r="AL28" s="63" t="n">
        <f aca="false">IFERROR(AL26/AL27,0)</f>
        <v>2.13443379360827</v>
      </c>
      <c r="AM28" s="63" t="n">
        <f aca="false">AVERAGE(N28:AL28)</f>
        <v>1.98886335207532</v>
      </c>
    </row>
    <row r="29" customFormat="false" ht="15" hidden="false" customHeight="false" outlineLevel="0" collapsed="false">
      <c r="A29" s="37" t="s">
        <v>750</v>
      </c>
      <c r="B29" s="9" t="s">
        <v>84</v>
      </c>
      <c r="C29" s="71" t="n">
        <f aca="false">C13+C15+C27</f>
        <v>3336.98409794519</v>
      </c>
      <c r="D29" s="71" t="n">
        <f aca="false">D13+D15+D27</f>
        <v>3408.98409794519</v>
      </c>
      <c r="E29" s="71" t="n">
        <f aca="false">E13+E15+E27</f>
        <v>48770.8990117647</v>
      </c>
      <c r="F29" s="71" t="n">
        <f aca="false">F13+F15+F27</f>
        <v>27030.4136075294</v>
      </c>
      <c r="G29" s="71" t="n">
        <f aca="false">G13+G15+G27</f>
        <v>22924.0354086024</v>
      </c>
      <c r="H29" s="71" t="n">
        <f aca="false">H13+H15+H27</f>
        <v>20946.4658589237</v>
      </c>
      <c r="I29" s="71" t="n">
        <f aca="false">I13+I15+I27</f>
        <v>19536.4744762075</v>
      </c>
      <c r="J29" s="71" t="n">
        <f aca="false">J13+J15+J27</f>
        <v>18503.9733852088</v>
      </c>
      <c r="K29" s="71" t="n">
        <f aca="false">K13+K15+K27</f>
        <v>17779.4988349818</v>
      </c>
      <c r="L29" s="71" t="n">
        <f aca="false">L13+L15+L27</f>
        <v>17350.6639053822</v>
      </c>
      <c r="M29" s="71" t="n">
        <f aca="false">M13+M15+M27</f>
        <v>17082.6527503095</v>
      </c>
      <c r="N29" s="71" t="n">
        <f aca="false">N13+N15+N27</f>
        <v>16950.202048754</v>
      </c>
      <c r="O29" s="71" t="n">
        <f aca="false">O13+O15+O27</f>
        <v>16920.525910834</v>
      </c>
      <c r="P29" s="71" t="n">
        <f aca="false">P13+P15+P27</f>
        <v>16968.5151911583</v>
      </c>
      <c r="Q29" s="71" t="n">
        <f aca="false">Q13+Q15+Q27</f>
        <v>17075.8489404373</v>
      </c>
      <c r="R29" s="71" t="n">
        <f aca="false">R13+R15+R27</f>
        <v>17229.4000384226</v>
      </c>
      <c r="S29" s="71" t="n">
        <f aca="false">S13+S15+S27</f>
        <v>17419.8893977414</v>
      </c>
      <c r="T29" s="71" t="n">
        <f aca="false">T13+T15+T27</f>
        <v>17640.8641074497</v>
      </c>
      <c r="U29" s="71" t="n">
        <f aca="false">U13+U15+U27</f>
        <v>17887.9400286219</v>
      </c>
      <c r="V29" s="71" t="n">
        <f aca="false">V13+V15+V27</f>
        <v>18158.2466454082</v>
      </c>
      <c r="W29" s="71" t="n">
        <f aca="false">W13+W15+W27</f>
        <v>18450.0229445915</v>
      </c>
      <c r="X29" s="71" t="n">
        <f aca="false">X13+X15+X27</f>
        <v>18762.3246923848</v>
      </c>
      <c r="Y29" s="71" t="n">
        <f aca="false">Y13+Y15+Y27</f>
        <v>19094.8132833187</v>
      </c>
      <c r="Z29" s="71" t="n">
        <f aca="false">Z13+Z15+Z27</f>
        <v>19447.6040548489</v>
      </c>
      <c r="AA29" s="71" t="n">
        <f aca="false">AA13+AA15+AA27</f>
        <v>19821.1578327242</v>
      </c>
      <c r="AB29" s="71" t="n">
        <f aca="false">AB13+AB15+AB27</f>
        <v>20216.2038544811</v>
      </c>
      <c r="AC29" s="71" t="n">
        <f aca="false">AC13+AC15+AC27</f>
        <v>20633.6854523318</v>
      </c>
      <c r="AD29" s="71" t="n">
        <f aca="false">AD13+AD15+AD27</f>
        <v>21074.722246045</v>
      </c>
      <c r="AE29" s="71" t="n">
        <f aca="false">AE13+AE15+AE27</f>
        <v>21540.5843241765</v>
      </c>
      <c r="AF29" s="71" t="n">
        <f aca="false">AF13+AF15+AF27</f>
        <v>22032.675147946</v>
      </c>
      <c r="AG29" s="71" t="n">
        <f aca="false">AG13+AG15+AG27</f>
        <v>22552.5208230603</v>
      </c>
      <c r="AH29" s="71" t="n">
        <f aca="false">AH13+AH15+AH27</f>
        <v>23101.7640446374</v>
      </c>
      <c r="AI29" s="71" t="n">
        <f aca="false">AI13+AI15+AI27</f>
        <v>23682.1614978532</v>
      </c>
      <c r="AJ29" s="71" t="n">
        <f aca="false">AJ13+AJ15+AJ27</f>
        <v>24295.58384225</v>
      </c>
      <c r="AK29" s="71" t="n">
        <f aca="false">AK13+AK15+AK27</f>
        <v>24944.0176573114</v>
      </c>
      <c r="AL29" s="71" t="n">
        <f aca="false">AL13+AL15+AL27</f>
        <v>25629.5689074542</v>
      </c>
      <c r="AM29" s="71" t="n">
        <f aca="false">SUM(C29:AL29)</f>
        <v>718201.888349043</v>
      </c>
    </row>
    <row r="30" customFormat="false" ht="15" hidden="false" customHeight="false" outlineLevel="0" collapsed="false">
      <c r="A30" s="10" t="s">
        <v>751</v>
      </c>
      <c r="B30" s="9" t="s">
        <v>51</v>
      </c>
      <c r="C30" s="61" t="n">
        <f aca="false">C8*Assumptions!$D$47*Assumptions!$D$48^C10</f>
        <v>0</v>
      </c>
      <c r="D30" s="61" t="n">
        <f aca="false">D8*Assumptions!$D$47*Assumptions!$D$48^D10</f>
        <v>0</v>
      </c>
      <c r="E30" s="61" t="n">
        <f aca="false">E8*Assumptions!$D$47*Assumptions!$D$48^E10</f>
        <v>600</v>
      </c>
      <c r="F30" s="61" t="n">
        <f aca="false">F8*Assumptions!$D$47*Assumptions!$D$48^F10</f>
        <v>750</v>
      </c>
      <c r="G30" s="61" t="n">
        <f aca="false">G8*Assumptions!$D$47*Assumptions!$D$48^G10</f>
        <v>937.5</v>
      </c>
      <c r="H30" s="61" t="n">
        <f aca="false">H8*Assumptions!$D$47*Assumptions!$D$48^H10</f>
        <v>1171.875</v>
      </c>
      <c r="I30" s="61" t="n">
        <f aca="false">I8*Assumptions!$D$47*Assumptions!$D$48^I10</f>
        <v>1464.84375</v>
      </c>
      <c r="J30" s="61" t="n">
        <f aca="false">J8*Assumptions!$D$47*Assumptions!$D$48^J10</f>
        <v>1831.0546875</v>
      </c>
      <c r="K30" s="61" t="n">
        <f aca="false">K8*Assumptions!$D$47*Assumptions!$D$48^K10</f>
        <v>2288.818359375</v>
      </c>
      <c r="L30" s="61" t="n">
        <f aca="false">L8*Assumptions!$D$47*Assumptions!$D$48^L10</f>
        <v>2861.02294921875</v>
      </c>
      <c r="M30" s="61" t="n">
        <f aca="false">M8*Assumptions!$D$47*Assumptions!$D$48^M10</f>
        <v>3576.27868652344</v>
      </c>
      <c r="N30" s="61" t="n">
        <f aca="false">N8*Assumptions!$D$47*Assumptions!$D$48^N10</f>
        <v>4470.3483581543</v>
      </c>
      <c r="O30" s="61" t="n">
        <f aca="false">O8*Assumptions!$D$47*Assumptions!$D$48^O10</f>
        <v>5587.93544769287</v>
      </c>
      <c r="P30" s="61" t="n">
        <f aca="false">P8*Assumptions!$D$47*Assumptions!$D$48^P10</f>
        <v>6984.91930961609</v>
      </c>
      <c r="Q30" s="61" t="n">
        <f aca="false">Q8*Assumptions!$D$47*Assumptions!$D$48^Q10</f>
        <v>8731.14913702011</v>
      </c>
      <c r="R30" s="61" t="n">
        <f aca="false">R8*Assumptions!$D$47*Assumptions!$D$48^R10</f>
        <v>10913.9364212751</v>
      </c>
      <c r="S30" s="61" t="n">
        <f aca="false">S8*Assumptions!$D$47*Assumptions!$D$48^S10</f>
        <v>13642.4205265939</v>
      </c>
      <c r="T30" s="61" t="n">
        <f aca="false">T8*Assumptions!$D$47*Assumptions!$D$48^T10</f>
        <v>17053.0256582424</v>
      </c>
      <c r="U30" s="61" t="n">
        <f aca="false">U8*Assumptions!$D$47*Assumptions!$D$48^U10</f>
        <v>21316.282072803</v>
      </c>
      <c r="V30" s="61" t="n">
        <f aca="false">V8*Assumptions!$D$47*Assumptions!$D$48^V10</f>
        <v>26645.3525910038</v>
      </c>
      <c r="W30" s="61" t="n">
        <f aca="false">W8*Assumptions!$D$47*Assumptions!$D$48^W10</f>
        <v>33306.6907387547</v>
      </c>
      <c r="X30" s="61" t="n">
        <f aca="false">X8*Assumptions!$D$47*Assumptions!$D$48^X10</f>
        <v>41633.3634234434</v>
      </c>
      <c r="Y30" s="61" t="n">
        <f aca="false">Y8*Assumptions!$D$47*Assumptions!$D$48^Y10</f>
        <v>52041.7042793042</v>
      </c>
      <c r="Z30" s="61" t="n">
        <f aca="false">Z8*Assumptions!$D$47*Assumptions!$D$48^Z10</f>
        <v>65052.1303491303</v>
      </c>
      <c r="AA30" s="61" t="n">
        <f aca="false">AA8*Assumptions!$D$47*Assumptions!$D$48^AA10</f>
        <v>81315.1629364128</v>
      </c>
      <c r="AB30" s="61" t="n">
        <f aca="false">AB8*Assumptions!$D$47*Assumptions!$D$48^AB10</f>
        <v>101643.953670516</v>
      </c>
      <c r="AC30" s="61" t="n">
        <f aca="false">AC8*Assumptions!$D$47*Assumptions!$D$48^AC10</f>
        <v>127054.942088145</v>
      </c>
      <c r="AD30" s="61" t="n">
        <f aca="false">AD8*Assumptions!$D$47*Assumptions!$D$48^AD10</f>
        <v>158818.677610181</v>
      </c>
      <c r="AE30" s="61" t="n">
        <f aca="false">AE8*Assumptions!$D$47*Assumptions!$D$48^AE10</f>
        <v>198523.347012727</v>
      </c>
      <c r="AF30" s="61" t="n">
        <f aca="false">AF8*Assumptions!$D$47*Assumptions!$D$48^AF10</f>
        <v>248154.183765908</v>
      </c>
      <c r="AG30" s="61" t="n">
        <f aca="false">AG8*Assumptions!$D$47*Assumptions!$D$48^AG10</f>
        <v>310192.729707385</v>
      </c>
      <c r="AH30" s="61" t="n">
        <f aca="false">AH8*Assumptions!$D$47*Assumptions!$D$48^AH10</f>
        <v>387740.912134232</v>
      </c>
      <c r="AI30" s="61" t="n">
        <f aca="false">AI8*Assumptions!$D$47*Assumptions!$D$48^AI10</f>
        <v>484676.14016779</v>
      </c>
      <c r="AJ30" s="61" t="n">
        <f aca="false">AJ8*Assumptions!$D$47*Assumptions!$D$48^AJ10</f>
        <v>605845.175209737</v>
      </c>
      <c r="AK30" s="61" t="n">
        <f aca="false">AK8*Assumptions!$D$47*Assumptions!$D$48^AK10</f>
        <v>757306.469012171</v>
      </c>
      <c r="AL30" s="61" t="n">
        <f aca="false">AL8*Assumptions!$D$47*Assumptions!$D$48^AL10</f>
        <v>946633.086265214</v>
      </c>
      <c r="AM30" s="61" t="n">
        <f aca="false">AL30</f>
        <v>946633.086265214</v>
      </c>
    </row>
    <row r="31" customFormat="false" ht="15" hidden="false" customHeight="false" outlineLevel="0" collapsed="false">
      <c r="A31" s="10" t="s">
        <v>752</v>
      </c>
      <c r="B31" s="9" t="s">
        <v>51</v>
      </c>
      <c r="C31" s="61" t="n">
        <f aca="false">Assumptions!$D$49*C8*(C15+C13*Assumptions!$D$44+C19*Assumptions!$D$31*Assumptions!$D$32+C23*Assumptions!$D$38*Assumptions!$D$39+C25*Assumptions!$D$43)</f>
        <v>0</v>
      </c>
      <c r="D31" s="61" t="n">
        <f aca="false">Assumptions!$D$49*D8*(D15+D13*Assumptions!$D$44+D19*Assumptions!$D$31*Assumptions!$D$32+D23*Assumptions!$D$38*Assumptions!$D$39+D25*Assumptions!$D$43)</f>
        <v>0</v>
      </c>
      <c r="E31" s="61" t="n">
        <f aca="false">Assumptions!$D$49*E8*(E15+E13*Assumptions!$D$44+E19*Assumptions!$D$31*Assumptions!$D$32+E23*Assumptions!$D$38*Assumptions!$D$39+E25*Assumptions!$D$43)</f>
        <v>623.449046007059</v>
      </c>
      <c r="F31" s="61" t="n">
        <f aca="false">Assumptions!$D$49*F8*(F15+F13*Assumptions!$D$44+F19*Assumptions!$D$31*Assumptions!$D$32+F23*Assumptions!$D$38*Assumptions!$D$39+F25*Assumptions!$D$43)</f>
        <v>305.811280888518</v>
      </c>
      <c r="G31" s="61" t="n">
        <f aca="false">Assumptions!$D$49*G8*(G15+G13*Assumptions!$D$44+G19*Assumptions!$D$31*Assumptions!$D$32+G23*Assumptions!$D$38*Assumptions!$D$39+G25*Assumptions!$D$43)</f>
        <v>257.911276535481</v>
      </c>
      <c r="H31" s="61" t="n">
        <f aca="false">Assumptions!$D$49*H8*(H15+H13*Assumptions!$D$44+H19*Assumptions!$D$31*Assumptions!$D$32+H23*Assumptions!$D$38*Assumptions!$D$39+H25*Assumptions!$D$43)</f>
        <v>230.670120338208</v>
      </c>
      <c r="I31" s="61" t="n">
        <f aca="false">Assumptions!$D$49*I8*(I15+I13*Assumptions!$D$44+I19*Assumptions!$D$31*Assumptions!$D$32+I23*Assumptions!$D$38*Assumptions!$D$39+I25*Assumptions!$D$43)</f>
        <v>213.506499687619</v>
      </c>
      <c r="J31" s="61" t="n">
        <f aca="false">Assumptions!$D$49*J8*(J15+J13*Assumptions!$D$44+J19*Assumptions!$D$31*Assumptions!$D$32+J23*Assumptions!$D$38*Assumptions!$D$39+J25*Assumptions!$D$43)</f>
        <v>200.966812484987</v>
      </c>
      <c r="K31" s="61" t="n">
        <f aca="false">Assumptions!$D$49*K8*(K15+K13*Assumptions!$D$44+K19*Assumptions!$D$31*Assumptions!$D$32+K23*Assumptions!$D$38*Assumptions!$D$39+K25*Assumptions!$D$43)</f>
        <v>192.133715019345</v>
      </c>
      <c r="L31" s="61" t="n">
        <f aca="false">Assumptions!$D$49*L8*(L15+L13*Assumptions!$D$44+L19*Assumptions!$D$31*Assumptions!$D$32+L23*Assumptions!$D$38*Assumptions!$D$39+L25*Assumptions!$D$43)</f>
        <v>186.690225998422</v>
      </c>
      <c r="M31" s="61" t="n">
        <f aca="false">Assumptions!$D$49*M8*(M15+M13*Assumptions!$D$44+M19*Assumptions!$D$31*Assumptions!$D$32+M23*Assumptions!$D$38*Assumptions!$D$39+M25*Assumptions!$D$43)</f>
        <v>183.130851636311</v>
      </c>
      <c r="N31" s="61" t="n">
        <f aca="false">Assumptions!$D$49*N8*(N15+N13*Assumptions!$D$44+N19*Assumptions!$D$31*Assumptions!$D$32+N23*Assumptions!$D$38*Assumptions!$D$39+N25*Assumptions!$D$43)</f>
        <v>181.15085497772</v>
      </c>
      <c r="O31" s="61" t="n">
        <f aca="false">Assumptions!$D$49*O8*(O15+O13*Assumptions!$D$44+O19*Assumptions!$D$31*Assumptions!$D$32+O23*Assumptions!$D$38*Assumptions!$D$39+O25*Assumptions!$D$43)</f>
        <v>180.349956756166</v>
      </c>
      <c r="P31" s="61" t="n">
        <f aca="false">Assumptions!$D$49*P8*(P15+P13*Assumptions!$D$44+P19*Assumptions!$D$31*Assumptions!$D$32+P23*Assumptions!$D$38*Assumptions!$D$39+P25*Assumptions!$D$43)</f>
        <v>180.432007236901</v>
      </c>
      <c r="Q31" s="61" t="n">
        <f aca="false">Assumptions!$D$49*Q8*(Q15+Q13*Assumptions!$D$44+Q19*Assumptions!$D$31*Assumptions!$D$32+Q23*Assumptions!$D$38*Assumptions!$D$39+Q25*Assumptions!$D$43)</f>
        <v>181.182075588537</v>
      </c>
      <c r="R31" s="61" t="n">
        <f aca="false">Assumptions!$D$49*R8*(R15+R13*Assumptions!$D$44+R19*Assumptions!$D$31*Assumptions!$D$32+R23*Assumptions!$D$38*Assumptions!$D$39+R25*Assumptions!$D$43)</f>
        <v>182.446158452779</v>
      </c>
      <c r="S31" s="61" t="n">
        <f aca="false">Assumptions!$D$49*S8*(S15+S13*Assumptions!$D$44+S19*Assumptions!$D$31*Assumptions!$D$32+S23*Assumptions!$D$38*Assumptions!$D$39+S25*Assumptions!$D$43)</f>
        <v>184.115055501406</v>
      </c>
      <c r="T31" s="61" t="n">
        <f aca="false">Assumptions!$D$49*T8*(T15+T13*Assumptions!$D$44+T19*Assumptions!$D$31*Assumptions!$D$32+T23*Assumptions!$D$38*Assumptions!$D$39+T25*Assumptions!$D$43)</f>
        <v>186.112327123138</v>
      </c>
      <c r="U31" s="61" t="n">
        <f aca="false">Assumptions!$D$49*U8*(U15+U13*Assumptions!$D$44+U19*Assumptions!$D$31*Assumptions!$D$32+U23*Assumptions!$D$38*Assumptions!$D$39+U25*Assumptions!$D$43)</f>
        <v>188.385432941369</v>
      </c>
      <c r="V31" s="61" t="n">
        <f aca="false">Assumptions!$D$49*V8*(V15+V13*Assumptions!$D$44+V19*Assumptions!$D$31*Assumptions!$D$32+V23*Assumptions!$D$38*Assumptions!$D$39+V25*Assumptions!$D$43)</f>
        <v>190.899263856978</v>
      </c>
      <c r="W31" s="61" t="n">
        <f aca="false">Assumptions!$D$49*W8*(W15+W13*Assumptions!$D$44+W19*Assumptions!$D$31*Assumptions!$D$32+W23*Assumptions!$D$38*Assumptions!$D$39+W25*Assumptions!$D$43)</f>
        <v>193.631445713197</v>
      </c>
      <c r="X31" s="61" t="n">
        <f aca="false">Assumptions!$D$49*X8*(X15+X13*Assumptions!$D$44+X19*Assumptions!$D$31*Assumptions!$D$32+X23*Assumptions!$D$38*Assumptions!$D$39+X25*Assumptions!$D$43)</f>
        <v>196.568942466185</v>
      </c>
      <c r="Y31" s="61" t="n">
        <f aca="false">Assumptions!$D$49*Y8*(Y15+Y13*Assumptions!$D$44+Y19*Assumptions!$D$31*Assumptions!$D$32+Y23*Assumptions!$D$38*Assumptions!$D$39+Y25*Assumptions!$D$43)</f>
        <v>199.705607366466</v>
      </c>
      <c r="Z31" s="61" t="n">
        <f aca="false">Assumptions!$D$49*Z8*(Z15+Z13*Assumptions!$D$44+Z19*Assumptions!$D$31*Assumptions!$D$32+Z23*Assumptions!$D$38*Assumptions!$D$39+Z25*Assumptions!$D$43)</f>
        <v>203.040423379344</v>
      </c>
      <c r="AA31" s="61" t="n">
        <f aca="false">Assumptions!$D$49*AA8*(AA15+AA13*Assumptions!$D$44+AA19*Assumptions!$D$31*Assumptions!$D$32+AA23*Assumptions!$D$38*Assumptions!$D$39+AA25*Assumptions!$D$43)</f>
        <v>206.576243651933</v>
      </c>
      <c r="AB31" s="61" t="n">
        <f aca="false">Assumptions!$D$49*AB8*(AB15+AB13*Assumptions!$D$44+AB19*Assumptions!$D$31*Assumptions!$D$32+AB23*Assumptions!$D$38*Assumptions!$D$39+AB25*Assumptions!$D$43)</f>
        <v>210.318894328205</v>
      </c>
      <c r="AC31" s="61" t="n">
        <f aca="false">Assumptions!$D$49*AC8*(AC15+AC13*Assumptions!$D$44+AC19*Assumptions!$D$31*Assumptions!$D$32+AC23*Assumptions!$D$38*Assumptions!$D$39+AC25*Assumptions!$D$43)</f>
        <v>214.276539799917</v>
      </c>
      <c r="AD31" s="61" t="n">
        <f aca="false">Assumptions!$D$49*AD8*(AD15+AD13*Assumptions!$D$44+AD19*Assumptions!$D$31*Assumptions!$D$32+AD23*Assumptions!$D$38*Assumptions!$D$39+AD25*Assumptions!$D$43)</f>
        <v>218.459238058587</v>
      </c>
      <c r="AE31" s="61" t="n">
        <f aca="false">Assumptions!$D$49*AE8*(AE15+AE13*Assumptions!$D$44+AE19*Assumptions!$D$31*Assumptions!$D$32+AE23*Assumptions!$D$38*Assumptions!$D$39+AE25*Assumptions!$D$43)</f>
        <v>222.87863386778</v>
      </c>
      <c r="AF31" s="61" t="n">
        <f aca="false">Assumptions!$D$49*AF8*(AF15+AF13*Assumptions!$D$44+AF19*Assumptions!$D$31*Assumptions!$D$32+AF23*Assumptions!$D$38*Assumptions!$D$39+AF25*Assumptions!$D$43)</f>
        <v>227.54775202287</v>
      </c>
      <c r="AG31" s="61" t="n">
        <f aca="false">Assumptions!$D$49*AG8*(AG15+AG13*Assumptions!$D$44+AG19*Assumptions!$D$31*Assumptions!$D$32+AG23*Assumptions!$D$38*Assumptions!$D$39+AG25*Assumptions!$D$43)</f>
        <v>232.480863501352</v>
      </c>
      <c r="AH31" s="61" t="n">
        <f aca="false">Assumptions!$D$49*AH8*(AH15+AH13*Assumptions!$D$44+AH19*Assumptions!$D$31*Assumptions!$D$32+AH23*Assumptions!$D$38*Assumptions!$D$39+AH25*Assumptions!$D$43)</f>
        <v>237.693404928667</v>
      </c>
      <c r="AI31" s="61" t="n">
        <f aca="false">Assumptions!$D$49*AI8*(AI15+AI13*Assumptions!$D$44+AI19*Assumptions!$D$31*Assumptions!$D$32+AI23*Assumptions!$D$38*Assumptions!$D$39+AI25*Assumptions!$D$43)</f>
        <v>243.201937294094</v>
      </c>
      <c r="AJ31" s="61" t="n">
        <f aca="false">Assumptions!$D$49*AJ8*(AJ15+AJ13*Assumptions!$D$44+AJ19*Assumptions!$D$31*Assumptions!$D$32+AJ23*Assumptions!$D$38*Assumptions!$D$39+AJ25*Assumptions!$D$43)</f>
        <v>249.024133832334</v>
      </c>
      <c r="AK31" s="61" t="n">
        <f aca="false">Assumptions!$D$49*AK8*(AK15+AK13*Assumptions!$D$44+AK19*Assumptions!$D$31*Assumptions!$D$32+AK23*Assumptions!$D$38*Assumptions!$D$39+AK25*Assumptions!$D$43)</f>
        <v>255.178789862474</v>
      </c>
      <c r="AL31" s="61" t="n">
        <f aca="false">Assumptions!$D$49*AL8*(AL15+AL13*Assumptions!$D$44+AL19*Assumptions!$D$31*Assumptions!$D$32+AL23*Assumptions!$D$38*Assumptions!$D$39+AL25*Assumptions!$D$43)</f>
        <v>261.685849454042</v>
      </c>
      <c r="AM31" s="61" t="n">
        <f aca="false">SUM(C31:AL31)</f>
        <v>7621.61166055839</v>
      </c>
    </row>
    <row r="32" customFormat="false" ht="15" hidden="false" customHeight="false" outlineLevel="0" collapsed="false">
      <c r="A32" s="37" t="s">
        <v>753</v>
      </c>
      <c r="B32" s="9" t="s">
        <v>51</v>
      </c>
      <c r="C32" s="71" t="n">
        <f aca="false">MIN(C31,C30)</f>
        <v>0</v>
      </c>
      <c r="D32" s="71" t="n">
        <f aca="false">MIN(D31,D30)</f>
        <v>0</v>
      </c>
      <c r="E32" s="71" t="n">
        <f aca="false">MIN(E31,E30)</f>
        <v>600</v>
      </c>
      <c r="F32" s="71" t="n">
        <f aca="false">MIN(F31,F30)</f>
        <v>305.811280888518</v>
      </c>
      <c r="G32" s="71" t="n">
        <f aca="false">MIN(G31,G30)</f>
        <v>257.911276535481</v>
      </c>
      <c r="H32" s="71" t="n">
        <f aca="false">MIN(H31,H30)</f>
        <v>230.670120338208</v>
      </c>
      <c r="I32" s="71" t="n">
        <f aca="false">MIN(I31,I30)</f>
        <v>213.506499687619</v>
      </c>
      <c r="J32" s="71" t="n">
        <f aca="false">MIN(J31,J30)</f>
        <v>200.966812484987</v>
      </c>
      <c r="K32" s="71" t="n">
        <f aca="false">MIN(K31,K30)</f>
        <v>192.133715019345</v>
      </c>
      <c r="L32" s="71" t="n">
        <f aca="false">MIN(L31,L30)</f>
        <v>186.690225998422</v>
      </c>
      <c r="M32" s="71" t="n">
        <f aca="false">MIN(M31,M30)</f>
        <v>183.130851636311</v>
      </c>
      <c r="N32" s="71" t="n">
        <f aca="false">MIN(N31,N30)</f>
        <v>181.15085497772</v>
      </c>
      <c r="O32" s="71" t="n">
        <f aca="false">MIN(O31,O30)</f>
        <v>180.349956756166</v>
      </c>
      <c r="P32" s="71" t="n">
        <f aca="false">MIN(P31,P30)</f>
        <v>180.432007236901</v>
      </c>
      <c r="Q32" s="71" t="n">
        <f aca="false">MIN(Q31,Q30)</f>
        <v>181.182075588537</v>
      </c>
      <c r="R32" s="71" t="n">
        <f aca="false">MIN(R31,R30)</f>
        <v>182.446158452779</v>
      </c>
      <c r="S32" s="71" t="n">
        <f aca="false">MIN(S31,S30)</f>
        <v>184.115055501406</v>
      </c>
      <c r="T32" s="71" t="n">
        <f aca="false">MIN(T31,T30)</f>
        <v>186.112327123138</v>
      </c>
      <c r="U32" s="71" t="n">
        <f aca="false">MIN(U31,U30)</f>
        <v>188.385432941369</v>
      </c>
      <c r="V32" s="71" t="n">
        <f aca="false">MIN(V31,V30)</f>
        <v>190.899263856978</v>
      </c>
      <c r="W32" s="71" t="n">
        <f aca="false">MIN(W31,W30)</f>
        <v>193.631445713197</v>
      </c>
      <c r="X32" s="71" t="n">
        <f aca="false">MIN(X31,X30)</f>
        <v>196.568942466185</v>
      </c>
      <c r="Y32" s="71" t="n">
        <f aca="false">MIN(Y31,Y30)</f>
        <v>199.705607366466</v>
      </c>
      <c r="Z32" s="71" t="n">
        <f aca="false">MIN(Z31,Z30)</f>
        <v>203.040423379344</v>
      </c>
      <c r="AA32" s="71" t="n">
        <f aca="false">MIN(AA31,AA30)</f>
        <v>206.576243651933</v>
      </c>
      <c r="AB32" s="71" t="n">
        <f aca="false">MIN(AB31,AB30)</f>
        <v>210.318894328205</v>
      </c>
      <c r="AC32" s="71" t="n">
        <f aca="false">MIN(AC31,AC30)</f>
        <v>214.276539799917</v>
      </c>
      <c r="AD32" s="71" t="n">
        <f aca="false">MIN(AD31,AD30)</f>
        <v>218.459238058587</v>
      </c>
      <c r="AE32" s="71" t="n">
        <f aca="false">MIN(AE31,AE30)</f>
        <v>222.87863386778</v>
      </c>
      <c r="AF32" s="71" t="n">
        <f aca="false">MIN(AF31,AF30)</f>
        <v>227.54775202287</v>
      </c>
      <c r="AG32" s="71" t="n">
        <f aca="false">MIN(AG31,AG30)</f>
        <v>232.480863501352</v>
      </c>
      <c r="AH32" s="71" t="n">
        <f aca="false">MIN(AH31,AH30)</f>
        <v>237.693404928667</v>
      </c>
      <c r="AI32" s="71" t="n">
        <f aca="false">MIN(AI31,AI30)</f>
        <v>243.201937294094</v>
      </c>
      <c r="AJ32" s="71" t="n">
        <f aca="false">MIN(AJ31,AJ30)</f>
        <v>249.024133832334</v>
      </c>
      <c r="AK32" s="71" t="n">
        <f aca="false">MIN(AK31,AK30)</f>
        <v>255.178789862474</v>
      </c>
      <c r="AL32" s="71" t="n">
        <f aca="false">MIN(AL31,AL30)</f>
        <v>261.685849454042</v>
      </c>
      <c r="AM32" s="71" t="n">
        <f aca="false">SUM(C32:AL32)</f>
        <v>7598.16261455133</v>
      </c>
    </row>
    <row r="33" customFormat="false" ht="15" hidden="false" customHeight="false" outlineLevel="0" collapsed="false">
      <c r="A33" s="10" t="s">
        <v>754</v>
      </c>
      <c r="B33" s="9" t="s">
        <v>51</v>
      </c>
      <c r="C33" s="61" t="n">
        <f aca="false">MAX(0,C31-C30)</f>
        <v>0</v>
      </c>
      <c r="D33" s="61" t="n">
        <f aca="false">MAX(0,D31-D30)</f>
        <v>0</v>
      </c>
      <c r="E33" s="61" t="n">
        <f aca="false">MAX(0,E31-E30)</f>
        <v>23.4490460070588</v>
      </c>
      <c r="F33" s="61" t="n">
        <f aca="false">MAX(0,F31-F30)</f>
        <v>0</v>
      </c>
      <c r="G33" s="61" t="n">
        <f aca="false">MAX(0,G31-G30)</f>
        <v>0</v>
      </c>
      <c r="H33" s="61" t="n">
        <f aca="false">MAX(0,H31-H30)</f>
        <v>0</v>
      </c>
      <c r="I33" s="61" t="n">
        <f aca="false">MAX(0,I31-I30)</f>
        <v>0</v>
      </c>
      <c r="J33" s="61" t="n">
        <f aca="false">MAX(0,J31-J30)</f>
        <v>0</v>
      </c>
      <c r="K33" s="61" t="n">
        <f aca="false">MAX(0,K31-K30)</f>
        <v>0</v>
      </c>
      <c r="L33" s="61" t="n">
        <f aca="false">MAX(0,L31-L30)</f>
        <v>0</v>
      </c>
      <c r="M33" s="61" t="n">
        <f aca="false">MAX(0,M31-M30)</f>
        <v>0</v>
      </c>
      <c r="N33" s="61" t="n">
        <f aca="false">MAX(0,N31-N30)</f>
        <v>0</v>
      </c>
      <c r="O33" s="61" t="n">
        <f aca="false">MAX(0,O31-O30)</f>
        <v>0</v>
      </c>
      <c r="P33" s="61" t="n">
        <f aca="false">MAX(0,P31-P30)</f>
        <v>0</v>
      </c>
      <c r="Q33" s="61" t="n">
        <f aca="false">MAX(0,Q31-Q30)</f>
        <v>0</v>
      </c>
      <c r="R33" s="61" t="n">
        <f aca="false">MAX(0,R31-R30)</f>
        <v>0</v>
      </c>
      <c r="S33" s="61" t="n">
        <f aca="false">MAX(0,S31-S30)</f>
        <v>0</v>
      </c>
      <c r="T33" s="61" t="n">
        <f aca="false">MAX(0,T31-T30)</f>
        <v>0</v>
      </c>
      <c r="U33" s="61" t="n">
        <f aca="false">MAX(0,U31-U30)</f>
        <v>0</v>
      </c>
      <c r="V33" s="61" t="n">
        <f aca="false">MAX(0,V31-V30)</f>
        <v>0</v>
      </c>
      <c r="W33" s="61" t="n">
        <f aca="false">MAX(0,W31-W30)</f>
        <v>0</v>
      </c>
      <c r="X33" s="61" t="n">
        <f aca="false">MAX(0,X31-X30)</f>
        <v>0</v>
      </c>
      <c r="Y33" s="61" t="n">
        <f aca="false">MAX(0,Y31-Y30)</f>
        <v>0</v>
      </c>
      <c r="Z33" s="61" t="n">
        <f aca="false">MAX(0,Z31-Z30)</f>
        <v>0</v>
      </c>
      <c r="AA33" s="61" t="n">
        <f aca="false">MAX(0,AA31-AA30)</f>
        <v>0</v>
      </c>
      <c r="AB33" s="61" t="n">
        <f aca="false">MAX(0,AB31-AB30)</f>
        <v>0</v>
      </c>
      <c r="AC33" s="61" t="n">
        <f aca="false">MAX(0,AC31-AC30)</f>
        <v>0</v>
      </c>
      <c r="AD33" s="61" t="n">
        <f aca="false">MAX(0,AD31-AD30)</f>
        <v>0</v>
      </c>
      <c r="AE33" s="61" t="n">
        <f aca="false">MAX(0,AE31-AE30)</f>
        <v>0</v>
      </c>
      <c r="AF33" s="61" t="n">
        <f aca="false">MAX(0,AF31-AF30)</f>
        <v>0</v>
      </c>
      <c r="AG33" s="61" t="n">
        <f aca="false">MAX(0,AG31-AG30)</f>
        <v>0</v>
      </c>
      <c r="AH33" s="61" t="n">
        <f aca="false">MAX(0,AH31-AH30)</f>
        <v>0</v>
      </c>
      <c r="AI33" s="61" t="n">
        <f aca="false">MAX(0,AI31-AI30)</f>
        <v>0</v>
      </c>
      <c r="AJ33" s="61" t="n">
        <f aca="false">MAX(0,AJ31-AJ30)</f>
        <v>0</v>
      </c>
      <c r="AK33" s="61" t="n">
        <f aca="false">MAX(0,AK31-AK30)</f>
        <v>0</v>
      </c>
      <c r="AL33" s="61" t="n">
        <f aca="false">MAX(0,AL31-AL30)</f>
        <v>0</v>
      </c>
      <c r="AM33" s="61" t="n">
        <f aca="false">SUM(C33:AL33)</f>
        <v>23.4490460070588</v>
      </c>
    </row>
    <row r="34" customFormat="false" ht="15" hidden="false" customHeight="false" outlineLevel="0" collapsed="false">
      <c r="A34" s="10" t="s">
        <v>755</v>
      </c>
      <c r="B34" s="9" t="s">
        <v>51</v>
      </c>
      <c r="C34" s="61" t="n">
        <f aca="false">C32*Assumptions!$D$51</f>
        <v>0</v>
      </c>
      <c r="D34" s="61" t="n">
        <f aca="false">D32*Assumptions!$D$51</f>
        <v>0</v>
      </c>
      <c r="E34" s="61" t="n">
        <f aca="false">E32*Assumptions!$D$51</f>
        <v>180</v>
      </c>
      <c r="F34" s="61" t="n">
        <f aca="false">F32*Assumptions!$D$51</f>
        <v>91.7433842665553</v>
      </c>
      <c r="G34" s="61" t="n">
        <f aca="false">G32*Assumptions!$D$51</f>
        <v>77.3733829606444</v>
      </c>
      <c r="H34" s="61" t="n">
        <f aca="false">H32*Assumptions!$D$51</f>
        <v>69.2010361014623</v>
      </c>
      <c r="I34" s="61" t="n">
        <f aca="false">I32*Assumptions!$D$51</f>
        <v>64.0519499062858</v>
      </c>
      <c r="J34" s="61" t="n">
        <f aca="false">J32*Assumptions!$D$51</f>
        <v>60.290043745496</v>
      </c>
      <c r="K34" s="61" t="n">
        <f aca="false">K32*Assumptions!$D$51</f>
        <v>57.6401145058035</v>
      </c>
      <c r="L34" s="61" t="n">
        <f aca="false">L32*Assumptions!$D$51</f>
        <v>56.0070677995265</v>
      </c>
      <c r="M34" s="61" t="n">
        <f aca="false">M32*Assumptions!$D$51</f>
        <v>54.9392554908934</v>
      </c>
      <c r="N34" s="61" t="n">
        <f aca="false">N32*Assumptions!$D$51</f>
        <v>54.3452564933159</v>
      </c>
      <c r="O34" s="61" t="n">
        <f aca="false">O32*Assumptions!$D$51</f>
        <v>54.1049870268499</v>
      </c>
      <c r="P34" s="61" t="n">
        <f aca="false">P32*Assumptions!$D$51</f>
        <v>54.1296021710703</v>
      </c>
      <c r="Q34" s="61" t="n">
        <f aca="false">Q32*Assumptions!$D$51</f>
        <v>54.3546226765611</v>
      </c>
      <c r="R34" s="61" t="n">
        <f aca="false">R32*Assumptions!$D$51</f>
        <v>54.7338475358338</v>
      </c>
      <c r="S34" s="61" t="n">
        <f aca="false">S32*Assumptions!$D$51</f>
        <v>55.2345166504218</v>
      </c>
      <c r="T34" s="61" t="n">
        <f aca="false">T32*Assumptions!$D$51</f>
        <v>55.8336981369414</v>
      </c>
      <c r="U34" s="61" t="n">
        <f aca="false">U32*Assumptions!$D$51</f>
        <v>56.5156298824105</v>
      </c>
      <c r="V34" s="61" t="n">
        <f aca="false">V32*Assumptions!$D$51</f>
        <v>57.2697791570935</v>
      </c>
      <c r="W34" s="61" t="n">
        <f aca="false">W32*Assumptions!$D$51</f>
        <v>58.089433713959</v>
      </c>
      <c r="X34" s="61" t="n">
        <f aca="false">X32*Assumptions!$D$51</f>
        <v>58.9706827398554</v>
      </c>
      <c r="Y34" s="61" t="n">
        <f aca="false">Y32*Assumptions!$D$51</f>
        <v>59.9116822099399</v>
      </c>
      <c r="Z34" s="61" t="n">
        <f aca="false">Z32*Assumptions!$D$51</f>
        <v>60.9121270138033</v>
      </c>
      <c r="AA34" s="61" t="n">
        <f aca="false">AA32*Assumptions!$D$51</f>
        <v>61.97287309558</v>
      </c>
      <c r="AB34" s="61" t="n">
        <f aca="false">AB32*Assumptions!$D$51</f>
        <v>63.0956682984615</v>
      </c>
      <c r="AC34" s="61" t="n">
        <f aca="false">AC32*Assumptions!$D$51</f>
        <v>64.2829619399752</v>
      </c>
      <c r="AD34" s="61" t="n">
        <f aca="false">AD32*Assumptions!$D$51</f>
        <v>65.537771417576</v>
      </c>
      <c r="AE34" s="61" t="n">
        <f aca="false">AE32*Assumptions!$D$51</f>
        <v>66.863590160334</v>
      </c>
      <c r="AF34" s="61" t="n">
        <f aca="false">AF32*Assumptions!$D$51</f>
        <v>68.264325606861</v>
      </c>
      <c r="AG34" s="61" t="n">
        <f aca="false">AG32*Assumptions!$D$51</f>
        <v>69.7442590504055</v>
      </c>
      <c r="AH34" s="61" t="n">
        <f aca="false">AH32*Assumptions!$D$51</f>
        <v>71.3080214786</v>
      </c>
      <c r="AI34" s="61" t="n">
        <f aca="false">AI32*Assumptions!$D$51</f>
        <v>72.9605811882282</v>
      </c>
      <c r="AJ34" s="61" t="n">
        <f aca="false">AJ32*Assumptions!$D$51</f>
        <v>74.7072401497003</v>
      </c>
      <c r="AK34" s="61" t="n">
        <f aca="false">AK32*Assumptions!$D$51</f>
        <v>76.5536369587423</v>
      </c>
      <c r="AL34" s="61" t="n">
        <f aca="false">AL32*Assumptions!$D$51</f>
        <v>78.5057548362125</v>
      </c>
      <c r="AM34" s="61" t="n">
        <f aca="false">SUM(C34:AL34)</f>
        <v>2279.4487843654</v>
      </c>
    </row>
    <row r="35" customFormat="false" ht="15" hidden="false" customHeight="false" outlineLevel="0" collapsed="false">
      <c r="A35" s="10" t="s">
        <v>756</v>
      </c>
      <c r="B35" s="9" t="s">
        <v>51</v>
      </c>
      <c r="C35" s="61" t="n">
        <f aca="false">C32*(1-Assumptions!$D$51)</f>
        <v>0</v>
      </c>
      <c r="D35" s="61" t="n">
        <f aca="false">D32*(1-Assumptions!$D$51)</f>
        <v>0</v>
      </c>
      <c r="E35" s="61" t="n">
        <f aca="false">E32*(1-Assumptions!$D$51)</f>
        <v>420</v>
      </c>
      <c r="F35" s="61" t="n">
        <f aca="false">F32*(1-Assumptions!$D$51)</f>
        <v>214.067896621962</v>
      </c>
      <c r="G35" s="61" t="n">
        <f aca="false">G32*(1-Assumptions!$D$51)</f>
        <v>180.537893574837</v>
      </c>
      <c r="H35" s="61" t="n">
        <f aca="false">H32*(1-Assumptions!$D$51)</f>
        <v>161.469084236745</v>
      </c>
      <c r="I35" s="61" t="n">
        <f aca="false">I32*(1-Assumptions!$D$51)</f>
        <v>149.454549781334</v>
      </c>
      <c r="J35" s="61" t="n">
        <f aca="false">J32*(1-Assumptions!$D$51)</f>
        <v>140.676768739491</v>
      </c>
      <c r="K35" s="61" t="n">
        <f aca="false">K32*(1-Assumptions!$D$51)</f>
        <v>134.493600513541</v>
      </c>
      <c r="L35" s="61" t="n">
        <f aca="false">L32*(1-Assumptions!$D$51)</f>
        <v>130.683158198895</v>
      </c>
      <c r="M35" s="61" t="n">
        <f aca="false">M32*(1-Assumptions!$D$51)</f>
        <v>128.191596145418</v>
      </c>
      <c r="N35" s="61" t="n">
        <f aca="false">N32*(1-Assumptions!$D$51)</f>
        <v>126.805598484404</v>
      </c>
      <c r="O35" s="61" t="n">
        <f aca="false">O32*(1-Assumptions!$D$51)</f>
        <v>126.244969729316</v>
      </c>
      <c r="P35" s="61" t="n">
        <f aca="false">P32*(1-Assumptions!$D$51)</f>
        <v>126.302405065831</v>
      </c>
      <c r="Q35" s="61" t="n">
        <f aca="false">Q32*(1-Assumptions!$D$51)</f>
        <v>126.827452911976</v>
      </c>
      <c r="R35" s="61" t="n">
        <f aca="false">R32*(1-Assumptions!$D$51)</f>
        <v>127.712310916946</v>
      </c>
      <c r="S35" s="61" t="n">
        <f aca="false">S32*(1-Assumptions!$D$51)</f>
        <v>128.880538850984</v>
      </c>
      <c r="T35" s="61" t="n">
        <f aca="false">T32*(1-Assumptions!$D$51)</f>
        <v>130.278628986197</v>
      </c>
      <c r="U35" s="61" t="n">
        <f aca="false">U32*(1-Assumptions!$D$51)</f>
        <v>131.869803058958</v>
      </c>
      <c r="V35" s="61" t="n">
        <f aca="false">V32*(1-Assumptions!$D$51)</f>
        <v>133.629484699885</v>
      </c>
      <c r="W35" s="61" t="n">
        <f aca="false">W32*(1-Assumptions!$D$51)</f>
        <v>135.542011999238</v>
      </c>
      <c r="X35" s="61" t="n">
        <f aca="false">X32*(1-Assumptions!$D$51)</f>
        <v>137.598259726329</v>
      </c>
      <c r="Y35" s="61" t="n">
        <f aca="false">Y32*(1-Assumptions!$D$51)</f>
        <v>139.793925156526</v>
      </c>
      <c r="Z35" s="61" t="n">
        <f aca="false">Z32*(1-Assumptions!$D$51)</f>
        <v>142.128296365541</v>
      </c>
      <c r="AA35" s="61" t="n">
        <f aca="false">AA32*(1-Assumptions!$D$51)</f>
        <v>144.603370556353</v>
      </c>
      <c r="AB35" s="61" t="n">
        <f aca="false">AB32*(1-Assumptions!$D$51)</f>
        <v>147.223226029744</v>
      </c>
      <c r="AC35" s="61" t="n">
        <f aca="false">AC32*(1-Assumptions!$D$51)</f>
        <v>149.993577859942</v>
      </c>
      <c r="AD35" s="61" t="n">
        <f aca="false">AD32*(1-Assumptions!$D$51)</f>
        <v>152.921466641011</v>
      </c>
      <c r="AE35" s="61" t="n">
        <f aca="false">AE32*(1-Assumptions!$D$51)</f>
        <v>156.015043707446</v>
      </c>
      <c r="AF35" s="61" t="n">
        <f aca="false">AF32*(1-Assumptions!$D$51)</f>
        <v>159.283426416009</v>
      </c>
      <c r="AG35" s="61" t="n">
        <f aca="false">AG32*(1-Assumptions!$D$51)</f>
        <v>162.736604450946</v>
      </c>
      <c r="AH35" s="61" t="n">
        <f aca="false">AH32*(1-Assumptions!$D$51)</f>
        <v>166.385383450067</v>
      </c>
      <c r="AI35" s="61" t="n">
        <f aca="false">AI32*(1-Assumptions!$D$51)</f>
        <v>170.241356105866</v>
      </c>
      <c r="AJ35" s="61" t="n">
        <f aca="false">AJ32*(1-Assumptions!$D$51)</f>
        <v>174.316893682634</v>
      </c>
      <c r="AK35" s="61" t="n">
        <f aca="false">AK32*(1-Assumptions!$D$51)</f>
        <v>178.625152903732</v>
      </c>
      <c r="AL35" s="61" t="n">
        <f aca="false">AL32*(1-Assumptions!$D$51)</f>
        <v>183.180094617829</v>
      </c>
      <c r="AM35" s="61" t="n">
        <f aca="false">SUM(C35:AL35)</f>
        <v>5318.71383018593</v>
      </c>
    </row>
    <row r="36" customFormat="false" ht="15" hidden="false" customHeight="false" outlineLevel="0" collapsed="false">
      <c r="A36" s="37" t="s">
        <v>757</v>
      </c>
      <c r="B36" s="9" t="s">
        <v>51</v>
      </c>
      <c r="C36" s="71" t="n">
        <f aca="false">C34</f>
        <v>0</v>
      </c>
      <c r="D36" s="71" t="n">
        <f aca="false">C36*(1-Assumptions!$D$52)+D34</f>
        <v>0</v>
      </c>
      <c r="E36" s="71" t="n">
        <f aca="false">D36*(1-Assumptions!$D$52)+E34</f>
        <v>180</v>
      </c>
      <c r="F36" s="71" t="n">
        <f aca="false">E36*(1-Assumptions!$D$52)+F34</f>
        <v>255.543384266555</v>
      </c>
      <c r="G36" s="71" t="n">
        <f aca="false">F36*(1-Assumptions!$D$52)+G34</f>
        <v>309.91786264321</v>
      </c>
      <c r="H36" s="71" t="n">
        <f aca="false">G36*(1-Assumptions!$D$52)+H34</f>
        <v>351.226291106783</v>
      </c>
      <c r="I36" s="71" t="n">
        <f aca="false">H36*(1-Assumptions!$D$52)+I34</f>
        <v>383.667874813458</v>
      </c>
      <c r="J36" s="71" t="n">
        <f aca="false">I36*(1-Assumptions!$D$52)+J34</f>
        <v>409.427809825743</v>
      </c>
      <c r="K36" s="71" t="n">
        <f aca="false">J36*(1-Assumptions!$D$52)+K34</f>
        <v>430.21942144723</v>
      </c>
      <c r="L36" s="71" t="n">
        <f aca="false">K36*(1-Assumptions!$D$52)+L34</f>
        <v>447.506741316506</v>
      </c>
      <c r="M36" s="71" t="n">
        <f aca="false">L36*(1-Assumptions!$D$52)+M34</f>
        <v>462.170390088914</v>
      </c>
      <c r="N36" s="71" t="n">
        <f aca="false">M36*(1-Assumptions!$D$52)+N34</f>
        <v>474.920311474227</v>
      </c>
      <c r="O36" s="71" t="n">
        <f aca="false">N36*(1-Assumptions!$D$52)+O34</f>
        <v>486.282470468397</v>
      </c>
      <c r="P36" s="71" t="n">
        <f aca="false">O36*(1-Assumptions!$D$52)+P34</f>
        <v>496.646650297311</v>
      </c>
      <c r="Q36" s="71" t="n">
        <f aca="false">P36*(1-Assumptions!$D$52)+Q34</f>
        <v>506.303074447114</v>
      </c>
      <c r="R36" s="71" t="n">
        <f aca="false">Q36*(1-Assumptions!$D$52)+R34</f>
        <v>515.469645282708</v>
      </c>
      <c r="S36" s="71" t="n">
        <f aca="false">R36*(1-Assumptions!$D$52)+S34</f>
        <v>524.311893857686</v>
      </c>
      <c r="T36" s="71" t="n">
        <f aca="false">S36*(1-Assumptions!$D$52)+T34</f>
        <v>532.957521547436</v>
      </c>
      <c r="U36" s="71" t="n">
        <f aca="false">T36*(1-Assumptions!$D$52)+U34</f>
        <v>541.506974490577</v>
      </c>
      <c r="V36" s="71" t="n">
        <f aca="false">U36*(1-Assumptions!$D$52)+V34</f>
        <v>550.041125943519</v>
      </c>
      <c r="W36" s="71" t="n">
        <f aca="false">V36*(1-Assumptions!$D$52)+W34</f>
        <v>558.626858322561</v>
      </c>
      <c r="X36" s="71" t="n">
        <f aca="false">W36*(1-Assumptions!$D$52)+X34</f>
        <v>567.321123813386</v>
      </c>
      <c r="Y36" s="71" t="n">
        <f aca="false">X36*(1-Assumptions!$D$52)+Y34</f>
        <v>576.173904880121</v>
      </c>
      <c r="Z36" s="71" t="n">
        <f aca="false">Y36*(1-Assumptions!$D$52)+Z34</f>
        <v>585.230380454713</v>
      </c>
      <c r="AA36" s="71" t="n">
        <f aca="false">Z36*(1-Assumptions!$D$52)+AA34</f>
        <v>594.532519309369</v>
      </c>
      <c r="AB36" s="71" t="n">
        <f aca="false">AA36*(1-Assumptions!$D$52)+AB34</f>
        <v>604.120260869988</v>
      </c>
      <c r="AC36" s="71" t="n">
        <f aca="false">AB36*(1-Assumptions!$D$52)+AC34</f>
        <v>614.032399331664</v>
      </c>
      <c r="AD36" s="71" t="n">
        <f aca="false">AC36*(1-Assumptions!$D$52)+AD34</f>
        <v>624.30725480939</v>
      </c>
      <c r="AE36" s="71" t="n">
        <f aca="false">AD36*(1-Assumptions!$D$52)+AE34</f>
        <v>634.983192036879</v>
      </c>
      <c r="AF36" s="71" t="n">
        <f aca="false">AE36*(1-Assumptions!$D$52)+AF34</f>
        <v>646.099030360421</v>
      </c>
      <c r="AG36" s="71" t="n">
        <f aca="false">AF36*(1-Assumptions!$D$52)+AG34</f>
        <v>657.694376678388</v>
      </c>
      <c r="AH36" s="71" t="n">
        <f aca="false">AG36*(1-Assumptions!$D$52)+AH34</f>
        <v>669.809904255933</v>
      </c>
      <c r="AI36" s="71" t="n">
        <f aca="false">AH36*(1-Assumptions!$D$52)+AI34</f>
        <v>682.487594061128</v>
      </c>
      <c r="AJ36" s="71" t="n">
        <f aca="false">AI36*(1-Assumptions!$D$52)+AJ34</f>
        <v>695.770950745326</v>
      </c>
      <c r="AK36" s="71" t="n">
        <f aca="false">AJ36*(1-Assumptions!$D$52)+AK34</f>
        <v>709.705202136989</v>
      </c>
      <c r="AL36" s="71" t="n">
        <f aca="false">AK36*(1-Assumptions!$D$52)+AL34</f>
        <v>724.337488780873</v>
      </c>
      <c r="AM36" s="71" t="n">
        <f aca="false">AL36</f>
        <v>724.337488780873</v>
      </c>
    </row>
    <row r="37" customFormat="false" ht="15" hidden="false" customHeight="false" outlineLevel="0" collapsed="false">
      <c r="A37" s="10" t="s">
        <v>758</v>
      </c>
      <c r="B37" s="9" t="s">
        <v>51</v>
      </c>
      <c r="C37" s="61" t="n">
        <f aca="false">0</f>
        <v>0</v>
      </c>
      <c r="D37" s="61" t="n">
        <f aca="false">C36*Assumptions!$D$52</f>
        <v>0</v>
      </c>
      <c r="E37" s="61" t="n">
        <f aca="false">D36*Assumptions!$D$52</f>
        <v>0</v>
      </c>
      <c r="F37" s="61" t="n">
        <f aca="false">E36*Assumptions!$D$52</f>
        <v>16.2</v>
      </c>
      <c r="G37" s="61" t="n">
        <f aca="false">F36*Assumptions!$D$52</f>
        <v>22.99890458399</v>
      </c>
      <c r="H37" s="61" t="n">
        <f aca="false">G36*Assumptions!$D$52</f>
        <v>27.8926076378889</v>
      </c>
      <c r="I37" s="61" t="n">
        <f aca="false">H36*Assumptions!$D$52</f>
        <v>31.6103661996105</v>
      </c>
      <c r="J37" s="61" t="n">
        <f aca="false">I36*Assumptions!$D$52</f>
        <v>34.5301087332113</v>
      </c>
      <c r="K37" s="61" t="n">
        <f aca="false">J36*Assumptions!$D$52</f>
        <v>36.8485028843169</v>
      </c>
      <c r="L37" s="61" t="n">
        <f aca="false">K36*Assumptions!$D$52</f>
        <v>38.7197479302507</v>
      </c>
      <c r="M37" s="61" t="n">
        <f aca="false">L36*Assumptions!$D$52</f>
        <v>40.2756067184855</v>
      </c>
      <c r="N37" s="61" t="n">
        <f aca="false">M36*Assumptions!$D$52</f>
        <v>41.5953351080022</v>
      </c>
      <c r="O37" s="61" t="n">
        <f aca="false">N36*Assumptions!$D$52</f>
        <v>42.7428280326805</v>
      </c>
      <c r="P37" s="61" t="n">
        <f aca="false">O36*Assumptions!$D$52</f>
        <v>43.7654223421557</v>
      </c>
      <c r="Q37" s="61" t="n">
        <f aca="false">P36*Assumptions!$D$52</f>
        <v>44.698198526758</v>
      </c>
      <c r="R37" s="61" t="n">
        <f aca="false">Q36*Assumptions!$D$52</f>
        <v>45.5672767002403</v>
      </c>
      <c r="S37" s="61" t="n">
        <f aca="false">R36*Assumptions!$D$52</f>
        <v>46.3922680754437</v>
      </c>
      <c r="T37" s="61" t="n">
        <f aca="false">S36*Assumptions!$D$52</f>
        <v>47.1880704471917</v>
      </c>
      <c r="U37" s="61" t="n">
        <f aca="false">T36*Assumptions!$D$52</f>
        <v>47.9661769392692</v>
      </c>
      <c r="V37" s="61" t="n">
        <f aca="false">U36*Assumptions!$D$52</f>
        <v>48.7356277041519</v>
      </c>
      <c r="W37" s="61" t="n">
        <f aca="false">V36*Assumptions!$D$52</f>
        <v>49.5037013349167</v>
      </c>
      <c r="X37" s="61" t="n">
        <f aca="false">W36*Assumptions!$D$52</f>
        <v>50.2764172490305</v>
      </c>
      <c r="Y37" s="61" t="n">
        <f aca="false">X36*Assumptions!$D$52</f>
        <v>51.0589011432047</v>
      </c>
      <c r="Z37" s="61" t="n">
        <f aca="false">Y36*Assumptions!$D$52</f>
        <v>51.8556514392109</v>
      </c>
      <c r="AA37" s="61" t="n">
        <f aca="false">Z36*Assumptions!$D$52</f>
        <v>52.6707342409242</v>
      </c>
      <c r="AB37" s="61" t="n">
        <f aca="false">AA36*Assumptions!$D$52</f>
        <v>53.5079267378432</v>
      </c>
      <c r="AC37" s="61" t="n">
        <f aca="false">AB36*Assumptions!$D$52</f>
        <v>54.3708234782989</v>
      </c>
      <c r="AD37" s="61" t="n">
        <f aca="false">AC36*Assumptions!$D$52</f>
        <v>55.2629159398498</v>
      </c>
      <c r="AE37" s="61" t="n">
        <f aca="false">AD36*Assumptions!$D$52</f>
        <v>56.1876529328451</v>
      </c>
      <c r="AF37" s="61" t="n">
        <f aca="false">AE36*Assumptions!$D$52</f>
        <v>57.1484872833191</v>
      </c>
      <c r="AG37" s="61" t="n">
        <f aca="false">AF36*Assumptions!$D$52</f>
        <v>58.1489127324379</v>
      </c>
      <c r="AH37" s="61" t="n">
        <f aca="false">AG36*Assumptions!$D$52</f>
        <v>59.192493901055</v>
      </c>
      <c r="AI37" s="61" t="n">
        <f aca="false">AH36*Assumptions!$D$52</f>
        <v>60.282891383034</v>
      </c>
      <c r="AJ37" s="61" t="n">
        <f aca="false">AI36*Assumptions!$D$52</f>
        <v>61.4238834655015</v>
      </c>
      <c r="AK37" s="61" t="n">
        <f aca="false">AJ36*Assumptions!$D$52</f>
        <v>62.6193855670794</v>
      </c>
      <c r="AL37" s="61" t="n">
        <f aca="false">AK36*Assumptions!$D$52</f>
        <v>63.873468192329</v>
      </c>
      <c r="AM37" s="61" t="n">
        <f aca="false">SUM(C37:AL37)</f>
        <v>1555.11129558453</v>
      </c>
    </row>
    <row r="38" customFormat="false" ht="15" hidden="false" customHeight="false" outlineLevel="0" collapsed="false">
      <c r="A38" s="10" t="s">
        <v>759</v>
      </c>
      <c r="B38" s="9" t="s">
        <v>51</v>
      </c>
      <c r="C38" s="61" t="n">
        <f aca="false">0</f>
        <v>0</v>
      </c>
      <c r="D38" s="61" t="n">
        <f aca="false">C35*Assumptions!$D$53</f>
        <v>0</v>
      </c>
      <c r="E38" s="61" t="n">
        <f aca="false">D35*Assumptions!$D$53</f>
        <v>0</v>
      </c>
      <c r="F38" s="61" t="n">
        <f aca="false">E35*Assumptions!$D$53</f>
        <v>33.6</v>
      </c>
      <c r="G38" s="61" t="n">
        <f aca="false">F35*Assumptions!$D$53</f>
        <v>17.125431729757</v>
      </c>
      <c r="H38" s="61" t="n">
        <f aca="false">G35*Assumptions!$D$53</f>
        <v>14.443031485987</v>
      </c>
      <c r="I38" s="61" t="n">
        <f aca="false">H35*Assumptions!$D$53</f>
        <v>12.9175267389396</v>
      </c>
      <c r="J38" s="61" t="n">
        <f aca="false">I35*Assumptions!$D$53</f>
        <v>11.9563639825067</v>
      </c>
      <c r="K38" s="61" t="n">
        <f aca="false">J35*Assumptions!$D$53</f>
        <v>11.2541414991593</v>
      </c>
      <c r="L38" s="61" t="n">
        <f aca="false">K35*Assumptions!$D$53</f>
        <v>10.7594880410833</v>
      </c>
      <c r="M38" s="61" t="n">
        <f aca="false">L35*Assumptions!$D$53</f>
        <v>10.4546526559116</v>
      </c>
      <c r="N38" s="61" t="n">
        <f aca="false">M35*Assumptions!$D$53</f>
        <v>10.2553276916334</v>
      </c>
      <c r="O38" s="61" t="n">
        <f aca="false">N35*Assumptions!$D$53</f>
        <v>10.1444478787523</v>
      </c>
      <c r="P38" s="61" t="n">
        <f aca="false">O35*Assumptions!$D$53</f>
        <v>10.0995975783453</v>
      </c>
      <c r="Q38" s="61" t="n">
        <f aca="false">P35*Assumptions!$D$53</f>
        <v>10.1041924052665</v>
      </c>
      <c r="R38" s="61" t="n">
        <f aca="false">Q35*Assumptions!$D$53</f>
        <v>10.1461962329581</v>
      </c>
      <c r="S38" s="61" t="n">
        <f aca="false">R35*Assumptions!$D$53</f>
        <v>10.2169848733556</v>
      </c>
      <c r="T38" s="61" t="n">
        <f aca="false">S35*Assumptions!$D$53</f>
        <v>10.3104431080787</v>
      </c>
      <c r="U38" s="61" t="n">
        <f aca="false">T35*Assumptions!$D$53</f>
        <v>10.4222903188957</v>
      </c>
      <c r="V38" s="61" t="n">
        <f aca="false">U35*Assumptions!$D$53</f>
        <v>10.5495842447166</v>
      </c>
      <c r="W38" s="61" t="n">
        <f aca="false">V35*Assumptions!$D$53</f>
        <v>10.6903587759908</v>
      </c>
      <c r="X38" s="61" t="n">
        <f aca="false">W35*Assumptions!$D$53</f>
        <v>10.843360959939</v>
      </c>
      <c r="Y38" s="61" t="n">
        <f aca="false">X35*Assumptions!$D$53</f>
        <v>11.0078607781063</v>
      </c>
      <c r="Z38" s="61" t="n">
        <f aca="false">Y35*Assumptions!$D$53</f>
        <v>11.1835140125221</v>
      </c>
      <c r="AA38" s="61" t="n">
        <f aca="false">Z35*Assumptions!$D$53</f>
        <v>11.3702637092433</v>
      </c>
      <c r="AB38" s="61" t="n">
        <f aca="false">AA35*Assumptions!$D$53</f>
        <v>11.5682696445083</v>
      </c>
      <c r="AC38" s="61" t="n">
        <f aca="false">AB35*Assumptions!$D$53</f>
        <v>11.7778580823795</v>
      </c>
      <c r="AD38" s="61" t="n">
        <f aca="false">AC35*Assumptions!$D$53</f>
        <v>11.9994862287954</v>
      </c>
      <c r="AE38" s="61" t="n">
        <f aca="false">AD35*Assumptions!$D$53</f>
        <v>12.2337173312808</v>
      </c>
      <c r="AF38" s="61" t="n">
        <f aca="false">AE35*Assumptions!$D$53</f>
        <v>12.4812034965957</v>
      </c>
      <c r="AG38" s="61" t="n">
        <f aca="false">AF35*Assumptions!$D$53</f>
        <v>12.7426741132807</v>
      </c>
      <c r="AH38" s="61" t="n">
        <f aca="false">AG35*Assumptions!$D$53</f>
        <v>13.0189283560757</v>
      </c>
      <c r="AI38" s="61" t="n">
        <f aca="false">AH35*Assumptions!$D$53</f>
        <v>13.3108306760053</v>
      </c>
      <c r="AJ38" s="61" t="n">
        <f aca="false">AI35*Assumptions!$D$53</f>
        <v>13.6193084884693</v>
      </c>
      <c r="AK38" s="61" t="n">
        <f aca="false">AJ35*Assumptions!$D$53</f>
        <v>13.9453514946107</v>
      </c>
      <c r="AL38" s="61" t="n">
        <f aca="false">AK35*Assumptions!$D$53</f>
        <v>14.2900122322986</v>
      </c>
      <c r="AM38" s="61" t="n">
        <f aca="false">SUM(C38:AL38)</f>
        <v>410.842698845448</v>
      </c>
    </row>
    <row r="39" customFormat="false" ht="15" hidden="false" customHeight="false" outlineLevel="0" collapsed="false">
      <c r="A39" s="37" t="s">
        <v>760</v>
      </c>
      <c r="B39" s="9" t="s">
        <v>51</v>
      </c>
      <c r="C39" s="71" t="n">
        <f aca="false">C35+C36+C38</f>
        <v>0</v>
      </c>
      <c r="D39" s="71" t="n">
        <f aca="false">D35+D36+D38</f>
        <v>0</v>
      </c>
      <c r="E39" s="71" t="n">
        <f aca="false">E35+E36+E38</f>
        <v>600</v>
      </c>
      <c r="F39" s="71" t="n">
        <f aca="false">F35+F36+F38</f>
        <v>503.211280888518</v>
      </c>
      <c r="G39" s="71" t="n">
        <f aca="false">G35+G36+G38</f>
        <v>507.581187947804</v>
      </c>
      <c r="H39" s="71" t="n">
        <f aca="false">H35+H36+H38</f>
        <v>527.138406829515</v>
      </c>
      <c r="I39" s="71" t="n">
        <f aca="false">I35+I36+I38</f>
        <v>546.039951333732</v>
      </c>
      <c r="J39" s="71" t="n">
        <f aca="false">J35+J36+J38</f>
        <v>562.060942547741</v>
      </c>
      <c r="K39" s="71" t="n">
        <f aca="false">K35+K36+K38</f>
        <v>575.967163459931</v>
      </c>
      <c r="L39" s="71" t="n">
        <f aca="false">L35+L36+L38</f>
        <v>588.949387556484</v>
      </c>
      <c r="M39" s="71" t="n">
        <f aca="false">M35+M36+M38</f>
        <v>600.816638890243</v>
      </c>
      <c r="N39" s="71" t="n">
        <f aca="false">N35+N36+N38</f>
        <v>611.981237650265</v>
      </c>
      <c r="O39" s="71" t="n">
        <f aca="false">O35+O36+O38</f>
        <v>622.671888076466</v>
      </c>
      <c r="P39" s="71" t="n">
        <f aca="false">P35+P36+P38</f>
        <v>633.048652941487</v>
      </c>
      <c r="Q39" s="71" t="n">
        <f aca="false">Q35+Q36+Q38</f>
        <v>643.234719764357</v>
      </c>
      <c r="R39" s="71" t="n">
        <f aca="false">R35+R36+R38</f>
        <v>653.328152432612</v>
      </c>
      <c r="S39" s="71" t="n">
        <f aca="false">S35+S36+S38</f>
        <v>663.409417582026</v>
      </c>
      <c r="T39" s="71" t="n">
        <f aca="false">T35+T36+T38</f>
        <v>673.546593641711</v>
      </c>
      <c r="U39" s="71" t="n">
        <f aca="false">U35+U36+U38</f>
        <v>683.799067868431</v>
      </c>
      <c r="V39" s="71" t="n">
        <f aca="false">V35+V36+V38</f>
        <v>694.22019488812</v>
      </c>
      <c r="W39" s="71" t="n">
        <f aca="false">W35+W36+W38</f>
        <v>704.859229097789</v>
      </c>
      <c r="X39" s="71" t="n">
        <f aca="false">X35+X36+X38</f>
        <v>715.762744499654</v>
      </c>
      <c r="Y39" s="71" t="n">
        <f aca="false">Y35+Y36+Y38</f>
        <v>726.975690814754</v>
      </c>
      <c r="Z39" s="71" t="n">
        <f aca="false">Z35+Z36+Z38</f>
        <v>738.542190832777</v>
      </c>
      <c r="AA39" s="71" t="n">
        <f aca="false">AA35+AA36+AA38</f>
        <v>750.506153574966</v>
      </c>
      <c r="AB39" s="71" t="n">
        <f aca="false">AB35+AB36+AB38</f>
        <v>762.911756544239</v>
      </c>
      <c r="AC39" s="71" t="n">
        <f aca="false">AC35+AC36+AC38</f>
        <v>775.803835273985</v>
      </c>
      <c r="AD39" s="71" t="n">
        <f aca="false">AD35+AD36+AD38</f>
        <v>789.228207679196</v>
      </c>
      <c r="AE39" s="71" t="n">
        <f aca="false">AE35+AE36+AE38</f>
        <v>803.231953075606</v>
      </c>
      <c r="AF39" s="71" t="n">
        <f aca="false">AF35+AF36+AF38</f>
        <v>817.863660273025</v>
      </c>
      <c r="AG39" s="71" t="n">
        <f aca="false">AG35+AG36+AG38</f>
        <v>833.173655242615</v>
      </c>
      <c r="AH39" s="71" t="n">
        <f aca="false">AH35+AH36+AH38</f>
        <v>849.214216062076</v>
      </c>
      <c r="AI39" s="71" t="n">
        <f aca="false">AI35+AI36+AI38</f>
        <v>866.039780842999</v>
      </c>
      <c r="AJ39" s="71" t="n">
        <f aca="false">AJ35+AJ36+AJ38</f>
        <v>883.70715291643</v>
      </c>
      <c r="AK39" s="71" t="n">
        <f aca="false">AK35+AK36+AK38</f>
        <v>902.275706535332</v>
      </c>
      <c r="AL39" s="71" t="n">
        <f aca="false">AL35+AL36+AL38</f>
        <v>921.807595631001</v>
      </c>
      <c r="AM39" s="71" t="n">
        <f aca="false">SUM(C39:AL39)</f>
        <v>23732.9084131959</v>
      </c>
    </row>
    <row r="40" customFormat="false" ht="15" hidden="false" customHeight="false" outlineLevel="0" collapsed="false">
      <c r="A40" s="10" t="s">
        <v>761</v>
      </c>
      <c r="B40" s="9" t="s">
        <v>97</v>
      </c>
      <c r="C40" s="70" t="n">
        <f aca="false">C39*Assumptions!$D$50</f>
        <v>0</v>
      </c>
      <c r="D40" s="70" t="n">
        <f aca="false">D39*Assumptions!$D$50</f>
        <v>0</v>
      </c>
      <c r="E40" s="70" t="n">
        <f aca="false">E39*Assumptions!$D$50</f>
        <v>40800</v>
      </c>
      <c r="F40" s="70" t="n">
        <f aca="false">F39*Assumptions!$D$50</f>
        <v>34218.3671004192</v>
      </c>
      <c r="G40" s="70" t="n">
        <f aca="false">G39*Assumptions!$D$50</f>
        <v>34515.5207804507</v>
      </c>
      <c r="H40" s="70" t="n">
        <f aca="false">H39*Assumptions!$D$50</f>
        <v>35845.411664407</v>
      </c>
      <c r="I40" s="70" t="n">
        <f aca="false">I39*Assumptions!$D$50</f>
        <v>37130.7166906938</v>
      </c>
      <c r="J40" s="70" t="n">
        <f aca="false">J39*Assumptions!$D$50</f>
        <v>38220.1440932464</v>
      </c>
      <c r="K40" s="70" t="n">
        <f aca="false">K39*Assumptions!$D$50</f>
        <v>39165.7671152753</v>
      </c>
      <c r="L40" s="70" t="n">
        <f aca="false">L39*Assumptions!$D$50</f>
        <v>40048.5583538409</v>
      </c>
      <c r="M40" s="70" t="n">
        <f aca="false">M39*Assumptions!$D$50</f>
        <v>40855.5314445365</v>
      </c>
      <c r="N40" s="70" t="n">
        <f aca="false">N39*Assumptions!$D$50</f>
        <v>41614.724160218</v>
      </c>
      <c r="O40" s="70" t="n">
        <f aca="false">O39*Assumptions!$D$50</f>
        <v>42341.6883891997</v>
      </c>
      <c r="P40" s="70" t="n">
        <f aca="false">P39*Assumptions!$D$50</f>
        <v>43047.3084000211</v>
      </c>
      <c r="Q40" s="70" t="n">
        <f aca="false">Q39*Assumptions!$D$50</f>
        <v>43739.9609439763</v>
      </c>
      <c r="R40" s="70" t="n">
        <f aca="false">R39*Assumptions!$D$50</f>
        <v>44426.3143654176</v>
      </c>
      <c r="S40" s="70" t="n">
        <f aca="false">S39*Assumptions!$D$50</f>
        <v>45111.8403955778</v>
      </c>
      <c r="T40" s="70" t="n">
        <f aca="false">T39*Assumptions!$D$50</f>
        <v>45801.1683676364</v>
      </c>
      <c r="U40" s="70" t="n">
        <f aca="false">U39*Assumptions!$D$50</f>
        <v>46498.3366150533</v>
      </c>
      <c r="V40" s="70" t="n">
        <f aca="false">V39*Assumptions!$D$50</f>
        <v>47206.9732523922</v>
      </c>
      <c r="W40" s="70" t="n">
        <f aca="false">W39*Assumptions!$D$50</f>
        <v>47930.4275786497</v>
      </c>
      <c r="X40" s="70" t="n">
        <f aca="false">X39*Assumptions!$D$50</f>
        <v>48671.8666259765</v>
      </c>
      <c r="Y40" s="70" t="n">
        <f aca="false">Y39*Assumptions!$D$50</f>
        <v>49434.3469754033</v>
      </c>
      <c r="Z40" s="70" t="n">
        <f aca="false">Z39*Assumptions!$D$50</f>
        <v>50220.8689766288</v>
      </c>
      <c r="AA40" s="70" t="n">
        <f aca="false">AA39*Assumptions!$D$50</f>
        <v>51034.4184430977</v>
      </c>
      <c r="AB40" s="70" t="n">
        <f aca="false">AB39*Assumptions!$D$50</f>
        <v>51877.9994450083</v>
      </c>
      <c r="AC40" s="70" t="n">
        <f aca="false">AC39*Assumptions!$D$50</f>
        <v>52754.660798631</v>
      </c>
      <c r="AD40" s="70" t="n">
        <f aca="false">AD39*Assumptions!$D$50</f>
        <v>53667.5181221853</v>
      </c>
      <c r="AE40" s="70" t="n">
        <f aca="false">AE39*Assumptions!$D$50</f>
        <v>54619.7728091412</v>
      </c>
      <c r="AF40" s="70" t="n">
        <f aca="false">AF39*Assumptions!$D$50</f>
        <v>55614.7288985657</v>
      </c>
      <c r="AG40" s="70" t="n">
        <f aca="false">AG39*Assumptions!$D$50</f>
        <v>56655.8085564978</v>
      </c>
      <c r="AH40" s="70" t="n">
        <f aca="false">AH39*Assumptions!$D$50</f>
        <v>57746.5666922211</v>
      </c>
      <c r="AI40" s="70" t="n">
        <f aca="false">AI39*Assumptions!$D$50</f>
        <v>58890.7050973239</v>
      </c>
      <c r="AJ40" s="70" t="n">
        <f aca="false">AJ39*Assumptions!$D$50</f>
        <v>60092.0863983172</v>
      </c>
      <c r="AK40" s="70" t="n">
        <f aca="false">AK39*Assumptions!$D$50</f>
        <v>61354.7480444026</v>
      </c>
      <c r="AL40" s="70" t="n">
        <f aca="false">AL39*Assumptions!$D$50</f>
        <v>62682.916502908</v>
      </c>
      <c r="AM40" s="70" t="n">
        <f aca="false">SUM(C40:AL40)</f>
        <v>1613837.77209732</v>
      </c>
    </row>
    <row r="41" customFormat="false" ht="15" hidden="false" customHeight="false" outlineLevel="0" collapsed="false">
      <c r="A41" s="10" t="s">
        <v>762</v>
      </c>
      <c r="B41" s="9" t="s">
        <v>97</v>
      </c>
      <c r="C41" s="70" t="n">
        <f aca="false">-C40*Assumptions!$D$80</f>
        <v>-0</v>
      </c>
      <c r="D41" s="70" t="n">
        <f aca="false">-D40*Assumptions!$D$80</f>
        <v>-0</v>
      </c>
      <c r="E41" s="70" t="n">
        <f aca="false">-E40*Assumptions!$D$80</f>
        <v>-1632</v>
      </c>
      <c r="F41" s="70" t="n">
        <f aca="false">-F40*Assumptions!$D$80</f>
        <v>-1368.73468401677</v>
      </c>
      <c r="G41" s="70" t="n">
        <f aca="false">-G40*Assumptions!$D$80</f>
        <v>-1380.62083121803</v>
      </c>
      <c r="H41" s="70" t="n">
        <f aca="false">-H40*Assumptions!$D$80</f>
        <v>-1433.81646657628</v>
      </c>
      <c r="I41" s="70" t="n">
        <f aca="false">-I40*Assumptions!$D$80</f>
        <v>-1485.22866762775</v>
      </c>
      <c r="J41" s="70" t="n">
        <f aca="false">-J40*Assumptions!$D$80</f>
        <v>-1528.80576372985</v>
      </c>
      <c r="K41" s="70" t="n">
        <f aca="false">-K40*Assumptions!$D$80</f>
        <v>-1566.63068461101</v>
      </c>
      <c r="L41" s="70" t="n">
        <f aca="false">-L40*Assumptions!$D$80</f>
        <v>-1601.94233415364</v>
      </c>
      <c r="M41" s="70" t="n">
        <f aca="false">-M40*Assumptions!$D$80</f>
        <v>-1634.22125778146</v>
      </c>
      <c r="N41" s="70" t="n">
        <f aca="false">-N40*Assumptions!$D$80</f>
        <v>-1664.58896640872</v>
      </c>
      <c r="O41" s="70" t="n">
        <f aca="false">-O40*Assumptions!$D$80</f>
        <v>-1693.66753556799</v>
      </c>
      <c r="P41" s="70" t="n">
        <f aca="false">-P40*Assumptions!$D$80</f>
        <v>-1721.89233600085</v>
      </c>
      <c r="Q41" s="70" t="n">
        <f aca="false">-Q40*Assumptions!$D$80</f>
        <v>-1749.59843775905</v>
      </c>
      <c r="R41" s="70" t="n">
        <f aca="false">-R40*Assumptions!$D$80</f>
        <v>-1777.0525746167</v>
      </c>
      <c r="S41" s="70" t="n">
        <f aca="false">-S40*Assumptions!$D$80</f>
        <v>-1804.47361582311</v>
      </c>
      <c r="T41" s="70" t="n">
        <f aca="false">-T40*Assumptions!$D$80</f>
        <v>-1832.04673470545</v>
      </c>
      <c r="U41" s="70" t="n">
        <f aca="false">-U40*Assumptions!$D$80</f>
        <v>-1859.93346460213</v>
      </c>
      <c r="V41" s="70" t="n">
        <f aca="false">-V40*Assumptions!$D$80</f>
        <v>-1888.27893009569</v>
      </c>
      <c r="W41" s="70" t="n">
        <f aca="false">-W40*Assumptions!$D$80</f>
        <v>-1917.21710314599</v>
      </c>
      <c r="X41" s="70" t="n">
        <f aca="false">-X40*Assumptions!$D$80</f>
        <v>-1946.87466503906</v>
      </c>
      <c r="Y41" s="70" t="n">
        <f aca="false">-Y40*Assumptions!$D$80</f>
        <v>-1977.37387901613</v>
      </c>
      <c r="Z41" s="70" t="n">
        <f aca="false">-Z40*Assumptions!$D$80</f>
        <v>-2008.83475906515</v>
      </c>
      <c r="AA41" s="70" t="n">
        <f aca="false">-AA40*Assumptions!$D$80</f>
        <v>-2041.37673772391</v>
      </c>
      <c r="AB41" s="70" t="n">
        <f aca="false">-AB40*Assumptions!$D$80</f>
        <v>-2075.11997780033</v>
      </c>
      <c r="AC41" s="70" t="n">
        <f aca="false">-AC40*Assumptions!$D$80</f>
        <v>-2110.18643194524</v>
      </c>
      <c r="AD41" s="70" t="n">
        <f aca="false">-AD40*Assumptions!$D$80</f>
        <v>-2146.70072488741</v>
      </c>
      <c r="AE41" s="70" t="n">
        <f aca="false">-AE40*Assumptions!$D$80</f>
        <v>-2184.79091236565</v>
      </c>
      <c r="AF41" s="70" t="n">
        <f aca="false">-AF40*Assumptions!$D$80</f>
        <v>-2224.58915594263</v>
      </c>
      <c r="AG41" s="70" t="n">
        <f aca="false">-AG40*Assumptions!$D$80</f>
        <v>-2266.23234225991</v>
      </c>
      <c r="AH41" s="70" t="n">
        <f aca="false">-AH40*Assumptions!$D$80</f>
        <v>-2309.86266768885</v>
      </c>
      <c r="AI41" s="70" t="n">
        <f aca="false">-AI40*Assumptions!$D$80</f>
        <v>-2355.62820389296</v>
      </c>
      <c r="AJ41" s="70" t="n">
        <f aca="false">-AJ40*Assumptions!$D$80</f>
        <v>-2403.68345593269</v>
      </c>
      <c r="AK41" s="70" t="n">
        <f aca="false">-AK40*Assumptions!$D$80</f>
        <v>-2454.1899217761</v>
      </c>
      <c r="AL41" s="70" t="n">
        <f aca="false">-AL40*Assumptions!$D$80</f>
        <v>-2507.31666011632</v>
      </c>
      <c r="AM41" s="70" t="n">
        <f aca="false">SUM(C41:AL41)</f>
        <v>-64553.5108838928</v>
      </c>
    </row>
    <row r="42" customFormat="false" ht="15" hidden="false" customHeight="false" outlineLevel="0" collapsed="false">
      <c r="A42" s="37" t="s">
        <v>763</v>
      </c>
      <c r="B42" s="9" t="s">
        <v>97</v>
      </c>
      <c r="C42" s="53" t="n">
        <f aca="false">C40+C41</f>
        <v>0</v>
      </c>
      <c r="D42" s="53" t="n">
        <f aca="false">D40+D41</f>
        <v>0</v>
      </c>
      <c r="E42" s="53" t="n">
        <f aca="false">E40+E41</f>
        <v>39168</v>
      </c>
      <c r="F42" s="53" t="n">
        <f aca="false">F40+F41</f>
        <v>32849.6324164024</v>
      </c>
      <c r="G42" s="53" t="n">
        <f aca="false">G40+G41</f>
        <v>33134.8999492326</v>
      </c>
      <c r="H42" s="53" t="n">
        <f aca="false">H40+H41</f>
        <v>34411.5951978308</v>
      </c>
      <c r="I42" s="53" t="n">
        <f aca="false">I40+I41</f>
        <v>35645.488023066</v>
      </c>
      <c r="J42" s="53" t="n">
        <f aca="false">J40+J41</f>
        <v>36691.3383295165</v>
      </c>
      <c r="K42" s="53" t="n">
        <f aca="false">K40+K41</f>
        <v>37599.1364306643</v>
      </c>
      <c r="L42" s="53" t="n">
        <f aca="false">L40+L41</f>
        <v>38446.6160196873</v>
      </c>
      <c r="M42" s="53" t="n">
        <f aca="false">M40+M41</f>
        <v>39221.3101867551</v>
      </c>
      <c r="N42" s="53" t="n">
        <f aca="false">N40+N41</f>
        <v>39950.1351938093</v>
      </c>
      <c r="O42" s="53" t="n">
        <f aca="false">O40+O41</f>
        <v>40648.0208536317</v>
      </c>
      <c r="P42" s="53" t="n">
        <f aca="false">P40+P41</f>
        <v>41325.4160640203</v>
      </c>
      <c r="Q42" s="53" t="n">
        <f aca="false">Q40+Q41</f>
        <v>41990.3625062172</v>
      </c>
      <c r="R42" s="53" t="n">
        <f aca="false">R40+R41</f>
        <v>42649.2617908009</v>
      </c>
      <c r="S42" s="53" t="n">
        <f aca="false">S40+S41</f>
        <v>43307.3667797546</v>
      </c>
      <c r="T42" s="53" t="n">
        <f aca="false">T40+T41</f>
        <v>43969.1216329309</v>
      </c>
      <c r="U42" s="53" t="n">
        <f aca="false">U40+U41</f>
        <v>44638.4031504512</v>
      </c>
      <c r="V42" s="53" t="n">
        <f aca="false">V40+V41</f>
        <v>45318.6943222965</v>
      </c>
      <c r="W42" s="53" t="n">
        <f aca="false">W40+W41</f>
        <v>46013.2104755037</v>
      </c>
      <c r="X42" s="53" t="n">
        <f aca="false">X40+X41</f>
        <v>46724.9919609374</v>
      </c>
      <c r="Y42" s="53" t="n">
        <f aca="false">Y40+Y41</f>
        <v>47456.9730963871</v>
      </c>
      <c r="Z42" s="53" t="n">
        <f aca="false">Z40+Z41</f>
        <v>48212.0342175637</v>
      </c>
      <c r="AA42" s="53" t="n">
        <f aca="false">AA40+AA41</f>
        <v>48993.0417053738</v>
      </c>
      <c r="AB42" s="53" t="n">
        <f aca="false">AB40+AB41</f>
        <v>49802.8794672079</v>
      </c>
      <c r="AC42" s="53" t="n">
        <f aca="false">AC40+AC41</f>
        <v>50644.4743666858</v>
      </c>
      <c r="AD42" s="53" t="n">
        <f aca="false">AD40+AD41</f>
        <v>51520.8173972979</v>
      </c>
      <c r="AE42" s="53" t="n">
        <f aca="false">AE40+AE41</f>
        <v>52434.9818967756</v>
      </c>
      <c r="AF42" s="53" t="n">
        <f aca="false">AF40+AF41</f>
        <v>53390.1397426231</v>
      </c>
      <c r="AG42" s="53" t="n">
        <f aca="false">AG40+AG41</f>
        <v>54389.5762142379</v>
      </c>
      <c r="AH42" s="53" t="n">
        <f aca="false">AH40+AH41</f>
        <v>55436.7040245323</v>
      </c>
      <c r="AI42" s="53" t="n">
        <f aca="false">AI40+AI41</f>
        <v>56535.0768934309</v>
      </c>
      <c r="AJ42" s="53" t="n">
        <f aca="false">AJ40+AJ41</f>
        <v>57688.4029423845</v>
      </c>
      <c r="AK42" s="53" t="n">
        <f aca="false">AK40+AK41</f>
        <v>58900.5581226265</v>
      </c>
      <c r="AL42" s="53" t="n">
        <f aca="false">AL40+AL41</f>
        <v>60175.5998427917</v>
      </c>
      <c r="AM42" s="53" t="n">
        <f aca="false">SUM(C42:AL42)</f>
        <v>1549284.26121343</v>
      </c>
    </row>
    <row r="43" customFormat="false" ht="15" hidden="false" customHeight="false" outlineLevel="0" collapsed="false">
      <c r="A43" s="10" t="s">
        <v>764</v>
      </c>
      <c r="B43" s="9" t="s">
        <v>97</v>
      </c>
      <c r="C43" s="70" t="n">
        <f aca="false">-C40*Assumptions!$D$55</f>
        <v>-0</v>
      </c>
      <c r="D43" s="70" t="n">
        <f aca="false">-D40*Assumptions!$D$55</f>
        <v>-0</v>
      </c>
      <c r="E43" s="70" t="n">
        <f aca="false">-E40*Assumptions!$D$55</f>
        <v>-12240</v>
      </c>
      <c r="F43" s="70" t="n">
        <f aca="false">-F40*Assumptions!$D$55</f>
        <v>-10265.5101301258</v>
      </c>
      <c r="G43" s="70" t="n">
        <f aca="false">-G40*Assumptions!$D$55</f>
        <v>-10354.6562341352</v>
      </c>
      <c r="H43" s="70" t="n">
        <f aca="false">-H40*Assumptions!$D$55</f>
        <v>-10753.6234993221</v>
      </c>
      <c r="I43" s="70" t="n">
        <f aca="false">-I40*Assumptions!$D$55</f>
        <v>-11139.2150072081</v>
      </c>
      <c r="J43" s="70" t="n">
        <f aca="false">-J40*Assumptions!$D$55</f>
        <v>-11466.0432279739</v>
      </c>
      <c r="K43" s="70" t="n">
        <f aca="false">-K40*Assumptions!$D$55</f>
        <v>-11749.7301345826</v>
      </c>
      <c r="L43" s="70" t="n">
        <f aca="false">-L40*Assumptions!$D$55</f>
        <v>-12014.5675061523</v>
      </c>
      <c r="M43" s="70" t="n">
        <f aca="false">-M40*Assumptions!$D$55</f>
        <v>-12256.659433361</v>
      </c>
      <c r="N43" s="70" t="n">
        <f aca="false">-N40*Assumptions!$D$55</f>
        <v>-12484.4172480654</v>
      </c>
      <c r="O43" s="70" t="n">
        <f aca="false">-O40*Assumptions!$D$55</f>
        <v>-12702.5065167599</v>
      </c>
      <c r="P43" s="70" t="n">
        <f aca="false">-P40*Assumptions!$D$55</f>
        <v>-12914.1925200063</v>
      </c>
      <c r="Q43" s="70" t="n">
        <f aca="false">-Q40*Assumptions!$D$55</f>
        <v>-13121.9882831929</v>
      </c>
      <c r="R43" s="70" t="n">
        <f aca="false">-R40*Assumptions!$D$55</f>
        <v>-13327.8943096253</v>
      </c>
      <c r="S43" s="70" t="n">
        <f aca="false">-S40*Assumptions!$D$55</f>
        <v>-13533.5521186733</v>
      </c>
      <c r="T43" s="70" t="n">
        <f aca="false">-T40*Assumptions!$D$55</f>
        <v>-13740.3505102909</v>
      </c>
      <c r="U43" s="70" t="n">
        <f aca="false">-U40*Assumptions!$D$55</f>
        <v>-13949.500984516</v>
      </c>
      <c r="V43" s="70" t="n">
        <f aca="false">-V40*Assumptions!$D$55</f>
        <v>-14162.0919757176</v>
      </c>
      <c r="W43" s="70" t="n">
        <f aca="false">-W40*Assumptions!$D$55</f>
        <v>-14379.1282735949</v>
      </c>
      <c r="X43" s="70" t="n">
        <f aca="false">-X40*Assumptions!$D$55</f>
        <v>-14601.5599877929</v>
      </c>
      <c r="Y43" s="70" t="n">
        <f aca="false">-Y40*Assumptions!$D$55</f>
        <v>-14830.304092621</v>
      </c>
      <c r="Z43" s="70" t="n">
        <f aca="false">-Z40*Assumptions!$D$55</f>
        <v>-15066.2606929886</v>
      </c>
      <c r="AA43" s="70" t="n">
        <f aca="false">-AA40*Assumptions!$D$55</f>
        <v>-15310.3255329293</v>
      </c>
      <c r="AB43" s="70" t="n">
        <f aca="false">-AB40*Assumptions!$D$55</f>
        <v>-15563.3998335025</v>
      </c>
      <c r="AC43" s="70" t="n">
        <f aca="false">-AC40*Assumptions!$D$55</f>
        <v>-15826.3982395893</v>
      </c>
      <c r="AD43" s="70" t="n">
        <f aca="false">-AD40*Assumptions!$D$55</f>
        <v>-16100.2554366556</v>
      </c>
      <c r="AE43" s="70" t="n">
        <f aca="false">-AE40*Assumptions!$D$55</f>
        <v>-16385.9318427424</v>
      </c>
      <c r="AF43" s="70" t="n">
        <f aca="false">-AF40*Assumptions!$D$55</f>
        <v>-16684.4186695697</v>
      </c>
      <c r="AG43" s="70" t="n">
        <f aca="false">-AG40*Assumptions!$D$55</f>
        <v>-16996.7425669494</v>
      </c>
      <c r="AH43" s="70" t="n">
        <f aca="false">-AH40*Assumptions!$D$55</f>
        <v>-17323.9700076663</v>
      </c>
      <c r="AI43" s="70" t="n">
        <f aca="false">-AI40*Assumptions!$D$55</f>
        <v>-17667.2115291972</v>
      </c>
      <c r="AJ43" s="70" t="n">
        <f aca="false">-AJ40*Assumptions!$D$55</f>
        <v>-18027.6259194952</v>
      </c>
      <c r="AK43" s="70" t="n">
        <f aca="false">-AK40*Assumptions!$D$55</f>
        <v>-18406.4244133208</v>
      </c>
      <c r="AL43" s="70" t="n">
        <f aca="false">-AL40*Assumptions!$D$55</f>
        <v>-18804.8749508724</v>
      </c>
      <c r="AM43" s="70" t="n">
        <f aca="false">SUM(C43:AL43)</f>
        <v>-484151.331629196</v>
      </c>
    </row>
    <row r="44" customFormat="false" ht="15" hidden="false" customHeight="false" outlineLevel="0" collapsed="false">
      <c r="A44" s="10" t="s">
        <v>765</v>
      </c>
      <c r="B44" s="9" t="s">
        <v>97</v>
      </c>
      <c r="C44" s="70" t="n">
        <f aca="false">-C39*Assumptions!$D$56</f>
        <v>-0</v>
      </c>
      <c r="D44" s="70" t="n">
        <f aca="false">-D39*Assumptions!$D$56</f>
        <v>-0</v>
      </c>
      <c r="E44" s="70" t="n">
        <f aca="false">-E39*Assumptions!$D$56</f>
        <v>-5100</v>
      </c>
      <c r="F44" s="70" t="n">
        <f aca="false">-F39*Assumptions!$D$56</f>
        <v>-4277.2958875524</v>
      </c>
      <c r="G44" s="70" t="n">
        <f aca="false">-G39*Assumptions!$D$56</f>
        <v>-4314.44009755633</v>
      </c>
      <c r="H44" s="70" t="n">
        <f aca="false">-H39*Assumptions!$D$56</f>
        <v>-4480.67645805088</v>
      </c>
      <c r="I44" s="70" t="n">
        <f aca="false">-I39*Assumptions!$D$56</f>
        <v>-4641.33958633672</v>
      </c>
      <c r="J44" s="70" t="n">
        <f aca="false">-J39*Assumptions!$D$56</f>
        <v>-4777.5180116558</v>
      </c>
      <c r="K44" s="70" t="n">
        <f aca="false">-K39*Assumptions!$D$56</f>
        <v>-4895.72088940941</v>
      </c>
      <c r="L44" s="70" t="n">
        <f aca="false">-L39*Assumptions!$D$56</f>
        <v>-5006.06979423011</v>
      </c>
      <c r="M44" s="70" t="n">
        <f aca="false">-M39*Assumptions!$D$56</f>
        <v>-5106.94143056707</v>
      </c>
      <c r="N44" s="70" t="n">
        <f aca="false">-N39*Assumptions!$D$56</f>
        <v>-5201.84052002725</v>
      </c>
      <c r="O44" s="70" t="n">
        <f aca="false">-O39*Assumptions!$D$56</f>
        <v>-5292.71104864996</v>
      </c>
      <c r="P44" s="70" t="n">
        <f aca="false">-P39*Assumptions!$D$56</f>
        <v>-5380.91355000264</v>
      </c>
      <c r="Q44" s="70" t="n">
        <f aca="false">-Q39*Assumptions!$D$56</f>
        <v>-5467.49511799703</v>
      </c>
      <c r="R44" s="70" t="n">
        <f aca="false">-R39*Assumptions!$D$56</f>
        <v>-5553.2892956772</v>
      </c>
      <c r="S44" s="70" t="n">
        <f aca="false">-S39*Assumptions!$D$56</f>
        <v>-5638.98004944722</v>
      </c>
      <c r="T44" s="70" t="n">
        <f aca="false">-T39*Assumptions!$D$56</f>
        <v>-5725.14604595455</v>
      </c>
      <c r="U44" s="70" t="n">
        <f aca="false">-U39*Assumptions!$D$56</f>
        <v>-5812.29207688166</v>
      </c>
      <c r="V44" s="70" t="n">
        <f aca="false">-V39*Assumptions!$D$56</f>
        <v>-5900.87165654902</v>
      </c>
      <c r="W44" s="70" t="n">
        <f aca="false">-W39*Assumptions!$D$56</f>
        <v>-5991.30344733121</v>
      </c>
      <c r="X44" s="70" t="n">
        <f aca="false">-X39*Assumptions!$D$56</f>
        <v>-6083.98332824706</v>
      </c>
      <c r="Y44" s="70" t="n">
        <f aca="false">-Y39*Assumptions!$D$56</f>
        <v>-6179.29337192541</v>
      </c>
      <c r="Z44" s="70" t="n">
        <f aca="false">-Z39*Assumptions!$D$56</f>
        <v>-6277.6086220786</v>
      </c>
      <c r="AA44" s="70" t="n">
        <f aca="false">-AA39*Assumptions!$D$56</f>
        <v>-6379.30230538721</v>
      </c>
      <c r="AB44" s="70" t="n">
        <f aca="false">-AB39*Assumptions!$D$56</f>
        <v>-6484.74993062603</v>
      </c>
      <c r="AC44" s="70" t="n">
        <f aca="false">-AC39*Assumptions!$D$56</f>
        <v>-6594.33259982888</v>
      </c>
      <c r="AD44" s="70" t="n">
        <f aca="false">-AD39*Assumptions!$D$56</f>
        <v>-6708.43976527317</v>
      </c>
      <c r="AE44" s="70" t="n">
        <f aca="false">-AE39*Assumptions!$D$56</f>
        <v>-6827.47160114265</v>
      </c>
      <c r="AF44" s="70" t="n">
        <f aca="false">-AF39*Assumptions!$D$56</f>
        <v>-6951.84111232072</v>
      </c>
      <c r="AG44" s="70" t="n">
        <f aca="false">-AG39*Assumptions!$D$56</f>
        <v>-7081.97606956223</v>
      </c>
      <c r="AH44" s="70" t="n">
        <f aca="false">-AH39*Assumptions!$D$56</f>
        <v>-7218.32083652764</v>
      </c>
      <c r="AI44" s="70" t="n">
        <f aca="false">-AI39*Assumptions!$D$56</f>
        <v>-7361.33813716549</v>
      </c>
      <c r="AJ44" s="70" t="n">
        <f aca="false">-AJ39*Assumptions!$D$56</f>
        <v>-7511.51079978965</v>
      </c>
      <c r="AK44" s="70" t="n">
        <f aca="false">-AK39*Assumptions!$D$56</f>
        <v>-7669.34350555032</v>
      </c>
      <c r="AL44" s="70" t="n">
        <f aca="false">-AL39*Assumptions!$D$56</f>
        <v>-7835.36456286351</v>
      </c>
      <c r="AM44" s="70" t="n">
        <f aca="false">SUM(C44:AL44)</f>
        <v>-201729.721512165</v>
      </c>
    </row>
    <row r="45" customFormat="false" ht="15" hidden="false" customHeight="false" outlineLevel="0" collapsed="false">
      <c r="A45" s="10" t="s">
        <v>766</v>
      </c>
      <c r="B45" s="9" t="s">
        <v>97</v>
      </c>
      <c r="C45" s="70" t="n">
        <f aca="false">-C42*Assumptions!$D$79</f>
        <v>-0</v>
      </c>
      <c r="D45" s="70" t="n">
        <f aca="false">-D42*Assumptions!$D$79</f>
        <v>-0</v>
      </c>
      <c r="E45" s="70" t="n">
        <f aca="false">-E42*Assumptions!$D$79</f>
        <v>-1253.376</v>
      </c>
      <c r="F45" s="70" t="n">
        <f aca="false">-F42*Assumptions!$D$79</f>
        <v>-1051.18823732488</v>
      </c>
      <c r="G45" s="70" t="n">
        <f aca="false">-G42*Assumptions!$D$79</f>
        <v>-1060.31679837544</v>
      </c>
      <c r="H45" s="70" t="n">
        <f aca="false">-H42*Assumptions!$D$79</f>
        <v>-1101.17104633058</v>
      </c>
      <c r="I45" s="70" t="n">
        <f aca="false">-I42*Assumptions!$D$79</f>
        <v>-1140.65561673811</v>
      </c>
      <c r="J45" s="70" t="n">
        <f aca="false">-J42*Assumptions!$D$79</f>
        <v>-1174.12282654453</v>
      </c>
      <c r="K45" s="70" t="n">
        <f aca="false">-K42*Assumptions!$D$79</f>
        <v>-1203.17236578126</v>
      </c>
      <c r="L45" s="70" t="n">
        <f aca="false">-L42*Assumptions!$D$79</f>
        <v>-1230.29171262999</v>
      </c>
      <c r="M45" s="70" t="n">
        <f aca="false">-M42*Assumptions!$D$79</f>
        <v>-1255.08192597616</v>
      </c>
      <c r="N45" s="70" t="n">
        <f aca="false">-N42*Assumptions!$D$79</f>
        <v>-1278.4043262019</v>
      </c>
      <c r="O45" s="70" t="n">
        <f aca="false">-O42*Assumptions!$D$79</f>
        <v>-1300.73666731621</v>
      </c>
      <c r="P45" s="70" t="n">
        <f aca="false">-P42*Assumptions!$D$79</f>
        <v>-1322.41331404865</v>
      </c>
      <c r="Q45" s="70" t="n">
        <f aca="false">-Q42*Assumptions!$D$79</f>
        <v>-1343.69160019895</v>
      </c>
      <c r="R45" s="70" t="n">
        <f aca="false">-R42*Assumptions!$D$79</f>
        <v>-1364.77637730563</v>
      </c>
      <c r="S45" s="70" t="n">
        <f aca="false">-S42*Assumptions!$D$79</f>
        <v>-1385.83573695215</v>
      </c>
      <c r="T45" s="70" t="n">
        <f aca="false">-T42*Assumptions!$D$79</f>
        <v>-1407.01189225379</v>
      </c>
      <c r="U45" s="70" t="n">
        <f aca="false">-U42*Assumptions!$D$79</f>
        <v>-1428.42890081444</v>
      </c>
      <c r="V45" s="70" t="n">
        <f aca="false">-V42*Assumptions!$D$79</f>
        <v>-1450.19821831349</v>
      </c>
      <c r="W45" s="70" t="n">
        <f aca="false">-W42*Assumptions!$D$79</f>
        <v>-1472.42273521612</v>
      </c>
      <c r="X45" s="70" t="n">
        <f aca="false">-X42*Assumptions!$D$79</f>
        <v>-1495.19974275</v>
      </c>
      <c r="Y45" s="70" t="n">
        <f aca="false">-Y42*Assumptions!$D$79</f>
        <v>-1518.62313908439</v>
      </c>
      <c r="Z45" s="70" t="n">
        <f aca="false">-Z42*Assumptions!$D$79</f>
        <v>-1542.78509496204</v>
      </c>
      <c r="AA45" s="70" t="n">
        <f aca="false">-AA42*Assumptions!$D$79</f>
        <v>-1567.77733457196</v>
      </c>
      <c r="AB45" s="70" t="n">
        <f aca="false">-AB42*Assumptions!$D$79</f>
        <v>-1593.69214295065</v>
      </c>
      <c r="AC45" s="70" t="n">
        <f aca="false">-AC42*Assumptions!$D$79</f>
        <v>-1620.62317973394</v>
      </c>
      <c r="AD45" s="70" t="n">
        <f aca="false">-AD42*Assumptions!$D$79</f>
        <v>-1648.66615671353</v>
      </c>
      <c r="AE45" s="70" t="n">
        <f aca="false">-AE42*Assumptions!$D$79</f>
        <v>-1677.91942069682</v>
      </c>
      <c r="AF45" s="70" t="n">
        <f aca="false">-AF42*Assumptions!$D$79</f>
        <v>-1708.48447176394</v>
      </c>
      <c r="AG45" s="70" t="n">
        <f aca="false">-AG42*Assumptions!$D$79</f>
        <v>-1740.46643885561</v>
      </c>
      <c r="AH45" s="70" t="n">
        <f aca="false">-AH42*Assumptions!$D$79</f>
        <v>-1773.97452878503</v>
      </c>
      <c r="AI45" s="70" t="n">
        <f aca="false">-AI42*Assumptions!$D$79</f>
        <v>-1809.12246058979</v>
      </c>
      <c r="AJ45" s="70" t="n">
        <f aca="false">-AJ42*Assumptions!$D$79</f>
        <v>-1846.02889415631</v>
      </c>
      <c r="AK45" s="70" t="n">
        <f aca="false">-AK42*Assumptions!$D$79</f>
        <v>-1884.81785992405</v>
      </c>
      <c r="AL45" s="70" t="n">
        <f aca="false">-AL42*Assumptions!$D$79</f>
        <v>-1925.61919496934</v>
      </c>
      <c r="AM45" s="70" t="n">
        <f aca="false">SUM(C45:AL45)</f>
        <v>-49577.0963588297</v>
      </c>
    </row>
    <row r="46" customFormat="false" ht="15" hidden="false" customHeight="false" outlineLevel="0" collapsed="false">
      <c r="A46" s="37" t="s">
        <v>767</v>
      </c>
      <c r="B46" s="9" t="s">
        <v>97</v>
      </c>
      <c r="C46" s="53" t="n">
        <f aca="false">C42+C43+C44+C45</f>
        <v>0</v>
      </c>
      <c r="D46" s="53" t="n">
        <f aca="false">D42+D43+D44+D45</f>
        <v>0</v>
      </c>
      <c r="E46" s="53" t="n">
        <f aca="false">E42+E43+E44+E45</f>
        <v>20574.624</v>
      </c>
      <c r="F46" s="53" t="n">
        <f aca="false">F42+F43+F44+F45</f>
        <v>17255.6381613994</v>
      </c>
      <c r="G46" s="53" t="n">
        <f aca="false">G42+G43+G44+G45</f>
        <v>17405.4868191657</v>
      </c>
      <c r="H46" s="53" t="n">
        <f aca="false">H42+H43+H44+H45</f>
        <v>18076.1241941272</v>
      </c>
      <c r="I46" s="53" t="n">
        <f aca="false">I42+I43+I44+I45</f>
        <v>18724.277812783</v>
      </c>
      <c r="J46" s="53" t="n">
        <f aca="false">J42+J43+J44+J45</f>
        <v>19273.6542633423</v>
      </c>
      <c r="K46" s="53" t="n">
        <f aca="false">K42+K43+K44+K45</f>
        <v>19750.513040891</v>
      </c>
      <c r="L46" s="53" t="n">
        <f aca="false">L42+L43+L44+L45</f>
        <v>20195.6870066749</v>
      </c>
      <c r="M46" s="53" t="n">
        <f aca="false">M42+M43+M44+M45</f>
        <v>20602.6273968509</v>
      </c>
      <c r="N46" s="53" t="n">
        <f aca="false">N42+N43+N44+N45</f>
        <v>20985.4730995147</v>
      </c>
      <c r="O46" s="53" t="n">
        <f aca="false">O42+O43+O44+O45</f>
        <v>21352.0666209056</v>
      </c>
      <c r="P46" s="53" t="n">
        <f aca="false">P42+P43+P44+P45</f>
        <v>21707.8966799627</v>
      </c>
      <c r="Q46" s="53" t="n">
        <f aca="false">Q42+Q43+Q44+Q45</f>
        <v>22057.1875048284</v>
      </c>
      <c r="R46" s="53" t="n">
        <f aca="false">R42+R43+R44+R45</f>
        <v>22403.3018081928</v>
      </c>
      <c r="S46" s="53" t="n">
        <f aca="false">S42+S43+S44+S45</f>
        <v>22748.998874682</v>
      </c>
      <c r="T46" s="53" t="n">
        <f aca="false">T42+T43+T44+T45</f>
        <v>23096.6131844317</v>
      </c>
      <c r="U46" s="53" t="n">
        <f aca="false">U42+U43+U44+U45</f>
        <v>23448.1811882391</v>
      </c>
      <c r="V46" s="53" t="n">
        <f aca="false">V42+V43+V44+V45</f>
        <v>23805.5324717163</v>
      </c>
      <c r="W46" s="53" t="n">
        <f aca="false">W42+W43+W44+W45</f>
        <v>24170.3560193615</v>
      </c>
      <c r="X46" s="53" t="n">
        <f aca="false">X42+X43+X44+X45</f>
        <v>24544.2489021474</v>
      </c>
      <c r="Y46" s="53" t="n">
        <f aca="false">Y42+Y43+Y44+Y45</f>
        <v>24928.7524927564</v>
      </c>
      <c r="Z46" s="53" t="n">
        <f aca="false">Z42+Z43+Z44+Z45</f>
        <v>25325.3798075344</v>
      </c>
      <c r="AA46" s="53" t="n">
        <f aca="false">AA42+AA43+AA44+AA45</f>
        <v>25735.6365324853</v>
      </c>
      <c r="AB46" s="53" t="n">
        <f aca="false">AB42+AB43+AB44+AB45</f>
        <v>26161.0375601288</v>
      </c>
      <c r="AC46" s="53" t="n">
        <f aca="false">AC42+AC43+AC44+AC45</f>
        <v>26603.1203475336</v>
      </c>
      <c r="AD46" s="53" t="n">
        <f aca="false">AD42+AD43+AD44+AD45</f>
        <v>27063.4560386556</v>
      </c>
      <c r="AE46" s="53" t="n">
        <f aca="false">AE42+AE43+AE44+AE45</f>
        <v>27543.6590321937</v>
      </c>
      <c r="AF46" s="53" t="n">
        <f aca="false">AF42+AF43+AF44+AF45</f>
        <v>28045.3954889687</v>
      </c>
      <c r="AG46" s="53" t="n">
        <f aca="false">AG42+AG43+AG44+AG45</f>
        <v>28570.3911388707</v>
      </c>
      <c r="AH46" s="53" t="n">
        <f aca="false">AH42+AH43+AH44+AH45</f>
        <v>29120.4386515533</v>
      </c>
      <c r="AI46" s="53" t="n">
        <f aca="false">AI42+AI43+AI44+AI45</f>
        <v>29697.4047664785</v>
      </c>
      <c r="AJ46" s="53" t="n">
        <f aca="false">AJ42+AJ43+AJ44+AJ45</f>
        <v>30303.2373289434</v>
      </c>
      <c r="AK46" s="53" t="n">
        <f aca="false">AK42+AK43+AK44+AK45</f>
        <v>30939.9723438313</v>
      </c>
      <c r="AL46" s="53" t="n">
        <f aca="false">AL42+AL43+AL44+AL45</f>
        <v>31609.7411340865</v>
      </c>
      <c r="AM46" s="53" t="n">
        <f aca="false">SUM(C46:AL46)</f>
        <v>813826.111713237</v>
      </c>
    </row>
    <row r="47" customFormat="false" ht="15" hidden="false" customHeight="false" outlineLevel="0" collapsed="false">
      <c r="A47" s="10" t="s">
        <v>768</v>
      </c>
      <c r="B47" s="9" t="s">
        <v>61</v>
      </c>
      <c r="C47" s="62" t="n">
        <f aca="false">IFERROR(C46/C42,0)</f>
        <v>0</v>
      </c>
      <c r="D47" s="62" t="n">
        <f aca="false">IFERROR(D46/D42,0)</f>
        <v>0</v>
      </c>
      <c r="E47" s="62" t="n">
        <f aca="false">IFERROR(E46/E42,0)</f>
        <v>0.525291666666667</v>
      </c>
      <c r="F47" s="62" t="n">
        <f aca="false">IFERROR(F46/F42,0)</f>
        <v>0.525291666666667</v>
      </c>
      <c r="G47" s="62" t="n">
        <f aca="false">IFERROR(G46/G42,0)</f>
        <v>0.525291666666667</v>
      </c>
      <c r="H47" s="62" t="n">
        <f aca="false">IFERROR(H46/H42,0)</f>
        <v>0.525291666666667</v>
      </c>
      <c r="I47" s="62" t="n">
        <f aca="false">IFERROR(I46/I42,0)</f>
        <v>0.525291666666667</v>
      </c>
      <c r="J47" s="62" t="n">
        <f aca="false">IFERROR(J46/J42,0)</f>
        <v>0.525291666666667</v>
      </c>
      <c r="K47" s="62" t="n">
        <f aca="false">IFERROR(K46/K42,0)</f>
        <v>0.525291666666667</v>
      </c>
      <c r="L47" s="62" t="n">
        <f aca="false">IFERROR(L46/L42,0)</f>
        <v>0.525291666666667</v>
      </c>
      <c r="M47" s="62" t="n">
        <f aca="false">IFERROR(M46/M42,0)</f>
        <v>0.525291666666667</v>
      </c>
      <c r="N47" s="62" t="n">
        <f aca="false">IFERROR(N46/N42,0)</f>
        <v>0.525291666666667</v>
      </c>
      <c r="O47" s="62" t="n">
        <f aca="false">IFERROR(O46/O42,0)</f>
        <v>0.525291666666667</v>
      </c>
      <c r="P47" s="62" t="n">
        <f aca="false">IFERROR(P46/P42,0)</f>
        <v>0.525291666666667</v>
      </c>
      <c r="Q47" s="62" t="n">
        <f aca="false">IFERROR(Q46/Q42,0)</f>
        <v>0.525291666666667</v>
      </c>
      <c r="R47" s="62" t="n">
        <f aca="false">IFERROR(R46/R42,0)</f>
        <v>0.525291666666667</v>
      </c>
      <c r="S47" s="62" t="n">
        <f aca="false">IFERROR(S46/S42,0)</f>
        <v>0.525291666666667</v>
      </c>
      <c r="T47" s="62" t="n">
        <f aca="false">IFERROR(T46/T42,0)</f>
        <v>0.525291666666667</v>
      </c>
      <c r="U47" s="62" t="n">
        <f aca="false">IFERROR(U46/U42,0)</f>
        <v>0.525291666666667</v>
      </c>
      <c r="V47" s="62" t="n">
        <f aca="false">IFERROR(V46/V42,0)</f>
        <v>0.525291666666667</v>
      </c>
      <c r="W47" s="62" t="n">
        <f aca="false">IFERROR(W46/W42,0)</f>
        <v>0.525291666666667</v>
      </c>
      <c r="X47" s="62" t="n">
        <f aca="false">IFERROR(X46/X42,0)</f>
        <v>0.525291666666667</v>
      </c>
      <c r="Y47" s="62" t="n">
        <f aca="false">IFERROR(Y46/Y42,0)</f>
        <v>0.525291666666667</v>
      </c>
      <c r="Z47" s="62" t="n">
        <f aca="false">IFERROR(Z46/Z42,0)</f>
        <v>0.525291666666667</v>
      </c>
      <c r="AA47" s="62" t="n">
        <f aca="false">IFERROR(AA46/AA42,0)</f>
        <v>0.525291666666667</v>
      </c>
      <c r="AB47" s="62" t="n">
        <f aca="false">IFERROR(AB46/AB42,0)</f>
        <v>0.525291666666667</v>
      </c>
      <c r="AC47" s="62" t="n">
        <f aca="false">IFERROR(AC46/AC42,0)</f>
        <v>0.525291666666667</v>
      </c>
      <c r="AD47" s="62" t="n">
        <f aca="false">IFERROR(AD46/AD42,0)</f>
        <v>0.525291666666667</v>
      </c>
      <c r="AE47" s="62" t="n">
        <f aca="false">IFERROR(AE46/AE42,0)</f>
        <v>0.525291666666667</v>
      </c>
      <c r="AF47" s="62" t="n">
        <f aca="false">IFERROR(AF46/AF42,0)</f>
        <v>0.525291666666667</v>
      </c>
      <c r="AG47" s="62" t="n">
        <f aca="false">IFERROR(AG46/AG42,0)</f>
        <v>0.525291666666667</v>
      </c>
      <c r="AH47" s="62" t="n">
        <f aca="false">IFERROR(AH46/AH42,0)</f>
        <v>0.525291666666667</v>
      </c>
      <c r="AI47" s="62" t="n">
        <f aca="false">IFERROR(AI46/AI42,0)</f>
        <v>0.525291666666667</v>
      </c>
      <c r="AJ47" s="62" t="n">
        <f aca="false">IFERROR(AJ46/AJ42,0)</f>
        <v>0.525291666666667</v>
      </c>
      <c r="AK47" s="62" t="n">
        <f aca="false">IFERROR(AK46/AK42,0)</f>
        <v>0.525291666666667</v>
      </c>
      <c r="AL47" s="62" t="n">
        <f aca="false">IFERROR(AL46/AL42,0)</f>
        <v>0.525291666666667</v>
      </c>
      <c r="AM47" s="62" t="n">
        <f aca="false">AVERAGE(N47:AL47)</f>
        <v>0.525291666666667</v>
      </c>
    </row>
    <row r="48" customFormat="false" ht="15" hidden="false" customHeight="false" outlineLevel="0" collapsed="false">
      <c r="A48" s="10" t="s">
        <v>769</v>
      </c>
      <c r="B48" s="9" t="s">
        <v>61</v>
      </c>
      <c r="C48" s="62" t="n">
        <f aca="false">IF(C9=0,0,MIN(Assumptions!$D$63,Assumptions!$D$61+Assumptions!$D$62*(C$5-Assumptions!$D$7)))</f>
        <v>0</v>
      </c>
      <c r="D48" s="62" t="n">
        <f aca="false">IF(D9=0,0,MIN(Assumptions!$D$63,Assumptions!$D$61+Assumptions!$D$62*(D$5-Assumptions!$D$7)))</f>
        <v>0</v>
      </c>
      <c r="E48" s="62" t="n">
        <f aca="false">IF(E9=0,0,MIN(Assumptions!$D$63,Assumptions!$D$61+Assumptions!$D$62*(E$5-Assumptions!$D$7)))</f>
        <v>0</v>
      </c>
      <c r="F48" s="62" t="n">
        <f aca="false">IF(F9=0,0,MIN(Assumptions!$D$63,Assumptions!$D$61+Assumptions!$D$62*(F$5-Assumptions!$D$7)))</f>
        <v>0</v>
      </c>
      <c r="G48" s="62" t="n">
        <f aca="false">IF(G9=0,0,MIN(Assumptions!$D$63,Assumptions!$D$61+Assumptions!$D$62*(G$5-Assumptions!$D$7)))</f>
        <v>0</v>
      </c>
      <c r="H48" s="62" t="n">
        <f aca="false">IF(H9=0,0,MIN(Assumptions!$D$63,Assumptions!$D$61+Assumptions!$D$62*(H$5-Assumptions!$D$7)))</f>
        <v>0</v>
      </c>
      <c r="I48" s="62" t="n">
        <f aca="false">IF(I9=0,0,MIN(Assumptions!$D$63,Assumptions!$D$61+Assumptions!$D$62*(I$5-Assumptions!$D$7)))</f>
        <v>0</v>
      </c>
      <c r="J48" s="62" t="n">
        <f aca="false">IF(J9=0,0,MIN(Assumptions!$D$63,Assumptions!$D$61+Assumptions!$D$62*(J$5-Assumptions!$D$7)))</f>
        <v>0</v>
      </c>
      <c r="K48" s="62" t="n">
        <f aca="false">IF(K9=0,0,MIN(Assumptions!$D$63,Assumptions!$D$61+Assumptions!$D$62*(K$5-Assumptions!$D$7)))</f>
        <v>0.26</v>
      </c>
      <c r="L48" s="62" t="n">
        <f aca="false">IF(L9=0,0,MIN(Assumptions!$D$63,Assumptions!$D$61+Assumptions!$D$62*(L$5-Assumptions!$D$7)))</f>
        <v>0.275</v>
      </c>
      <c r="M48" s="62" t="n">
        <f aca="false">IF(M9=0,0,MIN(Assumptions!$D$63,Assumptions!$D$61+Assumptions!$D$62*(M$5-Assumptions!$D$7)))</f>
        <v>0.29</v>
      </c>
      <c r="N48" s="62" t="n">
        <f aca="false">IF(N9=0,0,MIN(Assumptions!$D$63,Assumptions!$D$61+Assumptions!$D$62*(N$5-Assumptions!$D$7)))</f>
        <v>0.305</v>
      </c>
      <c r="O48" s="62" t="n">
        <f aca="false">IF(O9=0,0,MIN(Assumptions!$D$63,Assumptions!$D$61+Assumptions!$D$62*(O$5-Assumptions!$D$7)))</f>
        <v>0.32</v>
      </c>
      <c r="P48" s="62" t="n">
        <f aca="false">IF(P9=0,0,MIN(Assumptions!$D$63,Assumptions!$D$61+Assumptions!$D$62*(P$5-Assumptions!$D$7)))</f>
        <v>0.335</v>
      </c>
      <c r="Q48" s="62" t="n">
        <f aca="false">IF(Q9=0,0,MIN(Assumptions!$D$63,Assumptions!$D$61+Assumptions!$D$62*(Q$5-Assumptions!$D$7)))</f>
        <v>0.35</v>
      </c>
      <c r="R48" s="62" t="n">
        <f aca="false">IF(R9=0,0,MIN(Assumptions!$D$63,Assumptions!$D$61+Assumptions!$D$62*(R$5-Assumptions!$D$7)))</f>
        <v>0.365</v>
      </c>
      <c r="S48" s="62" t="n">
        <f aca="false">IF(S9=0,0,MIN(Assumptions!$D$63,Assumptions!$D$61+Assumptions!$D$62*(S$5-Assumptions!$D$7)))</f>
        <v>0.38</v>
      </c>
      <c r="T48" s="62" t="n">
        <f aca="false">IF(T9=0,0,MIN(Assumptions!$D$63,Assumptions!$D$61+Assumptions!$D$62*(T$5-Assumptions!$D$7)))</f>
        <v>0.395</v>
      </c>
      <c r="U48" s="62" t="n">
        <f aca="false">IF(U9=0,0,MIN(Assumptions!$D$63,Assumptions!$D$61+Assumptions!$D$62*(U$5-Assumptions!$D$7)))</f>
        <v>0.41</v>
      </c>
      <c r="V48" s="62" t="n">
        <f aca="false">IF(V9=0,0,MIN(Assumptions!$D$63,Assumptions!$D$61+Assumptions!$D$62*(V$5-Assumptions!$D$7)))</f>
        <v>0.425</v>
      </c>
      <c r="W48" s="62" t="n">
        <f aca="false">IF(W9=0,0,MIN(Assumptions!$D$63,Assumptions!$D$61+Assumptions!$D$62*(W$5-Assumptions!$D$7)))</f>
        <v>0.44</v>
      </c>
      <c r="X48" s="62" t="n">
        <f aca="false">IF(X9=0,0,MIN(Assumptions!$D$63,Assumptions!$D$61+Assumptions!$D$62*(X$5-Assumptions!$D$7)))</f>
        <v>0.455</v>
      </c>
      <c r="Y48" s="62" t="n">
        <f aca="false">IF(Y9=0,0,MIN(Assumptions!$D$63,Assumptions!$D$61+Assumptions!$D$62*(Y$5-Assumptions!$D$7)))</f>
        <v>0.47</v>
      </c>
      <c r="Z48" s="62" t="n">
        <f aca="false">IF(Z9=0,0,MIN(Assumptions!$D$63,Assumptions!$D$61+Assumptions!$D$62*(Z$5-Assumptions!$D$7)))</f>
        <v>0.485</v>
      </c>
      <c r="AA48" s="62" t="n">
        <f aca="false">IF(AA9=0,0,MIN(Assumptions!$D$63,Assumptions!$D$61+Assumptions!$D$62*(AA$5-Assumptions!$D$7)))</f>
        <v>0.5</v>
      </c>
      <c r="AB48" s="62" t="n">
        <f aca="false">IF(AB9=0,0,MIN(Assumptions!$D$63,Assumptions!$D$61+Assumptions!$D$62*(AB$5-Assumptions!$D$7)))</f>
        <v>0.515</v>
      </c>
      <c r="AC48" s="62" t="n">
        <f aca="false">IF(AC9=0,0,MIN(Assumptions!$D$63,Assumptions!$D$61+Assumptions!$D$62*(AC$5-Assumptions!$D$7)))</f>
        <v>0.53</v>
      </c>
      <c r="AD48" s="62" t="n">
        <f aca="false">IF(AD9=0,0,MIN(Assumptions!$D$63,Assumptions!$D$61+Assumptions!$D$62*(AD$5-Assumptions!$D$7)))</f>
        <v>0.545</v>
      </c>
      <c r="AE48" s="62" t="n">
        <f aca="false">IF(AE9=0,0,MIN(Assumptions!$D$63,Assumptions!$D$61+Assumptions!$D$62*(AE$5-Assumptions!$D$7)))</f>
        <v>0.56</v>
      </c>
      <c r="AF48" s="62" t="n">
        <f aca="false">IF(AF9=0,0,MIN(Assumptions!$D$63,Assumptions!$D$61+Assumptions!$D$62*(AF$5-Assumptions!$D$7)))</f>
        <v>0.575</v>
      </c>
      <c r="AG48" s="62" t="n">
        <f aca="false">IF(AG9=0,0,MIN(Assumptions!$D$63,Assumptions!$D$61+Assumptions!$D$62*(AG$5-Assumptions!$D$7)))</f>
        <v>0.59</v>
      </c>
      <c r="AH48" s="62" t="n">
        <f aca="false">IF(AH9=0,0,MIN(Assumptions!$D$63,Assumptions!$D$61+Assumptions!$D$62*(AH$5-Assumptions!$D$7)))</f>
        <v>0.605</v>
      </c>
      <c r="AI48" s="62" t="n">
        <f aca="false">IF(AI9=0,0,MIN(Assumptions!$D$63,Assumptions!$D$61+Assumptions!$D$62*(AI$5-Assumptions!$D$7)))</f>
        <v>0.62</v>
      </c>
      <c r="AJ48" s="62" t="n">
        <f aca="false">IF(AJ9=0,0,MIN(Assumptions!$D$63,Assumptions!$D$61+Assumptions!$D$62*(AJ$5-Assumptions!$D$7)))</f>
        <v>0.635</v>
      </c>
      <c r="AK48" s="62" t="n">
        <f aca="false">IF(AK9=0,0,MIN(Assumptions!$D$63,Assumptions!$D$61+Assumptions!$D$62*(AK$5-Assumptions!$D$7)))</f>
        <v>0.65</v>
      </c>
      <c r="AL48" s="62" t="n">
        <f aca="false">IF(AL9=0,0,MIN(Assumptions!$D$63,Assumptions!$D$61+Assumptions!$D$62*(AL$5-Assumptions!$D$7)))</f>
        <v>0.665</v>
      </c>
      <c r="AM48" s="62" t="n">
        <f aca="false">AL48</f>
        <v>0.665</v>
      </c>
    </row>
    <row r="49" customFormat="false" ht="15" hidden="false" customHeight="false" outlineLevel="0" collapsed="false">
      <c r="A49" s="10" t="s">
        <v>770</v>
      </c>
      <c r="B49" s="9" t="s">
        <v>84</v>
      </c>
      <c r="C49" s="61" t="n">
        <f aca="false">C15+C19+C23+(C13+C25)*Assumptions!$D$45</f>
        <v>2161.64284407534</v>
      </c>
      <c r="D49" s="61" t="n">
        <f aca="false">D15+D19+D23+(D13+D25)*Assumptions!$D$45</f>
        <v>2233.64284407534</v>
      </c>
      <c r="E49" s="61" t="n">
        <f aca="false">E15+E19+E23+(E13+E25)*Assumptions!$D$45</f>
        <v>26391.9490117647</v>
      </c>
      <c r="F49" s="61" t="n">
        <f aca="false">F15+F19+F23+(F13+F25)*Assumptions!$D$45</f>
        <v>16964.8592075294</v>
      </c>
      <c r="G49" s="61" t="n">
        <f aca="false">G15+G19+G23+(G13+G25)*Assumptions!$D$45</f>
        <v>14562.8618406024</v>
      </c>
      <c r="H49" s="61" t="n">
        <f aca="false">H15+H19+H23+(H13+H25)*Assumptions!$D$45</f>
        <v>13523.4349775822</v>
      </c>
      <c r="I49" s="61" t="n">
        <f aca="false">I15+I19+I23+(I13+I25)*Assumptions!$D$45</f>
        <v>12586.6896813628</v>
      </c>
      <c r="J49" s="61" t="n">
        <f aca="false">J15+J19+J23+(J13+J25)*Assumptions!$D$45</f>
        <v>11923.5755504901</v>
      </c>
      <c r="K49" s="61" t="n">
        <f aca="false">K15+K19+K23+(K13+K25)*Assumptions!$D$45</f>
        <v>11473.5033043452</v>
      </c>
      <c r="L49" s="61" t="n">
        <f aca="false">L15+L19+L23+(L13+L25)*Assumptions!$D$45</f>
        <v>11212.8500988036</v>
      </c>
      <c r="M49" s="61" t="n">
        <f aca="false">M15+M19+M23+(M13+M25)*Assumptions!$D$45</f>
        <v>11069.7006464441</v>
      </c>
      <c r="N49" s="61" t="n">
        <f aca="false">N15+N19+N23+(N13+N25)*Assumptions!$D$45</f>
        <v>11019.0539427156</v>
      </c>
      <c r="O49" s="61" t="n">
        <f aca="false">O15+O19+O23+(O13+O25)*Assumptions!$D$45</f>
        <v>11039.6191809812</v>
      </c>
      <c r="P49" s="61" t="n">
        <f aca="false">P15+P19+P23+(P13+P25)*Assumptions!$D$45</f>
        <v>11114.8243699369</v>
      </c>
      <c r="Q49" s="61" t="n">
        <f aca="false">Q15+Q19+Q23+(Q13+Q25)*Assumptions!$D$45</f>
        <v>11232.6508297364</v>
      </c>
      <c r="R49" s="61" t="n">
        <f aca="false">R15+R19+R23+(R13+R25)*Assumptions!$D$45</f>
        <v>11384.5576386058</v>
      </c>
      <c r="S49" s="61" t="n">
        <f aca="false">S15+S19+S23+(S13+S25)*Assumptions!$D$45</f>
        <v>11564.5759941703</v>
      </c>
      <c r="T49" s="61" t="n">
        <f aca="false">T15+T19+T23+(T13+T25)*Assumptions!$D$45</f>
        <v>11768.6248822134</v>
      </c>
      <c r="U49" s="61" t="n">
        <f aca="false">U15+U19+U23+(U13+U25)*Assumptions!$D$45</f>
        <v>11994.0066125118</v>
      </c>
      <c r="V49" s="61" t="n">
        <f aca="false">V15+V19+V23+(V13+V25)*Assumptions!$D$45</f>
        <v>12239.0386037595</v>
      </c>
      <c r="W49" s="61" t="n">
        <f aca="false">W15+W19+W23+(W13+W25)*Assumptions!$D$45</f>
        <v>12502.7862507514</v>
      </c>
      <c r="X49" s="61" t="n">
        <f aca="false">X15+X19+X23+(X13+X25)*Assumptions!$D$45</f>
        <v>12784.8700314136</v>
      </c>
      <c r="Y49" s="61" t="n">
        <f aca="false">Y15+Y19+Y23+(Y13+Y25)*Assumptions!$D$45</f>
        <v>13085.326825395</v>
      </c>
      <c r="Z49" s="61" t="n">
        <f aca="false">Z15+Z19+Z23+(Z13+Z25)*Assumptions!$D$45</f>
        <v>13404.5106833879</v>
      </c>
      <c r="AA49" s="61" t="n">
        <f aca="false">AA15+AA19+AA23+(AA13+AA25)*Assumptions!$D$45</f>
        <v>13743.0222495805</v>
      </c>
      <c r="AB49" s="61" t="n">
        <f aca="false">AB15+AB19+AB23+(AB13+AB25)*Assumptions!$D$45</f>
        <v>14101.658976968</v>
      </c>
      <c r="AC49" s="61" t="n">
        <f aca="false">AC15+AC19+AC23+(AC13+AC25)*Assumptions!$D$45</f>
        <v>14481.3804325111</v>
      </c>
      <c r="AD49" s="61" t="n">
        <f aca="false">AD15+AD19+AD23+(AD13+AD25)*Assumptions!$D$45</f>
        <v>14883.284564383</v>
      </c>
      <c r="AE49" s="61" t="n">
        <f aca="false">AE15+AE19+AE23+(AE13+AE25)*Assumptions!$D$45</f>
        <v>15308.591949503</v>
      </c>
      <c r="AF49" s="61" t="n">
        <f aca="false">AF15+AF19+AF23+(AF13+AF25)*Assumptions!$D$45</f>
        <v>15758.6358711102</v>
      </c>
      <c r="AG49" s="61" t="n">
        <f aca="false">AG15+AG19+AG23+(AG13+AG25)*Assumptions!$D$45</f>
        <v>16234.8566785552</v>
      </c>
      <c r="AH49" s="61" t="n">
        <f aca="false">AH15+AH19+AH23+(AH13+AH25)*Assumptions!$D$45</f>
        <v>16738.7993174266</v>
      </c>
      <c r="AI49" s="61" t="n">
        <f aca="false">AI15+AI19+AI23+(AI13+AI25)*Assumptions!$D$45</f>
        <v>17272.1132334103</v>
      </c>
      <c r="AJ49" s="61" t="n">
        <f aca="false">AJ15+AJ19+AJ23+(AJ13+AJ25)*Assumptions!$D$45</f>
        <v>17836.554081226</v>
      </c>
      <c r="AK49" s="61" t="n">
        <f aca="false">AK15+AK19+AK23+(AK13+AK25)*Assumptions!$D$45</f>
        <v>18433.9868348177</v>
      </c>
      <c r="AL49" s="61" t="n">
        <f aca="false">AL15+AL19+AL23+(AL13+AL25)*Assumptions!$D$45</f>
        <v>19066.3900142222</v>
      </c>
      <c r="AM49" s="61" t="n">
        <f aca="false">SUM(C49:AL49)</f>
        <v>483098.430056368</v>
      </c>
    </row>
    <row r="50" customFormat="false" ht="15" hidden="false" customHeight="false" outlineLevel="0" collapsed="false">
      <c r="A50" s="10" t="s">
        <v>771</v>
      </c>
      <c r="B50" s="9" t="s">
        <v>51</v>
      </c>
      <c r="C50" s="61" t="n">
        <f aca="false">C49*Assumptions!$D$58*C9</f>
        <v>0</v>
      </c>
      <c r="D50" s="61" t="n">
        <f aca="false">D49*Assumptions!$D$58*D9</f>
        <v>0</v>
      </c>
      <c r="E50" s="61" t="n">
        <f aca="false">E49*Assumptions!$D$58*E9</f>
        <v>0</v>
      </c>
      <c r="F50" s="61" t="n">
        <f aca="false">F49*Assumptions!$D$58*F9</f>
        <v>0</v>
      </c>
      <c r="G50" s="61" t="n">
        <f aca="false">G49*Assumptions!$D$58*G9</f>
        <v>0</v>
      </c>
      <c r="H50" s="61" t="n">
        <f aca="false">H49*Assumptions!$D$58*H9</f>
        <v>0</v>
      </c>
      <c r="I50" s="61" t="n">
        <f aca="false">I49*Assumptions!$D$58*I9</f>
        <v>0</v>
      </c>
      <c r="J50" s="61" t="n">
        <f aca="false">J49*Assumptions!$D$58*J9</f>
        <v>0</v>
      </c>
      <c r="K50" s="61" t="n">
        <f aca="false">K49*Assumptions!$D$58*K9</f>
        <v>137.682039652142</v>
      </c>
      <c r="L50" s="61" t="n">
        <f aca="false">L49*Assumptions!$D$58*L9</f>
        <v>134.554201185643</v>
      </c>
      <c r="M50" s="61" t="n">
        <f aca="false">M49*Assumptions!$D$58*M9</f>
        <v>132.836407757329</v>
      </c>
      <c r="N50" s="61" t="n">
        <f aca="false">N49*Assumptions!$D$58*N9</f>
        <v>132.228647312587</v>
      </c>
      <c r="O50" s="61" t="n">
        <f aca="false">O49*Assumptions!$D$58*O9</f>
        <v>132.475430171775</v>
      </c>
      <c r="P50" s="61" t="n">
        <f aca="false">P49*Assumptions!$D$58*P9</f>
        <v>133.377892439243</v>
      </c>
      <c r="Q50" s="61" t="n">
        <f aca="false">Q49*Assumptions!$D$58*Q9</f>
        <v>134.791809956836</v>
      </c>
      <c r="R50" s="61" t="n">
        <f aca="false">R49*Assumptions!$D$58*R9</f>
        <v>136.61469166327</v>
      </c>
      <c r="S50" s="61" t="n">
        <f aca="false">S49*Assumptions!$D$58*S9</f>
        <v>138.774911930044</v>
      </c>
      <c r="T50" s="61" t="n">
        <f aca="false">T49*Assumptions!$D$58*T9</f>
        <v>141.22349858656</v>
      </c>
      <c r="U50" s="61" t="n">
        <f aca="false">U49*Assumptions!$D$58*U9</f>
        <v>143.928079350141</v>
      </c>
      <c r="V50" s="61" t="n">
        <f aca="false">V49*Assumptions!$D$58*V9</f>
        <v>146.868463245114</v>
      </c>
      <c r="W50" s="61" t="n">
        <f aca="false">W49*Assumptions!$D$58*W9</f>
        <v>150.033435009017</v>
      </c>
      <c r="X50" s="61" t="n">
        <f aca="false">X49*Assumptions!$D$58*X9</f>
        <v>153.418440376963</v>
      </c>
      <c r="Y50" s="61" t="n">
        <f aca="false">Y49*Assumptions!$D$58*Y9</f>
        <v>157.02392190474</v>
      </c>
      <c r="Z50" s="61" t="n">
        <f aca="false">Z49*Assumptions!$D$58*Z9</f>
        <v>160.854128200655</v>
      </c>
      <c r="AA50" s="61" t="n">
        <f aca="false">AA49*Assumptions!$D$58*AA9</f>
        <v>164.916266994966</v>
      </c>
      <c r="AB50" s="61" t="n">
        <f aca="false">AB49*Assumptions!$D$58*AB9</f>
        <v>169.219907723616</v>
      </c>
      <c r="AC50" s="61" t="n">
        <f aca="false">AC49*Assumptions!$D$58*AC9</f>
        <v>173.776565190133</v>
      </c>
      <c r="AD50" s="61" t="n">
        <f aca="false">AD49*Assumptions!$D$58*AD9</f>
        <v>178.599414772596</v>
      </c>
      <c r="AE50" s="61" t="n">
        <f aca="false">AE49*Assumptions!$D$58*AE9</f>
        <v>183.703103394036</v>
      </c>
      <c r="AF50" s="61" t="n">
        <f aca="false">AF49*Assumptions!$D$58*AF9</f>
        <v>189.103630453322</v>
      </c>
      <c r="AG50" s="61" t="n">
        <f aca="false">AG49*Assumptions!$D$58*AG9</f>
        <v>194.818280142663</v>
      </c>
      <c r="AH50" s="61" t="n">
        <f aca="false">AH49*Assumptions!$D$58*AH9</f>
        <v>200.86559180912</v>
      </c>
      <c r="AI50" s="61" t="n">
        <f aca="false">AI49*Assumptions!$D$58*AI9</f>
        <v>207.265358800924</v>
      </c>
      <c r="AJ50" s="61" t="n">
        <f aca="false">AJ49*Assumptions!$D$58*AJ9</f>
        <v>214.038648974712</v>
      </c>
      <c r="AK50" s="61" t="n">
        <f aca="false">AK49*Assumptions!$D$58*AK9</f>
        <v>221.207842017812</v>
      </c>
      <c r="AL50" s="61" t="n">
        <f aca="false">AL49*Assumptions!$D$58*AL9</f>
        <v>228.796680170666</v>
      </c>
      <c r="AM50" s="61" t="n">
        <f aca="false">SUM(C50:AL50)</f>
        <v>4592.99728918663</v>
      </c>
    </row>
    <row r="51" customFormat="false" ht="15" hidden="false" customHeight="false" outlineLevel="0" collapsed="false">
      <c r="A51" s="10" t="s">
        <v>772</v>
      </c>
      <c r="B51" s="9" t="s">
        <v>51</v>
      </c>
      <c r="C51" s="61" t="n">
        <f aca="false">C50*Assumptions!$D$59</f>
        <v>0</v>
      </c>
      <c r="D51" s="61" t="n">
        <f aca="false">D50*Assumptions!$D$59</f>
        <v>0</v>
      </c>
      <c r="E51" s="61" t="n">
        <f aca="false">E50*Assumptions!$D$59</f>
        <v>0</v>
      </c>
      <c r="F51" s="61" t="n">
        <f aca="false">F50*Assumptions!$D$59</f>
        <v>0</v>
      </c>
      <c r="G51" s="61" t="n">
        <f aca="false">G50*Assumptions!$D$59</f>
        <v>0</v>
      </c>
      <c r="H51" s="61" t="n">
        <f aca="false">H50*Assumptions!$D$59</f>
        <v>0</v>
      </c>
      <c r="I51" s="61" t="n">
        <f aca="false">I50*Assumptions!$D$59</f>
        <v>0</v>
      </c>
      <c r="J51" s="61" t="n">
        <f aca="false">J50*Assumptions!$D$59</f>
        <v>0</v>
      </c>
      <c r="K51" s="61" t="n">
        <f aca="false">K50*Assumptions!$D$59</f>
        <v>82.6092237912852</v>
      </c>
      <c r="L51" s="61" t="n">
        <f aca="false">L50*Assumptions!$D$59</f>
        <v>80.7325207113857</v>
      </c>
      <c r="M51" s="61" t="n">
        <f aca="false">M50*Assumptions!$D$59</f>
        <v>79.7018446543976</v>
      </c>
      <c r="N51" s="61" t="n">
        <f aca="false">N50*Assumptions!$D$59</f>
        <v>79.3371883875524</v>
      </c>
      <c r="O51" s="61" t="n">
        <f aca="false">O50*Assumptions!$D$59</f>
        <v>79.4852581030649</v>
      </c>
      <c r="P51" s="61" t="n">
        <f aca="false">P50*Assumptions!$D$59</f>
        <v>80.026735463546</v>
      </c>
      <c r="Q51" s="61" t="n">
        <f aca="false">Q50*Assumptions!$D$59</f>
        <v>80.8750859741018</v>
      </c>
      <c r="R51" s="61" t="n">
        <f aca="false">R50*Assumptions!$D$59</f>
        <v>81.9688149979617</v>
      </c>
      <c r="S51" s="61" t="n">
        <f aca="false">S50*Assumptions!$D$59</f>
        <v>83.2649471580265</v>
      </c>
      <c r="T51" s="61" t="n">
        <f aca="false">T50*Assumptions!$D$59</f>
        <v>84.7340991519363</v>
      </c>
      <c r="U51" s="61" t="n">
        <f aca="false">U50*Assumptions!$D$59</f>
        <v>86.3568476100847</v>
      </c>
      <c r="V51" s="61" t="n">
        <f aca="false">V50*Assumptions!$D$59</f>
        <v>88.1210779470682</v>
      </c>
      <c r="W51" s="61" t="n">
        <f aca="false">W50*Assumptions!$D$59</f>
        <v>90.0200610054104</v>
      </c>
      <c r="X51" s="61" t="n">
        <f aca="false">X50*Assumptions!$D$59</f>
        <v>92.0510642261779</v>
      </c>
      <c r="Y51" s="61" t="n">
        <f aca="false">Y50*Assumptions!$D$59</f>
        <v>94.2143531428437</v>
      </c>
      <c r="Z51" s="61" t="n">
        <f aca="false">Z50*Assumptions!$D$59</f>
        <v>96.512476920393</v>
      </c>
      <c r="AA51" s="61" t="n">
        <f aca="false">AA50*Assumptions!$D$59</f>
        <v>98.9497601969795</v>
      </c>
      <c r="AB51" s="61" t="n">
        <f aca="false">AB50*Assumptions!$D$59</f>
        <v>101.53194463417</v>
      </c>
      <c r="AC51" s="61" t="n">
        <f aca="false">AC50*Assumptions!$D$59</f>
        <v>104.26593911408</v>
      </c>
      <c r="AD51" s="61" t="n">
        <f aca="false">AD50*Assumptions!$D$59</f>
        <v>107.159648863558</v>
      </c>
      <c r="AE51" s="61" t="n">
        <f aca="false">AE50*Assumptions!$D$59</f>
        <v>110.221862036421</v>
      </c>
      <c r="AF51" s="61" t="n">
        <f aca="false">AF50*Assumptions!$D$59</f>
        <v>113.462178271993</v>
      </c>
      <c r="AG51" s="61" t="n">
        <f aca="false">AG50*Assumptions!$D$59</f>
        <v>116.890968085598</v>
      </c>
      <c r="AH51" s="61" t="n">
        <f aca="false">AH50*Assumptions!$D$59</f>
        <v>120.519355085472</v>
      </c>
      <c r="AI51" s="61" t="n">
        <f aca="false">AI50*Assumptions!$D$59</f>
        <v>124.359215280554</v>
      </c>
      <c r="AJ51" s="61" t="n">
        <f aca="false">AJ50*Assumptions!$D$59</f>
        <v>128.423189384827</v>
      </c>
      <c r="AK51" s="61" t="n">
        <f aca="false">AK50*Assumptions!$D$59</f>
        <v>132.724705210687</v>
      </c>
      <c r="AL51" s="61" t="n">
        <f aca="false">AL50*Assumptions!$D$59</f>
        <v>137.2780081024</v>
      </c>
      <c r="AM51" s="61" t="n">
        <f aca="false">SUM(C51:AL51)</f>
        <v>2755.79837351198</v>
      </c>
    </row>
    <row r="52" customFormat="false" ht="15" hidden="false" customHeight="false" outlineLevel="0" collapsed="false">
      <c r="A52" s="10" t="s">
        <v>773</v>
      </c>
      <c r="B52" s="9" t="s">
        <v>51</v>
      </c>
      <c r="C52" s="61" t="n">
        <f aca="false">C51*Assumptions!$D$60*C48</f>
        <v>0</v>
      </c>
      <c r="D52" s="61" t="n">
        <f aca="false">D51*Assumptions!$D$60*D48</f>
        <v>0</v>
      </c>
      <c r="E52" s="61" t="n">
        <f aca="false">E51*Assumptions!$D$60*E48</f>
        <v>0</v>
      </c>
      <c r="F52" s="61" t="n">
        <f aca="false">F51*Assumptions!$D$60*F48</f>
        <v>0</v>
      </c>
      <c r="G52" s="61" t="n">
        <f aca="false">G51*Assumptions!$D$60*G48</f>
        <v>0</v>
      </c>
      <c r="H52" s="61" t="n">
        <f aca="false">H51*Assumptions!$D$60*H48</f>
        <v>0</v>
      </c>
      <c r="I52" s="61" t="n">
        <f aca="false">I51*Assumptions!$D$60*I48</f>
        <v>0</v>
      </c>
      <c r="J52" s="61" t="n">
        <f aca="false">J51*Assumptions!$D$60*J48</f>
        <v>0</v>
      </c>
      <c r="K52" s="61" t="n">
        <f aca="false">K51*Assumptions!$D$60*K48</f>
        <v>10.7391990928671</v>
      </c>
      <c r="L52" s="61" t="n">
        <f aca="false">L51*Assumptions!$D$60*L48</f>
        <v>11.1007215978155</v>
      </c>
      <c r="M52" s="61" t="n">
        <f aca="false">M51*Assumptions!$D$60*M48</f>
        <v>11.5567674748876</v>
      </c>
      <c r="N52" s="61" t="n">
        <f aca="false">N51*Assumptions!$D$60*N48</f>
        <v>12.0989212291017</v>
      </c>
      <c r="O52" s="61" t="n">
        <f aca="false">O51*Assumptions!$D$60*O48</f>
        <v>12.7176412964904</v>
      </c>
      <c r="P52" s="61" t="n">
        <f aca="false">P51*Assumptions!$D$60*P48</f>
        <v>13.404478190144</v>
      </c>
      <c r="Q52" s="61" t="n">
        <f aca="false">Q51*Assumptions!$D$60*Q48</f>
        <v>14.1531400454678</v>
      </c>
      <c r="R52" s="61" t="n">
        <f aca="false">R51*Assumptions!$D$60*R48</f>
        <v>14.959308737128</v>
      </c>
      <c r="S52" s="61" t="n">
        <f aca="false">S51*Assumptions!$D$60*S48</f>
        <v>15.820339960025</v>
      </c>
      <c r="T52" s="61" t="n">
        <f aca="false">T51*Assumptions!$D$60*T48</f>
        <v>16.7349845825074</v>
      </c>
      <c r="U52" s="61" t="n">
        <f aca="false">U51*Assumptions!$D$60*U48</f>
        <v>17.7031537600674</v>
      </c>
      <c r="V52" s="61" t="n">
        <f aca="false">V51*Assumptions!$D$60*V48</f>
        <v>18.725729063752</v>
      </c>
      <c r="W52" s="61" t="n">
        <f aca="false">W51*Assumptions!$D$60*W48</f>
        <v>19.8044134211903</v>
      </c>
      <c r="X52" s="61" t="n">
        <f aca="false">X51*Assumptions!$D$60*X48</f>
        <v>20.9416171114555</v>
      </c>
      <c r="Y52" s="61" t="n">
        <f aca="false">Y51*Assumptions!$D$60*Y48</f>
        <v>22.1403729885683</v>
      </c>
      <c r="Z52" s="61" t="n">
        <f aca="false">Z51*Assumptions!$D$60*Z48</f>
        <v>23.4042756531953</v>
      </c>
      <c r="AA52" s="61" t="n">
        <f aca="false">AA51*Assumptions!$D$60*AA48</f>
        <v>24.7374400492449</v>
      </c>
      <c r="AB52" s="61" t="n">
        <f aca="false">AB51*Assumptions!$D$60*AB48</f>
        <v>26.1444757432987</v>
      </c>
      <c r="AC52" s="61" t="n">
        <f aca="false">AC51*Assumptions!$D$60*AC48</f>
        <v>27.6304738652311</v>
      </c>
      <c r="AD52" s="61" t="n">
        <f aca="false">AD51*Assumptions!$D$60*AD48</f>
        <v>29.2010043153195</v>
      </c>
      <c r="AE52" s="61" t="n">
        <f aca="false">AE51*Assumptions!$D$60*AE48</f>
        <v>30.862121370198</v>
      </c>
      <c r="AF52" s="61" t="n">
        <f aca="false">AF51*Assumptions!$D$60*AF48</f>
        <v>32.6203762531981</v>
      </c>
      <c r="AG52" s="61" t="n">
        <f aca="false">AG51*Assumptions!$D$60*AG48</f>
        <v>34.4828355852513</v>
      </c>
      <c r="AH52" s="61" t="n">
        <f aca="false">AH51*Assumptions!$D$60*AH48</f>
        <v>36.4571049133552</v>
      </c>
      <c r="AI52" s="61" t="n">
        <f aca="false">AI51*Assumptions!$D$60*AI48</f>
        <v>38.5513567369718</v>
      </c>
      <c r="AJ52" s="61" t="n">
        <f aca="false">AJ51*Assumptions!$D$60*AJ48</f>
        <v>40.7743626296827</v>
      </c>
      <c r="AK52" s="61" t="n">
        <f aca="false">AK51*Assumptions!$D$60*AK48</f>
        <v>43.1355291934734</v>
      </c>
      <c r="AL52" s="61" t="n">
        <f aca="false">AL51*Assumptions!$D$60*AL48</f>
        <v>45.6449376940479</v>
      </c>
      <c r="AM52" s="61" t="n">
        <f aca="false">SUM(C52:AL52)</f>
        <v>666.247082553936</v>
      </c>
    </row>
    <row r="53" customFormat="false" ht="15" hidden="false" customHeight="false" outlineLevel="0" collapsed="false">
      <c r="A53" s="10" t="s">
        <v>774</v>
      </c>
      <c r="B53" s="9" t="s">
        <v>51</v>
      </c>
      <c r="C53" s="61" t="n">
        <f aca="false">C52*Assumptions!$D$64</f>
        <v>0</v>
      </c>
      <c r="D53" s="61" t="n">
        <f aca="false">D52*Assumptions!$D$64</f>
        <v>0</v>
      </c>
      <c r="E53" s="61" t="n">
        <f aca="false">E52*Assumptions!$D$64</f>
        <v>0</v>
      </c>
      <c r="F53" s="61" t="n">
        <f aca="false">F52*Assumptions!$D$64</f>
        <v>0</v>
      </c>
      <c r="G53" s="61" t="n">
        <f aca="false">G52*Assumptions!$D$64</f>
        <v>0</v>
      </c>
      <c r="H53" s="61" t="n">
        <f aca="false">H52*Assumptions!$D$64</f>
        <v>0</v>
      </c>
      <c r="I53" s="61" t="n">
        <f aca="false">I52*Assumptions!$D$64</f>
        <v>0</v>
      </c>
      <c r="J53" s="61" t="n">
        <f aca="false">J52*Assumptions!$D$64</f>
        <v>0</v>
      </c>
      <c r="K53" s="61" t="n">
        <f aca="false">K52*Assumptions!$D$64</f>
        <v>5.1548155645762</v>
      </c>
      <c r="L53" s="61" t="n">
        <f aca="false">L52*Assumptions!$D$64</f>
        <v>5.32834636695145</v>
      </c>
      <c r="M53" s="61" t="n">
        <f aca="false">M52*Assumptions!$D$64</f>
        <v>5.54724838794607</v>
      </c>
      <c r="N53" s="61" t="n">
        <f aca="false">N52*Assumptions!$D$64</f>
        <v>5.80748218996883</v>
      </c>
      <c r="O53" s="61" t="n">
        <f aca="false">O52*Assumptions!$D$64</f>
        <v>6.10446782231538</v>
      </c>
      <c r="P53" s="61" t="n">
        <f aca="false">P52*Assumptions!$D$64</f>
        <v>6.4341495312691</v>
      </c>
      <c r="Q53" s="61" t="n">
        <f aca="false">Q52*Assumptions!$D$64</f>
        <v>6.79350722182455</v>
      </c>
      <c r="R53" s="61" t="n">
        <f aca="false">R52*Assumptions!$D$64</f>
        <v>7.18046819382145</v>
      </c>
      <c r="S53" s="61" t="n">
        <f aca="false">S52*Assumptions!$D$64</f>
        <v>7.59376318081201</v>
      </c>
      <c r="T53" s="61" t="n">
        <f aca="false">T52*Assumptions!$D$64</f>
        <v>8.03279259960356</v>
      </c>
      <c r="U53" s="61" t="n">
        <f aca="false">U52*Assumptions!$D$64</f>
        <v>8.49751380483233</v>
      </c>
      <c r="V53" s="61" t="n">
        <f aca="false">V52*Assumptions!$D$64</f>
        <v>8.98834995060096</v>
      </c>
      <c r="W53" s="61" t="n">
        <f aca="false">W52*Assumptions!$D$64</f>
        <v>9.50611844217134</v>
      </c>
      <c r="X53" s="61" t="n">
        <f aca="false">X52*Assumptions!$D$64</f>
        <v>10.0519762134986</v>
      </c>
      <c r="Y53" s="61" t="n">
        <f aca="false">Y52*Assumptions!$D$64</f>
        <v>10.6273790345128</v>
      </c>
      <c r="Z53" s="61" t="n">
        <f aca="false">Z52*Assumptions!$D$64</f>
        <v>11.2340523135337</v>
      </c>
      <c r="AA53" s="61" t="n">
        <f aca="false">AA52*Assumptions!$D$64</f>
        <v>11.8739712236375</v>
      </c>
      <c r="AB53" s="61" t="n">
        <f aca="false">AB52*Assumptions!$D$64</f>
        <v>12.5493483567834</v>
      </c>
      <c r="AC53" s="61" t="n">
        <f aca="false">AC52*Assumptions!$D$64</f>
        <v>13.2626274553109</v>
      </c>
      <c r="AD53" s="61" t="n">
        <f aca="false">AD52*Assumptions!$D$64</f>
        <v>14.0164820713534</v>
      </c>
      <c r="AE53" s="61" t="n">
        <f aca="false">AE52*Assumptions!$D$64</f>
        <v>14.813818257695</v>
      </c>
      <c r="AF53" s="61" t="n">
        <f aca="false">AF52*Assumptions!$D$64</f>
        <v>15.6577806015351</v>
      </c>
      <c r="AG53" s="61" t="n">
        <f aca="false">AG52*Assumptions!$D$64</f>
        <v>16.5517610809206</v>
      </c>
      <c r="AH53" s="61" t="n">
        <f aca="false">AH52*Assumptions!$D$64</f>
        <v>17.4994103584105</v>
      </c>
      <c r="AI53" s="61" t="n">
        <f aca="false">AI52*Assumptions!$D$64</f>
        <v>18.5046512337465</v>
      </c>
      <c r="AJ53" s="61" t="n">
        <f aca="false">AJ52*Assumptions!$D$64</f>
        <v>19.5716940622477</v>
      </c>
      <c r="AK53" s="61" t="n">
        <f aca="false">AK52*Assumptions!$D$64</f>
        <v>20.7050540128672</v>
      </c>
      <c r="AL53" s="61" t="n">
        <f aca="false">AL52*Assumptions!$D$64</f>
        <v>21.909570093143</v>
      </c>
      <c r="AM53" s="61" t="n">
        <f aca="false">SUM(C53:AL53)</f>
        <v>319.798599625889</v>
      </c>
    </row>
    <row r="54" customFormat="false" ht="15" hidden="false" customHeight="false" outlineLevel="0" collapsed="false">
      <c r="A54" s="10" t="s">
        <v>775</v>
      </c>
      <c r="B54" s="9" t="s">
        <v>51</v>
      </c>
      <c r="C54" s="61" t="n">
        <f aca="false">C53*Assumptions!$D$65</f>
        <v>0</v>
      </c>
      <c r="D54" s="61" t="n">
        <f aca="false">D53*Assumptions!$D$65</f>
        <v>0</v>
      </c>
      <c r="E54" s="61" t="n">
        <f aca="false">E53*Assumptions!$D$65</f>
        <v>0</v>
      </c>
      <c r="F54" s="61" t="n">
        <f aca="false">F53*Assumptions!$D$65</f>
        <v>0</v>
      </c>
      <c r="G54" s="61" t="n">
        <f aca="false">G53*Assumptions!$D$65</f>
        <v>0</v>
      </c>
      <c r="H54" s="61" t="n">
        <f aca="false">H53*Assumptions!$D$65</f>
        <v>0</v>
      </c>
      <c r="I54" s="61" t="n">
        <f aca="false">I53*Assumptions!$D$65</f>
        <v>0</v>
      </c>
      <c r="J54" s="61" t="n">
        <f aca="false">J53*Assumptions!$D$65</f>
        <v>0</v>
      </c>
      <c r="K54" s="61" t="n">
        <f aca="false">K53*Assumptions!$D$65</f>
        <v>3.91765982907791</v>
      </c>
      <c r="L54" s="61" t="n">
        <f aca="false">L53*Assumptions!$D$65</f>
        <v>4.04954323888311</v>
      </c>
      <c r="M54" s="61" t="n">
        <f aca="false">M53*Assumptions!$D$65</f>
        <v>4.21590877483901</v>
      </c>
      <c r="N54" s="61" t="n">
        <f aca="false">N53*Assumptions!$D$65</f>
        <v>4.41368646437631</v>
      </c>
      <c r="O54" s="61" t="n">
        <f aca="false">O53*Assumptions!$D$65</f>
        <v>4.63939554495969</v>
      </c>
      <c r="P54" s="61" t="n">
        <f aca="false">P53*Assumptions!$D$65</f>
        <v>4.88995364376451</v>
      </c>
      <c r="Q54" s="61" t="n">
        <f aca="false">Q53*Assumptions!$D$65</f>
        <v>5.16306548858666</v>
      </c>
      <c r="R54" s="61" t="n">
        <f aca="false">R53*Assumptions!$D$65</f>
        <v>5.4571558273043</v>
      </c>
      <c r="S54" s="61" t="n">
        <f aca="false">S53*Assumptions!$D$65</f>
        <v>5.77126001741713</v>
      </c>
      <c r="T54" s="61" t="n">
        <f aca="false">T53*Assumptions!$D$65</f>
        <v>6.1049223756987</v>
      </c>
      <c r="U54" s="61" t="n">
        <f aca="false">U53*Assumptions!$D$65</f>
        <v>6.45811049167257</v>
      </c>
      <c r="V54" s="61" t="n">
        <f aca="false">V53*Assumptions!$D$65</f>
        <v>6.83114596245673</v>
      </c>
      <c r="W54" s="61" t="n">
        <f aca="false">W53*Assumptions!$D$65</f>
        <v>7.22465001605022</v>
      </c>
      <c r="X54" s="61" t="n">
        <f aca="false">X53*Assumptions!$D$65</f>
        <v>7.63950192225896</v>
      </c>
      <c r="Y54" s="61" t="n">
        <f aca="false">Y53*Assumptions!$D$65</f>
        <v>8.0768080662297</v>
      </c>
      <c r="Z54" s="61" t="n">
        <f aca="false">Z53*Assumptions!$D$65</f>
        <v>8.53787975828565</v>
      </c>
      <c r="AA54" s="61" t="n">
        <f aca="false">AA53*Assumptions!$D$65</f>
        <v>9.02421812996453</v>
      </c>
      <c r="AB54" s="61" t="n">
        <f aca="false">AB53*Assumptions!$D$65</f>
        <v>9.53750475115536</v>
      </c>
      <c r="AC54" s="61" t="n">
        <f aca="false">AC53*Assumptions!$D$65</f>
        <v>10.0795968660363</v>
      </c>
      <c r="AD54" s="61" t="n">
        <f aca="false">AD53*Assumptions!$D$65</f>
        <v>10.6525263742286</v>
      </c>
      <c r="AE54" s="61" t="n">
        <f aca="false">AE53*Assumptions!$D$65</f>
        <v>11.2585018758482</v>
      </c>
      <c r="AF54" s="61" t="n">
        <f aca="false">AF53*Assumptions!$D$65</f>
        <v>11.8999132571667</v>
      </c>
      <c r="AG54" s="61" t="n">
        <f aca="false">AG53*Assumptions!$D$65</f>
        <v>12.5793384214997</v>
      </c>
      <c r="AH54" s="61" t="n">
        <f aca="false">AH53*Assumptions!$D$65</f>
        <v>13.299551872392</v>
      </c>
      <c r="AI54" s="61" t="n">
        <f aca="false">AI53*Assumptions!$D$65</f>
        <v>14.0635349376473</v>
      </c>
      <c r="AJ54" s="61" t="n">
        <f aca="false">AJ53*Assumptions!$D$65</f>
        <v>14.8744874873083</v>
      </c>
      <c r="AK54" s="61" t="n">
        <f aca="false">AK53*Assumptions!$D$65</f>
        <v>15.7358410497791</v>
      </c>
      <c r="AL54" s="61" t="n">
        <f aca="false">AL53*Assumptions!$D$65</f>
        <v>16.6512732707887</v>
      </c>
      <c r="AM54" s="61" t="n">
        <f aca="false">SUM(C54:AL54)</f>
        <v>243.046935715676</v>
      </c>
    </row>
    <row r="55" customFormat="false" ht="15" hidden="false" customHeight="false" outlineLevel="0" collapsed="false">
      <c r="A55" s="10" t="s">
        <v>776</v>
      </c>
      <c r="B55" s="9" t="s">
        <v>51</v>
      </c>
      <c r="C55" s="61" t="n">
        <f aca="false">C54*Assumptions!$D$66</f>
        <v>0</v>
      </c>
      <c r="D55" s="61" t="n">
        <f aca="false">D54*Assumptions!$D$66</f>
        <v>0</v>
      </c>
      <c r="E55" s="61" t="n">
        <f aca="false">E54*Assumptions!$D$66</f>
        <v>0</v>
      </c>
      <c r="F55" s="61" t="n">
        <f aca="false">F54*Assumptions!$D$66</f>
        <v>0</v>
      </c>
      <c r="G55" s="61" t="n">
        <f aca="false">G54*Assumptions!$D$66</f>
        <v>0</v>
      </c>
      <c r="H55" s="61" t="n">
        <f aca="false">H54*Assumptions!$D$66</f>
        <v>0</v>
      </c>
      <c r="I55" s="61" t="n">
        <f aca="false">I54*Assumptions!$D$66</f>
        <v>0</v>
      </c>
      <c r="J55" s="61" t="n">
        <f aca="false">J54*Assumptions!$D$66</f>
        <v>0</v>
      </c>
      <c r="K55" s="61" t="n">
        <f aca="false">K54*Assumptions!$D$66</f>
        <v>2.15471290599285</v>
      </c>
      <c r="L55" s="61" t="n">
        <f aca="false">L54*Assumptions!$D$66</f>
        <v>2.22724878138571</v>
      </c>
      <c r="M55" s="61" t="n">
        <f aca="false">M54*Assumptions!$D$66</f>
        <v>2.31874982616146</v>
      </c>
      <c r="N55" s="61" t="n">
        <f aca="false">N54*Assumptions!$D$66</f>
        <v>2.42752755540697</v>
      </c>
      <c r="O55" s="61" t="n">
        <f aca="false">O54*Assumptions!$D$66</f>
        <v>2.55166754972783</v>
      </c>
      <c r="P55" s="61" t="n">
        <f aca="false">P54*Assumptions!$D$66</f>
        <v>2.68947450407048</v>
      </c>
      <c r="Q55" s="61" t="n">
        <f aca="false">Q54*Assumptions!$D$66</f>
        <v>2.83968601872266</v>
      </c>
      <c r="R55" s="61" t="n">
        <f aca="false">R54*Assumptions!$D$66</f>
        <v>3.00143570501737</v>
      </c>
      <c r="S55" s="61" t="n">
        <f aca="false">S54*Assumptions!$D$66</f>
        <v>3.17419300957942</v>
      </c>
      <c r="T55" s="61" t="n">
        <f aca="false">T54*Assumptions!$D$66</f>
        <v>3.35770730663429</v>
      </c>
      <c r="U55" s="61" t="n">
        <f aca="false">U54*Assumptions!$D$66</f>
        <v>3.55196077041991</v>
      </c>
      <c r="V55" s="61" t="n">
        <f aca="false">V54*Assumptions!$D$66</f>
        <v>3.7571302793512</v>
      </c>
      <c r="W55" s="61" t="n">
        <f aca="false">W54*Assumptions!$D$66</f>
        <v>3.97355750882762</v>
      </c>
      <c r="X55" s="61" t="n">
        <f aca="false">X54*Assumptions!$D$66</f>
        <v>4.20172605724243</v>
      </c>
      <c r="Y55" s="61" t="n">
        <f aca="false">Y54*Assumptions!$D$66</f>
        <v>4.44224443642634</v>
      </c>
      <c r="Z55" s="61" t="n">
        <f aca="false">Z54*Assumptions!$D$66</f>
        <v>4.69583386705711</v>
      </c>
      <c r="AA55" s="61" t="n">
        <f aca="false">AA54*Assumptions!$D$66</f>
        <v>4.96331997148049</v>
      </c>
      <c r="AB55" s="61" t="n">
        <f aca="false">AB54*Assumptions!$D$66</f>
        <v>5.24562761313545</v>
      </c>
      <c r="AC55" s="61" t="n">
        <f aca="false">AC54*Assumptions!$D$66</f>
        <v>5.54377827631997</v>
      </c>
      <c r="AD55" s="61" t="n">
        <f aca="false">AD54*Assumptions!$D$66</f>
        <v>5.85888950582571</v>
      </c>
      <c r="AE55" s="61" t="n">
        <f aca="false">AE54*Assumptions!$D$66</f>
        <v>6.19217603171653</v>
      </c>
      <c r="AF55" s="61" t="n">
        <f aca="false">AF54*Assumptions!$D$66</f>
        <v>6.54495229144167</v>
      </c>
      <c r="AG55" s="61" t="n">
        <f aca="false">AG54*Assumptions!$D$66</f>
        <v>6.91863613182482</v>
      </c>
      <c r="AH55" s="61" t="n">
        <f aca="false">AH54*Assumptions!$D$66</f>
        <v>7.3147535298156</v>
      </c>
      <c r="AI55" s="61" t="n">
        <f aca="false">AI54*Assumptions!$D$66</f>
        <v>7.73494421570602</v>
      </c>
      <c r="AJ55" s="61" t="n">
        <f aca="false">AJ54*Assumptions!$D$66</f>
        <v>8.18096811801954</v>
      </c>
      <c r="AK55" s="61" t="n">
        <f aca="false">AK54*Assumptions!$D$66</f>
        <v>8.6547125773785</v>
      </c>
      <c r="AL55" s="61" t="n">
        <f aca="false">AL54*Assumptions!$D$66</f>
        <v>9.15820029893376</v>
      </c>
      <c r="AM55" s="61" t="n">
        <f aca="false">SUM(C55:AL55)</f>
        <v>133.675814643622</v>
      </c>
    </row>
    <row r="56" customFormat="false" ht="15" hidden="false" customHeight="false" outlineLevel="0" collapsed="false">
      <c r="A56" s="10" t="s">
        <v>777</v>
      </c>
      <c r="B56" s="9" t="s">
        <v>51</v>
      </c>
      <c r="C56" s="61" t="n">
        <f aca="false">C55*Assumptions!$D$67</f>
        <v>0</v>
      </c>
      <c r="D56" s="61" t="n">
        <f aca="false">D55*Assumptions!$D$67</f>
        <v>0</v>
      </c>
      <c r="E56" s="61" t="n">
        <f aca="false">E55*Assumptions!$D$67</f>
        <v>0</v>
      </c>
      <c r="F56" s="61" t="n">
        <f aca="false">F55*Assumptions!$D$67</f>
        <v>0</v>
      </c>
      <c r="G56" s="61" t="n">
        <f aca="false">G55*Assumptions!$D$67</f>
        <v>0</v>
      </c>
      <c r="H56" s="61" t="n">
        <f aca="false">H55*Assumptions!$D$67</f>
        <v>0</v>
      </c>
      <c r="I56" s="61" t="n">
        <f aca="false">I55*Assumptions!$D$67</f>
        <v>0</v>
      </c>
      <c r="J56" s="61" t="n">
        <f aca="false">J55*Assumptions!$D$67</f>
        <v>0</v>
      </c>
      <c r="K56" s="61" t="n">
        <f aca="false">K55*Assumptions!$D$67</f>
        <v>1.24973348547585</v>
      </c>
      <c r="L56" s="61" t="n">
        <f aca="false">L55*Assumptions!$D$67</f>
        <v>1.29180429320371</v>
      </c>
      <c r="M56" s="61" t="n">
        <f aca="false">M55*Assumptions!$D$67</f>
        <v>1.34487489917365</v>
      </c>
      <c r="N56" s="61" t="n">
        <f aca="false">N55*Assumptions!$D$67</f>
        <v>1.40796598213604</v>
      </c>
      <c r="O56" s="61" t="n">
        <f aca="false">O55*Assumptions!$D$67</f>
        <v>1.47996717884214</v>
      </c>
      <c r="P56" s="61" t="n">
        <f aca="false">P55*Assumptions!$D$67</f>
        <v>1.55989521236088</v>
      </c>
      <c r="Q56" s="61" t="n">
        <f aca="false">Q55*Assumptions!$D$67</f>
        <v>1.64701789085914</v>
      </c>
      <c r="R56" s="61" t="n">
        <f aca="false">R55*Assumptions!$D$67</f>
        <v>1.74083270891007</v>
      </c>
      <c r="S56" s="61" t="n">
        <f aca="false">S55*Assumptions!$D$67</f>
        <v>1.84103194555606</v>
      </c>
      <c r="T56" s="61" t="n">
        <f aca="false">T55*Assumptions!$D$67</f>
        <v>1.94747023784789</v>
      </c>
      <c r="U56" s="61" t="n">
        <f aca="false">U55*Assumptions!$D$67</f>
        <v>2.06013724684355</v>
      </c>
      <c r="V56" s="61" t="n">
        <f aca="false">V55*Assumptions!$D$67</f>
        <v>2.1791355620237</v>
      </c>
      <c r="W56" s="61" t="n">
        <f aca="false">W55*Assumptions!$D$67</f>
        <v>2.30466335512002</v>
      </c>
      <c r="X56" s="61" t="n">
        <f aca="false">X55*Assumptions!$D$67</f>
        <v>2.43700111320061</v>
      </c>
      <c r="Y56" s="61" t="n">
        <f aca="false">Y55*Assumptions!$D$67</f>
        <v>2.57650177312728</v>
      </c>
      <c r="Z56" s="61" t="n">
        <f aca="false">Z55*Assumptions!$D$67</f>
        <v>2.72358364289312</v>
      </c>
      <c r="AA56" s="61" t="n">
        <f aca="false">AA55*Assumptions!$D$67</f>
        <v>2.87872558345869</v>
      </c>
      <c r="AB56" s="61" t="n">
        <f aca="false">AB55*Assumptions!$D$67</f>
        <v>3.04246401561856</v>
      </c>
      <c r="AC56" s="61" t="n">
        <f aca="false">AC55*Assumptions!$D$67</f>
        <v>3.21539140026558</v>
      </c>
      <c r="AD56" s="61" t="n">
        <f aca="false">AD55*Assumptions!$D$67</f>
        <v>3.39815591337891</v>
      </c>
      <c r="AE56" s="61" t="n">
        <f aca="false">AE55*Assumptions!$D$67</f>
        <v>3.59146209839558</v>
      </c>
      <c r="AF56" s="61" t="n">
        <f aca="false">AF55*Assumptions!$D$67</f>
        <v>3.79607232903617</v>
      </c>
      <c r="AG56" s="61" t="n">
        <f aca="false">AG55*Assumptions!$D$67</f>
        <v>4.01280895645839</v>
      </c>
      <c r="AH56" s="61" t="n">
        <f aca="false">AH55*Assumptions!$D$67</f>
        <v>4.24255704729305</v>
      </c>
      <c r="AI56" s="61" t="n">
        <f aca="false">AI55*Assumptions!$D$67</f>
        <v>4.48626764510949</v>
      </c>
      <c r="AJ56" s="61" t="n">
        <f aca="false">AJ55*Assumptions!$D$67</f>
        <v>4.74496150845133</v>
      </c>
      <c r="AK56" s="61" t="n">
        <f aca="false">AK55*Assumptions!$D$67</f>
        <v>5.01973329487953</v>
      </c>
      <c r="AL56" s="61" t="n">
        <f aca="false">AL55*Assumptions!$D$67</f>
        <v>5.31175617338158</v>
      </c>
      <c r="AM56" s="61" t="n">
        <f aca="false">SUM(C56:AL56)</f>
        <v>77.5319724933006</v>
      </c>
    </row>
    <row r="57" customFormat="false" ht="15" hidden="false" customHeight="false" outlineLevel="0" collapsed="false">
      <c r="A57" s="37" t="s">
        <v>778</v>
      </c>
      <c r="B57" s="9" t="s">
        <v>51</v>
      </c>
      <c r="C57" s="71" t="n">
        <f aca="false">C56</f>
        <v>0</v>
      </c>
      <c r="D57" s="71" t="n">
        <f aca="false">C57*(1-Assumptions!$D$68)+D56</f>
        <v>0</v>
      </c>
      <c r="E57" s="71" t="n">
        <f aca="false">D57*(1-Assumptions!$D$68)+E56</f>
        <v>0</v>
      </c>
      <c r="F57" s="71" t="n">
        <f aca="false">E57*(1-Assumptions!$D$68)+F56</f>
        <v>0</v>
      </c>
      <c r="G57" s="71" t="n">
        <f aca="false">F57*(1-Assumptions!$D$68)+G56</f>
        <v>0</v>
      </c>
      <c r="H57" s="71" t="n">
        <f aca="false">G57*(1-Assumptions!$D$68)+H56</f>
        <v>0</v>
      </c>
      <c r="I57" s="71" t="n">
        <f aca="false">H57*(1-Assumptions!$D$68)+I56</f>
        <v>0</v>
      </c>
      <c r="J57" s="71" t="n">
        <f aca="false">I57*(1-Assumptions!$D$68)+J56</f>
        <v>0</v>
      </c>
      <c r="K57" s="71" t="n">
        <f aca="false">J57*(1-Assumptions!$D$68)+K56</f>
        <v>1.24973348547585</v>
      </c>
      <c r="L57" s="71" t="n">
        <f aca="false">K57*(1-Assumptions!$D$68)+L56</f>
        <v>2.3790724255677</v>
      </c>
      <c r="M57" s="71" t="n">
        <f aca="false">L57*(1-Assumptions!$D$68)+M56</f>
        <v>3.41466790941755</v>
      </c>
      <c r="N57" s="71" t="n">
        <f aca="false">M57*(1-Assumptions!$D$68)+N56</f>
        <v>4.37872706332931</v>
      </c>
      <c r="O57" s="71" t="n">
        <f aca="false">N57*(1-Assumptions!$D$68)+O56</f>
        <v>5.28945972393864</v>
      </c>
      <c r="P57" s="71" t="n">
        <f aca="false">O57*(1-Assumptions!$D$68)+P56</f>
        <v>6.1617251721875</v>
      </c>
      <c r="Q57" s="71" t="n">
        <f aca="false">P57*(1-Assumptions!$D$68)+Q56</f>
        <v>7.00771879066227</v>
      </c>
      <c r="R57" s="71" t="n">
        <f aca="false">Q57*(1-Assumptions!$D$68)+R56</f>
        <v>7.83754805678624</v>
      </c>
      <c r="S57" s="71" t="n">
        <f aca="false">R57*(1-Assumptions!$D$68)+S56</f>
        <v>8.6596987549601</v>
      </c>
      <c r="T57" s="71" t="n">
        <f aca="false">S57*(1-Assumptions!$D$68)+T56</f>
        <v>9.48140815466317</v>
      </c>
      <c r="U57" s="71" t="n">
        <f aca="false">T57*(1-Assumptions!$D$68)+U56</f>
        <v>10.3089623414005</v>
      </c>
      <c r="V57" s="71" t="n">
        <f aca="false">U57*(1-Assumptions!$D$68)+V56</f>
        <v>11.1479327990421</v>
      </c>
      <c r="W57" s="71" t="n">
        <f aca="false">V57*(1-Assumptions!$D$68)+W56</f>
        <v>12.0033648902867</v>
      </c>
      <c r="X57" s="71" t="n">
        <f aca="false">W57*(1-Assumptions!$D$68)+X56</f>
        <v>12.87992856775</v>
      </c>
      <c r="Y57" s="71" t="n">
        <f aca="false">X57*(1-Assumptions!$D$68)+Y56</f>
        <v>13.7820396270698</v>
      </c>
      <c r="Z57" s="71" t="n">
        <f aca="false">Y57*(1-Assumptions!$D$68)+Z56</f>
        <v>14.7139581184438</v>
      </c>
      <c r="AA57" s="71" t="n">
        <f aca="false">Z57*(1-Assumptions!$D$68)+AA56</f>
        <v>15.6798691465048</v>
      </c>
      <c r="AB57" s="71" t="n">
        <f aca="false">AA57*(1-Assumptions!$D$68)+AB56</f>
        <v>16.6839501730778</v>
      </c>
      <c r="AC57" s="71" t="n">
        <f aca="false">AB57*(1-Assumptions!$D$68)+AC56</f>
        <v>17.7304280508432</v>
      </c>
      <c r="AD57" s="71" t="n">
        <f aca="false">AC57*(1-Assumptions!$D$68)+AD56</f>
        <v>18.8236283176125</v>
      </c>
      <c r="AE57" s="71" t="n">
        <f aca="false">AD57*(1-Assumptions!$D$68)+AE56</f>
        <v>19.9680187347185</v>
      </c>
      <c r="AF57" s="71" t="n">
        <f aca="false">AE57*(1-Assumptions!$D$68)+AF56</f>
        <v>21.1682486282412</v>
      </c>
      <c r="AG57" s="71" t="n">
        <f aca="false">AF57*(1-Assumptions!$D$68)+AG56</f>
        <v>22.4291852630283</v>
      </c>
      <c r="AH57" s="71" t="n">
        <f aca="false">AG57*(1-Assumptions!$D$68)+AH56</f>
        <v>23.7559482261276</v>
      </c>
      <c r="AI57" s="71" t="n">
        <f aca="false">AH57*(1-Assumptions!$D$68)+AI56</f>
        <v>25.1539426018405</v>
      </c>
      <c r="AJ57" s="71" t="n">
        <f aca="false">AI57*(1-Assumptions!$D$68)+AJ56</f>
        <v>26.6288915720526</v>
      </c>
      <c r="AK57" s="71" t="n">
        <f aca="false">AJ57*(1-Assumptions!$D$68)+AK56</f>
        <v>28.1868689625653</v>
      </c>
      <c r="AL57" s="71" t="n">
        <f aca="false">AK57*(1-Assumptions!$D$68)+AL56</f>
        <v>29.8343321708134</v>
      </c>
      <c r="AM57" s="71" t="n">
        <f aca="false">AL57</f>
        <v>29.8343321708134</v>
      </c>
    </row>
    <row r="58" customFormat="false" ht="15" hidden="false" customHeight="false" outlineLevel="0" collapsed="false">
      <c r="A58" s="10" t="s">
        <v>779</v>
      </c>
      <c r="B58" s="9" t="s">
        <v>51</v>
      </c>
      <c r="C58" s="61" t="n">
        <f aca="false">0</f>
        <v>0</v>
      </c>
      <c r="D58" s="61" t="n">
        <f aca="false">C57*Assumptions!$D$68</f>
        <v>0</v>
      </c>
      <c r="E58" s="61" t="n">
        <f aca="false">D57*Assumptions!$D$68</f>
        <v>0</v>
      </c>
      <c r="F58" s="61" t="n">
        <f aca="false">E57*Assumptions!$D$68</f>
        <v>0</v>
      </c>
      <c r="G58" s="61" t="n">
        <f aca="false">F57*Assumptions!$D$68</f>
        <v>0</v>
      </c>
      <c r="H58" s="61" t="n">
        <f aca="false">G57*Assumptions!$D$68</f>
        <v>0</v>
      </c>
      <c r="I58" s="61" t="n">
        <f aca="false">H57*Assumptions!$D$68</f>
        <v>0</v>
      </c>
      <c r="J58" s="61" t="n">
        <f aca="false">I57*Assumptions!$D$68</f>
        <v>0</v>
      </c>
      <c r="K58" s="61" t="n">
        <f aca="false">J57*Assumptions!$D$68</f>
        <v>0</v>
      </c>
      <c r="L58" s="61" t="n">
        <f aca="false">K57*Assumptions!$D$68</f>
        <v>0.162465353111861</v>
      </c>
      <c r="M58" s="61" t="n">
        <f aca="false">L57*Assumptions!$D$68</f>
        <v>0.309279415323801</v>
      </c>
      <c r="N58" s="61" t="n">
        <f aca="false">M57*Assumptions!$D$68</f>
        <v>0.443906828224281</v>
      </c>
      <c r="O58" s="61" t="n">
        <f aca="false">N57*Assumptions!$D$68</f>
        <v>0.56923451823281</v>
      </c>
      <c r="P58" s="61" t="n">
        <f aca="false">O57*Assumptions!$D$68</f>
        <v>0.687629764112023</v>
      </c>
      <c r="Q58" s="61" t="n">
        <f aca="false">P57*Assumptions!$D$68</f>
        <v>0.801024272384375</v>
      </c>
      <c r="R58" s="61" t="n">
        <f aca="false">Q57*Assumptions!$D$68</f>
        <v>0.911003442786095</v>
      </c>
      <c r="S58" s="61" t="n">
        <f aca="false">R57*Assumptions!$D$68</f>
        <v>1.01888124738221</v>
      </c>
      <c r="T58" s="61" t="n">
        <f aca="false">S57*Assumptions!$D$68</f>
        <v>1.12576083814481</v>
      </c>
      <c r="U58" s="61" t="n">
        <f aca="false">T57*Assumptions!$D$68</f>
        <v>1.23258306010621</v>
      </c>
      <c r="V58" s="61" t="n">
        <f aca="false">U57*Assumptions!$D$68</f>
        <v>1.34016510438207</v>
      </c>
      <c r="W58" s="61" t="n">
        <f aca="false">V57*Assumptions!$D$68</f>
        <v>1.44923126387548</v>
      </c>
      <c r="X58" s="61" t="n">
        <f aca="false">W57*Assumptions!$D$68</f>
        <v>1.56043743573727</v>
      </c>
      <c r="Y58" s="61" t="n">
        <f aca="false">X57*Assumptions!$D$68</f>
        <v>1.6743907138075</v>
      </c>
      <c r="Z58" s="61" t="n">
        <f aca="false">Y57*Assumptions!$D$68</f>
        <v>1.79166515151907</v>
      </c>
      <c r="AA58" s="61" t="n">
        <f aca="false">Z57*Assumptions!$D$68</f>
        <v>1.9128145553977</v>
      </c>
      <c r="AB58" s="61" t="n">
        <f aca="false">AA57*Assumptions!$D$68</f>
        <v>2.03838298904563</v>
      </c>
      <c r="AC58" s="61" t="n">
        <f aca="false">AB57*Assumptions!$D$68</f>
        <v>2.16891352250011</v>
      </c>
      <c r="AD58" s="61" t="n">
        <f aca="false">AC57*Assumptions!$D$68</f>
        <v>2.30495564660962</v>
      </c>
      <c r="AE58" s="61" t="n">
        <f aca="false">AD57*Assumptions!$D$68</f>
        <v>2.44707168128963</v>
      </c>
      <c r="AF58" s="61" t="n">
        <f aca="false">AE57*Assumptions!$D$68</f>
        <v>2.5958424355134</v>
      </c>
      <c r="AG58" s="61" t="n">
        <f aca="false">AF57*Assumptions!$D$68</f>
        <v>2.75187232167136</v>
      </c>
      <c r="AH58" s="61" t="n">
        <f aca="false">AG57*Assumptions!$D$68</f>
        <v>2.91579408419368</v>
      </c>
      <c r="AI58" s="61" t="n">
        <f aca="false">AH57*Assumptions!$D$68</f>
        <v>3.08827326939659</v>
      </c>
      <c r="AJ58" s="61" t="n">
        <f aca="false">AI57*Assumptions!$D$68</f>
        <v>3.27001253823927</v>
      </c>
      <c r="AK58" s="61" t="n">
        <f aca="false">AJ57*Assumptions!$D$68</f>
        <v>3.46175590436684</v>
      </c>
      <c r="AL58" s="61" t="n">
        <f aca="false">AK57*Assumptions!$D$68</f>
        <v>3.66429296513349</v>
      </c>
      <c r="AM58" s="61" t="n">
        <f aca="false">SUM(C58:AL58)</f>
        <v>47.6976403224872</v>
      </c>
    </row>
    <row r="59" customFormat="false" ht="15" hidden="false" customHeight="false" outlineLevel="0" collapsed="false">
      <c r="A59" s="10" t="s">
        <v>780</v>
      </c>
      <c r="B59" s="9" t="s">
        <v>97</v>
      </c>
      <c r="C59" s="70" t="n">
        <f aca="false">C57*Assumptions!$D$70</f>
        <v>0</v>
      </c>
      <c r="D59" s="70" t="n">
        <f aca="false">D57*Assumptions!$D$70</f>
        <v>0</v>
      </c>
      <c r="E59" s="70" t="n">
        <f aca="false">E57*Assumptions!$D$70</f>
        <v>0</v>
      </c>
      <c r="F59" s="70" t="n">
        <f aca="false">F57*Assumptions!$D$70</f>
        <v>0</v>
      </c>
      <c r="G59" s="70" t="n">
        <f aca="false">G57*Assumptions!$D$70</f>
        <v>0</v>
      </c>
      <c r="H59" s="70" t="n">
        <f aca="false">H57*Assumptions!$D$70</f>
        <v>0</v>
      </c>
      <c r="I59" s="70" t="n">
        <f aca="false">I57*Assumptions!$D$70</f>
        <v>0</v>
      </c>
      <c r="J59" s="70" t="n">
        <f aca="false">J57*Assumptions!$D$70</f>
        <v>0</v>
      </c>
      <c r="K59" s="70" t="n">
        <f aca="false">K57*Assumptions!$D$70</f>
        <v>248.696963609695</v>
      </c>
      <c r="L59" s="70" t="n">
        <f aca="false">L57*Assumptions!$D$70</f>
        <v>473.435412687973</v>
      </c>
      <c r="M59" s="70" t="n">
        <f aca="false">M57*Assumptions!$D$70</f>
        <v>679.518913974092</v>
      </c>
      <c r="N59" s="70" t="n">
        <f aca="false">N57*Assumptions!$D$70</f>
        <v>871.366685602533</v>
      </c>
      <c r="O59" s="70" t="n">
        <f aca="false">O57*Assumptions!$D$70</f>
        <v>1052.60248506379</v>
      </c>
      <c r="P59" s="70" t="n">
        <f aca="false">P57*Assumptions!$D$70</f>
        <v>1226.18330926531</v>
      </c>
      <c r="Q59" s="70" t="n">
        <f aca="false">Q57*Assumptions!$D$70</f>
        <v>1394.53603934179</v>
      </c>
      <c r="R59" s="70" t="n">
        <f aca="false">R57*Assumptions!$D$70</f>
        <v>1559.67206330046</v>
      </c>
      <c r="S59" s="70" t="n">
        <f aca="false">S57*Assumptions!$D$70</f>
        <v>1723.28005223706</v>
      </c>
      <c r="T59" s="70" t="n">
        <f aca="false">T57*Assumptions!$D$70</f>
        <v>1886.80022277797</v>
      </c>
      <c r="U59" s="70" t="n">
        <f aca="false">U57*Assumptions!$D$70</f>
        <v>2051.4835059387</v>
      </c>
      <c r="V59" s="70" t="n">
        <f aca="false">V57*Assumptions!$D$70</f>
        <v>2218.43862700939</v>
      </c>
      <c r="W59" s="70" t="n">
        <f aca="false">W57*Assumptions!$D$70</f>
        <v>2388.66961316705</v>
      </c>
      <c r="X59" s="70" t="n">
        <f aca="false">X57*Assumptions!$D$70</f>
        <v>2563.10578498225</v>
      </c>
      <c r="Y59" s="70" t="n">
        <f aca="false">Y57*Assumptions!$D$70</f>
        <v>2742.62588578689</v>
      </c>
      <c r="Z59" s="70" t="n">
        <f aca="false">Z57*Assumptions!$D$70</f>
        <v>2928.07766557032</v>
      </c>
      <c r="AA59" s="70" t="n">
        <f aca="false">AA57*Assumptions!$D$70</f>
        <v>3120.29396015446</v>
      </c>
      <c r="AB59" s="70" t="n">
        <f aca="false">AB57*Assumptions!$D$70</f>
        <v>3320.10608444247</v>
      </c>
      <c r="AC59" s="70" t="n">
        <f aca="false">AC57*Assumptions!$D$70</f>
        <v>3528.3551821178</v>
      </c>
      <c r="AD59" s="70" t="n">
        <f aca="false">AD57*Assumptions!$D$70</f>
        <v>3745.90203520489</v>
      </c>
      <c r="AE59" s="70" t="n">
        <f aca="false">AE57*Assumptions!$D$70</f>
        <v>3973.63572820898</v>
      </c>
      <c r="AF59" s="70" t="n">
        <f aca="false">AF57*Assumptions!$D$70</f>
        <v>4212.48147702001</v>
      </c>
      <c r="AG59" s="70" t="n">
        <f aca="false">AG57*Assumptions!$D$70</f>
        <v>4463.40786734263</v>
      </c>
      <c r="AH59" s="70" t="n">
        <f aca="false">AH57*Assumptions!$D$70</f>
        <v>4727.4336969994</v>
      </c>
      <c r="AI59" s="70" t="n">
        <f aca="false">AI57*Assumptions!$D$70</f>
        <v>5005.63457776627</v>
      </c>
      <c r="AJ59" s="70" t="n">
        <f aca="false">AJ57*Assumptions!$D$70</f>
        <v>5299.14942283847</v>
      </c>
      <c r="AK59" s="70" t="n">
        <f aca="false">AK57*Assumptions!$D$70</f>
        <v>5609.18692355049</v>
      </c>
      <c r="AL59" s="70" t="n">
        <f aca="false">AL57*Assumptions!$D$70</f>
        <v>5937.03210199186</v>
      </c>
      <c r="AM59" s="70" t="n">
        <f aca="false">SUM(C59:AL59)</f>
        <v>78951.112287953</v>
      </c>
    </row>
    <row r="60" customFormat="false" ht="15" hidden="false" customHeight="false" outlineLevel="0" collapsed="false">
      <c r="A60" s="10" t="s">
        <v>781</v>
      </c>
      <c r="B60" s="9" t="s">
        <v>97</v>
      </c>
      <c r="C60" s="70" t="n">
        <f aca="false">C53*Assumptions!$D$71</f>
        <v>0</v>
      </c>
      <c r="D60" s="70" t="n">
        <f aca="false">D53*Assumptions!$D$71</f>
        <v>0</v>
      </c>
      <c r="E60" s="70" t="n">
        <f aca="false">E53*Assumptions!$D$71</f>
        <v>0</v>
      </c>
      <c r="F60" s="70" t="n">
        <f aca="false">F53*Assumptions!$D$71</f>
        <v>0</v>
      </c>
      <c r="G60" s="70" t="n">
        <f aca="false">G53*Assumptions!$D$71</f>
        <v>0</v>
      </c>
      <c r="H60" s="70" t="n">
        <f aca="false">H53*Assumptions!$D$71</f>
        <v>0</v>
      </c>
      <c r="I60" s="70" t="n">
        <f aca="false">I53*Assumptions!$D$71</f>
        <v>0</v>
      </c>
      <c r="J60" s="70" t="n">
        <f aca="false">J53*Assumptions!$D$71</f>
        <v>0</v>
      </c>
      <c r="K60" s="70" t="n">
        <f aca="false">K53*Assumptions!$D$71</f>
        <v>252.585962664234</v>
      </c>
      <c r="L60" s="70" t="n">
        <f aca="false">L53*Assumptions!$D$71</f>
        <v>261.088971980621</v>
      </c>
      <c r="M60" s="70" t="n">
        <f aca="false">M53*Assumptions!$D$71</f>
        <v>271.815171009357</v>
      </c>
      <c r="N60" s="70" t="n">
        <f aca="false">N53*Assumptions!$D$71</f>
        <v>284.566627308473</v>
      </c>
      <c r="O60" s="70" t="n">
        <f aca="false">O53*Assumptions!$D$71</f>
        <v>299.118923293454</v>
      </c>
      <c r="P60" s="70" t="n">
        <f aca="false">P53*Assumptions!$D$71</f>
        <v>315.273327032186</v>
      </c>
      <c r="Q60" s="70" t="n">
        <f aca="false">Q53*Assumptions!$D$71</f>
        <v>332.881853869403</v>
      </c>
      <c r="R60" s="70" t="n">
        <f aca="false">R53*Assumptions!$D$71</f>
        <v>351.842941497251</v>
      </c>
      <c r="S60" s="70" t="n">
        <f aca="false">S53*Assumptions!$D$71</f>
        <v>372.094395859789</v>
      </c>
      <c r="T60" s="70" t="n">
        <f aca="false">T53*Assumptions!$D$71</f>
        <v>393.606837380574</v>
      </c>
      <c r="U60" s="70" t="n">
        <f aca="false">U53*Assumptions!$D$71</f>
        <v>416.378176436784</v>
      </c>
      <c r="V60" s="70" t="n">
        <f aca="false">V53*Assumptions!$D$71</f>
        <v>440.429147579447</v>
      </c>
      <c r="W60" s="70" t="n">
        <f aca="false">W53*Assumptions!$D$71</f>
        <v>465.799803666396</v>
      </c>
      <c r="X60" s="70" t="n">
        <f aca="false">X53*Assumptions!$D$71</f>
        <v>492.546834461433</v>
      </c>
      <c r="Y60" s="70" t="n">
        <f aca="false">Y53*Assumptions!$D$71</f>
        <v>520.741572691126</v>
      </c>
      <c r="Z60" s="70" t="n">
        <f aca="false">Z53*Assumptions!$D$71</f>
        <v>550.468563363154</v>
      </c>
      <c r="AA60" s="70" t="n">
        <f aca="false">AA53*Assumptions!$D$71</f>
        <v>581.82458995824</v>
      </c>
      <c r="AB60" s="70" t="n">
        <f aca="false">AB53*Assumptions!$D$71</f>
        <v>614.918069482385</v>
      </c>
      <c r="AC60" s="70" t="n">
        <f aca="false">AC53*Assumptions!$D$71</f>
        <v>649.868745310236</v>
      </c>
      <c r="AD60" s="70" t="n">
        <f aca="false">AD53*Assumptions!$D$71</f>
        <v>686.807621496315</v>
      </c>
      <c r="AE60" s="70" t="n">
        <f aca="false">AE53*Assumptions!$D$71</f>
        <v>725.877094627057</v>
      </c>
      <c r="AF60" s="70" t="n">
        <f aca="false">AF53*Assumptions!$D$71</f>
        <v>767.23124947522</v>
      </c>
      <c r="AG60" s="70" t="n">
        <f aca="false">AG53*Assumptions!$D$71</f>
        <v>811.03629296511</v>
      </c>
      <c r="AH60" s="70" t="n">
        <f aca="false">AH53*Assumptions!$D$71</f>
        <v>857.471107562115</v>
      </c>
      <c r="AI60" s="70" t="n">
        <f aca="false">AI53*Assumptions!$D$71</f>
        <v>906.727910453577</v>
      </c>
      <c r="AJ60" s="70" t="n">
        <f aca="false">AJ53*Assumptions!$D$71</f>
        <v>959.013009050137</v>
      </c>
      <c r="AK60" s="70" t="n">
        <f aca="false">AK53*Assumptions!$D$71</f>
        <v>1014.54764663049</v>
      </c>
      <c r="AL60" s="70" t="n">
        <f aca="false">AL53*Assumptions!$D$71</f>
        <v>1073.56893456401</v>
      </c>
      <c r="AM60" s="70" t="n">
        <f aca="false">SUM(C60:AL60)</f>
        <v>15670.1313816686</v>
      </c>
    </row>
    <row r="61" customFormat="false" ht="15" hidden="false" customHeight="false" outlineLevel="0" collapsed="false">
      <c r="A61" s="10" t="s">
        <v>782</v>
      </c>
      <c r="B61" s="9" t="s">
        <v>97</v>
      </c>
      <c r="C61" s="70" t="n">
        <f aca="false">C59+C60</f>
        <v>0</v>
      </c>
      <c r="D61" s="70" t="n">
        <f aca="false">D59+D60</f>
        <v>0</v>
      </c>
      <c r="E61" s="70" t="n">
        <f aca="false">E59+E60</f>
        <v>0</v>
      </c>
      <c r="F61" s="70" t="n">
        <f aca="false">F59+F60</f>
        <v>0</v>
      </c>
      <c r="G61" s="70" t="n">
        <f aca="false">G59+G60</f>
        <v>0</v>
      </c>
      <c r="H61" s="70" t="n">
        <f aca="false">H59+H60</f>
        <v>0</v>
      </c>
      <c r="I61" s="70" t="n">
        <f aca="false">I59+I60</f>
        <v>0</v>
      </c>
      <c r="J61" s="70" t="n">
        <f aca="false">J59+J60</f>
        <v>0</v>
      </c>
      <c r="K61" s="70" t="n">
        <f aca="false">K59+K60</f>
        <v>501.282926273929</v>
      </c>
      <c r="L61" s="70" t="n">
        <f aca="false">L59+L60</f>
        <v>734.524384668594</v>
      </c>
      <c r="M61" s="70" t="n">
        <f aca="false">M59+M60</f>
        <v>951.334084983449</v>
      </c>
      <c r="N61" s="70" t="n">
        <f aca="false">N59+N60</f>
        <v>1155.93331291101</v>
      </c>
      <c r="O61" s="70" t="n">
        <f aca="false">O59+O60</f>
        <v>1351.72140835724</v>
      </c>
      <c r="P61" s="70" t="n">
        <f aca="false">P59+P60</f>
        <v>1541.4566362975</v>
      </c>
      <c r="Q61" s="70" t="n">
        <f aca="false">Q59+Q60</f>
        <v>1727.41789321119</v>
      </c>
      <c r="R61" s="70" t="n">
        <f aca="false">R59+R60</f>
        <v>1911.51500479771</v>
      </c>
      <c r="S61" s="70" t="n">
        <f aca="false">S59+S60</f>
        <v>2095.37444809685</v>
      </c>
      <c r="T61" s="70" t="n">
        <f aca="false">T59+T60</f>
        <v>2280.40706015855</v>
      </c>
      <c r="U61" s="70" t="n">
        <f aca="false">U59+U60</f>
        <v>2467.86168237549</v>
      </c>
      <c r="V61" s="70" t="n">
        <f aca="false">V59+V60</f>
        <v>2658.86777458883</v>
      </c>
      <c r="W61" s="70" t="n">
        <f aca="false">W59+W60</f>
        <v>2854.46941683345</v>
      </c>
      <c r="X61" s="70" t="n">
        <f aca="false">X59+X60</f>
        <v>3055.65261944369</v>
      </c>
      <c r="Y61" s="70" t="n">
        <f aca="false">Y59+Y60</f>
        <v>3263.36745847801</v>
      </c>
      <c r="Z61" s="70" t="n">
        <f aca="false">Z59+Z60</f>
        <v>3478.54622893348</v>
      </c>
      <c r="AA61" s="70" t="n">
        <f aca="false">AA59+AA60</f>
        <v>3702.1185501127</v>
      </c>
      <c r="AB61" s="70" t="n">
        <f aca="false">AB59+AB60</f>
        <v>3935.02415392486</v>
      </c>
      <c r="AC61" s="70" t="n">
        <f aca="false">AC59+AC60</f>
        <v>4178.22392742804</v>
      </c>
      <c r="AD61" s="70" t="n">
        <f aca="false">AD59+AD60</f>
        <v>4432.70965670121</v>
      </c>
      <c r="AE61" s="70" t="n">
        <f aca="false">AE59+AE60</f>
        <v>4699.51282283603</v>
      </c>
      <c r="AF61" s="70" t="n">
        <f aca="false">AF59+AF60</f>
        <v>4979.71272649523</v>
      </c>
      <c r="AG61" s="70" t="n">
        <f aca="false">AG59+AG60</f>
        <v>5274.44416030774</v>
      </c>
      <c r="AH61" s="70" t="n">
        <f aca="false">AH59+AH60</f>
        <v>5584.90480456152</v>
      </c>
      <c r="AI61" s="70" t="n">
        <f aca="false">AI59+AI60</f>
        <v>5912.36248821984</v>
      </c>
      <c r="AJ61" s="70" t="n">
        <f aca="false">AJ59+AJ60</f>
        <v>6258.16243188861</v>
      </c>
      <c r="AK61" s="70" t="n">
        <f aca="false">AK59+AK60</f>
        <v>6623.73457018099</v>
      </c>
      <c r="AL61" s="70" t="n">
        <f aca="false">AL59+AL60</f>
        <v>7010.60103655587</v>
      </c>
      <c r="AM61" s="70" t="n">
        <f aca="false">SUM(C61:AL61)</f>
        <v>94621.2436696216</v>
      </c>
    </row>
    <row r="62" customFormat="false" ht="15" hidden="false" customHeight="false" outlineLevel="0" collapsed="false">
      <c r="A62" s="10" t="s">
        <v>783</v>
      </c>
      <c r="B62" s="9" t="s">
        <v>97</v>
      </c>
      <c r="C62" s="70" t="n">
        <f aca="false">-C61*Assumptions!$D$80</f>
        <v>-0</v>
      </c>
      <c r="D62" s="70" t="n">
        <f aca="false">-D61*Assumptions!$D$80</f>
        <v>-0</v>
      </c>
      <c r="E62" s="70" t="n">
        <f aca="false">-E61*Assumptions!$D$80</f>
        <v>-0</v>
      </c>
      <c r="F62" s="70" t="n">
        <f aca="false">-F61*Assumptions!$D$80</f>
        <v>-0</v>
      </c>
      <c r="G62" s="70" t="n">
        <f aca="false">-G61*Assumptions!$D$80</f>
        <v>-0</v>
      </c>
      <c r="H62" s="70" t="n">
        <f aca="false">-H61*Assumptions!$D$80</f>
        <v>-0</v>
      </c>
      <c r="I62" s="70" t="n">
        <f aca="false">-I61*Assumptions!$D$80</f>
        <v>-0</v>
      </c>
      <c r="J62" s="70" t="n">
        <f aca="false">-J61*Assumptions!$D$80</f>
        <v>-0</v>
      </c>
      <c r="K62" s="70" t="n">
        <f aca="false">-K61*Assumptions!$D$80</f>
        <v>-20.0513170509571</v>
      </c>
      <c r="L62" s="70" t="n">
        <f aca="false">-L61*Assumptions!$D$80</f>
        <v>-29.3809753867438</v>
      </c>
      <c r="M62" s="70" t="n">
        <f aca="false">-M61*Assumptions!$D$80</f>
        <v>-38.053363399338</v>
      </c>
      <c r="N62" s="70" t="n">
        <f aca="false">-N61*Assumptions!$D$80</f>
        <v>-46.2373325164402</v>
      </c>
      <c r="O62" s="70" t="n">
        <f aca="false">-O61*Assumptions!$D$80</f>
        <v>-54.0688563342897</v>
      </c>
      <c r="P62" s="70" t="n">
        <f aca="false">-P61*Assumptions!$D$80</f>
        <v>-61.6582654518999</v>
      </c>
      <c r="Q62" s="70" t="n">
        <f aca="false">-Q61*Assumptions!$D$80</f>
        <v>-69.0967157284478</v>
      </c>
      <c r="R62" s="70" t="n">
        <f aca="false">-R61*Assumptions!$D$80</f>
        <v>-76.4606001919085</v>
      </c>
      <c r="S62" s="70" t="n">
        <f aca="false">-S61*Assumptions!$D$80</f>
        <v>-83.8149779238739</v>
      </c>
      <c r="T62" s="70" t="n">
        <f aca="false">-T61*Assumptions!$D$80</f>
        <v>-91.2162824063418</v>
      </c>
      <c r="U62" s="70" t="n">
        <f aca="false">-U61*Assumptions!$D$80</f>
        <v>-98.7144672950194</v>
      </c>
      <c r="V62" s="70" t="n">
        <f aca="false">-V61*Assumptions!$D$80</f>
        <v>-106.354710983553</v>
      </c>
      <c r="W62" s="70" t="n">
        <f aca="false">-W61*Assumptions!$D$80</f>
        <v>-114.178776673338</v>
      </c>
      <c r="X62" s="70" t="n">
        <f aca="false">-X61*Assumptions!$D$80</f>
        <v>-122.226104777747</v>
      </c>
      <c r="Y62" s="70" t="n">
        <f aca="false">-Y61*Assumptions!$D$80</f>
        <v>-130.534698339121</v>
      </c>
      <c r="Z62" s="70" t="n">
        <f aca="false">-Z61*Assumptions!$D$80</f>
        <v>-139.141849157339</v>
      </c>
      <c r="AA62" s="70" t="n">
        <f aca="false">-AA61*Assumptions!$D$80</f>
        <v>-148.084742004508</v>
      </c>
      <c r="AB62" s="70" t="n">
        <f aca="false">-AB61*Assumptions!$D$80</f>
        <v>-157.400966156994</v>
      </c>
      <c r="AC62" s="70" t="n">
        <f aca="false">-AC61*Assumptions!$D$80</f>
        <v>-167.128957097122</v>
      </c>
      <c r="AD62" s="70" t="n">
        <f aca="false">-AD61*Assumptions!$D$80</f>
        <v>-177.308386268048</v>
      </c>
      <c r="AE62" s="70" t="n">
        <f aca="false">-AE61*Assumptions!$D$80</f>
        <v>-187.980512913441</v>
      </c>
      <c r="AF62" s="70" t="n">
        <f aca="false">-AF61*Assumptions!$D$80</f>
        <v>-199.188509059809</v>
      </c>
      <c r="AG62" s="70" t="n">
        <f aca="false">-AG61*Assumptions!$D$80</f>
        <v>-210.97776641231</v>
      </c>
      <c r="AH62" s="70" t="n">
        <f aca="false">-AH61*Assumptions!$D$80</f>
        <v>-223.396192182461</v>
      </c>
      <c r="AI62" s="70" t="n">
        <f aca="false">-AI61*Assumptions!$D$80</f>
        <v>-236.494499528794</v>
      </c>
      <c r="AJ62" s="70" t="n">
        <f aca="false">-AJ61*Assumptions!$D$80</f>
        <v>-250.326497275544</v>
      </c>
      <c r="AK62" s="70" t="n">
        <f aca="false">-AK61*Assumptions!$D$80</f>
        <v>-264.949382807239</v>
      </c>
      <c r="AL62" s="70" t="n">
        <f aca="false">-AL61*Assumptions!$D$80</f>
        <v>-280.424041462235</v>
      </c>
      <c r="AM62" s="70" t="n">
        <f aca="false">SUM(C62:AL62)</f>
        <v>-3784.84974678486</v>
      </c>
    </row>
    <row r="63" customFormat="false" ht="15" hidden="false" customHeight="false" outlineLevel="0" collapsed="false">
      <c r="A63" s="37" t="s">
        <v>784</v>
      </c>
      <c r="B63" s="9" t="s">
        <v>97</v>
      </c>
      <c r="C63" s="53" t="n">
        <f aca="false">C61+C62</f>
        <v>0</v>
      </c>
      <c r="D63" s="53" t="n">
        <f aca="false">D61+D62</f>
        <v>0</v>
      </c>
      <c r="E63" s="53" t="n">
        <f aca="false">E61+E62</f>
        <v>0</v>
      </c>
      <c r="F63" s="53" t="n">
        <f aca="false">F61+F62</f>
        <v>0</v>
      </c>
      <c r="G63" s="53" t="n">
        <f aca="false">G61+G62</f>
        <v>0</v>
      </c>
      <c r="H63" s="53" t="n">
        <f aca="false">H61+H62</f>
        <v>0</v>
      </c>
      <c r="I63" s="53" t="n">
        <f aca="false">I61+I62</f>
        <v>0</v>
      </c>
      <c r="J63" s="53" t="n">
        <f aca="false">J61+J62</f>
        <v>0</v>
      </c>
      <c r="K63" s="53" t="n">
        <f aca="false">K61+K62</f>
        <v>481.231609222971</v>
      </c>
      <c r="L63" s="53" t="n">
        <f aca="false">L61+L62</f>
        <v>705.14340928185</v>
      </c>
      <c r="M63" s="53" t="n">
        <f aca="false">M61+M62</f>
        <v>913.280721584112</v>
      </c>
      <c r="N63" s="53" t="n">
        <f aca="false">N61+N62</f>
        <v>1109.69598039457</v>
      </c>
      <c r="O63" s="53" t="n">
        <f aca="false">O61+O62</f>
        <v>1297.65255202295</v>
      </c>
      <c r="P63" s="53" t="n">
        <f aca="false">P61+P62</f>
        <v>1479.7983708456</v>
      </c>
      <c r="Q63" s="53" t="n">
        <f aca="false">Q61+Q62</f>
        <v>1658.32117748275</v>
      </c>
      <c r="R63" s="53" t="n">
        <f aca="false">R61+R62</f>
        <v>1835.0544046058</v>
      </c>
      <c r="S63" s="53" t="n">
        <f aca="false">S61+S62</f>
        <v>2011.55947017297</v>
      </c>
      <c r="T63" s="53" t="n">
        <f aca="false">T61+T62</f>
        <v>2189.1907777522</v>
      </c>
      <c r="U63" s="53" t="n">
        <f aca="false">U61+U62</f>
        <v>2369.14721508047</v>
      </c>
      <c r="V63" s="53" t="n">
        <f aca="false">V61+V62</f>
        <v>2552.51306360528</v>
      </c>
      <c r="W63" s="53" t="n">
        <f aca="false">W61+W62</f>
        <v>2740.29064016011</v>
      </c>
      <c r="X63" s="53" t="n">
        <f aca="false">X61+X62</f>
        <v>2933.42651466594</v>
      </c>
      <c r="Y63" s="53" t="n">
        <f aca="false">Y61+Y62</f>
        <v>3132.83276013889</v>
      </c>
      <c r="Z63" s="53" t="n">
        <f aca="false">Z61+Z62</f>
        <v>3339.40437977614</v>
      </c>
      <c r="AA63" s="53" t="n">
        <f aca="false">AA61+AA62</f>
        <v>3554.03380810819</v>
      </c>
      <c r="AB63" s="53" t="n">
        <f aca="false">AB61+AB62</f>
        <v>3777.62318776786</v>
      </c>
      <c r="AC63" s="53" t="n">
        <f aca="false">AC61+AC62</f>
        <v>4011.09497033092</v>
      </c>
      <c r="AD63" s="53" t="n">
        <f aca="false">AD61+AD62</f>
        <v>4255.40127043316</v>
      </c>
      <c r="AE63" s="53" t="n">
        <f aca="false">AE61+AE62</f>
        <v>4511.53230992259</v>
      </c>
      <c r="AF63" s="53" t="n">
        <f aca="false">AF61+AF62</f>
        <v>4780.52421743542</v>
      </c>
      <c r="AG63" s="53" t="n">
        <f aca="false">AG61+AG62</f>
        <v>5063.46639389543</v>
      </c>
      <c r="AH63" s="53" t="n">
        <f aca="false">AH61+AH62</f>
        <v>5361.50861237906</v>
      </c>
      <c r="AI63" s="53" t="n">
        <f aca="false">AI61+AI62</f>
        <v>5675.86798869105</v>
      </c>
      <c r="AJ63" s="53" t="n">
        <f aca="false">AJ61+AJ62</f>
        <v>6007.83593461306</v>
      </c>
      <c r="AK63" s="53" t="n">
        <f aca="false">AK61+AK62</f>
        <v>6358.78518737375</v>
      </c>
      <c r="AL63" s="53" t="n">
        <f aca="false">AL61+AL62</f>
        <v>6730.17699509363</v>
      </c>
      <c r="AM63" s="53" t="n">
        <f aca="false">SUM(C63:AL63)</f>
        <v>90836.3939228367</v>
      </c>
    </row>
    <row r="64" customFormat="false" ht="15" hidden="false" customHeight="false" outlineLevel="0" collapsed="false">
      <c r="A64" s="10" t="s">
        <v>785</v>
      </c>
      <c r="B64" s="9" t="s">
        <v>97</v>
      </c>
      <c r="C64" s="70" t="n">
        <f aca="false">-C57*Assumptions!$D$73</f>
        <v>-0</v>
      </c>
      <c r="D64" s="70" t="n">
        <f aca="false">-D57*Assumptions!$D$73</f>
        <v>-0</v>
      </c>
      <c r="E64" s="70" t="n">
        <f aca="false">-E57*Assumptions!$D$73</f>
        <v>-0</v>
      </c>
      <c r="F64" s="70" t="n">
        <f aca="false">-F57*Assumptions!$D$73</f>
        <v>-0</v>
      </c>
      <c r="G64" s="70" t="n">
        <f aca="false">-G57*Assumptions!$D$73</f>
        <v>-0</v>
      </c>
      <c r="H64" s="70" t="n">
        <f aca="false">-H57*Assumptions!$D$73</f>
        <v>-0</v>
      </c>
      <c r="I64" s="70" t="n">
        <f aca="false">-I57*Assumptions!$D$73</f>
        <v>-0</v>
      </c>
      <c r="J64" s="70" t="n">
        <f aca="false">-J57*Assumptions!$D$73</f>
        <v>-0</v>
      </c>
      <c r="K64" s="70" t="n">
        <f aca="false">-K57*Assumptions!$D$73</f>
        <v>-131.222015974965</v>
      </c>
      <c r="L64" s="70" t="n">
        <f aca="false">-L57*Assumptions!$D$73</f>
        <v>-249.802604684609</v>
      </c>
      <c r="M64" s="70" t="n">
        <f aca="false">-M57*Assumptions!$D$73</f>
        <v>-358.540130488842</v>
      </c>
      <c r="N64" s="70" t="n">
        <f aca="false">-N57*Assumptions!$D$73</f>
        <v>-459.766341649578</v>
      </c>
      <c r="O64" s="70" t="n">
        <f aca="false">-O57*Assumptions!$D$73</f>
        <v>-555.393271013557</v>
      </c>
      <c r="P64" s="70" t="n">
        <f aca="false">-P57*Assumptions!$D$73</f>
        <v>-646.981143079687</v>
      </c>
      <c r="Q64" s="70" t="n">
        <f aca="false">-Q57*Assumptions!$D$73</f>
        <v>-735.810473019538</v>
      </c>
      <c r="R64" s="70" t="n">
        <f aca="false">-R57*Assumptions!$D$73</f>
        <v>-822.942545962556</v>
      </c>
      <c r="S64" s="70" t="n">
        <f aca="false">-S57*Assumptions!$D$73</f>
        <v>-909.26836927081</v>
      </c>
      <c r="T64" s="70" t="n">
        <f aca="false">-T57*Assumptions!$D$73</f>
        <v>-995.547856239633</v>
      </c>
      <c r="U64" s="70" t="n">
        <f aca="false">-U57*Assumptions!$D$73</f>
        <v>-1082.44104584705</v>
      </c>
      <c r="V64" s="70" t="n">
        <f aca="false">-V57*Assumptions!$D$73</f>
        <v>-1170.53294389942</v>
      </c>
      <c r="W64" s="70" t="n">
        <f aca="false">-W57*Assumptions!$D$73</f>
        <v>-1260.3533134801</v>
      </c>
      <c r="X64" s="70" t="n">
        <f aca="false">-X57*Assumptions!$D$73</f>
        <v>-1352.39249961375</v>
      </c>
      <c r="Y64" s="70" t="n">
        <f aca="false">-Y57*Assumptions!$D$73</f>
        <v>-1447.11416084233</v>
      </c>
      <c r="Z64" s="70" t="n">
        <f aca="false">-Z57*Assumptions!$D$73</f>
        <v>-1544.9656024366</v>
      </c>
      <c r="AA64" s="70" t="n">
        <f aca="false">-AA57*Assumptions!$D$73</f>
        <v>-1646.38626038301</v>
      </c>
      <c r="AB64" s="70" t="n">
        <f aca="false">-AB57*Assumptions!$D$73</f>
        <v>-1751.81476817316</v>
      </c>
      <c r="AC64" s="70" t="n">
        <f aca="false">-AC57*Assumptions!$D$73</f>
        <v>-1861.69494533854</v>
      </c>
      <c r="AD64" s="70" t="n">
        <f aca="false">-AD57*Assumptions!$D$73</f>
        <v>-1976.48097334931</v>
      </c>
      <c r="AE64" s="70" t="n">
        <f aca="false">-AE57*Assumptions!$D$73</f>
        <v>-2096.64196714544</v>
      </c>
      <c r="AF64" s="70" t="n">
        <f aca="false">-AF57*Assumptions!$D$73</f>
        <v>-2222.66610596533</v>
      </c>
      <c r="AG64" s="70" t="n">
        <f aca="false">-AG57*Assumptions!$D$73</f>
        <v>-2355.06445261797</v>
      </c>
      <c r="AH64" s="70" t="n">
        <f aca="false">-AH57*Assumptions!$D$73</f>
        <v>-2494.3745637434</v>
      </c>
      <c r="AI64" s="70" t="n">
        <f aca="false">-AI57*Assumptions!$D$73</f>
        <v>-2641.16397319326</v>
      </c>
      <c r="AJ64" s="70" t="n">
        <f aca="false">-AJ57*Assumptions!$D$73</f>
        <v>-2796.03361506552</v>
      </c>
      <c r="AK64" s="70" t="n">
        <f aca="false">-AK57*Assumptions!$D$73</f>
        <v>-2959.62124106936</v>
      </c>
      <c r="AL64" s="70" t="n">
        <f aca="false">-AL57*Assumptions!$D$73</f>
        <v>-3132.60487793541</v>
      </c>
      <c r="AM64" s="70" t="n">
        <f aca="false">SUM(C64:AL64)</f>
        <v>-41657.6220614827</v>
      </c>
    </row>
    <row r="65" customFormat="false" ht="15" hidden="false" customHeight="false" outlineLevel="0" collapsed="false">
      <c r="A65" s="10" t="s">
        <v>786</v>
      </c>
      <c r="B65" s="9" t="s">
        <v>97</v>
      </c>
      <c r="C65" s="70" t="n">
        <f aca="false">-C54*Assumptions!$D$74</f>
        <v>-0</v>
      </c>
      <c r="D65" s="70" t="n">
        <f aca="false">-D54*Assumptions!$D$74</f>
        <v>-0</v>
      </c>
      <c r="E65" s="70" t="n">
        <f aca="false">-E54*Assumptions!$D$74</f>
        <v>-0</v>
      </c>
      <c r="F65" s="70" t="n">
        <f aca="false">-F54*Assumptions!$D$74</f>
        <v>-0</v>
      </c>
      <c r="G65" s="70" t="n">
        <f aca="false">-G54*Assumptions!$D$74</f>
        <v>-0</v>
      </c>
      <c r="H65" s="70" t="n">
        <f aca="false">-H54*Assumptions!$D$74</f>
        <v>-0</v>
      </c>
      <c r="I65" s="70" t="n">
        <f aca="false">-I54*Assumptions!$D$74</f>
        <v>-0</v>
      </c>
      <c r="J65" s="70" t="n">
        <f aca="false">-J54*Assumptions!$D$74</f>
        <v>-0</v>
      </c>
      <c r="K65" s="70" t="n">
        <f aca="false">-K54*Assumptions!$D$74</f>
        <v>-176.294692308506</v>
      </c>
      <c r="L65" s="70" t="n">
        <f aca="false">-L54*Assumptions!$D$74</f>
        <v>-182.22944574974</v>
      </c>
      <c r="M65" s="70" t="n">
        <f aca="false">-M54*Assumptions!$D$74</f>
        <v>-189.715894867756</v>
      </c>
      <c r="N65" s="70" t="n">
        <f aca="false">-N54*Assumptions!$D$74</f>
        <v>-198.615890896934</v>
      </c>
      <c r="O65" s="70" t="n">
        <f aca="false">-O54*Assumptions!$D$74</f>
        <v>-208.772799523186</v>
      </c>
      <c r="P65" s="70" t="n">
        <f aca="false">-P54*Assumptions!$D$74</f>
        <v>-220.047913969403</v>
      </c>
      <c r="Q65" s="70" t="n">
        <f aca="false">-Q54*Assumptions!$D$74</f>
        <v>-232.3379469864</v>
      </c>
      <c r="R65" s="70" t="n">
        <f aca="false">-R54*Assumptions!$D$74</f>
        <v>-245.572012228694</v>
      </c>
      <c r="S65" s="70" t="n">
        <f aca="false">-S54*Assumptions!$D$74</f>
        <v>-259.706700783771</v>
      </c>
      <c r="T65" s="70" t="n">
        <f aca="false">-T54*Assumptions!$D$74</f>
        <v>-274.721506906442</v>
      </c>
      <c r="U65" s="70" t="n">
        <f aca="false">-U54*Assumptions!$D$74</f>
        <v>-290.614972125266</v>
      </c>
      <c r="V65" s="70" t="n">
        <f aca="false">-V54*Assumptions!$D$74</f>
        <v>-307.401568310553</v>
      </c>
      <c r="W65" s="70" t="n">
        <f aca="false">-W54*Assumptions!$D$74</f>
        <v>-325.10925072226</v>
      </c>
      <c r="X65" s="70" t="n">
        <f aca="false">-X54*Assumptions!$D$74</f>
        <v>-343.777586501653</v>
      </c>
      <c r="Y65" s="70" t="n">
        <f aca="false">-Y54*Assumptions!$D$74</f>
        <v>-363.456362980337</v>
      </c>
      <c r="Z65" s="70" t="n">
        <f aca="false">-Z54*Assumptions!$D$74</f>
        <v>-384.204589122854</v>
      </c>
      <c r="AA65" s="70" t="n">
        <f aca="false">-AA54*Assumptions!$D$74</f>
        <v>-406.089815848404</v>
      </c>
      <c r="AB65" s="70" t="n">
        <f aca="false">-AB54*Assumptions!$D$74</f>
        <v>-429.187713801991</v>
      </c>
      <c r="AC65" s="70" t="n">
        <f aca="false">-AC54*Assumptions!$D$74</f>
        <v>-453.581858971634</v>
      </c>
      <c r="AD65" s="70" t="n">
        <f aca="false">-AD54*Assumptions!$D$74</f>
        <v>-479.363686840285</v>
      </c>
      <c r="AE65" s="70" t="n">
        <f aca="false">-AE54*Assumptions!$D$74</f>
        <v>-506.63258441317</v>
      </c>
      <c r="AF65" s="70" t="n">
        <f aca="false">-AF54*Assumptions!$D$74</f>
        <v>-535.4960965725</v>
      </c>
      <c r="AG65" s="70" t="n">
        <f aca="false">-AG54*Assumptions!$D$74</f>
        <v>-566.070228967485</v>
      </c>
      <c r="AH65" s="70" t="n">
        <f aca="false">-AH54*Assumptions!$D$74</f>
        <v>-598.47983425764</v>
      </c>
      <c r="AI65" s="70" t="n">
        <f aca="false">-AI54*Assumptions!$D$74</f>
        <v>-632.859072194129</v>
      </c>
      <c r="AJ65" s="70" t="n">
        <f aca="false">-AJ54*Assumptions!$D$74</f>
        <v>-669.351936928871</v>
      </c>
      <c r="AK65" s="70" t="n">
        <f aca="false">-AK54*Assumptions!$D$74</f>
        <v>-708.112847240059</v>
      </c>
      <c r="AL65" s="70" t="n">
        <f aca="false">-AL54*Assumptions!$D$74</f>
        <v>-749.30729718549</v>
      </c>
      <c r="AM65" s="70" t="n">
        <f aca="false">SUM(C65:AL65)</f>
        <v>-10937.1121072054</v>
      </c>
    </row>
    <row r="66" customFormat="false" ht="15" hidden="false" customHeight="false" outlineLevel="0" collapsed="false">
      <c r="A66" s="10" t="s">
        <v>787</v>
      </c>
      <c r="B66" s="9" t="s">
        <v>97</v>
      </c>
      <c r="C66" s="70" t="n">
        <f aca="false">-C57*Assumptions!$D$75</f>
        <v>-0</v>
      </c>
      <c r="D66" s="70" t="n">
        <f aca="false">-D57*Assumptions!$D$75</f>
        <v>-0</v>
      </c>
      <c r="E66" s="70" t="n">
        <f aca="false">-E57*Assumptions!$D$75</f>
        <v>-0</v>
      </c>
      <c r="F66" s="70" t="n">
        <f aca="false">-F57*Assumptions!$D$75</f>
        <v>-0</v>
      </c>
      <c r="G66" s="70" t="n">
        <f aca="false">-G57*Assumptions!$D$75</f>
        <v>-0</v>
      </c>
      <c r="H66" s="70" t="n">
        <f aca="false">-H57*Assumptions!$D$75</f>
        <v>-0</v>
      </c>
      <c r="I66" s="70" t="n">
        <f aca="false">-I57*Assumptions!$D$75</f>
        <v>-0</v>
      </c>
      <c r="J66" s="70" t="n">
        <f aca="false">-J57*Assumptions!$D$75</f>
        <v>-0</v>
      </c>
      <c r="K66" s="70" t="n">
        <f aca="false">-K57*Assumptions!$D$75</f>
        <v>-12.4973348547585</v>
      </c>
      <c r="L66" s="70" t="n">
        <f aca="false">-L57*Assumptions!$D$75</f>
        <v>-23.790724255677</v>
      </c>
      <c r="M66" s="70" t="n">
        <f aca="false">-M57*Assumptions!$D$75</f>
        <v>-34.1466790941755</v>
      </c>
      <c r="N66" s="70" t="n">
        <f aca="false">-N57*Assumptions!$D$75</f>
        <v>-43.7872706332931</v>
      </c>
      <c r="O66" s="70" t="n">
        <f aca="false">-O57*Assumptions!$D$75</f>
        <v>-52.8945972393864</v>
      </c>
      <c r="P66" s="70" t="n">
        <f aca="false">-P57*Assumptions!$D$75</f>
        <v>-61.617251721875</v>
      </c>
      <c r="Q66" s="70" t="n">
        <f aca="false">-Q57*Assumptions!$D$75</f>
        <v>-70.0771879066227</v>
      </c>
      <c r="R66" s="70" t="n">
        <f aca="false">-R57*Assumptions!$D$75</f>
        <v>-78.3754805678624</v>
      </c>
      <c r="S66" s="70" t="n">
        <f aca="false">-S57*Assumptions!$D$75</f>
        <v>-86.596987549601</v>
      </c>
      <c r="T66" s="70" t="n">
        <f aca="false">-T57*Assumptions!$D$75</f>
        <v>-94.8140815466317</v>
      </c>
      <c r="U66" s="70" t="n">
        <f aca="false">-U57*Assumptions!$D$75</f>
        <v>-103.089623414005</v>
      </c>
      <c r="V66" s="70" t="n">
        <f aca="false">-V57*Assumptions!$D$75</f>
        <v>-111.479327990421</v>
      </c>
      <c r="W66" s="70" t="n">
        <f aca="false">-W57*Assumptions!$D$75</f>
        <v>-120.033648902867</v>
      </c>
      <c r="X66" s="70" t="n">
        <f aca="false">-X57*Assumptions!$D$75</f>
        <v>-128.7992856775</v>
      </c>
      <c r="Y66" s="70" t="n">
        <f aca="false">-Y57*Assumptions!$D$75</f>
        <v>-137.820396270698</v>
      </c>
      <c r="Z66" s="70" t="n">
        <f aca="false">-Z57*Assumptions!$D$75</f>
        <v>-147.139581184438</v>
      </c>
      <c r="AA66" s="70" t="n">
        <f aca="false">-AA57*Assumptions!$D$75</f>
        <v>-156.798691465048</v>
      </c>
      <c r="AB66" s="70" t="n">
        <f aca="false">-AB57*Assumptions!$D$75</f>
        <v>-166.839501730778</v>
      </c>
      <c r="AC66" s="70" t="n">
        <f aca="false">-AC57*Assumptions!$D$75</f>
        <v>-177.304280508432</v>
      </c>
      <c r="AD66" s="70" t="n">
        <f aca="false">-AD57*Assumptions!$D$75</f>
        <v>-188.236283176125</v>
      </c>
      <c r="AE66" s="70" t="n">
        <f aca="false">-AE57*Assumptions!$D$75</f>
        <v>-199.680187347185</v>
      </c>
      <c r="AF66" s="70" t="n">
        <f aca="false">-AF57*Assumptions!$D$75</f>
        <v>-211.682486282412</v>
      </c>
      <c r="AG66" s="70" t="n">
        <f aca="false">-AG57*Assumptions!$D$75</f>
        <v>-224.291852630283</v>
      </c>
      <c r="AH66" s="70" t="n">
        <f aca="false">-AH57*Assumptions!$D$75</f>
        <v>-237.559482261276</v>
      </c>
      <c r="AI66" s="70" t="n">
        <f aca="false">-AI57*Assumptions!$D$75</f>
        <v>-251.539426018405</v>
      </c>
      <c r="AJ66" s="70" t="n">
        <f aca="false">-AJ57*Assumptions!$D$75</f>
        <v>-266.288915720526</v>
      </c>
      <c r="AK66" s="70" t="n">
        <f aca="false">-AK57*Assumptions!$D$75</f>
        <v>-281.868689625653</v>
      </c>
      <c r="AL66" s="70" t="n">
        <f aca="false">-AL57*Assumptions!$D$75</f>
        <v>-298.343321708134</v>
      </c>
      <c r="AM66" s="70" t="n">
        <f aca="false">SUM(C66:AL66)</f>
        <v>-3967.39257728407</v>
      </c>
    </row>
    <row r="67" customFormat="false" ht="15" hidden="false" customHeight="false" outlineLevel="0" collapsed="false">
      <c r="A67" s="10" t="s">
        <v>788</v>
      </c>
      <c r="B67" s="9" t="s">
        <v>97</v>
      </c>
      <c r="C67" s="70" t="n">
        <f aca="false">-C57*Assumptions!$D$76</f>
        <v>-0</v>
      </c>
      <c r="D67" s="70" t="n">
        <f aca="false">-D57*Assumptions!$D$76</f>
        <v>-0</v>
      </c>
      <c r="E67" s="70" t="n">
        <f aca="false">-E57*Assumptions!$D$76</f>
        <v>-0</v>
      </c>
      <c r="F67" s="70" t="n">
        <f aca="false">-F57*Assumptions!$D$76</f>
        <v>-0</v>
      </c>
      <c r="G67" s="70" t="n">
        <f aca="false">-G57*Assumptions!$D$76</f>
        <v>-0</v>
      </c>
      <c r="H67" s="70" t="n">
        <f aca="false">-H57*Assumptions!$D$76</f>
        <v>-0</v>
      </c>
      <c r="I67" s="70" t="n">
        <f aca="false">-I57*Assumptions!$D$76</f>
        <v>-0</v>
      </c>
      <c r="J67" s="70" t="n">
        <f aca="false">-J57*Assumptions!$D$76</f>
        <v>-0</v>
      </c>
      <c r="K67" s="70" t="n">
        <f aca="false">-K57*Assumptions!$D$76</f>
        <v>-27.4941366804688</v>
      </c>
      <c r="L67" s="70" t="n">
        <f aca="false">-L57*Assumptions!$D$76</f>
        <v>-52.3395933624895</v>
      </c>
      <c r="M67" s="70" t="n">
        <f aca="false">-M57*Assumptions!$D$76</f>
        <v>-75.122694007186</v>
      </c>
      <c r="N67" s="70" t="n">
        <f aca="false">-N57*Assumptions!$D$76</f>
        <v>-96.3319953932448</v>
      </c>
      <c r="O67" s="70" t="n">
        <f aca="false">-O57*Assumptions!$D$76</f>
        <v>-116.36811392665</v>
      </c>
      <c r="P67" s="70" t="n">
        <f aca="false">-P57*Assumptions!$D$76</f>
        <v>-135.557953788125</v>
      </c>
      <c r="Q67" s="70" t="n">
        <f aca="false">-Q57*Assumptions!$D$76</f>
        <v>-154.16981339457</v>
      </c>
      <c r="R67" s="70" t="n">
        <f aca="false">-R57*Assumptions!$D$76</f>
        <v>-172.426057249297</v>
      </c>
      <c r="S67" s="70" t="n">
        <f aca="false">-S57*Assumptions!$D$76</f>
        <v>-190.513372609122</v>
      </c>
      <c r="T67" s="70" t="n">
        <f aca="false">-T57*Assumptions!$D$76</f>
        <v>-208.59097940259</v>
      </c>
      <c r="U67" s="70" t="n">
        <f aca="false">-U57*Assumptions!$D$76</f>
        <v>-226.797171510811</v>
      </c>
      <c r="V67" s="70" t="n">
        <f aca="false">-V57*Assumptions!$D$76</f>
        <v>-245.254521578927</v>
      </c>
      <c r="W67" s="70" t="n">
        <f aca="false">-W57*Assumptions!$D$76</f>
        <v>-264.074027586307</v>
      </c>
      <c r="X67" s="70" t="n">
        <f aca="false">-X57*Assumptions!$D$76</f>
        <v>-283.3584284905</v>
      </c>
      <c r="Y67" s="70" t="n">
        <f aca="false">-Y57*Assumptions!$D$76</f>
        <v>-303.204871795535</v>
      </c>
      <c r="Z67" s="70" t="n">
        <f aca="false">-Z57*Assumptions!$D$76</f>
        <v>-323.707078605764</v>
      </c>
      <c r="AA67" s="70" t="n">
        <f aca="false">-AA57*Assumptions!$D$76</f>
        <v>-344.957121223106</v>
      </c>
      <c r="AB67" s="70" t="n">
        <f aca="false">-AB57*Assumptions!$D$76</f>
        <v>-367.046903807711</v>
      </c>
      <c r="AC67" s="70" t="n">
        <f aca="false">-AC57*Assumptions!$D$76</f>
        <v>-390.069417118551</v>
      </c>
      <c r="AD67" s="70" t="n">
        <f aca="false">-AD57*Assumptions!$D$76</f>
        <v>-414.119822987475</v>
      </c>
      <c r="AE67" s="70" t="n">
        <f aca="false">-AE57*Assumptions!$D$76</f>
        <v>-439.296412163807</v>
      </c>
      <c r="AF67" s="70" t="n">
        <f aca="false">-AF57*Assumptions!$D$76</f>
        <v>-465.701469821307</v>
      </c>
      <c r="AG67" s="70" t="n">
        <f aca="false">-AG57*Assumptions!$D$76</f>
        <v>-493.442075786622</v>
      </c>
      <c r="AH67" s="70" t="n">
        <f aca="false">-AH57*Assumptions!$D$76</f>
        <v>-522.630860974808</v>
      </c>
      <c r="AI67" s="70" t="n">
        <f aca="false">-AI57*Assumptions!$D$76</f>
        <v>-553.386737240492</v>
      </c>
      <c r="AJ67" s="70" t="n">
        <f aca="false">-AJ57*Assumptions!$D$76</f>
        <v>-585.835614585157</v>
      </c>
      <c r="AK67" s="70" t="n">
        <f aca="false">-AK57*Assumptions!$D$76</f>
        <v>-620.111117176436</v>
      </c>
      <c r="AL67" s="70" t="n">
        <f aca="false">-AL57*Assumptions!$D$76</f>
        <v>-656.355307757895</v>
      </c>
      <c r="AM67" s="70" t="n">
        <f aca="false">SUM(C67:AL67)</f>
        <v>-8728.26367002496</v>
      </c>
    </row>
    <row r="68" customFormat="false" ht="15" hidden="false" customHeight="false" outlineLevel="0" collapsed="false">
      <c r="A68" s="10" t="s">
        <v>789</v>
      </c>
      <c r="B68" s="9" t="s">
        <v>97</v>
      </c>
      <c r="C68" s="70" t="n">
        <f aca="false">-C57*Assumptions!$D$77</f>
        <v>-0</v>
      </c>
      <c r="D68" s="70" t="n">
        <f aca="false">-D57*Assumptions!$D$77</f>
        <v>-0</v>
      </c>
      <c r="E68" s="70" t="n">
        <f aca="false">-E57*Assumptions!$D$77</f>
        <v>-0</v>
      </c>
      <c r="F68" s="70" t="n">
        <f aca="false">-F57*Assumptions!$D$77</f>
        <v>-0</v>
      </c>
      <c r="G68" s="70" t="n">
        <f aca="false">-G57*Assumptions!$D$77</f>
        <v>-0</v>
      </c>
      <c r="H68" s="70" t="n">
        <f aca="false">-H57*Assumptions!$D$77</f>
        <v>-0</v>
      </c>
      <c r="I68" s="70" t="n">
        <f aca="false">-I57*Assumptions!$D$77</f>
        <v>-0</v>
      </c>
      <c r="J68" s="70" t="n">
        <f aca="false">-J57*Assumptions!$D$77</f>
        <v>-0</v>
      </c>
      <c r="K68" s="70" t="n">
        <f aca="false">-K57*Assumptions!$D$77</f>
        <v>-7.49840091285512</v>
      </c>
      <c r="L68" s="70" t="n">
        <f aca="false">-L57*Assumptions!$D$77</f>
        <v>-14.2744345534062</v>
      </c>
      <c r="M68" s="70" t="n">
        <f aca="false">-M57*Assumptions!$D$77</f>
        <v>-20.4880074565053</v>
      </c>
      <c r="N68" s="70" t="n">
        <f aca="false">-N57*Assumptions!$D$77</f>
        <v>-26.2723623799759</v>
      </c>
      <c r="O68" s="70" t="n">
        <f aca="false">-O57*Assumptions!$D$77</f>
        <v>-31.7367583436319</v>
      </c>
      <c r="P68" s="70" t="n">
        <f aca="false">-P57*Assumptions!$D$77</f>
        <v>-36.970351033125</v>
      </c>
      <c r="Q68" s="70" t="n">
        <f aca="false">-Q57*Assumptions!$D$77</f>
        <v>-42.0463127439736</v>
      </c>
      <c r="R68" s="70" t="n">
        <f aca="false">-R57*Assumptions!$D$77</f>
        <v>-47.0252883407175</v>
      </c>
      <c r="S68" s="70" t="n">
        <f aca="false">-S57*Assumptions!$D$77</f>
        <v>-51.9581925297606</v>
      </c>
      <c r="T68" s="70" t="n">
        <f aca="false">-T57*Assumptions!$D$77</f>
        <v>-56.888448927979</v>
      </c>
      <c r="U68" s="70" t="n">
        <f aca="false">-U57*Assumptions!$D$77</f>
        <v>-61.8537740484031</v>
      </c>
      <c r="V68" s="70" t="n">
        <f aca="false">-V57*Assumptions!$D$77</f>
        <v>-66.8875967942528</v>
      </c>
      <c r="W68" s="70" t="n">
        <f aca="false">-W57*Assumptions!$D$77</f>
        <v>-72.0201893417201</v>
      </c>
      <c r="X68" s="70" t="n">
        <f aca="false">-X57*Assumptions!$D$77</f>
        <v>-77.2795714065001</v>
      </c>
      <c r="Y68" s="70" t="n">
        <f aca="false">-Y57*Assumptions!$D$77</f>
        <v>-82.6922377624187</v>
      </c>
      <c r="Z68" s="70" t="n">
        <f aca="false">-Z57*Assumptions!$D$77</f>
        <v>-88.283748710663</v>
      </c>
      <c r="AA68" s="70" t="n">
        <f aca="false">-AA57*Assumptions!$D$77</f>
        <v>-94.0792148790289</v>
      </c>
      <c r="AB68" s="70" t="n">
        <f aca="false">-AB57*Assumptions!$D$77</f>
        <v>-100.103701038467</v>
      </c>
      <c r="AC68" s="70" t="n">
        <f aca="false">-AC57*Assumptions!$D$77</f>
        <v>-106.382568305059</v>
      </c>
      <c r="AD68" s="70" t="n">
        <f aca="false">-AD57*Assumptions!$D$77</f>
        <v>-112.941769905675</v>
      </c>
      <c r="AE68" s="70" t="n">
        <f aca="false">-AE57*Assumptions!$D$77</f>
        <v>-119.808112408311</v>
      </c>
      <c r="AF68" s="70" t="n">
        <f aca="false">-AF57*Assumptions!$D$77</f>
        <v>-127.009491769447</v>
      </c>
      <c r="AG68" s="70" t="n">
        <f aca="false">-AG57*Assumptions!$D$77</f>
        <v>-134.57511157817</v>
      </c>
      <c r="AH68" s="70" t="n">
        <f aca="false">-AH57*Assumptions!$D$77</f>
        <v>-142.535689356766</v>
      </c>
      <c r="AI68" s="70" t="n">
        <f aca="false">-AI57*Assumptions!$D$77</f>
        <v>-150.923655611043</v>
      </c>
      <c r="AJ68" s="70" t="n">
        <f aca="false">-AJ57*Assumptions!$D$77</f>
        <v>-159.773349432316</v>
      </c>
      <c r="AK68" s="70" t="n">
        <f aca="false">-AK57*Assumptions!$D$77</f>
        <v>-169.121213775392</v>
      </c>
      <c r="AL68" s="70" t="n">
        <f aca="false">-AL57*Assumptions!$D$77</f>
        <v>-179.00599302488</v>
      </c>
      <c r="AM68" s="70" t="n">
        <f aca="false">SUM(C68:AL68)</f>
        <v>-2380.43554637044</v>
      </c>
    </row>
    <row r="69" customFormat="false" ht="15" hidden="false" customHeight="false" outlineLevel="0" collapsed="false">
      <c r="A69" s="10" t="s">
        <v>790</v>
      </c>
      <c r="B69" s="9" t="s">
        <v>97</v>
      </c>
      <c r="C69" s="70" t="n">
        <f aca="false">-C63*Assumptions!$D$79</f>
        <v>-0</v>
      </c>
      <c r="D69" s="70" t="n">
        <f aca="false">-D63*Assumptions!$D$79</f>
        <v>-0</v>
      </c>
      <c r="E69" s="70" t="n">
        <f aca="false">-E63*Assumptions!$D$79</f>
        <v>-0</v>
      </c>
      <c r="F69" s="70" t="n">
        <f aca="false">-F63*Assumptions!$D$79</f>
        <v>-0</v>
      </c>
      <c r="G69" s="70" t="n">
        <f aca="false">-G63*Assumptions!$D$79</f>
        <v>-0</v>
      </c>
      <c r="H69" s="70" t="n">
        <f aca="false">-H63*Assumptions!$D$79</f>
        <v>-0</v>
      </c>
      <c r="I69" s="70" t="n">
        <f aca="false">-I63*Assumptions!$D$79</f>
        <v>-0</v>
      </c>
      <c r="J69" s="70" t="n">
        <f aca="false">-J63*Assumptions!$D$79</f>
        <v>-0</v>
      </c>
      <c r="K69" s="70" t="n">
        <f aca="false">-K63*Assumptions!$D$79</f>
        <v>-15.3994114951351</v>
      </c>
      <c r="L69" s="70" t="n">
        <f aca="false">-L63*Assumptions!$D$79</f>
        <v>-22.5645890970192</v>
      </c>
      <c r="M69" s="70" t="n">
        <f aca="false">-M63*Assumptions!$D$79</f>
        <v>-29.2249830906916</v>
      </c>
      <c r="N69" s="70" t="n">
        <f aca="false">-N63*Assumptions!$D$79</f>
        <v>-35.5102713726261</v>
      </c>
      <c r="O69" s="70" t="n">
        <f aca="false">-O63*Assumptions!$D$79</f>
        <v>-41.5248816647345</v>
      </c>
      <c r="P69" s="70" t="n">
        <f aca="false">-P63*Assumptions!$D$79</f>
        <v>-47.3535478670591</v>
      </c>
      <c r="Q69" s="70" t="n">
        <f aca="false">-Q63*Assumptions!$D$79</f>
        <v>-53.0662776794479</v>
      </c>
      <c r="R69" s="70" t="n">
        <f aca="false">-R63*Assumptions!$D$79</f>
        <v>-58.7217409473858</v>
      </c>
      <c r="S69" s="70" t="n">
        <f aca="false">-S63*Assumptions!$D$79</f>
        <v>-64.3699030455352</v>
      </c>
      <c r="T69" s="70" t="n">
        <f aca="false">-T63*Assumptions!$D$79</f>
        <v>-70.0541048880705</v>
      </c>
      <c r="U69" s="70" t="n">
        <f aca="false">-U63*Assumptions!$D$79</f>
        <v>-75.8127108825749</v>
      </c>
      <c r="V69" s="70" t="n">
        <f aca="false">-V63*Assumptions!$D$79</f>
        <v>-81.6804180353689</v>
      </c>
      <c r="W69" s="70" t="n">
        <f aca="false">-W63*Assumptions!$D$79</f>
        <v>-87.6893004851234</v>
      </c>
      <c r="X69" s="70" t="n">
        <f aca="false">-X63*Assumptions!$D$79</f>
        <v>-93.86964846931</v>
      </c>
      <c r="Y69" s="70" t="n">
        <f aca="false">-Y63*Assumptions!$D$79</f>
        <v>-100.250648324445</v>
      </c>
      <c r="Z69" s="70" t="n">
        <f aca="false">-Z63*Assumptions!$D$79</f>
        <v>-106.860940152836</v>
      </c>
      <c r="AA69" s="70" t="n">
        <f aca="false">-AA63*Assumptions!$D$79</f>
        <v>-113.729081859462</v>
      </c>
      <c r="AB69" s="70" t="n">
        <f aca="false">-AB63*Assumptions!$D$79</f>
        <v>-120.883942008572</v>
      </c>
      <c r="AC69" s="70" t="n">
        <f aca="false">-AC63*Assumptions!$D$79</f>
        <v>-128.355039050589</v>
      </c>
      <c r="AD69" s="70" t="n">
        <f aca="false">-AD63*Assumptions!$D$79</f>
        <v>-136.172840653861</v>
      </c>
      <c r="AE69" s="70" t="n">
        <f aca="false">-AE63*Assumptions!$D$79</f>
        <v>-144.369033917523</v>
      </c>
      <c r="AF69" s="70" t="n">
        <f aca="false">-AF63*Assumptions!$D$79</f>
        <v>-152.976774957933</v>
      </c>
      <c r="AG69" s="70" t="n">
        <f aca="false">-AG63*Assumptions!$D$79</f>
        <v>-162.030924604654</v>
      </c>
      <c r="AH69" s="70" t="n">
        <f aca="false">-AH63*Assumptions!$D$79</f>
        <v>-171.56827559613</v>
      </c>
      <c r="AI69" s="70" t="n">
        <f aca="false">-AI63*Assumptions!$D$79</f>
        <v>-181.627775638114</v>
      </c>
      <c r="AJ69" s="70" t="n">
        <f aca="false">-AJ63*Assumptions!$D$79</f>
        <v>-192.250749907618</v>
      </c>
      <c r="AK69" s="70" t="n">
        <f aca="false">-AK63*Assumptions!$D$79</f>
        <v>-203.48112599596</v>
      </c>
      <c r="AL69" s="70" t="n">
        <f aca="false">-AL63*Assumptions!$D$79</f>
        <v>-215.365663842996</v>
      </c>
      <c r="AM69" s="70" t="n">
        <f aca="false">SUM(C69:AL69)</f>
        <v>-2906.76460553078</v>
      </c>
    </row>
    <row r="70" customFormat="false" ht="15" hidden="false" customHeight="false" outlineLevel="0" collapsed="false">
      <c r="A70" s="37" t="s">
        <v>791</v>
      </c>
      <c r="B70" s="9" t="s">
        <v>97</v>
      </c>
      <c r="C70" s="53" t="n">
        <f aca="false">C63+C64+C65+C66+C67+C68+C69</f>
        <v>0</v>
      </c>
      <c r="D70" s="53" t="n">
        <f aca="false">D63+D64+D65+D66+D67+D68+D69</f>
        <v>0</v>
      </c>
      <c r="E70" s="53" t="n">
        <f aca="false">E63+E64+E65+E66+E67+E68+E69</f>
        <v>0</v>
      </c>
      <c r="F70" s="53" t="n">
        <f aca="false">F63+F64+F65+F66+F67+F68+F69</f>
        <v>0</v>
      </c>
      <c r="G70" s="53" t="n">
        <f aca="false">G63+G64+G65+G66+G67+G68+G69</f>
        <v>0</v>
      </c>
      <c r="H70" s="53" t="n">
        <f aca="false">H63+H64+H65+H66+H67+H68+H69</f>
        <v>0</v>
      </c>
      <c r="I70" s="53" t="n">
        <f aca="false">I63+I64+I65+I66+I67+I68+I69</f>
        <v>0</v>
      </c>
      <c r="J70" s="53" t="n">
        <f aca="false">J63+J64+J65+J66+J67+J68+J69</f>
        <v>0</v>
      </c>
      <c r="K70" s="53" t="n">
        <f aca="false">K63+K64+K65+K66+K67+K68+K69</f>
        <v>110.825616996283</v>
      </c>
      <c r="L70" s="53" t="n">
        <f aca="false">L63+L64+L65+L66+L67+L68+L69</f>
        <v>160.14201757891</v>
      </c>
      <c r="M70" s="53" t="n">
        <f aca="false">M63+M64+M65+M66+M67+M68+M69</f>
        <v>206.042332578955</v>
      </c>
      <c r="N70" s="53" t="n">
        <f aca="false">N63+N64+N65+N66+N67+N68+N69</f>
        <v>249.411848068914</v>
      </c>
      <c r="O70" s="53" t="n">
        <f aca="false">O63+O64+O65+O66+O67+O68+O69</f>
        <v>290.962130311808</v>
      </c>
      <c r="P70" s="53" t="n">
        <f aca="false">P63+P64+P65+P66+P67+P68+P69</f>
        <v>331.270209386324</v>
      </c>
      <c r="Q70" s="53" t="n">
        <f aca="false">Q63+Q64+Q65+Q66+Q67+Q68+Q69</f>
        <v>370.813165752195</v>
      </c>
      <c r="R70" s="53" t="n">
        <f aca="false">R63+R64+R65+R66+R67+R68+R69</f>
        <v>409.991279309293</v>
      </c>
      <c r="S70" s="53" t="n">
        <f aca="false">S63+S64+S65+S66+S67+S68+S69</f>
        <v>449.145944384374</v>
      </c>
      <c r="T70" s="53" t="n">
        <f aca="false">T63+T64+T65+T66+T67+T68+T69</f>
        <v>488.573799840858</v>
      </c>
      <c r="U70" s="53" t="n">
        <f aca="false">U63+U64+U65+U66+U67+U68+U69</f>
        <v>528.537917252353</v>
      </c>
      <c r="V70" s="53" t="n">
        <f aca="false">V63+V64+V65+V66+V67+V68+V69</f>
        <v>569.276686996332</v>
      </c>
      <c r="W70" s="53" t="n">
        <f aca="false">W63+W64+W65+W66+W67+W68+W69</f>
        <v>611.010909641729</v>
      </c>
      <c r="X70" s="53" t="n">
        <f aca="false">X63+X64+X65+X66+X67+X68+X69</f>
        <v>653.949494506723</v>
      </c>
      <c r="Y70" s="53" t="n">
        <f aca="false">Y63+Y64+Y65+Y66+Y67+Y68+Y69</f>
        <v>698.294082163132</v>
      </c>
      <c r="Z70" s="53" t="n">
        <f aca="false">Z63+Z64+Z65+Z66+Z67+Z68+Z69</f>
        <v>744.242839562979</v>
      </c>
      <c r="AA70" s="53" t="n">
        <f aca="false">AA63+AA64+AA65+AA66+AA67+AA68+AA69</f>
        <v>791.993622450136</v>
      </c>
      <c r="AB70" s="53" t="n">
        <f aca="false">AB63+AB64+AB65+AB66+AB67+AB68+AB69</f>
        <v>841.746657207183</v>
      </c>
      <c r="AC70" s="53" t="n">
        <f aca="false">AC63+AC64+AC65+AC66+AC67+AC68+AC69</f>
        <v>893.706861038111</v>
      </c>
      <c r="AD70" s="53" t="n">
        <f aca="false">AD63+AD64+AD65+AD66+AD67+AD68+AD69</f>
        <v>948.085893520422</v>
      </c>
      <c r="AE70" s="53" t="n">
        <f aca="false">AE63+AE64+AE65+AE66+AE67+AE68+AE69</f>
        <v>1005.10401252716</v>
      </c>
      <c r="AF70" s="53" t="n">
        <f aca="false">AF63+AF64+AF65+AF66+AF67+AF68+AF69</f>
        <v>1064.99179206649</v>
      </c>
      <c r="AG70" s="53" t="n">
        <f aca="false">AG63+AG64+AG65+AG66+AG67+AG68+AG69</f>
        <v>1127.99174771025</v>
      </c>
      <c r="AH70" s="53" t="n">
        <f aca="false">AH63+AH64+AH65+AH66+AH67+AH68+AH69</f>
        <v>1194.35990618903</v>
      </c>
      <c r="AI70" s="53" t="n">
        <f aca="false">AI63+AI64+AI65+AI66+AI67+AI68+AI69</f>
        <v>1264.36734879561</v>
      </c>
      <c r="AJ70" s="53" t="n">
        <f aca="false">AJ63+AJ64+AJ65+AJ66+AJ67+AJ68+AJ69</f>
        <v>1338.30175297305</v>
      </c>
      <c r="AK70" s="53" t="n">
        <f aca="false">AK63+AK64+AK65+AK66+AK67+AK68+AK69</f>
        <v>1416.46895249089</v>
      </c>
      <c r="AL70" s="53" t="n">
        <f aca="false">AL63+AL64+AL65+AL66+AL67+AL68+AL69</f>
        <v>1499.19453363883</v>
      </c>
      <c r="AM70" s="53" t="n">
        <f aca="false">SUM(C70:AL70)</f>
        <v>20258.8033549383</v>
      </c>
    </row>
    <row r="71" customFormat="false" ht="15" hidden="false" customHeight="false" outlineLevel="0" collapsed="false">
      <c r="A71" s="10" t="s">
        <v>792</v>
      </c>
      <c r="B71" s="9" t="s">
        <v>61</v>
      </c>
      <c r="C71" s="62" t="n">
        <f aca="false">IFERROR(C70/C63,0)</f>
        <v>0</v>
      </c>
      <c r="D71" s="62" t="n">
        <f aca="false">IFERROR(D70/D63,0)</f>
        <v>0</v>
      </c>
      <c r="E71" s="62" t="n">
        <f aca="false">IFERROR(E70/E63,0)</f>
        <v>0</v>
      </c>
      <c r="F71" s="62" t="n">
        <f aca="false">IFERROR(F70/F63,0)</f>
        <v>0</v>
      </c>
      <c r="G71" s="62" t="n">
        <f aca="false">IFERROR(G70/G63,0)</f>
        <v>0</v>
      </c>
      <c r="H71" s="62" t="n">
        <f aca="false">IFERROR(H70/H63,0)</f>
        <v>0</v>
      </c>
      <c r="I71" s="62" t="n">
        <f aca="false">IFERROR(I70/I63,0)</f>
        <v>0</v>
      </c>
      <c r="J71" s="62" t="n">
        <f aca="false">IFERROR(J70/J63,0)</f>
        <v>0</v>
      </c>
      <c r="K71" s="62" t="n">
        <f aca="false">IFERROR(K70/K63,0)</f>
        <v>0.230295797018051</v>
      </c>
      <c r="L71" s="62" t="n">
        <f aca="false">IFERROR(L70/L63,0)</f>
        <v>0.227105600748656</v>
      </c>
      <c r="M71" s="62" t="n">
        <f aca="false">IFERROR(M70/M63,0)</f>
        <v>0.225606790671732</v>
      </c>
      <c r="N71" s="62" t="n">
        <f aca="false">IFERROR(N70/N63,0)</f>
        <v>0.224756917638138</v>
      </c>
      <c r="O71" s="62" t="n">
        <f aca="false">IFERROR(O70/O63,0)</f>
        <v>0.224221907365124</v>
      </c>
      <c r="P71" s="62" t="n">
        <f aca="false">IFERROR(P70/P63,0)</f>
        <v>0.223861720564692</v>
      </c>
      <c r="Q71" s="62" t="n">
        <f aca="false">IFERROR(Q70/Q63,0)</f>
        <v>0.223607568176312</v>
      </c>
      <c r="R71" s="62" t="n">
        <f aca="false">IFERROR(R70/R63,0)</f>
        <v>0.223421866011305</v>
      </c>
      <c r="S71" s="62" t="n">
        <f aca="false">IFERROR(S70/S63,0)</f>
        <v>0.223282458731261</v>
      </c>
      <c r="T71" s="62" t="n">
        <f aca="false">IFERROR(T70/T63,0)</f>
        <v>0.223175524401995</v>
      </c>
      <c r="U71" s="62" t="n">
        <f aca="false">IFERROR(U70/U63,0)</f>
        <v>0.223092053498415</v>
      </c>
      <c r="V71" s="62" t="n">
        <f aca="false">IFERROR(V70/V63,0)</f>
        <v>0.22302596414228</v>
      </c>
      <c r="W71" s="62" t="n">
        <f aca="false">IFERROR(W70/W63,0)</f>
        <v>0.222973030921285</v>
      </c>
      <c r="X71" s="62" t="n">
        <f aca="false">IFERROR(X70/X63,0)</f>
        <v>0.222930245989542</v>
      </c>
      <c r="Y71" s="62" t="n">
        <f aca="false">IFERROR(Y70/Y63,0)</f>
        <v>0.222895422650066</v>
      </c>
      <c r="Z71" s="62" t="n">
        <f aca="false">IFERROR(Z70/Z63,0)</f>
        <v>0.22286694120371</v>
      </c>
      <c r="AA71" s="62" t="n">
        <f aca="false">IFERROR(AA70/AA63,0)</f>
        <v>0.222843581466017</v>
      </c>
      <c r="AB71" s="62" t="n">
        <f aca="false">IFERROR(AB70/AB63,0)</f>
        <v>0.222824409785709</v>
      </c>
      <c r="AC71" s="62" t="n">
        <f aca="false">IFERROR(AC70/AC63,0)</f>
        <v>0.222808701276993</v>
      </c>
      <c r="AD71" s="62" t="n">
        <f aca="false">IFERROR(AD70/AD63,0)</f>
        <v>0.222795885339367</v>
      </c>
      <c r="AE71" s="62" t="n">
        <f aca="false">IFERROR(AE70/AE63,0)</f>
        <v>0.222785506892314</v>
      </c>
      <c r="AF71" s="62" t="n">
        <f aca="false">IFERROR(AF70/AF63,0)</f>
        <v>0.222777198404784</v>
      </c>
      <c r="AG71" s="62" t="n">
        <f aca="false">IFERROR(AG70/AG63,0)</f>
        <v>0.222770659457751</v>
      </c>
      <c r="AH71" s="62" t="n">
        <f aca="false">IFERROR(AH70/AH63,0)</f>
        <v>0.222765641638886</v>
      </c>
      <c r="AI71" s="62" t="n">
        <f aca="false">IFERROR(AI70/AI63,0)</f>
        <v>0.222761937260488</v>
      </c>
      <c r="AJ71" s="62" t="n">
        <f aca="false">IFERROR(AJ70/AJ63,0)</f>
        <v>0.222759370851435</v>
      </c>
      <c r="AK71" s="62" t="n">
        <f aca="false">IFERROR(AK70/AK63,0)</f>
        <v>0.222757792683969</v>
      </c>
      <c r="AL71" s="62" t="n">
        <f aca="false">IFERROR(AL70/AL63,0)</f>
        <v>0.222757073808276</v>
      </c>
      <c r="AM71" s="62" t="n">
        <f aca="false">AVERAGE(N71:AL71)</f>
        <v>0.223100775206405</v>
      </c>
    </row>
    <row r="72" customFormat="false" ht="15" hidden="false" customHeight="false" outlineLevel="0" collapsed="false">
      <c r="A72" s="37" t="s">
        <v>793</v>
      </c>
      <c r="B72" s="9" t="s">
        <v>97</v>
      </c>
      <c r="C72" s="53" t="n">
        <f aca="false">C42+C63</f>
        <v>0</v>
      </c>
      <c r="D72" s="53" t="n">
        <f aca="false">D42+D63</f>
        <v>0</v>
      </c>
      <c r="E72" s="53" t="n">
        <f aca="false">E42+E63</f>
        <v>39168</v>
      </c>
      <c r="F72" s="53" t="n">
        <f aca="false">F42+F63</f>
        <v>32849.6324164024</v>
      </c>
      <c r="G72" s="53" t="n">
        <f aca="false">G42+G63</f>
        <v>33134.8999492326</v>
      </c>
      <c r="H72" s="53" t="n">
        <f aca="false">H42+H63</f>
        <v>34411.5951978308</v>
      </c>
      <c r="I72" s="53" t="n">
        <f aca="false">I42+I63</f>
        <v>35645.488023066</v>
      </c>
      <c r="J72" s="53" t="n">
        <f aca="false">J42+J63</f>
        <v>36691.3383295165</v>
      </c>
      <c r="K72" s="53" t="n">
        <f aca="false">K42+K63</f>
        <v>38080.3680398872</v>
      </c>
      <c r="L72" s="53" t="n">
        <f aca="false">L42+L63</f>
        <v>39151.7594289691</v>
      </c>
      <c r="M72" s="53" t="n">
        <f aca="false">M42+M63</f>
        <v>40134.5909083392</v>
      </c>
      <c r="N72" s="53" t="n">
        <f aca="false">N42+N63</f>
        <v>41059.8311742038</v>
      </c>
      <c r="O72" s="53" t="n">
        <f aca="false">O42+O63</f>
        <v>41945.6734056546</v>
      </c>
      <c r="P72" s="53" t="n">
        <f aca="false">P42+P63</f>
        <v>42805.2144348659</v>
      </c>
      <c r="Q72" s="53" t="n">
        <f aca="false">Q42+Q63</f>
        <v>43648.6836837</v>
      </c>
      <c r="R72" s="53" t="n">
        <f aca="false">R42+R63</f>
        <v>44484.3161954067</v>
      </c>
      <c r="S72" s="53" t="n">
        <f aca="false">S42+S63</f>
        <v>45318.9262499276</v>
      </c>
      <c r="T72" s="53" t="n">
        <f aca="false">T42+T63</f>
        <v>46158.3124106831</v>
      </c>
      <c r="U72" s="53" t="n">
        <f aca="false">U42+U63</f>
        <v>47007.5503655316</v>
      </c>
      <c r="V72" s="53" t="n">
        <f aca="false">V42+V63</f>
        <v>47871.2073859018</v>
      </c>
      <c r="W72" s="53" t="n">
        <f aca="false">W42+W63</f>
        <v>48753.5011156638</v>
      </c>
      <c r="X72" s="53" t="n">
        <f aca="false">X42+X63</f>
        <v>49658.4184756034</v>
      </c>
      <c r="Y72" s="53" t="n">
        <f aca="false">Y42+Y63</f>
        <v>50589.805856526</v>
      </c>
      <c r="Z72" s="53" t="n">
        <f aca="false">Z42+Z63</f>
        <v>51551.4385973398</v>
      </c>
      <c r="AA72" s="53" t="n">
        <f aca="false">AA42+AA63</f>
        <v>52547.075513482</v>
      </c>
      <c r="AB72" s="53" t="n">
        <f aca="false">AB42+AB63</f>
        <v>53580.5026549758</v>
      </c>
      <c r="AC72" s="53" t="n">
        <f aca="false">AC42+AC63</f>
        <v>54655.5693370167</v>
      </c>
      <c r="AD72" s="53" t="n">
        <f aca="false">AD42+AD63</f>
        <v>55776.2186677311</v>
      </c>
      <c r="AE72" s="53" t="n">
        <f aca="false">AE42+AE63</f>
        <v>56946.5142066982</v>
      </c>
      <c r="AF72" s="53" t="n">
        <f aca="false">AF42+AF63</f>
        <v>58170.6639600585</v>
      </c>
      <c r="AG72" s="53" t="n">
        <f aca="false">AG42+AG63</f>
        <v>59453.0426081334</v>
      </c>
      <c r="AH72" s="53" t="n">
        <f aca="false">AH42+AH63</f>
        <v>60798.2126369114</v>
      </c>
      <c r="AI72" s="53" t="n">
        <f aca="false">AI42+AI63</f>
        <v>62210.944882122</v>
      </c>
      <c r="AJ72" s="53" t="n">
        <f aca="false">AJ42+AJ63</f>
        <v>63696.2388769976</v>
      </c>
      <c r="AK72" s="53" t="n">
        <f aca="false">AK42+AK63</f>
        <v>65259.3433100002</v>
      </c>
      <c r="AL72" s="53" t="n">
        <f aca="false">AL42+AL63</f>
        <v>66905.7768378854</v>
      </c>
      <c r="AM72" s="53" t="n">
        <f aca="false">SUM(C72:AL72)</f>
        <v>1640120.65513626</v>
      </c>
    </row>
    <row r="73" customFormat="false" ht="15" hidden="false" customHeight="false" outlineLevel="0" collapsed="false">
      <c r="A73" s="37" t="s">
        <v>794</v>
      </c>
      <c r="B73" s="9" t="s">
        <v>97</v>
      </c>
      <c r="C73" s="53" t="n">
        <f aca="false">C46+C70</f>
        <v>0</v>
      </c>
      <c r="D73" s="53" t="n">
        <f aca="false">D46+D70</f>
        <v>0</v>
      </c>
      <c r="E73" s="53" t="n">
        <f aca="false">E46+E70</f>
        <v>20574.624</v>
      </c>
      <c r="F73" s="53" t="n">
        <f aca="false">F46+F70</f>
        <v>17255.6381613994</v>
      </c>
      <c r="G73" s="53" t="n">
        <f aca="false">G46+G70</f>
        <v>17405.4868191657</v>
      </c>
      <c r="H73" s="53" t="n">
        <f aca="false">H46+H70</f>
        <v>18076.1241941272</v>
      </c>
      <c r="I73" s="53" t="n">
        <f aca="false">I46+I70</f>
        <v>18724.277812783</v>
      </c>
      <c r="J73" s="53" t="n">
        <f aca="false">J46+J70</f>
        <v>19273.6542633423</v>
      </c>
      <c r="K73" s="53" t="n">
        <f aca="false">K46+K70</f>
        <v>19861.3386578873</v>
      </c>
      <c r="L73" s="53" t="n">
        <f aca="false">L46+L70</f>
        <v>20355.8290242538</v>
      </c>
      <c r="M73" s="53" t="n">
        <f aca="false">M46+M70</f>
        <v>20808.6697294298</v>
      </c>
      <c r="N73" s="53" t="n">
        <f aca="false">N46+N70</f>
        <v>21234.8849475836</v>
      </c>
      <c r="O73" s="53" t="n">
        <f aca="false">O46+O70</f>
        <v>21643.0287512174</v>
      </c>
      <c r="P73" s="53" t="n">
        <f aca="false">P46+P70</f>
        <v>22039.166889349</v>
      </c>
      <c r="Q73" s="53" t="n">
        <f aca="false">Q46+Q70</f>
        <v>22428.0006705805</v>
      </c>
      <c r="R73" s="53" t="n">
        <f aca="false">R46+R70</f>
        <v>22813.2930875021</v>
      </c>
      <c r="S73" s="53" t="n">
        <f aca="false">S46+S70</f>
        <v>23198.1448190663</v>
      </c>
      <c r="T73" s="53" t="n">
        <f aca="false">T46+T70</f>
        <v>23585.1869842725</v>
      </c>
      <c r="U73" s="53" t="n">
        <f aca="false">U46+U70</f>
        <v>23976.7191054914</v>
      </c>
      <c r="V73" s="53" t="n">
        <f aca="false">V46+V70</f>
        <v>24374.8091587127</v>
      </c>
      <c r="W73" s="53" t="n">
        <f aca="false">W46+W70</f>
        <v>24781.3669290032</v>
      </c>
      <c r="X73" s="53" t="n">
        <f aca="false">X46+X70</f>
        <v>25198.1983966541</v>
      </c>
      <c r="Y73" s="53" t="n">
        <f aca="false">Y46+Y70</f>
        <v>25627.0465749195</v>
      </c>
      <c r="Z73" s="53" t="n">
        <f aca="false">Z46+Z70</f>
        <v>26069.6226470974</v>
      </c>
      <c r="AA73" s="53" t="n">
        <f aca="false">AA46+AA70</f>
        <v>26527.6301549354</v>
      </c>
      <c r="AB73" s="53" t="n">
        <f aca="false">AB46+AB70</f>
        <v>27002.784217336</v>
      </c>
      <c r="AC73" s="53" t="n">
        <f aca="false">AC46+AC70</f>
        <v>27496.8272085718</v>
      </c>
      <c r="AD73" s="53" t="n">
        <f aca="false">AD46+AD70</f>
        <v>28011.5419321761</v>
      </c>
      <c r="AE73" s="53" t="n">
        <f aca="false">AE46+AE70</f>
        <v>28548.7630447209</v>
      </c>
      <c r="AF73" s="53" t="n">
        <f aca="false">AF46+AF70</f>
        <v>29110.3872810352</v>
      </c>
      <c r="AG73" s="53" t="n">
        <f aca="false">AG46+AG70</f>
        <v>29698.382886581</v>
      </c>
      <c r="AH73" s="53" t="n">
        <f aca="false">AH46+AH70</f>
        <v>30314.7985577423</v>
      </c>
      <c r="AI73" s="53" t="n">
        <f aca="false">AI46+AI70</f>
        <v>30961.7721152741</v>
      </c>
      <c r="AJ73" s="53" t="n">
        <f aca="false">AJ46+AJ70</f>
        <v>31641.5390819165</v>
      </c>
      <c r="AK73" s="53" t="n">
        <f aca="false">AK46+AK70</f>
        <v>32356.4412963222</v>
      </c>
      <c r="AL73" s="53" t="n">
        <f aca="false">AL46+AL70</f>
        <v>33108.9356677253</v>
      </c>
      <c r="AM73" s="53" t="n">
        <f aca="false">SUM(C73:AL73)</f>
        <v>834084.915068175</v>
      </c>
    </row>
    <row r="74" customFormat="false" ht="15" hidden="false" customHeight="false" outlineLevel="0" collapsed="false">
      <c r="A74" s="37" t="s">
        <v>795</v>
      </c>
      <c r="B74" s="9" t="s">
        <v>61</v>
      </c>
      <c r="C74" s="52" t="n">
        <f aca="false">IFERROR(C73/C72,0)</f>
        <v>0</v>
      </c>
      <c r="D74" s="52" t="n">
        <f aca="false">IFERROR(D73/D72,0)</f>
        <v>0</v>
      </c>
      <c r="E74" s="52" t="n">
        <f aca="false">IFERROR(E73/E72,0)</f>
        <v>0.525291666666667</v>
      </c>
      <c r="F74" s="52" t="n">
        <f aca="false">IFERROR(F73/F72,0)</f>
        <v>0.525291666666667</v>
      </c>
      <c r="G74" s="52" t="n">
        <f aca="false">IFERROR(G73/G72,0)</f>
        <v>0.525291666666667</v>
      </c>
      <c r="H74" s="52" t="n">
        <f aca="false">IFERROR(H73/H72,0)</f>
        <v>0.525291666666667</v>
      </c>
      <c r="I74" s="52" t="n">
        <f aca="false">IFERROR(I73/I72,0)</f>
        <v>0.525291666666667</v>
      </c>
      <c r="J74" s="52" t="n">
        <f aca="false">IFERROR(J73/J72,0)</f>
        <v>0.525291666666667</v>
      </c>
      <c r="K74" s="52" t="n">
        <f aca="false">IFERROR(K73/K72,0)</f>
        <v>0.52156372640841</v>
      </c>
      <c r="L74" s="52" t="n">
        <f aca="false">IFERROR(L73/L72,0)</f>
        <v>0.519921181605753</v>
      </c>
      <c r="M74" s="52" t="n">
        <f aca="false">IFERROR(M73/M72,0)</f>
        <v>0.518472202119947</v>
      </c>
      <c r="N74" s="52" t="n">
        <f aca="false">IFERROR(N73/N72,0)</f>
        <v>0.517169319510613</v>
      </c>
      <c r="O74" s="52" t="n">
        <f aca="false">IFERROR(O73/O72,0)</f>
        <v>0.515977620430806</v>
      </c>
      <c r="P74" s="52" t="n">
        <f aca="false">IFERROR(P73/P72,0)</f>
        <v>0.514871077748825</v>
      </c>
      <c r="Q74" s="52" t="n">
        <f aca="false">IFERROR(Q73/Q72,0)</f>
        <v>0.513829943489361</v>
      </c>
      <c r="R74" s="52" t="n">
        <f aca="false">IFERROR(R73/R72,0)</f>
        <v>0.512839019201507</v>
      </c>
      <c r="S74" s="52" t="n">
        <f aca="false">IFERROR(S73/S72,0)</f>
        <v>0.5118864619857</v>
      </c>
      <c r="T74" s="52" t="n">
        <f aca="false">IFERROR(T73/T72,0)</f>
        <v>0.510962939338611</v>
      </c>
      <c r="U74" s="52" t="n">
        <f aca="false">IFERROR(U73/U72,0)</f>
        <v>0.510061020390299</v>
      </c>
      <c r="V74" s="52" t="n">
        <f aca="false">IFERROR(V73/V72,0)</f>
        <v>0.509174731320671</v>
      </c>
      <c r="W74" s="52" t="n">
        <f aca="false">IFERROR(W73/W72,0)</f>
        <v>0.508299226966518</v>
      </c>
      <c r="X74" s="52" t="n">
        <f aca="false">IFERROR(X73/X72,0)</f>
        <v>0.507430545921106</v>
      </c>
      <c r="Y74" s="52" t="n">
        <f aca="false">IFERROR(Y73/Y72,0)</f>
        <v>0.50656542639437</v>
      </c>
      <c r="Z74" s="52" t="n">
        <f aca="false">IFERROR(Z73/Z72,0)</f>
        <v>0.505701166765162</v>
      </c>
      <c r="AA74" s="52" t="n">
        <f aca="false">IFERROR(AA73/AA72,0)</f>
        <v>0.504835519307431</v>
      </c>
      <c r="AB74" s="52" t="n">
        <f aca="false">IFERROR(AB73/AB72,0)</f>
        <v>0.503966608734835</v>
      </c>
      <c r="AC74" s="52" t="n">
        <f aca="false">IFERROR(AC73/AC72,0)</f>
        <v>0.503092869438814</v>
      </c>
      <c r="AD74" s="52" t="n">
        <f aca="false">IFERROR(AD73/AD72,0)</f>
        <v>0.502212996887541</v>
      </c>
      <c r="AE74" s="52" t="n">
        <f aca="false">IFERROR(AE73/AE72,0)</f>
        <v>0.50132590980192</v>
      </c>
      <c r="AF74" s="52" t="n">
        <f aca="false">IFERROR(AF73/AF72,0)</f>
        <v>0.500430720560851</v>
      </c>
      <c r="AG74" s="52" t="n">
        <f aca="false">IFERROR(AG73/AG72,0)</f>
        <v>0.499526711901506</v>
      </c>
      <c r="AH74" s="52" t="n">
        <f aca="false">IFERROR(AH73/AH72,0)</f>
        <v>0.498613318433934</v>
      </c>
      <c r="AI74" s="52" t="n">
        <f aca="false">IFERROR(AI73/AI72,0)</f>
        <v>0.497690111827442</v>
      </c>
      <c r="AJ74" s="52" t="n">
        <f aca="false">IFERROR(AJ73/AJ72,0)</f>
        <v>0.496756788780241</v>
      </c>
      <c r="AK74" s="52" t="n">
        <f aca="false">IFERROR(AK73/AK72,0)</f>
        <v>0.495813161076722</v>
      </c>
      <c r="AL74" s="52" t="n">
        <f aca="false">IFERROR(AL73/AL72,0)</f>
        <v>0.494859147184693</v>
      </c>
      <c r="AM74" s="52" t="n">
        <f aca="false">AVERAGE(N74:AL74)</f>
        <v>0.505755694535979</v>
      </c>
    </row>
    <row r="75" customFormat="false" ht="15" hidden="false" customHeight="false" outlineLevel="0" collapsed="false">
      <c r="A75" s="10" t="s">
        <v>796</v>
      </c>
      <c r="B75" s="9" t="s">
        <v>97</v>
      </c>
      <c r="C75" s="70" t="n">
        <f aca="false">-Assumptions!$D$82</f>
        <v>-600</v>
      </c>
      <c r="D75" s="70" t="n">
        <f aca="false">-Assumptions!$D$82</f>
        <v>-600</v>
      </c>
      <c r="E75" s="70" t="n">
        <f aca="false">-Assumptions!$D$82</f>
        <v>-600</v>
      </c>
      <c r="F75" s="70" t="n">
        <f aca="false">-Assumptions!$D$82</f>
        <v>-600</v>
      </c>
      <c r="G75" s="70" t="n">
        <f aca="false">-Assumptions!$D$82</f>
        <v>-600</v>
      </c>
      <c r="H75" s="70" t="n">
        <f aca="false">-Assumptions!$D$82</f>
        <v>-600</v>
      </c>
      <c r="I75" s="70" t="n">
        <f aca="false">-Assumptions!$D$82</f>
        <v>-600</v>
      </c>
      <c r="J75" s="70" t="n">
        <f aca="false">-Assumptions!$D$82</f>
        <v>-600</v>
      </c>
      <c r="K75" s="70" t="n">
        <f aca="false">-Assumptions!$D$82</f>
        <v>-600</v>
      </c>
      <c r="L75" s="70" t="n">
        <f aca="false">-Assumptions!$D$82</f>
        <v>-600</v>
      </c>
      <c r="M75" s="70" t="n">
        <f aca="false">-Assumptions!$D$82</f>
        <v>-600</v>
      </c>
      <c r="N75" s="70" t="n">
        <f aca="false">-Assumptions!$D$82</f>
        <v>-600</v>
      </c>
      <c r="O75" s="70" t="n">
        <f aca="false">-Assumptions!$D$82</f>
        <v>-600</v>
      </c>
      <c r="P75" s="70" t="n">
        <f aca="false">-Assumptions!$D$82</f>
        <v>-600</v>
      </c>
      <c r="Q75" s="70" t="n">
        <f aca="false">-Assumptions!$D$82</f>
        <v>-600</v>
      </c>
      <c r="R75" s="70" t="n">
        <f aca="false">-Assumptions!$D$82</f>
        <v>-600</v>
      </c>
      <c r="S75" s="70" t="n">
        <f aca="false">-Assumptions!$D$82</f>
        <v>-600</v>
      </c>
      <c r="T75" s="70" t="n">
        <f aca="false">-Assumptions!$D$82</f>
        <v>-600</v>
      </c>
      <c r="U75" s="70" t="n">
        <f aca="false">-Assumptions!$D$82</f>
        <v>-600</v>
      </c>
      <c r="V75" s="70" t="n">
        <f aca="false">-Assumptions!$D$82</f>
        <v>-600</v>
      </c>
      <c r="W75" s="70" t="n">
        <f aca="false">-Assumptions!$D$82</f>
        <v>-600</v>
      </c>
      <c r="X75" s="70" t="n">
        <f aca="false">-Assumptions!$D$82</f>
        <v>-600</v>
      </c>
      <c r="Y75" s="70" t="n">
        <f aca="false">-Assumptions!$D$82</f>
        <v>-600</v>
      </c>
      <c r="Z75" s="70" t="n">
        <f aca="false">-Assumptions!$D$82</f>
        <v>-600</v>
      </c>
      <c r="AA75" s="70" t="n">
        <f aca="false">-Assumptions!$D$82</f>
        <v>-600</v>
      </c>
      <c r="AB75" s="70" t="n">
        <f aca="false">-Assumptions!$D$82</f>
        <v>-600</v>
      </c>
      <c r="AC75" s="70" t="n">
        <f aca="false">-Assumptions!$D$82</f>
        <v>-600</v>
      </c>
      <c r="AD75" s="70" t="n">
        <f aca="false">-Assumptions!$D$82</f>
        <v>-600</v>
      </c>
      <c r="AE75" s="70" t="n">
        <f aca="false">-Assumptions!$D$82</f>
        <v>-600</v>
      </c>
      <c r="AF75" s="70" t="n">
        <f aca="false">-Assumptions!$D$82</f>
        <v>-600</v>
      </c>
      <c r="AG75" s="70" t="n">
        <f aca="false">-Assumptions!$D$82</f>
        <v>-600</v>
      </c>
      <c r="AH75" s="70" t="n">
        <f aca="false">-Assumptions!$D$82</f>
        <v>-600</v>
      </c>
      <c r="AI75" s="70" t="n">
        <f aca="false">-Assumptions!$D$82</f>
        <v>-600</v>
      </c>
      <c r="AJ75" s="70" t="n">
        <f aca="false">-Assumptions!$D$82</f>
        <v>-600</v>
      </c>
      <c r="AK75" s="70" t="n">
        <f aca="false">-Assumptions!$D$82</f>
        <v>-600</v>
      </c>
      <c r="AL75" s="70" t="n">
        <f aca="false">-Assumptions!$D$82</f>
        <v>-600</v>
      </c>
      <c r="AM75" s="70" t="n">
        <f aca="false">SUM(C75:AL75)</f>
        <v>-21600</v>
      </c>
    </row>
    <row r="76" customFormat="false" ht="15" hidden="false" customHeight="false" outlineLevel="0" collapsed="false">
      <c r="A76" s="10" t="s">
        <v>797</v>
      </c>
      <c r="B76" s="9" t="s">
        <v>97</v>
      </c>
      <c r="C76" s="70" t="n">
        <f aca="false">-Assumptions!$D$83</f>
        <v>-320</v>
      </c>
      <c r="D76" s="70" t="n">
        <f aca="false">-Assumptions!$D$83</f>
        <v>-320</v>
      </c>
      <c r="E76" s="70" t="n">
        <f aca="false">-Assumptions!$D$83</f>
        <v>-320</v>
      </c>
      <c r="F76" s="70" t="n">
        <f aca="false">-Assumptions!$D$83</f>
        <v>-320</v>
      </c>
      <c r="G76" s="70" t="n">
        <f aca="false">-Assumptions!$D$83</f>
        <v>-320</v>
      </c>
      <c r="H76" s="70" t="n">
        <f aca="false">-Assumptions!$D$83</f>
        <v>-320</v>
      </c>
      <c r="I76" s="70" t="n">
        <f aca="false">-Assumptions!$D$83</f>
        <v>-320</v>
      </c>
      <c r="J76" s="70" t="n">
        <f aca="false">-Assumptions!$D$83</f>
        <v>-320</v>
      </c>
      <c r="K76" s="70" t="n">
        <f aca="false">-Assumptions!$D$83</f>
        <v>-320</v>
      </c>
      <c r="L76" s="70" t="n">
        <f aca="false">-Assumptions!$D$83</f>
        <v>-320</v>
      </c>
      <c r="M76" s="70" t="n">
        <f aca="false">-Assumptions!$D$83</f>
        <v>-320</v>
      </c>
      <c r="N76" s="70" t="n">
        <f aca="false">-Assumptions!$D$83</f>
        <v>-320</v>
      </c>
      <c r="O76" s="70" t="n">
        <f aca="false">-Assumptions!$D$83</f>
        <v>-320</v>
      </c>
      <c r="P76" s="70" t="n">
        <f aca="false">-Assumptions!$D$83</f>
        <v>-320</v>
      </c>
      <c r="Q76" s="70" t="n">
        <f aca="false">-Assumptions!$D$83</f>
        <v>-320</v>
      </c>
      <c r="R76" s="70" t="n">
        <f aca="false">-Assumptions!$D$83</f>
        <v>-320</v>
      </c>
      <c r="S76" s="70" t="n">
        <f aca="false">-Assumptions!$D$83</f>
        <v>-320</v>
      </c>
      <c r="T76" s="70" t="n">
        <f aca="false">-Assumptions!$D$83</f>
        <v>-320</v>
      </c>
      <c r="U76" s="70" t="n">
        <f aca="false">-Assumptions!$D$83</f>
        <v>-320</v>
      </c>
      <c r="V76" s="70" t="n">
        <f aca="false">-Assumptions!$D$83</f>
        <v>-320</v>
      </c>
      <c r="W76" s="70" t="n">
        <f aca="false">-Assumptions!$D$83</f>
        <v>-320</v>
      </c>
      <c r="X76" s="70" t="n">
        <f aca="false">-Assumptions!$D$83</f>
        <v>-320</v>
      </c>
      <c r="Y76" s="70" t="n">
        <f aca="false">-Assumptions!$D$83</f>
        <v>-320</v>
      </c>
      <c r="Z76" s="70" t="n">
        <f aca="false">-Assumptions!$D$83</f>
        <v>-320</v>
      </c>
      <c r="AA76" s="70" t="n">
        <f aca="false">-Assumptions!$D$83</f>
        <v>-320</v>
      </c>
      <c r="AB76" s="70" t="n">
        <f aca="false">-Assumptions!$D$83</f>
        <v>-320</v>
      </c>
      <c r="AC76" s="70" t="n">
        <f aca="false">-Assumptions!$D$83</f>
        <v>-320</v>
      </c>
      <c r="AD76" s="70" t="n">
        <f aca="false">-Assumptions!$D$83</f>
        <v>-320</v>
      </c>
      <c r="AE76" s="70" t="n">
        <f aca="false">-Assumptions!$D$83</f>
        <v>-320</v>
      </c>
      <c r="AF76" s="70" t="n">
        <f aca="false">-Assumptions!$D$83</f>
        <v>-320</v>
      </c>
      <c r="AG76" s="70" t="n">
        <f aca="false">-Assumptions!$D$83</f>
        <v>-320</v>
      </c>
      <c r="AH76" s="70" t="n">
        <f aca="false">-Assumptions!$D$83</f>
        <v>-320</v>
      </c>
      <c r="AI76" s="70" t="n">
        <f aca="false">-Assumptions!$D$83</f>
        <v>-320</v>
      </c>
      <c r="AJ76" s="70" t="n">
        <f aca="false">-Assumptions!$D$83</f>
        <v>-320</v>
      </c>
      <c r="AK76" s="70" t="n">
        <f aca="false">-Assumptions!$D$83</f>
        <v>-320</v>
      </c>
      <c r="AL76" s="70" t="n">
        <f aca="false">-Assumptions!$D$83</f>
        <v>-320</v>
      </c>
      <c r="AM76" s="70" t="n">
        <f aca="false">SUM(C76:AL76)</f>
        <v>-11520</v>
      </c>
    </row>
    <row r="77" customFormat="false" ht="15" hidden="false" customHeight="false" outlineLevel="0" collapsed="false">
      <c r="A77" s="10" t="s">
        <v>798</v>
      </c>
      <c r="B77" s="9" t="s">
        <v>97</v>
      </c>
      <c r="C77" s="70" t="n">
        <f aca="false">-MAX(IF(C8=0,Assumptions!$D$84,IF(C$5&lt;=12,Assumptions!$D$85,IF(C$5&lt;=24,Assumptions!$D$86,Assumptions!$D$87))))</f>
        <v>-4000</v>
      </c>
      <c r="D77" s="70" t="n">
        <f aca="false">-MAX(IF(D8=0,Assumptions!$D$84,IF(D$5&lt;=12,Assumptions!$D$85,IF(D$5&lt;=24,Assumptions!$D$86,Assumptions!$D$87))),C72*Assumptions!$D$88)</f>
        <v>-4000</v>
      </c>
      <c r="E77" s="70" t="n">
        <f aca="false">-MAX(IF(E8=0,Assumptions!$D$84,IF(E$5&lt;=12,Assumptions!$D$85,IF(E$5&lt;=24,Assumptions!$D$86,Assumptions!$D$87))),D72*Assumptions!$D$88)</f>
        <v>-10000</v>
      </c>
      <c r="F77" s="70" t="n">
        <f aca="false">-MAX(IF(F8=0,Assumptions!$D$84,IF(F$5&lt;=12,Assumptions!$D$85,IF(F$5&lt;=24,Assumptions!$D$86,Assumptions!$D$87))),E72*Assumptions!$D$88)</f>
        <v>-10000</v>
      </c>
      <c r="G77" s="70" t="n">
        <f aca="false">-MAX(IF(G8=0,Assumptions!$D$84,IF(G$5&lt;=12,Assumptions!$D$85,IF(G$5&lt;=24,Assumptions!$D$86,Assumptions!$D$87))),F72*Assumptions!$D$88)</f>
        <v>-10000</v>
      </c>
      <c r="H77" s="70" t="n">
        <f aca="false">-MAX(IF(H8=0,Assumptions!$D$84,IF(H$5&lt;=12,Assumptions!$D$85,IF(H$5&lt;=24,Assumptions!$D$86,Assumptions!$D$87))),G72*Assumptions!$D$88)</f>
        <v>-10000</v>
      </c>
      <c r="I77" s="70" t="n">
        <f aca="false">-MAX(IF(I8=0,Assumptions!$D$84,IF(I$5&lt;=12,Assumptions!$D$85,IF(I$5&lt;=24,Assumptions!$D$86,Assumptions!$D$87))),H72*Assumptions!$D$88)</f>
        <v>-10000</v>
      </c>
      <c r="J77" s="70" t="n">
        <f aca="false">-MAX(IF(J8=0,Assumptions!$D$84,IF(J$5&lt;=12,Assumptions!$D$85,IF(J$5&lt;=24,Assumptions!$D$86,Assumptions!$D$87))),I72*Assumptions!$D$88)</f>
        <v>-10000</v>
      </c>
      <c r="K77" s="70" t="n">
        <f aca="false">-MAX(IF(K8=0,Assumptions!$D$84,IF(K$5&lt;=12,Assumptions!$D$85,IF(K$5&lt;=24,Assumptions!$D$86,Assumptions!$D$87))),J72*Assumptions!$D$88)</f>
        <v>-10000</v>
      </c>
      <c r="L77" s="70" t="n">
        <f aca="false">-MAX(IF(L8=0,Assumptions!$D$84,IF(L$5&lt;=12,Assumptions!$D$85,IF(L$5&lt;=24,Assumptions!$D$86,Assumptions!$D$87))),K72*Assumptions!$D$88)</f>
        <v>-10000</v>
      </c>
      <c r="M77" s="70" t="n">
        <f aca="false">-MAX(IF(M8=0,Assumptions!$D$84,IF(M$5&lt;=12,Assumptions!$D$85,IF(M$5&lt;=24,Assumptions!$D$86,Assumptions!$D$87))),L72*Assumptions!$D$88)</f>
        <v>-10000</v>
      </c>
      <c r="N77" s="70" t="n">
        <f aca="false">-MAX(IF(N8=0,Assumptions!$D$84,IF(N$5&lt;=12,Assumptions!$D$85,IF(N$5&lt;=24,Assumptions!$D$86,Assumptions!$D$87))),M72*Assumptions!$D$88)</f>
        <v>-10000</v>
      </c>
      <c r="O77" s="70" t="n">
        <f aca="false">-MAX(IF(O8=0,Assumptions!$D$84,IF(O$5&lt;=12,Assumptions!$D$85,IF(O$5&lt;=24,Assumptions!$D$86,Assumptions!$D$87))),N72*Assumptions!$D$88)</f>
        <v>-18000</v>
      </c>
      <c r="P77" s="70" t="n">
        <f aca="false">-MAX(IF(P8=0,Assumptions!$D$84,IF(P$5&lt;=12,Assumptions!$D$85,IF(P$5&lt;=24,Assumptions!$D$86,Assumptions!$D$87))),O72*Assumptions!$D$88)</f>
        <v>-18000</v>
      </c>
      <c r="Q77" s="70" t="n">
        <f aca="false">-MAX(IF(Q8=0,Assumptions!$D$84,IF(Q$5&lt;=12,Assumptions!$D$85,IF(Q$5&lt;=24,Assumptions!$D$86,Assumptions!$D$87))),P72*Assumptions!$D$88)</f>
        <v>-18000</v>
      </c>
      <c r="R77" s="70" t="n">
        <f aca="false">-MAX(IF(R8=0,Assumptions!$D$84,IF(R$5&lt;=12,Assumptions!$D$85,IF(R$5&lt;=24,Assumptions!$D$86,Assumptions!$D$87))),Q72*Assumptions!$D$88)</f>
        <v>-18000</v>
      </c>
      <c r="S77" s="70" t="n">
        <f aca="false">-MAX(IF(S8=0,Assumptions!$D$84,IF(S$5&lt;=12,Assumptions!$D$85,IF(S$5&lt;=24,Assumptions!$D$86,Assumptions!$D$87))),R72*Assumptions!$D$88)</f>
        <v>-18000</v>
      </c>
      <c r="T77" s="70" t="n">
        <f aca="false">-MAX(IF(T8=0,Assumptions!$D$84,IF(T$5&lt;=12,Assumptions!$D$85,IF(T$5&lt;=24,Assumptions!$D$86,Assumptions!$D$87))),S72*Assumptions!$D$88)</f>
        <v>-18000</v>
      </c>
      <c r="U77" s="70" t="n">
        <f aca="false">-MAX(IF(U8=0,Assumptions!$D$84,IF(U$5&lt;=12,Assumptions!$D$85,IF(U$5&lt;=24,Assumptions!$D$86,Assumptions!$D$87))),T72*Assumptions!$D$88)</f>
        <v>-18000</v>
      </c>
      <c r="V77" s="70" t="n">
        <f aca="false">-MAX(IF(V8=0,Assumptions!$D$84,IF(V$5&lt;=12,Assumptions!$D$85,IF(V$5&lt;=24,Assumptions!$D$86,Assumptions!$D$87))),U72*Assumptions!$D$88)</f>
        <v>-18000</v>
      </c>
      <c r="W77" s="70" t="n">
        <f aca="false">-MAX(IF(W8=0,Assumptions!$D$84,IF(W$5&lt;=12,Assumptions!$D$85,IF(W$5&lt;=24,Assumptions!$D$86,Assumptions!$D$87))),V72*Assumptions!$D$88)</f>
        <v>-18000</v>
      </c>
      <c r="X77" s="70" t="n">
        <f aca="false">-MAX(IF(X8=0,Assumptions!$D$84,IF(X$5&lt;=12,Assumptions!$D$85,IF(X$5&lt;=24,Assumptions!$D$86,Assumptions!$D$87))),W72*Assumptions!$D$88)</f>
        <v>-18000</v>
      </c>
      <c r="Y77" s="70" t="n">
        <f aca="false">-MAX(IF(Y8=0,Assumptions!$D$84,IF(Y$5&lt;=12,Assumptions!$D$85,IF(Y$5&lt;=24,Assumptions!$D$86,Assumptions!$D$87))),X72*Assumptions!$D$88)</f>
        <v>-18000</v>
      </c>
      <c r="Z77" s="70" t="n">
        <f aca="false">-MAX(IF(Z8=0,Assumptions!$D$84,IF(Z$5&lt;=12,Assumptions!$D$85,IF(Z$5&lt;=24,Assumptions!$D$86,Assumptions!$D$87))),Y72*Assumptions!$D$88)</f>
        <v>-18000</v>
      </c>
      <c r="AA77" s="70" t="n">
        <f aca="false">-MAX(IF(AA8=0,Assumptions!$D$84,IF(AA$5&lt;=12,Assumptions!$D$85,IF(AA$5&lt;=24,Assumptions!$D$86,Assumptions!$D$87))),Z72*Assumptions!$D$88)</f>
        <v>-26000</v>
      </c>
      <c r="AB77" s="70" t="n">
        <f aca="false">-MAX(IF(AB8=0,Assumptions!$D$84,IF(AB$5&lt;=12,Assumptions!$D$85,IF(AB$5&lt;=24,Assumptions!$D$86,Assumptions!$D$87))),AA72*Assumptions!$D$88)</f>
        <v>-26000</v>
      </c>
      <c r="AC77" s="70" t="n">
        <f aca="false">-MAX(IF(AC8=0,Assumptions!$D$84,IF(AC$5&lt;=12,Assumptions!$D$85,IF(AC$5&lt;=24,Assumptions!$D$86,Assumptions!$D$87))),AB72*Assumptions!$D$88)</f>
        <v>-26000</v>
      </c>
      <c r="AD77" s="70" t="n">
        <f aca="false">-MAX(IF(AD8=0,Assumptions!$D$84,IF(AD$5&lt;=12,Assumptions!$D$85,IF(AD$5&lt;=24,Assumptions!$D$86,Assumptions!$D$87))),AC72*Assumptions!$D$88)</f>
        <v>-26000</v>
      </c>
      <c r="AE77" s="70" t="n">
        <f aca="false">-MAX(IF(AE8=0,Assumptions!$D$84,IF(AE$5&lt;=12,Assumptions!$D$85,IF(AE$5&lt;=24,Assumptions!$D$86,Assumptions!$D$87))),AD72*Assumptions!$D$88)</f>
        <v>-26000</v>
      </c>
      <c r="AF77" s="70" t="n">
        <f aca="false">-MAX(IF(AF8=0,Assumptions!$D$84,IF(AF$5&lt;=12,Assumptions!$D$85,IF(AF$5&lt;=24,Assumptions!$D$86,Assumptions!$D$87))),AE72*Assumptions!$D$88)</f>
        <v>-26000</v>
      </c>
      <c r="AG77" s="70" t="n">
        <f aca="false">-MAX(IF(AG8=0,Assumptions!$D$84,IF(AG$5&lt;=12,Assumptions!$D$85,IF(AG$5&lt;=24,Assumptions!$D$86,Assumptions!$D$87))),AF72*Assumptions!$D$88)</f>
        <v>-26000</v>
      </c>
      <c r="AH77" s="70" t="n">
        <f aca="false">-MAX(IF(AH8=0,Assumptions!$D$84,IF(AH$5&lt;=12,Assumptions!$D$85,IF(AH$5&lt;=24,Assumptions!$D$86,Assumptions!$D$87))),AG72*Assumptions!$D$88)</f>
        <v>-26000</v>
      </c>
      <c r="AI77" s="70" t="n">
        <f aca="false">-MAX(IF(AI8=0,Assumptions!$D$84,IF(AI$5&lt;=12,Assumptions!$D$85,IF(AI$5&lt;=24,Assumptions!$D$86,Assumptions!$D$87))),AH72*Assumptions!$D$88)</f>
        <v>-26000</v>
      </c>
      <c r="AJ77" s="70" t="n">
        <f aca="false">-MAX(IF(AJ8=0,Assumptions!$D$84,IF(AJ$5&lt;=12,Assumptions!$D$85,IF(AJ$5&lt;=24,Assumptions!$D$86,Assumptions!$D$87))),AI72*Assumptions!$D$88)</f>
        <v>-26000</v>
      </c>
      <c r="AK77" s="70" t="n">
        <f aca="false">-MAX(IF(AK8=0,Assumptions!$D$84,IF(AK$5&lt;=12,Assumptions!$D$85,IF(AK$5&lt;=24,Assumptions!$D$86,Assumptions!$D$87))),AJ72*Assumptions!$D$88)</f>
        <v>-26000</v>
      </c>
      <c r="AL77" s="70" t="n">
        <f aca="false">-MAX(IF(AL8=0,Assumptions!$D$84,IF(AL$5&lt;=12,Assumptions!$D$85,IF(AL$5&lt;=24,Assumptions!$D$86,Assumptions!$D$87))),AK72*Assumptions!$D$88)</f>
        <v>-26000</v>
      </c>
      <c r="AM77" s="70" t="n">
        <f aca="false">SUM(C77:AL77)</f>
        <v>-636000</v>
      </c>
    </row>
    <row r="78" customFormat="false" ht="15" hidden="false" customHeight="false" outlineLevel="0" collapsed="false">
      <c r="A78" s="10" t="s">
        <v>799</v>
      </c>
      <c r="B78" s="9" t="s">
        <v>97</v>
      </c>
      <c r="C78" s="70" t="n">
        <f aca="false">-IF(C$5&gt;=Assumptions!$D$7-2,Assumptions!$D$91,0)</f>
        <v>-0</v>
      </c>
      <c r="D78" s="70" t="n">
        <f aca="false">-IF(D$5&gt;=Assumptions!$D$7-2,Assumptions!$D$91,0)</f>
        <v>-0</v>
      </c>
      <c r="E78" s="70" t="n">
        <f aca="false">-IF(E$5&gt;=Assumptions!$D$7-2,Assumptions!$D$91,0)</f>
        <v>-0</v>
      </c>
      <c r="F78" s="70" t="n">
        <f aca="false">-IF(F$5&gt;=Assumptions!$D$7-2,Assumptions!$D$91,0)</f>
        <v>-0</v>
      </c>
      <c r="G78" s="70" t="n">
        <f aca="false">-IF(G$5&gt;=Assumptions!$D$7-2,Assumptions!$D$91,0)</f>
        <v>-0</v>
      </c>
      <c r="H78" s="70" t="n">
        <f aca="false">-IF(H$5&gt;=Assumptions!$D$7-2,Assumptions!$D$91,0)</f>
        <v>-0</v>
      </c>
      <c r="I78" s="70" t="n">
        <f aca="false">-IF(I$5&gt;=Assumptions!$D$7-2,Assumptions!$D$91,0)</f>
        <v>-5000</v>
      </c>
      <c r="J78" s="70" t="n">
        <f aca="false">-IF(J$5&gt;=Assumptions!$D$7-2,Assumptions!$D$91,0)</f>
        <v>-5000</v>
      </c>
      <c r="K78" s="70" t="n">
        <f aca="false">-IF(K$5&gt;=Assumptions!$D$7-2,Assumptions!$D$91,0)</f>
        <v>-5000</v>
      </c>
      <c r="L78" s="70" t="n">
        <f aca="false">-IF(L$5&gt;=Assumptions!$D$7-2,Assumptions!$D$91,0)</f>
        <v>-5000</v>
      </c>
      <c r="M78" s="70" t="n">
        <f aca="false">-IF(M$5&gt;=Assumptions!$D$7-2,Assumptions!$D$91,0)</f>
        <v>-5000</v>
      </c>
      <c r="N78" s="70" t="n">
        <f aca="false">-IF(N$5&gt;=Assumptions!$D$7-2,Assumptions!$D$91,0)</f>
        <v>-5000</v>
      </c>
      <c r="O78" s="70" t="n">
        <f aca="false">-IF(O$5&gt;=Assumptions!$D$7-2,Assumptions!$D$91,0)</f>
        <v>-5000</v>
      </c>
      <c r="P78" s="70" t="n">
        <f aca="false">-IF(P$5&gt;=Assumptions!$D$7-2,Assumptions!$D$91,0)</f>
        <v>-5000</v>
      </c>
      <c r="Q78" s="70" t="n">
        <f aca="false">-IF(Q$5&gt;=Assumptions!$D$7-2,Assumptions!$D$91,0)</f>
        <v>-5000</v>
      </c>
      <c r="R78" s="70" t="n">
        <f aca="false">-IF(R$5&gt;=Assumptions!$D$7-2,Assumptions!$D$91,0)</f>
        <v>-5000</v>
      </c>
      <c r="S78" s="70" t="n">
        <f aca="false">-IF(S$5&gt;=Assumptions!$D$7-2,Assumptions!$D$91,0)</f>
        <v>-5000</v>
      </c>
      <c r="T78" s="70" t="n">
        <f aca="false">-IF(T$5&gt;=Assumptions!$D$7-2,Assumptions!$D$91,0)</f>
        <v>-5000</v>
      </c>
      <c r="U78" s="70" t="n">
        <f aca="false">-IF(U$5&gt;=Assumptions!$D$7-2,Assumptions!$D$91,0)</f>
        <v>-5000</v>
      </c>
      <c r="V78" s="70" t="n">
        <f aca="false">-IF(V$5&gt;=Assumptions!$D$7-2,Assumptions!$D$91,0)</f>
        <v>-5000</v>
      </c>
      <c r="W78" s="70" t="n">
        <f aca="false">-IF(W$5&gt;=Assumptions!$D$7-2,Assumptions!$D$91,0)</f>
        <v>-5000</v>
      </c>
      <c r="X78" s="70" t="n">
        <f aca="false">-IF(X$5&gt;=Assumptions!$D$7-2,Assumptions!$D$91,0)</f>
        <v>-5000</v>
      </c>
      <c r="Y78" s="70" t="n">
        <f aca="false">-IF(Y$5&gt;=Assumptions!$D$7-2,Assumptions!$D$91,0)</f>
        <v>-5000</v>
      </c>
      <c r="Z78" s="70" t="n">
        <f aca="false">-IF(Z$5&gt;=Assumptions!$D$7-2,Assumptions!$D$91,0)</f>
        <v>-5000</v>
      </c>
      <c r="AA78" s="70" t="n">
        <f aca="false">-IF(AA$5&gt;=Assumptions!$D$7-2,Assumptions!$D$91,0)</f>
        <v>-5000</v>
      </c>
      <c r="AB78" s="70" t="n">
        <f aca="false">-IF(AB$5&gt;=Assumptions!$D$7-2,Assumptions!$D$91,0)</f>
        <v>-5000</v>
      </c>
      <c r="AC78" s="70" t="n">
        <f aca="false">-IF(AC$5&gt;=Assumptions!$D$7-2,Assumptions!$D$91,0)</f>
        <v>-5000</v>
      </c>
      <c r="AD78" s="70" t="n">
        <f aca="false">-IF(AD$5&gt;=Assumptions!$D$7-2,Assumptions!$D$91,0)</f>
        <v>-5000</v>
      </c>
      <c r="AE78" s="70" t="n">
        <f aca="false">-IF(AE$5&gt;=Assumptions!$D$7-2,Assumptions!$D$91,0)</f>
        <v>-5000</v>
      </c>
      <c r="AF78" s="70" t="n">
        <f aca="false">-IF(AF$5&gt;=Assumptions!$D$7-2,Assumptions!$D$91,0)</f>
        <v>-5000</v>
      </c>
      <c r="AG78" s="70" t="n">
        <f aca="false">-IF(AG$5&gt;=Assumptions!$D$7-2,Assumptions!$D$91,0)</f>
        <v>-5000</v>
      </c>
      <c r="AH78" s="70" t="n">
        <f aca="false">-IF(AH$5&gt;=Assumptions!$D$7-2,Assumptions!$D$91,0)</f>
        <v>-5000</v>
      </c>
      <c r="AI78" s="70" t="n">
        <f aca="false">-IF(AI$5&gt;=Assumptions!$D$7-2,Assumptions!$D$91,0)</f>
        <v>-5000</v>
      </c>
      <c r="AJ78" s="70" t="n">
        <f aca="false">-IF(AJ$5&gt;=Assumptions!$D$7-2,Assumptions!$D$91,0)</f>
        <v>-5000</v>
      </c>
      <c r="AK78" s="70" t="n">
        <f aca="false">-IF(AK$5&gt;=Assumptions!$D$7-2,Assumptions!$D$91,0)</f>
        <v>-5000</v>
      </c>
      <c r="AL78" s="70" t="n">
        <f aca="false">-IF(AL$5&gt;=Assumptions!$D$7-2,Assumptions!$D$91,0)</f>
        <v>-5000</v>
      </c>
      <c r="AM78" s="70" t="n">
        <f aca="false">SUM(C78:AL78)</f>
        <v>-150000</v>
      </c>
    </row>
    <row r="79" customFormat="false" ht="15" hidden="false" customHeight="false" outlineLevel="0" collapsed="false">
      <c r="A79" s="10" t="s">
        <v>800</v>
      </c>
      <c r="B79" s="9" t="s">
        <v>97</v>
      </c>
      <c r="C79" s="70" t="n">
        <f aca="false">-Assumptions!$D$92</f>
        <v>-900</v>
      </c>
      <c r="D79" s="70" t="n">
        <f aca="false">-MAX(Assumptions!$D$92,C72*Assumptions!$D$90)</f>
        <v>-900</v>
      </c>
      <c r="E79" s="70" t="n">
        <f aca="false">-MAX(Assumptions!$D$92,D72*Assumptions!$D$90)</f>
        <v>-900</v>
      </c>
      <c r="F79" s="70" t="n">
        <f aca="false">-MAX(Assumptions!$D$92,E72*Assumptions!$D$90)</f>
        <v>-900</v>
      </c>
      <c r="G79" s="70" t="n">
        <f aca="false">-MAX(Assumptions!$D$92,F72*Assumptions!$D$90)</f>
        <v>-900</v>
      </c>
      <c r="H79" s="70" t="n">
        <f aca="false">-MAX(Assumptions!$D$92,G72*Assumptions!$D$90)</f>
        <v>-900</v>
      </c>
      <c r="I79" s="70" t="n">
        <f aca="false">-MAX(Assumptions!$D$92,H72*Assumptions!$D$90)</f>
        <v>-900</v>
      </c>
      <c r="J79" s="70" t="n">
        <f aca="false">-MAX(Assumptions!$D$92,I72*Assumptions!$D$90)</f>
        <v>-900</v>
      </c>
      <c r="K79" s="70" t="n">
        <f aca="false">-MAX(Assumptions!$D$92,J72*Assumptions!$D$90)</f>
        <v>-900</v>
      </c>
      <c r="L79" s="70" t="n">
        <f aca="false">-MAX(Assumptions!$D$92,K72*Assumptions!$D$90)</f>
        <v>-900</v>
      </c>
      <c r="M79" s="70" t="n">
        <f aca="false">-MAX(Assumptions!$D$92,L72*Assumptions!$D$90)</f>
        <v>-900</v>
      </c>
      <c r="N79" s="70" t="n">
        <f aca="false">-MAX(Assumptions!$D$92,M72*Assumptions!$D$90)</f>
        <v>-900</v>
      </c>
      <c r="O79" s="70" t="n">
        <f aca="false">-MAX(Assumptions!$D$92,N72*Assumptions!$D$90)</f>
        <v>-900</v>
      </c>
      <c r="P79" s="70" t="n">
        <f aca="false">-MAX(Assumptions!$D$92,O72*Assumptions!$D$90)</f>
        <v>-900</v>
      </c>
      <c r="Q79" s="70" t="n">
        <f aca="false">-MAX(Assumptions!$D$92,P72*Assumptions!$D$90)</f>
        <v>-900</v>
      </c>
      <c r="R79" s="70" t="n">
        <f aca="false">-MAX(Assumptions!$D$92,Q72*Assumptions!$D$90)</f>
        <v>-900</v>
      </c>
      <c r="S79" s="70" t="n">
        <f aca="false">-MAX(Assumptions!$D$92,R72*Assumptions!$D$90)</f>
        <v>-900</v>
      </c>
      <c r="T79" s="70" t="n">
        <f aca="false">-MAX(Assumptions!$D$92,S72*Assumptions!$D$90)</f>
        <v>-900</v>
      </c>
      <c r="U79" s="70" t="n">
        <f aca="false">-MAX(Assumptions!$D$92,T72*Assumptions!$D$90)</f>
        <v>-900</v>
      </c>
      <c r="V79" s="70" t="n">
        <f aca="false">-MAX(Assumptions!$D$92,U72*Assumptions!$D$90)</f>
        <v>-900</v>
      </c>
      <c r="W79" s="70" t="n">
        <f aca="false">-MAX(Assumptions!$D$92,V72*Assumptions!$D$90)</f>
        <v>-900</v>
      </c>
      <c r="X79" s="70" t="n">
        <f aca="false">-MAX(Assumptions!$D$92,W72*Assumptions!$D$90)</f>
        <v>-900</v>
      </c>
      <c r="Y79" s="70" t="n">
        <f aca="false">-MAX(Assumptions!$D$92,X72*Assumptions!$D$90)</f>
        <v>-900</v>
      </c>
      <c r="Z79" s="70" t="n">
        <f aca="false">-MAX(Assumptions!$D$92,Y72*Assumptions!$D$90)</f>
        <v>-900</v>
      </c>
      <c r="AA79" s="70" t="n">
        <f aca="false">-MAX(Assumptions!$D$92,Z72*Assumptions!$D$90)</f>
        <v>-900</v>
      </c>
      <c r="AB79" s="70" t="n">
        <f aca="false">-MAX(Assumptions!$D$92,AA72*Assumptions!$D$90)</f>
        <v>-900</v>
      </c>
      <c r="AC79" s="70" t="n">
        <f aca="false">-MAX(Assumptions!$D$92,AB72*Assumptions!$D$90)</f>
        <v>-900</v>
      </c>
      <c r="AD79" s="70" t="n">
        <f aca="false">-MAX(Assumptions!$D$92,AC72*Assumptions!$D$90)</f>
        <v>-900</v>
      </c>
      <c r="AE79" s="70" t="n">
        <f aca="false">-MAX(Assumptions!$D$92,AD72*Assumptions!$D$90)</f>
        <v>-900</v>
      </c>
      <c r="AF79" s="70" t="n">
        <f aca="false">-MAX(Assumptions!$D$92,AE72*Assumptions!$D$90)</f>
        <v>-900</v>
      </c>
      <c r="AG79" s="70" t="n">
        <f aca="false">-MAX(Assumptions!$D$92,AF72*Assumptions!$D$90)</f>
        <v>-900</v>
      </c>
      <c r="AH79" s="70" t="n">
        <f aca="false">-MAX(Assumptions!$D$92,AG72*Assumptions!$D$90)</f>
        <v>-900</v>
      </c>
      <c r="AI79" s="70" t="n">
        <f aca="false">-MAX(Assumptions!$D$92,AH72*Assumptions!$D$90)</f>
        <v>-900</v>
      </c>
      <c r="AJ79" s="70" t="n">
        <f aca="false">-MAX(Assumptions!$D$92,AI72*Assumptions!$D$90)</f>
        <v>-900</v>
      </c>
      <c r="AK79" s="70" t="n">
        <f aca="false">-MAX(Assumptions!$D$92,AJ72*Assumptions!$D$90)</f>
        <v>-900</v>
      </c>
      <c r="AL79" s="70" t="n">
        <f aca="false">-MAX(Assumptions!$D$92,AK72*Assumptions!$D$90)</f>
        <v>-900</v>
      </c>
      <c r="AM79" s="70" t="n">
        <f aca="false">SUM(C79:AL79)</f>
        <v>-32400</v>
      </c>
    </row>
    <row r="80" customFormat="false" ht="15" hidden="false" customHeight="false" outlineLevel="0" collapsed="false">
      <c r="A80" s="10" t="s">
        <v>801</v>
      </c>
      <c r="B80" s="9" t="s">
        <v>97</v>
      </c>
      <c r="C80" s="70" t="n">
        <f aca="false">-IF(C$5&lt;=3,Assumptions!$D$93,Assumptions!$D$94)</f>
        <v>-12000</v>
      </c>
      <c r="D80" s="70" t="n">
        <f aca="false">-IF(D$5&lt;=3,Assumptions!$D$93,Assumptions!$D$94)</f>
        <v>-12000</v>
      </c>
      <c r="E80" s="70" t="n">
        <f aca="false">-IF(E$5&lt;=3,Assumptions!$D$93,Assumptions!$D$94)</f>
        <v>-12000</v>
      </c>
      <c r="F80" s="70" t="n">
        <f aca="false">-IF(F$5&lt;=3,Assumptions!$D$93,Assumptions!$D$94)</f>
        <v>-3000</v>
      </c>
      <c r="G80" s="70" t="n">
        <f aca="false">-IF(G$5&lt;=3,Assumptions!$D$93,Assumptions!$D$94)</f>
        <v>-3000</v>
      </c>
      <c r="H80" s="70" t="n">
        <f aca="false">-IF(H$5&lt;=3,Assumptions!$D$93,Assumptions!$D$94)</f>
        <v>-3000</v>
      </c>
      <c r="I80" s="70" t="n">
        <f aca="false">-IF(I$5&lt;=3,Assumptions!$D$93,Assumptions!$D$94)</f>
        <v>-3000</v>
      </c>
      <c r="J80" s="70" t="n">
        <f aca="false">-IF(J$5&lt;=3,Assumptions!$D$93,Assumptions!$D$94)</f>
        <v>-3000</v>
      </c>
      <c r="K80" s="70" t="n">
        <f aca="false">-IF(K$5&lt;=3,Assumptions!$D$93,Assumptions!$D$94)</f>
        <v>-3000</v>
      </c>
      <c r="L80" s="70" t="n">
        <f aca="false">-IF(L$5&lt;=3,Assumptions!$D$93,Assumptions!$D$94)</f>
        <v>-3000</v>
      </c>
      <c r="M80" s="70" t="n">
        <f aca="false">-IF(M$5&lt;=3,Assumptions!$D$93,Assumptions!$D$94)</f>
        <v>-3000</v>
      </c>
      <c r="N80" s="70" t="n">
        <f aca="false">-IF(N$5&lt;=3,Assumptions!$D$93,Assumptions!$D$94)</f>
        <v>-3000</v>
      </c>
      <c r="O80" s="70" t="n">
        <f aca="false">-IF(O$5&lt;=3,Assumptions!$D$93,Assumptions!$D$94)</f>
        <v>-3000</v>
      </c>
      <c r="P80" s="70" t="n">
        <f aca="false">-IF(P$5&lt;=3,Assumptions!$D$93,Assumptions!$D$94)</f>
        <v>-3000</v>
      </c>
      <c r="Q80" s="70" t="n">
        <f aca="false">-IF(Q$5&lt;=3,Assumptions!$D$93,Assumptions!$D$94)</f>
        <v>-3000</v>
      </c>
      <c r="R80" s="70" t="n">
        <f aca="false">-IF(R$5&lt;=3,Assumptions!$D$93,Assumptions!$D$94)</f>
        <v>-3000</v>
      </c>
      <c r="S80" s="70" t="n">
        <f aca="false">-IF(S$5&lt;=3,Assumptions!$D$93,Assumptions!$D$94)</f>
        <v>-3000</v>
      </c>
      <c r="T80" s="70" t="n">
        <f aca="false">-IF(T$5&lt;=3,Assumptions!$D$93,Assumptions!$D$94)</f>
        <v>-3000</v>
      </c>
      <c r="U80" s="70" t="n">
        <f aca="false">-IF(U$5&lt;=3,Assumptions!$D$93,Assumptions!$D$94)</f>
        <v>-3000</v>
      </c>
      <c r="V80" s="70" t="n">
        <f aca="false">-IF(V$5&lt;=3,Assumptions!$D$93,Assumptions!$D$94)</f>
        <v>-3000</v>
      </c>
      <c r="W80" s="70" t="n">
        <f aca="false">-IF(W$5&lt;=3,Assumptions!$D$93,Assumptions!$D$94)</f>
        <v>-3000</v>
      </c>
      <c r="X80" s="70" t="n">
        <f aca="false">-IF(X$5&lt;=3,Assumptions!$D$93,Assumptions!$D$94)</f>
        <v>-3000</v>
      </c>
      <c r="Y80" s="70" t="n">
        <f aca="false">-IF(Y$5&lt;=3,Assumptions!$D$93,Assumptions!$D$94)</f>
        <v>-3000</v>
      </c>
      <c r="Z80" s="70" t="n">
        <f aca="false">-IF(Z$5&lt;=3,Assumptions!$D$93,Assumptions!$D$94)</f>
        <v>-3000</v>
      </c>
      <c r="AA80" s="70" t="n">
        <f aca="false">-IF(AA$5&lt;=3,Assumptions!$D$93,Assumptions!$D$94)</f>
        <v>-3000</v>
      </c>
      <c r="AB80" s="70" t="n">
        <f aca="false">-IF(AB$5&lt;=3,Assumptions!$D$93,Assumptions!$D$94)</f>
        <v>-3000</v>
      </c>
      <c r="AC80" s="70" t="n">
        <f aca="false">-IF(AC$5&lt;=3,Assumptions!$D$93,Assumptions!$D$94)</f>
        <v>-3000</v>
      </c>
      <c r="AD80" s="70" t="n">
        <f aca="false">-IF(AD$5&lt;=3,Assumptions!$D$93,Assumptions!$D$94)</f>
        <v>-3000</v>
      </c>
      <c r="AE80" s="70" t="n">
        <f aca="false">-IF(AE$5&lt;=3,Assumptions!$D$93,Assumptions!$D$94)</f>
        <v>-3000</v>
      </c>
      <c r="AF80" s="70" t="n">
        <f aca="false">-IF(AF$5&lt;=3,Assumptions!$D$93,Assumptions!$D$94)</f>
        <v>-3000</v>
      </c>
      <c r="AG80" s="70" t="n">
        <f aca="false">-IF(AG$5&lt;=3,Assumptions!$D$93,Assumptions!$D$94)</f>
        <v>-3000</v>
      </c>
      <c r="AH80" s="70" t="n">
        <f aca="false">-IF(AH$5&lt;=3,Assumptions!$D$93,Assumptions!$D$94)</f>
        <v>-3000</v>
      </c>
      <c r="AI80" s="70" t="n">
        <f aca="false">-IF(AI$5&lt;=3,Assumptions!$D$93,Assumptions!$D$94)</f>
        <v>-3000</v>
      </c>
      <c r="AJ80" s="70" t="n">
        <f aca="false">-IF(AJ$5&lt;=3,Assumptions!$D$93,Assumptions!$D$94)</f>
        <v>-3000</v>
      </c>
      <c r="AK80" s="70" t="n">
        <f aca="false">-IF(AK$5&lt;=3,Assumptions!$D$93,Assumptions!$D$94)</f>
        <v>-3000</v>
      </c>
      <c r="AL80" s="70" t="n">
        <f aca="false">-IF(AL$5&lt;=3,Assumptions!$D$93,Assumptions!$D$94)</f>
        <v>-3000</v>
      </c>
      <c r="AM80" s="70" t="n">
        <f aca="false">SUM(C80:AL80)</f>
        <v>-135000</v>
      </c>
    </row>
    <row r="81" customFormat="false" ht="15" hidden="false" customHeight="false" outlineLevel="0" collapsed="false">
      <c r="A81" s="10" t="s">
        <v>802</v>
      </c>
      <c r="B81" s="9" t="s">
        <v>97</v>
      </c>
      <c r="C81" s="70" t="n">
        <f aca="false">-C8*Assumptions!$D$95</f>
        <v>-0</v>
      </c>
      <c r="D81" s="70" t="n">
        <f aca="false">-D8*Assumptions!$D$95</f>
        <v>-0</v>
      </c>
      <c r="E81" s="70" t="n">
        <f aca="false">-E8*Assumptions!$D$95</f>
        <v>-1800</v>
      </c>
      <c r="F81" s="70" t="n">
        <f aca="false">-F8*Assumptions!$D$95</f>
        <v>-1800</v>
      </c>
      <c r="G81" s="70" t="n">
        <f aca="false">-G8*Assumptions!$D$95</f>
        <v>-1800</v>
      </c>
      <c r="H81" s="70" t="n">
        <f aca="false">-H8*Assumptions!$D$95</f>
        <v>-1800</v>
      </c>
      <c r="I81" s="70" t="n">
        <f aca="false">-I8*Assumptions!$D$95</f>
        <v>-1800</v>
      </c>
      <c r="J81" s="70" t="n">
        <f aca="false">-J8*Assumptions!$D$95</f>
        <v>-1800</v>
      </c>
      <c r="K81" s="70" t="n">
        <f aca="false">-K8*Assumptions!$D$95</f>
        <v>-1800</v>
      </c>
      <c r="L81" s="70" t="n">
        <f aca="false">-L8*Assumptions!$D$95</f>
        <v>-1800</v>
      </c>
      <c r="M81" s="70" t="n">
        <f aca="false">-M8*Assumptions!$D$95</f>
        <v>-1800</v>
      </c>
      <c r="N81" s="70" t="n">
        <f aca="false">-N8*Assumptions!$D$95</f>
        <v>-1800</v>
      </c>
      <c r="O81" s="70" t="n">
        <f aca="false">-O8*Assumptions!$D$95</f>
        <v>-1800</v>
      </c>
      <c r="P81" s="70" t="n">
        <f aca="false">-P8*Assumptions!$D$95</f>
        <v>-1800</v>
      </c>
      <c r="Q81" s="70" t="n">
        <f aca="false">-Q8*Assumptions!$D$95</f>
        <v>-1800</v>
      </c>
      <c r="R81" s="70" t="n">
        <f aca="false">-R8*Assumptions!$D$95</f>
        <v>-1800</v>
      </c>
      <c r="S81" s="70" t="n">
        <f aca="false">-S8*Assumptions!$D$95</f>
        <v>-1800</v>
      </c>
      <c r="T81" s="70" t="n">
        <f aca="false">-T8*Assumptions!$D$95</f>
        <v>-1800</v>
      </c>
      <c r="U81" s="70" t="n">
        <f aca="false">-U8*Assumptions!$D$95</f>
        <v>-1800</v>
      </c>
      <c r="V81" s="70" t="n">
        <f aca="false">-V8*Assumptions!$D$95</f>
        <v>-1800</v>
      </c>
      <c r="W81" s="70" t="n">
        <f aca="false">-W8*Assumptions!$D$95</f>
        <v>-1800</v>
      </c>
      <c r="X81" s="70" t="n">
        <f aca="false">-X8*Assumptions!$D$95</f>
        <v>-1800</v>
      </c>
      <c r="Y81" s="70" t="n">
        <f aca="false">-Y8*Assumptions!$D$95</f>
        <v>-1800</v>
      </c>
      <c r="Z81" s="70" t="n">
        <f aca="false">-Z8*Assumptions!$D$95</f>
        <v>-1800</v>
      </c>
      <c r="AA81" s="70" t="n">
        <f aca="false">-AA8*Assumptions!$D$95</f>
        <v>-1800</v>
      </c>
      <c r="AB81" s="70" t="n">
        <f aca="false">-AB8*Assumptions!$D$95</f>
        <v>-1800</v>
      </c>
      <c r="AC81" s="70" t="n">
        <f aca="false">-AC8*Assumptions!$D$95</f>
        <v>-1800</v>
      </c>
      <c r="AD81" s="70" t="n">
        <f aca="false">-AD8*Assumptions!$D$95</f>
        <v>-1800</v>
      </c>
      <c r="AE81" s="70" t="n">
        <f aca="false">-AE8*Assumptions!$D$95</f>
        <v>-1800</v>
      </c>
      <c r="AF81" s="70" t="n">
        <f aca="false">-AF8*Assumptions!$D$95</f>
        <v>-1800</v>
      </c>
      <c r="AG81" s="70" t="n">
        <f aca="false">-AG8*Assumptions!$D$95</f>
        <v>-1800</v>
      </c>
      <c r="AH81" s="70" t="n">
        <f aca="false">-AH8*Assumptions!$D$95</f>
        <v>-1800</v>
      </c>
      <c r="AI81" s="70" t="n">
        <f aca="false">-AI8*Assumptions!$D$95</f>
        <v>-1800</v>
      </c>
      <c r="AJ81" s="70" t="n">
        <f aca="false">-AJ8*Assumptions!$D$95</f>
        <v>-1800</v>
      </c>
      <c r="AK81" s="70" t="n">
        <f aca="false">-AK8*Assumptions!$D$95</f>
        <v>-1800</v>
      </c>
      <c r="AL81" s="70" t="n">
        <f aca="false">-AL8*Assumptions!$D$95</f>
        <v>-1800</v>
      </c>
      <c r="AM81" s="70" t="n">
        <f aca="false">SUM(C81:AL81)</f>
        <v>-61200</v>
      </c>
    </row>
    <row r="82" customFormat="false" ht="15" hidden="false" customHeight="false" outlineLevel="0" collapsed="false">
      <c r="A82" s="10" t="s">
        <v>803</v>
      </c>
      <c r="B82" s="9" t="s">
        <v>97</v>
      </c>
      <c r="C82" s="70" t="n">
        <f aca="false">-Assumptions!$D$96</f>
        <v>-3000</v>
      </c>
      <c r="D82" s="70" t="n">
        <f aca="false">-MAX(Assumptions!$D$96,C72*Assumptions!$D$89)</f>
        <v>-3000</v>
      </c>
      <c r="E82" s="70" t="n">
        <f aca="false">-MAX(Assumptions!$D$96,D72*Assumptions!$D$89)</f>
        <v>-3000</v>
      </c>
      <c r="F82" s="70" t="n">
        <f aca="false">-MAX(Assumptions!$D$96,E72*Assumptions!$D$89)</f>
        <v>-3000</v>
      </c>
      <c r="G82" s="70" t="n">
        <f aca="false">-MAX(Assumptions!$D$96,F72*Assumptions!$D$89)</f>
        <v>-3000</v>
      </c>
      <c r="H82" s="70" t="n">
        <f aca="false">-MAX(Assumptions!$D$96,G72*Assumptions!$D$89)</f>
        <v>-3000</v>
      </c>
      <c r="I82" s="70" t="n">
        <f aca="false">-MAX(Assumptions!$D$96,H72*Assumptions!$D$89)</f>
        <v>-3000</v>
      </c>
      <c r="J82" s="70" t="n">
        <f aca="false">-MAX(Assumptions!$D$96,I72*Assumptions!$D$89)</f>
        <v>-3000</v>
      </c>
      <c r="K82" s="70" t="n">
        <f aca="false">-MAX(Assumptions!$D$96,J72*Assumptions!$D$89)</f>
        <v>-3000</v>
      </c>
      <c r="L82" s="70" t="n">
        <f aca="false">-MAX(Assumptions!$D$96,K72*Assumptions!$D$89)</f>
        <v>-3000</v>
      </c>
      <c r="M82" s="70" t="n">
        <f aca="false">-MAX(Assumptions!$D$96,L72*Assumptions!$D$89)</f>
        <v>-3000</v>
      </c>
      <c r="N82" s="70" t="n">
        <f aca="false">-MAX(Assumptions!$D$96,M72*Assumptions!$D$89)</f>
        <v>-3000</v>
      </c>
      <c r="O82" s="70" t="n">
        <f aca="false">-MAX(Assumptions!$D$96,N72*Assumptions!$D$89)</f>
        <v>-3000</v>
      </c>
      <c r="P82" s="70" t="n">
        <f aca="false">-MAX(Assumptions!$D$96,O72*Assumptions!$D$89)</f>
        <v>-3000</v>
      </c>
      <c r="Q82" s="70" t="n">
        <f aca="false">-MAX(Assumptions!$D$96,P72*Assumptions!$D$89)</f>
        <v>-3000</v>
      </c>
      <c r="R82" s="70" t="n">
        <f aca="false">-MAX(Assumptions!$D$96,Q72*Assumptions!$D$89)</f>
        <v>-3000</v>
      </c>
      <c r="S82" s="70" t="n">
        <f aca="false">-MAX(Assumptions!$D$96,R72*Assumptions!$D$89)</f>
        <v>-3000</v>
      </c>
      <c r="T82" s="70" t="n">
        <f aca="false">-MAX(Assumptions!$D$96,S72*Assumptions!$D$89)</f>
        <v>-3000</v>
      </c>
      <c r="U82" s="70" t="n">
        <f aca="false">-MAX(Assumptions!$D$96,T72*Assumptions!$D$89)</f>
        <v>-3000</v>
      </c>
      <c r="V82" s="70" t="n">
        <f aca="false">-MAX(Assumptions!$D$96,U72*Assumptions!$D$89)</f>
        <v>-3000</v>
      </c>
      <c r="W82" s="70" t="n">
        <f aca="false">-MAX(Assumptions!$D$96,V72*Assumptions!$D$89)</f>
        <v>-3000</v>
      </c>
      <c r="X82" s="70" t="n">
        <f aca="false">-MAX(Assumptions!$D$96,W72*Assumptions!$D$89)</f>
        <v>-3000</v>
      </c>
      <c r="Y82" s="70" t="n">
        <f aca="false">-MAX(Assumptions!$D$96,X72*Assumptions!$D$89)</f>
        <v>-3000</v>
      </c>
      <c r="Z82" s="70" t="n">
        <f aca="false">-MAX(Assumptions!$D$96,Y72*Assumptions!$D$89)</f>
        <v>-3000</v>
      </c>
      <c r="AA82" s="70" t="n">
        <f aca="false">-MAX(Assumptions!$D$96,Z72*Assumptions!$D$89)</f>
        <v>-3000</v>
      </c>
      <c r="AB82" s="70" t="n">
        <f aca="false">-MAX(Assumptions!$D$96,AA72*Assumptions!$D$89)</f>
        <v>-3000</v>
      </c>
      <c r="AC82" s="70" t="n">
        <f aca="false">-MAX(Assumptions!$D$96,AB72*Assumptions!$D$89)</f>
        <v>-3000</v>
      </c>
      <c r="AD82" s="70" t="n">
        <f aca="false">-MAX(Assumptions!$D$96,AC72*Assumptions!$D$89)</f>
        <v>-3000</v>
      </c>
      <c r="AE82" s="70" t="n">
        <f aca="false">-MAX(Assumptions!$D$96,AD72*Assumptions!$D$89)</f>
        <v>-3000</v>
      </c>
      <c r="AF82" s="70" t="n">
        <f aca="false">-MAX(Assumptions!$D$96,AE72*Assumptions!$D$89)</f>
        <v>-3000</v>
      </c>
      <c r="AG82" s="70" t="n">
        <f aca="false">-MAX(Assumptions!$D$96,AF72*Assumptions!$D$89)</f>
        <v>-3000</v>
      </c>
      <c r="AH82" s="70" t="n">
        <f aca="false">-MAX(Assumptions!$D$96,AG72*Assumptions!$D$89)</f>
        <v>-3000</v>
      </c>
      <c r="AI82" s="70" t="n">
        <f aca="false">-MAX(Assumptions!$D$96,AH72*Assumptions!$D$89)</f>
        <v>-3000</v>
      </c>
      <c r="AJ82" s="70" t="n">
        <f aca="false">-MAX(Assumptions!$D$96,AI72*Assumptions!$D$89)</f>
        <v>-3000</v>
      </c>
      <c r="AK82" s="70" t="n">
        <f aca="false">-MAX(Assumptions!$D$96,AJ72*Assumptions!$D$89)</f>
        <v>-3000</v>
      </c>
      <c r="AL82" s="70" t="n">
        <f aca="false">-MAX(Assumptions!$D$96,AK72*Assumptions!$D$89)</f>
        <v>-3000</v>
      </c>
      <c r="AM82" s="70" t="n">
        <f aca="false">SUM(C82:AL82)</f>
        <v>-108000</v>
      </c>
    </row>
    <row r="83" customFormat="false" ht="15" hidden="false" customHeight="false" outlineLevel="0" collapsed="false">
      <c r="A83" s="10" t="s">
        <v>804</v>
      </c>
      <c r="B83" s="9" t="s">
        <v>97</v>
      </c>
      <c r="C83" s="70" t="n">
        <f aca="false">-C26</f>
        <v>-4000</v>
      </c>
      <c r="D83" s="70" t="n">
        <f aca="false">-D26</f>
        <v>-4000</v>
      </c>
      <c r="E83" s="70" t="n">
        <f aca="false">-E26</f>
        <v>-10000</v>
      </c>
      <c r="F83" s="70" t="n">
        <f aca="false">-F26</f>
        <v>-11750.4</v>
      </c>
      <c r="G83" s="70" t="n">
        <f aca="false">-G26</f>
        <v>-10000</v>
      </c>
      <c r="H83" s="70" t="n">
        <f aca="false">-H26</f>
        <v>-10000</v>
      </c>
      <c r="I83" s="70" t="n">
        <f aca="false">-I26</f>
        <v>-10323.4785593492</v>
      </c>
      <c r="J83" s="70" t="n">
        <f aca="false">-J26</f>
        <v>-10693.6464069198</v>
      </c>
      <c r="K83" s="70" t="n">
        <f aca="false">-K26</f>
        <v>-11007.401498855</v>
      </c>
      <c r="L83" s="70" t="n">
        <f aca="false">-L26</f>
        <v>-11424.1104119662</v>
      </c>
      <c r="M83" s="70" t="n">
        <f aca="false">-M26</f>
        <v>-11745.5278286907</v>
      </c>
      <c r="N83" s="70" t="n">
        <f aca="false">-N26</f>
        <v>-12040.3772725018</v>
      </c>
      <c r="O83" s="70" t="n">
        <f aca="false">-O26</f>
        <v>-12317.9493522611</v>
      </c>
      <c r="P83" s="70" t="n">
        <f aca="false">-P26</f>
        <v>-12583.7020216964</v>
      </c>
      <c r="Q83" s="70" t="n">
        <f aca="false">-Q26</f>
        <v>-12841.5643304598</v>
      </c>
      <c r="R83" s="70" t="n">
        <f aca="false">-R26</f>
        <v>-13094.60510511</v>
      </c>
      <c r="S83" s="70" t="n">
        <f aca="false">-S26</f>
        <v>-13345.294858622</v>
      </c>
      <c r="T83" s="70" t="n">
        <f aca="false">-T26</f>
        <v>-13595.6778749783</v>
      </c>
      <c r="U83" s="70" t="n">
        <f aca="false">-U26</f>
        <v>-13847.4937232049</v>
      </c>
      <c r="V83" s="70" t="n">
        <f aca="false">-V26</f>
        <v>-14102.2651096595</v>
      </c>
      <c r="W83" s="70" t="n">
        <f aca="false">-W26</f>
        <v>-14361.3622157705</v>
      </c>
      <c r="X83" s="70" t="n">
        <f aca="false">-X26</f>
        <v>-14626.0503346991</v>
      </c>
      <c r="Y83" s="70" t="n">
        <f aca="false">-Y26</f>
        <v>-14897.525542681</v>
      </c>
      <c r="Z83" s="70" t="n">
        <f aca="false">-Z26</f>
        <v>-15176.9417569578</v>
      </c>
      <c r="AA83" s="70" t="n">
        <f aca="false">-AA26</f>
        <v>-15465.4315792019</v>
      </c>
      <c r="AB83" s="70" t="n">
        <f aca="false">-AB26</f>
        <v>-15764.1226540446</v>
      </c>
      <c r="AC83" s="70" t="n">
        <f aca="false">-AC26</f>
        <v>-16074.1507964927</v>
      </c>
      <c r="AD83" s="70" t="n">
        <f aca="false">-AD26</f>
        <v>-16396.670801105</v>
      </c>
      <c r="AE83" s="70" t="n">
        <f aca="false">-AE26</f>
        <v>-16732.8656003193</v>
      </c>
      <c r="AF83" s="70" t="n">
        <f aca="false">-AF26</f>
        <v>-17083.9542620094</v>
      </c>
      <c r="AG83" s="70" t="n">
        <f aca="false">-AG26</f>
        <v>-17451.1991880176</v>
      </c>
      <c r="AH83" s="70" t="n">
        <f aca="false">-AH26</f>
        <v>-17835.91278244</v>
      </c>
      <c r="AI83" s="70" t="n">
        <f aca="false">-AI26</f>
        <v>-18239.4637910734</v>
      </c>
      <c r="AJ83" s="70" t="n">
        <f aca="false">-AJ26</f>
        <v>-18663.2834646366</v>
      </c>
      <c r="AK83" s="70" t="n">
        <f aca="false">-AK26</f>
        <v>-19108.8716630993</v>
      </c>
      <c r="AL83" s="70" t="n">
        <f aca="false">-AL26</f>
        <v>-19577.8029930001</v>
      </c>
      <c r="AM83" s="70" t="n">
        <f aca="false">SUM(C83:AL83)</f>
        <v>-490169.103779823</v>
      </c>
    </row>
    <row r="84" customFormat="false" ht="15" hidden="false" customHeight="false" outlineLevel="0" collapsed="false">
      <c r="A84" s="10" t="s">
        <v>805</v>
      </c>
      <c r="B84" s="9" t="s">
        <v>97</v>
      </c>
      <c r="C84" s="70" t="n">
        <f aca="false">-IF(C$5=Assumptions!$D$6,Assumptions!$D$23,0)</f>
        <v>-0</v>
      </c>
      <c r="D84" s="70" t="n">
        <f aca="false">-IF(D$5=Assumptions!$D$6,Assumptions!$D$23,0)</f>
        <v>-0</v>
      </c>
      <c r="E84" s="70" t="n">
        <f aca="false">-IF(E$5=Assumptions!$D$6,Assumptions!$D$23,0)</f>
        <v>-20000</v>
      </c>
      <c r="F84" s="70" t="n">
        <f aca="false">-IF(F$5=Assumptions!$D$6,Assumptions!$D$23,0)</f>
        <v>-0</v>
      </c>
      <c r="G84" s="70" t="n">
        <f aca="false">-IF(G$5=Assumptions!$D$6,Assumptions!$D$23,0)</f>
        <v>-0</v>
      </c>
      <c r="H84" s="70" t="n">
        <f aca="false">-IF(H$5=Assumptions!$D$6,Assumptions!$D$23,0)</f>
        <v>-0</v>
      </c>
      <c r="I84" s="70" t="n">
        <f aca="false">-IF(I$5=Assumptions!$D$6,Assumptions!$D$23,0)</f>
        <v>-0</v>
      </c>
      <c r="J84" s="70" t="n">
        <f aca="false">-IF(J$5=Assumptions!$D$6,Assumptions!$D$23,0)</f>
        <v>-0</v>
      </c>
      <c r="K84" s="70" t="n">
        <f aca="false">-IF(K$5=Assumptions!$D$6,Assumptions!$D$23,0)</f>
        <v>-0</v>
      </c>
      <c r="L84" s="70" t="n">
        <f aca="false">-IF(L$5=Assumptions!$D$6,Assumptions!$D$23,0)</f>
        <v>-0</v>
      </c>
      <c r="M84" s="70" t="n">
        <f aca="false">-IF(M$5=Assumptions!$D$6,Assumptions!$D$23,0)</f>
        <v>-0</v>
      </c>
      <c r="N84" s="70" t="n">
        <f aca="false">-IF(N$5=Assumptions!$D$6,Assumptions!$D$23,0)</f>
        <v>-0</v>
      </c>
      <c r="O84" s="70" t="n">
        <f aca="false">-IF(O$5=Assumptions!$D$6,Assumptions!$D$23,0)</f>
        <v>-0</v>
      </c>
      <c r="P84" s="70" t="n">
        <f aca="false">-IF(P$5=Assumptions!$D$6,Assumptions!$D$23,0)</f>
        <v>-0</v>
      </c>
      <c r="Q84" s="70" t="n">
        <f aca="false">-IF(Q$5=Assumptions!$D$6,Assumptions!$D$23,0)</f>
        <v>-0</v>
      </c>
      <c r="R84" s="70" t="n">
        <f aca="false">-IF(R$5=Assumptions!$D$6,Assumptions!$D$23,0)</f>
        <v>-0</v>
      </c>
      <c r="S84" s="70" t="n">
        <f aca="false">-IF(S$5=Assumptions!$D$6,Assumptions!$D$23,0)</f>
        <v>-0</v>
      </c>
      <c r="T84" s="70" t="n">
        <f aca="false">-IF(T$5=Assumptions!$D$6,Assumptions!$D$23,0)</f>
        <v>-0</v>
      </c>
      <c r="U84" s="70" t="n">
        <f aca="false">-IF(U$5=Assumptions!$D$6,Assumptions!$D$23,0)</f>
        <v>-0</v>
      </c>
      <c r="V84" s="70" t="n">
        <f aca="false">-IF(V$5=Assumptions!$D$6,Assumptions!$D$23,0)</f>
        <v>-0</v>
      </c>
      <c r="W84" s="70" t="n">
        <f aca="false">-IF(W$5=Assumptions!$D$6,Assumptions!$D$23,0)</f>
        <v>-0</v>
      </c>
      <c r="X84" s="70" t="n">
        <f aca="false">-IF(X$5=Assumptions!$D$6,Assumptions!$D$23,0)</f>
        <v>-0</v>
      </c>
      <c r="Y84" s="70" t="n">
        <f aca="false">-IF(Y$5=Assumptions!$D$6,Assumptions!$D$23,0)</f>
        <v>-0</v>
      </c>
      <c r="Z84" s="70" t="n">
        <f aca="false">-IF(Z$5=Assumptions!$D$6,Assumptions!$D$23,0)</f>
        <v>-0</v>
      </c>
      <c r="AA84" s="70" t="n">
        <f aca="false">-IF(AA$5=Assumptions!$D$6,Assumptions!$D$23,0)</f>
        <v>-0</v>
      </c>
      <c r="AB84" s="70" t="n">
        <f aca="false">-IF(AB$5=Assumptions!$D$6,Assumptions!$D$23,0)</f>
        <v>-0</v>
      </c>
      <c r="AC84" s="70" t="n">
        <f aca="false">-IF(AC$5=Assumptions!$D$6,Assumptions!$D$23,0)</f>
        <v>-0</v>
      </c>
      <c r="AD84" s="70" t="n">
        <f aca="false">-IF(AD$5=Assumptions!$D$6,Assumptions!$D$23,0)</f>
        <v>-0</v>
      </c>
      <c r="AE84" s="70" t="n">
        <f aca="false">-IF(AE$5=Assumptions!$D$6,Assumptions!$D$23,0)</f>
        <v>-0</v>
      </c>
      <c r="AF84" s="70" t="n">
        <f aca="false">-IF(AF$5=Assumptions!$D$6,Assumptions!$D$23,0)</f>
        <v>-0</v>
      </c>
      <c r="AG84" s="70" t="n">
        <f aca="false">-IF(AG$5=Assumptions!$D$6,Assumptions!$D$23,0)</f>
        <v>-0</v>
      </c>
      <c r="AH84" s="70" t="n">
        <f aca="false">-IF(AH$5=Assumptions!$D$6,Assumptions!$D$23,0)</f>
        <v>-0</v>
      </c>
      <c r="AI84" s="70" t="n">
        <f aca="false">-IF(AI$5=Assumptions!$D$6,Assumptions!$D$23,0)</f>
        <v>-0</v>
      </c>
      <c r="AJ84" s="70" t="n">
        <f aca="false">-IF(AJ$5=Assumptions!$D$6,Assumptions!$D$23,0)</f>
        <v>-0</v>
      </c>
      <c r="AK84" s="70" t="n">
        <f aca="false">-IF(AK$5=Assumptions!$D$6,Assumptions!$D$23,0)</f>
        <v>-0</v>
      </c>
      <c r="AL84" s="70" t="n">
        <f aca="false">-IF(AL$5=Assumptions!$D$6,Assumptions!$D$23,0)</f>
        <v>-0</v>
      </c>
      <c r="AM84" s="70" t="n">
        <f aca="false">SUM(C84:AL84)</f>
        <v>-20000</v>
      </c>
    </row>
    <row r="85" customFormat="false" ht="15" hidden="false" customHeight="false" outlineLevel="0" collapsed="false">
      <c r="A85" s="10" t="s">
        <v>806</v>
      </c>
      <c r="B85" s="9" t="s">
        <v>97</v>
      </c>
      <c r="C85" s="70" t="n">
        <f aca="false">-C8*Assumptions!$D$98</f>
        <v>-0</v>
      </c>
      <c r="D85" s="70" t="n">
        <f aca="false">-D8*Assumptions!$D$98</f>
        <v>-0</v>
      </c>
      <c r="E85" s="70" t="n">
        <f aca="false">-E8*Assumptions!$D$98</f>
        <v>-0</v>
      </c>
      <c r="F85" s="70" t="n">
        <f aca="false">-F8*Assumptions!$D$98</f>
        <v>-0</v>
      </c>
      <c r="G85" s="70" t="n">
        <f aca="false">-G8*Assumptions!$D$98</f>
        <v>-0</v>
      </c>
      <c r="H85" s="70" t="n">
        <f aca="false">-H8*Assumptions!$D$98</f>
        <v>-0</v>
      </c>
      <c r="I85" s="70" t="n">
        <f aca="false">-I8*Assumptions!$D$98</f>
        <v>-0</v>
      </c>
      <c r="J85" s="70" t="n">
        <f aca="false">-J8*Assumptions!$D$98</f>
        <v>-0</v>
      </c>
      <c r="K85" s="70" t="n">
        <f aca="false">-K8*Assumptions!$D$98</f>
        <v>-0</v>
      </c>
      <c r="L85" s="70" t="n">
        <f aca="false">-L8*Assumptions!$D$98</f>
        <v>-0</v>
      </c>
      <c r="M85" s="70" t="n">
        <f aca="false">-M8*Assumptions!$D$98</f>
        <v>-0</v>
      </c>
      <c r="N85" s="70" t="n">
        <f aca="false">-N8*Assumptions!$D$98</f>
        <v>-0</v>
      </c>
      <c r="O85" s="70" t="n">
        <f aca="false">-O8*Assumptions!$D$98</f>
        <v>-0</v>
      </c>
      <c r="P85" s="70" t="n">
        <f aca="false">-P8*Assumptions!$D$98</f>
        <v>-0</v>
      </c>
      <c r="Q85" s="70" t="n">
        <f aca="false">-Q8*Assumptions!$D$98</f>
        <v>-0</v>
      </c>
      <c r="R85" s="70" t="n">
        <f aca="false">-R8*Assumptions!$D$98</f>
        <v>-0</v>
      </c>
      <c r="S85" s="70" t="n">
        <f aca="false">-S8*Assumptions!$D$98</f>
        <v>-0</v>
      </c>
      <c r="T85" s="70" t="n">
        <f aca="false">-T8*Assumptions!$D$98</f>
        <v>-0</v>
      </c>
      <c r="U85" s="70" t="n">
        <f aca="false">-U8*Assumptions!$D$98</f>
        <v>-0</v>
      </c>
      <c r="V85" s="70" t="n">
        <f aca="false">-V8*Assumptions!$D$98</f>
        <v>-0</v>
      </c>
      <c r="W85" s="70" t="n">
        <f aca="false">-W8*Assumptions!$D$98</f>
        <v>-0</v>
      </c>
      <c r="X85" s="70" t="n">
        <f aca="false">-X8*Assumptions!$D$98</f>
        <v>-0</v>
      </c>
      <c r="Y85" s="70" t="n">
        <f aca="false">-Y8*Assumptions!$D$98</f>
        <v>-0</v>
      </c>
      <c r="Z85" s="70" t="n">
        <f aca="false">-Z8*Assumptions!$D$98</f>
        <v>-0</v>
      </c>
      <c r="AA85" s="70" t="n">
        <f aca="false">-AA8*Assumptions!$D$98</f>
        <v>-0</v>
      </c>
      <c r="AB85" s="70" t="n">
        <f aca="false">-AB8*Assumptions!$D$98</f>
        <v>-0</v>
      </c>
      <c r="AC85" s="70" t="n">
        <f aca="false">-AC8*Assumptions!$D$98</f>
        <v>-0</v>
      </c>
      <c r="AD85" s="70" t="n">
        <f aca="false">-AD8*Assumptions!$D$98</f>
        <v>-0</v>
      </c>
      <c r="AE85" s="70" t="n">
        <f aca="false">-AE8*Assumptions!$D$98</f>
        <v>-0</v>
      </c>
      <c r="AF85" s="70" t="n">
        <f aca="false">-AF8*Assumptions!$D$98</f>
        <v>-0</v>
      </c>
      <c r="AG85" s="70" t="n">
        <f aca="false">-AG8*Assumptions!$D$98</f>
        <v>-0</v>
      </c>
      <c r="AH85" s="70" t="n">
        <f aca="false">-AH8*Assumptions!$D$98</f>
        <v>-0</v>
      </c>
      <c r="AI85" s="70" t="n">
        <f aca="false">-AI8*Assumptions!$D$98</f>
        <v>-0</v>
      </c>
      <c r="AJ85" s="70" t="n">
        <f aca="false">-AJ8*Assumptions!$D$98</f>
        <v>-0</v>
      </c>
      <c r="AK85" s="70" t="n">
        <f aca="false">-AK8*Assumptions!$D$98</f>
        <v>-0</v>
      </c>
      <c r="AL85" s="70" t="n">
        <f aca="false">-AL8*Assumptions!$D$98</f>
        <v>-0</v>
      </c>
      <c r="AM85" s="70" t="n">
        <f aca="false">SUM(C85:AL85)</f>
        <v>0</v>
      </c>
    </row>
    <row r="86" customFormat="false" ht="15" hidden="false" customHeight="false" outlineLevel="0" collapsed="false">
      <c r="A86" s="10" t="s">
        <v>362</v>
      </c>
      <c r="B86" s="9" t="s">
        <v>97</v>
      </c>
      <c r="C86" s="70" t="n">
        <f aca="false">-C72*Assumptions!$D$99</f>
        <v>-0</v>
      </c>
      <c r="D86" s="70" t="n">
        <f aca="false">-D72*Assumptions!$D$99</f>
        <v>-0</v>
      </c>
      <c r="E86" s="70" t="n">
        <f aca="false">-E72*Assumptions!$D$99</f>
        <v>-1958.4</v>
      </c>
      <c r="F86" s="70" t="n">
        <f aca="false">-F72*Assumptions!$D$99</f>
        <v>-1642.48162082012</v>
      </c>
      <c r="G86" s="70" t="n">
        <f aca="false">-G72*Assumptions!$D$99</f>
        <v>-1656.74499746163</v>
      </c>
      <c r="H86" s="70" t="n">
        <f aca="false">-H72*Assumptions!$D$99</f>
        <v>-1720.57975989154</v>
      </c>
      <c r="I86" s="70" t="n">
        <f aca="false">-I72*Assumptions!$D$99</f>
        <v>-1782.2744011533</v>
      </c>
      <c r="J86" s="70" t="n">
        <f aca="false">-J72*Assumptions!$D$99</f>
        <v>-1834.56691647583</v>
      </c>
      <c r="K86" s="70" t="n">
        <f aca="false">-K72*Assumptions!$D$99</f>
        <v>-1904.01840199436</v>
      </c>
      <c r="L86" s="70" t="n">
        <f aca="false">-L72*Assumptions!$D$99</f>
        <v>-1957.58797144846</v>
      </c>
      <c r="M86" s="70" t="n">
        <f aca="false">-M72*Assumptions!$D$99</f>
        <v>-2006.72954541696</v>
      </c>
      <c r="N86" s="70" t="n">
        <f aca="false">-N72*Assumptions!$D$99</f>
        <v>-2052.99155871019</v>
      </c>
      <c r="O86" s="70" t="n">
        <f aca="false">-O72*Assumptions!$D$99</f>
        <v>-2097.28367028273</v>
      </c>
      <c r="P86" s="70" t="n">
        <f aca="false">-P72*Assumptions!$D$99</f>
        <v>-2140.26072174329</v>
      </c>
      <c r="Q86" s="70" t="n">
        <f aca="false">-Q72*Assumptions!$D$99</f>
        <v>-2182.434184185</v>
      </c>
      <c r="R86" s="70" t="n">
        <f aca="false">-R72*Assumptions!$D$99</f>
        <v>-2224.21580977033</v>
      </c>
      <c r="S86" s="70" t="n">
        <f aca="false">-S72*Assumptions!$D$99</f>
        <v>-2265.94631249638</v>
      </c>
      <c r="T86" s="70" t="n">
        <f aca="false">-T72*Assumptions!$D$99</f>
        <v>-2307.91562053416</v>
      </c>
      <c r="U86" s="70" t="n">
        <f aca="false">-U72*Assumptions!$D$99</f>
        <v>-2350.37751827658</v>
      </c>
      <c r="V86" s="70" t="n">
        <f aca="false">-V72*Assumptions!$D$99</f>
        <v>-2393.56036929509</v>
      </c>
      <c r="W86" s="70" t="n">
        <f aca="false">-W72*Assumptions!$D$99</f>
        <v>-2437.67505578319</v>
      </c>
      <c r="X86" s="70" t="n">
        <f aca="false">-X72*Assumptions!$D$99</f>
        <v>-2482.92092378017</v>
      </c>
      <c r="Y86" s="70" t="n">
        <f aca="false">-Y72*Assumptions!$D$99</f>
        <v>-2529.4902928263</v>
      </c>
      <c r="Z86" s="70" t="n">
        <f aca="false">-Z72*Assumptions!$D$99</f>
        <v>-2577.57192986699</v>
      </c>
      <c r="AA86" s="70" t="n">
        <f aca="false">-AA72*Assumptions!$D$99</f>
        <v>-2627.3537756741</v>
      </c>
      <c r="AB86" s="70" t="n">
        <f aca="false">-AB72*Assumptions!$D$99</f>
        <v>-2679.02513274879</v>
      </c>
      <c r="AC86" s="70" t="n">
        <f aca="false">-AC72*Assumptions!$D$99</f>
        <v>-2732.77846685083</v>
      </c>
      <c r="AD86" s="70" t="n">
        <f aca="false">-AD72*Assumptions!$D$99</f>
        <v>-2788.81093338655</v>
      </c>
      <c r="AE86" s="70" t="n">
        <f aca="false">-AE72*Assumptions!$D$99</f>
        <v>-2847.32571033491</v>
      </c>
      <c r="AF86" s="70" t="n">
        <f aca="false">-AF72*Assumptions!$D$99</f>
        <v>-2908.53319800293</v>
      </c>
      <c r="AG86" s="70" t="n">
        <f aca="false">-AG72*Assumptions!$D$99</f>
        <v>-2972.65213040667</v>
      </c>
      <c r="AH86" s="70" t="n">
        <f aca="false">-AH72*Assumptions!$D$99</f>
        <v>-3039.91063184557</v>
      </c>
      <c r="AI86" s="70" t="n">
        <f aca="false">-AI72*Assumptions!$D$99</f>
        <v>-3110.5472441061</v>
      </c>
      <c r="AJ86" s="70" t="n">
        <f aca="false">-AJ72*Assumptions!$D$99</f>
        <v>-3184.81194384988</v>
      </c>
      <c r="AK86" s="70" t="n">
        <f aca="false">-AK72*Assumptions!$D$99</f>
        <v>-3262.96716550001</v>
      </c>
      <c r="AL86" s="70" t="n">
        <f aca="false">-AL72*Assumptions!$D$99</f>
        <v>-3345.28884189427</v>
      </c>
      <c r="AM86" s="70" t="n">
        <f aca="false">SUM(C86:AL86)</f>
        <v>-82006.0327568132</v>
      </c>
    </row>
    <row r="87" customFormat="false" ht="15" hidden="false" customHeight="false" outlineLevel="0" collapsed="false">
      <c r="A87" s="37" t="s">
        <v>807</v>
      </c>
      <c r="B87" s="9" t="s">
        <v>97</v>
      </c>
      <c r="C87" s="53" t="n">
        <f aca="false">C75+C76+C77+C78+C79+C80+C81+C82+C83+C84+C85+C86</f>
        <v>-24820</v>
      </c>
      <c r="D87" s="53" t="n">
        <f aca="false">D75+D76+D77+D78+D79+D80+D81+D82+D83+D84+D85+D86</f>
        <v>-24820</v>
      </c>
      <c r="E87" s="53" t="n">
        <f aca="false">E75+E76+E77+E78+E79+E80+E81+E82+E83+E84+E85+E86</f>
        <v>-60578.4</v>
      </c>
      <c r="F87" s="53" t="n">
        <f aca="false">F75+F76+F77+F78+F79+F80+F81+F82+F83+F84+F85+F86</f>
        <v>-33012.8816208201</v>
      </c>
      <c r="G87" s="53" t="n">
        <f aca="false">G75+G76+G77+G78+G79+G80+G81+G82+G83+G84+G85+G86</f>
        <v>-31276.7449974616</v>
      </c>
      <c r="H87" s="53" t="n">
        <f aca="false">H75+H76+H77+H78+H79+H80+H81+H82+H83+H84+H85+H86</f>
        <v>-31340.5797598915</v>
      </c>
      <c r="I87" s="53" t="n">
        <f aca="false">I75+I76+I77+I78+I79+I80+I81+I82+I83+I84+I85+I86</f>
        <v>-36725.7529605025</v>
      </c>
      <c r="J87" s="53" t="n">
        <f aca="false">J75+J76+J77+J78+J79+J80+J81+J82+J83+J84+J85+J86</f>
        <v>-37148.2133233956</v>
      </c>
      <c r="K87" s="53" t="n">
        <f aca="false">K75+K76+K77+K78+K79+K80+K81+K82+K83+K84+K85+K86</f>
        <v>-37531.4199008493</v>
      </c>
      <c r="L87" s="53" t="n">
        <f aca="false">L75+L76+L77+L78+L79+L80+L81+L82+L83+L84+L85+L86</f>
        <v>-38001.6983834146</v>
      </c>
      <c r="M87" s="53" t="n">
        <f aca="false">M75+M76+M77+M78+M79+M80+M81+M82+M83+M84+M85+M86</f>
        <v>-38372.2573741077</v>
      </c>
      <c r="N87" s="53" t="n">
        <f aca="false">N75+N76+N77+N78+N79+N80+N81+N82+N83+N84+N85+N86</f>
        <v>-38713.3688312119</v>
      </c>
      <c r="O87" s="53" t="n">
        <f aca="false">O75+O76+O77+O78+O79+O80+O81+O82+O83+O84+O85+O86</f>
        <v>-47035.2330225439</v>
      </c>
      <c r="P87" s="53" t="n">
        <f aca="false">P75+P76+P77+P78+P79+P80+P81+P82+P83+P84+P85+P86</f>
        <v>-47343.9627434397</v>
      </c>
      <c r="Q87" s="53" t="n">
        <f aca="false">Q75+Q76+Q77+Q78+Q79+Q80+Q81+Q82+Q83+Q84+Q85+Q86</f>
        <v>-47643.9985146448</v>
      </c>
      <c r="R87" s="53" t="n">
        <f aca="false">R75+R76+R77+R78+R79+R80+R81+R82+R83+R84+R85+R86</f>
        <v>-47938.8209148803</v>
      </c>
      <c r="S87" s="53" t="n">
        <f aca="false">S75+S76+S77+S78+S79+S80+S81+S82+S83+S84+S85+S86</f>
        <v>-48231.2411711184</v>
      </c>
      <c r="T87" s="53" t="n">
        <f aca="false">T75+T76+T77+T78+T79+T80+T81+T82+T83+T84+T85+T86</f>
        <v>-48523.5934955124</v>
      </c>
      <c r="U87" s="53" t="n">
        <f aca="false">U75+U76+U77+U78+U79+U80+U81+U82+U83+U84+U85+U86</f>
        <v>-48817.8712414815</v>
      </c>
      <c r="V87" s="53" t="n">
        <f aca="false">V75+V76+V77+V78+V79+V80+V81+V82+V83+V84+V85+V86</f>
        <v>-49115.8254789546</v>
      </c>
      <c r="W87" s="53" t="n">
        <f aca="false">W75+W76+W77+W78+W79+W80+W81+W82+W83+W84+W85+W86</f>
        <v>-49419.0372715537</v>
      </c>
      <c r="X87" s="53" t="n">
        <f aca="false">X75+X76+X77+X78+X79+X80+X81+X82+X83+X84+X85+X86</f>
        <v>-49728.9712584793</v>
      </c>
      <c r="Y87" s="53" t="n">
        <f aca="false">Y75+Y76+Y77+Y78+Y79+Y80+Y81+Y82+Y83+Y84+Y85+Y86</f>
        <v>-50047.0158355073</v>
      </c>
      <c r="Z87" s="53" t="n">
        <f aca="false">Z75+Z76+Z77+Z78+Z79+Z80+Z81+Z82+Z83+Z84+Z85+Z86</f>
        <v>-50374.5136868248</v>
      </c>
      <c r="AA87" s="53" t="n">
        <f aca="false">AA75+AA76+AA77+AA78+AA79+AA80+AA81+AA82+AA83+AA84+AA85+AA86</f>
        <v>-58712.785354876</v>
      </c>
      <c r="AB87" s="53" t="n">
        <f aca="false">AB75+AB76+AB77+AB78+AB79+AB80+AB81+AB82+AB83+AB84+AB85+AB86</f>
        <v>-59063.1477867934</v>
      </c>
      <c r="AC87" s="53" t="n">
        <f aca="false">AC75+AC76+AC77+AC78+AC79+AC80+AC81+AC82+AC83+AC84+AC85+AC86</f>
        <v>-59426.9292633436</v>
      </c>
      <c r="AD87" s="53" t="n">
        <f aca="false">AD75+AD76+AD77+AD78+AD79+AD80+AD81+AD82+AD83+AD84+AD85+AD86</f>
        <v>-59805.4817344916</v>
      </c>
      <c r="AE87" s="53" t="n">
        <f aca="false">AE75+AE76+AE77+AE78+AE79+AE80+AE81+AE82+AE83+AE84+AE85+AE86</f>
        <v>-60200.1913106542</v>
      </c>
      <c r="AF87" s="53" t="n">
        <f aca="false">AF75+AF76+AF77+AF78+AF79+AF80+AF81+AF82+AF83+AF84+AF85+AF86</f>
        <v>-60612.4874600124</v>
      </c>
      <c r="AG87" s="53" t="n">
        <f aca="false">AG75+AG76+AG77+AG78+AG79+AG80+AG81+AG82+AG83+AG84+AG85+AG86</f>
        <v>-61043.8513184242</v>
      </c>
      <c r="AH87" s="53" t="n">
        <f aca="false">AH75+AH76+AH77+AH78+AH79+AH80+AH81+AH82+AH83+AH84+AH85+AH86</f>
        <v>-61495.8234142856</v>
      </c>
      <c r="AI87" s="53" t="n">
        <f aca="false">AI75+AI76+AI77+AI78+AI79+AI80+AI81+AI82+AI83+AI84+AI85+AI86</f>
        <v>-61970.0110351795</v>
      </c>
      <c r="AJ87" s="53" t="n">
        <f aca="false">AJ75+AJ76+AJ77+AJ78+AJ79+AJ80+AJ81+AJ82+AJ83+AJ84+AJ85+AJ86</f>
        <v>-62468.0954084865</v>
      </c>
      <c r="AK87" s="53" t="n">
        <f aca="false">AK75+AK76+AK77+AK78+AK79+AK80+AK81+AK82+AK83+AK84+AK85+AK86</f>
        <v>-62991.8388285993</v>
      </c>
      <c r="AL87" s="53" t="n">
        <f aca="false">AL75+AL76+AL77+AL78+AL79+AL80+AL81+AL82+AL83+AL84+AL85+AL86</f>
        <v>-63543.0918348943</v>
      </c>
      <c r="AM87" s="53" t="n">
        <f aca="false">SUM(C87:AL87)</f>
        <v>-1747895.13653664</v>
      </c>
    </row>
    <row r="88" customFormat="false" ht="15" hidden="false" customHeight="false" outlineLevel="0" collapsed="false">
      <c r="A88" s="37" t="s">
        <v>808</v>
      </c>
      <c r="B88" s="9" t="s">
        <v>97</v>
      </c>
      <c r="C88" s="53" t="n">
        <f aca="false">C73+C87</f>
        <v>-24820</v>
      </c>
      <c r="D88" s="53" t="n">
        <f aca="false">D73+D87</f>
        <v>-24820</v>
      </c>
      <c r="E88" s="53" t="n">
        <f aca="false">E73+E87</f>
        <v>-40003.776</v>
      </c>
      <c r="F88" s="53" t="n">
        <f aca="false">F73+F87</f>
        <v>-15757.2434594207</v>
      </c>
      <c r="G88" s="53" t="n">
        <f aca="false">G73+G87</f>
        <v>-13871.258178296</v>
      </c>
      <c r="H88" s="53" t="n">
        <f aca="false">H73+H87</f>
        <v>-13264.4555657644</v>
      </c>
      <c r="I88" s="53" t="n">
        <f aca="false">I73+I87</f>
        <v>-18001.4751477195</v>
      </c>
      <c r="J88" s="53" t="n">
        <f aca="false">J73+J87</f>
        <v>-17874.5590600533</v>
      </c>
      <c r="K88" s="53" t="n">
        <f aca="false">K73+K87</f>
        <v>-17670.081242962</v>
      </c>
      <c r="L88" s="53" t="n">
        <f aca="false">L73+L87</f>
        <v>-17645.8693591608</v>
      </c>
      <c r="M88" s="53" t="n">
        <f aca="false">M73+M87</f>
        <v>-17563.5876446779</v>
      </c>
      <c r="N88" s="53" t="n">
        <f aca="false">N73+N87</f>
        <v>-17478.4838836283</v>
      </c>
      <c r="O88" s="53" t="n">
        <f aca="false">O73+O87</f>
        <v>-25392.2042713265</v>
      </c>
      <c r="P88" s="53" t="n">
        <f aca="false">P73+P87</f>
        <v>-25304.7958540907</v>
      </c>
      <c r="Q88" s="53" t="n">
        <f aca="false">Q73+Q87</f>
        <v>-25215.9978440642</v>
      </c>
      <c r="R88" s="53" t="n">
        <f aca="false">R73+R87</f>
        <v>-25125.5278273783</v>
      </c>
      <c r="S88" s="53" t="n">
        <f aca="false">S73+S87</f>
        <v>-25033.0963520521</v>
      </c>
      <c r="T88" s="53" t="n">
        <f aca="false">T73+T87</f>
        <v>-24938.4065112399</v>
      </c>
      <c r="U88" s="53" t="n">
        <f aca="false">U73+U87</f>
        <v>-24841.1521359901</v>
      </c>
      <c r="V88" s="53" t="n">
        <f aca="false">V73+V87</f>
        <v>-24741.0163202419</v>
      </c>
      <c r="W88" s="53" t="n">
        <f aca="false">W73+W87</f>
        <v>-24637.6703425505</v>
      </c>
      <c r="X88" s="53" t="n">
        <f aca="false">X73+X87</f>
        <v>-24530.7728618252</v>
      </c>
      <c r="Y88" s="53" t="n">
        <f aca="false">Y73+Y87</f>
        <v>-24419.9692605878</v>
      </c>
      <c r="Z88" s="53" t="n">
        <f aca="false">Z73+Z87</f>
        <v>-24304.8910397274</v>
      </c>
      <c r="AA88" s="53" t="n">
        <f aca="false">AA73+AA87</f>
        <v>-32185.1551999406</v>
      </c>
      <c r="AB88" s="53" t="n">
        <f aca="false">AB73+AB87</f>
        <v>-32060.3635694574</v>
      </c>
      <c r="AC88" s="53" t="n">
        <f aca="false">AC73+AC87</f>
        <v>-31930.1020547718</v>
      </c>
      <c r="AD88" s="53" t="n">
        <f aca="false">AD73+AD87</f>
        <v>-31793.9398023155</v>
      </c>
      <c r="AE88" s="53" t="n">
        <f aca="false">AE73+AE87</f>
        <v>-31651.4282659333</v>
      </c>
      <c r="AF88" s="53" t="n">
        <f aca="false">AF73+AF87</f>
        <v>-31502.1001789772</v>
      </c>
      <c r="AG88" s="53" t="n">
        <f aca="false">AG73+AG87</f>
        <v>-31345.4684318432</v>
      </c>
      <c r="AH88" s="53" t="n">
        <f aca="false">AH73+AH87</f>
        <v>-31181.0248565433</v>
      </c>
      <c r="AI88" s="53" t="n">
        <f aca="false">AI73+AI87</f>
        <v>-31008.2389199054</v>
      </c>
      <c r="AJ88" s="53" t="n">
        <f aca="false">AJ73+AJ87</f>
        <v>-30826.55632657</v>
      </c>
      <c r="AK88" s="53" t="n">
        <f aca="false">AK73+AK87</f>
        <v>-30635.3975322771</v>
      </c>
      <c r="AL88" s="53" t="n">
        <f aca="false">AL73+AL87</f>
        <v>-30434.156167169</v>
      </c>
      <c r="AM88" s="53" t="n">
        <f aca="false">SUM(C88:AL88)</f>
        <v>-913810.221468461</v>
      </c>
    </row>
    <row r="89" customFormat="false" ht="15" hidden="false" customHeight="false" outlineLevel="0" collapsed="false">
      <c r="A89" s="37" t="s">
        <v>809</v>
      </c>
      <c r="B89" s="9" t="s">
        <v>61</v>
      </c>
      <c r="C89" s="52" t="n">
        <f aca="false">IFERROR(C88/C72,0)</f>
        <v>0</v>
      </c>
      <c r="D89" s="52" t="n">
        <f aca="false">IFERROR(D88/D72,0)</f>
        <v>0</v>
      </c>
      <c r="E89" s="52" t="n">
        <f aca="false">IFERROR(E88/E72,0)</f>
        <v>-1.02133823529412</v>
      </c>
      <c r="F89" s="52" t="n">
        <f aca="false">IFERROR(F88/F72,0)</f>
        <v>-0.479677923322906</v>
      </c>
      <c r="G89" s="52" t="n">
        <f aca="false">IFERROR(G88/G72,0)</f>
        <v>-0.418629849480418</v>
      </c>
      <c r="H89" s="52" t="n">
        <f aca="false">IFERROR(H88/H72,0)</f>
        <v>-0.38546471006379</v>
      </c>
      <c r="I89" s="52" t="n">
        <f aca="false">IFERROR(I88/I72,0)</f>
        <v>-0.505014130710479</v>
      </c>
      <c r="J89" s="52" t="n">
        <f aca="false">IFERROR(J88/J72,0)</f>
        <v>-0.48716018204422</v>
      </c>
      <c r="K89" s="52" t="n">
        <f aca="false">IFERROR(K88/K72,0)</f>
        <v>-0.464020758004584</v>
      </c>
      <c r="L89" s="52" t="n">
        <f aca="false">IFERROR(L88/L72,0)</f>
        <v>-0.450704377441192</v>
      </c>
      <c r="M89" s="52" t="n">
        <f aca="false">IFERROR(M88/M72,0)</f>
        <v>-0.437617208676431</v>
      </c>
      <c r="N89" s="52" t="n">
        <f aca="false">IFERROR(N88/N72,0)</f>
        <v>-0.425683286652413</v>
      </c>
      <c r="O89" s="52" t="n">
        <f aca="false">IFERROR(O88/O72,0)</f>
        <v>-0.605359318606228</v>
      </c>
      <c r="P89" s="52" t="n">
        <f aca="false">IFERROR(P88/P72,0)</f>
        <v>-0.591161525252852</v>
      </c>
      <c r="Q89" s="52" t="n">
        <f aca="false">IFERROR(Q88/Q72,0)</f>
        <v>-0.577703511674988</v>
      </c>
      <c r="R89" s="52" t="n">
        <f aca="false">IFERROR(R88/R72,0)</f>
        <v>-0.564817670052724</v>
      </c>
      <c r="S89" s="52" t="n">
        <f aca="false">IFERROR(S88/S72,0)</f>
        <v>-0.55237620181021</v>
      </c>
      <c r="T89" s="52" t="n">
        <f aca="false">IFERROR(T88/T72,0)</f>
        <v>-0.540279858790246</v>
      </c>
      <c r="U89" s="52" t="n">
        <f aca="false">IFERROR(U88/U72,0)</f>
        <v>-0.528450258369662</v>
      </c>
      <c r="V89" s="52" t="n">
        <f aca="false">IFERROR(V88/V72,0)</f>
        <v>-0.516824573084159</v>
      </c>
      <c r="W89" s="52" t="n">
        <f aca="false">IFERROR(W88/W72,0)</f>
        <v>-0.505351816356729</v>
      </c>
      <c r="X89" s="52" t="n">
        <f aca="false">IFERROR(X88/X72,0)</f>
        <v>-0.493990215855885</v>
      </c>
      <c r="Y89" s="52" t="n">
        <f aca="false">IFERROR(Y88/Y72,0)</f>
        <v>-0.482705336522609</v>
      </c>
      <c r="Z89" s="52" t="n">
        <f aca="false">IFERROR(Z88/Z72,0)</f>
        <v>-0.47146872523906</v>
      </c>
      <c r="AA89" s="52" t="n">
        <f aca="false">IFERROR(AA88/AA72,0)</f>
        <v>-0.612501359693802</v>
      </c>
      <c r="AB89" s="52" t="n">
        <f aca="false">IFERROR(AB88/AB72,0)</f>
        <v>-0.598358768224062</v>
      </c>
      <c r="AC89" s="52" t="n">
        <f aca="false">IFERROR(AC88/AC72,0)</f>
        <v>-0.584205826452648</v>
      </c>
      <c r="AD89" s="52" t="n">
        <f aca="false">IFERROR(AD88/AD72,0)</f>
        <v>-0.570026806437305</v>
      </c>
      <c r="AE89" s="52" t="n">
        <f aca="false">IFERROR(AE88/AE72,0)</f>
        <v>-0.555809757750027</v>
      </c>
      <c r="AF89" s="52" t="n">
        <f aca="false">IFERROR(AF88/AF72,0)</f>
        <v>-0.541546168367742</v>
      </c>
      <c r="AG89" s="52" t="n">
        <f aca="false">IFERROR(AG88/AG72,0)</f>
        <v>-0.527230685878389</v>
      </c>
      <c r="AH89" s="52" t="n">
        <f aca="false">IFERROR(AH88/AH72,0)</f>
        <v>-0.512860880347869</v>
      </c>
      <c r="AI89" s="52" t="n">
        <f aca="false">IFERROR(AI88/AI72,0)</f>
        <v>-0.498437035133611</v>
      </c>
      <c r="AJ89" s="52" t="n">
        <f aca="false">IFERROR(AJ88/AJ72,0)</f>
        <v>-0.483961955526111</v>
      </c>
      <c r="AK89" s="52" t="n">
        <f aca="false">IFERROR(AK88/AK72,0)</f>
        <v>-0.469440787761996</v>
      </c>
      <c r="AL89" s="52" t="n">
        <f aca="false">IFERROR(AL88/AL72,0)</f>
        <v>-0.454880842963858</v>
      </c>
      <c r="AM89" s="52" t="n">
        <f aca="false">AVERAGE(N89:AL89)</f>
        <v>-0.530617326912207</v>
      </c>
    </row>
    <row r="90" customFormat="false" ht="15" hidden="false" customHeight="false" outlineLevel="0" collapsed="false">
      <c r="A90" s="10" t="s">
        <v>810</v>
      </c>
      <c r="B90" s="9" t="s">
        <v>97</v>
      </c>
      <c r="C90" s="70" t="n">
        <f aca="false">-C43*Assumptions!$D$102</f>
        <v>0</v>
      </c>
      <c r="D90" s="70" t="n">
        <f aca="false">-D43*Assumptions!$D$102</f>
        <v>0</v>
      </c>
      <c r="E90" s="70" t="n">
        <f aca="false">-E43*Assumptions!$D$102</f>
        <v>30600</v>
      </c>
      <c r="F90" s="70" t="n">
        <f aca="false">-F43*Assumptions!$D$102</f>
        <v>25663.7753253144</v>
      </c>
      <c r="G90" s="70" t="n">
        <f aca="false">-G43*Assumptions!$D$102</f>
        <v>25886.640585338</v>
      </c>
      <c r="H90" s="70" t="n">
        <f aca="false">-H43*Assumptions!$D$102</f>
        <v>26884.0587483053</v>
      </c>
      <c r="I90" s="70" t="n">
        <f aca="false">-I43*Assumptions!$D$102</f>
        <v>27848.0375180203</v>
      </c>
      <c r="J90" s="70" t="n">
        <f aca="false">-J43*Assumptions!$D$102</f>
        <v>28665.1080699348</v>
      </c>
      <c r="K90" s="70" t="n">
        <f aca="false">-K43*Assumptions!$D$102</f>
        <v>29374.3253364565</v>
      </c>
      <c r="L90" s="70" t="n">
        <f aca="false">-L43*Assumptions!$D$102</f>
        <v>30036.4187653807</v>
      </c>
      <c r="M90" s="70" t="n">
        <f aca="false">-M43*Assumptions!$D$102</f>
        <v>30641.6485834024</v>
      </c>
      <c r="N90" s="70" t="n">
        <f aca="false">-N43*Assumptions!$D$102</f>
        <v>31211.0431201635</v>
      </c>
      <c r="O90" s="70" t="n">
        <f aca="false">-O43*Assumptions!$D$102</f>
        <v>31756.2662918997</v>
      </c>
      <c r="P90" s="70" t="n">
        <f aca="false">-P43*Assumptions!$D$102</f>
        <v>32285.4813000159</v>
      </c>
      <c r="Q90" s="70" t="n">
        <f aca="false">-Q43*Assumptions!$D$102</f>
        <v>32804.9707079822</v>
      </c>
      <c r="R90" s="70" t="n">
        <f aca="false">-R43*Assumptions!$D$102</f>
        <v>33319.7357740632</v>
      </c>
      <c r="S90" s="70" t="n">
        <f aca="false">-S43*Assumptions!$D$102</f>
        <v>33833.8802966833</v>
      </c>
      <c r="T90" s="70" t="n">
        <f aca="false">-T43*Assumptions!$D$102</f>
        <v>34350.8762757273</v>
      </c>
      <c r="U90" s="70" t="n">
        <f aca="false">-U43*Assumptions!$D$102</f>
        <v>34873.75246129</v>
      </c>
      <c r="V90" s="70" t="n">
        <f aca="false">-V43*Assumptions!$D$102</f>
        <v>35405.2299392941</v>
      </c>
      <c r="W90" s="70" t="n">
        <f aca="false">-W43*Assumptions!$D$102</f>
        <v>35947.8206839873</v>
      </c>
      <c r="X90" s="70" t="n">
        <f aca="false">-X43*Assumptions!$D$102</f>
        <v>36503.8999694824</v>
      </c>
      <c r="Y90" s="70" t="n">
        <f aca="false">-Y43*Assumptions!$D$102</f>
        <v>37075.7602315524</v>
      </c>
      <c r="Z90" s="70" t="n">
        <f aca="false">-Z43*Assumptions!$D$102</f>
        <v>37665.6517324716</v>
      </c>
      <c r="AA90" s="70" t="n">
        <f aca="false">-AA43*Assumptions!$D$102</f>
        <v>38275.8138323233</v>
      </c>
      <c r="AB90" s="70" t="n">
        <f aca="false">-AB43*Assumptions!$D$102</f>
        <v>38908.4995837562</v>
      </c>
      <c r="AC90" s="70" t="n">
        <f aca="false">-AC43*Assumptions!$D$102</f>
        <v>39565.9955989733</v>
      </c>
      <c r="AD90" s="70" t="n">
        <f aca="false">-AD43*Assumptions!$D$102</f>
        <v>40250.638591639</v>
      </c>
      <c r="AE90" s="70" t="n">
        <f aca="false">-AE43*Assumptions!$D$102</f>
        <v>40964.8296068559</v>
      </c>
      <c r="AF90" s="70" t="n">
        <f aca="false">-AF43*Assumptions!$D$102</f>
        <v>41711.0466739243</v>
      </c>
      <c r="AG90" s="70" t="n">
        <f aca="false">-AG43*Assumptions!$D$102</f>
        <v>42491.8564173734</v>
      </c>
      <c r="AH90" s="70" t="n">
        <f aca="false">-AH43*Assumptions!$D$102</f>
        <v>43309.9250191659</v>
      </c>
      <c r="AI90" s="70" t="n">
        <f aca="false">-AI43*Assumptions!$D$102</f>
        <v>44168.0288229929</v>
      </c>
      <c r="AJ90" s="70" t="n">
        <f aca="false">-AJ43*Assumptions!$D$102</f>
        <v>45069.0647987379</v>
      </c>
      <c r="AK90" s="70" t="n">
        <f aca="false">-AK43*Assumptions!$D$102</f>
        <v>46016.0610333019</v>
      </c>
      <c r="AL90" s="70" t="n">
        <f aca="false">-AL43*Assumptions!$D$102</f>
        <v>47012.187377181</v>
      </c>
      <c r="AM90" s="70" t="n">
        <f aca="false">AL90</f>
        <v>47012.187377181</v>
      </c>
    </row>
    <row r="91" customFormat="false" ht="15" hidden="false" customHeight="false" outlineLevel="0" collapsed="false">
      <c r="A91" s="10" t="s">
        <v>811</v>
      </c>
      <c r="B91" s="9" t="s">
        <v>97</v>
      </c>
      <c r="C91" s="70" t="n">
        <f aca="false">-C90</f>
        <v>-0</v>
      </c>
      <c r="D91" s="70" t="n">
        <f aca="false">-(D90-C90)</f>
        <v>-0</v>
      </c>
      <c r="E91" s="70" t="n">
        <f aca="false">-(E90-D90)</f>
        <v>-30600</v>
      </c>
      <c r="F91" s="70" t="n">
        <f aca="false">-(F90-E90)</f>
        <v>4936.2246746856</v>
      </c>
      <c r="G91" s="70" t="n">
        <f aca="false">-(G90-F90)</f>
        <v>-222.865260023591</v>
      </c>
      <c r="H91" s="70" t="n">
        <f aca="false">-(H90-G90)</f>
        <v>-997.418162967297</v>
      </c>
      <c r="I91" s="70" t="n">
        <f aca="false">-(I90-H90)</f>
        <v>-963.978769715031</v>
      </c>
      <c r="J91" s="70" t="n">
        <f aca="false">-(J90-I90)</f>
        <v>-817.07055191445</v>
      </c>
      <c r="K91" s="70" t="n">
        <f aca="false">-(K90-J90)</f>
        <v>-709.217266521693</v>
      </c>
      <c r="L91" s="70" t="n">
        <f aca="false">-(L90-K90)</f>
        <v>-662.093428924218</v>
      </c>
      <c r="M91" s="70" t="n">
        <f aca="false">-(M90-L90)</f>
        <v>-605.229818021722</v>
      </c>
      <c r="N91" s="70" t="n">
        <f aca="false">-(N90-M90)</f>
        <v>-569.39453676109</v>
      </c>
      <c r="O91" s="70" t="n">
        <f aca="false">-(O90-N90)</f>
        <v>-545.223171736252</v>
      </c>
      <c r="P91" s="70" t="n">
        <f aca="false">-(P90-O90)</f>
        <v>-529.215008116109</v>
      </c>
      <c r="Q91" s="70" t="n">
        <f aca="false">-(Q90-P90)</f>
        <v>-519.489407966346</v>
      </c>
      <c r="R91" s="70" t="n">
        <f aca="false">-(R90-Q90)</f>
        <v>-514.765066080989</v>
      </c>
      <c r="S91" s="70" t="n">
        <f aca="false">-(S90-R90)</f>
        <v>-514.144522620132</v>
      </c>
      <c r="T91" s="70" t="n">
        <f aca="false">-(T90-S90)</f>
        <v>-516.995979043953</v>
      </c>
      <c r="U91" s="70" t="n">
        <f aca="false">-(U90-T90)</f>
        <v>-522.876185562694</v>
      </c>
      <c r="V91" s="70" t="n">
        <f aca="false">-(V90-U90)</f>
        <v>-531.477478004155</v>
      </c>
      <c r="W91" s="70" t="n">
        <f aca="false">-(W90-V90)</f>
        <v>-542.590744693131</v>
      </c>
      <c r="X91" s="70" t="n">
        <f aca="false">-(X90-W90)</f>
        <v>-556.079285495114</v>
      </c>
      <c r="Y91" s="70" t="n">
        <f aca="false">-(Y90-X90)</f>
        <v>-571.860262070069</v>
      </c>
      <c r="Z91" s="70" t="n">
        <f aca="false">-(Z90-Y90)</f>
        <v>-589.89150091917</v>
      </c>
      <c r="AA91" s="70" t="n">
        <f aca="false">-(AA90-Z90)</f>
        <v>-610.162099851659</v>
      </c>
      <c r="AB91" s="70" t="n">
        <f aca="false">-(AB90-AA90)</f>
        <v>-632.685751432939</v>
      </c>
      <c r="AC91" s="70" t="n">
        <f aca="false">-(AC90-AB90)</f>
        <v>-657.496015217053</v>
      </c>
      <c r="AD91" s="70" t="n">
        <f aca="false">-(AD90-AC90)</f>
        <v>-684.642992665751</v>
      </c>
      <c r="AE91" s="70" t="n">
        <f aca="false">-(AE90-AD90)</f>
        <v>-714.191015216893</v>
      </c>
      <c r="AF91" s="70" t="n">
        <f aca="false">-(AF90-AE90)</f>
        <v>-746.217067068392</v>
      </c>
      <c r="AG91" s="70" t="n">
        <f aca="false">-(AG90-AF90)</f>
        <v>-780.809743449085</v>
      </c>
      <c r="AH91" s="70" t="n">
        <f aca="false">-(AH90-AG90)</f>
        <v>-818.068601792482</v>
      </c>
      <c r="AI91" s="70" t="n">
        <f aca="false">-(AI90-AH90)</f>
        <v>-858.103803827071</v>
      </c>
      <c r="AJ91" s="70" t="n">
        <f aca="false">-(AJ90-AI90)</f>
        <v>-901.035975744977</v>
      </c>
      <c r="AK91" s="70" t="n">
        <f aca="false">-(AK90-AJ90)</f>
        <v>-946.996234564023</v>
      </c>
      <c r="AL91" s="70" t="n">
        <f aca="false">-(AL90-AK90)</f>
        <v>-996.126343879099</v>
      </c>
      <c r="AM91" s="70" t="n">
        <f aca="false">SUM(C91:AL91)</f>
        <v>-47012.187377181</v>
      </c>
    </row>
    <row r="92" customFormat="false" ht="15" hidden="false" customHeight="false" outlineLevel="0" collapsed="false">
      <c r="A92" s="10" t="s">
        <v>812</v>
      </c>
      <c r="B92" s="9" t="s">
        <v>97</v>
      </c>
      <c r="C92" s="70" t="n">
        <f aca="false">C88+C91</f>
        <v>-24820</v>
      </c>
      <c r="D92" s="70" t="n">
        <f aca="false">D88+D91</f>
        <v>-24820</v>
      </c>
      <c r="E92" s="70" t="n">
        <f aca="false">E88+E91</f>
        <v>-70603.776</v>
      </c>
      <c r="F92" s="70" t="n">
        <f aca="false">F88+F91</f>
        <v>-10821.0187847351</v>
      </c>
      <c r="G92" s="70" t="n">
        <f aca="false">G88+G91</f>
        <v>-14094.1234383196</v>
      </c>
      <c r="H92" s="70" t="n">
        <f aca="false">H88+H91</f>
        <v>-14261.8737287317</v>
      </c>
      <c r="I92" s="70" t="n">
        <f aca="false">I88+I91</f>
        <v>-18965.4539174345</v>
      </c>
      <c r="J92" s="70" t="n">
        <f aca="false">J88+J91</f>
        <v>-18691.6296119678</v>
      </c>
      <c r="K92" s="70" t="n">
        <f aca="false">K88+K91</f>
        <v>-18379.2985094837</v>
      </c>
      <c r="L92" s="70" t="n">
        <f aca="false">L88+L91</f>
        <v>-18307.9627880851</v>
      </c>
      <c r="M92" s="70" t="n">
        <f aca="false">M88+M91</f>
        <v>-18168.8174626996</v>
      </c>
      <c r="N92" s="70" t="n">
        <f aca="false">N88+N91</f>
        <v>-18047.8784203894</v>
      </c>
      <c r="O92" s="70" t="n">
        <f aca="false">O88+O91</f>
        <v>-25937.4274430627</v>
      </c>
      <c r="P92" s="70" t="n">
        <f aca="false">P88+P91</f>
        <v>-25834.0108622068</v>
      </c>
      <c r="Q92" s="70" t="n">
        <f aca="false">Q88+Q91</f>
        <v>-25735.4872520306</v>
      </c>
      <c r="R92" s="70" t="n">
        <f aca="false">R88+R91</f>
        <v>-25640.2928934592</v>
      </c>
      <c r="S92" s="70" t="n">
        <f aca="false">S88+S91</f>
        <v>-25547.2408746722</v>
      </c>
      <c r="T92" s="70" t="n">
        <f aca="false">T88+T91</f>
        <v>-25455.4024902839</v>
      </c>
      <c r="U92" s="70" t="n">
        <f aca="false">U88+U91</f>
        <v>-25364.0283215528</v>
      </c>
      <c r="V92" s="70" t="n">
        <f aca="false">V88+V91</f>
        <v>-25272.4937982461</v>
      </c>
      <c r="W92" s="70" t="n">
        <f aca="false">W88+W91</f>
        <v>-25180.2610872437</v>
      </c>
      <c r="X92" s="70" t="n">
        <f aca="false">X88+X91</f>
        <v>-25086.8521473203</v>
      </c>
      <c r="Y92" s="70" t="n">
        <f aca="false">Y88+Y91</f>
        <v>-24991.8295226579</v>
      </c>
      <c r="Z92" s="70" t="n">
        <f aca="false">Z88+Z91</f>
        <v>-24894.7825406466</v>
      </c>
      <c r="AA92" s="70" t="n">
        <f aca="false">AA88+AA91</f>
        <v>-32795.3172997923</v>
      </c>
      <c r="AB92" s="70" t="n">
        <f aca="false">AB88+AB91</f>
        <v>-32693.0493208904</v>
      </c>
      <c r="AC92" s="70" t="n">
        <f aca="false">AC88+AC91</f>
        <v>-32587.5980699889</v>
      </c>
      <c r="AD92" s="70" t="n">
        <f aca="false">AD88+AD91</f>
        <v>-32478.5827949813</v>
      </c>
      <c r="AE92" s="70" t="n">
        <f aca="false">AE88+AE91</f>
        <v>-32365.6192811502</v>
      </c>
      <c r="AF92" s="70" t="n">
        <f aca="false">AF88+AF91</f>
        <v>-32248.3172460456</v>
      </c>
      <c r="AG92" s="70" t="n">
        <f aca="false">AG88+AG91</f>
        <v>-32126.2781752923</v>
      </c>
      <c r="AH92" s="70" t="n">
        <f aca="false">AH88+AH91</f>
        <v>-31999.0934583357</v>
      </c>
      <c r="AI92" s="70" t="n">
        <f aca="false">AI88+AI91</f>
        <v>-31866.3427237325</v>
      </c>
      <c r="AJ92" s="70" t="n">
        <f aca="false">AJ88+AJ91</f>
        <v>-31727.592302315</v>
      </c>
      <c r="AK92" s="70" t="n">
        <f aca="false">AK88+AK91</f>
        <v>-31582.3937668411</v>
      </c>
      <c r="AL92" s="70" t="n">
        <f aca="false">AL88+AL91</f>
        <v>-31430.2825110481</v>
      </c>
      <c r="AM92" s="70" t="n">
        <f aca="false">SUM(C92:AL92)</f>
        <v>-960822.408845642</v>
      </c>
    </row>
    <row r="93" customFormat="false" ht="15" hidden="false" customHeight="false" outlineLevel="0" collapsed="false">
      <c r="A93" s="37" t="s">
        <v>813</v>
      </c>
      <c r="B93" s="9" t="s">
        <v>97</v>
      </c>
      <c r="C93" s="53" t="n">
        <f aca="false">C92</f>
        <v>-24820</v>
      </c>
      <c r="D93" s="53" t="n">
        <f aca="false">C93+D92</f>
        <v>-49640</v>
      </c>
      <c r="E93" s="53" t="n">
        <f aca="false">D93+E92</f>
        <v>-120243.776</v>
      </c>
      <c r="F93" s="53" t="n">
        <f aca="false">E93+F92</f>
        <v>-131064.794784735</v>
      </c>
      <c r="G93" s="53" t="n">
        <f aca="false">F93+G92</f>
        <v>-145158.918223055</v>
      </c>
      <c r="H93" s="53" t="n">
        <f aca="false">G93+H92</f>
        <v>-159420.791951786</v>
      </c>
      <c r="I93" s="53" t="n">
        <f aca="false">H93+I92</f>
        <v>-178386.245869221</v>
      </c>
      <c r="J93" s="53" t="n">
        <f aca="false">I93+J92</f>
        <v>-197077.875481189</v>
      </c>
      <c r="K93" s="53" t="n">
        <f aca="false">J93+K92</f>
        <v>-215457.173990672</v>
      </c>
      <c r="L93" s="53" t="n">
        <f aca="false">K93+L92</f>
        <v>-233765.136778757</v>
      </c>
      <c r="M93" s="53" t="n">
        <f aca="false">L93+M92</f>
        <v>-251933.954241457</v>
      </c>
      <c r="N93" s="53" t="n">
        <f aca="false">M93+N92</f>
        <v>-269981.832661846</v>
      </c>
      <c r="O93" s="53" t="n">
        <f aca="false">N93+O92</f>
        <v>-295919.260104909</v>
      </c>
      <c r="P93" s="53" t="n">
        <f aca="false">O93+P92</f>
        <v>-321753.270967116</v>
      </c>
      <c r="Q93" s="53" t="n">
        <f aca="false">P93+Q92</f>
        <v>-347488.758219146</v>
      </c>
      <c r="R93" s="53" t="n">
        <f aca="false">Q93+R92</f>
        <v>-373129.051112606</v>
      </c>
      <c r="S93" s="53" t="n">
        <f aca="false">R93+S92</f>
        <v>-398676.291987278</v>
      </c>
      <c r="T93" s="53" t="n">
        <f aca="false">S93+T92</f>
        <v>-424131.694477562</v>
      </c>
      <c r="U93" s="53" t="n">
        <f aca="false">T93+U92</f>
        <v>-449495.722799115</v>
      </c>
      <c r="V93" s="53" t="n">
        <f aca="false">U93+V92</f>
        <v>-474768.216597361</v>
      </c>
      <c r="W93" s="53" t="n">
        <f aca="false">V93+W92</f>
        <v>-499948.477684604</v>
      </c>
      <c r="X93" s="53" t="n">
        <f aca="false">W93+X92</f>
        <v>-525035.329831925</v>
      </c>
      <c r="Y93" s="53" t="n">
        <f aca="false">X93+Y92</f>
        <v>-550027.159354583</v>
      </c>
      <c r="Z93" s="53" t="n">
        <f aca="false">Y93+Z92</f>
        <v>-574921.941895229</v>
      </c>
      <c r="AA93" s="53" t="n">
        <f aca="false">Z93+AA92</f>
        <v>-607717.259195021</v>
      </c>
      <c r="AB93" s="53" t="n">
        <f aca="false">AA93+AB92</f>
        <v>-640410.308515912</v>
      </c>
      <c r="AC93" s="53" t="n">
        <f aca="false">AB93+AC92</f>
        <v>-672997.906585901</v>
      </c>
      <c r="AD93" s="53" t="n">
        <f aca="false">AC93+AD92</f>
        <v>-705476.489380882</v>
      </c>
      <c r="AE93" s="53" t="n">
        <f aca="false">AD93+AE92</f>
        <v>-737842.108662032</v>
      </c>
      <c r="AF93" s="53" t="n">
        <f aca="false">AE93+AF92</f>
        <v>-770090.425908078</v>
      </c>
      <c r="AG93" s="53" t="n">
        <f aca="false">AF93+AG92</f>
        <v>-802216.70408337</v>
      </c>
      <c r="AH93" s="53" t="n">
        <f aca="false">AG93+AH92</f>
        <v>-834215.797541706</v>
      </c>
      <c r="AI93" s="53" t="n">
        <f aca="false">AH93+AI92</f>
        <v>-866082.140265438</v>
      </c>
      <c r="AJ93" s="53" t="n">
        <f aca="false">AI93+AJ92</f>
        <v>-897809.732567753</v>
      </c>
      <c r="AK93" s="53" t="n">
        <f aca="false">AJ93+AK92</f>
        <v>-929392.126334594</v>
      </c>
      <c r="AL93" s="53" t="n">
        <f aca="false">AK93+AL92</f>
        <v>-960822.408845643</v>
      </c>
      <c r="AM93" s="53" t="n">
        <f aca="false">AL93</f>
        <v>-960822.408845643</v>
      </c>
    </row>
    <row r="94" customFormat="false" ht="15" hidden="false" customHeight="false" outlineLevel="0" collapsed="false">
      <c r="A94" s="10" t="s">
        <v>814</v>
      </c>
      <c r="B94" s="9" t="s">
        <v>51</v>
      </c>
      <c r="C94" s="69" t="n">
        <f aca="false">IF(C88&gt;0,C$5,999)</f>
        <v>999</v>
      </c>
      <c r="D94" s="69" t="n">
        <f aca="false">IF(D88&gt;0,D$5,999)</f>
        <v>999</v>
      </c>
      <c r="E94" s="69" t="n">
        <f aca="false">IF(E88&gt;0,E$5,999)</f>
        <v>999</v>
      </c>
      <c r="F94" s="69" t="n">
        <f aca="false">IF(F88&gt;0,F$5,999)</f>
        <v>999</v>
      </c>
      <c r="G94" s="69" t="n">
        <f aca="false">IF(G88&gt;0,G$5,999)</f>
        <v>999</v>
      </c>
      <c r="H94" s="69" t="n">
        <f aca="false">IF(H88&gt;0,H$5,999)</f>
        <v>999</v>
      </c>
      <c r="I94" s="69" t="n">
        <f aca="false">IF(I88&gt;0,I$5,999)</f>
        <v>999</v>
      </c>
      <c r="J94" s="69" t="n">
        <f aca="false">IF(J88&gt;0,J$5,999)</f>
        <v>999</v>
      </c>
      <c r="K94" s="69" t="n">
        <f aca="false">IF(K88&gt;0,K$5,999)</f>
        <v>999</v>
      </c>
      <c r="L94" s="69" t="n">
        <f aca="false">IF(L88&gt;0,L$5,999)</f>
        <v>999</v>
      </c>
      <c r="M94" s="69" t="n">
        <f aca="false">IF(M88&gt;0,M$5,999)</f>
        <v>999</v>
      </c>
      <c r="N94" s="69" t="n">
        <f aca="false">IF(N88&gt;0,N$5,999)</f>
        <v>999</v>
      </c>
      <c r="O94" s="69" t="n">
        <f aca="false">IF(O88&gt;0,O$5,999)</f>
        <v>999</v>
      </c>
      <c r="P94" s="69" t="n">
        <f aca="false">IF(P88&gt;0,P$5,999)</f>
        <v>999</v>
      </c>
      <c r="Q94" s="69" t="n">
        <f aca="false">IF(Q88&gt;0,Q$5,999)</f>
        <v>999</v>
      </c>
      <c r="R94" s="69" t="n">
        <f aca="false">IF(R88&gt;0,R$5,999)</f>
        <v>999</v>
      </c>
      <c r="S94" s="69" t="n">
        <f aca="false">IF(S88&gt;0,S$5,999)</f>
        <v>999</v>
      </c>
      <c r="T94" s="69" t="n">
        <f aca="false">IF(T88&gt;0,T$5,999)</f>
        <v>999</v>
      </c>
      <c r="U94" s="69" t="n">
        <f aca="false">IF(U88&gt;0,U$5,999)</f>
        <v>999</v>
      </c>
      <c r="V94" s="69" t="n">
        <f aca="false">IF(V88&gt;0,V$5,999)</f>
        <v>999</v>
      </c>
      <c r="W94" s="69" t="n">
        <f aca="false">IF(W88&gt;0,W$5,999)</f>
        <v>999</v>
      </c>
      <c r="X94" s="69" t="n">
        <f aca="false">IF(X88&gt;0,X$5,999)</f>
        <v>999</v>
      </c>
      <c r="Y94" s="69" t="n">
        <f aca="false">IF(Y88&gt;0,Y$5,999)</f>
        <v>999</v>
      </c>
      <c r="Z94" s="69" t="n">
        <f aca="false">IF(Z88&gt;0,Z$5,999)</f>
        <v>999</v>
      </c>
      <c r="AA94" s="69" t="n">
        <f aca="false">IF(AA88&gt;0,AA$5,999)</f>
        <v>999</v>
      </c>
      <c r="AB94" s="69" t="n">
        <f aca="false">IF(AB88&gt;0,AB$5,999)</f>
        <v>999</v>
      </c>
      <c r="AC94" s="69" t="n">
        <f aca="false">IF(AC88&gt;0,AC$5,999)</f>
        <v>999</v>
      </c>
      <c r="AD94" s="69" t="n">
        <f aca="false">IF(AD88&gt;0,AD$5,999)</f>
        <v>999</v>
      </c>
      <c r="AE94" s="69" t="n">
        <f aca="false">IF(AE88&gt;0,AE$5,999)</f>
        <v>999</v>
      </c>
      <c r="AF94" s="69" t="n">
        <f aca="false">IF(AF88&gt;0,AF$5,999)</f>
        <v>999</v>
      </c>
      <c r="AG94" s="69" t="n">
        <f aca="false">IF(AG88&gt;0,AG$5,999)</f>
        <v>999</v>
      </c>
      <c r="AH94" s="69" t="n">
        <f aca="false">IF(AH88&gt;0,AH$5,999)</f>
        <v>999</v>
      </c>
      <c r="AI94" s="69" t="n">
        <f aca="false">IF(AI88&gt;0,AI$5,999)</f>
        <v>999</v>
      </c>
      <c r="AJ94" s="69" t="n">
        <f aca="false">IF(AJ88&gt;0,AJ$5,999)</f>
        <v>999</v>
      </c>
      <c r="AK94" s="69" t="n">
        <f aca="false">IF(AK88&gt;0,AK$5,999)</f>
        <v>999</v>
      </c>
      <c r="AL94" s="69" t="n">
        <f aca="false">IF(AL88&gt;0,AL$5,999)</f>
        <v>999</v>
      </c>
      <c r="AM94" s="69"/>
    </row>
    <row r="95" customFormat="false" ht="15" hidden="false" customHeight="false" outlineLevel="0" collapsed="false">
      <c r="A95" s="10" t="s">
        <v>815</v>
      </c>
      <c r="B95" s="9" t="s">
        <v>51</v>
      </c>
      <c r="C95" s="61" t="n">
        <f aca="false">C32+C56</f>
        <v>0</v>
      </c>
      <c r="D95" s="61" t="n">
        <f aca="false">D32+D56</f>
        <v>0</v>
      </c>
      <c r="E95" s="61" t="n">
        <f aca="false">E32+E56</f>
        <v>600</v>
      </c>
      <c r="F95" s="61" t="n">
        <f aca="false">F32+F56</f>
        <v>305.811280888518</v>
      </c>
      <c r="G95" s="61" t="n">
        <f aca="false">G32+G56</f>
        <v>257.911276535481</v>
      </c>
      <c r="H95" s="61" t="n">
        <f aca="false">H32+H56</f>
        <v>230.670120338208</v>
      </c>
      <c r="I95" s="61" t="n">
        <f aca="false">I32+I56</f>
        <v>213.506499687619</v>
      </c>
      <c r="J95" s="61" t="n">
        <f aca="false">J32+J56</f>
        <v>200.966812484987</v>
      </c>
      <c r="K95" s="61" t="n">
        <f aca="false">K32+K56</f>
        <v>193.383448504821</v>
      </c>
      <c r="L95" s="61" t="n">
        <f aca="false">L32+L56</f>
        <v>187.982030291625</v>
      </c>
      <c r="M95" s="61" t="n">
        <f aca="false">M32+M56</f>
        <v>184.475726535485</v>
      </c>
      <c r="N95" s="61" t="n">
        <f aca="false">N32+N56</f>
        <v>182.558820959856</v>
      </c>
      <c r="O95" s="61" t="n">
        <f aca="false">O32+O56</f>
        <v>181.829923935009</v>
      </c>
      <c r="P95" s="61" t="n">
        <f aca="false">P32+P56</f>
        <v>181.991902449262</v>
      </c>
      <c r="Q95" s="61" t="n">
        <f aca="false">Q32+Q56</f>
        <v>182.829093479396</v>
      </c>
      <c r="R95" s="61" t="n">
        <f aca="false">R32+R56</f>
        <v>184.186991161689</v>
      </c>
      <c r="S95" s="61" t="n">
        <f aca="false">S32+S56</f>
        <v>185.956087446962</v>
      </c>
      <c r="T95" s="61" t="n">
        <f aca="false">T32+T56</f>
        <v>188.059797360986</v>
      </c>
      <c r="U95" s="61" t="n">
        <f aca="false">U32+U56</f>
        <v>190.445570188212</v>
      </c>
      <c r="V95" s="61" t="n">
        <f aca="false">V32+V56</f>
        <v>193.078399419002</v>
      </c>
      <c r="W95" s="61" t="n">
        <f aca="false">W32+W56</f>
        <v>195.936109068317</v>
      </c>
      <c r="X95" s="61" t="n">
        <f aca="false">X32+X56</f>
        <v>199.005943579385</v>
      </c>
      <c r="Y95" s="61" t="n">
        <f aca="false">Y32+Y56</f>
        <v>202.282109139594</v>
      </c>
      <c r="Z95" s="61" t="n">
        <f aca="false">Z32+Z56</f>
        <v>205.764007022237</v>
      </c>
      <c r="AA95" s="61" t="n">
        <f aca="false">AA32+AA56</f>
        <v>209.454969235392</v>
      </c>
      <c r="AB95" s="61" t="n">
        <f aca="false">AB32+AB56</f>
        <v>213.361358343824</v>
      </c>
      <c r="AC95" s="61" t="n">
        <f aca="false">AC32+AC56</f>
        <v>217.491931200183</v>
      </c>
      <c r="AD95" s="61" t="n">
        <f aca="false">AD32+AD56</f>
        <v>221.857393971965</v>
      </c>
      <c r="AE95" s="61" t="n">
        <f aca="false">AE32+AE56</f>
        <v>226.470095966176</v>
      </c>
      <c r="AF95" s="61" t="n">
        <f aca="false">AF32+AF56</f>
        <v>231.343824351906</v>
      </c>
      <c r="AG95" s="61" t="n">
        <f aca="false">AG32+AG56</f>
        <v>236.49367245781</v>
      </c>
      <c r="AH95" s="61" t="n">
        <f aca="false">AH32+AH56</f>
        <v>241.93596197596</v>
      </c>
      <c r="AI95" s="61" t="n">
        <f aca="false">AI32+AI56</f>
        <v>247.688204939203</v>
      </c>
      <c r="AJ95" s="61" t="n">
        <f aca="false">AJ32+AJ56</f>
        <v>253.769095340786</v>
      </c>
      <c r="AK95" s="61" t="n">
        <f aca="false">AK32+AK56</f>
        <v>260.198523157354</v>
      </c>
      <c r="AL95" s="61" t="n">
        <f aca="false">AL32+AL56</f>
        <v>266.997605627423</v>
      </c>
      <c r="AM95" s="61" t="n">
        <f aca="false">SUM(C95:AL95)</f>
        <v>7675.69458704463</v>
      </c>
    </row>
    <row r="96" customFormat="false" ht="15" hidden="false" customHeight="false" outlineLevel="0" collapsed="false">
      <c r="A96" s="37" t="s">
        <v>816</v>
      </c>
      <c r="B96" s="9" t="s">
        <v>97</v>
      </c>
      <c r="C96" s="51" t="n">
        <f aca="false">IFERROR((C26-C82)/C95,0)</f>
        <v>0</v>
      </c>
      <c r="D96" s="51" t="n">
        <f aca="false">IFERROR((D26-D82)/D95,0)</f>
        <v>0</v>
      </c>
      <c r="E96" s="51" t="n">
        <f aca="false">IFERROR((E26-E82)/E95,0)</f>
        <v>21.6666666666667</v>
      </c>
      <c r="F96" s="51" t="n">
        <f aca="false">IFERROR((F26-F82)/F95,0)</f>
        <v>48.233668676785</v>
      </c>
      <c r="G96" s="51" t="n">
        <f aca="false">IFERROR((G26-G82)/G95,0)</f>
        <v>50.4049306204398</v>
      </c>
      <c r="H96" s="51" t="n">
        <f aca="false">IFERROR((H26-H82)/H95,0)</f>
        <v>56.357537686023</v>
      </c>
      <c r="I96" s="51" t="n">
        <f aca="false">IFERROR((I26-I82)/I95,0)</f>
        <v>62.4031520297638</v>
      </c>
      <c r="J96" s="51" t="n">
        <f aca="false">IFERROR((J26-J82)/J95,0)</f>
        <v>68.1388446062098</v>
      </c>
      <c r="K96" s="51" t="n">
        <f aca="false">IFERROR((K26-K82)/K95,0)</f>
        <v>72.4333008184295</v>
      </c>
      <c r="L96" s="51" t="n">
        <f aca="false">IFERROR((L26-L82)/L95,0)</f>
        <v>76.7313258059262</v>
      </c>
      <c r="M96" s="51" t="n">
        <f aca="false">IFERROR((M26-M82)/M95,0)</f>
        <v>79.932076190275</v>
      </c>
      <c r="N96" s="51" t="n">
        <f aca="false">IFERROR((N26-N82)/N95,0)</f>
        <v>82.3864724444572</v>
      </c>
      <c r="O96" s="51" t="n">
        <f aca="false">IFERROR((O26-O82)/O95,0)</f>
        <v>84.2432808679843</v>
      </c>
      <c r="P96" s="51" t="n">
        <f aca="false">IFERROR((P26-P82)/P95,0)</f>
        <v>85.6285461713937</v>
      </c>
      <c r="Q96" s="51" t="n">
        <f aca="false">IFERROR((Q26-Q82)/Q95,0)</f>
        <v>86.6468461281575</v>
      </c>
      <c r="R96" s="51" t="n">
        <f aca="false">IFERROR((R26-R82)/R95,0)</f>
        <v>87.3818775343437</v>
      </c>
      <c r="S96" s="51" t="n">
        <f aca="false">IFERROR((S26-S82)/S95,0)</f>
        <v>87.8986812587352</v>
      </c>
      <c r="T96" s="51" t="n">
        <f aca="false">IFERROR((T26-T82)/T95,0)</f>
        <v>88.2468135553843</v>
      </c>
      <c r="U96" s="51" t="n">
        <f aca="false">IFERROR((U26-U82)/U95,0)</f>
        <v>88.4635631406655</v>
      </c>
      <c r="V96" s="51" t="n">
        <f aca="false">IFERROR((V26-V82)/V95,0)</f>
        <v>88.5767914024688</v>
      </c>
      <c r="W96" s="51" t="n">
        <f aca="false">IFERROR((W26-W82)/W95,0)</f>
        <v>88.6072623281357</v>
      </c>
      <c r="X96" s="51" t="n">
        <f aca="false">IFERROR((X26-X82)/X95,0)</f>
        <v>88.5704719048652</v>
      </c>
      <c r="Y96" s="51" t="n">
        <f aca="false">IFERROR((Y26-Y82)/Y95,0)</f>
        <v>88.478044938369</v>
      </c>
      <c r="Z96" s="51" t="n">
        <f aca="false">IFERROR((Z26-Z82)/Z95,0)</f>
        <v>88.3387819862653</v>
      </c>
      <c r="AA96" s="51" t="n">
        <f aca="false">IFERROR((AA26-AA82)/AA95,0)</f>
        <v>88.1594342049241</v>
      </c>
      <c r="AB96" s="51" t="n">
        <f aca="false">IFERROR((AB26-AB82)/AB95,0)</f>
        <v>87.9452718134974</v>
      </c>
      <c r="AC96" s="51" t="n">
        <f aca="false">IFERROR((AC26-AC82)/AC95,0)</f>
        <v>87.700498548319</v>
      </c>
      <c r="AD96" s="51" t="n">
        <f aca="false">IFERROR((AD26-AD82)/AD95,0)</f>
        <v>87.4285524310992</v>
      </c>
      <c r="AE96" s="51" t="n">
        <f aca="false">IFERROR((AE26-AE82)/AE95,0)</f>
        <v>87.1323232152757</v>
      </c>
      <c r="AF96" s="51" t="n">
        <f aca="false">IFERROR((AF26-AF82)/AF95,0)</f>
        <v>86.8143090409838</v>
      </c>
      <c r="AG96" s="51" t="n">
        <f aca="false">IFERROR((AG26-AG82)/AG95,0)</f>
        <v>86.4767288506038</v>
      </c>
      <c r="AH96" s="51" t="n">
        <f aca="false">IFERROR((AH26-AH82)/AH95,0)</f>
        <v>86.1216026433904</v>
      </c>
      <c r="AI96" s="51" t="n">
        <f aca="false">IFERROR((AI26-AI82)/AI95,0)</f>
        <v>85.7508083450593</v>
      </c>
      <c r="AJ96" s="51" t="n">
        <f aca="false">IFERROR((AJ26-AJ82)/AJ95,0)</f>
        <v>85.3661216530131</v>
      </c>
      <c r="AK96" s="51" t="n">
        <f aca="false">IFERROR((AK26-AK82)/AK95,0)</f>
        <v>84.9692434638802</v>
      </c>
      <c r="AL96" s="51" t="n">
        <f aca="false">IFERROR((AL26-AL82)/AL95,0)</f>
        <v>84.5618182228414</v>
      </c>
      <c r="AM96" s="51" t="n">
        <f aca="false">AVERAGE(N96:AL96)</f>
        <v>86.8757658437645</v>
      </c>
    </row>
    <row r="97" customFormat="false" ht="15" hidden="false" customHeight="false" outlineLevel="0" collapsed="false">
      <c r="A97" s="10" t="s">
        <v>817</v>
      </c>
      <c r="B97" s="9" t="s">
        <v>97</v>
      </c>
      <c r="C97" s="63" t="n">
        <f aca="false">IFERROR(C18/(C19*Assumptions!$D$49*Assumptions!$D$31*Assumptions!$D$32),0)</f>
        <v>0</v>
      </c>
      <c r="D97" s="63" t="n">
        <f aca="false">IFERROR(D18/(D19*Assumptions!$D$49*Assumptions!$D$31*Assumptions!$D$32),0)</f>
        <v>0</v>
      </c>
      <c r="E97" s="63" t="n">
        <f aca="false">IFERROR(E18/(E19*Assumptions!$D$49*Assumptions!$D$31*Assumptions!$D$32),0)</f>
        <v>168.831168831169</v>
      </c>
      <c r="F97" s="63" t="n">
        <f aca="false">IFERROR(F18/(F19*Assumptions!$D$49*Assumptions!$D$31*Assumptions!$D$32),0)</f>
        <v>168.831168831169</v>
      </c>
      <c r="G97" s="63" t="n">
        <f aca="false">IFERROR(G18/(G19*Assumptions!$D$49*Assumptions!$D$31*Assumptions!$D$32),0)</f>
        <v>168.831168831169</v>
      </c>
      <c r="H97" s="63" t="n">
        <f aca="false">IFERROR(H18/(H19*Assumptions!$D$49*Assumptions!$D$31*Assumptions!$D$32),0)</f>
        <v>168.831168831169</v>
      </c>
      <c r="I97" s="63" t="n">
        <f aca="false">IFERROR(I18/(I19*Assumptions!$D$49*Assumptions!$D$31*Assumptions!$D$32),0)</f>
        <v>168.831168831169</v>
      </c>
      <c r="J97" s="63" t="n">
        <f aca="false">IFERROR(J18/(J19*Assumptions!$D$49*Assumptions!$D$31*Assumptions!$D$32),0)</f>
        <v>168.831168831169</v>
      </c>
      <c r="K97" s="63" t="n">
        <f aca="false">IFERROR(K18/(K19*Assumptions!$D$49*Assumptions!$D$31*Assumptions!$D$32),0)</f>
        <v>168.831168831169</v>
      </c>
      <c r="L97" s="63" t="n">
        <f aca="false">IFERROR(L18/(L19*Assumptions!$D$49*Assumptions!$D$31*Assumptions!$D$32),0)</f>
        <v>168.831168831169</v>
      </c>
      <c r="M97" s="63" t="n">
        <f aca="false">IFERROR(M18/(M19*Assumptions!$D$49*Assumptions!$D$31*Assumptions!$D$32),0)</f>
        <v>168.831168831169</v>
      </c>
      <c r="N97" s="63" t="n">
        <f aca="false">IFERROR(N18/(N19*Assumptions!$D$49*Assumptions!$D$31*Assumptions!$D$32),0)</f>
        <v>168.831168831169</v>
      </c>
      <c r="O97" s="63" t="n">
        <f aca="false">IFERROR(O18/(O19*Assumptions!$D$49*Assumptions!$D$31*Assumptions!$D$32),0)</f>
        <v>168.831168831169</v>
      </c>
      <c r="P97" s="63" t="n">
        <f aca="false">IFERROR(P18/(P19*Assumptions!$D$49*Assumptions!$D$31*Assumptions!$D$32),0)</f>
        <v>168.831168831169</v>
      </c>
      <c r="Q97" s="63" t="n">
        <f aca="false">IFERROR(Q18/(Q19*Assumptions!$D$49*Assumptions!$D$31*Assumptions!$D$32),0)</f>
        <v>168.831168831169</v>
      </c>
      <c r="R97" s="63" t="n">
        <f aca="false">IFERROR(R18/(R19*Assumptions!$D$49*Assumptions!$D$31*Assumptions!$D$32),0)</f>
        <v>168.831168831169</v>
      </c>
      <c r="S97" s="63" t="n">
        <f aca="false">IFERROR(S18/(S19*Assumptions!$D$49*Assumptions!$D$31*Assumptions!$D$32),0)</f>
        <v>168.831168831169</v>
      </c>
      <c r="T97" s="63" t="n">
        <f aca="false">IFERROR(T18/(T19*Assumptions!$D$49*Assumptions!$D$31*Assumptions!$D$32),0)</f>
        <v>168.831168831169</v>
      </c>
      <c r="U97" s="63" t="n">
        <f aca="false">IFERROR(U18/(U19*Assumptions!$D$49*Assumptions!$D$31*Assumptions!$D$32),0)</f>
        <v>168.831168831169</v>
      </c>
      <c r="V97" s="63" t="n">
        <f aca="false">IFERROR(V18/(V19*Assumptions!$D$49*Assumptions!$D$31*Assumptions!$D$32),0)</f>
        <v>168.831168831169</v>
      </c>
      <c r="W97" s="63" t="n">
        <f aca="false">IFERROR(W18/(W19*Assumptions!$D$49*Assumptions!$D$31*Assumptions!$D$32),0)</f>
        <v>168.831168831169</v>
      </c>
      <c r="X97" s="63" t="n">
        <f aca="false">IFERROR(X18/(X19*Assumptions!$D$49*Assumptions!$D$31*Assumptions!$D$32),0)</f>
        <v>168.831168831169</v>
      </c>
      <c r="Y97" s="63" t="n">
        <f aca="false">IFERROR(Y18/(Y19*Assumptions!$D$49*Assumptions!$D$31*Assumptions!$D$32),0)</f>
        <v>168.831168831169</v>
      </c>
      <c r="Z97" s="63" t="n">
        <f aca="false">IFERROR(Z18/(Z19*Assumptions!$D$49*Assumptions!$D$31*Assumptions!$D$32),0)</f>
        <v>168.831168831169</v>
      </c>
      <c r="AA97" s="63" t="n">
        <f aca="false">IFERROR(AA18/(AA19*Assumptions!$D$49*Assumptions!$D$31*Assumptions!$D$32),0)</f>
        <v>168.831168831169</v>
      </c>
      <c r="AB97" s="63" t="n">
        <f aca="false">IFERROR(AB18/(AB19*Assumptions!$D$49*Assumptions!$D$31*Assumptions!$D$32),0)</f>
        <v>168.831168831169</v>
      </c>
      <c r="AC97" s="63" t="n">
        <f aca="false">IFERROR(AC18/(AC19*Assumptions!$D$49*Assumptions!$D$31*Assumptions!$D$32),0)</f>
        <v>168.831168831169</v>
      </c>
      <c r="AD97" s="63" t="n">
        <f aca="false">IFERROR(AD18/(AD19*Assumptions!$D$49*Assumptions!$D$31*Assumptions!$D$32),0)</f>
        <v>168.831168831169</v>
      </c>
      <c r="AE97" s="63" t="n">
        <f aca="false">IFERROR(AE18/(AE19*Assumptions!$D$49*Assumptions!$D$31*Assumptions!$D$32),0)</f>
        <v>168.831168831169</v>
      </c>
      <c r="AF97" s="63" t="n">
        <f aca="false">IFERROR(AF18/(AF19*Assumptions!$D$49*Assumptions!$D$31*Assumptions!$D$32),0)</f>
        <v>168.831168831169</v>
      </c>
      <c r="AG97" s="63" t="n">
        <f aca="false">IFERROR(AG18/(AG19*Assumptions!$D$49*Assumptions!$D$31*Assumptions!$D$32),0)</f>
        <v>168.831168831169</v>
      </c>
      <c r="AH97" s="63" t="n">
        <f aca="false">IFERROR(AH18/(AH19*Assumptions!$D$49*Assumptions!$D$31*Assumptions!$D$32),0)</f>
        <v>168.831168831169</v>
      </c>
      <c r="AI97" s="63" t="n">
        <f aca="false">IFERROR(AI18/(AI19*Assumptions!$D$49*Assumptions!$D$31*Assumptions!$D$32),0)</f>
        <v>168.831168831169</v>
      </c>
      <c r="AJ97" s="63" t="n">
        <f aca="false">IFERROR(AJ18/(AJ19*Assumptions!$D$49*Assumptions!$D$31*Assumptions!$D$32),0)</f>
        <v>168.831168831169</v>
      </c>
      <c r="AK97" s="63" t="n">
        <f aca="false">IFERROR(AK18/(AK19*Assumptions!$D$49*Assumptions!$D$31*Assumptions!$D$32),0)</f>
        <v>168.831168831169</v>
      </c>
      <c r="AL97" s="63" t="n">
        <f aca="false">IFERROR(AL18/(AL19*Assumptions!$D$49*Assumptions!$D$31*Assumptions!$D$32),0)</f>
        <v>168.831168831169</v>
      </c>
      <c r="AM97" s="63" t="n">
        <f aca="false">AVERAGE(N97:AL97)</f>
        <v>168.831168831169</v>
      </c>
    </row>
    <row r="98" customFormat="false" ht="15" hidden="false" customHeight="false" outlineLevel="0" collapsed="false">
      <c r="A98" s="10" t="s">
        <v>818</v>
      </c>
      <c r="B98" s="9" t="s">
        <v>97</v>
      </c>
      <c r="C98" s="63" t="n">
        <f aca="false">IFERROR(C22/(C23*Assumptions!$D$49*Assumptions!$D$38*Assumptions!$D$39),0)</f>
        <v>0</v>
      </c>
      <c r="D98" s="63" t="n">
        <f aca="false">IFERROR(D22/(D23*Assumptions!$D$49*Assumptions!$D$38*Assumptions!$D$39),0)</f>
        <v>0</v>
      </c>
      <c r="E98" s="63" t="n">
        <f aca="false">IFERROR(E22/(E23*Assumptions!$D$49*Assumptions!$D$38*Assumptions!$D$39),0)</f>
        <v>425</v>
      </c>
      <c r="F98" s="63" t="n">
        <f aca="false">IFERROR(F22/(F23*Assumptions!$D$49*Assumptions!$D$38*Assumptions!$D$39),0)</f>
        <v>425</v>
      </c>
      <c r="G98" s="63" t="n">
        <f aca="false">IFERROR(G22/(G23*Assumptions!$D$49*Assumptions!$D$38*Assumptions!$D$39),0)</f>
        <v>425</v>
      </c>
      <c r="H98" s="63" t="n">
        <f aca="false">IFERROR(H22/(H23*Assumptions!$D$49*Assumptions!$D$38*Assumptions!$D$39),0)</f>
        <v>425</v>
      </c>
      <c r="I98" s="63" t="n">
        <f aca="false">IFERROR(I22/(I23*Assumptions!$D$49*Assumptions!$D$38*Assumptions!$D$39),0)</f>
        <v>425</v>
      </c>
      <c r="J98" s="63" t="n">
        <f aca="false">IFERROR(J22/(J23*Assumptions!$D$49*Assumptions!$D$38*Assumptions!$D$39),0)</f>
        <v>425</v>
      </c>
      <c r="K98" s="63" t="n">
        <f aca="false">IFERROR(K22/(K23*Assumptions!$D$49*Assumptions!$D$38*Assumptions!$D$39),0)</f>
        <v>425</v>
      </c>
      <c r="L98" s="63" t="n">
        <f aca="false">IFERROR(L22/(L23*Assumptions!$D$49*Assumptions!$D$38*Assumptions!$D$39),0)</f>
        <v>425</v>
      </c>
      <c r="M98" s="63" t="n">
        <f aca="false">IFERROR(M22/(M23*Assumptions!$D$49*Assumptions!$D$38*Assumptions!$D$39),0)</f>
        <v>425</v>
      </c>
      <c r="N98" s="63" t="n">
        <f aca="false">IFERROR(N22/(N23*Assumptions!$D$49*Assumptions!$D$38*Assumptions!$D$39),0)</f>
        <v>425</v>
      </c>
      <c r="O98" s="63" t="n">
        <f aca="false">IFERROR(O22/(O23*Assumptions!$D$49*Assumptions!$D$38*Assumptions!$D$39),0)</f>
        <v>425</v>
      </c>
      <c r="P98" s="63" t="n">
        <f aca="false">IFERROR(P22/(P23*Assumptions!$D$49*Assumptions!$D$38*Assumptions!$D$39),0)</f>
        <v>425</v>
      </c>
      <c r="Q98" s="63" t="n">
        <f aca="false">IFERROR(Q22/(Q23*Assumptions!$D$49*Assumptions!$D$38*Assumptions!$D$39),0)</f>
        <v>425</v>
      </c>
      <c r="R98" s="63" t="n">
        <f aca="false">IFERROR(R22/(R23*Assumptions!$D$49*Assumptions!$D$38*Assumptions!$D$39),0)</f>
        <v>425</v>
      </c>
      <c r="S98" s="63" t="n">
        <f aca="false">IFERROR(S22/(S23*Assumptions!$D$49*Assumptions!$D$38*Assumptions!$D$39),0)</f>
        <v>425</v>
      </c>
      <c r="T98" s="63" t="n">
        <f aca="false">IFERROR(T22/(T23*Assumptions!$D$49*Assumptions!$D$38*Assumptions!$D$39),0)</f>
        <v>425</v>
      </c>
      <c r="U98" s="63" t="n">
        <f aca="false">IFERROR(U22/(U23*Assumptions!$D$49*Assumptions!$D$38*Assumptions!$D$39),0)</f>
        <v>425</v>
      </c>
      <c r="V98" s="63" t="n">
        <f aca="false">IFERROR(V22/(V23*Assumptions!$D$49*Assumptions!$D$38*Assumptions!$D$39),0)</f>
        <v>425</v>
      </c>
      <c r="W98" s="63" t="n">
        <f aca="false">IFERROR(W22/(W23*Assumptions!$D$49*Assumptions!$D$38*Assumptions!$D$39),0)</f>
        <v>425</v>
      </c>
      <c r="X98" s="63" t="n">
        <f aca="false">IFERROR(X22/(X23*Assumptions!$D$49*Assumptions!$D$38*Assumptions!$D$39),0)</f>
        <v>425</v>
      </c>
      <c r="Y98" s="63" t="n">
        <f aca="false">IFERROR(Y22/(Y23*Assumptions!$D$49*Assumptions!$D$38*Assumptions!$D$39),0)</f>
        <v>425</v>
      </c>
      <c r="Z98" s="63" t="n">
        <f aca="false">IFERROR(Z22/(Z23*Assumptions!$D$49*Assumptions!$D$38*Assumptions!$D$39),0)</f>
        <v>425</v>
      </c>
      <c r="AA98" s="63" t="n">
        <f aca="false">IFERROR(AA22/(AA23*Assumptions!$D$49*Assumptions!$D$38*Assumptions!$D$39),0)</f>
        <v>425</v>
      </c>
      <c r="AB98" s="63" t="n">
        <f aca="false">IFERROR(AB22/(AB23*Assumptions!$D$49*Assumptions!$D$38*Assumptions!$D$39),0)</f>
        <v>425</v>
      </c>
      <c r="AC98" s="63" t="n">
        <f aca="false">IFERROR(AC22/(AC23*Assumptions!$D$49*Assumptions!$D$38*Assumptions!$D$39),0)</f>
        <v>425</v>
      </c>
      <c r="AD98" s="63" t="n">
        <f aca="false">IFERROR(AD22/(AD23*Assumptions!$D$49*Assumptions!$D$38*Assumptions!$D$39),0)</f>
        <v>425</v>
      </c>
      <c r="AE98" s="63" t="n">
        <f aca="false">IFERROR(AE22/(AE23*Assumptions!$D$49*Assumptions!$D$38*Assumptions!$D$39),0)</f>
        <v>425</v>
      </c>
      <c r="AF98" s="63" t="n">
        <f aca="false">IFERROR(AF22/(AF23*Assumptions!$D$49*Assumptions!$D$38*Assumptions!$D$39),0)</f>
        <v>425</v>
      </c>
      <c r="AG98" s="63" t="n">
        <f aca="false">IFERROR(AG22/(AG23*Assumptions!$D$49*Assumptions!$D$38*Assumptions!$D$39),0)</f>
        <v>425</v>
      </c>
      <c r="AH98" s="63" t="n">
        <f aca="false">IFERROR(AH22/(AH23*Assumptions!$D$49*Assumptions!$D$38*Assumptions!$D$39),0)</f>
        <v>425</v>
      </c>
      <c r="AI98" s="63" t="n">
        <f aca="false">IFERROR(AI22/(AI23*Assumptions!$D$49*Assumptions!$D$38*Assumptions!$D$39),0)</f>
        <v>425</v>
      </c>
      <c r="AJ98" s="63" t="n">
        <f aca="false">IFERROR(AJ22/(AJ23*Assumptions!$D$49*Assumptions!$D$38*Assumptions!$D$39),0)</f>
        <v>425</v>
      </c>
      <c r="AK98" s="63" t="n">
        <f aca="false">IFERROR(AK22/(AK23*Assumptions!$D$49*Assumptions!$D$38*Assumptions!$D$39),0)</f>
        <v>425</v>
      </c>
      <c r="AL98" s="63" t="n">
        <f aca="false">IFERROR(AL22/(AL23*Assumptions!$D$49*Assumptions!$D$38*Assumptions!$D$39),0)</f>
        <v>425</v>
      </c>
      <c r="AM98" s="63" t="n">
        <f aca="false">AVERAGE(N98:AL98)</f>
        <v>425</v>
      </c>
    </row>
    <row r="99" customFormat="false" ht="15" hidden="false" customHeight="false" outlineLevel="0" collapsed="false">
      <c r="A99" s="10" t="s">
        <v>819</v>
      </c>
      <c r="B99" s="9" t="s">
        <v>97</v>
      </c>
      <c r="C99" s="63" t="n">
        <f aca="false">IFERROR(C24/(C25*Assumptions!$D$49*Assumptions!$D$43),0)</f>
        <v>187.179680178537</v>
      </c>
      <c r="D99" s="63" t="n">
        <f aca="false">IFERROR(D24/(D25*Assumptions!$D$49*Assumptions!$D$43),0)</f>
        <v>187.179680178537</v>
      </c>
      <c r="E99" s="63" t="n">
        <f aca="false">IFERROR(E24/(E25*Assumptions!$D$49*Assumptions!$D$43),0)</f>
        <v>0</v>
      </c>
      <c r="F99" s="63" t="n">
        <f aca="false">IFERROR(F24/(F25*Assumptions!$D$49*Assumptions!$D$43),0)</f>
        <v>0</v>
      </c>
      <c r="G99" s="63" t="n">
        <f aca="false">IFERROR(G24/(G25*Assumptions!$D$49*Assumptions!$D$43),0)</f>
        <v>0</v>
      </c>
      <c r="H99" s="63" t="n">
        <f aca="false">IFERROR(H24/(H25*Assumptions!$D$49*Assumptions!$D$43),0)</f>
        <v>102.601109309259</v>
      </c>
      <c r="I99" s="63" t="n">
        <f aca="false">IFERROR(I24/(I25*Assumptions!$D$49*Assumptions!$D$43),0)</f>
        <v>149.837330911587</v>
      </c>
      <c r="J99" s="63" t="n">
        <f aca="false">IFERROR(J24/(J25*Assumptions!$D$49*Assumptions!$D$43),0)</f>
        <v>172.094369847344</v>
      </c>
      <c r="K99" s="63" t="n">
        <f aca="false">IFERROR(K24/(K25*Assumptions!$D$49*Assumptions!$D$43),0)</f>
        <v>185.419727374289</v>
      </c>
      <c r="L99" s="63" t="n">
        <f aca="false">IFERROR(L24/(L25*Assumptions!$D$49*Assumptions!$D$43),0)</f>
        <v>196.171005732417</v>
      </c>
      <c r="M99" s="63" t="n">
        <f aca="false">IFERROR(M24/(M25*Assumptions!$D$49*Assumptions!$D$43),0)</f>
        <v>203.219560846954</v>
      </c>
      <c r="N99" s="63" t="n">
        <f aca="false">IFERROR(N24/(N25*Assumptions!$D$49*Assumptions!$D$43),0)</f>
        <v>208.578370957314</v>
      </c>
      <c r="O99" s="63" t="n">
        <f aca="false">IFERROR(O24/(O25*Assumptions!$D$49*Assumptions!$D$43),0)</f>
        <v>212.824541146097</v>
      </c>
      <c r="P99" s="63" t="n">
        <f aca="false">IFERROR(P24/(P25*Assumptions!$D$49*Assumptions!$D$43),0)</f>
        <v>216.318104583345</v>
      </c>
      <c r="Q99" s="63" t="n">
        <f aca="false">IFERROR(Q24/(Q25*Assumptions!$D$49*Assumptions!$D$43),0)</f>
        <v>219.291433889059</v>
      </c>
      <c r="R99" s="63" t="n">
        <f aca="false">IFERROR(R24/(R25*Assumptions!$D$49*Assumptions!$D$43),0)</f>
        <v>221.900552392707</v>
      </c>
      <c r="S99" s="63" t="n">
        <f aca="false">IFERROR(S24/(S25*Assumptions!$D$49*Assumptions!$D$43),0)</f>
        <v>224.252969216248</v>
      </c>
      <c r="T99" s="63" t="n">
        <f aca="false">IFERROR(T24/(T25*Assumptions!$D$49*Assumptions!$D$43),0)</f>
        <v>226.424337508948</v>
      </c>
      <c r="U99" s="63" t="n">
        <f aca="false">IFERROR(U24/(U25*Assumptions!$D$49*Assumptions!$D$43),0)</f>
        <v>228.468883555548</v>
      </c>
      <c r="V99" s="63" t="n">
        <f aca="false">IFERROR(V24/(V25*Assumptions!$D$49*Assumptions!$D$43),0)</f>
        <v>230.426163411442</v>
      </c>
      <c r="W99" s="63" t="n">
        <f aca="false">IFERROR(W24/(W25*Assumptions!$D$49*Assumptions!$D$43),0)</f>
        <v>232.325551846153</v>
      </c>
      <c r="X99" s="63" t="n">
        <f aca="false">IFERROR(X24/(X25*Assumptions!$D$49*Assumptions!$D$43),0)</f>
        <v>234.189281038196</v>
      </c>
      <c r="Y99" s="63" t="n">
        <f aca="false">IFERROR(Y24/(Y25*Assumptions!$D$49*Assumptions!$D$43),0)</f>
        <v>236.034526703401</v>
      </c>
      <c r="Z99" s="63" t="n">
        <f aca="false">IFERROR(Z24/(Z25*Assumptions!$D$49*Assumptions!$D$43),0)</f>
        <v>237.874855753294</v>
      </c>
      <c r="AA99" s="63" t="n">
        <f aca="false">IFERROR(AA24/(AA25*Assumptions!$D$49*Assumptions!$D$43),0)</f>
        <v>239.721239378254</v>
      </c>
      <c r="AB99" s="63" t="n">
        <f aca="false">IFERROR(AB24/(AB25*Assumptions!$D$49*Assumptions!$D$43),0)</f>
        <v>241.58276683402</v>
      </c>
      <c r="AC99" s="63" t="n">
        <f aca="false">IFERROR(AC24/(AC25*Assumptions!$D$49*Assumptions!$D$43),0)</f>
        <v>243.467151206174</v>
      </c>
      <c r="AD99" s="63" t="n">
        <f aca="false">IFERROR(AD24/(AD25*Assumptions!$D$49*Assumptions!$D$43),0)</f>
        <v>245.381089537853</v>
      </c>
      <c r="AE99" s="63" t="n">
        <f aca="false">IFERROR(AE24/(AE25*Assumptions!$D$49*Assumptions!$D$43),0)</f>
        <v>247.330520388118</v>
      </c>
      <c r="AF99" s="63" t="n">
        <f aca="false">IFERROR(AF24/(AF25*Assumptions!$D$49*Assumptions!$D$43),0)</f>
        <v>249.320808785703</v>
      </c>
      <c r="AG99" s="63" t="n">
        <f aca="false">IFERROR(AG24/(AG25*Assumptions!$D$49*Assumptions!$D$43),0)</f>
        <v>251.356879557572</v>
      </c>
      <c r="AH99" s="63" t="n">
        <f aca="false">IFERROR(AH24/(AH25*Assumptions!$D$49*Assumptions!$D$43),0)</f>
        <v>253.443313797373</v>
      </c>
      <c r="AI99" s="63" t="n">
        <f aca="false">IFERROR(AI24/(AI25*Assumptions!$D$49*Assumptions!$D$43),0)</f>
        <v>255.584418912531</v>
      </c>
      <c r="AJ99" s="63" t="n">
        <f aca="false">IFERROR(AJ24/(AJ25*Assumptions!$D$49*Assumptions!$D$43),0)</f>
        <v>257.784279661095</v>
      </c>
      <c r="AK99" s="63" t="n">
        <f aca="false">IFERROR(AK24/(AK25*Assumptions!$D$49*Assumptions!$D$43),0)</f>
        <v>260.046795461633</v>
      </c>
      <c r="AL99" s="63" t="n">
        <f aca="false">IFERROR(AL24/(AL25*Assumptions!$D$49*Assumptions!$D$43),0)</f>
        <v>262.375707758852</v>
      </c>
      <c r="AM99" s="63" t="n">
        <f aca="false">AVERAGE(N99:AL99)</f>
        <v>237.452181731237</v>
      </c>
    </row>
    <row r="100" customFormat="false" ht="15" hidden="false" customHeight="false" outlineLevel="0" collapsed="false">
      <c r="A100" s="37" t="s">
        <v>820</v>
      </c>
      <c r="B100" s="9" t="s">
        <v>97</v>
      </c>
      <c r="C100" s="51" t="n">
        <f aca="false">IFERROR(C26/((C19*Assumptions!$D$31*Assumptions!$D$32+C23*Assumptions!$D$38*Assumptions!$D$39+C25*Assumptions!$D$43)*Assumptions!$D$49),0)</f>
        <v>187.179680178537</v>
      </c>
      <c r="D100" s="51" t="n">
        <f aca="false">IFERROR(D26/((D19*Assumptions!$D$31*Assumptions!$D$32+D23*Assumptions!$D$38*Assumptions!$D$39+D25*Assumptions!$D$43)*Assumptions!$D$49),0)</f>
        <v>187.179680178537</v>
      </c>
      <c r="E100" s="51" t="n">
        <f aca="false">IFERROR(E26/((E19*Assumptions!$D$31*Assumptions!$D$32+E23*Assumptions!$D$38*Assumptions!$D$39+E25*Assumptions!$D$43)*Assumptions!$D$49),0)</f>
        <v>248.016820258919</v>
      </c>
      <c r="F100" s="51" t="n">
        <f aca="false">IFERROR(F26/((F19*Assumptions!$D$31*Assumptions!$D$32+F23*Assumptions!$D$38*Assumptions!$D$39+F25*Assumptions!$D$43)*Assumptions!$D$49),0)</f>
        <v>332.825596716978</v>
      </c>
      <c r="G100" s="51" t="n">
        <f aca="false">IFERROR(G26/((G19*Assumptions!$D$31*Assumptions!$D$32+G23*Assumptions!$D$38*Assumptions!$D$39+G25*Assumptions!$D$43)*Assumptions!$D$49),0)</f>
        <v>334.094172948322</v>
      </c>
      <c r="H100" s="51" t="n">
        <f aca="false">IFERROR(H26/((H19*Assumptions!$D$31*Assumptions!$D$32+H23*Assumptions!$D$38*Assumptions!$D$39+H25*Assumptions!$D$43)*Assumptions!$D$49),0)</f>
        <v>302.863332582543</v>
      </c>
      <c r="I100" s="51" t="n">
        <f aca="false">IFERROR(I26/((I19*Assumptions!$D$31*Assumptions!$D$32+I23*Assumptions!$D$38*Assumptions!$D$39+I25*Assumptions!$D$43)*Assumptions!$D$49),0)</f>
        <v>276.165889692289</v>
      </c>
      <c r="J100" s="51" t="n">
        <f aca="false">IFERROR(J26/((J19*Assumptions!$D$31*Assumptions!$D$32+J23*Assumptions!$D$38*Assumptions!$D$39+J25*Assumptions!$D$43)*Assumptions!$D$49),0)</f>
        <v>267.250967426859</v>
      </c>
      <c r="K100" s="51" t="n">
        <f aca="false">IFERROR(K26/((K19*Assumptions!$D$31*Assumptions!$D$32+K23*Assumptions!$D$38*Assumptions!$D$39+K25*Assumptions!$D$43)*Assumptions!$D$49),0)</f>
        <v>263.607361977095</v>
      </c>
      <c r="L100" s="51" t="n">
        <f aca="false">IFERROR(L26/((L19*Assumptions!$D$31*Assumptions!$D$32+L23*Assumptions!$D$38*Assumptions!$D$39+L25*Assumptions!$D$43)*Assumptions!$D$49),0)</f>
        <v>262.260046365224</v>
      </c>
      <c r="M100" s="51" t="n">
        <f aca="false">IFERROR(M26/((M19*Assumptions!$D$31*Assumptions!$D$32+M23*Assumptions!$D$38*Assumptions!$D$39+M25*Assumptions!$D$43)*Assumptions!$D$49),0)</f>
        <v>262.010425041412</v>
      </c>
      <c r="N100" s="51" t="n">
        <f aca="false">IFERROR(N26/((N19*Assumptions!$D$31*Assumptions!$D$32+N23*Assumptions!$D$38*Assumptions!$D$39+N25*Assumptions!$D$43)*Assumptions!$D$49),0)</f>
        <v>262.256032845373</v>
      </c>
      <c r="O100" s="51" t="n">
        <f aca="false">IFERROR(O26/((O19*Assumptions!$D$31*Assumptions!$D$32+O23*Assumptions!$D$38*Assumptions!$D$39+O25*Assumptions!$D$43)*Assumptions!$D$49),0)</f>
        <v>262.77547583189</v>
      </c>
      <c r="P100" s="51" t="n">
        <f aca="false">IFERROR(P26/((P19*Assumptions!$D$31*Assumptions!$D$32+P23*Assumptions!$D$38*Assumptions!$D$39+P25*Assumptions!$D$43)*Assumptions!$D$49),0)</f>
        <v>263.447394868922</v>
      </c>
      <c r="Q100" s="51" t="n">
        <f aca="false">IFERROR(Q26/((Q19*Assumptions!$D$31*Assumptions!$D$32+Q23*Assumptions!$D$38*Assumptions!$D$39+Q25*Assumptions!$D$43)*Assumptions!$D$49),0)</f>
        <v>264.207179256919</v>
      </c>
      <c r="R100" s="51" t="n">
        <f aca="false">IFERROR(R26/((R19*Assumptions!$D$31*Assumptions!$D$32+R23*Assumptions!$D$38*Assumptions!$D$39+R25*Assumptions!$D$43)*Assumptions!$D$49),0)</f>
        <v>265.020139837005</v>
      </c>
      <c r="S100" s="51" t="n">
        <f aca="false">IFERROR(S26/((S19*Assumptions!$D$31*Assumptions!$D$32+S23*Assumptions!$D$38*Assumptions!$D$39+S25*Assumptions!$D$43)*Assumptions!$D$49),0)</f>
        <v>265.867719327821</v>
      </c>
      <c r="T100" s="51" t="n">
        <f aca="false">IFERROR(T26/((T19*Assumptions!$D$31*Assumptions!$D$32+T23*Assumptions!$D$38*Assumptions!$D$39+T25*Assumptions!$D$43)*Assumptions!$D$49),0)</f>
        <v>266.740313342467</v>
      </c>
      <c r="U100" s="51" t="n">
        <f aca="false">IFERROR(U26/((U19*Assumptions!$D$31*Assumptions!$D$32+U23*Assumptions!$D$38*Assumptions!$D$39+U25*Assumptions!$D$43)*Assumptions!$D$49),0)</f>
        <v>267.633407887935</v>
      </c>
      <c r="V100" s="51" t="n">
        <f aca="false">IFERROR(V26/((V19*Assumptions!$D$31*Assumptions!$D$32+V23*Assumptions!$D$38*Assumptions!$D$39+V25*Assumptions!$D$43)*Assumptions!$D$49),0)</f>
        <v>268.545435826151</v>
      </c>
      <c r="W100" s="51" t="n">
        <f aca="false">IFERROR(W26/((W19*Assumptions!$D$31*Assumptions!$D$32+W23*Assumptions!$D$38*Assumptions!$D$39+W25*Assumptions!$D$43)*Assumptions!$D$49),0)</f>
        <v>269.476556883764</v>
      </c>
      <c r="X100" s="51" t="n">
        <f aca="false">IFERROR(X26/((X19*Assumptions!$D$31*Assumptions!$D$32+X23*Assumptions!$D$38*Assumptions!$D$39+X25*Assumptions!$D$43)*Assumptions!$D$49),0)</f>
        <v>270.427949450948</v>
      </c>
      <c r="Y100" s="51" t="n">
        <f aca="false">IFERROR(Y26/((Y19*Assumptions!$D$31*Assumptions!$D$32+Y23*Assumptions!$D$38*Assumptions!$D$39+Y25*Assumptions!$D$43)*Assumptions!$D$49),0)</f>
        <v>271.401393317344</v>
      </c>
      <c r="Z100" s="51" t="n">
        <f aca="false">IFERROR(Z26/((Z19*Assumptions!$D$31*Assumptions!$D$32+Z23*Assumptions!$D$38*Assumptions!$D$39+Z25*Assumptions!$D$43)*Assumptions!$D$49),0)</f>
        <v>272.399021224404</v>
      </c>
      <c r="AA100" s="51" t="n">
        <f aca="false">IFERROR(AA26/((AA19*Assumptions!$D$31*Assumptions!$D$32+AA23*Assumptions!$D$38*Assumptions!$D$39+AA25*Assumptions!$D$43)*Assumptions!$D$49),0)</f>
        <v>273.423169933756</v>
      </c>
      <c r="AB100" s="51" t="n">
        <f aca="false">IFERROR(AB26/((AB19*Assumptions!$D$31*Assumptions!$D$32+AB23*Assumptions!$D$38*Assumptions!$D$39+AB25*Assumptions!$D$43)*Assumptions!$D$49),0)</f>
        <v>274.476290617503</v>
      </c>
      <c r="AC100" s="51" t="n">
        <f aca="false">IFERROR(AC26/((AC19*Assumptions!$D$31*Assumptions!$D$32+AC23*Assumptions!$D$38*Assumptions!$D$39+AC25*Assumptions!$D$43)*Assumptions!$D$49),0)</f>
        <v>275.560894834471</v>
      </c>
      <c r="AD100" s="51" t="n">
        <f aca="false">IFERROR(AD26/((AD19*Assumptions!$D$31*Assumptions!$D$32+AD23*Assumptions!$D$38*Assumptions!$D$39+AD25*Assumptions!$D$43)*Assumptions!$D$49),0)</f>
        <v>276.679521872939</v>
      </c>
      <c r="AE100" s="51" t="n">
        <f aca="false">IFERROR(AE26/((AE19*Assumptions!$D$31*Assumptions!$D$32+AE23*Assumptions!$D$38*Assumptions!$D$39+AE25*Assumptions!$D$43)*Assumptions!$D$49),0)</f>
        <v>277.834718849513</v>
      </c>
      <c r="AF100" s="51" t="n">
        <f aca="false">IFERROR(AF26/((AF19*Assumptions!$D$31*Assumptions!$D$32+AF23*Assumptions!$D$38*Assumptions!$D$39+AF25*Assumptions!$D$43)*Assumptions!$D$49),0)</f>
        <v>279.029028313194</v>
      </c>
      <c r="AG100" s="51" t="n">
        <f aca="false">IFERROR(AG26/((AG19*Assumptions!$D$31*Assumptions!$D$32+AG23*Assumptions!$D$38*Assumptions!$D$39+AG25*Assumptions!$D$43)*Assumptions!$D$49),0)</f>
        <v>280.264980142374</v>
      </c>
      <c r="AH100" s="51" t="n">
        <f aca="false">IFERROR(AH26/((AH19*Assumptions!$D$31*Assumptions!$D$32+AH23*Assumptions!$D$38*Assumptions!$D$39+AH25*Assumptions!$D$43)*Assumptions!$D$49),0)</f>
        <v>281.545085772825</v>
      </c>
      <c r="AI100" s="51" t="n">
        <f aca="false">IFERROR(AI26/((AI19*Assumptions!$D$31*Assumptions!$D$32+AI23*Assumptions!$D$38*Assumptions!$D$39+AI25*Assumptions!$D$43)*Assumptions!$D$49),0)</f>
        <v>282.871833567892</v>
      </c>
      <c r="AJ100" s="51" t="n">
        <f aca="false">IFERROR(AJ26/((AJ19*Assumptions!$D$31*Assumptions!$D$32+AJ23*Assumptions!$D$38*Assumptions!$D$39+AJ25*Assumptions!$D$43)*Assumptions!$D$49),0)</f>
        <v>284.247684623324</v>
      </c>
      <c r="AK100" s="51" t="n">
        <f aca="false">IFERROR(AK26/((AK19*Assumptions!$D$31*Assumptions!$D$32+AK23*Assumptions!$D$38*Assumptions!$D$39+AK25*Assumptions!$D$43)*Assumptions!$D$49),0)</f>
        <v>285.675068600169</v>
      </c>
      <c r="AL100" s="51" t="n">
        <f aca="false">IFERROR(AL26/((AL19*Assumptions!$D$31*Assumptions!$D$32+AL23*Assumptions!$D$38*Assumptions!$D$39+AL25*Assumptions!$D$43)*Assumptions!$D$49),0)</f>
        <v>287.156379368218</v>
      </c>
      <c r="AM100" s="51" t="n">
        <f aca="false">AVERAGE(N100:AL100)</f>
        <v>273.158507055885</v>
      </c>
    </row>
    <row r="101" customFormat="false" ht="15" hidden="false" customHeight="false" outlineLevel="0" collapsed="false">
      <c r="A101" s="37" t="s">
        <v>821</v>
      </c>
      <c r="B101" s="9" t="s">
        <v>370</v>
      </c>
      <c r="C101" s="72" t="n">
        <f aca="false">IFERROR(C100/C104,0)</f>
        <v>5.45855944230729</v>
      </c>
      <c r="D101" s="72" t="n">
        <f aca="false">IFERROR(D100/D104,0)</f>
        <v>5.45855944230729</v>
      </c>
      <c r="E101" s="72" t="n">
        <f aca="false">IFERROR(E100/E104,0)</f>
        <v>7.23270044474938</v>
      </c>
      <c r="F101" s="72" t="n">
        <f aca="false">IFERROR(F100/F104,0)</f>
        <v>9.70590558691069</v>
      </c>
      <c r="G101" s="72" t="n">
        <f aca="false">IFERROR(G100/G104,0)</f>
        <v>9.7428999805291</v>
      </c>
      <c r="H101" s="72" t="n">
        <f aca="false">IFERROR(H100/H104,0)</f>
        <v>8.83214194094268</v>
      </c>
      <c r="I101" s="72" t="n">
        <f aca="false">IFERROR(I100/I104,0)</f>
        <v>8.05358745877317</v>
      </c>
      <c r="J101" s="72" t="n">
        <f aca="false">IFERROR(J100/J104,0)</f>
        <v>7.79360927597584</v>
      </c>
      <c r="K101" s="72" t="n">
        <f aca="false">IFERROR(K100/K104,0)</f>
        <v>7.68735395535088</v>
      </c>
      <c r="L101" s="72" t="n">
        <f aca="false">IFERROR(L100/L104,0)</f>
        <v>7.64806335314485</v>
      </c>
      <c r="M101" s="72" t="n">
        <f aca="false">IFERROR(M100/M104,0)</f>
        <v>7.64078386194795</v>
      </c>
      <c r="N101" s="72" t="n">
        <f aca="false">IFERROR(N100/N104,0)</f>
        <v>7.64794631032985</v>
      </c>
      <c r="O101" s="72" t="n">
        <f aca="false">IFERROR(O100/O104,0)</f>
        <v>7.66309437777012</v>
      </c>
      <c r="P101" s="72" t="n">
        <f aca="false">IFERROR(P100/P104,0)</f>
        <v>7.68268897265648</v>
      </c>
      <c r="Q101" s="72" t="n">
        <f aca="false">IFERROR(Q100/Q104,0)</f>
        <v>7.70484590892894</v>
      </c>
      <c r="R101" s="72" t="n">
        <f aca="false">IFERROR(R100/R104,0)</f>
        <v>7.7285535765904</v>
      </c>
      <c r="S101" s="72" t="n">
        <f aca="false">IFERROR(S100/S104,0)</f>
        <v>7.75327080566296</v>
      </c>
      <c r="T101" s="72" t="n">
        <f aca="false">IFERROR(T100/T104,0)</f>
        <v>7.77871751170181</v>
      </c>
      <c r="U101" s="72" t="n">
        <f aca="false">IFERROR(U100/U104,0)</f>
        <v>7.80476205702524</v>
      </c>
      <c r="V101" s="72" t="n">
        <f aca="false">IFERROR(V100/V104,0)</f>
        <v>7.83135874053838</v>
      </c>
      <c r="W101" s="72" t="n">
        <f aca="false">IFERROR(W100/W104,0)</f>
        <v>7.85851222021158</v>
      </c>
      <c r="X101" s="72" t="n">
        <f aca="false">IFERROR(X100/X104,0)</f>
        <v>7.88625686042034</v>
      </c>
      <c r="Y101" s="72" t="n">
        <f aca="false">IFERROR(Y100/Y104,0)</f>
        <v>7.91464456363364</v>
      </c>
      <c r="Z101" s="72" t="n">
        <f aca="false">IFERROR(Z100/Z104,0)</f>
        <v>7.94373752514956</v>
      </c>
      <c r="AA101" s="72" t="n">
        <f aca="false">IFERROR(AA100/AA104,0)</f>
        <v>7.9736038899303</v>
      </c>
      <c r="AB101" s="72" t="n">
        <f aca="false">IFERROR(AB100/AB104,0)</f>
        <v>8.00431513939219</v>
      </c>
      <c r="AC101" s="72" t="n">
        <f aca="false">IFERROR(AC100/AC104,0)</f>
        <v>8.03594451595726</v>
      </c>
      <c r="AD101" s="72" t="n">
        <f aca="false">IFERROR(AD100/AD104,0)</f>
        <v>8.06856607069773</v>
      </c>
      <c r="AE101" s="72" t="n">
        <f aca="false">IFERROR(AE100/AE104,0)</f>
        <v>8.10225408297658</v>
      </c>
      <c r="AF101" s="72" t="n">
        <f aca="false">IFERROR(AF100/AF104,0)</f>
        <v>8.13708269895559</v>
      </c>
      <c r="AG101" s="72" t="n">
        <f aca="false">IFERROR(AG100/AG104,0)</f>
        <v>8.17312569529457</v>
      </c>
      <c r="AH101" s="72" t="n">
        <f aca="false">IFERROR(AH100/AH104,0)</f>
        <v>8.2104563108271</v>
      </c>
      <c r="AI101" s="72" t="n">
        <f aca="false">IFERROR(AI100/AI104,0)</f>
        <v>8.24914711154551</v>
      </c>
      <c r="AJ101" s="72" t="n">
        <f aca="false">IFERROR(AJ100/AJ104,0)</f>
        <v>8.28926986826075</v>
      </c>
      <c r="AK101" s="72" t="n">
        <f aca="false">IFERROR(AK100/AK104,0)</f>
        <v>8.33089543508068</v>
      </c>
      <c r="AL101" s="72" t="n">
        <f aca="false">IFERROR(AL100/AL104,0)</f>
        <v>8.37409362236368</v>
      </c>
      <c r="AM101" s="72" t="n">
        <f aca="false">AVERAGE(N101:AL101)</f>
        <v>7.96588575487605</v>
      </c>
    </row>
    <row r="102" customFormat="false" ht="15" hidden="false" customHeight="false" outlineLevel="0" collapsed="false">
      <c r="A102" s="10" t="s">
        <v>822</v>
      </c>
      <c r="B102" s="9" t="s">
        <v>97</v>
      </c>
      <c r="C102" s="63" t="n">
        <f aca="false">Assumptions!$D$70*(1-Assumptions!$D$80)*(1-Assumptions!$D$79)-Assumptions!$D$73-Assumptions!$D$75-Assumptions!$D$76-Assumptions!$D$77</f>
        <v>41.92672</v>
      </c>
      <c r="D102" s="63" t="n">
        <f aca="false">Assumptions!$D$70*(1-Assumptions!$D$80)*(1-Assumptions!$D$79)-Assumptions!$D$73-Assumptions!$D$75-Assumptions!$D$76-Assumptions!$D$77</f>
        <v>41.92672</v>
      </c>
      <c r="E102" s="63" t="n">
        <f aca="false">Assumptions!$D$70*(1-Assumptions!$D$80)*(1-Assumptions!$D$79)-Assumptions!$D$73-Assumptions!$D$75-Assumptions!$D$76-Assumptions!$D$77</f>
        <v>41.92672</v>
      </c>
      <c r="F102" s="63" t="n">
        <f aca="false">Assumptions!$D$70*(1-Assumptions!$D$80)*(1-Assumptions!$D$79)-Assumptions!$D$73-Assumptions!$D$75-Assumptions!$D$76-Assumptions!$D$77</f>
        <v>41.92672</v>
      </c>
      <c r="G102" s="63" t="n">
        <f aca="false">Assumptions!$D$70*(1-Assumptions!$D$80)*(1-Assumptions!$D$79)-Assumptions!$D$73-Assumptions!$D$75-Assumptions!$D$76-Assumptions!$D$77</f>
        <v>41.92672</v>
      </c>
      <c r="H102" s="63" t="n">
        <f aca="false">Assumptions!$D$70*(1-Assumptions!$D$80)*(1-Assumptions!$D$79)-Assumptions!$D$73-Assumptions!$D$75-Assumptions!$D$76-Assumptions!$D$77</f>
        <v>41.92672</v>
      </c>
      <c r="I102" s="63" t="n">
        <f aca="false">Assumptions!$D$70*(1-Assumptions!$D$80)*(1-Assumptions!$D$79)-Assumptions!$D$73-Assumptions!$D$75-Assumptions!$D$76-Assumptions!$D$77</f>
        <v>41.92672</v>
      </c>
      <c r="J102" s="63" t="n">
        <f aca="false">Assumptions!$D$70*(1-Assumptions!$D$80)*(1-Assumptions!$D$79)-Assumptions!$D$73-Assumptions!$D$75-Assumptions!$D$76-Assumptions!$D$77</f>
        <v>41.92672</v>
      </c>
      <c r="K102" s="63" t="n">
        <f aca="false">Assumptions!$D$70*(1-Assumptions!$D$80)*(1-Assumptions!$D$79)-Assumptions!$D$73-Assumptions!$D$75-Assumptions!$D$76-Assumptions!$D$77</f>
        <v>41.92672</v>
      </c>
      <c r="L102" s="63" t="n">
        <f aca="false">Assumptions!$D$70*(1-Assumptions!$D$80)*(1-Assumptions!$D$79)-Assumptions!$D$73-Assumptions!$D$75-Assumptions!$D$76-Assumptions!$D$77</f>
        <v>41.92672</v>
      </c>
      <c r="M102" s="63" t="n">
        <f aca="false">Assumptions!$D$70*(1-Assumptions!$D$80)*(1-Assumptions!$D$79)-Assumptions!$D$73-Assumptions!$D$75-Assumptions!$D$76-Assumptions!$D$77</f>
        <v>41.92672</v>
      </c>
      <c r="N102" s="63" t="n">
        <f aca="false">Assumptions!$D$70*(1-Assumptions!$D$80)*(1-Assumptions!$D$79)-Assumptions!$D$73-Assumptions!$D$75-Assumptions!$D$76-Assumptions!$D$77</f>
        <v>41.92672</v>
      </c>
      <c r="O102" s="63" t="n">
        <f aca="false">Assumptions!$D$70*(1-Assumptions!$D$80)*(1-Assumptions!$D$79)-Assumptions!$D$73-Assumptions!$D$75-Assumptions!$D$76-Assumptions!$D$77</f>
        <v>41.92672</v>
      </c>
      <c r="P102" s="63" t="n">
        <f aca="false">Assumptions!$D$70*(1-Assumptions!$D$80)*(1-Assumptions!$D$79)-Assumptions!$D$73-Assumptions!$D$75-Assumptions!$D$76-Assumptions!$D$77</f>
        <v>41.92672</v>
      </c>
      <c r="Q102" s="63" t="n">
        <f aca="false">Assumptions!$D$70*(1-Assumptions!$D$80)*(1-Assumptions!$D$79)-Assumptions!$D$73-Assumptions!$D$75-Assumptions!$D$76-Assumptions!$D$77</f>
        <v>41.92672</v>
      </c>
      <c r="R102" s="63" t="n">
        <f aca="false">Assumptions!$D$70*(1-Assumptions!$D$80)*(1-Assumptions!$D$79)-Assumptions!$D$73-Assumptions!$D$75-Assumptions!$D$76-Assumptions!$D$77</f>
        <v>41.92672</v>
      </c>
      <c r="S102" s="63" t="n">
        <f aca="false">Assumptions!$D$70*(1-Assumptions!$D$80)*(1-Assumptions!$D$79)-Assumptions!$D$73-Assumptions!$D$75-Assumptions!$D$76-Assumptions!$D$77</f>
        <v>41.92672</v>
      </c>
      <c r="T102" s="63" t="n">
        <f aca="false">Assumptions!$D$70*(1-Assumptions!$D$80)*(1-Assumptions!$D$79)-Assumptions!$D$73-Assumptions!$D$75-Assumptions!$D$76-Assumptions!$D$77</f>
        <v>41.92672</v>
      </c>
      <c r="U102" s="63" t="n">
        <f aca="false">Assumptions!$D$70*(1-Assumptions!$D$80)*(1-Assumptions!$D$79)-Assumptions!$D$73-Assumptions!$D$75-Assumptions!$D$76-Assumptions!$D$77</f>
        <v>41.92672</v>
      </c>
      <c r="V102" s="63" t="n">
        <f aca="false">Assumptions!$D$70*(1-Assumptions!$D$80)*(1-Assumptions!$D$79)-Assumptions!$D$73-Assumptions!$D$75-Assumptions!$D$76-Assumptions!$D$77</f>
        <v>41.92672</v>
      </c>
      <c r="W102" s="63" t="n">
        <f aca="false">Assumptions!$D$70*(1-Assumptions!$D$80)*(1-Assumptions!$D$79)-Assumptions!$D$73-Assumptions!$D$75-Assumptions!$D$76-Assumptions!$D$77</f>
        <v>41.92672</v>
      </c>
      <c r="X102" s="63" t="n">
        <f aca="false">Assumptions!$D$70*(1-Assumptions!$D$80)*(1-Assumptions!$D$79)-Assumptions!$D$73-Assumptions!$D$75-Assumptions!$D$76-Assumptions!$D$77</f>
        <v>41.92672</v>
      </c>
      <c r="Y102" s="63" t="n">
        <f aca="false">Assumptions!$D$70*(1-Assumptions!$D$80)*(1-Assumptions!$D$79)-Assumptions!$D$73-Assumptions!$D$75-Assumptions!$D$76-Assumptions!$D$77</f>
        <v>41.92672</v>
      </c>
      <c r="Z102" s="63" t="n">
        <f aca="false">Assumptions!$D$70*(1-Assumptions!$D$80)*(1-Assumptions!$D$79)-Assumptions!$D$73-Assumptions!$D$75-Assumptions!$D$76-Assumptions!$D$77</f>
        <v>41.92672</v>
      </c>
      <c r="AA102" s="63" t="n">
        <f aca="false">Assumptions!$D$70*(1-Assumptions!$D$80)*(1-Assumptions!$D$79)-Assumptions!$D$73-Assumptions!$D$75-Assumptions!$D$76-Assumptions!$D$77</f>
        <v>41.92672</v>
      </c>
      <c r="AB102" s="63" t="n">
        <f aca="false">Assumptions!$D$70*(1-Assumptions!$D$80)*(1-Assumptions!$D$79)-Assumptions!$D$73-Assumptions!$D$75-Assumptions!$D$76-Assumptions!$D$77</f>
        <v>41.92672</v>
      </c>
      <c r="AC102" s="63" t="n">
        <f aca="false">Assumptions!$D$70*(1-Assumptions!$D$80)*(1-Assumptions!$D$79)-Assumptions!$D$73-Assumptions!$D$75-Assumptions!$D$76-Assumptions!$D$77</f>
        <v>41.92672</v>
      </c>
      <c r="AD102" s="63" t="n">
        <f aca="false">Assumptions!$D$70*(1-Assumptions!$D$80)*(1-Assumptions!$D$79)-Assumptions!$D$73-Assumptions!$D$75-Assumptions!$D$76-Assumptions!$D$77</f>
        <v>41.92672</v>
      </c>
      <c r="AE102" s="63" t="n">
        <f aca="false">Assumptions!$D$70*(1-Assumptions!$D$80)*(1-Assumptions!$D$79)-Assumptions!$D$73-Assumptions!$D$75-Assumptions!$D$76-Assumptions!$D$77</f>
        <v>41.92672</v>
      </c>
      <c r="AF102" s="63" t="n">
        <f aca="false">Assumptions!$D$70*(1-Assumptions!$D$80)*(1-Assumptions!$D$79)-Assumptions!$D$73-Assumptions!$D$75-Assumptions!$D$76-Assumptions!$D$77</f>
        <v>41.92672</v>
      </c>
      <c r="AG102" s="63" t="n">
        <f aca="false">Assumptions!$D$70*(1-Assumptions!$D$80)*(1-Assumptions!$D$79)-Assumptions!$D$73-Assumptions!$D$75-Assumptions!$D$76-Assumptions!$D$77</f>
        <v>41.92672</v>
      </c>
      <c r="AH102" s="63" t="n">
        <f aca="false">Assumptions!$D$70*(1-Assumptions!$D$80)*(1-Assumptions!$D$79)-Assumptions!$D$73-Assumptions!$D$75-Assumptions!$D$76-Assumptions!$D$77</f>
        <v>41.92672</v>
      </c>
      <c r="AI102" s="63" t="n">
        <f aca="false">Assumptions!$D$70*(1-Assumptions!$D$80)*(1-Assumptions!$D$79)-Assumptions!$D$73-Assumptions!$D$75-Assumptions!$D$76-Assumptions!$D$77</f>
        <v>41.92672</v>
      </c>
      <c r="AJ102" s="63" t="n">
        <f aca="false">Assumptions!$D$70*(1-Assumptions!$D$80)*(1-Assumptions!$D$79)-Assumptions!$D$73-Assumptions!$D$75-Assumptions!$D$76-Assumptions!$D$77</f>
        <v>41.92672</v>
      </c>
      <c r="AK102" s="63" t="n">
        <f aca="false">Assumptions!$D$70*(1-Assumptions!$D$80)*(1-Assumptions!$D$79)-Assumptions!$D$73-Assumptions!$D$75-Assumptions!$D$76-Assumptions!$D$77</f>
        <v>41.92672</v>
      </c>
      <c r="AL102" s="63" t="n">
        <f aca="false">Assumptions!$D$70*(1-Assumptions!$D$80)*(1-Assumptions!$D$79)-Assumptions!$D$73-Assumptions!$D$75-Assumptions!$D$76-Assumptions!$D$77</f>
        <v>41.92672</v>
      </c>
      <c r="AM102" s="63" t="n">
        <f aca="false">AVERAGE(N102:AL102)</f>
        <v>41.92672</v>
      </c>
    </row>
    <row r="103" customFormat="false" ht="15" hidden="false" customHeight="false" outlineLevel="0" collapsed="false">
      <c r="A103" s="10" t="s">
        <v>823</v>
      </c>
      <c r="B103" s="9" t="s">
        <v>97</v>
      </c>
      <c r="C103" s="70" t="n">
        <f aca="false">C102/Assumptions!$D$68</f>
        <v>322.513230769231</v>
      </c>
      <c r="D103" s="70" t="n">
        <f aca="false">D102/Assumptions!$D$68</f>
        <v>322.513230769231</v>
      </c>
      <c r="E103" s="70" t="n">
        <f aca="false">E102/Assumptions!$D$68</f>
        <v>322.513230769231</v>
      </c>
      <c r="F103" s="70" t="n">
        <f aca="false">F102/Assumptions!$D$68</f>
        <v>322.513230769231</v>
      </c>
      <c r="G103" s="70" t="n">
        <f aca="false">G102/Assumptions!$D$68</f>
        <v>322.513230769231</v>
      </c>
      <c r="H103" s="70" t="n">
        <f aca="false">H102/Assumptions!$D$68</f>
        <v>322.513230769231</v>
      </c>
      <c r="I103" s="70" t="n">
        <f aca="false">I102/Assumptions!$D$68</f>
        <v>322.513230769231</v>
      </c>
      <c r="J103" s="70" t="n">
        <f aca="false">J102/Assumptions!$D$68</f>
        <v>322.513230769231</v>
      </c>
      <c r="K103" s="70" t="n">
        <f aca="false">K102/Assumptions!$D$68</f>
        <v>322.513230769231</v>
      </c>
      <c r="L103" s="70" t="n">
        <f aca="false">L102/Assumptions!$D$68</f>
        <v>322.513230769231</v>
      </c>
      <c r="M103" s="70" t="n">
        <f aca="false">M102/Assumptions!$D$68</f>
        <v>322.513230769231</v>
      </c>
      <c r="N103" s="70" t="n">
        <f aca="false">N102/Assumptions!$D$68</f>
        <v>322.513230769231</v>
      </c>
      <c r="O103" s="70" t="n">
        <f aca="false">O102/Assumptions!$D$68</f>
        <v>322.513230769231</v>
      </c>
      <c r="P103" s="70" t="n">
        <f aca="false">P102/Assumptions!$D$68</f>
        <v>322.513230769231</v>
      </c>
      <c r="Q103" s="70" t="n">
        <f aca="false">Q102/Assumptions!$D$68</f>
        <v>322.513230769231</v>
      </c>
      <c r="R103" s="70" t="n">
        <f aca="false">R102/Assumptions!$D$68</f>
        <v>322.513230769231</v>
      </c>
      <c r="S103" s="70" t="n">
        <f aca="false">S102/Assumptions!$D$68</f>
        <v>322.513230769231</v>
      </c>
      <c r="T103" s="70" t="n">
        <f aca="false">T102/Assumptions!$D$68</f>
        <v>322.513230769231</v>
      </c>
      <c r="U103" s="70" t="n">
        <f aca="false">U102/Assumptions!$D$68</f>
        <v>322.513230769231</v>
      </c>
      <c r="V103" s="70" t="n">
        <f aca="false">V102/Assumptions!$D$68</f>
        <v>322.513230769231</v>
      </c>
      <c r="W103" s="70" t="n">
        <f aca="false">W102/Assumptions!$D$68</f>
        <v>322.513230769231</v>
      </c>
      <c r="X103" s="70" t="n">
        <f aca="false">X102/Assumptions!$D$68</f>
        <v>322.513230769231</v>
      </c>
      <c r="Y103" s="70" t="n">
        <f aca="false">Y102/Assumptions!$D$68</f>
        <v>322.513230769231</v>
      </c>
      <c r="Z103" s="70" t="n">
        <f aca="false">Z102/Assumptions!$D$68</f>
        <v>322.513230769231</v>
      </c>
      <c r="AA103" s="70" t="n">
        <f aca="false">AA102/Assumptions!$D$68</f>
        <v>322.513230769231</v>
      </c>
      <c r="AB103" s="70" t="n">
        <f aca="false">AB102/Assumptions!$D$68</f>
        <v>322.513230769231</v>
      </c>
      <c r="AC103" s="70" t="n">
        <f aca="false">AC102/Assumptions!$D$68</f>
        <v>322.513230769231</v>
      </c>
      <c r="AD103" s="70" t="n">
        <f aca="false">AD102/Assumptions!$D$68</f>
        <v>322.513230769231</v>
      </c>
      <c r="AE103" s="70" t="n">
        <f aca="false">AE102/Assumptions!$D$68</f>
        <v>322.513230769231</v>
      </c>
      <c r="AF103" s="70" t="n">
        <f aca="false">AF102/Assumptions!$D$68</f>
        <v>322.513230769231</v>
      </c>
      <c r="AG103" s="70" t="n">
        <f aca="false">AG102/Assumptions!$D$68</f>
        <v>322.513230769231</v>
      </c>
      <c r="AH103" s="70" t="n">
        <f aca="false">AH102/Assumptions!$D$68</f>
        <v>322.513230769231</v>
      </c>
      <c r="AI103" s="70" t="n">
        <f aca="false">AI102/Assumptions!$D$68</f>
        <v>322.513230769231</v>
      </c>
      <c r="AJ103" s="70" t="n">
        <f aca="false">AJ102/Assumptions!$D$68</f>
        <v>322.513230769231</v>
      </c>
      <c r="AK103" s="70" t="n">
        <f aca="false">AK102/Assumptions!$D$68</f>
        <v>322.513230769231</v>
      </c>
      <c r="AL103" s="70" t="n">
        <f aca="false">AL102/Assumptions!$D$68</f>
        <v>322.513230769231</v>
      </c>
      <c r="AM103" s="70" t="n">
        <f aca="false">AVERAGE(N103:AL103)</f>
        <v>322.513230769231</v>
      </c>
    </row>
    <row r="104" customFormat="false" ht="15" hidden="false" customHeight="false" outlineLevel="0" collapsed="false">
      <c r="A104" s="10" t="s">
        <v>402</v>
      </c>
      <c r="B104" s="9" t="s">
        <v>97</v>
      </c>
      <c r="C104" s="63" t="n">
        <f aca="false">Assumptions!$D$50*(1-Assumptions!$D$80)*(1-Assumptions!$D$79)-Assumptions!$D$50*Assumptions!$D$55-Assumptions!$D$56</f>
        <v>34.29104</v>
      </c>
      <c r="D104" s="63" t="n">
        <f aca="false">Assumptions!$D$50*(1-Assumptions!$D$80)*(1-Assumptions!$D$79)-Assumptions!$D$50*Assumptions!$D$55-Assumptions!$D$56</f>
        <v>34.29104</v>
      </c>
      <c r="E104" s="63" t="n">
        <f aca="false">Assumptions!$D$50*(1-Assumptions!$D$80)*(1-Assumptions!$D$79)-Assumptions!$D$50*Assumptions!$D$55-Assumptions!$D$56</f>
        <v>34.29104</v>
      </c>
      <c r="F104" s="63" t="n">
        <f aca="false">Assumptions!$D$50*(1-Assumptions!$D$80)*(1-Assumptions!$D$79)-Assumptions!$D$50*Assumptions!$D$55-Assumptions!$D$56</f>
        <v>34.29104</v>
      </c>
      <c r="G104" s="63" t="n">
        <f aca="false">Assumptions!$D$50*(1-Assumptions!$D$80)*(1-Assumptions!$D$79)-Assumptions!$D$50*Assumptions!$D$55-Assumptions!$D$56</f>
        <v>34.29104</v>
      </c>
      <c r="H104" s="63" t="n">
        <f aca="false">Assumptions!$D$50*(1-Assumptions!$D$80)*(1-Assumptions!$D$79)-Assumptions!$D$50*Assumptions!$D$55-Assumptions!$D$56</f>
        <v>34.29104</v>
      </c>
      <c r="I104" s="63" t="n">
        <f aca="false">Assumptions!$D$50*(1-Assumptions!$D$80)*(1-Assumptions!$D$79)-Assumptions!$D$50*Assumptions!$D$55-Assumptions!$D$56</f>
        <v>34.29104</v>
      </c>
      <c r="J104" s="63" t="n">
        <f aca="false">Assumptions!$D$50*(1-Assumptions!$D$80)*(1-Assumptions!$D$79)-Assumptions!$D$50*Assumptions!$D$55-Assumptions!$D$56</f>
        <v>34.29104</v>
      </c>
      <c r="K104" s="63" t="n">
        <f aca="false">Assumptions!$D$50*(1-Assumptions!$D$80)*(1-Assumptions!$D$79)-Assumptions!$D$50*Assumptions!$D$55-Assumptions!$D$56</f>
        <v>34.29104</v>
      </c>
      <c r="L104" s="63" t="n">
        <f aca="false">Assumptions!$D$50*(1-Assumptions!$D$80)*(1-Assumptions!$D$79)-Assumptions!$D$50*Assumptions!$D$55-Assumptions!$D$56</f>
        <v>34.29104</v>
      </c>
      <c r="M104" s="63" t="n">
        <f aca="false">Assumptions!$D$50*(1-Assumptions!$D$80)*(1-Assumptions!$D$79)-Assumptions!$D$50*Assumptions!$D$55-Assumptions!$D$56</f>
        <v>34.29104</v>
      </c>
      <c r="N104" s="63" t="n">
        <f aca="false">Assumptions!$D$50*(1-Assumptions!$D$80)*(1-Assumptions!$D$79)-Assumptions!$D$50*Assumptions!$D$55-Assumptions!$D$56</f>
        <v>34.29104</v>
      </c>
      <c r="O104" s="63" t="n">
        <f aca="false">Assumptions!$D$50*(1-Assumptions!$D$80)*(1-Assumptions!$D$79)-Assumptions!$D$50*Assumptions!$D$55-Assumptions!$D$56</f>
        <v>34.29104</v>
      </c>
      <c r="P104" s="63" t="n">
        <f aca="false">Assumptions!$D$50*(1-Assumptions!$D$80)*(1-Assumptions!$D$79)-Assumptions!$D$50*Assumptions!$D$55-Assumptions!$D$56</f>
        <v>34.29104</v>
      </c>
      <c r="Q104" s="63" t="n">
        <f aca="false">Assumptions!$D$50*(1-Assumptions!$D$80)*(1-Assumptions!$D$79)-Assumptions!$D$50*Assumptions!$D$55-Assumptions!$D$56</f>
        <v>34.29104</v>
      </c>
      <c r="R104" s="63" t="n">
        <f aca="false">Assumptions!$D$50*(1-Assumptions!$D$80)*(1-Assumptions!$D$79)-Assumptions!$D$50*Assumptions!$D$55-Assumptions!$D$56</f>
        <v>34.29104</v>
      </c>
      <c r="S104" s="63" t="n">
        <f aca="false">Assumptions!$D$50*(1-Assumptions!$D$80)*(1-Assumptions!$D$79)-Assumptions!$D$50*Assumptions!$D$55-Assumptions!$D$56</f>
        <v>34.29104</v>
      </c>
      <c r="T104" s="63" t="n">
        <f aca="false">Assumptions!$D$50*(1-Assumptions!$D$80)*(1-Assumptions!$D$79)-Assumptions!$D$50*Assumptions!$D$55-Assumptions!$D$56</f>
        <v>34.29104</v>
      </c>
      <c r="U104" s="63" t="n">
        <f aca="false">Assumptions!$D$50*(1-Assumptions!$D$80)*(1-Assumptions!$D$79)-Assumptions!$D$50*Assumptions!$D$55-Assumptions!$D$56</f>
        <v>34.29104</v>
      </c>
      <c r="V104" s="63" t="n">
        <f aca="false">Assumptions!$D$50*(1-Assumptions!$D$80)*(1-Assumptions!$D$79)-Assumptions!$D$50*Assumptions!$D$55-Assumptions!$D$56</f>
        <v>34.29104</v>
      </c>
      <c r="W104" s="63" t="n">
        <f aca="false">Assumptions!$D$50*(1-Assumptions!$D$80)*(1-Assumptions!$D$79)-Assumptions!$D$50*Assumptions!$D$55-Assumptions!$D$56</f>
        <v>34.29104</v>
      </c>
      <c r="X104" s="63" t="n">
        <f aca="false">Assumptions!$D$50*(1-Assumptions!$D$80)*(1-Assumptions!$D$79)-Assumptions!$D$50*Assumptions!$D$55-Assumptions!$D$56</f>
        <v>34.29104</v>
      </c>
      <c r="Y104" s="63" t="n">
        <f aca="false">Assumptions!$D$50*(1-Assumptions!$D$80)*(1-Assumptions!$D$79)-Assumptions!$D$50*Assumptions!$D$55-Assumptions!$D$56</f>
        <v>34.29104</v>
      </c>
      <c r="Z104" s="63" t="n">
        <f aca="false">Assumptions!$D$50*(1-Assumptions!$D$80)*(1-Assumptions!$D$79)-Assumptions!$D$50*Assumptions!$D$55-Assumptions!$D$56</f>
        <v>34.29104</v>
      </c>
      <c r="AA104" s="63" t="n">
        <f aca="false">Assumptions!$D$50*(1-Assumptions!$D$80)*(1-Assumptions!$D$79)-Assumptions!$D$50*Assumptions!$D$55-Assumptions!$D$56</f>
        <v>34.29104</v>
      </c>
      <c r="AB104" s="63" t="n">
        <f aca="false">Assumptions!$D$50*(1-Assumptions!$D$80)*(1-Assumptions!$D$79)-Assumptions!$D$50*Assumptions!$D$55-Assumptions!$D$56</f>
        <v>34.29104</v>
      </c>
      <c r="AC104" s="63" t="n">
        <f aca="false">Assumptions!$D$50*(1-Assumptions!$D$80)*(1-Assumptions!$D$79)-Assumptions!$D$50*Assumptions!$D$55-Assumptions!$D$56</f>
        <v>34.29104</v>
      </c>
      <c r="AD104" s="63" t="n">
        <f aca="false">Assumptions!$D$50*(1-Assumptions!$D$80)*(1-Assumptions!$D$79)-Assumptions!$D$50*Assumptions!$D$55-Assumptions!$D$56</f>
        <v>34.29104</v>
      </c>
      <c r="AE104" s="63" t="n">
        <f aca="false">Assumptions!$D$50*(1-Assumptions!$D$80)*(1-Assumptions!$D$79)-Assumptions!$D$50*Assumptions!$D$55-Assumptions!$D$56</f>
        <v>34.29104</v>
      </c>
      <c r="AF104" s="63" t="n">
        <f aca="false">Assumptions!$D$50*(1-Assumptions!$D$80)*(1-Assumptions!$D$79)-Assumptions!$D$50*Assumptions!$D$55-Assumptions!$D$56</f>
        <v>34.29104</v>
      </c>
      <c r="AG104" s="63" t="n">
        <f aca="false">Assumptions!$D$50*(1-Assumptions!$D$80)*(1-Assumptions!$D$79)-Assumptions!$D$50*Assumptions!$D$55-Assumptions!$D$56</f>
        <v>34.29104</v>
      </c>
      <c r="AH104" s="63" t="n">
        <f aca="false">Assumptions!$D$50*(1-Assumptions!$D$80)*(1-Assumptions!$D$79)-Assumptions!$D$50*Assumptions!$D$55-Assumptions!$D$56</f>
        <v>34.29104</v>
      </c>
      <c r="AI104" s="63" t="n">
        <f aca="false">Assumptions!$D$50*(1-Assumptions!$D$80)*(1-Assumptions!$D$79)-Assumptions!$D$50*Assumptions!$D$55-Assumptions!$D$56</f>
        <v>34.29104</v>
      </c>
      <c r="AJ104" s="63" t="n">
        <f aca="false">Assumptions!$D$50*(1-Assumptions!$D$80)*(1-Assumptions!$D$79)-Assumptions!$D$50*Assumptions!$D$55-Assumptions!$D$56</f>
        <v>34.29104</v>
      </c>
      <c r="AK104" s="63" t="n">
        <f aca="false">Assumptions!$D$50*(1-Assumptions!$D$80)*(1-Assumptions!$D$79)-Assumptions!$D$50*Assumptions!$D$55-Assumptions!$D$56</f>
        <v>34.29104</v>
      </c>
      <c r="AL104" s="63" t="n">
        <f aca="false">Assumptions!$D$50*(1-Assumptions!$D$80)*(1-Assumptions!$D$79)-Assumptions!$D$50*Assumptions!$D$55-Assumptions!$D$56</f>
        <v>34.29104</v>
      </c>
      <c r="AM104" s="63" t="n">
        <f aca="false">AVERAGE(N104:AL104)</f>
        <v>34.29104</v>
      </c>
    </row>
    <row r="105" customFormat="false" ht="15" hidden="false" customHeight="false" outlineLevel="0" collapsed="false">
      <c r="A105" s="10" t="s">
        <v>403</v>
      </c>
      <c r="B105" s="9" t="s">
        <v>97</v>
      </c>
      <c r="C105" s="70" t="n">
        <f aca="false">C104/Assumptions!$D$52</f>
        <v>381.011555555556</v>
      </c>
      <c r="D105" s="70" t="n">
        <f aca="false">D104/Assumptions!$D$52</f>
        <v>381.011555555556</v>
      </c>
      <c r="E105" s="70" t="n">
        <f aca="false">E104/Assumptions!$D$52</f>
        <v>381.011555555556</v>
      </c>
      <c r="F105" s="70" t="n">
        <f aca="false">F104/Assumptions!$D$52</f>
        <v>381.011555555556</v>
      </c>
      <c r="G105" s="70" t="n">
        <f aca="false">G104/Assumptions!$D$52</f>
        <v>381.011555555556</v>
      </c>
      <c r="H105" s="70" t="n">
        <f aca="false">H104/Assumptions!$D$52</f>
        <v>381.011555555556</v>
      </c>
      <c r="I105" s="70" t="n">
        <f aca="false">I104/Assumptions!$D$52</f>
        <v>381.011555555556</v>
      </c>
      <c r="J105" s="70" t="n">
        <f aca="false">J104/Assumptions!$D$52</f>
        <v>381.011555555556</v>
      </c>
      <c r="K105" s="70" t="n">
        <f aca="false">K104/Assumptions!$D$52</f>
        <v>381.011555555556</v>
      </c>
      <c r="L105" s="70" t="n">
        <f aca="false">L104/Assumptions!$D$52</f>
        <v>381.011555555556</v>
      </c>
      <c r="M105" s="70" t="n">
        <f aca="false">M104/Assumptions!$D$52</f>
        <v>381.011555555556</v>
      </c>
      <c r="N105" s="70" t="n">
        <f aca="false">N104/Assumptions!$D$52</f>
        <v>381.011555555556</v>
      </c>
      <c r="O105" s="70" t="n">
        <f aca="false">O104/Assumptions!$D$52</f>
        <v>381.011555555556</v>
      </c>
      <c r="P105" s="70" t="n">
        <f aca="false">P104/Assumptions!$D$52</f>
        <v>381.011555555556</v>
      </c>
      <c r="Q105" s="70" t="n">
        <f aca="false">Q104/Assumptions!$D$52</f>
        <v>381.011555555556</v>
      </c>
      <c r="R105" s="70" t="n">
        <f aca="false">R104/Assumptions!$D$52</f>
        <v>381.011555555556</v>
      </c>
      <c r="S105" s="70" t="n">
        <f aca="false">S104/Assumptions!$D$52</f>
        <v>381.011555555556</v>
      </c>
      <c r="T105" s="70" t="n">
        <f aca="false">T104/Assumptions!$D$52</f>
        <v>381.011555555556</v>
      </c>
      <c r="U105" s="70" t="n">
        <f aca="false">U104/Assumptions!$D$52</f>
        <v>381.011555555556</v>
      </c>
      <c r="V105" s="70" t="n">
        <f aca="false">V104/Assumptions!$D$52</f>
        <v>381.011555555556</v>
      </c>
      <c r="W105" s="70" t="n">
        <f aca="false">W104/Assumptions!$D$52</f>
        <v>381.011555555556</v>
      </c>
      <c r="X105" s="70" t="n">
        <f aca="false">X104/Assumptions!$D$52</f>
        <v>381.011555555556</v>
      </c>
      <c r="Y105" s="70" t="n">
        <f aca="false">Y104/Assumptions!$D$52</f>
        <v>381.011555555556</v>
      </c>
      <c r="Z105" s="70" t="n">
        <f aca="false">Z104/Assumptions!$D$52</f>
        <v>381.011555555556</v>
      </c>
      <c r="AA105" s="70" t="n">
        <f aca="false">AA104/Assumptions!$D$52</f>
        <v>381.011555555556</v>
      </c>
      <c r="AB105" s="70" t="n">
        <f aca="false">AB104/Assumptions!$D$52</f>
        <v>381.011555555556</v>
      </c>
      <c r="AC105" s="70" t="n">
        <f aca="false">AC104/Assumptions!$D$52</f>
        <v>381.011555555556</v>
      </c>
      <c r="AD105" s="70" t="n">
        <f aca="false">AD104/Assumptions!$D$52</f>
        <v>381.011555555556</v>
      </c>
      <c r="AE105" s="70" t="n">
        <f aca="false">AE104/Assumptions!$D$52</f>
        <v>381.011555555556</v>
      </c>
      <c r="AF105" s="70" t="n">
        <f aca="false">AF104/Assumptions!$D$52</f>
        <v>381.011555555556</v>
      </c>
      <c r="AG105" s="70" t="n">
        <f aca="false">AG104/Assumptions!$D$52</f>
        <v>381.011555555556</v>
      </c>
      <c r="AH105" s="70" t="n">
        <f aca="false">AH104/Assumptions!$D$52</f>
        <v>381.011555555556</v>
      </c>
      <c r="AI105" s="70" t="n">
        <f aca="false">AI104/Assumptions!$D$52</f>
        <v>381.011555555556</v>
      </c>
      <c r="AJ105" s="70" t="n">
        <f aca="false">AJ104/Assumptions!$D$52</f>
        <v>381.011555555556</v>
      </c>
      <c r="AK105" s="70" t="n">
        <f aca="false">AK104/Assumptions!$D$52</f>
        <v>381.011555555556</v>
      </c>
      <c r="AL105" s="70" t="n">
        <f aca="false">AL104/Assumptions!$D$52</f>
        <v>381.011555555556</v>
      </c>
      <c r="AM105" s="70" t="n">
        <f aca="false">AVERAGE(N105:AL105)</f>
        <v>381.011555555556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105"/>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8" min="3" style="0" width="12"/>
    <col collapsed="false" customWidth="true" hidden="false" outlineLevel="0" max="39" min="39" style="0" width="15"/>
  </cols>
  <sheetData>
    <row r="1" customFormat="false" ht="17.35" hidden="false" customHeight="false" outlineLevel="0" collapsed="false">
      <c r="A1" s="4" t="s">
        <v>824</v>
      </c>
    </row>
    <row r="2" customFormat="false" ht="15" hidden="false" customHeight="false" outlineLevel="0" collapsed="false">
      <c r="A2" s="67" t="s">
        <v>686</v>
      </c>
    </row>
    <row r="4" customFormat="false" ht="15" hidden="false" customHeight="false" outlineLevel="0" collapsed="false">
      <c r="A4" s="50" t="s">
        <v>687</v>
      </c>
      <c r="B4" s="50" t="s">
        <v>25</v>
      </c>
      <c r="C4" s="68" t="s">
        <v>688</v>
      </c>
      <c r="D4" s="68" t="s">
        <v>689</v>
      </c>
      <c r="E4" s="68" t="s">
        <v>690</v>
      </c>
      <c r="F4" s="68" t="s">
        <v>691</v>
      </c>
      <c r="G4" s="68" t="s">
        <v>692</v>
      </c>
      <c r="H4" s="68" t="s">
        <v>693</v>
      </c>
      <c r="I4" s="68" t="s">
        <v>694</v>
      </c>
      <c r="J4" s="68" t="s">
        <v>695</v>
      </c>
      <c r="K4" s="68" t="s">
        <v>696</v>
      </c>
      <c r="L4" s="68" t="s">
        <v>697</v>
      </c>
      <c r="M4" s="68" t="s">
        <v>698</v>
      </c>
      <c r="N4" s="68" t="s">
        <v>699</v>
      </c>
      <c r="O4" s="68" t="s">
        <v>700</v>
      </c>
      <c r="P4" s="68" t="s">
        <v>701</v>
      </c>
      <c r="Q4" s="68" t="s">
        <v>702</v>
      </c>
      <c r="R4" s="68" t="s">
        <v>703</v>
      </c>
      <c r="S4" s="68" t="s">
        <v>704</v>
      </c>
      <c r="T4" s="68" t="s">
        <v>705</v>
      </c>
      <c r="U4" s="68" t="s">
        <v>706</v>
      </c>
      <c r="V4" s="68" t="s">
        <v>707</v>
      </c>
      <c r="W4" s="68" t="s">
        <v>708</v>
      </c>
      <c r="X4" s="68" t="s">
        <v>709</v>
      </c>
      <c r="Y4" s="68" t="s">
        <v>710</v>
      </c>
      <c r="Z4" s="68" t="s">
        <v>711</v>
      </c>
      <c r="AA4" s="68" t="s">
        <v>712</v>
      </c>
      <c r="AB4" s="68" t="s">
        <v>713</v>
      </c>
      <c r="AC4" s="68" t="s">
        <v>714</v>
      </c>
      <c r="AD4" s="68" t="s">
        <v>715</v>
      </c>
      <c r="AE4" s="68" t="s">
        <v>716</v>
      </c>
      <c r="AF4" s="68" t="s">
        <v>717</v>
      </c>
      <c r="AG4" s="68" t="s">
        <v>718</v>
      </c>
      <c r="AH4" s="68" t="s">
        <v>719</v>
      </c>
      <c r="AI4" s="68" t="s">
        <v>720</v>
      </c>
      <c r="AJ4" s="68" t="s">
        <v>721</v>
      </c>
      <c r="AK4" s="68" t="s">
        <v>722</v>
      </c>
      <c r="AL4" s="68" t="s">
        <v>723</v>
      </c>
      <c r="AM4" s="50" t="s">
        <v>724</v>
      </c>
    </row>
    <row r="5" customFormat="false" ht="15" hidden="false" customHeight="false" outlineLevel="0" collapsed="false">
      <c r="A5" s="0" t="s">
        <v>725</v>
      </c>
      <c r="B5" s="0" t="s">
        <v>51</v>
      </c>
      <c r="C5" s="10" t="n">
        <v>1</v>
      </c>
      <c r="D5" s="10" t="n">
        <v>2</v>
      </c>
      <c r="E5" s="10" t="n">
        <v>3</v>
      </c>
      <c r="F5" s="10" t="n">
        <v>4</v>
      </c>
      <c r="G5" s="10" t="n">
        <v>5</v>
      </c>
      <c r="H5" s="10" t="n">
        <v>6</v>
      </c>
      <c r="I5" s="10" t="n">
        <v>7</v>
      </c>
      <c r="J5" s="10" t="n">
        <v>8</v>
      </c>
      <c r="K5" s="10" t="n">
        <v>9</v>
      </c>
      <c r="L5" s="10" t="n">
        <v>10</v>
      </c>
      <c r="M5" s="10" t="n">
        <v>11</v>
      </c>
      <c r="N5" s="10" t="n">
        <v>12</v>
      </c>
      <c r="O5" s="10" t="n">
        <v>13</v>
      </c>
      <c r="P5" s="10" t="n">
        <v>14</v>
      </c>
      <c r="Q5" s="10" t="n">
        <v>15</v>
      </c>
      <c r="R5" s="10" t="n">
        <v>16</v>
      </c>
      <c r="S5" s="10" t="n">
        <v>17</v>
      </c>
      <c r="T5" s="10" t="n">
        <v>18</v>
      </c>
      <c r="U5" s="10" t="n">
        <v>19</v>
      </c>
      <c r="V5" s="10" t="n">
        <v>20</v>
      </c>
      <c r="W5" s="10" t="n">
        <v>21</v>
      </c>
      <c r="X5" s="10" t="n">
        <v>22</v>
      </c>
      <c r="Y5" s="10" t="n">
        <v>23</v>
      </c>
      <c r="Z5" s="10" t="n">
        <v>24</v>
      </c>
      <c r="AA5" s="10" t="n">
        <v>25</v>
      </c>
      <c r="AB5" s="10" t="n">
        <v>26</v>
      </c>
      <c r="AC5" s="10" t="n">
        <v>27</v>
      </c>
      <c r="AD5" s="10" t="n">
        <v>28</v>
      </c>
      <c r="AE5" s="10" t="n">
        <v>29</v>
      </c>
      <c r="AF5" s="10" t="n">
        <v>30</v>
      </c>
      <c r="AG5" s="10" t="n">
        <v>31</v>
      </c>
      <c r="AH5" s="10" t="n">
        <v>32</v>
      </c>
      <c r="AI5" s="10" t="n">
        <v>33</v>
      </c>
      <c r="AJ5" s="10" t="n">
        <v>34</v>
      </c>
      <c r="AK5" s="10" t="n">
        <v>35</v>
      </c>
      <c r="AL5" s="10" t="n">
        <v>36</v>
      </c>
    </row>
    <row r="6" customFormat="false" ht="15" hidden="false" customHeight="false" outlineLevel="0" collapsed="false">
      <c r="A6" s="0" t="s">
        <v>726</v>
      </c>
      <c r="B6" s="0" t="s">
        <v>51</v>
      </c>
      <c r="C6" s="10" t="n">
        <f aca="false">ROUNDUP(C$5/12,0)</f>
        <v>1</v>
      </c>
      <c r="D6" s="10" t="n">
        <f aca="false">ROUNDUP(D$5/12,0)</f>
        <v>1</v>
      </c>
      <c r="E6" s="10" t="n">
        <f aca="false">ROUNDUP(E$5/12,0)</f>
        <v>1</v>
      </c>
      <c r="F6" s="10" t="n">
        <f aca="false">ROUNDUP(F$5/12,0)</f>
        <v>1</v>
      </c>
      <c r="G6" s="10" t="n">
        <f aca="false">ROUNDUP(G$5/12,0)</f>
        <v>1</v>
      </c>
      <c r="H6" s="10" t="n">
        <f aca="false">ROUNDUP(H$5/12,0)</f>
        <v>1</v>
      </c>
      <c r="I6" s="10" t="n">
        <f aca="false">ROUNDUP(I$5/12,0)</f>
        <v>1</v>
      </c>
      <c r="J6" s="10" t="n">
        <f aca="false">ROUNDUP(J$5/12,0)</f>
        <v>1</v>
      </c>
      <c r="K6" s="10" t="n">
        <f aca="false">ROUNDUP(K$5/12,0)</f>
        <v>1</v>
      </c>
      <c r="L6" s="10" t="n">
        <f aca="false">ROUNDUP(L$5/12,0)</f>
        <v>1</v>
      </c>
      <c r="M6" s="10" t="n">
        <f aca="false">ROUNDUP(M$5/12,0)</f>
        <v>1</v>
      </c>
      <c r="N6" s="10" t="n">
        <f aca="false">ROUNDUP(N$5/12,0)</f>
        <v>1</v>
      </c>
      <c r="O6" s="10" t="n">
        <f aca="false">ROUNDUP(O$5/12,0)</f>
        <v>2</v>
      </c>
      <c r="P6" s="10" t="n">
        <f aca="false">ROUNDUP(P$5/12,0)</f>
        <v>2</v>
      </c>
      <c r="Q6" s="10" t="n">
        <f aca="false">ROUNDUP(Q$5/12,0)</f>
        <v>2</v>
      </c>
      <c r="R6" s="10" t="n">
        <f aca="false">ROUNDUP(R$5/12,0)</f>
        <v>2</v>
      </c>
      <c r="S6" s="10" t="n">
        <f aca="false">ROUNDUP(S$5/12,0)</f>
        <v>2</v>
      </c>
      <c r="T6" s="10" t="n">
        <f aca="false">ROUNDUP(T$5/12,0)</f>
        <v>2</v>
      </c>
      <c r="U6" s="10" t="n">
        <f aca="false">ROUNDUP(U$5/12,0)</f>
        <v>2</v>
      </c>
      <c r="V6" s="10" t="n">
        <f aca="false">ROUNDUP(V$5/12,0)</f>
        <v>2</v>
      </c>
      <c r="W6" s="10" t="n">
        <f aca="false">ROUNDUP(W$5/12,0)</f>
        <v>2</v>
      </c>
      <c r="X6" s="10" t="n">
        <f aca="false">ROUNDUP(X$5/12,0)</f>
        <v>2</v>
      </c>
      <c r="Y6" s="10" t="n">
        <f aca="false">ROUNDUP(Y$5/12,0)</f>
        <v>2</v>
      </c>
      <c r="Z6" s="10" t="n">
        <f aca="false">ROUNDUP(Z$5/12,0)</f>
        <v>2</v>
      </c>
      <c r="AA6" s="10" t="n">
        <f aca="false">ROUNDUP(AA$5/12,0)</f>
        <v>3</v>
      </c>
      <c r="AB6" s="10" t="n">
        <f aca="false">ROUNDUP(AB$5/12,0)</f>
        <v>3</v>
      </c>
      <c r="AC6" s="10" t="n">
        <f aca="false">ROUNDUP(AC$5/12,0)</f>
        <v>3</v>
      </c>
      <c r="AD6" s="10" t="n">
        <f aca="false">ROUNDUP(AD$5/12,0)</f>
        <v>3</v>
      </c>
      <c r="AE6" s="10" t="n">
        <f aca="false">ROUNDUP(AE$5/12,0)</f>
        <v>3</v>
      </c>
      <c r="AF6" s="10" t="n">
        <f aca="false">ROUNDUP(AF$5/12,0)</f>
        <v>3</v>
      </c>
      <c r="AG6" s="10" t="n">
        <f aca="false">ROUNDUP(AG$5/12,0)</f>
        <v>3</v>
      </c>
      <c r="AH6" s="10" t="n">
        <f aca="false">ROUNDUP(AH$5/12,0)</f>
        <v>3</v>
      </c>
      <c r="AI6" s="10" t="n">
        <f aca="false">ROUNDUP(AI$5/12,0)</f>
        <v>3</v>
      </c>
      <c r="AJ6" s="10" t="n">
        <f aca="false">ROUNDUP(AJ$5/12,0)</f>
        <v>3</v>
      </c>
      <c r="AK6" s="10" t="n">
        <f aca="false">ROUNDUP(AK$5/12,0)</f>
        <v>3</v>
      </c>
      <c r="AL6" s="10" t="n">
        <f aca="false">ROUNDUP(AL$5/12,0)</f>
        <v>3</v>
      </c>
    </row>
    <row r="8" customFormat="false" ht="15" hidden="false" customHeight="false" outlineLevel="0" collapsed="false">
      <c r="A8" s="10" t="s">
        <v>727</v>
      </c>
      <c r="B8" s="9" t="s">
        <v>728</v>
      </c>
      <c r="C8" s="69" t="n">
        <f aca="false">IF(C$5&gt;=Assumptions!$E$6,1,0)</f>
        <v>0</v>
      </c>
      <c r="D8" s="69" t="n">
        <f aca="false">IF(D$5&gt;=Assumptions!$E$6,1,0)</f>
        <v>1</v>
      </c>
      <c r="E8" s="69" t="n">
        <f aca="false">IF(E$5&gt;=Assumptions!$E$6,1,0)</f>
        <v>1</v>
      </c>
      <c r="F8" s="69" t="n">
        <f aca="false">IF(F$5&gt;=Assumptions!$E$6,1,0)</f>
        <v>1</v>
      </c>
      <c r="G8" s="69" t="n">
        <f aca="false">IF(G$5&gt;=Assumptions!$E$6,1,0)</f>
        <v>1</v>
      </c>
      <c r="H8" s="69" t="n">
        <f aca="false">IF(H$5&gt;=Assumptions!$E$6,1,0)</f>
        <v>1</v>
      </c>
      <c r="I8" s="69" t="n">
        <f aca="false">IF(I$5&gt;=Assumptions!$E$6,1,0)</f>
        <v>1</v>
      </c>
      <c r="J8" s="69" t="n">
        <f aca="false">IF(J$5&gt;=Assumptions!$E$6,1,0)</f>
        <v>1</v>
      </c>
      <c r="K8" s="69" t="n">
        <f aca="false">IF(K$5&gt;=Assumptions!$E$6,1,0)</f>
        <v>1</v>
      </c>
      <c r="L8" s="69" t="n">
        <f aca="false">IF(L$5&gt;=Assumptions!$E$6,1,0)</f>
        <v>1</v>
      </c>
      <c r="M8" s="69" t="n">
        <f aca="false">IF(M$5&gt;=Assumptions!$E$6,1,0)</f>
        <v>1</v>
      </c>
      <c r="N8" s="69" t="n">
        <f aca="false">IF(N$5&gt;=Assumptions!$E$6,1,0)</f>
        <v>1</v>
      </c>
      <c r="O8" s="69" t="n">
        <f aca="false">IF(O$5&gt;=Assumptions!$E$6,1,0)</f>
        <v>1</v>
      </c>
      <c r="P8" s="69" t="n">
        <f aca="false">IF(P$5&gt;=Assumptions!$E$6,1,0)</f>
        <v>1</v>
      </c>
      <c r="Q8" s="69" t="n">
        <f aca="false">IF(Q$5&gt;=Assumptions!$E$6,1,0)</f>
        <v>1</v>
      </c>
      <c r="R8" s="69" t="n">
        <f aca="false">IF(R$5&gt;=Assumptions!$E$6,1,0)</f>
        <v>1</v>
      </c>
      <c r="S8" s="69" t="n">
        <f aca="false">IF(S$5&gt;=Assumptions!$E$6,1,0)</f>
        <v>1</v>
      </c>
      <c r="T8" s="69" t="n">
        <f aca="false">IF(T$5&gt;=Assumptions!$E$6,1,0)</f>
        <v>1</v>
      </c>
      <c r="U8" s="69" t="n">
        <f aca="false">IF(U$5&gt;=Assumptions!$E$6,1,0)</f>
        <v>1</v>
      </c>
      <c r="V8" s="69" t="n">
        <f aca="false">IF(V$5&gt;=Assumptions!$E$6,1,0)</f>
        <v>1</v>
      </c>
      <c r="W8" s="69" t="n">
        <f aca="false">IF(W$5&gt;=Assumptions!$E$6,1,0)</f>
        <v>1</v>
      </c>
      <c r="X8" s="69" t="n">
        <f aca="false">IF(X$5&gt;=Assumptions!$E$6,1,0)</f>
        <v>1</v>
      </c>
      <c r="Y8" s="69" t="n">
        <f aca="false">IF(Y$5&gt;=Assumptions!$E$6,1,0)</f>
        <v>1</v>
      </c>
      <c r="Z8" s="69" t="n">
        <f aca="false">IF(Z$5&gt;=Assumptions!$E$6,1,0)</f>
        <v>1</v>
      </c>
      <c r="AA8" s="69" t="n">
        <f aca="false">IF(AA$5&gt;=Assumptions!$E$6,1,0)</f>
        <v>1</v>
      </c>
      <c r="AB8" s="69" t="n">
        <f aca="false">IF(AB$5&gt;=Assumptions!$E$6,1,0)</f>
        <v>1</v>
      </c>
      <c r="AC8" s="69" t="n">
        <f aca="false">IF(AC$5&gt;=Assumptions!$E$6,1,0)</f>
        <v>1</v>
      </c>
      <c r="AD8" s="69" t="n">
        <f aca="false">IF(AD$5&gt;=Assumptions!$E$6,1,0)</f>
        <v>1</v>
      </c>
      <c r="AE8" s="69" t="n">
        <f aca="false">IF(AE$5&gt;=Assumptions!$E$6,1,0)</f>
        <v>1</v>
      </c>
      <c r="AF8" s="69" t="n">
        <f aca="false">IF(AF$5&gt;=Assumptions!$E$6,1,0)</f>
        <v>1</v>
      </c>
      <c r="AG8" s="69" t="n">
        <f aca="false">IF(AG$5&gt;=Assumptions!$E$6,1,0)</f>
        <v>1</v>
      </c>
      <c r="AH8" s="69" t="n">
        <f aca="false">IF(AH$5&gt;=Assumptions!$E$6,1,0)</f>
        <v>1</v>
      </c>
      <c r="AI8" s="69" t="n">
        <f aca="false">IF(AI$5&gt;=Assumptions!$E$6,1,0)</f>
        <v>1</v>
      </c>
      <c r="AJ8" s="69" t="n">
        <f aca="false">IF(AJ$5&gt;=Assumptions!$E$6,1,0)</f>
        <v>1</v>
      </c>
      <c r="AK8" s="69" t="n">
        <f aca="false">IF(AK$5&gt;=Assumptions!$E$6,1,0)</f>
        <v>1</v>
      </c>
      <c r="AL8" s="69" t="n">
        <f aca="false">IF(AL$5&gt;=Assumptions!$E$6,1,0)</f>
        <v>1</v>
      </c>
      <c r="AM8" s="69"/>
    </row>
    <row r="9" customFormat="false" ht="15" hidden="false" customHeight="false" outlineLevel="0" collapsed="false">
      <c r="A9" s="10" t="s">
        <v>729</v>
      </c>
      <c r="B9" s="9" t="s">
        <v>728</v>
      </c>
      <c r="C9" s="69" t="n">
        <f aca="false">IF(C$5&gt;=Assumptions!$E$7,1,0)</f>
        <v>0</v>
      </c>
      <c r="D9" s="69" t="n">
        <f aca="false">IF(D$5&gt;=Assumptions!$E$7,1,0)</f>
        <v>0</v>
      </c>
      <c r="E9" s="69" t="n">
        <f aca="false">IF(E$5&gt;=Assumptions!$E$7,1,0)</f>
        <v>0</v>
      </c>
      <c r="F9" s="69" t="n">
        <f aca="false">IF(F$5&gt;=Assumptions!$E$7,1,0)</f>
        <v>0</v>
      </c>
      <c r="G9" s="69" t="n">
        <f aca="false">IF(G$5&gt;=Assumptions!$E$7,1,0)</f>
        <v>0</v>
      </c>
      <c r="H9" s="69" t="n">
        <f aca="false">IF(H$5&gt;=Assumptions!$E$7,1,0)</f>
        <v>0</v>
      </c>
      <c r="I9" s="69" t="n">
        <f aca="false">IF(I$5&gt;=Assumptions!$E$7,1,0)</f>
        <v>1</v>
      </c>
      <c r="J9" s="69" t="n">
        <f aca="false">IF(J$5&gt;=Assumptions!$E$7,1,0)</f>
        <v>1</v>
      </c>
      <c r="K9" s="69" t="n">
        <f aca="false">IF(K$5&gt;=Assumptions!$E$7,1,0)</f>
        <v>1</v>
      </c>
      <c r="L9" s="69" t="n">
        <f aca="false">IF(L$5&gt;=Assumptions!$E$7,1,0)</f>
        <v>1</v>
      </c>
      <c r="M9" s="69" t="n">
        <f aca="false">IF(M$5&gt;=Assumptions!$E$7,1,0)</f>
        <v>1</v>
      </c>
      <c r="N9" s="69" t="n">
        <f aca="false">IF(N$5&gt;=Assumptions!$E$7,1,0)</f>
        <v>1</v>
      </c>
      <c r="O9" s="69" t="n">
        <f aca="false">IF(O$5&gt;=Assumptions!$E$7,1,0)</f>
        <v>1</v>
      </c>
      <c r="P9" s="69" t="n">
        <f aca="false">IF(P$5&gt;=Assumptions!$E$7,1,0)</f>
        <v>1</v>
      </c>
      <c r="Q9" s="69" t="n">
        <f aca="false">IF(Q$5&gt;=Assumptions!$E$7,1,0)</f>
        <v>1</v>
      </c>
      <c r="R9" s="69" t="n">
        <f aca="false">IF(R$5&gt;=Assumptions!$E$7,1,0)</f>
        <v>1</v>
      </c>
      <c r="S9" s="69" t="n">
        <f aca="false">IF(S$5&gt;=Assumptions!$E$7,1,0)</f>
        <v>1</v>
      </c>
      <c r="T9" s="69" t="n">
        <f aca="false">IF(T$5&gt;=Assumptions!$E$7,1,0)</f>
        <v>1</v>
      </c>
      <c r="U9" s="69" t="n">
        <f aca="false">IF(U$5&gt;=Assumptions!$E$7,1,0)</f>
        <v>1</v>
      </c>
      <c r="V9" s="69" t="n">
        <f aca="false">IF(V$5&gt;=Assumptions!$E$7,1,0)</f>
        <v>1</v>
      </c>
      <c r="W9" s="69" t="n">
        <f aca="false">IF(W$5&gt;=Assumptions!$E$7,1,0)</f>
        <v>1</v>
      </c>
      <c r="X9" s="69" t="n">
        <f aca="false">IF(X$5&gt;=Assumptions!$E$7,1,0)</f>
        <v>1</v>
      </c>
      <c r="Y9" s="69" t="n">
        <f aca="false">IF(Y$5&gt;=Assumptions!$E$7,1,0)</f>
        <v>1</v>
      </c>
      <c r="Z9" s="69" t="n">
        <f aca="false">IF(Z$5&gt;=Assumptions!$E$7,1,0)</f>
        <v>1</v>
      </c>
      <c r="AA9" s="69" t="n">
        <f aca="false">IF(AA$5&gt;=Assumptions!$E$7,1,0)</f>
        <v>1</v>
      </c>
      <c r="AB9" s="69" t="n">
        <f aca="false">IF(AB$5&gt;=Assumptions!$E$7,1,0)</f>
        <v>1</v>
      </c>
      <c r="AC9" s="69" t="n">
        <f aca="false">IF(AC$5&gt;=Assumptions!$E$7,1,0)</f>
        <v>1</v>
      </c>
      <c r="AD9" s="69" t="n">
        <f aca="false">IF(AD$5&gt;=Assumptions!$E$7,1,0)</f>
        <v>1</v>
      </c>
      <c r="AE9" s="69" t="n">
        <f aca="false">IF(AE$5&gt;=Assumptions!$E$7,1,0)</f>
        <v>1</v>
      </c>
      <c r="AF9" s="69" t="n">
        <f aca="false">IF(AF$5&gt;=Assumptions!$E$7,1,0)</f>
        <v>1</v>
      </c>
      <c r="AG9" s="69" t="n">
        <f aca="false">IF(AG$5&gt;=Assumptions!$E$7,1,0)</f>
        <v>1</v>
      </c>
      <c r="AH9" s="69" t="n">
        <f aca="false">IF(AH$5&gt;=Assumptions!$E$7,1,0)</f>
        <v>1</v>
      </c>
      <c r="AI9" s="69" t="n">
        <f aca="false">IF(AI$5&gt;=Assumptions!$E$7,1,0)</f>
        <v>1</v>
      </c>
      <c r="AJ9" s="69" t="n">
        <f aca="false">IF(AJ$5&gt;=Assumptions!$E$7,1,0)</f>
        <v>1</v>
      </c>
      <c r="AK9" s="69" t="n">
        <f aca="false">IF(AK$5&gt;=Assumptions!$E$7,1,0)</f>
        <v>1</v>
      </c>
      <c r="AL9" s="69" t="n">
        <f aca="false">IF(AL$5&gt;=Assumptions!$E$7,1,0)</f>
        <v>1</v>
      </c>
      <c r="AM9" s="69"/>
    </row>
    <row r="10" customFormat="false" ht="15" hidden="false" customHeight="false" outlineLevel="0" collapsed="false">
      <c r="A10" s="10" t="s">
        <v>730</v>
      </c>
      <c r="B10" s="9" t="s">
        <v>51</v>
      </c>
      <c r="C10" s="69" t="n">
        <f aca="false">MAX(0,C$5-Assumptions!$E$6)</f>
        <v>0</v>
      </c>
      <c r="D10" s="69" t="n">
        <f aca="false">MAX(0,D$5-Assumptions!$E$6)</f>
        <v>0</v>
      </c>
      <c r="E10" s="69" t="n">
        <f aca="false">MAX(0,E$5-Assumptions!$E$6)</f>
        <v>1</v>
      </c>
      <c r="F10" s="69" t="n">
        <f aca="false">MAX(0,F$5-Assumptions!$E$6)</f>
        <v>2</v>
      </c>
      <c r="G10" s="69" t="n">
        <f aca="false">MAX(0,G$5-Assumptions!$E$6)</f>
        <v>3</v>
      </c>
      <c r="H10" s="69" t="n">
        <f aca="false">MAX(0,H$5-Assumptions!$E$6)</f>
        <v>4</v>
      </c>
      <c r="I10" s="69" t="n">
        <f aca="false">MAX(0,I$5-Assumptions!$E$6)</f>
        <v>5</v>
      </c>
      <c r="J10" s="69" t="n">
        <f aca="false">MAX(0,J$5-Assumptions!$E$6)</f>
        <v>6</v>
      </c>
      <c r="K10" s="69" t="n">
        <f aca="false">MAX(0,K$5-Assumptions!$E$6)</f>
        <v>7</v>
      </c>
      <c r="L10" s="69" t="n">
        <f aca="false">MAX(0,L$5-Assumptions!$E$6)</f>
        <v>8</v>
      </c>
      <c r="M10" s="69" t="n">
        <f aca="false">MAX(0,M$5-Assumptions!$E$6)</f>
        <v>9</v>
      </c>
      <c r="N10" s="69" t="n">
        <f aca="false">MAX(0,N$5-Assumptions!$E$6)</f>
        <v>10</v>
      </c>
      <c r="O10" s="69" t="n">
        <f aca="false">MAX(0,O$5-Assumptions!$E$6)</f>
        <v>11</v>
      </c>
      <c r="P10" s="69" t="n">
        <f aca="false">MAX(0,P$5-Assumptions!$E$6)</f>
        <v>12</v>
      </c>
      <c r="Q10" s="69" t="n">
        <f aca="false">MAX(0,Q$5-Assumptions!$E$6)</f>
        <v>13</v>
      </c>
      <c r="R10" s="69" t="n">
        <f aca="false">MAX(0,R$5-Assumptions!$E$6)</f>
        <v>14</v>
      </c>
      <c r="S10" s="69" t="n">
        <f aca="false">MAX(0,S$5-Assumptions!$E$6)</f>
        <v>15</v>
      </c>
      <c r="T10" s="69" t="n">
        <f aca="false">MAX(0,T$5-Assumptions!$E$6)</f>
        <v>16</v>
      </c>
      <c r="U10" s="69" t="n">
        <f aca="false">MAX(0,U$5-Assumptions!$E$6)</f>
        <v>17</v>
      </c>
      <c r="V10" s="69" t="n">
        <f aca="false">MAX(0,V$5-Assumptions!$E$6)</f>
        <v>18</v>
      </c>
      <c r="W10" s="69" t="n">
        <f aca="false">MAX(0,W$5-Assumptions!$E$6)</f>
        <v>19</v>
      </c>
      <c r="X10" s="69" t="n">
        <f aca="false">MAX(0,X$5-Assumptions!$E$6)</f>
        <v>20</v>
      </c>
      <c r="Y10" s="69" t="n">
        <f aca="false">MAX(0,Y$5-Assumptions!$E$6)</f>
        <v>21</v>
      </c>
      <c r="Z10" s="69" t="n">
        <f aca="false">MAX(0,Z$5-Assumptions!$E$6)</f>
        <v>22</v>
      </c>
      <c r="AA10" s="69" t="n">
        <f aca="false">MAX(0,AA$5-Assumptions!$E$6)</f>
        <v>23</v>
      </c>
      <c r="AB10" s="69" t="n">
        <f aca="false">MAX(0,AB$5-Assumptions!$E$6)</f>
        <v>24</v>
      </c>
      <c r="AC10" s="69" t="n">
        <f aca="false">MAX(0,AC$5-Assumptions!$E$6)</f>
        <v>25</v>
      </c>
      <c r="AD10" s="69" t="n">
        <f aca="false">MAX(0,AD$5-Assumptions!$E$6)</f>
        <v>26</v>
      </c>
      <c r="AE10" s="69" t="n">
        <f aca="false">MAX(0,AE$5-Assumptions!$E$6)</f>
        <v>27</v>
      </c>
      <c r="AF10" s="69" t="n">
        <f aca="false">MAX(0,AF$5-Assumptions!$E$6)</f>
        <v>28</v>
      </c>
      <c r="AG10" s="69" t="n">
        <f aca="false">MAX(0,AG$5-Assumptions!$E$6)</f>
        <v>29</v>
      </c>
      <c r="AH10" s="69" t="n">
        <f aca="false">MAX(0,AH$5-Assumptions!$E$6)</f>
        <v>30</v>
      </c>
      <c r="AI10" s="69" t="n">
        <f aca="false">MAX(0,AI$5-Assumptions!$E$6)</f>
        <v>31</v>
      </c>
      <c r="AJ10" s="69" t="n">
        <f aca="false">MAX(0,AJ$5-Assumptions!$E$6)</f>
        <v>32</v>
      </c>
      <c r="AK10" s="69" t="n">
        <f aca="false">MAX(0,AK$5-Assumptions!$E$6)</f>
        <v>33</v>
      </c>
      <c r="AL10" s="69" t="n">
        <f aca="false">MAX(0,AL$5-Assumptions!$E$6)</f>
        <v>34</v>
      </c>
      <c r="AM10" s="69"/>
    </row>
    <row r="11" customFormat="false" ht="15" hidden="false" customHeight="false" outlineLevel="0" collapsed="false">
      <c r="A11" s="10" t="s">
        <v>731</v>
      </c>
      <c r="B11" s="9" t="s">
        <v>84</v>
      </c>
      <c r="C11" s="61" t="n">
        <f aca="false">Assumptions!$E$9*Assumptions!$E$10*Assumptions!$E$11*Assumptions!$E$12</f>
        <v>76720</v>
      </c>
      <c r="D11" s="61" t="n">
        <f aca="false">Assumptions!$E$9*Assumptions!$E$10*Assumptions!$E$11*Assumptions!$E$12</f>
        <v>76720</v>
      </c>
      <c r="E11" s="61" t="n">
        <f aca="false">Assumptions!$E$9*Assumptions!$E$10*Assumptions!$E$11*Assumptions!$E$12</f>
        <v>76720</v>
      </c>
      <c r="F11" s="61" t="n">
        <f aca="false">Assumptions!$E$9*Assumptions!$E$10*Assumptions!$E$11*Assumptions!$E$12</f>
        <v>76720</v>
      </c>
      <c r="G11" s="61" t="n">
        <f aca="false">Assumptions!$E$9*Assumptions!$E$10*Assumptions!$E$11*Assumptions!$E$12</f>
        <v>76720</v>
      </c>
      <c r="H11" s="61" t="n">
        <f aca="false">Assumptions!$E$9*Assumptions!$E$10*Assumptions!$E$11*Assumptions!$E$12</f>
        <v>76720</v>
      </c>
      <c r="I11" s="61" t="n">
        <f aca="false">Assumptions!$E$9*Assumptions!$E$10*Assumptions!$E$11*Assumptions!$E$12</f>
        <v>76720</v>
      </c>
      <c r="J11" s="61" t="n">
        <f aca="false">Assumptions!$E$9*Assumptions!$E$10*Assumptions!$E$11*Assumptions!$E$12</f>
        <v>76720</v>
      </c>
      <c r="K11" s="61" t="n">
        <f aca="false">Assumptions!$E$9*Assumptions!$E$10*Assumptions!$E$11*Assumptions!$E$12</f>
        <v>76720</v>
      </c>
      <c r="L11" s="61" t="n">
        <f aca="false">Assumptions!$E$9*Assumptions!$E$10*Assumptions!$E$11*Assumptions!$E$12</f>
        <v>76720</v>
      </c>
      <c r="M11" s="61" t="n">
        <f aca="false">Assumptions!$E$9*Assumptions!$E$10*Assumptions!$E$11*Assumptions!$E$12</f>
        <v>76720</v>
      </c>
      <c r="N11" s="61" t="n">
        <f aca="false">Assumptions!$E$9*Assumptions!$E$10*Assumptions!$E$11*Assumptions!$E$12</f>
        <v>76720</v>
      </c>
      <c r="O11" s="61" t="n">
        <f aca="false">Assumptions!$E$9*Assumptions!$E$10*Assumptions!$E$11*Assumptions!$E$12</f>
        <v>76720</v>
      </c>
      <c r="P11" s="61" t="n">
        <f aca="false">Assumptions!$E$9*Assumptions!$E$10*Assumptions!$E$11*Assumptions!$E$12</f>
        <v>76720</v>
      </c>
      <c r="Q11" s="61" t="n">
        <f aca="false">Assumptions!$E$9*Assumptions!$E$10*Assumptions!$E$11*Assumptions!$E$12</f>
        <v>76720</v>
      </c>
      <c r="R11" s="61" t="n">
        <f aca="false">Assumptions!$E$9*Assumptions!$E$10*Assumptions!$E$11*Assumptions!$E$12</f>
        <v>76720</v>
      </c>
      <c r="S11" s="61" t="n">
        <f aca="false">Assumptions!$E$9*Assumptions!$E$10*Assumptions!$E$11*Assumptions!$E$12</f>
        <v>76720</v>
      </c>
      <c r="T11" s="61" t="n">
        <f aca="false">Assumptions!$E$9*Assumptions!$E$10*Assumptions!$E$11*Assumptions!$E$12</f>
        <v>76720</v>
      </c>
      <c r="U11" s="61" t="n">
        <f aca="false">Assumptions!$E$9*Assumptions!$E$10*Assumptions!$E$11*Assumptions!$E$12</f>
        <v>76720</v>
      </c>
      <c r="V11" s="61" t="n">
        <f aca="false">Assumptions!$E$9*Assumptions!$E$10*Assumptions!$E$11*Assumptions!$E$12</f>
        <v>76720</v>
      </c>
      <c r="W11" s="61" t="n">
        <f aca="false">Assumptions!$E$9*Assumptions!$E$10*Assumptions!$E$11*Assumptions!$E$12</f>
        <v>76720</v>
      </c>
      <c r="X11" s="61" t="n">
        <f aca="false">Assumptions!$E$9*Assumptions!$E$10*Assumptions!$E$11*Assumptions!$E$12</f>
        <v>76720</v>
      </c>
      <c r="Y11" s="61" t="n">
        <f aca="false">Assumptions!$E$9*Assumptions!$E$10*Assumptions!$E$11*Assumptions!$E$12</f>
        <v>76720</v>
      </c>
      <c r="Z11" s="61" t="n">
        <f aca="false">Assumptions!$E$9*Assumptions!$E$10*Assumptions!$E$11*Assumptions!$E$12</f>
        <v>76720</v>
      </c>
      <c r="AA11" s="61" t="n">
        <f aca="false">Assumptions!$E$9*Assumptions!$E$10*Assumptions!$E$11*Assumptions!$E$12</f>
        <v>76720</v>
      </c>
      <c r="AB11" s="61" t="n">
        <f aca="false">Assumptions!$E$9*Assumptions!$E$10*Assumptions!$E$11*Assumptions!$E$12</f>
        <v>76720</v>
      </c>
      <c r="AC11" s="61" t="n">
        <f aca="false">Assumptions!$E$9*Assumptions!$E$10*Assumptions!$E$11*Assumptions!$E$12</f>
        <v>76720</v>
      </c>
      <c r="AD11" s="61" t="n">
        <f aca="false">Assumptions!$E$9*Assumptions!$E$10*Assumptions!$E$11*Assumptions!$E$12</f>
        <v>76720</v>
      </c>
      <c r="AE11" s="61" t="n">
        <f aca="false">Assumptions!$E$9*Assumptions!$E$10*Assumptions!$E$11*Assumptions!$E$12</f>
        <v>76720</v>
      </c>
      <c r="AF11" s="61" t="n">
        <f aca="false">Assumptions!$E$9*Assumptions!$E$10*Assumptions!$E$11*Assumptions!$E$12</f>
        <v>76720</v>
      </c>
      <c r="AG11" s="61" t="n">
        <f aca="false">Assumptions!$E$9*Assumptions!$E$10*Assumptions!$E$11*Assumptions!$E$12</f>
        <v>76720</v>
      </c>
      <c r="AH11" s="61" t="n">
        <f aca="false">Assumptions!$E$9*Assumptions!$E$10*Assumptions!$E$11*Assumptions!$E$12</f>
        <v>76720</v>
      </c>
      <c r="AI11" s="61" t="n">
        <f aca="false">Assumptions!$E$9*Assumptions!$E$10*Assumptions!$E$11*Assumptions!$E$12</f>
        <v>76720</v>
      </c>
      <c r="AJ11" s="61" t="n">
        <f aca="false">Assumptions!$E$9*Assumptions!$E$10*Assumptions!$E$11*Assumptions!$E$12</f>
        <v>76720</v>
      </c>
      <c r="AK11" s="61" t="n">
        <f aca="false">Assumptions!$E$9*Assumptions!$E$10*Assumptions!$E$11*Assumptions!$E$12</f>
        <v>76720</v>
      </c>
      <c r="AL11" s="61" t="n">
        <f aca="false">Assumptions!$E$9*Assumptions!$E$10*Assumptions!$E$11*Assumptions!$E$12</f>
        <v>76720</v>
      </c>
      <c r="AM11" s="61"/>
    </row>
    <row r="12" customFormat="false" ht="15" hidden="false" customHeight="false" outlineLevel="0" collapsed="false">
      <c r="A12" s="10" t="s">
        <v>732</v>
      </c>
      <c r="B12" s="9" t="s">
        <v>78</v>
      </c>
      <c r="C12" s="57" t="n">
        <f aca="false">IF(C8=0,0,IF(C10=0,Assumptions!$E$15,Assumptions!$E$14+(1-Assumptions!$E$14)*Assumptions!$E$13^C10))</f>
        <v>0</v>
      </c>
      <c r="D12" s="57" t="n">
        <f aca="false">IF(D8=0,0,IF(D10=0,Assumptions!$E$15,Assumptions!$E$14+(1-Assumptions!$E$14)*Assumptions!$E$13^D10))</f>
        <v>2.3</v>
      </c>
      <c r="E12" s="57" t="n">
        <f aca="false">IF(E8=0,0,IF(E10=0,Assumptions!$E$15,Assumptions!$E$14+(1-Assumptions!$E$14)*Assumptions!$E$13^E10))</f>
        <v>0.876</v>
      </c>
      <c r="F12" s="57" t="n">
        <f aca="false">IF(F8=0,0,IF(F10=0,Assumptions!$E$15,Assumptions!$E$14+(1-Assumptions!$E$14)*Assumptions!$E$13^F10))</f>
        <v>0.7768</v>
      </c>
      <c r="G12" s="57" t="n">
        <f aca="false">IF(G8=0,0,IF(G10=0,Assumptions!$E$15,Assumptions!$E$14+(1-Assumptions!$E$14)*Assumptions!$E$13^G10))</f>
        <v>0.69744</v>
      </c>
      <c r="H12" s="57" t="n">
        <f aca="false">IF(H8=0,0,IF(H10=0,Assumptions!$E$15,Assumptions!$E$14+(1-Assumptions!$E$14)*Assumptions!$E$13^H10))</f>
        <v>0.633952</v>
      </c>
      <c r="I12" s="57" t="n">
        <f aca="false">IF(I8=0,0,IF(I10=0,Assumptions!$E$15,Assumptions!$E$14+(1-Assumptions!$E$14)*Assumptions!$E$13^I10))</f>
        <v>0.5831616</v>
      </c>
      <c r="J12" s="57" t="n">
        <f aca="false">IF(J8=0,0,IF(J10=0,Assumptions!$E$15,Assumptions!$E$14+(1-Assumptions!$E$14)*Assumptions!$E$13^J10))</f>
        <v>0.54252928</v>
      </c>
      <c r="K12" s="57" t="n">
        <f aca="false">IF(K8=0,0,IF(K10=0,Assumptions!$E$15,Assumptions!$E$14+(1-Assumptions!$E$14)*Assumptions!$E$13^K10))</f>
        <v>0.510023424</v>
      </c>
      <c r="L12" s="57" t="n">
        <f aca="false">IF(L8=0,0,IF(L10=0,Assumptions!$E$15,Assumptions!$E$14+(1-Assumptions!$E$14)*Assumptions!$E$13^L10))</f>
        <v>0.4840187392</v>
      </c>
      <c r="M12" s="57" t="n">
        <f aca="false">IF(M8=0,0,IF(M10=0,Assumptions!$E$15,Assumptions!$E$14+(1-Assumptions!$E$14)*Assumptions!$E$13^M10))</f>
        <v>0.46321499136</v>
      </c>
      <c r="N12" s="57" t="n">
        <f aca="false">IF(N8=0,0,IF(N10=0,Assumptions!$E$15,Assumptions!$E$14+(1-Assumptions!$E$14)*Assumptions!$E$13^N10))</f>
        <v>0.446571993088</v>
      </c>
      <c r="O12" s="57" t="n">
        <f aca="false">IF(O8=0,0,IF(O10=0,Assumptions!$E$15,Assumptions!$E$14+(1-Assumptions!$E$14)*Assumptions!$E$13^O10))</f>
        <v>0.4332575944704</v>
      </c>
      <c r="P12" s="57" t="n">
        <f aca="false">IF(P8=0,0,IF(P10=0,Assumptions!$E$15,Assumptions!$E$14+(1-Assumptions!$E$14)*Assumptions!$E$13^P10))</f>
        <v>0.42260607557632</v>
      </c>
      <c r="Q12" s="57" t="n">
        <f aca="false">IF(Q8=0,0,IF(Q10=0,Assumptions!$E$15,Assumptions!$E$14+(1-Assumptions!$E$14)*Assumptions!$E$13^Q10))</f>
        <v>0.414084860461056</v>
      </c>
      <c r="R12" s="57" t="n">
        <f aca="false">IF(R8=0,0,IF(R10=0,Assumptions!$E$15,Assumptions!$E$14+(1-Assumptions!$E$14)*Assumptions!$E$13^R10))</f>
        <v>0.407267888368845</v>
      </c>
      <c r="S12" s="57" t="n">
        <f aca="false">IF(S8=0,0,IF(S10=0,Assumptions!$E$15,Assumptions!$E$14+(1-Assumptions!$E$14)*Assumptions!$E$13^S10))</f>
        <v>0.401814310695076</v>
      </c>
      <c r="T12" s="57" t="n">
        <f aca="false">IF(T8=0,0,IF(T10=0,Assumptions!$E$15,Assumptions!$E$14+(1-Assumptions!$E$14)*Assumptions!$E$13^T10))</f>
        <v>0.397451448556061</v>
      </c>
      <c r="U12" s="57" t="n">
        <f aca="false">IF(U8=0,0,IF(U10=0,Assumptions!$E$15,Assumptions!$E$14+(1-Assumptions!$E$14)*Assumptions!$E$13^U10))</f>
        <v>0.393961158844849</v>
      </c>
      <c r="V12" s="57" t="n">
        <f aca="false">IF(V8=0,0,IF(V10=0,Assumptions!$E$15,Assumptions!$E$14+(1-Assumptions!$E$14)*Assumptions!$E$13^V10))</f>
        <v>0.391168927075879</v>
      </c>
      <c r="W12" s="57" t="n">
        <f aca="false">IF(W8=0,0,IF(W10=0,Assumptions!$E$15,Assumptions!$E$14+(1-Assumptions!$E$14)*Assumptions!$E$13^W10))</f>
        <v>0.388935141660703</v>
      </c>
      <c r="X12" s="57" t="n">
        <f aca="false">IF(X8=0,0,IF(X10=0,Assumptions!$E$15,Assumptions!$E$14+(1-Assumptions!$E$14)*Assumptions!$E$13^X10))</f>
        <v>0.387148113328562</v>
      </c>
      <c r="Y12" s="57" t="n">
        <f aca="false">IF(Y8=0,0,IF(Y10=0,Assumptions!$E$15,Assumptions!$E$14+(1-Assumptions!$E$14)*Assumptions!$E$13^Y10))</f>
        <v>0.38571849066285</v>
      </c>
      <c r="Z12" s="57" t="n">
        <f aca="false">IF(Z8=0,0,IF(Z10=0,Assumptions!$E$15,Assumptions!$E$14+(1-Assumptions!$E$14)*Assumptions!$E$13^Z10))</f>
        <v>0.38457479253028</v>
      </c>
      <c r="AA12" s="57" t="n">
        <f aca="false">IF(AA8=0,0,IF(AA10=0,Assumptions!$E$15,Assumptions!$E$14+(1-Assumptions!$E$14)*Assumptions!$E$13^AA10))</f>
        <v>0.383659834024224</v>
      </c>
      <c r="AB12" s="57" t="n">
        <f aca="false">IF(AB8=0,0,IF(AB10=0,Assumptions!$E$15,Assumptions!$E$14+(1-Assumptions!$E$14)*Assumptions!$E$13^AB10))</f>
        <v>0.382927867219379</v>
      </c>
      <c r="AC12" s="57" t="n">
        <f aca="false">IF(AC8=0,0,IF(AC10=0,Assumptions!$E$15,Assumptions!$E$14+(1-Assumptions!$E$14)*Assumptions!$E$13^AC10))</f>
        <v>0.382342293775503</v>
      </c>
      <c r="AD12" s="57" t="n">
        <f aca="false">IF(AD8=0,0,IF(AD10=0,Assumptions!$E$15,Assumptions!$E$14+(1-Assumptions!$E$14)*Assumptions!$E$13^AD10))</f>
        <v>0.381873835020403</v>
      </c>
      <c r="AE12" s="57" t="n">
        <f aca="false">IF(AE8=0,0,IF(AE10=0,Assumptions!$E$15,Assumptions!$E$14+(1-Assumptions!$E$14)*Assumptions!$E$13^AE10))</f>
        <v>0.381499068016322</v>
      </c>
      <c r="AF12" s="57" t="n">
        <f aca="false">IF(AF8=0,0,IF(AF10=0,Assumptions!$E$15,Assumptions!$E$14+(1-Assumptions!$E$14)*Assumptions!$E$13^AF10))</f>
        <v>0.381199254413058</v>
      </c>
      <c r="AG12" s="57" t="n">
        <f aca="false">IF(AG8=0,0,IF(AG10=0,Assumptions!$E$15,Assumptions!$E$14+(1-Assumptions!$E$14)*Assumptions!$E$13^AG10))</f>
        <v>0.380959403530446</v>
      </c>
      <c r="AH12" s="57" t="n">
        <f aca="false">IF(AH8=0,0,IF(AH10=0,Assumptions!$E$15,Assumptions!$E$14+(1-Assumptions!$E$14)*Assumptions!$E$13^AH10))</f>
        <v>0.380767522824357</v>
      </c>
      <c r="AI12" s="57" t="n">
        <f aca="false">IF(AI8=0,0,IF(AI10=0,Assumptions!$E$15,Assumptions!$E$14+(1-Assumptions!$E$14)*Assumptions!$E$13^AI10))</f>
        <v>0.380614018259486</v>
      </c>
      <c r="AJ12" s="57" t="n">
        <f aca="false">IF(AJ8=0,0,IF(AJ10=0,Assumptions!$E$15,Assumptions!$E$14+(1-Assumptions!$E$14)*Assumptions!$E$13^AJ10))</f>
        <v>0.380491214607588</v>
      </c>
      <c r="AK12" s="57" t="n">
        <f aca="false">IF(AK8=0,0,IF(AK10=0,Assumptions!$E$15,Assumptions!$E$14+(1-Assumptions!$E$14)*Assumptions!$E$13^AK10))</f>
        <v>0.380392971686071</v>
      </c>
      <c r="AL12" s="57" t="n">
        <f aca="false">IF(AL8=0,0,IF(AL10=0,Assumptions!$E$15,Assumptions!$E$14+(1-Assumptions!$E$14)*Assumptions!$E$13^AL10))</f>
        <v>0.380314377348857</v>
      </c>
      <c r="AM12" s="57"/>
    </row>
    <row r="13" customFormat="false" ht="15" hidden="false" customHeight="false" outlineLevel="0" collapsed="false">
      <c r="A13" s="10" t="s">
        <v>733</v>
      </c>
      <c r="B13" s="9" t="s">
        <v>84</v>
      </c>
      <c r="C13" s="61" t="n">
        <f aca="false">C11*C12</f>
        <v>0</v>
      </c>
      <c r="D13" s="61" t="n">
        <f aca="false">D11*D12</f>
        <v>176456</v>
      </c>
      <c r="E13" s="61" t="n">
        <f aca="false">E11*E12</f>
        <v>67206.72</v>
      </c>
      <c r="F13" s="61" t="n">
        <f aca="false">F11*F12</f>
        <v>59596.096</v>
      </c>
      <c r="G13" s="61" t="n">
        <f aca="false">G11*G12</f>
        <v>53507.5968</v>
      </c>
      <c r="H13" s="61" t="n">
        <f aca="false">H11*H12</f>
        <v>48636.79744</v>
      </c>
      <c r="I13" s="61" t="n">
        <f aca="false">I11*I12</f>
        <v>44740.157952</v>
      </c>
      <c r="J13" s="61" t="n">
        <f aca="false">J11*J12</f>
        <v>41622.8463616</v>
      </c>
      <c r="K13" s="61" t="n">
        <f aca="false">K11*K12</f>
        <v>39128.99708928</v>
      </c>
      <c r="L13" s="61" t="n">
        <f aca="false">L11*L12</f>
        <v>37133.917671424</v>
      </c>
      <c r="M13" s="61" t="n">
        <f aca="false">M11*M12</f>
        <v>35537.8541371392</v>
      </c>
      <c r="N13" s="61" t="n">
        <f aca="false">N11*N12</f>
        <v>34261.0033097114</v>
      </c>
      <c r="O13" s="61" t="n">
        <f aca="false">O11*O12</f>
        <v>33239.5226477691</v>
      </c>
      <c r="P13" s="61" t="n">
        <f aca="false">P11*P12</f>
        <v>32422.3381182153</v>
      </c>
      <c r="Q13" s="61" t="n">
        <f aca="false">Q11*Q12</f>
        <v>31768.5904945722</v>
      </c>
      <c r="R13" s="61" t="n">
        <f aca="false">R11*R12</f>
        <v>31245.5923956578</v>
      </c>
      <c r="S13" s="61" t="n">
        <f aca="false">S11*S12</f>
        <v>30827.1939165262</v>
      </c>
      <c r="T13" s="61" t="n">
        <f aca="false">T11*T12</f>
        <v>30492.475133221</v>
      </c>
      <c r="U13" s="61" t="n">
        <f aca="false">U11*U12</f>
        <v>30224.7001065768</v>
      </c>
      <c r="V13" s="61" t="n">
        <f aca="false">V11*V12</f>
        <v>30010.4800852614</v>
      </c>
      <c r="W13" s="61" t="n">
        <f aca="false">W11*W12</f>
        <v>29839.1040682091</v>
      </c>
      <c r="X13" s="61" t="n">
        <f aca="false">X11*X12</f>
        <v>29702.0032545673</v>
      </c>
      <c r="Y13" s="61" t="n">
        <f aca="false">Y11*Y12</f>
        <v>29592.3226036539</v>
      </c>
      <c r="Z13" s="61" t="n">
        <f aca="false">Z11*Z12</f>
        <v>29504.5780829231</v>
      </c>
      <c r="AA13" s="61" t="n">
        <f aca="false">AA11*AA12</f>
        <v>29434.3824663385</v>
      </c>
      <c r="AB13" s="61" t="n">
        <f aca="false">AB11*AB12</f>
        <v>29378.2259730708</v>
      </c>
      <c r="AC13" s="61" t="n">
        <f aca="false">AC11*AC12</f>
        <v>29333.3007784566</v>
      </c>
      <c r="AD13" s="61" t="n">
        <f aca="false">AD11*AD12</f>
        <v>29297.3606227653</v>
      </c>
      <c r="AE13" s="61" t="n">
        <f aca="false">AE11*AE12</f>
        <v>29268.6084982122</v>
      </c>
      <c r="AF13" s="61" t="n">
        <f aca="false">AF11*AF12</f>
        <v>29245.6067985698</v>
      </c>
      <c r="AG13" s="61" t="n">
        <f aca="false">AG11*AG12</f>
        <v>29227.2054388558</v>
      </c>
      <c r="AH13" s="61" t="n">
        <f aca="false">AH11*AH12</f>
        <v>29212.4843510847</v>
      </c>
      <c r="AI13" s="61" t="n">
        <f aca="false">AI11*AI12</f>
        <v>29200.7074808677</v>
      </c>
      <c r="AJ13" s="61" t="n">
        <f aca="false">AJ11*AJ12</f>
        <v>29191.2859846942</v>
      </c>
      <c r="AK13" s="61" t="n">
        <f aca="false">AK11*AK12</f>
        <v>29183.7487877554</v>
      </c>
      <c r="AL13" s="61" t="n">
        <f aca="false">AL11*AL12</f>
        <v>29177.7190302043</v>
      </c>
      <c r="AM13" s="61" t="n">
        <f aca="false">SUM(C13:AL13)</f>
        <v>1357847.52387918</v>
      </c>
    </row>
    <row r="14" customFormat="false" ht="15" hidden="false" customHeight="false" outlineLevel="0" collapsed="false">
      <c r="A14" s="10" t="s">
        <v>734</v>
      </c>
      <c r="B14" s="9" t="s">
        <v>735</v>
      </c>
      <c r="C14" s="61" t="n">
        <f aca="false">Assumptions!$E$9*Assumptions!$E$10*Assumptions!$E$11*C12</f>
        <v>0</v>
      </c>
      <c r="D14" s="61" t="n">
        <f aca="false">Assumptions!$E$9*Assumptions!$E$10*Assumptions!$E$11*D12</f>
        <v>25208000</v>
      </c>
      <c r="E14" s="61" t="n">
        <f aca="false">Assumptions!$E$9*Assumptions!$E$10*Assumptions!$E$11*E12</f>
        <v>9600960</v>
      </c>
      <c r="F14" s="61" t="n">
        <f aca="false">Assumptions!$E$9*Assumptions!$E$10*Assumptions!$E$11*F12</f>
        <v>8513728</v>
      </c>
      <c r="G14" s="61" t="n">
        <f aca="false">Assumptions!$E$9*Assumptions!$E$10*Assumptions!$E$11*G12</f>
        <v>7643942.4</v>
      </c>
      <c r="H14" s="61" t="n">
        <f aca="false">Assumptions!$E$9*Assumptions!$E$10*Assumptions!$E$11*H12</f>
        <v>6948113.92</v>
      </c>
      <c r="I14" s="61" t="n">
        <f aca="false">Assumptions!$E$9*Assumptions!$E$10*Assumptions!$E$11*I12</f>
        <v>6391451.136</v>
      </c>
      <c r="J14" s="61" t="n">
        <f aca="false">Assumptions!$E$9*Assumptions!$E$10*Assumptions!$E$11*J12</f>
        <v>5946120.9088</v>
      </c>
      <c r="K14" s="61" t="n">
        <f aca="false">Assumptions!$E$9*Assumptions!$E$10*Assumptions!$E$11*K12</f>
        <v>5589856.72704</v>
      </c>
      <c r="L14" s="61" t="n">
        <f aca="false">Assumptions!$E$9*Assumptions!$E$10*Assumptions!$E$11*L12</f>
        <v>5304845.381632</v>
      </c>
      <c r="M14" s="61" t="n">
        <f aca="false">Assumptions!$E$9*Assumptions!$E$10*Assumptions!$E$11*M12</f>
        <v>5076836.3053056</v>
      </c>
      <c r="N14" s="61" t="n">
        <f aca="false">Assumptions!$E$9*Assumptions!$E$10*Assumptions!$E$11*N12</f>
        <v>4894429.04424448</v>
      </c>
      <c r="O14" s="61" t="n">
        <f aca="false">Assumptions!$E$9*Assumptions!$E$10*Assumptions!$E$11*O12</f>
        <v>4748503.23539558</v>
      </c>
      <c r="P14" s="61" t="n">
        <f aca="false">Assumptions!$E$9*Assumptions!$E$10*Assumptions!$E$11*P12</f>
        <v>4631762.58831647</v>
      </c>
      <c r="Q14" s="61" t="n">
        <f aca="false">Assumptions!$E$9*Assumptions!$E$10*Assumptions!$E$11*Q12</f>
        <v>4538370.07065317</v>
      </c>
      <c r="R14" s="61" t="n">
        <f aca="false">Assumptions!$E$9*Assumptions!$E$10*Assumptions!$E$11*R12</f>
        <v>4463656.05652254</v>
      </c>
      <c r="S14" s="61" t="n">
        <f aca="false">Assumptions!$E$9*Assumptions!$E$10*Assumptions!$E$11*S12</f>
        <v>4403884.84521803</v>
      </c>
      <c r="T14" s="61" t="n">
        <f aca="false">Assumptions!$E$9*Assumptions!$E$10*Assumptions!$E$11*T12</f>
        <v>4356067.87617443</v>
      </c>
      <c r="U14" s="61" t="n">
        <f aca="false">Assumptions!$E$9*Assumptions!$E$10*Assumptions!$E$11*U12</f>
        <v>4317814.30093954</v>
      </c>
      <c r="V14" s="61" t="n">
        <f aca="false">Assumptions!$E$9*Assumptions!$E$10*Assumptions!$E$11*V12</f>
        <v>4287211.44075163</v>
      </c>
      <c r="W14" s="61" t="n">
        <f aca="false">Assumptions!$E$9*Assumptions!$E$10*Assumptions!$E$11*W12</f>
        <v>4262729.15260131</v>
      </c>
      <c r="X14" s="61" t="n">
        <f aca="false">Assumptions!$E$9*Assumptions!$E$10*Assumptions!$E$11*X12</f>
        <v>4243143.32208104</v>
      </c>
      <c r="Y14" s="61" t="n">
        <f aca="false">Assumptions!$E$9*Assumptions!$E$10*Assumptions!$E$11*Y12</f>
        <v>4227474.65766484</v>
      </c>
      <c r="Z14" s="61" t="n">
        <f aca="false">Assumptions!$E$9*Assumptions!$E$10*Assumptions!$E$11*Z12</f>
        <v>4214939.72613187</v>
      </c>
      <c r="AA14" s="61" t="n">
        <f aca="false">Assumptions!$E$9*Assumptions!$E$10*Assumptions!$E$11*AA12</f>
        <v>4204911.78090549</v>
      </c>
      <c r="AB14" s="61" t="n">
        <f aca="false">Assumptions!$E$9*Assumptions!$E$10*Assumptions!$E$11*AB12</f>
        <v>4196889.4247244</v>
      </c>
      <c r="AC14" s="61" t="n">
        <f aca="false">Assumptions!$E$9*Assumptions!$E$10*Assumptions!$E$11*AC12</f>
        <v>4190471.53977952</v>
      </c>
      <c r="AD14" s="61" t="n">
        <f aca="false">Assumptions!$E$9*Assumptions!$E$10*Assumptions!$E$11*AD12</f>
        <v>4185337.23182361</v>
      </c>
      <c r="AE14" s="61" t="n">
        <f aca="false">Assumptions!$E$9*Assumptions!$E$10*Assumptions!$E$11*AE12</f>
        <v>4181229.78545889</v>
      </c>
      <c r="AF14" s="61" t="n">
        <f aca="false">Assumptions!$E$9*Assumptions!$E$10*Assumptions!$E$11*AF12</f>
        <v>4177943.82836711</v>
      </c>
      <c r="AG14" s="61" t="n">
        <f aca="false">Assumptions!$E$9*Assumptions!$E$10*Assumptions!$E$11*AG12</f>
        <v>4175315.06269369</v>
      </c>
      <c r="AH14" s="61" t="n">
        <f aca="false">Assumptions!$E$9*Assumptions!$E$10*Assumptions!$E$11*AH12</f>
        <v>4173212.05015495</v>
      </c>
      <c r="AI14" s="61" t="n">
        <f aca="false">Assumptions!$E$9*Assumptions!$E$10*Assumptions!$E$11*AI12</f>
        <v>4171529.64012396</v>
      </c>
      <c r="AJ14" s="61" t="n">
        <f aca="false">Assumptions!$E$9*Assumptions!$E$10*Assumptions!$E$11*AJ12</f>
        <v>4170183.71209917</v>
      </c>
      <c r="AK14" s="61" t="n">
        <f aca="false">Assumptions!$E$9*Assumptions!$E$10*Assumptions!$E$11*AK12</f>
        <v>4169106.96967934</v>
      </c>
      <c r="AL14" s="61" t="n">
        <f aca="false">Assumptions!$E$9*Assumptions!$E$10*Assumptions!$E$11*AL12</f>
        <v>4168245.57574347</v>
      </c>
      <c r="AM14" s="61" t="n">
        <f aca="false">SUM(C14:AL14)</f>
        <v>193978217.697026</v>
      </c>
    </row>
    <row r="15" customFormat="false" ht="15" hidden="false" customHeight="false" outlineLevel="0" collapsed="false">
      <c r="A15" s="10" t="s">
        <v>736</v>
      </c>
      <c r="B15" s="9" t="s">
        <v>84</v>
      </c>
      <c r="C15" s="61" t="n">
        <f aca="false">MIN(Assumptions!$E$19,Assumptions!$E$17*(1+Assumptions!$E$18)^(C$5-1))</f>
        <v>2200</v>
      </c>
      <c r="D15" s="61" t="n">
        <f aca="false">MIN(Assumptions!$E$19,Assumptions!$E$17*(1+Assumptions!$E$18)^(D$5-1))</f>
        <v>2398</v>
      </c>
      <c r="E15" s="61" t="n">
        <f aca="false">MIN(Assumptions!$E$19,Assumptions!$E$17*(1+Assumptions!$E$18)^(E$5-1))</f>
        <v>2613.82</v>
      </c>
      <c r="F15" s="61" t="n">
        <f aca="false">MIN(Assumptions!$E$19,Assumptions!$E$17*(1+Assumptions!$E$18)^(F$5-1))</f>
        <v>2849.0638</v>
      </c>
      <c r="G15" s="61" t="n">
        <f aca="false">MIN(Assumptions!$E$19,Assumptions!$E$17*(1+Assumptions!$E$18)^(G$5-1))</f>
        <v>3105.479542</v>
      </c>
      <c r="H15" s="61" t="n">
        <f aca="false">MIN(Assumptions!$E$19,Assumptions!$E$17*(1+Assumptions!$E$18)^(H$5-1))</f>
        <v>3384.97270078</v>
      </c>
      <c r="I15" s="61" t="n">
        <f aca="false">MIN(Assumptions!$E$19,Assumptions!$E$17*(1+Assumptions!$E$18)^(I$5-1))</f>
        <v>3689.6202438502</v>
      </c>
      <c r="J15" s="61" t="n">
        <f aca="false">MIN(Assumptions!$E$19,Assumptions!$E$17*(1+Assumptions!$E$18)^(J$5-1))</f>
        <v>4021.68606579672</v>
      </c>
      <c r="K15" s="61" t="n">
        <f aca="false">MIN(Assumptions!$E$19,Assumptions!$E$17*(1+Assumptions!$E$18)^(K$5-1))</f>
        <v>4383.63781171843</v>
      </c>
      <c r="L15" s="61" t="n">
        <f aca="false">MIN(Assumptions!$E$19,Assumptions!$E$17*(1+Assumptions!$E$18)^(L$5-1))</f>
        <v>4778.16521477308</v>
      </c>
      <c r="M15" s="61" t="n">
        <f aca="false">MIN(Assumptions!$E$19,Assumptions!$E$17*(1+Assumptions!$E$18)^(M$5-1))</f>
        <v>5208.20008410266</v>
      </c>
      <c r="N15" s="61" t="n">
        <f aca="false">MIN(Assumptions!$E$19,Assumptions!$E$17*(1+Assumptions!$E$18)^(N$5-1))</f>
        <v>5676.9380916719</v>
      </c>
      <c r="O15" s="61" t="n">
        <f aca="false">MIN(Assumptions!$E$19,Assumptions!$E$17*(1+Assumptions!$E$18)^(O$5-1))</f>
        <v>6187.86251992237</v>
      </c>
      <c r="P15" s="61" t="n">
        <f aca="false">MIN(Assumptions!$E$19,Assumptions!$E$17*(1+Assumptions!$E$18)^(P$5-1))</f>
        <v>6744.77014671539</v>
      </c>
      <c r="Q15" s="61" t="n">
        <f aca="false">MIN(Assumptions!$E$19,Assumptions!$E$17*(1+Assumptions!$E$18)^(Q$5-1))</f>
        <v>7351.79945991977</v>
      </c>
      <c r="R15" s="61" t="n">
        <f aca="false">MIN(Assumptions!$E$19,Assumptions!$E$17*(1+Assumptions!$E$18)^(R$5-1))</f>
        <v>8013.46141131255</v>
      </c>
      <c r="S15" s="61" t="n">
        <f aca="false">MIN(Assumptions!$E$19,Assumptions!$E$17*(1+Assumptions!$E$18)^(S$5-1))</f>
        <v>8734.67293833068</v>
      </c>
      <c r="T15" s="61" t="n">
        <f aca="false">MIN(Assumptions!$E$19,Assumptions!$E$17*(1+Assumptions!$E$18)^(T$5-1))</f>
        <v>9520.79350278045</v>
      </c>
      <c r="U15" s="61" t="n">
        <f aca="false">MIN(Assumptions!$E$19,Assumptions!$E$17*(1+Assumptions!$E$18)^(U$5-1))</f>
        <v>10377.6649180307</v>
      </c>
      <c r="V15" s="61" t="n">
        <f aca="false">MIN(Assumptions!$E$19,Assumptions!$E$17*(1+Assumptions!$E$18)^(V$5-1))</f>
        <v>11311.6547606535</v>
      </c>
      <c r="W15" s="61" t="n">
        <f aca="false">MIN(Assumptions!$E$19,Assumptions!$E$17*(1+Assumptions!$E$18)^(W$5-1))</f>
        <v>12329.7036891123</v>
      </c>
      <c r="X15" s="61" t="n">
        <f aca="false">MIN(Assumptions!$E$19,Assumptions!$E$17*(1+Assumptions!$E$18)^(X$5-1))</f>
        <v>13439.3770211324</v>
      </c>
      <c r="Y15" s="61" t="n">
        <f aca="false">MIN(Assumptions!$E$19,Assumptions!$E$17*(1+Assumptions!$E$18)^(Y$5-1))</f>
        <v>14648.9209530343</v>
      </c>
      <c r="Z15" s="61" t="n">
        <f aca="false">MIN(Assumptions!$E$19,Assumptions!$E$17*(1+Assumptions!$E$18)^(Z$5-1))</f>
        <v>15967.3238388074</v>
      </c>
      <c r="AA15" s="61" t="n">
        <f aca="false">MIN(Assumptions!$E$19,Assumptions!$E$17*(1+Assumptions!$E$18)^(AA$5-1))</f>
        <v>17404.3829843</v>
      </c>
      <c r="AB15" s="61" t="n">
        <f aca="false">MIN(Assumptions!$E$19,Assumptions!$E$17*(1+Assumptions!$E$18)^(AB$5-1))</f>
        <v>18970.777452887</v>
      </c>
      <c r="AC15" s="61" t="n">
        <f aca="false">MIN(Assumptions!$E$19,Assumptions!$E$17*(1+Assumptions!$E$18)^(AC$5-1))</f>
        <v>20678.1474236469</v>
      </c>
      <c r="AD15" s="61" t="n">
        <f aca="false">MIN(Assumptions!$E$19,Assumptions!$E$17*(1+Assumptions!$E$18)^(AD$5-1))</f>
        <v>22539.1806917751</v>
      </c>
      <c r="AE15" s="61" t="n">
        <f aca="false">MIN(Assumptions!$E$19,Assumptions!$E$17*(1+Assumptions!$E$18)^(AE$5-1))</f>
        <v>24567.7069540349</v>
      </c>
      <c r="AF15" s="61" t="n">
        <f aca="false">MIN(Assumptions!$E$19,Assumptions!$E$17*(1+Assumptions!$E$18)^(AF$5-1))</f>
        <v>26778.800579898</v>
      </c>
      <c r="AG15" s="61" t="n">
        <f aca="false">MIN(Assumptions!$E$19,Assumptions!$E$17*(1+Assumptions!$E$18)^(AG$5-1))</f>
        <v>29188.8926320888</v>
      </c>
      <c r="AH15" s="61" t="n">
        <f aca="false">MIN(Assumptions!$E$19,Assumptions!$E$17*(1+Assumptions!$E$18)^(AH$5-1))</f>
        <v>31815.8929689768</v>
      </c>
      <c r="AI15" s="61" t="n">
        <f aca="false">MIN(Assumptions!$E$19,Assumptions!$E$17*(1+Assumptions!$E$18)^(AI$5-1))</f>
        <v>34679.3233361847</v>
      </c>
      <c r="AJ15" s="61" t="n">
        <f aca="false">MIN(Assumptions!$E$19,Assumptions!$E$17*(1+Assumptions!$E$18)^(AJ$5-1))</f>
        <v>37800.4624364413</v>
      </c>
      <c r="AK15" s="61" t="n">
        <f aca="false">MIN(Assumptions!$E$19,Assumptions!$E$17*(1+Assumptions!$E$18)^(AK$5-1))</f>
        <v>41202.5040557211</v>
      </c>
      <c r="AL15" s="61" t="n">
        <f aca="false">MIN(Assumptions!$E$19,Assumptions!$E$17*(1+Assumptions!$E$18)^(AL$5-1))</f>
        <v>44910.729420736</v>
      </c>
      <c r="AM15" s="61" t="n">
        <f aca="false">SUM(C15:AL15)</f>
        <v>519474.389651135</v>
      </c>
    </row>
    <row r="16" customFormat="false" ht="15" hidden="false" customHeight="false" outlineLevel="0" collapsed="false">
      <c r="A16" s="37" t="s">
        <v>737</v>
      </c>
      <c r="B16" s="9" t="s">
        <v>97</v>
      </c>
      <c r="C16" s="53" t="n">
        <f aca="false">Assumptions!$E$20</f>
        <v>8000</v>
      </c>
      <c r="D16" s="53" t="n">
        <f aca="false">IF(D8=0,Assumptions!$E$20,MIN(Assumptions!$E$24,MAX(Assumptions!$E$21,C72*Assumptions!$E$22)))</f>
        <v>30000</v>
      </c>
      <c r="E16" s="53" t="n">
        <f aca="false">IF(E8=0,Assumptions!$E$20,MIN(Assumptions!$E$24,MAX(Assumptions!$E$21,D72*Assumptions!$E$22)))</f>
        <v>30000</v>
      </c>
      <c r="F16" s="53" t="n">
        <f aca="false">IF(F8=0,Assumptions!$E$20,MIN(Assumptions!$E$24,MAX(Assumptions!$E$21,E72*Assumptions!$E$22)))</f>
        <v>48700.8288</v>
      </c>
      <c r="G16" s="53" t="n">
        <f aca="false">IF(G8=0,Assumptions!$E$20,MIN(Assumptions!$E$24,MAX(Assumptions!$E$21,F72*Assumptions!$E$22)))</f>
        <v>61241.1591423358</v>
      </c>
      <c r="H16" s="53" t="n">
        <f aca="false">IF(H8=0,Assumptions!$E$20,MIN(Assumptions!$E$24,MAX(Assumptions!$E$21,G72*Assumptions!$E$22)))</f>
        <v>71944.4756032645</v>
      </c>
      <c r="I16" s="53" t="n">
        <f aca="false">IF(I8=0,Assumptions!$E$20,MIN(Assumptions!$E$24,MAX(Assumptions!$E$21,H72*Assumptions!$E$22)))</f>
        <v>81618.5664909491</v>
      </c>
      <c r="J16" s="53" t="n">
        <f aca="false">IF(J8=0,Assumptions!$E$20,MIN(Assumptions!$E$24,MAX(Assumptions!$E$21,I72*Assumptions!$E$22)))</f>
        <v>94090.3257602016</v>
      </c>
      <c r="K16" s="53" t="n">
        <f aca="false">IF(K8=0,Assumptions!$E$20,MIN(Assumptions!$E$24,MAX(Assumptions!$E$21,J72*Assumptions!$E$22)))</f>
        <v>104625.368179397</v>
      </c>
      <c r="L16" s="53" t="n">
        <f aca="false">IF(L8=0,Assumptions!$E$20,MIN(Assumptions!$E$24,MAX(Assumptions!$E$21,K72*Assumptions!$E$22)))</f>
        <v>114486.850818515</v>
      </c>
      <c r="M16" s="53" t="n">
        <f aca="false">IF(M8=0,Assumptions!$E$20,MIN(Assumptions!$E$24,MAX(Assumptions!$E$21,L72*Assumptions!$E$22)))</f>
        <v>123832.80624994</v>
      </c>
      <c r="N16" s="53" t="n">
        <f aca="false">IF(N8=0,Assumptions!$E$20,MIN(Assumptions!$E$24,MAX(Assumptions!$E$21,M72*Assumptions!$E$22)))</f>
        <v>132774.676262044</v>
      </c>
      <c r="O16" s="53" t="n">
        <f aca="false">IF(O8=0,Assumptions!$E$20,MIN(Assumptions!$E$24,MAX(Assumptions!$E$21,N72*Assumptions!$E$22)))</f>
        <v>141397.128392007</v>
      </c>
      <c r="P16" s="53" t="n">
        <f aca="false">IF(P8=0,Assumptions!$E$20,MIN(Assumptions!$E$24,MAX(Assumptions!$E$21,O72*Assumptions!$E$22)))</f>
        <v>149770.769133952</v>
      </c>
      <c r="Q16" s="53" t="n">
        <f aca="false">IF(Q8=0,Assumptions!$E$20,MIN(Assumptions!$E$24,MAX(Assumptions!$E$21,P72*Assumptions!$E$22)))</f>
        <v>157955.764001791</v>
      </c>
      <c r="R16" s="53" t="n">
        <f aca="false">IF(R8=0,Assumptions!$E$20,MIN(Assumptions!$E$24,MAX(Assumptions!$E$21,Q72*Assumptions!$E$22)))</f>
        <v>166004.157546437</v>
      </c>
      <c r="S16" s="53" t="n">
        <f aca="false">IF(S8=0,Assumptions!$E$20,MIN(Assumptions!$E$24,MAX(Assumptions!$E$21,R72*Assumptions!$E$22)))</f>
        <v>173961.648080609</v>
      </c>
      <c r="T16" s="53" t="n">
        <f aca="false">IF(T8=0,Assumptions!$E$20,MIN(Assumptions!$E$24,MAX(Assumptions!$E$21,S72*Assumptions!$E$22)))</f>
        <v>181869.033087988</v>
      </c>
      <c r="U16" s="53" t="n">
        <f aca="false">IF(U8=0,Assumptions!$E$20,MIN(Assumptions!$E$24,MAX(Assumptions!$E$21,T72*Assumptions!$E$22)))</f>
        <v>189763.410512145</v>
      </c>
      <c r="V16" s="53" t="n">
        <f aca="false">IF(V8=0,Assumptions!$E$20,MIN(Assumptions!$E$24,MAX(Assumptions!$E$21,U72*Assumptions!$E$22)))</f>
        <v>197679.188500614</v>
      </c>
      <c r="W16" s="53" t="n">
        <f aca="false">IF(W8=0,Assumptions!$E$20,MIN(Assumptions!$E$24,MAX(Assumptions!$E$21,V72*Assumptions!$E$22)))</f>
        <v>205648.942509146</v>
      </c>
      <c r="X16" s="53" t="n">
        <f aca="false">IF(X8=0,Assumptions!$E$20,MIN(Assumptions!$E$24,MAX(Assumptions!$E$21,W72*Assumptions!$E$22)))</f>
        <v>213704.150717763</v>
      </c>
      <c r="Y16" s="53" t="n">
        <f aca="false">IF(Y8=0,Assumptions!$E$20,MIN(Assumptions!$E$24,MAX(Assumptions!$E$21,X72*Assumptions!$E$22)))</f>
        <v>221875.833116815</v>
      </c>
      <c r="Z16" s="53" t="n">
        <f aca="false">IF(Z8=0,Assumptions!$E$20,MIN(Assumptions!$E$24,MAX(Assumptions!$E$21,Y72*Assumptions!$E$22)))</f>
        <v>230195.115322832</v>
      </c>
      <c r="AA16" s="53" t="n">
        <f aca="false">IF(AA8=0,Assumptions!$E$20,MIN(Assumptions!$E$24,MAX(Assumptions!$E$21,Z72*Assumptions!$E$22)))</f>
        <v>238693.734750099</v>
      </c>
      <c r="AB16" s="53" t="n">
        <f aca="false">IF(AB8=0,Assumptions!$E$20,MIN(Assumptions!$E$24,MAX(Assumptions!$E$21,AA72*Assumptions!$E$22)))</f>
        <v>247404.503979264</v>
      </c>
      <c r="AC16" s="53" t="n">
        <f aca="false">IF(AC8=0,Assumptions!$E$20,MIN(Assumptions!$E$24,MAX(Assumptions!$E$21,AB72*Assumptions!$E$22)))</f>
        <v>256134.694283267</v>
      </c>
      <c r="AD16" s="53" t="n">
        <f aca="false">IF(AD8=0,Assumptions!$E$20,MIN(Assumptions!$E$24,MAX(Assumptions!$E$21,AC72*Assumptions!$E$22)))</f>
        <v>264839.86417962</v>
      </c>
      <c r="AE16" s="53" t="n">
        <f aca="false">IF(AE8=0,Assumptions!$E$20,MIN(Assumptions!$E$24,MAX(Assumptions!$E$21,AD72*Assumptions!$E$22)))</f>
        <v>273611.571613291</v>
      </c>
      <c r="AF16" s="53" t="n">
        <f aca="false">IF(AF8=0,Assumptions!$E$20,MIN(Assumptions!$E$24,MAX(Assumptions!$E$21,AE72*Assumptions!$E$22)))</f>
        <v>282490.944574038</v>
      </c>
      <c r="AG16" s="53" t="n">
        <f aca="false">IF(AG8=0,Assumptions!$E$20,MIN(Assumptions!$E$24,MAX(Assumptions!$E$21,AF72*Assumptions!$E$22)))</f>
        <v>291519.238965558</v>
      </c>
      <c r="AH16" s="53" t="n">
        <f aca="false">IF(AH8=0,Assumptions!$E$20,MIN(Assumptions!$E$24,MAX(Assumptions!$E$21,AG72*Assumptions!$E$22)))</f>
        <v>300739.041372825</v>
      </c>
      <c r="AI16" s="53" t="n">
        <f aca="false">IF(AI8=0,Assumptions!$E$20,MIN(Assumptions!$E$24,MAX(Assumptions!$E$21,AH72*Assumptions!$E$22)))</f>
        <v>310194.887579045</v>
      </c>
      <c r="AJ16" s="53" t="n">
        <f aca="false">IF(AJ8=0,Assumptions!$E$20,MIN(Assumptions!$E$24,MAX(Assumptions!$E$21,AI72*Assumptions!$E$22)))</f>
        <v>319933.622536266</v>
      </c>
      <c r="AK16" s="53" t="n">
        <f aca="false">IF(AK8=0,Assumptions!$E$20,MIN(Assumptions!$E$24,MAX(Assumptions!$E$21,AJ72*Assumptions!$E$22)))</f>
        <v>330004.743617588</v>
      </c>
      <c r="AL16" s="53" t="n">
        <f aca="false">IF(AL8=0,Assumptions!$E$20,MIN(Assumptions!$E$24,MAX(Assumptions!$E$21,AK72*Assumptions!$E$22)))</f>
        <v>340460.751642214</v>
      </c>
      <c r="AM16" s="53" t="n">
        <f aca="false">SUM(C16:AL16)</f>
        <v>6587167.79732182</v>
      </c>
    </row>
    <row r="17" customFormat="false" ht="15" hidden="false" customHeight="false" outlineLevel="0" collapsed="false">
      <c r="A17" s="10" t="s">
        <v>738</v>
      </c>
      <c r="B17" s="9" t="s">
        <v>84</v>
      </c>
      <c r="C17" s="61" t="n">
        <f aca="false">(C14*Assumptions!$E$27+C15*Assumptions!$E$28)*Assumptions!$E$29*C8</f>
        <v>0</v>
      </c>
      <c r="D17" s="61" t="n">
        <f aca="false">(D14*Assumptions!$E$27+D15*Assumptions!$E$28)*Assumptions!$E$29*D8</f>
        <v>24702.496</v>
      </c>
      <c r="E17" s="61" t="n">
        <f aca="false">(E14*Assumptions!$E$27+E15*Assumptions!$E$28)*Assumptions!$E$29*E8</f>
        <v>9496.85464</v>
      </c>
      <c r="F17" s="61" t="n">
        <f aca="false">(F14*Assumptions!$E$27+F15*Assumptions!$E$28)*Assumptions!$E$29*F8</f>
        <v>8449.0361176</v>
      </c>
      <c r="G17" s="61" t="n">
        <f aca="false">(G14*Assumptions!$E$27+G15*Assumptions!$E$28)*Assumptions!$E$29*G8</f>
        <v>7614.328776184</v>
      </c>
      <c r="H17" s="61" t="n">
        <f aca="false">(H14*Assumptions!$E$27+H15*Assumptions!$E$28)*Assumptions!$E$29*H8</f>
        <v>6950.42965244056</v>
      </c>
      <c r="I17" s="61" t="n">
        <f aca="false">(I14*Assumptions!$E$27+I15*Assumptions!$E$28)*Assumptions!$E$29*I8</f>
        <v>6423.52511028021</v>
      </c>
      <c r="J17" s="61" t="n">
        <f aca="false">(J14*Assumptions!$E$27+J15*Assumptions!$E$28)*Assumptions!$E$29*J8</f>
        <v>6006.59556150143</v>
      </c>
      <c r="K17" s="61" t="n">
        <f aca="false">(K14*Assumptions!$E$27+K15*Assumptions!$E$28)*Assumptions!$E$29*K8</f>
        <v>5678.05947507336</v>
      </c>
      <c r="L17" s="61" t="n">
        <f aca="false">(L14*Assumptions!$E$27+L15*Assumptions!$E$28)*Assumptions!$E$29*L8</f>
        <v>5420.6888382594</v>
      </c>
      <c r="M17" s="61" t="n">
        <f aca="false">(M14*Assumptions!$E$27+M15*Assumptions!$E$28)*Assumptions!$E$29*M8</f>
        <v>5220.7418020463</v>
      </c>
      <c r="N17" s="61" t="n">
        <f aca="false">(N14*Assumptions!$E$27+N15*Assumptions!$E$28)*Assumptions!$E$29*N8</f>
        <v>5067.26909890531</v>
      </c>
      <c r="O17" s="61" t="n">
        <f aca="false">(O14*Assumptions!$E$27+O15*Assumptions!$E$28)*Assumptions!$E$29*O8</f>
        <v>4951.55950554666</v>
      </c>
      <c r="P17" s="61" t="n">
        <f aca="false">(P14*Assumptions!$E$27+P15*Assumptions!$E$28)*Assumptions!$E$29*P8</f>
        <v>4866.69657123776</v>
      </c>
      <c r="Q17" s="61" t="n">
        <f aca="false">(Q14*Assumptions!$E$27+Q15*Assumptions!$E$28)*Assumptions!$E$29*Q8</f>
        <v>4807.20439080267</v>
      </c>
      <c r="R17" s="61" t="n">
        <f aca="false">(R14*Assumptions!$E$27+R15*Assumptions!$E$28)*Assumptions!$E$29*R8</f>
        <v>4768.76464849773</v>
      </c>
      <c r="S17" s="61" t="n">
        <f aca="false">(S14*Assumptions!$E$27+S15*Assumptions!$E$28)*Assumptions!$E$29*S8</f>
        <v>4747.99071688078</v>
      </c>
      <c r="T17" s="61" t="n">
        <f aca="false">(T14*Assumptions!$E$27+T15*Assumptions!$E$28)*Assumptions!$E$29*T8</f>
        <v>4742.24744141465</v>
      </c>
      <c r="U17" s="61" t="n">
        <f aca="false">(U14*Assumptions!$E$27+U15*Assumptions!$E$28)*Assumptions!$E$29*U8</f>
        <v>4749.50751915365</v>
      </c>
      <c r="V17" s="61" t="n">
        <f aca="false">(V14*Assumptions!$E$27+V15*Assumptions!$E$28)*Assumptions!$E$29*V8</f>
        <v>4768.23720228682</v>
      </c>
      <c r="W17" s="61" t="n">
        <f aca="false">(W14*Assumptions!$E$27+W15*Assumptions!$E$28)*Assumptions!$E$29*W8</f>
        <v>4797.30551562011</v>
      </c>
      <c r="X17" s="61" t="n">
        <f aca="false">(X14*Assumptions!$E$27+X15*Assumptions!$E$28)*Assumptions!$E$29*X8</f>
        <v>4835.9123441279</v>
      </c>
      <c r="Y17" s="61" t="n">
        <f aca="false">(Y14*Assumptions!$E$27+Y15*Assumptions!$E$28)*Assumptions!$E$29*Y8</f>
        <v>4883.531680781</v>
      </c>
      <c r="Z17" s="61" t="n">
        <f aca="false">(Z14*Assumptions!$E$27+Z15*Assumptions!$E$28)*Assumptions!$E$29*Z8</f>
        <v>4939.86707259656</v>
      </c>
      <c r="AA17" s="61" t="n">
        <f aca="false">(AA14*Assumptions!$E$27+AA15*Assumptions!$E$28)*Assumptions!$E$29*AA8</f>
        <v>5004.81690156646</v>
      </c>
      <c r="AB17" s="61" t="n">
        <f aca="false">(AB14*Assumptions!$E$27+AB15*Assumptions!$E$28)*Assumptions!$E$29*AB8</f>
        <v>5078.44761665641</v>
      </c>
      <c r="AC17" s="61" t="n">
        <f aca="false">(AC14*Assumptions!$E$27+AC15*Assumptions!$E$28)*Assumptions!$E$29*AC8</f>
        <v>5160.97341731467</v>
      </c>
      <c r="AD17" s="61" t="n">
        <f aca="false">(AD14*Assumptions!$E$27+AD15*Assumptions!$E$28)*Assumptions!$E$29*AD8</f>
        <v>5252.74119700033</v>
      </c>
      <c r="AE17" s="61" t="n">
        <f aca="false">(AE14*Assumptions!$E$27+AE15*Assumptions!$E$28)*Assumptions!$E$29*AE8</f>
        <v>5354.21980243223</v>
      </c>
      <c r="AF17" s="61" t="n">
        <f aca="false">(AF14*Assumptions!$E$27+AF15*Assumptions!$E$28)*Assumptions!$E$29*AF8</f>
        <v>5465.99286281263</v>
      </c>
      <c r="AG17" s="61" t="n">
        <f aca="false">(AG14*Assumptions!$E$27+AG15*Assumptions!$E$28)*Assumptions!$E$29*AG8</f>
        <v>5588.75460299497</v>
      </c>
      <c r="AH17" s="61" t="n">
        <f aca="false">(AH14*Assumptions!$E$27+AH15*Assumptions!$E$28)*Assumptions!$E$29*AH8</f>
        <v>5723.30818328787</v>
      </c>
      <c r="AI17" s="61" t="n">
        <f aca="false">(AI14*Assumptions!$E$27+AI15*Assumptions!$E$28)*Assumptions!$E$29*AI8</f>
        <v>5870.56621260247</v>
      </c>
      <c r="AJ17" s="61" t="n">
        <f aca="false">(AJ14*Assumptions!$E$27+AJ15*Assumptions!$E$28)*Assumptions!$E$29*AJ8</f>
        <v>6031.55316599164</v>
      </c>
      <c r="AK17" s="61" t="n">
        <f aca="false">(AK14*Assumptions!$E$27+AK15*Assumptions!$E$28)*Assumptions!$E$29*AK8</f>
        <v>6207.40950633485</v>
      </c>
      <c r="AL17" s="61" t="n">
        <f aca="false">(AL14*Assumptions!$E$27+AL15*Assumptions!$E$28)*Assumptions!$E$29*AL8</f>
        <v>6399.39736622815</v>
      </c>
      <c r="AM17" s="61" t="n">
        <f aca="false">SUM(C17:AL17)</f>
        <v>216027.03051646</v>
      </c>
    </row>
    <row r="18" customFormat="false" ht="15" hidden="false" customHeight="false" outlineLevel="0" collapsed="false">
      <c r="A18" s="10" t="s">
        <v>739</v>
      </c>
      <c r="B18" s="9" t="s">
        <v>97</v>
      </c>
      <c r="C18" s="70" t="n">
        <f aca="false">MIN(C16,C17*Assumptions!$E$30)</f>
        <v>0</v>
      </c>
      <c r="D18" s="70" t="n">
        <f aca="false">MIN(D16,D17*Assumptions!$E$30)</f>
        <v>27172.7456</v>
      </c>
      <c r="E18" s="70" t="n">
        <f aca="false">MIN(E16,E17*Assumptions!$E$30)</f>
        <v>10446.540104</v>
      </c>
      <c r="F18" s="70" t="n">
        <f aca="false">MIN(F16,F17*Assumptions!$E$30)</f>
        <v>9293.93972936</v>
      </c>
      <c r="G18" s="70" t="n">
        <f aca="false">MIN(G16,G17*Assumptions!$E$30)</f>
        <v>8375.7616538024</v>
      </c>
      <c r="H18" s="70" t="n">
        <f aca="false">MIN(H16,H17*Assumptions!$E$30)</f>
        <v>7645.47261768462</v>
      </c>
      <c r="I18" s="70" t="n">
        <f aca="false">MIN(I16,I17*Assumptions!$E$30)</f>
        <v>7065.87762130823</v>
      </c>
      <c r="J18" s="70" t="n">
        <f aca="false">MIN(J16,J17*Assumptions!$E$30)</f>
        <v>6607.25511765157</v>
      </c>
      <c r="K18" s="70" t="n">
        <f aca="false">MIN(K16,K17*Assumptions!$E$30)</f>
        <v>6245.8654225807</v>
      </c>
      <c r="L18" s="70" t="n">
        <f aca="false">MIN(L16,L17*Assumptions!$E$30)</f>
        <v>5962.75772208534</v>
      </c>
      <c r="M18" s="70" t="n">
        <f aca="false">MIN(M16,M17*Assumptions!$E$30)</f>
        <v>5742.81598225093</v>
      </c>
      <c r="N18" s="70" t="n">
        <f aca="false">MIN(N16,N17*Assumptions!$E$30)</f>
        <v>5573.99600879584</v>
      </c>
      <c r="O18" s="70" t="n">
        <f aca="false">MIN(O16,O17*Assumptions!$E$30)</f>
        <v>5446.71545610133</v>
      </c>
      <c r="P18" s="70" t="n">
        <f aca="false">MIN(P16,P17*Assumptions!$E$30)</f>
        <v>5353.36622836153</v>
      </c>
      <c r="Q18" s="70" t="n">
        <f aca="false">MIN(Q16,Q17*Assumptions!$E$30)</f>
        <v>5287.92482988294</v>
      </c>
      <c r="R18" s="70" t="n">
        <f aca="false">MIN(R16,R17*Assumptions!$E$30)</f>
        <v>5245.6411133475</v>
      </c>
      <c r="S18" s="70" t="n">
        <f aca="false">MIN(S16,S17*Assumptions!$E$30)</f>
        <v>5222.78978856885</v>
      </c>
      <c r="T18" s="70" t="n">
        <f aca="false">MIN(T16,T17*Assumptions!$E$30)</f>
        <v>5216.47218555611</v>
      </c>
      <c r="U18" s="70" t="n">
        <f aca="false">MIN(U16,U17*Assumptions!$E$30)</f>
        <v>5224.45827106901</v>
      </c>
      <c r="V18" s="70" t="n">
        <f aca="false">MIN(V16,V17*Assumptions!$E$30)</f>
        <v>5245.0609225155</v>
      </c>
      <c r="W18" s="70" t="n">
        <f aca="false">MIN(W16,W17*Assumptions!$E$30)</f>
        <v>5277.03606718212</v>
      </c>
      <c r="X18" s="70" t="n">
        <f aca="false">MIN(X16,X17*Assumptions!$E$30)</f>
        <v>5319.50357854069</v>
      </c>
      <c r="Y18" s="70" t="n">
        <f aca="false">MIN(Y16,Y17*Assumptions!$E$30)</f>
        <v>5371.8848488591</v>
      </c>
      <c r="Z18" s="70" t="n">
        <f aca="false">MIN(Z16,Z17*Assumptions!$E$30)</f>
        <v>5433.85377985621</v>
      </c>
      <c r="AA18" s="70" t="n">
        <f aca="false">MIN(AA16,AA17*Assumptions!$E$30)</f>
        <v>5505.29859172311</v>
      </c>
      <c r="AB18" s="70" t="n">
        <f aca="false">MIN(AB16,AB17*Assumptions!$E$30)</f>
        <v>5586.29237832205</v>
      </c>
      <c r="AC18" s="70" t="n">
        <f aca="false">MIN(AC16,AC17*Assumptions!$E$30)</f>
        <v>5677.07075904613</v>
      </c>
      <c r="AD18" s="70" t="n">
        <f aca="false">MIN(AD16,AD17*Assumptions!$E$30)</f>
        <v>5778.01531670036</v>
      </c>
      <c r="AE18" s="70" t="n">
        <f aca="false">MIN(AE16,AE17*Assumptions!$E$30)</f>
        <v>5889.64178267545</v>
      </c>
      <c r="AF18" s="70" t="n">
        <f aca="false">MIN(AF16,AF17*Assumptions!$E$30)</f>
        <v>6012.59214909389</v>
      </c>
      <c r="AG18" s="70" t="n">
        <f aca="false">MIN(AG16,AG17*Assumptions!$E$30)</f>
        <v>6147.63006329446</v>
      </c>
      <c r="AH18" s="70" t="n">
        <f aca="false">MIN(AH16,AH17*Assumptions!$E$30)</f>
        <v>6295.63900161666</v>
      </c>
      <c r="AI18" s="70" t="n">
        <f aca="false">MIN(AI16,AI17*Assumptions!$E$30)</f>
        <v>6457.62283386272</v>
      </c>
      <c r="AJ18" s="70" t="n">
        <f aca="false">MIN(AJ16,AJ17*Assumptions!$E$30)</f>
        <v>6634.7084825908</v>
      </c>
      <c r="AK18" s="70" t="n">
        <f aca="false">MIN(AK16,AK17*Assumptions!$E$30)</f>
        <v>6828.15045696833</v>
      </c>
      <c r="AL18" s="70" t="n">
        <f aca="false">MIN(AL16,AL17*Assumptions!$E$30)</f>
        <v>7039.33710285097</v>
      </c>
      <c r="AM18" s="70" t="n">
        <f aca="false">SUM(C18:AL18)</f>
        <v>237629.733568105</v>
      </c>
    </row>
    <row r="19" customFormat="false" ht="15" hidden="false" customHeight="false" outlineLevel="0" collapsed="false">
      <c r="A19" s="10" t="s">
        <v>740</v>
      </c>
      <c r="B19" s="9" t="s">
        <v>84</v>
      </c>
      <c r="C19" s="61" t="n">
        <f aca="false">C18/Assumptions!$E$30</f>
        <v>0</v>
      </c>
      <c r="D19" s="61" t="n">
        <f aca="false">D18/Assumptions!$E$30</f>
        <v>24702.496</v>
      </c>
      <c r="E19" s="61" t="n">
        <f aca="false">E18/Assumptions!$E$30</f>
        <v>9496.85464</v>
      </c>
      <c r="F19" s="61" t="n">
        <f aca="false">F18/Assumptions!$E$30</f>
        <v>8449.0361176</v>
      </c>
      <c r="G19" s="61" t="n">
        <f aca="false">G18/Assumptions!$E$30</f>
        <v>7614.328776184</v>
      </c>
      <c r="H19" s="61" t="n">
        <f aca="false">H18/Assumptions!$E$30</f>
        <v>6950.42965244056</v>
      </c>
      <c r="I19" s="61" t="n">
        <f aca="false">I18/Assumptions!$E$30</f>
        <v>6423.52511028021</v>
      </c>
      <c r="J19" s="61" t="n">
        <f aca="false">J18/Assumptions!$E$30</f>
        <v>6006.59556150143</v>
      </c>
      <c r="K19" s="61" t="n">
        <f aca="false">K18/Assumptions!$E$30</f>
        <v>5678.05947507336</v>
      </c>
      <c r="L19" s="61" t="n">
        <f aca="false">L18/Assumptions!$E$30</f>
        <v>5420.6888382594</v>
      </c>
      <c r="M19" s="61" t="n">
        <f aca="false">M18/Assumptions!$E$30</f>
        <v>5220.7418020463</v>
      </c>
      <c r="N19" s="61" t="n">
        <f aca="false">N18/Assumptions!$E$30</f>
        <v>5067.26909890531</v>
      </c>
      <c r="O19" s="61" t="n">
        <f aca="false">O18/Assumptions!$E$30</f>
        <v>4951.55950554666</v>
      </c>
      <c r="P19" s="61" t="n">
        <f aca="false">P18/Assumptions!$E$30</f>
        <v>4866.69657123776</v>
      </c>
      <c r="Q19" s="61" t="n">
        <f aca="false">Q18/Assumptions!$E$30</f>
        <v>4807.20439080267</v>
      </c>
      <c r="R19" s="61" t="n">
        <f aca="false">R18/Assumptions!$E$30</f>
        <v>4768.76464849773</v>
      </c>
      <c r="S19" s="61" t="n">
        <f aca="false">S18/Assumptions!$E$30</f>
        <v>4747.99071688078</v>
      </c>
      <c r="T19" s="61" t="n">
        <f aca="false">T18/Assumptions!$E$30</f>
        <v>4742.24744141465</v>
      </c>
      <c r="U19" s="61" t="n">
        <f aca="false">U18/Assumptions!$E$30</f>
        <v>4749.50751915365</v>
      </c>
      <c r="V19" s="61" t="n">
        <f aca="false">V18/Assumptions!$E$30</f>
        <v>4768.23720228682</v>
      </c>
      <c r="W19" s="61" t="n">
        <f aca="false">W18/Assumptions!$E$30</f>
        <v>4797.30551562011</v>
      </c>
      <c r="X19" s="61" t="n">
        <f aca="false">X18/Assumptions!$E$30</f>
        <v>4835.9123441279</v>
      </c>
      <c r="Y19" s="61" t="n">
        <f aca="false">Y18/Assumptions!$E$30</f>
        <v>4883.531680781</v>
      </c>
      <c r="Z19" s="61" t="n">
        <f aca="false">Z18/Assumptions!$E$30</f>
        <v>4939.86707259656</v>
      </c>
      <c r="AA19" s="61" t="n">
        <f aca="false">AA18/Assumptions!$E$30</f>
        <v>5004.81690156646</v>
      </c>
      <c r="AB19" s="61" t="n">
        <f aca="false">AB18/Assumptions!$E$30</f>
        <v>5078.44761665641</v>
      </c>
      <c r="AC19" s="61" t="n">
        <f aca="false">AC18/Assumptions!$E$30</f>
        <v>5160.97341731467</v>
      </c>
      <c r="AD19" s="61" t="n">
        <f aca="false">AD18/Assumptions!$E$30</f>
        <v>5252.74119700033</v>
      </c>
      <c r="AE19" s="61" t="n">
        <f aca="false">AE18/Assumptions!$E$30</f>
        <v>5354.21980243223</v>
      </c>
      <c r="AF19" s="61" t="n">
        <f aca="false">AF18/Assumptions!$E$30</f>
        <v>5465.99286281263</v>
      </c>
      <c r="AG19" s="61" t="n">
        <f aca="false">AG18/Assumptions!$E$30</f>
        <v>5588.75460299497</v>
      </c>
      <c r="AH19" s="61" t="n">
        <f aca="false">AH18/Assumptions!$E$30</f>
        <v>5723.30818328787</v>
      </c>
      <c r="AI19" s="61" t="n">
        <f aca="false">AI18/Assumptions!$E$30</f>
        <v>5870.56621260247</v>
      </c>
      <c r="AJ19" s="61" t="n">
        <f aca="false">AJ18/Assumptions!$E$30</f>
        <v>6031.55316599164</v>
      </c>
      <c r="AK19" s="61" t="n">
        <f aca="false">AK18/Assumptions!$E$30</f>
        <v>6207.40950633485</v>
      </c>
      <c r="AL19" s="61" t="n">
        <f aca="false">AL18/Assumptions!$E$30</f>
        <v>6399.39736622815</v>
      </c>
      <c r="AM19" s="61" t="n">
        <f aca="false">SUM(C19:AL19)</f>
        <v>216027.03051646</v>
      </c>
    </row>
    <row r="20" customFormat="false" ht="15" hidden="false" customHeight="false" outlineLevel="0" collapsed="false">
      <c r="A20" s="10" t="s">
        <v>741</v>
      </c>
      <c r="B20" s="9" t="s">
        <v>51</v>
      </c>
      <c r="C20" s="61" t="n">
        <f aca="false">C8*(Assumptions!$E$35*C14)</f>
        <v>0</v>
      </c>
      <c r="D20" s="61" t="n">
        <f aca="false">D8*(Assumptions!$E$35*D14+Assumptions!$E$34*C29)</f>
        <v>256590.220493584</v>
      </c>
      <c r="E20" s="61" t="n">
        <f aca="false">E8*(Assumptions!$E$35*E14+Assumptions!$E$34*D29)</f>
        <v>209038.079641379</v>
      </c>
      <c r="F20" s="61" t="n">
        <f aca="false">F8*(Assumptions!$E$35*F14+Assumptions!$E$34*E29)</f>
        <v>136178.676667724</v>
      </c>
      <c r="G20" s="61" t="n">
        <f aca="false">G8*(Assumptions!$E$35*G14+Assumptions!$E$34*F29)</f>
        <v>130378.672436647</v>
      </c>
      <c r="H20" s="61" t="n">
        <f aca="false">H8*(Assumptions!$E$35*H14+Assumptions!$E$34*G29)</f>
        <v>125268.96277705</v>
      </c>
      <c r="I20" s="61" t="n">
        <f aca="false">I8*(Assumptions!$E$35*I14+Assumptions!$E$34*H29)</f>
        <v>119806.042646055</v>
      </c>
      <c r="J20" s="61" t="n">
        <f aca="false">J8*(Assumptions!$E$35*J14+Assumptions!$E$34*I29)</f>
        <v>115122.404852687</v>
      </c>
      <c r="K20" s="61" t="n">
        <f aca="false">K8*(Assumptions!$E$35*K14+Assumptions!$E$34*J29)</f>
        <v>112129.746482025</v>
      </c>
      <c r="L20" s="61" t="n">
        <f aca="false">L8*(Assumptions!$E$35*L14+Assumptions!$E$34*K29)</f>
        <v>109767.645837773</v>
      </c>
      <c r="M20" s="61" t="n">
        <f aca="false">M8*(Assumptions!$E$35*M14+Assumptions!$E$34*L29)</f>
        <v>108103.586952677</v>
      </c>
      <c r="N20" s="61" t="n">
        <f aca="false">N8*(Assumptions!$E$35*N14+Assumptions!$E$34*M29)</f>
        <v>107041.876614762</v>
      </c>
      <c r="O20" s="61" t="n">
        <f aca="false">O8*(Assumptions!$E$35*O14+Assumptions!$E$34*N29)</f>
        <v>106482.627642815</v>
      </c>
      <c r="P20" s="61" t="n">
        <f aca="false">P8*(Assumptions!$E$35*P14+Assumptions!$E$34*O29)</f>
        <v>106338.761839191</v>
      </c>
      <c r="Q20" s="61" t="n">
        <f aca="false">Q8*(Assumptions!$E$35*Q14+Assumptions!$E$34*P29)</f>
        <v>106538.370709967</v>
      </c>
      <c r="R20" s="61" t="n">
        <f aca="false">R8*(Assumptions!$E$35*R14+Assumptions!$E$34*Q29)</f>
        <v>107023.40399001</v>
      </c>
      <c r="S20" s="61" t="n">
        <f aca="false">S8*(Assumptions!$E$35*S14+Assumptions!$E$34*R29)</f>
        <v>107747.734217556</v>
      </c>
      <c r="T20" s="61" t="n">
        <f aca="false">T8*(Assumptions!$E$35*T14+Assumptions!$E$34*S29)</f>
        <v>108675.257163176</v>
      </c>
      <c r="U20" s="61" t="n">
        <f aca="false">U8*(Assumptions!$E$35*U14+Assumptions!$E$34*T29)</f>
        <v>109778.20818133</v>
      </c>
      <c r="V20" s="61" t="n">
        <f aca="false">V8*(Assumptions!$E$35*V14+Assumptions!$E$34*U29)</f>
        <v>111035.733261462</v>
      </c>
      <c r="W20" s="61" t="n">
        <f aca="false">W8*(Assumptions!$E$35*W14+Assumptions!$E$34*V29)</f>
        <v>112432.705006229</v>
      </c>
      <c r="X20" s="61" t="n">
        <f aca="false">X8*(Assumptions!$E$35*X14+Assumptions!$E$34*W29)</f>
        <v>113958.756966278</v>
      </c>
      <c r="Y20" s="61" t="n">
        <f aca="false">Y8*(Assumptions!$E$35*Y14+Assumptions!$E$34*X29)</f>
        <v>115607.505646041</v>
      </c>
      <c r="Z20" s="61" t="n">
        <f aca="false">Z8*(Assumptions!$E$35*Z14+Assumptions!$E$34*Y29)</f>
        <v>117375.930632934</v>
      </c>
      <c r="AA20" s="61" t="n">
        <f aca="false">AA8*(Assumptions!$E$35*AA14+Assumptions!$E$34*Z29)</f>
        <v>119263.886470434</v>
      </c>
      <c r="AB20" s="61" t="n">
        <f aca="false">AB8*(Assumptions!$E$35*AB14+Assumptions!$E$34*AA29)</f>
        <v>121273.723638369</v>
      </c>
      <c r="AC20" s="61" t="n">
        <f aca="false">AC8*(Assumptions!$E$35*AC14+Assumptions!$E$34*AB29)</f>
        <v>123409.999670418</v>
      </c>
      <c r="AD20" s="61" t="n">
        <f aca="false">AD8*(Assumptions!$E$35*AD14+Assumptions!$E$34*AC29)</f>
        <v>125649.47315768</v>
      </c>
      <c r="AE20" s="61" t="n">
        <f aca="false">AE8*(Assumptions!$E$35*AE14+Assumptions!$E$34*AD29)</f>
        <v>127988.246771197</v>
      </c>
      <c r="AF20" s="61" t="n">
        <f aca="false">AF8*(Assumptions!$E$35*AF14+Assumptions!$E$34*AE29)</f>
        <v>130443.248514652</v>
      </c>
      <c r="AG20" s="61" t="n">
        <f aca="false">AG8*(Assumptions!$E$35*AG14+Assumptions!$E$34*AF29)</f>
        <v>133027.72301766</v>
      </c>
      <c r="AH20" s="61" t="n">
        <f aca="false">AH8*(Assumptions!$E$35*AH14+Assumptions!$E$34*AG29)</f>
        <v>135755.691079116</v>
      </c>
      <c r="AI20" s="61" t="n">
        <f aca="false">AI8*(Assumptions!$E$35*AI14+Assumptions!$E$34*AH29)</f>
        <v>138642.488110756</v>
      </c>
      <c r="AJ20" s="61" t="n">
        <f aca="false">AJ8*(Assumptions!$E$35*AJ14+Assumptions!$E$34*AI29)</f>
        <v>141704.893673271</v>
      </c>
      <c r="AK20" s="61" t="n">
        <f aca="false">AK8*(Assumptions!$E$35*AK14+Assumptions!$E$34*AJ29)</f>
        <v>144961.208926678</v>
      </c>
      <c r="AL20" s="61" t="n">
        <f aca="false">AL8*(Assumptions!$E$35*AL14+Assumptions!$E$34*AK29)</f>
        <v>148431.343575875</v>
      </c>
      <c r="AM20" s="61" t="n">
        <f aca="false">AL20</f>
        <v>148431.343575875</v>
      </c>
    </row>
    <row r="21" customFormat="false" ht="15" hidden="false" customHeight="false" outlineLevel="0" collapsed="false">
      <c r="A21" s="10" t="s">
        <v>742</v>
      </c>
      <c r="B21" s="9" t="s">
        <v>84</v>
      </c>
      <c r="C21" s="61" t="n">
        <f aca="false">C20*Assumptions!$E$36</f>
        <v>0</v>
      </c>
      <c r="D21" s="61" t="n">
        <f aca="false">D20*Assumptions!$E$36</f>
        <v>64147.5551233959</v>
      </c>
      <c r="E21" s="61" t="n">
        <f aca="false">E20*Assumptions!$E$36</f>
        <v>52259.5199103448</v>
      </c>
      <c r="F21" s="61" t="n">
        <f aca="false">F20*Assumptions!$E$36</f>
        <v>34044.669166931</v>
      </c>
      <c r="G21" s="61" t="n">
        <f aca="false">G20*Assumptions!$E$36</f>
        <v>32594.6681091617</v>
      </c>
      <c r="H21" s="61" t="n">
        <f aca="false">H20*Assumptions!$E$36</f>
        <v>31317.2406942625</v>
      </c>
      <c r="I21" s="61" t="n">
        <f aca="false">I20*Assumptions!$E$36</f>
        <v>29951.5106615136</v>
      </c>
      <c r="J21" s="61" t="n">
        <f aca="false">J20*Assumptions!$E$36</f>
        <v>28780.6012131716</v>
      </c>
      <c r="K21" s="61" t="n">
        <f aca="false">K20*Assumptions!$E$36</f>
        <v>28032.4366205062</v>
      </c>
      <c r="L21" s="61" t="n">
        <f aca="false">L20*Assumptions!$E$36</f>
        <v>27441.9114594432</v>
      </c>
      <c r="M21" s="61" t="n">
        <f aca="false">M20*Assumptions!$E$36</f>
        <v>27025.8967381693</v>
      </c>
      <c r="N21" s="61" t="n">
        <f aca="false">N20*Assumptions!$E$36</f>
        <v>26760.4691536904</v>
      </c>
      <c r="O21" s="61" t="n">
        <f aca="false">O20*Assumptions!$E$36</f>
        <v>26620.6569107037</v>
      </c>
      <c r="P21" s="61" t="n">
        <f aca="false">P20*Assumptions!$E$36</f>
        <v>26584.6904597977</v>
      </c>
      <c r="Q21" s="61" t="n">
        <f aca="false">Q20*Assumptions!$E$36</f>
        <v>26634.5926774916</v>
      </c>
      <c r="R21" s="61" t="n">
        <f aca="false">R20*Assumptions!$E$36</f>
        <v>26755.8509975026</v>
      </c>
      <c r="S21" s="61" t="n">
        <f aca="false">S20*Assumptions!$E$36</f>
        <v>26936.933554389</v>
      </c>
      <c r="T21" s="61" t="n">
        <f aca="false">T20*Assumptions!$E$36</f>
        <v>27168.8142907939</v>
      </c>
      <c r="U21" s="61" t="n">
        <f aca="false">U20*Assumptions!$E$36</f>
        <v>27444.5520453325</v>
      </c>
      <c r="V21" s="61" t="n">
        <f aca="false">V20*Assumptions!$E$36</f>
        <v>27758.9333153655</v>
      </c>
      <c r="W21" s="61" t="n">
        <f aca="false">W20*Assumptions!$E$36</f>
        <v>28108.1762515573</v>
      </c>
      <c r="X21" s="61" t="n">
        <f aca="false">X20*Assumptions!$E$36</f>
        <v>28489.6892415696</v>
      </c>
      <c r="Y21" s="61" t="n">
        <f aca="false">Y20*Assumptions!$E$36</f>
        <v>28901.8764115103</v>
      </c>
      <c r="Z21" s="61" t="n">
        <f aca="false">Z20*Assumptions!$E$36</f>
        <v>29343.9826582336</v>
      </c>
      <c r="AA21" s="61" t="n">
        <f aca="false">AA20*Assumptions!$E$36</f>
        <v>29815.9716176086</v>
      </c>
      <c r="AB21" s="61" t="n">
        <f aca="false">AB20*Assumptions!$E$36</f>
        <v>30318.4309095921</v>
      </c>
      <c r="AC21" s="61" t="n">
        <f aca="false">AC20*Assumptions!$E$36</f>
        <v>30852.4999176045</v>
      </c>
      <c r="AD21" s="61" t="n">
        <f aca="false">AD20*Assumptions!$E$36</f>
        <v>31412.36828942</v>
      </c>
      <c r="AE21" s="61" t="n">
        <f aca="false">AE20*Assumptions!$E$36</f>
        <v>31997.0616927991</v>
      </c>
      <c r="AF21" s="61" t="n">
        <f aca="false">AF20*Assumptions!$E$36</f>
        <v>32610.8121286631</v>
      </c>
      <c r="AG21" s="61" t="n">
        <f aca="false">AG20*Assumptions!$E$36</f>
        <v>33256.9307544151</v>
      </c>
      <c r="AH21" s="61" t="n">
        <f aca="false">AH20*Assumptions!$E$36</f>
        <v>33938.922769779</v>
      </c>
      <c r="AI21" s="61" t="n">
        <f aca="false">AI20*Assumptions!$E$36</f>
        <v>34660.6220276889</v>
      </c>
      <c r="AJ21" s="61" t="n">
        <f aca="false">AJ20*Assumptions!$E$36</f>
        <v>35426.2234183177</v>
      </c>
      <c r="AK21" s="61" t="n">
        <f aca="false">AK20*Assumptions!$E$36</f>
        <v>36240.3022316696</v>
      </c>
      <c r="AL21" s="61" t="n">
        <f aca="false">AL20*Assumptions!$E$36</f>
        <v>37107.8358939687</v>
      </c>
      <c r="AM21" s="61" t="n">
        <f aca="false">SUM(C21:AL21)</f>
        <v>1110743.20931636</v>
      </c>
    </row>
    <row r="22" customFormat="false" ht="15" hidden="false" customHeight="false" outlineLevel="0" collapsed="false">
      <c r="A22" s="10" t="s">
        <v>743</v>
      </c>
      <c r="B22" s="9" t="s">
        <v>97</v>
      </c>
      <c r="C22" s="70" t="n">
        <f aca="false">MIN(MAX(0,C16-C18),C21*Assumptions!$E$37)</f>
        <v>0</v>
      </c>
      <c r="D22" s="70" t="n">
        <f aca="false">MIN(MAX(0,D16-D18),D21*Assumptions!$E$37)</f>
        <v>2827.2544</v>
      </c>
      <c r="E22" s="70" t="n">
        <f aca="false">MIN(MAX(0,E16-E18),E21*Assumptions!$E$37)</f>
        <v>19553.459896</v>
      </c>
      <c r="F22" s="70" t="n">
        <f aca="false">MIN(MAX(0,F16-F18),F21*Assumptions!$E$37)</f>
        <v>39406.88907064</v>
      </c>
      <c r="G22" s="70" t="n">
        <f aca="false">MIN(MAX(0,G16-G18),G21*Assumptions!$E$37)</f>
        <v>47262.2687582845</v>
      </c>
      <c r="H22" s="70" t="n">
        <f aca="false">MIN(MAX(0,H16-H18),H21*Assumptions!$E$37)</f>
        <v>45409.9990066806</v>
      </c>
      <c r="I22" s="70" t="n">
        <f aca="false">MIN(MAX(0,I16-I18),I21*Assumptions!$E$37)</f>
        <v>43429.6904591948</v>
      </c>
      <c r="J22" s="70" t="n">
        <f aca="false">MIN(MAX(0,J16-J18),J21*Assumptions!$E$37)</f>
        <v>41731.8717590989</v>
      </c>
      <c r="K22" s="70" t="n">
        <f aca="false">MIN(MAX(0,K16-K18),K21*Assumptions!$E$37)</f>
        <v>40647.0330997339</v>
      </c>
      <c r="L22" s="70" t="n">
        <f aca="false">MIN(MAX(0,L16-L18),L21*Assumptions!$E$37)</f>
        <v>39790.7716161926</v>
      </c>
      <c r="M22" s="70" t="n">
        <f aca="false">MIN(MAX(0,M16-M18),M21*Assumptions!$E$37)</f>
        <v>39187.5502703455</v>
      </c>
      <c r="N22" s="70" t="n">
        <f aca="false">MIN(MAX(0,N16-N18),N21*Assumptions!$E$37)</f>
        <v>38802.6802728511</v>
      </c>
      <c r="O22" s="70" t="n">
        <f aca="false">MIN(MAX(0,O16-O18),O21*Assumptions!$E$37)</f>
        <v>38599.9525205204</v>
      </c>
      <c r="P22" s="70" t="n">
        <f aca="false">MIN(MAX(0,P16-P18),P21*Assumptions!$E$37)</f>
        <v>38547.8011667066</v>
      </c>
      <c r="Q22" s="70" t="n">
        <f aca="false">MIN(MAX(0,Q16-Q18),Q21*Assumptions!$E$37)</f>
        <v>38620.1593823629</v>
      </c>
      <c r="R22" s="70" t="n">
        <f aca="false">MIN(MAX(0,R16-R18),R21*Assumptions!$E$37)</f>
        <v>38795.9839463788</v>
      </c>
      <c r="S22" s="70" t="n">
        <f aca="false">MIN(MAX(0,S16-S18),S21*Assumptions!$E$37)</f>
        <v>39058.553653864</v>
      </c>
      <c r="T22" s="70" t="n">
        <f aca="false">MIN(MAX(0,T16-T18),T21*Assumptions!$E$37)</f>
        <v>39394.7807216511</v>
      </c>
      <c r="U22" s="70" t="n">
        <f aca="false">MIN(MAX(0,U16-U18),U21*Assumptions!$E$37)</f>
        <v>39794.6004657321</v>
      </c>
      <c r="V22" s="70" t="n">
        <f aca="false">MIN(MAX(0,V16-V18),V21*Assumptions!$E$37)</f>
        <v>40250.45330728</v>
      </c>
      <c r="W22" s="70" t="n">
        <f aca="false">MIN(MAX(0,W16-W18),W21*Assumptions!$E$37)</f>
        <v>40756.8555647581</v>
      </c>
      <c r="X22" s="70" t="n">
        <f aca="false">MIN(MAX(0,X16-X18),X21*Assumptions!$E$37)</f>
        <v>41310.0494002759</v>
      </c>
      <c r="Y22" s="70" t="n">
        <f aca="false">MIN(MAX(0,Y16-Y18),Y21*Assumptions!$E$37)</f>
        <v>41907.72079669</v>
      </c>
      <c r="Z22" s="70" t="n">
        <f aca="false">MIN(MAX(0,Z16-Z18),Z21*Assumptions!$E$37)</f>
        <v>42548.7748544387</v>
      </c>
      <c r="AA22" s="70" t="n">
        <f aca="false">MIN(MAX(0,AA16-AA18),AA21*Assumptions!$E$37)</f>
        <v>43233.1588455324</v>
      </c>
      <c r="AB22" s="70" t="n">
        <f aca="false">MIN(MAX(0,AB16-AB18),AB21*Assumptions!$E$37)</f>
        <v>43961.7248189086</v>
      </c>
      <c r="AC22" s="70" t="n">
        <f aca="false">MIN(MAX(0,AC16-AC18),AC21*Assumptions!$E$37)</f>
        <v>44736.1248805265</v>
      </c>
      <c r="AD22" s="70" t="n">
        <f aca="false">MIN(MAX(0,AD16-AD18),AD21*Assumptions!$E$37)</f>
        <v>45547.934019659</v>
      </c>
      <c r="AE22" s="70" t="n">
        <f aca="false">MIN(MAX(0,AE16-AE18),AE21*Assumptions!$E$37)</f>
        <v>46395.7394545587</v>
      </c>
      <c r="AF22" s="70" t="n">
        <f aca="false">MIN(MAX(0,AF16-AF18),AF21*Assumptions!$E$37)</f>
        <v>47285.6775865615</v>
      </c>
      <c r="AG22" s="70" t="n">
        <f aca="false">MIN(MAX(0,AG16-AG18),AG21*Assumptions!$E$37)</f>
        <v>48222.5495939019</v>
      </c>
      <c r="AH22" s="70" t="n">
        <f aca="false">MIN(MAX(0,AH16-AH18),AH21*Assumptions!$E$37)</f>
        <v>49211.4380161795</v>
      </c>
      <c r="AI22" s="70" t="n">
        <f aca="false">MIN(MAX(0,AI16-AI18),AI21*Assumptions!$E$37)</f>
        <v>50257.9019401489</v>
      </c>
      <c r="AJ22" s="70" t="n">
        <f aca="false">MIN(MAX(0,AJ16-AJ18),AJ21*Assumptions!$E$37)</f>
        <v>51368.0239565607</v>
      </c>
      <c r="AK22" s="70" t="n">
        <f aca="false">MIN(MAX(0,AK16-AK18),AK21*Assumptions!$E$37)</f>
        <v>52548.4382359209</v>
      </c>
      <c r="AL22" s="70" t="n">
        <f aca="false">MIN(MAX(0,AL16-AL18),AL21*Assumptions!$E$37)</f>
        <v>53806.3620462546</v>
      </c>
      <c r="AM22" s="70" t="n">
        <f aca="false">SUM(C22:AL22)</f>
        <v>1454210.22778439</v>
      </c>
    </row>
    <row r="23" customFormat="false" ht="15" hidden="false" customHeight="false" outlineLevel="0" collapsed="false">
      <c r="A23" s="10" t="s">
        <v>744</v>
      </c>
      <c r="B23" s="9" t="s">
        <v>84</v>
      </c>
      <c r="C23" s="61" t="n">
        <f aca="false">C22/Assumptions!$E$37</f>
        <v>0</v>
      </c>
      <c r="D23" s="61" t="n">
        <f aca="false">D22/Assumptions!$E$37</f>
        <v>1949.83062068966</v>
      </c>
      <c r="E23" s="61" t="n">
        <f aca="false">E22/Assumptions!$E$37</f>
        <v>13485.1447558621</v>
      </c>
      <c r="F23" s="61" t="n">
        <f aca="false">F22/Assumptions!$E$37</f>
        <v>27177.1648763034</v>
      </c>
      <c r="G23" s="61" t="n">
        <f aca="false">G22/Assumptions!$E$37</f>
        <v>32594.6681091617</v>
      </c>
      <c r="H23" s="61" t="n">
        <f aca="false">H22/Assumptions!$E$37</f>
        <v>31317.2406942625</v>
      </c>
      <c r="I23" s="61" t="n">
        <f aca="false">I22/Assumptions!$E$37</f>
        <v>29951.5106615137</v>
      </c>
      <c r="J23" s="61" t="n">
        <f aca="false">J22/Assumptions!$E$37</f>
        <v>28780.6012131716</v>
      </c>
      <c r="K23" s="61" t="n">
        <f aca="false">K22/Assumptions!$E$37</f>
        <v>28032.4366205062</v>
      </c>
      <c r="L23" s="61" t="n">
        <f aca="false">L22/Assumptions!$E$37</f>
        <v>27441.9114594432</v>
      </c>
      <c r="M23" s="61" t="n">
        <f aca="false">M22/Assumptions!$E$37</f>
        <v>27025.8967381693</v>
      </c>
      <c r="N23" s="61" t="n">
        <f aca="false">N22/Assumptions!$E$37</f>
        <v>26760.4691536904</v>
      </c>
      <c r="O23" s="61" t="n">
        <f aca="false">O22/Assumptions!$E$37</f>
        <v>26620.6569107037</v>
      </c>
      <c r="P23" s="61" t="n">
        <f aca="false">P22/Assumptions!$E$37</f>
        <v>26584.6904597977</v>
      </c>
      <c r="Q23" s="61" t="n">
        <f aca="false">Q22/Assumptions!$E$37</f>
        <v>26634.5926774916</v>
      </c>
      <c r="R23" s="61" t="n">
        <f aca="false">R22/Assumptions!$E$37</f>
        <v>26755.8509975026</v>
      </c>
      <c r="S23" s="61" t="n">
        <f aca="false">S22/Assumptions!$E$37</f>
        <v>26936.933554389</v>
      </c>
      <c r="T23" s="61" t="n">
        <f aca="false">T22/Assumptions!$E$37</f>
        <v>27168.8142907939</v>
      </c>
      <c r="U23" s="61" t="n">
        <f aca="false">U22/Assumptions!$E$37</f>
        <v>27444.5520453325</v>
      </c>
      <c r="V23" s="61" t="n">
        <f aca="false">V22/Assumptions!$E$37</f>
        <v>27758.9333153655</v>
      </c>
      <c r="W23" s="61" t="n">
        <f aca="false">W22/Assumptions!$E$37</f>
        <v>28108.1762515573</v>
      </c>
      <c r="X23" s="61" t="n">
        <f aca="false">X22/Assumptions!$E$37</f>
        <v>28489.6892415696</v>
      </c>
      <c r="Y23" s="61" t="n">
        <f aca="false">Y22/Assumptions!$E$37</f>
        <v>28901.8764115103</v>
      </c>
      <c r="Z23" s="61" t="n">
        <f aca="false">Z22/Assumptions!$E$37</f>
        <v>29343.9826582336</v>
      </c>
      <c r="AA23" s="61" t="n">
        <f aca="false">AA22/Assumptions!$E$37</f>
        <v>29815.9716176086</v>
      </c>
      <c r="AB23" s="61" t="n">
        <f aca="false">AB22/Assumptions!$E$37</f>
        <v>30318.4309095921</v>
      </c>
      <c r="AC23" s="61" t="n">
        <f aca="false">AC22/Assumptions!$E$37</f>
        <v>30852.4999176045</v>
      </c>
      <c r="AD23" s="61" t="n">
        <f aca="false">AD22/Assumptions!$E$37</f>
        <v>31412.36828942</v>
      </c>
      <c r="AE23" s="61" t="n">
        <f aca="false">AE22/Assumptions!$E$37</f>
        <v>31997.0616927991</v>
      </c>
      <c r="AF23" s="61" t="n">
        <f aca="false">AF22/Assumptions!$E$37</f>
        <v>32610.8121286631</v>
      </c>
      <c r="AG23" s="61" t="n">
        <f aca="false">AG22/Assumptions!$E$37</f>
        <v>33256.9307544151</v>
      </c>
      <c r="AH23" s="61" t="n">
        <f aca="false">AH22/Assumptions!$E$37</f>
        <v>33938.922769779</v>
      </c>
      <c r="AI23" s="61" t="n">
        <f aca="false">AI22/Assumptions!$E$37</f>
        <v>34660.6220276889</v>
      </c>
      <c r="AJ23" s="61" t="n">
        <f aca="false">AJ22/Assumptions!$E$37</f>
        <v>35426.2234183177</v>
      </c>
      <c r="AK23" s="61" t="n">
        <f aca="false">AK22/Assumptions!$E$37</f>
        <v>36240.3022316696</v>
      </c>
      <c r="AL23" s="61" t="n">
        <f aca="false">AL22/Assumptions!$E$37</f>
        <v>37107.8358939687</v>
      </c>
      <c r="AM23" s="61" t="n">
        <f aca="false">SUM(C23:AL23)</f>
        <v>1002903.60536855</v>
      </c>
    </row>
    <row r="24" customFormat="false" ht="15" hidden="false" customHeight="false" outlineLevel="0" collapsed="false">
      <c r="A24" s="10" t="s">
        <v>745</v>
      </c>
      <c r="B24" s="9" t="s">
        <v>97</v>
      </c>
      <c r="C24" s="70" t="n">
        <f aca="false">MAX(0,C16-C18-C22)</f>
        <v>8000</v>
      </c>
      <c r="D24" s="70" t="n">
        <f aca="false">MAX(0,D16-D18-D22)</f>
        <v>0</v>
      </c>
      <c r="E24" s="70" t="n">
        <f aca="false">MAX(0,E16-E18-E22)</f>
        <v>0</v>
      </c>
      <c r="F24" s="70" t="n">
        <f aca="false">MAX(0,F16-F18-F22)</f>
        <v>0</v>
      </c>
      <c r="G24" s="70" t="n">
        <f aca="false">MAX(0,G16-G18-G22)</f>
        <v>5603.12873024886</v>
      </c>
      <c r="H24" s="70" t="n">
        <f aca="false">MAX(0,H16-H18-H22)</f>
        <v>18889.0039788993</v>
      </c>
      <c r="I24" s="70" t="n">
        <f aca="false">MAX(0,I16-I18-I22)</f>
        <v>31122.9984104461</v>
      </c>
      <c r="J24" s="70" t="n">
        <f aca="false">MAX(0,J16-J18-J22)</f>
        <v>45751.1988834512</v>
      </c>
      <c r="K24" s="70" t="n">
        <f aca="false">MAX(0,K16-K18-K22)</f>
        <v>57732.4696570823</v>
      </c>
      <c r="L24" s="70" t="n">
        <f aca="false">MAX(0,L16-L18-L22)</f>
        <v>68733.3214802369</v>
      </c>
      <c r="M24" s="70" t="n">
        <f aca="false">MAX(0,M16-M18-M22)</f>
        <v>78902.4399973437</v>
      </c>
      <c r="N24" s="70" t="n">
        <f aca="false">MAX(0,N16-N18-N22)</f>
        <v>88397.9999803967</v>
      </c>
      <c r="O24" s="70" t="n">
        <f aca="false">MAX(0,O16-O18-O22)</f>
        <v>97350.4604153856</v>
      </c>
      <c r="P24" s="70" t="n">
        <f aca="false">MAX(0,P16-P18-P22)</f>
        <v>105869.601738884</v>
      </c>
      <c r="Q24" s="70" t="n">
        <f aca="false">MAX(0,Q16-Q18-Q22)</f>
        <v>114047.679789545</v>
      </c>
      <c r="R24" s="70" t="n">
        <f aca="false">MAX(0,R16-R18-R22)</f>
        <v>121962.532486711</v>
      </c>
      <c r="S24" s="70" t="n">
        <f aca="false">MAX(0,S16-S18-S22)</f>
        <v>129680.304638176</v>
      </c>
      <c r="T24" s="70" t="n">
        <f aca="false">MAX(0,T16-T18-T22)</f>
        <v>137257.780180781</v>
      </c>
      <c r="U24" s="70" t="n">
        <f aca="false">MAX(0,U16-U18-U22)</f>
        <v>144744.351775343</v>
      </c>
      <c r="V24" s="70" t="n">
        <f aca="false">MAX(0,V16-V18-V22)</f>
        <v>152183.674270819</v>
      </c>
      <c r="W24" s="70" t="n">
        <f aca="false">MAX(0,W16-W18-W22)</f>
        <v>159615.050877206</v>
      </c>
      <c r="X24" s="70" t="n">
        <f aca="false">MAX(0,X16-X18-X22)</f>
        <v>167074.597738947</v>
      </c>
      <c r="Y24" s="70" t="n">
        <f aca="false">MAX(0,Y16-Y18-Y22)</f>
        <v>174596.227471266</v>
      </c>
      <c r="Z24" s="70" t="n">
        <f aca="false">MAX(0,Z16-Z18-Z22)</f>
        <v>182212.486688537</v>
      </c>
      <c r="AA24" s="70" t="n">
        <f aca="false">MAX(0,AA16-AA18-AA22)</f>
        <v>189955.277312844</v>
      </c>
      <c r="AB24" s="70" t="n">
        <f aca="false">MAX(0,AB16-AB18-AB22)</f>
        <v>197856.486782033</v>
      </c>
      <c r="AC24" s="70" t="n">
        <f aca="false">MAX(0,AC16-AC18-AC22)</f>
        <v>205721.498643694</v>
      </c>
      <c r="AD24" s="70" t="n">
        <f aca="false">MAX(0,AD16-AD18-AD22)</f>
        <v>213513.914843261</v>
      </c>
      <c r="AE24" s="70" t="n">
        <f aca="false">MAX(0,AE16-AE18-AE22)</f>
        <v>221326.190376056</v>
      </c>
      <c r="AF24" s="70" t="n">
        <f aca="false">MAX(0,AF16-AF18-AF22)</f>
        <v>229192.674838383</v>
      </c>
      <c r="AG24" s="70" t="n">
        <f aca="false">MAX(0,AG16-AG18-AG22)</f>
        <v>237149.059308362</v>
      </c>
      <c r="AH24" s="70" t="n">
        <f aca="false">MAX(0,AH16-AH18-AH22)</f>
        <v>245231.964355029</v>
      </c>
      <c r="AI24" s="70" t="n">
        <f aca="false">MAX(0,AI16-AI18-AI22)</f>
        <v>253479.362805033</v>
      </c>
      <c r="AJ24" s="70" t="n">
        <f aca="false">MAX(0,AJ16-AJ18-AJ22)</f>
        <v>261930.890097114</v>
      </c>
      <c r="AK24" s="70" t="n">
        <f aca="false">MAX(0,AK16-AK18-AK22)</f>
        <v>270628.154924698</v>
      </c>
      <c r="AL24" s="70" t="n">
        <f aca="false">MAX(0,AL16-AL18-AL22)</f>
        <v>279615.052493109</v>
      </c>
      <c r="AM24" s="70" t="n">
        <f aca="false">SUM(C24:AL24)</f>
        <v>4895327.83596932</v>
      </c>
    </row>
    <row r="25" customFormat="false" ht="15" hidden="false" customHeight="false" outlineLevel="0" collapsed="false">
      <c r="A25" s="10" t="s">
        <v>746</v>
      </c>
      <c r="B25" s="9" t="s">
        <v>84</v>
      </c>
      <c r="C25" s="61" t="n">
        <f aca="false">(Assumptions!$E$21/(Assumptions!$E$41*Assumptions!$E$42))*(C24/Assumptions!$E$21)^Assumptions!$E$25</f>
        <v>6000.40089742459</v>
      </c>
      <c r="D25" s="61" t="n">
        <f aca="false">(Assumptions!$E$21/(Assumptions!$E$41*Assumptions!$E$42))*(D24/Assumptions!$E$21)^Assumptions!$E$25</f>
        <v>0</v>
      </c>
      <c r="E25" s="61" t="n">
        <f aca="false">(Assumptions!$E$21/(Assumptions!$E$41*Assumptions!$E$42))*(E24/Assumptions!$E$21)^Assumptions!$E$25</f>
        <v>0</v>
      </c>
      <c r="F25" s="61" t="n">
        <f aca="false">(Assumptions!$E$21/(Assumptions!$E$41*Assumptions!$E$42))*(F24/Assumptions!$E$21)^Assumptions!$E$25</f>
        <v>0</v>
      </c>
      <c r="G25" s="61" t="n">
        <f aca="false">(Assumptions!$E$21/(Assumptions!$E$41*Assumptions!$E$42))*(G24/Assumptions!$E$21)^Assumptions!$E$25</f>
        <v>4610.33327638147</v>
      </c>
      <c r="H25" s="61" t="n">
        <f aca="false">(Assumptions!$E$21/(Assumptions!$E$41*Assumptions!$E$42))*(H24/Assumptions!$E$21)^Assumptions!$E$25</f>
        <v>11331.5254871616</v>
      </c>
      <c r="I25" s="61" t="n">
        <f aca="false">(Assumptions!$E$21/(Assumptions!$E$41*Assumptions!$E$42))*(I24/Assumptions!$E$21)^Assumptions!$E$25</f>
        <v>16397.3601499679</v>
      </c>
      <c r="J25" s="61" t="n">
        <f aca="false">(Assumptions!$E$21/(Assumptions!$E$41*Assumptions!$E$42))*(J24/Assumptions!$E$21)^Assumptions!$E$25</f>
        <v>21806.7784554296</v>
      </c>
      <c r="K25" s="61" t="n">
        <f aca="false">(Assumptions!$E$21/(Assumptions!$E$41*Assumptions!$E$42))*(K24/Assumptions!$E$21)^Assumptions!$E$25</f>
        <v>25902.6726787906</v>
      </c>
      <c r="L25" s="61" t="n">
        <f aca="false">(Assumptions!$E$21/(Assumptions!$E$41*Assumptions!$E$42))*(L24/Assumptions!$E$21)^Assumptions!$E$25</f>
        <v>29471.1784517752</v>
      </c>
      <c r="M25" s="61" t="n">
        <f aca="false">(Assumptions!$E$21/(Assumptions!$E$41*Assumptions!$E$42))*(M24/Assumptions!$E$21)^Assumptions!$E$25</f>
        <v>32639.2820973006</v>
      </c>
      <c r="N25" s="61" t="n">
        <f aca="false">(Assumptions!$E$21/(Assumptions!$E$41*Assumptions!$E$42))*(N24/Assumptions!$E$21)^Assumptions!$E$25</f>
        <v>35502.6754166737</v>
      </c>
      <c r="O25" s="61" t="n">
        <f aca="false">(Assumptions!$E$21/(Assumptions!$E$41*Assumptions!$E$42))*(O24/Assumptions!$E$21)^Assumptions!$E$25</f>
        <v>38129.7365179237</v>
      </c>
      <c r="P25" s="61" t="n">
        <f aca="false">(Assumptions!$E$21/(Assumptions!$E$41*Assumptions!$E$42))*(P24/Assumptions!$E$21)^Assumptions!$E$25</f>
        <v>40571.8138011881</v>
      </c>
      <c r="Q25" s="61" t="n">
        <f aca="false">(Assumptions!$E$21/(Assumptions!$E$41*Assumptions!$E$42))*(Q24/Assumptions!$E$21)^Assumptions!$E$25</f>
        <v>42868.4373859138</v>
      </c>
      <c r="R25" s="61" t="n">
        <f aca="false">(Assumptions!$E$21/(Assumptions!$E$41*Assumptions!$E$42))*(R24/Assumptions!$E$21)^Assumptions!$E$25</f>
        <v>45050.6683022576</v>
      </c>
      <c r="S25" s="61" t="n">
        <f aca="false">(Assumptions!$E$21/(Assumptions!$E$41*Assumptions!$E$42))*(S24/Assumptions!$E$21)^Assumptions!$E$25</f>
        <v>47143.3514219302</v>
      </c>
      <c r="T25" s="61" t="n">
        <f aca="false">(Assumptions!$E$21/(Assumptions!$E$41*Assumptions!$E$42))*(T24/Assumptions!$E$21)^Assumptions!$E$25</f>
        <v>49166.6972171256</v>
      </c>
      <c r="U25" s="61" t="n">
        <f aca="false">(Assumptions!$E$21/(Assumptions!$E$41*Assumptions!$E$42))*(U24/Assumptions!$E$21)^Assumptions!$E$25</f>
        <v>51137.427872626</v>
      </c>
      <c r="V25" s="61" t="n">
        <f aca="false">(Assumptions!$E$21/(Assumptions!$E$41*Assumptions!$E$42))*(V24/Assumptions!$E$21)^Assumptions!$E$25</f>
        <v>53069.628236826</v>
      </c>
      <c r="W25" s="61" t="n">
        <f aca="false">(Assumptions!$E$21/(Assumptions!$E$41*Assumptions!$E$42))*(W24/Assumptions!$E$21)^Assumptions!$E$25</f>
        <v>54975.3900127154</v>
      </c>
      <c r="X25" s="61" t="n">
        <f aca="false">(Assumptions!$E$21/(Assumptions!$E$41*Assumptions!$E$42))*(X24/Assumptions!$E$21)^Assumptions!$E$25</f>
        <v>56865.307355681</v>
      </c>
      <c r="Y25" s="61" t="n">
        <f aca="false">(Assumptions!$E$21/(Assumptions!$E$41*Assumptions!$E$42))*(Y24/Assumptions!$E$21)^Assumptions!$E$25</f>
        <v>58748.8635721397</v>
      </c>
      <c r="Z25" s="61" t="n">
        <f aca="false">(Assumptions!$E$21/(Assumptions!$E$41*Assumptions!$E$42))*(Z24/Assumptions!$E$21)^Assumptions!$E$25</f>
        <v>60634.7368226746</v>
      </c>
      <c r="AA25" s="61" t="n">
        <f aca="false">(Assumptions!$E$21/(Assumptions!$E$41*Assumptions!$E$42))*(AA24/Assumptions!$E$21)^Assumptions!$E$25</f>
        <v>62531.0449231402</v>
      </c>
      <c r="AB25" s="61" t="n">
        <f aca="false">(Assumptions!$E$21/(Assumptions!$E$41*Assumptions!$E$42))*(AB24/Assumptions!$E$21)^Assumptions!$E$25</f>
        <v>64445.5439980171</v>
      </c>
      <c r="AC25" s="61" t="n">
        <f aca="false">(Assumptions!$E$21/(Assumptions!$E$41*Assumptions!$E$42))*(AC24/Assumptions!$E$21)^Assumptions!$E$25</f>
        <v>66331.6254437842</v>
      </c>
      <c r="AD25" s="61" t="n">
        <f aca="false">(Assumptions!$E$21/(Assumptions!$E$41*Assumptions!$E$42))*(AD24/Assumptions!$E$21)^Assumptions!$E$25</f>
        <v>68181.8926837805</v>
      </c>
      <c r="AE25" s="61" t="n">
        <f aca="false">(Assumptions!$E$21/(Assumptions!$E$41*Assumptions!$E$42))*(AE24/Assumptions!$E$21)^Assumptions!$E$25</f>
        <v>70019.3307452149</v>
      </c>
      <c r="AF25" s="61" t="n">
        <f aca="false">(Assumptions!$E$21/(Assumptions!$E$41*Assumptions!$E$42))*(AF24/Assumptions!$E$21)^Assumptions!$E$25</f>
        <v>71852.5556131901</v>
      </c>
      <c r="AG25" s="61" t="n">
        <f aca="false">(Assumptions!$E$21/(Assumptions!$E$41*Assumptions!$E$42))*(AG24/Assumptions!$E$21)^Assumptions!$E$25</f>
        <v>73690.1630763115</v>
      </c>
      <c r="AH25" s="61" t="n">
        <f aca="false">(Assumptions!$E$21/(Assumptions!$E$41*Assumptions!$E$42))*(AH24/Assumptions!$E$21)^Assumptions!$E$25</f>
        <v>75540.6493805372</v>
      </c>
      <c r="AI25" s="61" t="n">
        <f aca="false">(Assumptions!$E$21/(Assumptions!$E$41*Assumptions!$E$42))*(AI24/Assumptions!$E$21)^Assumptions!$E$25</f>
        <v>77412.5201286185</v>
      </c>
      <c r="AJ25" s="61" t="n">
        <f aca="false">(Assumptions!$E$21/(Assumptions!$E$41*Assumptions!$E$42))*(AJ24/Assumptions!$E$21)^Assumptions!$E$25</f>
        <v>79314.3645034368</v>
      </c>
      <c r="AK25" s="61" t="n">
        <f aca="false">(Assumptions!$E$21/(Assumptions!$E$41*Assumptions!$E$42))*(AK24/Assumptions!$E$21)^Assumptions!$E$25</f>
        <v>81254.9223611375</v>
      </c>
      <c r="AL25" s="61" t="n">
        <f aca="false">(Assumptions!$E$21/(Assumptions!$E$41*Assumptions!$E$42))*(AL24/Assumptions!$E$21)^Assumptions!$E$25</f>
        <v>83243.1453627151</v>
      </c>
      <c r="AM25" s="61" t="n">
        <f aca="false">SUM(C25:AL25)</f>
        <v>1655842.02364979</v>
      </c>
    </row>
    <row r="26" customFormat="false" ht="15" hidden="false" customHeight="false" outlineLevel="0" collapsed="false">
      <c r="A26" s="37" t="s">
        <v>747</v>
      </c>
      <c r="B26" s="9" t="s">
        <v>97</v>
      </c>
      <c r="C26" s="53" t="n">
        <f aca="false">C18+C22+C24</f>
        <v>8000</v>
      </c>
      <c r="D26" s="53" t="n">
        <f aca="false">D18+D22+D24</f>
        <v>30000</v>
      </c>
      <c r="E26" s="53" t="n">
        <f aca="false">E18+E22+E24</f>
        <v>30000</v>
      </c>
      <c r="F26" s="53" t="n">
        <f aca="false">F18+F22+F24</f>
        <v>48700.8288</v>
      </c>
      <c r="G26" s="53" t="n">
        <f aca="false">G18+G22+G24</f>
        <v>61241.1591423358</v>
      </c>
      <c r="H26" s="53" t="n">
        <f aca="false">H18+H22+H24</f>
        <v>71944.4756032645</v>
      </c>
      <c r="I26" s="53" t="n">
        <f aca="false">I18+I22+I24</f>
        <v>81618.5664909491</v>
      </c>
      <c r="J26" s="53" t="n">
        <f aca="false">J18+J22+J24</f>
        <v>94090.3257602016</v>
      </c>
      <c r="K26" s="53" t="n">
        <f aca="false">K18+K22+K24</f>
        <v>104625.368179397</v>
      </c>
      <c r="L26" s="53" t="n">
        <f aca="false">L18+L22+L24</f>
        <v>114486.850818515</v>
      </c>
      <c r="M26" s="53" t="n">
        <f aca="false">M18+M22+M24</f>
        <v>123832.80624994</v>
      </c>
      <c r="N26" s="53" t="n">
        <f aca="false">N18+N22+N24</f>
        <v>132774.676262044</v>
      </c>
      <c r="O26" s="53" t="n">
        <f aca="false">O18+O22+O24</f>
        <v>141397.128392007</v>
      </c>
      <c r="P26" s="53" t="n">
        <f aca="false">P18+P22+P24</f>
        <v>149770.769133952</v>
      </c>
      <c r="Q26" s="53" t="n">
        <f aca="false">Q18+Q22+Q24</f>
        <v>157955.764001791</v>
      </c>
      <c r="R26" s="53" t="n">
        <f aca="false">R18+R22+R24</f>
        <v>166004.157546437</v>
      </c>
      <c r="S26" s="53" t="n">
        <f aca="false">S18+S22+S24</f>
        <v>173961.648080609</v>
      </c>
      <c r="T26" s="53" t="n">
        <f aca="false">T18+T22+T24</f>
        <v>181869.033087988</v>
      </c>
      <c r="U26" s="53" t="n">
        <f aca="false">U18+U22+U24</f>
        <v>189763.410512145</v>
      </c>
      <c r="V26" s="53" t="n">
        <f aca="false">V18+V22+V24</f>
        <v>197679.188500614</v>
      </c>
      <c r="W26" s="53" t="n">
        <f aca="false">W18+W22+W24</f>
        <v>205648.942509146</v>
      </c>
      <c r="X26" s="53" t="n">
        <f aca="false">X18+X22+X24</f>
        <v>213704.150717763</v>
      </c>
      <c r="Y26" s="53" t="n">
        <f aca="false">Y18+Y22+Y24</f>
        <v>221875.833116815</v>
      </c>
      <c r="Z26" s="53" t="n">
        <f aca="false">Z18+Z22+Z24</f>
        <v>230195.115322832</v>
      </c>
      <c r="AA26" s="53" t="n">
        <f aca="false">AA18+AA22+AA24</f>
        <v>238693.734750099</v>
      </c>
      <c r="AB26" s="53" t="n">
        <f aca="false">AB18+AB22+AB24</f>
        <v>247404.503979264</v>
      </c>
      <c r="AC26" s="53" t="n">
        <f aca="false">AC18+AC22+AC24</f>
        <v>256134.694283267</v>
      </c>
      <c r="AD26" s="53" t="n">
        <f aca="false">AD18+AD22+AD24</f>
        <v>264839.86417962</v>
      </c>
      <c r="AE26" s="53" t="n">
        <f aca="false">AE18+AE22+AE24</f>
        <v>273611.571613291</v>
      </c>
      <c r="AF26" s="53" t="n">
        <f aca="false">AF18+AF22+AF24</f>
        <v>282490.944574038</v>
      </c>
      <c r="AG26" s="53" t="n">
        <f aca="false">AG18+AG22+AG24</f>
        <v>291519.238965558</v>
      </c>
      <c r="AH26" s="53" t="n">
        <f aca="false">AH18+AH22+AH24</f>
        <v>300739.041372825</v>
      </c>
      <c r="AI26" s="53" t="n">
        <f aca="false">AI18+AI22+AI24</f>
        <v>310194.887579045</v>
      </c>
      <c r="AJ26" s="53" t="n">
        <f aca="false">AJ18+AJ22+AJ24</f>
        <v>319933.622536266</v>
      </c>
      <c r="AK26" s="53" t="n">
        <f aca="false">AK18+AK22+AK24</f>
        <v>330004.743617588</v>
      </c>
      <c r="AL26" s="53" t="n">
        <f aca="false">AL18+AL22+AL24</f>
        <v>340460.751642214</v>
      </c>
      <c r="AM26" s="53" t="n">
        <f aca="false">SUM(C26:AL26)</f>
        <v>6587167.79732182</v>
      </c>
    </row>
    <row r="27" customFormat="false" ht="15" hidden="false" customHeight="false" outlineLevel="0" collapsed="false">
      <c r="A27" s="10" t="s">
        <v>748</v>
      </c>
      <c r="B27" s="9" t="s">
        <v>84</v>
      </c>
      <c r="C27" s="61" t="n">
        <f aca="false">C19+C23+C25</f>
        <v>6000.40089742459</v>
      </c>
      <c r="D27" s="61" t="n">
        <f aca="false">D19+D23+D25</f>
        <v>26652.3266206897</v>
      </c>
      <c r="E27" s="61" t="n">
        <f aca="false">E19+E23+E25</f>
        <v>22981.9993958621</v>
      </c>
      <c r="F27" s="61" t="n">
        <f aca="false">F19+F23+F25</f>
        <v>35626.2009939035</v>
      </c>
      <c r="G27" s="61" t="n">
        <f aca="false">G19+G23+G25</f>
        <v>44819.3301617272</v>
      </c>
      <c r="H27" s="61" t="n">
        <f aca="false">H19+H23+H25</f>
        <v>49599.1958338647</v>
      </c>
      <c r="I27" s="61" t="n">
        <f aca="false">I19+I23+I25</f>
        <v>52772.3959217617</v>
      </c>
      <c r="J27" s="61" t="n">
        <f aca="false">J19+J23+J25</f>
        <v>56593.9752301026</v>
      </c>
      <c r="K27" s="61" t="n">
        <f aca="false">K19+K23+K25</f>
        <v>59613.1687743701</v>
      </c>
      <c r="L27" s="61" t="n">
        <f aca="false">L19+L23+L25</f>
        <v>62333.7787494778</v>
      </c>
      <c r="M27" s="61" t="n">
        <f aca="false">M19+M23+M25</f>
        <v>64885.9206375162</v>
      </c>
      <c r="N27" s="61" t="n">
        <f aca="false">N19+N23+N25</f>
        <v>67330.4136692694</v>
      </c>
      <c r="O27" s="61" t="n">
        <f aca="false">O19+O23+O25</f>
        <v>69701.952934174</v>
      </c>
      <c r="P27" s="61" t="n">
        <f aca="false">P19+P23+P25</f>
        <v>72023.2008322236</v>
      </c>
      <c r="Q27" s="61" t="n">
        <f aca="false">Q19+Q23+Q25</f>
        <v>74310.2344542081</v>
      </c>
      <c r="R27" s="61" t="n">
        <f aca="false">R19+R23+R25</f>
        <v>76575.2839482579</v>
      </c>
      <c r="S27" s="61" t="n">
        <f aca="false">S19+S23+S25</f>
        <v>78828.2756932</v>
      </c>
      <c r="T27" s="61" t="n">
        <f aca="false">T19+T23+T25</f>
        <v>81077.7589493342</v>
      </c>
      <c r="U27" s="61" t="n">
        <f aca="false">U19+U23+U25</f>
        <v>83331.4874371121</v>
      </c>
      <c r="V27" s="61" t="n">
        <f aca="false">V19+V23+V25</f>
        <v>85596.7987544784</v>
      </c>
      <c r="W27" s="61" t="n">
        <f aca="false">W19+W23+W25</f>
        <v>87880.8717798928</v>
      </c>
      <c r="X27" s="61" t="n">
        <f aca="false">X19+X23+X25</f>
        <v>90190.9089413785</v>
      </c>
      <c r="Y27" s="61" t="n">
        <f aca="false">Y19+Y23+Y25</f>
        <v>92534.271664431</v>
      </c>
      <c r="Z27" s="61" t="n">
        <f aca="false">Z19+Z23+Z25</f>
        <v>94918.5865535047</v>
      </c>
      <c r="AA27" s="61" t="n">
        <f aca="false">AA19+AA23+AA25</f>
        <v>97351.8334423152</v>
      </c>
      <c r="AB27" s="61" t="n">
        <f aca="false">AB19+AB23+AB25</f>
        <v>99842.4225242656</v>
      </c>
      <c r="AC27" s="61" t="n">
        <f aca="false">AC19+AC23+AC25</f>
        <v>102345.098778703</v>
      </c>
      <c r="AD27" s="61" t="n">
        <f aca="false">AD19+AD23+AD25</f>
        <v>104847.002170201</v>
      </c>
      <c r="AE27" s="61" t="n">
        <f aca="false">AE19+AE23+AE25</f>
        <v>107370.612240446</v>
      </c>
      <c r="AF27" s="61" t="n">
        <f aca="false">AF19+AF23+AF25</f>
        <v>109929.360604666</v>
      </c>
      <c r="AG27" s="61" t="n">
        <f aca="false">AG19+AG23+AG25</f>
        <v>112535.848433722</v>
      </c>
      <c r="AH27" s="61" t="n">
        <f aca="false">AH19+AH23+AH25</f>
        <v>115202.880333604</v>
      </c>
      <c r="AI27" s="61" t="n">
        <f aca="false">AI19+AI23+AI25</f>
        <v>117943.70836891</v>
      </c>
      <c r="AJ27" s="61" t="n">
        <f aca="false">AJ19+AJ23+AJ25</f>
        <v>120772.141087746</v>
      </c>
      <c r="AK27" s="61" t="n">
        <f aca="false">AK19+AK23+AK25</f>
        <v>123702.634099142</v>
      </c>
      <c r="AL27" s="61" t="n">
        <f aca="false">AL19+AL23+AL25</f>
        <v>126750.378622912</v>
      </c>
      <c r="AM27" s="61" t="n">
        <f aca="false">SUM(C27:AL27)</f>
        <v>2874772.6595348</v>
      </c>
    </row>
    <row r="28" customFormat="false" ht="15" hidden="false" customHeight="false" outlineLevel="0" collapsed="false">
      <c r="A28" s="10" t="s">
        <v>749</v>
      </c>
      <c r="B28" s="9" t="s">
        <v>97</v>
      </c>
      <c r="C28" s="63" t="n">
        <f aca="false">IFERROR(C26/C27,0)</f>
        <v>1.33324425096891</v>
      </c>
      <c r="D28" s="63" t="n">
        <f aca="false">IFERROR(D26/D27,0)</f>
        <v>1.12560529618872</v>
      </c>
      <c r="E28" s="63" t="n">
        <f aca="false">IFERROR(E26/E27,0)</f>
        <v>1.30536945386055</v>
      </c>
      <c r="F28" s="63" t="n">
        <f aca="false">IFERROR(F26/F27,0)</f>
        <v>1.36699472414513</v>
      </c>
      <c r="G28" s="63" t="n">
        <f aca="false">IFERROR(G26/G27,0)</f>
        <v>1.36640058924021</v>
      </c>
      <c r="H28" s="63" t="n">
        <f aca="false">IFERROR(H26/H27,0)</f>
        <v>1.45051697701404</v>
      </c>
      <c r="I28" s="63" t="n">
        <f aca="false">IFERROR(I26/I27,0)</f>
        <v>1.54661476071607</v>
      </c>
      <c r="J28" s="63" t="n">
        <f aca="false">IFERROR(J26/J27,0)</f>
        <v>1.66255021630208</v>
      </c>
      <c r="K28" s="63" t="n">
        <f aca="false">IFERROR(K26/K27,0)</f>
        <v>1.75507141006702</v>
      </c>
      <c r="L28" s="63" t="n">
        <f aca="false">IFERROR(L26/L27,0)</f>
        <v>1.83667432193775</v>
      </c>
      <c r="M28" s="63" t="n">
        <f aca="false">IFERROR(M26/M27,0)</f>
        <v>1.90846958836771</v>
      </c>
      <c r="N28" s="63" t="n">
        <f aca="false">IFERROR(N26/N27,0)</f>
        <v>1.97198664060257</v>
      </c>
      <c r="O28" s="63" t="n">
        <f aca="false">IFERROR(O26/O27,0)</f>
        <v>2.02859636552137</v>
      </c>
      <c r="P28" s="63" t="n">
        <f aca="false">IFERROR(P26/P27,0)</f>
        <v>2.07947949276567</v>
      </c>
      <c r="Q28" s="63" t="n">
        <f aca="false">IFERROR(Q26/Q27,0)</f>
        <v>2.12562596743154</v>
      </c>
      <c r="R28" s="63" t="n">
        <f aca="false">IFERROR(R26/R27,0)</f>
        <v>2.16785559239463</v>
      </c>
      <c r="S28" s="63" t="n">
        <f aca="false">IFERROR(S26/S27,0)</f>
        <v>2.20684324946633</v>
      </c>
      <c r="T28" s="63" t="n">
        <f aca="false">IFERROR(T26/T27,0)</f>
        <v>2.24314331630255</v>
      </c>
      <c r="U28" s="63" t="n">
        <f aca="false">IFERROR(U26/U27,0)</f>
        <v>2.27721136809604</v>
      </c>
      <c r="V28" s="63" t="n">
        <f aca="false">IFERROR(V26/V27,0)</f>
        <v>2.30942268142092</v>
      </c>
      <c r="W28" s="63" t="n">
        <f aca="false">IFERROR(W26/W27,0)</f>
        <v>2.34008764756244</v>
      </c>
      <c r="X28" s="63" t="n">
        <f aca="false">IFERROR(X26/X27,0)</f>
        <v>2.36946443079607</v>
      </c>
      <c r="Y28" s="63" t="n">
        <f aca="false">IFERROR(Y26/Y27,0)</f>
        <v>2.39776927105918</v>
      </c>
      <c r="Z28" s="63" t="n">
        <f aca="false">IFERROR(Z26/Z27,0)</f>
        <v>2.4251848208156</v>
      </c>
      <c r="AA28" s="63" t="n">
        <f aca="false">IFERROR(AA26/AA27,0)</f>
        <v>2.45186686588224</v>
      </c>
      <c r="AB28" s="63" t="n">
        <f aca="false">IFERROR(AB26/AB27,0)</f>
        <v>2.47794973042781</v>
      </c>
      <c r="AC28" s="63" t="n">
        <f aca="false">IFERROR(AC26/AC27,0)</f>
        <v>2.50265716033062</v>
      </c>
      <c r="AD28" s="63" t="n">
        <f aca="false">IFERROR(AD26/AD27,0)</f>
        <v>2.52596506049547</v>
      </c>
      <c r="AE28" s="63" t="n">
        <f aca="false">IFERROR(AE26/AE27,0)</f>
        <v>2.54829106311291</v>
      </c>
      <c r="AF28" s="63" t="n">
        <f aca="false">IFERROR(AF26/AF27,0)</f>
        <v>2.56974972855476</v>
      </c>
      <c r="AG28" s="63" t="n">
        <f aca="false">IFERROR(AG26/AG27,0)</f>
        <v>2.59045666801232</v>
      </c>
      <c r="AH28" s="63" t="n">
        <f aca="false">IFERROR(AH26/AH27,0)</f>
        <v>2.61051668588447</v>
      </c>
      <c r="AI28" s="63" t="n">
        <f aca="false">IFERROR(AI26/AI27,0)</f>
        <v>2.63002488109669</v>
      </c>
      <c r="AJ28" s="63" t="n">
        <f aca="false">IFERROR(AJ26/AJ27,0)</f>
        <v>2.6490680686353</v>
      </c>
      <c r="AK28" s="63" t="n">
        <f aca="false">IFERROR(AK26/AK27,0)</f>
        <v>2.66772608377202</v>
      </c>
      <c r="AL28" s="63" t="n">
        <f aca="false">IFERROR(AL26/AL27,0)</f>
        <v>2.68607285706893</v>
      </c>
      <c r="AM28" s="63" t="n">
        <f aca="false">AVERAGE(N28:AL28)</f>
        <v>2.39412062790034</v>
      </c>
    </row>
    <row r="29" customFormat="false" ht="15" hidden="false" customHeight="false" outlineLevel="0" collapsed="false">
      <c r="A29" s="37" t="s">
        <v>750</v>
      </c>
      <c r="B29" s="9" t="s">
        <v>84</v>
      </c>
      <c r="C29" s="71" t="n">
        <f aca="false">C13+C15+C27</f>
        <v>8200.40089742459</v>
      </c>
      <c r="D29" s="71" t="n">
        <f aca="false">D13+D15+D27</f>
        <v>205506.32662069</v>
      </c>
      <c r="E29" s="71" t="n">
        <f aca="false">E13+E15+E27</f>
        <v>92802.5393958621</v>
      </c>
      <c r="F29" s="71" t="n">
        <f aca="false">F13+F15+F27</f>
        <v>98071.3607939035</v>
      </c>
      <c r="G29" s="71" t="n">
        <f aca="false">G13+G15+G27</f>
        <v>101432.406503727</v>
      </c>
      <c r="H29" s="71" t="n">
        <f aca="false">H13+H15+H27</f>
        <v>101620.965974645</v>
      </c>
      <c r="I29" s="71" t="n">
        <f aca="false">I13+I15+I27</f>
        <v>101202.174117612</v>
      </c>
      <c r="J29" s="71" t="n">
        <f aca="false">J13+J15+J27</f>
        <v>102238.507657499</v>
      </c>
      <c r="K29" s="71" t="n">
        <f aca="false">K13+K15+K27</f>
        <v>103125.803675369</v>
      </c>
      <c r="L29" s="71" t="n">
        <f aca="false">L13+L15+L27</f>
        <v>104245.861635675</v>
      </c>
      <c r="M29" s="71" t="n">
        <f aca="false">M13+M15+M27</f>
        <v>105631.974858758</v>
      </c>
      <c r="N29" s="71" t="n">
        <f aca="false">N13+N15+N27</f>
        <v>107268.355070653</v>
      </c>
      <c r="O29" s="71" t="n">
        <f aca="false">O13+O15+O27</f>
        <v>109129.338101866</v>
      </c>
      <c r="P29" s="71" t="n">
        <f aca="false">P13+P15+P27</f>
        <v>111190.309097154</v>
      </c>
      <c r="Q29" s="71" t="n">
        <f aca="false">Q13+Q15+Q27</f>
        <v>113430.6244087</v>
      </c>
      <c r="R29" s="71" t="n">
        <f aca="false">R13+R15+R27</f>
        <v>115834.337755228</v>
      </c>
      <c r="S29" s="71" t="n">
        <f aca="false">S13+S15+S27</f>
        <v>118390.142548057</v>
      </c>
      <c r="T29" s="71" t="n">
        <f aca="false">T13+T15+T27</f>
        <v>121091.027585336</v>
      </c>
      <c r="U29" s="71" t="n">
        <f aca="false">U13+U15+U27</f>
        <v>123933.85246172</v>
      </c>
      <c r="V29" s="71" t="n">
        <f aca="false">V13+V15+V27</f>
        <v>126918.933600393</v>
      </c>
      <c r="W29" s="71" t="n">
        <f aca="false">W13+W15+W27</f>
        <v>130049.679537214</v>
      </c>
      <c r="X29" s="71" t="n">
        <f aca="false">X13+X15+X27</f>
        <v>133332.289217078</v>
      </c>
      <c r="Y29" s="71" t="n">
        <f aca="false">Y13+Y15+Y27</f>
        <v>136775.515221119</v>
      </c>
      <c r="Z29" s="71" t="n">
        <f aca="false">Z13+Z15+Z27</f>
        <v>140390.488475235</v>
      </c>
      <c r="AA29" s="71" t="n">
        <f aca="false">AA13+AA15+AA27</f>
        <v>144190.598892954</v>
      </c>
      <c r="AB29" s="71" t="n">
        <f aca="false">AB13+AB15+AB27</f>
        <v>148191.425950223</v>
      </c>
      <c r="AC29" s="71" t="n">
        <f aca="false">AC13+AC15+AC27</f>
        <v>152356.546980807</v>
      </c>
      <c r="AD29" s="71" t="n">
        <f aca="false">AD13+AD15+AD27</f>
        <v>156683.543484741</v>
      </c>
      <c r="AE29" s="71" t="n">
        <f aca="false">AE13+AE15+AE27</f>
        <v>161206.927692693</v>
      </c>
      <c r="AF29" s="71" t="n">
        <f aca="false">AF13+AF15+AF27</f>
        <v>165953.767983134</v>
      </c>
      <c r="AG29" s="71" t="n">
        <f aca="false">AG13+AG15+AG27</f>
        <v>170951.946504666</v>
      </c>
      <c r="AH29" s="71" t="n">
        <f aca="false">AH13+AH15+AH27</f>
        <v>176231.257653666</v>
      </c>
      <c r="AI29" s="71" t="n">
        <f aca="false">AI13+AI15+AI27</f>
        <v>181823.739185962</v>
      </c>
      <c r="AJ29" s="71" t="n">
        <f aca="false">AJ13+AJ15+AJ27</f>
        <v>187763.889508882</v>
      </c>
      <c r="AK29" s="71" t="n">
        <f aca="false">AK13+AK15+AK27</f>
        <v>194088.886942618</v>
      </c>
      <c r="AL29" s="71" t="n">
        <f aca="false">AL13+AL15+AL27</f>
        <v>200838.827073852</v>
      </c>
      <c r="AM29" s="71" t="n">
        <f aca="false">SUM(C29:AL29)</f>
        <v>4752094.57306512</v>
      </c>
    </row>
    <row r="30" customFormat="false" ht="15" hidden="false" customHeight="false" outlineLevel="0" collapsed="false">
      <c r="A30" s="10" t="s">
        <v>751</v>
      </c>
      <c r="B30" s="9" t="s">
        <v>51</v>
      </c>
      <c r="C30" s="61" t="n">
        <f aca="false">C8*Assumptions!$E$47*Assumptions!$E$48^C10</f>
        <v>0</v>
      </c>
      <c r="D30" s="61" t="n">
        <f aca="false">D8*Assumptions!$E$47*Assumptions!$E$48^D10</f>
        <v>1500</v>
      </c>
      <c r="E30" s="61" t="n">
        <f aca="false">E8*Assumptions!$E$47*Assumptions!$E$48^E10</f>
        <v>2025</v>
      </c>
      <c r="F30" s="61" t="n">
        <f aca="false">F8*Assumptions!$E$47*Assumptions!$E$48^F10</f>
        <v>2733.75</v>
      </c>
      <c r="G30" s="61" t="n">
        <f aca="false">G8*Assumptions!$E$47*Assumptions!$E$48^G10</f>
        <v>3690.5625</v>
      </c>
      <c r="H30" s="61" t="n">
        <f aca="false">H8*Assumptions!$E$47*Assumptions!$E$48^H10</f>
        <v>4982.259375</v>
      </c>
      <c r="I30" s="61" t="n">
        <f aca="false">I8*Assumptions!$E$47*Assumptions!$E$48^I10</f>
        <v>6726.05015625</v>
      </c>
      <c r="J30" s="61" t="n">
        <f aca="false">J8*Assumptions!$E$47*Assumptions!$E$48^J10</f>
        <v>9080.1677109375</v>
      </c>
      <c r="K30" s="61" t="n">
        <f aca="false">K8*Assumptions!$E$47*Assumptions!$E$48^K10</f>
        <v>12258.2264097656</v>
      </c>
      <c r="L30" s="61" t="n">
        <f aca="false">L8*Assumptions!$E$47*Assumptions!$E$48^L10</f>
        <v>16548.6056531836</v>
      </c>
      <c r="M30" s="61" t="n">
        <f aca="false">M8*Assumptions!$E$47*Assumptions!$E$48^M10</f>
        <v>22340.6176317979</v>
      </c>
      <c r="N30" s="61" t="n">
        <f aca="false">N8*Assumptions!$E$47*Assumptions!$E$48^N10</f>
        <v>30159.8338029271</v>
      </c>
      <c r="O30" s="61" t="n">
        <f aca="false">O8*Assumptions!$E$47*Assumptions!$E$48^O10</f>
        <v>40715.7756339516</v>
      </c>
      <c r="P30" s="61" t="n">
        <f aca="false">P8*Assumptions!$E$47*Assumptions!$E$48^P10</f>
        <v>54966.2971058347</v>
      </c>
      <c r="Q30" s="61" t="n">
        <f aca="false">Q8*Assumptions!$E$47*Assumptions!$E$48^Q10</f>
        <v>74204.5010928768</v>
      </c>
      <c r="R30" s="61" t="n">
        <f aca="false">R8*Assumptions!$E$47*Assumptions!$E$48^R10</f>
        <v>100176.076475384</v>
      </c>
      <c r="S30" s="61" t="n">
        <f aca="false">S8*Assumptions!$E$47*Assumptions!$E$48^S10</f>
        <v>135237.703241768</v>
      </c>
      <c r="T30" s="61" t="n">
        <f aca="false">T8*Assumptions!$E$47*Assumptions!$E$48^T10</f>
        <v>182570.899376387</v>
      </c>
      <c r="U30" s="61" t="n">
        <f aca="false">U8*Assumptions!$E$47*Assumptions!$E$48^U10</f>
        <v>246470.714158122</v>
      </c>
      <c r="V30" s="61" t="n">
        <f aca="false">V8*Assumptions!$E$47*Assumptions!$E$48^V10</f>
        <v>332735.464113465</v>
      </c>
      <c r="W30" s="61" t="n">
        <f aca="false">W8*Assumptions!$E$47*Assumptions!$E$48^W10</f>
        <v>449192.876553178</v>
      </c>
      <c r="X30" s="61" t="n">
        <f aca="false">X8*Assumptions!$E$47*Assumptions!$E$48^X10</f>
        <v>606410.38334679</v>
      </c>
      <c r="Y30" s="61" t="n">
        <f aca="false">Y8*Assumptions!$E$47*Assumptions!$E$48^Y10</f>
        <v>818654.017518167</v>
      </c>
      <c r="Z30" s="61" t="n">
        <f aca="false">Z8*Assumptions!$E$47*Assumptions!$E$48^Z10</f>
        <v>1105182.92364953</v>
      </c>
      <c r="AA30" s="61" t="n">
        <f aca="false">AA8*Assumptions!$E$47*Assumptions!$E$48^AA10</f>
        <v>1491996.94692686</v>
      </c>
      <c r="AB30" s="61" t="n">
        <f aca="false">AB8*Assumptions!$E$47*Assumptions!$E$48^AB10</f>
        <v>2014195.87835126</v>
      </c>
      <c r="AC30" s="61" t="n">
        <f aca="false">AC8*Assumptions!$E$47*Assumptions!$E$48^AC10</f>
        <v>2719164.4357742</v>
      </c>
      <c r="AD30" s="61" t="n">
        <f aca="false">AD8*Assumptions!$E$47*Assumptions!$E$48^AD10</f>
        <v>3670871.98829517</v>
      </c>
      <c r="AE30" s="61" t="n">
        <f aca="false">AE8*Assumptions!$E$47*Assumptions!$E$48^AE10</f>
        <v>4955677.18419848</v>
      </c>
      <c r="AF30" s="61" t="n">
        <f aca="false">AF8*Assumptions!$E$47*Assumptions!$E$48^AF10</f>
        <v>6690164.19866795</v>
      </c>
      <c r="AG30" s="61" t="n">
        <f aca="false">AG8*Assumptions!$E$47*Assumptions!$E$48^AG10</f>
        <v>9031721.66820174</v>
      </c>
      <c r="AH30" s="61" t="n">
        <f aca="false">AH8*Assumptions!$E$47*Assumptions!$E$48^AH10</f>
        <v>12192824.2520723</v>
      </c>
      <c r="AI30" s="61" t="n">
        <f aca="false">AI8*Assumptions!$E$47*Assumptions!$E$48^AI10</f>
        <v>16460312.7402977</v>
      </c>
      <c r="AJ30" s="61" t="n">
        <f aca="false">AJ8*Assumptions!$E$47*Assumptions!$E$48^AJ10</f>
        <v>22221422.1994018</v>
      </c>
      <c r="AK30" s="61" t="n">
        <f aca="false">AK8*Assumptions!$E$47*Assumptions!$E$48^AK10</f>
        <v>29998919.9691925</v>
      </c>
      <c r="AL30" s="61" t="n">
        <f aca="false">AL8*Assumptions!$E$47*Assumptions!$E$48^AL10</f>
        <v>40498541.9584099</v>
      </c>
      <c r="AM30" s="61" t="n">
        <f aca="false">AL30</f>
        <v>40498541.9584099</v>
      </c>
    </row>
    <row r="31" customFormat="false" ht="15" hidden="false" customHeight="false" outlineLevel="0" collapsed="false">
      <c r="A31" s="10" t="s">
        <v>752</v>
      </c>
      <c r="B31" s="9" t="s">
        <v>51</v>
      </c>
      <c r="C31" s="61" t="n">
        <f aca="false">Assumptions!$E$49*C8*(C15+C13*Assumptions!$E$44+C19*Assumptions!$E$31*Assumptions!$E$32+C23*Assumptions!$E$38*Assumptions!$E$39+C25*Assumptions!$E$43)</f>
        <v>0</v>
      </c>
      <c r="D31" s="61" t="n">
        <f aca="false">Assumptions!$E$49*D8*(D15+D13*Assumptions!$E$44+D19*Assumptions!$E$31*Assumptions!$E$32+D23*Assumptions!$E$38*Assumptions!$E$39+D25*Assumptions!$E$43)</f>
        <v>5020.02364998621</v>
      </c>
      <c r="E31" s="61" t="n">
        <f aca="false">Assumptions!$E$49*E8*(E15+E13*Assumptions!$E$44+E19*Assumptions!$E$31*Assumptions!$E$32+E23*Assumptions!$E$38*Assumptions!$E$39+E25*Assumptions!$E$43)</f>
        <v>2053.83551549876</v>
      </c>
      <c r="F31" s="61" t="n">
        <f aca="false">Assumptions!$E$49*F8*(F15+F13*Assumptions!$E$44+F19*Assumptions!$E$31*Assumptions!$E$32+F23*Assumptions!$E$38*Assumptions!$E$39+F25*Assumptions!$E$43)</f>
        <v>1966.71767150937</v>
      </c>
      <c r="G31" s="61" t="n">
        <f aca="false">Assumptions!$E$49*G8*(G15+G13*Assumptions!$E$44+G19*Assumptions!$E$31*Assumptions!$E$32+G23*Assumptions!$E$38*Assumptions!$E$39+G25*Assumptions!$E$43)</f>
        <v>1917.44373752806</v>
      </c>
      <c r="H31" s="61" t="n">
        <f aca="false">Assumptions!$E$49*H8*(H15+H13*Assumptions!$E$44+H19*Assumptions!$E$31*Assumptions!$E$32+H23*Assumptions!$E$38*Assumptions!$E$39+H25*Assumptions!$E$43)</f>
        <v>1874.20409421861</v>
      </c>
      <c r="I31" s="61" t="n">
        <f aca="false">Assumptions!$E$49*I8*(I15+I13*Assumptions!$E$44+I19*Assumptions!$E$31*Assumptions!$E$32+I23*Assumptions!$E$38*Assumptions!$E$39+I25*Assumptions!$E$43)</f>
        <v>1833.14695422119</v>
      </c>
      <c r="J31" s="61" t="n">
        <f aca="false">Assumptions!$E$49*J8*(J15+J13*Assumptions!$E$44+J19*Assumptions!$E$31*Assumptions!$E$32+J23*Assumptions!$E$38*Assumptions!$E$39+J25*Assumptions!$E$43)</f>
        <v>1821.35961707012</v>
      </c>
      <c r="K31" s="61" t="n">
        <f aca="false">Assumptions!$E$49*K8*(K15+K13*Assumptions!$E$44+K19*Assumptions!$E$31*Assumptions!$E$32+K23*Assumptions!$E$38*Assumptions!$E$39+K25*Assumptions!$E$43)</f>
        <v>1811.69133679772</v>
      </c>
      <c r="L31" s="61" t="n">
        <f aca="false">Assumptions!$E$49*L8*(L15+L13*Assumptions!$E$44+L19*Assumptions!$E$31*Assumptions!$E$32+L23*Assumptions!$E$38*Assumptions!$E$39+L25*Assumptions!$E$43)</f>
        <v>1810.08327779763</v>
      </c>
      <c r="M31" s="61" t="n">
        <f aca="false">Assumptions!$E$49*M8*(M15+M13*Assumptions!$E$44+M19*Assumptions!$E$31*Assumptions!$E$32+M23*Assumptions!$E$38*Assumptions!$E$39+M25*Assumptions!$E$43)</f>
        <v>1815.8326039203</v>
      </c>
      <c r="N31" s="61" t="n">
        <f aca="false">Assumptions!$E$49*N8*(N15+N13*Assumptions!$E$44+N19*Assumptions!$E$31*Assumptions!$E$32+N23*Assumptions!$E$38*Assumptions!$E$39+N25*Assumptions!$E$43)</f>
        <v>1827.96539537535</v>
      </c>
      <c r="O31" s="61" t="n">
        <f aca="false">Assumptions!$E$49*O8*(O15+O13*Assumptions!$E$44+O19*Assumptions!$E$31*Assumptions!$E$32+O23*Assumptions!$E$38*Assumptions!$E$39+O25*Assumptions!$E$43)</f>
        <v>1845.54219993697</v>
      </c>
      <c r="P31" s="61" t="n">
        <f aca="false">Assumptions!$E$49*P8*(P15+P13*Assumptions!$E$44+P19*Assumptions!$E$31*Assumptions!$E$32+P23*Assumptions!$E$38*Assumptions!$E$39+P25*Assumptions!$E$43)</f>
        <v>1867.76116056762</v>
      </c>
      <c r="Q31" s="61" t="n">
        <f aca="false">Assumptions!$E$49*Q8*(Q15+Q13*Assumptions!$E$44+Q19*Assumptions!$E$31*Assumptions!$E$32+Q23*Assumptions!$E$38*Assumptions!$E$39+Q25*Assumptions!$E$43)</f>
        <v>1893.97010738269</v>
      </c>
      <c r="R31" s="61" t="n">
        <f aca="false">Assumptions!$E$49*R8*(R15+R13*Assumptions!$E$44+R19*Assumptions!$E$31*Assumptions!$E$32+R23*Assumptions!$E$38*Assumptions!$E$39+R25*Assumptions!$E$43)</f>
        <v>1923.65686262696</v>
      </c>
      <c r="S31" s="61" t="n">
        <f aca="false">Assumptions!$E$49*S8*(S15+S13*Assumptions!$E$44+S19*Assumptions!$E$31*Assumptions!$E$32+S23*Assumptions!$E$38*Assumptions!$E$39+S25*Assumptions!$E$43)</f>
        <v>1956.43323681388</v>
      </c>
      <c r="T31" s="61" t="n">
        <f aca="false">Assumptions!$E$49*T8*(T15+T13*Assumptions!$E$44+T19*Assumptions!$E$31*Assumptions!$E$32+T23*Assumptions!$E$38*Assumptions!$E$39+T25*Assumptions!$E$43)</f>
        <v>1992.01828195561</v>
      </c>
      <c r="U31" s="61" t="n">
        <f aca="false">Assumptions!$E$49*U8*(U15+U13*Assumptions!$E$44+U19*Assumptions!$E$31*Assumptions!$E$32+U23*Assumptions!$E$38*Assumptions!$E$39+U25*Assumptions!$E$43)</f>
        <v>2030.22290509755</v>
      </c>
      <c r="V31" s="61" t="n">
        <f aca="false">Assumptions!$E$49*V8*(V15+V13*Assumptions!$E$44+V19*Assumptions!$E$31*Assumptions!$E$32+V23*Assumptions!$E$38*Assumptions!$E$39+V25*Assumptions!$E$43)</f>
        <v>2070.93657009787</v>
      </c>
      <c r="W31" s="61" t="n">
        <f aca="false">Assumptions!$E$49*W8*(W15+W13*Assumptions!$E$44+W19*Assumptions!$E$31*Assumptions!$E$32+W23*Assumptions!$E$38*Assumptions!$E$39+W25*Assumptions!$E$43)</f>
        <v>2114.11621977598</v>
      </c>
      <c r="X31" s="61" t="n">
        <f aca="false">Assumptions!$E$49*X8*(X15+X13*Assumptions!$E$44+X19*Assumptions!$E$31*Assumptions!$E$32+X23*Assumptions!$E$38*Assumptions!$E$39+X25*Assumptions!$E$43)</f>
        <v>2159.77729512181</v>
      </c>
      <c r="Y31" s="61" t="n">
        <f aca="false">Assumptions!$E$49*Y8*(Y15+Y13*Assumptions!$E$44+Y19*Assumptions!$E$31*Assumptions!$E$32+Y23*Assumptions!$E$38*Assumptions!$E$39+Y25*Assumptions!$E$43)</f>
        <v>2207.98663074114</v>
      </c>
      <c r="Z31" s="61" t="n">
        <f aca="false">Assumptions!$E$49*Z8*(Z15+Z13*Assumptions!$E$44+Z19*Assumptions!$E$31*Assumptions!$E$32+Z23*Assumptions!$E$38*Assumptions!$E$39+Z25*Assumptions!$E$43)</f>
        <v>2258.85698263295</v>
      </c>
      <c r="AA31" s="61" t="n">
        <f aca="false">Assumptions!$E$49*AA8*(AA15+AA13*Assumptions!$E$44+AA19*Assumptions!$E$31*Assumptions!$E$32+AA23*Assumptions!$E$38*Assumptions!$E$39+AA25*Assumptions!$E$43)</f>
        <v>2312.54295550132</v>
      </c>
      <c r="AB31" s="61" t="n">
        <f aca="false">Assumptions!$E$49*AB8*(AB15+AB13*Assumptions!$E$44+AB19*Assumptions!$E$31*Assumptions!$E$32+AB23*Assumptions!$E$38*Assumptions!$E$39+AB25*Assumptions!$E$43)</f>
        <v>2369.238122218</v>
      </c>
      <c r="AC31" s="61" t="n">
        <f aca="false">Assumptions!$E$49*AC8*(AC15+AC13*Assumptions!$E$44+AC19*Assumptions!$E$31*Assumptions!$E$32+AC23*Assumptions!$E$38*Assumptions!$E$39+AC25*Assumptions!$E$43)</f>
        <v>2428.3606597078</v>
      </c>
      <c r="AD31" s="61" t="n">
        <f aca="false">Assumptions!$E$49*AD8*(AD15+AD13*Assumptions!$E$44+AD19*Assumptions!$E$31*Assumptions!$E$32+AD23*Assumptions!$E$38*Assumptions!$E$39+AD25*Assumptions!$E$43)</f>
        <v>2489.88691974193</v>
      </c>
      <c r="AE31" s="61" t="n">
        <f aca="false">Assumptions!$E$49*AE8*(AE15+AE13*Assumptions!$E$44+AE19*Assumptions!$E$31*Assumptions!$E$32+AE23*Assumptions!$E$38*Assumptions!$E$39+AE25*Assumptions!$E$43)</f>
        <v>2554.32339169432</v>
      </c>
      <c r="AF31" s="61" t="n">
        <f aca="false">Assumptions!$E$49*AF8*(AF15+AF13*Assumptions!$E$44+AF19*Assumptions!$E$31*Assumptions!$E$32+AF23*Assumptions!$E$38*Assumptions!$E$39+AF25*Assumptions!$E$43)</f>
        <v>2622.03789052498</v>
      </c>
      <c r="AG31" s="61" t="n">
        <f aca="false">Assumptions!$E$49*AG8*(AG15+AG13*Assumptions!$E$44+AG19*Assumptions!$E$31*Assumptions!$E$32+AG23*Assumptions!$E$38*Assumptions!$E$39+AG25*Assumptions!$E$43)</f>
        <v>2693.41941310317</v>
      </c>
      <c r="AH31" s="61" t="n">
        <f aca="false">Assumptions!$E$49*AH8*(AH15+AH13*Assumptions!$E$44+AH19*Assumptions!$E$31*Assumptions!$E$32+AH23*Assumptions!$E$38*Assumptions!$E$39+AH25*Assumptions!$E$43)</f>
        <v>2768.88731578752</v>
      </c>
      <c r="AI31" s="61" t="n">
        <f aca="false">Assumptions!$E$49*AI8*(AI15+AI13*Assumptions!$E$44+AI19*Assumptions!$E$31*Assumptions!$E$32+AI23*Assumptions!$E$38*Assumptions!$E$39+AI25*Assumptions!$E$43)</f>
        <v>2848.89499240156</v>
      </c>
      <c r="AJ31" s="61" t="n">
        <f aca="false">Assumptions!$E$49*AJ8*(AJ15+AJ13*Assumptions!$E$44+AJ19*Assumptions!$E$31*Assumptions!$E$32+AJ23*Assumptions!$E$38*Assumptions!$E$39+AJ25*Assumptions!$E$43)</f>
        <v>2933.93256230998</v>
      </c>
      <c r="AK31" s="61" t="n">
        <f aca="false">Assumptions!$E$49*AK8*(AK15+AK13*Assumptions!$E$44+AK19*Assumptions!$E$31*Assumptions!$E$32+AK23*Assumptions!$E$38*Assumptions!$E$39+AK25*Assumptions!$E$43)</f>
        <v>3024.5297500954</v>
      </c>
      <c r="AL31" s="61" t="n">
        <f aca="false">Assumptions!$E$49*AL8*(AL15+AL13*Assumptions!$E$44+AL19*Assumptions!$E$31*Assumptions!$E$32+AL23*Assumptions!$E$38*Assumptions!$E$39+AL25*Assumptions!$E$43)</f>
        <v>3121.25909028941</v>
      </c>
      <c r="AM31" s="61" t="n">
        <f aca="false">SUM(C31:AL31)</f>
        <v>80240.8953700497</v>
      </c>
    </row>
    <row r="32" customFormat="false" ht="15" hidden="false" customHeight="false" outlineLevel="0" collapsed="false">
      <c r="A32" s="37" t="s">
        <v>753</v>
      </c>
      <c r="B32" s="9" t="s">
        <v>51</v>
      </c>
      <c r="C32" s="71" t="n">
        <f aca="false">MIN(C31,C30)</f>
        <v>0</v>
      </c>
      <c r="D32" s="71" t="n">
        <f aca="false">MIN(D31,D30)</f>
        <v>1500</v>
      </c>
      <c r="E32" s="71" t="n">
        <f aca="false">MIN(E31,E30)</f>
        <v>2025</v>
      </c>
      <c r="F32" s="71" t="n">
        <f aca="false">MIN(F31,F30)</f>
        <v>1966.71767150937</v>
      </c>
      <c r="G32" s="71" t="n">
        <f aca="false">MIN(G31,G30)</f>
        <v>1917.44373752806</v>
      </c>
      <c r="H32" s="71" t="n">
        <f aca="false">MIN(H31,H30)</f>
        <v>1874.20409421861</v>
      </c>
      <c r="I32" s="71" t="n">
        <f aca="false">MIN(I31,I30)</f>
        <v>1833.14695422119</v>
      </c>
      <c r="J32" s="71" t="n">
        <f aca="false">MIN(J31,J30)</f>
        <v>1821.35961707012</v>
      </c>
      <c r="K32" s="71" t="n">
        <f aca="false">MIN(K31,K30)</f>
        <v>1811.69133679772</v>
      </c>
      <c r="L32" s="71" t="n">
        <f aca="false">MIN(L31,L30)</f>
        <v>1810.08327779763</v>
      </c>
      <c r="M32" s="71" t="n">
        <f aca="false">MIN(M31,M30)</f>
        <v>1815.8326039203</v>
      </c>
      <c r="N32" s="71" t="n">
        <f aca="false">MIN(N31,N30)</f>
        <v>1827.96539537535</v>
      </c>
      <c r="O32" s="71" t="n">
        <f aca="false">MIN(O31,O30)</f>
        <v>1845.54219993697</v>
      </c>
      <c r="P32" s="71" t="n">
        <f aca="false">MIN(P31,P30)</f>
        <v>1867.76116056762</v>
      </c>
      <c r="Q32" s="71" t="n">
        <f aca="false">MIN(Q31,Q30)</f>
        <v>1893.97010738269</v>
      </c>
      <c r="R32" s="71" t="n">
        <f aca="false">MIN(R31,R30)</f>
        <v>1923.65686262696</v>
      </c>
      <c r="S32" s="71" t="n">
        <f aca="false">MIN(S31,S30)</f>
        <v>1956.43323681388</v>
      </c>
      <c r="T32" s="71" t="n">
        <f aca="false">MIN(T31,T30)</f>
        <v>1992.01828195561</v>
      </c>
      <c r="U32" s="71" t="n">
        <f aca="false">MIN(U31,U30)</f>
        <v>2030.22290509755</v>
      </c>
      <c r="V32" s="71" t="n">
        <f aca="false">MIN(V31,V30)</f>
        <v>2070.93657009787</v>
      </c>
      <c r="W32" s="71" t="n">
        <f aca="false">MIN(W31,W30)</f>
        <v>2114.11621977598</v>
      </c>
      <c r="X32" s="71" t="n">
        <f aca="false">MIN(X31,X30)</f>
        <v>2159.77729512181</v>
      </c>
      <c r="Y32" s="71" t="n">
        <f aca="false">MIN(Y31,Y30)</f>
        <v>2207.98663074114</v>
      </c>
      <c r="Z32" s="71" t="n">
        <f aca="false">MIN(Z31,Z30)</f>
        <v>2258.85698263295</v>
      </c>
      <c r="AA32" s="71" t="n">
        <f aca="false">MIN(AA31,AA30)</f>
        <v>2312.54295550132</v>
      </c>
      <c r="AB32" s="71" t="n">
        <f aca="false">MIN(AB31,AB30)</f>
        <v>2369.238122218</v>
      </c>
      <c r="AC32" s="71" t="n">
        <f aca="false">MIN(AC31,AC30)</f>
        <v>2428.3606597078</v>
      </c>
      <c r="AD32" s="71" t="n">
        <f aca="false">MIN(AD31,AD30)</f>
        <v>2489.88691974193</v>
      </c>
      <c r="AE32" s="71" t="n">
        <f aca="false">MIN(AE31,AE30)</f>
        <v>2554.32339169432</v>
      </c>
      <c r="AF32" s="71" t="n">
        <f aca="false">MIN(AF31,AF30)</f>
        <v>2622.03789052498</v>
      </c>
      <c r="AG32" s="71" t="n">
        <f aca="false">MIN(AG31,AG30)</f>
        <v>2693.41941310317</v>
      </c>
      <c r="AH32" s="71" t="n">
        <f aca="false">MIN(AH31,AH30)</f>
        <v>2768.88731578752</v>
      </c>
      <c r="AI32" s="71" t="n">
        <f aca="false">MIN(AI31,AI30)</f>
        <v>2848.89499240156</v>
      </c>
      <c r="AJ32" s="71" t="n">
        <f aca="false">MIN(AJ31,AJ30)</f>
        <v>2933.93256230998</v>
      </c>
      <c r="AK32" s="71" t="n">
        <f aca="false">MIN(AK31,AK30)</f>
        <v>3024.5297500954</v>
      </c>
      <c r="AL32" s="71" t="n">
        <f aca="false">MIN(AL31,AL30)</f>
        <v>3121.25909028941</v>
      </c>
      <c r="AM32" s="71" t="n">
        <f aca="false">SUM(C32:AL32)</f>
        <v>76692.0362045647</v>
      </c>
    </row>
    <row r="33" customFormat="false" ht="15" hidden="false" customHeight="false" outlineLevel="0" collapsed="false">
      <c r="A33" s="10" t="s">
        <v>754</v>
      </c>
      <c r="B33" s="9" t="s">
        <v>51</v>
      </c>
      <c r="C33" s="61" t="n">
        <f aca="false">MAX(0,C31-C30)</f>
        <v>0</v>
      </c>
      <c r="D33" s="61" t="n">
        <f aca="false">MAX(0,D31-D30)</f>
        <v>3520.02364998621</v>
      </c>
      <c r="E33" s="61" t="n">
        <f aca="false">MAX(0,E31-E30)</f>
        <v>28.8355154987587</v>
      </c>
      <c r="F33" s="61" t="n">
        <f aca="false">MAX(0,F31-F30)</f>
        <v>0</v>
      </c>
      <c r="G33" s="61" t="n">
        <f aca="false">MAX(0,G31-G30)</f>
        <v>0</v>
      </c>
      <c r="H33" s="61" t="n">
        <f aca="false">MAX(0,H31-H30)</f>
        <v>0</v>
      </c>
      <c r="I33" s="61" t="n">
        <f aca="false">MAX(0,I31-I30)</f>
        <v>0</v>
      </c>
      <c r="J33" s="61" t="n">
        <f aca="false">MAX(0,J31-J30)</f>
        <v>0</v>
      </c>
      <c r="K33" s="61" t="n">
        <f aca="false">MAX(0,K31-K30)</f>
        <v>0</v>
      </c>
      <c r="L33" s="61" t="n">
        <f aca="false">MAX(0,L31-L30)</f>
        <v>0</v>
      </c>
      <c r="M33" s="61" t="n">
        <f aca="false">MAX(0,M31-M30)</f>
        <v>0</v>
      </c>
      <c r="N33" s="61" t="n">
        <f aca="false">MAX(0,N31-N30)</f>
        <v>0</v>
      </c>
      <c r="O33" s="61" t="n">
        <f aca="false">MAX(0,O31-O30)</f>
        <v>0</v>
      </c>
      <c r="P33" s="61" t="n">
        <f aca="false">MAX(0,P31-P30)</f>
        <v>0</v>
      </c>
      <c r="Q33" s="61" t="n">
        <f aca="false">MAX(0,Q31-Q30)</f>
        <v>0</v>
      </c>
      <c r="R33" s="61" t="n">
        <f aca="false">MAX(0,R31-R30)</f>
        <v>0</v>
      </c>
      <c r="S33" s="61" t="n">
        <f aca="false">MAX(0,S31-S30)</f>
        <v>0</v>
      </c>
      <c r="T33" s="61" t="n">
        <f aca="false">MAX(0,T31-T30)</f>
        <v>0</v>
      </c>
      <c r="U33" s="61" t="n">
        <f aca="false">MAX(0,U31-U30)</f>
        <v>0</v>
      </c>
      <c r="V33" s="61" t="n">
        <f aca="false">MAX(0,V31-V30)</f>
        <v>0</v>
      </c>
      <c r="W33" s="61" t="n">
        <f aca="false">MAX(0,W31-W30)</f>
        <v>0</v>
      </c>
      <c r="X33" s="61" t="n">
        <f aca="false">MAX(0,X31-X30)</f>
        <v>0</v>
      </c>
      <c r="Y33" s="61" t="n">
        <f aca="false">MAX(0,Y31-Y30)</f>
        <v>0</v>
      </c>
      <c r="Z33" s="61" t="n">
        <f aca="false">MAX(0,Z31-Z30)</f>
        <v>0</v>
      </c>
      <c r="AA33" s="61" t="n">
        <f aca="false">MAX(0,AA31-AA30)</f>
        <v>0</v>
      </c>
      <c r="AB33" s="61" t="n">
        <f aca="false">MAX(0,AB31-AB30)</f>
        <v>0</v>
      </c>
      <c r="AC33" s="61" t="n">
        <f aca="false">MAX(0,AC31-AC30)</f>
        <v>0</v>
      </c>
      <c r="AD33" s="61" t="n">
        <f aca="false">MAX(0,AD31-AD30)</f>
        <v>0</v>
      </c>
      <c r="AE33" s="61" t="n">
        <f aca="false">MAX(0,AE31-AE30)</f>
        <v>0</v>
      </c>
      <c r="AF33" s="61" t="n">
        <f aca="false">MAX(0,AF31-AF30)</f>
        <v>0</v>
      </c>
      <c r="AG33" s="61" t="n">
        <f aca="false">MAX(0,AG31-AG30)</f>
        <v>0</v>
      </c>
      <c r="AH33" s="61" t="n">
        <f aca="false">MAX(0,AH31-AH30)</f>
        <v>0</v>
      </c>
      <c r="AI33" s="61" t="n">
        <f aca="false">MAX(0,AI31-AI30)</f>
        <v>0</v>
      </c>
      <c r="AJ33" s="61" t="n">
        <f aca="false">MAX(0,AJ31-AJ30)</f>
        <v>0</v>
      </c>
      <c r="AK33" s="61" t="n">
        <f aca="false">MAX(0,AK31-AK30)</f>
        <v>0</v>
      </c>
      <c r="AL33" s="61" t="n">
        <f aca="false">MAX(0,AL31-AL30)</f>
        <v>0</v>
      </c>
      <c r="AM33" s="61" t="n">
        <f aca="false">SUM(C33:AL33)</f>
        <v>3548.85916548497</v>
      </c>
    </row>
    <row r="34" customFormat="false" ht="15" hidden="false" customHeight="false" outlineLevel="0" collapsed="false">
      <c r="A34" s="10" t="s">
        <v>755</v>
      </c>
      <c r="B34" s="9" t="s">
        <v>51</v>
      </c>
      <c r="C34" s="61" t="n">
        <f aca="false">C32*Assumptions!$E$51</f>
        <v>0</v>
      </c>
      <c r="D34" s="61" t="n">
        <f aca="false">D32*Assumptions!$E$51</f>
        <v>600</v>
      </c>
      <c r="E34" s="61" t="n">
        <f aca="false">E32*Assumptions!$E$51</f>
        <v>810</v>
      </c>
      <c r="F34" s="61" t="n">
        <f aca="false">F32*Assumptions!$E$51</f>
        <v>786.687068603749</v>
      </c>
      <c r="G34" s="61" t="n">
        <f aca="false">G32*Assumptions!$E$51</f>
        <v>766.977495011222</v>
      </c>
      <c r="H34" s="61" t="n">
        <f aca="false">H32*Assumptions!$E$51</f>
        <v>749.681637687445</v>
      </c>
      <c r="I34" s="61" t="n">
        <f aca="false">I32*Assumptions!$E$51</f>
        <v>733.258781688476</v>
      </c>
      <c r="J34" s="61" t="n">
        <f aca="false">J32*Assumptions!$E$51</f>
        <v>728.543846828047</v>
      </c>
      <c r="K34" s="61" t="n">
        <f aca="false">K32*Assumptions!$E$51</f>
        <v>724.676534719087</v>
      </c>
      <c r="L34" s="61" t="n">
        <f aca="false">L32*Assumptions!$E$51</f>
        <v>724.033311119051</v>
      </c>
      <c r="M34" s="61" t="n">
        <f aca="false">M32*Assumptions!$E$51</f>
        <v>726.333041568119</v>
      </c>
      <c r="N34" s="61" t="n">
        <f aca="false">N32*Assumptions!$E$51</f>
        <v>731.186158150139</v>
      </c>
      <c r="O34" s="61" t="n">
        <f aca="false">O32*Assumptions!$E$51</f>
        <v>738.216879974787</v>
      </c>
      <c r="P34" s="61" t="n">
        <f aca="false">P32*Assumptions!$E$51</f>
        <v>747.104464227046</v>
      </c>
      <c r="Q34" s="61" t="n">
        <f aca="false">Q32*Assumptions!$E$51</f>
        <v>757.588042953076</v>
      </c>
      <c r="R34" s="61" t="n">
        <f aca="false">R32*Assumptions!$E$51</f>
        <v>769.462745050782</v>
      </c>
      <c r="S34" s="61" t="n">
        <f aca="false">S32*Assumptions!$E$51</f>
        <v>782.573294725552</v>
      </c>
      <c r="T34" s="61" t="n">
        <f aca="false">T32*Assumptions!$E$51</f>
        <v>796.807312782243</v>
      </c>
      <c r="U34" s="61" t="n">
        <f aca="false">U32*Assumptions!$E$51</f>
        <v>812.089162039022</v>
      </c>
      <c r="V34" s="61" t="n">
        <f aca="false">V32*Assumptions!$E$51</f>
        <v>828.374628039148</v>
      </c>
      <c r="W34" s="61" t="n">
        <f aca="false">W32*Assumptions!$E$51</f>
        <v>845.646487910394</v>
      </c>
      <c r="X34" s="61" t="n">
        <f aca="false">X32*Assumptions!$E$51</f>
        <v>863.910918048724</v>
      </c>
      <c r="Y34" s="61" t="n">
        <f aca="false">Y32*Assumptions!$E$51</f>
        <v>883.194652296455</v>
      </c>
      <c r="Z34" s="61" t="n">
        <f aca="false">Z32*Assumptions!$E$51</f>
        <v>903.542793053178</v>
      </c>
      <c r="AA34" s="61" t="n">
        <f aca="false">AA32*Assumptions!$E$51</f>
        <v>925.017182200527</v>
      </c>
      <c r="AB34" s="61" t="n">
        <f aca="false">AB32*Assumptions!$E$51</f>
        <v>947.695248887201</v>
      </c>
      <c r="AC34" s="61" t="n">
        <f aca="false">AC32*Assumptions!$E$51</f>
        <v>971.344263883119</v>
      </c>
      <c r="AD34" s="61" t="n">
        <f aca="false">AD32*Assumptions!$E$51</f>
        <v>995.954767896774</v>
      </c>
      <c r="AE34" s="61" t="n">
        <f aca="false">AE32*Assumptions!$E$51</f>
        <v>1021.72935667773</v>
      </c>
      <c r="AF34" s="61" t="n">
        <f aca="false">AF32*Assumptions!$E$51</f>
        <v>1048.81515620999</v>
      </c>
      <c r="AG34" s="61" t="n">
        <f aca="false">AG32*Assumptions!$E$51</f>
        <v>1077.36776524127</v>
      </c>
      <c r="AH34" s="61" t="n">
        <f aca="false">AH32*Assumptions!$E$51</f>
        <v>1107.55492631501</v>
      </c>
      <c r="AI34" s="61" t="n">
        <f aca="false">AI32*Assumptions!$E$51</f>
        <v>1139.55799696062</v>
      </c>
      <c r="AJ34" s="61" t="n">
        <f aca="false">AJ32*Assumptions!$E$51</f>
        <v>1173.57302492399</v>
      </c>
      <c r="AK34" s="61" t="n">
        <f aca="false">AK32*Assumptions!$E$51</f>
        <v>1209.81190003816</v>
      </c>
      <c r="AL34" s="61" t="n">
        <f aca="false">AL32*Assumptions!$E$51</f>
        <v>1248.50363611576</v>
      </c>
      <c r="AM34" s="61" t="n">
        <f aca="false">SUM(C34:AL34)</f>
        <v>30676.8144818259</v>
      </c>
    </row>
    <row r="35" customFormat="false" ht="15" hidden="false" customHeight="false" outlineLevel="0" collapsed="false">
      <c r="A35" s="10" t="s">
        <v>756</v>
      </c>
      <c r="B35" s="9" t="s">
        <v>51</v>
      </c>
      <c r="C35" s="61" t="n">
        <f aca="false">C32*(1-Assumptions!$E$51)</f>
        <v>0</v>
      </c>
      <c r="D35" s="61" t="n">
        <f aca="false">D32*(1-Assumptions!$E$51)</f>
        <v>900</v>
      </c>
      <c r="E35" s="61" t="n">
        <f aca="false">E32*(1-Assumptions!$E$51)</f>
        <v>1215</v>
      </c>
      <c r="F35" s="61" t="n">
        <f aca="false">F32*(1-Assumptions!$E$51)</f>
        <v>1180.03060290562</v>
      </c>
      <c r="G35" s="61" t="n">
        <f aca="false">G32*(1-Assumptions!$E$51)</f>
        <v>1150.46624251683</v>
      </c>
      <c r="H35" s="61" t="n">
        <f aca="false">H32*(1-Assumptions!$E$51)</f>
        <v>1124.52245653117</v>
      </c>
      <c r="I35" s="61" t="n">
        <f aca="false">I32*(1-Assumptions!$E$51)</f>
        <v>1099.88817253271</v>
      </c>
      <c r="J35" s="61" t="n">
        <f aca="false">J32*(1-Assumptions!$E$51)</f>
        <v>1092.81577024207</v>
      </c>
      <c r="K35" s="61" t="n">
        <f aca="false">K32*(1-Assumptions!$E$51)</f>
        <v>1087.01480207863</v>
      </c>
      <c r="L35" s="61" t="n">
        <f aca="false">L32*(1-Assumptions!$E$51)</f>
        <v>1086.04996667858</v>
      </c>
      <c r="M35" s="61" t="n">
        <f aca="false">M32*(1-Assumptions!$E$51)</f>
        <v>1089.49956235218</v>
      </c>
      <c r="N35" s="61" t="n">
        <f aca="false">N32*(1-Assumptions!$E$51)</f>
        <v>1096.77923722521</v>
      </c>
      <c r="O35" s="61" t="n">
        <f aca="false">O32*(1-Assumptions!$E$51)</f>
        <v>1107.32531996218</v>
      </c>
      <c r="P35" s="61" t="n">
        <f aca="false">P32*(1-Assumptions!$E$51)</f>
        <v>1120.65669634057</v>
      </c>
      <c r="Q35" s="61" t="n">
        <f aca="false">Q32*(1-Assumptions!$E$51)</f>
        <v>1136.38206442961</v>
      </c>
      <c r="R35" s="61" t="n">
        <f aca="false">R32*(1-Assumptions!$E$51)</f>
        <v>1154.19411757617</v>
      </c>
      <c r="S35" s="61" t="n">
        <f aca="false">S32*(1-Assumptions!$E$51)</f>
        <v>1173.85994208833</v>
      </c>
      <c r="T35" s="61" t="n">
        <f aca="false">T32*(1-Assumptions!$E$51)</f>
        <v>1195.21096917336</v>
      </c>
      <c r="U35" s="61" t="n">
        <f aca="false">U32*(1-Assumptions!$E$51)</f>
        <v>1218.13374305853</v>
      </c>
      <c r="V35" s="61" t="n">
        <f aca="false">V32*(1-Assumptions!$E$51)</f>
        <v>1242.56194205872</v>
      </c>
      <c r="W35" s="61" t="n">
        <f aca="false">W32*(1-Assumptions!$E$51)</f>
        <v>1268.46973186559</v>
      </c>
      <c r="X35" s="61" t="n">
        <f aca="false">X32*(1-Assumptions!$E$51)</f>
        <v>1295.86637707309</v>
      </c>
      <c r="Y35" s="61" t="n">
        <f aca="false">Y32*(1-Assumptions!$E$51)</f>
        <v>1324.79197844468</v>
      </c>
      <c r="Z35" s="61" t="n">
        <f aca="false">Z32*(1-Assumptions!$E$51)</f>
        <v>1355.31418957977</v>
      </c>
      <c r="AA35" s="61" t="n">
        <f aca="false">AA32*(1-Assumptions!$E$51)</f>
        <v>1387.52577330079</v>
      </c>
      <c r="AB35" s="61" t="n">
        <f aca="false">AB32*(1-Assumptions!$E$51)</f>
        <v>1421.5428733308</v>
      </c>
      <c r="AC35" s="61" t="n">
        <f aca="false">AC32*(1-Assumptions!$E$51)</f>
        <v>1457.01639582468</v>
      </c>
      <c r="AD35" s="61" t="n">
        <f aca="false">AD32*(1-Assumptions!$E$51)</f>
        <v>1493.93215184516</v>
      </c>
      <c r="AE35" s="61" t="n">
        <f aca="false">AE32*(1-Assumptions!$E$51)</f>
        <v>1532.59403501659</v>
      </c>
      <c r="AF35" s="61" t="n">
        <f aca="false">AF32*(1-Assumptions!$E$51)</f>
        <v>1573.22273431499</v>
      </c>
      <c r="AG35" s="61" t="n">
        <f aca="false">AG32*(1-Assumptions!$E$51)</f>
        <v>1616.0516478619</v>
      </c>
      <c r="AH35" s="61" t="n">
        <f aca="false">AH32*(1-Assumptions!$E$51)</f>
        <v>1661.33238947251</v>
      </c>
      <c r="AI35" s="61" t="n">
        <f aca="false">AI32*(1-Assumptions!$E$51)</f>
        <v>1709.33699544094</v>
      </c>
      <c r="AJ35" s="61" t="n">
        <f aca="false">AJ32*(1-Assumptions!$E$51)</f>
        <v>1760.35953738599</v>
      </c>
      <c r="AK35" s="61" t="n">
        <f aca="false">AK32*(1-Assumptions!$E$51)</f>
        <v>1814.71785005724</v>
      </c>
      <c r="AL35" s="61" t="n">
        <f aca="false">AL32*(1-Assumptions!$E$51)</f>
        <v>1872.75545417364</v>
      </c>
      <c r="AM35" s="61" t="n">
        <f aca="false">SUM(C35:AL35)</f>
        <v>46015.2217227388</v>
      </c>
    </row>
    <row r="36" customFormat="false" ht="15" hidden="false" customHeight="false" outlineLevel="0" collapsed="false">
      <c r="A36" s="37" t="s">
        <v>757</v>
      </c>
      <c r="B36" s="9" t="s">
        <v>51</v>
      </c>
      <c r="C36" s="71" t="n">
        <f aca="false">C34</f>
        <v>0</v>
      </c>
      <c r="D36" s="71" t="n">
        <f aca="false">C36*(1-Assumptions!$E$52)+D34</f>
        <v>600</v>
      </c>
      <c r="E36" s="71" t="n">
        <f aca="false">D36*(1-Assumptions!$E$52)+E34</f>
        <v>1368</v>
      </c>
      <c r="F36" s="71" t="n">
        <f aca="false">E36*(1-Assumptions!$E$52)+F34</f>
        <v>2058.92706860375</v>
      </c>
      <c r="G36" s="71" t="n">
        <f aca="false">F36*(1-Assumptions!$E$52)+G34</f>
        <v>2681.77966881271</v>
      </c>
      <c r="H36" s="71" t="n">
        <f aca="false">G36*(1-Assumptions!$E$52)+H34</f>
        <v>3243.73672968326</v>
      </c>
      <c r="I36" s="71" t="n">
        <f aca="false">H36*(1-Assumptions!$E$52)+I34</f>
        <v>3749.93394029391</v>
      </c>
      <c r="J36" s="71" t="n">
        <f aca="false">I36*(1-Assumptions!$E$52)+J34</f>
        <v>4215.98241130138</v>
      </c>
      <c r="K36" s="71" t="n">
        <f aca="false">J36*(1-Assumptions!$E$52)+K34</f>
        <v>4645.54017722937</v>
      </c>
      <c r="L36" s="71" t="n">
        <f aca="false">K36*(1-Assumptions!$E$52)+L34</f>
        <v>5044.38567594237</v>
      </c>
      <c r="M36" s="71" t="n">
        <f aca="false">L36*(1-Assumptions!$E$52)+M34</f>
        <v>5417.61172019452</v>
      </c>
      <c r="N36" s="71" t="n">
        <f aca="false">M36*(1-Assumptions!$E$52)+N34</f>
        <v>5769.56505793104</v>
      </c>
      <c r="O36" s="71" t="n">
        <f aca="false">N36*(1-Assumptions!$E$52)+O34</f>
        <v>6103.91238385066</v>
      </c>
      <c r="P36" s="71" t="n">
        <f aca="false">O36*(1-Assumptions!$E$52)+P34</f>
        <v>6423.74298120816</v>
      </c>
      <c r="Q36" s="71" t="n">
        <f aca="false">P36*(1-Assumptions!$E$52)+Q34</f>
        <v>6731.66901547666</v>
      </c>
      <c r="R36" s="71" t="n">
        <f aca="false">Q36*(1-Assumptions!$E$52)+R34</f>
        <v>7029.91492944408</v>
      </c>
      <c r="S36" s="71" t="n">
        <f aca="false">R36*(1-Assumptions!$E$52)+S34</f>
        <v>7320.39417910854</v>
      </c>
      <c r="T36" s="71" t="n">
        <f aca="false">S36*(1-Assumptions!$E$52)+T34</f>
        <v>7604.77389935319</v>
      </c>
      <c r="U36" s="71" t="n">
        <f aca="false">T36*(1-Assumptions!$E$52)+U34</f>
        <v>7884.52888843748</v>
      </c>
      <c r="V36" s="71" t="n">
        <f aca="false">U36*(1-Assumptions!$E$52)+V34</f>
        <v>8160.98649428601</v>
      </c>
      <c r="W36" s="71" t="n">
        <f aca="false">V36*(1-Assumptions!$E$52)+W34</f>
        <v>8435.36392759638</v>
      </c>
      <c r="X36" s="71" t="n">
        <f aca="false">W36*(1-Assumptions!$E$52)+X34</f>
        <v>8708.79937071336</v>
      </c>
      <c r="Y36" s="71" t="n">
        <f aca="false">X36*(1-Assumptions!$E$52)+Y34</f>
        <v>8982.37806705988</v>
      </c>
      <c r="Z36" s="71" t="n">
        <f aca="false">Y36*(1-Assumptions!$E$52)+Z34</f>
        <v>9257.15439541886</v>
      </c>
      <c r="AA36" s="71" t="n">
        <f aca="false">Z36*(1-Assumptions!$E$52)+AA34</f>
        <v>9534.17076994007</v>
      </c>
      <c r="AB36" s="71" t="n">
        <f aca="false">AA36*(1-Assumptions!$E$52)+AB34</f>
        <v>9814.47406493147</v>
      </c>
      <c r="AC36" s="71" t="n">
        <f aca="false">AB36*(1-Assumptions!$E$52)+AC34</f>
        <v>10098.8051442694</v>
      </c>
      <c r="AD36" s="71" t="n">
        <f aca="false">AC36*(1-Assumptions!$E$52)+AD34</f>
        <v>10387.8435520673</v>
      </c>
      <c r="AE36" s="71" t="n">
        <f aca="false">AD36*(1-Assumptions!$E$52)+AE34</f>
        <v>10682.4238601003</v>
      </c>
      <c r="AF36" s="71" t="n">
        <f aca="false">AE36*(1-Assumptions!$E$52)+AF34</f>
        <v>10983.4693461033</v>
      </c>
      <c r="AG36" s="71" t="n">
        <f aca="false">AF36*(1-Assumptions!$E$52)+AG34</f>
        <v>11291.9942571173</v>
      </c>
      <c r="AH36" s="71" t="n">
        <f aca="false">AG36*(1-Assumptions!$E$52)+AH34</f>
        <v>11609.1095854341</v>
      </c>
      <c r="AI36" s="71" t="n">
        <f aca="false">AH36*(1-Assumptions!$E$52)+AI34</f>
        <v>11936.0299114144</v>
      </c>
      <c r="AJ36" s="71" t="n">
        <f aca="false">AI36*(1-Assumptions!$E$52)+AJ34</f>
        <v>12274.0808425393</v>
      </c>
      <c r="AK36" s="71" t="n">
        <f aca="false">AJ36*(1-Assumptions!$E$52)+AK34</f>
        <v>12624.7070835997</v>
      </c>
      <c r="AL36" s="71" t="n">
        <f aca="false">AK36*(1-Assumptions!$E$52)+AL34</f>
        <v>12989.4812238635</v>
      </c>
      <c r="AM36" s="71" t="n">
        <f aca="false">AL36</f>
        <v>12989.4812238635</v>
      </c>
    </row>
    <row r="37" customFormat="false" ht="15" hidden="false" customHeight="false" outlineLevel="0" collapsed="false">
      <c r="A37" s="10" t="s">
        <v>758</v>
      </c>
      <c r="B37" s="9" t="s">
        <v>51</v>
      </c>
      <c r="C37" s="61" t="n">
        <f aca="false">0</f>
        <v>0</v>
      </c>
      <c r="D37" s="61" t="n">
        <f aca="false">C36*Assumptions!$E$52</f>
        <v>0</v>
      </c>
      <c r="E37" s="61" t="n">
        <f aca="false">D36*Assumptions!$E$52</f>
        <v>42</v>
      </c>
      <c r="F37" s="61" t="n">
        <f aca="false">E36*Assumptions!$E$52</f>
        <v>95.76</v>
      </c>
      <c r="G37" s="61" t="n">
        <f aca="false">F36*Assumptions!$E$52</f>
        <v>144.124894802262</v>
      </c>
      <c r="H37" s="61" t="n">
        <f aca="false">G36*Assumptions!$E$52</f>
        <v>187.72457681689</v>
      </c>
      <c r="I37" s="61" t="n">
        <f aca="false">H36*Assumptions!$E$52</f>
        <v>227.061571077829</v>
      </c>
      <c r="J37" s="61" t="n">
        <f aca="false">I36*Assumptions!$E$52</f>
        <v>262.495375820574</v>
      </c>
      <c r="K37" s="61" t="n">
        <f aca="false">J36*Assumptions!$E$52</f>
        <v>295.118768791097</v>
      </c>
      <c r="L37" s="61" t="n">
        <f aca="false">K36*Assumptions!$E$52</f>
        <v>325.187812406056</v>
      </c>
      <c r="M37" s="61" t="n">
        <f aca="false">L36*Assumptions!$E$52</f>
        <v>353.106997315966</v>
      </c>
      <c r="N37" s="61" t="n">
        <f aca="false">M36*Assumptions!$E$52</f>
        <v>379.232820413616</v>
      </c>
      <c r="O37" s="61" t="n">
        <f aca="false">N36*Assumptions!$E$52</f>
        <v>403.869554055173</v>
      </c>
      <c r="P37" s="61" t="n">
        <f aca="false">O36*Assumptions!$E$52</f>
        <v>427.273866869546</v>
      </c>
      <c r="Q37" s="61" t="n">
        <f aca="false">P36*Assumptions!$E$52</f>
        <v>449.662008684571</v>
      </c>
      <c r="R37" s="61" t="n">
        <f aca="false">Q36*Assumptions!$E$52</f>
        <v>471.216831083366</v>
      </c>
      <c r="S37" s="61" t="n">
        <f aca="false">R36*Assumptions!$E$52</f>
        <v>492.094045061085</v>
      </c>
      <c r="T37" s="61" t="n">
        <f aca="false">S36*Assumptions!$E$52</f>
        <v>512.427592537598</v>
      </c>
      <c r="U37" s="61" t="n">
        <f aca="false">T36*Assumptions!$E$52</f>
        <v>532.334172954723</v>
      </c>
      <c r="V37" s="61" t="n">
        <f aca="false">U36*Assumptions!$E$52</f>
        <v>551.917022190624</v>
      </c>
      <c r="W37" s="61" t="n">
        <f aca="false">V36*Assumptions!$E$52</f>
        <v>571.269054600021</v>
      </c>
      <c r="X37" s="61" t="n">
        <f aca="false">W36*Assumptions!$E$52</f>
        <v>590.475474931747</v>
      </c>
      <c r="Y37" s="61" t="n">
        <f aca="false">X36*Assumptions!$E$52</f>
        <v>609.615955949935</v>
      </c>
      <c r="Z37" s="61" t="n">
        <f aca="false">Y36*Assumptions!$E$52</f>
        <v>628.766464694191</v>
      </c>
      <c r="AA37" s="61" t="n">
        <f aca="false">Z36*Assumptions!$E$52</f>
        <v>648.000807679321</v>
      </c>
      <c r="AB37" s="61" t="n">
        <f aca="false">AA36*Assumptions!$E$52</f>
        <v>667.391953895805</v>
      </c>
      <c r="AC37" s="61" t="n">
        <f aca="false">AB36*Assumptions!$E$52</f>
        <v>687.013184545203</v>
      </c>
      <c r="AD37" s="61" t="n">
        <f aca="false">AC36*Assumptions!$E$52</f>
        <v>706.916360098857</v>
      </c>
      <c r="AE37" s="61" t="n">
        <f aca="false">AD36*Assumptions!$E$52</f>
        <v>727.149048644711</v>
      </c>
      <c r="AF37" s="61" t="n">
        <f aca="false">AE36*Assumptions!$E$52</f>
        <v>747.769670207022</v>
      </c>
      <c r="AG37" s="61" t="n">
        <f aca="false">AF36*Assumptions!$E$52</f>
        <v>768.84285422723</v>
      </c>
      <c r="AH37" s="61" t="n">
        <f aca="false">AG36*Assumptions!$E$52</f>
        <v>790.439597998213</v>
      </c>
      <c r="AI37" s="61" t="n">
        <f aca="false">AH36*Assumptions!$E$52</f>
        <v>812.637670980388</v>
      </c>
      <c r="AJ37" s="61" t="n">
        <f aca="false">AI36*Assumptions!$E$52</f>
        <v>835.522093799005</v>
      </c>
      <c r="AK37" s="61" t="n">
        <f aca="false">AJ36*Assumptions!$E$52</f>
        <v>859.185658977754</v>
      </c>
      <c r="AL37" s="61" t="n">
        <f aca="false">AK36*Assumptions!$E$52</f>
        <v>883.729495851982</v>
      </c>
      <c r="AM37" s="61" t="n">
        <f aca="false">SUM(C37:AL37)</f>
        <v>17687.3332579624</v>
      </c>
    </row>
    <row r="38" customFormat="false" ht="15" hidden="false" customHeight="false" outlineLevel="0" collapsed="false">
      <c r="A38" s="10" t="s">
        <v>759</v>
      </c>
      <c r="B38" s="9" t="s">
        <v>51</v>
      </c>
      <c r="C38" s="61" t="n">
        <f aca="false">0</f>
        <v>0</v>
      </c>
      <c r="D38" s="61" t="n">
        <f aca="false">C35*Assumptions!$E$53</f>
        <v>0</v>
      </c>
      <c r="E38" s="61" t="n">
        <f aca="false">D35*Assumptions!$E$53</f>
        <v>99</v>
      </c>
      <c r="F38" s="61" t="n">
        <f aca="false">E35*Assumptions!$E$53</f>
        <v>133.65</v>
      </c>
      <c r="G38" s="61" t="n">
        <f aca="false">F35*Assumptions!$E$53</f>
        <v>129.803366319619</v>
      </c>
      <c r="H38" s="61" t="n">
        <f aca="false">G35*Assumptions!$E$53</f>
        <v>126.551286676852</v>
      </c>
      <c r="I38" s="61" t="n">
        <f aca="false">H35*Assumptions!$E$53</f>
        <v>123.697470218428</v>
      </c>
      <c r="J38" s="61" t="n">
        <f aca="false">I35*Assumptions!$E$53</f>
        <v>120.987698978599</v>
      </c>
      <c r="K38" s="61" t="n">
        <f aca="false">J35*Assumptions!$E$53</f>
        <v>120.209734726628</v>
      </c>
      <c r="L38" s="61" t="n">
        <f aca="false">K35*Assumptions!$E$53</f>
        <v>119.571628228649</v>
      </c>
      <c r="M38" s="61" t="n">
        <f aca="false">L35*Assumptions!$E$53</f>
        <v>119.465496334643</v>
      </c>
      <c r="N38" s="61" t="n">
        <f aca="false">M35*Assumptions!$E$53</f>
        <v>119.84495185874</v>
      </c>
      <c r="O38" s="61" t="n">
        <f aca="false">N35*Assumptions!$E$53</f>
        <v>120.645716094773</v>
      </c>
      <c r="P38" s="61" t="n">
        <f aca="false">O35*Assumptions!$E$53</f>
        <v>121.80578519584</v>
      </c>
      <c r="Q38" s="61" t="n">
        <f aca="false">P35*Assumptions!$E$53</f>
        <v>123.272236597463</v>
      </c>
      <c r="R38" s="61" t="n">
        <f aca="false">Q35*Assumptions!$E$53</f>
        <v>125.002027087258</v>
      </c>
      <c r="S38" s="61" t="n">
        <f aca="false">R35*Assumptions!$E$53</f>
        <v>126.961352933379</v>
      </c>
      <c r="T38" s="61" t="n">
        <f aca="false">S35*Assumptions!$E$53</f>
        <v>129.124593629716</v>
      </c>
      <c r="U38" s="61" t="n">
        <f aca="false">T35*Assumptions!$E$53</f>
        <v>131.47320660907</v>
      </c>
      <c r="V38" s="61" t="n">
        <f aca="false">U35*Assumptions!$E$53</f>
        <v>133.994711736439</v>
      </c>
      <c r="W38" s="61" t="n">
        <f aca="false">V35*Assumptions!$E$53</f>
        <v>136.681813626459</v>
      </c>
      <c r="X38" s="61" t="n">
        <f aca="false">W35*Assumptions!$E$53</f>
        <v>139.531670505215</v>
      </c>
      <c r="Y38" s="61" t="n">
        <f aca="false">X35*Assumptions!$E$53</f>
        <v>142.54530147804</v>
      </c>
      <c r="Z38" s="61" t="n">
        <f aca="false">Y35*Assumptions!$E$53</f>
        <v>145.727117628915</v>
      </c>
      <c r="AA38" s="61" t="n">
        <f aca="false">Z35*Assumptions!$E$53</f>
        <v>149.084560853774</v>
      </c>
      <c r="AB38" s="61" t="n">
        <f aca="false">AA35*Assumptions!$E$53</f>
        <v>152.627835063087</v>
      </c>
      <c r="AC38" s="61" t="n">
        <f aca="false">AB35*Assumptions!$E$53</f>
        <v>156.369716066388</v>
      </c>
      <c r="AD38" s="61" t="n">
        <f aca="false">AC35*Assumptions!$E$53</f>
        <v>160.271803540715</v>
      </c>
      <c r="AE38" s="61" t="n">
        <f aca="false">AD35*Assumptions!$E$53</f>
        <v>164.332536702968</v>
      </c>
      <c r="AF38" s="61" t="n">
        <f aca="false">AE35*Assumptions!$E$53</f>
        <v>168.585343851825</v>
      </c>
      <c r="AG38" s="61" t="n">
        <f aca="false">AF35*Assumptions!$E$53</f>
        <v>173.054500774649</v>
      </c>
      <c r="AH38" s="61" t="n">
        <f aca="false">AG35*Assumptions!$E$53</f>
        <v>177.765681264809</v>
      </c>
      <c r="AI38" s="61" t="n">
        <f aca="false">AH35*Assumptions!$E$53</f>
        <v>182.746562841976</v>
      </c>
      <c r="AJ38" s="61" t="n">
        <f aca="false">AI35*Assumptions!$E$53</f>
        <v>188.027069498503</v>
      </c>
      <c r="AK38" s="61" t="n">
        <f aca="false">AJ35*Assumptions!$E$53</f>
        <v>193.639549112458</v>
      </c>
      <c r="AL38" s="61" t="n">
        <f aca="false">AK35*Assumptions!$E$53</f>
        <v>199.618963506296</v>
      </c>
      <c r="AM38" s="61" t="n">
        <f aca="false">SUM(C38:AL38)</f>
        <v>4855.67128954217</v>
      </c>
    </row>
    <row r="39" customFormat="false" ht="15" hidden="false" customHeight="false" outlineLevel="0" collapsed="false">
      <c r="A39" s="37" t="s">
        <v>760</v>
      </c>
      <c r="B39" s="9" t="s">
        <v>51</v>
      </c>
      <c r="C39" s="71" t="n">
        <f aca="false">C35+C36+C38</f>
        <v>0</v>
      </c>
      <c r="D39" s="71" t="n">
        <f aca="false">D35+D36+D38</f>
        <v>1500</v>
      </c>
      <c r="E39" s="71" t="n">
        <f aca="false">E35+E36+E38</f>
        <v>2682</v>
      </c>
      <c r="F39" s="71" t="n">
        <f aca="false">F35+F36+F38</f>
        <v>3372.60767150937</v>
      </c>
      <c r="G39" s="71" t="n">
        <f aca="false">G35+G36+G38</f>
        <v>3962.04927764916</v>
      </c>
      <c r="H39" s="71" t="n">
        <f aca="false">H35+H36+H38</f>
        <v>4494.81047289128</v>
      </c>
      <c r="I39" s="71" t="n">
        <f aca="false">I35+I36+I38</f>
        <v>4973.51958304505</v>
      </c>
      <c r="J39" s="71" t="n">
        <f aca="false">J35+J36+J38</f>
        <v>5429.78588052205</v>
      </c>
      <c r="K39" s="71" t="n">
        <f aca="false">K35+K36+K38</f>
        <v>5852.76471403463</v>
      </c>
      <c r="L39" s="71" t="n">
        <f aca="false">L35+L36+L38</f>
        <v>6250.00727084959</v>
      </c>
      <c r="M39" s="71" t="n">
        <f aca="false">M35+M36+M38</f>
        <v>6626.57677888134</v>
      </c>
      <c r="N39" s="71" t="n">
        <f aca="false">N35+N36+N38</f>
        <v>6986.18924701499</v>
      </c>
      <c r="O39" s="71" t="n">
        <f aca="false">O35+O36+O38</f>
        <v>7331.88341990761</v>
      </c>
      <c r="P39" s="71" t="n">
        <f aca="false">P35+P36+P38</f>
        <v>7666.20546274457</v>
      </c>
      <c r="Q39" s="71" t="n">
        <f aca="false">Q35+Q36+Q38</f>
        <v>7991.32331650374</v>
      </c>
      <c r="R39" s="71" t="n">
        <f aca="false">R35+R36+R38</f>
        <v>8309.11107410751</v>
      </c>
      <c r="S39" s="71" t="n">
        <f aca="false">S35+S36+S38</f>
        <v>8621.21547413025</v>
      </c>
      <c r="T39" s="71" t="n">
        <f aca="false">T35+T36+T38</f>
        <v>8929.10946215627</v>
      </c>
      <c r="U39" s="71" t="n">
        <f aca="false">U35+U36+U38</f>
        <v>9234.13583810509</v>
      </c>
      <c r="V39" s="71" t="n">
        <f aca="false">V35+V36+V38</f>
        <v>9537.54314808117</v>
      </c>
      <c r="W39" s="71" t="n">
        <f aca="false">W35+W36+W38</f>
        <v>9840.51547308843</v>
      </c>
      <c r="X39" s="71" t="n">
        <f aca="false">X35+X36+X38</f>
        <v>10144.1974182917</v>
      </c>
      <c r="Y39" s="71" t="n">
        <f aca="false">Y35+Y36+Y38</f>
        <v>10449.7153469826</v>
      </c>
      <c r="Z39" s="71" t="n">
        <f aca="false">Z35+Z36+Z38</f>
        <v>10758.1957026275</v>
      </c>
      <c r="AA39" s="71" t="n">
        <f aca="false">AA35+AA36+AA38</f>
        <v>11070.7811040946</v>
      </c>
      <c r="AB39" s="71" t="n">
        <f aca="false">AB35+AB36+AB38</f>
        <v>11388.6447733254</v>
      </c>
      <c r="AC39" s="71" t="n">
        <f aca="false">AC35+AC36+AC38</f>
        <v>11712.1912561604</v>
      </c>
      <c r="AD39" s="71" t="n">
        <f aca="false">AD35+AD36+AD38</f>
        <v>12042.0475074532</v>
      </c>
      <c r="AE39" s="71" t="n">
        <f aca="false">AE35+AE36+AE38</f>
        <v>12379.3504318199</v>
      </c>
      <c r="AF39" s="71" t="n">
        <f aca="false">AF35+AF36+AF38</f>
        <v>12725.2774242701</v>
      </c>
      <c r="AG39" s="71" t="n">
        <f aca="false">AG35+AG36+AG38</f>
        <v>13081.1004057539</v>
      </c>
      <c r="AH39" s="71" t="n">
        <f aca="false">AH35+AH36+AH38</f>
        <v>13448.2076561714</v>
      </c>
      <c r="AI39" s="71" t="n">
        <f aca="false">AI35+AI36+AI38</f>
        <v>13828.1134696973</v>
      </c>
      <c r="AJ39" s="71" t="n">
        <f aca="false">AJ35+AJ36+AJ38</f>
        <v>14222.4674494238</v>
      </c>
      <c r="AK39" s="71" t="n">
        <f aca="false">AK35+AK36+AK38</f>
        <v>14633.0644827694</v>
      </c>
      <c r="AL39" s="71" t="n">
        <f aca="false">AL35+AL36+AL38</f>
        <v>15061.8556415435</v>
      </c>
      <c r="AM39" s="71" t="n">
        <f aca="false">SUM(C39:AL39)</f>
        <v>316536.563635607</v>
      </c>
    </row>
    <row r="40" customFormat="false" ht="15" hidden="false" customHeight="false" outlineLevel="0" collapsed="false">
      <c r="A40" s="10" t="s">
        <v>761</v>
      </c>
      <c r="B40" s="9" t="s">
        <v>97</v>
      </c>
      <c r="C40" s="70" t="n">
        <f aca="false">C39*Assumptions!$E$50</f>
        <v>0</v>
      </c>
      <c r="D40" s="70" t="n">
        <f aca="false">D39*Assumptions!$E$50</f>
        <v>117000</v>
      </c>
      <c r="E40" s="70" t="n">
        <f aca="false">E39*Assumptions!$E$50</f>
        <v>209196</v>
      </c>
      <c r="F40" s="70" t="n">
        <f aca="false">F39*Assumptions!$E$50</f>
        <v>263063.398377731</v>
      </c>
      <c r="G40" s="70" t="n">
        <f aca="false">G39*Assumptions!$E$50</f>
        <v>309039.843656634</v>
      </c>
      <c r="H40" s="70" t="n">
        <f aca="false">H39*Assumptions!$E$50</f>
        <v>350595.21688552</v>
      </c>
      <c r="I40" s="70" t="n">
        <f aca="false">I39*Assumptions!$E$50</f>
        <v>387934.527477514</v>
      </c>
      <c r="J40" s="70" t="n">
        <f aca="false">J39*Assumptions!$E$50</f>
        <v>423523.29868072</v>
      </c>
      <c r="K40" s="70" t="n">
        <f aca="false">K39*Assumptions!$E$50</f>
        <v>456515.647694701</v>
      </c>
      <c r="L40" s="70" t="n">
        <f aca="false">L39*Assumptions!$E$50</f>
        <v>487500.567126268</v>
      </c>
      <c r="M40" s="70" t="n">
        <f aca="false">M39*Assumptions!$E$50</f>
        <v>516872.988752745</v>
      </c>
      <c r="N40" s="70" t="n">
        <f aca="false">N39*Assumptions!$E$50</f>
        <v>544922.761267169</v>
      </c>
      <c r="O40" s="70" t="n">
        <f aca="false">O39*Assumptions!$E$50</f>
        <v>571886.906752794</v>
      </c>
      <c r="P40" s="70" t="n">
        <f aca="false">P39*Assumptions!$E$50</f>
        <v>597964.026094076</v>
      </c>
      <c r="Q40" s="70" t="n">
        <f aca="false">Q39*Assumptions!$E$50</f>
        <v>623323.218687292</v>
      </c>
      <c r="R40" s="70" t="n">
        <f aca="false">R39*Assumptions!$E$50</f>
        <v>648110.663780386</v>
      </c>
      <c r="S40" s="70" t="n">
        <f aca="false">S39*Assumptions!$E$50</f>
        <v>672454.806982159</v>
      </c>
      <c r="T40" s="70" t="n">
        <f aca="false">T39*Assumptions!$E$50</f>
        <v>696470.538048189</v>
      </c>
      <c r="U40" s="70" t="n">
        <f aca="false">U39*Assumptions!$E$50</f>
        <v>720262.595372197</v>
      </c>
      <c r="V40" s="70" t="n">
        <f aca="false">V39*Assumptions!$E$50</f>
        <v>743928.365550331</v>
      </c>
      <c r="W40" s="70" t="n">
        <f aca="false">W39*Assumptions!$E$50</f>
        <v>767560.206900898</v>
      </c>
      <c r="X40" s="70" t="n">
        <f aca="false">X39*Assumptions!$E$50</f>
        <v>791247.398626749</v>
      </c>
      <c r="Y40" s="70" t="n">
        <f aca="false">Y39*Assumptions!$E$50</f>
        <v>815077.797064643</v>
      </c>
      <c r="Z40" s="70" t="n">
        <f aca="false">Z39*Assumptions!$E$50</f>
        <v>839139.264804949</v>
      </c>
      <c r="AA40" s="70" t="n">
        <f aca="false">AA39*Assumptions!$E$50</f>
        <v>863520.926119381</v>
      </c>
      <c r="AB40" s="70" t="n">
        <f aca="false">AB39*Assumptions!$E$50</f>
        <v>888314.292319378</v>
      </c>
      <c r="AC40" s="70" t="n">
        <f aca="false">AC39*Assumptions!$E$50</f>
        <v>913550.917980515</v>
      </c>
      <c r="AD40" s="70" t="n">
        <f aca="false">AD39*Assumptions!$E$50</f>
        <v>939279.705581347</v>
      </c>
      <c r="AE40" s="70" t="n">
        <f aca="false">AE39*Assumptions!$E$50</f>
        <v>965589.33368195</v>
      </c>
      <c r="AF40" s="70" t="n">
        <f aca="false">AF39*Assumptions!$E$50</f>
        <v>992571.639093067</v>
      </c>
      <c r="AG40" s="70" t="n">
        <f aca="false">AG39*Assumptions!$E$50</f>
        <v>1020325.8316488</v>
      </c>
      <c r="AH40" s="70" t="n">
        <f aca="false">AH39*Assumptions!$E$50</f>
        <v>1048960.19718137</v>
      </c>
      <c r="AI40" s="70" t="n">
        <f aca="false">AI39*Assumptions!$E$50</f>
        <v>1078592.85063639</v>
      </c>
      <c r="AJ40" s="70" t="n">
        <f aca="false">AJ39*Assumptions!$E$50</f>
        <v>1109352.46105506</v>
      </c>
      <c r="AK40" s="70" t="n">
        <f aca="false">AK39*Assumptions!$E$50</f>
        <v>1141379.02965602</v>
      </c>
      <c r="AL40" s="70" t="n">
        <f aca="false">AL39*Assumptions!$E$50</f>
        <v>1174824.74004039</v>
      </c>
      <c r="AM40" s="70" t="n">
        <f aca="false">SUM(C40:AL40)</f>
        <v>24689851.9635773</v>
      </c>
    </row>
    <row r="41" customFormat="false" ht="15" hidden="false" customHeight="false" outlineLevel="0" collapsed="false">
      <c r="A41" s="10" t="s">
        <v>762</v>
      </c>
      <c r="B41" s="9" t="s">
        <v>97</v>
      </c>
      <c r="C41" s="70" t="n">
        <f aca="false">-C40*Assumptions!$E$80</f>
        <v>-0</v>
      </c>
      <c r="D41" s="70" t="n">
        <f aca="false">-D40*Assumptions!$E$80</f>
        <v>-3510</v>
      </c>
      <c r="E41" s="70" t="n">
        <f aca="false">-E40*Assumptions!$E$80</f>
        <v>-6275.88</v>
      </c>
      <c r="F41" s="70" t="n">
        <f aca="false">-F40*Assumptions!$E$80</f>
        <v>-7891.90195133193</v>
      </c>
      <c r="G41" s="70" t="n">
        <f aca="false">-G40*Assumptions!$E$80</f>
        <v>-9271.19530969903</v>
      </c>
      <c r="H41" s="70" t="n">
        <f aca="false">-H40*Assumptions!$E$80</f>
        <v>-10517.8565065656</v>
      </c>
      <c r="I41" s="70" t="n">
        <f aca="false">-I40*Assumptions!$E$80</f>
        <v>-11638.0358243254</v>
      </c>
      <c r="J41" s="70" t="n">
        <f aca="false">-J40*Assumptions!$E$80</f>
        <v>-12705.6989604216</v>
      </c>
      <c r="K41" s="70" t="n">
        <f aca="false">-K40*Assumptions!$E$80</f>
        <v>-13695.469430841</v>
      </c>
      <c r="L41" s="70" t="n">
        <f aca="false">-L40*Assumptions!$E$80</f>
        <v>-14625.017013788</v>
      </c>
      <c r="M41" s="70" t="n">
        <f aca="false">-M40*Assumptions!$E$80</f>
        <v>-15506.1896625823</v>
      </c>
      <c r="N41" s="70" t="n">
        <f aca="false">-N40*Assumptions!$E$80</f>
        <v>-16347.6828380151</v>
      </c>
      <c r="O41" s="70" t="n">
        <f aca="false">-O40*Assumptions!$E$80</f>
        <v>-17156.6072025838</v>
      </c>
      <c r="P41" s="70" t="n">
        <f aca="false">-P40*Assumptions!$E$80</f>
        <v>-17938.9207828223</v>
      </c>
      <c r="Q41" s="70" t="n">
        <f aca="false">-Q40*Assumptions!$E$80</f>
        <v>-18699.6965606187</v>
      </c>
      <c r="R41" s="70" t="n">
        <f aca="false">-R40*Assumptions!$E$80</f>
        <v>-19443.3199134116</v>
      </c>
      <c r="S41" s="70" t="n">
        <f aca="false">-S40*Assumptions!$E$80</f>
        <v>-20173.6442094648</v>
      </c>
      <c r="T41" s="70" t="n">
        <f aca="false">-T40*Assumptions!$E$80</f>
        <v>-20894.1161414457</v>
      </c>
      <c r="U41" s="70" t="n">
        <f aca="false">-U40*Assumptions!$E$80</f>
        <v>-21607.8778611659</v>
      </c>
      <c r="V41" s="70" t="n">
        <f aca="false">-V40*Assumptions!$E$80</f>
        <v>-22317.8509665099</v>
      </c>
      <c r="W41" s="70" t="n">
        <f aca="false">-W40*Assumptions!$E$80</f>
        <v>-23026.8062070269</v>
      </c>
      <c r="X41" s="70" t="n">
        <f aca="false">-X40*Assumptions!$E$80</f>
        <v>-23737.4219588025</v>
      </c>
      <c r="Y41" s="70" t="n">
        <f aca="false">-Y40*Assumptions!$E$80</f>
        <v>-24452.3339119393</v>
      </c>
      <c r="Z41" s="70" t="n">
        <f aca="false">-Z40*Assumptions!$E$80</f>
        <v>-25174.1779441485</v>
      </c>
      <c r="AA41" s="70" t="n">
        <f aca="false">-AA40*Assumptions!$E$80</f>
        <v>-25905.6277835814</v>
      </c>
      <c r="AB41" s="70" t="n">
        <f aca="false">-AB40*Assumptions!$E$80</f>
        <v>-26649.4287695813</v>
      </c>
      <c r="AC41" s="70" t="n">
        <f aca="false">-AC40*Assumptions!$E$80</f>
        <v>-27406.5275394155</v>
      </c>
      <c r="AD41" s="70" t="n">
        <f aca="false">-AD40*Assumptions!$E$80</f>
        <v>-28178.3911674404</v>
      </c>
      <c r="AE41" s="70" t="n">
        <f aca="false">-AE40*Assumptions!$E$80</f>
        <v>-28967.6800104585</v>
      </c>
      <c r="AF41" s="70" t="n">
        <f aca="false">-AF40*Assumptions!$E$80</f>
        <v>-29777.149172792</v>
      </c>
      <c r="AG41" s="70" t="n">
        <f aca="false">-AG40*Assumptions!$E$80</f>
        <v>-30609.7749494641</v>
      </c>
      <c r="AH41" s="70" t="n">
        <f aca="false">-AH40*Assumptions!$E$80</f>
        <v>-31468.8059154412</v>
      </c>
      <c r="AI41" s="70" t="n">
        <f aca="false">-AI40*Assumptions!$E$80</f>
        <v>-32357.7855190916</v>
      </c>
      <c r="AJ41" s="70" t="n">
        <f aca="false">-AJ40*Assumptions!$E$80</f>
        <v>-33280.5738316518</v>
      </c>
      <c r="AK41" s="70" t="n">
        <f aca="false">-AK40*Assumptions!$E$80</f>
        <v>-34241.3708896805</v>
      </c>
      <c r="AL41" s="70" t="n">
        <f aca="false">-AL40*Assumptions!$E$80</f>
        <v>-35244.7422012117</v>
      </c>
      <c r="AM41" s="70" t="n">
        <f aca="false">SUM(C41:AL41)</f>
        <v>-740695.55890732</v>
      </c>
    </row>
    <row r="42" customFormat="false" ht="15" hidden="false" customHeight="false" outlineLevel="0" collapsed="false">
      <c r="A42" s="37" t="s">
        <v>763</v>
      </c>
      <c r="B42" s="9" t="s">
        <v>97</v>
      </c>
      <c r="C42" s="53" t="n">
        <f aca="false">C40+C41</f>
        <v>0</v>
      </c>
      <c r="D42" s="53" t="n">
        <f aca="false">D40+D41</f>
        <v>113490</v>
      </c>
      <c r="E42" s="53" t="n">
        <f aca="false">E40+E41</f>
        <v>202920.12</v>
      </c>
      <c r="F42" s="53" t="n">
        <f aca="false">F40+F41</f>
        <v>255171.496426399</v>
      </c>
      <c r="G42" s="53" t="n">
        <f aca="false">G40+G41</f>
        <v>299768.648346935</v>
      </c>
      <c r="H42" s="53" t="n">
        <f aca="false">H40+H41</f>
        <v>340077.360378955</v>
      </c>
      <c r="I42" s="53" t="n">
        <f aca="false">I40+I41</f>
        <v>376296.491653189</v>
      </c>
      <c r="J42" s="53" t="n">
        <f aca="false">J40+J41</f>
        <v>410817.599720299</v>
      </c>
      <c r="K42" s="53" t="n">
        <f aca="false">K40+K41</f>
        <v>442820.17826386</v>
      </c>
      <c r="L42" s="53" t="n">
        <f aca="false">L40+L41</f>
        <v>472875.55011248</v>
      </c>
      <c r="M42" s="53" t="n">
        <f aca="false">M40+M41</f>
        <v>501366.799090162</v>
      </c>
      <c r="N42" s="53" t="n">
        <f aca="false">N40+N41</f>
        <v>528575.078429154</v>
      </c>
      <c r="O42" s="53" t="n">
        <f aca="false">O40+O41</f>
        <v>554730.29955021</v>
      </c>
      <c r="P42" s="53" t="n">
        <f aca="false">P40+P41</f>
        <v>580025.105311254</v>
      </c>
      <c r="Q42" s="53" t="n">
        <f aca="false">Q40+Q41</f>
        <v>604623.522126673</v>
      </c>
      <c r="R42" s="53" t="n">
        <f aca="false">R40+R41</f>
        <v>628667.343866974</v>
      </c>
      <c r="S42" s="53" t="n">
        <f aca="false">S40+S41</f>
        <v>652281.162772695</v>
      </c>
      <c r="T42" s="53" t="n">
        <f aca="false">T40+T41</f>
        <v>675576.421906743</v>
      </c>
      <c r="U42" s="53" t="n">
        <f aca="false">U40+U41</f>
        <v>698654.717511031</v>
      </c>
      <c r="V42" s="53" t="n">
        <f aca="false">V40+V41</f>
        <v>721610.514583821</v>
      </c>
      <c r="W42" s="53" t="n">
        <f aca="false">W40+W41</f>
        <v>744533.400693871</v>
      </c>
      <c r="X42" s="53" t="n">
        <f aca="false">X40+X41</f>
        <v>767509.976667947</v>
      </c>
      <c r="Y42" s="53" t="n">
        <f aca="false">Y40+Y41</f>
        <v>790625.463152704</v>
      </c>
      <c r="Z42" s="53" t="n">
        <f aca="false">Z40+Z41</f>
        <v>813965.0868608</v>
      </c>
      <c r="AA42" s="53" t="n">
        <f aca="false">AA40+AA41</f>
        <v>837615.2983358</v>
      </c>
      <c r="AB42" s="53" t="n">
        <f aca="false">AB40+AB41</f>
        <v>861664.863549796</v>
      </c>
      <c r="AC42" s="53" t="n">
        <f aca="false">AC40+AC41</f>
        <v>886144.3904411</v>
      </c>
      <c r="AD42" s="53" t="n">
        <f aca="false">AD40+AD41</f>
        <v>911101.314413907</v>
      </c>
      <c r="AE42" s="53" t="n">
        <f aca="false">AE40+AE41</f>
        <v>936621.653671492</v>
      </c>
      <c r="AF42" s="53" t="n">
        <f aca="false">AF40+AF41</f>
        <v>962794.489920275</v>
      </c>
      <c r="AG42" s="53" t="n">
        <f aca="false">AG40+AG41</f>
        <v>989716.056699338</v>
      </c>
      <c r="AH42" s="53" t="n">
        <f aca="false">AH40+AH41</f>
        <v>1017491.39126593</v>
      </c>
      <c r="AI42" s="53" t="n">
        <f aca="false">AI40+AI41</f>
        <v>1046235.0651173</v>
      </c>
      <c r="AJ42" s="53" t="n">
        <f aca="false">AJ40+AJ41</f>
        <v>1076071.88722341</v>
      </c>
      <c r="AK42" s="53" t="n">
        <f aca="false">AK40+AK41</f>
        <v>1107137.65876634</v>
      </c>
      <c r="AL42" s="53" t="n">
        <f aca="false">AL40+AL41</f>
        <v>1139579.99783918</v>
      </c>
      <c r="AM42" s="53" t="n">
        <f aca="false">SUM(C42:AL42)</f>
        <v>23949156.40467</v>
      </c>
    </row>
    <row r="43" customFormat="false" ht="15" hidden="false" customHeight="false" outlineLevel="0" collapsed="false">
      <c r="A43" s="10" t="s">
        <v>764</v>
      </c>
      <c r="B43" s="9" t="s">
        <v>97</v>
      </c>
      <c r="C43" s="70" t="n">
        <f aca="false">-C40*Assumptions!$E$55</f>
        <v>-0</v>
      </c>
      <c r="D43" s="70" t="n">
        <f aca="false">-D40*Assumptions!$E$55</f>
        <v>-30420</v>
      </c>
      <c r="E43" s="70" t="n">
        <f aca="false">-E40*Assumptions!$E$55</f>
        <v>-54390.96</v>
      </c>
      <c r="F43" s="70" t="n">
        <f aca="false">-F40*Assumptions!$E$55</f>
        <v>-68396.4835782101</v>
      </c>
      <c r="G43" s="70" t="n">
        <f aca="false">-G40*Assumptions!$E$55</f>
        <v>-80350.359350725</v>
      </c>
      <c r="H43" s="70" t="n">
        <f aca="false">-H40*Assumptions!$E$55</f>
        <v>-91154.7563902352</v>
      </c>
      <c r="I43" s="70" t="n">
        <f aca="false">-I40*Assumptions!$E$55</f>
        <v>-100862.977144154</v>
      </c>
      <c r="J43" s="70" t="n">
        <f aca="false">-J40*Assumptions!$E$55</f>
        <v>-110116.057656987</v>
      </c>
      <c r="K43" s="70" t="n">
        <f aca="false">-K40*Assumptions!$E$55</f>
        <v>-118694.068400622</v>
      </c>
      <c r="L43" s="70" t="n">
        <f aca="false">-L40*Assumptions!$E$55</f>
        <v>-126750.14745283</v>
      </c>
      <c r="M43" s="70" t="n">
        <f aca="false">-M40*Assumptions!$E$55</f>
        <v>-134386.977075714</v>
      </c>
      <c r="N43" s="70" t="n">
        <f aca="false">-N40*Assumptions!$E$55</f>
        <v>-141679.917929464</v>
      </c>
      <c r="O43" s="70" t="n">
        <f aca="false">-O40*Assumptions!$E$55</f>
        <v>-148690.595755726</v>
      </c>
      <c r="P43" s="70" t="n">
        <f aca="false">-P40*Assumptions!$E$55</f>
        <v>-155470.64678446</v>
      </c>
      <c r="Q43" s="70" t="n">
        <f aca="false">-Q40*Assumptions!$E$55</f>
        <v>-162064.036858696</v>
      </c>
      <c r="R43" s="70" t="n">
        <f aca="false">-R40*Assumptions!$E$55</f>
        <v>-168508.7725829</v>
      </c>
      <c r="S43" s="70" t="n">
        <f aca="false">-S40*Assumptions!$E$55</f>
        <v>-174838.249815361</v>
      </c>
      <c r="T43" s="70" t="n">
        <f aca="false">-T40*Assumptions!$E$55</f>
        <v>-181082.339892529</v>
      </c>
      <c r="U43" s="70" t="n">
        <f aca="false">-U40*Assumptions!$E$55</f>
        <v>-187268.274796771</v>
      </c>
      <c r="V43" s="70" t="n">
        <f aca="false">-V40*Assumptions!$E$55</f>
        <v>-193421.375043086</v>
      </c>
      <c r="W43" s="70" t="n">
        <f aca="false">-W40*Assumptions!$E$55</f>
        <v>-199565.653794233</v>
      </c>
      <c r="X43" s="70" t="n">
        <f aca="false">-X40*Assumptions!$E$55</f>
        <v>-205724.323642955</v>
      </c>
      <c r="Y43" s="70" t="n">
        <f aca="false">-Y40*Assumptions!$E$55</f>
        <v>-211920.227236807</v>
      </c>
      <c r="Z43" s="70" t="n">
        <f aca="false">-Z40*Assumptions!$E$55</f>
        <v>-218176.208849287</v>
      </c>
      <c r="AA43" s="70" t="n">
        <f aca="false">-AA40*Assumptions!$E$55</f>
        <v>-224515.440791039</v>
      </c>
      <c r="AB43" s="70" t="n">
        <f aca="false">-AB40*Assumptions!$E$55</f>
        <v>-230961.716003038</v>
      </c>
      <c r="AC43" s="70" t="n">
        <f aca="false">-AC40*Assumptions!$E$55</f>
        <v>-237523.238674934</v>
      </c>
      <c r="AD43" s="70" t="n">
        <f aca="false">-AD40*Assumptions!$E$55</f>
        <v>-244212.72345115</v>
      </c>
      <c r="AE43" s="70" t="n">
        <f aca="false">-AE40*Assumptions!$E$55</f>
        <v>-251053.226757307</v>
      </c>
      <c r="AF43" s="70" t="n">
        <f aca="false">-AF40*Assumptions!$E$55</f>
        <v>-258068.626164198</v>
      </c>
      <c r="AG43" s="70" t="n">
        <f aca="false">-AG40*Assumptions!$E$55</f>
        <v>-265284.716228689</v>
      </c>
      <c r="AH43" s="70" t="n">
        <f aca="false">-AH40*Assumptions!$E$55</f>
        <v>-272729.651267157</v>
      </c>
      <c r="AI43" s="70" t="n">
        <f aca="false">-AI40*Assumptions!$E$55</f>
        <v>-280434.141165461</v>
      </c>
      <c r="AJ43" s="70" t="n">
        <f aca="false">-AJ40*Assumptions!$E$55</f>
        <v>-288431.639874315</v>
      </c>
      <c r="AK43" s="70" t="n">
        <f aca="false">-AK40*Assumptions!$E$55</f>
        <v>-296758.547710564</v>
      </c>
      <c r="AL43" s="70" t="n">
        <f aca="false">-AL40*Assumptions!$E$55</f>
        <v>-305454.432410501</v>
      </c>
      <c r="AM43" s="70" t="n">
        <f aca="false">SUM(C43:AL43)</f>
        <v>-6419361.51053011</v>
      </c>
    </row>
    <row r="44" customFormat="false" ht="15" hidden="false" customHeight="false" outlineLevel="0" collapsed="false">
      <c r="A44" s="10" t="s">
        <v>765</v>
      </c>
      <c r="B44" s="9" t="s">
        <v>97</v>
      </c>
      <c r="C44" s="70" t="n">
        <f aca="false">-C39*Assumptions!$E$56</f>
        <v>-0</v>
      </c>
      <c r="D44" s="70" t="n">
        <f aca="false">-D39*Assumptions!$E$56</f>
        <v>-11250</v>
      </c>
      <c r="E44" s="70" t="n">
        <f aca="false">-E39*Assumptions!$E$56</f>
        <v>-20115</v>
      </c>
      <c r="F44" s="70" t="n">
        <f aca="false">-F39*Assumptions!$E$56</f>
        <v>-25294.5575363203</v>
      </c>
      <c r="G44" s="70" t="n">
        <f aca="false">-G39*Assumptions!$E$56</f>
        <v>-29715.3695823687</v>
      </c>
      <c r="H44" s="70" t="n">
        <f aca="false">-H39*Assumptions!$E$56</f>
        <v>-33711.0785466846</v>
      </c>
      <c r="I44" s="70" t="n">
        <f aca="false">-I39*Assumptions!$E$56</f>
        <v>-37301.3968728379</v>
      </c>
      <c r="J44" s="70" t="n">
        <f aca="false">-J39*Assumptions!$E$56</f>
        <v>-40723.3941039154</v>
      </c>
      <c r="K44" s="70" t="n">
        <f aca="false">-K39*Assumptions!$E$56</f>
        <v>-43895.7353552597</v>
      </c>
      <c r="L44" s="70" t="n">
        <f aca="false">-L39*Assumptions!$E$56</f>
        <v>-46875.054531372</v>
      </c>
      <c r="M44" s="70" t="n">
        <f aca="false">-M39*Assumptions!$E$56</f>
        <v>-49699.3258416101</v>
      </c>
      <c r="N44" s="70" t="n">
        <f aca="false">-N39*Assumptions!$E$56</f>
        <v>-52396.4193526124</v>
      </c>
      <c r="O44" s="70" t="n">
        <f aca="false">-O39*Assumptions!$E$56</f>
        <v>-54989.1256493071</v>
      </c>
      <c r="P44" s="70" t="n">
        <f aca="false">-P39*Assumptions!$E$56</f>
        <v>-57496.5409705842</v>
      </c>
      <c r="Q44" s="70" t="n">
        <f aca="false">-Q39*Assumptions!$E$56</f>
        <v>-59934.924873778</v>
      </c>
      <c r="R44" s="70" t="n">
        <f aca="false">-R39*Assumptions!$E$56</f>
        <v>-62318.3330558063</v>
      </c>
      <c r="S44" s="70" t="n">
        <f aca="false">-S39*Assumptions!$E$56</f>
        <v>-64659.1160559769</v>
      </c>
      <c r="T44" s="70" t="n">
        <f aca="false">-T39*Assumptions!$E$56</f>
        <v>-66968.320966172</v>
      </c>
      <c r="U44" s="70" t="n">
        <f aca="false">-U39*Assumptions!$E$56</f>
        <v>-69256.0187857882</v>
      </c>
      <c r="V44" s="70" t="n">
        <f aca="false">-V39*Assumptions!$E$56</f>
        <v>-71531.5736106088</v>
      </c>
      <c r="W44" s="70" t="n">
        <f aca="false">-W39*Assumptions!$E$56</f>
        <v>-73803.8660481632</v>
      </c>
      <c r="X44" s="70" t="n">
        <f aca="false">-X39*Assumptions!$E$56</f>
        <v>-76081.4806371874</v>
      </c>
      <c r="Y44" s="70" t="n">
        <f aca="false">-Y39*Assumptions!$E$56</f>
        <v>-78372.8651023695</v>
      </c>
      <c r="Z44" s="70" t="n">
        <f aca="false">-Z39*Assumptions!$E$56</f>
        <v>-80686.4677697066</v>
      </c>
      <c r="AA44" s="70" t="n">
        <f aca="false">-AA39*Assumptions!$E$56</f>
        <v>-83030.8582807098</v>
      </c>
      <c r="AB44" s="70" t="n">
        <f aca="false">-AB39*Assumptions!$E$56</f>
        <v>-85414.8357999402</v>
      </c>
      <c r="AC44" s="70" t="n">
        <f aca="false">-AC39*Assumptions!$E$56</f>
        <v>-87841.4344212034</v>
      </c>
      <c r="AD44" s="70" t="n">
        <f aca="false">-AD39*Assumptions!$E$56</f>
        <v>-90315.3563058988</v>
      </c>
      <c r="AE44" s="70" t="n">
        <f aca="false">-AE39*Assumptions!$E$56</f>
        <v>-92845.1282386491</v>
      </c>
      <c r="AF44" s="70" t="n">
        <f aca="false">-AF39*Assumptions!$E$56</f>
        <v>-95439.5806820257</v>
      </c>
      <c r="AG44" s="70" t="n">
        <f aca="false">-AG39*Assumptions!$E$56</f>
        <v>-98108.253043154</v>
      </c>
      <c r="AH44" s="70" t="n">
        <f aca="false">-AH39*Assumptions!$E$56</f>
        <v>-100861.557421286</v>
      </c>
      <c r="AI44" s="70" t="n">
        <f aca="false">-AI39*Assumptions!$E$56</f>
        <v>-103710.851022729</v>
      </c>
      <c r="AJ44" s="70" t="n">
        <f aca="false">-AJ39*Assumptions!$E$56</f>
        <v>-106668.505870679</v>
      </c>
      <c r="AK44" s="70" t="n">
        <f aca="false">-AK39*Assumptions!$E$56</f>
        <v>-109747.983620771</v>
      </c>
      <c r="AL44" s="70" t="n">
        <f aca="false">-AL39*Assumptions!$E$56</f>
        <v>-112963.917311576</v>
      </c>
      <c r="AM44" s="70" t="n">
        <f aca="false">SUM(C44:AL44)</f>
        <v>-2374024.22726705</v>
      </c>
    </row>
    <row r="45" customFormat="false" ht="15" hidden="false" customHeight="false" outlineLevel="0" collapsed="false">
      <c r="A45" s="10" t="s">
        <v>766</v>
      </c>
      <c r="B45" s="9" t="s">
        <v>97</v>
      </c>
      <c r="C45" s="70" t="n">
        <f aca="false">-C42*Assumptions!$E$79</f>
        <v>-0</v>
      </c>
      <c r="D45" s="70" t="n">
        <f aca="false">-D42*Assumptions!$E$79</f>
        <v>-3291.21</v>
      </c>
      <c r="E45" s="70" t="n">
        <f aca="false">-E42*Assumptions!$E$79</f>
        <v>-5884.68348</v>
      </c>
      <c r="F45" s="70" t="n">
        <f aca="false">-F42*Assumptions!$E$79</f>
        <v>-7399.97339636557</v>
      </c>
      <c r="G45" s="70" t="n">
        <f aca="false">-G42*Assumptions!$E$79</f>
        <v>-8693.29080206113</v>
      </c>
      <c r="H45" s="70" t="n">
        <f aca="false">-H42*Assumptions!$E$79</f>
        <v>-9862.24345098968</v>
      </c>
      <c r="I45" s="70" t="n">
        <f aca="false">-I42*Assumptions!$E$79</f>
        <v>-10912.5982579425</v>
      </c>
      <c r="J45" s="70" t="n">
        <f aca="false">-J42*Assumptions!$E$79</f>
        <v>-11913.7103918887</v>
      </c>
      <c r="K45" s="70" t="n">
        <f aca="false">-K42*Assumptions!$E$79</f>
        <v>-12841.7851696519</v>
      </c>
      <c r="L45" s="70" t="n">
        <f aca="false">-L42*Assumptions!$E$79</f>
        <v>-13713.3909532619</v>
      </c>
      <c r="M45" s="70" t="n">
        <f aca="false">-M42*Assumptions!$E$79</f>
        <v>-14539.6371736147</v>
      </c>
      <c r="N45" s="70" t="n">
        <f aca="false">-N42*Assumptions!$E$79</f>
        <v>-15328.6772744455</v>
      </c>
      <c r="O45" s="70" t="n">
        <f aca="false">-O42*Assumptions!$E$79</f>
        <v>-16087.1786869561</v>
      </c>
      <c r="P45" s="70" t="n">
        <f aca="false">-P42*Assumptions!$E$79</f>
        <v>-16820.7280540264</v>
      </c>
      <c r="Q45" s="70" t="n">
        <f aca="false">-Q42*Assumptions!$E$79</f>
        <v>-17534.0821416735</v>
      </c>
      <c r="R45" s="70" t="n">
        <f aca="false">-R42*Assumptions!$E$79</f>
        <v>-18231.3529721422</v>
      </c>
      <c r="S45" s="70" t="n">
        <f aca="false">-S42*Assumptions!$E$79</f>
        <v>-18916.1537204081</v>
      </c>
      <c r="T45" s="70" t="n">
        <f aca="false">-T42*Assumptions!$E$79</f>
        <v>-19591.7162352956</v>
      </c>
      <c r="U45" s="70" t="n">
        <f aca="false">-U42*Assumptions!$E$79</f>
        <v>-20260.9868078199</v>
      </c>
      <c r="V45" s="70" t="n">
        <f aca="false">-V42*Assumptions!$E$79</f>
        <v>-20926.7049229308</v>
      </c>
      <c r="W45" s="70" t="n">
        <f aca="false">-W42*Assumptions!$E$79</f>
        <v>-21591.4686201223</v>
      </c>
      <c r="X45" s="70" t="n">
        <f aca="false">-X42*Assumptions!$E$79</f>
        <v>-22257.7893233705</v>
      </c>
      <c r="Y45" s="70" t="n">
        <f aca="false">-Y42*Assumptions!$E$79</f>
        <v>-22928.1384314284</v>
      </c>
      <c r="Z45" s="70" t="n">
        <f aca="false">-Z42*Assumptions!$E$79</f>
        <v>-23604.9875189632</v>
      </c>
      <c r="AA45" s="70" t="n">
        <f aca="false">-AA42*Assumptions!$E$79</f>
        <v>-24290.8436517382</v>
      </c>
      <c r="AB45" s="70" t="n">
        <f aca="false">-AB42*Assumptions!$E$79</f>
        <v>-24988.2810429441</v>
      </c>
      <c r="AC45" s="70" t="n">
        <f aca="false">-AC42*Assumptions!$E$79</f>
        <v>-25698.1873227919</v>
      </c>
      <c r="AD45" s="70" t="n">
        <f aca="false">-AD42*Assumptions!$E$79</f>
        <v>-26421.9381180033</v>
      </c>
      <c r="AE45" s="70" t="n">
        <f aca="false">-AE42*Assumptions!$E$79</f>
        <v>-27162.0279564733</v>
      </c>
      <c r="AF45" s="70" t="n">
        <f aca="false">-AF42*Assumptions!$E$79</f>
        <v>-27921.040207688</v>
      </c>
      <c r="AG45" s="70" t="n">
        <f aca="false">-AG42*Assumptions!$E$79</f>
        <v>-28701.7656442808</v>
      </c>
      <c r="AH45" s="70" t="n">
        <f aca="false">-AH42*Assumptions!$E$79</f>
        <v>-29507.250346712</v>
      </c>
      <c r="AI45" s="70" t="n">
        <f aca="false">-AI42*Assumptions!$E$79</f>
        <v>-30340.8168884016</v>
      </c>
      <c r="AJ45" s="70" t="n">
        <f aca="false">-AJ42*Assumptions!$E$79</f>
        <v>-31206.0847294788</v>
      </c>
      <c r="AK45" s="70" t="n">
        <f aca="false">-AK42*Assumptions!$E$79</f>
        <v>-32106.9921042237</v>
      </c>
      <c r="AL45" s="70" t="n">
        <f aca="false">-AL42*Assumptions!$E$79</f>
        <v>-33047.8199373362</v>
      </c>
      <c r="AM45" s="70" t="n">
        <f aca="false">SUM(C45:AL45)</f>
        <v>-694525.53573543</v>
      </c>
    </row>
    <row r="46" customFormat="false" ht="15" hidden="false" customHeight="false" outlineLevel="0" collapsed="false">
      <c r="A46" s="37" t="s">
        <v>767</v>
      </c>
      <c r="B46" s="9" t="s">
        <v>97</v>
      </c>
      <c r="C46" s="53" t="n">
        <f aca="false">C42+C43+C44+C45</f>
        <v>0</v>
      </c>
      <c r="D46" s="53" t="n">
        <f aca="false">D42+D43+D44+D45</f>
        <v>68528.79</v>
      </c>
      <c r="E46" s="53" t="n">
        <f aca="false">E42+E43+E44+E45</f>
        <v>122529.47652</v>
      </c>
      <c r="F46" s="53" t="n">
        <f aca="false">F42+F43+F44+F45</f>
        <v>154080.481915503</v>
      </c>
      <c r="G46" s="53" t="n">
        <f aca="false">G42+G43+G44+G45</f>
        <v>181009.628611781</v>
      </c>
      <c r="H46" s="53" t="n">
        <f aca="false">H42+H43+H44+H45</f>
        <v>205349.281991045</v>
      </c>
      <c r="I46" s="53" t="n">
        <f aca="false">I42+I43+I44+I45</f>
        <v>227219.519378255</v>
      </c>
      <c r="J46" s="53" t="n">
        <f aca="false">J42+J43+J44+J45</f>
        <v>248064.437567507</v>
      </c>
      <c r="K46" s="53" t="n">
        <f aca="false">K42+K43+K44+K45</f>
        <v>267388.589338326</v>
      </c>
      <c r="L46" s="53" t="n">
        <f aca="false">L42+L43+L44+L45</f>
        <v>285536.957175017</v>
      </c>
      <c r="M46" s="53" t="n">
        <f aca="false">M42+M43+M44+M45</f>
        <v>302740.858999224</v>
      </c>
      <c r="N46" s="53" t="n">
        <f aca="false">N42+N43+N44+N45</f>
        <v>319170.063872632</v>
      </c>
      <c r="O46" s="53" t="n">
        <f aca="false">O42+O43+O44+O45</f>
        <v>334963.39945822</v>
      </c>
      <c r="P46" s="53" t="n">
        <f aca="false">P42+P43+P44+P45</f>
        <v>350237.189502183</v>
      </c>
      <c r="Q46" s="53" t="n">
        <f aca="false">Q42+Q43+Q44+Q45</f>
        <v>365090.478252525</v>
      </c>
      <c r="R46" s="53" t="n">
        <f aca="false">R42+R43+R44+R45</f>
        <v>379608.885256125</v>
      </c>
      <c r="S46" s="53" t="n">
        <f aca="false">S42+S43+S44+S45</f>
        <v>393867.643180948</v>
      </c>
      <c r="T46" s="53" t="n">
        <f aca="false">T42+T43+T44+T45</f>
        <v>407934.044812746</v>
      </c>
      <c r="U46" s="53" t="n">
        <f aca="false">U42+U43+U44+U45</f>
        <v>421869.437120652</v>
      </c>
      <c r="V46" s="53" t="n">
        <f aca="false">V42+V43+V44+V45</f>
        <v>435730.861007196</v>
      </c>
      <c r="W46" s="53" t="n">
        <f aca="false">W42+W43+W44+W45</f>
        <v>449572.412231352</v>
      </c>
      <c r="X46" s="53" t="n">
        <f aca="false">X42+X43+X44+X45</f>
        <v>463446.383064434</v>
      </c>
      <c r="Y46" s="53" t="n">
        <f aca="false">Y42+Y43+Y44+Y45</f>
        <v>477404.232382098</v>
      </c>
      <c r="Z46" s="53" t="n">
        <f aca="false">Z42+Z43+Z44+Z45</f>
        <v>491497.422722844</v>
      </c>
      <c r="AA46" s="53" t="n">
        <f aca="false">AA42+AA43+AA44+AA45</f>
        <v>505778.155612313</v>
      </c>
      <c r="AB46" s="53" t="n">
        <f aca="false">AB42+AB43+AB44+AB45</f>
        <v>520300.030703874</v>
      </c>
      <c r="AC46" s="53" t="n">
        <f aca="false">AC42+AC43+AC44+AC45</f>
        <v>535081.53002217</v>
      </c>
      <c r="AD46" s="53" t="n">
        <f aca="false">AD42+AD43+AD44+AD45</f>
        <v>550151.296538855</v>
      </c>
      <c r="AE46" s="53" t="n">
        <f aca="false">AE42+AE43+AE44+AE45</f>
        <v>565561.270719062</v>
      </c>
      <c r="AF46" s="53" t="n">
        <f aca="false">AF42+AF43+AF44+AF45</f>
        <v>581365.242866364</v>
      </c>
      <c r="AG46" s="53" t="n">
        <f aca="false">AG42+AG43+AG44+AG45</f>
        <v>597621.321783215</v>
      </c>
      <c r="AH46" s="53" t="n">
        <f aca="false">AH42+AH43+AH44+AH45</f>
        <v>614392.932230777</v>
      </c>
      <c r="AI46" s="53" t="n">
        <f aca="false">AI42+AI43+AI44+AI45</f>
        <v>631749.256040704</v>
      </c>
      <c r="AJ46" s="53" t="n">
        <f aca="false">AJ42+AJ43+AJ44+AJ45</f>
        <v>649765.656748934</v>
      </c>
      <c r="AK46" s="53" t="n">
        <f aca="false">AK42+AK43+AK44+AK45</f>
        <v>668524.135330777</v>
      </c>
      <c r="AL46" s="53" t="n">
        <f aca="false">AL42+AL43+AL44+AL45</f>
        <v>688113.828179765</v>
      </c>
      <c r="AM46" s="53" t="n">
        <f aca="false">SUM(C46:AL46)</f>
        <v>14461245.1311374</v>
      </c>
    </row>
    <row r="47" customFormat="false" ht="15" hidden="false" customHeight="false" outlineLevel="0" collapsed="false">
      <c r="A47" s="10" t="s">
        <v>768</v>
      </c>
      <c r="B47" s="9" t="s">
        <v>61</v>
      </c>
      <c r="C47" s="62" t="n">
        <f aca="false">IFERROR(C46/C42,0)</f>
        <v>0</v>
      </c>
      <c r="D47" s="62" t="n">
        <f aca="false">IFERROR(D46/D42,0)</f>
        <v>0.603831086439334</v>
      </c>
      <c r="E47" s="62" t="n">
        <f aca="false">IFERROR(E46/E42,0)</f>
        <v>0.603831086439334</v>
      </c>
      <c r="F47" s="62" t="n">
        <f aca="false">IFERROR(F46/F42,0)</f>
        <v>0.603831086439334</v>
      </c>
      <c r="G47" s="62" t="n">
        <f aca="false">IFERROR(G46/G42,0)</f>
        <v>0.603831086439334</v>
      </c>
      <c r="H47" s="62" t="n">
        <f aca="false">IFERROR(H46/H42,0)</f>
        <v>0.603831086439334</v>
      </c>
      <c r="I47" s="62" t="n">
        <f aca="false">IFERROR(I46/I42,0)</f>
        <v>0.603831086439334</v>
      </c>
      <c r="J47" s="62" t="n">
        <f aca="false">IFERROR(J46/J42,0)</f>
        <v>0.603831086439334</v>
      </c>
      <c r="K47" s="62" t="n">
        <f aca="false">IFERROR(K46/K42,0)</f>
        <v>0.603831086439334</v>
      </c>
      <c r="L47" s="62" t="n">
        <f aca="false">IFERROR(L46/L42,0)</f>
        <v>0.603831086439334</v>
      </c>
      <c r="M47" s="62" t="n">
        <f aca="false">IFERROR(M46/M42,0)</f>
        <v>0.603831086439334</v>
      </c>
      <c r="N47" s="62" t="n">
        <f aca="false">IFERROR(N46/N42,0)</f>
        <v>0.603831086439334</v>
      </c>
      <c r="O47" s="62" t="n">
        <f aca="false">IFERROR(O46/O42,0)</f>
        <v>0.603831086439334</v>
      </c>
      <c r="P47" s="62" t="n">
        <f aca="false">IFERROR(P46/P42,0)</f>
        <v>0.603831086439334</v>
      </c>
      <c r="Q47" s="62" t="n">
        <f aca="false">IFERROR(Q46/Q42,0)</f>
        <v>0.603831086439334</v>
      </c>
      <c r="R47" s="62" t="n">
        <f aca="false">IFERROR(R46/R42,0)</f>
        <v>0.603831086439334</v>
      </c>
      <c r="S47" s="62" t="n">
        <f aca="false">IFERROR(S46/S42,0)</f>
        <v>0.603831086439334</v>
      </c>
      <c r="T47" s="62" t="n">
        <f aca="false">IFERROR(T46/T42,0)</f>
        <v>0.603831086439334</v>
      </c>
      <c r="U47" s="62" t="n">
        <f aca="false">IFERROR(U46/U42,0)</f>
        <v>0.603831086439334</v>
      </c>
      <c r="V47" s="62" t="n">
        <f aca="false">IFERROR(V46/V42,0)</f>
        <v>0.603831086439334</v>
      </c>
      <c r="W47" s="62" t="n">
        <f aca="false">IFERROR(W46/W42,0)</f>
        <v>0.603831086439334</v>
      </c>
      <c r="X47" s="62" t="n">
        <f aca="false">IFERROR(X46/X42,0)</f>
        <v>0.603831086439334</v>
      </c>
      <c r="Y47" s="62" t="n">
        <f aca="false">IFERROR(Y46/Y42,0)</f>
        <v>0.603831086439334</v>
      </c>
      <c r="Z47" s="62" t="n">
        <f aca="false">IFERROR(Z46/Z42,0)</f>
        <v>0.603831086439334</v>
      </c>
      <c r="AA47" s="62" t="n">
        <f aca="false">IFERROR(AA46/AA42,0)</f>
        <v>0.603831086439334</v>
      </c>
      <c r="AB47" s="62" t="n">
        <f aca="false">IFERROR(AB46/AB42,0)</f>
        <v>0.603831086439334</v>
      </c>
      <c r="AC47" s="62" t="n">
        <f aca="false">IFERROR(AC46/AC42,0)</f>
        <v>0.603831086439334</v>
      </c>
      <c r="AD47" s="62" t="n">
        <f aca="false">IFERROR(AD46/AD42,0)</f>
        <v>0.603831086439334</v>
      </c>
      <c r="AE47" s="62" t="n">
        <f aca="false">IFERROR(AE46/AE42,0)</f>
        <v>0.603831086439334</v>
      </c>
      <c r="AF47" s="62" t="n">
        <f aca="false">IFERROR(AF46/AF42,0)</f>
        <v>0.603831086439334</v>
      </c>
      <c r="AG47" s="62" t="n">
        <f aca="false">IFERROR(AG46/AG42,0)</f>
        <v>0.603831086439334</v>
      </c>
      <c r="AH47" s="62" t="n">
        <f aca="false">IFERROR(AH46/AH42,0)</f>
        <v>0.603831086439334</v>
      </c>
      <c r="AI47" s="62" t="n">
        <f aca="false">IFERROR(AI46/AI42,0)</f>
        <v>0.603831086439334</v>
      </c>
      <c r="AJ47" s="62" t="n">
        <f aca="false">IFERROR(AJ46/AJ42,0)</f>
        <v>0.603831086439334</v>
      </c>
      <c r="AK47" s="62" t="n">
        <f aca="false">IFERROR(AK46/AK42,0)</f>
        <v>0.603831086439334</v>
      </c>
      <c r="AL47" s="62" t="n">
        <f aca="false">IFERROR(AL46/AL42,0)</f>
        <v>0.603831086439334</v>
      </c>
      <c r="AM47" s="62" t="n">
        <f aca="false">AVERAGE(N47:AL47)</f>
        <v>0.603831086439334</v>
      </c>
    </row>
    <row r="48" customFormat="false" ht="15" hidden="false" customHeight="false" outlineLevel="0" collapsed="false">
      <c r="A48" s="10" t="s">
        <v>769</v>
      </c>
      <c r="B48" s="9" t="s">
        <v>61</v>
      </c>
      <c r="C48" s="62" t="n">
        <f aca="false">IF(C9=0,0,MIN(Assumptions!$E$63,Assumptions!$E$61+Assumptions!$E$62*(C$5-Assumptions!$E$7)))</f>
        <v>0</v>
      </c>
      <c r="D48" s="62" t="n">
        <f aca="false">IF(D9=0,0,MIN(Assumptions!$E$63,Assumptions!$E$61+Assumptions!$E$62*(D$5-Assumptions!$E$7)))</f>
        <v>0</v>
      </c>
      <c r="E48" s="62" t="n">
        <f aca="false">IF(E9=0,0,MIN(Assumptions!$E$63,Assumptions!$E$61+Assumptions!$E$62*(E$5-Assumptions!$E$7)))</f>
        <v>0</v>
      </c>
      <c r="F48" s="62" t="n">
        <f aca="false">IF(F9=0,0,MIN(Assumptions!$E$63,Assumptions!$E$61+Assumptions!$E$62*(F$5-Assumptions!$E$7)))</f>
        <v>0</v>
      </c>
      <c r="G48" s="62" t="n">
        <f aca="false">IF(G9=0,0,MIN(Assumptions!$E$63,Assumptions!$E$61+Assumptions!$E$62*(G$5-Assumptions!$E$7)))</f>
        <v>0</v>
      </c>
      <c r="H48" s="62" t="n">
        <f aca="false">IF(H9=0,0,MIN(Assumptions!$E$63,Assumptions!$E$61+Assumptions!$E$62*(H$5-Assumptions!$E$7)))</f>
        <v>0</v>
      </c>
      <c r="I48" s="62" t="n">
        <f aca="false">IF(I9=0,0,MIN(Assumptions!$E$63,Assumptions!$E$61+Assumptions!$E$62*(I$5-Assumptions!$E$7)))</f>
        <v>0.36</v>
      </c>
      <c r="J48" s="62" t="n">
        <f aca="false">IF(J9=0,0,MIN(Assumptions!$E$63,Assumptions!$E$61+Assumptions!$E$62*(J$5-Assumptions!$E$7)))</f>
        <v>0.385</v>
      </c>
      <c r="K48" s="62" t="n">
        <f aca="false">IF(K9=0,0,MIN(Assumptions!$E$63,Assumptions!$E$61+Assumptions!$E$62*(K$5-Assumptions!$E$7)))</f>
        <v>0.41</v>
      </c>
      <c r="L48" s="62" t="n">
        <f aca="false">IF(L9=0,0,MIN(Assumptions!$E$63,Assumptions!$E$61+Assumptions!$E$62*(L$5-Assumptions!$E$7)))</f>
        <v>0.435</v>
      </c>
      <c r="M48" s="62" t="n">
        <f aca="false">IF(M9=0,0,MIN(Assumptions!$E$63,Assumptions!$E$61+Assumptions!$E$62*(M$5-Assumptions!$E$7)))</f>
        <v>0.46</v>
      </c>
      <c r="N48" s="62" t="n">
        <f aca="false">IF(N9=0,0,MIN(Assumptions!$E$63,Assumptions!$E$61+Assumptions!$E$62*(N$5-Assumptions!$E$7)))</f>
        <v>0.485</v>
      </c>
      <c r="O48" s="62" t="n">
        <f aca="false">IF(O9=0,0,MIN(Assumptions!$E$63,Assumptions!$E$61+Assumptions!$E$62*(O$5-Assumptions!$E$7)))</f>
        <v>0.51</v>
      </c>
      <c r="P48" s="62" t="n">
        <f aca="false">IF(P9=0,0,MIN(Assumptions!$E$63,Assumptions!$E$61+Assumptions!$E$62*(P$5-Assumptions!$E$7)))</f>
        <v>0.535</v>
      </c>
      <c r="Q48" s="62" t="n">
        <f aca="false">IF(Q9=0,0,MIN(Assumptions!$E$63,Assumptions!$E$61+Assumptions!$E$62*(Q$5-Assumptions!$E$7)))</f>
        <v>0.56</v>
      </c>
      <c r="R48" s="62" t="n">
        <f aca="false">IF(R9=0,0,MIN(Assumptions!$E$63,Assumptions!$E$61+Assumptions!$E$62*(R$5-Assumptions!$E$7)))</f>
        <v>0.585</v>
      </c>
      <c r="S48" s="62" t="n">
        <f aca="false">IF(S9=0,0,MIN(Assumptions!$E$63,Assumptions!$E$61+Assumptions!$E$62*(S$5-Assumptions!$E$7)))</f>
        <v>0.61</v>
      </c>
      <c r="T48" s="62" t="n">
        <f aca="false">IF(T9=0,0,MIN(Assumptions!$E$63,Assumptions!$E$61+Assumptions!$E$62*(T$5-Assumptions!$E$7)))</f>
        <v>0.635</v>
      </c>
      <c r="U48" s="62" t="n">
        <f aca="false">IF(U9=0,0,MIN(Assumptions!$E$63,Assumptions!$E$61+Assumptions!$E$62*(U$5-Assumptions!$E$7)))</f>
        <v>0.66</v>
      </c>
      <c r="V48" s="62" t="n">
        <f aca="false">IF(V9=0,0,MIN(Assumptions!$E$63,Assumptions!$E$61+Assumptions!$E$62*(V$5-Assumptions!$E$7)))</f>
        <v>0.685</v>
      </c>
      <c r="W48" s="62" t="n">
        <f aca="false">IF(W9=0,0,MIN(Assumptions!$E$63,Assumptions!$E$61+Assumptions!$E$62*(W$5-Assumptions!$E$7)))</f>
        <v>0.71</v>
      </c>
      <c r="X48" s="62" t="n">
        <f aca="false">IF(X9=0,0,MIN(Assumptions!$E$63,Assumptions!$E$61+Assumptions!$E$62*(X$5-Assumptions!$E$7)))</f>
        <v>0.735</v>
      </c>
      <c r="Y48" s="62" t="n">
        <f aca="false">IF(Y9=0,0,MIN(Assumptions!$E$63,Assumptions!$E$61+Assumptions!$E$62*(Y$5-Assumptions!$E$7)))</f>
        <v>0.76</v>
      </c>
      <c r="Z48" s="62" t="n">
        <f aca="false">IF(Z9=0,0,MIN(Assumptions!$E$63,Assumptions!$E$61+Assumptions!$E$62*(Z$5-Assumptions!$E$7)))</f>
        <v>0.785</v>
      </c>
      <c r="AA48" s="62" t="n">
        <f aca="false">IF(AA9=0,0,MIN(Assumptions!$E$63,Assumptions!$E$61+Assumptions!$E$62*(AA$5-Assumptions!$E$7)))</f>
        <v>0.81</v>
      </c>
      <c r="AB48" s="62" t="n">
        <f aca="false">IF(AB9=0,0,MIN(Assumptions!$E$63,Assumptions!$E$61+Assumptions!$E$62*(AB$5-Assumptions!$E$7)))</f>
        <v>0.82</v>
      </c>
      <c r="AC48" s="62" t="n">
        <f aca="false">IF(AC9=0,0,MIN(Assumptions!$E$63,Assumptions!$E$61+Assumptions!$E$62*(AC$5-Assumptions!$E$7)))</f>
        <v>0.82</v>
      </c>
      <c r="AD48" s="62" t="n">
        <f aca="false">IF(AD9=0,0,MIN(Assumptions!$E$63,Assumptions!$E$61+Assumptions!$E$62*(AD$5-Assumptions!$E$7)))</f>
        <v>0.82</v>
      </c>
      <c r="AE48" s="62" t="n">
        <f aca="false">IF(AE9=0,0,MIN(Assumptions!$E$63,Assumptions!$E$61+Assumptions!$E$62*(AE$5-Assumptions!$E$7)))</f>
        <v>0.82</v>
      </c>
      <c r="AF48" s="62" t="n">
        <f aca="false">IF(AF9=0,0,MIN(Assumptions!$E$63,Assumptions!$E$61+Assumptions!$E$62*(AF$5-Assumptions!$E$7)))</f>
        <v>0.82</v>
      </c>
      <c r="AG48" s="62" t="n">
        <f aca="false">IF(AG9=0,0,MIN(Assumptions!$E$63,Assumptions!$E$61+Assumptions!$E$62*(AG$5-Assumptions!$E$7)))</f>
        <v>0.82</v>
      </c>
      <c r="AH48" s="62" t="n">
        <f aca="false">IF(AH9=0,0,MIN(Assumptions!$E$63,Assumptions!$E$61+Assumptions!$E$62*(AH$5-Assumptions!$E$7)))</f>
        <v>0.82</v>
      </c>
      <c r="AI48" s="62" t="n">
        <f aca="false">IF(AI9=0,0,MIN(Assumptions!$E$63,Assumptions!$E$61+Assumptions!$E$62*(AI$5-Assumptions!$E$7)))</f>
        <v>0.82</v>
      </c>
      <c r="AJ48" s="62" t="n">
        <f aca="false">IF(AJ9=0,0,MIN(Assumptions!$E$63,Assumptions!$E$61+Assumptions!$E$62*(AJ$5-Assumptions!$E$7)))</f>
        <v>0.82</v>
      </c>
      <c r="AK48" s="62" t="n">
        <f aca="false">IF(AK9=0,0,MIN(Assumptions!$E$63,Assumptions!$E$61+Assumptions!$E$62*(AK$5-Assumptions!$E$7)))</f>
        <v>0.82</v>
      </c>
      <c r="AL48" s="62" t="n">
        <f aca="false">IF(AL9=0,0,MIN(Assumptions!$E$63,Assumptions!$E$61+Assumptions!$E$62*(AL$5-Assumptions!$E$7)))</f>
        <v>0.82</v>
      </c>
      <c r="AM48" s="62" t="n">
        <f aca="false">AL48</f>
        <v>0.82</v>
      </c>
    </row>
    <row r="49" customFormat="false" ht="15" hidden="false" customHeight="false" outlineLevel="0" collapsed="false">
      <c r="A49" s="10" t="s">
        <v>770</v>
      </c>
      <c r="B49" s="9" t="s">
        <v>84</v>
      </c>
      <c r="C49" s="61" t="n">
        <f aca="false">C15+C19+C23+(C13+C25)*Assumptions!$E$45</f>
        <v>5800.24053845475</v>
      </c>
      <c r="D49" s="61" t="n">
        <f aca="false">D15+D19+D23+(D13+D25)*Assumptions!$E$45</f>
        <v>134923.92662069</v>
      </c>
      <c r="E49" s="61" t="n">
        <f aca="false">E15+E19+E23+(E13+E25)*Assumptions!$E$45</f>
        <v>65919.8513958621</v>
      </c>
      <c r="F49" s="61" t="n">
        <f aca="false">F15+F19+F23+(F13+F25)*Assumptions!$E$45</f>
        <v>74232.9223939035</v>
      </c>
      <c r="G49" s="61" t="n">
        <f aca="false">G15+G19+G23+(G13+G25)*Assumptions!$E$45</f>
        <v>78185.2344731746</v>
      </c>
      <c r="H49" s="61" t="n">
        <f aca="false">H15+H19+H23+(H13+H25)*Assumptions!$E$45</f>
        <v>77633.63680378</v>
      </c>
      <c r="I49" s="61" t="n">
        <f aca="false">I15+I19+I23+(I13+I25)*Assumptions!$E$45</f>
        <v>76747.1668768248</v>
      </c>
      <c r="J49" s="61" t="n">
        <f aca="false">J15+J19+J23+(J13+J25)*Assumptions!$E$45</f>
        <v>76866.6577306875</v>
      </c>
      <c r="K49" s="61" t="n">
        <f aca="false">K15+K19+K23+(K13+K25)*Assumptions!$E$45</f>
        <v>77113.1357681403</v>
      </c>
      <c r="L49" s="61" t="n">
        <f aca="false">L15+L19+L23+(L13+L25)*Assumptions!$E$45</f>
        <v>77603.8231863952</v>
      </c>
      <c r="M49" s="61" t="n">
        <f aca="false">M15+M19+M23+(M13+M25)*Assumptions!$E$45</f>
        <v>78361.1203649821</v>
      </c>
      <c r="N49" s="61" t="n">
        <f aca="false">N15+N19+N23+(N13+N25)*Assumptions!$E$45</f>
        <v>79362.8835800987</v>
      </c>
      <c r="O49" s="61" t="n">
        <f aca="false">O15+O19+O23+(O13+O25)*Assumptions!$E$45</f>
        <v>80581.6344355884</v>
      </c>
      <c r="P49" s="61" t="n">
        <f aca="false">P15+P19+P23+(P13+P25)*Assumptions!$E$45</f>
        <v>81992.6483293929</v>
      </c>
      <c r="Q49" s="61" t="n">
        <f aca="false">Q15+Q19+Q23+(Q13+Q25)*Assumptions!$E$45</f>
        <v>83575.8132565057</v>
      </c>
      <c r="R49" s="61" t="n">
        <f aca="false">R15+R19+R23+(R13+R25)*Assumptions!$E$45</f>
        <v>85315.8334760621</v>
      </c>
      <c r="S49" s="61" t="n">
        <f aca="false">S15+S19+S23+(S13+S25)*Assumptions!$E$45</f>
        <v>87201.9244126743</v>
      </c>
      <c r="T49" s="61" t="n">
        <f aca="false">T15+T19+T23+(T13+T25)*Assumptions!$E$45</f>
        <v>89227.358645197</v>
      </c>
      <c r="U49" s="61" t="n">
        <f aca="false">U15+U19+U23+(U13+U25)*Assumptions!$E$45</f>
        <v>91389.0012700385</v>
      </c>
      <c r="V49" s="61" t="n">
        <f aca="false">V15+V19+V23+(V13+V25)*Assumptions!$E$45</f>
        <v>93686.8902715583</v>
      </c>
      <c r="W49" s="61" t="n">
        <f aca="false">W15+W19+W23+(W13+W25)*Assumptions!$E$45</f>
        <v>96123.8819048444</v>
      </c>
      <c r="X49" s="61" t="n">
        <f aca="false">X15+X19+X23+(X13+X25)*Assumptions!$E$45</f>
        <v>98705.3649729788</v>
      </c>
      <c r="Y49" s="61" t="n">
        <f aca="false">Y15+Y19+Y23+(Y13+Y25)*Assumptions!$E$45</f>
        <v>101439.040750802</v>
      </c>
      <c r="Z49" s="61" t="n">
        <f aca="false">Z15+Z19+Z23+(Z13+Z25)*Assumptions!$E$45</f>
        <v>104334.762512996</v>
      </c>
      <c r="AA49" s="61" t="n">
        <f aca="false">AA15+AA19+AA23+(AA13+AA25)*Assumptions!$E$45</f>
        <v>107404.427937162</v>
      </c>
      <c r="AB49" s="61" t="n">
        <f aca="false">AB15+AB19+AB23+(AB13+AB25)*Assumptions!$E$45</f>
        <v>110661.917961788</v>
      </c>
      <c r="AC49" s="61" t="n">
        <f aca="false">AC15+AC19+AC23+(AC13+AC25)*Assumptions!$E$45</f>
        <v>114090.576491911</v>
      </c>
      <c r="AD49" s="61" t="n">
        <f aca="false">AD15+AD19+AD23+(AD13+AD25)*Assumptions!$E$45</f>
        <v>117691.842162123</v>
      </c>
      <c r="AE49" s="61" t="n">
        <f aca="false">AE15+AE19+AE23+(AE13+AE25)*Assumptions!$E$45</f>
        <v>121491.751995322</v>
      </c>
      <c r="AF49" s="61" t="n">
        <f aca="false">AF15+AF19+AF23+(AF13+AF25)*Assumptions!$E$45</f>
        <v>125514.50301843</v>
      </c>
      <c r="AG49" s="61" t="n">
        <f aca="false">AG15+AG19+AG23+(AG13+AG25)*Assumptions!$E$45</f>
        <v>129784.999098599</v>
      </c>
      <c r="AH49" s="61" t="n">
        <f aca="false">AH15+AH19+AH23+(AH13+AH25)*Assumptions!$E$45</f>
        <v>134330.004161017</v>
      </c>
      <c r="AI49" s="61" t="n">
        <f aca="false">AI15+AI19+AI23+(AI13+AI25)*Assumptions!$E$45</f>
        <v>139178.448142168</v>
      </c>
      <c r="AJ49" s="61" t="n">
        <f aca="false">AJ15+AJ19+AJ23+(AJ13+AJ25)*Assumptions!$E$45</f>
        <v>144361.629313629</v>
      </c>
      <c r="AK49" s="61" t="n">
        <f aca="false">AK15+AK19+AK23+(AK13+AK25)*Assumptions!$E$45</f>
        <v>149913.418483061</v>
      </c>
      <c r="AL49" s="61" t="n">
        <f aca="false">AL15+AL19+AL23+(AL13+AL25)*Assumptions!$E$45</f>
        <v>155870.481316684</v>
      </c>
      <c r="AM49" s="61" t="n">
        <f aca="false">SUM(C49:AL49)</f>
        <v>3546618.75405353</v>
      </c>
    </row>
    <row r="50" customFormat="false" ht="15" hidden="false" customHeight="false" outlineLevel="0" collapsed="false">
      <c r="A50" s="10" t="s">
        <v>771</v>
      </c>
      <c r="B50" s="9" t="s">
        <v>51</v>
      </c>
      <c r="C50" s="61" t="n">
        <f aca="false">C49*Assumptions!$E$58*C9</f>
        <v>0</v>
      </c>
      <c r="D50" s="61" t="n">
        <f aca="false">D49*Assumptions!$E$58*D9</f>
        <v>0</v>
      </c>
      <c r="E50" s="61" t="n">
        <f aca="false">E49*Assumptions!$E$58*E9</f>
        <v>0</v>
      </c>
      <c r="F50" s="61" t="n">
        <f aca="false">F49*Assumptions!$E$58*F9</f>
        <v>0</v>
      </c>
      <c r="G50" s="61" t="n">
        <f aca="false">G49*Assumptions!$E$58*G9</f>
        <v>0</v>
      </c>
      <c r="H50" s="61" t="n">
        <f aca="false">H49*Assumptions!$E$58*H9</f>
        <v>0</v>
      </c>
      <c r="I50" s="61" t="n">
        <f aca="false">I49*Assumptions!$E$58*I9</f>
        <v>1381.44900378285</v>
      </c>
      <c r="J50" s="61" t="n">
        <f aca="false">J49*Assumptions!$E$58*J9</f>
        <v>1383.59983915238</v>
      </c>
      <c r="K50" s="61" t="n">
        <f aca="false">K49*Assumptions!$E$58*K9</f>
        <v>1388.03644382653</v>
      </c>
      <c r="L50" s="61" t="n">
        <f aca="false">L49*Assumptions!$E$58*L9</f>
        <v>1396.86881735511</v>
      </c>
      <c r="M50" s="61" t="n">
        <f aca="false">M49*Assumptions!$E$58*M9</f>
        <v>1410.50016656968</v>
      </c>
      <c r="N50" s="61" t="n">
        <f aca="false">N49*Assumptions!$E$58*N9</f>
        <v>1428.53190444178</v>
      </c>
      <c r="O50" s="61" t="n">
        <f aca="false">O49*Assumptions!$E$58*O9</f>
        <v>1450.46941984059</v>
      </c>
      <c r="P50" s="61" t="n">
        <f aca="false">P49*Assumptions!$E$58*P9</f>
        <v>1475.86766992907</v>
      </c>
      <c r="Q50" s="61" t="n">
        <f aca="false">Q49*Assumptions!$E$58*Q9</f>
        <v>1504.3646386171</v>
      </c>
      <c r="R50" s="61" t="n">
        <f aca="false">R49*Assumptions!$E$58*R9</f>
        <v>1535.68500256912</v>
      </c>
      <c r="S50" s="61" t="n">
        <f aca="false">S49*Assumptions!$E$58*S9</f>
        <v>1569.63463942814</v>
      </c>
      <c r="T50" s="61" t="n">
        <f aca="false">T49*Assumptions!$E$58*T9</f>
        <v>1606.09245561354</v>
      </c>
      <c r="U50" s="61" t="n">
        <f aca="false">U49*Assumptions!$E$58*U9</f>
        <v>1645.00202286069</v>
      </c>
      <c r="V50" s="61" t="n">
        <f aca="false">V49*Assumptions!$E$58*V9</f>
        <v>1686.36402488805</v>
      </c>
      <c r="W50" s="61" t="n">
        <f aca="false">W49*Assumptions!$E$58*W9</f>
        <v>1730.2298742872</v>
      </c>
      <c r="X50" s="61" t="n">
        <f aca="false">X49*Assumptions!$E$58*X9</f>
        <v>1776.69656951362</v>
      </c>
      <c r="Y50" s="61" t="n">
        <f aca="false">Y49*Assumptions!$E$58*Y9</f>
        <v>1825.90273351443</v>
      </c>
      <c r="Z50" s="61" t="n">
        <f aca="false">Z49*Assumptions!$E$58*Z9</f>
        <v>1878.02572523393</v>
      </c>
      <c r="AA50" s="61" t="n">
        <f aca="false">AA49*Assumptions!$E$58*AA9</f>
        <v>1933.27970286892</v>
      </c>
      <c r="AB50" s="61" t="n">
        <f aca="false">AB49*Assumptions!$E$58*AB9</f>
        <v>1991.91452331219</v>
      </c>
      <c r="AC50" s="61" t="n">
        <f aca="false">AC49*Assumptions!$E$58*AC9</f>
        <v>2053.63037685439</v>
      </c>
      <c r="AD50" s="61" t="n">
        <f aca="false">AD49*Assumptions!$E$58*AD9</f>
        <v>2118.45315891821</v>
      </c>
      <c r="AE50" s="61" t="n">
        <f aca="false">AE49*Assumptions!$E$58*AE9</f>
        <v>2186.8515359158</v>
      </c>
      <c r="AF50" s="61" t="n">
        <f aca="false">AF49*Assumptions!$E$58*AF9</f>
        <v>2259.26105433173</v>
      </c>
      <c r="AG50" s="61" t="n">
        <f aca="false">AG49*Assumptions!$E$58*AG9</f>
        <v>2336.12998377479</v>
      </c>
      <c r="AH50" s="61" t="n">
        <f aca="false">AH49*Assumptions!$E$58*AH9</f>
        <v>2417.9400748983</v>
      </c>
      <c r="AI50" s="61" t="n">
        <f aca="false">AI49*Assumptions!$E$58*AI9</f>
        <v>2505.21206655902</v>
      </c>
      <c r="AJ50" s="61" t="n">
        <f aca="false">AJ49*Assumptions!$E$58*AJ9</f>
        <v>2598.50932764533</v>
      </c>
      <c r="AK50" s="61" t="n">
        <f aca="false">AK49*Assumptions!$E$58*AK9</f>
        <v>2698.4415326951</v>
      </c>
      <c r="AL50" s="61" t="n">
        <f aca="false">AL49*Assumptions!$E$58*AL9</f>
        <v>2805.66866370032</v>
      </c>
      <c r="AM50" s="61" t="n">
        <f aca="false">SUM(C50:AL50)</f>
        <v>55978.6129528979</v>
      </c>
    </row>
    <row r="51" customFormat="false" ht="15" hidden="false" customHeight="false" outlineLevel="0" collapsed="false">
      <c r="A51" s="10" t="s">
        <v>772</v>
      </c>
      <c r="B51" s="9" t="s">
        <v>51</v>
      </c>
      <c r="C51" s="61" t="n">
        <f aca="false">C50*Assumptions!$E$59</f>
        <v>0</v>
      </c>
      <c r="D51" s="61" t="n">
        <f aca="false">D50*Assumptions!$E$59</f>
        <v>0</v>
      </c>
      <c r="E51" s="61" t="n">
        <f aca="false">E50*Assumptions!$E$59</f>
        <v>0</v>
      </c>
      <c r="F51" s="61" t="n">
        <f aca="false">F50*Assumptions!$E$59</f>
        <v>0</v>
      </c>
      <c r="G51" s="61" t="n">
        <f aca="false">G50*Assumptions!$E$59</f>
        <v>0</v>
      </c>
      <c r="H51" s="61" t="n">
        <f aca="false">H50*Assumptions!$E$59</f>
        <v>0</v>
      </c>
      <c r="I51" s="61" t="n">
        <f aca="false">I50*Assumptions!$E$59</f>
        <v>967.014302647992</v>
      </c>
      <c r="J51" s="61" t="n">
        <f aca="false">J50*Assumptions!$E$59</f>
        <v>968.519887406663</v>
      </c>
      <c r="K51" s="61" t="n">
        <f aca="false">K50*Assumptions!$E$59</f>
        <v>971.625510678568</v>
      </c>
      <c r="L51" s="61" t="n">
        <f aca="false">L50*Assumptions!$E$59</f>
        <v>977.808172148579</v>
      </c>
      <c r="M51" s="61" t="n">
        <f aca="false">M50*Assumptions!$E$59</f>
        <v>987.350116598775</v>
      </c>
      <c r="N51" s="61" t="n">
        <f aca="false">N50*Assumptions!$E$59</f>
        <v>999.972333109243</v>
      </c>
      <c r="O51" s="61" t="n">
        <f aca="false">O50*Assumptions!$E$59</f>
        <v>1015.32859388841</v>
      </c>
      <c r="P51" s="61" t="n">
        <f aca="false">P50*Assumptions!$E$59</f>
        <v>1033.10736895035</v>
      </c>
      <c r="Q51" s="61" t="n">
        <f aca="false">Q50*Assumptions!$E$59</f>
        <v>1053.05524703197</v>
      </c>
      <c r="R51" s="61" t="n">
        <f aca="false">R50*Assumptions!$E$59</f>
        <v>1074.97950179838</v>
      </c>
      <c r="S51" s="61" t="n">
        <f aca="false">S50*Assumptions!$E$59</f>
        <v>1098.7442475997</v>
      </c>
      <c r="T51" s="61" t="n">
        <f aca="false">T50*Assumptions!$E$59</f>
        <v>1124.26471892948</v>
      </c>
      <c r="U51" s="61" t="n">
        <f aca="false">U50*Assumptions!$E$59</f>
        <v>1151.50141600249</v>
      </c>
      <c r="V51" s="61" t="n">
        <f aca="false">V50*Assumptions!$E$59</f>
        <v>1180.45481742163</v>
      </c>
      <c r="W51" s="61" t="n">
        <f aca="false">W50*Assumptions!$E$59</f>
        <v>1211.16091200104</v>
      </c>
      <c r="X51" s="61" t="n">
        <f aca="false">X50*Assumptions!$E$59</f>
        <v>1243.68759865953</v>
      </c>
      <c r="Y51" s="61" t="n">
        <f aca="false">Y50*Assumptions!$E$59</f>
        <v>1278.1319134601</v>
      </c>
      <c r="Z51" s="61" t="n">
        <f aca="false">Z50*Assumptions!$E$59</f>
        <v>1314.61800766375</v>
      </c>
      <c r="AA51" s="61" t="n">
        <f aca="false">AA50*Assumptions!$E$59</f>
        <v>1353.29579200824</v>
      </c>
      <c r="AB51" s="61" t="n">
        <f aca="false">AB50*Assumptions!$E$59</f>
        <v>1394.34016631853</v>
      </c>
      <c r="AC51" s="61" t="n">
        <f aca="false">AC50*Assumptions!$E$59</f>
        <v>1437.54126379807</v>
      </c>
      <c r="AD51" s="61" t="n">
        <f aca="false">AD50*Assumptions!$E$59</f>
        <v>1482.91721124275</v>
      </c>
      <c r="AE51" s="61" t="n">
        <f aca="false">AE50*Assumptions!$E$59</f>
        <v>1530.79607514106</v>
      </c>
      <c r="AF51" s="61" t="n">
        <f aca="false">AF50*Assumptions!$E$59</f>
        <v>1581.48273803221</v>
      </c>
      <c r="AG51" s="61" t="n">
        <f aca="false">AG50*Assumptions!$E$59</f>
        <v>1635.29098864235</v>
      </c>
      <c r="AH51" s="61" t="n">
        <f aca="false">AH50*Assumptions!$E$59</f>
        <v>1692.55805242881</v>
      </c>
      <c r="AI51" s="61" t="n">
        <f aca="false">AI50*Assumptions!$E$59</f>
        <v>1753.64844659131</v>
      </c>
      <c r="AJ51" s="61" t="n">
        <f aca="false">AJ50*Assumptions!$E$59</f>
        <v>1818.95652935173</v>
      </c>
      <c r="AK51" s="61" t="n">
        <f aca="false">AK50*Assumptions!$E$59</f>
        <v>1888.90907288657</v>
      </c>
      <c r="AL51" s="61" t="n">
        <f aca="false">AL50*Assumptions!$E$59</f>
        <v>1963.96806459022</v>
      </c>
      <c r="AM51" s="61" t="n">
        <f aca="false">SUM(C51:AL51)</f>
        <v>39185.0290670285</v>
      </c>
    </row>
    <row r="52" customFormat="false" ht="15" hidden="false" customHeight="false" outlineLevel="0" collapsed="false">
      <c r="A52" s="10" t="s">
        <v>773</v>
      </c>
      <c r="B52" s="9" t="s">
        <v>51</v>
      </c>
      <c r="C52" s="61" t="n">
        <f aca="false">C51*Assumptions!$E$60*C48</f>
        <v>0</v>
      </c>
      <c r="D52" s="61" t="n">
        <f aca="false">D51*Assumptions!$E$60*D48</f>
        <v>0</v>
      </c>
      <c r="E52" s="61" t="n">
        <f aca="false">E51*Assumptions!$E$60*E48</f>
        <v>0</v>
      </c>
      <c r="F52" s="61" t="n">
        <f aca="false">F51*Assumptions!$E$60*F48</f>
        <v>0</v>
      </c>
      <c r="G52" s="61" t="n">
        <f aca="false">G51*Assumptions!$E$60*G48</f>
        <v>0</v>
      </c>
      <c r="H52" s="61" t="n">
        <f aca="false">H51*Assumptions!$E$60*H48</f>
        <v>0</v>
      </c>
      <c r="I52" s="61" t="n">
        <f aca="false">I51*Assumptions!$E$60*I48</f>
        <v>201.912586392901</v>
      </c>
      <c r="J52" s="61" t="n">
        <f aca="false">J51*Assumptions!$E$60*J48</f>
        <v>216.270490857908</v>
      </c>
      <c r="K52" s="61" t="n">
        <f aca="false">K51*Assumptions!$E$60*K48</f>
        <v>231.052546439363</v>
      </c>
      <c r="L52" s="61" t="n">
        <f aca="false">L51*Assumptions!$E$60*L48</f>
        <v>246.701001833087</v>
      </c>
      <c r="M52" s="61" t="n">
        <f aca="false">M51*Assumptions!$E$60*M48</f>
        <v>263.425011108553</v>
      </c>
      <c r="N52" s="61" t="n">
        <f aca="false">N51*Assumptions!$E$60*N48</f>
        <v>281.29221730363</v>
      </c>
      <c r="O52" s="61" t="n">
        <f aca="false">O51*Assumptions!$E$60*O48</f>
        <v>300.334198072193</v>
      </c>
      <c r="P52" s="61" t="n">
        <f aca="false">P51*Assumptions!$E$60*P48</f>
        <v>320.573216585294</v>
      </c>
      <c r="Q52" s="61" t="n">
        <f aca="false">Q51*Assumptions!$E$60*Q48</f>
        <v>342.032344235984</v>
      </c>
      <c r="R52" s="61" t="n">
        <f aca="false">R51*Assumptions!$E$60*R48</f>
        <v>364.740544960191</v>
      </c>
      <c r="S52" s="61" t="n">
        <f aca="false">S51*Assumptions!$E$60*S48</f>
        <v>388.735714800772</v>
      </c>
      <c r="T52" s="61" t="n">
        <f aca="false">T51*Assumptions!$E$60*T48</f>
        <v>414.066695981728</v>
      </c>
      <c r="U52" s="61" t="n">
        <f aca="false">U51*Assumptions!$E$60*U48</f>
        <v>440.794742045751</v>
      </c>
      <c r="V52" s="61" t="n">
        <f aca="false">V51*Assumptions!$E$60*V48</f>
        <v>468.994698961615</v>
      </c>
      <c r="W52" s="61" t="n">
        <f aca="false">W51*Assumptions!$E$60*W48</f>
        <v>498.756063562028</v>
      </c>
      <c r="X52" s="61" t="n">
        <f aca="false">X51*Assumptions!$E$60*X48</f>
        <v>530.184023308559</v>
      </c>
      <c r="Y52" s="61" t="n">
        <f aca="false">Y51*Assumptions!$E$60*Y48</f>
        <v>563.400547453213</v>
      </c>
      <c r="Z52" s="61" t="n">
        <f aca="false">Z51*Assumptions!$E$60*Z48</f>
        <v>598.545578889306</v>
      </c>
      <c r="AA52" s="61" t="n">
        <f aca="false">AA51*Assumptions!$E$60*AA48</f>
        <v>635.778363085473</v>
      </c>
      <c r="AB52" s="61" t="n">
        <f aca="false">AB51*Assumptions!$E$60*AB48</f>
        <v>663.148183101094</v>
      </c>
      <c r="AC52" s="61" t="n">
        <f aca="false">AC51*Assumptions!$E$60*AC48</f>
        <v>683.694625062363</v>
      </c>
      <c r="AD52" s="61" t="n">
        <f aca="false">AD51*Assumptions!$E$60*AD48</f>
        <v>705.275425667051</v>
      </c>
      <c r="AE52" s="61" t="n">
        <f aca="false">AE51*Assumptions!$E$60*AE48</f>
        <v>728.046613337089</v>
      </c>
      <c r="AF52" s="61" t="n">
        <f aca="false">AF51*Assumptions!$E$60*AF48</f>
        <v>752.153190208121</v>
      </c>
      <c r="AG52" s="61" t="n">
        <f aca="false">AG51*Assumptions!$E$60*AG48</f>
        <v>777.744394198302</v>
      </c>
      <c r="AH52" s="61" t="n">
        <f aca="false">AH51*Assumptions!$E$60*AH48</f>
        <v>804.980609735143</v>
      </c>
      <c r="AI52" s="61" t="n">
        <f aca="false">AI51*Assumptions!$E$60*AI48</f>
        <v>834.035201198829</v>
      </c>
      <c r="AJ52" s="61" t="n">
        <f aca="false">AJ51*Assumptions!$E$60*AJ48</f>
        <v>865.095725359682</v>
      </c>
      <c r="AK52" s="61" t="n">
        <f aca="false">AK51*Assumptions!$E$60*AK48</f>
        <v>898.365155064853</v>
      </c>
      <c r="AL52" s="61" t="n">
        <f aca="false">AL51*Assumptions!$E$60*AL48</f>
        <v>934.06321151911</v>
      </c>
      <c r="AM52" s="61" t="n">
        <f aca="false">SUM(C52:AL52)</f>
        <v>15954.1929203292</v>
      </c>
    </row>
    <row r="53" customFormat="false" ht="15" hidden="false" customHeight="false" outlineLevel="0" collapsed="false">
      <c r="A53" s="10" t="s">
        <v>774</v>
      </c>
      <c r="B53" s="9" t="s">
        <v>51</v>
      </c>
      <c r="C53" s="61" t="n">
        <f aca="false">C52*Assumptions!$E$64</f>
        <v>0</v>
      </c>
      <c r="D53" s="61" t="n">
        <f aca="false">D52*Assumptions!$E$64</f>
        <v>0</v>
      </c>
      <c r="E53" s="61" t="n">
        <f aca="false">E52*Assumptions!$E$64</f>
        <v>0</v>
      </c>
      <c r="F53" s="61" t="n">
        <f aca="false">F52*Assumptions!$E$64</f>
        <v>0</v>
      </c>
      <c r="G53" s="61" t="n">
        <f aca="false">G52*Assumptions!$E$64</f>
        <v>0</v>
      </c>
      <c r="H53" s="61" t="n">
        <f aca="false">H52*Assumptions!$E$64</f>
        <v>0</v>
      </c>
      <c r="I53" s="61" t="n">
        <f aca="false">I52*Assumptions!$E$64</f>
        <v>113.071048380024</v>
      </c>
      <c r="J53" s="61" t="n">
        <f aca="false">J52*Assumptions!$E$64</f>
        <v>121.111474880428</v>
      </c>
      <c r="K53" s="61" t="n">
        <f aca="false">K52*Assumptions!$E$64</f>
        <v>129.389426006044</v>
      </c>
      <c r="L53" s="61" t="n">
        <f aca="false">L52*Assumptions!$E$64</f>
        <v>138.152561026528</v>
      </c>
      <c r="M53" s="61" t="n">
        <f aca="false">M52*Assumptions!$E$64</f>
        <v>147.51800622079</v>
      </c>
      <c r="N53" s="61" t="n">
        <f aca="false">N52*Assumptions!$E$64</f>
        <v>157.523641690033</v>
      </c>
      <c r="O53" s="61" t="n">
        <f aca="false">O52*Assumptions!$E$64</f>
        <v>168.187150920428</v>
      </c>
      <c r="P53" s="61" t="n">
        <f aca="false">P52*Assumptions!$E$64</f>
        <v>179.521001287764</v>
      </c>
      <c r="Q53" s="61" t="n">
        <f aca="false">Q52*Assumptions!$E$64</f>
        <v>191.538112772151</v>
      </c>
      <c r="R53" s="61" t="n">
        <f aca="false">R52*Assumptions!$E$64</f>
        <v>204.254705177707</v>
      </c>
      <c r="S53" s="61" t="n">
        <f aca="false">S52*Assumptions!$E$64</f>
        <v>217.692000288433</v>
      </c>
      <c r="T53" s="61" t="n">
        <f aca="false">T52*Assumptions!$E$64</f>
        <v>231.877349749768</v>
      </c>
      <c r="U53" s="61" t="n">
        <f aca="false">U52*Assumptions!$E$64</f>
        <v>246.845055545621</v>
      </c>
      <c r="V53" s="61" t="n">
        <f aca="false">V52*Assumptions!$E$64</f>
        <v>262.637031418505</v>
      </c>
      <c r="W53" s="61" t="n">
        <f aca="false">W52*Assumptions!$E$64</f>
        <v>279.303395594736</v>
      </c>
      <c r="X53" s="61" t="n">
        <f aca="false">X52*Assumptions!$E$64</f>
        <v>296.903053052793</v>
      </c>
      <c r="Y53" s="61" t="n">
        <f aca="false">Y52*Assumptions!$E$64</f>
        <v>315.504306573799</v>
      </c>
      <c r="Z53" s="61" t="n">
        <f aca="false">Z52*Assumptions!$E$64</f>
        <v>335.185524178011</v>
      </c>
      <c r="AA53" s="61" t="n">
        <f aca="false">AA52*Assumptions!$E$64</f>
        <v>356.035883327865</v>
      </c>
      <c r="AB53" s="61" t="n">
        <f aca="false">AB52*Assumptions!$E$64</f>
        <v>371.362982536613</v>
      </c>
      <c r="AC53" s="61" t="n">
        <f aca="false">AC52*Assumptions!$E$64</f>
        <v>382.868990034923</v>
      </c>
      <c r="AD53" s="61" t="n">
        <f aca="false">AD52*Assumptions!$E$64</f>
        <v>394.954238373548</v>
      </c>
      <c r="AE53" s="61" t="n">
        <f aca="false">AE52*Assumptions!$E$64</f>
        <v>407.70610346877</v>
      </c>
      <c r="AF53" s="61" t="n">
        <f aca="false">AF52*Assumptions!$E$64</f>
        <v>421.205786516548</v>
      </c>
      <c r="AG53" s="61" t="n">
        <f aca="false">AG52*Assumptions!$E$64</f>
        <v>435.536860751049</v>
      </c>
      <c r="AH53" s="61" t="n">
        <f aca="false">AH52*Assumptions!$E$64</f>
        <v>450.78914145168</v>
      </c>
      <c r="AI53" s="61" t="n">
        <f aca="false">AI52*Assumptions!$E$64</f>
        <v>467.059712671344</v>
      </c>
      <c r="AJ53" s="61" t="n">
        <f aca="false">AJ52*Assumptions!$E$64</f>
        <v>484.453606201422</v>
      </c>
      <c r="AK53" s="61" t="n">
        <f aca="false">AK52*Assumptions!$E$64</f>
        <v>503.084486836318</v>
      </c>
      <c r="AL53" s="61" t="n">
        <f aca="false">AL52*Assumptions!$E$64</f>
        <v>523.075398450702</v>
      </c>
      <c r="AM53" s="61" t="n">
        <f aca="false">SUM(C53:AL53)</f>
        <v>8934.34803538434</v>
      </c>
    </row>
    <row r="54" customFormat="false" ht="15" hidden="false" customHeight="false" outlineLevel="0" collapsed="false">
      <c r="A54" s="10" t="s">
        <v>775</v>
      </c>
      <c r="B54" s="9" t="s">
        <v>51</v>
      </c>
      <c r="C54" s="61" t="n">
        <f aca="false">C53*Assumptions!$E$65</f>
        <v>0</v>
      </c>
      <c r="D54" s="61" t="n">
        <f aca="false">D53*Assumptions!$E$65</f>
        <v>0</v>
      </c>
      <c r="E54" s="61" t="n">
        <f aca="false">E53*Assumptions!$E$65</f>
        <v>0</v>
      </c>
      <c r="F54" s="61" t="n">
        <f aca="false">F53*Assumptions!$E$65</f>
        <v>0</v>
      </c>
      <c r="G54" s="61" t="n">
        <f aca="false">G53*Assumptions!$E$65</f>
        <v>0</v>
      </c>
      <c r="H54" s="61" t="n">
        <f aca="false">H53*Assumptions!$E$65</f>
        <v>0</v>
      </c>
      <c r="I54" s="61" t="n">
        <f aca="false">I53*Assumptions!$E$65</f>
        <v>93.8489701554203</v>
      </c>
      <c r="J54" s="61" t="n">
        <f aca="false">J53*Assumptions!$E$65</f>
        <v>100.522524150756</v>
      </c>
      <c r="K54" s="61" t="n">
        <f aca="false">K53*Assumptions!$E$65</f>
        <v>107.393223585016</v>
      </c>
      <c r="L54" s="61" t="n">
        <f aca="false">L53*Assumptions!$E$65</f>
        <v>114.666625652019</v>
      </c>
      <c r="M54" s="61" t="n">
        <f aca="false">M53*Assumptions!$E$65</f>
        <v>122.439945163255</v>
      </c>
      <c r="N54" s="61" t="n">
        <f aca="false">N53*Assumptions!$E$65</f>
        <v>130.744622602727</v>
      </c>
      <c r="O54" s="61" t="n">
        <f aca="false">O53*Assumptions!$E$65</f>
        <v>139.595335263955</v>
      </c>
      <c r="P54" s="61" t="n">
        <f aca="false">P53*Assumptions!$E$65</f>
        <v>149.002431068844</v>
      </c>
      <c r="Q54" s="61" t="n">
        <f aca="false">Q53*Assumptions!$E$65</f>
        <v>158.976633600886</v>
      </c>
      <c r="R54" s="61" t="n">
        <f aca="false">R53*Assumptions!$E$65</f>
        <v>169.531405297497</v>
      </c>
      <c r="S54" s="61" t="n">
        <f aca="false">S53*Assumptions!$E$65</f>
        <v>180.684360239399</v>
      </c>
      <c r="T54" s="61" t="n">
        <f aca="false">T53*Assumptions!$E$65</f>
        <v>192.458200292307</v>
      </c>
      <c r="U54" s="61" t="n">
        <f aca="false">U53*Assumptions!$E$65</f>
        <v>204.881396102865</v>
      </c>
      <c r="V54" s="61" t="n">
        <f aca="false">V53*Assumptions!$E$65</f>
        <v>217.988736077359</v>
      </c>
      <c r="W54" s="61" t="n">
        <f aca="false">W53*Assumptions!$E$65</f>
        <v>231.821818343631</v>
      </c>
      <c r="X54" s="61" t="n">
        <f aca="false">X53*Assumptions!$E$65</f>
        <v>246.429534033818</v>
      </c>
      <c r="Y54" s="61" t="n">
        <f aca="false">Y53*Assumptions!$E$65</f>
        <v>261.868574456253</v>
      </c>
      <c r="Z54" s="61" t="n">
        <f aca="false">Z53*Assumptions!$E$65</f>
        <v>278.203985067749</v>
      </c>
      <c r="AA54" s="61" t="n">
        <f aca="false">AA53*Assumptions!$E$65</f>
        <v>295.509783162128</v>
      </c>
      <c r="AB54" s="61" t="n">
        <f aca="false">AB53*Assumptions!$E$65</f>
        <v>308.231275505388</v>
      </c>
      <c r="AC54" s="61" t="n">
        <f aca="false">AC53*Assumptions!$E$65</f>
        <v>317.781261728986</v>
      </c>
      <c r="AD54" s="61" t="n">
        <f aca="false">AD53*Assumptions!$E$65</f>
        <v>327.812017850045</v>
      </c>
      <c r="AE54" s="61" t="n">
        <f aca="false">AE53*Assumptions!$E$65</f>
        <v>338.396065879079</v>
      </c>
      <c r="AF54" s="61" t="n">
        <f aca="false">AF53*Assumptions!$E$65</f>
        <v>349.600802808735</v>
      </c>
      <c r="AG54" s="61" t="n">
        <f aca="false">AG53*Assumptions!$E$65</f>
        <v>361.495594423371</v>
      </c>
      <c r="AH54" s="61" t="n">
        <f aca="false">AH53*Assumptions!$E$65</f>
        <v>374.154987404894</v>
      </c>
      <c r="AI54" s="61" t="n">
        <f aca="false">AI53*Assumptions!$E$65</f>
        <v>387.659561517216</v>
      </c>
      <c r="AJ54" s="61" t="n">
        <f aca="false">AJ53*Assumptions!$E$65</f>
        <v>402.09649314718</v>
      </c>
      <c r="AK54" s="61" t="n">
        <f aca="false">AK53*Assumptions!$E$65</f>
        <v>417.560124074144</v>
      </c>
      <c r="AL54" s="61" t="n">
        <f aca="false">AL53*Assumptions!$E$65</f>
        <v>434.152580714083</v>
      </c>
      <c r="AM54" s="61" t="n">
        <f aca="false">SUM(C54:AL54)</f>
        <v>7415.50886936901</v>
      </c>
    </row>
    <row r="55" customFormat="false" ht="15" hidden="false" customHeight="false" outlineLevel="0" collapsed="false">
      <c r="A55" s="10" t="s">
        <v>776</v>
      </c>
      <c r="B55" s="9" t="s">
        <v>51</v>
      </c>
      <c r="C55" s="61" t="n">
        <f aca="false">C54*Assumptions!$E$66</f>
        <v>0</v>
      </c>
      <c r="D55" s="61" t="n">
        <f aca="false">D54*Assumptions!$E$66</f>
        <v>0</v>
      </c>
      <c r="E55" s="61" t="n">
        <f aca="false">E54*Assumptions!$E$66</f>
        <v>0</v>
      </c>
      <c r="F55" s="61" t="n">
        <f aca="false">F54*Assumptions!$E$66</f>
        <v>0</v>
      </c>
      <c r="G55" s="61" t="n">
        <f aca="false">G54*Assumptions!$E$66</f>
        <v>0</v>
      </c>
      <c r="H55" s="61" t="n">
        <f aca="false">H54*Assumptions!$E$66</f>
        <v>0</v>
      </c>
      <c r="I55" s="61" t="n">
        <f aca="false">I54*Assumptions!$E$66</f>
        <v>58.1863614963606</v>
      </c>
      <c r="J55" s="61" t="n">
        <f aca="false">J54*Assumptions!$E$66</f>
        <v>62.3239649734684</v>
      </c>
      <c r="K55" s="61" t="n">
        <f aca="false">K54*Assumptions!$E$66</f>
        <v>66.58379862271</v>
      </c>
      <c r="L55" s="61" t="n">
        <f aca="false">L54*Assumptions!$E$66</f>
        <v>71.0933079042515</v>
      </c>
      <c r="M55" s="61" t="n">
        <f aca="false">M54*Assumptions!$E$66</f>
        <v>75.9127660012184</v>
      </c>
      <c r="N55" s="61" t="n">
        <f aca="false">N54*Assumptions!$E$66</f>
        <v>81.0616660136909</v>
      </c>
      <c r="O55" s="61" t="n">
        <f aca="false">O54*Assumptions!$E$66</f>
        <v>86.5491078636522</v>
      </c>
      <c r="P55" s="61" t="n">
        <f aca="false">P54*Assumptions!$E$66</f>
        <v>92.3815072626835</v>
      </c>
      <c r="Q55" s="61" t="n">
        <f aca="false">Q54*Assumptions!$E$66</f>
        <v>98.565512832549</v>
      </c>
      <c r="R55" s="61" t="n">
        <f aca="false">R54*Assumptions!$E$66</f>
        <v>105.109471284448</v>
      </c>
      <c r="S55" s="61" t="n">
        <f aca="false">S54*Assumptions!$E$66</f>
        <v>112.024303348427</v>
      </c>
      <c r="T55" s="61" t="n">
        <f aca="false">T54*Assumptions!$E$66</f>
        <v>119.32408418123</v>
      </c>
      <c r="U55" s="61" t="n">
        <f aca="false">U54*Assumptions!$E$66</f>
        <v>127.026465583776</v>
      </c>
      <c r="V55" s="61" t="n">
        <f aca="false">V54*Assumptions!$E$66</f>
        <v>135.153016367962</v>
      </c>
      <c r="W55" s="61" t="n">
        <f aca="false">W54*Assumptions!$E$66</f>
        <v>143.729527373051</v>
      </c>
      <c r="X55" s="61" t="n">
        <f aca="false">X54*Assumptions!$E$66</f>
        <v>152.786311100967</v>
      </c>
      <c r="Y55" s="61" t="n">
        <f aca="false">Y54*Assumptions!$E$66</f>
        <v>162.358516162877</v>
      </c>
      <c r="Z55" s="61" t="n">
        <f aca="false">Z54*Assumptions!$E$66</f>
        <v>172.486470742005</v>
      </c>
      <c r="AA55" s="61" t="n">
        <f aca="false">AA54*Assumptions!$E$66</f>
        <v>183.216065560519</v>
      </c>
      <c r="AB55" s="61" t="n">
        <f aca="false">AB54*Assumptions!$E$66</f>
        <v>191.103390813341</v>
      </c>
      <c r="AC55" s="61" t="n">
        <f aca="false">AC54*Assumptions!$E$66</f>
        <v>197.024382271972</v>
      </c>
      <c r="AD55" s="61" t="n">
        <f aca="false">AD54*Assumptions!$E$66</f>
        <v>203.243451067028</v>
      </c>
      <c r="AE55" s="61" t="n">
        <f aca="false">AE54*Assumptions!$E$66</f>
        <v>209.805560845029</v>
      </c>
      <c r="AF55" s="61" t="n">
        <f aca="false">AF54*Assumptions!$E$66</f>
        <v>216.752497741415</v>
      </c>
      <c r="AG55" s="61" t="n">
        <f aca="false">AG54*Assumptions!$E$66</f>
        <v>224.12726854249</v>
      </c>
      <c r="AH55" s="61" t="n">
        <f aca="false">AH54*Assumptions!$E$66</f>
        <v>231.976092191034</v>
      </c>
      <c r="AI55" s="61" t="n">
        <f aca="false">AI54*Assumptions!$E$66</f>
        <v>240.348928140674</v>
      </c>
      <c r="AJ55" s="61" t="n">
        <f aca="false">AJ54*Assumptions!$E$66</f>
        <v>249.299825751252</v>
      </c>
      <c r="AK55" s="61" t="n">
        <f aca="false">AK54*Assumptions!$E$66</f>
        <v>258.887276925969</v>
      </c>
      <c r="AL55" s="61" t="n">
        <f aca="false">AL54*Assumptions!$E$66</f>
        <v>269.174600042731</v>
      </c>
      <c r="AM55" s="61" t="n">
        <f aca="false">SUM(C55:AL55)</f>
        <v>4597.61549900878</v>
      </c>
    </row>
    <row r="56" customFormat="false" ht="15" hidden="false" customHeight="false" outlineLevel="0" collapsed="false">
      <c r="A56" s="10" t="s">
        <v>777</v>
      </c>
      <c r="B56" s="9" t="s">
        <v>51</v>
      </c>
      <c r="C56" s="61" t="n">
        <f aca="false">C55*Assumptions!$E$67</f>
        <v>0</v>
      </c>
      <c r="D56" s="61" t="n">
        <f aca="false">D55*Assumptions!$E$67</f>
        <v>0</v>
      </c>
      <c r="E56" s="61" t="n">
        <f aca="false">E55*Assumptions!$E$67</f>
        <v>0</v>
      </c>
      <c r="F56" s="61" t="n">
        <f aca="false">F55*Assumptions!$E$67</f>
        <v>0</v>
      </c>
      <c r="G56" s="61" t="n">
        <f aca="false">G55*Assumptions!$E$67</f>
        <v>0</v>
      </c>
      <c r="H56" s="61" t="n">
        <f aca="false">H55*Assumptions!$E$67</f>
        <v>0</v>
      </c>
      <c r="I56" s="61" t="n">
        <f aca="false">I55*Assumptions!$E$67</f>
        <v>38.402998587598</v>
      </c>
      <c r="J56" s="61" t="n">
        <f aca="false">J55*Assumptions!$E$67</f>
        <v>41.1338168824892</v>
      </c>
      <c r="K56" s="61" t="n">
        <f aca="false">K55*Assumptions!$E$67</f>
        <v>43.9453070909886</v>
      </c>
      <c r="L56" s="61" t="n">
        <f aca="false">L55*Assumptions!$E$67</f>
        <v>46.921583216806</v>
      </c>
      <c r="M56" s="61" t="n">
        <f aca="false">M55*Assumptions!$E$67</f>
        <v>50.1024255608042</v>
      </c>
      <c r="N56" s="61" t="n">
        <f aca="false">N55*Assumptions!$E$67</f>
        <v>53.500699569036</v>
      </c>
      <c r="O56" s="61" t="n">
        <f aca="false">O55*Assumptions!$E$67</f>
        <v>57.1224111900105</v>
      </c>
      <c r="P56" s="61" t="n">
        <f aca="false">P55*Assumptions!$E$67</f>
        <v>60.9717947933711</v>
      </c>
      <c r="Q56" s="61" t="n">
        <f aca="false">Q55*Assumptions!$E$67</f>
        <v>65.0532384694824</v>
      </c>
      <c r="R56" s="61" t="n">
        <f aca="false">R55*Assumptions!$E$67</f>
        <v>69.3722510477357</v>
      </c>
      <c r="S56" s="61" t="n">
        <f aca="false">S55*Assumptions!$E$67</f>
        <v>73.9360402099621</v>
      </c>
      <c r="T56" s="61" t="n">
        <f aca="false">T55*Assumptions!$E$67</f>
        <v>78.7538955596121</v>
      </c>
      <c r="U56" s="61" t="n">
        <f aca="false">U55*Assumptions!$E$67</f>
        <v>83.8374672852925</v>
      </c>
      <c r="V56" s="61" t="n">
        <f aca="false">V55*Assumptions!$E$67</f>
        <v>89.2009908028552</v>
      </c>
      <c r="W56" s="61" t="n">
        <f aca="false">W55*Assumptions!$E$67</f>
        <v>94.8614880662137</v>
      </c>
      <c r="X56" s="61" t="n">
        <f aca="false">X55*Assumptions!$E$67</f>
        <v>100.838965326638</v>
      </c>
      <c r="Y56" s="61" t="n">
        <f aca="false">Y55*Assumptions!$E$67</f>
        <v>107.156620667499</v>
      </c>
      <c r="Z56" s="61" t="n">
        <f aca="false">Z55*Assumptions!$E$67</f>
        <v>113.841070689723</v>
      </c>
      <c r="AA56" s="61" t="n">
        <f aca="false">AA55*Assumptions!$E$67</f>
        <v>120.922603269943</v>
      </c>
      <c r="AB56" s="61" t="n">
        <f aca="false">AB55*Assumptions!$E$67</f>
        <v>126.128237936805</v>
      </c>
      <c r="AC56" s="61" t="n">
        <f aca="false">AC55*Assumptions!$E$67</f>
        <v>130.036092299501</v>
      </c>
      <c r="AD56" s="61" t="n">
        <f aca="false">AD55*Assumptions!$E$67</f>
        <v>134.140677704238</v>
      </c>
      <c r="AE56" s="61" t="n">
        <f aca="false">AE55*Assumptions!$E$67</f>
        <v>138.471670157719</v>
      </c>
      <c r="AF56" s="61" t="n">
        <f aca="false">AF55*Assumptions!$E$67</f>
        <v>143.056648509334</v>
      </c>
      <c r="AG56" s="61" t="n">
        <f aca="false">AG55*Assumptions!$E$67</f>
        <v>147.923997238043</v>
      </c>
      <c r="AH56" s="61" t="n">
        <f aca="false">AH55*Assumptions!$E$67</f>
        <v>153.104220846083</v>
      </c>
      <c r="AI56" s="61" t="n">
        <f aca="false">AI55*Assumptions!$E$67</f>
        <v>158.630292572845</v>
      </c>
      <c r="AJ56" s="61" t="n">
        <f aca="false">AJ55*Assumptions!$E$67</f>
        <v>164.537884995826</v>
      </c>
      <c r="AK56" s="61" t="n">
        <f aca="false">AK55*Assumptions!$E$67</f>
        <v>170.86560277114</v>
      </c>
      <c r="AL56" s="61" t="n">
        <f aca="false">AL55*Assumptions!$E$67</f>
        <v>177.655236028203</v>
      </c>
      <c r="AM56" s="61" t="n">
        <f aca="false">SUM(C56:AL56)</f>
        <v>3034.4262293458</v>
      </c>
    </row>
    <row r="57" customFormat="false" ht="15" hidden="false" customHeight="false" outlineLevel="0" collapsed="false">
      <c r="A57" s="37" t="s">
        <v>778</v>
      </c>
      <c r="B57" s="9" t="s">
        <v>51</v>
      </c>
      <c r="C57" s="71" t="n">
        <f aca="false">C56</f>
        <v>0</v>
      </c>
      <c r="D57" s="71" t="n">
        <f aca="false">C57*(1-Assumptions!$E$68)+D56</f>
        <v>0</v>
      </c>
      <c r="E57" s="71" t="n">
        <f aca="false">D57*(1-Assumptions!$E$68)+E56</f>
        <v>0</v>
      </c>
      <c r="F57" s="71" t="n">
        <f aca="false">E57*(1-Assumptions!$E$68)+F56</f>
        <v>0</v>
      </c>
      <c r="G57" s="71" t="n">
        <f aca="false">F57*(1-Assumptions!$E$68)+G56</f>
        <v>0</v>
      </c>
      <c r="H57" s="71" t="n">
        <f aca="false">G57*(1-Assumptions!$E$68)+H56</f>
        <v>0</v>
      </c>
      <c r="I57" s="71" t="n">
        <f aca="false">H57*(1-Assumptions!$E$68)+I56</f>
        <v>38.402998587598</v>
      </c>
      <c r="J57" s="71" t="n">
        <f aca="false">I57*(1-Assumptions!$E$68)+J56</f>
        <v>75.3124856254514</v>
      </c>
      <c r="K57" s="71" t="n">
        <f aca="false">J57*(1-Assumptions!$E$68)+K56</f>
        <v>110.97341929764</v>
      </c>
      <c r="L57" s="71" t="n">
        <f aca="false">K57*(1-Assumptions!$E$68)+L56</f>
        <v>145.687926391706</v>
      </c>
      <c r="M57" s="71" t="n">
        <f aca="false">L57*(1-Assumptions!$E$68)+M56</f>
        <v>179.764680049422</v>
      </c>
      <c r="N57" s="71" t="n">
        <f aca="false">M57*(1-Assumptions!$E$68)+N56</f>
        <v>213.491264813022</v>
      </c>
      <c r="O57" s="71" t="n">
        <f aca="false">N57*(1-Assumptions!$E$68)+O56</f>
        <v>247.1296368736</v>
      </c>
      <c r="P57" s="71" t="n">
        <f aca="false">O57*(1-Assumptions!$E$68)+P56</f>
        <v>280.917171610875</v>
      </c>
      <c r="Q57" s="71" t="n">
        <f aca="false">P57*(1-Assumptions!$E$68)+Q56</f>
        <v>315.069521203161</v>
      </c>
      <c r="R57" s="71" t="n">
        <f aca="false">Q57*(1-Assumptions!$E$68)+R56</f>
        <v>349.784124918549</v>
      </c>
      <c r="S57" s="71" t="n">
        <f aca="false">R57*(1-Assumptions!$E$68)+S56</f>
        <v>385.243911387471</v>
      </c>
      <c r="T57" s="71" t="n">
        <f aca="false">S57*(1-Assumptions!$E$68)+T56</f>
        <v>421.620976694461</v>
      </c>
      <c r="U57" s="71" t="n">
        <f aca="false">T57*(1-Assumptions!$E$68)+U56</f>
        <v>459.080136543363</v>
      </c>
      <c r="V57" s="71" t="n">
        <f aca="false">U57*(1-Assumptions!$E$68)+V56</f>
        <v>497.782312326448</v>
      </c>
      <c r="W57" s="71" t="n">
        <f aca="false">V57*(1-Assumptions!$E$68)+W56</f>
        <v>537.887746036753</v>
      </c>
      <c r="X57" s="71" t="n">
        <f aca="false">W57*(1-Assumptions!$E$68)+X56</f>
        <v>579.559059299348</v>
      </c>
      <c r="Y57" s="71" t="n">
        <f aca="false">X57*(1-Assumptions!$E$68)+Y56</f>
        <v>622.964183443919</v>
      </c>
      <c r="Z57" s="71" t="n">
        <f aca="false">Y57*(1-Assumptions!$E$68)+Z56</f>
        <v>668.279193954811</v>
      </c>
      <c r="AA57" s="71" t="n">
        <f aca="false">Z57*(1-Assumptions!$E$68)+AA56</f>
        <v>715.691085889724</v>
      </c>
      <c r="AB57" s="71" t="n">
        <f aca="false">AA57*(1-Assumptions!$E$68)+AB56</f>
        <v>763.093304378659</v>
      </c>
      <c r="AC57" s="71" t="n">
        <f aca="false">AB57*(1-Assumptions!$E$68)+AC56</f>
        <v>809.189133196508</v>
      </c>
      <c r="AD57" s="71" t="n">
        <f aca="false">AC57*(1-Assumptions!$E$68)+AD56</f>
        <v>854.319006249131</v>
      </c>
      <c r="AE57" s="71" t="n">
        <f aca="false">AD57*(1-Assumptions!$E$68)+AE56</f>
        <v>898.815585719445</v>
      </c>
      <c r="AF57" s="71" t="n">
        <f aca="false">AE57*(1-Assumptions!$E$68)+AF56</f>
        <v>943.002519799641</v>
      </c>
      <c r="AG57" s="71" t="n">
        <f aca="false">AF57*(1-Assumptions!$E$68)+AG56</f>
        <v>987.196239859723</v>
      </c>
      <c r="AH57" s="71" t="n">
        <f aca="false">AG57*(1-Assumptions!$E$68)+AH56</f>
        <v>1031.70887432124</v>
      </c>
      <c r="AI57" s="71" t="n">
        <f aca="false">AH57*(1-Assumptions!$E$68)+AI56</f>
        <v>1076.85119071875</v>
      </c>
      <c r="AJ57" s="71" t="n">
        <f aca="false">AI57*(1-Assumptions!$E$68)+AJ56</f>
        <v>1122.93544473551</v>
      </c>
      <c r="AK57" s="71" t="n">
        <f aca="false">AJ57*(1-Assumptions!$E$68)+AK56</f>
        <v>1170.27814858574</v>
      </c>
      <c r="AL57" s="71" t="n">
        <f aca="false">AK57*(1-Assumptions!$E$68)+AL56</f>
        <v>1219.20278826951</v>
      </c>
      <c r="AM57" s="71" t="n">
        <f aca="false">AL57</f>
        <v>1219.20278826951</v>
      </c>
    </row>
    <row r="58" customFormat="false" ht="15" hidden="false" customHeight="false" outlineLevel="0" collapsed="false">
      <c r="A58" s="10" t="s">
        <v>779</v>
      </c>
      <c r="B58" s="9" t="s">
        <v>51</v>
      </c>
      <c r="C58" s="61" t="n">
        <f aca="false">0</f>
        <v>0</v>
      </c>
      <c r="D58" s="61" t="n">
        <f aca="false">C57*Assumptions!$E$68</f>
        <v>0</v>
      </c>
      <c r="E58" s="61" t="n">
        <f aca="false">D57*Assumptions!$E$68</f>
        <v>0</v>
      </c>
      <c r="F58" s="61" t="n">
        <f aca="false">E57*Assumptions!$E$68</f>
        <v>0</v>
      </c>
      <c r="G58" s="61" t="n">
        <f aca="false">F57*Assumptions!$E$68</f>
        <v>0</v>
      </c>
      <c r="H58" s="61" t="n">
        <f aca="false">G57*Assumptions!$E$68</f>
        <v>0</v>
      </c>
      <c r="I58" s="61" t="n">
        <f aca="false">H57*Assumptions!$E$68</f>
        <v>0</v>
      </c>
      <c r="J58" s="61" t="n">
        <f aca="false">I57*Assumptions!$E$68</f>
        <v>4.22432984463578</v>
      </c>
      <c r="K58" s="61" t="n">
        <f aca="false">J57*Assumptions!$E$68</f>
        <v>8.28437341879965</v>
      </c>
      <c r="L58" s="61" t="n">
        <f aca="false">K57*Assumptions!$E$68</f>
        <v>12.2070761227404</v>
      </c>
      <c r="M58" s="61" t="n">
        <f aca="false">L57*Assumptions!$E$68</f>
        <v>16.0256719030877</v>
      </c>
      <c r="N58" s="61" t="n">
        <f aca="false">M57*Assumptions!$E$68</f>
        <v>19.7741148054365</v>
      </c>
      <c r="O58" s="61" t="n">
        <f aca="false">N57*Assumptions!$E$68</f>
        <v>23.4840391294324</v>
      </c>
      <c r="P58" s="61" t="n">
        <f aca="false">O57*Assumptions!$E$68</f>
        <v>27.184260056096</v>
      </c>
      <c r="Q58" s="61" t="n">
        <f aca="false">P57*Assumptions!$E$68</f>
        <v>30.9008888771963</v>
      </c>
      <c r="R58" s="61" t="n">
        <f aca="false">Q57*Assumptions!$E$68</f>
        <v>34.6576473323477</v>
      </c>
      <c r="S58" s="61" t="n">
        <f aca="false">R57*Assumptions!$E$68</f>
        <v>38.4762537410404</v>
      </c>
      <c r="T58" s="61" t="n">
        <f aca="false">S57*Assumptions!$E$68</f>
        <v>42.3768302526218</v>
      </c>
      <c r="U58" s="61" t="n">
        <f aca="false">T57*Assumptions!$E$68</f>
        <v>46.3783074363907</v>
      </c>
      <c r="V58" s="61" t="n">
        <f aca="false">U57*Assumptions!$E$68</f>
        <v>50.4988150197699</v>
      </c>
      <c r="W58" s="61" t="n">
        <f aca="false">V57*Assumptions!$E$68</f>
        <v>54.7560543559093</v>
      </c>
      <c r="X58" s="61" t="n">
        <f aca="false">W57*Assumptions!$E$68</f>
        <v>59.1676520640428</v>
      </c>
      <c r="Y58" s="61" t="n">
        <f aca="false">X57*Assumptions!$E$68</f>
        <v>63.7514965229283</v>
      </c>
      <c r="Z58" s="61" t="n">
        <f aca="false">Y57*Assumptions!$E$68</f>
        <v>68.5260601788311</v>
      </c>
      <c r="AA58" s="61" t="n">
        <f aca="false">Z57*Assumptions!$E$68</f>
        <v>73.5107113350292</v>
      </c>
      <c r="AB58" s="61" t="n">
        <f aca="false">AA57*Assumptions!$E$68</f>
        <v>78.7260194478697</v>
      </c>
      <c r="AC58" s="61" t="n">
        <f aca="false">AB57*Assumptions!$E$68</f>
        <v>83.9402634816525</v>
      </c>
      <c r="AD58" s="61" t="n">
        <f aca="false">AC57*Assumptions!$E$68</f>
        <v>89.0108046516159</v>
      </c>
      <c r="AE58" s="61" t="n">
        <f aca="false">AD57*Assumptions!$E$68</f>
        <v>93.9750906874044</v>
      </c>
      <c r="AF58" s="61" t="n">
        <f aca="false">AE57*Assumptions!$E$68</f>
        <v>98.869714429139</v>
      </c>
      <c r="AG58" s="61" t="n">
        <f aca="false">AF57*Assumptions!$E$68</f>
        <v>103.73027717796</v>
      </c>
      <c r="AH58" s="61" t="n">
        <f aca="false">AG57*Assumptions!$E$68</f>
        <v>108.59158638457</v>
      </c>
      <c r="AI58" s="61" t="n">
        <f aca="false">AH57*Assumptions!$E$68</f>
        <v>113.487976175336</v>
      </c>
      <c r="AJ58" s="61" t="n">
        <f aca="false">AI57*Assumptions!$E$68</f>
        <v>118.453630979062</v>
      </c>
      <c r="AK58" s="61" t="n">
        <f aca="false">AJ57*Assumptions!$E$68</f>
        <v>123.522898920906</v>
      </c>
      <c r="AL58" s="61" t="n">
        <f aca="false">AK57*Assumptions!$E$68</f>
        <v>128.730596344432</v>
      </c>
      <c r="AM58" s="61" t="n">
        <f aca="false">SUM(C58:AL58)</f>
        <v>1815.22344107628</v>
      </c>
    </row>
    <row r="59" customFormat="false" ht="15" hidden="false" customHeight="false" outlineLevel="0" collapsed="false">
      <c r="A59" s="10" t="s">
        <v>780</v>
      </c>
      <c r="B59" s="9" t="s">
        <v>97</v>
      </c>
      <c r="C59" s="70" t="n">
        <f aca="false">C57*Assumptions!$E$70</f>
        <v>0</v>
      </c>
      <c r="D59" s="70" t="n">
        <f aca="false">D57*Assumptions!$E$70</f>
        <v>0</v>
      </c>
      <c r="E59" s="70" t="n">
        <f aca="false">E57*Assumptions!$E$70</f>
        <v>0</v>
      </c>
      <c r="F59" s="70" t="n">
        <f aca="false">F57*Assumptions!$E$70</f>
        <v>0</v>
      </c>
      <c r="G59" s="70" t="n">
        <f aca="false">G57*Assumptions!$E$70</f>
        <v>0</v>
      </c>
      <c r="H59" s="70" t="n">
        <f aca="false">H57*Assumptions!$E$70</f>
        <v>0</v>
      </c>
      <c r="I59" s="70" t="n">
        <f aca="false">I57*Assumptions!$E$70</f>
        <v>9562.3466483119</v>
      </c>
      <c r="J59" s="70" t="n">
        <f aca="false">J57*Assumptions!$E$70</f>
        <v>18752.8089207374</v>
      </c>
      <c r="K59" s="70" t="n">
        <f aca="false">K57*Assumptions!$E$70</f>
        <v>27632.3814051124</v>
      </c>
      <c r="L59" s="70" t="n">
        <f aca="false">L57*Assumptions!$E$70</f>
        <v>36276.2936715348</v>
      </c>
      <c r="M59" s="70" t="n">
        <f aca="false">M57*Assumptions!$E$70</f>
        <v>44761.4053323062</v>
      </c>
      <c r="N59" s="70" t="n">
        <f aca="false">N57*Assumptions!$E$70</f>
        <v>53159.3249384425</v>
      </c>
      <c r="O59" s="70" t="n">
        <f aca="false">O57*Assumptions!$E$70</f>
        <v>61535.2795815264</v>
      </c>
      <c r="P59" s="70" t="n">
        <f aca="false">P57*Assumptions!$E$70</f>
        <v>69948.3757311079</v>
      </c>
      <c r="Q59" s="70" t="n">
        <f aca="false">Q57*Assumptions!$E$70</f>
        <v>78452.3107795872</v>
      </c>
      <c r="R59" s="70" t="n">
        <f aca="false">R57*Assumptions!$E$70</f>
        <v>87096.2471047187</v>
      </c>
      <c r="S59" s="70" t="n">
        <f aca="false">S57*Assumptions!$E$70</f>
        <v>95925.7339354802</v>
      </c>
      <c r="T59" s="70" t="n">
        <f aca="false">T57*Assumptions!$E$70</f>
        <v>104983.623196921</v>
      </c>
      <c r="U59" s="70" t="n">
        <f aca="false">U57*Assumptions!$E$70</f>
        <v>114310.953999297</v>
      </c>
      <c r="V59" s="70" t="n">
        <f aca="false">V57*Assumptions!$E$70</f>
        <v>123947.795769286</v>
      </c>
      <c r="W59" s="70" t="n">
        <f aca="false">W57*Assumptions!$E$70</f>
        <v>133934.048763151</v>
      </c>
      <c r="X59" s="70" t="n">
        <f aca="false">X57*Assumptions!$E$70</f>
        <v>144310.205765538</v>
      </c>
      <c r="Y59" s="70" t="n">
        <f aca="false">Y57*Assumptions!$E$70</f>
        <v>155118.081677536</v>
      </c>
      <c r="Z59" s="70" t="n">
        <f aca="false">Z57*Assumptions!$E$70</f>
        <v>166401.519294748</v>
      </c>
      <c r="AA59" s="70" t="n">
        <f aca="false">AA57*Assumptions!$E$70</f>
        <v>178207.080386541</v>
      </c>
      <c r="AB59" s="70" t="n">
        <f aca="false">AB57*Assumptions!$E$70</f>
        <v>190010.232790286</v>
      </c>
      <c r="AC59" s="70" t="n">
        <f aca="false">AC57*Assumptions!$E$70</f>
        <v>201488.094165931</v>
      </c>
      <c r="AD59" s="70" t="n">
        <f aca="false">AD57*Assumptions!$E$70</f>
        <v>212725.432556034</v>
      </c>
      <c r="AE59" s="70" t="n">
        <f aca="false">AE57*Assumptions!$E$70</f>
        <v>223805.080844142</v>
      </c>
      <c r="AF59" s="70" t="n">
        <f aca="false">AF57*Assumptions!$E$70</f>
        <v>234807.627430111</v>
      </c>
      <c r="AG59" s="70" t="n">
        <f aca="false">AG57*Assumptions!$E$70</f>
        <v>245811.863725071</v>
      </c>
      <c r="AH59" s="70" t="n">
        <f aca="false">AH57*Assumptions!$E$70</f>
        <v>256895.509705988</v>
      </c>
      <c r="AI59" s="70" t="n">
        <f aca="false">AI57*Assumptions!$E$70</f>
        <v>268135.946488968</v>
      </c>
      <c r="AJ59" s="70" t="n">
        <f aca="false">AJ57*Assumptions!$E$70</f>
        <v>279610.925739142</v>
      </c>
      <c r="AK59" s="70" t="n">
        <f aca="false">AK57*Assumptions!$E$70</f>
        <v>291399.25899785</v>
      </c>
      <c r="AL59" s="70" t="n">
        <f aca="false">AL57*Assumptions!$E$70</f>
        <v>303581.494279109</v>
      </c>
      <c r="AM59" s="70" t="n">
        <f aca="false">SUM(C59:AL59)</f>
        <v>4412587.28362451</v>
      </c>
    </row>
    <row r="60" customFormat="false" ht="15" hidden="false" customHeight="false" outlineLevel="0" collapsed="false">
      <c r="A60" s="10" t="s">
        <v>781</v>
      </c>
      <c r="B60" s="9" t="s">
        <v>97</v>
      </c>
      <c r="C60" s="70" t="n">
        <f aca="false">C53*Assumptions!$E$71</f>
        <v>0</v>
      </c>
      <c r="D60" s="70" t="n">
        <f aca="false">D53*Assumptions!$E$71</f>
        <v>0</v>
      </c>
      <c r="E60" s="70" t="n">
        <f aca="false">E53*Assumptions!$E$71</f>
        <v>0</v>
      </c>
      <c r="F60" s="70" t="n">
        <f aca="false">F53*Assumptions!$E$71</f>
        <v>0</v>
      </c>
      <c r="G60" s="70" t="n">
        <f aca="false">G53*Assumptions!$E$71</f>
        <v>0</v>
      </c>
      <c r="H60" s="70" t="n">
        <f aca="false">H53*Assumptions!$E$71</f>
        <v>0</v>
      </c>
      <c r="I60" s="70" t="n">
        <f aca="false">I53*Assumptions!$E$71</f>
        <v>6671.19185442144</v>
      </c>
      <c r="J60" s="70" t="n">
        <f aca="false">J53*Assumptions!$E$71</f>
        <v>7145.57701794527</v>
      </c>
      <c r="K60" s="70" t="n">
        <f aca="false">K53*Assumptions!$E$71</f>
        <v>7633.97613435657</v>
      </c>
      <c r="L60" s="70" t="n">
        <f aca="false">L53*Assumptions!$E$71</f>
        <v>8151.00110056518</v>
      </c>
      <c r="M60" s="70" t="n">
        <f aca="false">M53*Assumptions!$E$71</f>
        <v>8703.56236702659</v>
      </c>
      <c r="N60" s="70" t="n">
        <f aca="false">N53*Assumptions!$E$71</f>
        <v>9293.89485971194</v>
      </c>
      <c r="O60" s="70" t="n">
        <f aca="false">O53*Assumptions!$E$71</f>
        <v>9923.04190430525</v>
      </c>
      <c r="P60" s="70" t="n">
        <f aca="false">P53*Assumptions!$E$71</f>
        <v>10591.7390759781</v>
      </c>
      <c r="Q60" s="70" t="n">
        <f aca="false">Q53*Assumptions!$E$71</f>
        <v>11300.7486535569</v>
      </c>
      <c r="R60" s="70" t="n">
        <f aca="false">R53*Assumptions!$E$71</f>
        <v>12051.0276054847</v>
      </c>
      <c r="S60" s="70" t="n">
        <f aca="false">S53*Assumptions!$E$71</f>
        <v>12843.8280170175</v>
      </c>
      <c r="T60" s="70" t="n">
        <f aca="false">T53*Assumptions!$E$71</f>
        <v>13680.7636352363</v>
      </c>
      <c r="U60" s="70" t="n">
        <f aca="false">U53*Assumptions!$E$71</f>
        <v>14563.8582771916</v>
      </c>
      <c r="V60" s="70" t="n">
        <f aca="false">V53*Assumptions!$E$71</f>
        <v>15495.5848536918</v>
      </c>
      <c r="W60" s="70" t="n">
        <f aca="false">W53*Assumptions!$E$71</f>
        <v>16478.9003400894</v>
      </c>
      <c r="X60" s="70" t="n">
        <f aca="false">X53*Assumptions!$E$71</f>
        <v>17517.2801301148</v>
      </c>
      <c r="Y60" s="70" t="n">
        <f aca="false">Y53*Assumptions!$E$71</f>
        <v>18614.7540878542</v>
      </c>
      <c r="Z60" s="70" t="n">
        <f aca="false">Z53*Assumptions!$E$71</f>
        <v>19775.9459265027</v>
      </c>
      <c r="AA60" s="70" t="n">
        <f aca="false">AA53*Assumptions!$E$71</f>
        <v>21006.117116344</v>
      </c>
      <c r="AB60" s="70" t="n">
        <f aca="false">AB53*Assumptions!$E$71</f>
        <v>21910.4159696601</v>
      </c>
      <c r="AC60" s="70" t="n">
        <f aca="false">AC53*Assumptions!$E$71</f>
        <v>22589.2704120605</v>
      </c>
      <c r="AD60" s="70" t="n">
        <f aca="false">AD53*Assumptions!$E$71</f>
        <v>23302.3000640394</v>
      </c>
      <c r="AE60" s="70" t="n">
        <f aca="false">AE53*Assumptions!$E$71</f>
        <v>24054.6601046574</v>
      </c>
      <c r="AF60" s="70" t="n">
        <f aca="false">AF53*Assumptions!$E$71</f>
        <v>24851.1414044763</v>
      </c>
      <c r="AG60" s="70" t="n">
        <f aca="false">AG53*Assumptions!$E$71</f>
        <v>25696.6747843119</v>
      </c>
      <c r="AH60" s="70" t="n">
        <f aca="false">AH53*Assumptions!$E$71</f>
        <v>26596.5593456491</v>
      </c>
      <c r="AI60" s="70" t="n">
        <f aca="false">AI53*Assumptions!$E$71</f>
        <v>27556.5230476093</v>
      </c>
      <c r="AJ60" s="70" t="n">
        <f aca="false">AJ53*Assumptions!$E$71</f>
        <v>28582.7627658839</v>
      </c>
      <c r="AK60" s="70" t="n">
        <f aca="false">AK53*Assumptions!$E$71</f>
        <v>29681.9847233427</v>
      </c>
      <c r="AL60" s="70" t="n">
        <f aca="false">AL53*Assumptions!$E$71</f>
        <v>30861.4485085914</v>
      </c>
      <c r="AM60" s="70" t="n">
        <f aca="false">SUM(C60:AL60)</f>
        <v>527126.534087676</v>
      </c>
    </row>
    <row r="61" customFormat="false" ht="15" hidden="false" customHeight="false" outlineLevel="0" collapsed="false">
      <c r="A61" s="10" t="s">
        <v>782</v>
      </c>
      <c r="B61" s="9" t="s">
        <v>97</v>
      </c>
      <c r="C61" s="70" t="n">
        <f aca="false">C59+C60</f>
        <v>0</v>
      </c>
      <c r="D61" s="70" t="n">
        <f aca="false">D59+D60</f>
        <v>0</v>
      </c>
      <c r="E61" s="70" t="n">
        <f aca="false">E59+E60</f>
        <v>0</v>
      </c>
      <c r="F61" s="70" t="n">
        <f aca="false">F59+F60</f>
        <v>0</v>
      </c>
      <c r="G61" s="70" t="n">
        <f aca="false">G59+G60</f>
        <v>0</v>
      </c>
      <c r="H61" s="70" t="n">
        <f aca="false">H59+H60</f>
        <v>0</v>
      </c>
      <c r="I61" s="70" t="n">
        <f aca="false">I59+I60</f>
        <v>16233.5385027333</v>
      </c>
      <c r="J61" s="70" t="n">
        <f aca="false">J59+J60</f>
        <v>25898.3859386827</v>
      </c>
      <c r="K61" s="70" t="n">
        <f aca="false">K59+K60</f>
        <v>35266.357539469</v>
      </c>
      <c r="L61" s="70" t="n">
        <f aca="false">L59+L60</f>
        <v>44427.2947721</v>
      </c>
      <c r="M61" s="70" t="n">
        <f aca="false">M59+M60</f>
        <v>53464.9676993328</v>
      </c>
      <c r="N61" s="70" t="n">
        <f aca="false">N59+N60</f>
        <v>62453.2197981544</v>
      </c>
      <c r="O61" s="70" t="n">
        <f aca="false">O59+O60</f>
        <v>71458.3214858317</v>
      </c>
      <c r="P61" s="70" t="n">
        <f aca="false">P59+P60</f>
        <v>80540.114807086</v>
      </c>
      <c r="Q61" s="70" t="n">
        <f aca="false">Q59+Q60</f>
        <v>89753.0594331441</v>
      </c>
      <c r="R61" s="70" t="n">
        <f aca="false">R59+R60</f>
        <v>99147.2747102035</v>
      </c>
      <c r="S61" s="70" t="n">
        <f aca="false">S59+S60</f>
        <v>108769.561952498</v>
      </c>
      <c r="T61" s="70" t="n">
        <f aca="false">T59+T60</f>
        <v>118664.386832157</v>
      </c>
      <c r="U61" s="70" t="n">
        <f aca="false">U59+U60</f>
        <v>128874.812276489</v>
      </c>
      <c r="V61" s="70" t="n">
        <f aca="false">V59+V60</f>
        <v>139443.380622977</v>
      </c>
      <c r="W61" s="70" t="n">
        <f aca="false">W59+W60</f>
        <v>150412.949103241</v>
      </c>
      <c r="X61" s="70" t="n">
        <f aca="false">X59+X60</f>
        <v>161827.485895652</v>
      </c>
      <c r="Y61" s="70" t="n">
        <f aca="false">Y59+Y60</f>
        <v>173732.83576539</v>
      </c>
      <c r="Z61" s="70" t="n">
        <f aca="false">Z59+Z60</f>
        <v>186177.465221251</v>
      </c>
      <c r="AA61" s="70" t="n">
        <f aca="false">AA59+AA60</f>
        <v>199213.197502885</v>
      </c>
      <c r="AB61" s="70" t="n">
        <f aca="false">AB59+AB60</f>
        <v>211920.648759946</v>
      </c>
      <c r="AC61" s="70" t="n">
        <f aca="false">AC59+AC60</f>
        <v>224077.364577991</v>
      </c>
      <c r="AD61" s="70" t="n">
        <f aca="false">AD59+AD60</f>
        <v>236027.732620073</v>
      </c>
      <c r="AE61" s="70" t="n">
        <f aca="false">AE59+AE60</f>
        <v>247859.740948799</v>
      </c>
      <c r="AF61" s="70" t="n">
        <f aca="false">AF59+AF60</f>
        <v>259658.768834587</v>
      </c>
      <c r="AG61" s="70" t="n">
        <f aca="false">AG59+AG60</f>
        <v>271508.538509383</v>
      </c>
      <c r="AH61" s="70" t="n">
        <f aca="false">AH59+AH60</f>
        <v>283492.069051637</v>
      </c>
      <c r="AI61" s="70" t="n">
        <f aca="false">AI59+AI60</f>
        <v>295692.469536577</v>
      </c>
      <c r="AJ61" s="70" t="n">
        <f aca="false">AJ59+AJ60</f>
        <v>308193.688505026</v>
      </c>
      <c r="AK61" s="70" t="n">
        <f aca="false">AK59+AK60</f>
        <v>321081.243721193</v>
      </c>
      <c r="AL61" s="70" t="n">
        <f aca="false">AL59+AL60</f>
        <v>334442.9427877</v>
      </c>
      <c r="AM61" s="70" t="n">
        <f aca="false">SUM(C61:AL61)</f>
        <v>4939713.81771219</v>
      </c>
    </row>
    <row r="62" customFormat="false" ht="15" hidden="false" customHeight="false" outlineLevel="0" collapsed="false">
      <c r="A62" s="10" t="s">
        <v>783</v>
      </c>
      <c r="B62" s="9" t="s">
        <v>97</v>
      </c>
      <c r="C62" s="70" t="n">
        <f aca="false">-C61*Assumptions!$E$80</f>
        <v>-0</v>
      </c>
      <c r="D62" s="70" t="n">
        <f aca="false">-D61*Assumptions!$E$80</f>
        <v>-0</v>
      </c>
      <c r="E62" s="70" t="n">
        <f aca="false">-E61*Assumptions!$E$80</f>
        <v>-0</v>
      </c>
      <c r="F62" s="70" t="n">
        <f aca="false">-F61*Assumptions!$E$80</f>
        <v>-0</v>
      </c>
      <c r="G62" s="70" t="n">
        <f aca="false">-G61*Assumptions!$E$80</f>
        <v>-0</v>
      </c>
      <c r="H62" s="70" t="n">
        <f aca="false">-H61*Assumptions!$E$80</f>
        <v>-0</v>
      </c>
      <c r="I62" s="70" t="n">
        <f aca="false">-I61*Assumptions!$E$80</f>
        <v>-487.006155082</v>
      </c>
      <c r="J62" s="70" t="n">
        <f aca="false">-J61*Assumptions!$E$80</f>
        <v>-776.95157816048</v>
      </c>
      <c r="K62" s="70" t="n">
        <f aca="false">-K61*Assumptions!$E$80</f>
        <v>-1057.99072618407</v>
      </c>
      <c r="L62" s="70" t="n">
        <f aca="false">-L61*Assumptions!$E$80</f>
        <v>-1332.818843163</v>
      </c>
      <c r="M62" s="70" t="n">
        <f aca="false">-M61*Assumptions!$E$80</f>
        <v>-1603.94903097998</v>
      </c>
      <c r="N62" s="70" t="n">
        <f aca="false">-N61*Assumptions!$E$80</f>
        <v>-1873.59659394463</v>
      </c>
      <c r="O62" s="70" t="n">
        <f aca="false">-O61*Assumptions!$E$80</f>
        <v>-2143.74964457495</v>
      </c>
      <c r="P62" s="70" t="n">
        <f aca="false">-P61*Assumptions!$E$80</f>
        <v>-2416.20344421258</v>
      </c>
      <c r="Q62" s="70" t="n">
        <f aca="false">-Q61*Assumptions!$E$80</f>
        <v>-2692.59178299432</v>
      </c>
      <c r="R62" s="70" t="n">
        <f aca="false">-R61*Assumptions!$E$80</f>
        <v>-2974.4182413061</v>
      </c>
      <c r="S62" s="70" t="n">
        <f aca="false">-S61*Assumptions!$E$80</f>
        <v>-3263.08685857493</v>
      </c>
      <c r="T62" s="70" t="n">
        <f aca="false">-T61*Assumptions!$E$80</f>
        <v>-3559.93160496471</v>
      </c>
      <c r="U62" s="70" t="n">
        <f aca="false">-U61*Assumptions!$E$80</f>
        <v>-3866.24436829467</v>
      </c>
      <c r="V62" s="70" t="n">
        <f aca="false">-V61*Assumptions!$E$80</f>
        <v>-4183.30141868932</v>
      </c>
      <c r="W62" s="70" t="n">
        <f aca="false">-W61*Assumptions!$E$80</f>
        <v>-4512.38847309722</v>
      </c>
      <c r="X62" s="70" t="n">
        <f aca="false">-X61*Assumptions!$E$80</f>
        <v>-4854.82457686957</v>
      </c>
      <c r="Y62" s="70" t="n">
        <f aca="false">-Y61*Assumptions!$E$80</f>
        <v>-5211.9850729617</v>
      </c>
      <c r="Z62" s="70" t="n">
        <f aca="false">-Z61*Assumptions!$E$80</f>
        <v>-5585.32395663752</v>
      </c>
      <c r="AA62" s="70" t="n">
        <f aca="false">-AA61*Assumptions!$E$80</f>
        <v>-5976.39592508656</v>
      </c>
      <c r="AB62" s="70" t="n">
        <f aca="false">-AB61*Assumptions!$E$80</f>
        <v>-6357.61946279839</v>
      </c>
      <c r="AC62" s="70" t="n">
        <f aca="false">-AC61*Assumptions!$E$80</f>
        <v>-6722.32093733973</v>
      </c>
      <c r="AD62" s="70" t="n">
        <f aca="false">-AD61*Assumptions!$E$80</f>
        <v>-7080.83197860219</v>
      </c>
      <c r="AE62" s="70" t="n">
        <f aca="false">-AE61*Assumptions!$E$80</f>
        <v>-7435.79222846398</v>
      </c>
      <c r="AF62" s="70" t="n">
        <f aca="false">-AF61*Assumptions!$E$80</f>
        <v>-7789.7630650376</v>
      </c>
      <c r="AG62" s="70" t="n">
        <f aca="false">-AG61*Assumptions!$E$80</f>
        <v>-8145.25615528149</v>
      </c>
      <c r="AH62" s="70" t="n">
        <f aca="false">-AH61*Assumptions!$E$80</f>
        <v>-8504.76207154911</v>
      </c>
      <c r="AI62" s="70" t="n">
        <f aca="false">-AI61*Assumptions!$E$80</f>
        <v>-8870.77408609731</v>
      </c>
      <c r="AJ62" s="70" t="n">
        <f aca="false">-AJ61*Assumptions!$E$80</f>
        <v>-9245.81065515077</v>
      </c>
      <c r="AK62" s="70" t="n">
        <f aca="false">-AK61*Assumptions!$E$80</f>
        <v>-9632.43731163578</v>
      </c>
      <c r="AL62" s="70" t="n">
        <f aca="false">-AL61*Assumptions!$E$80</f>
        <v>-10033.288283631</v>
      </c>
      <c r="AM62" s="70" t="n">
        <f aca="false">SUM(C62:AL62)</f>
        <v>-148191.414531366</v>
      </c>
    </row>
    <row r="63" customFormat="false" ht="15" hidden="false" customHeight="false" outlineLevel="0" collapsed="false">
      <c r="A63" s="37" t="s">
        <v>784</v>
      </c>
      <c r="B63" s="9" t="s">
        <v>97</v>
      </c>
      <c r="C63" s="53" t="n">
        <f aca="false">C61+C62</f>
        <v>0</v>
      </c>
      <c r="D63" s="53" t="n">
        <f aca="false">D61+D62</f>
        <v>0</v>
      </c>
      <c r="E63" s="53" t="n">
        <f aca="false">E61+E62</f>
        <v>0</v>
      </c>
      <c r="F63" s="53" t="n">
        <f aca="false">F61+F62</f>
        <v>0</v>
      </c>
      <c r="G63" s="53" t="n">
        <f aca="false">G61+G62</f>
        <v>0</v>
      </c>
      <c r="H63" s="53" t="n">
        <f aca="false">H61+H62</f>
        <v>0</v>
      </c>
      <c r="I63" s="53" t="n">
        <f aca="false">I61+I62</f>
        <v>15746.5323476513</v>
      </c>
      <c r="J63" s="53" t="n">
        <f aca="false">J61+J62</f>
        <v>25121.4343605222</v>
      </c>
      <c r="K63" s="53" t="n">
        <f aca="false">K61+K62</f>
        <v>34208.3668132849</v>
      </c>
      <c r="L63" s="53" t="n">
        <f aca="false">L61+L62</f>
        <v>43094.475928937</v>
      </c>
      <c r="M63" s="53" t="n">
        <f aca="false">M61+M62</f>
        <v>51861.0186683528</v>
      </c>
      <c r="N63" s="53" t="n">
        <f aca="false">N61+N62</f>
        <v>60579.6232042098</v>
      </c>
      <c r="O63" s="53" t="n">
        <f aca="false">O61+O62</f>
        <v>69314.5718412567</v>
      </c>
      <c r="P63" s="53" t="n">
        <f aca="false">P61+P62</f>
        <v>78123.9113628735</v>
      </c>
      <c r="Q63" s="53" t="n">
        <f aca="false">Q61+Q62</f>
        <v>87060.4676501498</v>
      </c>
      <c r="R63" s="53" t="n">
        <f aca="false">R61+R62</f>
        <v>96172.8564688974</v>
      </c>
      <c r="S63" s="53" t="n">
        <f aca="false">S61+S62</f>
        <v>105506.475093923</v>
      </c>
      <c r="T63" s="53" t="n">
        <f aca="false">T61+T62</f>
        <v>115104.455227192</v>
      </c>
      <c r="U63" s="53" t="n">
        <f aca="false">U61+U62</f>
        <v>125008.567908194</v>
      </c>
      <c r="V63" s="53" t="n">
        <f aca="false">V61+V62</f>
        <v>135260.079204288</v>
      </c>
      <c r="W63" s="53" t="n">
        <f aca="false">W61+W62</f>
        <v>145900.560630144</v>
      </c>
      <c r="X63" s="53" t="n">
        <f aca="false">X61+X62</f>
        <v>156972.661318783</v>
      </c>
      <c r="Y63" s="53" t="n">
        <f aca="false">Y61+Y62</f>
        <v>168520.850692428</v>
      </c>
      <c r="Z63" s="53" t="n">
        <f aca="false">Z61+Z62</f>
        <v>180592.141264613</v>
      </c>
      <c r="AA63" s="53" t="n">
        <f aca="false">AA61+AA62</f>
        <v>193236.801577799</v>
      </c>
      <c r="AB63" s="53" t="n">
        <f aca="false">AB61+AB62</f>
        <v>205563.029297148</v>
      </c>
      <c r="AC63" s="53" t="n">
        <f aca="false">AC61+AC62</f>
        <v>217355.043640651</v>
      </c>
      <c r="AD63" s="53" t="n">
        <f aca="false">AD61+AD62</f>
        <v>228946.900641471</v>
      </c>
      <c r="AE63" s="53" t="n">
        <f aca="false">AE61+AE62</f>
        <v>240423.948720335</v>
      </c>
      <c r="AF63" s="53" t="n">
        <f aca="false">AF61+AF62</f>
        <v>251869.005769549</v>
      </c>
      <c r="AG63" s="53" t="n">
        <f aca="false">AG61+AG62</f>
        <v>263363.282354102</v>
      </c>
      <c r="AH63" s="53" t="n">
        <f aca="false">AH61+AH62</f>
        <v>274987.306980088</v>
      </c>
      <c r="AI63" s="53" t="n">
        <f aca="false">AI61+AI62</f>
        <v>286821.69545048</v>
      </c>
      <c r="AJ63" s="53" t="n">
        <f aca="false">AJ61+AJ62</f>
        <v>298947.877849875</v>
      </c>
      <c r="AK63" s="53" t="n">
        <f aca="false">AK61+AK62</f>
        <v>311448.806409557</v>
      </c>
      <c r="AL63" s="53" t="n">
        <f aca="false">AL61+AL62</f>
        <v>324409.654504069</v>
      </c>
      <c r="AM63" s="53" t="n">
        <f aca="false">SUM(C63:AL63)</f>
        <v>4791522.40318082</v>
      </c>
    </row>
    <row r="64" customFormat="false" ht="15" hidden="false" customHeight="false" outlineLevel="0" collapsed="false">
      <c r="A64" s="10" t="s">
        <v>785</v>
      </c>
      <c r="B64" s="9" t="s">
        <v>97</v>
      </c>
      <c r="C64" s="70" t="n">
        <f aca="false">-C57*Assumptions!$E$73</f>
        <v>-0</v>
      </c>
      <c r="D64" s="70" t="n">
        <f aca="false">-D57*Assumptions!$E$73</f>
        <v>-0</v>
      </c>
      <c r="E64" s="70" t="n">
        <f aca="false">-E57*Assumptions!$E$73</f>
        <v>-0</v>
      </c>
      <c r="F64" s="70" t="n">
        <f aca="false">-F57*Assumptions!$E$73</f>
        <v>-0</v>
      </c>
      <c r="G64" s="70" t="n">
        <f aca="false">-G57*Assumptions!$E$73</f>
        <v>-0</v>
      </c>
      <c r="H64" s="70" t="n">
        <f aca="false">-H57*Assumptions!$E$73</f>
        <v>-0</v>
      </c>
      <c r="I64" s="70" t="n">
        <f aca="false">-I57*Assumptions!$E$73</f>
        <v>-3379.46387570862</v>
      </c>
      <c r="J64" s="70" t="n">
        <f aca="false">-J57*Assumptions!$E$73</f>
        <v>-6627.49873503972</v>
      </c>
      <c r="K64" s="70" t="n">
        <f aca="false">-K57*Assumptions!$E$73</f>
        <v>-9765.66089819235</v>
      </c>
      <c r="L64" s="70" t="n">
        <f aca="false">-L57*Assumptions!$E$73</f>
        <v>-12820.5375224701</v>
      </c>
      <c r="M64" s="70" t="n">
        <f aca="false">-M57*Assumptions!$E$73</f>
        <v>-15819.2918443492</v>
      </c>
      <c r="N64" s="70" t="n">
        <f aca="false">-N57*Assumptions!$E$73</f>
        <v>-18787.2313035459</v>
      </c>
      <c r="O64" s="70" t="n">
        <f aca="false">-O57*Assumptions!$E$73</f>
        <v>-21747.4080448768</v>
      </c>
      <c r="P64" s="70" t="n">
        <f aca="false">-P57*Assumptions!$E$73</f>
        <v>-24720.711101757</v>
      </c>
      <c r="Q64" s="70" t="n">
        <f aca="false">-Q57*Assumptions!$E$73</f>
        <v>-27726.1178658782</v>
      </c>
      <c r="R64" s="70" t="n">
        <f aca="false">-R57*Assumptions!$E$73</f>
        <v>-30781.0029928323</v>
      </c>
      <c r="S64" s="70" t="n">
        <f aca="false">-S57*Assumptions!$E$73</f>
        <v>-33901.4642020974</v>
      </c>
      <c r="T64" s="70" t="n">
        <f aca="false">-T57*Assumptions!$E$73</f>
        <v>-37102.6459491126</v>
      </c>
      <c r="U64" s="70" t="n">
        <f aca="false">-U57*Assumptions!$E$73</f>
        <v>-40399.0520158159</v>
      </c>
      <c r="V64" s="70" t="n">
        <f aca="false">-V57*Assumptions!$E$73</f>
        <v>-43804.8434847274</v>
      </c>
      <c r="W64" s="70" t="n">
        <f aca="false">-W57*Assumptions!$E$73</f>
        <v>-47334.1216512342</v>
      </c>
      <c r="X64" s="70" t="n">
        <f aca="false">-X57*Assumptions!$E$73</f>
        <v>-51001.1972183426</v>
      </c>
      <c r="Y64" s="70" t="n">
        <f aca="false">-Y57*Assumptions!$E$73</f>
        <v>-54820.8481430648</v>
      </c>
      <c r="Z64" s="70" t="n">
        <f aca="false">-Z57*Assumptions!$E$73</f>
        <v>-58808.5690680233</v>
      </c>
      <c r="AA64" s="70" t="n">
        <f aca="false">-AA57*Assumptions!$E$73</f>
        <v>-62980.8155582957</v>
      </c>
      <c r="AB64" s="70" t="n">
        <f aca="false">-AB57*Assumptions!$E$73</f>
        <v>-67152.210785322</v>
      </c>
      <c r="AC64" s="70" t="n">
        <f aca="false">-AC57*Assumptions!$E$73</f>
        <v>-71208.6437212927</v>
      </c>
      <c r="AD64" s="70" t="n">
        <f aca="false">-AD57*Assumptions!$E$73</f>
        <v>-75180.0725499235</v>
      </c>
      <c r="AE64" s="70" t="n">
        <f aca="false">-AE57*Assumptions!$E$73</f>
        <v>-79095.7715433112</v>
      </c>
      <c r="AF64" s="70" t="n">
        <f aca="false">-AF57*Assumptions!$E$73</f>
        <v>-82984.2217423684</v>
      </c>
      <c r="AG64" s="70" t="n">
        <f aca="false">-AG57*Assumptions!$E$73</f>
        <v>-86873.2691076557</v>
      </c>
      <c r="AH64" s="70" t="n">
        <f aca="false">-AH57*Assumptions!$E$73</f>
        <v>-90790.3809402688</v>
      </c>
      <c r="AI64" s="70" t="n">
        <f aca="false">-AI57*Assumptions!$E$73</f>
        <v>-94762.9047832496</v>
      </c>
      <c r="AJ64" s="70" t="n">
        <f aca="false">-AJ57*Assumptions!$E$73</f>
        <v>-98818.3191367248</v>
      </c>
      <c r="AK64" s="70" t="n">
        <f aca="false">-AK57*Assumptions!$E$73</f>
        <v>-102984.477075545</v>
      </c>
      <c r="AL64" s="70" t="n">
        <f aca="false">-AL57*Assumptions!$E$73</f>
        <v>-107289.845367717</v>
      </c>
      <c r="AM64" s="70" t="n">
        <f aca="false">SUM(C64:AL64)</f>
        <v>-1559468.59822874</v>
      </c>
    </row>
    <row r="65" customFormat="false" ht="15" hidden="false" customHeight="false" outlineLevel="0" collapsed="false">
      <c r="A65" s="10" t="s">
        <v>786</v>
      </c>
      <c r="B65" s="9" t="s">
        <v>97</v>
      </c>
      <c r="C65" s="70" t="n">
        <f aca="false">-C54*Assumptions!$E$74</f>
        <v>-0</v>
      </c>
      <c r="D65" s="70" t="n">
        <f aca="false">-D54*Assumptions!$E$74</f>
        <v>-0</v>
      </c>
      <c r="E65" s="70" t="n">
        <f aca="false">-E54*Assumptions!$E$74</f>
        <v>-0</v>
      </c>
      <c r="F65" s="70" t="n">
        <f aca="false">-F54*Assumptions!$E$74</f>
        <v>-0</v>
      </c>
      <c r="G65" s="70" t="n">
        <f aca="false">-G54*Assumptions!$E$74</f>
        <v>-0</v>
      </c>
      <c r="H65" s="70" t="n">
        <f aca="false">-H54*Assumptions!$E$74</f>
        <v>-0</v>
      </c>
      <c r="I65" s="70" t="n">
        <f aca="false">-I54*Assumptions!$E$74</f>
        <v>-3566.26086590597</v>
      </c>
      <c r="J65" s="70" t="n">
        <f aca="false">-J54*Assumptions!$E$74</f>
        <v>-3819.85591772871</v>
      </c>
      <c r="K65" s="70" t="n">
        <f aca="false">-K54*Assumptions!$E$74</f>
        <v>-4080.94249623061</v>
      </c>
      <c r="L65" s="70" t="n">
        <f aca="false">-L54*Assumptions!$E$74</f>
        <v>-4357.33177477671</v>
      </c>
      <c r="M65" s="70" t="n">
        <f aca="false">-M54*Assumptions!$E$74</f>
        <v>-4652.71791620371</v>
      </c>
      <c r="N65" s="70" t="n">
        <f aca="false">-N54*Assumptions!$E$74</f>
        <v>-4968.29565890363</v>
      </c>
      <c r="O65" s="70" t="n">
        <f aca="false">-O54*Assumptions!$E$74</f>
        <v>-5304.6227400303</v>
      </c>
      <c r="P65" s="70" t="n">
        <f aca="false">-P54*Assumptions!$E$74</f>
        <v>-5662.09238061609</v>
      </c>
      <c r="Q65" s="70" t="n">
        <f aca="false">-Q54*Assumptions!$E$74</f>
        <v>-6041.11207683365</v>
      </c>
      <c r="R65" s="70" t="n">
        <f aca="false">-R54*Assumptions!$E$74</f>
        <v>-6442.19340130488</v>
      </c>
      <c r="S65" s="70" t="n">
        <f aca="false">-S54*Assumptions!$E$74</f>
        <v>-6866.00568909716</v>
      </c>
      <c r="T65" s="70" t="n">
        <f aca="false">-T54*Assumptions!$E$74</f>
        <v>-7313.41161110767</v>
      </c>
      <c r="U65" s="70" t="n">
        <f aca="false">-U54*Assumptions!$E$74</f>
        <v>-7785.49305190888</v>
      </c>
      <c r="V65" s="70" t="n">
        <f aca="false">-V54*Assumptions!$E$74</f>
        <v>-8283.57197093963</v>
      </c>
      <c r="W65" s="70" t="n">
        <f aca="false">-W54*Assumptions!$E$74</f>
        <v>-8809.22909705796</v>
      </c>
      <c r="X65" s="70" t="n">
        <f aca="false">-X54*Assumptions!$E$74</f>
        <v>-9364.32229328509</v>
      </c>
      <c r="Y65" s="70" t="n">
        <f aca="false">-Y54*Assumptions!$E$74</f>
        <v>-9951.00582933763</v>
      </c>
      <c r="Z65" s="70" t="n">
        <f aca="false">-Z54*Assumptions!$E$74</f>
        <v>-10571.7514325745</v>
      </c>
      <c r="AA65" s="70" t="n">
        <f aca="false">-AA54*Assumptions!$E$74</f>
        <v>-11229.3717601609</v>
      </c>
      <c r="AB65" s="70" t="n">
        <f aca="false">-AB54*Assumptions!$E$74</f>
        <v>-11712.7884692048</v>
      </c>
      <c r="AC65" s="70" t="n">
        <f aca="false">-AC54*Assumptions!$E$74</f>
        <v>-12075.6879457015</v>
      </c>
      <c r="AD65" s="70" t="n">
        <f aca="false">-AD54*Assumptions!$E$74</f>
        <v>-12456.8566783017</v>
      </c>
      <c r="AE65" s="70" t="n">
        <f aca="false">-AE54*Assumptions!$E$74</f>
        <v>-12859.050503405</v>
      </c>
      <c r="AF65" s="70" t="n">
        <f aca="false">-AF54*Assumptions!$E$74</f>
        <v>-13284.8305067319</v>
      </c>
      <c r="AG65" s="70" t="n">
        <f aca="false">-AG54*Assumptions!$E$74</f>
        <v>-13736.8325880881</v>
      </c>
      <c r="AH65" s="70" t="n">
        <f aca="false">-AH54*Assumptions!$E$74</f>
        <v>-14217.889521386</v>
      </c>
      <c r="AI65" s="70" t="n">
        <f aca="false">-AI54*Assumptions!$E$74</f>
        <v>-14731.0633376542</v>
      </c>
      <c r="AJ65" s="70" t="n">
        <f aca="false">-AJ54*Assumptions!$E$74</f>
        <v>-15279.6667395929</v>
      </c>
      <c r="AK65" s="70" t="n">
        <f aca="false">-AK54*Assumptions!$E$74</f>
        <v>-15867.2847148175</v>
      </c>
      <c r="AL65" s="70" t="n">
        <f aca="false">-AL54*Assumptions!$E$74</f>
        <v>-16497.7980671351</v>
      </c>
      <c r="AM65" s="70" t="n">
        <f aca="false">SUM(C65:AL65)</f>
        <v>-281789.337036022</v>
      </c>
    </row>
    <row r="66" customFormat="false" ht="15" hidden="false" customHeight="false" outlineLevel="0" collapsed="false">
      <c r="A66" s="10" t="s">
        <v>787</v>
      </c>
      <c r="B66" s="9" t="s">
        <v>97</v>
      </c>
      <c r="C66" s="70" t="n">
        <f aca="false">-C57*Assumptions!$E$75</f>
        <v>-0</v>
      </c>
      <c r="D66" s="70" t="n">
        <f aca="false">-D57*Assumptions!$E$75</f>
        <v>-0</v>
      </c>
      <c r="E66" s="70" t="n">
        <f aca="false">-E57*Assumptions!$E$75</f>
        <v>-0</v>
      </c>
      <c r="F66" s="70" t="n">
        <f aca="false">-F57*Assumptions!$E$75</f>
        <v>-0</v>
      </c>
      <c r="G66" s="70" t="n">
        <f aca="false">-G57*Assumptions!$E$75</f>
        <v>-0</v>
      </c>
      <c r="H66" s="70" t="n">
        <f aca="false">-H57*Assumptions!$E$75</f>
        <v>-0</v>
      </c>
      <c r="I66" s="70" t="n">
        <f aca="false">-I57*Assumptions!$E$75</f>
        <v>-307.223988700784</v>
      </c>
      <c r="J66" s="70" t="n">
        <f aca="false">-J57*Assumptions!$E$75</f>
        <v>-602.499885003611</v>
      </c>
      <c r="K66" s="70" t="n">
        <f aca="false">-K57*Assumptions!$E$75</f>
        <v>-887.787354381123</v>
      </c>
      <c r="L66" s="70" t="n">
        <f aca="false">-L57*Assumptions!$E$75</f>
        <v>-1165.50341113365</v>
      </c>
      <c r="M66" s="70" t="n">
        <f aca="false">-M57*Assumptions!$E$75</f>
        <v>-1438.11744039538</v>
      </c>
      <c r="N66" s="70" t="n">
        <f aca="false">-N57*Assumptions!$E$75</f>
        <v>-1707.93011850418</v>
      </c>
      <c r="O66" s="70" t="n">
        <f aca="false">-O57*Assumptions!$E$75</f>
        <v>-1977.0370949888</v>
      </c>
      <c r="P66" s="70" t="n">
        <f aca="false">-P57*Assumptions!$E$75</f>
        <v>-2247.337372887</v>
      </c>
      <c r="Q66" s="70" t="n">
        <f aca="false">-Q57*Assumptions!$E$75</f>
        <v>-2520.55616962529</v>
      </c>
      <c r="R66" s="70" t="n">
        <f aca="false">-R57*Assumptions!$E$75</f>
        <v>-2798.27299934839</v>
      </c>
      <c r="S66" s="70" t="n">
        <f aca="false">-S57*Assumptions!$E$75</f>
        <v>-3081.95129109977</v>
      </c>
      <c r="T66" s="70" t="n">
        <f aca="false">-T57*Assumptions!$E$75</f>
        <v>-3372.96781355569</v>
      </c>
      <c r="U66" s="70" t="n">
        <f aca="false">-U57*Assumptions!$E$75</f>
        <v>-3672.6410923469</v>
      </c>
      <c r="V66" s="70" t="n">
        <f aca="false">-V57*Assumptions!$E$75</f>
        <v>-3982.25849861159</v>
      </c>
      <c r="W66" s="70" t="n">
        <f aca="false">-W57*Assumptions!$E$75</f>
        <v>-4303.10196829402</v>
      </c>
      <c r="X66" s="70" t="n">
        <f aca="false">-X57*Assumptions!$E$75</f>
        <v>-4636.47247439479</v>
      </c>
      <c r="Y66" s="70" t="n">
        <f aca="false">-Y57*Assumptions!$E$75</f>
        <v>-4983.71346755135</v>
      </c>
      <c r="Z66" s="70" t="n">
        <f aca="false">-Z57*Assumptions!$E$75</f>
        <v>-5346.23355163849</v>
      </c>
      <c r="AA66" s="70" t="n">
        <f aca="false">-AA57*Assumptions!$E$75</f>
        <v>-5725.52868711779</v>
      </c>
      <c r="AB66" s="70" t="n">
        <f aca="false">-AB57*Assumptions!$E$75</f>
        <v>-6104.74643502928</v>
      </c>
      <c r="AC66" s="70" t="n">
        <f aca="false">-AC57*Assumptions!$E$75</f>
        <v>-6473.51306557206</v>
      </c>
      <c r="AD66" s="70" t="n">
        <f aca="false">-AD57*Assumptions!$E$75</f>
        <v>-6834.55204999304</v>
      </c>
      <c r="AE66" s="70" t="n">
        <f aca="false">-AE57*Assumptions!$E$75</f>
        <v>-7190.52468575556</v>
      </c>
      <c r="AF66" s="70" t="n">
        <f aca="false">-AF57*Assumptions!$E$75</f>
        <v>-7544.02015839713</v>
      </c>
      <c r="AG66" s="70" t="n">
        <f aca="false">-AG57*Assumptions!$E$75</f>
        <v>-7897.56991887779</v>
      </c>
      <c r="AH66" s="70" t="n">
        <f aca="false">-AH57*Assumptions!$E$75</f>
        <v>-8253.67099456989</v>
      </c>
      <c r="AI66" s="70" t="n">
        <f aca="false">-AI57*Assumptions!$E$75</f>
        <v>-8614.80952574996</v>
      </c>
      <c r="AJ66" s="70" t="n">
        <f aca="false">-AJ57*Assumptions!$E$75</f>
        <v>-8983.48355788408</v>
      </c>
      <c r="AK66" s="70" t="n">
        <f aca="false">-AK57*Assumptions!$E$75</f>
        <v>-9362.22518868594</v>
      </c>
      <c r="AL66" s="70" t="n">
        <f aca="false">-AL57*Assumptions!$E$75</f>
        <v>-9753.62230615611</v>
      </c>
      <c r="AM66" s="70" t="n">
        <f aca="false">SUM(C66:AL66)</f>
        <v>-141769.872566249</v>
      </c>
    </row>
    <row r="67" customFormat="false" ht="15" hidden="false" customHeight="false" outlineLevel="0" collapsed="false">
      <c r="A67" s="10" t="s">
        <v>788</v>
      </c>
      <c r="B67" s="9" t="s">
        <v>97</v>
      </c>
      <c r="C67" s="70" t="n">
        <f aca="false">-C57*Assumptions!$E$76</f>
        <v>-0</v>
      </c>
      <c r="D67" s="70" t="n">
        <f aca="false">-D57*Assumptions!$E$76</f>
        <v>-0</v>
      </c>
      <c r="E67" s="70" t="n">
        <f aca="false">-E57*Assumptions!$E$76</f>
        <v>-0</v>
      </c>
      <c r="F67" s="70" t="n">
        <f aca="false">-F57*Assumptions!$E$76</f>
        <v>-0</v>
      </c>
      <c r="G67" s="70" t="n">
        <f aca="false">-G57*Assumptions!$E$76</f>
        <v>-0</v>
      </c>
      <c r="H67" s="70" t="n">
        <f aca="false">-H57*Assumptions!$E$76</f>
        <v>-0</v>
      </c>
      <c r="I67" s="70" t="n">
        <f aca="false">-I57*Assumptions!$E$76</f>
        <v>-691.253974576764</v>
      </c>
      <c r="J67" s="70" t="n">
        <f aca="false">-J57*Assumptions!$E$76</f>
        <v>-1355.62474125813</v>
      </c>
      <c r="K67" s="70" t="n">
        <f aca="false">-K57*Assumptions!$E$76</f>
        <v>-1997.52154735753</v>
      </c>
      <c r="L67" s="70" t="n">
        <f aca="false">-L57*Assumptions!$E$76</f>
        <v>-2622.38267505071</v>
      </c>
      <c r="M67" s="70" t="n">
        <f aca="false">-M57*Assumptions!$E$76</f>
        <v>-3235.7642408896</v>
      </c>
      <c r="N67" s="70" t="n">
        <f aca="false">-N57*Assumptions!$E$76</f>
        <v>-3842.8427666344</v>
      </c>
      <c r="O67" s="70" t="n">
        <f aca="false">-O57*Assumptions!$E$76</f>
        <v>-4448.3334637248</v>
      </c>
      <c r="P67" s="70" t="n">
        <f aca="false">-P57*Assumptions!$E$76</f>
        <v>-5056.50908899575</v>
      </c>
      <c r="Q67" s="70" t="n">
        <f aca="false">-Q57*Assumptions!$E$76</f>
        <v>-5671.2513816569</v>
      </c>
      <c r="R67" s="70" t="n">
        <f aca="false">-R57*Assumptions!$E$76</f>
        <v>-6296.11424853389</v>
      </c>
      <c r="S67" s="70" t="n">
        <f aca="false">-S57*Assumptions!$E$76</f>
        <v>-6934.39040497448</v>
      </c>
      <c r="T67" s="70" t="n">
        <f aca="false">-T57*Assumptions!$E$76</f>
        <v>-7589.1775805003</v>
      </c>
      <c r="U67" s="70" t="n">
        <f aca="false">-U57*Assumptions!$E$76</f>
        <v>-8263.44245778053</v>
      </c>
      <c r="V67" s="70" t="n">
        <f aca="false">-V57*Assumptions!$E$76</f>
        <v>-8960.08162187607</v>
      </c>
      <c r="W67" s="70" t="n">
        <f aca="false">-W57*Assumptions!$E$76</f>
        <v>-9681.97942866155</v>
      </c>
      <c r="X67" s="70" t="n">
        <f aca="false">-X57*Assumptions!$E$76</f>
        <v>-10432.0630673883</v>
      </c>
      <c r="Y67" s="70" t="n">
        <f aca="false">-Y57*Assumptions!$E$76</f>
        <v>-11213.3553019905</v>
      </c>
      <c r="Z67" s="70" t="n">
        <f aca="false">-Z57*Assumptions!$E$76</f>
        <v>-12029.0254911866</v>
      </c>
      <c r="AA67" s="70" t="n">
        <f aca="false">-AA57*Assumptions!$E$76</f>
        <v>-12882.439546015</v>
      </c>
      <c r="AB67" s="70" t="n">
        <f aca="false">-AB57*Assumptions!$E$76</f>
        <v>-13735.6794788159</v>
      </c>
      <c r="AC67" s="70" t="n">
        <f aca="false">-AC57*Assumptions!$E$76</f>
        <v>-14565.4043975371</v>
      </c>
      <c r="AD67" s="70" t="n">
        <f aca="false">-AD57*Assumptions!$E$76</f>
        <v>-15377.7421124844</v>
      </c>
      <c r="AE67" s="70" t="n">
        <f aca="false">-AE57*Assumptions!$E$76</f>
        <v>-16178.68054295</v>
      </c>
      <c r="AF67" s="70" t="n">
        <f aca="false">-AF57*Assumptions!$E$76</f>
        <v>-16974.0453563935</v>
      </c>
      <c r="AG67" s="70" t="n">
        <f aca="false">-AG57*Assumptions!$E$76</f>
        <v>-17769.532317475</v>
      </c>
      <c r="AH67" s="70" t="n">
        <f aca="false">-AH57*Assumptions!$E$76</f>
        <v>-18570.7597377823</v>
      </c>
      <c r="AI67" s="70" t="n">
        <f aca="false">-AI57*Assumptions!$E$76</f>
        <v>-19383.3214329374</v>
      </c>
      <c r="AJ67" s="70" t="n">
        <f aca="false">-AJ57*Assumptions!$E$76</f>
        <v>-20212.8380052392</v>
      </c>
      <c r="AK67" s="70" t="n">
        <f aca="false">-AK57*Assumptions!$E$76</f>
        <v>-21065.0066745434</v>
      </c>
      <c r="AL67" s="70" t="n">
        <f aca="false">-AL57*Assumptions!$E$76</f>
        <v>-21945.6501888513</v>
      </c>
      <c r="AM67" s="70" t="n">
        <f aca="false">SUM(C67:AL67)</f>
        <v>-318982.213274061</v>
      </c>
    </row>
    <row r="68" customFormat="false" ht="15" hidden="false" customHeight="false" outlineLevel="0" collapsed="false">
      <c r="A68" s="10" t="s">
        <v>789</v>
      </c>
      <c r="B68" s="9" t="s">
        <v>97</v>
      </c>
      <c r="C68" s="70" t="n">
        <f aca="false">-C57*Assumptions!$E$77</f>
        <v>-0</v>
      </c>
      <c r="D68" s="70" t="n">
        <f aca="false">-D57*Assumptions!$E$77</f>
        <v>-0</v>
      </c>
      <c r="E68" s="70" t="n">
        <f aca="false">-E57*Assumptions!$E$77</f>
        <v>-0</v>
      </c>
      <c r="F68" s="70" t="n">
        <f aca="false">-F57*Assumptions!$E$77</f>
        <v>-0</v>
      </c>
      <c r="G68" s="70" t="n">
        <f aca="false">-G57*Assumptions!$E$77</f>
        <v>-0</v>
      </c>
      <c r="H68" s="70" t="n">
        <f aca="false">-H57*Assumptions!$E$77</f>
        <v>-0</v>
      </c>
      <c r="I68" s="70" t="n">
        <f aca="false">-I57*Assumptions!$E$77</f>
        <v>-172.813493644191</v>
      </c>
      <c r="J68" s="70" t="n">
        <f aca="false">-J57*Assumptions!$E$77</f>
        <v>-338.906185314531</v>
      </c>
      <c r="K68" s="70" t="n">
        <f aca="false">-K57*Assumptions!$E$77</f>
        <v>-499.380386839382</v>
      </c>
      <c r="L68" s="70" t="n">
        <f aca="false">-L57*Assumptions!$E$77</f>
        <v>-655.595668762677</v>
      </c>
      <c r="M68" s="70" t="n">
        <f aca="false">-M57*Assumptions!$E$77</f>
        <v>-808.941060222401</v>
      </c>
      <c r="N68" s="70" t="n">
        <f aca="false">-N57*Assumptions!$E$77</f>
        <v>-960.710691658599</v>
      </c>
      <c r="O68" s="70" t="n">
        <f aca="false">-O57*Assumptions!$E$77</f>
        <v>-1112.0833659312</v>
      </c>
      <c r="P68" s="70" t="n">
        <f aca="false">-P57*Assumptions!$E$77</f>
        <v>-1264.12727224894</v>
      </c>
      <c r="Q68" s="70" t="n">
        <f aca="false">-Q57*Assumptions!$E$77</f>
        <v>-1417.81284541423</v>
      </c>
      <c r="R68" s="70" t="n">
        <f aca="false">-R57*Assumptions!$E$77</f>
        <v>-1574.02856213347</v>
      </c>
      <c r="S68" s="70" t="n">
        <f aca="false">-S57*Assumptions!$E$77</f>
        <v>-1733.59760124362</v>
      </c>
      <c r="T68" s="70" t="n">
        <f aca="false">-T57*Assumptions!$E$77</f>
        <v>-1897.29439512508</v>
      </c>
      <c r="U68" s="70" t="n">
        <f aca="false">-U57*Assumptions!$E$77</f>
        <v>-2065.86061444513</v>
      </c>
      <c r="V68" s="70" t="n">
        <f aca="false">-V57*Assumptions!$E$77</f>
        <v>-2240.02040546902</v>
      </c>
      <c r="W68" s="70" t="n">
        <f aca="false">-W57*Assumptions!$E$77</f>
        <v>-2420.49485716539</v>
      </c>
      <c r="X68" s="70" t="n">
        <f aca="false">-X57*Assumptions!$E$77</f>
        <v>-2608.01576684707</v>
      </c>
      <c r="Y68" s="70" t="n">
        <f aca="false">-Y57*Assumptions!$E$77</f>
        <v>-2803.33882549763</v>
      </c>
      <c r="Z68" s="70" t="n">
        <f aca="false">-Z57*Assumptions!$E$77</f>
        <v>-3007.25637279665</v>
      </c>
      <c r="AA68" s="70" t="n">
        <f aca="false">-AA57*Assumptions!$E$77</f>
        <v>-3220.60988650376</v>
      </c>
      <c r="AB68" s="70" t="n">
        <f aca="false">-AB57*Assumptions!$E$77</f>
        <v>-3433.91986970397</v>
      </c>
      <c r="AC68" s="70" t="n">
        <f aca="false">-AC57*Assumptions!$E$77</f>
        <v>-3641.35109938429</v>
      </c>
      <c r="AD68" s="70" t="n">
        <f aca="false">-AD57*Assumptions!$E$77</f>
        <v>-3844.43552812109</v>
      </c>
      <c r="AE68" s="70" t="n">
        <f aca="false">-AE57*Assumptions!$E$77</f>
        <v>-4044.6701357375</v>
      </c>
      <c r="AF68" s="70" t="n">
        <f aca="false">-AF57*Assumptions!$E$77</f>
        <v>-4243.51133909838</v>
      </c>
      <c r="AG68" s="70" t="n">
        <f aca="false">-AG57*Assumptions!$E$77</f>
        <v>-4442.38307936876</v>
      </c>
      <c r="AH68" s="70" t="n">
        <f aca="false">-AH57*Assumptions!$E$77</f>
        <v>-4642.68993444557</v>
      </c>
      <c r="AI68" s="70" t="n">
        <f aca="false">-AI57*Assumptions!$E$77</f>
        <v>-4845.83035823435</v>
      </c>
      <c r="AJ68" s="70" t="n">
        <f aca="false">-AJ57*Assumptions!$E$77</f>
        <v>-5053.20950130979</v>
      </c>
      <c r="AK68" s="70" t="n">
        <f aca="false">-AK57*Assumptions!$E$77</f>
        <v>-5266.25166863584</v>
      </c>
      <c r="AL68" s="70" t="n">
        <f aca="false">-AL57*Assumptions!$E$77</f>
        <v>-5486.41254721281</v>
      </c>
      <c r="AM68" s="70" t="n">
        <f aca="false">SUM(C68:AL68)</f>
        <v>-79745.5533185153</v>
      </c>
    </row>
    <row r="69" customFormat="false" ht="15" hidden="false" customHeight="false" outlineLevel="0" collapsed="false">
      <c r="A69" s="10" t="s">
        <v>790</v>
      </c>
      <c r="B69" s="9" t="s">
        <v>97</v>
      </c>
      <c r="C69" s="70" t="n">
        <f aca="false">-C63*Assumptions!$E$79</f>
        <v>-0</v>
      </c>
      <c r="D69" s="70" t="n">
        <f aca="false">-D63*Assumptions!$E$79</f>
        <v>-0</v>
      </c>
      <c r="E69" s="70" t="n">
        <f aca="false">-E63*Assumptions!$E$79</f>
        <v>-0</v>
      </c>
      <c r="F69" s="70" t="n">
        <f aca="false">-F63*Assumptions!$E$79</f>
        <v>-0</v>
      </c>
      <c r="G69" s="70" t="n">
        <f aca="false">-G63*Assumptions!$E$79</f>
        <v>-0</v>
      </c>
      <c r="H69" s="70" t="n">
        <f aca="false">-H63*Assumptions!$E$79</f>
        <v>-0</v>
      </c>
      <c r="I69" s="70" t="n">
        <f aca="false">-I63*Assumptions!$E$79</f>
        <v>-456.649438081889</v>
      </c>
      <c r="J69" s="70" t="n">
        <f aca="false">-J63*Assumptions!$E$79</f>
        <v>-728.521596455144</v>
      </c>
      <c r="K69" s="70" t="n">
        <f aca="false">-K63*Assumptions!$E$79</f>
        <v>-992.042637585263</v>
      </c>
      <c r="L69" s="70" t="n">
        <f aca="false">-L63*Assumptions!$E$79</f>
        <v>-1249.73980193917</v>
      </c>
      <c r="M69" s="70" t="n">
        <f aca="false">-M63*Assumptions!$E$79</f>
        <v>-1503.96954138223</v>
      </c>
      <c r="N69" s="70" t="n">
        <f aca="false">-N63*Assumptions!$E$79</f>
        <v>-1756.80907292208</v>
      </c>
      <c r="O69" s="70" t="n">
        <f aca="false">-O63*Assumptions!$E$79</f>
        <v>-2010.12258339644</v>
      </c>
      <c r="P69" s="70" t="n">
        <f aca="false">-P63*Assumptions!$E$79</f>
        <v>-2265.59342952333</v>
      </c>
      <c r="Q69" s="70" t="n">
        <f aca="false">-Q63*Assumptions!$E$79</f>
        <v>-2524.75356185434</v>
      </c>
      <c r="R69" s="70" t="n">
        <f aca="false">-R63*Assumptions!$E$79</f>
        <v>-2789.01283759802</v>
      </c>
      <c r="S69" s="70" t="n">
        <f aca="false">-S63*Assumptions!$E$79</f>
        <v>-3059.68777772376</v>
      </c>
      <c r="T69" s="70" t="n">
        <f aca="false">-T63*Assumptions!$E$79</f>
        <v>-3338.02920158858</v>
      </c>
      <c r="U69" s="70" t="n">
        <f aca="false">-U63*Assumptions!$E$79</f>
        <v>-3625.24846933764</v>
      </c>
      <c r="V69" s="70" t="n">
        <f aca="false">-V63*Assumptions!$E$79</f>
        <v>-3922.54229692435</v>
      </c>
      <c r="W69" s="70" t="n">
        <f aca="false">-W63*Assumptions!$E$79</f>
        <v>-4231.11625827416</v>
      </c>
      <c r="X69" s="70" t="n">
        <f aca="false">-X63*Assumptions!$E$79</f>
        <v>-4552.2071782447</v>
      </c>
      <c r="Y69" s="70" t="n">
        <f aca="false">-Y63*Assumptions!$E$79</f>
        <v>-4887.10467008042</v>
      </c>
      <c r="Z69" s="70" t="n">
        <f aca="false">-Z63*Assumptions!$E$79</f>
        <v>-5237.17209667378</v>
      </c>
      <c r="AA69" s="70" t="n">
        <f aca="false">-AA63*Assumptions!$E$79</f>
        <v>-5603.86724575616</v>
      </c>
      <c r="AB69" s="70" t="n">
        <f aca="false">-AB63*Assumptions!$E$79</f>
        <v>-5961.32784961729</v>
      </c>
      <c r="AC69" s="70" t="n">
        <f aca="false">-AC63*Assumptions!$E$79</f>
        <v>-6303.29626557889</v>
      </c>
      <c r="AD69" s="70" t="n">
        <f aca="false">-AD63*Assumptions!$E$79</f>
        <v>-6639.46011860265</v>
      </c>
      <c r="AE69" s="70" t="n">
        <f aca="false">-AE63*Assumptions!$E$79</f>
        <v>-6972.29451288973</v>
      </c>
      <c r="AF69" s="70" t="n">
        <f aca="false">-AF63*Assumptions!$E$79</f>
        <v>-7304.20116731693</v>
      </c>
      <c r="AG69" s="70" t="n">
        <f aca="false">-AG63*Assumptions!$E$79</f>
        <v>-7637.53518826895</v>
      </c>
      <c r="AH69" s="70" t="n">
        <f aca="false">-AH63*Assumptions!$E$79</f>
        <v>-7974.63190242255</v>
      </c>
      <c r="AI69" s="70" t="n">
        <f aca="false">-AI63*Assumptions!$E$79</f>
        <v>-8317.82916806391</v>
      </c>
      <c r="AJ69" s="70" t="n">
        <f aca="false">-AJ63*Assumptions!$E$79</f>
        <v>-8669.48845764637</v>
      </c>
      <c r="AK69" s="70" t="n">
        <f aca="false">-AK63*Assumptions!$E$79</f>
        <v>-9032.01538587715</v>
      </c>
      <c r="AL69" s="70" t="n">
        <f aca="false">-AL63*Assumptions!$E$79</f>
        <v>-9407.87998061801</v>
      </c>
      <c r="AM69" s="70" t="n">
        <f aca="false">SUM(C69:AL69)</f>
        <v>-138954.149692244</v>
      </c>
    </row>
    <row r="70" customFormat="false" ht="15" hidden="false" customHeight="false" outlineLevel="0" collapsed="false">
      <c r="A70" s="37" t="s">
        <v>791</v>
      </c>
      <c r="B70" s="9" t="s">
        <v>97</v>
      </c>
      <c r="C70" s="53" t="n">
        <f aca="false">C63+C64+C65+C66+C67+C68+C69</f>
        <v>0</v>
      </c>
      <c r="D70" s="53" t="n">
        <f aca="false">D63+D64+D65+D66+D67+D68+D69</f>
        <v>0</v>
      </c>
      <c r="E70" s="53" t="n">
        <f aca="false">E63+E64+E65+E66+E67+E68+E69</f>
        <v>0</v>
      </c>
      <c r="F70" s="53" t="n">
        <f aca="false">F63+F64+F65+F66+F67+F68+F69</f>
        <v>0</v>
      </c>
      <c r="G70" s="53" t="n">
        <f aca="false">G63+G64+G65+G66+G67+G68+G69</f>
        <v>0</v>
      </c>
      <c r="H70" s="53" t="n">
        <f aca="false">H63+H64+H65+H66+H67+H68+H69</f>
        <v>0</v>
      </c>
      <c r="I70" s="53" t="n">
        <f aca="false">I63+I64+I65+I66+I67+I68+I69</f>
        <v>7172.86671103312</v>
      </c>
      <c r="J70" s="53" t="n">
        <f aca="false">J63+J64+J65+J66+J67+J68+J69</f>
        <v>11648.5272997223</v>
      </c>
      <c r="K70" s="53" t="n">
        <f aca="false">K63+K64+K65+K66+K67+K68+K69</f>
        <v>15985.0314926987</v>
      </c>
      <c r="L70" s="53" t="n">
        <f aca="false">L63+L64+L65+L66+L67+L68+L69</f>
        <v>20223.3850748039</v>
      </c>
      <c r="M70" s="53" t="n">
        <f aca="false">M63+M64+M65+M66+M67+M68+M69</f>
        <v>24402.2166249103</v>
      </c>
      <c r="N70" s="53" t="n">
        <f aca="false">N63+N64+N65+N66+N67+N68+N69</f>
        <v>28555.803592041</v>
      </c>
      <c r="O70" s="53" t="n">
        <f aca="false">O63+O64+O65+O66+O67+O68+O69</f>
        <v>32714.9645483084</v>
      </c>
      <c r="P70" s="53" t="n">
        <f aca="false">P63+P64+P65+P66+P67+P68+P69</f>
        <v>36907.5407168453</v>
      </c>
      <c r="Q70" s="53" t="n">
        <f aca="false">Q63+Q64+Q65+Q66+Q67+Q68+Q69</f>
        <v>41158.8637488871</v>
      </c>
      <c r="R70" s="53" t="n">
        <f aca="false">R63+R64+R65+R66+R67+R68+R69</f>
        <v>45492.2314271464</v>
      </c>
      <c r="S70" s="53" t="n">
        <f aca="false">S63+S64+S65+S66+S67+S68+S69</f>
        <v>49929.3781276866</v>
      </c>
      <c r="T70" s="53" t="n">
        <f aca="false">T63+T64+T65+T66+T67+T68+T69</f>
        <v>54490.9286762025</v>
      </c>
      <c r="U70" s="53" t="n">
        <f aca="false">U63+U64+U65+U66+U67+U68+U69</f>
        <v>59196.8302065593</v>
      </c>
      <c r="V70" s="53" t="n">
        <f aca="false">V63+V64+V65+V66+V67+V68+V69</f>
        <v>64066.76092574</v>
      </c>
      <c r="W70" s="53" t="n">
        <f aca="false">W63+W64+W65+W66+W67+W68+W69</f>
        <v>69120.5173694563</v>
      </c>
      <c r="X70" s="53" t="n">
        <f aca="false">X63+X64+X65+X66+X67+X68+X69</f>
        <v>74378.3833202803</v>
      </c>
      <c r="Y70" s="53" t="n">
        <f aca="false">Y63+Y64+Y65+Y66+Y67+Y68+Y69</f>
        <v>79861.4844549058</v>
      </c>
      <c r="Z70" s="53" t="n">
        <f aca="false">Z63+Z64+Z65+Z66+Z67+Z68+Z69</f>
        <v>85592.1332517197</v>
      </c>
      <c r="AA70" s="53" t="n">
        <f aca="false">AA63+AA64+AA65+AA66+AA67+AA68+AA69</f>
        <v>91594.1688939494</v>
      </c>
      <c r="AB70" s="53" t="n">
        <f aca="false">AB63+AB64+AB65+AB66+AB67+AB68+AB69</f>
        <v>97462.3564094548</v>
      </c>
      <c r="AC70" s="53" t="n">
        <f aca="false">AC63+AC64+AC65+AC66+AC67+AC68+AC69</f>
        <v>103087.147145585</v>
      </c>
      <c r="AD70" s="53" t="n">
        <f aca="false">AD63+AD64+AD65+AD66+AD67+AD68+AD69</f>
        <v>108613.781604044</v>
      </c>
      <c r="AE70" s="53" t="n">
        <f aca="false">AE63+AE64+AE65+AE66+AE67+AE68+AE69</f>
        <v>114082.956796286</v>
      </c>
      <c r="AF70" s="53" t="n">
        <f aca="false">AF63+AF64+AF65+AF66+AF67+AF68+AF69</f>
        <v>119534.175499243</v>
      </c>
      <c r="AG70" s="53" t="n">
        <f aca="false">AG63+AG64+AG65+AG66+AG67+AG68+AG69</f>
        <v>125006.160154367</v>
      </c>
      <c r="AH70" s="53" t="n">
        <f aca="false">AH63+AH64+AH65+AH66+AH67+AH68+AH69</f>
        <v>130537.283949213</v>
      </c>
      <c r="AI70" s="53" t="n">
        <f aca="false">AI63+AI64+AI65+AI66+AI67+AI68+AI69</f>
        <v>136165.93684459</v>
      </c>
      <c r="AJ70" s="53" t="n">
        <f aca="false">AJ63+AJ64+AJ65+AJ66+AJ67+AJ68+AJ69</f>
        <v>141930.872451478</v>
      </c>
      <c r="AK70" s="53" t="n">
        <f aca="false">AK63+AK64+AK65+AK66+AK67+AK68+AK69</f>
        <v>147871.545701452</v>
      </c>
      <c r="AL70" s="53" t="n">
        <f aca="false">AL63+AL64+AL65+AL66+AL67+AL68+AL69</f>
        <v>154028.446046379</v>
      </c>
      <c r="AM70" s="53" t="n">
        <f aca="false">SUM(C70:AL70)</f>
        <v>2270812.67906499</v>
      </c>
    </row>
    <row r="71" customFormat="false" ht="15" hidden="false" customHeight="false" outlineLevel="0" collapsed="false">
      <c r="A71" s="10" t="s">
        <v>792</v>
      </c>
      <c r="B71" s="9" t="s">
        <v>61</v>
      </c>
      <c r="C71" s="62" t="n">
        <f aca="false">IFERROR(C70/C63,0)</f>
        <v>0</v>
      </c>
      <c r="D71" s="62" t="n">
        <f aca="false">IFERROR(D70/D63,0)</f>
        <v>0</v>
      </c>
      <c r="E71" s="62" t="n">
        <f aca="false">IFERROR(E70/E63,0)</f>
        <v>0</v>
      </c>
      <c r="F71" s="62" t="n">
        <f aca="false">IFERROR(F70/F63,0)</f>
        <v>0</v>
      </c>
      <c r="G71" s="62" t="n">
        <f aca="false">IFERROR(G70/G63,0)</f>
        <v>0</v>
      </c>
      <c r="H71" s="62" t="n">
        <f aca="false">IFERROR(H70/H63,0)</f>
        <v>0</v>
      </c>
      <c r="I71" s="62" t="n">
        <f aca="false">IFERROR(I70/I63,0)</f>
        <v>0.45552039983603</v>
      </c>
      <c r="J71" s="62" t="n">
        <f aca="false">IFERROR(J70/J63,0)</f>
        <v>0.463688781960148</v>
      </c>
      <c r="K71" s="62" t="n">
        <f aca="false">IFERROR(K70/K63,0)</f>
        <v>0.467284263523824</v>
      </c>
      <c r="L71" s="62" t="n">
        <f aca="false">IFERROR(L70/L63,0)</f>
        <v>0.469280218377697</v>
      </c>
      <c r="M71" s="62" t="n">
        <f aca="false">IFERROR(M70/M63,0)</f>
        <v>0.470530993248717</v>
      </c>
      <c r="N71" s="62" t="n">
        <f aca="false">IFERROR(N70/N63,0)</f>
        <v>0.471376381721314</v>
      </c>
      <c r="O71" s="62" t="n">
        <f aca="false">IFERROR(O70/O63,0)</f>
        <v>0.47197816677324</v>
      </c>
      <c r="P71" s="62" t="n">
        <f aca="false">IFERROR(P70/P63,0)</f>
        <v>0.472423104181453</v>
      </c>
      <c r="Q71" s="62" t="n">
        <f aca="false">IFERROR(Q70/Q63,0)</f>
        <v>0.472761804063389</v>
      </c>
      <c r="R71" s="62" t="n">
        <f aca="false">IFERROR(R70/R63,0)</f>
        <v>0.473025686222169</v>
      </c>
      <c r="S71" s="62" t="n">
        <f aca="false">IFERROR(S70/S63,0)</f>
        <v>0.47323520270428</v>
      </c>
      <c r="T71" s="62" t="n">
        <f aca="false">IFERROR(T70/T63,0)</f>
        <v>0.473404166403887</v>
      </c>
      <c r="U71" s="62" t="n">
        <f aca="false">IFERROR(U70/U63,0)</f>
        <v>0.473542183524838</v>
      </c>
      <c r="V71" s="62" t="n">
        <f aca="false">IFERROR(V70/V63,0)</f>
        <v>0.473656095003299</v>
      </c>
      <c r="W71" s="62" t="n">
        <f aca="false">IFERROR(W70/W63,0)</f>
        <v>0.473750868885803</v>
      </c>
      <c r="X71" s="62" t="n">
        <f aca="false">IFERROR(X70/X63,0)</f>
        <v>0.473830173327006</v>
      </c>
      <c r="Y71" s="62" t="n">
        <f aca="false">IFERROR(Y70/Y63,0)</f>
        <v>0.473896755960858</v>
      </c>
      <c r="Z71" s="62" t="n">
        <f aca="false">IFERROR(Z70/Z63,0)</f>
        <v>0.473952701664385</v>
      </c>
      <c r="AA71" s="62" t="n">
        <f aca="false">IFERROR(AA70/AA63,0)</f>
        <v>0.473999611596101</v>
      </c>
      <c r="AB71" s="62" t="n">
        <f aca="false">IFERROR(AB70/AB63,0)</f>
        <v>0.474123954792327</v>
      </c>
      <c r="AC71" s="62" t="n">
        <f aca="false">IFERROR(AC70/AC63,0)</f>
        <v>0.474279986417139</v>
      </c>
      <c r="AD71" s="62" t="n">
        <f aca="false">IFERROR(AD70/AD63,0)</f>
        <v>0.474405992392676</v>
      </c>
      <c r="AE71" s="62" t="n">
        <f aca="false">IFERROR(AE70/AE63,0)</f>
        <v>0.474507458194147</v>
      </c>
      <c r="AF71" s="62" t="n">
        <f aca="false">IFERROR(AF70/AF63,0)</f>
        <v>0.474588666175989</v>
      </c>
      <c r="AG71" s="62" t="n">
        <f aca="false">IFERROR(AG70/AG63,0)</f>
        <v>0.474652954796834</v>
      </c>
      <c r="AH71" s="62" t="n">
        <f aca="false">IFERROR(AH70/AH63,0)</f>
        <v>0.474702943138627</v>
      </c>
      <c r="AI71" s="62" t="n">
        <f aca="false">IFERROR(AI70/AI63,0)</f>
        <v>0.474740715240279</v>
      </c>
      <c r="AJ71" s="62" t="n">
        <f aca="false">IFERROR(AJ70/AJ63,0)</f>
        <v>0.474767954441719</v>
      </c>
      <c r="AK71" s="62" t="n">
        <f aca="false">IFERROR(AK70/AK63,0)</f>
        <v>0.474786040781932</v>
      </c>
      <c r="AL71" s="62" t="n">
        <f aca="false">IFERROR(AL70/AL63,0)</f>
        <v>0.474796122457714</v>
      </c>
      <c r="AM71" s="62" t="n">
        <f aca="false">AVERAGE(N71:AL71)</f>
        <v>0.473807427634456</v>
      </c>
    </row>
    <row r="72" customFormat="false" ht="15" hidden="false" customHeight="false" outlineLevel="0" collapsed="false">
      <c r="A72" s="37" t="s">
        <v>793</v>
      </c>
      <c r="B72" s="9" t="s">
        <v>97</v>
      </c>
      <c r="C72" s="53" t="n">
        <f aca="false">C42+C63</f>
        <v>0</v>
      </c>
      <c r="D72" s="53" t="n">
        <f aca="false">D42+D63</f>
        <v>113490</v>
      </c>
      <c r="E72" s="53" t="n">
        <f aca="false">E42+E63</f>
        <v>202920.12</v>
      </c>
      <c r="F72" s="53" t="n">
        <f aca="false">F42+F63</f>
        <v>255171.496426399</v>
      </c>
      <c r="G72" s="53" t="n">
        <f aca="false">G42+G63</f>
        <v>299768.648346935</v>
      </c>
      <c r="H72" s="53" t="n">
        <f aca="false">H42+H63</f>
        <v>340077.360378955</v>
      </c>
      <c r="I72" s="53" t="n">
        <f aca="false">I42+I63</f>
        <v>392043.02400084</v>
      </c>
      <c r="J72" s="53" t="n">
        <f aca="false">J42+J63</f>
        <v>435939.034080821</v>
      </c>
      <c r="K72" s="53" t="n">
        <f aca="false">K42+K63</f>
        <v>477028.545077145</v>
      </c>
      <c r="L72" s="53" t="n">
        <f aca="false">L42+L63</f>
        <v>515970.026041417</v>
      </c>
      <c r="M72" s="53" t="n">
        <f aca="false">M42+M63</f>
        <v>553227.817758515</v>
      </c>
      <c r="N72" s="53" t="n">
        <f aca="false">N42+N63</f>
        <v>589154.701633364</v>
      </c>
      <c r="O72" s="53" t="n">
        <f aca="false">O42+O63</f>
        <v>624044.871391466</v>
      </c>
      <c r="P72" s="53" t="n">
        <f aca="false">P42+P63</f>
        <v>658149.016674127</v>
      </c>
      <c r="Q72" s="53" t="n">
        <f aca="false">Q42+Q63</f>
        <v>691683.989776823</v>
      </c>
      <c r="R72" s="53" t="n">
        <f aca="false">R42+R63</f>
        <v>724840.200335871</v>
      </c>
      <c r="S72" s="53" t="n">
        <f aca="false">S42+S63</f>
        <v>757787.637866617</v>
      </c>
      <c r="T72" s="53" t="n">
        <f aca="false">T42+T63</f>
        <v>790680.877133936</v>
      </c>
      <c r="U72" s="53" t="n">
        <f aca="false">U42+U63</f>
        <v>823663.285419225</v>
      </c>
      <c r="V72" s="53" t="n">
        <f aca="false">V42+V63</f>
        <v>856870.593788109</v>
      </c>
      <c r="W72" s="53" t="n">
        <f aca="false">W42+W63</f>
        <v>890433.961324014</v>
      </c>
      <c r="X72" s="53" t="n">
        <f aca="false">X42+X63</f>
        <v>924482.63798673</v>
      </c>
      <c r="Y72" s="53" t="n">
        <f aca="false">Y42+Y63</f>
        <v>959146.313845132</v>
      </c>
      <c r="Z72" s="53" t="n">
        <f aca="false">Z42+Z63</f>
        <v>994557.228125413</v>
      </c>
      <c r="AA72" s="53" t="n">
        <f aca="false">AA42+AA63</f>
        <v>1030852.0999136</v>
      </c>
      <c r="AB72" s="53" t="n">
        <f aca="false">AB42+AB63</f>
        <v>1067227.89284694</v>
      </c>
      <c r="AC72" s="53" t="n">
        <f aca="false">AC42+AC63</f>
        <v>1103499.43408175</v>
      </c>
      <c r="AD72" s="53" t="n">
        <f aca="false">AD42+AD63</f>
        <v>1140048.21505538</v>
      </c>
      <c r="AE72" s="53" t="n">
        <f aca="false">AE42+AE63</f>
        <v>1177045.60239183</v>
      </c>
      <c r="AF72" s="53" t="n">
        <f aca="false">AF42+AF63</f>
        <v>1214663.49568982</v>
      </c>
      <c r="AG72" s="53" t="n">
        <f aca="false">AG42+AG63</f>
        <v>1253079.33905344</v>
      </c>
      <c r="AH72" s="53" t="n">
        <f aca="false">AH42+AH63</f>
        <v>1292478.69824602</v>
      </c>
      <c r="AI72" s="53" t="n">
        <f aca="false">AI42+AI63</f>
        <v>1333056.76056777</v>
      </c>
      <c r="AJ72" s="53" t="n">
        <f aca="false">AJ42+AJ63</f>
        <v>1375019.76507328</v>
      </c>
      <c r="AK72" s="53" t="n">
        <f aca="false">AK42+AK63</f>
        <v>1418586.46517589</v>
      </c>
      <c r="AL72" s="53" t="n">
        <f aca="false">AL42+AL63</f>
        <v>1463989.65234325</v>
      </c>
      <c r="AM72" s="53" t="n">
        <f aca="false">SUM(C72:AL72)</f>
        <v>28740678.8078508</v>
      </c>
    </row>
    <row r="73" customFormat="false" ht="15" hidden="false" customHeight="false" outlineLevel="0" collapsed="false">
      <c r="A73" s="37" t="s">
        <v>794</v>
      </c>
      <c r="B73" s="9" t="s">
        <v>97</v>
      </c>
      <c r="C73" s="53" t="n">
        <f aca="false">C46+C70</f>
        <v>0</v>
      </c>
      <c r="D73" s="53" t="n">
        <f aca="false">D46+D70</f>
        <v>68528.79</v>
      </c>
      <c r="E73" s="53" t="n">
        <f aca="false">E46+E70</f>
        <v>122529.47652</v>
      </c>
      <c r="F73" s="53" t="n">
        <f aca="false">F46+F70</f>
        <v>154080.481915503</v>
      </c>
      <c r="G73" s="53" t="n">
        <f aca="false">G46+G70</f>
        <v>181009.628611781</v>
      </c>
      <c r="H73" s="53" t="n">
        <f aca="false">H46+H70</f>
        <v>205349.281991045</v>
      </c>
      <c r="I73" s="53" t="n">
        <f aca="false">I46+I70</f>
        <v>234392.386089288</v>
      </c>
      <c r="J73" s="53" t="n">
        <f aca="false">J46+J70</f>
        <v>259712.96486723</v>
      </c>
      <c r="K73" s="53" t="n">
        <f aca="false">K46+K70</f>
        <v>283373.620831025</v>
      </c>
      <c r="L73" s="53" t="n">
        <f aca="false">L46+L70</f>
        <v>305760.342249821</v>
      </c>
      <c r="M73" s="53" t="n">
        <f aca="false">M46+M70</f>
        <v>327143.075624134</v>
      </c>
      <c r="N73" s="53" t="n">
        <f aca="false">N46+N70</f>
        <v>347725.867464673</v>
      </c>
      <c r="O73" s="53" t="n">
        <f aca="false">O46+O70</f>
        <v>367678.364006529</v>
      </c>
      <c r="P73" s="53" t="n">
        <f aca="false">P46+P70</f>
        <v>387144.730219029</v>
      </c>
      <c r="Q73" s="53" t="n">
        <f aca="false">Q46+Q70</f>
        <v>406249.342001413</v>
      </c>
      <c r="R73" s="53" t="n">
        <f aca="false">R46+R70</f>
        <v>425101.116683272</v>
      </c>
      <c r="S73" s="53" t="n">
        <f aca="false">S46+S70</f>
        <v>443797.021308635</v>
      </c>
      <c r="T73" s="53" t="n">
        <f aca="false">T46+T70</f>
        <v>462424.973488949</v>
      </c>
      <c r="U73" s="53" t="n">
        <f aca="false">U46+U70</f>
        <v>481066.267327211</v>
      </c>
      <c r="V73" s="53" t="n">
        <f aca="false">V46+V70</f>
        <v>499797.621932935</v>
      </c>
      <c r="W73" s="53" t="n">
        <f aca="false">W46+W70</f>
        <v>518692.929600808</v>
      </c>
      <c r="X73" s="53" t="n">
        <f aca="false">X46+X70</f>
        <v>537824.766384715</v>
      </c>
      <c r="Y73" s="53" t="n">
        <f aca="false">Y46+Y70</f>
        <v>557265.716837004</v>
      </c>
      <c r="Z73" s="53" t="n">
        <f aca="false">Z46+Z70</f>
        <v>577089.555974563</v>
      </c>
      <c r="AA73" s="53" t="n">
        <f aca="false">AA46+AA70</f>
        <v>597372.324506262</v>
      </c>
      <c r="AB73" s="53" t="n">
        <f aca="false">AB46+AB70</f>
        <v>617762.387113328</v>
      </c>
      <c r="AC73" s="53" t="n">
        <f aca="false">AC46+AC70</f>
        <v>638168.677167755</v>
      </c>
      <c r="AD73" s="53" t="n">
        <f aca="false">AD46+AD70</f>
        <v>658765.078142899</v>
      </c>
      <c r="AE73" s="53" t="n">
        <f aca="false">AE46+AE70</f>
        <v>679644.227515349</v>
      </c>
      <c r="AF73" s="53" t="n">
        <f aca="false">AF46+AF70</f>
        <v>700899.418365607</v>
      </c>
      <c r="AG73" s="53" t="n">
        <f aca="false">AG46+AG70</f>
        <v>722627.481937582</v>
      </c>
      <c r="AH73" s="53" t="n">
        <f aca="false">AH46+AH70</f>
        <v>744930.21617999</v>
      </c>
      <c r="AI73" s="53" t="n">
        <f aca="false">AI46+AI70</f>
        <v>767915.192885294</v>
      </c>
      <c r="AJ73" s="53" t="n">
        <f aca="false">AJ46+AJ70</f>
        <v>791696.529200412</v>
      </c>
      <c r="AK73" s="53" t="n">
        <f aca="false">AK46+AK70</f>
        <v>816395.681032229</v>
      </c>
      <c r="AL73" s="53" t="n">
        <f aca="false">AL46+AL70</f>
        <v>842142.274226144</v>
      </c>
      <c r="AM73" s="53" t="n">
        <f aca="false">SUM(C73:AL73)</f>
        <v>16732057.8102024</v>
      </c>
    </row>
    <row r="74" customFormat="false" ht="15" hidden="false" customHeight="false" outlineLevel="0" collapsed="false">
      <c r="A74" s="37" t="s">
        <v>795</v>
      </c>
      <c r="B74" s="9" t="s">
        <v>61</v>
      </c>
      <c r="C74" s="52" t="n">
        <f aca="false">IFERROR(C73/C72,0)</f>
        <v>0</v>
      </c>
      <c r="D74" s="52" t="n">
        <f aca="false">IFERROR(D73/D72,0)</f>
        <v>0.603831086439334</v>
      </c>
      <c r="E74" s="52" t="n">
        <f aca="false">IFERROR(E73/E72,0)</f>
        <v>0.603831086439334</v>
      </c>
      <c r="F74" s="52" t="n">
        <f aca="false">IFERROR(F73/F72,0)</f>
        <v>0.603831086439334</v>
      </c>
      <c r="G74" s="52" t="n">
        <f aca="false">IFERROR(G73/G72,0)</f>
        <v>0.603831086439334</v>
      </c>
      <c r="H74" s="52" t="n">
        <f aca="false">IFERROR(H73/H72,0)</f>
        <v>0.603831086439334</v>
      </c>
      <c r="I74" s="52" t="n">
        <f aca="false">IFERROR(I73/I72,0)</f>
        <v>0.597874140693256</v>
      </c>
      <c r="J74" s="52" t="n">
        <f aca="false">IFERROR(J73/J72,0)</f>
        <v>0.595755242277938</v>
      </c>
      <c r="K74" s="52" t="n">
        <f aca="false">IFERROR(K73/K72,0)</f>
        <v>0.594039127753241</v>
      </c>
      <c r="L74" s="52" t="n">
        <f aca="false">IFERROR(L73/L72,0)</f>
        <v>0.592593225997351</v>
      </c>
      <c r="M74" s="52" t="n">
        <f aca="false">IFERROR(M73/M72,0)</f>
        <v>0.591335188005555</v>
      </c>
      <c r="N74" s="52" t="n">
        <f aca="false">IFERROR(N73/N72,0)</f>
        <v>0.590211478412449</v>
      </c>
      <c r="O74" s="52" t="n">
        <f aca="false">IFERROR(O73/O72,0)</f>
        <v>0.589185779520464</v>
      </c>
      <c r="P74" s="52" t="n">
        <f aca="false">IFERROR(P73/P72,0)</f>
        <v>0.588232634875633</v>
      </c>
      <c r="Q74" s="52" t="n">
        <f aca="false">IFERROR(Q73/Q72,0)</f>
        <v>0.587333736223232</v>
      </c>
      <c r="R74" s="52" t="n">
        <f aca="false">IFERROR(R73/R72,0)</f>
        <v>0.586475634886546</v>
      </c>
      <c r="S74" s="52" t="n">
        <f aca="false">IFERROR(S73/S72,0)</f>
        <v>0.585648272856557</v>
      </c>
      <c r="T74" s="52" t="n">
        <f aca="false">IFERROR(T73/T72,0)</f>
        <v>0.584844008325014</v>
      </c>
      <c r="U74" s="52" t="n">
        <f aca="false">IFERROR(U73/U72,0)</f>
        <v>0.58405695123628</v>
      </c>
      <c r="V74" s="52" t="n">
        <f aca="false">IFERROR(V73/V72,0)</f>
        <v>0.583282499780273</v>
      </c>
      <c r="W74" s="52" t="n">
        <f aca="false">IFERROR(W73/W72,0)</f>
        <v>0.582517010952218</v>
      </c>
      <c r="X74" s="52" t="n">
        <f aca="false">IFERROR(X73/X72,0)</f>
        <v>0.58175756286343</v>
      </c>
      <c r="Y74" s="52" t="n">
        <f aca="false">IFERROR(Y73/Y72,0)</f>
        <v>0.581001781264191</v>
      </c>
      <c r="Z74" s="52" t="n">
        <f aca="false">IFERROR(Z73/Z72,0)</f>
        <v>0.580247711901193</v>
      </c>
      <c r="AA74" s="52" t="n">
        <f aca="false">IFERROR(AA73/AA72,0)</f>
        <v>0.579493726167247</v>
      </c>
      <c r="AB74" s="52" t="n">
        <f aca="false">IFERROR(AB73/AB72,0)</f>
        <v>0.57884767747719</v>
      </c>
      <c r="AC74" s="52" t="n">
        <f aca="false">IFERROR(AC73/AC72,0)</f>
        <v>0.578313551831398</v>
      </c>
      <c r="AD74" s="52" t="n">
        <f aca="false">IFERROR(AD73/AD72,0)</f>
        <v>0.577839664536381</v>
      </c>
      <c r="AE74" s="52" t="n">
        <f aca="false">IFERROR(AE73/AE72,0)</f>
        <v>0.577415374675604</v>
      </c>
      <c r="AF74" s="52" t="n">
        <f aca="false">IFERROR(AF73/AF72,0)</f>
        <v>0.577031762996678</v>
      </c>
      <c r="AG74" s="52" t="n">
        <f aca="false">IFERROR(AG73/AG72,0)</f>
        <v>0.576681347633938</v>
      </c>
      <c r="AH74" s="52" t="n">
        <f aca="false">IFERROR(AH73/AH72,0)</f>
        <v>0.576357828713858</v>
      </c>
      <c r="AI74" s="52" t="n">
        <f aca="false">IFERROR(AI73/AI72,0)</f>
        <v>0.576055885691037</v>
      </c>
      <c r="AJ74" s="52" t="n">
        <f aca="false">IFERROR(AJ73/AJ72,0)</f>
        <v>0.575771017486587</v>
      </c>
      <c r="AK74" s="52" t="n">
        <f aca="false">IFERROR(AK73/AK72,0)</f>
        <v>0.575499415138578</v>
      </c>
      <c r="AL74" s="52" t="n">
        <f aca="false">IFERROR(AL73/AL72,0)</f>
        <v>0.575237859692669</v>
      </c>
      <c r="AM74" s="52" t="n">
        <f aca="false">AVERAGE(N74:AL74)</f>
        <v>0.581173607005546</v>
      </c>
    </row>
    <row r="75" customFormat="false" ht="15" hidden="false" customHeight="false" outlineLevel="0" collapsed="false">
      <c r="A75" s="10" t="s">
        <v>796</v>
      </c>
      <c r="B75" s="9" t="s">
        <v>97</v>
      </c>
      <c r="C75" s="70" t="n">
        <f aca="false">-Assumptions!$E$82</f>
        <v>-600</v>
      </c>
      <c r="D75" s="70" t="n">
        <f aca="false">-Assumptions!$E$82</f>
        <v>-600</v>
      </c>
      <c r="E75" s="70" t="n">
        <f aca="false">-Assumptions!$E$82</f>
        <v>-600</v>
      </c>
      <c r="F75" s="70" t="n">
        <f aca="false">-Assumptions!$E$82</f>
        <v>-600</v>
      </c>
      <c r="G75" s="70" t="n">
        <f aca="false">-Assumptions!$E$82</f>
        <v>-600</v>
      </c>
      <c r="H75" s="70" t="n">
        <f aca="false">-Assumptions!$E$82</f>
        <v>-600</v>
      </c>
      <c r="I75" s="70" t="n">
        <f aca="false">-Assumptions!$E$82</f>
        <v>-600</v>
      </c>
      <c r="J75" s="70" t="n">
        <f aca="false">-Assumptions!$E$82</f>
        <v>-600</v>
      </c>
      <c r="K75" s="70" t="n">
        <f aca="false">-Assumptions!$E$82</f>
        <v>-600</v>
      </c>
      <c r="L75" s="70" t="n">
        <f aca="false">-Assumptions!$E$82</f>
        <v>-600</v>
      </c>
      <c r="M75" s="70" t="n">
        <f aca="false">-Assumptions!$E$82</f>
        <v>-600</v>
      </c>
      <c r="N75" s="70" t="n">
        <f aca="false">-Assumptions!$E$82</f>
        <v>-600</v>
      </c>
      <c r="O75" s="70" t="n">
        <f aca="false">-Assumptions!$E$82</f>
        <v>-600</v>
      </c>
      <c r="P75" s="70" t="n">
        <f aca="false">-Assumptions!$E$82</f>
        <v>-600</v>
      </c>
      <c r="Q75" s="70" t="n">
        <f aca="false">-Assumptions!$E$82</f>
        <v>-600</v>
      </c>
      <c r="R75" s="70" t="n">
        <f aca="false">-Assumptions!$E$82</f>
        <v>-600</v>
      </c>
      <c r="S75" s="70" t="n">
        <f aca="false">-Assumptions!$E$82</f>
        <v>-600</v>
      </c>
      <c r="T75" s="70" t="n">
        <f aca="false">-Assumptions!$E$82</f>
        <v>-600</v>
      </c>
      <c r="U75" s="70" t="n">
        <f aca="false">-Assumptions!$E$82</f>
        <v>-600</v>
      </c>
      <c r="V75" s="70" t="n">
        <f aca="false">-Assumptions!$E$82</f>
        <v>-600</v>
      </c>
      <c r="W75" s="70" t="n">
        <f aca="false">-Assumptions!$E$82</f>
        <v>-600</v>
      </c>
      <c r="X75" s="70" t="n">
        <f aca="false">-Assumptions!$E$82</f>
        <v>-600</v>
      </c>
      <c r="Y75" s="70" t="n">
        <f aca="false">-Assumptions!$E$82</f>
        <v>-600</v>
      </c>
      <c r="Z75" s="70" t="n">
        <f aca="false">-Assumptions!$E$82</f>
        <v>-600</v>
      </c>
      <c r="AA75" s="70" t="n">
        <f aca="false">-Assumptions!$E$82</f>
        <v>-600</v>
      </c>
      <c r="AB75" s="70" t="n">
        <f aca="false">-Assumptions!$E$82</f>
        <v>-600</v>
      </c>
      <c r="AC75" s="70" t="n">
        <f aca="false">-Assumptions!$E$82</f>
        <v>-600</v>
      </c>
      <c r="AD75" s="70" t="n">
        <f aca="false">-Assumptions!$E$82</f>
        <v>-600</v>
      </c>
      <c r="AE75" s="70" t="n">
        <f aca="false">-Assumptions!$E$82</f>
        <v>-600</v>
      </c>
      <c r="AF75" s="70" t="n">
        <f aca="false">-Assumptions!$E$82</f>
        <v>-600</v>
      </c>
      <c r="AG75" s="70" t="n">
        <f aca="false">-Assumptions!$E$82</f>
        <v>-600</v>
      </c>
      <c r="AH75" s="70" t="n">
        <f aca="false">-Assumptions!$E$82</f>
        <v>-600</v>
      </c>
      <c r="AI75" s="70" t="n">
        <f aca="false">-Assumptions!$E$82</f>
        <v>-600</v>
      </c>
      <c r="AJ75" s="70" t="n">
        <f aca="false">-Assumptions!$E$82</f>
        <v>-600</v>
      </c>
      <c r="AK75" s="70" t="n">
        <f aca="false">-Assumptions!$E$82</f>
        <v>-600</v>
      </c>
      <c r="AL75" s="70" t="n">
        <f aca="false">-Assumptions!$E$82</f>
        <v>-600</v>
      </c>
      <c r="AM75" s="70" t="n">
        <f aca="false">SUM(C75:AL75)</f>
        <v>-21600</v>
      </c>
    </row>
    <row r="76" customFormat="false" ht="15" hidden="false" customHeight="false" outlineLevel="0" collapsed="false">
      <c r="A76" s="10" t="s">
        <v>797</v>
      </c>
      <c r="B76" s="9" t="s">
        <v>97</v>
      </c>
      <c r="C76" s="70" t="n">
        <f aca="false">-Assumptions!$E$83</f>
        <v>-280</v>
      </c>
      <c r="D76" s="70" t="n">
        <f aca="false">-Assumptions!$E$83</f>
        <v>-280</v>
      </c>
      <c r="E76" s="70" t="n">
        <f aca="false">-Assumptions!$E$83</f>
        <v>-280</v>
      </c>
      <c r="F76" s="70" t="n">
        <f aca="false">-Assumptions!$E$83</f>
        <v>-280</v>
      </c>
      <c r="G76" s="70" t="n">
        <f aca="false">-Assumptions!$E$83</f>
        <v>-280</v>
      </c>
      <c r="H76" s="70" t="n">
        <f aca="false">-Assumptions!$E$83</f>
        <v>-280</v>
      </c>
      <c r="I76" s="70" t="n">
        <f aca="false">-Assumptions!$E$83</f>
        <v>-280</v>
      </c>
      <c r="J76" s="70" t="n">
        <f aca="false">-Assumptions!$E$83</f>
        <v>-280</v>
      </c>
      <c r="K76" s="70" t="n">
        <f aca="false">-Assumptions!$E$83</f>
        <v>-280</v>
      </c>
      <c r="L76" s="70" t="n">
        <f aca="false">-Assumptions!$E$83</f>
        <v>-280</v>
      </c>
      <c r="M76" s="70" t="n">
        <f aca="false">-Assumptions!$E$83</f>
        <v>-280</v>
      </c>
      <c r="N76" s="70" t="n">
        <f aca="false">-Assumptions!$E$83</f>
        <v>-280</v>
      </c>
      <c r="O76" s="70" t="n">
        <f aca="false">-Assumptions!$E$83</f>
        <v>-280</v>
      </c>
      <c r="P76" s="70" t="n">
        <f aca="false">-Assumptions!$E$83</f>
        <v>-280</v>
      </c>
      <c r="Q76" s="70" t="n">
        <f aca="false">-Assumptions!$E$83</f>
        <v>-280</v>
      </c>
      <c r="R76" s="70" t="n">
        <f aca="false">-Assumptions!$E$83</f>
        <v>-280</v>
      </c>
      <c r="S76" s="70" t="n">
        <f aca="false">-Assumptions!$E$83</f>
        <v>-280</v>
      </c>
      <c r="T76" s="70" t="n">
        <f aca="false">-Assumptions!$E$83</f>
        <v>-280</v>
      </c>
      <c r="U76" s="70" t="n">
        <f aca="false">-Assumptions!$E$83</f>
        <v>-280</v>
      </c>
      <c r="V76" s="70" t="n">
        <f aca="false">-Assumptions!$E$83</f>
        <v>-280</v>
      </c>
      <c r="W76" s="70" t="n">
        <f aca="false">-Assumptions!$E$83</f>
        <v>-280</v>
      </c>
      <c r="X76" s="70" t="n">
        <f aca="false">-Assumptions!$E$83</f>
        <v>-280</v>
      </c>
      <c r="Y76" s="70" t="n">
        <f aca="false">-Assumptions!$E$83</f>
        <v>-280</v>
      </c>
      <c r="Z76" s="70" t="n">
        <f aca="false">-Assumptions!$E$83</f>
        <v>-280</v>
      </c>
      <c r="AA76" s="70" t="n">
        <f aca="false">-Assumptions!$E$83</f>
        <v>-280</v>
      </c>
      <c r="AB76" s="70" t="n">
        <f aca="false">-Assumptions!$E$83</f>
        <v>-280</v>
      </c>
      <c r="AC76" s="70" t="n">
        <f aca="false">-Assumptions!$E$83</f>
        <v>-280</v>
      </c>
      <c r="AD76" s="70" t="n">
        <f aca="false">-Assumptions!$E$83</f>
        <v>-280</v>
      </c>
      <c r="AE76" s="70" t="n">
        <f aca="false">-Assumptions!$E$83</f>
        <v>-280</v>
      </c>
      <c r="AF76" s="70" t="n">
        <f aca="false">-Assumptions!$E$83</f>
        <v>-280</v>
      </c>
      <c r="AG76" s="70" t="n">
        <f aca="false">-Assumptions!$E$83</f>
        <v>-280</v>
      </c>
      <c r="AH76" s="70" t="n">
        <f aca="false">-Assumptions!$E$83</f>
        <v>-280</v>
      </c>
      <c r="AI76" s="70" t="n">
        <f aca="false">-Assumptions!$E$83</f>
        <v>-280</v>
      </c>
      <c r="AJ76" s="70" t="n">
        <f aca="false">-Assumptions!$E$83</f>
        <v>-280</v>
      </c>
      <c r="AK76" s="70" t="n">
        <f aca="false">-Assumptions!$E$83</f>
        <v>-280</v>
      </c>
      <c r="AL76" s="70" t="n">
        <f aca="false">-Assumptions!$E$83</f>
        <v>-280</v>
      </c>
      <c r="AM76" s="70" t="n">
        <f aca="false">SUM(C76:AL76)</f>
        <v>-10080</v>
      </c>
    </row>
    <row r="77" customFormat="false" ht="15" hidden="false" customHeight="false" outlineLevel="0" collapsed="false">
      <c r="A77" s="10" t="s">
        <v>798</v>
      </c>
      <c r="B77" s="9" t="s">
        <v>97</v>
      </c>
      <c r="C77" s="70" t="n">
        <f aca="false">-MAX(IF(C8=0,Assumptions!$E$84,IF(C$5&lt;=12,Assumptions!$E$85,IF(C$5&lt;=24,Assumptions!$E$86,Assumptions!$E$87))))</f>
        <v>-6000</v>
      </c>
      <c r="D77" s="70" t="n">
        <f aca="false">-MAX(IF(D8=0,Assumptions!$E$84,IF(D$5&lt;=12,Assumptions!$E$85,IF(D$5&lt;=24,Assumptions!$E$86,Assumptions!$E$87))),C72*Assumptions!$E$88)</f>
        <v>-16000</v>
      </c>
      <c r="E77" s="70" t="n">
        <f aca="false">-MAX(IF(E8=0,Assumptions!$E$84,IF(E$5&lt;=12,Assumptions!$E$85,IF(E$5&lt;=24,Assumptions!$E$86,Assumptions!$E$87))),D72*Assumptions!$E$88)</f>
        <v>-16000</v>
      </c>
      <c r="F77" s="70" t="n">
        <f aca="false">-MAX(IF(F8=0,Assumptions!$E$84,IF(F$5&lt;=12,Assumptions!$E$85,IF(F$5&lt;=24,Assumptions!$E$86,Assumptions!$E$87))),E72*Assumptions!$E$88)</f>
        <v>-16000</v>
      </c>
      <c r="G77" s="70" t="n">
        <f aca="false">-MAX(IF(G8=0,Assumptions!$E$84,IF(G$5&lt;=12,Assumptions!$E$85,IF(G$5&lt;=24,Assumptions!$E$86,Assumptions!$E$87))),F72*Assumptions!$E$88)</f>
        <v>-16000</v>
      </c>
      <c r="H77" s="70" t="n">
        <f aca="false">-MAX(IF(H8=0,Assumptions!$E$84,IF(H$5&lt;=12,Assumptions!$E$85,IF(H$5&lt;=24,Assumptions!$E$86,Assumptions!$E$87))),G72*Assumptions!$E$88)</f>
        <v>-17986.1189008161</v>
      </c>
      <c r="I77" s="70" t="n">
        <f aca="false">-MAX(IF(I8=0,Assumptions!$E$84,IF(I$5&lt;=12,Assumptions!$E$85,IF(I$5&lt;=24,Assumptions!$E$86,Assumptions!$E$87))),H72*Assumptions!$E$88)</f>
        <v>-20404.6416227373</v>
      </c>
      <c r="J77" s="70" t="n">
        <f aca="false">-MAX(IF(J8=0,Assumptions!$E$84,IF(J$5&lt;=12,Assumptions!$E$85,IF(J$5&lt;=24,Assumptions!$E$86,Assumptions!$E$87))),I72*Assumptions!$E$88)</f>
        <v>-23522.5814400504</v>
      </c>
      <c r="K77" s="70" t="n">
        <f aca="false">-MAX(IF(K8=0,Assumptions!$E$84,IF(K$5&lt;=12,Assumptions!$E$85,IF(K$5&lt;=24,Assumptions!$E$86,Assumptions!$E$87))),J72*Assumptions!$E$88)</f>
        <v>-26156.3420448492</v>
      </c>
      <c r="L77" s="70" t="n">
        <f aca="false">-MAX(IF(L8=0,Assumptions!$E$84,IF(L$5&lt;=12,Assumptions!$E$85,IF(L$5&lt;=24,Assumptions!$E$86,Assumptions!$E$87))),K72*Assumptions!$E$88)</f>
        <v>-28621.7127046287</v>
      </c>
      <c r="M77" s="70" t="n">
        <f aca="false">-MAX(IF(M8=0,Assumptions!$E$84,IF(M$5&lt;=12,Assumptions!$E$85,IF(M$5&lt;=24,Assumptions!$E$86,Assumptions!$E$87))),L72*Assumptions!$E$88)</f>
        <v>-30958.201562485</v>
      </c>
      <c r="N77" s="70" t="n">
        <f aca="false">-MAX(IF(N8=0,Assumptions!$E$84,IF(N$5&lt;=12,Assumptions!$E$85,IF(N$5&lt;=24,Assumptions!$E$86,Assumptions!$E$87))),M72*Assumptions!$E$88)</f>
        <v>-33193.6690655109</v>
      </c>
      <c r="O77" s="70" t="n">
        <f aca="false">-MAX(IF(O8=0,Assumptions!$E$84,IF(O$5&lt;=12,Assumptions!$E$85,IF(O$5&lt;=24,Assumptions!$E$86,Assumptions!$E$87))),N72*Assumptions!$E$88)</f>
        <v>-35349.2820980018</v>
      </c>
      <c r="P77" s="70" t="n">
        <f aca="false">-MAX(IF(P8=0,Assumptions!$E$84,IF(P$5&lt;=12,Assumptions!$E$85,IF(P$5&lt;=24,Assumptions!$E$86,Assumptions!$E$87))),O72*Assumptions!$E$88)</f>
        <v>-37442.692283488</v>
      </c>
      <c r="Q77" s="70" t="n">
        <f aca="false">-MAX(IF(Q8=0,Assumptions!$E$84,IF(Q$5&lt;=12,Assumptions!$E$85,IF(Q$5&lt;=24,Assumptions!$E$86,Assumptions!$E$87))),P72*Assumptions!$E$88)</f>
        <v>-39488.9410004476</v>
      </c>
      <c r="R77" s="70" t="n">
        <f aca="false">-MAX(IF(R8=0,Assumptions!$E$84,IF(R$5&lt;=12,Assumptions!$E$85,IF(R$5&lt;=24,Assumptions!$E$86,Assumptions!$E$87))),Q72*Assumptions!$E$88)</f>
        <v>-41501.0393866094</v>
      </c>
      <c r="S77" s="70" t="n">
        <f aca="false">-MAX(IF(S8=0,Assumptions!$E$84,IF(S$5&lt;=12,Assumptions!$E$85,IF(S$5&lt;=24,Assumptions!$E$86,Assumptions!$E$87))),R72*Assumptions!$E$88)</f>
        <v>-43490.4120201523</v>
      </c>
      <c r="T77" s="70" t="n">
        <f aca="false">-MAX(IF(T8=0,Assumptions!$E$84,IF(T$5&lt;=12,Assumptions!$E$85,IF(T$5&lt;=24,Assumptions!$E$86,Assumptions!$E$87))),S72*Assumptions!$E$88)</f>
        <v>-45467.258271997</v>
      </c>
      <c r="U77" s="70" t="n">
        <f aca="false">-MAX(IF(U8=0,Assumptions!$E$84,IF(U$5&lt;=12,Assumptions!$E$85,IF(U$5&lt;=24,Assumptions!$E$86,Assumptions!$E$87))),T72*Assumptions!$E$88)</f>
        <v>-47440.8526280361</v>
      </c>
      <c r="V77" s="70" t="n">
        <f aca="false">-MAX(IF(V8=0,Assumptions!$E$84,IF(V$5&lt;=12,Assumptions!$E$85,IF(V$5&lt;=24,Assumptions!$E$86,Assumptions!$E$87))),U72*Assumptions!$E$88)</f>
        <v>-49419.7971251535</v>
      </c>
      <c r="W77" s="70" t="n">
        <f aca="false">-MAX(IF(W8=0,Assumptions!$E$84,IF(W$5&lt;=12,Assumptions!$E$85,IF(W$5&lt;=24,Assumptions!$E$86,Assumptions!$E$87))),V72*Assumptions!$E$88)</f>
        <v>-51412.2356272866</v>
      </c>
      <c r="X77" s="70" t="n">
        <f aca="false">-MAX(IF(X8=0,Assumptions!$E$84,IF(X$5&lt;=12,Assumptions!$E$85,IF(X$5&lt;=24,Assumptions!$E$86,Assumptions!$E$87))),W72*Assumptions!$E$88)</f>
        <v>-53426.0376794409</v>
      </c>
      <c r="Y77" s="70" t="n">
        <f aca="false">-MAX(IF(Y8=0,Assumptions!$E$84,IF(Y$5&lt;=12,Assumptions!$E$85,IF(Y$5&lt;=24,Assumptions!$E$86,Assumptions!$E$87))),X72*Assumptions!$E$88)</f>
        <v>-55468.9582792038</v>
      </c>
      <c r="Z77" s="70" t="n">
        <f aca="false">-MAX(IF(Z8=0,Assumptions!$E$84,IF(Z$5&lt;=12,Assumptions!$E$85,IF(Z$5&lt;=24,Assumptions!$E$86,Assumptions!$E$87))),Y72*Assumptions!$E$88)</f>
        <v>-57548.7788307079</v>
      </c>
      <c r="AA77" s="70" t="n">
        <f aca="false">-MAX(IF(AA8=0,Assumptions!$E$84,IF(AA$5&lt;=12,Assumptions!$E$85,IF(AA$5&lt;=24,Assumptions!$E$86,Assumptions!$E$87))),Z72*Assumptions!$E$88)</f>
        <v>-59673.4336875248</v>
      </c>
      <c r="AB77" s="70" t="n">
        <f aca="false">-MAX(IF(AB8=0,Assumptions!$E$84,IF(AB$5&lt;=12,Assumptions!$E$85,IF(AB$5&lt;=24,Assumptions!$E$86,Assumptions!$E$87))),AA72*Assumptions!$E$88)</f>
        <v>-61851.1259948159</v>
      </c>
      <c r="AC77" s="70" t="n">
        <f aca="false">-MAX(IF(AC8=0,Assumptions!$E$84,IF(AC$5&lt;=12,Assumptions!$E$85,IF(AC$5&lt;=24,Assumptions!$E$86,Assumptions!$E$87))),AB72*Assumptions!$E$88)</f>
        <v>-64033.6735708166</v>
      </c>
      <c r="AD77" s="70" t="n">
        <f aca="false">-MAX(IF(AD8=0,Assumptions!$E$84,IF(AD$5&lt;=12,Assumptions!$E$85,IF(AD$5&lt;=24,Assumptions!$E$86,Assumptions!$E$87))),AC72*Assumptions!$E$88)</f>
        <v>-66209.966044905</v>
      </c>
      <c r="AE77" s="70" t="n">
        <f aca="false">-MAX(IF(AE8=0,Assumptions!$E$84,IF(AE$5&lt;=12,Assumptions!$E$85,IF(AE$5&lt;=24,Assumptions!$E$86,Assumptions!$E$87))),AD72*Assumptions!$E$88)</f>
        <v>-68402.8929033227</v>
      </c>
      <c r="AF77" s="70" t="n">
        <f aca="false">-MAX(IF(AF8=0,Assumptions!$E$84,IF(AF$5&lt;=12,Assumptions!$E$85,IF(AF$5&lt;=24,Assumptions!$E$86,Assumptions!$E$87))),AE72*Assumptions!$E$88)</f>
        <v>-70622.7361435096</v>
      </c>
      <c r="AG77" s="70" t="n">
        <f aca="false">-MAX(IF(AG8=0,Assumptions!$E$84,IF(AG$5&lt;=12,Assumptions!$E$85,IF(AG$5&lt;=24,Assumptions!$E$86,Assumptions!$E$87))),AF72*Assumptions!$E$88)</f>
        <v>-72879.8097413895</v>
      </c>
      <c r="AH77" s="70" t="n">
        <f aca="false">-MAX(IF(AH8=0,Assumptions!$E$84,IF(AH$5&lt;=12,Assumptions!$E$85,IF(AH$5&lt;=24,Assumptions!$E$86,Assumptions!$E$87))),AG72*Assumptions!$E$88)</f>
        <v>-75184.7603432064</v>
      </c>
      <c r="AI77" s="70" t="n">
        <f aca="false">-MAX(IF(AI8=0,Assumptions!$E$84,IF(AI$5&lt;=12,Assumptions!$E$85,IF(AI$5&lt;=24,Assumptions!$E$86,Assumptions!$E$87))),AH72*Assumptions!$E$88)</f>
        <v>-77548.7218947611</v>
      </c>
      <c r="AJ77" s="70" t="n">
        <f aca="false">-MAX(IF(AJ8=0,Assumptions!$E$84,IF(AJ$5&lt;=12,Assumptions!$E$85,IF(AJ$5&lt;=24,Assumptions!$E$86,Assumptions!$E$87))),AI72*Assumptions!$E$88)</f>
        <v>-79983.4056340665</v>
      </c>
      <c r="AK77" s="70" t="n">
        <f aca="false">-MAX(IF(AK8=0,Assumptions!$E$84,IF(AK$5&lt;=12,Assumptions!$E$85,IF(AK$5&lt;=24,Assumptions!$E$86,Assumptions!$E$87))),AJ72*Assumptions!$E$88)</f>
        <v>-82501.1859043969</v>
      </c>
      <c r="AL77" s="70" t="n">
        <f aca="false">-MAX(IF(AL8=0,Assumptions!$E$84,IF(AL$5&lt;=12,Assumptions!$E$85,IF(AL$5&lt;=24,Assumptions!$E$86,Assumptions!$E$87))),AK72*Assumptions!$E$88)</f>
        <v>-85115.1879105536</v>
      </c>
      <c r="AM77" s="70" t="n">
        <f aca="false">SUM(C77:AL77)</f>
        <v>-1672306.45234487</v>
      </c>
    </row>
    <row r="78" customFormat="false" ht="15" hidden="false" customHeight="false" outlineLevel="0" collapsed="false">
      <c r="A78" s="10" t="s">
        <v>799</v>
      </c>
      <c r="B78" s="9" t="s">
        <v>97</v>
      </c>
      <c r="C78" s="70" t="n">
        <f aca="false">-IF(C$5&gt;=Assumptions!$E$7-2,Assumptions!$E$91,0)</f>
        <v>-0</v>
      </c>
      <c r="D78" s="70" t="n">
        <f aca="false">-IF(D$5&gt;=Assumptions!$E$7-2,Assumptions!$E$91,0)</f>
        <v>-0</v>
      </c>
      <c r="E78" s="70" t="n">
        <f aca="false">-IF(E$5&gt;=Assumptions!$E$7-2,Assumptions!$E$91,0)</f>
        <v>-0</v>
      </c>
      <c r="F78" s="70" t="n">
        <f aca="false">-IF(F$5&gt;=Assumptions!$E$7-2,Assumptions!$E$91,0)</f>
        <v>-0</v>
      </c>
      <c r="G78" s="70" t="n">
        <f aca="false">-IF(G$5&gt;=Assumptions!$E$7-2,Assumptions!$E$91,0)</f>
        <v>-9000</v>
      </c>
      <c r="H78" s="70" t="n">
        <f aca="false">-IF(H$5&gt;=Assumptions!$E$7-2,Assumptions!$E$91,0)</f>
        <v>-9000</v>
      </c>
      <c r="I78" s="70" t="n">
        <f aca="false">-IF(I$5&gt;=Assumptions!$E$7-2,Assumptions!$E$91,0)</f>
        <v>-9000</v>
      </c>
      <c r="J78" s="70" t="n">
        <f aca="false">-IF(J$5&gt;=Assumptions!$E$7-2,Assumptions!$E$91,0)</f>
        <v>-9000</v>
      </c>
      <c r="K78" s="70" t="n">
        <f aca="false">-IF(K$5&gt;=Assumptions!$E$7-2,Assumptions!$E$91,0)</f>
        <v>-9000</v>
      </c>
      <c r="L78" s="70" t="n">
        <f aca="false">-IF(L$5&gt;=Assumptions!$E$7-2,Assumptions!$E$91,0)</f>
        <v>-9000</v>
      </c>
      <c r="M78" s="70" t="n">
        <f aca="false">-IF(M$5&gt;=Assumptions!$E$7-2,Assumptions!$E$91,0)</f>
        <v>-9000</v>
      </c>
      <c r="N78" s="70" t="n">
        <f aca="false">-IF(N$5&gt;=Assumptions!$E$7-2,Assumptions!$E$91,0)</f>
        <v>-9000</v>
      </c>
      <c r="O78" s="70" t="n">
        <f aca="false">-IF(O$5&gt;=Assumptions!$E$7-2,Assumptions!$E$91,0)</f>
        <v>-9000</v>
      </c>
      <c r="P78" s="70" t="n">
        <f aca="false">-IF(P$5&gt;=Assumptions!$E$7-2,Assumptions!$E$91,0)</f>
        <v>-9000</v>
      </c>
      <c r="Q78" s="70" t="n">
        <f aca="false">-IF(Q$5&gt;=Assumptions!$E$7-2,Assumptions!$E$91,0)</f>
        <v>-9000</v>
      </c>
      <c r="R78" s="70" t="n">
        <f aca="false">-IF(R$5&gt;=Assumptions!$E$7-2,Assumptions!$E$91,0)</f>
        <v>-9000</v>
      </c>
      <c r="S78" s="70" t="n">
        <f aca="false">-IF(S$5&gt;=Assumptions!$E$7-2,Assumptions!$E$91,0)</f>
        <v>-9000</v>
      </c>
      <c r="T78" s="70" t="n">
        <f aca="false">-IF(T$5&gt;=Assumptions!$E$7-2,Assumptions!$E$91,0)</f>
        <v>-9000</v>
      </c>
      <c r="U78" s="70" t="n">
        <f aca="false">-IF(U$5&gt;=Assumptions!$E$7-2,Assumptions!$E$91,0)</f>
        <v>-9000</v>
      </c>
      <c r="V78" s="70" t="n">
        <f aca="false">-IF(V$5&gt;=Assumptions!$E$7-2,Assumptions!$E$91,0)</f>
        <v>-9000</v>
      </c>
      <c r="W78" s="70" t="n">
        <f aca="false">-IF(W$5&gt;=Assumptions!$E$7-2,Assumptions!$E$91,0)</f>
        <v>-9000</v>
      </c>
      <c r="X78" s="70" t="n">
        <f aca="false">-IF(X$5&gt;=Assumptions!$E$7-2,Assumptions!$E$91,0)</f>
        <v>-9000</v>
      </c>
      <c r="Y78" s="70" t="n">
        <f aca="false">-IF(Y$5&gt;=Assumptions!$E$7-2,Assumptions!$E$91,0)</f>
        <v>-9000</v>
      </c>
      <c r="Z78" s="70" t="n">
        <f aca="false">-IF(Z$5&gt;=Assumptions!$E$7-2,Assumptions!$E$91,0)</f>
        <v>-9000</v>
      </c>
      <c r="AA78" s="70" t="n">
        <f aca="false">-IF(AA$5&gt;=Assumptions!$E$7-2,Assumptions!$E$91,0)</f>
        <v>-9000</v>
      </c>
      <c r="AB78" s="70" t="n">
        <f aca="false">-IF(AB$5&gt;=Assumptions!$E$7-2,Assumptions!$E$91,0)</f>
        <v>-9000</v>
      </c>
      <c r="AC78" s="70" t="n">
        <f aca="false">-IF(AC$5&gt;=Assumptions!$E$7-2,Assumptions!$E$91,0)</f>
        <v>-9000</v>
      </c>
      <c r="AD78" s="70" t="n">
        <f aca="false">-IF(AD$5&gt;=Assumptions!$E$7-2,Assumptions!$E$91,0)</f>
        <v>-9000</v>
      </c>
      <c r="AE78" s="70" t="n">
        <f aca="false">-IF(AE$5&gt;=Assumptions!$E$7-2,Assumptions!$E$91,0)</f>
        <v>-9000</v>
      </c>
      <c r="AF78" s="70" t="n">
        <f aca="false">-IF(AF$5&gt;=Assumptions!$E$7-2,Assumptions!$E$91,0)</f>
        <v>-9000</v>
      </c>
      <c r="AG78" s="70" t="n">
        <f aca="false">-IF(AG$5&gt;=Assumptions!$E$7-2,Assumptions!$E$91,0)</f>
        <v>-9000</v>
      </c>
      <c r="AH78" s="70" t="n">
        <f aca="false">-IF(AH$5&gt;=Assumptions!$E$7-2,Assumptions!$E$91,0)</f>
        <v>-9000</v>
      </c>
      <c r="AI78" s="70" t="n">
        <f aca="false">-IF(AI$5&gt;=Assumptions!$E$7-2,Assumptions!$E$91,0)</f>
        <v>-9000</v>
      </c>
      <c r="AJ78" s="70" t="n">
        <f aca="false">-IF(AJ$5&gt;=Assumptions!$E$7-2,Assumptions!$E$91,0)</f>
        <v>-9000</v>
      </c>
      <c r="AK78" s="70" t="n">
        <f aca="false">-IF(AK$5&gt;=Assumptions!$E$7-2,Assumptions!$E$91,0)</f>
        <v>-9000</v>
      </c>
      <c r="AL78" s="70" t="n">
        <f aca="false">-IF(AL$5&gt;=Assumptions!$E$7-2,Assumptions!$E$91,0)</f>
        <v>-9000</v>
      </c>
      <c r="AM78" s="70" t="n">
        <f aca="false">SUM(C78:AL78)</f>
        <v>-288000</v>
      </c>
    </row>
    <row r="79" customFormat="false" ht="15" hidden="false" customHeight="false" outlineLevel="0" collapsed="false">
      <c r="A79" s="10" t="s">
        <v>800</v>
      </c>
      <c r="B79" s="9" t="s">
        <v>97</v>
      </c>
      <c r="C79" s="70" t="n">
        <f aca="false">-Assumptions!$E$92</f>
        <v>-1200</v>
      </c>
      <c r="D79" s="70" t="n">
        <f aca="false">-MAX(Assumptions!$E$92,C72*Assumptions!$E$90)</f>
        <v>-1200</v>
      </c>
      <c r="E79" s="70" t="n">
        <f aca="false">-MAX(Assumptions!$E$92,D72*Assumptions!$E$90)</f>
        <v>-1200</v>
      </c>
      <c r="F79" s="70" t="n">
        <f aca="false">-MAX(Assumptions!$E$92,E72*Assumptions!$E$90)</f>
        <v>-1623.36096</v>
      </c>
      <c r="G79" s="70" t="n">
        <f aca="false">-MAX(Assumptions!$E$92,F72*Assumptions!$E$90)</f>
        <v>-2041.37197141119</v>
      </c>
      <c r="H79" s="70" t="n">
        <f aca="false">-MAX(Assumptions!$E$92,G72*Assumptions!$E$90)</f>
        <v>-2398.14918677548</v>
      </c>
      <c r="I79" s="70" t="n">
        <f aca="false">-MAX(Assumptions!$E$92,H72*Assumptions!$E$90)</f>
        <v>-2720.61888303164</v>
      </c>
      <c r="J79" s="70" t="n">
        <f aca="false">-MAX(Assumptions!$E$92,I72*Assumptions!$E$90)</f>
        <v>-3136.34419200672</v>
      </c>
      <c r="K79" s="70" t="n">
        <f aca="false">-MAX(Assumptions!$E$92,J72*Assumptions!$E$90)</f>
        <v>-3487.51227264657</v>
      </c>
      <c r="L79" s="70" t="n">
        <f aca="false">-MAX(Assumptions!$E$92,K72*Assumptions!$E$90)</f>
        <v>-3816.22836061716</v>
      </c>
      <c r="M79" s="70" t="n">
        <f aca="false">-MAX(Assumptions!$E$92,L72*Assumptions!$E$90)</f>
        <v>-4127.76020833134</v>
      </c>
      <c r="N79" s="70" t="n">
        <f aca="false">-MAX(Assumptions!$E$92,M72*Assumptions!$E$90)</f>
        <v>-4425.82254206812</v>
      </c>
      <c r="O79" s="70" t="n">
        <f aca="false">-MAX(Assumptions!$E$92,N72*Assumptions!$E$90)</f>
        <v>-4713.23761306691</v>
      </c>
      <c r="P79" s="70" t="n">
        <f aca="false">-MAX(Assumptions!$E$92,O72*Assumptions!$E$90)</f>
        <v>-4992.35897113173</v>
      </c>
      <c r="Q79" s="70" t="n">
        <f aca="false">-MAX(Assumptions!$E$92,P72*Assumptions!$E$90)</f>
        <v>-5265.19213339302</v>
      </c>
      <c r="R79" s="70" t="n">
        <f aca="false">-MAX(Assumptions!$E$92,Q72*Assumptions!$E$90)</f>
        <v>-5533.47191821458</v>
      </c>
      <c r="S79" s="70" t="n">
        <f aca="false">-MAX(Assumptions!$E$92,R72*Assumptions!$E$90)</f>
        <v>-5798.72160268697</v>
      </c>
      <c r="T79" s="70" t="n">
        <f aca="false">-MAX(Assumptions!$E$92,S72*Assumptions!$E$90)</f>
        <v>-6062.30110293294</v>
      </c>
      <c r="U79" s="70" t="n">
        <f aca="false">-MAX(Assumptions!$E$92,T72*Assumptions!$E$90)</f>
        <v>-6325.44701707148</v>
      </c>
      <c r="V79" s="70" t="n">
        <f aca="false">-MAX(Assumptions!$E$92,U72*Assumptions!$E$90)</f>
        <v>-6589.3062833538</v>
      </c>
      <c r="W79" s="70" t="n">
        <f aca="false">-MAX(Assumptions!$E$92,V72*Assumptions!$E$90)</f>
        <v>-6854.96475030487</v>
      </c>
      <c r="X79" s="70" t="n">
        <f aca="false">-MAX(Assumptions!$E$92,W72*Assumptions!$E$90)</f>
        <v>-7123.47169059211</v>
      </c>
      <c r="Y79" s="70" t="n">
        <f aca="false">-MAX(Assumptions!$E$92,X72*Assumptions!$E$90)</f>
        <v>-7395.86110389384</v>
      </c>
      <c r="Z79" s="70" t="n">
        <f aca="false">-MAX(Assumptions!$E$92,Y72*Assumptions!$E$90)</f>
        <v>-7673.17051076105</v>
      </c>
      <c r="AA79" s="70" t="n">
        <f aca="false">-MAX(Assumptions!$E$92,Z72*Assumptions!$E$90)</f>
        <v>-7956.45782500331</v>
      </c>
      <c r="AB79" s="70" t="n">
        <f aca="false">-MAX(Assumptions!$E$92,AA72*Assumptions!$E$90)</f>
        <v>-8246.81679930879</v>
      </c>
      <c r="AC79" s="70" t="n">
        <f aca="false">-MAX(Assumptions!$E$92,AB72*Assumptions!$E$90)</f>
        <v>-8537.82314277555</v>
      </c>
      <c r="AD79" s="70" t="n">
        <f aca="false">-MAX(Assumptions!$E$92,AC72*Assumptions!$E$90)</f>
        <v>-8827.99547265401</v>
      </c>
      <c r="AE79" s="70" t="n">
        <f aca="false">-MAX(Assumptions!$E$92,AD72*Assumptions!$E$90)</f>
        <v>-9120.38572044302</v>
      </c>
      <c r="AF79" s="70" t="n">
        <f aca="false">-MAX(Assumptions!$E$92,AE72*Assumptions!$E$90)</f>
        <v>-9416.36481913462</v>
      </c>
      <c r="AG79" s="70" t="n">
        <f aca="false">-MAX(Assumptions!$E$92,AF72*Assumptions!$E$90)</f>
        <v>-9717.3079655186</v>
      </c>
      <c r="AH79" s="70" t="n">
        <f aca="false">-MAX(Assumptions!$E$92,AG72*Assumptions!$E$90)</f>
        <v>-10024.6347124275</v>
      </c>
      <c r="AI79" s="70" t="n">
        <f aca="false">-MAX(Assumptions!$E$92,AH72*Assumptions!$E$90)</f>
        <v>-10339.8295859682</v>
      </c>
      <c r="AJ79" s="70" t="n">
        <f aca="false">-MAX(Assumptions!$E$92,AI72*Assumptions!$E$90)</f>
        <v>-10664.4540845422</v>
      </c>
      <c r="AK79" s="70" t="n">
        <f aca="false">-MAX(Assumptions!$E$92,AJ72*Assumptions!$E$90)</f>
        <v>-11000.1581205863</v>
      </c>
      <c r="AL79" s="70" t="n">
        <f aca="false">-MAX(Assumptions!$E$92,AK72*Assumptions!$E$90)</f>
        <v>-11348.6917214071</v>
      </c>
      <c r="AM79" s="70" t="n">
        <f aca="false">SUM(C79:AL79)</f>
        <v>-220905.593244061</v>
      </c>
    </row>
    <row r="80" customFormat="false" ht="15" hidden="false" customHeight="false" outlineLevel="0" collapsed="false">
      <c r="A80" s="10" t="s">
        <v>801</v>
      </c>
      <c r="B80" s="9" t="s">
        <v>97</v>
      </c>
      <c r="C80" s="70" t="n">
        <f aca="false">-IF(C$5&lt;=3,Assumptions!$E$93,Assumptions!$E$94)</f>
        <v>-15000</v>
      </c>
      <c r="D80" s="70" t="n">
        <f aca="false">-IF(D$5&lt;=3,Assumptions!$E$93,Assumptions!$E$94)</f>
        <v>-15000</v>
      </c>
      <c r="E80" s="70" t="n">
        <f aca="false">-IF(E$5&lt;=3,Assumptions!$E$93,Assumptions!$E$94)</f>
        <v>-15000</v>
      </c>
      <c r="F80" s="70" t="n">
        <f aca="false">-IF(F$5&lt;=3,Assumptions!$E$93,Assumptions!$E$94)</f>
        <v>-4500</v>
      </c>
      <c r="G80" s="70" t="n">
        <f aca="false">-IF(G$5&lt;=3,Assumptions!$E$93,Assumptions!$E$94)</f>
        <v>-4500</v>
      </c>
      <c r="H80" s="70" t="n">
        <f aca="false">-IF(H$5&lt;=3,Assumptions!$E$93,Assumptions!$E$94)</f>
        <v>-4500</v>
      </c>
      <c r="I80" s="70" t="n">
        <f aca="false">-IF(I$5&lt;=3,Assumptions!$E$93,Assumptions!$E$94)</f>
        <v>-4500</v>
      </c>
      <c r="J80" s="70" t="n">
        <f aca="false">-IF(J$5&lt;=3,Assumptions!$E$93,Assumptions!$E$94)</f>
        <v>-4500</v>
      </c>
      <c r="K80" s="70" t="n">
        <f aca="false">-IF(K$5&lt;=3,Assumptions!$E$93,Assumptions!$E$94)</f>
        <v>-4500</v>
      </c>
      <c r="L80" s="70" t="n">
        <f aca="false">-IF(L$5&lt;=3,Assumptions!$E$93,Assumptions!$E$94)</f>
        <v>-4500</v>
      </c>
      <c r="M80" s="70" t="n">
        <f aca="false">-IF(M$5&lt;=3,Assumptions!$E$93,Assumptions!$E$94)</f>
        <v>-4500</v>
      </c>
      <c r="N80" s="70" t="n">
        <f aca="false">-IF(N$5&lt;=3,Assumptions!$E$93,Assumptions!$E$94)</f>
        <v>-4500</v>
      </c>
      <c r="O80" s="70" t="n">
        <f aca="false">-IF(O$5&lt;=3,Assumptions!$E$93,Assumptions!$E$94)</f>
        <v>-4500</v>
      </c>
      <c r="P80" s="70" t="n">
        <f aca="false">-IF(P$5&lt;=3,Assumptions!$E$93,Assumptions!$E$94)</f>
        <v>-4500</v>
      </c>
      <c r="Q80" s="70" t="n">
        <f aca="false">-IF(Q$5&lt;=3,Assumptions!$E$93,Assumptions!$E$94)</f>
        <v>-4500</v>
      </c>
      <c r="R80" s="70" t="n">
        <f aca="false">-IF(R$5&lt;=3,Assumptions!$E$93,Assumptions!$E$94)</f>
        <v>-4500</v>
      </c>
      <c r="S80" s="70" t="n">
        <f aca="false">-IF(S$5&lt;=3,Assumptions!$E$93,Assumptions!$E$94)</f>
        <v>-4500</v>
      </c>
      <c r="T80" s="70" t="n">
        <f aca="false">-IF(T$5&lt;=3,Assumptions!$E$93,Assumptions!$E$94)</f>
        <v>-4500</v>
      </c>
      <c r="U80" s="70" t="n">
        <f aca="false">-IF(U$5&lt;=3,Assumptions!$E$93,Assumptions!$E$94)</f>
        <v>-4500</v>
      </c>
      <c r="V80" s="70" t="n">
        <f aca="false">-IF(V$5&lt;=3,Assumptions!$E$93,Assumptions!$E$94)</f>
        <v>-4500</v>
      </c>
      <c r="W80" s="70" t="n">
        <f aca="false">-IF(W$5&lt;=3,Assumptions!$E$93,Assumptions!$E$94)</f>
        <v>-4500</v>
      </c>
      <c r="X80" s="70" t="n">
        <f aca="false">-IF(X$5&lt;=3,Assumptions!$E$93,Assumptions!$E$94)</f>
        <v>-4500</v>
      </c>
      <c r="Y80" s="70" t="n">
        <f aca="false">-IF(Y$5&lt;=3,Assumptions!$E$93,Assumptions!$E$94)</f>
        <v>-4500</v>
      </c>
      <c r="Z80" s="70" t="n">
        <f aca="false">-IF(Z$5&lt;=3,Assumptions!$E$93,Assumptions!$E$94)</f>
        <v>-4500</v>
      </c>
      <c r="AA80" s="70" t="n">
        <f aca="false">-IF(AA$5&lt;=3,Assumptions!$E$93,Assumptions!$E$94)</f>
        <v>-4500</v>
      </c>
      <c r="AB80" s="70" t="n">
        <f aca="false">-IF(AB$5&lt;=3,Assumptions!$E$93,Assumptions!$E$94)</f>
        <v>-4500</v>
      </c>
      <c r="AC80" s="70" t="n">
        <f aca="false">-IF(AC$5&lt;=3,Assumptions!$E$93,Assumptions!$E$94)</f>
        <v>-4500</v>
      </c>
      <c r="AD80" s="70" t="n">
        <f aca="false">-IF(AD$5&lt;=3,Assumptions!$E$93,Assumptions!$E$94)</f>
        <v>-4500</v>
      </c>
      <c r="AE80" s="70" t="n">
        <f aca="false">-IF(AE$5&lt;=3,Assumptions!$E$93,Assumptions!$E$94)</f>
        <v>-4500</v>
      </c>
      <c r="AF80" s="70" t="n">
        <f aca="false">-IF(AF$5&lt;=3,Assumptions!$E$93,Assumptions!$E$94)</f>
        <v>-4500</v>
      </c>
      <c r="AG80" s="70" t="n">
        <f aca="false">-IF(AG$5&lt;=3,Assumptions!$E$93,Assumptions!$E$94)</f>
        <v>-4500</v>
      </c>
      <c r="AH80" s="70" t="n">
        <f aca="false">-IF(AH$5&lt;=3,Assumptions!$E$93,Assumptions!$E$94)</f>
        <v>-4500</v>
      </c>
      <c r="AI80" s="70" t="n">
        <f aca="false">-IF(AI$5&lt;=3,Assumptions!$E$93,Assumptions!$E$94)</f>
        <v>-4500</v>
      </c>
      <c r="AJ80" s="70" t="n">
        <f aca="false">-IF(AJ$5&lt;=3,Assumptions!$E$93,Assumptions!$E$94)</f>
        <v>-4500</v>
      </c>
      <c r="AK80" s="70" t="n">
        <f aca="false">-IF(AK$5&lt;=3,Assumptions!$E$93,Assumptions!$E$94)</f>
        <v>-4500</v>
      </c>
      <c r="AL80" s="70" t="n">
        <f aca="false">-IF(AL$5&lt;=3,Assumptions!$E$93,Assumptions!$E$94)</f>
        <v>-4500</v>
      </c>
      <c r="AM80" s="70" t="n">
        <f aca="false">SUM(C80:AL80)</f>
        <v>-193500</v>
      </c>
    </row>
    <row r="81" customFormat="false" ht="15" hidden="false" customHeight="false" outlineLevel="0" collapsed="false">
      <c r="A81" s="10" t="s">
        <v>802</v>
      </c>
      <c r="B81" s="9" t="s">
        <v>97</v>
      </c>
      <c r="C81" s="70" t="n">
        <f aca="false">-C8*Assumptions!$E$95</f>
        <v>-0</v>
      </c>
      <c r="D81" s="70" t="n">
        <f aca="false">-D8*Assumptions!$E$95</f>
        <v>-2500</v>
      </c>
      <c r="E81" s="70" t="n">
        <f aca="false">-E8*Assumptions!$E$95</f>
        <v>-2500</v>
      </c>
      <c r="F81" s="70" t="n">
        <f aca="false">-F8*Assumptions!$E$95</f>
        <v>-2500</v>
      </c>
      <c r="G81" s="70" t="n">
        <f aca="false">-G8*Assumptions!$E$95</f>
        <v>-2500</v>
      </c>
      <c r="H81" s="70" t="n">
        <f aca="false">-H8*Assumptions!$E$95</f>
        <v>-2500</v>
      </c>
      <c r="I81" s="70" t="n">
        <f aca="false">-I8*Assumptions!$E$95</f>
        <v>-2500</v>
      </c>
      <c r="J81" s="70" t="n">
        <f aca="false">-J8*Assumptions!$E$95</f>
        <v>-2500</v>
      </c>
      <c r="K81" s="70" t="n">
        <f aca="false">-K8*Assumptions!$E$95</f>
        <v>-2500</v>
      </c>
      <c r="L81" s="70" t="n">
        <f aca="false">-L8*Assumptions!$E$95</f>
        <v>-2500</v>
      </c>
      <c r="M81" s="70" t="n">
        <f aca="false">-M8*Assumptions!$E$95</f>
        <v>-2500</v>
      </c>
      <c r="N81" s="70" t="n">
        <f aca="false">-N8*Assumptions!$E$95</f>
        <v>-2500</v>
      </c>
      <c r="O81" s="70" t="n">
        <f aca="false">-O8*Assumptions!$E$95</f>
        <v>-2500</v>
      </c>
      <c r="P81" s="70" t="n">
        <f aca="false">-P8*Assumptions!$E$95</f>
        <v>-2500</v>
      </c>
      <c r="Q81" s="70" t="n">
        <f aca="false">-Q8*Assumptions!$E$95</f>
        <v>-2500</v>
      </c>
      <c r="R81" s="70" t="n">
        <f aca="false">-R8*Assumptions!$E$95</f>
        <v>-2500</v>
      </c>
      <c r="S81" s="70" t="n">
        <f aca="false">-S8*Assumptions!$E$95</f>
        <v>-2500</v>
      </c>
      <c r="T81" s="70" t="n">
        <f aca="false">-T8*Assumptions!$E$95</f>
        <v>-2500</v>
      </c>
      <c r="U81" s="70" t="n">
        <f aca="false">-U8*Assumptions!$E$95</f>
        <v>-2500</v>
      </c>
      <c r="V81" s="70" t="n">
        <f aca="false">-V8*Assumptions!$E$95</f>
        <v>-2500</v>
      </c>
      <c r="W81" s="70" t="n">
        <f aca="false">-W8*Assumptions!$E$95</f>
        <v>-2500</v>
      </c>
      <c r="X81" s="70" t="n">
        <f aca="false">-X8*Assumptions!$E$95</f>
        <v>-2500</v>
      </c>
      <c r="Y81" s="70" t="n">
        <f aca="false">-Y8*Assumptions!$E$95</f>
        <v>-2500</v>
      </c>
      <c r="Z81" s="70" t="n">
        <f aca="false">-Z8*Assumptions!$E$95</f>
        <v>-2500</v>
      </c>
      <c r="AA81" s="70" t="n">
        <f aca="false">-AA8*Assumptions!$E$95</f>
        <v>-2500</v>
      </c>
      <c r="AB81" s="70" t="n">
        <f aca="false">-AB8*Assumptions!$E$95</f>
        <v>-2500</v>
      </c>
      <c r="AC81" s="70" t="n">
        <f aca="false">-AC8*Assumptions!$E$95</f>
        <v>-2500</v>
      </c>
      <c r="AD81" s="70" t="n">
        <f aca="false">-AD8*Assumptions!$E$95</f>
        <v>-2500</v>
      </c>
      <c r="AE81" s="70" t="n">
        <f aca="false">-AE8*Assumptions!$E$95</f>
        <v>-2500</v>
      </c>
      <c r="AF81" s="70" t="n">
        <f aca="false">-AF8*Assumptions!$E$95</f>
        <v>-2500</v>
      </c>
      <c r="AG81" s="70" t="n">
        <f aca="false">-AG8*Assumptions!$E$95</f>
        <v>-2500</v>
      </c>
      <c r="AH81" s="70" t="n">
        <f aca="false">-AH8*Assumptions!$E$95</f>
        <v>-2500</v>
      </c>
      <c r="AI81" s="70" t="n">
        <f aca="false">-AI8*Assumptions!$E$95</f>
        <v>-2500</v>
      </c>
      <c r="AJ81" s="70" t="n">
        <f aca="false">-AJ8*Assumptions!$E$95</f>
        <v>-2500</v>
      </c>
      <c r="AK81" s="70" t="n">
        <f aca="false">-AK8*Assumptions!$E$95</f>
        <v>-2500</v>
      </c>
      <c r="AL81" s="70" t="n">
        <f aca="false">-AL8*Assumptions!$E$95</f>
        <v>-2500</v>
      </c>
      <c r="AM81" s="70" t="n">
        <f aca="false">SUM(C81:AL81)</f>
        <v>-87500</v>
      </c>
    </row>
    <row r="82" customFormat="false" ht="15" hidden="false" customHeight="false" outlineLevel="0" collapsed="false">
      <c r="A82" s="10" t="s">
        <v>803</v>
      </c>
      <c r="B82" s="9" t="s">
        <v>97</v>
      </c>
      <c r="C82" s="70" t="n">
        <f aca="false">-Assumptions!$E$96</f>
        <v>-6000</v>
      </c>
      <c r="D82" s="70" t="n">
        <f aca="false">-MAX(Assumptions!$E$96,C72*Assumptions!$E$89)</f>
        <v>-6000</v>
      </c>
      <c r="E82" s="70" t="n">
        <f aca="false">-MAX(Assumptions!$E$96,D72*Assumptions!$E$89)</f>
        <v>-6000</v>
      </c>
      <c r="F82" s="70" t="n">
        <f aca="false">-MAX(Assumptions!$E$96,E72*Assumptions!$E$89)</f>
        <v>-6000</v>
      </c>
      <c r="G82" s="70" t="n">
        <f aca="false">-MAX(Assumptions!$E$96,F72*Assumptions!$E$89)</f>
        <v>-6379.28741065998</v>
      </c>
      <c r="H82" s="70" t="n">
        <f aca="false">-MAX(Assumptions!$E$96,G72*Assumptions!$E$89)</f>
        <v>-7494.21620867339</v>
      </c>
      <c r="I82" s="70" t="n">
        <f aca="false">-MAX(Assumptions!$E$96,H72*Assumptions!$E$89)</f>
        <v>-8501.93400947386</v>
      </c>
      <c r="J82" s="70" t="n">
        <f aca="false">-MAX(Assumptions!$E$96,I72*Assumptions!$E$89)</f>
        <v>-9801.075600021</v>
      </c>
      <c r="K82" s="70" t="n">
        <f aca="false">-MAX(Assumptions!$E$96,J72*Assumptions!$E$89)</f>
        <v>-10898.4758520205</v>
      </c>
      <c r="L82" s="70" t="n">
        <f aca="false">-MAX(Assumptions!$E$96,K72*Assumptions!$E$89)</f>
        <v>-11925.7136269286</v>
      </c>
      <c r="M82" s="70" t="n">
        <f aca="false">-MAX(Assumptions!$E$96,L72*Assumptions!$E$89)</f>
        <v>-12899.2506510354</v>
      </c>
      <c r="N82" s="70" t="n">
        <f aca="false">-MAX(Assumptions!$E$96,M72*Assumptions!$E$89)</f>
        <v>-13830.6954439629</v>
      </c>
      <c r="O82" s="70" t="n">
        <f aca="false">-MAX(Assumptions!$E$96,N72*Assumptions!$E$89)</f>
        <v>-14728.8675408341</v>
      </c>
      <c r="P82" s="70" t="n">
        <f aca="false">-MAX(Assumptions!$E$96,O72*Assumptions!$E$89)</f>
        <v>-15601.1217847867</v>
      </c>
      <c r="Q82" s="70" t="n">
        <f aca="false">-MAX(Assumptions!$E$96,P72*Assumptions!$E$89)</f>
        <v>-16453.7254168532</v>
      </c>
      <c r="R82" s="70" t="n">
        <f aca="false">-MAX(Assumptions!$E$96,Q72*Assumptions!$E$89)</f>
        <v>-17292.0997444206</v>
      </c>
      <c r="S82" s="70" t="n">
        <f aca="false">-MAX(Assumptions!$E$96,R72*Assumptions!$E$89)</f>
        <v>-18121.0050083968</v>
      </c>
      <c r="T82" s="70" t="n">
        <f aca="false">-MAX(Assumptions!$E$96,S72*Assumptions!$E$89)</f>
        <v>-18944.6909466654</v>
      </c>
      <c r="U82" s="70" t="n">
        <f aca="false">-MAX(Assumptions!$E$96,T72*Assumptions!$E$89)</f>
        <v>-19767.0219283484</v>
      </c>
      <c r="V82" s="70" t="n">
        <f aca="false">-MAX(Assumptions!$E$96,U72*Assumptions!$E$89)</f>
        <v>-20591.5821354806</v>
      </c>
      <c r="W82" s="70" t="n">
        <f aca="false">-MAX(Assumptions!$E$96,V72*Assumptions!$E$89)</f>
        <v>-21421.7648447027</v>
      </c>
      <c r="X82" s="70" t="n">
        <f aca="false">-MAX(Assumptions!$E$96,W72*Assumptions!$E$89)</f>
        <v>-22260.8490331004</v>
      </c>
      <c r="Y82" s="70" t="n">
        <f aca="false">-MAX(Assumptions!$E$96,X72*Assumptions!$E$89)</f>
        <v>-23112.0659496683</v>
      </c>
      <c r="Z82" s="70" t="n">
        <f aca="false">-MAX(Assumptions!$E$96,Y72*Assumptions!$E$89)</f>
        <v>-23978.6578461283</v>
      </c>
      <c r="AA82" s="70" t="n">
        <f aca="false">-MAX(Assumptions!$E$96,Z72*Assumptions!$E$89)</f>
        <v>-24863.9307031353</v>
      </c>
      <c r="AB82" s="70" t="n">
        <f aca="false">-MAX(Assumptions!$E$96,AA72*Assumptions!$E$89)</f>
        <v>-25771.30249784</v>
      </c>
      <c r="AC82" s="70" t="n">
        <f aca="false">-MAX(Assumptions!$E$96,AB72*Assumptions!$E$89)</f>
        <v>-26680.6973211736</v>
      </c>
      <c r="AD82" s="70" t="n">
        <f aca="false">-MAX(Assumptions!$E$96,AC72*Assumptions!$E$89)</f>
        <v>-27587.4858520438</v>
      </c>
      <c r="AE82" s="70" t="n">
        <f aca="false">-MAX(Assumptions!$E$96,AD72*Assumptions!$E$89)</f>
        <v>-28501.2053763844</v>
      </c>
      <c r="AF82" s="70" t="n">
        <f aca="false">-MAX(Assumptions!$E$96,AE72*Assumptions!$E$89)</f>
        <v>-29426.1400597957</v>
      </c>
      <c r="AG82" s="70" t="n">
        <f aca="false">-MAX(Assumptions!$E$96,AF72*Assumptions!$E$89)</f>
        <v>-30366.5873922456</v>
      </c>
      <c r="AH82" s="70" t="n">
        <f aca="false">-MAX(Assumptions!$E$96,AG72*Assumptions!$E$89)</f>
        <v>-31326.983476336</v>
      </c>
      <c r="AI82" s="70" t="n">
        <f aca="false">-MAX(Assumptions!$E$96,AH72*Assumptions!$E$89)</f>
        <v>-32311.9674561505</v>
      </c>
      <c r="AJ82" s="70" t="n">
        <f aca="false">-MAX(Assumptions!$E$96,AI72*Assumptions!$E$89)</f>
        <v>-33326.4190141944</v>
      </c>
      <c r="AK82" s="70" t="n">
        <f aca="false">-MAX(Assumptions!$E$96,AJ72*Assumptions!$E$89)</f>
        <v>-34375.4941268321</v>
      </c>
      <c r="AL82" s="70" t="n">
        <f aca="false">-MAX(Assumptions!$E$96,AK72*Assumptions!$E$89)</f>
        <v>-35464.6616293973</v>
      </c>
      <c r="AM82" s="70" t="n">
        <f aca="false">SUM(C82:AL82)</f>
        <v>-698006.97588769</v>
      </c>
    </row>
    <row r="83" customFormat="false" ht="15" hidden="false" customHeight="false" outlineLevel="0" collapsed="false">
      <c r="A83" s="10" t="s">
        <v>804</v>
      </c>
      <c r="B83" s="9" t="s">
        <v>97</v>
      </c>
      <c r="C83" s="70" t="n">
        <f aca="false">-C26</f>
        <v>-8000</v>
      </c>
      <c r="D83" s="70" t="n">
        <f aca="false">-D26</f>
        <v>-30000</v>
      </c>
      <c r="E83" s="70" t="n">
        <f aca="false">-E26</f>
        <v>-30000</v>
      </c>
      <c r="F83" s="70" t="n">
        <f aca="false">-F26</f>
        <v>-48700.8288</v>
      </c>
      <c r="G83" s="70" t="n">
        <f aca="false">-G26</f>
        <v>-61241.1591423358</v>
      </c>
      <c r="H83" s="70" t="n">
        <f aca="false">-H26</f>
        <v>-71944.4756032645</v>
      </c>
      <c r="I83" s="70" t="n">
        <f aca="false">-I26</f>
        <v>-81618.5664909491</v>
      </c>
      <c r="J83" s="70" t="n">
        <f aca="false">-J26</f>
        <v>-94090.3257602016</v>
      </c>
      <c r="K83" s="70" t="n">
        <f aca="false">-K26</f>
        <v>-104625.368179397</v>
      </c>
      <c r="L83" s="70" t="n">
        <f aca="false">-L26</f>
        <v>-114486.850818515</v>
      </c>
      <c r="M83" s="70" t="n">
        <f aca="false">-M26</f>
        <v>-123832.80624994</v>
      </c>
      <c r="N83" s="70" t="n">
        <f aca="false">-N26</f>
        <v>-132774.676262044</v>
      </c>
      <c r="O83" s="70" t="n">
        <f aca="false">-O26</f>
        <v>-141397.128392007</v>
      </c>
      <c r="P83" s="70" t="n">
        <f aca="false">-P26</f>
        <v>-149770.769133952</v>
      </c>
      <c r="Q83" s="70" t="n">
        <f aca="false">-Q26</f>
        <v>-157955.764001791</v>
      </c>
      <c r="R83" s="70" t="n">
        <f aca="false">-R26</f>
        <v>-166004.157546437</v>
      </c>
      <c r="S83" s="70" t="n">
        <f aca="false">-S26</f>
        <v>-173961.648080609</v>
      </c>
      <c r="T83" s="70" t="n">
        <f aca="false">-T26</f>
        <v>-181869.033087988</v>
      </c>
      <c r="U83" s="70" t="n">
        <f aca="false">-U26</f>
        <v>-189763.410512145</v>
      </c>
      <c r="V83" s="70" t="n">
        <f aca="false">-V26</f>
        <v>-197679.188500614</v>
      </c>
      <c r="W83" s="70" t="n">
        <f aca="false">-W26</f>
        <v>-205648.942509146</v>
      </c>
      <c r="X83" s="70" t="n">
        <f aca="false">-X26</f>
        <v>-213704.150717763</v>
      </c>
      <c r="Y83" s="70" t="n">
        <f aca="false">-Y26</f>
        <v>-221875.833116815</v>
      </c>
      <c r="Z83" s="70" t="n">
        <f aca="false">-Z26</f>
        <v>-230195.115322832</v>
      </c>
      <c r="AA83" s="70" t="n">
        <f aca="false">-AA26</f>
        <v>-238693.734750099</v>
      </c>
      <c r="AB83" s="70" t="n">
        <f aca="false">-AB26</f>
        <v>-247404.503979264</v>
      </c>
      <c r="AC83" s="70" t="n">
        <f aca="false">-AC26</f>
        <v>-256134.694283267</v>
      </c>
      <c r="AD83" s="70" t="n">
        <f aca="false">-AD26</f>
        <v>-264839.86417962</v>
      </c>
      <c r="AE83" s="70" t="n">
        <f aca="false">-AE26</f>
        <v>-273611.571613291</v>
      </c>
      <c r="AF83" s="70" t="n">
        <f aca="false">-AF26</f>
        <v>-282490.944574038</v>
      </c>
      <c r="AG83" s="70" t="n">
        <f aca="false">-AG26</f>
        <v>-291519.238965558</v>
      </c>
      <c r="AH83" s="70" t="n">
        <f aca="false">-AH26</f>
        <v>-300739.041372825</v>
      </c>
      <c r="AI83" s="70" t="n">
        <f aca="false">-AI26</f>
        <v>-310194.887579045</v>
      </c>
      <c r="AJ83" s="70" t="n">
        <f aca="false">-AJ26</f>
        <v>-319933.622536266</v>
      </c>
      <c r="AK83" s="70" t="n">
        <f aca="false">-AK26</f>
        <v>-330004.743617588</v>
      </c>
      <c r="AL83" s="70" t="n">
        <f aca="false">-AL26</f>
        <v>-340460.751642214</v>
      </c>
      <c r="AM83" s="70" t="n">
        <f aca="false">SUM(C83:AL83)</f>
        <v>-6587167.79732182</v>
      </c>
    </row>
    <row r="84" customFormat="false" ht="15" hidden="false" customHeight="false" outlineLevel="0" collapsed="false">
      <c r="A84" s="10" t="s">
        <v>805</v>
      </c>
      <c r="B84" s="9" t="s">
        <v>97</v>
      </c>
      <c r="C84" s="70" t="n">
        <f aca="false">-IF(C$5=Assumptions!$E$6,Assumptions!$E$23,0)</f>
        <v>-0</v>
      </c>
      <c r="D84" s="70" t="n">
        <f aca="false">-IF(D$5=Assumptions!$E$6,Assumptions!$E$23,0)</f>
        <v>-60000</v>
      </c>
      <c r="E84" s="70" t="n">
        <f aca="false">-IF(E$5=Assumptions!$E$6,Assumptions!$E$23,0)</f>
        <v>-0</v>
      </c>
      <c r="F84" s="70" t="n">
        <f aca="false">-IF(F$5=Assumptions!$E$6,Assumptions!$E$23,0)</f>
        <v>-0</v>
      </c>
      <c r="G84" s="70" t="n">
        <f aca="false">-IF(G$5=Assumptions!$E$6,Assumptions!$E$23,0)</f>
        <v>-0</v>
      </c>
      <c r="H84" s="70" t="n">
        <f aca="false">-IF(H$5=Assumptions!$E$6,Assumptions!$E$23,0)</f>
        <v>-0</v>
      </c>
      <c r="I84" s="70" t="n">
        <f aca="false">-IF(I$5=Assumptions!$E$6,Assumptions!$E$23,0)</f>
        <v>-0</v>
      </c>
      <c r="J84" s="70" t="n">
        <f aca="false">-IF(J$5=Assumptions!$E$6,Assumptions!$E$23,0)</f>
        <v>-0</v>
      </c>
      <c r="K84" s="70" t="n">
        <f aca="false">-IF(K$5=Assumptions!$E$6,Assumptions!$E$23,0)</f>
        <v>-0</v>
      </c>
      <c r="L84" s="70" t="n">
        <f aca="false">-IF(L$5=Assumptions!$E$6,Assumptions!$E$23,0)</f>
        <v>-0</v>
      </c>
      <c r="M84" s="70" t="n">
        <f aca="false">-IF(M$5=Assumptions!$E$6,Assumptions!$E$23,0)</f>
        <v>-0</v>
      </c>
      <c r="N84" s="70" t="n">
        <f aca="false">-IF(N$5=Assumptions!$E$6,Assumptions!$E$23,0)</f>
        <v>-0</v>
      </c>
      <c r="O84" s="70" t="n">
        <f aca="false">-IF(O$5=Assumptions!$E$6,Assumptions!$E$23,0)</f>
        <v>-0</v>
      </c>
      <c r="P84" s="70" t="n">
        <f aca="false">-IF(P$5=Assumptions!$E$6,Assumptions!$E$23,0)</f>
        <v>-0</v>
      </c>
      <c r="Q84" s="70" t="n">
        <f aca="false">-IF(Q$5=Assumptions!$E$6,Assumptions!$E$23,0)</f>
        <v>-0</v>
      </c>
      <c r="R84" s="70" t="n">
        <f aca="false">-IF(R$5=Assumptions!$E$6,Assumptions!$E$23,0)</f>
        <v>-0</v>
      </c>
      <c r="S84" s="70" t="n">
        <f aca="false">-IF(S$5=Assumptions!$E$6,Assumptions!$E$23,0)</f>
        <v>-0</v>
      </c>
      <c r="T84" s="70" t="n">
        <f aca="false">-IF(T$5=Assumptions!$E$6,Assumptions!$E$23,0)</f>
        <v>-0</v>
      </c>
      <c r="U84" s="70" t="n">
        <f aca="false">-IF(U$5=Assumptions!$E$6,Assumptions!$E$23,0)</f>
        <v>-0</v>
      </c>
      <c r="V84" s="70" t="n">
        <f aca="false">-IF(V$5=Assumptions!$E$6,Assumptions!$E$23,0)</f>
        <v>-0</v>
      </c>
      <c r="W84" s="70" t="n">
        <f aca="false">-IF(W$5=Assumptions!$E$6,Assumptions!$E$23,0)</f>
        <v>-0</v>
      </c>
      <c r="X84" s="70" t="n">
        <f aca="false">-IF(X$5=Assumptions!$E$6,Assumptions!$E$23,0)</f>
        <v>-0</v>
      </c>
      <c r="Y84" s="70" t="n">
        <f aca="false">-IF(Y$5=Assumptions!$E$6,Assumptions!$E$23,0)</f>
        <v>-0</v>
      </c>
      <c r="Z84" s="70" t="n">
        <f aca="false">-IF(Z$5=Assumptions!$E$6,Assumptions!$E$23,0)</f>
        <v>-0</v>
      </c>
      <c r="AA84" s="70" t="n">
        <f aca="false">-IF(AA$5=Assumptions!$E$6,Assumptions!$E$23,0)</f>
        <v>-0</v>
      </c>
      <c r="AB84" s="70" t="n">
        <f aca="false">-IF(AB$5=Assumptions!$E$6,Assumptions!$E$23,0)</f>
        <v>-0</v>
      </c>
      <c r="AC84" s="70" t="n">
        <f aca="false">-IF(AC$5=Assumptions!$E$6,Assumptions!$E$23,0)</f>
        <v>-0</v>
      </c>
      <c r="AD84" s="70" t="n">
        <f aca="false">-IF(AD$5=Assumptions!$E$6,Assumptions!$E$23,0)</f>
        <v>-0</v>
      </c>
      <c r="AE84" s="70" t="n">
        <f aca="false">-IF(AE$5=Assumptions!$E$6,Assumptions!$E$23,0)</f>
        <v>-0</v>
      </c>
      <c r="AF84" s="70" t="n">
        <f aca="false">-IF(AF$5=Assumptions!$E$6,Assumptions!$E$23,0)</f>
        <v>-0</v>
      </c>
      <c r="AG84" s="70" t="n">
        <f aca="false">-IF(AG$5=Assumptions!$E$6,Assumptions!$E$23,0)</f>
        <v>-0</v>
      </c>
      <c r="AH84" s="70" t="n">
        <f aca="false">-IF(AH$5=Assumptions!$E$6,Assumptions!$E$23,0)</f>
        <v>-0</v>
      </c>
      <c r="AI84" s="70" t="n">
        <f aca="false">-IF(AI$5=Assumptions!$E$6,Assumptions!$E$23,0)</f>
        <v>-0</v>
      </c>
      <c r="AJ84" s="70" t="n">
        <f aca="false">-IF(AJ$5=Assumptions!$E$6,Assumptions!$E$23,0)</f>
        <v>-0</v>
      </c>
      <c r="AK84" s="70" t="n">
        <f aca="false">-IF(AK$5=Assumptions!$E$6,Assumptions!$E$23,0)</f>
        <v>-0</v>
      </c>
      <c r="AL84" s="70" t="n">
        <f aca="false">-IF(AL$5=Assumptions!$E$6,Assumptions!$E$23,0)</f>
        <v>-0</v>
      </c>
      <c r="AM84" s="70" t="n">
        <f aca="false">SUM(C84:AL84)</f>
        <v>-60000</v>
      </c>
    </row>
    <row r="85" customFormat="false" ht="15" hidden="false" customHeight="false" outlineLevel="0" collapsed="false">
      <c r="A85" s="10" t="s">
        <v>806</v>
      </c>
      <c r="B85" s="9" t="s">
        <v>97</v>
      </c>
      <c r="C85" s="70" t="n">
        <f aca="false">-C8*Assumptions!$E$98</f>
        <v>-0</v>
      </c>
      <c r="D85" s="70" t="n">
        <f aca="false">-D8*Assumptions!$E$98</f>
        <v>-15000</v>
      </c>
      <c r="E85" s="70" t="n">
        <f aca="false">-E8*Assumptions!$E$98</f>
        <v>-15000</v>
      </c>
      <c r="F85" s="70" t="n">
        <f aca="false">-F8*Assumptions!$E$98</f>
        <v>-15000</v>
      </c>
      <c r="G85" s="70" t="n">
        <f aca="false">-G8*Assumptions!$E$98</f>
        <v>-15000</v>
      </c>
      <c r="H85" s="70" t="n">
        <f aca="false">-H8*Assumptions!$E$98</f>
        <v>-15000</v>
      </c>
      <c r="I85" s="70" t="n">
        <f aca="false">-I8*Assumptions!$E$98</f>
        <v>-15000</v>
      </c>
      <c r="J85" s="70" t="n">
        <f aca="false">-J8*Assumptions!$E$98</f>
        <v>-15000</v>
      </c>
      <c r="K85" s="70" t="n">
        <f aca="false">-K8*Assumptions!$E$98</f>
        <v>-15000</v>
      </c>
      <c r="L85" s="70" t="n">
        <f aca="false">-L8*Assumptions!$E$98</f>
        <v>-15000</v>
      </c>
      <c r="M85" s="70" t="n">
        <f aca="false">-M8*Assumptions!$E$98</f>
        <v>-15000</v>
      </c>
      <c r="N85" s="70" t="n">
        <f aca="false">-N8*Assumptions!$E$98</f>
        <v>-15000</v>
      </c>
      <c r="O85" s="70" t="n">
        <f aca="false">-O8*Assumptions!$E$98</f>
        <v>-15000</v>
      </c>
      <c r="P85" s="70" t="n">
        <f aca="false">-P8*Assumptions!$E$98</f>
        <v>-15000</v>
      </c>
      <c r="Q85" s="70" t="n">
        <f aca="false">-Q8*Assumptions!$E$98</f>
        <v>-15000</v>
      </c>
      <c r="R85" s="70" t="n">
        <f aca="false">-R8*Assumptions!$E$98</f>
        <v>-15000</v>
      </c>
      <c r="S85" s="70" t="n">
        <f aca="false">-S8*Assumptions!$E$98</f>
        <v>-15000</v>
      </c>
      <c r="T85" s="70" t="n">
        <f aca="false">-T8*Assumptions!$E$98</f>
        <v>-15000</v>
      </c>
      <c r="U85" s="70" t="n">
        <f aca="false">-U8*Assumptions!$E$98</f>
        <v>-15000</v>
      </c>
      <c r="V85" s="70" t="n">
        <f aca="false">-V8*Assumptions!$E$98</f>
        <v>-15000</v>
      </c>
      <c r="W85" s="70" t="n">
        <f aca="false">-W8*Assumptions!$E$98</f>
        <v>-15000</v>
      </c>
      <c r="X85" s="70" t="n">
        <f aca="false">-X8*Assumptions!$E$98</f>
        <v>-15000</v>
      </c>
      <c r="Y85" s="70" t="n">
        <f aca="false">-Y8*Assumptions!$E$98</f>
        <v>-15000</v>
      </c>
      <c r="Z85" s="70" t="n">
        <f aca="false">-Z8*Assumptions!$E$98</f>
        <v>-15000</v>
      </c>
      <c r="AA85" s="70" t="n">
        <f aca="false">-AA8*Assumptions!$E$98</f>
        <v>-15000</v>
      </c>
      <c r="AB85" s="70" t="n">
        <f aca="false">-AB8*Assumptions!$E$98</f>
        <v>-15000</v>
      </c>
      <c r="AC85" s="70" t="n">
        <f aca="false">-AC8*Assumptions!$E$98</f>
        <v>-15000</v>
      </c>
      <c r="AD85" s="70" t="n">
        <f aca="false">-AD8*Assumptions!$E$98</f>
        <v>-15000</v>
      </c>
      <c r="AE85" s="70" t="n">
        <f aca="false">-AE8*Assumptions!$E$98</f>
        <v>-15000</v>
      </c>
      <c r="AF85" s="70" t="n">
        <f aca="false">-AF8*Assumptions!$E$98</f>
        <v>-15000</v>
      </c>
      <c r="AG85" s="70" t="n">
        <f aca="false">-AG8*Assumptions!$E$98</f>
        <v>-15000</v>
      </c>
      <c r="AH85" s="70" t="n">
        <f aca="false">-AH8*Assumptions!$E$98</f>
        <v>-15000</v>
      </c>
      <c r="AI85" s="70" t="n">
        <f aca="false">-AI8*Assumptions!$E$98</f>
        <v>-15000</v>
      </c>
      <c r="AJ85" s="70" t="n">
        <f aca="false">-AJ8*Assumptions!$E$98</f>
        <v>-15000</v>
      </c>
      <c r="AK85" s="70" t="n">
        <f aca="false">-AK8*Assumptions!$E$98</f>
        <v>-15000</v>
      </c>
      <c r="AL85" s="70" t="n">
        <f aca="false">-AL8*Assumptions!$E$98</f>
        <v>-15000</v>
      </c>
      <c r="AM85" s="70" t="n">
        <f aca="false">SUM(C85:AL85)</f>
        <v>-525000</v>
      </c>
    </row>
    <row r="86" customFormat="false" ht="15" hidden="false" customHeight="false" outlineLevel="0" collapsed="false">
      <c r="A86" s="10" t="s">
        <v>362</v>
      </c>
      <c r="B86" s="9" t="s">
        <v>97</v>
      </c>
      <c r="C86" s="70" t="n">
        <f aca="false">-C72*Assumptions!$E$99</f>
        <v>-0</v>
      </c>
      <c r="D86" s="70" t="n">
        <f aca="false">-D72*Assumptions!$E$99</f>
        <v>-5674.5</v>
      </c>
      <c r="E86" s="70" t="n">
        <f aca="false">-E72*Assumptions!$E$99</f>
        <v>-10146.006</v>
      </c>
      <c r="F86" s="70" t="n">
        <f aca="false">-F72*Assumptions!$E$99</f>
        <v>-12758.57482132</v>
      </c>
      <c r="G86" s="70" t="n">
        <f aca="false">-G72*Assumptions!$E$99</f>
        <v>-14988.4324173468</v>
      </c>
      <c r="H86" s="70" t="n">
        <f aca="false">-H72*Assumptions!$E$99</f>
        <v>-17003.8680189477</v>
      </c>
      <c r="I86" s="70" t="n">
        <f aca="false">-I72*Assumptions!$E$99</f>
        <v>-19602.151200042</v>
      </c>
      <c r="J86" s="70" t="n">
        <f aca="false">-J72*Assumptions!$E$99</f>
        <v>-21796.951704041</v>
      </c>
      <c r="K86" s="70" t="n">
        <f aca="false">-K72*Assumptions!$E$99</f>
        <v>-23851.4272538573</v>
      </c>
      <c r="L86" s="70" t="n">
        <f aca="false">-L72*Assumptions!$E$99</f>
        <v>-25798.5013020709</v>
      </c>
      <c r="M86" s="70" t="n">
        <f aca="false">-M72*Assumptions!$E$99</f>
        <v>-27661.3908879258</v>
      </c>
      <c r="N86" s="70" t="n">
        <f aca="false">-N72*Assumptions!$E$99</f>
        <v>-29457.7350816682</v>
      </c>
      <c r="O86" s="70" t="n">
        <f aca="false">-O72*Assumptions!$E$99</f>
        <v>-31202.2435695733</v>
      </c>
      <c r="P86" s="70" t="n">
        <f aca="false">-P72*Assumptions!$E$99</f>
        <v>-32907.4508337064</v>
      </c>
      <c r="Q86" s="70" t="n">
        <f aca="false">-Q72*Assumptions!$E$99</f>
        <v>-34584.1994888411</v>
      </c>
      <c r="R86" s="70" t="n">
        <f aca="false">-R72*Assumptions!$E$99</f>
        <v>-36242.0100167936</v>
      </c>
      <c r="S86" s="70" t="n">
        <f aca="false">-S72*Assumptions!$E$99</f>
        <v>-37889.3818933309</v>
      </c>
      <c r="T86" s="70" t="n">
        <f aca="false">-T72*Assumptions!$E$99</f>
        <v>-39534.0438566968</v>
      </c>
      <c r="U86" s="70" t="n">
        <f aca="false">-U72*Assumptions!$E$99</f>
        <v>-41183.1642709613</v>
      </c>
      <c r="V86" s="70" t="n">
        <f aca="false">-V72*Assumptions!$E$99</f>
        <v>-42843.5296894055</v>
      </c>
      <c r="W86" s="70" t="n">
        <f aca="false">-W72*Assumptions!$E$99</f>
        <v>-44521.6980662007</v>
      </c>
      <c r="X86" s="70" t="n">
        <f aca="false">-X72*Assumptions!$E$99</f>
        <v>-46224.1318993365</v>
      </c>
      <c r="Y86" s="70" t="n">
        <f aca="false">-Y72*Assumptions!$E$99</f>
        <v>-47957.3156922566</v>
      </c>
      <c r="Z86" s="70" t="n">
        <f aca="false">-Z72*Assumptions!$E$99</f>
        <v>-49727.8614062707</v>
      </c>
      <c r="AA86" s="70" t="n">
        <f aca="false">-AA72*Assumptions!$E$99</f>
        <v>-51542.6049956799</v>
      </c>
      <c r="AB86" s="70" t="n">
        <f aca="false">-AB72*Assumptions!$E$99</f>
        <v>-53361.3946423472</v>
      </c>
      <c r="AC86" s="70" t="n">
        <f aca="false">-AC72*Assumptions!$E$99</f>
        <v>-55174.9717040875</v>
      </c>
      <c r="AD86" s="70" t="n">
        <f aca="false">-AD72*Assumptions!$E$99</f>
        <v>-57002.4107527689</v>
      </c>
      <c r="AE86" s="70" t="n">
        <f aca="false">-AE72*Assumptions!$E$99</f>
        <v>-58852.2801195914</v>
      </c>
      <c r="AF86" s="70" t="n">
        <f aca="false">-AF72*Assumptions!$E$99</f>
        <v>-60733.1747844912</v>
      </c>
      <c r="AG86" s="70" t="n">
        <f aca="false">-AG72*Assumptions!$E$99</f>
        <v>-62653.966952672</v>
      </c>
      <c r="AH86" s="70" t="n">
        <f aca="false">-AH72*Assumptions!$E$99</f>
        <v>-64623.934912301</v>
      </c>
      <c r="AI86" s="70" t="n">
        <f aca="false">-AI72*Assumptions!$E$99</f>
        <v>-66652.8380283887</v>
      </c>
      <c r="AJ86" s="70" t="n">
        <f aca="false">-AJ72*Assumptions!$E$99</f>
        <v>-68750.9882536641</v>
      </c>
      <c r="AK86" s="70" t="n">
        <f aca="false">-AK72*Assumptions!$E$99</f>
        <v>-70929.3232587946</v>
      </c>
      <c r="AL86" s="70" t="n">
        <f aca="false">-AL72*Assumptions!$E$99</f>
        <v>-73199.4826171624</v>
      </c>
      <c r="AM86" s="70" t="n">
        <f aca="false">SUM(C86:AL86)</f>
        <v>-1437033.94039254</v>
      </c>
    </row>
    <row r="87" customFormat="false" ht="15" hidden="false" customHeight="false" outlineLevel="0" collapsed="false">
      <c r="A87" s="37" t="s">
        <v>807</v>
      </c>
      <c r="B87" s="9" t="s">
        <v>97</v>
      </c>
      <c r="C87" s="53" t="n">
        <f aca="false">C75+C76+C77+C78+C79+C80+C81+C82+C83+C84+C85+C86</f>
        <v>-37080</v>
      </c>
      <c r="D87" s="53" t="n">
        <f aca="false">D75+D76+D77+D78+D79+D80+D81+D82+D83+D84+D85+D86</f>
        <v>-152254.5</v>
      </c>
      <c r="E87" s="53" t="n">
        <f aca="false">E75+E76+E77+E78+E79+E80+E81+E82+E83+E84+E85+E86</f>
        <v>-96726.006</v>
      </c>
      <c r="F87" s="53" t="n">
        <f aca="false">F75+F76+F77+F78+F79+F80+F81+F82+F83+F84+F85+F86</f>
        <v>-107962.76458132</v>
      </c>
      <c r="G87" s="53" t="n">
        <f aca="false">G75+G76+G77+G78+G79+G80+G81+G82+G83+G84+G85+G86</f>
        <v>-132530.250941754</v>
      </c>
      <c r="H87" s="53" t="n">
        <f aca="false">H75+H76+H77+H78+H79+H80+H81+H82+H83+H84+H85+H86</f>
        <v>-148706.827918477</v>
      </c>
      <c r="I87" s="53" t="n">
        <f aca="false">I75+I76+I77+I78+I79+I80+I81+I82+I83+I84+I85+I86</f>
        <v>-164727.912206234</v>
      </c>
      <c r="J87" s="53" t="n">
        <f aca="false">J75+J76+J77+J78+J79+J80+J81+J82+J83+J84+J85+J86</f>
        <v>-184227.278696321</v>
      </c>
      <c r="K87" s="53" t="n">
        <f aca="false">K75+K76+K77+K78+K79+K80+K81+K82+K83+K84+K85+K86</f>
        <v>-200899.125602771</v>
      </c>
      <c r="L87" s="53" t="n">
        <f aca="false">L75+L76+L77+L78+L79+L80+L81+L82+L83+L84+L85+L86</f>
        <v>-216529.00681276</v>
      </c>
      <c r="M87" s="53" t="n">
        <f aca="false">M75+M76+M77+M78+M79+M80+M81+M82+M83+M84+M85+M86</f>
        <v>-231359.409559718</v>
      </c>
      <c r="N87" s="53" t="n">
        <f aca="false">N75+N76+N77+N78+N79+N80+N81+N82+N83+N84+N85+N86</f>
        <v>-245562.598395254</v>
      </c>
      <c r="O87" s="53" t="n">
        <f aca="false">O75+O76+O77+O78+O79+O80+O81+O82+O83+O84+O85+O86</f>
        <v>-259270.759213483</v>
      </c>
      <c r="P87" s="53" t="n">
        <f aca="false">P75+P76+P77+P78+P79+P80+P81+P82+P83+P84+P85+P86</f>
        <v>-272594.393007065</v>
      </c>
      <c r="Q87" s="53" t="n">
        <f aca="false">Q75+Q76+Q77+Q78+Q79+Q80+Q81+Q82+Q83+Q84+Q85+Q86</f>
        <v>-285627.822041325</v>
      </c>
      <c r="R87" s="53" t="n">
        <f aca="false">R75+R76+R77+R78+R79+R80+R81+R82+R83+R84+R85+R86</f>
        <v>-298452.778612475</v>
      </c>
      <c r="S87" s="53" t="n">
        <f aca="false">S75+S76+S77+S78+S79+S80+S81+S82+S83+S84+S85+S86</f>
        <v>-311141.168605176</v>
      </c>
      <c r="T87" s="53" t="n">
        <f aca="false">T75+T76+T77+T78+T79+T80+T81+T82+T83+T84+T85+T86</f>
        <v>-323757.32726628</v>
      </c>
      <c r="U87" s="53" t="n">
        <f aca="false">U75+U76+U77+U78+U79+U80+U81+U82+U83+U84+U85+U86</f>
        <v>-336359.896356562</v>
      </c>
      <c r="V87" s="53" t="n">
        <f aca="false">V75+V76+V77+V78+V79+V80+V81+V82+V83+V84+V85+V86</f>
        <v>-349003.403734007</v>
      </c>
      <c r="W87" s="53" t="n">
        <f aca="false">W75+W76+W77+W78+W79+W80+W81+W82+W83+W84+W85+W86</f>
        <v>-361739.605797641</v>
      </c>
      <c r="X87" s="53" t="n">
        <f aca="false">X75+X76+X77+X78+X79+X80+X81+X82+X83+X84+X85+X86</f>
        <v>-374618.641020233</v>
      </c>
      <c r="Y87" s="53" t="n">
        <f aca="false">Y75+Y76+Y77+Y78+Y79+Y80+Y81+Y82+Y83+Y84+Y85+Y86</f>
        <v>-387690.034141838</v>
      </c>
      <c r="Z87" s="53" t="n">
        <f aca="false">Z75+Z76+Z77+Z78+Z79+Z80+Z81+Z82+Z83+Z84+Z85+Z86</f>
        <v>-401003.583916699</v>
      </c>
      <c r="AA87" s="53" t="n">
        <f aca="false">AA75+AA76+AA77+AA78+AA79+AA80+AA81+AA82+AA83+AA84+AA85+AA86</f>
        <v>-414610.161961442</v>
      </c>
      <c r="AB87" s="53" t="n">
        <f aca="false">AB75+AB76+AB77+AB78+AB79+AB80+AB81+AB82+AB83+AB84+AB85+AB86</f>
        <v>-428515.143913576</v>
      </c>
      <c r="AC87" s="53" t="n">
        <f aca="false">AC75+AC76+AC77+AC78+AC79+AC80+AC81+AC82+AC83+AC84+AC85+AC86</f>
        <v>-442441.86002212</v>
      </c>
      <c r="AD87" s="53" t="n">
        <f aca="false">AD75+AD76+AD77+AD78+AD79+AD80+AD81+AD82+AD83+AD84+AD85+AD86</f>
        <v>-456347.722301992</v>
      </c>
      <c r="AE87" s="53" t="n">
        <f aca="false">AE75+AE76+AE77+AE78+AE79+AE80+AE81+AE82+AE83+AE84+AE85+AE86</f>
        <v>-470368.335733032</v>
      </c>
      <c r="AF87" s="53" t="n">
        <f aca="false">AF75+AF76+AF77+AF78+AF79+AF80+AF81+AF82+AF83+AF84+AF85+AF86</f>
        <v>-484569.36038097</v>
      </c>
      <c r="AG87" s="53" t="n">
        <f aca="false">AG75+AG76+AG77+AG78+AG79+AG80+AG81+AG82+AG83+AG84+AG85+AG86</f>
        <v>-499016.911017384</v>
      </c>
      <c r="AH87" s="53" t="n">
        <f aca="false">AH75+AH76+AH77+AH78+AH79+AH80+AH81+AH82+AH83+AH84+AH85+AH86</f>
        <v>-513779.354817096</v>
      </c>
      <c r="AI87" s="53" t="n">
        <f aca="false">AI75+AI76+AI77+AI78+AI79+AI80+AI81+AI82+AI83+AI84+AI85+AI86</f>
        <v>-528928.244544313</v>
      </c>
      <c r="AJ87" s="53" t="n">
        <f aca="false">AJ75+AJ76+AJ77+AJ78+AJ79+AJ80+AJ81+AJ82+AJ83+AJ84+AJ85+AJ86</f>
        <v>-544538.889522733</v>
      </c>
      <c r="AK87" s="53" t="n">
        <f aca="false">AK75+AK76+AK77+AK78+AK79+AK80+AK81+AK82+AK83+AK84+AK85+AK86</f>
        <v>-560690.905028197</v>
      </c>
      <c r="AL87" s="53" t="n">
        <f aca="false">AL75+AL76+AL77+AL78+AL79+AL80+AL81+AL82+AL83+AL84+AL85+AL86</f>
        <v>-577468.775520735</v>
      </c>
      <c r="AM87" s="53" t="n">
        <f aca="false">SUM(C87:AL87)</f>
        <v>-11801100.759191</v>
      </c>
    </row>
    <row r="88" customFormat="false" ht="15" hidden="false" customHeight="false" outlineLevel="0" collapsed="false">
      <c r="A88" s="37" t="s">
        <v>808</v>
      </c>
      <c r="B88" s="9" t="s">
        <v>97</v>
      </c>
      <c r="C88" s="53" t="n">
        <f aca="false">C73+C87</f>
        <v>-37080</v>
      </c>
      <c r="D88" s="53" t="n">
        <f aca="false">D73+D87</f>
        <v>-83725.71</v>
      </c>
      <c r="E88" s="53" t="n">
        <f aca="false">E73+E87</f>
        <v>25803.47052</v>
      </c>
      <c r="F88" s="53" t="n">
        <f aca="false">F73+F87</f>
        <v>46117.7173341832</v>
      </c>
      <c r="G88" s="53" t="n">
        <f aca="false">G73+G87</f>
        <v>48479.3776700269</v>
      </c>
      <c r="H88" s="53" t="n">
        <f aca="false">H73+H87</f>
        <v>56642.4540725678</v>
      </c>
      <c r="I88" s="53" t="n">
        <f aca="false">I73+I87</f>
        <v>69664.473883054</v>
      </c>
      <c r="J88" s="53" t="n">
        <f aca="false">J73+J87</f>
        <v>75485.6861709087</v>
      </c>
      <c r="K88" s="53" t="n">
        <f aca="false">K73+K87</f>
        <v>82474.4952282544</v>
      </c>
      <c r="L88" s="53" t="n">
        <f aca="false">L73+L87</f>
        <v>89231.3354370603</v>
      </c>
      <c r="M88" s="53" t="n">
        <f aca="false">M73+M87</f>
        <v>95783.6660644165</v>
      </c>
      <c r="N88" s="53" t="n">
        <f aca="false">N73+N87</f>
        <v>102163.269069419</v>
      </c>
      <c r="O88" s="53" t="n">
        <f aca="false">O73+O87</f>
        <v>108407.604793045</v>
      </c>
      <c r="P88" s="53" t="n">
        <f aca="false">P73+P87</f>
        <v>114550.337211964</v>
      </c>
      <c r="Q88" s="53" t="n">
        <f aca="false">Q73+Q87</f>
        <v>120621.519960087</v>
      </c>
      <c r="R88" s="53" t="n">
        <f aca="false">R73+R87</f>
        <v>126648.338070796</v>
      </c>
      <c r="S88" s="53" t="n">
        <f aca="false">S73+S87</f>
        <v>132655.852703459</v>
      </c>
      <c r="T88" s="53" t="n">
        <f aca="false">T73+T87</f>
        <v>138667.646222669</v>
      </c>
      <c r="U88" s="53" t="n">
        <f aca="false">U73+U87</f>
        <v>144706.370970649</v>
      </c>
      <c r="V88" s="53" t="n">
        <f aca="false">V73+V87</f>
        <v>150794.218198928</v>
      </c>
      <c r="W88" s="53" t="n">
        <f aca="false">W73+W87</f>
        <v>156953.323803167</v>
      </c>
      <c r="X88" s="53" t="n">
        <f aca="false">X73+X87</f>
        <v>163206.125364481</v>
      </c>
      <c r="Y88" s="53" t="n">
        <f aca="false">Y73+Y87</f>
        <v>169575.682695167</v>
      </c>
      <c r="Z88" s="53" t="n">
        <f aca="false">Z73+Z87</f>
        <v>176085.972057864</v>
      </c>
      <c r="AA88" s="53" t="n">
        <f aca="false">AA73+AA87</f>
        <v>182762.16254482</v>
      </c>
      <c r="AB88" s="53" t="n">
        <f aca="false">AB73+AB87</f>
        <v>189247.243199753</v>
      </c>
      <c r="AC88" s="53" t="n">
        <f aca="false">AC73+AC87</f>
        <v>195726.817145635</v>
      </c>
      <c r="AD88" s="53" t="n">
        <f aca="false">AD73+AD87</f>
        <v>202417.355840907</v>
      </c>
      <c r="AE88" s="53" t="n">
        <f aca="false">AE73+AE87</f>
        <v>209275.891782316</v>
      </c>
      <c r="AF88" s="53" t="n">
        <f aca="false">AF73+AF87</f>
        <v>216330.057984637</v>
      </c>
      <c r="AG88" s="53" t="n">
        <f aca="false">AG73+AG87</f>
        <v>223610.570920198</v>
      </c>
      <c r="AH88" s="53" t="n">
        <f aca="false">AH73+AH87</f>
        <v>231150.861362893</v>
      </c>
      <c r="AI88" s="53" t="n">
        <f aca="false">AI73+AI87</f>
        <v>238986.948340981</v>
      </c>
      <c r="AJ88" s="53" t="n">
        <f aca="false">AJ73+AJ87</f>
        <v>247157.639677679</v>
      </c>
      <c r="AK88" s="53" t="n">
        <f aca="false">AK73+AK87</f>
        <v>255704.776004031</v>
      </c>
      <c r="AL88" s="53" t="n">
        <f aca="false">AL73+AL87</f>
        <v>264673.498705409</v>
      </c>
      <c r="AM88" s="53" t="n">
        <f aca="false">SUM(C88:AL88)</f>
        <v>4930957.05101143</v>
      </c>
    </row>
    <row r="89" customFormat="false" ht="15" hidden="false" customHeight="false" outlineLevel="0" collapsed="false">
      <c r="A89" s="37" t="s">
        <v>809</v>
      </c>
      <c r="B89" s="9" t="s">
        <v>61</v>
      </c>
      <c r="C89" s="52" t="n">
        <f aca="false">IFERROR(C88/C72,0)</f>
        <v>0</v>
      </c>
      <c r="D89" s="52" t="n">
        <f aca="false">IFERROR(D88/D72,0)</f>
        <v>-0.737736452550886</v>
      </c>
      <c r="E89" s="52" t="n">
        <f aca="false">IFERROR(E88/E72,0)</f>
        <v>0.127160729650663</v>
      </c>
      <c r="F89" s="52" t="n">
        <f aca="false">IFERROR(F88/F72,0)</f>
        <v>0.1807322447062</v>
      </c>
      <c r="G89" s="52" t="n">
        <f aca="false">IFERROR(G88/G72,0)</f>
        <v>0.161722641568306</v>
      </c>
      <c r="H89" s="52" t="n">
        <f aca="false">IFERROR(H88/H72,0)</f>
        <v>0.166557556226178</v>
      </c>
      <c r="I89" s="52" t="n">
        <f aca="false">IFERROR(I88/I72,0)</f>
        <v>0.177695991557561</v>
      </c>
      <c r="J89" s="52" t="n">
        <f aca="false">IFERROR(J88/J72,0)</f>
        <v>0.173156520223225</v>
      </c>
      <c r="K89" s="52" t="n">
        <f aca="false">IFERROR(K88/K72,0)</f>
        <v>0.17289215934639</v>
      </c>
      <c r="L89" s="52" t="n">
        <f aca="false">IFERROR(L88/L72,0)</f>
        <v>0.172938990510076</v>
      </c>
      <c r="M89" s="52" t="n">
        <f aca="false">IFERROR(M88/M72,0)</f>
        <v>0.173136026406803</v>
      </c>
      <c r="N89" s="52" t="n">
        <f aca="false">IFERROR(N88/N72,0)</f>
        <v>0.173406524273138</v>
      </c>
      <c r="O89" s="52" t="n">
        <f aca="false">IFERROR(O88/O72,0)</f>
        <v>0.173717643975381</v>
      </c>
      <c r="P89" s="52" t="n">
        <f aca="false">IFERROR(P88/P72,0)</f>
        <v>0.174049241600071</v>
      </c>
      <c r="Q89" s="52" t="n">
        <f aca="false">IFERROR(Q88/Q72,0)</f>
        <v>0.174388191345887</v>
      </c>
      <c r="R89" s="52" t="n">
        <f aca="false">IFERROR(R88/R72,0)</f>
        <v>0.174725874768136</v>
      </c>
      <c r="S89" s="52" t="n">
        <f aca="false">IFERROR(S88/S72,0)</f>
        <v>0.175056765345132</v>
      </c>
      <c r="T89" s="52" t="n">
        <f aca="false">IFERROR(T88/T72,0)</f>
        <v>0.175377513523929</v>
      </c>
      <c r="U89" s="52" t="n">
        <f aca="false">IFERROR(U88/U72,0)</f>
        <v>0.175686319315541</v>
      </c>
      <c r="V89" s="52" t="n">
        <f aca="false">IFERROR(V88/V72,0)</f>
        <v>0.17598248707811</v>
      </c>
      <c r="W89" s="52" t="n">
        <f aca="false">IFERROR(W88/W72,0)</f>
        <v>0.176266102395497</v>
      </c>
      <c r="X89" s="52" t="n">
        <f aca="false">IFERROR(X88/X72,0)</f>
        <v>0.176537793851813</v>
      </c>
      <c r="Y89" s="52" t="n">
        <f aca="false">IFERROR(Y88/Y72,0)</f>
        <v>0.176798555389691</v>
      </c>
      <c r="Z89" s="52" t="n">
        <f aca="false">IFERROR(Z88/Z72,0)</f>
        <v>0.17704961271033</v>
      </c>
      <c r="AA89" s="52" t="n">
        <f aca="false">IFERROR(AA88/AA72,0)</f>
        <v>0.177292322109193</v>
      </c>
      <c r="AB89" s="52" t="n">
        <f aca="false">IFERROR(AB88/AB72,0)</f>
        <v>0.17732599051072</v>
      </c>
      <c r="AC89" s="52" t="n">
        <f aca="false">IFERROR(AC88/AC72,0)</f>
        <v>0.177369204822932</v>
      </c>
      <c r="AD89" s="52" t="n">
        <f aca="false">IFERROR(AD88/AD72,0)</f>
        <v>0.177551574720964</v>
      </c>
      <c r="AE89" s="52" t="n">
        <f aca="false">IFERROR(AE88/AE72,0)</f>
        <v>0.177797607294956</v>
      </c>
      <c r="AF89" s="52" t="n">
        <f aca="false">IFERROR(AF88/AF72,0)</f>
        <v>0.17809875636526</v>
      </c>
      <c r="AG89" s="52" t="n">
        <f aca="false">IFERROR(AG88/AG72,0)</f>
        <v>0.1784488531182</v>
      </c>
      <c r="AH89" s="52" t="n">
        <f aca="false">IFERROR(AH88/AH72,0)</f>
        <v>0.178843072366748</v>
      </c>
      <c r="AI89" s="52" t="n">
        <f aca="false">IFERROR(AI88/AI72,0)</f>
        <v>0.179277398690204</v>
      </c>
      <c r="AJ89" s="52" t="n">
        <f aca="false">IFERROR(AJ88/AJ72,0)</f>
        <v>0.179748426863163</v>
      </c>
      <c r="AK89" s="52" t="n">
        <f aca="false">IFERROR(AK88/AK72,0)</f>
        <v>0.180253218454559</v>
      </c>
      <c r="AL89" s="52" t="n">
        <f aca="false">IFERROR(AL88/AL72,0)</f>
        <v>0.18078918678269</v>
      </c>
      <c r="AM89" s="52" t="n">
        <f aca="false">AVERAGE(N89:AL89)</f>
        <v>0.17687352950689</v>
      </c>
    </row>
    <row r="90" customFormat="false" ht="15" hidden="false" customHeight="false" outlineLevel="0" collapsed="false">
      <c r="A90" s="10" t="s">
        <v>810</v>
      </c>
      <c r="B90" s="9" t="s">
        <v>97</v>
      </c>
      <c r="C90" s="70" t="n">
        <f aca="false">-C43*Assumptions!$E$102</f>
        <v>0</v>
      </c>
      <c r="D90" s="70" t="n">
        <f aca="false">-D43*Assumptions!$E$102</f>
        <v>60840</v>
      </c>
      <c r="E90" s="70" t="n">
        <f aca="false">-E43*Assumptions!$E$102</f>
        <v>108781.92</v>
      </c>
      <c r="F90" s="70" t="n">
        <f aca="false">-F43*Assumptions!$E$102</f>
        <v>136792.96715642</v>
      </c>
      <c r="G90" s="70" t="n">
        <f aca="false">-G43*Assumptions!$E$102</f>
        <v>160700.71870145</v>
      </c>
      <c r="H90" s="70" t="n">
        <f aca="false">-H43*Assumptions!$E$102</f>
        <v>182309.51278047</v>
      </c>
      <c r="I90" s="70" t="n">
        <f aca="false">-I43*Assumptions!$E$102</f>
        <v>201725.954288307</v>
      </c>
      <c r="J90" s="70" t="n">
        <f aca="false">-J43*Assumptions!$E$102</f>
        <v>220232.115313974</v>
      </c>
      <c r="K90" s="70" t="n">
        <f aca="false">-K43*Assumptions!$E$102</f>
        <v>237388.136801245</v>
      </c>
      <c r="L90" s="70" t="n">
        <f aca="false">-L43*Assumptions!$E$102</f>
        <v>253500.29490566</v>
      </c>
      <c r="M90" s="70" t="n">
        <f aca="false">-M43*Assumptions!$E$102</f>
        <v>268773.954151427</v>
      </c>
      <c r="N90" s="70" t="n">
        <f aca="false">-N43*Assumptions!$E$102</f>
        <v>283359.835858928</v>
      </c>
      <c r="O90" s="70" t="n">
        <f aca="false">-O43*Assumptions!$E$102</f>
        <v>297381.191511453</v>
      </c>
      <c r="P90" s="70" t="n">
        <f aca="false">-P43*Assumptions!$E$102</f>
        <v>310941.29356892</v>
      </c>
      <c r="Q90" s="70" t="n">
        <f aca="false">-Q43*Assumptions!$E$102</f>
        <v>324128.073717392</v>
      </c>
      <c r="R90" s="70" t="n">
        <f aca="false">-R43*Assumptions!$E$102</f>
        <v>337017.545165801</v>
      </c>
      <c r="S90" s="70" t="n">
        <f aca="false">-S43*Assumptions!$E$102</f>
        <v>349676.499630723</v>
      </c>
      <c r="T90" s="70" t="n">
        <f aca="false">-T43*Assumptions!$E$102</f>
        <v>362164.679785058</v>
      </c>
      <c r="U90" s="70" t="n">
        <f aca="false">-U43*Assumptions!$E$102</f>
        <v>374536.549593542</v>
      </c>
      <c r="V90" s="70" t="n">
        <f aca="false">-V43*Assumptions!$E$102</f>
        <v>386842.750086172</v>
      </c>
      <c r="W90" s="70" t="n">
        <f aca="false">-W43*Assumptions!$E$102</f>
        <v>399131.307588467</v>
      </c>
      <c r="X90" s="70" t="n">
        <f aca="false">-X43*Assumptions!$E$102</f>
        <v>411448.64728591</v>
      </c>
      <c r="Y90" s="70" t="n">
        <f aca="false">-Y43*Assumptions!$E$102</f>
        <v>423840.454473614</v>
      </c>
      <c r="Z90" s="70" t="n">
        <f aca="false">-Z43*Assumptions!$E$102</f>
        <v>436352.417698573</v>
      </c>
      <c r="AA90" s="70" t="n">
        <f aca="false">-AA43*Assumptions!$E$102</f>
        <v>449030.881582078</v>
      </c>
      <c r="AB90" s="70" t="n">
        <f aca="false">-AB43*Assumptions!$E$102</f>
        <v>461923.432006076</v>
      </c>
      <c r="AC90" s="70" t="n">
        <f aca="false">-AC43*Assumptions!$E$102</f>
        <v>475046.477349868</v>
      </c>
      <c r="AD90" s="70" t="n">
        <f aca="false">-AD43*Assumptions!$E$102</f>
        <v>488425.446902301</v>
      </c>
      <c r="AE90" s="70" t="n">
        <f aca="false">-AE43*Assumptions!$E$102</f>
        <v>502106.453514614</v>
      </c>
      <c r="AF90" s="70" t="n">
        <f aca="false">-AF43*Assumptions!$E$102</f>
        <v>516137.252328395</v>
      </c>
      <c r="AG90" s="70" t="n">
        <f aca="false">-AG43*Assumptions!$E$102</f>
        <v>530569.432457377</v>
      </c>
      <c r="AH90" s="70" t="n">
        <f aca="false">-AH43*Assumptions!$E$102</f>
        <v>545459.302534314</v>
      </c>
      <c r="AI90" s="70" t="n">
        <f aca="false">-AI43*Assumptions!$E$102</f>
        <v>560868.282330921</v>
      </c>
      <c r="AJ90" s="70" t="n">
        <f aca="false">-AJ43*Assumptions!$E$102</f>
        <v>576863.279748631</v>
      </c>
      <c r="AK90" s="70" t="n">
        <f aca="false">-AK43*Assumptions!$E$102</f>
        <v>593517.095421128</v>
      </c>
      <c r="AL90" s="70" t="n">
        <f aca="false">-AL43*Assumptions!$E$102</f>
        <v>610908.864821003</v>
      </c>
      <c r="AM90" s="70" t="n">
        <f aca="false">AL90</f>
        <v>610908.864821003</v>
      </c>
    </row>
    <row r="91" customFormat="false" ht="15" hidden="false" customHeight="false" outlineLevel="0" collapsed="false">
      <c r="A91" s="10" t="s">
        <v>811</v>
      </c>
      <c r="B91" s="9" t="s">
        <v>97</v>
      </c>
      <c r="C91" s="70" t="n">
        <f aca="false">-C90</f>
        <v>-0</v>
      </c>
      <c r="D91" s="70" t="n">
        <f aca="false">-(D90-C90)</f>
        <v>-60840</v>
      </c>
      <c r="E91" s="70" t="n">
        <f aca="false">-(E90-D90)</f>
        <v>-47941.92</v>
      </c>
      <c r="F91" s="70" t="n">
        <f aca="false">-(F90-E90)</f>
        <v>-28011.0471564201</v>
      </c>
      <c r="G91" s="70" t="n">
        <f aca="false">-(G90-F90)</f>
        <v>-23907.7515450298</v>
      </c>
      <c r="H91" s="70" t="n">
        <f aca="false">-(H90-G90)</f>
        <v>-21608.7940790205</v>
      </c>
      <c r="I91" s="70" t="n">
        <f aca="false">-(I90-H90)</f>
        <v>-19416.441507837</v>
      </c>
      <c r="J91" s="70" t="n">
        <f aca="false">-(J90-I90)</f>
        <v>-18506.161025667</v>
      </c>
      <c r="K91" s="70" t="n">
        <f aca="false">-(K90-J90)</f>
        <v>-17156.0214872703</v>
      </c>
      <c r="L91" s="70" t="n">
        <f aca="false">-(L90-K90)</f>
        <v>-16112.1581044148</v>
      </c>
      <c r="M91" s="70" t="n">
        <f aca="false">-(M90-L90)</f>
        <v>-15273.6592457677</v>
      </c>
      <c r="N91" s="70" t="n">
        <f aca="false">-(N90-M90)</f>
        <v>-14585.8817075007</v>
      </c>
      <c r="O91" s="70" t="n">
        <f aca="false">-(O90-N90)</f>
        <v>-14021.3556525246</v>
      </c>
      <c r="P91" s="70" t="n">
        <f aca="false">-(P90-O90)</f>
        <v>-13560.102057467</v>
      </c>
      <c r="Q91" s="70" t="n">
        <f aca="false">-(Q90-P90)</f>
        <v>-13186.780148472</v>
      </c>
      <c r="R91" s="70" t="n">
        <f aca="false">-(R90-Q90)</f>
        <v>-12889.4714484089</v>
      </c>
      <c r="S91" s="70" t="n">
        <f aca="false">-(S90-R90)</f>
        <v>-12658.9544649224</v>
      </c>
      <c r="T91" s="70" t="n">
        <f aca="false">-(T90-S90)</f>
        <v>-12488.1801543353</v>
      </c>
      <c r="U91" s="70" t="n">
        <f aca="false">-(U90-T90)</f>
        <v>-12371.8698084841</v>
      </c>
      <c r="V91" s="70" t="n">
        <f aca="false">-(V90-U90)</f>
        <v>-12306.2004926299</v>
      </c>
      <c r="W91" s="70" t="n">
        <f aca="false">-(W90-V90)</f>
        <v>-12288.5575022945</v>
      </c>
      <c r="X91" s="70" t="n">
        <f aca="false">-(X90-W90)</f>
        <v>-12317.3396974429</v>
      </c>
      <c r="Y91" s="70" t="n">
        <f aca="false">-(Y90-X90)</f>
        <v>-12391.8071877045</v>
      </c>
      <c r="Z91" s="70" t="n">
        <f aca="false">-(Z90-Y90)</f>
        <v>-12511.963224959</v>
      </c>
      <c r="AA91" s="70" t="n">
        <f aca="false">-(AA90-Z90)</f>
        <v>-12678.4638835051</v>
      </c>
      <c r="AB91" s="70" t="n">
        <f aca="false">-(AB90-AA90)</f>
        <v>-12892.550423998</v>
      </c>
      <c r="AC91" s="70" t="n">
        <f aca="false">-(AC90-AB90)</f>
        <v>-13123.0453437914</v>
      </c>
      <c r="AD91" s="70" t="n">
        <f aca="false">-(AD90-AC90)</f>
        <v>-13378.9695524329</v>
      </c>
      <c r="AE91" s="70" t="n">
        <f aca="false">-(AE90-AD90)</f>
        <v>-13681.0066123134</v>
      </c>
      <c r="AF91" s="70" t="n">
        <f aca="false">-(AF90-AE90)</f>
        <v>-14030.7988137809</v>
      </c>
      <c r="AG91" s="70" t="n">
        <f aca="false">-(AG90-AF90)</f>
        <v>-14432.1801289819</v>
      </c>
      <c r="AH91" s="70" t="n">
        <f aca="false">-(AH90-AG90)</f>
        <v>-14889.8700769366</v>
      </c>
      <c r="AI91" s="70" t="n">
        <f aca="false">-(AI90-AH90)</f>
        <v>-15408.9797966076</v>
      </c>
      <c r="AJ91" s="70" t="n">
        <f aca="false">-(AJ90-AI90)</f>
        <v>-15994.9974177093</v>
      </c>
      <c r="AK91" s="70" t="n">
        <f aca="false">-(AK90-AJ90)</f>
        <v>-16653.8156724978</v>
      </c>
      <c r="AL91" s="70" t="n">
        <f aca="false">-(AL90-AK90)</f>
        <v>-17391.7693998744</v>
      </c>
      <c r="AM91" s="70" t="n">
        <f aca="false">SUM(C91:AL91)</f>
        <v>-610908.864821003</v>
      </c>
    </row>
    <row r="92" customFormat="false" ht="15" hidden="false" customHeight="false" outlineLevel="0" collapsed="false">
      <c r="A92" s="10" t="s">
        <v>812</v>
      </c>
      <c r="B92" s="9" t="s">
        <v>97</v>
      </c>
      <c r="C92" s="70" t="n">
        <f aca="false">C88+C91</f>
        <v>-37080</v>
      </c>
      <c r="D92" s="70" t="n">
        <f aca="false">D88+D91</f>
        <v>-144565.71</v>
      </c>
      <c r="E92" s="70" t="n">
        <f aca="false">E88+E91</f>
        <v>-22138.44948</v>
      </c>
      <c r="F92" s="70" t="n">
        <f aca="false">F88+F91</f>
        <v>18106.6701777631</v>
      </c>
      <c r="G92" s="70" t="n">
        <f aca="false">G88+G91</f>
        <v>24571.6261249971</v>
      </c>
      <c r="H92" s="70" t="n">
        <f aca="false">H88+H91</f>
        <v>35033.6599935473</v>
      </c>
      <c r="I92" s="70" t="n">
        <f aca="false">I88+I91</f>
        <v>50248.0323752171</v>
      </c>
      <c r="J92" s="70" t="n">
        <f aca="false">J88+J91</f>
        <v>56979.5251452417</v>
      </c>
      <c r="K92" s="70" t="n">
        <f aca="false">K88+K91</f>
        <v>65318.4737409842</v>
      </c>
      <c r="L92" s="70" t="n">
        <f aca="false">L88+L91</f>
        <v>73119.1773326455</v>
      </c>
      <c r="M92" s="70" t="n">
        <f aca="false">M88+M91</f>
        <v>80510.0068186488</v>
      </c>
      <c r="N92" s="70" t="n">
        <f aca="false">N88+N91</f>
        <v>87577.3873619188</v>
      </c>
      <c r="O92" s="70" t="n">
        <f aca="false">O88+O91</f>
        <v>94386.2491405205</v>
      </c>
      <c r="P92" s="70" t="n">
        <f aca="false">P88+P91</f>
        <v>100990.235154497</v>
      </c>
      <c r="Q92" s="70" t="n">
        <f aca="false">Q88+Q91</f>
        <v>107434.739811615</v>
      </c>
      <c r="R92" s="70" t="n">
        <f aca="false">R88+R91</f>
        <v>113758.866622387</v>
      </c>
      <c r="S92" s="70" t="n">
        <f aca="false">S88+S91</f>
        <v>119996.898238536</v>
      </c>
      <c r="T92" s="70" t="n">
        <f aca="false">T88+T91</f>
        <v>126179.466068333</v>
      </c>
      <c r="U92" s="70" t="n">
        <f aca="false">U88+U91</f>
        <v>132334.501162165</v>
      </c>
      <c r="V92" s="70" t="n">
        <f aca="false">V88+V91</f>
        <v>138488.017706298</v>
      </c>
      <c r="W92" s="70" t="n">
        <f aca="false">W88+W91</f>
        <v>144664.766300872</v>
      </c>
      <c r="X92" s="70" t="n">
        <f aca="false">X88+X91</f>
        <v>150888.785667038</v>
      </c>
      <c r="Y92" s="70" t="n">
        <f aca="false">Y88+Y91</f>
        <v>157183.875507462</v>
      </c>
      <c r="Z92" s="70" t="n">
        <f aca="false">Z88+Z91</f>
        <v>163574.008832905</v>
      </c>
      <c r="AA92" s="70" t="n">
        <f aca="false">AA88+AA91</f>
        <v>170083.698661315</v>
      </c>
      <c r="AB92" s="70" t="n">
        <f aca="false">AB88+AB91</f>
        <v>176354.692775755</v>
      </c>
      <c r="AC92" s="70" t="n">
        <f aca="false">AC88+AC91</f>
        <v>182603.771801844</v>
      </c>
      <c r="AD92" s="70" t="n">
        <f aca="false">AD88+AD91</f>
        <v>189038.386288474</v>
      </c>
      <c r="AE92" s="70" t="n">
        <f aca="false">AE88+AE91</f>
        <v>195594.885170003</v>
      </c>
      <c r="AF92" s="70" t="n">
        <f aca="false">AF88+AF91</f>
        <v>202299.259170857</v>
      </c>
      <c r="AG92" s="70" t="n">
        <f aca="false">AG88+AG91</f>
        <v>209178.390791216</v>
      </c>
      <c r="AH92" s="70" t="n">
        <f aca="false">AH88+AH91</f>
        <v>216260.991285957</v>
      </c>
      <c r="AI92" s="70" t="n">
        <f aca="false">AI88+AI91</f>
        <v>223577.968544373</v>
      </c>
      <c r="AJ92" s="70" t="n">
        <f aca="false">AJ88+AJ91</f>
        <v>231162.64225997</v>
      </c>
      <c r="AK92" s="70" t="n">
        <f aca="false">AK88+AK91</f>
        <v>239050.960331534</v>
      </c>
      <c r="AL92" s="70" t="n">
        <f aca="false">AL88+AL91</f>
        <v>247281.729305535</v>
      </c>
      <c r="AM92" s="70" t="n">
        <f aca="false">SUM(C92:AL92)</f>
        <v>4320048.18619042</v>
      </c>
    </row>
    <row r="93" customFormat="false" ht="15" hidden="false" customHeight="false" outlineLevel="0" collapsed="false">
      <c r="A93" s="37" t="s">
        <v>813</v>
      </c>
      <c r="B93" s="9" t="s">
        <v>97</v>
      </c>
      <c r="C93" s="53" t="n">
        <f aca="false">C92</f>
        <v>-37080</v>
      </c>
      <c r="D93" s="53" t="n">
        <f aca="false">C93+D92</f>
        <v>-181645.71</v>
      </c>
      <c r="E93" s="53" t="n">
        <f aca="false">D93+E92</f>
        <v>-203784.15948</v>
      </c>
      <c r="F93" s="53" t="n">
        <f aca="false">E93+F92</f>
        <v>-185677.489302237</v>
      </c>
      <c r="G93" s="53" t="n">
        <f aca="false">F93+G92</f>
        <v>-161105.86317724</v>
      </c>
      <c r="H93" s="53" t="n">
        <f aca="false">G93+H92</f>
        <v>-126072.203183693</v>
      </c>
      <c r="I93" s="53" t="n">
        <f aca="false">H93+I92</f>
        <v>-75824.1708084755</v>
      </c>
      <c r="J93" s="53" t="n">
        <f aca="false">I93+J92</f>
        <v>-18844.6456632338</v>
      </c>
      <c r="K93" s="53" t="n">
        <f aca="false">J93+K92</f>
        <v>46473.8280777503</v>
      </c>
      <c r="L93" s="53" t="n">
        <f aca="false">K93+L92</f>
        <v>119593.005410396</v>
      </c>
      <c r="M93" s="53" t="n">
        <f aca="false">L93+M92</f>
        <v>200103.012229045</v>
      </c>
      <c r="N93" s="53" t="n">
        <f aca="false">M93+N92</f>
        <v>287680.399590963</v>
      </c>
      <c r="O93" s="53" t="n">
        <f aca="false">N93+O92</f>
        <v>382066.648731484</v>
      </c>
      <c r="P93" s="53" t="n">
        <f aca="false">O93+P92</f>
        <v>483056.883885981</v>
      </c>
      <c r="Q93" s="53" t="n">
        <f aca="false">P93+Q92</f>
        <v>590491.623697596</v>
      </c>
      <c r="R93" s="53" t="n">
        <f aca="false">Q93+R92</f>
        <v>704250.490319983</v>
      </c>
      <c r="S93" s="53" t="n">
        <f aca="false">R93+S92</f>
        <v>824247.388558519</v>
      </c>
      <c r="T93" s="53" t="n">
        <f aca="false">S93+T92</f>
        <v>950426.854626853</v>
      </c>
      <c r="U93" s="53" t="n">
        <f aca="false">T93+U92</f>
        <v>1082761.35578902</v>
      </c>
      <c r="V93" s="53" t="n">
        <f aca="false">U93+V92</f>
        <v>1221249.37349532</v>
      </c>
      <c r="W93" s="53" t="n">
        <f aca="false">V93+W92</f>
        <v>1365914.13979619</v>
      </c>
      <c r="X93" s="53" t="n">
        <f aca="false">W93+X92</f>
        <v>1516802.92546323</v>
      </c>
      <c r="Y93" s="53" t="n">
        <f aca="false">X93+Y92</f>
        <v>1673986.80097069</v>
      </c>
      <c r="Z93" s="53" t="n">
        <f aca="false">Y93+Z92</f>
        <v>1837560.80980359</v>
      </c>
      <c r="AA93" s="53" t="n">
        <f aca="false">Z93+AA92</f>
        <v>2007644.50846491</v>
      </c>
      <c r="AB93" s="53" t="n">
        <f aca="false">AA93+AB92</f>
        <v>2183999.20124066</v>
      </c>
      <c r="AC93" s="53" t="n">
        <f aca="false">AB93+AC92</f>
        <v>2366602.97304251</v>
      </c>
      <c r="AD93" s="53" t="n">
        <f aca="false">AC93+AD92</f>
        <v>2555641.35933098</v>
      </c>
      <c r="AE93" s="53" t="n">
        <f aca="false">AD93+AE92</f>
        <v>2751236.24450099</v>
      </c>
      <c r="AF93" s="53" t="n">
        <f aca="false">AE93+AF92</f>
        <v>2953535.50367184</v>
      </c>
      <c r="AG93" s="53" t="n">
        <f aca="false">AF93+AG92</f>
        <v>3162713.89446306</v>
      </c>
      <c r="AH93" s="53" t="n">
        <f aca="false">AG93+AH92</f>
        <v>3378974.88574901</v>
      </c>
      <c r="AI93" s="53" t="n">
        <f aca="false">AH93+AI92</f>
        <v>3602552.85429339</v>
      </c>
      <c r="AJ93" s="53" t="n">
        <f aca="false">AI93+AJ92</f>
        <v>3833715.49655336</v>
      </c>
      <c r="AK93" s="53" t="n">
        <f aca="false">AJ93+AK92</f>
        <v>4072766.45688489</v>
      </c>
      <c r="AL93" s="53" t="n">
        <f aca="false">AK93+AL92</f>
        <v>4320048.18619042</v>
      </c>
      <c r="AM93" s="53" t="n">
        <f aca="false">AL93</f>
        <v>4320048.18619042</v>
      </c>
    </row>
    <row r="94" customFormat="false" ht="15" hidden="false" customHeight="false" outlineLevel="0" collapsed="false">
      <c r="A94" s="10" t="s">
        <v>814</v>
      </c>
      <c r="B94" s="9" t="s">
        <v>51</v>
      </c>
      <c r="C94" s="69" t="n">
        <f aca="false">IF(C88&gt;0,C$5,999)</f>
        <v>999</v>
      </c>
      <c r="D94" s="69" t="n">
        <f aca="false">IF(D88&gt;0,D$5,999)</f>
        <v>999</v>
      </c>
      <c r="E94" s="69" t="n">
        <f aca="false">IF(E88&gt;0,E$5,999)</f>
        <v>3</v>
      </c>
      <c r="F94" s="69" t="n">
        <f aca="false">IF(F88&gt;0,F$5,999)</f>
        <v>4</v>
      </c>
      <c r="G94" s="69" t="n">
        <f aca="false">IF(G88&gt;0,G$5,999)</f>
        <v>5</v>
      </c>
      <c r="H94" s="69" t="n">
        <f aca="false">IF(H88&gt;0,H$5,999)</f>
        <v>6</v>
      </c>
      <c r="I94" s="69" t="n">
        <f aca="false">IF(I88&gt;0,I$5,999)</f>
        <v>7</v>
      </c>
      <c r="J94" s="69" t="n">
        <f aca="false">IF(J88&gt;0,J$5,999)</f>
        <v>8</v>
      </c>
      <c r="K94" s="69" t="n">
        <f aca="false">IF(K88&gt;0,K$5,999)</f>
        <v>9</v>
      </c>
      <c r="L94" s="69" t="n">
        <f aca="false">IF(L88&gt;0,L$5,999)</f>
        <v>10</v>
      </c>
      <c r="M94" s="69" t="n">
        <f aca="false">IF(M88&gt;0,M$5,999)</f>
        <v>11</v>
      </c>
      <c r="N94" s="69" t="n">
        <f aca="false">IF(N88&gt;0,N$5,999)</f>
        <v>12</v>
      </c>
      <c r="O94" s="69" t="n">
        <f aca="false">IF(O88&gt;0,O$5,999)</f>
        <v>13</v>
      </c>
      <c r="P94" s="69" t="n">
        <f aca="false">IF(P88&gt;0,P$5,999)</f>
        <v>14</v>
      </c>
      <c r="Q94" s="69" t="n">
        <f aca="false">IF(Q88&gt;0,Q$5,999)</f>
        <v>15</v>
      </c>
      <c r="R94" s="69" t="n">
        <f aca="false">IF(R88&gt;0,R$5,999)</f>
        <v>16</v>
      </c>
      <c r="S94" s="69" t="n">
        <f aca="false">IF(S88&gt;0,S$5,999)</f>
        <v>17</v>
      </c>
      <c r="T94" s="69" t="n">
        <f aca="false">IF(T88&gt;0,T$5,999)</f>
        <v>18</v>
      </c>
      <c r="U94" s="69" t="n">
        <f aca="false">IF(U88&gt;0,U$5,999)</f>
        <v>19</v>
      </c>
      <c r="V94" s="69" t="n">
        <f aca="false">IF(V88&gt;0,V$5,999)</f>
        <v>20</v>
      </c>
      <c r="W94" s="69" t="n">
        <f aca="false">IF(W88&gt;0,W$5,999)</f>
        <v>21</v>
      </c>
      <c r="X94" s="69" t="n">
        <f aca="false">IF(X88&gt;0,X$5,999)</f>
        <v>22</v>
      </c>
      <c r="Y94" s="69" t="n">
        <f aca="false">IF(Y88&gt;0,Y$5,999)</f>
        <v>23</v>
      </c>
      <c r="Z94" s="69" t="n">
        <f aca="false">IF(Z88&gt;0,Z$5,999)</f>
        <v>24</v>
      </c>
      <c r="AA94" s="69" t="n">
        <f aca="false">IF(AA88&gt;0,AA$5,999)</f>
        <v>25</v>
      </c>
      <c r="AB94" s="69" t="n">
        <f aca="false">IF(AB88&gt;0,AB$5,999)</f>
        <v>26</v>
      </c>
      <c r="AC94" s="69" t="n">
        <f aca="false">IF(AC88&gt;0,AC$5,999)</f>
        <v>27</v>
      </c>
      <c r="AD94" s="69" t="n">
        <f aca="false">IF(AD88&gt;0,AD$5,999)</f>
        <v>28</v>
      </c>
      <c r="AE94" s="69" t="n">
        <f aca="false">IF(AE88&gt;0,AE$5,999)</f>
        <v>29</v>
      </c>
      <c r="AF94" s="69" t="n">
        <f aca="false">IF(AF88&gt;0,AF$5,999)</f>
        <v>30</v>
      </c>
      <c r="AG94" s="69" t="n">
        <f aca="false">IF(AG88&gt;0,AG$5,999)</f>
        <v>31</v>
      </c>
      <c r="AH94" s="69" t="n">
        <f aca="false">IF(AH88&gt;0,AH$5,999)</f>
        <v>32</v>
      </c>
      <c r="AI94" s="69" t="n">
        <f aca="false">IF(AI88&gt;0,AI$5,999)</f>
        <v>33</v>
      </c>
      <c r="AJ94" s="69" t="n">
        <f aca="false">IF(AJ88&gt;0,AJ$5,999)</f>
        <v>34</v>
      </c>
      <c r="AK94" s="69" t="n">
        <f aca="false">IF(AK88&gt;0,AK$5,999)</f>
        <v>35</v>
      </c>
      <c r="AL94" s="69" t="n">
        <f aca="false">IF(AL88&gt;0,AL$5,999)</f>
        <v>36</v>
      </c>
      <c r="AM94" s="69"/>
    </row>
    <row r="95" customFormat="false" ht="15" hidden="false" customHeight="false" outlineLevel="0" collapsed="false">
      <c r="A95" s="10" t="s">
        <v>815</v>
      </c>
      <c r="B95" s="9" t="s">
        <v>51</v>
      </c>
      <c r="C95" s="61" t="n">
        <f aca="false">C32+C56</f>
        <v>0</v>
      </c>
      <c r="D95" s="61" t="n">
        <f aca="false">D32+D56</f>
        <v>1500</v>
      </c>
      <c r="E95" s="61" t="n">
        <f aca="false">E32+E56</f>
        <v>2025</v>
      </c>
      <c r="F95" s="61" t="n">
        <f aca="false">F32+F56</f>
        <v>1966.71767150937</v>
      </c>
      <c r="G95" s="61" t="n">
        <f aca="false">G32+G56</f>
        <v>1917.44373752806</v>
      </c>
      <c r="H95" s="61" t="n">
        <f aca="false">H32+H56</f>
        <v>1874.20409421861</v>
      </c>
      <c r="I95" s="61" t="n">
        <f aca="false">I32+I56</f>
        <v>1871.54995280879</v>
      </c>
      <c r="J95" s="61" t="n">
        <f aca="false">J32+J56</f>
        <v>1862.49343395261</v>
      </c>
      <c r="K95" s="61" t="n">
        <f aca="false">K32+K56</f>
        <v>1855.63664388871</v>
      </c>
      <c r="L95" s="61" t="n">
        <f aca="false">L32+L56</f>
        <v>1857.00486101443</v>
      </c>
      <c r="M95" s="61" t="n">
        <f aca="false">M32+M56</f>
        <v>1865.9350294811</v>
      </c>
      <c r="N95" s="61" t="n">
        <f aca="false">N32+N56</f>
        <v>1881.46609494438</v>
      </c>
      <c r="O95" s="61" t="n">
        <f aca="false">O32+O56</f>
        <v>1902.66461112698</v>
      </c>
      <c r="P95" s="61" t="n">
        <f aca="false">P32+P56</f>
        <v>1928.73295536099</v>
      </c>
      <c r="Q95" s="61" t="n">
        <f aca="false">Q32+Q56</f>
        <v>1959.02334585217</v>
      </c>
      <c r="R95" s="61" t="n">
        <f aca="false">R32+R56</f>
        <v>1993.02911367469</v>
      </c>
      <c r="S95" s="61" t="n">
        <f aca="false">S32+S56</f>
        <v>2030.36927702384</v>
      </c>
      <c r="T95" s="61" t="n">
        <f aca="false">T32+T56</f>
        <v>2070.77217751522</v>
      </c>
      <c r="U95" s="61" t="n">
        <f aca="false">U32+U56</f>
        <v>2114.06037238285</v>
      </c>
      <c r="V95" s="61" t="n">
        <f aca="false">V32+V56</f>
        <v>2160.13756090072</v>
      </c>
      <c r="W95" s="61" t="n">
        <f aca="false">W32+W56</f>
        <v>2208.9777078422</v>
      </c>
      <c r="X95" s="61" t="n">
        <f aca="false">X32+X56</f>
        <v>2260.61626044845</v>
      </c>
      <c r="Y95" s="61" t="n">
        <f aca="false">Y32+Y56</f>
        <v>2315.14325140864</v>
      </c>
      <c r="Z95" s="61" t="n">
        <f aca="false">Z32+Z56</f>
        <v>2372.69805332267</v>
      </c>
      <c r="AA95" s="61" t="n">
        <f aca="false">AA32+AA56</f>
        <v>2433.46555877126</v>
      </c>
      <c r="AB95" s="61" t="n">
        <f aca="false">AB32+AB56</f>
        <v>2495.36636015481</v>
      </c>
      <c r="AC95" s="61" t="n">
        <f aca="false">AC32+AC56</f>
        <v>2558.3967520073</v>
      </c>
      <c r="AD95" s="61" t="n">
        <f aca="false">AD32+AD56</f>
        <v>2624.02759744617</v>
      </c>
      <c r="AE95" s="61" t="n">
        <f aca="false">AE32+AE56</f>
        <v>2692.79506185204</v>
      </c>
      <c r="AF95" s="61" t="n">
        <f aca="false">AF32+AF56</f>
        <v>2765.09453903431</v>
      </c>
      <c r="AG95" s="61" t="n">
        <f aca="false">AG32+AG56</f>
        <v>2841.34341034121</v>
      </c>
      <c r="AH95" s="61" t="n">
        <f aca="false">AH32+AH56</f>
        <v>2921.9915366336</v>
      </c>
      <c r="AI95" s="61" t="n">
        <f aca="false">AI32+AI56</f>
        <v>3007.52528497441</v>
      </c>
      <c r="AJ95" s="61" t="n">
        <f aca="false">AJ32+AJ56</f>
        <v>3098.4704473058</v>
      </c>
      <c r="AK95" s="61" t="n">
        <f aca="false">AK32+AK56</f>
        <v>3195.39535286653</v>
      </c>
      <c r="AL95" s="61" t="n">
        <f aca="false">AL32+AL56</f>
        <v>3298.91432631761</v>
      </c>
      <c r="AM95" s="61" t="n">
        <f aca="false">SUM(C95:AL95)</f>
        <v>79726.4624339105</v>
      </c>
    </row>
    <row r="96" customFormat="false" ht="15" hidden="false" customHeight="false" outlineLevel="0" collapsed="false">
      <c r="A96" s="37" t="s">
        <v>816</v>
      </c>
      <c r="B96" s="9" t="s">
        <v>97</v>
      </c>
      <c r="C96" s="51" t="n">
        <f aca="false">IFERROR((C26-C82)/C95,0)</f>
        <v>0</v>
      </c>
      <c r="D96" s="51" t="n">
        <f aca="false">IFERROR((D26-D82)/D95,0)</f>
        <v>24</v>
      </c>
      <c r="E96" s="51" t="n">
        <f aca="false">IFERROR((E26-E82)/E95,0)</f>
        <v>17.7777777777778</v>
      </c>
      <c r="F96" s="51" t="n">
        <f aca="false">IFERROR((F26-F82)/F95,0)</f>
        <v>27.8132594181754</v>
      </c>
      <c r="G96" s="51" t="n">
        <f aca="false">IFERROR((G26-G82)/G95,0)</f>
        <v>35.2659351768888</v>
      </c>
      <c r="H96" s="51" t="n">
        <f aca="false">IFERROR((H26-H82)/H95,0)</f>
        <v>42.3852941400479</v>
      </c>
      <c r="I96" s="51" t="n">
        <f aca="false">IFERROR((I26-I82)/I95,0)</f>
        <v>48.1528694252439</v>
      </c>
      <c r="J96" s="51" t="n">
        <f aca="false">IFERROR((J26-J82)/J95,0)</f>
        <v>55.7808148293673</v>
      </c>
      <c r="K96" s="51" t="n">
        <f aca="false">IFERROR((K26-K82)/K95,0)</f>
        <v>62.2556384688134</v>
      </c>
      <c r="L96" s="51" t="n">
        <f aca="false">IFERROR((L26-L82)/L95,0)</f>
        <v>68.0733621646998</v>
      </c>
      <c r="M96" s="51" t="n">
        <f aca="false">IFERROR((M26-M82)/M95,0)</f>
        <v>73.2780374132316</v>
      </c>
      <c r="N96" s="51" t="n">
        <f aca="false">IFERROR((N26-N82)/N95,0)</f>
        <v>77.9208151026183</v>
      </c>
      <c r="O96" s="51" t="n">
        <f aca="false">IFERROR((O26-O82)/O95,0)</f>
        <v>82.0564985651179</v>
      </c>
      <c r="P96" s="51" t="n">
        <f aca="false">IFERROR((P26-P82)/P95,0)</f>
        <v>85.7412066606117</v>
      </c>
      <c r="Q96" s="51" t="n">
        <f aca="false">IFERROR((Q26-Q82)/Q95,0)</f>
        <v>89.0287957965993</v>
      </c>
      <c r="R96" s="51" t="n">
        <f aca="false">IFERROR((R26-R82)/R95,0)</f>
        <v>91.9686802531958</v>
      </c>
      <c r="S96" s="51" t="n">
        <f aca="false">IFERROR((S26-S82)/S95,0)</f>
        <v>94.6047870516268</v>
      </c>
      <c r="T96" s="51" t="n">
        <f aca="false">IFERROR((T26-T82)/T95,0)</f>
        <v>96.9752859416992</v>
      </c>
      <c r="U96" s="51" t="n">
        <f aca="false">IFERROR((U26-U82)/U95,0)</f>
        <v>99.1127950638053</v>
      </c>
      <c r="V96" s="51" t="n">
        <f aca="false">IFERROR((V26-V82)/V95,0)</f>
        <v>101.044847599928</v>
      </c>
      <c r="W96" s="51" t="n">
        <f aca="false">IFERROR((W26-W82)/W95,0)</f>
        <v>102.794476624963</v>
      </c>
      <c r="X96" s="51" t="n">
        <f aca="false">IFERROR((X26-X82)/X95,0)</f>
        <v>104.380829192149</v>
      </c>
      <c r="Y96" s="51" t="n">
        <f aca="false">IFERROR((Y26-Y82)/Y95,0)</f>
        <v>105.819758201754</v>
      </c>
      <c r="Z96" s="51" t="n">
        <f aca="false">IFERROR((Z26-Z82)/Z95,0)</f>
        <v>107.124365366685</v>
      </c>
      <c r="AA96" s="51" t="n">
        <f aca="false">IFERROR((AA26-AA82)/AA95,0)</f>
        <v>108.305484128698</v>
      </c>
      <c r="AB96" s="51" t="n">
        <f aca="false">IFERROR((AB26-AB82)/AB95,0)</f>
        <v>109.473226392359</v>
      </c>
      <c r="AC96" s="51" t="n">
        <f aca="false">IFERROR((AC26-AC82)/AC95,0)</f>
        <v>110.543992593231</v>
      </c>
      <c r="AD96" s="51" t="n">
        <f aca="false">IFERROR((AD26-AD82)/AD95,0)</f>
        <v>111.442177786647</v>
      </c>
      <c r="AE96" s="51" t="n">
        <f aca="false">IFERROR((AE26-AE82)/AE95,0)</f>
        <v>112.193007655729</v>
      </c>
      <c r="AF96" s="51" t="n">
        <f aca="false">IFERROR((AF26-AF82)/AF95,0)</f>
        <v>112.805215239682</v>
      </c>
      <c r="AG96" s="51" t="n">
        <f aca="false">IFERROR((AG26-AG82)/AG95,0)</f>
        <v>113.286491589255</v>
      </c>
      <c r="AH96" s="51" t="n">
        <f aca="false">IFERROR((AH26-AH82)/AH95,0)</f>
        <v>113.643732600174</v>
      </c>
      <c r="AI96" s="51" t="n">
        <f aca="false">IFERROR((AI26-AI82)/AI95,0)</f>
        <v>113.883283624034</v>
      </c>
      <c r="AJ96" s="51" t="n">
        <f aca="false">IFERROR((AJ26-AJ82)/AJ95,0)</f>
        <v>114.011105659448</v>
      </c>
      <c r="AK96" s="51" t="n">
        <f aca="false">IFERROR((AK26-AK82)/AK95,0)</f>
        <v>114.032912208356</v>
      </c>
      <c r="AL96" s="51" t="n">
        <f aca="false">IFERROR((AL26-AL82)/AL95,0)</f>
        <v>113.954281950461</v>
      </c>
      <c r="AM96" s="51" t="n">
        <f aca="false">AVERAGE(N96:AL96)</f>
        <v>103.445922113953</v>
      </c>
    </row>
    <row r="97" customFormat="false" ht="15" hidden="false" customHeight="false" outlineLevel="0" collapsed="false">
      <c r="A97" s="10" t="s">
        <v>817</v>
      </c>
      <c r="B97" s="9" t="s">
        <v>97</v>
      </c>
      <c r="C97" s="63" t="n">
        <f aca="false">IFERROR(C18/(C19*Assumptions!$E$49*Assumptions!$E$31*Assumptions!$E$32),0)</f>
        <v>0</v>
      </c>
      <c r="D97" s="63" t="n">
        <f aca="false">IFERROR(D18/(D19*Assumptions!$E$49*Assumptions!$E$31*Assumptions!$E$32),0)</f>
        <v>58.2010582010582</v>
      </c>
      <c r="E97" s="63" t="n">
        <f aca="false">IFERROR(E18/(E19*Assumptions!$E$49*Assumptions!$E$31*Assumptions!$E$32),0)</f>
        <v>58.2010582010582</v>
      </c>
      <c r="F97" s="63" t="n">
        <f aca="false">IFERROR(F18/(F19*Assumptions!$E$49*Assumptions!$E$31*Assumptions!$E$32),0)</f>
        <v>58.2010582010582</v>
      </c>
      <c r="G97" s="63" t="n">
        <f aca="false">IFERROR(G18/(G19*Assumptions!$E$49*Assumptions!$E$31*Assumptions!$E$32),0)</f>
        <v>58.2010582010582</v>
      </c>
      <c r="H97" s="63" t="n">
        <f aca="false">IFERROR(H18/(H19*Assumptions!$E$49*Assumptions!$E$31*Assumptions!$E$32),0)</f>
        <v>58.2010582010582</v>
      </c>
      <c r="I97" s="63" t="n">
        <f aca="false">IFERROR(I18/(I19*Assumptions!$E$49*Assumptions!$E$31*Assumptions!$E$32),0)</f>
        <v>58.2010582010582</v>
      </c>
      <c r="J97" s="63" t="n">
        <f aca="false">IFERROR(J18/(J19*Assumptions!$E$49*Assumptions!$E$31*Assumptions!$E$32),0)</f>
        <v>58.2010582010582</v>
      </c>
      <c r="K97" s="63" t="n">
        <f aca="false">IFERROR(K18/(K19*Assumptions!$E$49*Assumptions!$E$31*Assumptions!$E$32),0)</f>
        <v>58.2010582010582</v>
      </c>
      <c r="L97" s="63" t="n">
        <f aca="false">IFERROR(L18/(L19*Assumptions!$E$49*Assumptions!$E$31*Assumptions!$E$32),0)</f>
        <v>58.2010582010582</v>
      </c>
      <c r="M97" s="63" t="n">
        <f aca="false">IFERROR(M18/(M19*Assumptions!$E$49*Assumptions!$E$31*Assumptions!$E$32),0)</f>
        <v>58.2010582010582</v>
      </c>
      <c r="N97" s="63" t="n">
        <f aca="false">IFERROR(N18/(N19*Assumptions!$E$49*Assumptions!$E$31*Assumptions!$E$32),0)</f>
        <v>58.2010582010582</v>
      </c>
      <c r="O97" s="63" t="n">
        <f aca="false">IFERROR(O18/(O19*Assumptions!$E$49*Assumptions!$E$31*Assumptions!$E$32),0)</f>
        <v>58.2010582010582</v>
      </c>
      <c r="P97" s="63" t="n">
        <f aca="false">IFERROR(P18/(P19*Assumptions!$E$49*Assumptions!$E$31*Assumptions!$E$32),0)</f>
        <v>58.2010582010582</v>
      </c>
      <c r="Q97" s="63" t="n">
        <f aca="false">IFERROR(Q18/(Q19*Assumptions!$E$49*Assumptions!$E$31*Assumptions!$E$32),0)</f>
        <v>58.2010582010582</v>
      </c>
      <c r="R97" s="63" t="n">
        <f aca="false">IFERROR(R18/(R19*Assumptions!$E$49*Assumptions!$E$31*Assumptions!$E$32),0)</f>
        <v>58.2010582010582</v>
      </c>
      <c r="S97" s="63" t="n">
        <f aca="false">IFERROR(S18/(S19*Assumptions!$E$49*Assumptions!$E$31*Assumptions!$E$32),0)</f>
        <v>58.2010582010582</v>
      </c>
      <c r="T97" s="63" t="n">
        <f aca="false">IFERROR(T18/(T19*Assumptions!$E$49*Assumptions!$E$31*Assumptions!$E$32),0)</f>
        <v>58.2010582010582</v>
      </c>
      <c r="U97" s="63" t="n">
        <f aca="false">IFERROR(U18/(U19*Assumptions!$E$49*Assumptions!$E$31*Assumptions!$E$32),0)</f>
        <v>58.2010582010582</v>
      </c>
      <c r="V97" s="63" t="n">
        <f aca="false">IFERROR(V18/(V19*Assumptions!$E$49*Assumptions!$E$31*Assumptions!$E$32),0)</f>
        <v>58.2010582010582</v>
      </c>
      <c r="W97" s="63" t="n">
        <f aca="false">IFERROR(W18/(W19*Assumptions!$E$49*Assumptions!$E$31*Assumptions!$E$32),0)</f>
        <v>58.2010582010582</v>
      </c>
      <c r="X97" s="63" t="n">
        <f aca="false">IFERROR(X18/(X19*Assumptions!$E$49*Assumptions!$E$31*Assumptions!$E$32),0)</f>
        <v>58.2010582010582</v>
      </c>
      <c r="Y97" s="63" t="n">
        <f aca="false">IFERROR(Y18/(Y19*Assumptions!$E$49*Assumptions!$E$31*Assumptions!$E$32),0)</f>
        <v>58.2010582010582</v>
      </c>
      <c r="Z97" s="63" t="n">
        <f aca="false">IFERROR(Z18/(Z19*Assumptions!$E$49*Assumptions!$E$31*Assumptions!$E$32),0)</f>
        <v>58.2010582010582</v>
      </c>
      <c r="AA97" s="63" t="n">
        <f aca="false">IFERROR(AA18/(AA19*Assumptions!$E$49*Assumptions!$E$31*Assumptions!$E$32),0)</f>
        <v>58.2010582010582</v>
      </c>
      <c r="AB97" s="63" t="n">
        <f aca="false">IFERROR(AB18/(AB19*Assumptions!$E$49*Assumptions!$E$31*Assumptions!$E$32),0)</f>
        <v>58.2010582010582</v>
      </c>
      <c r="AC97" s="63" t="n">
        <f aca="false">IFERROR(AC18/(AC19*Assumptions!$E$49*Assumptions!$E$31*Assumptions!$E$32),0)</f>
        <v>58.2010582010582</v>
      </c>
      <c r="AD97" s="63" t="n">
        <f aca="false">IFERROR(AD18/(AD19*Assumptions!$E$49*Assumptions!$E$31*Assumptions!$E$32),0)</f>
        <v>58.2010582010582</v>
      </c>
      <c r="AE97" s="63" t="n">
        <f aca="false">IFERROR(AE18/(AE19*Assumptions!$E$49*Assumptions!$E$31*Assumptions!$E$32),0)</f>
        <v>58.2010582010582</v>
      </c>
      <c r="AF97" s="63" t="n">
        <f aca="false">IFERROR(AF18/(AF19*Assumptions!$E$49*Assumptions!$E$31*Assumptions!$E$32),0)</f>
        <v>58.2010582010582</v>
      </c>
      <c r="AG97" s="63" t="n">
        <f aca="false">IFERROR(AG18/(AG19*Assumptions!$E$49*Assumptions!$E$31*Assumptions!$E$32),0)</f>
        <v>58.2010582010582</v>
      </c>
      <c r="AH97" s="63" t="n">
        <f aca="false">IFERROR(AH18/(AH19*Assumptions!$E$49*Assumptions!$E$31*Assumptions!$E$32),0)</f>
        <v>58.2010582010582</v>
      </c>
      <c r="AI97" s="63" t="n">
        <f aca="false">IFERROR(AI18/(AI19*Assumptions!$E$49*Assumptions!$E$31*Assumptions!$E$32),0)</f>
        <v>58.2010582010582</v>
      </c>
      <c r="AJ97" s="63" t="n">
        <f aca="false">IFERROR(AJ18/(AJ19*Assumptions!$E$49*Assumptions!$E$31*Assumptions!$E$32),0)</f>
        <v>58.2010582010582</v>
      </c>
      <c r="AK97" s="63" t="n">
        <f aca="false">IFERROR(AK18/(AK19*Assumptions!$E$49*Assumptions!$E$31*Assumptions!$E$32),0)</f>
        <v>58.2010582010582</v>
      </c>
      <c r="AL97" s="63" t="n">
        <f aca="false">IFERROR(AL18/(AL19*Assumptions!$E$49*Assumptions!$E$31*Assumptions!$E$32),0)</f>
        <v>58.2010582010582</v>
      </c>
      <c r="AM97" s="63" t="n">
        <f aca="false">AVERAGE(N97:AL97)</f>
        <v>58.2010582010582</v>
      </c>
    </row>
    <row r="98" customFormat="false" ht="15" hidden="false" customHeight="false" outlineLevel="0" collapsed="false">
      <c r="A98" s="10" t="s">
        <v>818</v>
      </c>
      <c r="B98" s="9" t="s">
        <v>97</v>
      </c>
      <c r="C98" s="63" t="n">
        <f aca="false">IFERROR(C22/(C23*Assumptions!$E$49*Assumptions!$E$38*Assumptions!$E$39),0)</f>
        <v>0</v>
      </c>
      <c r="D98" s="63" t="n">
        <f aca="false">IFERROR(D22/(D23*Assumptions!$E$49*Assumptions!$E$38*Assumptions!$E$39),0)</f>
        <v>161.111111111111</v>
      </c>
      <c r="E98" s="63" t="n">
        <f aca="false">IFERROR(E22/(E23*Assumptions!$E$49*Assumptions!$E$38*Assumptions!$E$39),0)</f>
        <v>161.111111111111</v>
      </c>
      <c r="F98" s="63" t="n">
        <f aca="false">IFERROR(F22/(F23*Assumptions!$E$49*Assumptions!$E$38*Assumptions!$E$39),0)</f>
        <v>161.111111111111</v>
      </c>
      <c r="G98" s="63" t="n">
        <f aca="false">IFERROR(G22/(G23*Assumptions!$E$49*Assumptions!$E$38*Assumptions!$E$39),0)</f>
        <v>161.111111111111</v>
      </c>
      <c r="H98" s="63" t="n">
        <f aca="false">IFERROR(H22/(H23*Assumptions!$E$49*Assumptions!$E$38*Assumptions!$E$39),0)</f>
        <v>161.111111111111</v>
      </c>
      <c r="I98" s="63" t="n">
        <f aca="false">IFERROR(I22/(I23*Assumptions!$E$49*Assumptions!$E$38*Assumptions!$E$39),0)</f>
        <v>161.111111111111</v>
      </c>
      <c r="J98" s="63" t="n">
        <f aca="false">IFERROR(J22/(J23*Assumptions!$E$49*Assumptions!$E$38*Assumptions!$E$39),0)</f>
        <v>161.111111111111</v>
      </c>
      <c r="K98" s="63" t="n">
        <f aca="false">IFERROR(K22/(K23*Assumptions!$E$49*Assumptions!$E$38*Assumptions!$E$39),0)</f>
        <v>161.111111111111</v>
      </c>
      <c r="L98" s="63" t="n">
        <f aca="false">IFERROR(L22/(L23*Assumptions!$E$49*Assumptions!$E$38*Assumptions!$E$39),0)</f>
        <v>161.111111111111</v>
      </c>
      <c r="M98" s="63" t="n">
        <f aca="false">IFERROR(M22/(M23*Assumptions!$E$49*Assumptions!$E$38*Assumptions!$E$39),0)</f>
        <v>161.111111111111</v>
      </c>
      <c r="N98" s="63" t="n">
        <f aca="false">IFERROR(N22/(N23*Assumptions!$E$49*Assumptions!$E$38*Assumptions!$E$39),0)</f>
        <v>161.111111111111</v>
      </c>
      <c r="O98" s="63" t="n">
        <f aca="false">IFERROR(O22/(O23*Assumptions!$E$49*Assumptions!$E$38*Assumptions!$E$39),0)</f>
        <v>161.111111111111</v>
      </c>
      <c r="P98" s="63" t="n">
        <f aca="false">IFERROR(P22/(P23*Assumptions!$E$49*Assumptions!$E$38*Assumptions!$E$39),0)</f>
        <v>161.111111111111</v>
      </c>
      <c r="Q98" s="63" t="n">
        <f aca="false">IFERROR(Q22/(Q23*Assumptions!$E$49*Assumptions!$E$38*Assumptions!$E$39),0)</f>
        <v>161.111111111111</v>
      </c>
      <c r="R98" s="63" t="n">
        <f aca="false">IFERROR(R22/(R23*Assumptions!$E$49*Assumptions!$E$38*Assumptions!$E$39),0)</f>
        <v>161.111111111111</v>
      </c>
      <c r="S98" s="63" t="n">
        <f aca="false">IFERROR(S22/(S23*Assumptions!$E$49*Assumptions!$E$38*Assumptions!$E$39),0)</f>
        <v>161.111111111111</v>
      </c>
      <c r="T98" s="63" t="n">
        <f aca="false">IFERROR(T22/(T23*Assumptions!$E$49*Assumptions!$E$38*Assumptions!$E$39),0)</f>
        <v>161.111111111111</v>
      </c>
      <c r="U98" s="63" t="n">
        <f aca="false">IFERROR(U22/(U23*Assumptions!$E$49*Assumptions!$E$38*Assumptions!$E$39),0)</f>
        <v>161.111111111111</v>
      </c>
      <c r="V98" s="63" t="n">
        <f aca="false">IFERROR(V22/(V23*Assumptions!$E$49*Assumptions!$E$38*Assumptions!$E$39),0)</f>
        <v>161.111111111111</v>
      </c>
      <c r="W98" s="63" t="n">
        <f aca="false">IFERROR(W22/(W23*Assumptions!$E$49*Assumptions!$E$38*Assumptions!$E$39),0)</f>
        <v>161.111111111111</v>
      </c>
      <c r="X98" s="63" t="n">
        <f aca="false">IFERROR(X22/(X23*Assumptions!$E$49*Assumptions!$E$38*Assumptions!$E$39),0)</f>
        <v>161.111111111111</v>
      </c>
      <c r="Y98" s="63" t="n">
        <f aca="false">IFERROR(Y22/(Y23*Assumptions!$E$49*Assumptions!$E$38*Assumptions!$E$39),0)</f>
        <v>161.111111111111</v>
      </c>
      <c r="Z98" s="63" t="n">
        <f aca="false">IFERROR(Z22/(Z23*Assumptions!$E$49*Assumptions!$E$38*Assumptions!$E$39),0)</f>
        <v>161.111111111111</v>
      </c>
      <c r="AA98" s="63" t="n">
        <f aca="false">IFERROR(AA22/(AA23*Assumptions!$E$49*Assumptions!$E$38*Assumptions!$E$39),0)</f>
        <v>161.111111111111</v>
      </c>
      <c r="AB98" s="63" t="n">
        <f aca="false">IFERROR(AB22/(AB23*Assumptions!$E$49*Assumptions!$E$38*Assumptions!$E$39),0)</f>
        <v>161.111111111111</v>
      </c>
      <c r="AC98" s="63" t="n">
        <f aca="false">IFERROR(AC22/(AC23*Assumptions!$E$49*Assumptions!$E$38*Assumptions!$E$39),0)</f>
        <v>161.111111111111</v>
      </c>
      <c r="AD98" s="63" t="n">
        <f aca="false">IFERROR(AD22/(AD23*Assumptions!$E$49*Assumptions!$E$38*Assumptions!$E$39),0)</f>
        <v>161.111111111111</v>
      </c>
      <c r="AE98" s="63" t="n">
        <f aca="false">IFERROR(AE22/(AE23*Assumptions!$E$49*Assumptions!$E$38*Assumptions!$E$39),0)</f>
        <v>161.111111111111</v>
      </c>
      <c r="AF98" s="63" t="n">
        <f aca="false">IFERROR(AF22/(AF23*Assumptions!$E$49*Assumptions!$E$38*Assumptions!$E$39),0)</f>
        <v>161.111111111111</v>
      </c>
      <c r="AG98" s="63" t="n">
        <f aca="false">IFERROR(AG22/(AG23*Assumptions!$E$49*Assumptions!$E$38*Assumptions!$E$39),0)</f>
        <v>161.111111111111</v>
      </c>
      <c r="AH98" s="63" t="n">
        <f aca="false">IFERROR(AH22/(AH23*Assumptions!$E$49*Assumptions!$E$38*Assumptions!$E$39),0)</f>
        <v>161.111111111111</v>
      </c>
      <c r="AI98" s="63" t="n">
        <f aca="false">IFERROR(AI22/(AI23*Assumptions!$E$49*Assumptions!$E$38*Assumptions!$E$39),0)</f>
        <v>161.111111111111</v>
      </c>
      <c r="AJ98" s="63" t="n">
        <f aca="false">IFERROR(AJ22/(AJ23*Assumptions!$E$49*Assumptions!$E$38*Assumptions!$E$39),0)</f>
        <v>161.111111111111</v>
      </c>
      <c r="AK98" s="63" t="n">
        <f aca="false">IFERROR(AK22/(AK23*Assumptions!$E$49*Assumptions!$E$38*Assumptions!$E$39),0)</f>
        <v>161.111111111111</v>
      </c>
      <c r="AL98" s="63" t="n">
        <f aca="false">IFERROR(AL22/(AL23*Assumptions!$E$49*Assumptions!$E$38*Assumptions!$E$39),0)</f>
        <v>161.111111111111</v>
      </c>
      <c r="AM98" s="63" t="n">
        <f aca="false">AVERAGE(N98:AL98)</f>
        <v>161.111111111111</v>
      </c>
    </row>
    <row r="99" customFormat="false" ht="15" hidden="false" customHeight="false" outlineLevel="0" collapsed="false">
      <c r="A99" s="10" t="s">
        <v>819</v>
      </c>
      <c r="B99" s="9" t="s">
        <v>97</v>
      </c>
      <c r="C99" s="63" t="n">
        <f aca="false">IFERROR(C24/(C25*Assumptions!$E$49*Assumptions!$E$43),0)</f>
        <v>88.8829500645938</v>
      </c>
      <c r="D99" s="63" t="n">
        <f aca="false">IFERROR(D24/(D25*Assumptions!$E$49*Assumptions!$E$43),0)</f>
        <v>0</v>
      </c>
      <c r="E99" s="63" t="n">
        <f aca="false">IFERROR(E24/(E25*Assumptions!$E$49*Assumptions!$E$43),0)</f>
        <v>0</v>
      </c>
      <c r="F99" s="63" t="n">
        <f aca="false">IFERROR(F24/(F25*Assumptions!$E$49*Assumptions!$E$43),0)</f>
        <v>0</v>
      </c>
      <c r="G99" s="63" t="n">
        <f aca="false">IFERROR(G24/(G25*Assumptions!$E$49*Assumptions!$E$43),0)</f>
        <v>81.0227575658277</v>
      </c>
      <c r="H99" s="63" t="n">
        <f aca="false">IFERROR(H24/(H25*Assumptions!$E$49*Assumptions!$E$43),0)</f>
        <v>111.129515028964</v>
      </c>
      <c r="I99" s="63" t="n">
        <f aca="false">IFERROR(I24/(I25*Assumptions!$E$49*Assumptions!$E$43),0)</f>
        <v>126.53662185376</v>
      </c>
      <c r="J99" s="63" t="n">
        <f aca="false">IFERROR(J24/(J25*Assumptions!$E$49*Assumptions!$E$43),0)</f>
        <v>139.868432735143</v>
      </c>
      <c r="K99" s="63" t="n">
        <f aca="false">IFERROR(K24/(K25*Assumptions!$E$49*Assumptions!$E$43),0)</f>
        <v>148.588192353742</v>
      </c>
      <c r="L99" s="63" t="n">
        <f aca="false">IFERROR(L24/(L25*Assumptions!$E$49*Assumptions!$E$43),0)</f>
        <v>155.481445694948</v>
      </c>
      <c r="M99" s="63" t="n">
        <f aca="false">IFERROR(M24/(M25*Assumptions!$E$49*Assumptions!$E$43),0)</f>
        <v>161.160489094355</v>
      </c>
      <c r="N99" s="63" t="n">
        <f aca="false">IFERROR(N24/(N25*Assumptions!$E$49*Assumptions!$E$43),0)</f>
        <v>165.99312388512</v>
      </c>
      <c r="O99" s="63" t="n">
        <f aca="false">IFERROR(O24/(O25*Assumptions!$E$49*Assumptions!$E$43),0)</f>
        <v>170.209167097398</v>
      </c>
      <c r="P99" s="63" t="n">
        <f aca="false">IFERROR(P24/(P25*Assumptions!$E$49*Assumptions!$E$43),0)</f>
        <v>173.962482521603</v>
      </c>
      <c r="Q99" s="63" t="n">
        <f aca="false">IFERROR(Q24/(Q25*Assumptions!$E$49*Assumptions!$E$43),0)</f>
        <v>177.360760416582</v>
      </c>
      <c r="R99" s="63" t="n">
        <f aca="false">IFERROR(R24/(R25*Assumptions!$E$49*Assumptions!$E$43),0)</f>
        <v>180.482017371241</v>
      </c>
      <c r="S99" s="63" t="n">
        <f aca="false">IFERROR(S24/(S25*Assumptions!$E$49*Assumptions!$E$43),0)</f>
        <v>183.384366655855</v>
      </c>
      <c r="T99" s="63" t="n">
        <f aca="false">IFERROR(T24/(T25*Assumptions!$E$49*Assumptions!$E$43),0)</f>
        <v>186.112128669311</v>
      </c>
      <c r="U99" s="63" t="n">
        <f aca="false">IFERROR(U24/(U25*Assumptions!$E$49*Assumptions!$E$43),0)</f>
        <v>188.69982032974</v>
      </c>
      <c r="V99" s="63" t="n">
        <f aca="false">IFERROR(V24/(V25*Assumptions!$E$49*Assumptions!$E$43),0)</f>
        <v>191.174851262309</v>
      </c>
      <c r="W99" s="63" t="n">
        <f aca="false">IFERROR(W24/(W25*Assumptions!$E$49*Assumptions!$E$43),0)</f>
        <v>193.559397929738</v>
      </c>
      <c r="X99" s="63" t="n">
        <f aca="false">IFERROR(X24/(X25*Assumptions!$E$49*Assumptions!$E$43),0)</f>
        <v>195.871736808911</v>
      </c>
      <c r="Y99" s="63" t="n">
        <f aca="false">IFERROR(Y24/(Y25*Assumptions!$E$49*Assumptions!$E$43),0)</f>
        <v>198.127211155184</v>
      </c>
      <c r="Z99" s="63" t="n">
        <f aca="false">IFERROR(Z24/(Z25*Assumptions!$E$49*Assumptions!$E$43),0)</f>
        <v>200.338943468895</v>
      </c>
      <c r="AA99" s="63" t="n">
        <f aca="false">IFERROR(AA24/(AA25*Assumptions!$E$49*Assumptions!$E$43),0)</f>
        <v>202.518367792432</v>
      </c>
      <c r="AB99" s="63" t="n">
        <f aca="false">IFERROR(AB24/(AB25*Assumptions!$E$49*Assumptions!$E$43),0)</f>
        <v>204.675632073823</v>
      </c>
      <c r="AC99" s="63" t="n">
        <f aca="false">IFERROR(AC24/(AC25*Assumptions!$E$49*Assumptions!$E$43),0)</f>
        <v>206.760598500175</v>
      </c>
      <c r="AD99" s="63" t="n">
        <f aca="false">IFERROR(AD24/(AD25*Assumptions!$E$49*Assumptions!$E$43),0)</f>
        <v>208.768933059215</v>
      </c>
      <c r="AE99" s="63" t="n">
        <f aca="false">IFERROR(AE24/(AE25*Assumptions!$E$49*Assumptions!$E$43),0)</f>
        <v>210.728654521054</v>
      </c>
      <c r="AF99" s="63" t="n">
        <f aca="false">IFERROR(AF24/(AF25*Assumptions!$E$49*Assumptions!$E$43),0)</f>
        <v>212.650914438558</v>
      </c>
      <c r="AG99" s="63" t="n">
        <f aca="false">IFERROR(AG24/(AG25*Assumptions!$E$49*Assumptions!$E$43),0)</f>
        <v>214.546102589728</v>
      </c>
      <c r="AH99" s="63" t="n">
        <f aca="false">IFERROR(AH24/(AH25*Assumptions!$E$49*Assumptions!$E$43),0)</f>
        <v>216.423842761945</v>
      </c>
      <c r="AI99" s="63" t="n">
        <f aca="false">IFERROR(AI24/(AI25*Assumptions!$E$49*Assumptions!$E$43),0)</f>
        <v>218.293167034553</v>
      </c>
      <c r="AJ99" s="63" t="n">
        <f aca="false">IFERROR(AJ24/(AJ25*Assumptions!$E$49*Assumptions!$E$43),0)</f>
        <v>220.162633201845</v>
      </c>
      <c r="AK99" s="63" t="n">
        <f aca="false">IFERROR(AK24/(AK25*Assumptions!$E$49*Assumptions!$E$43),0)</f>
        <v>222.040418853553</v>
      </c>
      <c r="AL99" s="63" t="n">
        <f aca="false">IFERROR(AL24/(AL25*Assumptions!$E$49*Assumptions!$E$43),0)</f>
        <v>223.93439625949</v>
      </c>
      <c r="AM99" s="63" t="n">
        <f aca="false">AVERAGE(N99:AL99)</f>
        <v>198.67118674633</v>
      </c>
    </row>
    <row r="100" customFormat="false" ht="15" hidden="false" customHeight="false" outlineLevel="0" collapsed="false">
      <c r="A100" s="37" t="s">
        <v>820</v>
      </c>
      <c r="B100" s="9" t="s">
        <v>97</v>
      </c>
      <c r="C100" s="51" t="n">
        <f aca="false">IFERROR(C26/((C19*Assumptions!$E$31*Assumptions!$E$32+C23*Assumptions!$E$38*Assumptions!$E$39+C25*Assumptions!$E$43)*Assumptions!$E$49),0)</f>
        <v>88.8829500645938</v>
      </c>
      <c r="D100" s="51" t="n">
        <f aca="false">IFERROR(D26/((D19*Assumptions!$E$31*Assumptions!$E$32+D23*Assumptions!$E$38*Assumptions!$E$39+D25*Assumptions!$E$43)*Assumptions!$E$49),0)</f>
        <v>61.9290080961943</v>
      </c>
      <c r="E100" s="51" t="n">
        <f aca="false">IFERROR(E26/((E19*Assumptions!$E$31*Assumptions!$E$32+E23*Assumptions!$E$38*Assumptions!$E$39+E25*Assumptions!$E$43)*Assumptions!$E$49),0)</f>
        <v>99.7151949563063</v>
      </c>
      <c r="F100" s="51" t="n">
        <f aca="false">IFERROR(F26/((F19*Assumptions!$E$31*Assumptions!$E$32+F23*Assumptions!$E$38*Assumptions!$E$39+F25*Assumptions!$E$43)*Assumptions!$E$49),0)</f>
        <v>120.462739271821</v>
      </c>
      <c r="G100" s="51" t="n">
        <f aca="false">IFERROR(G26/((G19*Assumptions!$E$31*Assumptions!$E$32+G23*Assumptions!$E$38*Assumptions!$E$39+G25*Assumptions!$E$43)*Assumptions!$E$49),0)</f>
        <v>120.930101584874</v>
      </c>
      <c r="H100" s="51" t="n">
        <f aca="false">IFERROR(H26/((H19*Assumptions!$E$31*Assumptions!$E$32+H23*Assumptions!$E$38*Assumptions!$E$39+H25*Assumptions!$E$43)*Assumptions!$E$49),0)</f>
        <v>123.36345169328</v>
      </c>
      <c r="I100" s="51" t="n">
        <f aca="false">IFERROR(I26/((I19*Assumptions!$E$31*Assumptions!$E$32+I23*Assumptions!$E$38*Assumptions!$E$39+I25*Assumptions!$E$43)*Assumptions!$E$49),0)</f>
        <v>128.143976531869</v>
      </c>
      <c r="J100" s="51" t="n">
        <f aca="false">IFERROR(J26/((J19*Assumptions!$E$31*Assumptions!$E$32+J23*Assumptions!$E$38*Assumptions!$E$39+J25*Assumptions!$E$43)*Assumptions!$E$49),0)</f>
        <v>134.481656889447</v>
      </c>
      <c r="K100" s="51" t="n">
        <f aca="false">IFERROR(K26/((K19*Assumptions!$E$31*Assumptions!$E$32+K23*Assumptions!$E$38*Assumptions!$E$39+K25*Assumptions!$E$43)*Assumptions!$E$49),0)</f>
        <v>139.845939493212</v>
      </c>
      <c r="L100" s="51" t="n">
        <f aca="false">IFERROR(L26/((L19*Assumptions!$E$31*Assumptions!$E$32+L23*Assumptions!$E$38*Assumptions!$E$39+L25*Assumptions!$E$43)*Assumptions!$E$49),0)</f>
        <v>144.646170586241</v>
      </c>
      <c r="M100" s="51" t="n">
        <f aca="false">IFERROR(M26/((M19*Assumptions!$E$31*Assumptions!$E$32+M23*Assumptions!$E$38*Assumptions!$E$39+M25*Assumptions!$E$43)*Assumptions!$E$49),0)</f>
        <v>148.928023859503</v>
      </c>
      <c r="N100" s="51" t="n">
        <f aca="false">IFERROR(N26/((N19*Assumptions!$E$31*Assumptions!$E$32+N23*Assumptions!$E$38*Assumptions!$E$39+N25*Assumptions!$E$43)*Assumptions!$E$49),0)</f>
        <v>152.762813627334</v>
      </c>
      <c r="O100" s="51" t="n">
        <f aca="false">IFERROR(O26/((O19*Assumptions!$E$31*Assumptions!$E$32+O23*Assumptions!$E$38*Assumptions!$E$39+O25*Assumptions!$E$43)*Assumptions!$E$49),0)</f>
        <v>156.21982209545</v>
      </c>
      <c r="P100" s="51" t="n">
        <f aca="false">IFERROR(P26/((P19*Assumptions!$E$31*Assumptions!$E$32+P23*Assumptions!$E$38*Assumptions!$E$39+P25*Assumptions!$E$43)*Assumptions!$E$49),0)</f>
        <v>159.361123735236</v>
      </c>
      <c r="Q100" s="51" t="n">
        <f aca="false">IFERROR(Q26/((Q19*Assumptions!$E$31*Assumptions!$E$32+Q23*Assumptions!$E$38*Assumptions!$E$39+Q25*Assumptions!$E$43)*Assumptions!$E$49),0)</f>
        <v>162.239860365405</v>
      </c>
      <c r="R100" s="51" t="n">
        <f aca="false">IFERROR(R26/((R19*Assumptions!$E$31*Assumptions!$E$32+R23*Assumptions!$E$38*Assumptions!$E$39+R25*Assumptions!$E$43)*Assumptions!$E$49),0)</f>
        <v>164.900587512425</v>
      </c>
      <c r="S100" s="51" t="n">
        <f aca="false">IFERROR(S26/((S19*Assumptions!$E$31*Assumptions!$E$32+S23*Assumptions!$E$38*Assumptions!$E$39+S25*Assumptions!$E$43)*Assumptions!$E$49),0)</f>
        <v>167.380305056805</v>
      </c>
      <c r="T100" s="51" t="n">
        <f aca="false">IFERROR(T26/((T19*Assumptions!$E$31*Assumptions!$E$32+T23*Assumptions!$E$38*Assumptions!$E$39+T25*Assumptions!$E$43)*Assumptions!$E$49),0)</f>
        <v>169.709632609453</v>
      </c>
      <c r="U100" s="51" t="n">
        <f aca="false">IFERROR(U26/((U19*Assumptions!$E$31*Assumptions!$E$32+U23*Assumptions!$E$38*Assumptions!$E$39+U25*Assumptions!$E$43)*Assumptions!$E$49),0)</f>
        <v>171.913918652269</v>
      </c>
      <c r="V100" s="51" t="n">
        <f aca="false">IFERROR(V26/((V19*Assumptions!$E$31*Assumptions!$E$32+V23*Assumptions!$E$38*Assumptions!$E$39+V25*Assumptions!$E$43)*Assumptions!$E$49),0)</f>
        <v>174.014211659566</v>
      </c>
      <c r="W100" s="51" t="n">
        <f aca="false">IFERROR(W26/((W19*Assumptions!$E$31*Assumptions!$E$32+W23*Assumptions!$E$38*Assumptions!$E$39+W25*Assumptions!$E$43)*Assumptions!$E$49),0)</f>
        <v>176.028079576958</v>
      </c>
      <c r="X100" s="51" t="n">
        <f aca="false">IFERROR(X26/((X19*Assumptions!$E$31*Assumptions!$E$32+X23*Assumptions!$E$38*Assumptions!$E$39+X25*Assumptions!$E$43)*Assumptions!$E$49),0)</f>
        <v>177.970287454898</v>
      </c>
      <c r="Y100" s="51" t="n">
        <f aca="false">IFERROR(Y26/((Y19*Assumptions!$E$31*Assumptions!$E$32+Y23*Assumptions!$E$38*Assumptions!$E$39+Y25*Assumptions!$E$43)*Assumptions!$E$49),0)</f>
        <v>179.853351194105</v>
      </c>
      <c r="Z100" s="51" t="n">
        <f aca="false">IFERROR(Z26/((Z19*Assumptions!$E$31*Assumptions!$E$32+Z23*Assumptions!$E$38*Assumptions!$E$39+Z25*Assumptions!$E$43)*Assumptions!$E$49),0)</f>
        <v>181.687986839744</v>
      </c>
      <c r="AA100" s="51" t="n">
        <f aca="false">IFERROR(AA26/((AA19*Assumptions!$E$31*Assumptions!$E$32+AA23*Assumptions!$E$38*Assumptions!$E$39+AA25*Assumptions!$E$43)*Assumptions!$E$49),0)</f>
        <v>183.483473551444</v>
      </c>
      <c r="AB100" s="51" t="n">
        <f aca="false">IFERROR(AB26/((AB19*Assumptions!$E$31*Assumptions!$E$32+AB23*Assumptions!$E$38*Assumptions!$E$39+AB25*Assumptions!$E$43)*Assumptions!$E$49),0)</f>
        <v>185.247946064571</v>
      </c>
      <c r="AC100" s="51" t="n">
        <f aca="false">IFERROR(AC26/((AC19*Assumptions!$E$31*Assumptions!$E$32+AC23*Assumptions!$E$38*Assumptions!$E$39+AC25*Assumptions!$E$43)*Assumptions!$E$49),0)</f>
        <v>186.933804184491</v>
      </c>
      <c r="AD100" s="51" t="n">
        <f aca="false">IFERROR(AD26/((AD19*Assumptions!$E$31*Assumptions!$E$32+AD23*Assumptions!$E$38*Assumptions!$E$39+AD25*Assumptions!$E$43)*Assumptions!$E$49),0)</f>
        <v>188.53616486832</v>
      </c>
      <c r="AE100" s="51" t="n">
        <f aca="false">IFERROR(AE26/((AE19*Assumptions!$E$31*Assumptions!$E$32+AE23*Assumptions!$E$38*Assumptions!$E$39+AE25*Assumptions!$E$43)*Assumptions!$E$49),0)</f>
        <v>190.079543941315</v>
      </c>
      <c r="AF100" s="51" t="n">
        <f aca="false">IFERROR(AF26/((AF19*Assumptions!$E$31*Assumptions!$E$32+AF23*Assumptions!$E$38*Assumptions!$E$39+AF25*Assumptions!$E$43)*Assumptions!$E$49),0)</f>
        <v>191.572157273216</v>
      </c>
      <c r="AG100" s="51" t="n">
        <f aca="false">IFERROR(AG26/((AG19*Assumptions!$E$31*Assumptions!$E$32+AG23*Assumptions!$E$38*Assumptions!$E$39+AG25*Assumptions!$E$43)*Assumptions!$E$49),0)</f>
        <v>193.02173617266</v>
      </c>
      <c r="AH100" s="51" t="n">
        <f aca="false">IFERROR(AH26/((AH19*Assumptions!$E$31*Assumptions!$E$32+AH23*Assumptions!$E$38*Assumptions!$E$39+AH25*Assumptions!$E$43)*Assumptions!$E$49),0)</f>
        <v>194.435312230529</v>
      </c>
      <c r="AI100" s="51" t="n">
        <f aca="false">IFERROR(AI26/((AI19*Assumptions!$E$31*Assumptions!$E$32+AI23*Assumptions!$E$38*Assumptions!$E$39+AI25*Assumptions!$E$43)*Assumptions!$E$49),0)</f>
        <v>195.819338006343</v>
      </c>
      <c r="AJ100" s="51" t="n">
        <f aca="false">IFERROR(AJ26/((AJ19*Assumptions!$E$31*Assumptions!$E$32+AJ23*Assumptions!$E$38*Assumptions!$E$39+AJ25*Assumptions!$E$43)*Assumptions!$E$49),0)</f>
        <v>197.179778616714</v>
      </c>
      <c r="AK100" s="51" t="n">
        <f aca="false">IFERROR(AK26/((AK19*Assumptions!$E$31*Assumptions!$E$32+AK23*Assumptions!$E$38*Assumptions!$E$39+AK25*Assumptions!$E$43)*Assumptions!$E$49),0)</f>
        <v>198.522188732265</v>
      </c>
      <c r="AL100" s="51" t="n">
        <f aca="false">IFERROR(AL26/((AL19*Assumptions!$E$31*Assumptions!$E$32+AL23*Assumptions!$E$38*Assumptions!$E$39+AL25*Assumptions!$E$43)*Assumptions!$E$49),0)</f>
        <v>199.851775010233</v>
      </c>
      <c r="AM100" s="51" t="n">
        <f aca="false">AVERAGE(N100:AL100)</f>
        <v>179.94900796127</v>
      </c>
    </row>
    <row r="101" customFormat="false" ht="15" hidden="false" customHeight="false" outlineLevel="0" collapsed="false">
      <c r="A101" s="37" t="s">
        <v>821</v>
      </c>
      <c r="B101" s="9" t="s">
        <v>370</v>
      </c>
      <c r="C101" s="72" t="n">
        <f aca="false">IFERROR(C100/C104,0)</f>
        <v>1.94552428398182</v>
      </c>
      <c r="D101" s="72" t="n">
        <f aca="false">IFERROR(D100/D104,0)</f>
        <v>1.35553994378555</v>
      </c>
      <c r="E101" s="72" t="n">
        <f aca="false">IFERROR(E100/E104,0)</f>
        <v>2.18262707446694</v>
      </c>
      <c r="F101" s="72" t="n">
        <f aca="false">IFERROR(F100/F104,0)</f>
        <v>2.63676199313795</v>
      </c>
      <c r="G101" s="72" t="n">
        <f aca="false">IFERROR(G100/G104,0)</f>
        <v>2.64699190482293</v>
      </c>
      <c r="H101" s="72" t="n">
        <f aca="false">IFERROR(H100/H104,0)</f>
        <v>2.70025455782774</v>
      </c>
      <c r="I101" s="72" t="n">
        <f aca="false">IFERROR(I100/I104,0)</f>
        <v>2.80489360453911</v>
      </c>
      <c r="J101" s="72" t="n">
        <f aca="false">IFERROR(J100/J104,0)</f>
        <v>2.94361662206746</v>
      </c>
      <c r="K101" s="72" t="n">
        <f aca="false">IFERROR(K100/K104,0)</f>
        <v>3.06103331519231</v>
      </c>
      <c r="L101" s="72" t="n">
        <f aca="false">IFERROR(L100/L104,0)</f>
        <v>3.16610370443375</v>
      </c>
      <c r="M101" s="72" t="n">
        <f aca="false">IFERROR(M100/M104,0)</f>
        <v>3.25982752342854</v>
      </c>
      <c r="N101" s="72" t="n">
        <f aca="false">IFERROR(N100/N104,0)</f>
        <v>3.34376574343426</v>
      </c>
      <c r="O101" s="72" t="n">
        <f aca="false">IFERROR(O100/O104,0)</f>
        <v>3.41943485567416</v>
      </c>
      <c r="P101" s="72" t="n">
        <f aca="false">IFERROR(P100/P104,0)</f>
        <v>3.48819358408129</v>
      </c>
      <c r="Q101" s="72" t="n">
        <f aca="false">IFERROR(Q100/Q104,0)</f>
        <v>3.55120512923266</v>
      </c>
      <c r="R101" s="72" t="n">
        <f aca="false">IFERROR(R100/R104,0)</f>
        <v>3.60944474969772</v>
      </c>
      <c r="S101" s="72" t="n">
        <f aca="false">IFERROR(S100/S104,0)</f>
        <v>3.66372232145363</v>
      </c>
      <c r="T101" s="72" t="n">
        <f aca="false">IFERROR(T100/T104,0)</f>
        <v>3.71470806524059</v>
      </c>
      <c r="U101" s="72" t="n">
        <f aca="false">IFERROR(U100/U104,0)</f>
        <v>3.76295682410858</v>
      </c>
      <c r="V101" s="72" t="n">
        <f aca="false">IFERROR(V100/V104,0)</f>
        <v>3.80892931991574</v>
      </c>
      <c r="W101" s="72" t="n">
        <f aca="false">IFERROR(W100/W104,0)</f>
        <v>3.85301009058291</v>
      </c>
      <c r="X101" s="72" t="n">
        <f aca="false">IFERROR(X100/X104,0)</f>
        <v>3.89552232255009</v>
      </c>
      <c r="Y101" s="72" t="n">
        <f aca="false">IFERROR(Y100/Y104,0)</f>
        <v>3.93673997149456</v>
      </c>
      <c r="Z101" s="72" t="n">
        <f aca="false">IFERROR(Z100/Z104,0)</f>
        <v>3.97689759675628</v>
      </c>
      <c r="AA101" s="72" t="n">
        <f aca="false">IFERROR(AA100/AA104,0)</f>
        <v>4.01619830624715</v>
      </c>
      <c r="AB101" s="72" t="n">
        <f aca="false">IFERROR(AB100/AB104,0)</f>
        <v>4.054820158022</v>
      </c>
      <c r="AC101" s="72" t="n">
        <f aca="false">IFERROR(AC100/AC104,0)</f>
        <v>4.09172124995549</v>
      </c>
      <c r="AD101" s="72" t="n">
        <f aca="false">IFERROR(AD100/AD104,0)</f>
        <v>4.12679469902328</v>
      </c>
      <c r="AE101" s="72" t="n">
        <f aca="false">IFERROR(AE100/AE104,0)</f>
        <v>4.16057712257829</v>
      </c>
      <c r="AF101" s="72" t="n">
        <f aca="false">IFERROR(AF100/AF104,0)</f>
        <v>4.19324835459409</v>
      </c>
      <c r="AG101" s="72" t="n">
        <f aca="false">IFERROR(AG100/AG104,0)</f>
        <v>4.22497762267494</v>
      </c>
      <c r="AH101" s="72" t="n">
        <f aca="false">IFERROR(AH100/AH104,0)</f>
        <v>4.25591883857563</v>
      </c>
      <c r="AI101" s="72" t="n">
        <f aca="false">IFERROR(AI100/AI104,0)</f>
        <v>4.28621323985895</v>
      </c>
      <c r="AJ101" s="72" t="n">
        <f aca="false">IFERROR(AJ100/AJ104,0)</f>
        <v>4.31599139463969</v>
      </c>
      <c r="AK101" s="72" t="n">
        <f aca="false">IFERROR(AK100/AK104,0)</f>
        <v>4.34537488694017</v>
      </c>
      <c r="AL101" s="72" t="n">
        <f aca="false">IFERROR(AL100/AL104,0)</f>
        <v>4.37447768325326</v>
      </c>
      <c r="AM101" s="72" t="n">
        <f aca="false">AVERAGE(N101:AL101)</f>
        <v>3.93883376522342</v>
      </c>
    </row>
    <row r="102" customFormat="false" ht="15" hidden="false" customHeight="false" outlineLevel="0" collapsed="false">
      <c r="A102" s="10" t="s">
        <v>822</v>
      </c>
      <c r="B102" s="9" t="s">
        <v>97</v>
      </c>
      <c r="C102" s="63" t="n">
        <f aca="false">Assumptions!$E$70*(1-Assumptions!$E$80)*(1-Assumptions!$E$79)-Assumptions!$E$73-Assumptions!$E$75-Assumptions!$E$76-Assumptions!$E$77</f>
        <v>116.02563</v>
      </c>
      <c r="D102" s="63" t="n">
        <f aca="false">Assumptions!$E$70*(1-Assumptions!$E$80)*(1-Assumptions!$E$79)-Assumptions!$E$73-Assumptions!$E$75-Assumptions!$E$76-Assumptions!$E$77</f>
        <v>116.02563</v>
      </c>
      <c r="E102" s="63" t="n">
        <f aca="false">Assumptions!$E$70*(1-Assumptions!$E$80)*(1-Assumptions!$E$79)-Assumptions!$E$73-Assumptions!$E$75-Assumptions!$E$76-Assumptions!$E$77</f>
        <v>116.02563</v>
      </c>
      <c r="F102" s="63" t="n">
        <f aca="false">Assumptions!$E$70*(1-Assumptions!$E$80)*(1-Assumptions!$E$79)-Assumptions!$E$73-Assumptions!$E$75-Assumptions!$E$76-Assumptions!$E$77</f>
        <v>116.02563</v>
      </c>
      <c r="G102" s="63" t="n">
        <f aca="false">Assumptions!$E$70*(1-Assumptions!$E$80)*(1-Assumptions!$E$79)-Assumptions!$E$73-Assumptions!$E$75-Assumptions!$E$76-Assumptions!$E$77</f>
        <v>116.02563</v>
      </c>
      <c r="H102" s="63" t="n">
        <f aca="false">Assumptions!$E$70*(1-Assumptions!$E$80)*(1-Assumptions!$E$79)-Assumptions!$E$73-Assumptions!$E$75-Assumptions!$E$76-Assumptions!$E$77</f>
        <v>116.02563</v>
      </c>
      <c r="I102" s="63" t="n">
        <f aca="false">Assumptions!$E$70*(1-Assumptions!$E$80)*(1-Assumptions!$E$79)-Assumptions!$E$73-Assumptions!$E$75-Assumptions!$E$76-Assumptions!$E$77</f>
        <v>116.02563</v>
      </c>
      <c r="J102" s="63" t="n">
        <f aca="false">Assumptions!$E$70*(1-Assumptions!$E$80)*(1-Assumptions!$E$79)-Assumptions!$E$73-Assumptions!$E$75-Assumptions!$E$76-Assumptions!$E$77</f>
        <v>116.02563</v>
      </c>
      <c r="K102" s="63" t="n">
        <f aca="false">Assumptions!$E$70*(1-Assumptions!$E$80)*(1-Assumptions!$E$79)-Assumptions!$E$73-Assumptions!$E$75-Assumptions!$E$76-Assumptions!$E$77</f>
        <v>116.02563</v>
      </c>
      <c r="L102" s="63" t="n">
        <f aca="false">Assumptions!$E$70*(1-Assumptions!$E$80)*(1-Assumptions!$E$79)-Assumptions!$E$73-Assumptions!$E$75-Assumptions!$E$76-Assumptions!$E$77</f>
        <v>116.02563</v>
      </c>
      <c r="M102" s="63" t="n">
        <f aca="false">Assumptions!$E$70*(1-Assumptions!$E$80)*(1-Assumptions!$E$79)-Assumptions!$E$73-Assumptions!$E$75-Assumptions!$E$76-Assumptions!$E$77</f>
        <v>116.02563</v>
      </c>
      <c r="N102" s="63" t="n">
        <f aca="false">Assumptions!$E$70*(1-Assumptions!$E$80)*(1-Assumptions!$E$79)-Assumptions!$E$73-Assumptions!$E$75-Assumptions!$E$76-Assumptions!$E$77</f>
        <v>116.02563</v>
      </c>
      <c r="O102" s="63" t="n">
        <f aca="false">Assumptions!$E$70*(1-Assumptions!$E$80)*(1-Assumptions!$E$79)-Assumptions!$E$73-Assumptions!$E$75-Assumptions!$E$76-Assumptions!$E$77</f>
        <v>116.02563</v>
      </c>
      <c r="P102" s="63" t="n">
        <f aca="false">Assumptions!$E$70*(1-Assumptions!$E$80)*(1-Assumptions!$E$79)-Assumptions!$E$73-Assumptions!$E$75-Assumptions!$E$76-Assumptions!$E$77</f>
        <v>116.02563</v>
      </c>
      <c r="Q102" s="63" t="n">
        <f aca="false">Assumptions!$E$70*(1-Assumptions!$E$80)*(1-Assumptions!$E$79)-Assumptions!$E$73-Assumptions!$E$75-Assumptions!$E$76-Assumptions!$E$77</f>
        <v>116.02563</v>
      </c>
      <c r="R102" s="63" t="n">
        <f aca="false">Assumptions!$E$70*(1-Assumptions!$E$80)*(1-Assumptions!$E$79)-Assumptions!$E$73-Assumptions!$E$75-Assumptions!$E$76-Assumptions!$E$77</f>
        <v>116.02563</v>
      </c>
      <c r="S102" s="63" t="n">
        <f aca="false">Assumptions!$E$70*(1-Assumptions!$E$80)*(1-Assumptions!$E$79)-Assumptions!$E$73-Assumptions!$E$75-Assumptions!$E$76-Assumptions!$E$77</f>
        <v>116.02563</v>
      </c>
      <c r="T102" s="63" t="n">
        <f aca="false">Assumptions!$E$70*(1-Assumptions!$E$80)*(1-Assumptions!$E$79)-Assumptions!$E$73-Assumptions!$E$75-Assumptions!$E$76-Assumptions!$E$77</f>
        <v>116.02563</v>
      </c>
      <c r="U102" s="63" t="n">
        <f aca="false">Assumptions!$E$70*(1-Assumptions!$E$80)*(1-Assumptions!$E$79)-Assumptions!$E$73-Assumptions!$E$75-Assumptions!$E$76-Assumptions!$E$77</f>
        <v>116.02563</v>
      </c>
      <c r="V102" s="63" t="n">
        <f aca="false">Assumptions!$E$70*(1-Assumptions!$E$80)*(1-Assumptions!$E$79)-Assumptions!$E$73-Assumptions!$E$75-Assumptions!$E$76-Assumptions!$E$77</f>
        <v>116.02563</v>
      </c>
      <c r="W102" s="63" t="n">
        <f aca="false">Assumptions!$E$70*(1-Assumptions!$E$80)*(1-Assumptions!$E$79)-Assumptions!$E$73-Assumptions!$E$75-Assumptions!$E$76-Assumptions!$E$77</f>
        <v>116.02563</v>
      </c>
      <c r="X102" s="63" t="n">
        <f aca="false">Assumptions!$E$70*(1-Assumptions!$E$80)*(1-Assumptions!$E$79)-Assumptions!$E$73-Assumptions!$E$75-Assumptions!$E$76-Assumptions!$E$77</f>
        <v>116.02563</v>
      </c>
      <c r="Y102" s="63" t="n">
        <f aca="false">Assumptions!$E$70*(1-Assumptions!$E$80)*(1-Assumptions!$E$79)-Assumptions!$E$73-Assumptions!$E$75-Assumptions!$E$76-Assumptions!$E$77</f>
        <v>116.02563</v>
      </c>
      <c r="Z102" s="63" t="n">
        <f aca="false">Assumptions!$E$70*(1-Assumptions!$E$80)*(1-Assumptions!$E$79)-Assumptions!$E$73-Assumptions!$E$75-Assumptions!$E$76-Assumptions!$E$77</f>
        <v>116.02563</v>
      </c>
      <c r="AA102" s="63" t="n">
        <f aca="false">Assumptions!$E$70*(1-Assumptions!$E$80)*(1-Assumptions!$E$79)-Assumptions!$E$73-Assumptions!$E$75-Assumptions!$E$76-Assumptions!$E$77</f>
        <v>116.02563</v>
      </c>
      <c r="AB102" s="63" t="n">
        <f aca="false">Assumptions!$E$70*(1-Assumptions!$E$80)*(1-Assumptions!$E$79)-Assumptions!$E$73-Assumptions!$E$75-Assumptions!$E$76-Assumptions!$E$77</f>
        <v>116.02563</v>
      </c>
      <c r="AC102" s="63" t="n">
        <f aca="false">Assumptions!$E$70*(1-Assumptions!$E$80)*(1-Assumptions!$E$79)-Assumptions!$E$73-Assumptions!$E$75-Assumptions!$E$76-Assumptions!$E$77</f>
        <v>116.02563</v>
      </c>
      <c r="AD102" s="63" t="n">
        <f aca="false">Assumptions!$E$70*(1-Assumptions!$E$80)*(1-Assumptions!$E$79)-Assumptions!$E$73-Assumptions!$E$75-Assumptions!$E$76-Assumptions!$E$77</f>
        <v>116.02563</v>
      </c>
      <c r="AE102" s="63" t="n">
        <f aca="false">Assumptions!$E$70*(1-Assumptions!$E$80)*(1-Assumptions!$E$79)-Assumptions!$E$73-Assumptions!$E$75-Assumptions!$E$76-Assumptions!$E$77</f>
        <v>116.02563</v>
      </c>
      <c r="AF102" s="63" t="n">
        <f aca="false">Assumptions!$E$70*(1-Assumptions!$E$80)*(1-Assumptions!$E$79)-Assumptions!$E$73-Assumptions!$E$75-Assumptions!$E$76-Assumptions!$E$77</f>
        <v>116.02563</v>
      </c>
      <c r="AG102" s="63" t="n">
        <f aca="false">Assumptions!$E$70*(1-Assumptions!$E$80)*(1-Assumptions!$E$79)-Assumptions!$E$73-Assumptions!$E$75-Assumptions!$E$76-Assumptions!$E$77</f>
        <v>116.02563</v>
      </c>
      <c r="AH102" s="63" t="n">
        <f aca="false">Assumptions!$E$70*(1-Assumptions!$E$80)*(1-Assumptions!$E$79)-Assumptions!$E$73-Assumptions!$E$75-Assumptions!$E$76-Assumptions!$E$77</f>
        <v>116.02563</v>
      </c>
      <c r="AI102" s="63" t="n">
        <f aca="false">Assumptions!$E$70*(1-Assumptions!$E$80)*(1-Assumptions!$E$79)-Assumptions!$E$73-Assumptions!$E$75-Assumptions!$E$76-Assumptions!$E$77</f>
        <v>116.02563</v>
      </c>
      <c r="AJ102" s="63" t="n">
        <f aca="false">Assumptions!$E$70*(1-Assumptions!$E$80)*(1-Assumptions!$E$79)-Assumptions!$E$73-Assumptions!$E$75-Assumptions!$E$76-Assumptions!$E$77</f>
        <v>116.02563</v>
      </c>
      <c r="AK102" s="63" t="n">
        <f aca="false">Assumptions!$E$70*(1-Assumptions!$E$80)*(1-Assumptions!$E$79)-Assumptions!$E$73-Assumptions!$E$75-Assumptions!$E$76-Assumptions!$E$77</f>
        <v>116.02563</v>
      </c>
      <c r="AL102" s="63" t="n">
        <f aca="false">Assumptions!$E$70*(1-Assumptions!$E$80)*(1-Assumptions!$E$79)-Assumptions!$E$73-Assumptions!$E$75-Assumptions!$E$76-Assumptions!$E$77</f>
        <v>116.02563</v>
      </c>
      <c r="AM102" s="63" t="n">
        <f aca="false">AVERAGE(N102:AL102)</f>
        <v>116.02563</v>
      </c>
    </row>
    <row r="103" customFormat="false" ht="15" hidden="false" customHeight="false" outlineLevel="0" collapsed="false">
      <c r="A103" s="10" t="s">
        <v>823</v>
      </c>
      <c r="B103" s="9" t="s">
        <v>97</v>
      </c>
      <c r="C103" s="70" t="n">
        <f aca="false">C102/Assumptions!$E$68</f>
        <v>1054.77845454545</v>
      </c>
      <c r="D103" s="70" t="n">
        <f aca="false">D102/Assumptions!$E$68</f>
        <v>1054.77845454545</v>
      </c>
      <c r="E103" s="70" t="n">
        <f aca="false">E102/Assumptions!$E$68</f>
        <v>1054.77845454545</v>
      </c>
      <c r="F103" s="70" t="n">
        <f aca="false">F102/Assumptions!$E$68</f>
        <v>1054.77845454545</v>
      </c>
      <c r="G103" s="70" t="n">
        <f aca="false">G102/Assumptions!$E$68</f>
        <v>1054.77845454545</v>
      </c>
      <c r="H103" s="70" t="n">
        <f aca="false">H102/Assumptions!$E$68</f>
        <v>1054.77845454545</v>
      </c>
      <c r="I103" s="70" t="n">
        <f aca="false">I102/Assumptions!$E$68</f>
        <v>1054.77845454545</v>
      </c>
      <c r="J103" s="70" t="n">
        <f aca="false">J102/Assumptions!$E$68</f>
        <v>1054.77845454545</v>
      </c>
      <c r="K103" s="70" t="n">
        <f aca="false">K102/Assumptions!$E$68</f>
        <v>1054.77845454545</v>
      </c>
      <c r="L103" s="70" t="n">
        <f aca="false">L102/Assumptions!$E$68</f>
        <v>1054.77845454545</v>
      </c>
      <c r="M103" s="70" t="n">
        <f aca="false">M102/Assumptions!$E$68</f>
        <v>1054.77845454545</v>
      </c>
      <c r="N103" s="70" t="n">
        <f aca="false">N102/Assumptions!$E$68</f>
        <v>1054.77845454545</v>
      </c>
      <c r="O103" s="70" t="n">
        <f aca="false">O102/Assumptions!$E$68</f>
        <v>1054.77845454545</v>
      </c>
      <c r="P103" s="70" t="n">
        <f aca="false">P102/Assumptions!$E$68</f>
        <v>1054.77845454545</v>
      </c>
      <c r="Q103" s="70" t="n">
        <f aca="false">Q102/Assumptions!$E$68</f>
        <v>1054.77845454545</v>
      </c>
      <c r="R103" s="70" t="n">
        <f aca="false">R102/Assumptions!$E$68</f>
        <v>1054.77845454545</v>
      </c>
      <c r="S103" s="70" t="n">
        <f aca="false">S102/Assumptions!$E$68</f>
        <v>1054.77845454545</v>
      </c>
      <c r="T103" s="70" t="n">
        <f aca="false">T102/Assumptions!$E$68</f>
        <v>1054.77845454545</v>
      </c>
      <c r="U103" s="70" t="n">
        <f aca="false">U102/Assumptions!$E$68</f>
        <v>1054.77845454545</v>
      </c>
      <c r="V103" s="70" t="n">
        <f aca="false">V102/Assumptions!$E$68</f>
        <v>1054.77845454545</v>
      </c>
      <c r="W103" s="70" t="n">
        <f aca="false">W102/Assumptions!$E$68</f>
        <v>1054.77845454545</v>
      </c>
      <c r="X103" s="70" t="n">
        <f aca="false">X102/Assumptions!$E$68</f>
        <v>1054.77845454545</v>
      </c>
      <c r="Y103" s="70" t="n">
        <f aca="false">Y102/Assumptions!$E$68</f>
        <v>1054.77845454545</v>
      </c>
      <c r="Z103" s="70" t="n">
        <f aca="false">Z102/Assumptions!$E$68</f>
        <v>1054.77845454545</v>
      </c>
      <c r="AA103" s="70" t="n">
        <f aca="false">AA102/Assumptions!$E$68</f>
        <v>1054.77845454545</v>
      </c>
      <c r="AB103" s="70" t="n">
        <f aca="false">AB102/Assumptions!$E$68</f>
        <v>1054.77845454545</v>
      </c>
      <c r="AC103" s="70" t="n">
        <f aca="false">AC102/Assumptions!$E$68</f>
        <v>1054.77845454545</v>
      </c>
      <c r="AD103" s="70" t="n">
        <f aca="false">AD102/Assumptions!$E$68</f>
        <v>1054.77845454545</v>
      </c>
      <c r="AE103" s="70" t="n">
        <f aca="false">AE102/Assumptions!$E$68</f>
        <v>1054.77845454545</v>
      </c>
      <c r="AF103" s="70" t="n">
        <f aca="false">AF102/Assumptions!$E$68</f>
        <v>1054.77845454545</v>
      </c>
      <c r="AG103" s="70" t="n">
        <f aca="false">AG102/Assumptions!$E$68</f>
        <v>1054.77845454545</v>
      </c>
      <c r="AH103" s="70" t="n">
        <f aca="false">AH102/Assumptions!$E$68</f>
        <v>1054.77845454545</v>
      </c>
      <c r="AI103" s="70" t="n">
        <f aca="false">AI102/Assumptions!$E$68</f>
        <v>1054.77845454545</v>
      </c>
      <c r="AJ103" s="70" t="n">
        <f aca="false">AJ102/Assumptions!$E$68</f>
        <v>1054.77845454545</v>
      </c>
      <c r="AK103" s="70" t="n">
        <f aca="false">AK102/Assumptions!$E$68</f>
        <v>1054.77845454545</v>
      </c>
      <c r="AL103" s="70" t="n">
        <f aca="false">AL102/Assumptions!$E$68</f>
        <v>1054.77845454545</v>
      </c>
      <c r="AM103" s="70" t="n">
        <f aca="false">AVERAGE(N103:AL103)</f>
        <v>1054.77845454545</v>
      </c>
    </row>
    <row r="104" customFormat="false" ht="15" hidden="false" customHeight="false" outlineLevel="0" collapsed="false">
      <c r="A104" s="10" t="s">
        <v>402</v>
      </c>
      <c r="B104" s="9" t="s">
        <v>97</v>
      </c>
      <c r="C104" s="63" t="n">
        <f aca="false">Assumptions!$E$50*(1-Assumptions!$E$80)*(1-Assumptions!$E$79)-Assumptions!$E$50*Assumptions!$E$55-Assumptions!$E$56</f>
        <v>45.68586</v>
      </c>
      <c r="D104" s="63" t="n">
        <f aca="false">Assumptions!$E$50*(1-Assumptions!$E$80)*(1-Assumptions!$E$79)-Assumptions!$E$50*Assumptions!$E$55-Assumptions!$E$56</f>
        <v>45.68586</v>
      </c>
      <c r="E104" s="63" t="n">
        <f aca="false">Assumptions!$E$50*(1-Assumptions!$E$80)*(1-Assumptions!$E$79)-Assumptions!$E$50*Assumptions!$E$55-Assumptions!$E$56</f>
        <v>45.68586</v>
      </c>
      <c r="F104" s="63" t="n">
        <f aca="false">Assumptions!$E$50*(1-Assumptions!$E$80)*(1-Assumptions!$E$79)-Assumptions!$E$50*Assumptions!$E$55-Assumptions!$E$56</f>
        <v>45.68586</v>
      </c>
      <c r="G104" s="63" t="n">
        <f aca="false">Assumptions!$E$50*(1-Assumptions!$E$80)*(1-Assumptions!$E$79)-Assumptions!$E$50*Assumptions!$E$55-Assumptions!$E$56</f>
        <v>45.68586</v>
      </c>
      <c r="H104" s="63" t="n">
        <f aca="false">Assumptions!$E$50*(1-Assumptions!$E$80)*(1-Assumptions!$E$79)-Assumptions!$E$50*Assumptions!$E$55-Assumptions!$E$56</f>
        <v>45.68586</v>
      </c>
      <c r="I104" s="63" t="n">
        <f aca="false">Assumptions!$E$50*(1-Assumptions!$E$80)*(1-Assumptions!$E$79)-Assumptions!$E$50*Assumptions!$E$55-Assumptions!$E$56</f>
        <v>45.68586</v>
      </c>
      <c r="J104" s="63" t="n">
        <f aca="false">Assumptions!$E$50*(1-Assumptions!$E$80)*(1-Assumptions!$E$79)-Assumptions!$E$50*Assumptions!$E$55-Assumptions!$E$56</f>
        <v>45.68586</v>
      </c>
      <c r="K104" s="63" t="n">
        <f aca="false">Assumptions!$E$50*(1-Assumptions!$E$80)*(1-Assumptions!$E$79)-Assumptions!$E$50*Assumptions!$E$55-Assumptions!$E$56</f>
        <v>45.68586</v>
      </c>
      <c r="L104" s="63" t="n">
        <f aca="false">Assumptions!$E$50*(1-Assumptions!$E$80)*(1-Assumptions!$E$79)-Assumptions!$E$50*Assumptions!$E$55-Assumptions!$E$56</f>
        <v>45.68586</v>
      </c>
      <c r="M104" s="63" t="n">
        <f aca="false">Assumptions!$E$50*(1-Assumptions!$E$80)*(1-Assumptions!$E$79)-Assumptions!$E$50*Assumptions!$E$55-Assumptions!$E$56</f>
        <v>45.68586</v>
      </c>
      <c r="N104" s="63" t="n">
        <f aca="false">Assumptions!$E$50*(1-Assumptions!$E$80)*(1-Assumptions!$E$79)-Assumptions!$E$50*Assumptions!$E$55-Assumptions!$E$56</f>
        <v>45.68586</v>
      </c>
      <c r="O104" s="63" t="n">
        <f aca="false">Assumptions!$E$50*(1-Assumptions!$E$80)*(1-Assumptions!$E$79)-Assumptions!$E$50*Assumptions!$E$55-Assumptions!$E$56</f>
        <v>45.68586</v>
      </c>
      <c r="P104" s="63" t="n">
        <f aca="false">Assumptions!$E$50*(1-Assumptions!$E$80)*(1-Assumptions!$E$79)-Assumptions!$E$50*Assumptions!$E$55-Assumptions!$E$56</f>
        <v>45.68586</v>
      </c>
      <c r="Q104" s="63" t="n">
        <f aca="false">Assumptions!$E$50*(1-Assumptions!$E$80)*(1-Assumptions!$E$79)-Assumptions!$E$50*Assumptions!$E$55-Assumptions!$E$56</f>
        <v>45.68586</v>
      </c>
      <c r="R104" s="63" t="n">
        <f aca="false">Assumptions!$E$50*(1-Assumptions!$E$80)*(1-Assumptions!$E$79)-Assumptions!$E$50*Assumptions!$E$55-Assumptions!$E$56</f>
        <v>45.68586</v>
      </c>
      <c r="S104" s="63" t="n">
        <f aca="false">Assumptions!$E$50*(1-Assumptions!$E$80)*(1-Assumptions!$E$79)-Assumptions!$E$50*Assumptions!$E$55-Assumptions!$E$56</f>
        <v>45.68586</v>
      </c>
      <c r="T104" s="63" t="n">
        <f aca="false">Assumptions!$E$50*(1-Assumptions!$E$80)*(1-Assumptions!$E$79)-Assumptions!$E$50*Assumptions!$E$55-Assumptions!$E$56</f>
        <v>45.68586</v>
      </c>
      <c r="U104" s="63" t="n">
        <f aca="false">Assumptions!$E$50*(1-Assumptions!$E$80)*(1-Assumptions!$E$79)-Assumptions!$E$50*Assumptions!$E$55-Assumptions!$E$56</f>
        <v>45.68586</v>
      </c>
      <c r="V104" s="63" t="n">
        <f aca="false">Assumptions!$E$50*(1-Assumptions!$E$80)*(1-Assumptions!$E$79)-Assumptions!$E$50*Assumptions!$E$55-Assumptions!$E$56</f>
        <v>45.68586</v>
      </c>
      <c r="W104" s="63" t="n">
        <f aca="false">Assumptions!$E$50*(1-Assumptions!$E$80)*(1-Assumptions!$E$79)-Assumptions!$E$50*Assumptions!$E$55-Assumptions!$E$56</f>
        <v>45.68586</v>
      </c>
      <c r="X104" s="63" t="n">
        <f aca="false">Assumptions!$E$50*(1-Assumptions!$E$80)*(1-Assumptions!$E$79)-Assumptions!$E$50*Assumptions!$E$55-Assumptions!$E$56</f>
        <v>45.68586</v>
      </c>
      <c r="Y104" s="63" t="n">
        <f aca="false">Assumptions!$E$50*(1-Assumptions!$E$80)*(1-Assumptions!$E$79)-Assumptions!$E$50*Assumptions!$E$55-Assumptions!$E$56</f>
        <v>45.68586</v>
      </c>
      <c r="Z104" s="63" t="n">
        <f aca="false">Assumptions!$E$50*(1-Assumptions!$E$80)*(1-Assumptions!$E$79)-Assumptions!$E$50*Assumptions!$E$55-Assumptions!$E$56</f>
        <v>45.68586</v>
      </c>
      <c r="AA104" s="63" t="n">
        <f aca="false">Assumptions!$E$50*(1-Assumptions!$E$80)*(1-Assumptions!$E$79)-Assumptions!$E$50*Assumptions!$E$55-Assumptions!$E$56</f>
        <v>45.68586</v>
      </c>
      <c r="AB104" s="63" t="n">
        <f aca="false">Assumptions!$E$50*(1-Assumptions!$E$80)*(1-Assumptions!$E$79)-Assumptions!$E$50*Assumptions!$E$55-Assumptions!$E$56</f>
        <v>45.68586</v>
      </c>
      <c r="AC104" s="63" t="n">
        <f aca="false">Assumptions!$E$50*(1-Assumptions!$E$80)*(1-Assumptions!$E$79)-Assumptions!$E$50*Assumptions!$E$55-Assumptions!$E$56</f>
        <v>45.68586</v>
      </c>
      <c r="AD104" s="63" t="n">
        <f aca="false">Assumptions!$E$50*(1-Assumptions!$E$80)*(1-Assumptions!$E$79)-Assumptions!$E$50*Assumptions!$E$55-Assumptions!$E$56</f>
        <v>45.68586</v>
      </c>
      <c r="AE104" s="63" t="n">
        <f aca="false">Assumptions!$E$50*(1-Assumptions!$E$80)*(1-Assumptions!$E$79)-Assumptions!$E$50*Assumptions!$E$55-Assumptions!$E$56</f>
        <v>45.68586</v>
      </c>
      <c r="AF104" s="63" t="n">
        <f aca="false">Assumptions!$E$50*(1-Assumptions!$E$80)*(1-Assumptions!$E$79)-Assumptions!$E$50*Assumptions!$E$55-Assumptions!$E$56</f>
        <v>45.68586</v>
      </c>
      <c r="AG104" s="63" t="n">
        <f aca="false">Assumptions!$E$50*(1-Assumptions!$E$80)*(1-Assumptions!$E$79)-Assumptions!$E$50*Assumptions!$E$55-Assumptions!$E$56</f>
        <v>45.68586</v>
      </c>
      <c r="AH104" s="63" t="n">
        <f aca="false">Assumptions!$E$50*(1-Assumptions!$E$80)*(1-Assumptions!$E$79)-Assumptions!$E$50*Assumptions!$E$55-Assumptions!$E$56</f>
        <v>45.68586</v>
      </c>
      <c r="AI104" s="63" t="n">
        <f aca="false">Assumptions!$E$50*(1-Assumptions!$E$80)*(1-Assumptions!$E$79)-Assumptions!$E$50*Assumptions!$E$55-Assumptions!$E$56</f>
        <v>45.68586</v>
      </c>
      <c r="AJ104" s="63" t="n">
        <f aca="false">Assumptions!$E$50*(1-Assumptions!$E$80)*(1-Assumptions!$E$79)-Assumptions!$E$50*Assumptions!$E$55-Assumptions!$E$56</f>
        <v>45.68586</v>
      </c>
      <c r="AK104" s="63" t="n">
        <f aca="false">Assumptions!$E$50*(1-Assumptions!$E$80)*(1-Assumptions!$E$79)-Assumptions!$E$50*Assumptions!$E$55-Assumptions!$E$56</f>
        <v>45.68586</v>
      </c>
      <c r="AL104" s="63" t="n">
        <f aca="false">Assumptions!$E$50*(1-Assumptions!$E$80)*(1-Assumptions!$E$79)-Assumptions!$E$50*Assumptions!$E$55-Assumptions!$E$56</f>
        <v>45.68586</v>
      </c>
      <c r="AM104" s="63" t="n">
        <f aca="false">AVERAGE(N104:AL104)</f>
        <v>45.68586</v>
      </c>
    </row>
    <row r="105" customFormat="false" ht="15" hidden="false" customHeight="false" outlineLevel="0" collapsed="false">
      <c r="A105" s="10" t="s">
        <v>403</v>
      </c>
      <c r="B105" s="9" t="s">
        <v>97</v>
      </c>
      <c r="C105" s="70" t="n">
        <f aca="false">C104/Assumptions!$E$52</f>
        <v>652.655142857143</v>
      </c>
      <c r="D105" s="70" t="n">
        <f aca="false">D104/Assumptions!$E$52</f>
        <v>652.655142857143</v>
      </c>
      <c r="E105" s="70" t="n">
        <f aca="false">E104/Assumptions!$E$52</f>
        <v>652.655142857143</v>
      </c>
      <c r="F105" s="70" t="n">
        <f aca="false">F104/Assumptions!$E$52</f>
        <v>652.655142857143</v>
      </c>
      <c r="G105" s="70" t="n">
        <f aca="false">G104/Assumptions!$E$52</f>
        <v>652.655142857143</v>
      </c>
      <c r="H105" s="70" t="n">
        <f aca="false">H104/Assumptions!$E$52</f>
        <v>652.655142857143</v>
      </c>
      <c r="I105" s="70" t="n">
        <f aca="false">I104/Assumptions!$E$52</f>
        <v>652.655142857143</v>
      </c>
      <c r="J105" s="70" t="n">
        <f aca="false">J104/Assumptions!$E$52</f>
        <v>652.655142857143</v>
      </c>
      <c r="K105" s="70" t="n">
        <f aca="false">K104/Assumptions!$E$52</f>
        <v>652.655142857143</v>
      </c>
      <c r="L105" s="70" t="n">
        <f aca="false">L104/Assumptions!$E$52</f>
        <v>652.655142857143</v>
      </c>
      <c r="M105" s="70" t="n">
        <f aca="false">M104/Assumptions!$E$52</f>
        <v>652.655142857143</v>
      </c>
      <c r="N105" s="70" t="n">
        <f aca="false">N104/Assumptions!$E$52</f>
        <v>652.655142857143</v>
      </c>
      <c r="O105" s="70" t="n">
        <f aca="false">O104/Assumptions!$E$52</f>
        <v>652.655142857143</v>
      </c>
      <c r="P105" s="70" t="n">
        <f aca="false">P104/Assumptions!$E$52</f>
        <v>652.655142857143</v>
      </c>
      <c r="Q105" s="70" t="n">
        <f aca="false">Q104/Assumptions!$E$52</f>
        <v>652.655142857143</v>
      </c>
      <c r="R105" s="70" t="n">
        <f aca="false">R104/Assumptions!$E$52</f>
        <v>652.655142857143</v>
      </c>
      <c r="S105" s="70" t="n">
        <f aca="false">S104/Assumptions!$E$52</f>
        <v>652.655142857143</v>
      </c>
      <c r="T105" s="70" t="n">
        <f aca="false">T104/Assumptions!$E$52</f>
        <v>652.655142857143</v>
      </c>
      <c r="U105" s="70" t="n">
        <f aca="false">U104/Assumptions!$E$52</f>
        <v>652.655142857143</v>
      </c>
      <c r="V105" s="70" t="n">
        <f aca="false">V104/Assumptions!$E$52</f>
        <v>652.655142857143</v>
      </c>
      <c r="W105" s="70" t="n">
        <f aca="false">W104/Assumptions!$E$52</f>
        <v>652.655142857143</v>
      </c>
      <c r="X105" s="70" t="n">
        <f aca="false">X104/Assumptions!$E$52</f>
        <v>652.655142857143</v>
      </c>
      <c r="Y105" s="70" t="n">
        <f aca="false">Y104/Assumptions!$E$52</f>
        <v>652.655142857143</v>
      </c>
      <c r="Z105" s="70" t="n">
        <f aca="false">Z104/Assumptions!$E$52</f>
        <v>652.655142857143</v>
      </c>
      <c r="AA105" s="70" t="n">
        <f aca="false">AA104/Assumptions!$E$52</f>
        <v>652.655142857143</v>
      </c>
      <c r="AB105" s="70" t="n">
        <f aca="false">AB104/Assumptions!$E$52</f>
        <v>652.655142857143</v>
      </c>
      <c r="AC105" s="70" t="n">
        <f aca="false">AC104/Assumptions!$E$52</f>
        <v>652.655142857143</v>
      </c>
      <c r="AD105" s="70" t="n">
        <f aca="false">AD104/Assumptions!$E$52</f>
        <v>652.655142857143</v>
      </c>
      <c r="AE105" s="70" t="n">
        <f aca="false">AE104/Assumptions!$E$52</f>
        <v>652.655142857143</v>
      </c>
      <c r="AF105" s="70" t="n">
        <f aca="false">AF104/Assumptions!$E$52</f>
        <v>652.655142857143</v>
      </c>
      <c r="AG105" s="70" t="n">
        <f aca="false">AG104/Assumptions!$E$52</f>
        <v>652.655142857143</v>
      </c>
      <c r="AH105" s="70" t="n">
        <f aca="false">AH104/Assumptions!$E$52</f>
        <v>652.655142857143</v>
      </c>
      <c r="AI105" s="70" t="n">
        <f aca="false">AI104/Assumptions!$E$52</f>
        <v>652.655142857143</v>
      </c>
      <c r="AJ105" s="70" t="n">
        <f aca="false">AJ104/Assumptions!$E$52</f>
        <v>652.655142857143</v>
      </c>
      <c r="AK105" s="70" t="n">
        <f aca="false">AK104/Assumptions!$E$52</f>
        <v>652.655142857143</v>
      </c>
      <c r="AL105" s="70" t="n">
        <f aca="false">AL104/Assumptions!$E$52</f>
        <v>652.655142857143</v>
      </c>
      <c r="AM105" s="70" t="n">
        <f aca="false">AVERAGE(N105:AL105)</f>
        <v>652.655142857143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105"/>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8" min="3" style="0" width="12"/>
    <col collapsed="false" customWidth="true" hidden="false" outlineLevel="0" max="39" min="39" style="0" width="15"/>
  </cols>
  <sheetData>
    <row r="1" customFormat="false" ht="17.35" hidden="false" customHeight="false" outlineLevel="0" collapsed="false">
      <c r="A1" s="4" t="s">
        <v>825</v>
      </c>
    </row>
    <row r="2" customFormat="false" ht="15" hidden="false" customHeight="false" outlineLevel="0" collapsed="false">
      <c r="A2" s="67" t="s">
        <v>686</v>
      </c>
    </row>
    <row r="4" customFormat="false" ht="15" hidden="false" customHeight="false" outlineLevel="0" collapsed="false">
      <c r="A4" s="50" t="s">
        <v>687</v>
      </c>
      <c r="B4" s="50" t="s">
        <v>25</v>
      </c>
      <c r="C4" s="68" t="s">
        <v>688</v>
      </c>
      <c r="D4" s="68" t="s">
        <v>689</v>
      </c>
      <c r="E4" s="68" t="s">
        <v>690</v>
      </c>
      <c r="F4" s="68" t="s">
        <v>691</v>
      </c>
      <c r="G4" s="68" t="s">
        <v>692</v>
      </c>
      <c r="H4" s="68" t="s">
        <v>693</v>
      </c>
      <c r="I4" s="68" t="s">
        <v>694</v>
      </c>
      <c r="J4" s="68" t="s">
        <v>695</v>
      </c>
      <c r="K4" s="68" t="s">
        <v>696</v>
      </c>
      <c r="L4" s="68" t="s">
        <v>697</v>
      </c>
      <c r="M4" s="68" t="s">
        <v>698</v>
      </c>
      <c r="N4" s="68" t="s">
        <v>699</v>
      </c>
      <c r="O4" s="68" t="s">
        <v>700</v>
      </c>
      <c r="P4" s="68" t="s">
        <v>701</v>
      </c>
      <c r="Q4" s="68" t="s">
        <v>702</v>
      </c>
      <c r="R4" s="68" t="s">
        <v>703</v>
      </c>
      <c r="S4" s="68" t="s">
        <v>704</v>
      </c>
      <c r="T4" s="68" t="s">
        <v>705</v>
      </c>
      <c r="U4" s="68" t="s">
        <v>706</v>
      </c>
      <c r="V4" s="68" t="s">
        <v>707</v>
      </c>
      <c r="W4" s="68" t="s">
        <v>708</v>
      </c>
      <c r="X4" s="68" t="s">
        <v>709</v>
      </c>
      <c r="Y4" s="68" t="s">
        <v>710</v>
      </c>
      <c r="Z4" s="68" t="s">
        <v>711</v>
      </c>
      <c r="AA4" s="68" t="s">
        <v>712</v>
      </c>
      <c r="AB4" s="68" t="s">
        <v>713</v>
      </c>
      <c r="AC4" s="68" t="s">
        <v>714</v>
      </c>
      <c r="AD4" s="68" t="s">
        <v>715</v>
      </c>
      <c r="AE4" s="68" t="s">
        <v>716</v>
      </c>
      <c r="AF4" s="68" t="s">
        <v>717</v>
      </c>
      <c r="AG4" s="68" t="s">
        <v>718</v>
      </c>
      <c r="AH4" s="68" t="s">
        <v>719</v>
      </c>
      <c r="AI4" s="68" t="s">
        <v>720</v>
      </c>
      <c r="AJ4" s="68" t="s">
        <v>721</v>
      </c>
      <c r="AK4" s="68" t="s">
        <v>722</v>
      </c>
      <c r="AL4" s="68" t="s">
        <v>723</v>
      </c>
      <c r="AM4" s="50" t="s">
        <v>724</v>
      </c>
    </row>
    <row r="5" customFormat="false" ht="15" hidden="false" customHeight="false" outlineLevel="0" collapsed="false">
      <c r="A5" s="0" t="s">
        <v>725</v>
      </c>
      <c r="B5" s="0" t="s">
        <v>51</v>
      </c>
      <c r="C5" s="10" t="n">
        <v>1</v>
      </c>
      <c r="D5" s="10" t="n">
        <v>2</v>
      </c>
      <c r="E5" s="10" t="n">
        <v>3</v>
      </c>
      <c r="F5" s="10" t="n">
        <v>4</v>
      </c>
      <c r="G5" s="10" t="n">
        <v>5</v>
      </c>
      <c r="H5" s="10" t="n">
        <v>6</v>
      </c>
      <c r="I5" s="10" t="n">
        <v>7</v>
      </c>
      <c r="J5" s="10" t="n">
        <v>8</v>
      </c>
      <c r="K5" s="10" t="n">
        <v>9</v>
      </c>
      <c r="L5" s="10" t="n">
        <v>10</v>
      </c>
      <c r="M5" s="10" t="n">
        <v>11</v>
      </c>
      <c r="N5" s="10" t="n">
        <v>12</v>
      </c>
      <c r="O5" s="10" t="n">
        <v>13</v>
      </c>
      <c r="P5" s="10" t="n">
        <v>14</v>
      </c>
      <c r="Q5" s="10" t="n">
        <v>15</v>
      </c>
      <c r="R5" s="10" t="n">
        <v>16</v>
      </c>
      <c r="S5" s="10" t="n">
        <v>17</v>
      </c>
      <c r="T5" s="10" t="n">
        <v>18</v>
      </c>
      <c r="U5" s="10" t="n">
        <v>19</v>
      </c>
      <c r="V5" s="10" t="n">
        <v>20</v>
      </c>
      <c r="W5" s="10" t="n">
        <v>21</v>
      </c>
      <c r="X5" s="10" t="n">
        <v>22</v>
      </c>
      <c r="Y5" s="10" t="n">
        <v>23</v>
      </c>
      <c r="Z5" s="10" t="n">
        <v>24</v>
      </c>
      <c r="AA5" s="10" t="n">
        <v>25</v>
      </c>
      <c r="AB5" s="10" t="n">
        <v>26</v>
      </c>
      <c r="AC5" s="10" t="n">
        <v>27</v>
      </c>
      <c r="AD5" s="10" t="n">
        <v>28</v>
      </c>
      <c r="AE5" s="10" t="n">
        <v>29</v>
      </c>
      <c r="AF5" s="10" t="n">
        <v>30</v>
      </c>
      <c r="AG5" s="10" t="n">
        <v>31</v>
      </c>
      <c r="AH5" s="10" t="n">
        <v>32</v>
      </c>
      <c r="AI5" s="10" t="n">
        <v>33</v>
      </c>
      <c r="AJ5" s="10" t="n">
        <v>34</v>
      </c>
      <c r="AK5" s="10" t="n">
        <v>35</v>
      </c>
      <c r="AL5" s="10" t="n">
        <v>36</v>
      </c>
    </row>
    <row r="6" customFormat="false" ht="15" hidden="false" customHeight="false" outlineLevel="0" collapsed="false">
      <c r="A6" s="0" t="s">
        <v>726</v>
      </c>
      <c r="B6" s="0" t="s">
        <v>51</v>
      </c>
      <c r="C6" s="10" t="n">
        <f aca="false">ROUNDUP(C$5/12,0)</f>
        <v>1</v>
      </c>
      <c r="D6" s="10" t="n">
        <f aca="false">ROUNDUP(D$5/12,0)</f>
        <v>1</v>
      </c>
      <c r="E6" s="10" t="n">
        <f aca="false">ROUNDUP(E$5/12,0)</f>
        <v>1</v>
      </c>
      <c r="F6" s="10" t="n">
        <f aca="false">ROUNDUP(F$5/12,0)</f>
        <v>1</v>
      </c>
      <c r="G6" s="10" t="n">
        <f aca="false">ROUNDUP(G$5/12,0)</f>
        <v>1</v>
      </c>
      <c r="H6" s="10" t="n">
        <f aca="false">ROUNDUP(H$5/12,0)</f>
        <v>1</v>
      </c>
      <c r="I6" s="10" t="n">
        <f aca="false">ROUNDUP(I$5/12,0)</f>
        <v>1</v>
      </c>
      <c r="J6" s="10" t="n">
        <f aca="false">ROUNDUP(J$5/12,0)</f>
        <v>1</v>
      </c>
      <c r="K6" s="10" t="n">
        <f aca="false">ROUNDUP(K$5/12,0)</f>
        <v>1</v>
      </c>
      <c r="L6" s="10" t="n">
        <f aca="false">ROUNDUP(L$5/12,0)</f>
        <v>1</v>
      </c>
      <c r="M6" s="10" t="n">
        <f aca="false">ROUNDUP(M$5/12,0)</f>
        <v>1</v>
      </c>
      <c r="N6" s="10" t="n">
        <f aca="false">ROUNDUP(N$5/12,0)</f>
        <v>1</v>
      </c>
      <c r="O6" s="10" t="n">
        <f aca="false">ROUNDUP(O$5/12,0)</f>
        <v>2</v>
      </c>
      <c r="P6" s="10" t="n">
        <f aca="false">ROUNDUP(P$5/12,0)</f>
        <v>2</v>
      </c>
      <c r="Q6" s="10" t="n">
        <f aca="false">ROUNDUP(Q$5/12,0)</f>
        <v>2</v>
      </c>
      <c r="R6" s="10" t="n">
        <f aca="false">ROUNDUP(R$5/12,0)</f>
        <v>2</v>
      </c>
      <c r="S6" s="10" t="n">
        <f aca="false">ROUNDUP(S$5/12,0)</f>
        <v>2</v>
      </c>
      <c r="T6" s="10" t="n">
        <f aca="false">ROUNDUP(T$5/12,0)</f>
        <v>2</v>
      </c>
      <c r="U6" s="10" t="n">
        <f aca="false">ROUNDUP(U$5/12,0)</f>
        <v>2</v>
      </c>
      <c r="V6" s="10" t="n">
        <f aca="false">ROUNDUP(V$5/12,0)</f>
        <v>2</v>
      </c>
      <c r="W6" s="10" t="n">
        <f aca="false">ROUNDUP(W$5/12,0)</f>
        <v>2</v>
      </c>
      <c r="X6" s="10" t="n">
        <f aca="false">ROUNDUP(X$5/12,0)</f>
        <v>2</v>
      </c>
      <c r="Y6" s="10" t="n">
        <f aca="false">ROUNDUP(Y$5/12,0)</f>
        <v>2</v>
      </c>
      <c r="Z6" s="10" t="n">
        <f aca="false">ROUNDUP(Z$5/12,0)</f>
        <v>2</v>
      </c>
      <c r="AA6" s="10" t="n">
        <f aca="false">ROUNDUP(AA$5/12,0)</f>
        <v>3</v>
      </c>
      <c r="AB6" s="10" t="n">
        <f aca="false">ROUNDUP(AB$5/12,0)</f>
        <v>3</v>
      </c>
      <c r="AC6" s="10" t="n">
        <f aca="false">ROUNDUP(AC$5/12,0)</f>
        <v>3</v>
      </c>
      <c r="AD6" s="10" t="n">
        <f aca="false">ROUNDUP(AD$5/12,0)</f>
        <v>3</v>
      </c>
      <c r="AE6" s="10" t="n">
        <f aca="false">ROUNDUP(AE$5/12,0)</f>
        <v>3</v>
      </c>
      <c r="AF6" s="10" t="n">
        <f aca="false">ROUNDUP(AF$5/12,0)</f>
        <v>3</v>
      </c>
      <c r="AG6" s="10" t="n">
        <f aca="false">ROUNDUP(AG$5/12,0)</f>
        <v>3</v>
      </c>
      <c r="AH6" s="10" t="n">
        <f aca="false">ROUNDUP(AH$5/12,0)</f>
        <v>3</v>
      </c>
      <c r="AI6" s="10" t="n">
        <f aca="false">ROUNDUP(AI$5/12,0)</f>
        <v>3</v>
      </c>
      <c r="AJ6" s="10" t="n">
        <f aca="false">ROUNDUP(AJ$5/12,0)</f>
        <v>3</v>
      </c>
      <c r="AK6" s="10" t="n">
        <f aca="false">ROUNDUP(AK$5/12,0)</f>
        <v>3</v>
      </c>
      <c r="AL6" s="10" t="n">
        <f aca="false">ROUNDUP(AL$5/12,0)</f>
        <v>3</v>
      </c>
    </row>
    <row r="8" customFormat="false" ht="15" hidden="false" customHeight="false" outlineLevel="0" collapsed="false">
      <c r="A8" s="10" t="s">
        <v>727</v>
      </c>
      <c r="B8" s="9" t="s">
        <v>728</v>
      </c>
      <c r="C8" s="69" t="n">
        <f aca="false">IF(C$5&gt;=Assumptions!$F$6,1,0)</f>
        <v>0</v>
      </c>
      <c r="D8" s="69" t="n">
        <f aca="false">IF(D$5&gt;=Assumptions!$F$6,1,0)</f>
        <v>1</v>
      </c>
      <c r="E8" s="69" t="n">
        <f aca="false">IF(E$5&gt;=Assumptions!$F$6,1,0)</f>
        <v>1</v>
      </c>
      <c r="F8" s="69" t="n">
        <f aca="false">IF(F$5&gt;=Assumptions!$F$6,1,0)</f>
        <v>1</v>
      </c>
      <c r="G8" s="69" t="n">
        <f aca="false">IF(G$5&gt;=Assumptions!$F$6,1,0)</f>
        <v>1</v>
      </c>
      <c r="H8" s="69" t="n">
        <f aca="false">IF(H$5&gt;=Assumptions!$F$6,1,0)</f>
        <v>1</v>
      </c>
      <c r="I8" s="69" t="n">
        <f aca="false">IF(I$5&gt;=Assumptions!$F$6,1,0)</f>
        <v>1</v>
      </c>
      <c r="J8" s="69" t="n">
        <f aca="false">IF(J$5&gt;=Assumptions!$F$6,1,0)</f>
        <v>1</v>
      </c>
      <c r="K8" s="69" t="n">
        <f aca="false">IF(K$5&gt;=Assumptions!$F$6,1,0)</f>
        <v>1</v>
      </c>
      <c r="L8" s="69" t="n">
        <f aca="false">IF(L$5&gt;=Assumptions!$F$6,1,0)</f>
        <v>1</v>
      </c>
      <c r="M8" s="69" t="n">
        <f aca="false">IF(M$5&gt;=Assumptions!$F$6,1,0)</f>
        <v>1</v>
      </c>
      <c r="N8" s="69" t="n">
        <f aca="false">IF(N$5&gt;=Assumptions!$F$6,1,0)</f>
        <v>1</v>
      </c>
      <c r="O8" s="69" t="n">
        <f aca="false">IF(O$5&gt;=Assumptions!$F$6,1,0)</f>
        <v>1</v>
      </c>
      <c r="P8" s="69" t="n">
        <f aca="false">IF(P$5&gt;=Assumptions!$F$6,1,0)</f>
        <v>1</v>
      </c>
      <c r="Q8" s="69" t="n">
        <f aca="false">IF(Q$5&gt;=Assumptions!$F$6,1,0)</f>
        <v>1</v>
      </c>
      <c r="R8" s="69" t="n">
        <f aca="false">IF(R$5&gt;=Assumptions!$F$6,1,0)</f>
        <v>1</v>
      </c>
      <c r="S8" s="69" t="n">
        <f aca="false">IF(S$5&gt;=Assumptions!$F$6,1,0)</f>
        <v>1</v>
      </c>
      <c r="T8" s="69" t="n">
        <f aca="false">IF(T$5&gt;=Assumptions!$F$6,1,0)</f>
        <v>1</v>
      </c>
      <c r="U8" s="69" t="n">
        <f aca="false">IF(U$5&gt;=Assumptions!$F$6,1,0)</f>
        <v>1</v>
      </c>
      <c r="V8" s="69" t="n">
        <f aca="false">IF(V$5&gt;=Assumptions!$F$6,1,0)</f>
        <v>1</v>
      </c>
      <c r="W8" s="69" t="n">
        <f aca="false">IF(W$5&gt;=Assumptions!$F$6,1,0)</f>
        <v>1</v>
      </c>
      <c r="X8" s="69" t="n">
        <f aca="false">IF(X$5&gt;=Assumptions!$F$6,1,0)</f>
        <v>1</v>
      </c>
      <c r="Y8" s="69" t="n">
        <f aca="false">IF(Y$5&gt;=Assumptions!$F$6,1,0)</f>
        <v>1</v>
      </c>
      <c r="Z8" s="69" t="n">
        <f aca="false">IF(Z$5&gt;=Assumptions!$F$6,1,0)</f>
        <v>1</v>
      </c>
      <c r="AA8" s="69" t="n">
        <f aca="false">IF(AA$5&gt;=Assumptions!$F$6,1,0)</f>
        <v>1</v>
      </c>
      <c r="AB8" s="69" t="n">
        <f aca="false">IF(AB$5&gt;=Assumptions!$F$6,1,0)</f>
        <v>1</v>
      </c>
      <c r="AC8" s="69" t="n">
        <f aca="false">IF(AC$5&gt;=Assumptions!$F$6,1,0)</f>
        <v>1</v>
      </c>
      <c r="AD8" s="69" t="n">
        <f aca="false">IF(AD$5&gt;=Assumptions!$F$6,1,0)</f>
        <v>1</v>
      </c>
      <c r="AE8" s="69" t="n">
        <f aca="false">IF(AE$5&gt;=Assumptions!$F$6,1,0)</f>
        <v>1</v>
      </c>
      <c r="AF8" s="69" t="n">
        <f aca="false">IF(AF$5&gt;=Assumptions!$F$6,1,0)</f>
        <v>1</v>
      </c>
      <c r="AG8" s="69" t="n">
        <f aca="false">IF(AG$5&gt;=Assumptions!$F$6,1,0)</f>
        <v>1</v>
      </c>
      <c r="AH8" s="69" t="n">
        <f aca="false">IF(AH$5&gt;=Assumptions!$F$6,1,0)</f>
        <v>1</v>
      </c>
      <c r="AI8" s="69" t="n">
        <f aca="false">IF(AI$5&gt;=Assumptions!$F$6,1,0)</f>
        <v>1</v>
      </c>
      <c r="AJ8" s="69" t="n">
        <f aca="false">IF(AJ$5&gt;=Assumptions!$F$6,1,0)</f>
        <v>1</v>
      </c>
      <c r="AK8" s="69" t="n">
        <f aca="false">IF(AK$5&gt;=Assumptions!$F$6,1,0)</f>
        <v>1</v>
      </c>
      <c r="AL8" s="69" t="n">
        <f aca="false">IF(AL$5&gt;=Assumptions!$F$6,1,0)</f>
        <v>1</v>
      </c>
      <c r="AM8" s="69"/>
    </row>
    <row r="9" customFormat="false" ht="15" hidden="false" customHeight="false" outlineLevel="0" collapsed="false">
      <c r="A9" s="10" t="s">
        <v>729</v>
      </c>
      <c r="B9" s="9" t="s">
        <v>728</v>
      </c>
      <c r="C9" s="69" t="n">
        <f aca="false">IF(C$5&gt;=Assumptions!$F$7,1,0)</f>
        <v>0</v>
      </c>
      <c r="D9" s="69" t="n">
        <f aca="false">IF(D$5&gt;=Assumptions!$F$7,1,0)</f>
        <v>0</v>
      </c>
      <c r="E9" s="69" t="n">
        <f aca="false">IF(E$5&gt;=Assumptions!$F$7,1,0)</f>
        <v>0</v>
      </c>
      <c r="F9" s="69" t="n">
        <f aca="false">IF(F$5&gt;=Assumptions!$F$7,1,0)</f>
        <v>0</v>
      </c>
      <c r="G9" s="69" t="n">
        <f aca="false">IF(G$5&gt;=Assumptions!$F$7,1,0)</f>
        <v>1</v>
      </c>
      <c r="H9" s="69" t="n">
        <f aca="false">IF(H$5&gt;=Assumptions!$F$7,1,0)</f>
        <v>1</v>
      </c>
      <c r="I9" s="69" t="n">
        <f aca="false">IF(I$5&gt;=Assumptions!$F$7,1,0)</f>
        <v>1</v>
      </c>
      <c r="J9" s="69" t="n">
        <f aca="false">IF(J$5&gt;=Assumptions!$F$7,1,0)</f>
        <v>1</v>
      </c>
      <c r="K9" s="69" t="n">
        <f aca="false">IF(K$5&gt;=Assumptions!$F$7,1,0)</f>
        <v>1</v>
      </c>
      <c r="L9" s="69" t="n">
        <f aca="false">IF(L$5&gt;=Assumptions!$F$7,1,0)</f>
        <v>1</v>
      </c>
      <c r="M9" s="69" t="n">
        <f aca="false">IF(M$5&gt;=Assumptions!$F$7,1,0)</f>
        <v>1</v>
      </c>
      <c r="N9" s="69" t="n">
        <f aca="false">IF(N$5&gt;=Assumptions!$F$7,1,0)</f>
        <v>1</v>
      </c>
      <c r="O9" s="69" t="n">
        <f aca="false">IF(O$5&gt;=Assumptions!$F$7,1,0)</f>
        <v>1</v>
      </c>
      <c r="P9" s="69" t="n">
        <f aca="false">IF(P$5&gt;=Assumptions!$F$7,1,0)</f>
        <v>1</v>
      </c>
      <c r="Q9" s="69" t="n">
        <f aca="false">IF(Q$5&gt;=Assumptions!$F$7,1,0)</f>
        <v>1</v>
      </c>
      <c r="R9" s="69" t="n">
        <f aca="false">IF(R$5&gt;=Assumptions!$F$7,1,0)</f>
        <v>1</v>
      </c>
      <c r="S9" s="69" t="n">
        <f aca="false">IF(S$5&gt;=Assumptions!$F$7,1,0)</f>
        <v>1</v>
      </c>
      <c r="T9" s="69" t="n">
        <f aca="false">IF(T$5&gt;=Assumptions!$F$7,1,0)</f>
        <v>1</v>
      </c>
      <c r="U9" s="69" t="n">
        <f aca="false">IF(U$5&gt;=Assumptions!$F$7,1,0)</f>
        <v>1</v>
      </c>
      <c r="V9" s="69" t="n">
        <f aca="false">IF(V$5&gt;=Assumptions!$F$7,1,0)</f>
        <v>1</v>
      </c>
      <c r="W9" s="69" t="n">
        <f aca="false">IF(W$5&gt;=Assumptions!$F$7,1,0)</f>
        <v>1</v>
      </c>
      <c r="X9" s="69" t="n">
        <f aca="false">IF(X$5&gt;=Assumptions!$F$7,1,0)</f>
        <v>1</v>
      </c>
      <c r="Y9" s="69" t="n">
        <f aca="false">IF(Y$5&gt;=Assumptions!$F$7,1,0)</f>
        <v>1</v>
      </c>
      <c r="Z9" s="69" t="n">
        <f aca="false">IF(Z$5&gt;=Assumptions!$F$7,1,0)</f>
        <v>1</v>
      </c>
      <c r="AA9" s="69" t="n">
        <f aca="false">IF(AA$5&gt;=Assumptions!$F$7,1,0)</f>
        <v>1</v>
      </c>
      <c r="AB9" s="69" t="n">
        <f aca="false">IF(AB$5&gt;=Assumptions!$F$7,1,0)</f>
        <v>1</v>
      </c>
      <c r="AC9" s="69" t="n">
        <f aca="false">IF(AC$5&gt;=Assumptions!$F$7,1,0)</f>
        <v>1</v>
      </c>
      <c r="AD9" s="69" t="n">
        <f aca="false">IF(AD$5&gt;=Assumptions!$F$7,1,0)</f>
        <v>1</v>
      </c>
      <c r="AE9" s="69" t="n">
        <f aca="false">IF(AE$5&gt;=Assumptions!$F$7,1,0)</f>
        <v>1</v>
      </c>
      <c r="AF9" s="69" t="n">
        <f aca="false">IF(AF$5&gt;=Assumptions!$F$7,1,0)</f>
        <v>1</v>
      </c>
      <c r="AG9" s="69" t="n">
        <f aca="false">IF(AG$5&gt;=Assumptions!$F$7,1,0)</f>
        <v>1</v>
      </c>
      <c r="AH9" s="69" t="n">
        <f aca="false">IF(AH$5&gt;=Assumptions!$F$7,1,0)</f>
        <v>1</v>
      </c>
      <c r="AI9" s="69" t="n">
        <f aca="false">IF(AI$5&gt;=Assumptions!$F$7,1,0)</f>
        <v>1</v>
      </c>
      <c r="AJ9" s="69" t="n">
        <f aca="false">IF(AJ$5&gt;=Assumptions!$F$7,1,0)</f>
        <v>1</v>
      </c>
      <c r="AK9" s="69" t="n">
        <f aca="false">IF(AK$5&gt;=Assumptions!$F$7,1,0)</f>
        <v>1</v>
      </c>
      <c r="AL9" s="69" t="n">
        <f aca="false">IF(AL$5&gt;=Assumptions!$F$7,1,0)</f>
        <v>1</v>
      </c>
      <c r="AM9" s="69"/>
    </row>
    <row r="10" customFormat="false" ht="15" hidden="false" customHeight="false" outlineLevel="0" collapsed="false">
      <c r="A10" s="10" t="s">
        <v>730</v>
      </c>
      <c r="B10" s="9" t="s">
        <v>51</v>
      </c>
      <c r="C10" s="69" t="n">
        <f aca="false">MAX(0,C$5-Assumptions!$F$6)</f>
        <v>0</v>
      </c>
      <c r="D10" s="69" t="n">
        <f aca="false">MAX(0,D$5-Assumptions!$F$6)</f>
        <v>0</v>
      </c>
      <c r="E10" s="69" t="n">
        <f aca="false">MAX(0,E$5-Assumptions!$F$6)</f>
        <v>1</v>
      </c>
      <c r="F10" s="69" t="n">
        <f aca="false">MAX(0,F$5-Assumptions!$F$6)</f>
        <v>2</v>
      </c>
      <c r="G10" s="69" t="n">
        <f aca="false">MAX(0,G$5-Assumptions!$F$6)</f>
        <v>3</v>
      </c>
      <c r="H10" s="69" t="n">
        <f aca="false">MAX(0,H$5-Assumptions!$F$6)</f>
        <v>4</v>
      </c>
      <c r="I10" s="69" t="n">
        <f aca="false">MAX(0,I$5-Assumptions!$F$6)</f>
        <v>5</v>
      </c>
      <c r="J10" s="69" t="n">
        <f aca="false">MAX(0,J$5-Assumptions!$F$6)</f>
        <v>6</v>
      </c>
      <c r="K10" s="69" t="n">
        <f aca="false">MAX(0,K$5-Assumptions!$F$6)</f>
        <v>7</v>
      </c>
      <c r="L10" s="69" t="n">
        <f aca="false">MAX(0,L$5-Assumptions!$F$6)</f>
        <v>8</v>
      </c>
      <c r="M10" s="69" t="n">
        <f aca="false">MAX(0,M$5-Assumptions!$F$6)</f>
        <v>9</v>
      </c>
      <c r="N10" s="69" t="n">
        <f aca="false">MAX(0,N$5-Assumptions!$F$6)</f>
        <v>10</v>
      </c>
      <c r="O10" s="69" t="n">
        <f aca="false">MAX(0,O$5-Assumptions!$F$6)</f>
        <v>11</v>
      </c>
      <c r="P10" s="69" t="n">
        <f aca="false">MAX(0,P$5-Assumptions!$F$6)</f>
        <v>12</v>
      </c>
      <c r="Q10" s="69" t="n">
        <f aca="false">MAX(0,Q$5-Assumptions!$F$6)</f>
        <v>13</v>
      </c>
      <c r="R10" s="69" t="n">
        <f aca="false">MAX(0,R$5-Assumptions!$F$6)</f>
        <v>14</v>
      </c>
      <c r="S10" s="69" t="n">
        <f aca="false">MAX(0,S$5-Assumptions!$F$6)</f>
        <v>15</v>
      </c>
      <c r="T10" s="69" t="n">
        <f aca="false">MAX(0,T$5-Assumptions!$F$6)</f>
        <v>16</v>
      </c>
      <c r="U10" s="69" t="n">
        <f aca="false">MAX(0,U$5-Assumptions!$F$6)</f>
        <v>17</v>
      </c>
      <c r="V10" s="69" t="n">
        <f aca="false">MAX(0,V$5-Assumptions!$F$6)</f>
        <v>18</v>
      </c>
      <c r="W10" s="69" t="n">
        <f aca="false">MAX(0,W$5-Assumptions!$F$6)</f>
        <v>19</v>
      </c>
      <c r="X10" s="69" t="n">
        <f aca="false">MAX(0,X$5-Assumptions!$F$6)</f>
        <v>20</v>
      </c>
      <c r="Y10" s="69" t="n">
        <f aca="false">MAX(0,Y$5-Assumptions!$F$6)</f>
        <v>21</v>
      </c>
      <c r="Z10" s="69" t="n">
        <f aca="false">MAX(0,Z$5-Assumptions!$F$6)</f>
        <v>22</v>
      </c>
      <c r="AA10" s="69" t="n">
        <f aca="false">MAX(0,AA$5-Assumptions!$F$6)</f>
        <v>23</v>
      </c>
      <c r="AB10" s="69" t="n">
        <f aca="false">MAX(0,AB$5-Assumptions!$F$6)</f>
        <v>24</v>
      </c>
      <c r="AC10" s="69" t="n">
        <f aca="false">MAX(0,AC$5-Assumptions!$F$6)</f>
        <v>25</v>
      </c>
      <c r="AD10" s="69" t="n">
        <f aca="false">MAX(0,AD$5-Assumptions!$F$6)</f>
        <v>26</v>
      </c>
      <c r="AE10" s="69" t="n">
        <f aca="false">MAX(0,AE$5-Assumptions!$F$6)</f>
        <v>27</v>
      </c>
      <c r="AF10" s="69" t="n">
        <f aca="false">MAX(0,AF$5-Assumptions!$F$6)</f>
        <v>28</v>
      </c>
      <c r="AG10" s="69" t="n">
        <f aca="false">MAX(0,AG$5-Assumptions!$F$6)</f>
        <v>29</v>
      </c>
      <c r="AH10" s="69" t="n">
        <f aca="false">MAX(0,AH$5-Assumptions!$F$6)</f>
        <v>30</v>
      </c>
      <c r="AI10" s="69" t="n">
        <f aca="false">MAX(0,AI$5-Assumptions!$F$6)</f>
        <v>31</v>
      </c>
      <c r="AJ10" s="69" t="n">
        <f aca="false">MAX(0,AJ$5-Assumptions!$F$6)</f>
        <v>32</v>
      </c>
      <c r="AK10" s="69" t="n">
        <f aca="false">MAX(0,AK$5-Assumptions!$F$6)</f>
        <v>33</v>
      </c>
      <c r="AL10" s="69" t="n">
        <f aca="false">MAX(0,AL$5-Assumptions!$F$6)</f>
        <v>34</v>
      </c>
      <c r="AM10" s="69"/>
    </row>
    <row r="11" customFormat="false" ht="15" hidden="false" customHeight="false" outlineLevel="0" collapsed="false">
      <c r="A11" s="10" t="s">
        <v>731</v>
      </c>
      <c r="B11" s="9" t="s">
        <v>84</v>
      </c>
      <c r="C11" s="61" t="n">
        <f aca="false">Assumptions!$F$9*Assumptions!$F$10*Assumptions!$F$11*Assumptions!$F$12</f>
        <v>191320.5</v>
      </c>
      <c r="D11" s="61" t="n">
        <f aca="false">Assumptions!$F$9*Assumptions!$F$10*Assumptions!$F$11*Assumptions!$F$12</f>
        <v>191320.5</v>
      </c>
      <c r="E11" s="61" t="n">
        <f aca="false">Assumptions!$F$9*Assumptions!$F$10*Assumptions!$F$11*Assumptions!$F$12</f>
        <v>191320.5</v>
      </c>
      <c r="F11" s="61" t="n">
        <f aca="false">Assumptions!$F$9*Assumptions!$F$10*Assumptions!$F$11*Assumptions!$F$12</f>
        <v>191320.5</v>
      </c>
      <c r="G11" s="61" t="n">
        <f aca="false">Assumptions!$F$9*Assumptions!$F$10*Assumptions!$F$11*Assumptions!$F$12</f>
        <v>191320.5</v>
      </c>
      <c r="H11" s="61" t="n">
        <f aca="false">Assumptions!$F$9*Assumptions!$F$10*Assumptions!$F$11*Assumptions!$F$12</f>
        <v>191320.5</v>
      </c>
      <c r="I11" s="61" t="n">
        <f aca="false">Assumptions!$F$9*Assumptions!$F$10*Assumptions!$F$11*Assumptions!$F$12</f>
        <v>191320.5</v>
      </c>
      <c r="J11" s="61" t="n">
        <f aca="false">Assumptions!$F$9*Assumptions!$F$10*Assumptions!$F$11*Assumptions!$F$12</f>
        <v>191320.5</v>
      </c>
      <c r="K11" s="61" t="n">
        <f aca="false">Assumptions!$F$9*Assumptions!$F$10*Assumptions!$F$11*Assumptions!$F$12</f>
        <v>191320.5</v>
      </c>
      <c r="L11" s="61" t="n">
        <f aca="false">Assumptions!$F$9*Assumptions!$F$10*Assumptions!$F$11*Assumptions!$F$12</f>
        <v>191320.5</v>
      </c>
      <c r="M11" s="61" t="n">
        <f aca="false">Assumptions!$F$9*Assumptions!$F$10*Assumptions!$F$11*Assumptions!$F$12</f>
        <v>191320.5</v>
      </c>
      <c r="N11" s="61" t="n">
        <f aca="false">Assumptions!$F$9*Assumptions!$F$10*Assumptions!$F$11*Assumptions!$F$12</f>
        <v>191320.5</v>
      </c>
      <c r="O11" s="61" t="n">
        <f aca="false">Assumptions!$F$9*Assumptions!$F$10*Assumptions!$F$11*Assumptions!$F$12</f>
        <v>191320.5</v>
      </c>
      <c r="P11" s="61" t="n">
        <f aca="false">Assumptions!$F$9*Assumptions!$F$10*Assumptions!$F$11*Assumptions!$F$12</f>
        <v>191320.5</v>
      </c>
      <c r="Q11" s="61" t="n">
        <f aca="false">Assumptions!$F$9*Assumptions!$F$10*Assumptions!$F$11*Assumptions!$F$12</f>
        <v>191320.5</v>
      </c>
      <c r="R11" s="61" t="n">
        <f aca="false">Assumptions!$F$9*Assumptions!$F$10*Assumptions!$F$11*Assumptions!$F$12</f>
        <v>191320.5</v>
      </c>
      <c r="S11" s="61" t="n">
        <f aca="false">Assumptions!$F$9*Assumptions!$F$10*Assumptions!$F$11*Assumptions!$F$12</f>
        <v>191320.5</v>
      </c>
      <c r="T11" s="61" t="n">
        <f aca="false">Assumptions!$F$9*Assumptions!$F$10*Assumptions!$F$11*Assumptions!$F$12</f>
        <v>191320.5</v>
      </c>
      <c r="U11" s="61" t="n">
        <f aca="false">Assumptions!$F$9*Assumptions!$F$10*Assumptions!$F$11*Assumptions!$F$12</f>
        <v>191320.5</v>
      </c>
      <c r="V11" s="61" t="n">
        <f aca="false">Assumptions!$F$9*Assumptions!$F$10*Assumptions!$F$11*Assumptions!$F$12</f>
        <v>191320.5</v>
      </c>
      <c r="W11" s="61" t="n">
        <f aca="false">Assumptions!$F$9*Assumptions!$F$10*Assumptions!$F$11*Assumptions!$F$12</f>
        <v>191320.5</v>
      </c>
      <c r="X11" s="61" t="n">
        <f aca="false">Assumptions!$F$9*Assumptions!$F$10*Assumptions!$F$11*Assumptions!$F$12</f>
        <v>191320.5</v>
      </c>
      <c r="Y11" s="61" t="n">
        <f aca="false">Assumptions!$F$9*Assumptions!$F$10*Assumptions!$F$11*Assumptions!$F$12</f>
        <v>191320.5</v>
      </c>
      <c r="Z11" s="61" t="n">
        <f aca="false">Assumptions!$F$9*Assumptions!$F$10*Assumptions!$F$11*Assumptions!$F$12</f>
        <v>191320.5</v>
      </c>
      <c r="AA11" s="61" t="n">
        <f aca="false">Assumptions!$F$9*Assumptions!$F$10*Assumptions!$F$11*Assumptions!$F$12</f>
        <v>191320.5</v>
      </c>
      <c r="AB11" s="61" t="n">
        <f aca="false">Assumptions!$F$9*Assumptions!$F$10*Assumptions!$F$11*Assumptions!$F$12</f>
        <v>191320.5</v>
      </c>
      <c r="AC11" s="61" t="n">
        <f aca="false">Assumptions!$F$9*Assumptions!$F$10*Assumptions!$F$11*Assumptions!$F$12</f>
        <v>191320.5</v>
      </c>
      <c r="AD11" s="61" t="n">
        <f aca="false">Assumptions!$F$9*Assumptions!$F$10*Assumptions!$F$11*Assumptions!$F$12</f>
        <v>191320.5</v>
      </c>
      <c r="AE11" s="61" t="n">
        <f aca="false">Assumptions!$F$9*Assumptions!$F$10*Assumptions!$F$11*Assumptions!$F$12</f>
        <v>191320.5</v>
      </c>
      <c r="AF11" s="61" t="n">
        <f aca="false">Assumptions!$F$9*Assumptions!$F$10*Assumptions!$F$11*Assumptions!$F$12</f>
        <v>191320.5</v>
      </c>
      <c r="AG11" s="61" t="n">
        <f aca="false">Assumptions!$F$9*Assumptions!$F$10*Assumptions!$F$11*Assumptions!$F$12</f>
        <v>191320.5</v>
      </c>
      <c r="AH11" s="61" t="n">
        <f aca="false">Assumptions!$F$9*Assumptions!$F$10*Assumptions!$F$11*Assumptions!$F$12</f>
        <v>191320.5</v>
      </c>
      <c r="AI11" s="61" t="n">
        <f aca="false">Assumptions!$F$9*Assumptions!$F$10*Assumptions!$F$11*Assumptions!$F$12</f>
        <v>191320.5</v>
      </c>
      <c r="AJ11" s="61" t="n">
        <f aca="false">Assumptions!$F$9*Assumptions!$F$10*Assumptions!$F$11*Assumptions!$F$12</f>
        <v>191320.5</v>
      </c>
      <c r="AK11" s="61" t="n">
        <f aca="false">Assumptions!$F$9*Assumptions!$F$10*Assumptions!$F$11*Assumptions!$F$12</f>
        <v>191320.5</v>
      </c>
      <c r="AL11" s="61" t="n">
        <f aca="false">Assumptions!$F$9*Assumptions!$F$10*Assumptions!$F$11*Assumptions!$F$12</f>
        <v>191320.5</v>
      </c>
      <c r="AM11" s="61"/>
    </row>
    <row r="12" customFormat="false" ht="15" hidden="false" customHeight="false" outlineLevel="0" collapsed="false">
      <c r="A12" s="10" t="s">
        <v>732</v>
      </c>
      <c r="B12" s="9" t="s">
        <v>78</v>
      </c>
      <c r="C12" s="57" t="n">
        <f aca="false">IF(C8=0,0,IF(C10=0,Assumptions!$F$15,Assumptions!$F$14+(1-Assumptions!$F$14)*Assumptions!$F$13^C10))</f>
        <v>0</v>
      </c>
      <c r="D12" s="57" t="n">
        <f aca="false">IF(D8=0,0,IF(D10=0,Assumptions!$F$15,Assumptions!$F$14+(1-Assumptions!$F$14)*Assumptions!$F$13^D10))</f>
        <v>2.8</v>
      </c>
      <c r="E12" s="57" t="n">
        <f aca="false">IF(E8=0,0,IF(E10=0,Assumptions!$F$15,Assumptions!$F$14+(1-Assumptions!$F$14)*Assumptions!$F$13^E10))</f>
        <v>0.9216</v>
      </c>
      <c r="F12" s="57" t="n">
        <f aca="false">IF(F8=0,0,IF(F10=0,Assumptions!$F$15,Assumptions!$F$14+(1-Assumptions!$F$14)*Assumptions!$F$13^F10))</f>
        <v>0.854176</v>
      </c>
      <c r="G12" s="57" t="n">
        <f aca="false">IF(G8=0,0,IF(G10=0,Assumptions!$F$15,Assumptions!$F$14+(1-Assumptions!$F$14)*Assumptions!$F$13^G10))</f>
        <v>0.79619136</v>
      </c>
      <c r="H12" s="57" t="n">
        <f aca="false">IF(H8=0,0,IF(H10=0,Assumptions!$F$15,Assumptions!$F$14+(1-Assumptions!$F$14)*Assumptions!$F$13^H10))</f>
        <v>0.7463245696</v>
      </c>
      <c r="I12" s="57" t="n">
        <f aca="false">IF(I8=0,0,IF(I10=0,Assumptions!$F$15,Assumptions!$F$14+(1-Assumptions!$F$14)*Assumptions!$F$13^I10))</f>
        <v>0.703439129856</v>
      </c>
      <c r="J12" s="57" t="n">
        <f aca="false">IF(J8=0,0,IF(J10=0,Assumptions!$F$15,Assumptions!$F$14+(1-Assumptions!$F$14)*Assumptions!$F$13^J10))</f>
        <v>0.66655765167616</v>
      </c>
      <c r="K12" s="57" t="n">
        <f aca="false">IF(K8=0,0,IF(K10=0,Assumptions!$F$15,Assumptions!$F$14+(1-Assumptions!$F$14)*Assumptions!$F$13^K10))</f>
        <v>0.634839580441498</v>
      </c>
      <c r="L12" s="57" t="n">
        <f aca="false">IF(L8=0,0,IF(L10=0,Assumptions!$F$15,Assumptions!$F$14+(1-Assumptions!$F$14)*Assumptions!$F$13^L10))</f>
        <v>0.607562039179688</v>
      </c>
      <c r="M12" s="57" t="n">
        <f aca="false">IF(M8=0,0,IF(M10=0,Assumptions!$F$15,Assumptions!$F$14+(1-Assumptions!$F$14)*Assumptions!$F$13^M10))</f>
        <v>0.584103353694532</v>
      </c>
      <c r="N12" s="57" t="n">
        <f aca="false">IF(N8=0,0,IF(N10=0,Assumptions!$F$15,Assumptions!$F$14+(1-Assumptions!$F$14)*Assumptions!$F$13^N10))</f>
        <v>0.563928884177297</v>
      </c>
      <c r="O12" s="57" t="n">
        <f aca="false">IF(O8=0,0,IF(O10=0,Assumptions!$F$15,Assumptions!$F$14+(1-Assumptions!$F$14)*Assumptions!$F$13^O10))</f>
        <v>0.546578840392476</v>
      </c>
      <c r="P12" s="57" t="n">
        <f aca="false">IF(P8=0,0,IF(P10=0,Assumptions!$F$15,Assumptions!$F$14+(1-Assumptions!$F$14)*Assumptions!$F$13^P10))</f>
        <v>0.531657802737529</v>
      </c>
      <c r="Q12" s="57" t="n">
        <f aca="false">IF(Q8=0,0,IF(Q10=0,Assumptions!$F$15,Assumptions!$F$14+(1-Assumptions!$F$14)*Assumptions!$F$13^Q10))</f>
        <v>0.518825710354275</v>
      </c>
      <c r="R12" s="57" t="n">
        <f aca="false">IF(R8=0,0,IF(R10=0,Assumptions!$F$15,Assumptions!$F$14+(1-Assumptions!$F$14)*Assumptions!$F$13^R10))</f>
        <v>0.507790110904676</v>
      </c>
      <c r="S12" s="57" t="n">
        <f aca="false">IF(S8=0,0,IF(S10=0,Assumptions!$F$15,Assumptions!$F$14+(1-Assumptions!$F$14)*Assumptions!$F$13^S10))</f>
        <v>0.498299495378022</v>
      </c>
      <c r="T12" s="57" t="n">
        <f aca="false">IF(T8=0,0,IF(T10=0,Assumptions!$F$15,Assumptions!$F$14+(1-Assumptions!$F$14)*Assumptions!$F$13^T10))</f>
        <v>0.490137566025099</v>
      </c>
      <c r="U12" s="57" t="n">
        <f aca="false">IF(U8=0,0,IF(U10=0,Assumptions!$F$15,Assumptions!$F$14+(1-Assumptions!$F$14)*Assumptions!$F$13^U10))</f>
        <v>0.483118306781585</v>
      </c>
      <c r="V12" s="57" t="n">
        <f aca="false">IF(V8=0,0,IF(V10=0,Assumptions!$F$15,Assumptions!$F$14+(1-Assumptions!$F$14)*Assumptions!$F$13^V10))</f>
        <v>0.477081743832163</v>
      </c>
      <c r="W12" s="57" t="n">
        <f aca="false">IF(W8=0,0,IF(W10=0,Assumptions!$F$15,Assumptions!$F$14+(1-Assumptions!$F$14)*Assumptions!$F$13^W10))</f>
        <v>0.47189029969566</v>
      </c>
      <c r="X12" s="57" t="n">
        <f aca="false">IF(X8=0,0,IF(X10=0,Assumptions!$F$15,Assumptions!$F$14+(1-Assumptions!$F$14)*Assumptions!$F$13^X10))</f>
        <v>0.467425657738268</v>
      </c>
      <c r="Y12" s="57" t="n">
        <f aca="false">IF(Y8=0,0,IF(Y10=0,Assumptions!$F$15,Assumptions!$F$14+(1-Assumptions!$F$14)*Assumptions!$F$13^Y10))</f>
        <v>0.46358606565491</v>
      </c>
      <c r="Z12" s="57" t="n">
        <f aca="false">IF(Z8=0,0,IF(Z10=0,Assumptions!$F$15,Assumptions!$F$14+(1-Assumptions!$F$14)*Assumptions!$F$13^Z10))</f>
        <v>0.460284016463223</v>
      </c>
      <c r="AA12" s="57" t="n">
        <f aca="false">IF(AA8=0,0,IF(AA10=0,Assumptions!$F$15,Assumptions!$F$14+(1-Assumptions!$F$14)*Assumptions!$F$13^AA10))</f>
        <v>0.457444254158372</v>
      </c>
      <c r="AB12" s="57" t="n">
        <f aca="false">IF(AB8=0,0,IF(AB10=0,Assumptions!$F$15,Assumptions!$F$14+(1-Assumptions!$F$14)*Assumptions!$F$13^AB10))</f>
        <v>0.4550020585762</v>
      </c>
      <c r="AC12" s="57" t="n">
        <f aca="false">IF(AC8=0,0,IF(AC10=0,Assumptions!$F$15,Assumptions!$F$14+(1-Assumptions!$F$14)*Assumptions!$F$13^AC10))</f>
        <v>0.452901770375532</v>
      </c>
      <c r="AD12" s="57" t="n">
        <f aca="false">IF(AD8=0,0,IF(AD10=0,Assumptions!$F$15,Assumptions!$F$14+(1-Assumptions!$F$14)*Assumptions!$F$13^AD10))</f>
        <v>0.451095522522957</v>
      </c>
      <c r="AE12" s="57" t="n">
        <f aca="false">IF(AE8=0,0,IF(AE10=0,Assumptions!$F$15,Assumptions!$F$14+(1-Assumptions!$F$14)*Assumptions!$F$13^AE10))</f>
        <v>0.449542149369743</v>
      </c>
      <c r="AF12" s="57" t="n">
        <f aca="false">IF(AF8=0,0,IF(AF10=0,Assumptions!$F$15,Assumptions!$F$14+(1-Assumptions!$F$14)*Assumptions!$F$13^AF10))</f>
        <v>0.448206248457979</v>
      </c>
      <c r="AG12" s="57" t="n">
        <f aca="false">IF(AG8=0,0,IF(AG10=0,Assumptions!$F$15,Assumptions!$F$14+(1-Assumptions!$F$14)*Assumptions!$F$13^AG10))</f>
        <v>0.447057373673862</v>
      </c>
      <c r="AH12" s="57" t="n">
        <f aca="false">IF(AH8=0,0,IF(AH10=0,Assumptions!$F$15,Assumptions!$F$14+(1-Assumptions!$F$14)*Assumptions!$F$13^AH10))</f>
        <v>0.446069341359521</v>
      </c>
      <c r="AI12" s="57" t="n">
        <f aca="false">IF(AI8=0,0,IF(AI10=0,Assumptions!$F$15,Assumptions!$F$14+(1-Assumptions!$F$14)*Assumptions!$F$13^AI10))</f>
        <v>0.445219633569188</v>
      </c>
      <c r="AJ12" s="57" t="n">
        <f aca="false">IF(AJ8=0,0,IF(AJ10=0,Assumptions!$F$15,Assumptions!$F$14+(1-Assumptions!$F$14)*Assumptions!$F$13^AJ10))</f>
        <v>0.444488884869502</v>
      </c>
      <c r="AK12" s="57" t="n">
        <f aca="false">IF(AK8=0,0,IF(AK10=0,Assumptions!$F$15,Assumptions!$F$14+(1-Assumptions!$F$14)*Assumptions!$F$13^AK10))</f>
        <v>0.443860440987772</v>
      </c>
      <c r="AL12" s="57" t="n">
        <f aca="false">IF(AL8=0,0,IF(AL10=0,Assumptions!$F$15,Assumptions!$F$14+(1-Assumptions!$F$14)*Assumptions!$F$13^AL10))</f>
        <v>0.443319979249484</v>
      </c>
      <c r="AM12" s="57"/>
    </row>
    <row r="13" customFormat="false" ht="15" hidden="false" customHeight="false" outlineLevel="0" collapsed="false">
      <c r="A13" s="10" t="s">
        <v>733</v>
      </c>
      <c r="B13" s="9" t="s">
        <v>84</v>
      </c>
      <c r="C13" s="61" t="n">
        <f aca="false">C11*C12</f>
        <v>0</v>
      </c>
      <c r="D13" s="61" t="n">
        <f aca="false">D11*D12</f>
        <v>535697.4</v>
      </c>
      <c r="E13" s="61" t="n">
        <f aca="false">E11*E12</f>
        <v>176320.9728</v>
      </c>
      <c r="F13" s="61" t="n">
        <f aca="false">F11*F12</f>
        <v>163421.379408</v>
      </c>
      <c r="G13" s="61" t="n">
        <f aca="false">G11*G12</f>
        <v>152327.72909088</v>
      </c>
      <c r="H13" s="61" t="n">
        <f aca="false">H11*H12</f>
        <v>142787.189818157</v>
      </c>
      <c r="I13" s="61" t="n">
        <f aca="false">I11*I12</f>
        <v>134582.326043615</v>
      </c>
      <c r="J13" s="61" t="n">
        <f aca="false">J11*J12</f>
        <v>127526.143197509</v>
      </c>
      <c r="K13" s="61" t="n">
        <f aca="false">K11*K12</f>
        <v>121457.825949858</v>
      </c>
      <c r="L13" s="61" t="n">
        <f aca="false">L11*L12</f>
        <v>116239.073116877</v>
      </c>
      <c r="M13" s="61" t="n">
        <f aca="false">M11*M12</f>
        <v>111750.945680515</v>
      </c>
      <c r="N13" s="61" t="n">
        <f aca="false">N11*N12</f>
        <v>107891.156085243</v>
      </c>
      <c r="O13" s="61" t="n">
        <f aca="false">O11*O12</f>
        <v>104571.737033309</v>
      </c>
      <c r="P13" s="61" t="n">
        <f aca="false">P11*P12</f>
        <v>101717.036648645</v>
      </c>
      <c r="Q13" s="61" t="n">
        <f aca="false">Q11*Q12</f>
        <v>99261.9943178351</v>
      </c>
      <c r="R13" s="61" t="n">
        <f aca="false">R11*R12</f>
        <v>97150.6579133382</v>
      </c>
      <c r="S13" s="61" t="n">
        <f aca="false">S11*S12</f>
        <v>95334.9086054708</v>
      </c>
      <c r="T13" s="61" t="n">
        <f aca="false">T11*T12</f>
        <v>93773.3642007049</v>
      </c>
      <c r="U13" s="61" t="n">
        <f aca="false">U11*U12</f>
        <v>92430.4360126062</v>
      </c>
      <c r="V13" s="61" t="n">
        <f aca="false">V11*V12</f>
        <v>91275.5177708413</v>
      </c>
      <c r="W13" s="61" t="n">
        <f aca="false">W11*W12</f>
        <v>90282.2880829236</v>
      </c>
      <c r="X13" s="61" t="n">
        <f aca="false">X11*X12</f>
        <v>89428.1105513143</v>
      </c>
      <c r="Y13" s="61" t="n">
        <f aca="false">Y11*Y12</f>
        <v>88693.5178741303</v>
      </c>
      <c r="Z13" s="61" t="n">
        <f aca="false">Z11*Z12</f>
        <v>88061.768171752</v>
      </c>
      <c r="AA13" s="61" t="n">
        <f aca="false">AA11*AA12</f>
        <v>87518.4634277067</v>
      </c>
      <c r="AB13" s="61" t="n">
        <f aca="false">AB11*AB12</f>
        <v>87051.2213478278</v>
      </c>
      <c r="AC13" s="61" t="n">
        <f aca="false">AC11*AC12</f>
        <v>86649.3931591319</v>
      </c>
      <c r="AD13" s="61" t="n">
        <f aca="false">AD11*AD12</f>
        <v>86303.8209168534</v>
      </c>
      <c r="AE13" s="61" t="n">
        <f aca="false">AE11*AE12</f>
        <v>86006.628788494</v>
      </c>
      <c r="AF13" s="61" t="n">
        <f aca="false">AF11*AF12</f>
        <v>85751.0435581048</v>
      </c>
      <c r="AG13" s="61" t="n">
        <f aca="false">AG11*AG12</f>
        <v>85531.2402599701</v>
      </c>
      <c r="AH13" s="61" t="n">
        <f aca="false">AH11*AH12</f>
        <v>85342.2094235743</v>
      </c>
      <c r="AI13" s="61" t="n">
        <f aca="false">AI11*AI12</f>
        <v>85179.6429042739</v>
      </c>
      <c r="AJ13" s="61" t="n">
        <f aca="false">AJ11*AJ12</f>
        <v>85039.8356976756</v>
      </c>
      <c r="AK13" s="61" t="n">
        <f aca="false">AK11*AK12</f>
        <v>84919.601500001</v>
      </c>
      <c r="AL13" s="61" t="n">
        <f aca="false">AL11*AL12</f>
        <v>84816.2000900008</v>
      </c>
      <c r="AM13" s="61" t="n">
        <f aca="false">SUM(C13:AL13)</f>
        <v>4052092.77944714</v>
      </c>
    </row>
    <row r="14" customFormat="false" ht="15" hidden="false" customHeight="false" outlineLevel="0" collapsed="false">
      <c r="A14" s="10" t="s">
        <v>734</v>
      </c>
      <c r="B14" s="9" t="s">
        <v>735</v>
      </c>
      <c r="C14" s="61" t="n">
        <f aca="false">Assumptions!$F$9*Assumptions!$F$10*Assumptions!$F$11*C12</f>
        <v>0</v>
      </c>
      <c r="D14" s="61" t="n">
        <f aca="false">Assumptions!$F$9*Assumptions!$F$10*Assumptions!$F$11*D12</f>
        <v>56389200</v>
      </c>
      <c r="E14" s="61" t="n">
        <f aca="false">Assumptions!$F$9*Assumptions!$F$10*Assumptions!$F$11*E12</f>
        <v>18560102.4</v>
      </c>
      <c r="F14" s="61" t="n">
        <f aca="false">Assumptions!$F$9*Assumptions!$F$10*Assumptions!$F$11*F12</f>
        <v>17202250.464</v>
      </c>
      <c r="G14" s="61" t="n">
        <f aca="false">Assumptions!$F$9*Assumptions!$F$10*Assumptions!$F$11*G12</f>
        <v>16034497.79904</v>
      </c>
      <c r="H14" s="61" t="n">
        <f aca="false">Assumptions!$F$9*Assumptions!$F$10*Assumptions!$F$11*H12</f>
        <v>15030230.5071744</v>
      </c>
      <c r="I14" s="61" t="n">
        <f aca="false">Assumptions!$F$9*Assumptions!$F$10*Assumptions!$F$11*I12</f>
        <v>14166560.63617</v>
      </c>
      <c r="J14" s="61" t="n">
        <f aca="false">Assumptions!$F$9*Assumptions!$F$10*Assumptions!$F$11*J12</f>
        <v>13423804.5471062</v>
      </c>
      <c r="K14" s="61" t="n">
        <f aca="false">Assumptions!$F$9*Assumptions!$F$10*Assumptions!$F$11*K12</f>
        <v>12785034.3105113</v>
      </c>
      <c r="L14" s="61" t="n">
        <f aca="false">Assumptions!$F$9*Assumptions!$F$10*Assumptions!$F$11*L12</f>
        <v>12235691.9070397</v>
      </c>
      <c r="M14" s="61" t="n">
        <f aca="false">Assumptions!$F$9*Assumptions!$F$10*Assumptions!$F$11*M12</f>
        <v>11763257.4400542</v>
      </c>
      <c r="N14" s="61" t="n">
        <f aca="false">Assumptions!$F$9*Assumptions!$F$10*Assumptions!$F$11*N12</f>
        <v>11356963.7984466</v>
      </c>
      <c r="O14" s="61" t="n">
        <f aca="false">Assumptions!$F$9*Assumptions!$F$10*Assumptions!$F$11*O12</f>
        <v>11007551.2666641</v>
      </c>
      <c r="P14" s="61" t="n">
        <f aca="false">Assumptions!$F$9*Assumptions!$F$10*Assumptions!$F$11*P12</f>
        <v>10707056.4893311</v>
      </c>
      <c r="Q14" s="61" t="n">
        <f aca="false">Assumptions!$F$9*Assumptions!$F$10*Assumptions!$F$11*Q12</f>
        <v>10448630.9808247</v>
      </c>
      <c r="R14" s="61" t="n">
        <f aca="false">Assumptions!$F$9*Assumptions!$F$10*Assumptions!$F$11*R12</f>
        <v>10226385.0435093</v>
      </c>
      <c r="S14" s="61" t="n">
        <f aca="false">Assumptions!$F$9*Assumptions!$F$10*Assumptions!$F$11*S12</f>
        <v>10035253.537418</v>
      </c>
      <c r="T14" s="61" t="n">
        <f aca="false">Assumptions!$F$9*Assumptions!$F$10*Assumptions!$F$11*T12</f>
        <v>9870880.44217946</v>
      </c>
      <c r="U14" s="61" t="n">
        <f aca="false">Assumptions!$F$9*Assumptions!$F$10*Assumptions!$F$11*U12</f>
        <v>9729519.58027434</v>
      </c>
      <c r="V14" s="61" t="n">
        <f aca="false">Assumptions!$F$9*Assumptions!$F$10*Assumptions!$F$11*V12</f>
        <v>9607949.23903593</v>
      </c>
      <c r="W14" s="61" t="n">
        <f aca="false">Assumptions!$F$9*Assumptions!$F$10*Assumptions!$F$11*W12</f>
        <v>9503398.7455709</v>
      </c>
      <c r="X14" s="61" t="n">
        <f aca="false">Assumptions!$F$9*Assumptions!$F$10*Assumptions!$F$11*X12</f>
        <v>9413485.32119098</v>
      </c>
      <c r="Y14" s="61" t="n">
        <f aca="false">Assumptions!$F$9*Assumptions!$F$10*Assumptions!$F$11*Y12</f>
        <v>9336159.77622424</v>
      </c>
      <c r="Z14" s="61" t="n">
        <f aca="false">Assumptions!$F$9*Assumptions!$F$10*Assumptions!$F$11*Z12</f>
        <v>9269659.80755284</v>
      </c>
      <c r="AA14" s="61" t="n">
        <f aca="false">Assumptions!$F$9*Assumptions!$F$10*Assumptions!$F$11*AA12</f>
        <v>9212469.83449545</v>
      </c>
      <c r="AB14" s="61" t="n">
        <f aca="false">Assumptions!$F$9*Assumptions!$F$10*Assumptions!$F$11*AB12</f>
        <v>9163286.45766608</v>
      </c>
      <c r="AC14" s="61" t="n">
        <f aca="false">Assumptions!$F$9*Assumptions!$F$10*Assumptions!$F$11*AC12</f>
        <v>9120988.75359283</v>
      </c>
      <c r="AD14" s="61" t="n">
        <f aca="false">Assumptions!$F$9*Assumptions!$F$10*Assumptions!$F$11*AD12</f>
        <v>9084612.72808984</v>
      </c>
      <c r="AE14" s="61" t="n">
        <f aca="false">Assumptions!$F$9*Assumptions!$F$10*Assumptions!$F$11*AE12</f>
        <v>9053329.34615726</v>
      </c>
      <c r="AF14" s="61" t="n">
        <f aca="false">Assumptions!$F$9*Assumptions!$F$10*Assumptions!$F$11*AF12</f>
        <v>9026425.63769524</v>
      </c>
      <c r="AG14" s="61" t="n">
        <f aca="false">Assumptions!$F$9*Assumptions!$F$10*Assumptions!$F$11*AG12</f>
        <v>9003288.44841791</v>
      </c>
      <c r="AH14" s="61" t="n">
        <f aca="false">Assumptions!$F$9*Assumptions!$F$10*Assumptions!$F$11*AH12</f>
        <v>8983390.4656394</v>
      </c>
      <c r="AI14" s="61" t="n">
        <f aca="false">Assumptions!$F$9*Assumptions!$F$10*Assumptions!$F$11*AI12</f>
        <v>8966278.20044989</v>
      </c>
      <c r="AJ14" s="61" t="n">
        <f aca="false">Assumptions!$F$9*Assumptions!$F$10*Assumptions!$F$11*AJ12</f>
        <v>8951561.6523869</v>
      </c>
      <c r="AK14" s="61" t="n">
        <f aca="false">Assumptions!$F$9*Assumptions!$F$10*Assumptions!$F$11*AK12</f>
        <v>8938905.42105274</v>
      </c>
      <c r="AL14" s="61" t="n">
        <f aca="false">Assumptions!$F$9*Assumptions!$F$10*Assumptions!$F$11*AL12</f>
        <v>8928021.06210535</v>
      </c>
      <c r="AM14" s="61" t="n">
        <f aca="false">SUM(C14:AL14)</f>
        <v>426536082.047067</v>
      </c>
    </row>
    <row r="15" customFormat="false" ht="15" hidden="false" customHeight="false" outlineLevel="0" collapsed="false">
      <c r="A15" s="10" t="s">
        <v>736</v>
      </c>
      <c r="B15" s="9" t="s">
        <v>84</v>
      </c>
      <c r="C15" s="61" t="n">
        <f aca="false">MIN(Assumptions!$F$19,Assumptions!$F$17*(1+Assumptions!$F$18)^(C$5-1))</f>
        <v>3500</v>
      </c>
      <c r="D15" s="61" t="n">
        <f aca="false">MIN(Assumptions!$F$19,Assumptions!$F$17*(1+Assumptions!$F$18)^(D$5-1))</f>
        <v>3920</v>
      </c>
      <c r="E15" s="61" t="n">
        <f aca="false">MIN(Assumptions!$F$19,Assumptions!$F$17*(1+Assumptions!$F$18)^(E$5-1))</f>
        <v>4390.4</v>
      </c>
      <c r="F15" s="61" t="n">
        <f aca="false">MIN(Assumptions!$F$19,Assumptions!$F$17*(1+Assumptions!$F$18)^(F$5-1))</f>
        <v>4917.248</v>
      </c>
      <c r="G15" s="61" t="n">
        <f aca="false">MIN(Assumptions!$F$19,Assumptions!$F$17*(1+Assumptions!$F$18)^(G$5-1))</f>
        <v>5507.31776</v>
      </c>
      <c r="H15" s="61" t="n">
        <f aca="false">MIN(Assumptions!$F$19,Assumptions!$F$17*(1+Assumptions!$F$18)^(H$5-1))</f>
        <v>6168.1958912</v>
      </c>
      <c r="I15" s="61" t="n">
        <f aca="false">MIN(Assumptions!$F$19,Assumptions!$F$17*(1+Assumptions!$F$18)^(I$5-1))</f>
        <v>6908.379398144</v>
      </c>
      <c r="J15" s="61" t="n">
        <f aca="false">MIN(Assumptions!$F$19,Assumptions!$F$17*(1+Assumptions!$F$18)^(J$5-1))</f>
        <v>7737.38492592129</v>
      </c>
      <c r="K15" s="61" t="n">
        <f aca="false">MIN(Assumptions!$F$19,Assumptions!$F$17*(1+Assumptions!$F$18)^(K$5-1))</f>
        <v>8665.87111703184</v>
      </c>
      <c r="L15" s="61" t="n">
        <f aca="false">MIN(Assumptions!$F$19,Assumptions!$F$17*(1+Assumptions!$F$18)^(L$5-1))</f>
        <v>9705.77565107566</v>
      </c>
      <c r="M15" s="61" t="n">
        <f aca="false">MIN(Assumptions!$F$19,Assumptions!$F$17*(1+Assumptions!$F$18)^(M$5-1))</f>
        <v>10870.4687292047</v>
      </c>
      <c r="N15" s="61" t="n">
        <f aca="false">MIN(Assumptions!$F$19,Assumptions!$F$17*(1+Assumptions!$F$18)^(N$5-1))</f>
        <v>12174.9249767093</v>
      </c>
      <c r="O15" s="61" t="n">
        <f aca="false">MIN(Assumptions!$F$19,Assumptions!$F$17*(1+Assumptions!$F$18)^(O$5-1))</f>
        <v>13635.9159739144</v>
      </c>
      <c r="P15" s="61" t="n">
        <f aca="false">MIN(Assumptions!$F$19,Assumptions!$F$17*(1+Assumptions!$F$18)^(P$5-1))</f>
        <v>15272.2258907842</v>
      </c>
      <c r="Q15" s="61" t="n">
        <f aca="false">MIN(Assumptions!$F$19,Assumptions!$F$17*(1+Assumptions!$F$18)^(Q$5-1))</f>
        <v>17104.8929976783</v>
      </c>
      <c r="R15" s="61" t="n">
        <f aca="false">MIN(Assumptions!$F$19,Assumptions!$F$17*(1+Assumptions!$F$18)^(R$5-1))</f>
        <v>19157.4801573997</v>
      </c>
      <c r="S15" s="61" t="n">
        <f aca="false">MIN(Assumptions!$F$19,Assumptions!$F$17*(1+Assumptions!$F$18)^(S$5-1))</f>
        <v>21456.3777762876</v>
      </c>
      <c r="T15" s="61" t="n">
        <f aca="false">MIN(Assumptions!$F$19,Assumptions!$F$17*(1+Assumptions!$F$18)^(T$5-1))</f>
        <v>24031.1431094421</v>
      </c>
      <c r="U15" s="61" t="n">
        <f aca="false">MIN(Assumptions!$F$19,Assumptions!$F$17*(1+Assumptions!$F$18)^(U$5-1))</f>
        <v>26914.8802825752</v>
      </c>
      <c r="V15" s="61" t="n">
        <f aca="false">MIN(Assumptions!$F$19,Assumptions!$F$17*(1+Assumptions!$F$18)^(V$5-1))</f>
        <v>30144.6659164842</v>
      </c>
      <c r="W15" s="61" t="n">
        <f aca="false">MIN(Assumptions!$F$19,Assumptions!$F$17*(1+Assumptions!$F$18)^(W$5-1))</f>
        <v>33762.0258264623</v>
      </c>
      <c r="X15" s="61" t="n">
        <f aca="false">MIN(Assumptions!$F$19,Assumptions!$F$17*(1+Assumptions!$F$18)^(X$5-1))</f>
        <v>37813.4689256378</v>
      </c>
      <c r="Y15" s="61" t="n">
        <f aca="false">MIN(Assumptions!$F$19,Assumptions!$F$17*(1+Assumptions!$F$18)^(Y$5-1))</f>
        <v>42351.0851967144</v>
      </c>
      <c r="Z15" s="61" t="n">
        <f aca="false">MIN(Assumptions!$F$19,Assumptions!$F$17*(1+Assumptions!$F$18)^(Z$5-1))</f>
        <v>47433.2154203201</v>
      </c>
      <c r="AA15" s="61" t="n">
        <f aca="false">MIN(Assumptions!$F$19,Assumptions!$F$17*(1+Assumptions!$F$18)^(AA$5-1))</f>
        <v>53125.2012707585</v>
      </c>
      <c r="AB15" s="61" t="n">
        <f aca="false">MIN(Assumptions!$F$19,Assumptions!$F$17*(1+Assumptions!$F$18)^(AB$5-1))</f>
        <v>59500.2254232495</v>
      </c>
      <c r="AC15" s="61" t="n">
        <f aca="false">MIN(Assumptions!$F$19,Assumptions!$F$17*(1+Assumptions!$F$18)^(AC$5-1))</f>
        <v>66640.2524740395</v>
      </c>
      <c r="AD15" s="61" t="n">
        <f aca="false">MIN(Assumptions!$F$19,Assumptions!$F$17*(1+Assumptions!$F$18)^(AD$5-1))</f>
        <v>74637.0827709242</v>
      </c>
      <c r="AE15" s="61" t="n">
        <f aca="false">MIN(Assumptions!$F$19,Assumptions!$F$17*(1+Assumptions!$F$18)^(AE$5-1))</f>
        <v>83593.5327034351</v>
      </c>
      <c r="AF15" s="61" t="n">
        <f aca="false">MIN(Assumptions!$F$19,Assumptions!$F$17*(1+Assumptions!$F$18)^(AF$5-1))</f>
        <v>93624.7566278474</v>
      </c>
      <c r="AG15" s="61" t="n">
        <f aca="false">MIN(Assumptions!$F$19,Assumptions!$F$17*(1+Assumptions!$F$18)^(AG$5-1))</f>
        <v>104859.727423189</v>
      </c>
      <c r="AH15" s="61" t="n">
        <f aca="false">MIN(Assumptions!$F$19,Assumptions!$F$17*(1+Assumptions!$F$18)^(AH$5-1))</f>
        <v>117442.894713972</v>
      </c>
      <c r="AI15" s="61" t="n">
        <f aca="false">MIN(Assumptions!$F$19,Assumptions!$F$17*(1+Assumptions!$F$18)^(AI$5-1))</f>
        <v>131536.042079648</v>
      </c>
      <c r="AJ15" s="61" t="n">
        <f aca="false">MIN(Assumptions!$F$19,Assumptions!$F$17*(1+Assumptions!$F$18)^(AJ$5-1))</f>
        <v>147320.367129206</v>
      </c>
      <c r="AK15" s="61" t="n">
        <f aca="false">MIN(Assumptions!$F$19,Assumptions!$F$17*(1+Assumptions!$F$18)^(AK$5-1))</f>
        <v>164998.811184711</v>
      </c>
      <c r="AL15" s="61" t="n">
        <f aca="false">MIN(Assumptions!$F$19,Assumptions!$F$17*(1+Assumptions!$F$18)^(AL$5-1))</f>
        <v>184798.668526876</v>
      </c>
      <c r="AM15" s="61" t="n">
        <f aca="false">SUM(C15:AL15)</f>
        <v>1695620.90625084</v>
      </c>
    </row>
    <row r="16" customFormat="false" ht="15" hidden="false" customHeight="false" outlineLevel="0" collapsed="false">
      <c r="A16" s="37" t="s">
        <v>737</v>
      </c>
      <c r="B16" s="9" t="s">
        <v>97</v>
      </c>
      <c r="C16" s="53" t="n">
        <f aca="false">Assumptions!$F$20</f>
        <v>15000</v>
      </c>
      <c r="D16" s="53" t="n">
        <f aca="false">IF(D8=0,Assumptions!$F$20,MIN(Assumptions!$F$24,MAX(Assumptions!$F$21,C72*Assumptions!$F$22)))</f>
        <v>60000</v>
      </c>
      <c r="E16" s="53" t="n">
        <f aca="false">IF(E8=0,Assumptions!$F$20,MIN(Assumptions!$F$24,MAX(Assumptions!$F$21,D72*Assumptions!$F$22)))</f>
        <v>60000</v>
      </c>
      <c r="F16" s="53" t="n">
        <f aca="false">IF(F8=0,Assumptions!$F$20,MIN(Assumptions!$F$24,MAX(Assumptions!$F$21,E72*Assumptions!$F$22)))</f>
        <v>102889.512</v>
      </c>
      <c r="G16" s="53" t="n">
        <f aca="false">IF(G8=0,Assumptions!$F$20,MIN(Assumptions!$F$24,MAX(Assumptions!$F$21,F72*Assumptions!$F$22)))</f>
        <v>172246.98348</v>
      </c>
      <c r="H16" s="53" t="n">
        <f aca="false">IF(H8=0,Assumptions!$F$20,MIN(Assumptions!$F$24,MAX(Assumptions!$F$21,G72*Assumptions!$F$22)))</f>
        <v>307447.608221281</v>
      </c>
      <c r="I16" s="53" t="n">
        <f aca="false">IF(I8=0,Assumptions!$F$20,MIN(Assumptions!$F$24,MAX(Assumptions!$F$21,H72*Assumptions!$F$22)))</f>
        <v>441641.033639545</v>
      </c>
      <c r="J16" s="53" t="n">
        <f aca="false">IF(J8=0,Assumptions!$F$20,MIN(Assumptions!$F$24,MAX(Assumptions!$F$21,I72*Assumptions!$F$22)))</f>
        <v>573687.706383762</v>
      </c>
      <c r="K16" s="53" t="n">
        <f aca="false">IF(K8=0,Assumptions!$F$20,MIN(Assumptions!$F$24,MAX(Assumptions!$F$21,J72*Assumptions!$F$22)))</f>
        <v>708842.561335952</v>
      </c>
      <c r="L16" s="53" t="n">
        <f aca="false">IF(L8=0,Assumptions!$F$20,MIN(Assumptions!$F$24,MAX(Assumptions!$F$21,K72*Assumptions!$F$22)))</f>
        <v>848933.895185454</v>
      </c>
      <c r="M16" s="53" t="n">
        <f aca="false">IF(M8=0,Assumptions!$F$20,MIN(Assumptions!$F$24,MAX(Assumptions!$F$21,L72*Assumptions!$F$22)))</f>
        <v>994789.669086084</v>
      </c>
      <c r="N16" s="53" t="n">
        <f aca="false">IF(N8=0,Assumptions!$F$20,MIN(Assumptions!$F$24,MAX(Assumptions!$F$21,M72*Assumptions!$F$22)))</f>
        <v>1147077.33185376</v>
      </c>
      <c r="O16" s="53" t="n">
        <f aca="false">IF(O8=0,Assumptions!$F$20,MIN(Assumptions!$F$24,MAX(Assumptions!$F$21,N72*Assumptions!$F$22)))</f>
        <v>1306443.06131549</v>
      </c>
      <c r="P16" s="53" t="n">
        <f aca="false">IF(P8=0,Assumptions!$F$20,MIN(Assumptions!$F$24,MAX(Assumptions!$F$21,O72*Assumptions!$F$22)))</f>
        <v>1473545.20644688</v>
      </c>
      <c r="Q16" s="53" t="n">
        <f aca="false">IF(Q8=0,Assumptions!$F$20,MIN(Assumptions!$F$24,MAX(Assumptions!$F$21,P72*Assumptions!$F$22)))</f>
        <v>1649062.12401456</v>
      </c>
      <c r="R16" s="53" t="n">
        <f aca="false">IF(R8=0,Assumptions!$F$20,MIN(Assumptions!$F$24,MAX(Assumptions!$F$21,Q72*Assumptions!$F$22)))</f>
        <v>1833695.28523834</v>
      </c>
      <c r="S16" s="53" t="n">
        <f aca="false">IF(S8=0,Assumptions!$F$20,MIN(Assumptions!$F$24,MAX(Assumptions!$F$21,R72*Assumptions!$F$22)))</f>
        <v>2028172.10948124</v>
      </c>
      <c r="T16" s="53" t="n">
        <f aca="false">IF(T8=0,Assumptions!$F$20,MIN(Assumptions!$F$24,MAX(Assumptions!$F$21,S72*Assumptions!$F$22)))</f>
        <v>2233249.3879288</v>
      </c>
      <c r="U16" s="53" t="n">
        <f aca="false">IF(U8=0,Assumptions!$F$20,MIN(Assumptions!$F$24,MAX(Assumptions!$F$21,T72*Assumptions!$F$22)))</f>
        <v>2443504.26337525</v>
      </c>
      <c r="V16" s="53" t="n">
        <f aca="false">IF(V8=0,Assumptions!$F$20,MIN(Assumptions!$F$24,MAX(Assumptions!$F$21,U72*Assumptions!$F$22)))</f>
        <v>2658275.69900195</v>
      </c>
      <c r="W16" s="53" t="n">
        <f aca="false">IF(W8=0,Assumptions!$F$20,MIN(Assumptions!$F$24,MAX(Assumptions!$F$21,V72*Assumptions!$F$22)))</f>
        <v>2878383.56504961</v>
      </c>
      <c r="X16" s="53" t="n">
        <f aca="false">IF(X8=0,Assumptions!$F$20,MIN(Assumptions!$F$24,MAX(Assumptions!$F$21,W72*Assumptions!$F$22)))</f>
        <v>3103952.3431166</v>
      </c>
      <c r="Y16" s="53" t="n">
        <f aca="false">IF(Y8=0,Assumptions!$F$20,MIN(Assumptions!$F$24,MAX(Assumptions!$F$21,X72*Assumptions!$F$22)))</f>
        <v>3335118.10318603</v>
      </c>
      <c r="Z16" s="53" t="n">
        <f aca="false">IF(Z8=0,Assumptions!$F$20,MIN(Assumptions!$F$24,MAX(Assumptions!$F$21,Y72*Assumptions!$F$22)))</f>
        <v>3572030.85518542</v>
      </c>
      <c r="AA16" s="53" t="n">
        <f aca="false">IF(AA8=0,Assumptions!$F$20,MIN(Assumptions!$F$24,MAX(Assumptions!$F$21,Z72*Assumptions!$F$22)))</f>
        <v>3814862.68437152</v>
      </c>
      <c r="AB16" s="53" t="n">
        <f aca="false">IF(AB8=0,Assumptions!$F$20,MIN(Assumptions!$F$24,MAX(Assumptions!$F$21,AA72*Assumptions!$F$22)))</f>
        <v>4000000</v>
      </c>
      <c r="AC16" s="53" t="n">
        <f aca="false">IF(AC8=0,Assumptions!$F$20,MIN(Assumptions!$F$24,MAX(Assumptions!$F$21,AB72*Assumptions!$F$22)))</f>
        <v>4000000</v>
      </c>
      <c r="AD16" s="53" t="n">
        <f aca="false">IF(AD8=0,Assumptions!$F$20,MIN(Assumptions!$F$24,MAX(Assumptions!$F$21,AC72*Assumptions!$F$22)))</f>
        <v>4000000</v>
      </c>
      <c r="AE16" s="53" t="n">
        <f aca="false">IF(AE8=0,Assumptions!$F$20,MIN(Assumptions!$F$24,MAX(Assumptions!$F$21,AD72*Assumptions!$F$22)))</f>
        <v>4000000</v>
      </c>
      <c r="AF16" s="53" t="n">
        <f aca="false">IF(AF8=0,Assumptions!$F$20,MIN(Assumptions!$F$24,MAX(Assumptions!$F$21,AE72*Assumptions!$F$22)))</f>
        <v>4000000</v>
      </c>
      <c r="AG16" s="53" t="n">
        <f aca="false">IF(AG8=0,Assumptions!$F$20,MIN(Assumptions!$F$24,MAX(Assumptions!$F$21,AF72*Assumptions!$F$22)))</f>
        <v>4000000</v>
      </c>
      <c r="AH16" s="53" t="n">
        <f aca="false">IF(AH8=0,Assumptions!$F$20,MIN(Assumptions!$F$24,MAX(Assumptions!$F$21,AG72*Assumptions!$F$22)))</f>
        <v>4000000</v>
      </c>
      <c r="AI16" s="53" t="n">
        <f aca="false">IF(AI8=0,Assumptions!$F$20,MIN(Assumptions!$F$24,MAX(Assumptions!$F$21,AH72*Assumptions!$F$22)))</f>
        <v>4000000</v>
      </c>
      <c r="AJ16" s="53" t="n">
        <f aca="false">IF(AJ8=0,Assumptions!$F$20,MIN(Assumptions!$F$24,MAX(Assumptions!$F$21,AI72*Assumptions!$F$22)))</f>
        <v>4000000</v>
      </c>
      <c r="AK16" s="53" t="n">
        <f aca="false">IF(AK8=0,Assumptions!$F$20,MIN(Assumptions!$F$24,MAX(Assumptions!$F$21,AJ72*Assumptions!$F$22)))</f>
        <v>4000000</v>
      </c>
      <c r="AL16" s="53" t="n">
        <f aca="false">IF(AL8=0,Assumptions!$F$20,MIN(Assumptions!$F$24,MAX(Assumptions!$F$21,AK72*Assumptions!$F$22)))</f>
        <v>4000000</v>
      </c>
      <c r="AM16" s="53" t="n">
        <f aca="false">SUM(C16:AL16)</f>
        <v>81762850.9888975</v>
      </c>
    </row>
    <row r="17" customFormat="false" ht="15" hidden="false" customHeight="false" outlineLevel="0" collapsed="false">
      <c r="A17" s="10" t="s">
        <v>738</v>
      </c>
      <c r="B17" s="9" t="s">
        <v>84</v>
      </c>
      <c r="C17" s="61" t="n">
        <f aca="false">(C14*Assumptions!$F$27+C15*Assumptions!$F$28)*Assumptions!$F$29*C8</f>
        <v>0</v>
      </c>
      <c r="D17" s="61" t="n">
        <f aca="false">(D14*Assumptions!$F$27+D15*Assumptions!$F$28)*Assumptions!$F$29*D8</f>
        <v>106053.15</v>
      </c>
      <c r="E17" s="61" t="n">
        <f aca="false">(E14*Assumptions!$F$27+E15*Assumptions!$F$28)*Assumptions!$F$29*E8</f>
        <v>35162.4</v>
      </c>
      <c r="F17" s="61" t="n">
        <f aca="false">(F14*Assumptions!$F$27+F15*Assumptions!$F$28)*Assumptions!$F$29*F8</f>
        <v>32659.89258</v>
      </c>
      <c r="G17" s="61" t="n">
        <f aca="false">(G14*Assumptions!$F$27+G15*Assumptions!$F$28)*Assumptions!$F$29*G8</f>
        <v>30519.0370884</v>
      </c>
      <c r="H17" s="61" t="n">
        <f aca="false">(H14*Assumptions!$F$27+H15*Assumptions!$F$28)*Assumptions!$F$29*H8</f>
        <v>28690.558361976</v>
      </c>
      <c r="I17" s="61" t="n">
        <f aca="false">(I14*Assumptions!$F$27+I15*Assumptions!$F$28)*Assumptions!$F$29*I8</f>
        <v>27132.2424931656</v>
      </c>
      <c r="J17" s="61" t="n">
        <f aca="false">(J14*Assumptions!$F$27+J15*Assumptions!$F$28)*Assumptions!$F$29*J8</f>
        <v>25807.9677822126</v>
      </c>
      <c r="K17" s="61" t="n">
        <f aca="false">(K14*Assumptions!$F$27+K15*Assumptions!$F$28)*Assumptions!$F$29*K8</f>
        <v>24686.8736993639</v>
      </c>
      <c r="L17" s="61" t="n">
        <f aca="false">(L14*Assumptions!$F$27+L15*Assumptions!$F$28)*Assumptions!$F$29*L8</f>
        <v>23742.6488169132</v>
      </c>
      <c r="M17" s="61" t="n">
        <f aca="false">(M14*Assumptions!$F$27+M15*Assumptions!$F$28)*Assumptions!$F$29*M8</f>
        <v>22952.921370261</v>
      </c>
      <c r="N17" s="61" t="n">
        <f aca="false">(N14*Assumptions!$F$27+N15*Assumptions!$F$28)*Assumptions!$F$29*N8</f>
        <v>22298.7384326659</v>
      </c>
      <c r="O17" s="61" t="n">
        <f aca="false">(O14*Assumptions!$F$27+O15*Assumptions!$F$28)*Assumptions!$F$29*O8</f>
        <v>21764.1216928431</v>
      </c>
      <c r="P17" s="61" t="n">
        <f aca="false">(P14*Assumptions!$F$27+P15*Assumptions!$F$28)*Assumptions!$F$29*P8</f>
        <v>21335.6895534855</v>
      </c>
      <c r="Q17" s="61" t="n">
        <f aca="false">(Q14*Assumptions!$F$27+Q15*Assumptions!$F$28)*Assumptions!$F$29*Q8</f>
        <v>21002.3367613549</v>
      </c>
      <c r="R17" s="61" t="n">
        <f aca="false">(R14*Assumptions!$F$27+R15*Assumptions!$F$28)*Assumptions!$F$29*R8</f>
        <v>20754.9640695654</v>
      </c>
      <c r="S17" s="61" t="n">
        <f aca="false">(S14*Assumptions!$F$27+S15*Assumptions!$F$28)*Assumptions!$F$29*S8</f>
        <v>20586.2515492024</v>
      </c>
      <c r="T17" s="61" t="n">
        <f aca="false">(T14*Assumptions!$F$27+T15*Assumptions!$F$28)*Assumptions!$F$29*T8</f>
        <v>20490.4701356155</v>
      </c>
      <c r="U17" s="61" t="n">
        <f aca="false">(U14*Assumptions!$F$27+U15*Assumptions!$F$28)*Assumptions!$F$29*U8</f>
        <v>20463.3268363268</v>
      </c>
      <c r="V17" s="61" t="n">
        <f aca="false">(V14*Assumptions!$F$27+V15*Assumptions!$F$28)*Assumptions!$F$29*V8</f>
        <v>20501.8397613023</v>
      </c>
      <c r="W17" s="61" t="n">
        <f aca="false">(W14*Assumptions!$F$27+W15*Assumptions!$F$28)*Assumptions!$F$29*W8</f>
        <v>20604.2397786286</v>
      </c>
      <c r="X17" s="61" t="n">
        <f aca="false">(X14*Assumptions!$F$27+X15*Assumptions!$F$28)*Assumptions!$F$29*X8</f>
        <v>20769.8961635982</v>
      </c>
      <c r="Y17" s="61" t="n">
        <f aca="false">(Y14*Assumptions!$F$27+Y15*Assumptions!$F$28)*Assumptions!$F$29*Y8</f>
        <v>20999.2641091494</v>
      </c>
      <c r="Z17" s="61" t="n">
        <f aca="false">(Z14*Assumptions!$F$27+Z15*Assumptions!$F$28)*Assumptions!$F$29*Z8</f>
        <v>21293.852411338</v>
      </c>
      <c r="AA17" s="61" t="n">
        <f aca="false">(AA14*Assumptions!$F$27+AA15*Assumptions!$F$28)*Assumptions!$F$29*AA8</f>
        <v>21656.2100445165</v>
      </c>
      <c r="AB17" s="61" t="n">
        <f aca="false">(AB14*Assumptions!$F$27+AB15*Assumptions!$F$28)*Assumptions!$F$29*AB8</f>
        <v>22089.930705542</v>
      </c>
      <c r="AC17" s="61" t="n">
        <f aca="false">(AC14*Assumptions!$F$27+AC15*Assumptions!$F$28)*Assumptions!$F$29*AC8</f>
        <v>22599.6747420948</v>
      </c>
      <c r="AD17" s="61" t="n">
        <f aca="false">(AD14*Assumptions!$F$27+AD15*Assumptions!$F$28)*Assumptions!$F$29*AD8</f>
        <v>23191.2081937697</v>
      </c>
      <c r="AE17" s="61" t="n">
        <f aca="false">(AE14*Assumptions!$F$27+AE15*Assumptions!$F$28)*Assumptions!$F$29*AE8</f>
        <v>23871.4589720783</v>
      </c>
      <c r="AF17" s="61" t="n">
        <f aca="false">(AF14*Assumptions!$F$27+AF15*Assumptions!$F$28)*Assumptions!$F$29*AF8</f>
        <v>24648.590492476</v>
      </c>
      <c r="AG17" s="61" t="n">
        <f aca="false">(AG14*Assumptions!$F$27+AG15*Assumptions!$F$28)*Assumptions!$F$29*AG8</f>
        <v>25532.0933531967</v>
      </c>
      <c r="AH17" s="61" t="n">
        <f aca="false">(AH14*Assumptions!$F$27+AH15*Assumptions!$F$28)*Assumptions!$F$29*AH8</f>
        <v>26532.8959369766</v>
      </c>
      <c r="AI17" s="61" t="n">
        <f aca="false">(AI14*Assumptions!$F$27+AI15*Assumptions!$F$28)*Assumptions!$F$29*AI8</f>
        <v>27663.4950974145</v>
      </c>
      <c r="AJ17" s="61" t="n">
        <f aca="false">(AJ14*Assumptions!$F$27+AJ15*Assumptions!$F$28)*Assumptions!$F$29*AJ8</f>
        <v>28938.1083863849</v>
      </c>
      <c r="AK17" s="61" t="n">
        <f aca="false">(AK14*Assumptions!$F$27+AK15*Assumptions!$F$28)*Assumptions!$F$29*AK8</f>
        <v>30372.8495872125</v>
      </c>
      <c r="AL17" s="61" t="n">
        <f aca="false">(AL14*Assumptions!$F$27+AL15*Assumptions!$F$28)*Assumptions!$F$29*AL8</f>
        <v>31985.9296449148</v>
      </c>
      <c r="AM17" s="61" t="n">
        <f aca="false">SUM(C17:AL17)</f>
        <v>939355.128603946</v>
      </c>
    </row>
    <row r="18" customFormat="false" ht="15" hidden="false" customHeight="false" outlineLevel="0" collapsed="false">
      <c r="A18" s="10" t="s">
        <v>739</v>
      </c>
      <c r="B18" s="9" t="s">
        <v>97</v>
      </c>
      <c r="C18" s="70" t="n">
        <f aca="false">MIN(C16,C17*Assumptions!$F$30)</f>
        <v>0</v>
      </c>
      <c r="D18" s="70" t="n">
        <f aca="false">MIN(D16,D17*Assumptions!$F$30)</f>
        <v>60000</v>
      </c>
      <c r="E18" s="70" t="n">
        <f aca="false">MIN(E16,E17*Assumptions!$F$30)</f>
        <v>33404.28</v>
      </c>
      <c r="F18" s="70" t="n">
        <f aca="false">MIN(F16,F17*Assumptions!$F$30)</f>
        <v>31026.897951</v>
      </c>
      <c r="G18" s="70" t="n">
        <f aca="false">MIN(G16,G17*Assumptions!$F$30)</f>
        <v>28993.08523398</v>
      </c>
      <c r="H18" s="70" t="n">
        <f aca="false">MIN(H16,H17*Assumptions!$F$30)</f>
        <v>27256.0304438772</v>
      </c>
      <c r="I18" s="70" t="n">
        <f aca="false">MIN(I16,I17*Assumptions!$F$30)</f>
        <v>25775.6303685073</v>
      </c>
      <c r="J18" s="70" t="n">
        <f aca="false">MIN(J16,J17*Assumptions!$F$30)</f>
        <v>24517.569393102</v>
      </c>
      <c r="K18" s="70" t="n">
        <f aca="false">MIN(K16,K17*Assumptions!$F$30)</f>
        <v>23452.5300143957</v>
      </c>
      <c r="L18" s="70" t="n">
        <f aca="false">MIN(L16,L17*Assumptions!$F$30)</f>
        <v>22555.5163760676</v>
      </c>
      <c r="M18" s="70" t="n">
        <f aca="false">MIN(M16,M17*Assumptions!$F$30)</f>
        <v>21805.2753017479</v>
      </c>
      <c r="N18" s="70" t="n">
        <f aca="false">MIN(N16,N17*Assumptions!$F$30)</f>
        <v>21183.8015110326</v>
      </c>
      <c r="O18" s="70" t="n">
        <f aca="false">MIN(O16,O17*Assumptions!$F$30)</f>
        <v>20675.9156082009</v>
      </c>
      <c r="P18" s="70" t="n">
        <f aca="false">MIN(P16,P17*Assumptions!$F$30)</f>
        <v>20268.9050758112</v>
      </c>
      <c r="Q18" s="70" t="n">
        <f aca="false">MIN(Q16,Q17*Assumptions!$F$30)</f>
        <v>19952.2199232871</v>
      </c>
      <c r="R18" s="70" t="n">
        <f aca="false">MIN(R16,R17*Assumptions!$F$30)</f>
        <v>19717.2158660871</v>
      </c>
      <c r="S18" s="70" t="n">
        <f aca="false">MIN(S16,S17*Assumptions!$F$30)</f>
        <v>19556.9389717423</v>
      </c>
      <c r="T18" s="70" t="n">
        <f aca="false">MIN(T16,T17*Assumptions!$F$30)</f>
        <v>19465.9466288347</v>
      </c>
      <c r="U18" s="70" t="n">
        <f aca="false">MIN(U16,U17*Assumptions!$F$30)</f>
        <v>19440.1604945105</v>
      </c>
      <c r="V18" s="70" t="n">
        <f aca="false">MIN(V16,V17*Assumptions!$F$30)</f>
        <v>19476.7477732372</v>
      </c>
      <c r="W18" s="70" t="n">
        <f aca="false">MIN(W16,W17*Assumptions!$F$30)</f>
        <v>19574.0277896972</v>
      </c>
      <c r="X18" s="70" t="n">
        <f aca="false">MIN(X16,X17*Assumptions!$F$30)</f>
        <v>19731.4013554183</v>
      </c>
      <c r="Y18" s="70" t="n">
        <f aca="false">MIN(Y16,Y17*Assumptions!$F$30)</f>
        <v>19949.3009036919</v>
      </c>
      <c r="Z18" s="70" t="n">
        <f aca="false">MIN(Z16,Z17*Assumptions!$F$30)</f>
        <v>20229.1597907711</v>
      </c>
      <c r="AA18" s="70" t="n">
        <f aca="false">MIN(AA16,AA17*Assumptions!$F$30)</f>
        <v>20573.3995422907</v>
      </c>
      <c r="AB18" s="70" t="n">
        <f aca="false">MIN(AB16,AB17*Assumptions!$F$30)</f>
        <v>20985.4341702649</v>
      </c>
      <c r="AC18" s="70" t="n">
        <f aca="false">MIN(AC16,AC17*Assumptions!$F$30)</f>
        <v>21469.6910049901</v>
      </c>
      <c r="AD18" s="70" t="n">
        <f aca="false">MIN(AD16,AD17*Assumptions!$F$30)</f>
        <v>22031.6477840812</v>
      </c>
      <c r="AE18" s="70" t="n">
        <f aca="false">MIN(AE16,AE17*Assumptions!$F$30)</f>
        <v>22677.8860234743</v>
      </c>
      <c r="AF18" s="70" t="n">
        <f aca="false">MIN(AF16,AF17*Assumptions!$F$30)</f>
        <v>23416.1609678522</v>
      </c>
      <c r="AG18" s="70" t="n">
        <f aca="false">MIN(AG16,AG17*Assumptions!$F$30)</f>
        <v>24255.4886855368</v>
      </c>
      <c r="AH18" s="70" t="n">
        <f aca="false">MIN(AH16,AH17*Assumptions!$F$30)</f>
        <v>25206.2511401277</v>
      </c>
      <c r="AI18" s="70" t="n">
        <f aca="false">MIN(AI16,AI17*Assumptions!$F$30)</f>
        <v>26280.3203425438</v>
      </c>
      <c r="AJ18" s="70" t="n">
        <f aca="false">MIN(AJ16,AJ17*Assumptions!$F$30)</f>
        <v>27491.2029670657</v>
      </c>
      <c r="AK18" s="70" t="n">
        <f aca="false">MIN(AK16,AK17*Assumptions!$F$30)</f>
        <v>28854.2071078519</v>
      </c>
      <c r="AL18" s="70" t="n">
        <f aca="false">MIN(AL16,AL17*Assumptions!$F$30)</f>
        <v>30386.6331626691</v>
      </c>
      <c r="AM18" s="70" t="n">
        <f aca="false">SUM(C18:AL18)</f>
        <v>851636.879673748</v>
      </c>
    </row>
    <row r="19" customFormat="false" ht="15" hidden="false" customHeight="false" outlineLevel="0" collapsed="false">
      <c r="A19" s="10" t="s">
        <v>740</v>
      </c>
      <c r="B19" s="9" t="s">
        <v>84</v>
      </c>
      <c r="C19" s="61" t="n">
        <f aca="false">C18/Assumptions!$F$30</f>
        <v>0</v>
      </c>
      <c r="D19" s="61" t="n">
        <f aca="false">D18/Assumptions!$F$30</f>
        <v>63157.8947368421</v>
      </c>
      <c r="E19" s="61" t="n">
        <f aca="false">E18/Assumptions!$F$30</f>
        <v>35162.4</v>
      </c>
      <c r="F19" s="61" t="n">
        <f aca="false">F18/Assumptions!$F$30</f>
        <v>32659.89258</v>
      </c>
      <c r="G19" s="61" t="n">
        <f aca="false">G18/Assumptions!$F$30</f>
        <v>30519.0370884</v>
      </c>
      <c r="H19" s="61" t="n">
        <f aca="false">H18/Assumptions!$F$30</f>
        <v>28690.558361976</v>
      </c>
      <c r="I19" s="61" t="n">
        <f aca="false">I18/Assumptions!$F$30</f>
        <v>27132.2424931656</v>
      </c>
      <c r="J19" s="61" t="n">
        <f aca="false">J18/Assumptions!$F$30</f>
        <v>25807.9677822126</v>
      </c>
      <c r="K19" s="61" t="n">
        <f aca="false">K18/Assumptions!$F$30</f>
        <v>24686.8736993639</v>
      </c>
      <c r="L19" s="61" t="n">
        <f aca="false">L18/Assumptions!$F$30</f>
        <v>23742.6488169132</v>
      </c>
      <c r="M19" s="61" t="n">
        <f aca="false">M18/Assumptions!$F$30</f>
        <v>22952.921370261</v>
      </c>
      <c r="N19" s="61" t="n">
        <f aca="false">N18/Assumptions!$F$30</f>
        <v>22298.7384326659</v>
      </c>
      <c r="O19" s="61" t="n">
        <f aca="false">O18/Assumptions!$F$30</f>
        <v>21764.1216928431</v>
      </c>
      <c r="P19" s="61" t="n">
        <f aca="false">P18/Assumptions!$F$30</f>
        <v>21335.6895534855</v>
      </c>
      <c r="Q19" s="61" t="n">
        <f aca="false">Q18/Assumptions!$F$30</f>
        <v>21002.3367613549</v>
      </c>
      <c r="R19" s="61" t="n">
        <f aca="false">R18/Assumptions!$F$30</f>
        <v>20754.9640695654</v>
      </c>
      <c r="S19" s="61" t="n">
        <f aca="false">S18/Assumptions!$F$30</f>
        <v>20586.2515492024</v>
      </c>
      <c r="T19" s="61" t="n">
        <f aca="false">T18/Assumptions!$F$30</f>
        <v>20490.4701356155</v>
      </c>
      <c r="U19" s="61" t="n">
        <f aca="false">U18/Assumptions!$F$30</f>
        <v>20463.3268363268</v>
      </c>
      <c r="V19" s="61" t="n">
        <f aca="false">V18/Assumptions!$F$30</f>
        <v>20501.8397613023</v>
      </c>
      <c r="W19" s="61" t="n">
        <f aca="false">W18/Assumptions!$F$30</f>
        <v>20604.2397786286</v>
      </c>
      <c r="X19" s="61" t="n">
        <f aca="false">X18/Assumptions!$F$30</f>
        <v>20769.8961635982</v>
      </c>
      <c r="Y19" s="61" t="n">
        <f aca="false">Y18/Assumptions!$F$30</f>
        <v>20999.2641091494</v>
      </c>
      <c r="Z19" s="61" t="n">
        <f aca="false">Z18/Assumptions!$F$30</f>
        <v>21293.852411338</v>
      </c>
      <c r="AA19" s="61" t="n">
        <f aca="false">AA18/Assumptions!$F$30</f>
        <v>21656.2100445165</v>
      </c>
      <c r="AB19" s="61" t="n">
        <f aca="false">AB18/Assumptions!$F$30</f>
        <v>22089.930705542</v>
      </c>
      <c r="AC19" s="61" t="n">
        <f aca="false">AC18/Assumptions!$F$30</f>
        <v>22599.6747420948</v>
      </c>
      <c r="AD19" s="61" t="n">
        <f aca="false">AD18/Assumptions!$F$30</f>
        <v>23191.2081937697</v>
      </c>
      <c r="AE19" s="61" t="n">
        <f aca="false">AE18/Assumptions!$F$30</f>
        <v>23871.4589720783</v>
      </c>
      <c r="AF19" s="61" t="n">
        <f aca="false">AF18/Assumptions!$F$30</f>
        <v>24648.590492476</v>
      </c>
      <c r="AG19" s="61" t="n">
        <f aca="false">AG18/Assumptions!$F$30</f>
        <v>25532.0933531967</v>
      </c>
      <c r="AH19" s="61" t="n">
        <f aca="false">AH18/Assumptions!$F$30</f>
        <v>26532.8959369766</v>
      </c>
      <c r="AI19" s="61" t="n">
        <f aca="false">AI18/Assumptions!$F$30</f>
        <v>27663.4950974145</v>
      </c>
      <c r="AJ19" s="61" t="n">
        <f aca="false">AJ18/Assumptions!$F$30</f>
        <v>28938.1083863849</v>
      </c>
      <c r="AK19" s="61" t="n">
        <f aca="false">AK18/Assumptions!$F$30</f>
        <v>30372.8495872125</v>
      </c>
      <c r="AL19" s="61" t="n">
        <f aca="false">AL18/Assumptions!$F$30</f>
        <v>31985.9296449148</v>
      </c>
      <c r="AM19" s="61" t="n">
        <f aca="false">SUM(C19:AL19)</f>
        <v>896459.873340788</v>
      </c>
    </row>
    <row r="20" customFormat="false" ht="15" hidden="false" customHeight="false" outlineLevel="0" collapsed="false">
      <c r="A20" s="10" t="s">
        <v>741</v>
      </c>
      <c r="B20" s="9" t="s">
        <v>51</v>
      </c>
      <c r="C20" s="61" t="n">
        <f aca="false">C8*(Assumptions!$F$35*C14)</f>
        <v>0</v>
      </c>
      <c r="D20" s="61" t="n">
        <f aca="false">D8*(Assumptions!$F$35*D14+Assumptions!$F$34*C29)</f>
        <v>913687.541800427</v>
      </c>
      <c r="E20" s="61" t="n">
        <f aca="false">E8*(Assumptions!$F$35*E14+Assumptions!$F$34*D29)</f>
        <v>688765.579978947</v>
      </c>
      <c r="F20" s="61" t="n">
        <f aca="false">F8*(Assumptions!$F$35*F14+Assumptions!$F$34*E29)</f>
        <v>429383.734144</v>
      </c>
      <c r="G20" s="61" t="n">
        <f aca="false">G8*(Assumptions!$F$35*G14+Assumptions!$F$34*F29)</f>
        <v>424569.56208232</v>
      </c>
      <c r="H20" s="61" t="n">
        <f aca="false">H8*(Assumptions!$F$35*H14+Assumptions!$F$34*G29)</f>
        <v>437405.869763253</v>
      </c>
      <c r="I20" s="61" t="n">
        <f aca="false">I8*(Assumptions!$F$35*I14+Assumptions!$F$34*H29)</f>
        <v>475092.170458334</v>
      </c>
      <c r="J20" s="61" t="n">
        <f aca="false">J8*(Assumptions!$F$35*J14+Assumptions!$F$34*I29)</f>
        <v>499358.767043488</v>
      </c>
      <c r="K20" s="61" t="n">
        <f aca="false">K8*(Assumptions!$F$35*K14+Assumptions!$F$34*J29)</f>
        <v>520167.519205402</v>
      </c>
      <c r="L20" s="61" t="n">
        <f aca="false">L8*(Assumptions!$F$35*L14+Assumptions!$F$34*K29)</f>
        <v>541119.55008157</v>
      </c>
      <c r="M20" s="61" t="n">
        <f aca="false">M8*(Assumptions!$F$35*M14+Assumptions!$F$34*L29)</f>
        <v>563358.049927673</v>
      </c>
      <c r="N20" s="61" t="n">
        <f aca="false">N8*(Assumptions!$F$35*N14+Assumptions!$F$34*M29)</f>
        <v>587255.688657656</v>
      </c>
      <c r="O20" s="61" t="n">
        <f aca="false">O8*(Assumptions!$F$35*O14+Assumptions!$F$34*N29)</f>
        <v>612956.679073628</v>
      </c>
      <c r="P20" s="61" t="n">
        <f aca="false">P8*(Assumptions!$F$35*P14+Assumptions!$F$34*O29)</f>
        <v>640527.72491541</v>
      </c>
      <c r="Q20" s="61" t="n">
        <f aca="false">Q8*(Assumptions!$F$35*Q14+Assumptions!$F$34*P29)</f>
        <v>670008.496744469</v>
      </c>
      <c r="R20" s="61" t="n">
        <f aca="false">R8*(Assumptions!$F$35*R14+Assumptions!$F$34*Q29)</f>
        <v>701431.564955272</v>
      </c>
      <c r="S20" s="61" t="n">
        <f aca="false">S8*(Assumptions!$F$35*S14+Assumptions!$F$34*R29)</f>
        <v>734831.542189872</v>
      </c>
      <c r="T20" s="61" t="n">
        <f aca="false">T8*(Assumptions!$F$35*T14+Assumptions!$F$34*S29)</f>
        <v>770249.757119495</v>
      </c>
      <c r="U20" s="61" t="n">
        <f aca="false">U8*(Assumptions!$F$35*U14+Assumptions!$F$34*T29)</f>
        <v>807736.842598871</v>
      </c>
      <c r="V20" s="61" t="n">
        <f aca="false">V8*(Assumptions!$F$35*V14+Assumptions!$F$34*U29)</f>
        <v>846354.112629979</v>
      </c>
      <c r="W20" s="61" t="n">
        <f aca="false">W8*(Assumptions!$F$35*W14+Assumptions!$F$34*V29)</f>
        <v>885856.134617543</v>
      </c>
      <c r="X20" s="61" t="n">
        <f aca="false">X8*(Assumptions!$F$35*X14+Assumptions!$F$34*W29)</f>
        <v>926336.994086106</v>
      </c>
      <c r="Y20" s="61" t="n">
        <f aca="false">Y8*(Assumptions!$F$35*Y14+Assumptions!$F$34*X29)</f>
        <v>967830.777277197</v>
      </c>
      <c r="Z20" s="61" t="n">
        <f aca="false">Z8*(Assumptions!$F$35*Z14+Assumptions!$F$34*Y29)</f>
        <v>1010370.97688013</v>
      </c>
      <c r="AA20" s="61" t="n">
        <f aca="false">AA8*(Assumptions!$F$35*AA14+Assumptions!$F$34*Z29)</f>
        <v>1053999.6167929</v>
      </c>
      <c r="AB20" s="61" t="n">
        <f aca="false">AB8*(Assumptions!$F$35*AB14+Assumptions!$F$34*AA29)</f>
        <v>1098770.02088659</v>
      </c>
      <c r="AC20" s="61" t="n">
        <f aca="false">AC8*(Assumptions!$F$35*AC14+Assumptions!$F$34*AB29)</f>
        <v>1135604.44373421</v>
      </c>
      <c r="AD20" s="61" t="n">
        <f aca="false">AD8*(Assumptions!$F$35*AD14+Assumptions!$F$34*AC29)</f>
        <v>1145209.22458295</v>
      </c>
      <c r="AE20" s="61" t="n">
        <f aca="false">AE8*(Assumptions!$F$35*AE14+Assumptions!$F$34*AD29)</f>
        <v>1151431.33808332</v>
      </c>
      <c r="AF20" s="61" t="n">
        <f aca="false">AF8*(Assumptions!$F$35*AF14+Assumptions!$F$34*AE29)</f>
        <v>1157915.05206052</v>
      </c>
      <c r="AG20" s="61" t="n">
        <f aca="false">AG8*(Assumptions!$F$35*AG14+Assumptions!$F$34*AF29)</f>
        <v>1165273.69168123</v>
      </c>
      <c r="AH20" s="61" t="n">
        <f aca="false">AH8*(Assumptions!$F$35*AH14+Assumptions!$F$34*AG29)</f>
        <v>1173676.00382435</v>
      </c>
      <c r="AI20" s="61" t="n">
        <f aca="false">AI8*(Assumptions!$F$35*AI14+Assumptions!$F$34*AH29)</f>
        <v>1183236.31987227</v>
      </c>
      <c r="AJ20" s="61" t="n">
        <f aca="false">AJ8*(Assumptions!$F$35*AJ14+Assumptions!$F$34*AI29)</f>
        <v>1194074.3100988</v>
      </c>
      <c r="AK20" s="61" t="n">
        <f aca="false">AK8*(Assumptions!$F$35*AK14+Assumptions!$F$34*AJ29)</f>
        <v>1206325.19649793</v>
      </c>
      <c r="AL20" s="61" t="n">
        <f aca="false">AL8*(Assumptions!$F$35*AL14+Assumptions!$F$34*AK29)</f>
        <v>1220142.71144353</v>
      </c>
      <c r="AM20" s="61" t="n">
        <f aca="false">AL20</f>
        <v>1220142.71144353</v>
      </c>
    </row>
    <row r="21" customFormat="false" ht="15" hidden="false" customHeight="false" outlineLevel="0" collapsed="false">
      <c r="A21" s="10" t="s">
        <v>742</v>
      </c>
      <c r="B21" s="9" t="s">
        <v>84</v>
      </c>
      <c r="C21" s="61" t="n">
        <f aca="false">C20*Assumptions!$F$36</f>
        <v>0</v>
      </c>
      <c r="D21" s="61" t="n">
        <f aca="false">D20*Assumptions!$F$36</f>
        <v>292380.013376137</v>
      </c>
      <c r="E21" s="61" t="n">
        <f aca="false">E20*Assumptions!$F$36</f>
        <v>220404.985593263</v>
      </c>
      <c r="F21" s="61" t="n">
        <f aca="false">F20*Assumptions!$F$36</f>
        <v>137402.79492608</v>
      </c>
      <c r="G21" s="61" t="n">
        <f aca="false">G20*Assumptions!$F$36</f>
        <v>135862.259866342</v>
      </c>
      <c r="H21" s="61" t="n">
        <f aca="false">H20*Assumptions!$F$36</f>
        <v>139969.878324241</v>
      </c>
      <c r="I21" s="61" t="n">
        <f aca="false">I20*Assumptions!$F$36</f>
        <v>152029.494546667</v>
      </c>
      <c r="J21" s="61" t="n">
        <f aca="false">J20*Assumptions!$F$36</f>
        <v>159794.805453916</v>
      </c>
      <c r="K21" s="61" t="n">
        <f aca="false">K20*Assumptions!$F$36</f>
        <v>166453.606145729</v>
      </c>
      <c r="L21" s="61" t="n">
        <f aca="false">L20*Assumptions!$F$36</f>
        <v>173158.256026102</v>
      </c>
      <c r="M21" s="61" t="n">
        <f aca="false">M20*Assumptions!$F$36</f>
        <v>180274.575976855</v>
      </c>
      <c r="N21" s="61" t="n">
        <f aca="false">N20*Assumptions!$F$36</f>
        <v>187921.82037045</v>
      </c>
      <c r="O21" s="61" t="n">
        <f aca="false">O20*Assumptions!$F$36</f>
        <v>196146.137303561</v>
      </c>
      <c r="P21" s="61" t="n">
        <f aca="false">P20*Assumptions!$F$36</f>
        <v>204968.871972931</v>
      </c>
      <c r="Q21" s="61" t="n">
        <f aca="false">Q20*Assumptions!$F$36</f>
        <v>214402.71895823</v>
      </c>
      <c r="R21" s="61" t="n">
        <f aca="false">R20*Assumptions!$F$36</f>
        <v>224458.100785687</v>
      </c>
      <c r="S21" s="61" t="n">
        <f aca="false">S20*Assumptions!$F$36</f>
        <v>235146.093500759</v>
      </c>
      <c r="T21" s="61" t="n">
        <f aca="false">T20*Assumptions!$F$36</f>
        <v>246479.922278238</v>
      </c>
      <c r="U21" s="61" t="n">
        <f aca="false">U20*Assumptions!$F$36</f>
        <v>258475.789631639</v>
      </c>
      <c r="V21" s="61" t="n">
        <f aca="false">V20*Assumptions!$F$36</f>
        <v>270833.316041593</v>
      </c>
      <c r="W21" s="61" t="n">
        <f aca="false">W20*Assumptions!$F$36</f>
        <v>283473.963077614</v>
      </c>
      <c r="X21" s="61" t="n">
        <f aca="false">X20*Assumptions!$F$36</f>
        <v>296427.838107554</v>
      </c>
      <c r="Y21" s="61" t="n">
        <f aca="false">Y20*Assumptions!$F$36</f>
        <v>309705.848728703</v>
      </c>
      <c r="Z21" s="61" t="n">
        <f aca="false">Z20*Assumptions!$F$36</f>
        <v>323318.712601643</v>
      </c>
      <c r="AA21" s="61" t="n">
        <f aca="false">AA20*Assumptions!$F$36</f>
        <v>337279.877373727</v>
      </c>
      <c r="AB21" s="61" t="n">
        <f aca="false">AB20*Assumptions!$F$36</f>
        <v>351606.40668371</v>
      </c>
      <c r="AC21" s="61" t="n">
        <f aca="false">AC20*Assumptions!$F$36</f>
        <v>363393.421994946</v>
      </c>
      <c r="AD21" s="61" t="n">
        <f aca="false">AD20*Assumptions!$F$36</f>
        <v>366466.951866544</v>
      </c>
      <c r="AE21" s="61" t="n">
        <f aca="false">AE20*Assumptions!$F$36</f>
        <v>368458.028186663</v>
      </c>
      <c r="AF21" s="61" t="n">
        <f aca="false">AF20*Assumptions!$F$36</f>
        <v>370532.816659365</v>
      </c>
      <c r="AG21" s="61" t="n">
        <f aca="false">AG20*Assumptions!$F$36</f>
        <v>372887.581337992</v>
      </c>
      <c r="AH21" s="61" t="n">
        <f aca="false">AH20*Assumptions!$F$36</f>
        <v>375576.321223792</v>
      </c>
      <c r="AI21" s="61" t="n">
        <f aca="false">AI20*Assumptions!$F$36</f>
        <v>378635.622359128</v>
      </c>
      <c r="AJ21" s="61" t="n">
        <f aca="false">AJ20*Assumptions!$F$36</f>
        <v>382103.779231617</v>
      </c>
      <c r="AK21" s="61" t="n">
        <f aca="false">AK20*Assumptions!$F$36</f>
        <v>386024.062879339</v>
      </c>
      <c r="AL21" s="61" t="n">
        <f aca="false">AL20*Assumptions!$F$36</f>
        <v>390445.667661931</v>
      </c>
      <c r="AM21" s="61" t="n">
        <f aca="false">SUM(C21:AL21)</f>
        <v>9452900.34105269</v>
      </c>
    </row>
    <row r="22" customFormat="false" ht="15" hidden="false" customHeight="false" outlineLevel="0" collapsed="false">
      <c r="A22" s="10" t="s">
        <v>743</v>
      </c>
      <c r="B22" s="9" t="s">
        <v>97</v>
      </c>
      <c r="C22" s="70" t="n">
        <f aca="false">MIN(MAX(0,C16-C18),C21*Assumptions!$F$37)</f>
        <v>0</v>
      </c>
      <c r="D22" s="70" t="n">
        <f aca="false">MIN(MAX(0,D16-D18),D21*Assumptions!$F$37)</f>
        <v>0</v>
      </c>
      <c r="E22" s="70" t="n">
        <f aca="false">MIN(MAX(0,E16-E18),E21*Assumptions!$F$37)</f>
        <v>26595.72</v>
      </c>
      <c r="F22" s="70" t="n">
        <f aca="false">MIN(MAX(0,F16-F18),F21*Assumptions!$F$37)</f>
        <v>71862.614049</v>
      </c>
      <c r="G22" s="70" t="n">
        <f aca="false">MIN(MAX(0,G16-G18),G21*Assumptions!$F$37)</f>
        <v>143253.89824602</v>
      </c>
      <c r="H22" s="70" t="n">
        <f aca="false">MIN(MAX(0,H16-H18),H21*Assumptions!$F$37)</f>
        <v>174962.347905301</v>
      </c>
      <c r="I22" s="70" t="n">
        <f aca="false">MIN(MAX(0,I16-I18),I21*Assumptions!$F$37)</f>
        <v>190036.868183334</v>
      </c>
      <c r="J22" s="70" t="n">
        <f aca="false">MIN(MAX(0,J16-J18),J21*Assumptions!$F$37)</f>
        <v>199743.506817395</v>
      </c>
      <c r="K22" s="70" t="n">
        <f aca="false">MIN(MAX(0,K16-K18),K21*Assumptions!$F$37)</f>
        <v>208067.007682161</v>
      </c>
      <c r="L22" s="70" t="n">
        <f aca="false">MIN(MAX(0,L16-L18),L21*Assumptions!$F$37)</f>
        <v>216447.820032628</v>
      </c>
      <c r="M22" s="70" t="n">
        <f aca="false">MIN(MAX(0,M16-M18),M21*Assumptions!$F$37)</f>
        <v>225343.219971069</v>
      </c>
      <c r="N22" s="70" t="n">
        <f aca="false">MIN(MAX(0,N16-N18),N21*Assumptions!$F$37)</f>
        <v>234902.275463063</v>
      </c>
      <c r="O22" s="70" t="n">
        <f aca="false">MIN(MAX(0,O16-O18),O21*Assumptions!$F$37)</f>
        <v>245182.671629451</v>
      </c>
      <c r="P22" s="70" t="n">
        <f aca="false">MIN(MAX(0,P16-P18),P21*Assumptions!$F$37)</f>
        <v>256211.089966164</v>
      </c>
      <c r="Q22" s="70" t="n">
        <f aca="false">MIN(MAX(0,Q16-Q18),Q21*Assumptions!$F$37)</f>
        <v>268003.398697788</v>
      </c>
      <c r="R22" s="70" t="n">
        <f aca="false">MIN(MAX(0,R16-R18),R21*Assumptions!$F$37)</f>
        <v>280572.625982109</v>
      </c>
      <c r="S22" s="70" t="n">
        <f aca="false">MIN(MAX(0,S16-S18),S21*Assumptions!$F$37)</f>
        <v>293932.616875949</v>
      </c>
      <c r="T22" s="70" t="n">
        <f aca="false">MIN(MAX(0,T16-T18),T21*Assumptions!$F$37)</f>
        <v>308099.902847798</v>
      </c>
      <c r="U22" s="70" t="n">
        <f aca="false">MIN(MAX(0,U16-U18),U21*Assumptions!$F$37)</f>
        <v>323094.737039549</v>
      </c>
      <c r="V22" s="70" t="n">
        <f aca="false">MIN(MAX(0,V16-V18),V21*Assumptions!$F$37)</f>
        <v>338541.645051992</v>
      </c>
      <c r="W22" s="70" t="n">
        <f aca="false">MIN(MAX(0,W16-W18),W21*Assumptions!$F$37)</f>
        <v>354342.453847017</v>
      </c>
      <c r="X22" s="70" t="n">
        <f aca="false">MIN(MAX(0,X16-X18),X21*Assumptions!$F$37)</f>
        <v>370534.797634442</v>
      </c>
      <c r="Y22" s="70" t="n">
        <f aca="false">MIN(MAX(0,Y16-Y18),Y21*Assumptions!$F$37)</f>
        <v>387132.310910879</v>
      </c>
      <c r="Z22" s="70" t="n">
        <f aca="false">MIN(MAX(0,Z16-Z18),Z21*Assumptions!$F$37)</f>
        <v>404148.390752054</v>
      </c>
      <c r="AA22" s="70" t="n">
        <f aca="false">MIN(MAX(0,AA16-AA18),AA21*Assumptions!$F$37)</f>
        <v>421599.846717159</v>
      </c>
      <c r="AB22" s="70" t="n">
        <f aca="false">MIN(MAX(0,AB16-AB18),AB21*Assumptions!$F$37)</f>
        <v>439508.008354637</v>
      </c>
      <c r="AC22" s="70" t="n">
        <f aca="false">MIN(MAX(0,AC16-AC18),AC21*Assumptions!$F$37)</f>
        <v>454241.777493682</v>
      </c>
      <c r="AD22" s="70" t="n">
        <f aca="false">MIN(MAX(0,AD16-AD18),AD21*Assumptions!$F$37)</f>
        <v>458083.68983318</v>
      </c>
      <c r="AE22" s="70" t="n">
        <f aca="false">MIN(MAX(0,AE16-AE18),AE21*Assumptions!$F$37)</f>
        <v>460572.535233328</v>
      </c>
      <c r="AF22" s="70" t="n">
        <f aca="false">MIN(MAX(0,AF16-AF18),AF21*Assumptions!$F$37)</f>
        <v>463166.020824207</v>
      </c>
      <c r="AG22" s="70" t="n">
        <f aca="false">MIN(MAX(0,AG16-AG18),AG21*Assumptions!$F$37)</f>
        <v>466109.47667249</v>
      </c>
      <c r="AH22" s="70" t="n">
        <f aca="false">MIN(MAX(0,AH16-AH18),AH21*Assumptions!$F$37)</f>
        <v>469470.40152974</v>
      </c>
      <c r="AI22" s="70" t="n">
        <f aca="false">MIN(MAX(0,AI16-AI18),AI21*Assumptions!$F$37)</f>
        <v>473294.52794891</v>
      </c>
      <c r="AJ22" s="70" t="n">
        <f aca="false">MIN(MAX(0,AJ16-AJ18),AJ21*Assumptions!$F$37)</f>
        <v>477629.724039521</v>
      </c>
      <c r="AK22" s="70" t="n">
        <f aca="false">MIN(MAX(0,AK16-AK18),AK21*Assumptions!$F$37)</f>
        <v>482530.078599173</v>
      </c>
      <c r="AL22" s="70" t="n">
        <f aca="false">MIN(MAX(0,AL16-AL18),AL21*Assumptions!$F$37)</f>
        <v>488057.084577413</v>
      </c>
      <c r="AM22" s="70" t="n">
        <f aca="false">SUM(C22:AL22)</f>
        <v>11075275.0914086</v>
      </c>
    </row>
    <row r="23" customFormat="false" ht="15" hidden="false" customHeight="false" outlineLevel="0" collapsed="false">
      <c r="A23" s="10" t="s">
        <v>744</v>
      </c>
      <c r="B23" s="9" t="s">
        <v>84</v>
      </c>
      <c r="C23" s="61" t="n">
        <f aca="false">C22/Assumptions!$F$37</f>
        <v>0</v>
      </c>
      <c r="D23" s="61" t="n">
        <f aca="false">D22/Assumptions!$F$37</f>
        <v>0</v>
      </c>
      <c r="E23" s="61" t="n">
        <f aca="false">E22/Assumptions!$F$37</f>
        <v>21276.576</v>
      </c>
      <c r="F23" s="61" t="n">
        <f aca="false">F22/Assumptions!$F$37</f>
        <v>57490.0912392</v>
      </c>
      <c r="G23" s="61" t="n">
        <f aca="false">G22/Assumptions!$F$37</f>
        <v>114603.118596816</v>
      </c>
      <c r="H23" s="61" t="n">
        <f aca="false">H22/Assumptions!$F$37</f>
        <v>139969.878324241</v>
      </c>
      <c r="I23" s="61" t="n">
        <f aca="false">I22/Assumptions!$F$37</f>
        <v>152029.494546667</v>
      </c>
      <c r="J23" s="61" t="n">
        <f aca="false">J22/Assumptions!$F$37</f>
        <v>159794.805453916</v>
      </c>
      <c r="K23" s="61" t="n">
        <f aca="false">K22/Assumptions!$F$37</f>
        <v>166453.606145729</v>
      </c>
      <c r="L23" s="61" t="n">
        <f aca="false">L22/Assumptions!$F$37</f>
        <v>173158.256026102</v>
      </c>
      <c r="M23" s="61" t="n">
        <f aca="false">M22/Assumptions!$F$37</f>
        <v>180274.575976855</v>
      </c>
      <c r="N23" s="61" t="n">
        <f aca="false">N22/Assumptions!$F$37</f>
        <v>187921.82037045</v>
      </c>
      <c r="O23" s="61" t="n">
        <f aca="false">O22/Assumptions!$F$37</f>
        <v>196146.137303561</v>
      </c>
      <c r="P23" s="61" t="n">
        <f aca="false">P22/Assumptions!$F$37</f>
        <v>204968.871972931</v>
      </c>
      <c r="Q23" s="61" t="n">
        <f aca="false">Q22/Assumptions!$F$37</f>
        <v>214402.71895823</v>
      </c>
      <c r="R23" s="61" t="n">
        <f aca="false">R22/Assumptions!$F$37</f>
        <v>224458.100785687</v>
      </c>
      <c r="S23" s="61" t="n">
        <f aca="false">S22/Assumptions!$F$37</f>
        <v>235146.093500759</v>
      </c>
      <c r="T23" s="61" t="n">
        <f aca="false">T22/Assumptions!$F$37</f>
        <v>246479.922278238</v>
      </c>
      <c r="U23" s="61" t="n">
        <f aca="false">U22/Assumptions!$F$37</f>
        <v>258475.789631639</v>
      </c>
      <c r="V23" s="61" t="n">
        <f aca="false">V22/Assumptions!$F$37</f>
        <v>270833.316041593</v>
      </c>
      <c r="W23" s="61" t="n">
        <f aca="false">W22/Assumptions!$F$37</f>
        <v>283473.963077614</v>
      </c>
      <c r="X23" s="61" t="n">
        <f aca="false">X22/Assumptions!$F$37</f>
        <v>296427.838107554</v>
      </c>
      <c r="Y23" s="61" t="n">
        <f aca="false">Y22/Assumptions!$F$37</f>
        <v>309705.848728703</v>
      </c>
      <c r="Z23" s="61" t="n">
        <f aca="false">Z22/Assumptions!$F$37</f>
        <v>323318.712601643</v>
      </c>
      <c r="AA23" s="61" t="n">
        <f aca="false">AA22/Assumptions!$F$37</f>
        <v>337279.877373727</v>
      </c>
      <c r="AB23" s="61" t="n">
        <f aca="false">AB22/Assumptions!$F$37</f>
        <v>351606.40668371</v>
      </c>
      <c r="AC23" s="61" t="n">
        <f aca="false">AC22/Assumptions!$F$37</f>
        <v>363393.421994946</v>
      </c>
      <c r="AD23" s="61" t="n">
        <f aca="false">AD22/Assumptions!$F$37</f>
        <v>366466.951866544</v>
      </c>
      <c r="AE23" s="61" t="n">
        <f aca="false">AE22/Assumptions!$F$37</f>
        <v>368458.028186663</v>
      </c>
      <c r="AF23" s="61" t="n">
        <f aca="false">AF22/Assumptions!$F$37</f>
        <v>370532.816659365</v>
      </c>
      <c r="AG23" s="61" t="n">
        <f aca="false">AG22/Assumptions!$F$37</f>
        <v>372887.581337992</v>
      </c>
      <c r="AH23" s="61" t="n">
        <f aca="false">AH22/Assumptions!$F$37</f>
        <v>375576.321223792</v>
      </c>
      <c r="AI23" s="61" t="n">
        <f aca="false">AI22/Assumptions!$F$37</f>
        <v>378635.622359128</v>
      </c>
      <c r="AJ23" s="61" t="n">
        <f aca="false">AJ22/Assumptions!$F$37</f>
        <v>382103.779231617</v>
      </c>
      <c r="AK23" s="61" t="n">
        <f aca="false">AK22/Assumptions!$F$37</f>
        <v>386024.062879339</v>
      </c>
      <c r="AL23" s="61" t="n">
        <f aca="false">AL22/Assumptions!$F$37</f>
        <v>390445.667661931</v>
      </c>
      <c r="AM23" s="61" t="n">
        <f aca="false">SUM(C23:AL23)</f>
        <v>8860220.07312688</v>
      </c>
    </row>
    <row r="24" customFormat="false" ht="15" hidden="false" customHeight="false" outlineLevel="0" collapsed="false">
      <c r="A24" s="10" t="s">
        <v>745</v>
      </c>
      <c r="B24" s="9" t="s">
        <v>97</v>
      </c>
      <c r="C24" s="70" t="n">
        <f aca="false">MAX(0,C16-C18-C22)</f>
        <v>15000</v>
      </c>
      <c r="D24" s="70" t="n">
        <f aca="false">MAX(0,D16-D18-D22)</f>
        <v>0</v>
      </c>
      <c r="E24" s="70" t="n">
        <f aca="false">MAX(0,E16-E18-E22)</f>
        <v>0</v>
      </c>
      <c r="F24" s="70" t="n">
        <f aca="false">MAX(0,F16-F18-F22)</f>
        <v>0</v>
      </c>
      <c r="G24" s="70" t="n">
        <f aca="false">MAX(0,G16-G18-G22)</f>
        <v>0</v>
      </c>
      <c r="H24" s="70" t="n">
        <f aca="false">MAX(0,H16-H18-H22)</f>
        <v>105229.229872102</v>
      </c>
      <c r="I24" s="70" t="n">
        <f aca="false">MAX(0,I16-I18-I22)</f>
        <v>225828.535087704</v>
      </c>
      <c r="J24" s="70" t="n">
        <f aca="false">MAX(0,J16-J18-J22)</f>
        <v>349426.630173265</v>
      </c>
      <c r="K24" s="70" t="n">
        <f aca="false">MAX(0,K16-K18-K22)</f>
        <v>477323.023639396</v>
      </c>
      <c r="L24" s="70" t="n">
        <f aca="false">MAX(0,L16-L18-L22)</f>
        <v>609930.558776758</v>
      </c>
      <c r="M24" s="70" t="n">
        <f aca="false">MAX(0,M16-M18-M22)</f>
        <v>747641.173813267</v>
      </c>
      <c r="N24" s="70" t="n">
        <f aca="false">MAX(0,N16-N18-N22)</f>
        <v>890991.254879661</v>
      </c>
      <c r="O24" s="70" t="n">
        <f aca="false">MAX(0,O16-O18-O22)</f>
        <v>1040584.47407784</v>
      </c>
      <c r="P24" s="70" t="n">
        <f aca="false">MAX(0,P16-P18-P22)</f>
        <v>1197065.21140491</v>
      </c>
      <c r="Q24" s="70" t="n">
        <f aca="false">MAX(0,Q16-Q18-Q22)</f>
        <v>1361106.50539348</v>
      </c>
      <c r="R24" s="70" t="n">
        <f aca="false">MAX(0,R16-R18-R22)</f>
        <v>1533405.44339015</v>
      </c>
      <c r="S24" s="70" t="n">
        <f aca="false">MAX(0,S16-S18-S22)</f>
        <v>1714682.55363355</v>
      </c>
      <c r="T24" s="70" t="n">
        <f aca="false">MAX(0,T16-T18-T22)</f>
        <v>1905683.53845217</v>
      </c>
      <c r="U24" s="70" t="n">
        <f aca="false">MAX(0,U16-U18-U22)</f>
        <v>2100969.36584119</v>
      </c>
      <c r="V24" s="70" t="n">
        <f aca="false">MAX(0,V16-V18-V22)</f>
        <v>2300257.30617672</v>
      </c>
      <c r="W24" s="70" t="n">
        <f aca="false">MAX(0,W16-W18-W22)</f>
        <v>2504467.08341289</v>
      </c>
      <c r="X24" s="70" t="n">
        <f aca="false">MAX(0,X16-X18-X22)</f>
        <v>2713686.14412674</v>
      </c>
      <c r="Y24" s="70" t="n">
        <f aca="false">MAX(0,Y16-Y18-Y22)</f>
        <v>2928036.49137146</v>
      </c>
      <c r="Z24" s="70" t="n">
        <f aca="false">MAX(0,Z16-Z18-Z22)</f>
        <v>3147653.30464259</v>
      </c>
      <c r="AA24" s="70" t="n">
        <f aca="false">MAX(0,AA16-AA18-AA22)</f>
        <v>3372689.43811207</v>
      </c>
      <c r="AB24" s="70" t="n">
        <f aca="false">MAX(0,AB16-AB18-AB22)</f>
        <v>3539506.5574751</v>
      </c>
      <c r="AC24" s="70" t="n">
        <f aca="false">MAX(0,AC16-AC18-AC22)</f>
        <v>3524288.53150133</v>
      </c>
      <c r="AD24" s="70" t="n">
        <f aca="false">MAX(0,AD16-AD18-AD22)</f>
        <v>3519884.66238274</v>
      </c>
      <c r="AE24" s="70" t="n">
        <f aca="false">MAX(0,AE16-AE18-AE22)</f>
        <v>3516749.5787432</v>
      </c>
      <c r="AF24" s="70" t="n">
        <f aca="false">MAX(0,AF16-AF18-AF22)</f>
        <v>3513417.81820794</v>
      </c>
      <c r="AG24" s="70" t="n">
        <f aca="false">MAX(0,AG16-AG18-AG22)</f>
        <v>3509635.03464197</v>
      </c>
      <c r="AH24" s="70" t="n">
        <f aca="false">MAX(0,AH16-AH18-AH22)</f>
        <v>3505323.34733013</v>
      </c>
      <c r="AI24" s="70" t="n">
        <f aca="false">MAX(0,AI16-AI18-AI22)</f>
        <v>3500425.15170855</v>
      </c>
      <c r="AJ24" s="70" t="n">
        <f aca="false">MAX(0,AJ16-AJ18-AJ22)</f>
        <v>3494879.07299341</v>
      </c>
      <c r="AK24" s="70" t="n">
        <f aca="false">MAX(0,AK16-AK18-AK22)</f>
        <v>3488615.71429297</v>
      </c>
      <c r="AL24" s="70" t="n">
        <f aca="false">MAX(0,AL16-AL18-AL22)</f>
        <v>3481556.28225992</v>
      </c>
      <c r="AM24" s="70" t="n">
        <f aca="false">SUM(C24:AL24)</f>
        <v>69835939.0178152</v>
      </c>
    </row>
    <row r="25" customFormat="false" ht="15" hidden="false" customHeight="false" outlineLevel="0" collapsed="false">
      <c r="A25" s="10" t="s">
        <v>746</v>
      </c>
      <c r="B25" s="9" t="s">
        <v>84</v>
      </c>
      <c r="C25" s="61" t="n">
        <f aca="false">(Assumptions!$F$21/(Assumptions!$F$41*Assumptions!$F$42))*(C24/Assumptions!$F$21)^Assumptions!$F$25</f>
        <v>14131.2950775799</v>
      </c>
      <c r="D25" s="61" t="n">
        <f aca="false">(Assumptions!$F$21/(Assumptions!$F$41*Assumptions!$F$42))*(D24/Assumptions!$F$21)^Assumptions!$F$25</f>
        <v>0</v>
      </c>
      <c r="E25" s="61" t="n">
        <f aca="false">(Assumptions!$F$21/(Assumptions!$F$41*Assumptions!$F$42))*(E24/Assumptions!$F$21)^Assumptions!$F$25</f>
        <v>0</v>
      </c>
      <c r="F25" s="61" t="n">
        <f aca="false">(Assumptions!$F$21/(Assumptions!$F$41*Assumptions!$F$42))*(F24/Assumptions!$F$21)^Assumptions!$F$25</f>
        <v>0</v>
      </c>
      <c r="G25" s="61" t="n">
        <f aca="false">(Assumptions!$F$21/(Assumptions!$F$41*Assumptions!$F$42))*(G24/Assumptions!$F$21)^Assumptions!$F$25</f>
        <v>0</v>
      </c>
      <c r="H25" s="61" t="n">
        <f aca="false">(Assumptions!$F$21/(Assumptions!$F$41*Assumptions!$F$42))*(H24/Assumptions!$F$21)^Assumptions!$F$25</f>
        <v>64579.8703422943</v>
      </c>
      <c r="I25" s="61" t="n">
        <f aca="false">(Assumptions!$F$21/(Assumptions!$F$41*Assumptions!$F$42))*(I24/Assumptions!$F$21)^Assumptions!$F$25</f>
        <v>117159.702579622</v>
      </c>
      <c r="J25" s="61" t="n">
        <f aca="false">(Assumptions!$F$21/(Assumptions!$F$41*Assumptions!$F$42))*(J24/Assumptions!$F$21)^Assumptions!$F$25</f>
        <v>164682.88362078</v>
      </c>
      <c r="K25" s="61" t="n">
        <f aca="false">(Assumptions!$F$21/(Assumptions!$F$41*Assumptions!$F$42))*(K24/Assumptions!$F$21)^Assumptions!$F$25</f>
        <v>210041.176270993</v>
      </c>
      <c r="L25" s="61" t="n">
        <f aca="false">(Assumptions!$F$21/(Assumptions!$F$41*Assumptions!$F$42))*(L24/Assumptions!$F$21)^Assumptions!$F$25</f>
        <v>254301.832368733</v>
      </c>
      <c r="M25" s="61" t="n">
        <f aca="false">(Assumptions!$F$21/(Assumptions!$F$41*Assumptions!$F$42))*(M24/Assumptions!$F$21)^Assumptions!$F$25</f>
        <v>298065.346523951</v>
      </c>
      <c r="N25" s="61" t="n">
        <f aca="false">(Assumptions!$F$21/(Assumptions!$F$41*Assumptions!$F$42))*(N24/Assumptions!$F$21)^Assumptions!$F$25</f>
        <v>341768.527530322</v>
      </c>
      <c r="O25" s="61" t="n">
        <f aca="false">(Assumptions!$F$21/(Assumptions!$F$41*Assumptions!$F$42))*(O24/Assumptions!$F$21)^Assumptions!$F$25</f>
        <v>385751.043513469</v>
      </c>
      <c r="P25" s="61" t="n">
        <f aca="false">(Assumptions!$F$21/(Assumptions!$F$41*Assumptions!$F$42))*(P24/Assumptions!$F$21)^Assumptions!$F$25</f>
        <v>430291.408320728</v>
      </c>
      <c r="Q25" s="61" t="n">
        <f aca="false">(Assumptions!$F$21/(Assumptions!$F$41*Assumptions!$F$42))*(Q24/Assumptions!$F$21)^Assumptions!$F$25</f>
        <v>475627.140440477</v>
      </c>
      <c r="R25" s="61" t="n">
        <f aca="false">(Assumptions!$F$21/(Assumptions!$F$41*Assumptions!$F$42))*(R24/Assumptions!$F$21)^Assumptions!$F$25</f>
        <v>521967.236445063</v>
      </c>
      <c r="S25" s="61" t="n">
        <f aca="false">(Assumptions!$F$21/(Assumptions!$F$41*Assumptions!$F$42))*(S24/Assumptions!$F$21)^Assumptions!$F$25</f>
        <v>569500.47632924</v>
      </c>
      <c r="T25" s="61" t="n">
        <f aca="false">(Assumptions!$F$21/(Assumptions!$F$41*Assumptions!$F$42))*(T24/Assumptions!$F$21)^Assumptions!$F$25</f>
        <v>618401.299221356</v>
      </c>
      <c r="U25" s="61" t="n">
        <f aca="false">(Assumptions!$F$21/(Assumptions!$F$41*Assumptions!$F$42))*(U24/Assumptions!$F$21)^Assumptions!$F$25</f>
        <v>667295.451552859</v>
      </c>
      <c r="V25" s="61" t="n">
        <f aca="false">(Assumptions!$F$21/(Assumptions!$F$41*Assumptions!$F$42))*(V24/Assumptions!$F$21)^Assumptions!$F$25</f>
        <v>716170.436953484</v>
      </c>
      <c r="W25" s="61" t="n">
        <f aca="false">(Assumptions!$F$21/(Assumptions!$F$41*Assumptions!$F$42))*(W24/Assumptions!$F$21)^Assumptions!$F$25</f>
        <v>765294.758537526</v>
      </c>
      <c r="X25" s="61" t="n">
        <f aca="false">(Assumptions!$F$21/(Assumptions!$F$41*Assumptions!$F$42))*(X24/Assumptions!$F$21)^Assumptions!$F$25</f>
        <v>814717.949109756</v>
      </c>
      <c r="Y25" s="61" t="n">
        <f aca="false">(Assumptions!$F$21/(Assumptions!$F$41*Assumptions!$F$42))*(Y24/Assumptions!$F$21)^Assumptions!$F$25</f>
        <v>864490.930182516</v>
      </c>
      <c r="Z25" s="61" t="n">
        <f aca="false">(Assumptions!$F$21/(Assumptions!$F$41*Assumptions!$F$42))*(Z24/Assumptions!$F$21)^Assumptions!$F$25</f>
        <v>914661.835150285</v>
      </c>
      <c r="AA25" s="61" t="n">
        <f aca="false">(Assumptions!$F$21/(Assumptions!$F$41*Assumptions!$F$42))*(AA24/Assumptions!$F$21)^Assumptions!$F$25</f>
        <v>965277.8441355</v>
      </c>
      <c r="AB25" s="61" t="n">
        <f aca="false">(Assumptions!$F$21/(Assumptions!$F$41*Assumptions!$F$42))*(AB24/Assumptions!$F$21)^Assumptions!$F$25</f>
        <v>1002319.32918847</v>
      </c>
      <c r="AC25" s="61" t="n">
        <f aca="false">(Assumptions!$F$21/(Assumptions!$F$41*Assumptions!$F$42))*(AC24/Assumptions!$F$21)^Assumptions!$F$25</f>
        <v>998956.366758268</v>
      </c>
      <c r="AD25" s="61" t="n">
        <f aca="false">(Assumptions!$F$21/(Assumptions!$F$41*Assumptions!$F$42))*(AD24/Assumptions!$F$21)^Assumptions!$F$25</f>
        <v>997982.580166993</v>
      </c>
      <c r="AE25" s="61" t="n">
        <f aca="false">(Assumptions!$F$21/(Assumptions!$F$41*Assumptions!$F$42))*(AE24/Assumptions!$F$21)^Assumptions!$F$25</f>
        <v>997289.184976089</v>
      </c>
      <c r="AF25" s="61" t="n">
        <f aca="false">(Assumptions!$F$21/(Assumptions!$F$41*Assumptions!$F$42))*(AF24/Assumptions!$F$21)^Assumptions!$F$25</f>
        <v>996552.141133804</v>
      </c>
      <c r="AG25" s="61" t="n">
        <f aca="false">(Assumptions!$F$21/(Assumptions!$F$41*Assumptions!$F$42))*(AG24/Assumptions!$F$21)^Assumptions!$F$25</f>
        <v>995715.136662758</v>
      </c>
      <c r="AH25" s="61" t="n">
        <f aca="false">(Assumptions!$F$21/(Assumptions!$F$41*Assumptions!$F$42))*(AH24/Assumptions!$F$21)^Assumptions!$F$25</f>
        <v>994760.861263341</v>
      </c>
      <c r="AI25" s="61" t="n">
        <f aca="false">(Assumptions!$F$21/(Assumptions!$F$41*Assumptions!$F$42))*(AI24/Assumptions!$F$21)^Assumptions!$F$25</f>
        <v>993676.464729708</v>
      </c>
      <c r="AJ25" s="61" t="n">
        <f aca="false">(Assumptions!$F$21/(Assumptions!$F$41*Assumptions!$F$42))*(AJ24/Assumptions!$F$21)^Assumptions!$F$25</f>
        <v>992448.232264485</v>
      </c>
      <c r="AK25" s="61" t="n">
        <f aca="false">(Assumptions!$F$21/(Assumptions!$F$41*Assumptions!$F$42))*(AK24/Assumptions!$F$21)^Assumptions!$F$25</f>
        <v>991060.63554081</v>
      </c>
      <c r="AL25" s="61" t="n">
        <f aca="false">(Assumptions!$F$21/(Assumptions!$F$41*Assumptions!$F$42))*(AL24/Assumptions!$F$21)^Assumptions!$F$25</f>
        <v>989496.017991837</v>
      </c>
      <c r="AM25" s="61" t="n">
        <f aca="false">SUM(C25:AL25)</f>
        <v>21124435.3948831</v>
      </c>
    </row>
    <row r="26" customFormat="false" ht="15" hidden="false" customHeight="false" outlineLevel="0" collapsed="false">
      <c r="A26" s="37" t="s">
        <v>747</v>
      </c>
      <c r="B26" s="9" t="s">
        <v>97</v>
      </c>
      <c r="C26" s="53" t="n">
        <f aca="false">C18+C22+C24</f>
        <v>15000</v>
      </c>
      <c r="D26" s="53" t="n">
        <f aca="false">D18+D22+D24</f>
        <v>60000</v>
      </c>
      <c r="E26" s="53" t="n">
        <f aca="false">E18+E22+E24</f>
        <v>60000</v>
      </c>
      <c r="F26" s="53" t="n">
        <f aca="false">F18+F22+F24</f>
        <v>102889.512</v>
      </c>
      <c r="G26" s="53" t="n">
        <f aca="false">G18+G22+G24</f>
        <v>172246.98348</v>
      </c>
      <c r="H26" s="53" t="n">
        <f aca="false">H18+H22+H24</f>
        <v>307447.608221281</v>
      </c>
      <c r="I26" s="53" t="n">
        <f aca="false">I18+I22+I24</f>
        <v>441641.033639545</v>
      </c>
      <c r="J26" s="53" t="n">
        <f aca="false">J18+J22+J24</f>
        <v>573687.706383762</v>
      </c>
      <c r="K26" s="53" t="n">
        <f aca="false">K18+K22+K24</f>
        <v>708842.561335952</v>
      </c>
      <c r="L26" s="53" t="n">
        <f aca="false">L18+L22+L24</f>
        <v>848933.895185454</v>
      </c>
      <c r="M26" s="53" t="n">
        <f aca="false">M18+M22+M24</f>
        <v>994789.669086084</v>
      </c>
      <c r="N26" s="53" t="n">
        <f aca="false">N18+N22+N24</f>
        <v>1147077.33185376</v>
      </c>
      <c r="O26" s="53" t="n">
        <f aca="false">O18+O22+O24</f>
        <v>1306443.06131549</v>
      </c>
      <c r="P26" s="53" t="n">
        <f aca="false">P18+P22+P24</f>
        <v>1473545.20644688</v>
      </c>
      <c r="Q26" s="53" t="n">
        <f aca="false">Q18+Q22+Q24</f>
        <v>1649062.12401456</v>
      </c>
      <c r="R26" s="53" t="n">
        <f aca="false">R18+R22+R24</f>
        <v>1833695.28523834</v>
      </c>
      <c r="S26" s="53" t="n">
        <f aca="false">S18+S22+S24</f>
        <v>2028172.10948124</v>
      </c>
      <c r="T26" s="53" t="n">
        <f aca="false">T18+T22+T24</f>
        <v>2233249.3879288</v>
      </c>
      <c r="U26" s="53" t="n">
        <f aca="false">U18+U22+U24</f>
        <v>2443504.26337525</v>
      </c>
      <c r="V26" s="53" t="n">
        <f aca="false">V18+V22+V24</f>
        <v>2658275.69900195</v>
      </c>
      <c r="W26" s="53" t="n">
        <f aca="false">W18+W22+W24</f>
        <v>2878383.56504961</v>
      </c>
      <c r="X26" s="53" t="n">
        <f aca="false">X18+X22+X24</f>
        <v>3103952.3431166</v>
      </c>
      <c r="Y26" s="53" t="n">
        <f aca="false">Y18+Y22+Y24</f>
        <v>3335118.10318603</v>
      </c>
      <c r="Z26" s="53" t="n">
        <f aca="false">Z18+Z22+Z24</f>
        <v>3572030.85518542</v>
      </c>
      <c r="AA26" s="53" t="n">
        <f aca="false">AA18+AA22+AA24</f>
        <v>3814862.68437152</v>
      </c>
      <c r="AB26" s="53" t="n">
        <f aca="false">AB18+AB22+AB24</f>
        <v>4000000</v>
      </c>
      <c r="AC26" s="53" t="n">
        <f aca="false">AC18+AC22+AC24</f>
        <v>4000000</v>
      </c>
      <c r="AD26" s="53" t="n">
        <f aca="false">AD18+AD22+AD24</f>
        <v>4000000</v>
      </c>
      <c r="AE26" s="53" t="n">
        <f aca="false">AE18+AE22+AE24</f>
        <v>4000000</v>
      </c>
      <c r="AF26" s="53" t="n">
        <f aca="false">AF18+AF22+AF24</f>
        <v>4000000</v>
      </c>
      <c r="AG26" s="53" t="n">
        <f aca="false">AG18+AG22+AG24</f>
        <v>4000000</v>
      </c>
      <c r="AH26" s="53" t="n">
        <f aca="false">AH18+AH22+AH24</f>
        <v>4000000</v>
      </c>
      <c r="AI26" s="53" t="n">
        <f aca="false">AI18+AI22+AI24</f>
        <v>4000000</v>
      </c>
      <c r="AJ26" s="53" t="n">
        <f aca="false">AJ18+AJ22+AJ24</f>
        <v>4000000</v>
      </c>
      <c r="AK26" s="53" t="n">
        <f aca="false">AK18+AK22+AK24</f>
        <v>4000000</v>
      </c>
      <c r="AL26" s="53" t="n">
        <f aca="false">AL18+AL22+AL24</f>
        <v>4000000</v>
      </c>
      <c r="AM26" s="53" t="n">
        <f aca="false">SUM(C26:AL26)</f>
        <v>81762850.9888975</v>
      </c>
    </row>
    <row r="27" customFormat="false" ht="15" hidden="false" customHeight="false" outlineLevel="0" collapsed="false">
      <c r="A27" s="10" t="s">
        <v>748</v>
      </c>
      <c r="B27" s="9" t="s">
        <v>84</v>
      </c>
      <c r="C27" s="61" t="n">
        <f aca="false">C19+C23+C25</f>
        <v>14131.2950775799</v>
      </c>
      <c r="D27" s="61" t="n">
        <f aca="false">D19+D23+D25</f>
        <v>63157.8947368421</v>
      </c>
      <c r="E27" s="61" t="n">
        <f aca="false">E19+E23+E25</f>
        <v>56438.976</v>
      </c>
      <c r="F27" s="61" t="n">
        <f aca="false">F19+F23+F25</f>
        <v>90149.9838192</v>
      </c>
      <c r="G27" s="61" t="n">
        <f aca="false">G19+G23+G25</f>
        <v>145122.155685216</v>
      </c>
      <c r="H27" s="61" t="n">
        <f aca="false">H19+H23+H25</f>
        <v>233240.307028511</v>
      </c>
      <c r="I27" s="61" t="n">
        <f aca="false">I19+I23+I25</f>
        <v>296321.439619455</v>
      </c>
      <c r="J27" s="61" t="n">
        <f aca="false">J19+J23+J25</f>
        <v>350285.656856909</v>
      </c>
      <c r="K27" s="61" t="n">
        <f aca="false">K19+K23+K25</f>
        <v>401181.656116086</v>
      </c>
      <c r="L27" s="61" t="n">
        <f aca="false">L19+L23+L25</f>
        <v>451202.737211748</v>
      </c>
      <c r="M27" s="61" t="n">
        <f aca="false">M19+M23+M25</f>
        <v>501292.843871067</v>
      </c>
      <c r="N27" s="61" t="n">
        <f aca="false">N19+N23+N25</f>
        <v>551989.086333438</v>
      </c>
      <c r="O27" s="61" t="n">
        <f aca="false">O19+O23+O25</f>
        <v>603661.302509873</v>
      </c>
      <c r="P27" s="61" t="n">
        <f aca="false">P19+P23+P25</f>
        <v>656595.969847145</v>
      </c>
      <c r="Q27" s="61" t="n">
        <f aca="false">Q19+Q23+Q25</f>
        <v>711032.196160062</v>
      </c>
      <c r="R27" s="61" t="n">
        <f aca="false">R19+R23+R25</f>
        <v>767180.301300315</v>
      </c>
      <c r="S27" s="61" t="n">
        <f aca="false">S19+S23+S25</f>
        <v>825232.821379201</v>
      </c>
      <c r="T27" s="61" t="n">
        <f aca="false">T19+T23+T25</f>
        <v>885371.69163521</v>
      </c>
      <c r="U27" s="61" t="n">
        <f aca="false">U19+U23+U25</f>
        <v>946234.568020825</v>
      </c>
      <c r="V27" s="61" t="n">
        <f aca="false">V19+V23+V25</f>
        <v>1007505.59275638</v>
      </c>
      <c r="W27" s="61" t="n">
        <f aca="false">W19+W23+W25</f>
        <v>1069372.96139377</v>
      </c>
      <c r="X27" s="61" t="n">
        <f aca="false">X19+X23+X25</f>
        <v>1131915.68338091</v>
      </c>
      <c r="Y27" s="61" t="n">
        <f aca="false">Y19+Y23+Y25</f>
        <v>1195196.04302037</v>
      </c>
      <c r="Z27" s="61" t="n">
        <f aca="false">Z19+Z23+Z25</f>
        <v>1259274.40016327</v>
      </c>
      <c r="AA27" s="61" t="n">
        <f aca="false">AA19+AA23+AA25</f>
        <v>1324213.93155374</v>
      </c>
      <c r="AB27" s="61" t="n">
        <f aca="false">AB19+AB23+AB25</f>
        <v>1376015.66657772</v>
      </c>
      <c r="AC27" s="61" t="n">
        <f aca="false">AC19+AC23+AC25</f>
        <v>1384949.46349531</v>
      </c>
      <c r="AD27" s="61" t="n">
        <f aca="false">AD19+AD23+AD25</f>
        <v>1387640.74022731</v>
      </c>
      <c r="AE27" s="61" t="n">
        <f aca="false">AE19+AE23+AE25</f>
        <v>1389618.67213483</v>
      </c>
      <c r="AF27" s="61" t="n">
        <f aca="false">AF19+AF23+AF25</f>
        <v>1391733.54828565</v>
      </c>
      <c r="AG27" s="61" t="n">
        <f aca="false">AG19+AG23+AG25</f>
        <v>1394134.81135395</v>
      </c>
      <c r="AH27" s="61" t="n">
        <f aca="false">AH19+AH23+AH25</f>
        <v>1396870.07842411</v>
      </c>
      <c r="AI27" s="61" t="n">
        <f aca="false">AI19+AI23+AI25</f>
        <v>1399975.58218625</v>
      </c>
      <c r="AJ27" s="61" t="n">
        <f aca="false">AJ19+AJ23+AJ25</f>
        <v>1403490.11988249</v>
      </c>
      <c r="AK27" s="61" t="n">
        <f aca="false">AK19+AK23+AK25</f>
        <v>1407457.54800736</v>
      </c>
      <c r="AL27" s="61" t="n">
        <f aca="false">AL19+AL23+AL25</f>
        <v>1411927.61529868</v>
      </c>
      <c r="AM27" s="61" t="n">
        <f aca="false">SUM(C27:AL27)</f>
        <v>30881115.3413508</v>
      </c>
    </row>
    <row r="28" customFormat="false" ht="15" hidden="false" customHeight="false" outlineLevel="0" collapsed="false">
      <c r="A28" s="10" t="s">
        <v>749</v>
      </c>
      <c r="B28" s="9" t="s">
        <v>97</v>
      </c>
      <c r="C28" s="63" t="n">
        <f aca="false">IFERROR(C26/C27,0)</f>
        <v>1.06147383644959</v>
      </c>
      <c r="D28" s="63" t="n">
        <f aca="false">IFERROR(D26/D27,0)</f>
        <v>0.95</v>
      </c>
      <c r="E28" s="63" t="n">
        <f aca="false">IFERROR(E26/E27,0)</f>
        <v>1.06309512064854</v>
      </c>
      <c r="F28" s="63" t="n">
        <f aca="false">IFERROR(F26/F27,0)</f>
        <v>1.14131481383679</v>
      </c>
      <c r="G28" s="63" t="n">
        <f aca="false">IFERROR(G26/G27,0)</f>
        <v>1.1869103147394</v>
      </c>
      <c r="H28" s="63" t="n">
        <f aca="false">IFERROR(H26/H27,0)</f>
        <v>1.31815813543625</v>
      </c>
      <c r="I28" s="63" t="n">
        <f aca="false">IFERROR(I26/I27,0)</f>
        <v>1.49041201408415</v>
      </c>
      <c r="J28" s="63" t="n">
        <f aca="false">IFERROR(J26/J27,0)</f>
        <v>1.63777104529893</v>
      </c>
      <c r="K28" s="63" t="n">
        <f aca="false">IFERROR(K26/K27,0)</f>
        <v>1.76688677193865</v>
      </c>
      <c r="L28" s="63" t="n">
        <f aca="false">IFERROR(L26/L27,0)</f>
        <v>1.88149101317852</v>
      </c>
      <c r="M28" s="63" t="n">
        <f aca="false">IFERROR(M26/M27,0)</f>
        <v>1.98444817485155</v>
      </c>
      <c r="N28" s="63" t="n">
        <f aca="false">IFERROR(N26/N27,0)</f>
        <v>2.07807973065766</v>
      </c>
      <c r="O28" s="63" t="n">
        <f aca="false">IFERROR(O26/O27,0)</f>
        <v>2.16419879141437</v>
      </c>
      <c r="P28" s="63" t="n">
        <f aca="false">IFERROR(P26/P27,0)</f>
        <v>2.24421908466773</v>
      </c>
      <c r="Q28" s="63" t="n">
        <f aca="false">IFERROR(Q26/Q27,0)</f>
        <v>2.31925098880239</v>
      </c>
      <c r="R28" s="63" t="n">
        <f aca="false">IFERROR(R26/R27,0)</f>
        <v>2.39017514152848</v>
      </c>
      <c r="S28" s="63" t="n">
        <f aca="false">IFERROR(S26/S27,0)</f>
        <v>2.45769685467864</v>
      </c>
      <c r="T28" s="63" t="n">
        <f aca="false">IFERROR(T26/T27,0)</f>
        <v>2.52238625769045</v>
      </c>
      <c r="U28" s="63" t="n">
        <f aca="false">IFERROR(U26/U27,0)</f>
        <v>2.58234516678689</v>
      </c>
      <c r="V28" s="63" t="n">
        <f aca="false">IFERROR(V26/V27,0)</f>
        <v>2.63847239967107</v>
      </c>
      <c r="W28" s="63" t="n">
        <f aca="false">IFERROR(W26/W27,0)</f>
        <v>2.69165545507908</v>
      </c>
      <c r="X28" s="63" t="n">
        <f aca="false">IFERROR(X26/X27,0)</f>
        <v>2.7422116229059</v>
      </c>
      <c r="Y28" s="63" t="n">
        <f aca="false">IFERROR(Y26/Y27,0)</f>
        <v>2.79043603152993</v>
      </c>
      <c r="Z28" s="63" t="n">
        <f aca="false">IFERROR(Z26/Z27,0)</f>
        <v>2.83657863188698</v>
      </c>
      <c r="AA28" s="63" t="n">
        <f aca="false">IFERROR(AA26/AA27,0)</f>
        <v>2.8808507398011</v>
      </c>
      <c r="AB28" s="63" t="n">
        <f aca="false">IFERROR(AB26/AB27,0)</f>
        <v>2.9069436469051</v>
      </c>
      <c r="AC28" s="63" t="n">
        <f aca="false">IFERROR(AC26/AC27,0)</f>
        <v>2.8881920282527</v>
      </c>
      <c r="AD28" s="63" t="n">
        <f aca="false">IFERROR(AD26/AD27,0)</f>
        <v>2.88259048905178</v>
      </c>
      <c r="AE28" s="63" t="n">
        <f aca="false">IFERROR(AE26/AE27,0)</f>
        <v>2.87848751618667</v>
      </c>
      <c r="AF28" s="63" t="n">
        <f aca="false">IFERROR(AF26/AF27,0)</f>
        <v>2.87411337100212</v>
      </c>
      <c r="AG28" s="63" t="n">
        <f aca="false">IFERROR(AG26/AG27,0)</f>
        <v>2.86916298726901</v>
      </c>
      <c r="AH28" s="63" t="n">
        <f aca="false">IFERROR(AH26/AH27,0)</f>
        <v>2.8635447646732</v>
      </c>
      <c r="AI28" s="63" t="n">
        <f aca="false">IFERROR(AI26/AI27,0)</f>
        <v>2.85719269028497</v>
      </c>
      <c r="AJ28" s="63" t="n">
        <f aca="false">IFERROR(AJ26/AJ27,0)</f>
        <v>2.85003787581698</v>
      </c>
      <c r="AK28" s="63" t="n">
        <f aca="false">IFERROR(AK26/AK27,0)</f>
        <v>2.84200401330974</v>
      </c>
      <c r="AL28" s="63" t="n">
        <f aca="false">IFERROR(AL26/AL27,0)</f>
        <v>2.83300642090907</v>
      </c>
      <c r="AM28" s="63" t="n">
        <f aca="false">AVERAGE(N28:AL28)</f>
        <v>2.67535330803048</v>
      </c>
    </row>
    <row r="29" customFormat="false" ht="15" hidden="false" customHeight="false" outlineLevel="0" collapsed="false">
      <c r="A29" s="37" t="s">
        <v>750</v>
      </c>
      <c r="B29" s="9" t="s">
        <v>84</v>
      </c>
      <c r="C29" s="71" t="n">
        <f aca="false">C13+C15+C27</f>
        <v>17631.2950775799</v>
      </c>
      <c r="D29" s="71" t="n">
        <f aca="false">D13+D15+D27</f>
        <v>602775.294736842</v>
      </c>
      <c r="E29" s="71" t="n">
        <f aca="false">E13+E15+E27</f>
        <v>237150.3488</v>
      </c>
      <c r="F29" s="71" t="n">
        <f aca="false">F13+F15+F27</f>
        <v>258488.6112272</v>
      </c>
      <c r="G29" s="71" t="n">
        <f aca="false">G13+G15+G27</f>
        <v>302957.202536096</v>
      </c>
      <c r="H29" s="71" t="n">
        <f aca="false">H13+H15+H27</f>
        <v>382195.692737868</v>
      </c>
      <c r="I29" s="71" t="n">
        <f aca="false">I13+I15+I27</f>
        <v>437812.145061213</v>
      </c>
      <c r="J29" s="71" t="n">
        <f aca="false">J13+J15+J27</f>
        <v>485549.184980339</v>
      </c>
      <c r="K29" s="71" t="n">
        <f aca="false">K13+K15+K27</f>
        <v>531305.353182975</v>
      </c>
      <c r="L29" s="71" t="n">
        <f aca="false">L13+L15+L27</f>
        <v>577147.585979702</v>
      </c>
      <c r="M29" s="71" t="n">
        <f aca="false">M13+M15+M27</f>
        <v>623914.258280786</v>
      </c>
      <c r="N29" s="71" t="n">
        <f aca="false">N13+N15+N27</f>
        <v>672055.167395389</v>
      </c>
      <c r="O29" s="71" t="n">
        <f aca="false">O13+O15+O27</f>
        <v>721868.955517096</v>
      </c>
      <c r="P29" s="71" t="n">
        <f aca="false">P13+P15+P27</f>
        <v>773585.232386575</v>
      </c>
      <c r="Q29" s="71" t="n">
        <f aca="false">Q13+Q15+Q27</f>
        <v>827399.083475575</v>
      </c>
      <c r="R29" s="71" t="n">
        <f aca="false">R13+R15+R27</f>
        <v>883488.439371053</v>
      </c>
      <c r="S29" s="71" t="n">
        <f aca="false">S13+S15+S27</f>
        <v>942024.107760959</v>
      </c>
      <c r="T29" s="71" t="n">
        <f aca="false">T13+T15+T27</f>
        <v>1003176.19894536</v>
      </c>
      <c r="U29" s="71" t="n">
        <f aca="false">U13+U15+U27</f>
        <v>1065579.88431601</v>
      </c>
      <c r="V29" s="71" t="n">
        <f aca="false">V13+V15+V27</f>
        <v>1128925.77644371</v>
      </c>
      <c r="W29" s="71" t="n">
        <f aca="false">W13+W15+W27</f>
        <v>1193417.27530315</v>
      </c>
      <c r="X29" s="71" t="n">
        <f aca="false">X13+X15+X27</f>
        <v>1259157.26285786</v>
      </c>
      <c r="Y29" s="71" t="n">
        <f aca="false">Y13+Y15+Y27</f>
        <v>1326240.64609121</v>
      </c>
      <c r="Z29" s="71" t="n">
        <f aca="false">Z13+Z15+Z27</f>
        <v>1394769.38375534</v>
      </c>
      <c r="AA29" s="71" t="n">
        <f aca="false">AA13+AA15+AA27</f>
        <v>1464857.59625221</v>
      </c>
      <c r="AB29" s="71" t="n">
        <f aca="false">AB13+AB15+AB27</f>
        <v>1522567.1133488</v>
      </c>
      <c r="AC29" s="71" t="n">
        <f aca="false">AC13+AC15+AC27</f>
        <v>1538239.10912848</v>
      </c>
      <c r="AD29" s="71" t="n">
        <f aca="false">AD13+AD15+AD27</f>
        <v>1548581.64391508</v>
      </c>
      <c r="AE29" s="71" t="n">
        <f aca="false">AE13+AE15+AE27</f>
        <v>1559218.83362676</v>
      </c>
      <c r="AF29" s="71" t="n">
        <f aca="false">AF13+AF15+AF27</f>
        <v>1571109.3484716</v>
      </c>
      <c r="AG29" s="71" t="n">
        <f aca="false">AG13+AG15+AG27</f>
        <v>1584525.77903711</v>
      </c>
      <c r="AH29" s="71" t="n">
        <f aca="false">AH13+AH15+AH27</f>
        <v>1599655.18256166</v>
      </c>
      <c r="AI29" s="71" t="n">
        <f aca="false">AI13+AI15+AI27</f>
        <v>1616691.26717017</v>
      </c>
      <c r="AJ29" s="71" t="n">
        <f aca="false">AJ13+AJ15+AJ27</f>
        <v>1635850.32270937</v>
      </c>
      <c r="AK29" s="71" t="n">
        <f aca="false">AK13+AK15+AK27</f>
        <v>1657375.96069207</v>
      </c>
      <c r="AL29" s="71" t="n">
        <f aca="false">AL13+AL15+AL27</f>
        <v>1681542.48391556</v>
      </c>
      <c r="AM29" s="71" t="n">
        <f aca="false">SUM(C29:AL29)</f>
        <v>36628829.0270488</v>
      </c>
    </row>
    <row r="30" customFormat="false" ht="15" hidden="false" customHeight="false" outlineLevel="0" collapsed="false">
      <c r="A30" s="10" t="s">
        <v>751</v>
      </c>
      <c r="B30" s="9" t="s">
        <v>51</v>
      </c>
      <c r="C30" s="61" t="n">
        <f aca="false">C8*Assumptions!$F$47*Assumptions!$F$48^C10</f>
        <v>0</v>
      </c>
      <c r="D30" s="61" t="n">
        <f aca="false">D8*Assumptions!$F$47*Assumptions!$F$48^D10</f>
        <v>3000</v>
      </c>
      <c r="E30" s="61" t="n">
        <f aca="false">E8*Assumptions!$F$47*Assumptions!$F$48^E10</f>
        <v>4350</v>
      </c>
      <c r="F30" s="61" t="n">
        <f aca="false">F8*Assumptions!$F$47*Assumptions!$F$48^F10</f>
        <v>6307.5</v>
      </c>
      <c r="G30" s="61" t="n">
        <f aca="false">G8*Assumptions!$F$47*Assumptions!$F$48^G10</f>
        <v>9145.875</v>
      </c>
      <c r="H30" s="61" t="n">
        <f aca="false">H8*Assumptions!$F$47*Assumptions!$F$48^H10</f>
        <v>13261.51875</v>
      </c>
      <c r="I30" s="61" t="n">
        <f aca="false">I8*Assumptions!$F$47*Assumptions!$F$48^I10</f>
        <v>19229.2021875</v>
      </c>
      <c r="J30" s="61" t="n">
        <f aca="false">J8*Assumptions!$F$47*Assumptions!$F$48^J10</f>
        <v>27882.343171875</v>
      </c>
      <c r="K30" s="61" t="n">
        <f aca="false">K8*Assumptions!$F$47*Assumptions!$F$48^K10</f>
        <v>40429.3975992187</v>
      </c>
      <c r="L30" s="61" t="n">
        <f aca="false">L8*Assumptions!$F$47*Assumptions!$F$48^L10</f>
        <v>58622.6265188672</v>
      </c>
      <c r="M30" s="61" t="n">
        <f aca="false">M8*Assumptions!$F$47*Assumptions!$F$48^M10</f>
        <v>85002.8084523574</v>
      </c>
      <c r="N30" s="61" t="n">
        <f aca="false">N8*Assumptions!$F$47*Assumptions!$F$48^N10</f>
        <v>123254.072255918</v>
      </c>
      <c r="O30" s="61" t="n">
        <f aca="false">O8*Assumptions!$F$47*Assumptions!$F$48^O10</f>
        <v>178718.404771081</v>
      </c>
      <c r="P30" s="61" t="n">
        <f aca="false">P8*Assumptions!$F$47*Assumptions!$F$48^P10</f>
        <v>259141.686918068</v>
      </c>
      <c r="Q30" s="61" t="n">
        <f aca="false">Q8*Assumptions!$F$47*Assumptions!$F$48^Q10</f>
        <v>375755.446031199</v>
      </c>
      <c r="R30" s="61" t="n">
        <f aca="false">R8*Assumptions!$F$47*Assumptions!$F$48^R10</f>
        <v>544845.396745238</v>
      </c>
      <c r="S30" s="61" t="n">
        <f aca="false">S8*Assumptions!$F$47*Assumptions!$F$48^S10</f>
        <v>790025.825280595</v>
      </c>
      <c r="T30" s="61" t="n">
        <f aca="false">T8*Assumptions!$F$47*Assumptions!$F$48^T10</f>
        <v>1145537.44665686</v>
      </c>
      <c r="U30" s="61" t="n">
        <f aca="false">U8*Assumptions!$F$47*Assumptions!$F$48^U10</f>
        <v>1661029.29765245</v>
      </c>
      <c r="V30" s="61" t="n">
        <f aca="false">V8*Assumptions!$F$47*Assumptions!$F$48^V10</f>
        <v>2408492.48159605</v>
      </c>
      <c r="W30" s="61" t="n">
        <f aca="false">W8*Assumptions!$F$47*Assumptions!$F$48^W10</f>
        <v>3492314.09831428</v>
      </c>
      <c r="X30" s="61" t="n">
        <f aca="false">X8*Assumptions!$F$47*Assumptions!$F$48^X10</f>
        <v>5063855.4425557</v>
      </c>
      <c r="Y30" s="61" t="n">
        <f aca="false">Y8*Assumptions!$F$47*Assumptions!$F$48^Y10</f>
        <v>7342590.39170577</v>
      </c>
      <c r="Z30" s="61" t="n">
        <f aca="false">Z8*Assumptions!$F$47*Assumptions!$F$48^Z10</f>
        <v>10646756.0679734</v>
      </c>
      <c r="AA30" s="61" t="n">
        <f aca="false">AA8*Assumptions!$F$47*Assumptions!$F$48^AA10</f>
        <v>15437796.2985614</v>
      </c>
      <c r="AB30" s="61" t="n">
        <f aca="false">AB8*Assumptions!$F$47*Assumptions!$F$48^AB10</f>
        <v>22384804.632914</v>
      </c>
      <c r="AC30" s="61" t="n">
        <f aca="false">AC8*Assumptions!$F$47*Assumptions!$F$48^AC10</f>
        <v>32457966.7177253</v>
      </c>
      <c r="AD30" s="61" t="n">
        <f aca="false">AD8*Assumptions!$F$47*Assumptions!$F$48^AD10</f>
        <v>47064051.7407017</v>
      </c>
      <c r="AE30" s="61" t="n">
        <f aca="false">AE8*Assumptions!$F$47*Assumptions!$F$48^AE10</f>
        <v>68242875.0240174</v>
      </c>
      <c r="AF30" s="61" t="n">
        <f aca="false">AF8*Assumptions!$F$47*Assumptions!$F$48^AF10</f>
        <v>98952168.7848253</v>
      </c>
      <c r="AG30" s="61" t="n">
        <f aca="false">AG8*Assumptions!$F$47*Assumptions!$F$48^AG10</f>
        <v>143480644.737997</v>
      </c>
      <c r="AH30" s="61" t="n">
        <f aca="false">AH8*Assumptions!$F$47*Assumptions!$F$48^AH10</f>
        <v>208046934.870095</v>
      </c>
      <c r="AI30" s="61" t="n">
        <f aca="false">AI8*Assumptions!$F$47*Assumptions!$F$48^AI10</f>
        <v>301668055.561638</v>
      </c>
      <c r="AJ30" s="61" t="n">
        <f aca="false">AJ8*Assumptions!$F$47*Assumptions!$F$48^AJ10</f>
        <v>437418680.564375</v>
      </c>
      <c r="AK30" s="61" t="n">
        <f aca="false">AK8*Assumptions!$F$47*Assumptions!$F$48^AK10</f>
        <v>634257086.818344</v>
      </c>
      <c r="AL30" s="61" t="n">
        <f aca="false">AL8*Assumptions!$F$47*Assumptions!$F$48^AL10</f>
        <v>919672775.886599</v>
      </c>
      <c r="AM30" s="61" t="n">
        <f aca="false">AL30</f>
        <v>919672775.886599</v>
      </c>
    </row>
    <row r="31" customFormat="false" ht="15" hidden="false" customHeight="false" outlineLevel="0" collapsed="false">
      <c r="A31" s="10" t="s">
        <v>752</v>
      </c>
      <c r="B31" s="9" t="s">
        <v>51</v>
      </c>
      <c r="C31" s="61" t="n">
        <f aca="false">Assumptions!$F$49*C8*(C15+C13*Assumptions!$F$44+C19*Assumptions!$F$31*Assumptions!$F$32+C23*Assumptions!$F$38*Assumptions!$F$39+C25*Assumptions!$F$43)</f>
        <v>0</v>
      </c>
      <c r="D31" s="61" t="n">
        <f aca="false">Assumptions!$F$49*D8*(D15+D13*Assumptions!$F$44+D19*Assumptions!$F$31*Assumptions!$F$32+D23*Assumptions!$F$38*Assumptions!$F$39+D25*Assumptions!$F$43)</f>
        <v>23868.4012631579</v>
      </c>
      <c r="E31" s="61" t="n">
        <f aca="false">Assumptions!$F$49*E8*(E15+E13*Assumptions!$F$44+E19*Assumptions!$F$31*Assumptions!$F$32+E23*Assumptions!$F$38*Assumptions!$F$39+E25*Assumptions!$F$43)</f>
        <v>8864.2309312</v>
      </c>
      <c r="F31" s="61" t="n">
        <f aca="false">Assumptions!$F$49*F8*(F15+F13*Assumptions!$F$44+F19*Assumptions!$F$31*Assumptions!$F$32+F23*Assumptions!$F$38*Assumptions!$F$39+F25*Assumptions!$F$43)</f>
        <v>8960.48987060464</v>
      </c>
      <c r="G31" s="61" t="n">
        <f aca="false">Assumptions!$F$49*G8*(G15+G13*Assumptions!$F$44+G19*Assumptions!$F$31*Assumptions!$F$32+G23*Assumptions!$F$38*Assumptions!$F$39+G25*Assumptions!$F$43)</f>
        <v>9545.04738300023</v>
      </c>
      <c r="H31" s="61" t="n">
        <f aca="false">Assumptions!$F$49*H8*(H15+H13*Assumptions!$F$44+H19*Assumptions!$F$31*Assumptions!$F$32+H23*Assumptions!$F$38*Assumptions!$F$39+H25*Assumptions!$F$43)</f>
        <v>10886.8974639595</v>
      </c>
      <c r="I31" s="61" t="n">
        <f aca="false">Assumptions!$F$49*I8*(I15+I13*Assumptions!$F$44+I19*Assumptions!$F$31*Assumptions!$F$32+I23*Assumptions!$F$38*Assumptions!$F$39+I25*Assumptions!$F$43)</f>
        <v>11798.3668458403</v>
      </c>
      <c r="J31" s="61" t="n">
        <f aca="false">Assumptions!$F$49*J8*(J15+J13*Assumptions!$F$44+J19*Assumptions!$F$31*Assumptions!$F$32+J23*Assumptions!$F$38*Assumptions!$F$39+J25*Assumptions!$F$43)</f>
        <v>12582.7293586043</v>
      </c>
      <c r="K31" s="61" t="n">
        <f aca="false">Assumptions!$F$49*K8*(K15+K13*Assumptions!$F$44+K19*Assumptions!$F$31*Assumptions!$F$32+K23*Assumptions!$F$38*Assumptions!$F$39+K25*Assumptions!$F$43)</f>
        <v>13351.652300109</v>
      </c>
      <c r="L31" s="61" t="n">
        <f aca="false">Assumptions!$F$49*L8*(L15+L13*Assumptions!$F$44+L19*Assumptions!$F$31*Assumptions!$F$32+L23*Assumptions!$F$38*Assumptions!$F$39+L25*Assumptions!$F$43)</f>
        <v>14142.328666525</v>
      </c>
      <c r="M31" s="61" t="n">
        <f aca="false">Assumptions!$F$49*M8*(M15+M13*Assumptions!$F$44+M19*Assumptions!$F$31*Assumptions!$F$32+M23*Assumptions!$F$38*Assumptions!$F$39+M25*Assumptions!$F$43)</f>
        <v>14968.4652502871</v>
      </c>
      <c r="N31" s="61" t="n">
        <f aca="false">Assumptions!$F$49*N8*(N15+N13*Assumptions!$F$44+N19*Assumptions!$F$31*Assumptions!$F$32+N23*Assumptions!$F$38*Assumptions!$F$39+N25*Assumptions!$F$43)</f>
        <v>15836.5870620447</v>
      </c>
      <c r="O31" s="61" t="n">
        <f aca="false">Assumptions!$F$49*O8*(O15+O13*Assumptions!$F$44+O19*Assumptions!$F$31*Assumptions!$F$32+O23*Assumptions!$F$38*Assumptions!$F$39+O25*Assumptions!$F$43)</f>
        <v>16750.5926586207</v>
      </c>
      <c r="P31" s="61" t="n">
        <f aca="false">Assumptions!$F$49*P8*(P15+P13*Assumptions!$F$44+P19*Assumptions!$F$31*Assumptions!$F$32+P23*Assumptions!$F$38*Assumptions!$F$39+P25*Assumptions!$F$43)</f>
        <v>17713.3112813567</v>
      </c>
      <c r="Q31" s="61" t="n">
        <f aca="false">Assumptions!$F$49*Q8*(Q15+Q13*Assumptions!$F$44+Q19*Assumptions!$F$31*Assumptions!$F$32+Q23*Assumptions!$F$38*Assumptions!$F$39+Q25*Assumptions!$F$43)</f>
        <v>18727.1400403492</v>
      </c>
      <c r="R31" s="61" t="n">
        <f aca="false">Assumptions!$F$49*R8*(R15+R13*Assumptions!$F$44+R19*Assumptions!$F$31*Assumptions!$F$32+R23*Assumptions!$F$38*Assumptions!$F$39+R25*Assumptions!$F$43)</f>
        <v>19794.3518398697</v>
      </c>
      <c r="S31" s="61" t="n">
        <f aca="false">Assumptions!$F$49*S8*(S15+S13*Assumptions!$F$44+S19*Assumptions!$F$31*Assumptions!$F$32+S23*Assumptions!$F$38*Assumptions!$F$39+S25*Assumptions!$F$43)</f>
        <v>20917.2642294841</v>
      </c>
      <c r="T31" s="61" t="n">
        <f aca="false">Assumptions!$F$49*T8*(T15+T13*Assumptions!$F$44+T19*Assumptions!$F$31*Assumptions!$F$32+T23*Assumptions!$F$38*Assumptions!$F$39+T25*Assumptions!$F$43)</f>
        <v>22098.3415054584</v>
      </c>
      <c r="U31" s="61" t="n">
        <f aca="false">Assumptions!$F$49*U8*(U15+U13*Assumptions!$F$44+U19*Assumptions!$F$31*Assumptions!$F$32+U23*Assumptions!$F$38*Assumptions!$F$39+U25*Assumptions!$F$43)</f>
        <v>23309.487661819</v>
      </c>
      <c r="V31" s="61" t="n">
        <f aca="false">Assumptions!$F$49*V8*(V15+V13*Assumptions!$F$44+V19*Assumptions!$F$31*Assumptions!$F$32+V23*Assumptions!$F$38*Assumptions!$F$39+V25*Assumptions!$F$43)</f>
        <v>24544.0912433043</v>
      </c>
      <c r="W31" s="61" t="n">
        <f aca="false">Assumptions!$F$49*W8*(W15+W13*Assumptions!$F$44+W19*Assumptions!$F$31*Assumptions!$F$32+W23*Assumptions!$F$38*Assumptions!$F$39+W25*Assumptions!$F$43)</f>
        <v>25805.7258694076</v>
      </c>
      <c r="X31" s="61" t="n">
        <f aca="false">Assumptions!$F$49*X8*(X15+X13*Assumptions!$F$44+X19*Assumptions!$F$31*Assumptions!$F$32+X23*Assumptions!$F$38*Assumptions!$F$39+X25*Assumptions!$F$43)</f>
        <v>27095.9613909441</v>
      </c>
      <c r="Y31" s="61" t="n">
        <f aca="false">Assumptions!$F$49*Y8*(Y15+Y13*Assumptions!$F$44+Y19*Assumptions!$F$31*Assumptions!$F$32+Y23*Assumptions!$F$38*Assumptions!$F$39+Y25*Assumptions!$F$43)</f>
        <v>28416.3057958231</v>
      </c>
      <c r="Z31" s="61" t="n">
        <f aca="false">Assumptions!$F$49*Z8*(Z15+Z13*Assumptions!$F$44+Z19*Assumptions!$F$31*Assumptions!$F$32+Z23*Assumptions!$F$38*Assumptions!$F$39+Z25*Assumptions!$F$43)</f>
        <v>29768.4811004178</v>
      </c>
      <c r="AA31" s="61" t="n">
        <f aca="false">Assumptions!$F$49*AA8*(AA15+AA13*Assumptions!$F$44+AA19*Assumptions!$F$31*Assumptions!$F$32+AA23*Assumptions!$F$38*Assumptions!$F$39+AA25*Assumptions!$F$43)</f>
        <v>31154.5153464739</v>
      </c>
      <c r="AB31" s="61" t="n">
        <f aca="false">Assumptions!$F$49*AB8*(AB15+AB13*Assumptions!$F$44+AB19*Assumptions!$F$31*Assumptions!$F$32+AB23*Assumptions!$F$38*Assumptions!$F$39+AB25*Assumptions!$F$43)</f>
        <v>32295.446362862</v>
      </c>
      <c r="AC31" s="61" t="n">
        <f aca="false">Assumptions!$F$49*AC8*(AC15+AC13*Assumptions!$F$44+AC19*Assumptions!$F$31*Assumptions!$F$32+AC23*Assumptions!$F$38*Assumptions!$F$39+AC25*Assumptions!$F$43)</f>
        <v>32600.2896486687</v>
      </c>
      <c r="AD31" s="61" t="n">
        <f aca="false">Assumptions!$F$49*AD8*(AD15+AD13*Assumptions!$F$44+AD19*Assumptions!$F$31*Assumptions!$F$32+AD23*Assumptions!$F$38*Assumptions!$F$39+AD25*Assumptions!$F$43)</f>
        <v>32808.0627577171</v>
      </c>
      <c r="AE31" s="61" t="n">
        <f aca="false">Assumptions!$F$49*AE8*(AE15+AE13*Assumptions!$F$44+AE19*Assumptions!$F$31*Assumptions!$F$32+AE23*Assumptions!$F$38*Assumptions!$F$39+AE25*Assumptions!$F$43)</f>
        <v>33025.1062118699</v>
      </c>
      <c r="AF31" s="61" t="n">
        <f aca="false">Assumptions!$F$49*AF8*(AF15+AF13*Assumptions!$F$44+AF19*Assumptions!$F$31*Assumptions!$F$32+AF23*Assumptions!$F$38*Assumptions!$F$39+AF25*Assumptions!$F$43)</f>
        <v>33269.6670618356</v>
      </c>
      <c r="AG31" s="61" t="n">
        <f aca="false">Assumptions!$F$49*AG8*(AG15+AG13*Assumptions!$F$44+AG19*Assumptions!$F$31*Assumptions!$F$32+AG23*Assumptions!$F$38*Assumptions!$F$39+AG25*Assumptions!$F$43)</f>
        <v>33547.0887452167</v>
      </c>
      <c r="AH31" s="61" t="n">
        <f aca="false">Assumptions!$F$49*AH8*(AH15+AH13*Assumptions!$F$44+AH19*Assumptions!$F$31*Assumptions!$F$32+AH23*Assumptions!$F$38*Assumptions!$F$39+AH25*Assumptions!$F$43)</f>
        <v>33861.159172029</v>
      </c>
      <c r="AI31" s="61" t="n">
        <f aca="false">Assumptions!$F$49*AI8*(AI15+AI13*Assumptions!$F$44+AI19*Assumptions!$F$31*Assumptions!$F$32+AI23*Assumptions!$F$38*Assumptions!$F$39+AI25*Assumptions!$F$43)</f>
        <v>34215.8545182967</v>
      </c>
      <c r="AJ31" s="61" t="n">
        <f aca="false">Assumptions!$F$49*AJ8*(AJ15+AJ13*Assumptions!$F$44+AJ19*Assumptions!$F$31*Assumptions!$F$32+AJ23*Assumptions!$F$38*Assumptions!$F$39+AJ25*Assumptions!$F$43)</f>
        <v>34615.6432306787</v>
      </c>
      <c r="AK31" s="61" t="n">
        <f aca="false">Assumptions!$F$49*AK8*(AK15+AK13*Assumptions!$F$44+AK19*Assumptions!$F$31*Assumptions!$F$32+AK23*Assumptions!$F$38*Assumptions!$F$39+AK25*Assumptions!$F$43)</f>
        <v>35065.5795763555</v>
      </c>
      <c r="AL31" s="61" t="n">
        <f aca="false">Assumptions!$F$49*AL8*(AL15+AL13*Assumptions!$F$44+AL19*Assumptions!$F$31*Assumptions!$F$32+AL23*Assumptions!$F$38*Assumptions!$F$39+AL25*Assumptions!$F$43)</f>
        <v>35571.3723218032</v>
      </c>
      <c r="AM31" s="61" t="n">
        <f aca="false">SUM(C31:AL31)</f>
        <v>821776.035965994</v>
      </c>
    </row>
    <row r="32" customFormat="false" ht="15" hidden="false" customHeight="false" outlineLevel="0" collapsed="false">
      <c r="A32" s="37" t="s">
        <v>753</v>
      </c>
      <c r="B32" s="9" t="s">
        <v>51</v>
      </c>
      <c r="C32" s="71" t="n">
        <f aca="false">MIN(C31,C30)</f>
        <v>0</v>
      </c>
      <c r="D32" s="71" t="n">
        <f aca="false">MIN(D31,D30)</f>
        <v>3000</v>
      </c>
      <c r="E32" s="71" t="n">
        <f aca="false">MIN(E31,E30)</f>
        <v>4350</v>
      </c>
      <c r="F32" s="71" t="n">
        <f aca="false">MIN(F31,F30)</f>
        <v>6307.5</v>
      </c>
      <c r="G32" s="71" t="n">
        <f aca="false">MIN(G31,G30)</f>
        <v>9145.875</v>
      </c>
      <c r="H32" s="71" t="n">
        <f aca="false">MIN(H31,H30)</f>
        <v>10886.8974639595</v>
      </c>
      <c r="I32" s="71" t="n">
        <f aca="false">MIN(I31,I30)</f>
        <v>11798.3668458403</v>
      </c>
      <c r="J32" s="71" t="n">
        <f aca="false">MIN(J31,J30)</f>
        <v>12582.7293586043</v>
      </c>
      <c r="K32" s="71" t="n">
        <f aca="false">MIN(K31,K30)</f>
        <v>13351.652300109</v>
      </c>
      <c r="L32" s="71" t="n">
        <f aca="false">MIN(L31,L30)</f>
        <v>14142.328666525</v>
      </c>
      <c r="M32" s="71" t="n">
        <f aca="false">MIN(M31,M30)</f>
        <v>14968.4652502871</v>
      </c>
      <c r="N32" s="71" t="n">
        <f aca="false">MIN(N31,N30)</f>
        <v>15836.5870620447</v>
      </c>
      <c r="O32" s="71" t="n">
        <f aca="false">MIN(O31,O30)</f>
        <v>16750.5926586207</v>
      </c>
      <c r="P32" s="71" t="n">
        <f aca="false">MIN(P31,P30)</f>
        <v>17713.3112813567</v>
      </c>
      <c r="Q32" s="71" t="n">
        <f aca="false">MIN(Q31,Q30)</f>
        <v>18727.1400403492</v>
      </c>
      <c r="R32" s="71" t="n">
        <f aca="false">MIN(R31,R30)</f>
        <v>19794.3518398697</v>
      </c>
      <c r="S32" s="71" t="n">
        <f aca="false">MIN(S31,S30)</f>
        <v>20917.2642294841</v>
      </c>
      <c r="T32" s="71" t="n">
        <f aca="false">MIN(T31,T30)</f>
        <v>22098.3415054584</v>
      </c>
      <c r="U32" s="71" t="n">
        <f aca="false">MIN(U31,U30)</f>
        <v>23309.487661819</v>
      </c>
      <c r="V32" s="71" t="n">
        <f aca="false">MIN(V31,V30)</f>
        <v>24544.0912433043</v>
      </c>
      <c r="W32" s="71" t="n">
        <f aca="false">MIN(W31,W30)</f>
        <v>25805.7258694076</v>
      </c>
      <c r="X32" s="71" t="n">
        <f aca="false">MIN(X31,X30)</f>
        <v>27095.9613909441</v>
      </c>
      <c r="Y32" s="71" t="n">
        <f aca="false">MIN(Y31,Y30)</f>
        <v>28416.3057958231</v>
      </c>
      <c r="Z32" s="71" t="n">
        <f aca="false">MIN(Z31,Z30)</f>
        <v>29768.4811004178</v>
      </c>
      <c r="AA32" s="71" t="n">
        <f aca="false">MIN(AA31,AA30)</f>
        <v>31154.5153464739</v>
      </c>
      <c r="AB32" s="71" t="n">
        <f aca="false">MIN(AB31,AB30)</f>
        <v>32295.446362862</v>
      </c>
      <c r="AC32" s="71" t="n">
        <f aca="false">MIN(AC31,AC30)</f>
        <v>32600.2896486687</v>
      </c>
      <c r="AD32" s="71" t="n">
        <f aca="false">MIN(AD31,AD30)</f>
        <v>32808.0627577171</v>
      </c>
      <c r="AE32" s="71" t="n">
        <f aca="false">MIN(AE31,AE30)</f>
        <v>33025.1062118699</v>
      </c>
      <c r="AF32" s="71" t="n">
        <f aca="false">MIN(AF31,AF30)</f>
        <v>33269.6670618356</v>
      </c>
      <c r="AG32" s="71" t="n">
        <f aca="false">MIN(AG31,AG30)</f>
        <v>33547.0887452167</v>
      </c>
      <c r="AH32" s="71" t="n">
        <f aca="false">MIN(AH31,AH30)</f>
        <v>33861.159172029</v>
      </c>
      <c r="AI32" s="71" t="n">
        <f aca="false">MIN(AI31,AI30)</f>
        <v>34215.8545182967</v>
      </c>
      <c r="AJ32" s="71" t="n">
        <f aca="false">MIN(AJ31,AJ30)</f>
        <v>34615.6432306787</v>
      </c>
      <c r="AK32" s="71" t="n">
        <f aca="false">MIN(AK31,AK30)</f>
        <v>35065.5795763555</v>
      </c>
      <c r="AL32" s="71" t="n">
        <f aca="false">MIN(AL31,AL30)</f>
        <v>35571.3723218032</v>
      </c>
      <c r="AM32" s="71" t="n">
        <f aca="false">SUM(C32:AL32)</f>
        <v>793341.241518032</v>
      </c>
    </row>
    <row r="33" customFormat="false" ht="15" hidden="false" customHeight="false" outlineLevel="0" collapsed="false">
      <c r="A33" s="10" t="s">
        <v>754</v>
      </c>
      <c r="B33" s="9" t="s">
        <v>51</v>
      </c>
      <c r="C33" s="61" t="n">
        <f aca="false">MAX(0,C31-C30)</f>
        <v>0</v>
      </c>
      <c r="D33" s="61" t="n">
        <f aca="false">MAX(0,D31-D30)</f>
        <v>20868.4012631579</v>
      </c>
      <c r="E33" s="61" t="n">
        <f aca="false">MAX(0,E31-E30)</f>
        <v>4514.2309312</v>
      </c>
      <c r="F33" s="61" t="n">
        <f aca="false">MAX(0,F31-F30)</f>
        <v>2652.98987060464</v>
      </c>
      <c r="G33" s="61" t="n">
        <f aca="false">MAX(0,G31-G30)</f>
        <v>399.172383000228</v>
      </c>
      <c r="H33" s="61" t="n">
        <f aca="false">MAX(0,H31-H30)</f>
        <v>0</v>
      </c>
      <c r="I33" s="61" t="n">
        <f aca="false">MAX(0,I31-I30)</f>
        <v>0</v>
      </c>
      <c r="J33" s="61" t="n">
        <f aca="false">MAX(0,J31-J30)</f>
        <v>0</v>
      </c>
      <c r="K33" s="61" t="n">
        <f aca="false">MAX(0,K31-K30)</f>
        <v>0</v>
      </c>
      <c r="L33" s="61" t="n">
        <f aca="false">MAX(0,L31-L30)</f>
        <v>0</v>
      </c>
      <c r="M33" s="61" t="n">
        <f aca="false">MAX(0,M31-M30)</f>
        <v>0</v>
      </c>
      <c r="N33" s="61" t="n">
        <f aca="false">MAX(0,N31-N30)</f>
        <v>0</v>
      </c>
      <c r="O33" s="61" t="n">
        <f aca="false">MAX(0,O31-O30)</f>
        <v>0</v>
      </c>
      <c r="P33" s="61" t="n">
        <f aca="false">MAX(0,P31-P30)</f>
        <v>0</v>
      </c>
      <c r="Q33" s="61" t="n">
        <f aca="false">MAX(0,Q31-Q30)</f>
        <v>0</v>
      </c>
      <c r="R33" s="61" t="n">
        <f aca="false">MAX(0,R31-R30)</f>
        <v>0</v>
      </c>
      <c r="S33" s="61" t="n">
        <f aca="false">MAX(0,S31-S30)</f>
        <v>0</v>
      </c>
      <c r="T33" s="61" t="n">
        <f aca="false">MAX(0,T31-T30)</f>
        <v>0</v>
      </c>
      <c r="U33" s="61" t="n">
        <f aca="false">MAX(0,U31-U30)</f>
        <v>0</v>
      </c>
      <c r="V33" s="61" t="n">
        <f aca="false">MAX(0,V31-V30)</f>
        <v>0</v>
      </c>
      <c r="W33" s="61" t="n">
        <f aca="false">MAX(0,W31-W30)</f>
        <v>0</v>
      </c>
      <c r="X33" s="61" t="n">
        <f aca="false">MAX(0,X31-X30)</f>
        <v>0</v>
      </c>
      <c r="Y33" s="61" t="n">
        <f aca="false">MAX(0,Y31-Y30)</f>
        <v>0</v>
      </c>
      <c r="Z33" s="61" t="n">
        <f aca="false">MAX(0,Z31-Z30)</f>
        <v>0</v>
      </c>
      <c r="AA33" s="61" t="n">
        <f aca="false">MAX(0,AA31-AA30)</f>
        <v>0</v>
      </c>
      <c r="AB33" s="61" t="n">
        <f aca="false">MAX(0,AB31-AB30)</f>
        <v>0</v>
      </c>
      <c r="AC33" s="61" t="n">
        <f aca="false">MAX(0,AC31-AC30)</f>
        <v>0</v>
      </c>
      <c r="AD33" s="61" t="n">
        <f aca="false">MAX(0,AD31-AD30)</f>
        <v>0</v>
      </c>
      <c r="AE33" s="61" t="n">
        <f aca="false">MAX(0,AE31-AE30)</f>
        <v>0</v>
      </c>
      <c r="AF33" s="61" t="n">
        <f aca="false">MAX(0,AF31-AF30)</f>
        <v>0</v>
      </c>
      <c r="AG33" s="61" t="n">
        <f aca="false">MAX(0,AG31-AG30)</f>
        <v>0</v>
      </c>
      <c r="AH33" s="61" t="n">
        <f aca="false">MAX(0,AH31-AH30)</f>
        <v>0</v>
      </c>
      <c r="AI33" s="61" t="n">
        <f aca="false">MAX(0,AI31-AI30)</f>
        <v>0</v>
      </c>
      <c r="AJ33" s="61" t="n">
        <f aca="false">MAX(0,AJ31-AJ30)</f>
        <v>0</v>
      </c>
      <c r="AK33" s="61" t="n">
        <f aca="false">MAX(0,AK31-AK30)</f>
        <v>0</v>
      </c>
      <c r="AL33" s="61" t="n">
        <f aca="false">MAX(0,AL31-AL30)</f>
        <v>0</v>
      </c>
      <c r="AM33" s="61" t="n">
        <f aca="false">SUM(C33:AL33)</f>
        <v>28434.7944479628</v>
      </c>
    </row>
    <row r="34" customFormat="false" ht="15" hidden="false" customHeight="false" outlineLevel="0" collapsed="false">
      <c r="A34" s="10" t="s">
        <v>755</v>
      </c>
      <c r="B34" s="9" t="s">
        <v>51</v>
      </c>
      <c r="C34" s="61" t="n">
        <f aca="false">C32*Assumptions!$F$51</f>
        <v>0</v>
      </c>
      <c r="D34" s="61" t="n">
        <f aca="false">D32*Assumptions!$F$51</f>
        <v>1500</v>
      </c>
      <c r="E34" s="61" t="n">
        <f aca="false">E32*Assumptions!$F$51</f>
        <v>2175</v>
      </c>
      <c r="F34" s="61" t="n">
        <f aca="false">F32*Assumptions!$F$51</f>
        <v>3153.75</v>
      </c>
      <c r="G34" s="61" t="n">
        <f aca="false">G32*Assumptions!$F$51</f>
        <v>4572.9375</v>
      </c>
      <c r="H34" s="61" t="n">
        <f aca="false">H32*Assumptions!$F$51</f>
        <v>5443.44873197974</v>
      </c>
      <c r="I34" s="61" t="n">
        <f aca="false">I32*Assumptions!$F$51</f>
        <v>5899.18342292016</v>
      </c>
      <c r="J34" s="61" t="n">
        <f aca="false">J32*Assumptions!$F$51</f>
        <v>6291.36467930216</v>
      </c>
      <c r="K34" s="61" t="n">
        <f aca="false">K32*Assumptions!$F$51</f>
        <v>6675.8261500545</v>
      </c>
      <c r="L34" s="61" t="n">
        <f aca="false">L32*Assumptions!$F$51</f>
        <v>7071.1643332625</v>
      </c>
      <c r="M34" s="61" t="n">
        <f aca="false">M32*Assumptions!$F$51</f>
        <v>7484.23262514354</v>
      </c>
      <c r="N34" s="61" t="n">
        <f aca="false">N32*Assumptions!$F$51</f>
        <v>7918.29353102233</v>
      </c>
      <c r="O34" s="61" t="n">
        <f aca="false">O32*Assumptions!$F$51</f>
        <v>8375.29632931036</v>
      </c>
      <c r="P34" s="61" t="n">
        <f aca="false">P32*Assumptions!$F$51</f>
        <v>8856.65564067835</v>
      </c>
      <c r="Q34" s="61" t="n">
        <f aca="false">Q32*Assumptions!$F$51</f>
        <v>9363.5700201746</v>
      </c>
      <c r="R34" s="61" t="n">
        <f aca="false">R32*Assumptions!$F$51</f>
        <v>9897.17591993485</v>
      </c>
      <c r="S34" s="61" t="n">
        <f aca="false">S32*Assumptions!$F$51</f>
        <v>10458.6321147421</v>
      </c>
      <c r="T34" s="61" t="n">
        <f aca="false">T32*Assumptions!$F$51</f>
        <v>11049.1707527292</v>
      </c>
      <c r="U34" s="61" t="n">
        <f aca="false">U32*Assumptions!$F$51</f>
        <v>11654.7438309095</v>
      </c>
      <c r="V34" s="61" t="n">
        <f aca="false">V32*Assumptions!$F$51</f>
        <v>12272.0456216522</v>
      </c>
      <c r="W34" s="61" t="n">
        <f aca="false">W32*Assumptions!$F$51</f>
        <v>12902.8629347038</v>
      </c>
      <c r="X34" s="61" t="n">
        <f aca="false">X32*Assumptions!$F$51</f>
        <v>13547.980695472</v>
      </c>
      <c r="Y34" s="61" t="n">
        <f aca="false">Y32*Assumptions!$F$51</f>
        <v>14208.1528979115</v>
      </c>
      <c r="Z34" s="61" t="n">
        <f aca="false">Z32*Assumptions!$F$51</f>
        <v>14884.2405502089</v>
      </c>
      <c r="AA34" s="61" t="n">
        <f aca="false">AA32*Assumptions!$F$51</f>
        <v>15577.257673237</v>
      </c>
      <c r="AB34" s="61" t="n">
        <f aca="false">AB32*Assumptions!$F$51</f>
        <v>16147.723181431</v>
      </c>
      <c r="AC34" s="61" t="n">
        <f aca="false">AC32*Assumptions!$F$51</f>
        <v>16300.1448243344</v>
      </c>
      <c r="AD34" s="61" t="n">
        <f aca="false">AD32*Assumptions!$F$51</f>
        <v>16404.0313788586</v>
      </c>
      <c r="AE34" s="61" t="n">
        <f aca="false">AE32*Assumptions!$F$51</f>
        <v>16512.5531059349</v>
      </c>
      <c r="AF34" s="61" t="n">
        <f aca="false">AF32*Assumptions!$F$51</f>
        <v>16634.8335309178</v>
      </c>
      <c r="AG34" s="61" t="n">
        <f aca="false">AG32*Assumptions!$F$51</f>
        <v>16773.5443726084</v>
      </c>
      <c r="AH34" s="61" t="n">
        <f aca="false">AH32*Assumptions!$F$51</f>
        <v>16930.5795860145</v>
      </c>
      <c r="AI34" s="61" t="n">
        <f aca="false">AI32*Assumptions!$F$51</f>
        <v>17107.9272591483</v>
      </c>
      <c r="AJ34" s="61" t="n">
        <f aca="false">AJ32*Assumptions!$F$51</f>
        <v>17307.8216153393</v>
      </c>
      <c r="AK34" s="61" t="n">
        <f aca="false">AK32*Assumptions!$F$51</f>
        <v>17532.7897881778</v>
      </c>
      <c r="AL34" s="61" t="n">
        <f aca="false">AL32*Assumptions!$F$51</f>
        <v>17785.6861609016</v>
      </c>
      <c r="AM34" s="61" t="n">
        <f aca="false">SUM(C34:AL34)</f>
        <v>396670.620759016</v>
      </c>
    </row>
    <row r="35" customFormat="false" ht="15" hidden="false" customHeight="false" outlineLevel="0" collapsed="false">
      <c r="A35" s="10" t="s">
        <v>756</v>
      </c>
      <c r="B35" s="9" t="s">
        <v>51</v>
      </c>
      <c r="C35" s="61" t="n">
        <f aca="false">C32*(1-Assumptions!$F$51)</f>
        <v>0</v>
      </c>
      <c r="D35" s="61" t="n">
        <f aca="false">D32*(1-Assumptions!$F$51)</f>
        <v>1500</v>
      </c>
      <c r="E35" s="61" t="n">
        <f aca="false">E32*(1-Assumptions!$F$51)</f>
        <v>2175</v>
      </c>
      <c r="F35" s="61" t="n">
        <f aca="false">F32*(1-Assumptions!$F$51)</f>
        <v>3153.75</v>
      </c>
      <c r="G35" s="61" t="n">
        <f aca="false">G32*(1-Assumptions!$F$51)</f>
        <v>4572.9375</v>
      </c>
      <c r="H35" s="61" t="n">
        <f aca="false">H32*(1-Assumptions!$F$51)</f>
        <v>5443.44873197974</v>
      </c>
      <c r="I35" s="61" t="n">
        <f aca="false">I32*(1-Assumptions!$F$51)</f>
        <v>5899.18342292016</v>
      </c>
      <c r="J35" s="61" t="n">
        <f aca="false">J32*(1-Assumptions!$F$51)</f>
        <v>6291.36467930216</v>
      </c>
      <c r="K35" s="61" t="n">
        <f aca="false">K32*(1-Assumptions!$F$51)</f>
        <v>6675.8261500545</v>
      </c>
      <c r="L35" s="61" t="n">
        <f aca="false">L32*(1-Assumptions!$F$51)</f>
        <v>7071.1643332625</v>
      </c>
      <c r="M35" s="61" t="n">
        <f aca="false">M32*(1-Assumptions!$F$51)</f>
        <v>7484.23262514354</v>
      </c>
      <c r="N35" s="61" t="n">
        <f aca="false">N32*(1-Assumptions!$F$51)</f>
        <v>7918.29353102233</v>
      </c>
      <c r="O35" s="61" t="n">
        <f aca="false">O32*(1-Assumptions!$F$51)</f>
        <v>8375.29632931036</v>
      </c>
      <c r="P35" s="61" t="n">
        <f aca="false">P32*(1-Assumptions!$F$51)</f>
        <v>8856.65564067835</v>
      </c>
      <c r="Q35" s="61" t="n">
        <f aca="false">Q32*(1-Assumptions!$F$51)</f>
        <v>9363.5700201746</v>
      </c>
      <c r="R35" s="61" t="n">
        <f aca="false">R32*(1-Assumptions!$F$51)</f>
        <v>9897.17591993485</v>
      </c>
      <c r="S35" s="61" t="n">
        <f aca="false">S32*(1-Assumptions!$F$51)</f>
        <v>10458.6321147421</v>
      </c>
      <c r="T35" s="61" t="n">
        <f aca="false">T32*(1-Assumptions!$F$51)</f>
        <v>11049.1707527292</v>
      </c>
      <c r="U35" s="61" t="n">
        <f aca="false">U32*(1-Assumptions!$F$51)</f>
        <v>11654.7438309095</v>
      </c>
      <c r="V35" s="61" t="n">
        <f aca="false">V32*(1-Assumptions!$F$51)</f>
        <v>12272.0456216522</v>
      </c>
      <c r="W35" s="61" t="n">
        <f aca="false">W32*(1-Assumptions!$F$51)</f>
        <v>12902.8629347038</v>
      </c>
      <c r="X35" s="61" t="n">
        <f aca="false">X32*(1-Assumptions!$F$51)</f>
        <v>13547.980695472</v>
      </c>
      <c r="Y35" s="61" t="n">
        <f aca="false">Y32*(1-Assumptions!$F$51)</f>
        <v>14208.1528979115</v>
      </c>
      <c r="Z35" s="61" t="n">
        <f aca="false">Z32*(1-Assumptions!$F$51)</f>
        <v>14884.2405502089</v>
      </c>
      <c r="AA35" s="61" t="n">
        <f aca="false">AA32*(1-Assumptions!$F$51)</f>
        <v>15577.257673237</v>
      </c>
      <c r="AB35" s="61" t="n">
        <f aca="false">AB32*(1-Assumptions!$F$51)</f>
        <v>16147.723181431</v>
      </c>
      <c r="AC35" s="61" t="n">
        <f aca="false">AC32*(1-Assumptions!$F$51)</f>
        <v>16300.1448243344</v>
      </c>
      <c r="AD35" s="61" t="n">
        <f aca="false">AD32*(1-Assumptions!$F$51)</f>
        <v>16404.0313788586</v>
      </c>
      <c r="AE35" s="61" t="n">
        <f aca="false">AE32*(1-Assumptions!$F$51)</f>
        <v>16512.5531059349</v>
      </c>
      <c r="AF35" s="61" t="n">
        <f aca="false">AF32*(1-Assumptions!$F$51)</f>
        <v>16634.8335309178</v>
      </c>
      <c r="AG35" s="61" t="n">
        <f aca="false">AG32*(1-Assumptions!$F$51)</f>
        <v>16773.5443726084</v>
      </c>
      <c r="AH35" s="61" t="n">
        <f aca="false">AH32*(1-Assumptions!$F$51)</f>
        <v>16930.5795860145</v>
      </c>
      <c r="AI35" s="61" t="n">
        <f aca="false">AI32*(1-Assumptions!$F$51)</f>
        <v>17107.9272591483</v>
      </c>
      <c r="AJ35" s="61" t="n">
        <f aca="false">AJ32*(1-Assumptions!$F$51)</f>
        <v>17307.8216153393</v>
      </c>
      <c r="AK35" s="61" t="n">
        <f aca="false">AK32*(1-Assumptions!$F$51)</f>
        <v>17532.7897881778</v>
      </c>
      <c r="AL35" s="61" t="n">
        <f aca="false">AL32*(1-Assumptions!$F$51)</f>
        <v>17785.6861609016</v>
      </c>
      <c r="AM35" s="61" t="n">
        <f aca="false">SUM(C35:AL35)</f>
        <v>396670.620759016</v>
      </c>
    </row>
    <row r="36" customFormat="false" ht="15" hidden="false" customHeight="false" outlineLevel="0" collapsed="false">
      <c r="A36" s="37" t="s">
        <v>757</v>
      </c>
      <c r="B36" s="9" t="s">
        <v>51</v>
      </c>
      <c r="C36" s="71" t="n">
        <f aca="false">C34</f>
        <v>0</v>
      </c>
      <c r="D36" s="71" t="n">
        <f aca="false">C36*(1-Assumptions!$F$52)+D34</f>
        <v>1500</v>
      </c>
      <c r="E36" s="71" t="n">
        <f aca="false">D36*(1-Assumptions!$F$52)+E34</f>
        <v>3592.5</v>
      </c>
      <c r="F36" s="71" t="n">
        <f aca="false">E36*(1-Assumptions!$F$52)+F34</f>
        <v>6548.6625</v>
      </c>
      <c r="G36" s="71" t="n">
        <f aca="false">F36*(1-Assumptions!$F$52)+G34</f>
        <v>10761.4235625</v>
      </c>
      <c r="H36" s="71" t="n">
        <f aca="false">G36*(1-Assumptions!$F$52)+H34</f>
        <v>15612.9939985422</v>
      </c>
      <c r="I36" s="71" t="n">
        <f aca="false">H36*(1-Assumptions!$F$52)+I34</f>
        <v>20653.4627515426</v>
      </c>
      <c r="J36" s="71" t="n">
        <f aca="false">I36*(1-Assumptions!$F$52)+J34</f>
        <v>25808.8869795099</v>
      </c>
      <c r="K36" s="71" t="n">
        <f aca="false">J36*(1-Assumptions!$F$52)+K34</f>
        <v>31065.2243456914</v>
      </c>
      <c r="L36" s="71" t="n">
        <f aca="false">K36*(1-Assumptions!$F$52)+L34</f>
        <v>36427.8013399408</v>
      </c>
      <c r="M36" s="71" t="n">
        <f aca="false">L36*(1-Assumptions!$F$52)+M34</f>
        <v>41908.5048913876</v>
      </c>
      <c r="N36" s="71" t="n">
        <f aca="false">M36*(1-Assumptions!$F$52)+N34</f>
        <v>47521.8306533836</v>
      </c>
      <c r="O36" s="71" t="n">
        <f aca="false">N36*(1-Assumptions!$F$52)+O34</f>
        <v>53283.4262967579</v>
      </c>
      <c r="P36" s="71" t="n">
        <f aca="false">O36*(1-Assumptions!$F$52)+P34</f>
        <v>59209.4934911146</v>
      </c>
      <c r="Q36" s="71" t="n">
        <f aca="false">P36*(1-Assumptions!$F$52)+Q34</f>
        <v>65316.5413692779</v>
      </c>
      <c r="R36" s="71" t="n">
        <f aca="false">Q36*(1-Assumptions!$F$52)+R34</f>
        <v>71621.3075139024</v>
      </c>
      <c r="S36" s="71" t="n">
        <f aca="false">R36*(1-Assumptions!$F$52)+S34</f>
        <v>78140.7677153799</v>
      </c>
      <c r="T36" s="71" t="n">
        <f aca="false">S36*(1-Assumptions!$F$52)+T34</f>
        <v>84892.1962437631</v>
      </c>
      <c r="U36" s="71" t="n">
        <f aca="false">T36*(1-Assumptions!$F$52)+U34</f>
        <v>91877.8692812657</v>
      </c>
      <c r="V36" s="71" t="n">
        <f aca="false">U36*(1-Assumptions!$F$52)+V34</f>
        <v>99096.6320924482</v>
      </c>
      <c r="W36" s="71" t="n">
        <f aca="false">V36*(1-Assumptions!$F$52)+W34</f>
        <v>106549.180262067</v>
      </c>
      <c r="X36" s="71" t="n">
        <f aca="false">W36*(1-Assumptions!$F$52)+X34</f>
        <v>114236.956043126</v>
      </c>
      <c r="Y36" s="71" t="n">
        <f aca="false">X36*(1-Assumptions!$F$52)+Y34</f>
        <v>122162.076358665</v>
      </c>
      <c r="Z36" s="71" t="n">
        <f aca="false">Y36*(1-Assumptions!$F$52)+Z34</f>
        <v>130327.402709148</v>
      </c>
      <c r="AA36" s="71" t="n">
        <f aca="false">Z36*(1-Assumptions!$F$52)+AA34</f>
        <v>138736.653233381</v>
      </c>
      <c r="AB36" s="71" t="n">
        <f aca="false">AA36*(1-Assumptions!$F$52)+AB34</f>
        <v>147253.860486976</v>
      </c>
      <c r="AC36" s="71" t="n">
        <f aca="false">AB36*(1-Assumptions!$F$52)+AC34</f>
        <v>155455.042984527</v>
      </c>
      <c r="AD36" s="71" t="n">
        <f aca="false">AC36*(1-Assumptions!$F$52)+AD34</f>
        <v>163309.046999237</v>
      </c>
      <c r="AE36" s="71" t="n">
        <f aca="false">AD36*(1-Assumptions!$F$52)+AE34</f>
        <v>170839.602520214</v>
      </c>
      <c r="AF36" s="71" t="n">
        <f aca="false">AE36*(1-Assumptions!$F$52)+AF34</f>
        <v>178078.25791252</v>
      </c>
      <c r="AG36" s="71" t="n">
        <f aca="false">AF36*(1-Assumptions!$F$52)+AG34</f>
        <v>185057.498099939</v>
      </c>
      <c r="AH36" s="71" t="n">
        <f aca="false">AG36*(1-Assumptions!$F$52)+AH34</f>
        <v>191809.915290457</v>
      </c>
      <c r="AI36" s="71" t="n">
        <f aca="false">AH36*(1-Assumptions!$F$52)+AI34</f>
        <v>198368.29720863</v>
      </c>
      <c r="AJ36" s="71" t="n">
        <f aca="false">AI36*(1-Assumptions!$F$52)+AJ34</f>
        <v>204765.862477495</v>
      </c>
      <c r="AK36" s="71" t="n">
        <f aca="false">AJ36*(1-Assumptions!$F$52)+AK34</f>
        <v>211036.529829411</v>
      </c>
      <c r="AL36" s="71" t="n">
        <f aca="false">AK36*(1-Assumptions!$F$52)+AL34</f>
        <v>217215.206849695</v>
      </c>
      <c r="AM36" s="71" t="n">
        <f aca="false">AL36</f>
        <v>217215.206849695</v>
      </c>
    </row>
    <row r="37" customFormat="false" ht="15" hidden="false" customHeight="false" outlineLevel="0" collapsed="false">
      <c r="A37" s="10" t="s">
        <v>758</v>
      </c>
      <c r="B37" s="9" t="s">
        <v>51</v>
      </c>
      <c r="C37" s="61" t="n">
        <f aca="false">0</f>
        <v>0</v>
      </c>
      <c r="D37" s="61" t="n">
        <f aca="false">C36*Assumptions!$F$52</f>
        <v>0</v>
      </c>
      <c r="E37" s="61" t="n">
        <f aca="false">D36*Assumptions!$F$52</f>
        <v>82.5</v>
      </c>
      <c r="F37" s="61" t="n">
        <f aca="false">E36*Assumptions!$F$52</f>
        <v>197.5875</v>
      </c>
      <c r="G37" s="61" t="n">
        <f aca="false">F36*Assumptions!$F$52</f>
        <v>360.1764375</v>
      </c>
      <c r="H37" s="61" t="n">
        <f aca="false">G36*Assumptions!$F$52</f>
        <v>591.8782959375</v>
      </c>
      <c r="I37" s="61" t="n">
        <f aca="false">H36*Assumptions!$F$52</f>
        <v>858.714669919823</v>
      </c>
      <c r="J37" s="61" t="n">
        <f aca="false">I36*Assumptions!$F$52</f>
        <v>1135.94045133484</v>
      </c>
      <c r="K37" s="61" t="n">
        <f aca="false">J36*Assumptions!$F$52</f>
        <v>1419.48878387304</v>
      </c>
      <c r="L37" s="61" t="n">
        <f aca="false">K36*Assumptions!$F$52</f>
        <v>1708.58733901302</v>
      </c>
      <c r="M37" s="61" t="n">
        <f aca="false">L36*Assumptions!$F$52</f>
        <v>2003.52907369675</v>
      </c>
      <c r="N37" s="61" t="n">
        <f aca="false">M36*Assumptions!$F$52</f>
        <v>2304.96776902632</v>
      </c>
      <c r="O37" s="61" t="n">
        <f aca="false">N36*Assumptions!$F$52</f>
        <v>2613.7006859361</v>
      </c>
      <c r="P37" s="61" t="n">
        <f aca="false">O36*Assumptions!$F$52</f>
        <v>2930.58844632168</v>
      </c>
      <c r="Q37" s="61" t="n">
        <f aca="false">P36*Assumptions!$F$52</f>
        <v>3256.5221420113</v>
      </c>
      <c r="R37" s="61" t="n">
        <f aca="false">Q36*Assumptions!$F$52</f>
        <v>3592.40977531028</v>
      </c>
      <c r="S37" s="61" t="n">
        <f aca="false">R36*Assumptions!$F$52</f>
        <v>3939.17191326463</v>
      </c>
      <c r="T37" s="61" t="n">
        <f aca="false">S36*Assumptions!$F$52</f>
        <v>4297.74222434589</v>
      </c>
      <c r="U37" s="61" t="n">
        <f aca="false">T36*Assumptions!$F$52</f>
        <v>4669.07079340697</v>
      </c>
      <c r="V37" s="61" t="n">
        <f aca="false">U36*Assumptions!$F$52</f>
        <v>5053.28281046961</v>
      </c>
      <c r="W37" s="61" t="n">
        <f aca="false">V36*Assumptions!$F$52</f>
        <v>5450.31476508465</v>
      </c>
      <c r="X37" s="61" t="n">
        <f aca="false">W36*Assumptions!$F$52</f>
        <v>5860.20491441371</v>
      </c>
      <c r="Y37" s="61" t="n">
        <f aca="false">X36*Assumptions!$F$52</f>
        <v>6283.03258237191</v>
      </c>
      <c r="Z37" s="61" t="n">
        <f aca="false">Y36*Assumptions!$F$52</f>
        <v>6718.91419972659</v>
      </c>
      <c r="AA37" s="61" t="n">
        <f aca="false">Z36*Assumptions!$F$52</f>
        <v>7168.00714900312</v>
      </c>
      <c r="AB37" s="61" t="n">
        <f aca="false">AA36*Assumptions!$F$52</f>
        <v>7630.51592783598</v>
      </c>
      <c r="AC37" s="61" t="n">
        <f aca="false">AB36*Assumptions!$F$52</f>
        <v>8098.96232678371</v>
      </c>
      <c r="AD37" s="61" t="n">
        <f aca="false">AC36*Assumptions!$F$52</f>
        <v>8550.02736414899</v>
      </c>
      <c r="AE37" s="61" t="n">
        <f aca="false">AD36*Assumptions!$F$52</f>
        <v>8981.99758495802</v>
      </c>
      <c r="AF37" s="61" t="n">
        <f aca="false">AE36*Assumptions!$F$52</f>
        <v>9396.17813861175</v>
      </c>
      <c r="AG37" s="61" t="n">
        <f aca="false">AF36*Assumptions!$F$52</f>
        <v>9794.30418518858</v>
      </c>
      <c r="AH37" s="61" t="n">
        <f aca="false">AG36*Assumptions!$F$52</f>
        <v>10178.1623954967</v>
      </c>
      <c r="AI37" s="61" t="n">
        <f aca="false">AH36*Assumptions!$F$52</f>
        <v>10549.5453409751</v>
      </c>
      <c r="AJ37" s="61" t="n">
        <f aca="false">AI36*Assumptions!$F$52</f>
        <v>10910.2563464747</v>
      </c>
      <c r="AK37" s="61" t="n">
        <f aca="false">AJ36*Assumptions!$F$52</f>
        <v>11262.1224362622</v>
      </c>
      <c r="AL37" s="61" t="n">
        <f aca="false">AK36*Assumptions!$F$52</f>
        <v>11607.0091406176</v>
      </c>
      <c r="AM37" s="61" t="n">
        <f aca="false">SUM(C37:AL37)</f>
        <v>179455.413909321</v>
      </c>
    </row>
    <row r="38" customFormat="false" ht="15" hidden="false" customHeight="false" outlineLevel="0" collapsed="false">
      <c r="A38" s="10" t="s">
        <v>759</v>
      </c>
      <c r="B38" s="9" t="s">
        <v>51</v>
      </c>
      <c r="C38" s="61" t="n">
        <f aca="false">0</f>
        <v>0</v>
      </c>
      <c r="D38" s="61" t="n">
        <f aca="false">C35*Assumptions!$F$53</f>
        <v>0</v>
      </c>
      <c r="E38" s="61" t="n">
        <f aca="false">D35*Assumptions!$F$53</f>
        <v>210</v>
      </c>
      <c r="F38" s="61" t="n">
        <f aca="false">E35*Assumptions!$F$53</f>
        <v>304.5</v>
      </c>
      <c r="G38" s="61" t="n">
        <f aca="false">F35*Assumptions!$F$53</f>
        <v>441.525</v>
      </c>
      <c r="H38" s="61" t="n">
        <f aca="false">G35*Assumptions!$F$53</f>
        <v>640.21125</v>
      </c>
      <c r="I38" s="61" t="n">
        <f aca="false">H35*Assumptions!$F$53</f>
        <v>762.082822477164</v>
      </c>
      <c r="J38" s="61" t="n">
        <f aca="false">I35*Assumptions!$F$53</f>
        <v>825.885679208822</v>
      </c>
      <c r="K38" s="61" t="n">
        <f aca="false">J35*Assumptions!$F$53</f>
        <v>880.791055102303</v>
      </c>
      <c r="L38" s="61" t="n">
        <f aca="false">K35*Assumptions!$F$53</f>
        <v>934.61566100763</v>
      </c>
      <c r="M38" s="61" t="n">
        <f aca="false">L35*Assumptions!$F$53</f>
        <v>989.96300665675</v>
      </c>
      <c r="N38" s="61" t="n">
        <f aca="false">M35*Assumptions!$F$53</f>
        <v>1047.7925675201</v>
      </c>
      <c r="O38" s="61" t="n">
        <f aca="false">N35*Assumptions!$F$53</f>
        <v>1108.56109434313</v>
      </c>
      <c r="P38" s="61" t="n">
        <f aca="false">O35*Assumptions!$F$53</f>
        <v>1172.54148610345</v>
      </c>
      <c r="Q38" s="61" t="n">
        <f aca="false">P35*Assumptions!$F$53</f>
        <v>1239.93178969497</v>
      </c>
      <c r="R38" s="61" t="n">
        <f aca="false">Q35*Assumptions!$F$53</f>
        <v>1310.89980282444</v>
      </c>
      <c r="S38" s="61" t="n">
        <f aca="false">R35*Assumptions!$F$53</f>
        <v>1385.60462879088</v>
      </c>
      <c r="T38" s="61" t="n">
        <f aca="false">S35*Assumptions!$F$53</f>
        <v>1464.20849606389</v>
      </c>
      <c r="U38" s="61" t="n">
        <f aca="false">T35*Assumptions!$F$53</f>
        <v>1546.88390538209</v>
      </c>
      <c r="V38" s="61" t="n">
        <f aca="false">U35*Assumptions!$F$53</f>
        <v>1631.66413632733</v>
      </c>
      <c r="W38" s="61" t="n">
        <f aca="false">V35*Assumptions!$F$53</f>
        <v>1718.0863870313</v>
      </c>
      <c r="X38" s="61" t="n">
        <f aca="false">W35*Assumptions!$F$53</f>
        <v>1806.40081085853</v>
      </c>
      <c r="Y38" s="61" t="n">
        <f aca="false">X35*Assumptions!$F$53</f>
        <v>1896.71729736608</v>
      </c>
      <c r="Z38" s="61" t="n">
        <f aca="false">Y35*Assumptions!$F$53</f>
        <v>1989.14140570762</v>
      </c>
      <c r="AA38" s="61" t="n">
        <f aca="false">Z35*Assumptions!$F$53</f>
        <v>2083.79367702924</v>
      </c>
      <c r="AB38" s="61" t="n">
        <f aca="false">AA35*Assumptions!$F$53</f>
        <v>2180.81607425317</v>
      </c>
      <c r="AC38" s="61" t="n">
        <f aca="false">AB35*Assumptions!$F$53</f>
        <v>2260.68124540034</v>
      </c>
      <c r="AD38" s="61" t="n">
        <f aca="false">AC35*Assumptions!$F$53</f>
        <v>2282.02027540681</v>
      </c>
      <c r="AE38" s="61" t="n">
        <f aca="false">AD35*Assumptions!$F$53</f>
        <v>2296.5643930402</v>
      </c>
      <c r="AF38" s="61" t="n">
        <f aca="false">AE35*Assumptions!$F$53</f>
        <v>2311.75743483089</v>
      </c>
      <c r="AG38" s="61" t="n">
        <f aca="false">AF35*Assumptions!$F$53</f>
        <v>2328.8766943285</v>
      </c>
      <c r="AH38" s="61" t="n">
        <f aca="false">AG35*Assumptions!$F$53</f>
        <v>2348.29621216517</v>
      </c>
      <c r="AI38" s="61" t="n">
        <f aca="false">AH35*Assumptions!$F$53</f>
        <v>2370.28114204203</v>
      </c>
      <c r="AJ38" s="61" t="n">
        <f aca="false">AI35*Assumptions!$F$53</f>
        <v>2395.10981628077</v>
      </c>
      <c r="AK38" s="61" t="n">
        <f aca="false">AJ35*Assumptions!$F$53</f>
        <v>2423.09502614751</v>
      </c>
      <c r="AL38" s="61" t="n">
        <f aca="false">AK35*Assumptions!$F$53</f>
        <v>2454.59057034489</v>
      </c>
      <c r="AM38" s="61" t="n">
        <f aca="false">SUM(C38:AL38)</f>
        <v>53043.890843736</v>
      </c>
    </row>
    <row r="39" customFormat="false" ht="15" hidden="false" customHeight="false" outlineLevel="0" collapsed="false">
      <c r="A39" s="37" t="s">
        <v>760</v>
      </c>
      <c r="B39" s="9" t="s">
        <v>51</v>
      </c>
      <c r="C39" s="71" t="n">
        <f aca="false">C35+C36+C38</f>
        <v>0</v>
      </c>
      <c r="D39" s="71" t="n">
        <f aca="false">D35+D36+D38</f>
        <v>3000</v>
      </c>
      <c r="E39" s="71" t="n">
        <f aca="false">E35+E36+E38</f>
        <v>5977.5</v>
      </c>
      <c r="F39" s="71" t="n">
        <f aca="false">F35+F36+F38</f>
        <v>10006.9125</v>
      </c>
      <c r="G39" s="71" t="n">
        <f aca="false">G35+G36+G38</f>
        <v>15775.8860625</v>
      </c>
      <c r="H39" s="71" t="n">
        <f aca="false">H35+H36+H38</f>
        <v>21696.653980522</v>
      </c>
      <c r="I39" s="71" t="n">
        <f aca="false">I35+I36+I38</f>
        <v>27314.7289969399</v>
      </c>
      <c r="J39" s="71" t="n">
        <f aca="false">J35+J36+J38</f>
        <v>32926.1373380209</v>
      </c>
      <c r="K39" s="71" t="n">
        <f aca="false">K35+K36+K38</f>
        <v>38621.8415508482</v>
      </c>
      <c r="L39" s="71" t="n">
        <f aca="false">L35+L36+L38</f>
        <v>44433.581334211</v>
      </c>
      <c r="M39" s="71" t="n">
        <f aca="false">M35+M36+M38</f>
        <v>50382.7005231879</v>
      </c>
      <c r="N39" s="71" t="n">
        <f aca="false">N35+N36+N38</f>
        <v>56487.9167519261</v>
      </c>
      <c r="O39" s="71" t="n">
        <f aca="false">O35+O36+O38</f>
        <v>62767.2837204114</v>
      </c>
      <c r="P39" s="71" t="n">
        <f aca="false">P35+P36+P38</f>
        <v>69238.6906178964</v>
      </c>
      <c r="Q39" s="71" t="n">
        <f aca="false">Q35+Q36+Q38</f>
        <v>75920.0431791474</v>
      </c>
      <c r="R39" s="71" t="n">
        <f aca="false">R35+R36+R38</f>
        <v>82829.3832366617</v>
      </c>
      <c r="S39" s="71" t="n">
        <f aca="false">S35+S36+S38</f>
        <v>89985.0044589128</v>
      </c>
      <c r="T39" s="71" t="n">
        <f aca="false">T35+T36+T38</f>
        <v>97405.5754925562</v>
      </c>
      <c r="U39" s="71" t="n">
        <f aca="false">U35+U36+U38</f>
        <v>105079.497017557</v>
      </c>
      <c r="V39" s="71" t="n">
        <f aca="false">V35+V36+V38</f>
        <v>113000.341850428</v>
      </c>
      <c r="W39" s="71" t="n">
        <f aca="false">W35+W36+W38</f>
        <v>121170.129583802</v>
      </c>
      <c r="X39" s="71" t="n">
        <f aca="false">X35+X36+X38</f>
        <v>129591.337549456</v>
      </c>
      <c r="Y39" s="71" t="n">
        <f aca="false">Y35+Y36+Y38</f>
        <v>138266.946553943</v>
      </c>
      <c r="Z39" s="71" t="n">
        <f aca="false">Z35+Z36+Z38</f>
        <v>147200.784665064</v>
      </c>
      <c r="AA39" s="71" t="n">
        <f aca="false">AA35+AA36+AA38</f>
        <v>156397.704583648</v>
      </c>
      <c r="AB39" s="71" t="n">
        <f aca="false">AB35+AB36+AB38</f>
        <v>165582.399742661</v>
      </c>
      <c r="AC39" s="71" t="n">
        <f aca="false">AC35+AC36+AC38</f>
        <v>174015.869054262</v>
      </c>
      <c r="AD39" s="71" t="n">
        <f aca="false">AD35+AD36+AD38</f>
        <v>181995.098653502</v>
      </c>
      <c r="AE39" s="71" t="n">
        <f aca="false">AE35+AE36+AE38</f>
        <v>189648.720019189</v>
      </c>
      <c r="AF39" s="71" t="n">
        <f aca="false">AF35+AF36+AF38</f>
        <v>197024.848878268</v>
      </c>
      <c r="AG39" s="71" t="n">
        <f aca="false">AG35+AG36+AG38</f>
        <v>204159.919166876</v>
      </c>
      <c r="AH39" s="71" t="n">
        <f aca="false">AH35+AH36+AH38</f>
        <v>211088.791088637</v>
      </c>
      <c r="AI39" s="71" t="n">
        <f aca="false">AI35+AI36+AI38</f>
        <v>217846.505609821</v>
      </c>
      <c r="AJ39" s="71" t="n">
        <f aca="false">AJ35+AJ36+AJ38</f>
        <v>224468.793909115</v>
      </c>
      <c r="AK39" s="71" t="n">
        <f aca="false">AK35+AK36+AK38</f>
        <v>230992.414643736</v>
      </c>
      <c r="AL39" s="71" t="n">
        <f aca="false">AL35+AL36+AL38</f>
        <v>237455.483580941</v>
      </c>
      <c r="AM39" s="71" t="n">
        <f aca="false">SUM(C39:AL39)</f>
        <v>3929755.42589465</v>
      </c>
    </row>
    <row r="40" customFormat="false" ht="15" hidden="false" customHeight="false" outlineLevel="0" collapsed="false">
      <c r="A40" s="10" t="s">
        <v>761</v>
      </c>
      <c r="B40" s="9" t="s">
        <v>97</v>
      </c>
      <c r="C40" s="70" t="n">
        <f aca="false">C39*Assumptions!$F$50</f>
        <v>0</v>
      </c>
      <c r="D40" s="70" t="n">
        <f aca="false">D39*Assumptions!$F$50</f>
        <v>264000</v>
      </c>
      <c r="E40" s="70" t="n">
        <f aca="false">E39*Assumptions!$F$50</f>
        <v>526020</v>
      </c>
      <c r="F40" s="70" t="n">
        <f aca="false">F39*Assumptions!$F$50</f>
        <v>880608.3</v>
      </c>
      <c r="G40" s="70" t="n">
        <f aca="false">G39*Assumptions!$F$50</f>
        <v>1388277.9735</v>
      </c>
      <c r="H40" s="70" t="n">
        <f aca="false">H39*Assumptions!$F$50</f>
        <v>1909305.55028594</v>
      </c>
      <c r="I40" s="70" t="n">
        <f aca="false">I39*Assumptions!$F$50</f>
        <v>2403696.15173071</v>
      </c>
      <c r="J40" s="70" t="n">
        <f aca="false">J39*Assumptions!$F$50</f>
        <v>2897500.08574584</v>
      </c>
      <c r="K40" s="70" t="n">
        <f aca="false">K39*Assumptions!$F$50</f>
        <v>3398722.05647464</v>
      </c>
      <c r="L40" s="70" t="n">
        <f aca="false">L39*Assumptions!$F$50</f>
        <v>3910155.15741056</v>
      </c>
      <c r="M40" s="70" t="n">
        <f aca="false">M39*Assumptions!$F$50</f>
        <v>4433677.64604054</v>
      </c>
      <c r="N40" s="70" t="n">
        <f aca="false">N39*Assumptions!$F$50</f>
        <v>4970936.67416949</v>
      </c>
      <c r="O40" s="70" t="n">
        <f aca="false">O39*Assumptions!$F$50</f>
        <v>5523520.9673962</v>
      </c>
      <c r="P40" s="70" t="n">
        <f aca="false">P39*Assumptions!$F$50</f>
        <v>6093004.77437488</v>
      </c>
      <c r="Q40" s="70" t="n">
        <f aca="false">Q39*Assumptions!$F$50</f>
        <v>6680963.79976497</v>
      </c>
      <c r="R40" s="70" t="n">
        <f aca="false">R39*Assumptions!$F$50</f>
        <v>7288985.72482623</v>
      </c>
      <c r="S40" s="70" t="n">
        <f aca="false">S39*Assumptions!$F$50</f>
        <v>7918680.39238433</v>
      </c>
      <c r="T40" s="70" t="n">
        <f aca="false">T39*Assumptions!$F$50</f>
        <v>8571690.64334494</v>
      </c>
      <c r="U40" s="70" t="n">
        <f aca="false">U39*Assumptions!$F$50</f>
        <v>9246995.73754504</v>
      </c>
      <c r="V40" s="70" t="n">
        <f aca="false">V39*Assumptions!$F$50</f>
        <v>9944030.08283764</v>
      </c>
      <c r="W40" s="70" t="n">
        <f aca="false">W39*Assumptions!$F$50</f>
        <v>10662971.4033746</v>
      </c>
      <c r="X40" s="70" t="n">
        <f aca="false">X39*Assumptions!$F$50</f>
        <v>11404037.7043521</v>
      </c>
      <c r="Y40" s="70" t="n">
        <f aca="false">Y39*Assumptions!$F$50</f>
        <v>12167491.296747</v>
      </c>
      <c r="Z40" s="70" t="n">
        <f aca="false">Z39*Assumptions!$F$50</f>
        <v>12953669.0505256</v>
      </c>
      <c r="AA40" s="70" t="n">
        <f aca="false">AA39*Assumptions!$F$50</f>
        <v>13762998.003361</v>
      </c>
      <c r="AB40" s="70" t="n">
        <f aca="false">AB39*Assumptions!$F$50</f>
        <v>14571251.1773541</v>
      </c>
      <c r="AC40" s="70" t="n">
        <f aca="false">AC39*Assumptions!$F$50</f>
        <v>15313396.476775</v>
      </c>
      <c r="AD40" s="70" t="n">
        <f aca="false">AD39*Assumptions!$F$50</f>
        <v>16015568.6815082</v>
      </c>
      <c r="AE40" s="70" t="n">
        <f aca="false">AE39*Assumptions!$F$50</f>
        <v>16689087.3616886</v>
      </c>
      <c r="AF40" s="70" t="n">
        <f aca="false">AF39*Assumptions!$F$50</f>
        <v>17338186.7012876</v>
      </c>
      <c r="AG40" s="70" t="n">
        <f aca="false">AG39*Assumptions!$F$50</f>
        <v>17966072.8866851</v>
      </c>
      <c r="AH40" s="70" t="n">
        <f aca="false">AH39*Assumptions!$F$50</f>
        <v>18575813.6158</v>
      </c>
      <c r="AI40" s="70" t="n">
        <f aca="false">AI39*Assumptions!$F$50</f>
        <v>19170492.4936642</v>
      </c>
      <c r="AJ40" s="70" t="n">
        <f aca="false">AJ39*Assumptions!$F$50</f>
        <v>19753253.8640021</v>
      </c>
      <c r="AK40" s="70" t="n">
        <f aca="false">AK39*Assumptions!$F$50</f>
        <v>20327332.4886488</v>
      </c>
      <c r="AL40" s="70" t="n">
        <f aca="false">AL39*Assumptions!$F$50</f>
        <v>20896082.5551228</v>
      </c>
      <c r="AM40" s="70" t="n">
        <f aca="false">SUM(C40:AL40)</f>
        <v>345818477.478729</v>
      </c>
    </row>
    <row r="41" customFormat="false" ht="15" hidden="false" customHeight="false" outlineLevel="0" collapsed="false">
      <c r="A41" s="10" t="s">
        <v>762</v>
      </c>
      <c r="B41" s="9" t="s">
        <v>97</v>
      </c>
      <c r="C41" s="70" t="n">
        <f aca="false">-C40*Assumptions!$F$80</f>
        <v>-0</v>
      </c>
      <c r="D41" s="70" t="n">
        <f aca="false">-D40*Assumptions!$F$80</f>
        <v>-5808</v>
      </c>
      <c r="E41" s="70" t="n">
        <f aca="false">-E40*Assumptions!$F$80</f>
        <v>-11572.44</v>
      </c>
      <c r="F41" s="70" t="n">
        <f aca="false">-F40*Assumptions!$F$80</f>
        <v>-19373.3826</v>
      </c>
      <c r="G41" s="70" t="n">
        <f aca="false">-G40*Assumptions!$F$80</f>
        <v>-30542.115417</v>
      </c>
      <c r="H41" s="70" t="n">
        <f aca="false">-H40*Assumptions!$F$80</f>
        <v>-42004.7221062906</v>
      </c>
      <c r="I41" s="70" t="n">
        <f aca="false">-I40*Assumptions!$F$80</f>
        <v>-52881.3153380756</v>
      </c>
      <c r="J41" s="70" t="n">
        <f aca="false">-J40*Assumptions!$F$80</f>
        <v>-63745.0018864084</v>
      </c>
      <c r="K41" s="70" t="n">
        <f aca="false">-K40*Assumptions!$F$80</f>
        <v>-74771.885242442</v>
      </c>
      <c r="L41" s="70" t="n">
        <f aca="false">-L40*Assumptions!$F$80</f>
        <v>-86023.4134630324</v>
      </c>
      <c r="M41" s="70" t="n">
        <f aca="false">-M40*Assumptions!$F$80</f>
        <v>-97540.9082128918</v>
      </c>
      <c r="N41" s="70" t="n">
        <f aca="false">-N40*Assumptions!$F$80</f>
        <v>-109360.606831729</v>
      </c>
      <c r="O41" s="70" t="n">
        <f aca="false">-O40*Assumptions!$F$80</f>
        <v>-121517.461282716</v>
      </c>
      <c r="P41" s="70" t="n">
        <f aca="false">-P40*Assumptions!$F$80</f>
        <v>-134046.105036247</v>
      </c>
      <c r="Q41" s="70" t="n">
        <f aca="false">-Q40*Assumptions!$F$80</f>
        <v>-146981.203594829</v>
      </c>
      <c r="R41" s="70" t="n">
        <f aca="false">-R40*Assumptions!$F$80</f>
        <v>-160357.685946177</v>
      </c>
      <c r="S41" s="70" t="n">
        <f aca="false">-S40*Assumptions!$F$80</f>
        <v>-174210.968632455</v>
      </c>
      <c r="T41" s="70" t="n">
        <f aca="false">-T40*Assumptions!$F$80</f>
        <v>-188577.194153589</v>
      </c>
      <c r="U41" s="70" t="n">
        <f aca="false">-U40*Assumptions!$F$80</f>
        <v>-203433.906225991</v>
      </c>
      <c r="V41" s="70" t="n">
        <f aca="false">-V40*Assumptions!$F$80</f>
        <v>-218768.661822428</v>
      </c>
      <c r="W41" s="70" t="n">
        <f aca="false">-W40*Assumptions!$F$80</f>
        <v>-234585.370874242</v>
      </c>
      <c r="X41" s="70" t="n">
        <f aca="false">-X40*Assumptions!$F$80</f>
        <v>-250888.829495747</v>
      </c>
      <c r="Y41" s="70" t="n">
        <f aca="false">-Y40*Assumptions!$F$80</f>
        <v>-267684.808528434</v>
      </c>
      <c r="Z41" s="70" t="n">
        <f aca="false">-Z40*Assumptions!$F$80</f>
        <v>-284980.719111564</v>
      </c>
      <c r="AA41" s="70" t="n">
        <f aca="false">-AA40*Assumptions!$F$80</f>
        <v>-302785.956073942</v>
      </c>
      <c r="AB41" s="70" t="n">
        <f aca="false">-AB40*Assumptions!$F$80</f>
        <v>-320567.525901791</v>
      </c>
      <c r="AC41" s="70" t="n">
        <f aca="false">-AC40*Assumptions!$F$80</f>
        <v>-336894.722489051</v>
      </c>
      <c r="AD41" s="70" t="n">
        <f aca="false">-AD40*Assumptions!$F$80</f>
        <v>-352342.51099318</v>
      </c>
      <c r="AE41" s="70" t="n">
        <f aca="false">-AE40*Assumptions!$F$80</f>
        <v>-367159.921957149</v>
      </c>
      <c r="AF41" s="70" t="n">
        <f aca="false">-AF40*Assumptions!$F$80</f>
        <v>-381440.107428328</v>
      </c>
      <c r="AG41" s="70" t="n">
        <f aca="false">-AG40*Assumptions!$F$80</f>
        <v>-395253.603507073</v>
      </c>
      <c r="AH41" s="70" t="n">
        <f aca="false">-AH40*Assumptions!$F$80</f>
        <v>-408667.899547601</v>
      </c>
      <c r="AI41" s="70" t="n">
        <f aca="false">-AI40*Assumptions!$F$80</f>
        <v>-421750.834860613</v>
      </c>
      <c r="AJ41" s="70" t="n">
        <f aca="false">-AJ40*Assumptions!$F$80</f>
        <v>-434571.585008047</v>
      </c>
      <c r="AK41" s="70" t="n">
        <f aca="false">-AK40*Assumptions!$F$80</f>
        <v>-447201.314750273</v>
      </c>
      <c r="AL41" s="70" t="n">
        <f aca="false">-AL40*Assumptions!$F$80</f>
        <v>-459713.816212702</v>
      </c>
      <c r="AM41" s="70" t="n">
        <f aca="false">SUM(C41:AL41)</f>
        <v>-7608006.50453204</v>
      </c>
    </row>
    <row r="42" customFormat="false" ht="15" hidden="false" customHeight="false" outlineLevel="0" collapsed="false">
      <c r="A42" s="37" t="s">
        <v>763</v>
      </c>
      <c r="B42" s="9" t="s">
        <v>97</v>
      </c>
      <c r="C42" s="53" t="n">
        <f aca="false">C40+C41</f>
        <v>0</v>
      </c>
      <c r="D42" s="53" t="n">
        <f aca="false">D40+D41</f>
        <v>258192</v>
      </c>
      <c r="E42" s="53" t="n">
        <f aca="false">E40+E41</f>
        <v>514447.56</v>
      </c>
      <c r="F42" s="53" t="n">
        <f aca="false">F40+F41</f>
        <v>861234.9174</v>
      </c>
      <c r="G42" s="53" t="n">
        <f aca="false">G40+G41</f>
        <v>1357735.858083</v>
      </c>
      <c r="H42" s="53" t="n">
        <f aca="false">H40+H41</f>
        <v>1867300.82817964</v>
      </c>
      <c r="I42" s="53" t="n">
        <f aca="false">I40+I41</f>
        <v>2350814.83639264</v>
      </c>
      <c r="J42" s="53" t="n">
        <f aca="false">J40+J41</f>
        <v>2833755.08385943</v>
      </c>
      <c r="K42" s="53" t="n">
        <f aca="false">K40+K41</f>
        <v>3323950.1712322</v>
      </c>
      <c r="L42" s="53" t="n">
        <f aca="false">L40+L41</f>
        <v>3824131.74394753</v>
      </c>
      <c r="M42" s="53" t="n">
        <f aca="false">M40+M41</f>
        <v>4336136.73782764</v>
      </c>
      <c r="N42" s="53" t="n">
        <f aca="false">N40+N41</f>
        <v>4861576.06733776</v>
      </c>
      <c r="O42" s="53" t="n">
        <f aca="false">O40+O41</f>
        <v>5402003.50611348</v>
      </c>
      <c r="P42" s="53" t="n">
        <f aca="false">P40+P41</f>
        <v>5958958.66933863</v>
      </c>
      <c r="Q42" s="53" t="n">
        <f aca="false">Q40+Q41</f>
        <v>6533982.59617014</v>
      </c>
      <c r="R42" s="53" t="n">
        <f aca="false">R40+R41</f>
        <v>7128628.03888006</v>
      </c>
      <c r="S42" s="53" t="n">
        <f aca="false">S40+S41</f>
        <v>7744469.42375187</v>
      </c>
      <c r="T42" s="53" t="n">
        <f aca="false">T40+T41</f>
        <v>8383113.44919136</v>
      </c>
      <c r="U42" s="53" t="n">
        <f aca="false">U40+U41</f>
        <v>9043561.83131905</v>
      </c>
      <c r="V42" s="53" t="n">
        <f aca="false">V40+V41</f>
        <v>9725261.42101521</v>
      </c>
      <c r="W42" s="53" t="n">
        <f aca="false">W40+W41</f>
        <v>10428386.0325004</v>
      </c>
      <c r="X42" s="53" t="n">
        <f aca="false">X40+X41</f>
        <v>11153148.8748564</v>
      </c>
      <c r="Y42" s="53" t="n">
        <f aca="false">Y40+Y41</f>
        <v>11899806.4882185</v>
      </c>
      <c r="Z42" s="53" t="n">
        <f aca="false">Z40+Z41</f>
        <v>12668688.3314141</v>
      </c>
      <c r="AA42" s="53" t="n">
        <f aca="false">AA40+AA41</f>
        <v>13460212.0472871</v>
      </c>
      <c r="AB42" s="53" t="n">
        <f aca="false">AB40+AB41</f>
        <v>14250683.6514523</v>
      </c>
      <c r="AC42" s="53" t="n">
        <f aca="false">AC40+AC41</f>
        <v>14976501.754286</v>
      </c>
      <c r="AD42" s="53" t="n">
        <f aca="false">AD40+AD41</f>
        <v>15663226.170515</v>
      </c>
      <c r="AE42" s="53" t="n">
        <f aca="false">AE40+AE41</f>
        <v>16321927.4397315</v>
      </c>
      <c r="AF42" s="53" t="n">
        <f aca="false">AF40+AF41</f>
        <v>16956746.5938593</v>
      </c>
      <c r="AG42" s="53" t="n">
        <f aca="false">AG40+AG41</f>
        <v>17570819.283178</v>
      </c>
      <c r="AH42" s="53" t="n">
        <f aca="false">AH40+AH41</f>
        <v>18167145.7162524</v>
      </c>
      <c r="AI42" s="53" t="n">
        <f aca="false">AI40+AI41</f>
        <v>18748741.6588036</v>
      </c>
      <c r="AJ42" s="53" t="n">
        <f aca="false">AJ40+AJ41</f>
        <v>19318682.2789941</v>
      </c>
      <c r="AK42" s="53" t="n">
        <f aca="false">AK40+AK41</f>
        <v>19880131.1738985</v>
      </c>
      <c r="AL42" s="53" t="n">
        <f aca="false">AL40+AL41</f>
        <v>20436368.7389101</v>
      </c>
      <c r="AM42" s="53" t="n">
        <f aca="false">SUM(C42:AL42)</f>
        <v>338210470.974197</v>
      </c>
    </row>
    <row r="43" customFormat="false" ht="15" hidden="false" customHeight="false" outlineLevel="0" collapsed="false">
      <c r="A43" s="10" t="s">
        <v>764</v>
      </c>
      <c r="B43" s="9" t="s">
        <v>97</v>
      </c>
      <c r="C43" s="70" t="n">
        <f aca="false">-C40*Assumptions!$F$55</f>
        <v>-0</v>
      </c>
      <c r="D43" s="70" t="n">
        <f aca="false">-D40*Assumptions!$F$55</f>
        <v>-58080</v>
      </c>
      <c r="E43" s="70" t="n">
        <f aca="false">-E40*Assumptions!$F$55</f>
        <v>-115724.4</v>
      </c>
      <c r="F43" s="70" t="n">
        <f aca="false">-F40*Assumptions!$F$55</f>
        <v>-193733.826</v>
      </c>
      <c r="G43" s="70" t="n">
        <f aca="false">-G40*Assumptions!$F$55</f>
        <v>-305421.15417</v>
      </c>
      <c r="H43" s="70" t="n">
        <f aca="false">-H40*Assumptions!$F$55</f>
        <v>-420047.221062906</v>
      </c>
      <c r="I43" s="70" t="n">
        <f aca="false">-I40*Assumptions!$F$55</f>
        <v>-528813.153380756</v>
      </c>
      <c r="J43" s="70" t="n">
        <f aca="false">-J40*Assumptions!$F$55</f>
        <v>-637450.018864084</v>
      </c>
      <c r="K43" s="70" t="n">
        <f aca="false">-K40*Assumptions!$F$55</f>
        <v>-747718.85242442</v>
      </c>
      <c r="L43" s="70" t="n">
        <f aca="false">-L40*Assumptions!$F$55</f>
        <v>-860234.134630324</v>
      </c>
      <c r="M43" s="70" t="n">
        <f aca="false">-M40*Assumptions!$F$55</f>
        <v>-975409.082128918</v>
      </c>
      <c r="N43" s="70" t="n">
        <f aca="false">-N40*Assumptions!$F$55</f>
        <v>-1093606.06831729</v>
      </c>
      <c r="O43" s="70" t="n">
        <f aca="false">-O40*Assumptions!$F$55</f>
        <v>-1215174.61282716</v>
      </c>
      <c r="P43" s="70" t="n">
        <f aca="false">-P40*Assumptions!$F$55</f>
        <v>-1340461.05036247</v>
      </c>
      <c r="Q43" s="70" t="n">
        <f aca="false">-Q40*Assumptions!$F$55</f>
        <v>-1469812.03594829</v>
      </c>
      <c r="R43" s="70" t="n">
        <f aca="false">-R40*Assumptions!$F$55</f>
        <v>-1603576.85946177</v>
      </c>
      <c r="S43" s="70" t="n">
        <f aca="false">-S40*Assumptions!$F$55</f>
        <v>-1742109.68632455</v>
      </c>
      <c r="T43" s="70" t="n">
        <f aca="false">-T40*Assumptions!$F$55</f>
        <v>-1885771.94153589</v>
      </c>
      <c r="U43" s="70" t="n">
        <f aca="false">-U40*Assumptions!$F$55</f>
        <v>-2034339.06225991</v>
      </c>
      <c r="V43" s="70" t="n">
        <f aca="false">-V40*Assumptions!$F$55</f>
        <v>-2187686.61822428</v>
      </c>
      <c r="W43" s="70" t="n">
        <f aca="false">-W40*Assumptions!$F$55</f>
        <v>-2345853.70874242</v>
      </c>
      <c r="X43" s="70" t="n">
        <f aca="false">-X40*Assumptions!$F$55</f>
        <v>-2508888.29495747</v>
      </c>
      <c r="Y43" s="70" t="n">
        <f aca="false">-Y40*Assumptions!$F$55</f>
        <v>-2676848.08528434</v>
      </c>
      <c r="Z43" s="70" t="n">
        <f aca="false">-Z40*Assumptions!$F$55</f>
        <v>-2849807.19111564</v>
      </c>
      <c r="AA43" s="70" t="n">
        <f aca="false">-AA40*Assumptions!$F$55</f>
        <v>-3027859.56073942</v>
      </c>
      <c r="AB43" s="70" t="n">
        <f aca="false">-AB40*Assumptions!$F$55</f>
        <v>-3205675.25901791</v>
      </c>
      <c r="AC43" s="70" t="n">
        <f aca="false">-AC40*Assumptions!$F$55</f>
        <v>-3368947.22489051</v>
      </c>
      <c r="AD43" s="70" t="n">
        <f aca="false">-AD40*Assumptions!$F$55</f>
        <v>-3523425.1099318</v>
      </c>
      <c r="AE43" s="70" t="n">
        <f aca="false">-AE40*Assumptions!$F$55</f>
        <v>-3671599.21957149</v>
      </c>
      <c r="AF43" s="70" t="n">
        <f aca="false">-AF40*Assumptions!$F$55</f>
        <v>-3814401.07428328</v>
      </c>
      <c r="AG43" s="70" t="n">
        <f aca="false">-AG40*Assumptions!$F$55</f>
        <v>-3952536.03507073</v>
      </c>
      <c r="AH43" s="70" t="n">
        <f aca="false">-AH40*Assumptions!$F$55</f>
        <v>-4086678.99547601</v>
      </c>
      <c r="AI43" s="70" t="n">
        <f aca="false">-AI40*Assumptions!$F$55</f>
        <v>-4217508.34860613</v>
      </c>
      <c r="AJ43" s="70" t="n">
        <f aca="false">-AJ40*Assumptions!$F$55</f>
        <v>-4345715.85008047</v>
      </c>
      <c r="AK43" s="70" t="n">
        <f aca="false">-AK40*Assumptions!$F$55</f>
        <v>-4472013.14750273</v>
      </c>
      <c r="AL43" s="70" t="n">
        <f aca="false">-AL40*Assumptions!$F$55</f>
        <v>-4597138.16212702</v>
      </c>
      <c r="AM43" s="70" t="n">
        <f aca="false">SUM(C43:AL43)</f>
        <v>-76080065.0453204</v>
      </c>
    </row>
    <row r="44" customFormat="false" ht="15" hidden="false" customHeight="false" outlineLevel="0" collapsed="false">
      <c r="A44" s="10" t="s">
        <v>765</v>
      </c>
      <c r="B44" s="9" t="s">
        <v>97</v>
      </c>
      <c r="C44" s="70" t="n">
        <f aca="false">-C39*Assumptions!$F$56</f>
        <v>-0</v>
      </c>
      <c r="D44" s="70" t="n">
        <f aca="false">-D39*Assumptions!$F$56</f>
        <v>-19500</v>
      </c>
      <c r="E44" s="70" t="n">
        <f aca="false">-E39*Assumptions!$F$56</f>
        <v>-38853.75</v>
      </c>
      <c r="F44" s="70" t="n">
        <f aca="false">-F39*Assumptions!$F$56</f>
        <v>-65044.93125</v>
      </c>
      <c r="G44" s="70" t="n">
        <f aca="false">-G39*Assumptions!$F$56</f>
        <v>-102543.25940625</v>
      </c>
      <c r="H44" s="70" t="n">
        <f aca="false">-H39*Assumptions!$F$56</f>
        <v>-141028.250873393</v>
      </c>
      <c r="I44" s="70" t="n">
        <f aca="false">-I39*Assumptions!$F$56</f>
        <v>-177545.738480109</v>
      </c>
      <c r="J44" s="70" t="n">
        <f aca="false">-J39*Assumptions!$F$56</f>
        <v>-214019.892697136</v>
      </c>
      <c r="K44" s="70" t="n">
        <f aca="false">-K39*Assumptions!$F$56</f>
        <v>-251041.970080513</v>
      </c>
      <c r="L44" s="70" t="n">
        <f aca="false">-L39*Assumptions!$F$56</f>
        <v>-288818.278672371</v>
      </c>
      <c r="M44" s="70" t="n">
        <f aca="false">-M39*Assumptions!$F$56</f>
        <v>-327487.553400721</v>
      </c>
      <c r="N44" s="70" t="n">
        <f aca="false">-N39*Assumptions!$F$56</f>
        <v>-367171.458887519</v>
      </c>
      <c r="O44" s="70" t="n">
        <f aca="false">-O39*Assumptions!$F$56</f>
        <v>-407987.344182674</v>
      </c>
      <c r="P44" s="70" t="n">
        <f aca="false">-P39*Assumptions!$F$56</f>
        <v>-450051.489016326</v>
      </c>
      <c r="Q44" s="70" t="n">
        <f aca="false">-Q39*Assumptions!$F$56</f>
        <v>-493480.280664458</v>
      </c>
      <c r="R44" s="70" t="n">
        <f aca="false">-R39*Assumptions!$F$56</f>
        <v>-538390.991038301</v>
      </c>
      <c r="S44" s="70" t="n">
        <f aca="false">-S39*Assumptions!$F$56</f>
        <v>-584902.528982933</v>
      </c>
      <c r="T44" s="70" t="n">
        <f aca="false">-T39*Assumptions!$F$56</f>
        <v>-633136.240701615</v>
      </c>
      <c r="U44" s="70" t="n">
        <f aca="false">-U39*Assumptions!$F$56</f>
        <v>-683016.730614122</v>
      </c>
      <c r="V44" s="70" t="n">
        <f aca="false">-V39*Assumptions!$F$56</f>
        <v>-734502.22202778</v>
      </c>
      <c r="W44" s="70" t="n">
        <f aca="false">-W39*Assumptions!$F$56</f>
        <v>-787605.842294716</v>
      </c>
      <c r="X44" s="70" t="n">
        <f aca="false">-X39*Assumptions!$F$56</f>
        <v>-842343.694071466</v>
      </c>
      <c r="Y44" s="70" t="n">
        <f aca="false">-Y39*Assumptions!$F$56</f>
        <v>-898735.152600629</v>
      </c>
      <c r="Z44" s="70" t="n">
        <f aca="false">-Z39*Assumptions!$F$56</f>
        <v>-956805.100322916</v>
      </c>
      <c r="AA44" s="70" t="n">
        <f aca="false">-AA39*Assumptions!$F$56</f>
        <v>-1016585.07979371</v>
      </c>
      <c r="AB44" s="70" t="n">
        <f aca="false">-AB39*Assumptions!$F$56</f>
        <v>-1076285.59832729</v>
      </c>
      <c r="AC44" s="70" t="n">
        <f aca="false">-AC39*Assumptions!$F$56</f>
        <v>-1131103.1488527</v>
      </c>
      <c r="AD44" s="70" t="n">
        <f aca="false">-AD39*Assumptions!$F$56</f>
        <v>-1182968.14124776</v>
      </c>
      <c r="AE44" s="70" t="n">
        <f aca="false">-AE39*Assumptions!$F$56</f>
        <v>-1232716.68012473</v>
      </c>
      <c r="AF44" s="70" t="n">
        <f aca="false">-AF39*Assumptions!$F$56</f>
        <v>-1280661.51770874</v>
      </c>
      <c r="AG44" s="70" t="n">
        <f aca="false">-AG39*Assumptions!$F$56</f>
        <v>-1327039.4745847</v>
      </c>
      <c r="AH44" s="70" t="n">
        <f aca="false">-AH39*Assumptions!$F$56</f>
        <v>-1372077.14207614</v>
      </c>
      <c r="AI44" s="70" t="n">
        <f aca="false">-AI39*Assumptions!$F$56</f>
        <v>-1416002.28646383</v>
      </c>
      <c r="AJ44" s="70" t="n">
        <f aca="false">-AJ39*Assumptions!$F$56</f>
        <v>-1459047.16040925</v>
      </c>
      <c r="AK44" s="70" t="n">
        <f aca="false">-AK39*Assumptions!$F$56</f>
        <v>-1501450.69518428</v>
      </c>
      <c r="AL44" s="70" t="n">
        <f aca="false">-AL39*Assumptions!$F$56</f>
        <v>-1543460.64327612</v>
      </c>
      <c r="AM44" s="70" t="n">
        <f aca="false">SUM(C44:AL44)</f>
        <v>-25543410.2683152</v>
      </c>
    </row>
    <row r="45" customFormat="false" ht="15" hidden="false" customHeight="false" outlineLevel="0" collapsed="false">
      <c r="A45" s="10" t="s">
        <v>766</v>
      </c>
      <c r="B45" s="9" t="s">
        <v>97</v>
      </c>
      <c r="C45" s="70" t="n">
        <f aca="false">-C42*Assumptions!$F$79</f>
        <v>-0</v>
      </c>
      <c r="D45" s="70" t="n">
        <f aca="false">-D42*Assumptions!$F$79</f>
        <v>-6971.184</v>
      </c>
      <c r="E45" s="70" t="n">
        <f aca="false">-E42*Assumptions!$F$79</f>
        <v>-13890.08412</v>
      </c>
      <c r="F45" s="70" t="n">
        <f aca="false">-F42*Assumptions!$F$79</f>
        <v>-23253.3427698</v>
      </c>
      <c r="G45" s="70" t="n">
        <f aca="false">-G42*Assumptions!$F$79</f>
        <v>-36658.868168241</v>
      </c>
      <c r="H45" s="70" t="n">
        <f aca="false">-H42*Assumptions!$F$79</f>
        <v>-50417.1223608504</v>
      </c>
      <c r="I45" s="70" t="n">
        <f aca="false">-I42*Assumptions!$F$79</f>
        <v>-63472.0005826012</v>
      </c>
      <c r="J45" s="70" t="n">
        <f aca="false">-J42*Assumptions!$F$79</f>
        <v>-76511.3872642046</v>
      </c>
      <c r="K45" s="70" t="n">
        <f aca="false">-K42*Assumptions!$F$79</f>
        <v>-89746.6546232693</v>
      </c>
      <c r="L45" s="70" t="n">
        <f aca="false">-L42*Assumptions!$F$79</f>
        <v>-103251.557086583</v>
      </c>
      <c r="M45" s="70" t="n">
        <f aca="false">-M42*Assumptions!$F$79</f>
        <v>-117075.691921346</v>
      </c>
      <c r="N45" s="70" t="n">
        <f aca="false">-N42*Assumptions!$F$79</f>
        <v>-131262.55381812</v>
      </c>
      <c r="O45" s="70" t="n">
        <f aca="false">-O42*Assumptions!$F$79</f>
        <v>-145854.094665064</v>
      </c>
      <c r="P45" s="70" t="n">
        <f aca="false">-P42*Assumptions!$F$79</f>
        <v>-160891.884072143</v>
      </c>
      <c r="Q45" s="70" t="n">
        <f aca="false">-Q42*Assumptions!$F$79</f>
        <v>-176417.530096594</v>
      </c>
      <c r="R45" s="70" t="n">
        <f aca="false">-R42*Assumptions!$F$79</f>
        <v>-192472.957049762</v>
      </c>
      <c r="S45" s="70" t="n">
        <f aca="false">-S42*Assumptions!$F$79</f>
        <v>-209100.674441301</v>
      </c>
      <c r="T45" s="70" t="n">
        <f aca="false">-T42*Assumptions!$F$79</f>
        <v>-226344.063128167</v>
      </c>
      <c r="U45" s="70" t="n">
        <f aca="false">-U42*Assumptions!$F$79</f>
        <v>-244176.169445614</v>
      </c>
      <c r="V45" s="70" t="n">
        <f aca="false">-V42*Assumptions!$F$79</f>
        <v>-262582.058367411</v>
      </c>
      <c r="W45" s="70" t="n">
        <f aca="false">-W42*Assumptions!$F$79</f>
        <v>-281566.42287751</v>
      </c>
      <c r="X45" s="70" t="n">
        <f aca="false">-X42*Assumptions!$F$79</f>
        <v>-301135.019621123</v>
      </c>
      <c r="Y45" s="70" t="n">
        <f aca="false">-Y42*Assumptions!$F$79</f>
        <v>-321294.775181901</v>
      </c>
      <c r="Z45" s="70" t="n">
        <f aca="false">-Z42*Assumptions!$F$79</f>
        <v>-342054.58494818</v>
      </c>
      <c r="AA45" s="70" t="n">
        <f aca="false">-AA42*Assumptions!$F$79</f>
        <v>-363425.72527675</v>
      </c>
      <c r="AB45" s="70" t="n">
        <f aca="false">-AB42*Assumptions!$F$79</f>
        <v>-384768.458589213</v>
      </c>
      <c r="AC45" s="70" t="n">
        <f aca="false">-AC42*Assumptions!$F$79</f>
        <v>-404365.547365722</v>
      </c>
      <c r="AD45" s="70" t="n">
        <f aca="false">-AD42*Assumptions!$F$79</f>
        <v>-422907.106603905</v>
      </c>
      <c r="AE45" s="70" t="n">
        <f aca="false">-AE42*Assumptions!$F$79</f>
        <v>-440692.040872749</v>
      </c>
      <c r="AF45" s="70" t="n">
        <f aca="false">-AF42*Assumptions!$F$79</f>
        <v>-457832.158034201</v>
      </c>
      <c r="AG45" s="70" t="n">
        <f aca="false">-AG42*Assumptions!$F$79</f>
        <v>-474412.120645807</v>
      </c>
      <c r="AH45" s="70" t="n">
        <f aca="false">-AH42*Assumptions!$F$79</f>
        <v>-490512.934338816</v>
      </c>
      <c r="AI45" s="70" t="n">
        <f aca="false">-AI42*Assumptions!$F$79</f>
        <v>-506216.024787698</v>
      </c>
      <c r="AJ45" s="70" t="n">
        <f aca="false">-AJ42*Assumptions!$F$79</f>
        <v>-521604.42153284</v>
      </c>
      <c r="AK45" s="70" t="n">
        <f aca="false">-AK42*Assumptions!$F$79</f>
        <v>-536763.541695259</v>
      </c>
      <c r="AL45" s="70" t="n">
        <f aca="false">-AL42*Assumptions!$F$79</f>
        <v>-551781.955950573</v>
      </c>
      <c r="AM45" s="70" t="n">
        <f aca="false">SUM(C45:AL45)</f>
        <v>-9131682.71630332</v>
      </c>
    </row>
    <row r="46" customFormat="false" ht="15" hidden="false" customHeight="false" outlineLevel="0" collapsed="false">
      <c r="A46" s="37" t="s">
        <v>767</v>
      </c>
      <c r="B46" s="9" t="s">
        <v>97</v>
      </c>
      <c r="C46" s="53" t="n">
        <f aca="false">C42+C43+C44+C45</f>
        <v>0</v>
      </c>
      <c r="D46" s="53" t="n">
        <f aca="false">D42+D43+D44+D45</f>
        <v>173640.816</v>
      </c>
      <c r="E46" s="53" t="n">
        <f aca="false">E42+E43+E44+E45</f>
        <v>345979.32588</v>
      </c>
      <c r="F46" s="53" t="n">
        <f aca="false">F42+F43+F44+F45</f>
        <v>579202.8173802</v>
      </c>
      <c r="G46" s="53" t="n">
        <f aca="false">G42+G43+G44+G45</f>
        <v>913112.576338509</v>
      </c>
      <c r="H46" s="53" t="n">
        <f aca="false">H42+H43+H44+H45</f>
        <v>1255808.2338825</v>
      </c>
      <c r="I46" s="53" t="n">
        <f aca="false">I42+I43+I44+I45</f>
        <v>1580983.94394917</v>
      </c>
      <c r="J46" s="53" t="n">
        <f aca="false">J42+J43+J44+J45</f>
        <v>1905773.785034</v>
      </c>
      <c r="K46" s="53" t="n">
        <f aca="false">K42+K43+K44+K45</f>
        <v>2235442.69410399</v>
      </c>
      <c r="L46" s="53" t="n">
        <f aca="false">L42+L43+L44+L45</f>
        <v>2571827.77355825</v>
      </c>
      <c r="M46" s="53" t="n">
        <f aca="false">M42+M43+M44+M45</f>
        <v>2916164.41037666</v>
      </c>
      <c r="N46" s="53" t="n">
        <f aca="false">N42+N43+N44+N45</f>
        <v>3269535.98631484</v>
      </c>
      <c r="O46" s="53" t="n">
        <f aca="false">O42+O43+O44+O45</f>
        <v>3632987.45443858</v>
      </c>
      <c r="P46" s="53" t="n">
        <f aca="false">P42+P43+P44+P45</f>
        <v>4007554.24588769</v>
      </c>
      <c r="Q46" s="53" t="n">
        <f aca="false">Q42+Q43+Q44+Q45</f>
        <v>4394272.7494608</v>
      </c>
      <c r="R46" s="53" t="n">
        <f aca="false">R42+R43+R44+R45</f>
        <v>4794187.23133022</v>
      </c>
      <c r="S46" s="53" t="n">
        <f aca="false">S42+S43+S44+S45</f>
        <v>5208356.53400309</v>
      </c>
      <c r="T46" s="53" t="n">
        <f aca="false">T42+T43+T44+T45</f>
        <v>5637861.20382569</v>
      </c>
      <c r="U46" s="53" t="n">
        <f aca="false">U42+U43+U44+U45</f>
        <v>6082029.8689994</v>
      </c>
      <c r="V46" s="53" t="n">
        <f aca="false">V42+V43+V44+V45</f>
        <v>6540490.52239574</v>
      </c>
      <c r="W46" s="53" t="n">
        <f aca="false">W42+W43+W44+W45</f>
        <v>7013360.05858574</v>
      </c>
      <c r="X46" s="53" t="n">
        <f aca="false">X42+X43+X44+X45</f>
        <v>7500781.86620634</v>
      </c>
      <c r="Y46" s="53" t="n">
        <f aca="false">Y42+Y43+Y44+Y45</f>
        <v>8002928.47515168</v>
      </c>
      <c r="Z46" s="53" t="n">
        <f aca="false">Z42+Z43+Z44+Z45</f>
        <v>8520021.45502734</v>
      </c>
      <c r="AA46" s="53" t="n">
        <f aca="false">AA42+AA43+AA44+AA45</f>
        <v>9052341.68147717</v>
      </c>
      <c r="AB46" s="53" t="n">
        <f aca="false">AB42+AB43+AB44+AB45</f>
        <v>9583954.33551793</v>
      </c>
      <c r="AC46" s="53" t="n">
        <f aca="false">AC42+AC43+AC44+AC45</f>
        <v>10072085.8331771</v>
      </c>
      <c r="AD46" s="53" t="n">
        <f aca="false">AD42+AD43+AD44+AD45</f>
        <v>10533925.8127315</v>
      </c>
      <c r="AE46" s="53" t="n">
        <f aca="false">AE42+AE43+AE44+AE45</f>
        <v>10976919.4991625</v>
      </c>
      <c r="AF46" s="53" t="n">
        <f aca="false">AF42+AF43+AF44+AF45</f>
        <v>11403851.8438331</v>
      </c>
      <c r="AG46" s="53" t="n">
        <f aca="false">AG42+AG43+AG44+AG45</f>
        <v>11816831.6528768</v>
      </c>
      <c r="AH46" s="53" t="n">
        <f aca="false">AH42+AH43+AH44+AH45</f>
        <v>12217876.6443615</v>
      </c>
      <c r="AI46" s="53" t="n">
        <f aca="false">AI42+AI43+AI44+AI45</f>
        <v>12609014.998946</v>
      </c>
      <c r="AJ46" s="53" t="n">
        <f aca="false">AJ42+AJ43+AJ44+AJ45</f>
        <v>12992314.8469715</v>
      </c>
      <c r="AK46" s="53" t="n">
        <f aca="false">AK42+AK43+AK44+AK45</f>
        <v>13369903.7895162</v>
      </c>
      <c r="AL46" s="53" t="n">
        <f aca="false">AL42+AL43+AL44+AL45</f>
        <v>13743987.9775564</v>
      </c>
      <c r="AM46" s="53" t="n">
        <f aca="false">SUM(C46:AL46)</f>
        <v>227455312.944258</v>
      </c>
    </row>
    <row r="47" customFormat="false" ht="15" hidden="false" customHeight="false" outlineLevel="0" collapsed="false">
      <c r="A47" s="10" t="s">
        <v>768</v>
      </c>
      <c r="B47" s="9" t="s">
        <v>61</v>
      </c>
      <c r="C47" s="62" t="n">
        <f aca="false">IFERROR(C46/C42,0)</f>
        <v>0</v>
      </c>
      <c r="D47" s="62" t="n">
        <f aca="false">IFERROR(D46/D42,0)</f>
        <v>0.672525934188511</v>
      </c>
      <c r="E47" s="62" t="n">
        <f aca="false">IFERROR(E46/E42,0)</f>
        <v>0.672525934188511</v>
      </c>
      <c r="F47" s="62" t="n">
        <f aca="false">IFERROR(F46/F42,0)</f>
        <v>0.672525934188511</v>
      </c>
      <c r="G47" s="62" t="n">
        <f aca="false">IFERROR(G46/G42,0)</f>
        <v>0.672525934188511</v>
      </c>
      <c r="H47" s="62" t="n">
        <f aca="false">IFERROR(H46/H42,0)</f>
        <v>0.672525934188511</v>
      </c>
      <c r="I47" s="62" t="n">
        <f aca="false">IFERROR(I46/I42,0)</f>
        <v>0.672525934188511</v>
      </c>
      <c r="J47" s="62" t="n">
        <f aca="false">IFERROR(J46/J42,0)</f>
        <v>0.672525934188511</v>
      </c>
      <c r="K47" s="62" t="n">
        <f aca="false">IFERROR(K46/K42,0)</f>
        <v>0.672525934188511</v>
      </c>
      <c r="L47" s="62" t="n">
        <f aca="false">IFERROR(L46/L42,0)</f>
        <v>0.672525934188511</v>
      </c>
      <c r="M47" s="62" t="n">
        <f aca="false">IFERROR(M46/M42,0)</f>
        <v>0.672525934188511</v>
      </c>
      <c r="N47" s="62" t="n">
        <f aca="false">IFERROR(N46/N42,0)</f>
        <v>0.672525934188511</v>
      </c>
      <c r="O47" s="62" t="n">
        <f aca="false">IFERROR(O46/O42,0)</f>
        <v>0.672525934188511</v>
      </c>
      <c r="P47" s="62" t="n">
        <f aca="false">IFERROR(P46/P42,0)</f>
        <v>0.672525934188511</v>
      </c>
      <c r="Q47" s="62" t="n">
        <f aca="false">IFERROR(Q46/Q42,0)</f>
        <v>0.672525934188511</v>
      </c>
      <c r="R47" s="62" t="n">
        <f aca="false">IFERROR(R46/R42,0)</f>
        <v>0.672525934188511</v>
      </c>
      <c r="S47" s="62" t="n">
        <f aca="false">IFERROR(S46/S42,0)</f>
        <v>0.672525934188511</v>
      </c>
      <c r="T47" s="62" t="n">
        <f aca="false">IFERROR(T46/T42,0)</f>
        <v>0.672525934188511</v>
      </c>
      <c r="U47" s="62" t="n">
        <f aca="false">IFERROR(U46/U42,0)</f>
        <v>0.672525934188511</v>
      </c>
      <c r="V47" s="62" t="n">
        <f aca="false">IFERROR(V46/V42,0)</f>
        <v>0.672525934188511</v>
      </c>
      <c r="W47" s="62" t="n">
        <f aca="false">IFERROR(W46/W42,0)</f>
        <v>0.672525934188511</v>
      </c>
      <c r="X47" s="62" t="n">
        <f aca="false">IFERROR(X46/X42,0)</f>
        <v>0.672525934188511</v>
      </c>
      <c r="Y47" s="62" t="n">
        <f aca="false">IFERROR(Y46/Y42,0)</f>
        <v>0.672525934188511</v>
      </c>
      <c r="Z47" s="62" t="n">
        <f aca="false">IFERROR(Z46/Z42,0)</f>
        <v>0.672525934188511</v>
      </c>
      <c r="AA47" s="62" t="n">
        <f aca="false">IFERROR(AA46/AA42,0)</f>
        <v>0.672525934188511</v>
      </c>
      <c r="AB47" s="62" t="n">
        <f aca="false">IFERROR(AB46/AB42,0)</f>
        <v>0.672525934188511</v>
      </c>
      <c r="AC47" s="62" t="n">
        <f aca="false">IFERROR(AC46/AC42,0)</f>
        <v>0.672525934188511</v>
      </c>
      <c r="AD47" s="62" t="n">
        <f aca="false">IFERROR(AD46/AD42,0)</f>
        <v>0.672525934188511</v>
      </c>
      <c r="AE47" s="62" t="n">
        <f aca="false">IFERROR(AE46/AE42,0)</f>
        <v>0.672525934188511</v>
      </c>
      <c r="AF47" s="62" t="n">
        <f aca="false">IFERROR(AF46/AF42,0)</f>
        <v>0.672525934188511</v>
      </c>
      <c r="AG47" s="62" t="n">
        <f aca="false">IFERROR(AG46/AG42,0)</f>
        <v>0.672525934188511</v>
      </c>
      <c r="AH47" s="62" t="n">
        <f aca="false">IFERROR(AH46/AH42,0)</f>
        <v>0.672525934188511</v>
      </c>
      <c r="AI47" s="62" t="n">
        <f aca="false">IFERROR(AI46/AI42,0)</f>
        <v>0.672525934188511</v>
      </c>
      <c r="AJ47" s="62" t="n">
        <f aca="false">IFERROR(AJ46/AJ42,0)</f>
        <v>0.672525934188511</v>
      </c>
      <c r="AK47" s="62" t="n">
        <f aca="false">IFERROR(AK46/AK42,0)</f>
        <v>0.672525934188511</v>
      </c>
      <c r="AL47" s="62" t="n">
        <f aca="false">IFERROR(AL46/AL42,0)</f>
        <v>0.672525934188511</v>
      </c>
      <c r="AM47" s="62" t="n">
        <f aca="false">AVERAGE(N47:AL47)</f>
        <v>0.672525934188511</v>
      </c>
    </row>
    <row r="48" customFormat="false" ht="15" hidden="false" customHeight="false" outlineLevel="0" collapsed="false">
      <c r="A48" s="10" t="s">
        <v>769</v>
      </c>
      <c r="B48" s="9" t="s">
        <v>61</v>
      </c>
      <c r="C48" s="62" t="n">
        <f aca="false">IF(C9=0,0,MIN(Assumptions!$F$63,Assumptions!$F$61+Assumptions!$F$62*(C$5-Assumptions!$F$7)))</f>
        <v>0</v>
      </c>
      <c r="D48" s="62" t="n">
        <f aca="false">IF(D9=0,0,MIN(Assumptions!$F$63,Assumptions!$F$61+Assumptions!$F$62*(D$5-Assumptions!$F$7)))</f>
        <v>0</v>
      </c>
      <c r="E48" s="62" t="n">
        <f aca="false">IF(E9=0,0,MIN(Assumptions!$F$63,Assumptions!$F$61+Assumptions!$F$62*(E$5-Assumptions!$F$7)))</f>
        <v>0</v>
      </c>
      <c r="F48" s="62" t="n">
        <f aca="false">IF(F9=0,0,MIN(Assumptions!$F$63,Assumptions!$F$61+Assumptions!$F$62*(F$5-Assumptions!$F$7)))</f>
        <v>0</v>
      </c>
      <c r="G48" s="62" t="n">
        <f aca="false">IF(G9=0,0,MIN(Assumptions!$F$63,Assumptions!$F$61+Assumptions!$F$62*(G$5-Assumptions!$F$7)))</f>
        <v>0.45</v>
      </c>
      <c r="H48" s="62" t="n">
        <f aca="false">IF(H9=0,0,MIN(Assumptions!$F$63,Assumptions!$F$61+Assumptions!$F$62*(H$5-Assumptions!$F$7)))</f>
        <v>0.485</v>
      </c>
      <c r="I48" s="62" t="n">
        <f aca="false">IF(I9=0,0,MIN(Assumptions!$F$63,Assumptions!$F$61+Assumptions!$F$62*(I$5-Assumptions!$F$7)))</f>
        <v>0.52</v>
      </c>
      <c r="J48" s="62" t="n">
        <f aca="false">IF(J9=0,0,MIN(Assumptions!$F$63,Assumptions!$F$61+Assumptions!$F$62*(J$5-Assumptions!$F$7)))</f>
        <v>0.555</v>
      </c>
      <c r="K48" s="62" t="n">
        <f aca="false">IF(K9=0,0,MIN(Assumptions!$F$63,Assumptions!$F$61+Assumptions!$F$62*(K$5-Assumptions!$F$7)))</f>
        <v>0.59</v>
      </c>
      <c r="L48" s="62" t="n">
        <f aca="false">IF(L9=0,0,MIN(Assumptions!$F$63,Assumptions!$F$61+Assumptions!$F$62*(L$5-Assumptions!$F$7)))</f>
        <v>0.625</v>
      </c>
      <c r="M48" s="62" t="n">
        <f aca="false">IF(M9=0,0,MIN(Assumptions!$F$63,Assumptions!$F$61+Assumptions!$F$62*(M$5-Assumptions!$F$7)))</f>
        <v>0.66</v>
      </c>
      <c r="N48" s="62" t="n">
        <f aca="false">IF(N9=0,0,MIN(Assumptions!$F$63,Assumptions!$F$61+Assumptions!$F$62*(N$5-Assumptions!$F$7)))</f>
        <v>0.695</v>
      </c>
      <c r="O48" s="62" t="n">
        <f aca="false">IF(O9=0,0,MIN(Assumptions!$F$63,Assumptions!$F$61+Assumptions!$F$62*(O$5-Assumptions!$F$7)))</f>
        <v>0.73</v>
      </c>
      <c r="P48" s="62" t="n">
        <f aca="false">IF(P9=0,0,MIN(Assumptions!$F$63,Assumptions!$F$61+Assumptions!$F$62*(P$5-Assumptions!$F$7)))</f>
        <v>0.765</v>
      </c>
      <c r="Q48" s="62" t="n">
        <f aca="false">IF(Q9=0,0,MIN(Assumptions!$F$63,Assumptions!$F$61+Assumptions!$F$62*(Q$5-Assumptions!$F$7)))</f>
        <v>0.8</v>
      </c>
      <c r="R48" s="62" t="n">
        <f aca="false">IF(R9=0,0,MIN(Assumptions!$F$63,Assumptions!$F$61+Assumptions!$F$62*(R$5-Assumptions!$F$7)))</f>
        <v>0.835</v>
      </c>
      <c r="S48" s="62" t="n">
        <f aca="false">IF(S9=0,0,MIN(Assumptions!$F$63,Assumptions!$F$61+Assumptions!$F$62*(S$5-Assumptions!$F$7)))</f>
        <v>0.87</v>
      </c>
      <c r="T48" s="62" t="n">
        <f aca="false">IF(T9=0,0,MIN(Assumptions!$F$63,Assumptions!$F$61+Assumptions!$F$62*(T$5-Assumptions!$F$7)))</f>
        <v>0.88</v>
      </c>
      <c r="U48" s="62" t="n">
        <f aca="false">IF(U9=0,0,MIN(Assumptions!$F$63,Assumptions!$F$61+Assumptions!$F$62*(U$5-Assumptions!$F$7)))</f>
        <v>0.88</v>
      </c>
      <c r="V48" s="62" t="n">
        <f aca="false">IF(V9=0,0,MIN(Assumptions!$F$63,Assumptions!$F$61+Assumptions!$F$62*(V$5-Assumptions!$F$7)))</f>
        <v>0.88</v>
      </c>
      <c r="W48" s="62" t="n">
        <f aca="false">IF(W9=0,0,MIN(Assumptions!$F$63,Assumptions!$F$61+Assumptions!$F$62*(W$5-Assumptions!$F$7)))</f>
        <v>0.88</v>
      </c>
      <c r="X48" s="62" t="n">
        <f aca="false">IF(X9=0,0,MIN(Assumptions!$F$63,Assumptions!$F$61+Assumptions!$F$62*(X$5-Assumptions!$F$7)))</f>
        <v>0.88</v>
      </c>
      <c r="Y48" s="62" t="n">
        <f aca="false">IF(Y9=0,0,MIN(Assumptions!$F$63,Assumptions!$F$61+Assumptions!$F$62*(Y$5-Assumptions!$F$7)))</f>
        <v>0.88</v>
      </c>
      <c r="Z48" s="62" t="n">
        <f aca="false">IF(Z9=0,0,MIN(Assumptions!$F$63,Assumptions!$F$61+Assumptions!$F$62*(Z$5-Assumptions!$F$7)))</f>
        <v>0.88</v>
      </c>
      <c r="AA48" s="62" t="n">
        <f aca="false">IF(AA9=0,0,MIN(Assumptions!$F$63,Assumptions!$F$61+Assumptions!$F$62*(AA$5-Assumptions!$F$7)))</f>
        <v>0.88</v>
      </c>
      <c r="AB48" s="62" t="n">
        <f aca="false">IF(AB9=0,0,MIN(Assumptions!$F$63,Assumptions!$F$61+Assumptions!$F$62*(AB$5-Assumptions!$F$7)))</f>
        <v>0.88</v>
      </c>
      <c r="AC48" s="62" t="n">
        <f aca="false">IF(AC9=0,0,MIN(Assumptions!$F$63,Assumptions!$F$61+Assumptions!$F$62*(AC$5-Assumptions!$F$7)))</f>
        <v>0.88</v>
      </c>
      <c r="AD48" s="62" t="n">
        <f aca="false">IF(AD9=0,0,MIN(Assumptions!$F$63,Assumptions!$F$61+Assumptions!$F$62*(AD$5-Assumptions!$F$7)))</f>
        <v>0.88</v>
      </c>
      <c r="AE48" s="62" t="n">
        <f aca="false">IF(AE9=0,0,MIN(Assumptions!$F$63,Assumptions!$F$61+Assumptions!$F$62*(AE$5-Assumptions!$F$7)))</f>
        <v>0.88</v>
      </c>
      <c r="AF48" s="62" t="n">
        <f aca="false">IF(AF9=0,0,MIN(Assumptions!$F$63,Assumptions!$F$61+Assumptions!$F$62*(AF$5-Assumptions!$F$7)))</f>
        <v>0.88</v>
      </c>
      <c r="AG48" s="62" t="n">
        <f aca="false">IF(AG9=0,0,MIN(Assumptions!$F$63,Assumptions!$F$61+Assumptions!$F$62*(AG$5-Assumptions!$F$7)))</f>
        <v>0.88</v>
      </c>
      <c r="AH48" s="62" t="n">
        <f aca="false">IF(AH9=0,0,MIN(Assumptions!$F$63,Assumptions!$F$61+Assumptions!$F$62*(AH$5-Assumptions!$F$7)))</f>
        <v>0.88</v>
      </c>
      <c r="AI48" s="62" t="n">
        <f aca="false">IF(AI9=0,0,MIN(Assumptions!$F$63,Assumptions!$F$61+Assumptions!$F$62*(AI$5-Assumptions!$F$7)))</f>
        <v>0.88</v>
      </c>
      <c r="AJ48" s="62" t="n">
        <f aca="false">IF(AJ9=0,0,MIN(Assumptions!$F$63,Assumptions!$F$61+Assumptions!$F$62*(AJ$5-Assumptions!$F$7)))</f>
        <v>0.88</v>
      </c>
      <c r="AK48" s="62" t="n">
        <f aca="false">IF(AK9=0,0,MIN(Assumptions!$F$63,Assumptions!$F$61+Assumptions!$F$62*(AK$5-Assumptions!$F$7)))</f>
        <v>0.88</v>
      </c>
      <c r="AL48" s="62" t="n">
        <f aca="false">IF(AL9=0,0,MIN(Assumptions!$F$63,Assumptions!$F$61+Assumptions!$F$62*(AL$5-Assumptions!$F$7)))</f>
        <v>0.88</v>
      </c>
      <c r="AM48" s="62" t="n">
        <f aca="false">AL48</f>
        <v>0.88</v>
      </c>
    </row>
    <row r="49" customFormat="false" ht="15" hidden="false" customHeight="false" outlineLevel="0" collapsed="false">
      <c r="A49" s="10" t="s">
        <v>770</v>
      </c>
      <c r="B49" s="9" t="s">
        <v>84</v>
      </c>
      <c r="C49" s="61" t="n">
        <f aca="false">C15+C19+C23+(C13+C25)*Assumptions!$F$45</f>
        <v>14098.4713081849</v>
      </c>
      <c r="D49" s="61" t="n">
        <f aca="false">D15+D19+D23+(D13+D25)*Assumptions!$F$45</f>
        <v>468850.944736842</v>
      </c>
      <c r="E49" s="61" t="n">
        <f aca="false">E15+E19+E23+(E13+E25)*Assumptions!$F$45</f>
        <v>193070.1056</v>
      </c>
      <c r="F49" s="61" t="n">
        <f aca="false">F15+F19+F23+(F13+F25)*Assumptions!$F$45</f>
        <v>217633.2663752</v>
      </c>
      <c r="G49" s="61" t="n">
        <f aca="false">G15+G19+G23+(G13+G25)*Assumptions!$F$45</f>
        <v>264875.270263376</v>
      </c>
      <c r="H49" s="61" t="n">
        <f aca="false">H15+H19+H23+(H13+H25)*Assumptions!$F$45</f>
        <v>330353.927697755</v>
      </c>
      <c r="I49" s="61" t="n">
        <f aca="false">I15+I19+I23+(I13+I25)*Assumptions!$F$45</f>
        <v>374876.637905404</v>
      </c>
      <c r="J49" s="61" t="n">
        <f aca="false">J15+J19+J23+(J13+J25)*Assumptions!$F$45</f>
        <v>412496.928275767</v>
      </c>
      <c r="K49" s="61" t="n">
        <f aca="false">K15+K19+K23+(K13+K25)*Assumptions!$F$45</f>
        <v>448430.602627763</v>
      </c>
      <c r="L49" s="61" t="n">
        <f aca="false">L15+L19+L23+(L13+L25)*Assumptions!$F$45</f>
        <v>484512.359608299</v>
      </c>
      <c r="M49" s="61" t="n">
        <f aca="false">M15+M19+M23+(M13+M25)*Assumptions!$F$45</f>
        <v>521460.18522967</v>
      </c>
      <c r="N49" s="61" t="n">
        <f aca="false">N15+N19+N23+(N13+N25)*Assumptions!$F$45</f>
        <v>559640.246491498</v>
      </c>
      <c r="O49" s="61" t="n">
        <f aca="false">O15+O19+O23+(O13+O25)*Assumptions!$F$45</f>
        <v>599288.260380402</v>
      </c>
      <c r="P49" s="61" t="n">
        <f aca="false">P15+P19+P23+(P13+P25)*Assumptions!$F$45</f>
        <v>640583.121144231</v>
      </c>
      <c r="Q49" s="61" t="n">
        <f aca="false">Q15+Q19+Q23+(Q13+Q25)*Assumptions!$F$45</f>
        <v>683676.799785997</v>
      </c>
      <c r="R49" s="61" t="n">
        <f aca="false">R15+R19+R23+(R13+R25)*Assumptions!$F$45</f>
        <v>728708.965781453</v>
      </c>
      <c r="S49" s="61" t="n">
        <f aca="false">S15+S19+S23+(S13+S25)*Assumptions!$F$45</f>
        <v>775815.261527282</v>
      </c>
      <c r="T49" s="61" t="n">
        <f aca="false">T15+T19+T23+(T13+T25)*Assumptions!$F$45</f>
        <v>825132.533089842</v>
      </c>
      <c r="U49" s="61" t="n">
        <f aca="false">U15+U19+U23+(U13+U25)*Assumptions!$F$45</f>
        <v>875648.41242464</v>
      </c>
      <c r="V49" s="61" t="n">
        <f aca="false">V15+V19+V23+(V13+V25)*Assumptions!$F$45</f>
        <v>927064.287762624</v>
      </c>
      <c r="W49" s="61" t="n">
        <f aca="false">W15+W19+W23+(W13+W25)*Assumptions!$F$45</f>
        <v>979523.013648042</v>
      </c>
      <c r="X49" s="61" t="n">
        <f aca="false">X15+X19+X23+(X13+X25)*Assumptions!$F$45</f>
        <v>1033120.74794259</v>
      </c>
      <c r="Y49" s="61" t="n">
        <f aca="false">Y15+Y19+Y23+(Y13+Y25)*Assumptions!$F$45</f>
        <v>1087944.53407705</v>
      </c>
      <c r="Z49" s="61" t="n">
        <f aca="false">Z15+Z19+Z23+(Z13+Z25)*Assumptions!$F$45</f>
        <v>1144088.48292483</v>
      </c>
      <c r="AA49" s="61" t="n">
        <f aca="false">AA15+AA19+AA23+(AA13+AA25)*Assumptions!$F$45</f>
        <v>1201658.51936141</v>
      </c>
      <c r="AB49" s="61" t="n">
        <f aca="false">AB15+AB19+AB23+(AB13+AB25)*Assumptions!$F$45</f>
        <v>1250224.47571473</v>
      </c>
      <c r="AC49" s="61" t="n">
        <f aca="false">AC15+AC19+AC23+(AC13+AC25)*Assumptions!$F$45</f>
        <v>1266837.66914913</v>
      </c>
      <c r="AD49" s="61" t="n">
        <f aca="false">AD15+AD19+AD23+(AD13+AD25)*Assumptions!$F$45</f>
        <v>1277510.04364412</v>
      </c>
      <c r="AE49" s="61" t="n">
        <f aca="false">AE15+AE19+AE23+(AE13+AE25)*Assumptions!$F$45</f>
        <v>1288394.88018561</v>
      </c>
      <c r="AF49" s="61" t="n">
        <f aca="false">AF15+AF19+AF23+(AF13+AF25)*Assumptions!$F$45</f>
        <v>1300533.55229862</v>
      </c>
      <c r="AG49" s="61" t="n">
        <f aca="false">AG15+AG19+AG23+(AG13+AG25)*Assumptions!$F$45</f>
        <v>1314214.18480642</v>
      </c>
      <c r="AH49" s="61" t="n">
        <f aca="false">AH15+AH19+AH23+(AH13+AH25)*Assumptions!$F$45</f>
        <v>1329629.41488993</v>
      </c>
      <c r="AI49" s="61" t="n">
        <f aca="false">AI15+AI19+AI23+(AI13+AI25)*Assumptions!$F$45</f>
        <v>1346977.24026168</v>
      </c>
      <c r="AJ49" s="61" t="n">
        <f aca="false">AJ15+AJ19+AJ23+(AJ13+AJ25)*Assumptions!$F$45</f>
        <v>1366478.30571883</v>
      </c>
      <c r="AK49" s="61" t="n">
        <f aca="false">AK15+AK19+AK23+(AK13+AK25)*Assumptions!$F$45</f>
        <v>1388380.90143187</v>
      </c>
      <c r="AL49" s="61" t="n">
        <f aca="false">AL15+AL19+AL23+(AL13+AL25)*Assumptions!$F$45</f>
        <v>1412964.4293951</v>
      </c>
      <c r="AM49" s="61" t="n">
        <f aca="false">SUM(C49:AL49)</f>
        <v>30334696.9834662</v>
      </c>
    </row>
    <row r="50" customFormat="false" ht="15" hidden="false" customHeight="false" outlineLevel="0" collapsed="false">
      <c r="A50" s="10" t="s">
        <v>771</v>
      </c>
      <c r="B50" s="9" t="s">
        <v>51</v>
      </c>
      <c r="C50" s="61" t="n">
        <f aca="false">C49*Assumptions!$F$58*C9</f>
        <v>0</v>
      </c>
      <c r="D50" s="61" t="n">
        <f aca="false">D49*Assumptions!$F$58*D9</f>
        <v>0</v>
      </c>
      <c r="E50" s="61" t="n">
        <f aca="false">E49*Assumptions!$F$58*E9</f>
        <v>0</v>
      </c>
      <c r="F50" s="61" t="n">
        <f aca="false">F49*Assumptions!$F$58*F9</f>
        <v>0</v>
      </c>
      <c r="G50" s="61" t="n">
        <f aca="false">G49*Assumptions!$F$58*G9</f>
        <v>6621.8817565844</v>
      </c>
      <c r="H50" s="61" t="n">
        <f aca="false">H49*Assumptions!$F$58*H9</f>
        <v>8258.84819244388</v>
      </c>
      <c r="I50" s="61" t="n">
        <f aca="false">I49*Assumptions!$F$58*I9</f>
        <v>9371.9159476351</v>
      </c>
      <c r="J50" s="61" t="n">
        <f aca="false">J49*Assumptions!$F$58*J9</f>
        <v>10312.4232068942</v>
      </c>
      <c r="K50" s="61" t="n">
        <f aca="false">K49*Assumptions!$F$58*K9</f>
        <v>11210.7650656941</v>
      </c>
      <c r="L50" s="61" t="n">
        <f aca="false">L49*Assumptions!$F$58*L9</f>
        <v>12112.8089902075</v>
      </c>
      <c r="M50" s="61" t="n">
        <f aca="false">M49*Assumptions!$F$58*M9</f>
        <v>13036.5046307417</v>
      </c>
      <c r="N50" s="61" t="n">
        <f aca="false">N49*Assumptions!$F$58*N9</f>
        <v>13991.0061622875</v>
      </c>
      <c r="O50" s="61" t="n">
        <f aca="false">O49*Assumptions!$F$58*O9</f>
        <v>14982.2065095101</v>
      </c>
      <c r="P50" s="61" t="n">
        <f aca="false">P49*Assumptions!$F$58*P9</f>
        <v>16014.5780286058</v>
      </c>
      <c r="Q50" s="61" t="n">
        <f aca="false">Q49*Assumptions!$F$58*Q9</f>
        <v>17091.9199946499</v>
      </c>
      <c r="R50" s="61" t="n">
        <f aca="false">R49*Assumptions!$F$58*R9</f>
        <v>18217.7241445363</v>
      </c>
      <c r="S50" s="61" t="n">
        <f aca="false">S49*Assumptions!$F$58*S9</f>
        <v>19395.381538182</v>
      </c>
      <c r="T50" s="61" t="n">
        <f aca="false">T49*Assumptions!$F$58*T9</f>
        <v>20628.313327246</v>
      </c>
      <c r="U50" s="61" t="n">
        <f aca="false">U49*Assumptions!$F$58*U9</f>
        <v>21891.210310616</v>
      </c>
      <c r="V50" s="61" t="n">
        <f aca="false">V49*Assumptions!$F$58*V9</f>
        <v>23176.6071940656</v>
      </c>
      <c r="W50" s="61" t="n">
        <f aca="false">W49*Assumptions!$F$58*W9</f>
        <v>24488.075341201</v>
      </c>
      <c r="X50" s="61" t="n">
        <f aca="false">X49*Assumptions!$F$58*X9</f>
        <v>25828.0186985648</v>
      </c>
      <c r="Y50" s="61" t="n">
        <f aca="false">Y49*Assumptions!$F$58*Y9</f>
        <v>27198.6133519263</v>
      </c>
      <c r="Z50" s="61" t="n">
        <f aca="false">Z49*Assumptions!$F$58*Z9</f>
        <v>28602.2120731207</v>
      </c>
      <c r="AA50" s="61" t="n">
        <f aca="false">AA49*Assumptions!$F$58*AA9</f>
        <v>30041.4629840352</v>
      </c>
      <c r="AB50" s="61" t="n">
        <f aca="false">AB49*Assumptions!$F$58*AB9</f>
        <v>31255.6118928682</v>
      </c>
      <c r="AC50" s="61" t="n">
        <f aca="false">AC49*Assumptions!$F$58*AC9</f>
        <v>31670.9417287283</v>
      </c>
      <c r="AD50" s="61" t="n">
        <f aca="false">AD49*Assumptions!$F$58*AD9</f>
        <v>31937.7510911031</v>
      </c>
      <c r="AE50" s="61" t="n">
        <f aca="false">AE49*Assumptions!$F$58*AE9</f>
        <v>32209.8720046403</v>
      </c>
      <c r="AF50" s="61" t="n">
        <f aca="false">AF49*Assumptions!$F$58*AF9</f>
        <v>32513.3388074655</v>
      </c>
      <c r="AG50" s="61" t="n">
        <f aca="false">AG49*Assumptions!$F$58*AG9</f>
        <v>32855.3546201606</v>
      </c>
      <c r="AH50" s="61" t="n">
        <f aca="false">AH49*Assumptions!$F$58*AH9</f>
        <v>33240.7353722482</v>
      </c>
      <c r="AI50" s="61" t="n">
        <f aca="false">AI49*Assumptions!$F$58*AI9</f>
        <v>33674.4310065419</v>
      </c>
      <c r="AJ50" s="61" t="n">
        <f aca="false">AJ49*Assumptions!$F$58*AJ9</f>
        <v>34161.9576429707</v>
      </c>
      <c r="AK50" s="61" t="n">
        <f aca="false">AK49*Assumptions!$F$58*AK9</f>
        <v>34709.5225357968</v>
      </c>
      <c r="AL50" s="61" t="n">
        <f aca="false">AL49*Assumptions!$F$58*AL9</f>
        <v>35324.1107348775</v>
      </c>
      <c r="AM50" s="61" t="n">
        <f aca="false">SUM(C50:AL50)</f>
        <v>736026.104886149</v>
      </c>
    </row>
    <row r="51" customFormat="false" ht="15" hidden="false" customHeight="false" outlineLevel="0" collapsed="false">
      <c r="A51" s="10" t="s">
        <v>772</v>
      </c>
      <c r="B51" s="9" t="s">
        <v>51</v>
      </c>
      <c r="C51" s="61" t="n">
        <f aca="false">C50*Assumptions!$F$59</f>
        <v>0</v>
      </c>
      <c r="D51" s="61" t="n">
        <f aca="false">D50*Assumptions!$F$59</f>
        <v>0</v>
      </c>
      <c r="E51" s="61" t="n">
        <f aca="false">E50*Assumptions!$F$59</f>
        <v>0</v>
      </c>
      <c r="F51" s="61" t="n">
        <f aca="false">F50*Assumptions!$F$59</f>
        <v>0</v>
      </c>
      <c r="G51" s="61" t="n">
        <f aca="false">G50*Assumptions!$F$59</f>
        <v>5032.63013500414</v>
      </c>
      <c r="H51" s="61" t="n">
        <f aca="false">H50*Assumptions!$F$59</f>
        <v>6276.72462625735</v>
      </c>
      <c r="I51" s="61" t="n">
        <f aca="false">I50*Assumptions!$F$59</f>
        <v>7122.65612020268</v>
      </c>
      <c r="J51" s="61" t="n">
        <f aca="false">J50*Assumptions!$F$59</f>
        <v>7837.44163723957</v>
      </c>
      <c r="K51" s="61" t="n">
        <f aca="false">K50*Assumptions!$F$59</f>
        <v>8520.18144992749</v>
      </c>
      <c r="L51" s="61" t="n">
        <f aca="false">L50*Assumptions!$F$59</f>
        <v>9205.73483255768</v>
      </c>
      <c r="M51" s="61" t="n">
        <f aca="false">M50*Assumptions!$F$59</f>
        <v>9907.74351936373</v>
      </c>
      <c r="N51" s="61" t="n">
        <f aca="false">N50*Assumptions!$F$59</f>
        <v>10633.1646833385</v>
      </c>
      <c r="O51" s="61" t="n">
        <f aca="false">O50*Assumptions!$F$59</f>
        <v>11386.4769472276</v>
      </c>
      <c r="P51" s="61" t="n">
        <f aca="false">P50*Assumptions!$F$59</f>
        <v>12171.0793017404</v>
      </c>
      <c r="Q51" s="61" t="n">
        <f aca="false">Q50*Assumptions!$F$59</f>
        <v>12989.8591959339</v>
      </c>
      <c r="R51" s="61" t="n">
        <f aca="false">R50*Assumptions!$F$59</f>
        <v>13845.4703498476</v>
      </c>
      <c r="S51" s="61" t="n">
        <f aca="false">S50*Assumptions!$F$59</f>
        <v>14740.4899690184</v>
      </c>
      <c r="T51" s="61" t="n">
        <f aca="false">T50*Assumptions!$F$59</f>
        <v>15677.518128707</v>
      </c>
      <c r="U51" s="61" t="n">
        <f aca="false">U50*Assumptions!$F$59</f>
        <v>16637.3198360682</v>
      </c>
      <c r="V51" s="61" t="n">
        <f aca="false">V50*Assumptions!$F$59</f>
        <v>17614.2214674899</v>
      </c>
      <c r="W51" s="61" t="n">
        <f aca="false">W50*Assumptions!$F$59</f>
        <v>18610.9372593128</v>
      </c>
      <c r="X51" s="61" t="n">
        <f aca="false">X50*Assumptions!$F$59</f>
        <v>19629.2942109093</v>
      </c>
      <c r="Y51" s="61" t="n">
        <f aca="false">Y50*Assumptions!$F$59</f>
        <v>20670.946147464</v>
      </c>
      <c r="Z51" s="61" t="n">
        <f aca="false">Z50*Assumptions!$F$59</f>
        <v>21737.6811755718</v>
      </c>
      <c r="AA51" s="61" t="n">
        <f aca="false">AA50*Assumptions!$F$59</f>
        <v>22831.5118678667</v>
      </c>
      <c r="AB51" s="61" t="n">
        <f aca="false">AB50*Assumptions!$F$59</f>
        <v>23754.2650385798</v>
      </c>
      <c r="AC51" s="61" t="n">
        <f aca="false">AC50*Assumptions!$F$59</f>
        <v>24069.9157138335</v>
      </c>
      <c r="AD51" s="61" t="n">
        <f aca="false">AD50*Assumptions!$F$59</f>
        <v>24272.6908292383</v>
      </c>
      <c r="AE51" s="61" t="n">
        <f aca="false">AE50*Assumptions!$F$59</f>
        <v>24479.5027235267</v>
      </c>
      <c r="AF51" s="61" t="n">
        <f aca="false">AF50*Assumptions!$F$59</f>
        <v>24710.1374936738</v>
      </c>
      <c r="AG51" s="61" t="n">
        <f aca="false">AG50*Assumptions!$F$59</f>
        <v>24970.069511322</v>
      </c>
      <c r="AH51" s="61" t="n">
        <f aca="false">AH50*Assumptions!$F$59</f>
        <v>25262.9588829086</v>
      </c>
      <c r="AI51" s="61" t="n">
        <f aca="false">AI50*Assumptions!$F$59</f>
        <v>25592.5675649719</v>
      </c>
      <c r="AJ51" s="61" t="n">
        <f aca="false">AJ50*Assumptions!$F$59</f>
        <v>25963.0878086577</v>
      </c>
      <c r="AK51" s="61" t="n">
        <f aca="false">AK50*Assumptions!$F$59</f>
        <v>26379.2371272055</v>
      </c>
      <c r="AL51" s="61" t="n">
        <f aca="false">AL50*Assumptions!$F$59</f>
        <v>26846.3241585069</v>
      </c>
      <c r="AM51" s="61" t="n">
        <f aca="false">SUM(C51:AL51)</f>
        <v>559379.839713473</v>
      </c>
    </row>
    <row r="52" customFormat="false" ht="15" hidden="false" customHeight="false" outlineLevel="0" collapsed="false">
      <c r="A52" s="10" t="s">
        <v>773</v>
      </c>
      <c r="B52" s="9" t="s">
        <v>51</v>
      </c>
      <c r="C52" s="61" t="n">
        <f aca="false">C51*Assumptions!$F$60*C48</f>
        <v>0</v>
      </c>
      <c r="D52" s="61" t="n">
        <f aca="false">D51*Assumptions!$F$60*D48</f>
        <v>0</v>
      </c>
      <c r="E52" s="61" t="n">
        <f aca="false">E51*Assumptions!$F$60*E48</f>
        <v>0</v>
      </c>
      <c r="F52" s="61" t="n">
        <f aca="false">F51*Assumptions!$F$60*F48</f>
        <v>0</v>
      </c>
      <c r="G52" s="61" t="n">
        <f aca="false">G51*Assumptions!$F$60*G48</f>
        <v>1449.39747888119</v>
      </c>
      <c r="H52" s="61" t="n">
        <f aca="false">H51*Assumptions!$F$60*H48</f>
        <v>1948.29532399028</v>
      </c>
      <c r="I52" s="61" t="n">
        <f aca="false">I51*Assumptions!$F$60*I48</f>
        <v>2370.41995680345</v>
      </c>
      <c r="J52" s="61" t="n">
        <f aca="false">J51*Assumptions!$F$60*J48</f>
        <v>2783.8592695475</v>
      </c>
      <c r="K52" s="61" t="n">
        <f aca="false">K51*Assumptions!$F$60*K48</f>
        <v>3217.22051549262</v>
      </c>
      <c r="L52" s="61" t="n">
        <f aca="false">L51*Assumptions!$F$60*L48</f>
        <v>3682.29393302307</v>
      </c>
      <c r="M52" s="61" t="n">
        <f aca="false">M51*Assumptions!$F$60*M48</f>
        <v>4185.03086257924</v>
      </c>
      <c r="N52" s="61" t="n">
        <f aca="false">N51*Assumptions!$F$60*N48</f>
        <v>4729.63165114895</v>
      </c>
      <c r="O52" s="61" t="n">
        <f aca="false">O51*Assumptions!$F$60*O48</f>
        <v>5319.76202974475</v>
      </c>
      <c r="P52" s="61" t="n">
        <f aca="false">P51*Assumptions!$F$60*P48</f>
        <v>5958.9604261321</v>
      </c>
      <c r="Q52" s="61" t="n">
        <f aca="false">Q51*Assumptions!$F$60*Q48</f>
        <v>6650.80790831818</v>
      </c>
      <c r="R52" s="61" t="n">
        <f aca="false">R51*Assumptions!$F$60*R48</f>
        <v>7399.01935495856</v>
      </c>
      <c r="S52" s="61" t="n">
        <f aca="false">S51*Assumptions!$F$60*S48</f>
        <v>8207.50481474942</v>
      </c>
      <c r="T52" s="61" t="n">
        <f aca="false">T51*Assumptions!$F$60*T48</f>
        <v>8829.57821008778</v>
      </c>
      <c r="U52" s="61" t="n">
        <f aca="false">U51*Assumptions!$F$60*U48</f>
        <v>9370.13853167359</v>
      </c>
      <c r="V52" s="61" t="n">
        <f aca="false">V51*Assumptions!$F$60*V48</f>
        <v>9920.32953049029</v>
      </c>
      <c r="W52" s="61" t="n">
        <f aca="false">W51*Assumptions!$F$60*W48</f>
        <v>10481.679864445</v>
      </c>
      <c r="X52" s="61" t="n">
        <f aca="false">X51*Assumptions!$F$60*X48</f>
        <v>11055.2184995841</v>
      </c>
      <c r="Y52" s="61" t="n">
        <f aca="false">Y51*Assumptions!$F$60*Y48</f>
        <v>11641.8768702517</v>
      </c>
      <c r="Z52" s="61" t="n">
        <f aca="false">Z51*Assumptions!$F$60*Z48</f>
        <v>12242.662038082</v>
      </c>
      <c r="AA52" s="61" t="n">
        <f aca="false">AA51*Assumptions!$F$60*AA48</f>
        <v>12858.7074839825</v>
      </c>
      <c r="AB52" s="61" t="n">
        <f aca="false">AB51*Assumptions!$F$60*AB48</f>
        <v>13378.4020697281</v>
      </c>
      <c r="AC52" s="61" t="n">
        <f aca="false">AC51*Assumptions!$F$60*AC48</f>
        <v>13556.176530031</v>
      </c>
      <c r="AD52" s="61" t="n">
        <f aca="false">AD51*Assumptions!$F$60*AD48</f>
        <v>13670.379475027</v>
      </c>
      <c r="AE52" s="61" t="n">
        <f aca="false">AE51*Assumptions!$F$60*AE48</f>
        <v>13786.8559338902</v>
      </c>
      <c r="AF52" s="61" t="n">
        <f aca="false">AF51*Assumptions!$F$60*AF48</f>
        <v>13916.7494364371</v>
      </c>
      <c r="AG52" s="61" t="n">
        <f aca="false">AG51*Assumptions!$F$60*AG48</f>
        <v>14063.1431487766</v>
      </c>
      <c r="AH52" s="61" t="n">
        <f aca="false">AH51*Assumptions!$F$60*AH48</f>
        <v>14228.0984428541</v>
      </c>
      <c r="AI52" s="61" t="n">
        <f aca="false">AI51*Assumptions!$F$60*AI48</f>
        <v>14413.7340525922</v>
      </c>
      <c r="AJ52" s="61" t="n">
        <f aca="false">AJ51*Assumptions!$F$60*AJ48</f>
        <v>14622.411053836</v>
      </c>
      <c r="AK52" s="61" t="n">
        <f aca="false">AK51*Assumptions!$F$60*AK48</f>
        <v>14856.7863500422</v>
      </c>
      <c r="AL52" s="61" t="n">
        <f aca="false">AL51*Assumptions!$F$60*AL48</f>
        <v>15119.8497660711</v>
      </c>
      <c r="AM52" s="61" t="n">
        <f aca="false">SUM(C52:AL52)</f>
        <v>299914.980813252</v>
      </c>
    </row>
    <row r="53" customFormat="false" ht="15" hidden="false" customHeight="false" outlineLevel="0" collapsed="false">
      <c r="A53" s="10" t="s">
        <v>774</v>
      </c>
      <c r="B53" s="9" t="s">
        <v>51</v>
      </c>
      <c r="C53" s="61" t="n">
        <f aca="false">C52*Assumptions!$F$64</f>
        <v>0</v>
      </c>
      <c r="D53" s="61" t="n">
        <f aca="false">D52*Assumptions!$F$64</f>
        <v>0</v>
      </c>
      <c r="E53" s="61" t="n">
        <f aca="false">E52*Assumptions!$F$64</f>
        <v>0</v>
      </c>
      <c r="F53" s="61" t="n">
        <f aca="false">F52*Assumptions!$F$64</f>
        <v>0</v>
      </c>
      <c r="G53" s="61" t="n">
        <f aca="false">G52*Assumptions!$F$64</f>
        <v>898.62643690634</v>
      </c>
      <c r="H53" s="61" t="n">
        <f aca="false">H52*Assumptions!$F$64</f>
        <v>1207.94310087397</v>
      </c>
      <c r="I53" s="61" t="n">
        <f aca="false">I52*Assumptions!$F$64</f>
        <v>1469.66037321814</v>
      </c>
      <c r="J53" s="61" t="n">
        <f aca="false">J52*Assumptions!$F$64</f>
        <v>1725.99274711945</v>
      </c>
      <c r="K53" s="61" t="n">
        <f aca="false">K52*Assumptions!$F$64</f>
        <v>1994.67671960542</v>
      </c>
      <c r="L53" s="61" t="n">
        <f aca="false">L52*Assumptions!$F$64</f>
        <v>2283.0222384743</v>
      </c>
      <c r="M53" s="61" t="n">
        <f aca="false">M52*Assumptions!$F$64</f>
        <v>2594.71913479913</v>
      </c>
      <c r="N53" s="61" t="n">
        <f aca="false">N52*Assumptions!$F$64</f>
        <v>2932.37162371235</v>
      </c>
      <c r="O53" s="61" t="n">
        <f aca="false">O52*Assumptions!$F$64</f>
        <v>3298.25245844175</v>
      </c>
      <c r="P53" s="61" t="n">
        <f aca="false">P52*Assumptions!$F$64</f>
        <v>3694.5554642019</v>
      </c>
      <c r="Q53" s="61" t="n">
        <f aca="false">Q52*Assumptions!$F$64</f>
        <v>4123.50090315727</v>
      </c>
      <c r="R53" s="61" t="n">
        <f aca="false">R52*Assumptions!$F$64</f>
        <v>4587.39200007431</v>
      </c>
      <c r="S53" s="61" t="n">
        <f aca="false">S52*Assumptions!$F$64</f>
        <v>5088.65298514464</v>
      </c>
      <c r="T53" s="61" t="n">
        <f aca="false">T52*Assumptions!$F$64</f>
        <v>5474.33849025442</v>
      </c>
      <c r="U53" s="61" t="n">
        <f aca="false">U52*Assumptions!$F$64</f>
        <v>5809.48588963762</v>
      </c>
      <c r="V53" s="61" t="n">
        <f aca="false">V52*Assumptions!$F$64</f>
        <v>6150.60430890398</v>
      </c>
      <c r="W53" s="61" t="n">
        <f aca="false">W52*Assumptions!$F$64</f>
        <v>6498.64151595588</v>
      </c>
      <c r="X53" s="61" t="n">
        <f aca="false">X52*Assumptions!$F$64</f>
        <v>6854.23546974214</v>
      </c>
      <c r="Y53" s="61" t="n">
        <f aca="false">Y52*Assumptions!$F$64</f>
        <v>7217.96365955606</v>
      </c>
      <c r="Z53" s="61" t="n">
        <f aca="false">Z52*Assumptions!$F$64</f>
        <v>7590.45046361085</v>
      </c>
      <c r="AA53" s="61" t="n">
        <f aca="false">AA52*Assumptions!$F$64</f>
        <v>7972.39864006918</v>
      </c>
      <c r="AB53" s="61" t="n">
        <f aca="false">AB52*Assumptions!$F$64</f>
        <v>8294.60928323145</v>
      </c>
      <c r="AC53" s="61" t="n">
        <f aca="false">AC52*Assumptions!$F$64</f>
        <v>8404.82944861923</v>
      </c>
      <c r="AD53" s="61" t="n">
        <f aca="false">AD52*Assumptions!$F$64</f>
        <v>8475.63527451676</v>
      </c>
      <c r="AE53" s="61" t="n">
        <f aca="false">AE52*Assumptions!$F$64</f>
        <v>8547.85067901193</v>
      </c>
      <c r="AF53" s="61" t="n">
        <f aca="false">AF52*Assumptions!$F$64</f>
        <v>8628.38465059099</v>
      </c>
      <c r="AG53" s="61" t="n">
        <f aca="false">AG52*Assumptions!$F$64</f>
        <v>8719.14875224148</v>
      </c>
      <c r="AH53" s="61" t="n">
        <f aca="false">AH52*Assumptions!$F$64</f>
        <v>8821.42103456956</v>
      </c>
      <c r="AI53" s="61" t="n">
        <f aca="false">AI52*Assumptions!$F$64</f>
        <v>8936.51511260714</v>
      </c>
      <c r="AJ53" s="61" t="n">
        <f aca="false">AJ52*Assumptions!$F$64</f>
        <v>9065.89485337834</v>
      </c>
      <c r="AK53" s="61" t="n">
        <f aca="false">AK52*Assumptions!$F$64</f>
        <v>9211.20753702614</v>
      </c>
      <c r="AL53" s="61" t="n">
        <f aca="false">AL52*Assumptions!$F$64</f>
        <v>9374.30685496407</v>
      </c>
      <c r="AM53" s="61" t="n">
        <f aca="false">SUM(C53:AL53)</f>
        <v>185947.288104216</v>
      </c>
    </row>
    <row r="54" customFormat="false" ht="15" hidden="false" customHeight="false" outlineLevel="0" collapsed="false">
      <c r="A54" s="10" t="s">
        <v>775</v>
      </c>
      <c r="B54" s="9" t="s">
        <v>51</v>
      </c>
      <c r="C54" s="61" t="n">
        <f aca="false">C53*Assumptions!$F$65</f>
        <v>0</v>
      </c>
      <c r="D54" s="61" t="n">
        <f aca="false">D53*Assumptions!$F$65</f>
        <v>0</v>
      </c>
      <c r="E54" s="61" t="n">
        <f aca="false">E53*Assumptions!$F$65</f>
        <v>0</v>
      </c>
      <c r="F54" s="61" t="n">
        <f aca="false">F53*Assumptions!$F$65</f>
        <v>0</v>
      </c>
      <c r="G54" s="61" t="n">
        <f aca="false">G53*Assumptions!$F$65</f>
        <v>790.791264477579</v>
      </c>
      <c r="H54" s="61" t="n">
        <f aca="false">H53*Assumptions!$F$65</f>
        <v>1062.9899287691</v>
      </c>
      <c r="I54" s="61" t="n">
        <f aca="false">I53*Assumptions!$F$65</f>
        <v>1293.30112843196</v>
      </c>
      <c r="J54" s="61" t="n">
        <f aca="false">J53*Assumptions!$F$65</f>
        <v>1518.87361746511</v>
      </c>
      <c r="K54" s="61" t="n">
        <f aca="false">K53*Assumptions!$F$65</f>
        <v>1755.31551325277</v>
      </c>
      <c r="L54" s="61" t="n">
        <f aca="false">L53*Assumptions!$F$65</f>
        <v>2009.05956985739</v>
      </c>
      <c r="M54" s="61" t="n">
        <f aca="false">M53*Assumptions!$F$65</f>
        <v>2283.35283862323</v>
      </c>
      <c r="N54" s="61" t="n">
        <f aca="false">N53*Assumptions!$F$65</f>
        <v>2580.48702886687</v>
      </c>
      <c r="O54" s="61" t="n">
        <f aca="false">O53*Assumptions!$F$65</f>
        <v>2902.46216342874</v>
      </c>
      <c r="P54" s="61" t="n">
        <f aca="false">P53*Assumptions!$F$65</f>
        <v>3251.20880849767</v>
      </c>
      <c r="Q54" s="61" t="n">
        <f aca="false">Q53*Assumptions!$F$65</f>
        <v>3628.6807947784</v>
      </c>
      <c r="R54" s="61" t="n">
        <f aca="false">R53*Assumptions!$F$65</f>
        <v>4036.90496006539</v>
      </c>
      <c r="S54" s="61" t="n">
        <f aca="false">S53*Assumptions!$F$65</f>
        <v>4478.01462692729</v>
      </c>
      <c r="T54" s="61" t="n">
        <f aca="false">T53*Assumptions!$F$65</f>
        <v>4817.41787142389</v>
      </c>
      <c r="U54" s="61" t="n">
        <f aca="false">U53*Assumptions!$F$65</f>
        <v>5112.34758288111</v>
      </c>
      <c r="V54" s="61" t="n">
        <f aca="false">V53*Assumptions!$F$65</f>
        <v>5412.5317918355</v>
      </c>
      <c r="W54" s="61" t="n">
        <f aca="false">W53*Assumptions!$F$65</f>
        <v>5718.80453404117</v>
      </c>
      <c r="X54" s="61" t="n">
        <f aca="false">X53*Assumptions!$F$65</f>
        <v>6031.72721337308</v>
      </c>
      <c r="Y54" s="61" t="n">
        <f aca="false">Y53*Assumptions!$F$65</f>
        <v>6351.80802040933</v>
      </c>
      <c r="Z54" s="61" t="n">
        <f aca="false">Z53*Assumptions!$F$65</f>
        <v>6679.59640797754</v>
      </c>
      <c r="AA54" s="61" t="n">
        <f aca="false">AA53*Assumptions!$F$65</f>
        <v>7015.71080326088</v>
      </c>
      <c r="AB54" s="61" t="n">
        <f aca="false">AB53*Assumptions!$F$65</f>
        <v>7299.25616924367</v>
      </c>
      <c r="AC54" s="61" t="n">
        <f aca="false">AC53*Assumptions!$F$65</f>
        <v>7396.24991478492</v>
      </c>
      <c r="AD54" s="61" t="n">
        <f aca="false">AD53*Assumptions!$F$65</f>
        <v>7458.55904157475</v>
      </c>
      <c r="AE54" s="61" t="n">
        <f aca="false">AE53*Assumptions!$F$65</f>
        <v>7522.1085975305</v>
      </c>
      <c r="AF54" s="61" t="n">
        <f aca="false">AF53*Assumptions!$F$65</f>
        <v>7592.97849252007</v>
      </c>
      <c r="AG54" s="61" t="n">
        <f aca="false">AG53*Assumptions!$F$65</f>
        <v>7672.8509019725</v>
      </c>
      <c r="AH54" s="61" t="n">
        <f aca="false">AH53*Assumptions!$F$65</f>
        <v>7762.85051042121</v>
      </c>
      <c r="AI54" s="61" t="n">
        <f aca="false">AI53*Assumptions!$F$65</f>
        <v>7864.13329909428</v>
      </c>
      <c r="AJ54" s="61" t="n">
        <f aca="false">AJ53*Assumptions!$F$65</f>
        <v>7977.98747097294</v>
      </c>
      <c r="AK54" s="61" t="n">
        <f aca="false">AK53*Assumptions!$F$65</f>
        <v>8105.862632583</v>
      </c>
      <c r="AL54" s="61" t="n">
        <f aca="false">AL53*Assumptions!$F$65</f>
        <v>8249.39003236838</v>
      </c>
      <c r="AM54" s="61" t="n">
        <f aca="false">SUM(C54:AL54)</f>
        <v>163633.61353171</v>
      </c>
    </row>
    <row r="55" customFormat="false" ht="15" hidden="false" customHeight="false" outlineLevel="0" collapsed="false">
      <c r="A55" s="10" t="s">
        <v>776</v>
      </c>
      <c r="B55" s="9" t="s">
        <v>51</v>
      </c>
      <c r="C55" s="61" t="n">
        <f aca="false">C54*Assumptions!$F$66</f>
        <v>0</v>
      </c>
      <c r="D55" s="61" t="n">
        <f aca="false">D54*Assumptions!$F$66</f>
        <v>0</v>
      </c>
      <c r="E55" s="61" t="n">
        <f aca="false">E54*Assumptions!$F$66</f>
        <v>0</v>
      </c>
      <c r="F55" s="61" t="n">
        <f aca="false">F54*Assumptions!$F$66</f>
        <v>0</v>
      </c>
      <c r="G55" s="61" t="n">
        <f aca="false">G54*Assumptions!$F$66</f>
        <v>537.738059844754</v>
      </c>
      <c r="H55" s="61" t="n">
        <f aca="false">H54*Assumptions!$F$66</f>
        <v>722.833151562986</v>
      </c>
      <c r="I55" s="61" t="n">
        <f aca="false">I54*Assumptions!$F$66</f>
        <v>879.444767333735</v>
      </c>
      <c r="J55" s="61" t="n">
        <f aca="false">J54*Assumptions!$F$66</f>
        <v>1032.83405987628</v>
      </c>
      <c r="K55" s="61" t="n">
        <f aca="false">K54*Assumptions!$F$66</f>
        <v>1193.61454901189</v>
      </c>
      <c r="L55" s="61" t="n">
        <f aca="false">L54*Assumptions!$F$66</f>
        <v>1366.16050750302</v>
      </c>
      <c r="M55" s="61" t="n">
        <f aca="false">M54*Assumptions!$F$66</f>
        <v>1552.6799302638</v>
      </c>
      <c r="N55" s="61" t="n">
        <f aca="false">N54*Assumptions!$F$66</f>
        <v>1754.73117962947</v>
      </c>
      <c r="O55" s="61" t="n">
        <f aca="false">O54*Assumptions!$F$66</f>
        <v>1973.67427113154</v>
      </c>
      <c r="P55" s="61" t="n">
        <f aca="false">P54*Assumptions!$F$66</f>
        <v>2210.82198977842</v>
      </c>
      <c r="Q55" s="61" t="n">
        <f aca="false">Q54*Assumptions!$F$66</f>
        <v>2467.50294044931</v>
      </c>
      <c r="R55" s="61" t="n">
        <f aca="false">R54*Assumptions!$F$66</f>
        <v>2745.09537284447</v>
      </c>
      <c r="S55" s="61" t="n">
        <f aca="false">S54*Assumptions!$F$66</f>
        <v>3045.04994631055</v>
      </c>
      <c r="T55" s="61" t="n">
        <f aca="false">T54*Assumptions!$F$66</f>
        <v>3275.84415256825</v>
      </c>
      <c r="U55" s="61" t="n">
        <f aca="false">U54*Assumptions!$F$66</f>
        <v>3476.39635635915</v>
      </c>
      <c r="V55" s="61" t="n">
        <f aca="false">V54*Assumptions!$F$66</f>
        <v>3680.52161844814</v>
      </c>
      <c r="W55" s="61" t="n">
        <f aca="false">W54*Assumptions!$F$66</f>
        <v>3888.787083148</v>
      </c>
      <c r="X55" s="61" t="n">
        <f aca="false">X54*Assumptions!$F$66</f>
        <v>4101.5745050937</v>
      </c>
      <c r="Y55" s="61" t="n">
        <f aca="false">Y54*Assumptions!$F$66</f>
        <v>4319.22945387835</v>
      </c>
      <c r="Z55" s="61" t="n">
        <f aca="false">Z54*Assumptions!$F$66</f>
        <v>4542.12555742473</v>
      </c>
      <c r="AA55" s="61" t="n">
        <f aca="false">AA54*Assumptions!$F$66</f>
        <v>4770.6833462174</v>
      </c>
      <c r="AB55" s="61" t="n">
        <f aca="false">AB54*Assumptions!$F$66</f>
        <v>4963.4941950857</v>
      </c>
      <c r="AC55" s="61" t="n">
        <f aca="false">AC54*Assumptions!$F$66</f>
        <v>5029.44994205375</v>
      </c>
      <c r="AD55" s="61" t="n">
        <f aca="false">AD54*Assumptions!$F$66</f>
        <v>5071.82014827083</v>
      </c>
      <c r="AE55" s="61" t="n">
        <f aca="false">AE54*Assumptions!$F$66</f>
        <v>5115.03384632074</v>
      </c>
      <c r="AF55" s="61" t="n">
        <f aca="false">AF54*Assumptions!$F$66</f>
        <v>5163.22537491365</v>
      </c>
      <c r="AG55" s="61" t="n">
        <f aca="false">AG54*Assumptions!$F$66</f>
        <v>5217.5386133413</v>
      </c>
      <c r="AH55" s="61" t="n">
        <f aca="false">AH54*Assumptions!$F$66</f>
        <v>5278.73834708642</v>
      </c>
      <c r="AI55" s="61" t="n">
        <f aca="false">AI54*Assumptions!$F$66</f>
        <v>5347.61064338411</v>
      </c>
      <c r="AJ55" s="61" t="n">
        <f aca="false">AJ54*Assumptions!$F$66</f>
        <v>5425.0314802616</v>
      </c>
      <c r="AK55" s="61" t="n">
        <f aca="false">AK54*Assumptions!$F$66</f>
        <v>5511.98659015644</v>
      </c>
      <c r="AL55" s="61" t="n">
        <f aca="false">AL54*Assumptions!$F$66</f>
        <v>5609.5852220105</v>
      </c>
      <c r="AM55" s="61" t="n">
        <f aca="false">SUM(C55:AL55)</f>
        <v>111270.857201563</v>
      </c>
    </row>
    <row r="56" customFormat="false" ht="15" hidden="false" customHeight="false" outlineLevel="0" collapsed="false">
      <c r="A56" s="10" t="s">
        <v>777</v>
      </c>
      <c r="B56" s="9" t="s">
        <v>51</v>
      </c>
      <c r="C56" s="61" t="n">
        <f aca="false">C55*Assumptions!$F$67</f>
        <v>0</v>
      </c>
      <c r="D56" s="61" t="n">
        <f aca="false">D55*Assumptions!$F$67</f>
        <v>0</v>
      </c>
      <c r="E56" s="61" t="n">
        <f aca="false">E55*Assumptions!$F$67</f>
        <v>0</v>
      </c>
      <c r="F56" s="61" t="n">
        <f aca="false">F55*Assumptions!$F$67</f>
        <v>0</v>
      </c>
      <c r="G56" s="61" t="n">
        <f aca="false">G55*Assumptions!$F$67</f>
        <v>376.416641891328</v>
      </c>
      <c r="H56" s="61" t="n">
        <f aca="false">H55*Assumptions!$F$67</f>
        <v>505.98320609409</v>
      </c>
      <c r="I56" s="61" t="n">
        <f aca="false">I55*Assumptions!$F$67</f>
        <v>615.611337133615</v>
      </c>
      <c r="J56" s="61" t="n">
        <f aca="false">J55*Assumptions!$F$67</f>
        <v>722.983841913394</v>
      </c>
      <c r="K56" s="61" t="n">
        <f aca="false">K55*Assumptions!$F$67</f>
        <v>835.53018430832</v>
      </c>
      <c r="L56" s="61" t="n">
        <f aca="false">L55*Assumptions!$F$67</f>
        <v>956.312355252117</v>
      </c>
      <c r="M56" s="61" t="n">
        <f aca="false">M55*Assumptions!$F$67</f>
        <v>1086.87595118466</v>
      </c>
      <c r="N56" s="61" t="n">
        <f aca="false">N55*Assumptions!$F$67</f>
        <v>1228.31182574063</v>
      </c>
      <c r="O56" s="61" t="n">
        <f aca="false">O55*Assumptions!$F$67</f>
        <v>1381.57198979208</v>
      </c>
      <c r="P56" s="61" t="n">
        <f aca="false">P55*Assumptions!$F$67</f>
        <v>1547.57539284489</v>
      </c>
      <c r="Q56" s="61" t="n">
        <f aca="false">Q55*Assumptions!$F$67</f>
        <v>1727.25205831452</v>
      </c>
      <c r="R56" s="61" t="n">
        <f aca="false">R55*Assumptions!$F$67</f>
        <v>1921.56676099113</v>
      </c>
      <c r="S56" s="61" t="n">
        <f aca="false">S55*Assumptions!$F$67</f>
        <v>2131.53496241739</v>
      </c>
      <c r="T56" s="61" t="n">
        <f aca="false">T55*Assumptions!$F$67</f>
        <v>2293.09090679777</v>
      </c>
      <c r="U56" s="61" t="n">
        <f aca="false">U55*Assumptions!$F$67</f>
        <v>2433.47744945141</v>
      </c>
      <c r="V56" s="61" t="n">
        <f aca="false">V55*Assumptions!$F$67</f>
        <v>2576.3651329137</v>
      </c>
      <c r="W56" s="61" t="n">
        <f aca="false">W55*Assumptions!$F$67</f>
        <v>2722.1509582036</v>
      </c>
      <c r="X56" s="61" t="n">
        <f aca="false">X55*Assumptions!$F$67</f>
        <v>2871.10215356559</v>
      </c>
      <c r="Y56" s="61" t="n">
        <f aca="false">Y55*Assumptions!$F$67</f>
        <v>3023.46061771484</v>
      </c>
      <c r="Z56" s="61" t="n">
        <f aca="false">Z55*Assumptions!$F$67</f>
        <v>3179.48789019731</v>
      </c>
      <c r="AA56" s="61" t="n">
        <f aca="false">AA55*Assumptions!$F$67</f>
        <v>3339.47834235218</v>
      </c>
      <c r="AB56" s="61" t="n">
        <f aca="false">AB55*Assumptions!$F$67</f>
        <v>3474.44593655999</v>
      </c>
      <c r="AC56" s="61" t="n">
        <f aca="false">AC55*Assumptions!$F$67</f>
        <v>3520.61495943762</v>
      </c>
      <c r="AD56" s="61" t="n">
        <f aca="false">AD55*Assumptions!$F$67</f>
        <v>3550.27410378958</v>
      </c>
      <c r="AE56" s="61" t="n">
        <f aca="false">AE55*Assumptions!$F$67</f>
        <v>3580.52369242452</v>
      </c>
      <c r="AF56" s="61" t="n">
        <f aca="false">AF55*Assumptions!$F$67</f>
        <v>3614.25776243955</v>
      </c>
      <c r="AG56" s="61" t="n">
        <f aca="false">AG55*Assumptions!$F$67</f>
        <v>3652.27702933891</v>
      </c>
      <c r="AH56" s="61" t="n">
        <f aca="false">AH55*Assumptions!$F$67</f>
        <v>3695.1168429605</v>
      </c>
      <c r="AI56" s="61" t="n">
        <f aca="false">AI55*Assumptions!$F$67</f>
        <v>3743.32745036888</v>
      </c>
      <c r="AJ56" s="61" t="n">
        <f aca="false">AJ55*Assumptions!$F$67</f>
        <v>3797.52203618312</v>
      </c>
      <c r="AK56" s="61" t="n">
        <f aca="false">AK55*Assumptions!$F$67</f>
        <v>3858.39061310951</v>
      </c>
      <c r="AL56" s="61" t="n">
        <f aca="false">AL55*Assumptions!$F$67</f>
        <v>3926.70965540735</v>
      </c>
      <c r="AM56" s="61" t="n">
        <f aca="false">SUM(C56:AL56)</f>
        <v>77889.6000410941</v>
      </c>
    </row>
    <row r="57" customFormat="false" ht="15" hidden="false" customHeight="false" outlineLevel="0" collapsed="false">
      <c r="A57" s="37" t="s">
        <v>778</v>
      </c>
      <c r="B57" s="9" t="s">
        <v>51</v>
      </c>
      <c r="C57" s="71" t="n">
        <f aca="false">C56</f>
        <v>0</v>
      </c>
      <c r="D57" s="71" t="n">
        <f aca="false">C57*(1-Assumptions!$F$68)+D56</f>
        <v>0</v>
      </c>
      <c r="E57" s="71" t="n">
        <f aca="false">D57*(1-Assumptions!$F$68)+E56</f>
        <v>0</v>
      </c>
      <c r="F57" s="71" t="n">
        <f aca="false">E57*(1-Assumptions!$F$68)+F56</f>
        <v>0</v>
      </c>
      <c r="G57" s="71" t="n">
        <f aca="false">F57*(1-Assumptions!$F$68)+G56</f>
        <v>376.416641891328</v>
      </c>
      <c r="H57" s="71" t="n">
        <f aca="false">G57*(1-Assumptions!$F$68)+H56</f>
        <v>846.640267005742</v>
      </c>
      <c r="I57" s="71" t="n">
        <f aca="false">H57*(1-Assumptions!$F$68)+I56</f>
        <v>1381.82077877381</v>
      </c>
      <c r="J57" s="71" t="n">
        <f aca="false">I57*(1-Assumptions!$F$68)+J56</f>
        <v>1973.53164670369</v>
      </c>
      <c r="K57" s="71" t="n">
        <f aca="false">J57*(1-Assumptions!$F$68)+K56</f>
        <v>2621.57632457516</v>
      </c>
      <c r="L57" s="71" t="n">
        <f aca="false">K57*(1-Assumptions!$F$68)+L56</f>
        <v>3328.83892899264</v>
      </c>
      <c r="M57" s="71" t="n">
        <f aca="false">L57*(1-Assumptions!$F$68)+M56</f>
        <v>4099.475181923</v>
      </c>
      <c r="N57" s="71" t="n">
        <f aca="false">M57*(1-Assumptions!$F$68)+N56</f>
        <v>4938.33686538094</v>
      </c>
      <c r="O57" s="71" t="n">
        <f aca="false">N57*(1-Assumptions!$F$68)+O56</f>
        <v>5850.76685296183</v>
      </c>
      <c r="P57" s="71" t="n">
        <f aca="false">O57*(1-Assumptions!$F$68)+P56</f>
        <v>6842.51939477535</v>
      </c>
      <c r="Q57" s="71" t="n">
        <f aca="false">P57*(1-Assumptions!$F$68)+Q56</f>
        <v>7919.73211058621</v>
      </c>
      <c r="R57" s="71" t="n">
        <f aca="false">Q57*(1-Assumptions!$F$68)+R56</f>
        <v>9088.92432107165</v>
      </c>
      <c r="S57" s="71" t="n">
        <f aca="false">R57*(1-Assumptions!$F$68)+S56</f>
        <v>10357.0114729872</v>
      </c>
      <c r="T57" s="71" t="n">
        <f aca="false">S57*(1-Assumptions!$F$68)+T56</f>
        <v>11666.1862898512</v>
      </c>
      <c r="U57" s="71" t="n">
        <f aca="false">T57*(1-Assumptions!$F$68)+U56</f>
        <v>12991.3760417668</v>
      </c>
      <c r="V57" s="71" t="n">
        <f aca="false">U57*(1-Assumptions!$F$68)+V56</f>
        <v>14333.5604507126</v>
      </c>
      <c r="W57" s="71" t="n">
        <f aca="false">V57*(1-Assumptions!$F$68)+W56</f>
        <v>15694.0231660985</v>
      </c>
      <c r="X57" s="71" t="n">
        <f aca="false">W57*(1-Assumptions!$F$68)+X56</f>
        <v>17074.1931188847</v>
      </c>
      <c r="Y57" s="71" t="n">
        <f aca="false">X57*(1-Assumptions!$F$68)+Y56</f>
        <v>18475.6053903055</v>
      </c>
      <c r="Z57" s="71" t="n">
        <f aca="false">Y57*(1-Assumptions!$F$68)+Z56</f>
        <v>19899.9107684238</v>
      </c>
      <c r="AA57" s="71" t="n">
        <f aca="false">Z57*(1-Assumptions!$F$68)+AA56</f>
        <v>21348.8975877757</v>
      </c>
      <c r="AB57" s="71" t="n">
        <f aca="false">AA57*(1-Assumptions!$F$68)+AB56</f>
        <v>22795.198253497</v>
      </c>
      <c r="AC57" s="71" t="n">
        <f aca="false">AB57*(1-Assumptions!$F$68)+AC56</f>
        <v>24150.2693788524</v>
      </c>
      <c r="AD57" s="71" t="n">
        <f aca="false">AC57*(1-Assumptions!$F$68)+AD56</f>
        <v>25406.267891651</v>
      </c>
      <c r="AE57" s="71" t="n">
        <f aca="false">AD57*(1-Assumptions!$F$68)+AE56</f>
        <v>26573.1961343687</v>
      </c>
      <c r="AF57" s="71" t="n">
        <f aca="false">AE57*(1-Assumptions!$F$68)+AF56</f>
        <v>27663.0002640432</v>
      </c>
      <c r="AG57" s="71" t="n">
        <f aca="false">AF57*(1-Assumptions!$F$68)+AG56</f>
        <v>28687.292268298</v>
      </c>
      <c r="AH57" s="71" t="n">
        <f aca="false">AG57*(1-Assumptions!$F$68)+AH56</f>
        <v>29657.1163457702</v>
      </c>
      <c r="AI57" s="71" t="n">
        <f aca="false">AH57*(1-Assumptions!$F$68)+AI56</f>
        <v>30583.0177432909</v>
      </c>
      <c r="AJ57" s="71" t="n">
        <f aca="false">AI57*(1-Assumptions!$F$68)+AJ56</f>
        <v>31475.1530938614</v>
      </c>
      <c r="AK57" s="71" t="n">
        <f aca="false">AJ57*(1-Assumptions!$F$68)+AK56</f>
        <v>32343.4041630541</v>
      </c>
      <c r="AL57" s="71" t="n">
        <f aca="false">AK57*(1-Assumptions!$F$68)+AL56</f>
        <v>33197.4904229713</v>
      </c>
      <c r="AM57" s="71" t="n">
        <f aca="false">AL57</f>
        <v>33197.4904229713</v>
      </c>
    </row>
    <row r="58" customFormat="false" ht="15" hidden="false" customHeight="false" outlineLevel="0" collapsed="false">
      <c r="A58" s="10" t="s">
        <v>779</v>
      </c>
      <c r="B58" s="9" t="s">
        <v>51</v>
      </c>
      <c r="C58" s="61" t="n">
        <f aca="false">0</f>
        <v>0</v>
      </c>
      <c r="D58" s="61" t="n">
        <f aca="false">C57*Assumptions!$F$68</f>
        <v>0</v>
      </c>
      <c r="E58" s="61" t="n">
        <f aca="false">D57*Assumptions!$F$68</f>
        <v>0</v>
      </c>
      <c r="F58" s="61" t="n">
        <f aca="false">E57*Assumptions!$F$68</f>
        <v>0</v>
      </c>
      <c r="G58" s="61" t="n">
        <f aca="false">F57*Assumptions!$F$68</f>
        <v>0</v>
      </c>
      <c r="H58" s="61" t="n">
        <f aca="false">G57*Assumptions!$F$68</f>
        <v>35.7595809796761</v>
      </c>
      <c r="I58" s="61" t="n">
        <f aca="false">H57*Assumptions!$F$68</f>
        <v>80.4308253655455</v>
      </c>
      <c r="J58" s="61" t="n">
        <f aca="false">I57*Assumptions!$F$68</f>
        <v>131.272973983512</v>
      </c>
      <c r="K58" s="61" t="n">
        <f aca="false">J57*Assumptions!$F$68</f>
        <v>187.485506436851</v>
      </c>
      <c r="L58" s="61" t="n">
        <f aca="false">K57*Assumptions!$F$68</f>
        <v>249.04975083464</v>
      </c>
      <c r="M58" s="61" t="n">
        <f aca="false">L57*Assumptions!$F$68</f>
        <v>316.239698254301</v>
      </c>
      <c r="N58" s="61" t="n">
        <f aca="false">M57*Assumptions!$F$68</f>
        <v>389.450142282685</v>
      </c>
      <c r="O58" s="61" t="n">
        <f aca="false">N57*Assumptions!$F$68</f>
        <v>469.142002211189</v>
      </c>
      <c r="P58" s="61" t="n">
        <f aca="false">O57*Assumptions!$F$68</f>
        <v>555.822851031374</v>
      </c>
      <c r="Q58" s="61" t="n">
        <f aca="false">P57*Assumptions!$F$68</f>
        <v>650.039342503658</v>
      </c>
      <c r="R58" s="61" t="n">
        <f aca="false">Q57*Assumptions!$F$68</f>
        <v>752.37455050569</v>
      </c>
      <c r="S58" s="61" t="n">
        <f aca="false">R57*Assumptions!$F$68</f>
        <v>863.447810501806</v>
      </c>
      <c r="T58" s="61" t="n">
        <f aca="false">S57*Assumptions!$F$68</f>
        <v>983.916089933787</v>
      </c>
      <c r="U58" s="61" t="n">
        <f aca="false">T57*Assumptions!$F$68</f>
        <v>1108.28769753587</v>
      </c>
      <c r="V58" s="61" t="n">
        <f aca="false">U57*Assumptions!$F$68</f>
        <v>1234.18072396784</v>
      </c>
      <c r="W58" s="61" t="n">
        <f aca="false">V57*Assumptions!$F$68</f>
        <v>1361.6882428177</v>
      </c>
      <c r="X58" s="61" t="n">
        <f aca="false">W57*Assumptions!$F$68</f>
        <v>1490.93220077936</v>
      </c>
      <c r="Y58" s="61" t="n">
        <f aca="false">X57*Assumptions!$F$68</f>
        <v>1622.04834629405</v>
      </c>
      <c r="Z58" s="61" t="n">
        <f aca="false">Y57*Assumptions!$F$68</f>
        <v>1755.18251207903</v>
      </c>
      <c r="AA58" s="61" t="n">
        <f aca="false">Z57*Assumptions!$F$68</f>
        <v>1890.49152300026</v>
      </c>
      <c r="AB58" s="61" t="n">
        <f aca="false">AA57*Assumptions!$F$68</f>
        <v>2028.14527083869</v>
      </c>
      <c r="AC58" s="61" t="n">
        <f aca="false">AB57*Assumptions!$F$68</f>
        <v>2165.54383408222</v>
      </c>
      <c r="AD58" s="61" t="n">
        <f aca="false">AC57*Assumptions!$F$68</f>
        <v>2294.27559099098</v>
      </c>
      <c r="AE58" s="61" t="n">
        <f aca="false">AD57*Assumptions!$F$68</f>
        <v>2413.59544970685</v>
      </c>
      <c r="AF58" s="61" t="n">
        <f aca="false">AE57*Assumptions!$F$68</f>
        <v>2524.45363276503</v>
      </c>
      <c r="AG58" s="61" t="n">
        <f aca="false">AF57*Assumptions!$F$68</f>
        <v>2627.98502508411</v>
      </c>
      <c r="AH58" s="61" t="n">
        <f aca="false">AG57*Assumptions!$F$68</f>
        <v>2725.29276548831</v>
      </c>
      <c r="AI58" s="61" t="n">
        <f aca="false">AH57*Assumptions!$F$68</f>
        <v>2817.42605284817</v>
      </c>
      <c r="AJ58" s="61" t="n">
        <f aca="false">AI57*Assumptions!$F$68</f>
        <v>2905.38668561264</v>
      </c>
      <c r="AK58" s="61" t="n">
        <f aca="false">AJ57*Assumptions!$F$68</f>
        <v>2990.13954391683</v>
      </c>
      <c r="AL58" s="61" t="n">
        <f aca="false">AK57*Assumptions!$F$68</f>
        <v>3072.62339549014</v>
      </c>
      <c r="AM58" s="61" t="n">
        <f aca="false">SUM(C58:AL58)</f>
        <v>44692.1096181228</v>
      </c>
    </row>
    <row r="59" customFormat="false" ht="15" hidden="false" customHeight="false" outlineLevel="0" collapsed="false">
      <c r="A59" s="10" t="s">
        <v>780</v>
      </c>
      <c r="B59" s="9" t="s">
        <v>97</v>
      </c>
      <c r="C59" s="70" t="n">
        <f aca="false">C57*Assumptions!$F$70</f>
        <v>0</v>
      </c>
      <c r="D59" s="70" t="n">
        <f aca="false">D57*Assumptions!$F$70</f>
        <v>0</v>
      </c>
      <c r="E59" s="70" t="n">
        <f aca="false">E57*Assumptions!$F$70</f>
        <v>0</v>
      </c>
      <c r="F59" s="70" t="n">
        <f aca="false">F57*Assumptions!$F$70</f>
        <v>0</v>
      </c>
      <c r="G59" s="70" t="n">
        <f aca="false">G57*Assumptions!$F$70</f>
        <v>112548.575925507</v>
      </c>
      <c r="H59" s="70" t="n">
        <f aca="false">H57*Assumptions!$F$70</f>
        <v>253145.439834717</v>
      </c>
      <c r="I59" s="70" t="n">
        <f aca="false">I57*Assumptions!$F$70</f>
        <v>413164.41285337</v>
      </c>
      <c r="J59" s="70" t="n">
        <f aca="false">J57*Assumptions!$F$70</f>
        <v>590085.962364404</v>
      </c>
      <c r="K59" s="70" t="n">
        <f aca="false">K57*Assumptions!$F$70</f>
        <v>783851.321047974</v>
      </c>
      <c r="L59" s="70" t="n">
        <f aca="false">L57*Assumptions!$F$70</f>
        <v>995322.839768799</v>
      </c>
      <c r="M59" s="70" t="n">
        <f aca="false">M57*Assumptions!$F$70</f>
        <v>1225743.07939498</v>
      </c>
      <c r="N59" s="70" t="n">
        <f aca="false">N57*Assumptions!$F$70</f>
        <v>1476562.7227489</v>
      </c>
      <c r="O59" s="70" t="n">
        <f aca="false">O57*Assumptions!$F$70</f>
        <v>1749379.28903559</v>
      </c>
      <c r="P59" s="70" t="n">
        <f aca="false">P57*Assumptions!$F$70</f>
        <v>2045913.29903783</v>
      </c>
      <c r="Q59" s="70" t="n">
        <f aca="false">Q57*Assumptions!$F$70</f>
        <v>2367999.90106528</v>
      </c>
      <c r="R59" s="70" t="n">
        <f aca="false">R57*Assumptions!$F$70</f>
        <v>2717588.37200042</v>
      </c>
      <c r="S59" s="70" t="n">
        <f aca="false">S57*Assumptions!$F$70</f>
        <v>3096746.43042318</v>
      </c>
      <c r="T59" s="70" t="n">
        <f aca="false">T57*Assumptions!$F$70</f>
        <v>3488189.70066551</v>
      </c>
      <c r="U59" s="70" t="n">
        <f aca="false">U57*Assumptions!$F$70</f>
        <v>3884421.43648826</v>
      </c>
      <c r="V59" s="70" t="n">
        <f aca="false">V57*Assumptions!$F$70</f>
        <v>4285734.57476307</v>
      </c>
      <c r="W59" s="70" t="n">
        <f aca="false">W57*Assumptions!$F$70</f>
        <v>4692512.92666346</v>
      </c>
      <c r="X59" s="70" t="n">
        <f aca="false">X57*Assumptions!$F$70</f>
        <v>5105183.74254654</v>
      </c>
      <c r="Y59" s="70" t="n">
        <f aca="false">Y57*Assumptions!$F$70</f>
        <v>5524206.01170135</v>
      </c>
      <c r="Z59" s="70" t="n">
        <f aca="false">Z57*Assumptions!$F$70</f>
        <v>5950073.31975872</v>
      </c>
      <c r="AA59" s="70" t="n">
        <f aca="false">AA57*Assumptions!$F$70</f>
        <v>6383320.37874494</v>
      </c>
      <c r="AB59" s="70" t="n">
        <f aca="false">AB57*Assumptions!$F$70</f>
        <v>6815764.27779561</v>
      </c>
      <c r="AC59" s="70" t="n">
        <f aca="false">AC57*Assumptions!$F$70</f>
        <v>7220930.54427688</v>
      </c>
      <c r="AD59" s="70" t="n">
        <f aca="false">AD57*Assumptions!$F$70</f>
        <v>7596474.09960366</v>
      </c>
      <c r="AE59" s="70" t="n">
        <f aca="false">AE57*Assumptions!$F$70</f>
        <v>7945385.64417624</v>
      </c>
      <c r="AF59" s="70" t="n">
        <f aca="false">AF57*Assumptions!$F$70</f>
        <v>8271237.07894893</v>
      </c>
      <c r="AG59" s="70" t="n">
        <f aca="false">AG57*Assumptions!$F$70</f>
        <v>8577500.38822111</v>
      </c>
      <c r="AH59" s="70" t="n">
        <f aca="false">AH57*Assumptions!$F$70</f>
        <v>8867477.7873853</v>
      </c>
      <c r="AI59" s="70" t="n">
        <f aca="false">AI57*Assumptions!$F$70</f>
        <v>9144322.30524399</v>
      </c>
      <c r="AJ59" s="70" t="n">
        <f aca="false">AJ57*Assumptions!$F$70</f>
        <v>9411070.77506456</v>
      </c>
      <c r="AK59" s="70" t="n">
        <f aca="false">AK57*Assumptions!$F$70</f>
        <v>9670677.84475317</v>
      </c>
      <c r="AL59" s="70" t="n">
        <f aca="false">AL57*Assumptions!$F$70</f>
        <v>9926049.63646842</v>
      </c>
      <c r="AM59" s="70" t="n">
        <f aca="false">SUM(C59:AL59)</f>
        <v>150588584.118771</v>
      </c>
    </row>
    <row r="60" customFormat="false" ht="15" hidden="false" customHeight="false" outlineLevel="0" collapsed="false">
      <c r="A60" s="10" t="s">
        <v>781</v>
      </c>
      <c r="B60" s="9" t="s">
        <v>97</v>
      </c>
      <c r="C60" s="70" t="n">
        <f aca="false">C53*Assumptions!$F$71</f>
        <v>0</v>
      </c>
      <c r="D60" s="70" t="n">
        <f aca="false">D53*Assumptions!$F$71</f>
        <v>0</v>
      </c>
      <c r="E60" s="70" t="n">
        <f aca="false">E53*Assumptions!$F$71</f>
        <v>0</v>
      </c>
      <c r="F60" s="70" t="n">
        <f aca="false">F53*Assumptions!$F$71</f>
        <v>0</v>
      </c>
      <c r="G60" s="70" t="n">
        <f aca="false">G53*Assumptions!$F$71</f>
        <v>70991.4885156009</v>
      </c>
      <c r="H60" s="70" t="n">
        <f aca="false">H53*Assumptions!$F$71</f>
        <v>95427.504969044</v>
      </c>
      <c r="I60" s="70" t="n">
        <f aca="false">I53*Assumptions!$F$71</f>
        <v>116103.169484233</v>
      </c>
      <c r="J60" s="70" t="n">
        <f aca="false">J53*Assumptions!$F$71</f>
        <v>136353.427022436</v>
      </c>
      <c r="K60" s="70" t="n">
        <f aca="false">K53*Assumptions!$F$71</f>
        <v>157579.460848829</v>
      </c>
      <c r="L60" s="70" t="n">
        <f aca="false">L53*Assumptions!$F$71</f>
        <v>180358.75683947</v>
      </c>
      <c r="M60" s="70" t="n">
        <f aca="false">M53*Assumptions!$F$71</f>
        <v>204982.811649131</v>
      </c>
      <c r="N60" s="70" t="n">
        <f aca="false">N53*Assumptions!$F$71</f>
        <v>231657.358273276</v>
      </c>
      <c r="O60" s="70" t="n">
        <f aca="false">O53*Assumptions!$F$71</f>
        <v>260561.944216898</v>
      </c>
      <c r="P60" s="70" t="n">
        <f aca="false">P53*Assumptions!$F$71</f>
        <v>291869.88167195</v>
      </c>
      <c r="Q60" s="70" t="n">
        <f aca="false">Q53*Assumptions!$F$71</f>
        <v>325756.571349424</v>
      </c>
      <c r="R60" s="70" t="n">
        <f aca="false">R53*Assumptions!$F$71</f>
        <v>362403.96800587</v>
      </c>
      <c r="S60" s="70" t="n">
        <f aca="false">S53*Assumptions!$F$71</f>
        <v>402003.585826427</v>
      </c>
      <c r="T60" s="70" t="n">
        <f aca="false">T53*Assumptions!$F$71</f>
        <v>432472.740730099</v>
      </c>
      <c r="U60" s="70" t="n">
        <f aca="false">U53*Assumptions!$F$71</f>
        <v>458949.385281372</v>
      </c>
      <c r="V60" s="70" t="n">
        <f aca="false">V53*Assumptions!$F$71</f>
        <v>485897.740403414</v>
      </c>
      <c r="W60" s="70" t="n">
        <f aca="false">W53*Assumptions!$F$71</f>
        <v>513392.679760515</v>
      </c>
      <c r="X60" s="70" t="n">
        <f aca="false">X53*Assumptions!$F$71</f>
        <v>541484.602109629</v>
      </c>
      <c r="Y60" s="70" t="n">
        <f aca="false">Y53*Assumptions!$F$71</f>
        <v>570219.129104929</v>
      </c>
      <c r="Z60" s="70" t="n">
        <f aca="false">Z53*Assumptions!$F$71</f>
        <v>599645.586625257</v>
      </c>
      <c r="AA60" s="70" t="n">
        <f aca="false">AA53*Assumptions!$F$71</f>
        <v>629819.492565465</v>
      </c>
      <c r="AB60" s="70" t="n">
        <f aca="false">AB53*Assumptions!$F$71</f>
        <v>655274.133375284</v>
      </c>
      <c r="AC60" s="70" t="n">
        <f aca="false">AC53*Assumptions!$F$71</f>
        <v>663981.526440919</v>
      </c>
      <c r="AD60" s="70" t="n">
        <f aca="false">AD53*Assumptions!$F$71</f>
        <v>669575.186686824</v>
      </c>
      <c r="AE60" s="70" t="n">
        <f aca="false">AE53*Assumptions!$F$71</f>
        <v>675280.203641943</v>
      </c>
      <c r="AF60" s="70" t="n">
        <f aca="false">AF53*Assumptions!$F$71</f>
        <v>681642.387396688</v>
      </c>
      <c r="AG60" s="70" t="n">
        <f aca="false">AG53*Assumptions!$F$71</f>
        <v>688812.751427077</v>
      </c>
      <c r="AH60" s="70" t="n">
        <f aca="false">AH53*Assumptions!$F$71</f>
        <v>696892.261730995</v>
      </c>
      <c r="AI60" s="70" t="n">
        <f aca="false">AI53*Assumptions!$F$71</f>
        <v>705984.693895964</v>
      </c>
      <c r="AJ60" s="70" t="n">
        <f aca="false">AJ53*Assumptions!$F$71</f>
        <v>716205.693416889</v>
      </c>
      <c r="AK60" s="70" t="n">
        <f aca="false">AK53*Assumptions!$F$71</f>
        <v>727685.395425065</v>
      </c>
      <c r="AL60" s="70" t="n">
        <f aca="false">AL53*Assumptions!$F$71</f>
        <v>740570.241542162</v>
      </c>
      <c r="AM60" s="70" t="n">
        <f aca="false">SUM(C60:AL60)</f>
        <v>14689835.7602331</v>
      </c>
    </row>
    <row r="61" customFormat="false" ht="15" hidden="false" customHeight="false" outlineLevel="0" collapsed="false">
      <c r="A61" s="10" t="s">
        <v>782</v>
      </c>
      <c r="B61" s="9" t="s">
        <v>97</v>
      </c>
      <c r="C61" s="70" t="n">
        <f aca="false">C59+C60</f>
        <v>0</v>
      </c>
      <c r="D61" s="70" t="n">
        <f aca="false">D59+D60</f>
        <v>0</v>
      </c>
      <c r="E61" s="70" t="n">
        <f aca="false">E59+E60</f>
        <v>0</v>
      </c>
      <c r="F61" s="70" t="n">
        <f aca="false">F59+F60</f>
        <v>0</v>
      </c>
      <c r="G61" s="70" t="n">
        <f aca="false">G59+G60</f>
        <v>183540.064441108</v>
      </c>
      <c r="H61" s="70" t="n">
        <f aca="false">H59+H60</f>
        <v>348572.944803761</v>
      </c>
      <c r="I61" s="70" t="n">
        <f aca="false">I59+I60</f>
        <v>529267.582337603</v>
      </c>
      <c r="J61" s="70" t="n">
        <f aca="false">J59+J60</f>
        <v>726439.389386841</v>
      </c>
      <c r="K61" s="70" t="n">
        <f aca="false">K59+K60</f>
        <v>941430.781896802</v>
      </c>
      <c r="L61" s="70" t="n">
        <f aca="false">L59+L60</f>
        <v>1175681.59660827</v>
      </c>
      <c r="M61" s="70" t="n">
        <f aca="false">M59+M60</f>
        <v>1430725.89104411</v>
      </c>
      <c r="N61" s="70" t="n">
        <f aca="false">N59+N60</f>
        <v>1708220.08102218</v>
      </c>
      <c r="O61" s="70" t="n">
        <f aca="false">O59+O60</f>
        <v>2009941.23325249</v>
      </c>
      <c r="P61" s="70" t="n">
        <f aca="false">P59+P60</f>
        <v>2337783.18070978</v>
      </c>
      <c r="Q61" s="70" t="n">
        <f aca="false">Q59+Q60</f>
        <v>2693756.4724147</v>
      </c>
      <c r="R61" s="70" t="n">
        <f aca="false">R59+R60</f>
        <v>3079992.34000629</v>
      </c>
      <c r="S61" s="70" t="n">
        <f aca="false">S59+S60</f>
        <v>3498750.01624961</v>
      </c>
      <c r="T61" s="70" t="n">
        <f aca="false">T59+T60</f>
        <v>3920662.44139561</v>
      </c>
      <c r="U61" s="70" t="n">
        <f aca="false">U59+U60</f>
        <v>4343370.82176963</v>
      </c>
      <c r="V61" s="70" t="n">
        <f aca="false">V59+V60</f>
        <v>4771632.31516649</v>
      </c>
      <c r="W61" s="70" t="n">
        <f aca="false">W59+W60</f>
        <v>5205905.60642397</v>
      </c>
      <c r="X61" s="70" t="n">
        <f aca="false">X59+X60</f>
        <v>5646668.34465617</v>
      </c>
      <c r="Y61" s="70" t="n">
        <f aca="false">Y59+Y60</f>
        <v>6094425.14080628</v>
      </c>
      <c r="Z61" s="70" t="n">
        <f aca="false">Z59+Z60</f>
        <v>6549718.90638398</v>
      </c>
      <c r="AA61" s="70" t="n">
        <f aca="false">AA59+AA60</f>
        <v>7013139.87131041</v>
      </c>
      <c r="AB61" s="70" t="n">
        <f aca="false">AB59+AB60</f>
        <v>7471038.4111709</v>
      </c>
      <c r="AC61" s="70" t="n">
        <f aca="false">AC59+AC60</f>
        <v>7884912.0707178</v>
      </c>
      <c r="AD61" s="70" t="n">
        <f aca="false">AD59+AD60</f>
        <v>8266049.28629048</v>
      </c>
      <c r="AE61" s="70" t="n">
        <f aca="false">AE59+AE60</f>
        <v>8620665.84781819</v>
      </c>
      <c r="AF61" s="70" t="n">
        <f aca="false">AF59+AF60</f>
        <v>8952879.46634561</v>
      </c>
      <c r="AG61" s="70" t="n">
        <f aca="false">AG59+AG60</f>
        <v>9266313.13964819</v>
      </c>
      <c r="AH61" s="70" t="n">
        <f aca="false">AH59+AH60</f>
        <v>9564370.04911629</v>
      </c>
      <c r="AI61" s="70" t="n">
        <f aca="false">AI59+AI60</f>
        <v>9850306.99913995</v>
      </c>
      <c r="AJ61" s="70" t="n">
        <f aca="false">AJ59+AJ60</f>
        <v>10127276.4684815</v>
      </c>
      <c r="AK61" s="70" t="n">
        <f aca="false">AK59+AK60</f>
        <v>10398363.2401782</v>
      </c>
      <c r="AL61" s="70" t="n">
        <f aca="false">AL59+AL60</f>
        <v>10666619.8780106</v>
      </c>
      <c r="AM61" s="70" t="n">
        <f aca="false">SUM(C61:AL61)</f>
        <v>165278419.879004</v>
      </c>
    </row>
    <row r="62" customFormat="false" ht="15" hidden="false" customHeight="false" outlineLevel="0" collapsed="false">
      <c r="A62" s="10" t="s">
        <v>783</v>
      </c>
      <c r="B62" s="9" t="s">
        <v>97</v>
      </c>
      <c r="C62" s="70" t="n">
        <f aca="false">-C61*Assumptions!$F$80</f>
        <v>-0</v>
      </c>
      <c r="D62" s="70" t="n">
        <f aca="false">-D61*Assumptions!$F$80</f>
        <v>-0</v>
      </c>
      <c r="E62" s="70" t="n">
        <f aca="false">-E61*Assumptions!$F$80</f>
        <v>-0</v>
      </c>
      <c r="F62" s="70" t="n">
        <f aca="false">-F61*Assumptions!$F$80</f>
        <v>-0</v>
      </c>
      <c r="G62" s="70" t="n">
        <f aca="false">-G61*Assumptions!$F$80</f>
        <v>-4037.88141770437</v>
      </c>
      <c r="H62" s="70" t="n">
        <f aca="false">-H61*Assumptions!$F$80</f>
        <v>-7668.60478568274</v>
      </c>
      <c r="I62" s="70" t="n">
        <f aca="false">-I61*Assumptions!$F$80</f>
        <v>-11643.8868114273</v>
      </c>
      <c r="J62" s="70" t="n">
        <f aca="false">-J61*Assumptions!$F$80</f>
        <v>-15981.6665665105</v>
      </c>
      <c r="K62" s="70" t="n">
        <f aca="false">-K61*Assumptions!$F$80</f>
        <v>-20711.4772017296</v>
      </c>
      <c r="L62" s="70" t="n">
        <f aca="false">-L61*Assumptions!$F$80</f>
        <v>-25864.9951253819</v>
      </c>
      <c r="M62" s="70" t="n">
        <f aca="false">-M61*Assumptions!$F$80</f>
        <v>-31475.9696029704</v>
      </c>
      <c r="N62" s="70" t="n">
        <f aca="false">-N61*Assumptions!$F$80</f>
        <v>-37580.8417824879</v>
      </c>
      <c r="O62" s="70" t="n">
        <f aca="false">-O61*Assumptions!$F$80</f>
        <v>-44218.7071315547</v>
      </c>
      <c r="P62" s="70" t="n">
        <f aca="false">-P61*Assumptions!$F$80</f>
        <v>-51431.2299756151</v>
      </c>
      <c r="Q62" s="70" t="n">
        <f aca="false">-Q61*Assumptions!$F$80</f>
        <v>-59262.6423931234</v>
      </c>
      <c r="R62" s="70" t="n">
        <f aca="false">-R61*Assumptions!$F$80</f>
        <v>-67759.8314801384</v>
      </c>
      <c r="S62" s="70" t="n">
        <f aca="false">-S61*Assumptions!$F$80</f>
        <v>-76972.5003574914</v>
      </c>
      <c r="T62" s="70" t="n">
        <f aca="false">-T61*Assumptions!$F$80</f>
        <v>-86254.5737107035</v>
      </c>
      <c r="U62" s="70" t="n">
        <f aca="false">-U61*Assumptions!$F$80</f>
        <v>-95554.1580789319</v>
      </c>
      <c r="V62" s="70" t="n">
        <f aca="false">-V61*Assumptions!$F$80</f>
        <v>-104975.910933663</v>
      </c>
      <c r="W62" s="70" t="n">
        <f aca="false">-W61*Assumptions!$F$80</f>
        <v>-114529.923341327</v>
      </c>
      <c r="X62" s="70" t="n">
        <f aca="false">-X61*Assumptions!$F$80</f>
        <v>-124226.703582436</v>
      </c>
      <c r="Y62" s="70" t="n">
        <f aca="false">-Y61*Assumptions!$F$80</f>
        <v>-134077.353097738</v>
      </c>
      <c r="Z62" s="70" t="n">
        <f aca="false">-Z61*Assumptions!$F$80</f>
        <v>-144093.815940448</v>
      </c>
      <c r="AA62" s="70" t="n">
        <f aca="false">-AA61*Assumptions!$F$80</f>
        <v>-154289.077168829</v>
      </c>
      <c r="AB62" s="70" t="n">
        <f aca="false">-AB61*Assumptions!$F$80</f>
        <v>-164362.84504576</v>
      </c>
      <c r="AC62" s="70" t="n">
        <f aca="false">-AC61*Assumptions!$F$80</f>
        <v>-173468.065555792</v>
      </c>
      <c r="AD62" s="70" t="n">
        <f aca="false">-AD61*Assumptions!$F$80</f>
        <v>-181853.084298391</v>
      </c>
      <c r="AE62" s="70" t="n">
        <f aca="false">-AE61*Assumptions!$F$80</f>
        <v>-189654.648652</v>
      </c>
      <c r="AF62" s="70" t="n">
        <f aca="false">-AF61*Assumptions!$F$80</f>
        <v>-196963.348259604</v>
      </c>
      <c r="AG62" s="70" t="n">
        <f aca="false">-AG61*Assumptions!$F$80</f>
        <v>-203858.88907226</v>
      </c>
      <c r="AH62" s="70" t="n">
        <f aca="false">-AH61*Assumptions!$F$80</f>
        <v>-210416.141080558</v>
      </c>
      <c r="AI62" s="70" t="n">
        <f aca="false">-AI61*Assumptions!$F$80</f>
        <v>-216706.753981079</v>
      </c>
      <c r="AJ62" s="70" t="n">
        <f aca="false">-AJ61*Assumptions!$F$80</f>
        <v>-222800.082306592</v>
      </c>
      <c r="AK62" s="70" t="n">
        <f aca="false">-AK61*Assumptions!$F$80</f>
        <v>-228763.991283921</v>
      </c>
      <c r="AL62" s="70" t="n">
        <f aca="false">-AL61*Assumptions!$F$80</f>
        <v>-234665.637316233</v>
      </c>
      <c r="AM62" s="70" t="n">
        <f aca="false">SUM(C62:AL62)</f>
        <v>-3636125.23733808</v>
      </c>
    </row>
    <row r="63" customFormat="false" ht="15" hidden="false" customHeight="false" outlineLevel="0" collapsed="false">
      <c r="A63" s="37" t="s">
        <v>784</v>
      </c>
      <c r="B63" s="9" t="s">
        <v>97</v>
      </c>
      <c r="C63" s="53" t="n">
        <f aca="false">C61+C62</f>
        <v>0</v>
      </c>
      <c r="D63" s="53" t="n">
        <f aca="false">D61+D62</f>
        <v>0</v>
      </c>
      <c r="E63" s="53" t="n">
        <f aca="false">E61+E62</f>
        <v>0</v>
      </c>
      <c r="F63" s="53" t="n">
        <f aca="false">F61+F62</f>
        <v>0</v>
      </c>
      <c r="G63" s="53" t="n">
        <f aca="false">G61+G62</f>
        <v>179502.183023404</v>
      </c>
      <c r="H63" s="53" t="n">
        <f aca="false">H61+H62</f>
        <v>340904.340018078</v>
      </c>
      <c r="I63" s="53" t="n">
        <f aca="false">I61+I62</f>
        <v>517623.695526175</v>
      </c>
      <c r="J63" s="53" t="n">
        <f aca="false">J61+J62</f>
        <v>710457.72282033</v>
      </c>
      <c r="K63" s="53" t="n">
        <f aca="false">K61+K62</f>
        <v>920719.304695072</v>
      </c>
      <c r="L63" s="53" t="n">
        <f aca="false">L61+L62</f>
        <v>1149816.60148289</v>
      </c>
      <c r="M63" s="53" t="n">
        <f aca="false">M61+M62</f>
        <v>1399249.92144114</v>
      </c>
      <c r="N63" s="53" t="n">
        <f aca="false">N61+N62</f>
        <v>1670639.23923969</v>
      </c>
      <c r="O63" s="53" t="n">
        <f aca="false">O61+O62</f>
        <v>1965722.52612093</v>
      </c>
      <c r="P63" s="53" t="n">
        <f aca="false">P61+P62</f>
        <v>2286351.95073416</v>
      </c>
      <c r="Q63" s="53" t="n">
        <f aca="false">Q61+Q62</f>
        <v>2634493.83002158</v>
      </c>
      <c r="R63" s="53" t="n">
        <f aca="false">R61+R62</f>
        <v>3012232.50852615</v>
      </c>
      <c r="S63" s="53" t="n">
        <f aca="false">S61+S62</f>
        <v>3421777.51589212</v>
      </c>
      <c r="T63" s="53" t="n">
        <f aca="false">T61+T62</f>
        <v>3834407.86768491</v>
      </c>
      <c r="U63" s="53" t="n">
        <f aca="false">U61+U62</f>
        <v>4247816.6636907</v>
      </c>
      <c r="V63" s="53" t="n">
        <f aca="false">V61+V62</f>
        <v>4666656.40423282</v>
      </c>
      <c r="W63" s="53" t="n">
        <f aca="false">W61+W62</f>
        <v>5091375.68308264</v>
      </c>
      <c r="X63" s="53" t="n">
        <f aca="false">X61+X62</f>
        <v>5522441.64107373</v>
      </c>
      <c r="Y63" s="53" t="n">
        <f aca="false">Y61+Y62</f>
        <v>5960347.78770855</v>
      </c>
      <c r="Z63" s="53" t="n">
        <f aca="false">Z61+Z62</f>
        <v>6405625.09044353</v>
      </c>
      <c r="AA63" s="53" t="n">
        <f aca="false">AA61+AA62</f>
        <v>6858850.79414158</v>
      </c>
      <c r="AB63" s="53" t="n">
        <f aca="false">AB61+AB62</f>
        <v>7306675.56612514</v>
      </c>
      <c r="AC63" s="53" t="n">
        <f aca="false">AC61+AC62</f>
        <v>7711444.00516201</v>
      </c>
      <c r="AD63" s="53" t="n">
        <f aca="false">AD61+AD62</f>
        <v>8084196.20199209</v>
      </c>
      <c r="AE63" s="53" t="n">
        <f aca="false">AE61+AE62</f>
        <v>8431011.19916618</v>
      </c>
      <c r="AF63" s="53" t="n">
        <f aca="false">AF61+AF62</f>
        <v>8755916.11808601</v>
      </c>
      <c r="AG63" s="53" t="n">
        <f aca="false">AG61+AG62</f>
        <v>9062454.25057593</v>
      </c>
      <c r="AH63" s="53" t="n">
        <f aca="false">AH61+AH62</f>
        <v>9353953.90803573</v>
      </c>
      <c r="AI63" s="53" t="n">
        <f aca="false">AI61+AI62</f>
        <v>9633600.24515887</v>
      </c>
      <c r="AJ63" s="53" t="n">
        <f aca="false">AJ61+AJ62</f>
        <v>9904476.38617486</v>
      </c>
      <c r="AK63" s="53" t="n">
        <f aca="false">AK61+AK62</f>
        <v>10169599.2488943</v>
      </c>
      <c r="AL63" s="53" t="n">
        <f aca="false">AL61+AL62</f>
        <v>10431954.2406943</v>
      </c>
      <c r="AM63" s="53" t="n">
        <f aca="false">SUM(C63:AL63)</f>
        <v>161642294.641666</v>
      </c>
    </row>
    <row r="64" customFormat="false" ht="15" hidden="false" customHeight="false" outlineLevel="0" collapsed="false">
      <c r="A64" s="10" t="s">
        <v>785</v>
      </c>
      <c r="B64" s="9" t="s">
        <v>97</v>
      </c>
      <c r="C64" s="70" t="n">
        <f aca="false">-C57*Assumptions!$F$73</f>
        <v>-0</v>
      </c>
      <c r="D64" s="70" t="n">
        <f aca="false">-D57*Assumptions!$F$73</f>
        <v>-0</v>
      </c>
      <c r="E64" s="70" t="n">
        <f aca="false">-E57*Assumptions!$F$73</f>
        <v>-0</v>
      </c>
      <c r="F64" s="70" t="n">
        <f aca="false">-F57*Assumptions!$F$73</f>
        <v>-0</v>
      </c>
      <c r="G64" s="70" t="n">
        <f aca="false">-G57*Assumptions!$F$73</f>
        <v>-28231.2481418496</v>
      </c>
      <c r="H64" s="70" t="n">
        <f aca="false">-H57*Assumptions!$F$73</f>
        <v>-63498.0200254307</v>
      </c>
      <c r="I64" s="70" t="n">
        <f aca="false">-I57*Assumptions!$F$73</f>
        <v>-103636.558408036</v>
      </c>
      <c r="J64" s="70" t="n">
        <f aca="false">-J57*Assumptions!$F$73</f>
        <v>-148014.873502777</v>
      </c>
      <c r="K64" s="70" t="n">
        <f aca="false">-K57*Assumptions!$F$73</f>
        <v>-196618.224343137</v>
      </c>
      <c r="L64" s="70" t="n">
        <f aca="false">-L57*Assumptions!$F$73</f>
        <v>-249662.919674448</v>
      </c>
      <c r="M64" s="70" t="n">
        <f aca="false">-M57*Assumptions!$F$73</f>
        <v>-307460.638644225</v>
      </c>
      <c r="N64" s="70" t="n">
        <f aca="false">-N57*Assumptions!$F$73</f>
        <v>-370375.264903571</v>
      </c>
      <c r="O64" s="70" t="n">
        <f aca="false">-O57*Assumptions!$F$73</f>
        <v>-438807.513972137</v>
      </c>
      <c r="P64" s="70" t="n">
        <f aca="false">-P57*Assumptions!$F$73</f>
        <v>-513188.954608151</v>
      </c>
      <c r="Q64" s="70" t="n">
        <f aca="false">-Q57*Assumptions!$F$73</f>
        <v>-593979.908293966</v>
      </c>
      <c r="R64" s="70" t="n">
        <f aca="false">-R57*Assumptions!$F$73</f>
        <v>-681669.324080373</v>
      </c>
      <c r="S64" s="70" t="n">
        <f aca="false">-S57*Assumptions!$F$73</f>
        <v>-776775.860474042</v>
      </c>
      <c r="T64" s="70" t="n">
        <f aca="false">-T57*Assumptions!$F$73</f>
        <v>-874963.971738841</v>
      </c>
      <c r="U64" s="70" t="n">
        <f aca="false">-U57*Assumptions!$F$73</f>
        <v>-974353.203132507</v>
      </c>
      <c r="V64" s="70" t="n">
        <f aca="false">-V57*Assumptions!$F$73</f>
        <v>-1075017.03380345</v>
      </c>
      <c r="W64" s="70" t="n">
        <f aca="false">-W57*Assumptions!$F$73</f>
        <v>-1177051.73745739</v>
      </c>
      <c r="X64" s="70" t="n">
        <f aca="false">-X57*Assumptions!$F$73</f>
        <v>-1280564.48391636</v>
      </c>
      <c r="Y64" s="70" t="n">
        <f aca="false">-Y57*Assumptions!$F$73</f>
        <v>-1385670.40427291</v>
      </c>
      <c r="Z64" s="70" t="n">
        <f aca="false">-Z57*Assumptions!$F$73</f>
        <v>-1492493.30763179</v>
      </c>
      <c r="AA64" s="70" t="n">
        <f aca="false">-AA57*Assumptions!$F$73</f>
        <v>-1601167.31908318</v>
      </c>
      <c r="AB64" s="70" t="n">
        <f aca="false">-AB57*Assumptions!$F$73</f>
        <v>-1709639.86901228</v>
      </c>
      <c r="AC64" s="70" t="n">
        <f aca="false">-AC57*Assumptions!$F$73</f>
        <v>-1811270.20341393</v>
      </c>
      <c r="AD64" s="70" t="n">
        <f aca="false">-AD57*Assumptions!$F$73</f>
        <v>-1905470.09187383</v>
      </c>
      <c r="AE64" s="70" t="n">
        <f aca="false">-AE57*Assumptions!$F$73</f>
        <v>-1992989.71007765</v>
      </c>
      <c r="AF64" s="70" t="n">
        <f aca="false">-AF57*Assumptions!$F$73</f>
        <v>-2074725.01980324</v>
      </c>
      <c r="AG64" s="70" t="n">
        <f aca="false">-AG57*Assumptions!$F$73</f>
        <v>-2151546.92012235</v>
      </c>
      <c r="AH64" s="70" t="n">
        <f aca="false">-AH57*Assumptions!$F$73</f>
        <v>-2224283.72593277</v>
      </c>
      <c r="AI64" s="70" t="n">
        <f aca="false">-AI57*Assumptions!$F$73</f>
        <v>-2293726.33074682</v>
      </c>
      <c r="AJ64" s="70" t="n">
        <f aca="false">-AJ57*Assumptions!$F$73</f>
        <v>-2360636.48203961</v>
      </c>
      <c r="AK64" s="70" t="n">
        <f aca="false">-AK57*Assumptions!$F$73</f>
        <v>-2425755.31222906</v>
      </c>
      <c r="AL64" s="70" t="n">
        <f aca="false">-AL57*Assumptions!$F$73</f>
        <v>-2489811.78172285</v>
      </c>
      <c r="AM64" s="70" t="n">
        <f aca="false">SUM(C64:AL64)</f>
        <v>-37773056.2170829</v>
      </c>
    </row>
    <row r="65" customFormat="false" ht="15" hidden="false" customHeight="false" outlineLevel="0" collapsed="false">
      <c r="A65" s="10" t="s">
        <v>786</v>
      </c>
      <c r="B65" s="9" t="s">
        <v>97</v>
      </c>
      <c r="C65" s="70" t="n">
        <f aca="false">-C54*Assumptions!$F$74</f>
        <v>-0</v>
      </c>
      <c r="D65" s="70" t="n">
        <f aca="false">-D54*Assumptions!$F$74</f>
        <v>-0</v>
      </c>
      <c r="E65" s="70" t="n">
        <f aca="false">-E54*Assumptions!$F$74</f>
        <v>-0</v>
      </c>
      <c r="F65" s="70" t="n">
        <f aca="false">-F54*Assumptions!$F$74</f>
        <v>-0</v>
      </c>
      <c r="G65" s="70" t="n">
        <f aca="false">-G54*Assumptions!$F$74</f>
        <v>-25305.3204632825</v>
      </c>
      <c r="H65" s="70" t="n">
        <f aca="false">-H54*Assumptions!$F$74</f>
        <v>-34015.6777206111</v>
      </c>
      <c r="I65" s="70" t="n">
        <f aca="false">-I54*Assumptions!$F$74</f>
        <v>-41385.6361098228</v>
      </c>
      <c r="J65" s="70" t="n">
        <f aca="false">-J54*Assumptions!$F$74</f>
        <v>-48603.9557588836</v>
      </c>
      <c r="K65" s="70" t="n">
        <f aca="false">-K54*Assumptions!$F$74</f>
        <v>-56170.0964240887</v>
      </c>
      <c r="L65" s="70" t="n">
        <f aca="false">-L54*Assumptions!$F$74</f>
        <v>-64289.9062354364</v>
      </c>
      <c r="M65" s="70" t="n">
        <f aca="false">-M54*Assumptions!$F$74</f>
        <v>-73067.2908359435</v>
      </c>
      <c r="N65" s="70" t="n">
        <f aca="false">-N54*Assumptions!$F$74</f>
        <v>-82575.5849237398</v>
      </c>
      <c r="O65" s="70" t="n">
        <f aca="false">-O54*Assumptions!$F$74</f>
        <v>-92878.7892297196</v>
      </c>
      <c r="P65" s="70" t="n">
        <f aca="false">-P54*Assumptions!$F$74</f>
        <v>-104038.681871926</v>
      </c>
      <c r="Q65" s="70" t="n">
        <f aca="false">-Q54*Assumptions!$F$74</f>
        <v>-116117.785432909</v>
      </c>
      <c r="R65" s="70" t="n">
        <f aca="false">-R54*Assumptions!$F$74</f>
        <v>-129180.958722092</v>
      </c>
      <c r="S65" s="70" t="n">
        <f aca="false">-S54*Assumptions!$F$74</f>
        <v>-143296.468061673</v>
      </c>
      <c r="T65" s="70" t="n">
        <f aca="false">-T54*Assumptions!$F$74</f>
        <v>-154157.371885565</v>
      </c>
      <c r="U65" s="70" t="n">
        <f aca="false">-U54*Assumptions!$F$74</f>
        <v>-163595.122652195</v>
      </c>
      <c r="V65" s="70" t="n">
        <f aca="false">-V54*Assumptions!$F$74</f>
        <v>-173201.017338736</v>
      </c>
      <c r="W65" s="70" t="n">
        <f aca="false">-W54*Assumptions!$F$74</f>
        <v>-183001.745089318</v>
      </c>
      <c r="X65" s="70" t="n">
        <f aca="false">-X54*Assumptions!$F$74</f>
        <v>-193015.270827939</v>
      </c>
      <c r="Y65" s="70" t="n">
        <f aca="false">-Y54*Assumptions!$F$74</f>
        <v>-203257.856653099</v>
      </c>
      <c r="Z65" s="70" t="n">
        <f aca="false">-Z54*Assumptions!$F$74</f>
        <v>-213747.085055281</v>
      </c>
      <c r="AA65" s="70" t="n">
        <f aca="false">-AA54*Assumptions!$F$74</f>
        <v>-224502.745704348</v>
      </c>
      <c r="AB65" s="70" t="n">
        <f aca="false">-AB54*Assumptions!$F$74</f>
        <v>-233576.197415798</v>
      </c>
      <c r="AC65" s="70" t="n">
        <f aca="false">-AC54*Assumptions!$F$74</f>
        <v>-236679.997273117</v>
      </c>
      <c r="AD65" s="70" t="n">
        <f aca="false">-AD54*Assumptions!$F$74</f>
        <v>-238673.889330392</v>
      </c>
      <c r="AE65" s="70" t="n">
        <f aca="false">-AE54*Assumptions!$F$74</f>
        <v>-240707.475120976</v>
      </c>
      <c r="AF65" s="70" t="n">
        <f aca="false">-AF54*Assumptions!$F$74</f>
        <v>-242975.311760642</v>
      </c>
      <c r="AG65" s="70" t="n">
        <f aca="false">-AG54*Assumptions!$F$74</f>
        <v>-245531.22886312</v>
      </c>
      <c r="AH65" s="70" t="n">
        <f aca="false">-AH54*Assumptions!$F$74</f>
        <v>-248411.216333479</v>
      </c>
      <c r="AI65" s="70" t="n">
        <f aca="false">-AI54*Assumptions!$F$74</f>
        <v>-251652.265571017</v>
      </c>
      <c r="AJ65" s="70" t="n">
        <f aca="false">-AJ54*Assumptions!$F$74</f>
        <v>-255295.599071134</v>
      </c>
      <c r="AK65" s="70" t="n">
        <f aca="false">-AK54*Assumptions!$F$74</f>
        <v>-259387.604242656</v>
      </c>
      <c r="AL65" s="70" t="n">
        <f aca="false">-AL54*Assumptions!$F$74</f>
        <v>-263980.481035788</v>
      </c>
      <c r="AM65" s="70" t="n">
        <f aca="false">SUM(C65:AL65)</f>
        <v>-5236275.63301473</v>
      </c>
    </row>
    <row r="66" customFormat="false" ht="15" hidden="false" customHeight="false" outlineLevel="0" collapsed="false">
      <c r="A66" s="10" t="s">
        <v>787</v>
      </c>
      <c r="B66" s="9" t="s">
        <v>97</v>
      </c>
      <c r="C66" s="70" t="n">
        <f aca="false">-C57*Assumptions!$F$75</f>
        <v>-0</v>
      </c>
      <c r="D66" s="70" t="n">
        <f aca="false">-D57*Assumptions!$F$75</f>
        <v>-0</v>
      </c>
      <c r="E66" s="70" t="n">
        <f aca="false">-E57*Assumptions!$F$75</f>
        <v>-0</v>
      </c>
      <c r="F66" s="70" t="n">
        <f aca="false">-F57*Assumptions!$F$75</f>
        <v>-0</v>
      </c>
      <c r="G66" s="70" t="n">
        <f aca="false">-G57*Assumptions!$F$75</f>
        <v>-2446.70817229363</v>
      </c>
      <c r="H66" s="70" t="n">
        <f aca="false">-H57*Assumptions!$F$75</f>
        <v>-5503.16173553732</v>
      </c>
      <c r="I66" s="70" t="n">
        <f aca="false">-I57*Assumptions!$F$75</f>
        <v>-8981.83506202977</v>
      </c>
      <c r="J66" s="70" t="n">
        <f aca="false">-J57*Assumptions!$F$75</f>
        <v>-12827.955703574</v>
      </c>
      <c r="K66" s="70" t="n">
        <f aca="false">-K57*Assumptions!$F$75</f>
        <v>-17040.2461097386</v>
      </c>
      <c r="L66" s="70" t="n">
        <f aca="false">-L57*Assumptions!$F$75</f>
        <v>-21637.4530384522</v>
      </c>
      <c r="M66" s="70" t="n">
        <f aca="false">-M57*Assumptions!$F$75</f>
        <v>-26646.5886824995</v>
      </c>
      <c r="N66" s="70" t="n">
        <f aca="false">-N57*Assumptions!$F$75</f>
        <v>-32099.1896249761</v>
      </c>
      <c r="O66" s="70" t="n">
        <f aca="false">-O57*Assumptions!$F$75</f>
        <v>-38029.9845442519</v>
      </c>
      <c r="P66" s="70" t="n">
        <f aca="false">-P57*Assumptions!$F$75</f>
        <v>-44476.3760660398</v>
      </c>
      <c r="Q66" s="70" t="n">
        <f aca="false">-Q57*Assumptions!$F$75</f>
        <v>-51478.2587188104</v>
      </c>
      <c r="R66" s="70" t="n">
        <f aca="false">-R57*Assumptions!$F$75</f>
        <v>-59078.0080869657</v>
      </c>
      <c r="S66" s="70" t="n">
        <f aca="false">-S57*Assumptions!$F$75</f>
        <v>-67320.574574417</v>
      </c>
      <c r="T66" s="70" t="n">
        <f aca="false">-T57*Assumptions!$F$75</f>
        <v>-75830.2108840329</v>
      </c>
      <c r="U66" s="70" t="n">
        <f aca="false">-U57*Assumptions!$F$75</f>
        <v>-84443.9442714839</v>
      </c>
      <c r="V66" s="70" t="n">
        <f aca="false">-V57*Assumptions!$F$75</f>
        <v>-93168.142929632</v>
      </c>
      <c r="W66" s="70" t="n">
        <f aca="false">-W57*Assumptions!$F$75</f>
        <v>-102011.15057964</v>
      </c>
      <c r="X66" s="70" t="n">
        <f aca="false">-X57*Assumptions!$F$75</f>
        <v>-110982.255272751</v>
      </c>
      <c r="Y66" s="70" t="n">
        <f aca="false">-Y57*Assumptions!$F$75</f>
        <v>-120091.435036986</v>
      </c>
      <c r="Z66" s="70" t="n">
        <f aca="false">-Z57*Assumptions!$F$75</f>
        <v>-129349.419994755</v>
      </c>
      <c r="AA66" s="70" t="n">
        <f aca="false">-AA57*Assumptions!$F$75</f>
        <v>-138767.834320542</v>
      </c>
      <c r="AB66" s="70" t="n">
        <f aca="false">-AB57*Assumptions!$F$75</f>
        <v>-148168.788647731</v>
      </c>
      <c r="AC66" s="70" t="n">
        <f aca="false">-AC57*Assumptions!$F$75</f>
        <v>-156976.750962541</v>
      </c>
      <c r="AD66" s="70" t="n">
        <f aca="false">-AD57*Assumptions!$F$75</f>
        <v>-165140.741295732</v>
      </c>
      <c r="AE66" s="70" t="n">
        <f aca="false">-AE57*Assumptions!$F$75</f>
        <v>-172725.774873397</v>
      </c>
      <c r="AF66" s="70" t="n">
        <f aca="false">-AF57*Assumptions!$F$75</f>
        <v>-179809.501716281</v>
      </c>
      <c r="AG66" s="70" t="n">
        <f aca="false">-AG57*Assumptions!$F$75</f>
        <v>-186467.399743937</v>
      </c>
      <c r="AH66" s="70" t="n">
        <f aca="false">-AH57*Assumptions!$F$75</f>
        <v>-192771.256247506</v>
      </c>
      <c r="AI66" s="70" t="n">
        <f aca="false">-AI57*Assumptions!$F$75</f>
        <v>-198789.615331391</v>
      </c>
      <c r="AJ66" s="70" t="n">
        <f aca="false">-AJ57*Assumptions!$F$75</f>
        <v>-204588.495110099</v>
      </c>
      <c r="AK66" s="70" t="n">
        <f aca="false">-AK57*Assumptions!$F$75</f>
        <v>-210232.127059852</v>
      </c>
      <c r="AL66" s="70" t="n">
        <f aca="false">-AL57*Assumptions!$F$75</f>
        <v>-215783.687749313</v>
      </c>
      <c r="AM66" s="70" t="n">
        <f aca="false">SUM(C66:AL66)</f>
        <v>-3273664.87214719</v>
      </c>
    </row>
    <row r="67" customFormat="false" ht="15" hidden="false" customHeight="false" outlineLevel="0" collapsed="false">
      <c r="A67" s="10" t="s">
        <v>788</v>
      </c>
      <c r="B67" s="9" t="s">
        <v>97</v>
      </c>
      <c r="C67" s="70" t="n">
        <f aca="false">-C57*Assumptions!$F$76</f>
        <v>-0</v>
      </c>
      <c r="D67" s="70" t="n">
        <f aca="false">-D57*Assumptions!$F$76</f>
        <v>-0</v>
      </c>
      <c r="E67" s="70" t="n">
        <f aca="false">-E57*Assumptions!$F$76</f>
        <v>-0</v>
      </c>
      <c r="F67" s="70" t="n">
        <f aca="false">-F57*Assumptions!$F$76</f>
        <v>-0</v>
      </c>
      <c r="G67" s="70" t="n">
        <f aca="false">-G57*Assumptions!$F$76</f>
        <v>-5646.24962836992</v>
      </c>
      <c r="H67" s="70" t="n">
        <f aca="false">-H57*Assumptions!$F$76</f>
        <v>-12699.6040050861</v>
      </c>
      <c r="I67" s="70" t="n">
        <f aca="false">-I57*Assumptions!$F$76</f>
        <v>-20727.3116816072</v>
      </c>
      <c r="J67" s="70" t="n">
        <f aca="false">-J57*Assumptions!$F$76</f>
        <v>-29602.9747005554</v>
      </c>
      <c r="K67" s="70" t="n">
        <f aca="false">-K57*Assumptions!$F$76</f>
        <v>-39323.6448686274</v>
      </c>
      <c r="L67" s="70" t="n">
        <f aca="false">-L57*Assumptions!$F$76</f>
        <v>-49932.5839348896</v>
      </c>
      <c r="M67" s="70" t="n">
        <f aca="false">-M57*Assumptions!$F$76</f>
        <v>-61492.127728845</v>
      </c>
      <c r="N67" s="70" t="n">
        <f aca="false">-N57*Assumptions!$F$76</f>
        <v>-74075.0529807141</v>
      </c>
      <c r="O67" s="70" t="n">
        <f aca="false">-O57*Assumptions!$F$76</f>
        <v>-87761.5027944275</v>
      </c>
      <c r="P67" s="70" t="n">
        <f aca="false">-P57*Assumptions!$F$76</f>
        <v>-102637.79092163</v>
      </c>
      <c r="Q67" s="70" t="n">
        <f aca="false">-Q57*Assumptions!$F$76</f>
        <v>-118795.981658793</v>
      </c>
      <c r="R67" s="70" t="n">
        <f aca="false">-R57*Assumptions!$F$76</f>
        <v>-136333.864816075</v>
      </c>
      <c r="S67" s="70" t="n">
        <f aca="false">-S57*Assumptions!$F$76</f>
        <v>-155355.172094808</v>
      </c>
      <c r="T67" s="70" t="n">
        <f aca="false">-T57*Assumptions!$F$76</f>
        <v>-174992.794347768</v>
      </c>
      <c r="U67" s="70" t="n">
        <f aca="false">-U57*Assumptions!$F$76</f>
        <v>-194870.640626501</v>
      </c>
      <c r="V67" s="70" t="n">
        <f aca="false">-V57*Assumptions!$F$76</f>
        <v>-215003.406760689</v>
      </c>
      <c r="W67" s="70" t="n">
        <f aca="false">-W57*Assumptions!$F$76</f>
        <v>-235410.347491478</v>
      </c>
      <c r="X67" s="70" t="n">
        <f aca="false">-X57*Assumptions!$F$76</f>
        <v>-256112.896783271</v>
      </c>
      <c r="Y67" s="70" t="n">
        <f aca="false">-Y57*Assumptions!$F$76</f>
        <v>-277134.080854583</v>
      </c>
      <c r="Z67" s="70" t="n">
        <f aca="false">-Z57*Assumptions!$F$76</f>
        <v>-298498.661526357</v>
      </c>
      <c r="AA67" s="70" t="n">
        <f aca="false">-AA57*Assumptions!$F$76</f>
        <v>-320233.463816636</v>
      </c>
      <c r="AB67" s="70" t="n">
        <f aca="false">-AB57*Assumptions!$F$76</f>
        <v>-341927.973802455</v>
      </c>
      <c r="AC67" s="70" t="n">
        <f aca="false">-AC57*Assumptions!$F$76</f>
        <v>-362254.040682787</v>
      </c>
      <c r="AD67" s="70" t="n">
        <f aca="false">-AD57*Assumptions!$F$76</f>
        <v>-381094.018374766</v>
      </c>
      <c r="AE67" s="70" t="n">
        <f aca="false">-AE57*Assumptions!$F$76</f>
        <v>-398597.942015531</v>
      </c>
      <c r="AF67" s="70" t="n">
        <f aca="false">-AF57*Assumptions!$F$76</f>
        <v>-414945.003960648</v>
      </c>
      <c r="AG67" s="70" t="n">
        <f aca="false">-AG57*Assumptions!$F$76</f>
        <v>-430309.384024471</v>
      </c>
      <c r="AH67" s="70" t="n">
        <f aca="false">-AH57*Assumptions!$F$76</f>
        <v>-444856.745186553</v>
      </c>
      <c r="AI67" s="70" t="n">
        <f aca="false">-AI57*Assumptions!$F$76</f>
        <v>-458745.266149364</v>
      </c>
      <c r="AJ67" s="70" t="n">
        <f aca="false">-AJ57*Assumptions!$F$76</f>
        <v>-472127.296407921</v>
      </c>
      <c r="AK67" s="70" t="n">
        <f aca="false">-AK57*Assumptions!$F$76</f>
        <v>-485151.062445811</v>
      </c>
      <c r="AL67" s="70" t="n">
        <f aca="false">-AL57*Assumptions!$F$76</f>
        <v>-497962.356344569</v>
      </c>
      <c r="AM67" s="70" t="n">
        <f aca="false">SUM(C67:AL67)</f>
        <v>-7554611.24341659</v>
      </c>
    </row>
    <row r="68" customFormat="false" ht="15" hidden="false" customHeight="false" outlineLevel="0" collapsed="false">
      <c r="A68" s="10" t="s">
        <v>789</v>
      </c>
      <c r="B68" s="9" t="s">
        <v>97</v>
      </c>
      <c r="C68" s="70" t="n">
        <f aca="false">-C57*Assumptions!$F$77</f>
        <v>-0</v>
      </c>
      <c r="D68" s="70" t="n">
        <f aca="false">-D57*Assumptions!$F$77</f>
        <v>-0</v>
      </c>
      <c r="E68" s="70" t="n">
        <f aca="false">-E57*Assumptions!$F$77</f>
        <v>-0</v>
      </c>
      <c r="F68" s="70" t="n">
        <f aca="false">-F57*Assumptions!$F$77</f>
        <v>-0</v>
      </c>
      <c r="G68" s="70" t="n">
        <f aca="false">-G57*Assumptions!$F$77</f>
        <v>-1317.45824661965</v>
      </c>
      <c r="H68" s="70" t="n">
        <f aca="false">-H57*Assumptions!$F$77</f>
        <v>-2963.2409345201</v>
      </c>
      <c r="I68" s="70" t="n">
        <f aca="false">-I57*Assumptions!$F$77</f>
        <v>-4836.37272570834</v>
      </c>
      <c r="J68" s="70" t="n">
        <f aca="false">-J57*Assumptions!$F$77</f>
        <v>-6907.36076346293</v>
      </c>
      <c r="K68" s="70" t="n">
        <f aca="false">-K57*Assumptions!$F$77</f>
        <v>-9175.51713601307</v>
      </c>
      <c r="L68" s="70" t="n">
        <f aca="false">-L57*Assumptions!$F$77</f>
        <v>-11650.9362514742</v>
      </c>
      <c r="M68" s="70" t="n">
        <f aca="false">-M57*Assumptions!$F$77</f>
        <v>-14348.1631367305</v>
      </c>
      <c r="N68" s="70" t="n">
        <f aca="false">-N57*Assumptions!$F$77</f>
        <v>-17284.1790288333</v>
      </c>
      <c r="O68" s="70" t="n">
        <f aca="false">-O57*Assumptions!$F$77</f>
        <v>-20477.6839853664</v>
      </c>
      <c r="P68" s="70" t="n">
        <f aca="false">-P57*Assumptions!$F$77</f>
        <v>-23948.8178817137</v>
      </c>
      <c r="Q68" s="70" t="n">
        <f aca="false">-Q57*Assumptions!$F$77</f>
        <v>-27719.0623870517</v>
      </c>
      <c r="R68" s="70" t="n">
        <f aca="false">-R57*Assumptions!$F$77</f>
        <v>-31811.2351237508</v>
      </c>
      <c r="S68" s="70" t="n">
        <f aca="false">-S57*Assumptions!$F$77</f>
        <v>-36249.5401554553</v>
      </c>
      <c r="T68" s="70" t="n">
        <f aca="false">-T57*Assumptions!$F$77</f>
        <v>-40831.6520144792</v>
      </c>
      <c r="U68" s="70" t="n">
        <f aca="false">-U57*Assumptions!$F$77</f>
        <v>-45469.8161461836</v>
      </c>
      <c r="V68" s="70" t="n">
        <f aca="false">-V57*Assumptions!$F$77</f>
        <v>-50167.4615774941</v>
      </c>
      <c r="W68" s="70" t="n">
        <f aca="false">-W57*Assumptions!$F$77</f>
        <v>-54929.0810813448</v>
      </c>
      <c r="X68" s="70" t="n">
        <f aca="false">-X57*Assumptions!$F$77</f>
        <v>-59759.6759160966</v>
      </c>
      <c r="Y68" s="70" t="n">
        <f aca="false">-Y57*Assumptions!$F$77</f>
        <v>-64664.6188660694</v>
      </c>
      <c r="Z68" s="70" t="n">
        <f aca="false">-Z57*Assumptions!$F$77</f>
        <v>-69649.6876894834</v>
      </c>
      <c r="AA68" s="70" t="n">
        <f aca="false">-AA57*Assumptions!$F$77</f>
        <v>-74721.1415572151</v>
      </c>
      <c r="AB68" s="70" t="n">
        <f aca="false">-AB57*Assumptions!$F$77</f>
        <v>-79783.1938872396</v>
      </c>
      <c r="AC68" s="70" t="n">
        <f aca="false">-AC57*Assumptions!$F$77</f>
        <v>-84525.9428259835</v>
      </c>
      <c r="AD68" s="70" t="n">
        <f aca="false">-AD57*Assumptions!$F$77</f>
        <v>-88921.9376207786</v>
      </c>
      <c r="AE68" s="70" t="n">
        <f aca="false">-AE57*Assumptions!$F$77</f>
        <v>-93006.1864702905</v>
      </c>
      <c r="AF68" s="70" t="n">
        <f aca="false">-AF57*Assumptions!$F$77</f>
        <v>-96820.5009241513</v>
      </c>
      <c r="AG68" s="70" t="n">
        <f aca="false">-AG57*Assumptions!$F$77</f>
        <v>-100405.522939043</v>
      </c>
      <c r="AH68" s="70" t="n">
        <f aca="false">-AH57*Assumptions!$F$77</f>
        <v>-103799.907210196</v>
      </c>
      <c r="AI68" s="70" t="n">
        <f aca="false">-AI57*Assumptions!$F$77</f>
        <v>-107040.562101518</v>
      </c>
      <c r="AJ68" s="70" t="n">
        <f aca="false">-AJ57*Assumptions!$F$77</f>
        <v>-110163.035828515</v>
      </c>
      <c r="AK68" s="70" t="n">
        <f aca="false">-AK57*Assumptions!$F$77</f>
        <v>-113201.914570689</v>
      </c>
      <c r="AL68" s="70" t="n">
        <f aca="false">-AL57*Assumptions!$F$77</f>
        <v>-116191.2164804</v>
      </c>
      <c r="AM68" s="70" t="n">
        <f aca="false">SUM(C68:AL68)</f>
        <v>-1762742.62346387</v>
      </c>
    </row>
    <row r="69" customFormat="false" ht="15" hidden="false" customHeight="false" outlineLevel="0" collapsed="false">
      <c r="A69" s="10" t="s">
        <v>790</v>
      </c>
      <c r="B69" s="9" t="s">
        <v>97</v>
      </c>
      <c r="C69" s="70" t="n">
        <f aca="false">-C63*Assumptions!$F$79</f>
        <v>-0</v>
      </c>
      <c r="D69" s="70" t="n">
        <f aca="false">-D63*Assumptions!$F$79</f>
        <v>-0</v>
      </c>
      <c r="E69" s="70" t="n">
        <f aca="false">-E63*Assumptions!$F$79</f>
        <v>-0</v>
      </c>
      <c r="F69" s="70" t="n">
        <f aca="false">-F63*Assumptions!$F$79</f>
        <v>-0</v>
      </c>
      <c r="G69" s="70" t="n">
        <f aca="false">-G63*Assumptions!$F$79</f>
        <v>-4846.55894163189</v>
      </c>
      <c r="H69" s="70" t="n">
        <f aca="false">-H63*Assumptions!$F$79</f>
        <v>-9204.41718048811</v>
      </c>
      <c r="I69" s="70" t="n">
        <f aca="false">-I63*Assumptions!$F$79</f>
        <v>-13975.8397792067</v>
      </c>
      <c r="J69" s="70" t="n">
        <f aca="false">-J63*Assumptions!$F$79</f>
        <v>-19182.3585161489</v>
      </c>
      <c r="K69" s="70" t="n">
        <f aca="false">-K63*Assumptions!$F$79</f>
        <v>-24859.421226767</v>
      </c>
      <c r="L69" s="70" t="n">
        <f aca="false">-L63*Assumptions!$F$79</f>
        <v>-31045.048240038</v>
      </c>
      <c r="M69" s="70" t="n">
        <f aca="false">-M63*Assumptions!$F$79</f>
        <v>-37779.7478789107</v>
      </c>
      <c r="N69" s="70" t="n">
        <f aca="false">-N63*Assumptions!$F$79</f>
        <v>-45107.2594594716</v>
      </c>
      <c r="O69" s="70" t="n">
        <f aca="false">-O63*Assumptions!$F$79</f>
        <v>-53074.5082052651</v>
      </c>
      <c r="P69" s="70" t="n">
        <f aca="false">-P63*Assumptions!$F$79</f>
        <v>-61731.5026698224</v>
      </c>
      <c r="Q69" s="70" t="n">
        <f aca="false">-Q63*Assumptions!$F$79</f>
        <v>-71131.3334105826</v>
      </c>
      <c r="R69" s="70" t="n">
        <f aca="false">-R63*Assumptions!$F$79</f>
        <v>-81330.2777302061</v>
      </c>
      <c r="S69" s="70" t="n">
        <f aca="false">-S63*Assumptions!$F$79</f>
        <v>-92387.9929290871</v>
      </c>
      <c r="T69" s="70" t="n">
        <f aca="false">-T63*Assumptions!$F$79</f>
        <v>-103529.012427493</v>
      </c>
      <c r="U69" s="70" t="n">
        <f aca="false">-U63*Assumptions!$F$79</f>
        <v>-114691.049919649</v>
      </c>
      <c r="V69" s="70" t="n">
        <f aca="false">-V63*Assumptions!$F$79</f>
        <v>-125999.722914286</v>
      </c>
      <c r="W69" s="70" t="n">
        <f aca="false">-W63*Assumptions!$F$79</f>
        <v>-137467.143443231</v>
      </c>
      <c r="X69" s="70" t="n">
        <f aca="false">-X63*Assumptions!$F$79</f>
        <v>-149105.924308991</v>
      </c>
      <c r="Y69" s="70" t="n">
        <f aca="false">-Y63*Assumptions!$F$79</f>
        <v>-160929.390268131</v>
      </c>
      <c r="Z69" s="70" t="n">
        <f aca="false">-Z63*Assumptions!$F$79</f>
        <v>-172951.877441975</v>
      </c>
      <c r="AA69" s="70" t="n">
        <f aca="false">-AA63*Assumptions!$F$79</f>
        <v>-185188.971441823</v>
      </c>
      <c r="AB69" s="70" t="n">
        <f aca="false">-AB63*Assumptions!$F$79</f>
        <v>-197280.240285379</v>
      </c>
      <c r="AC69" s="70" t="n">
        <f aca="false">-AC63*Assumptions!$F$79</f>
        <v>-208208.988139374</v>
      </c>
      <c r="AD69" s="70" t="n">
        <f aca="false">-AD63*Assumptions!$F$79</f>
        <v>-218273.297453787</v>
      </c>
      <c r="AE69" s="70" t="n">
        <f aca="false">-AE63*Assumptions!$F$79</f>
        <v>-227637.302377487</v>
      </c>
      <c r="AF69" s="70" t="n">
        <f aca="false">-AF63*Assumptions!$F$79</f>
        <v>-236409.735188322</v>
      </c>
      <c r="AG69" s="70" t="n">
        <f aca="false">-AG63*Assumptions!$F$79</f>
        <v>-244686.26476555</v>
      </c>
      <c r="AH69" s="70" t="n">
        <f aca="false">-AH63*Assumptions!$F$79</f>
        <v>-252556.755516965</v>
      </c>
      <c r="AI69" s="70" t="n">
        <f aca="false">-AI63*Assumptions!$F$79</f>
        <v>-260107.20661929</v>
      </c>
      <c r="AJ69" s="70" t="n">
        <f aca="false">-AJ63*Assumptions!$F$79</f>
        <v>-267420.862426721</v>
      </c>
      <c r="AK69" s="70" t="n">
        <f aca="false">-AK63*Assumptions!$F$79</f>
        <v>-274579.179720146</v>
      </c>
      <c r="AL69" s="70" t="n">
        <f aca="false">-AL63*Assumptions!$F$79</f>
        <v>-281662.764498747</v>
      </c>
      <c r="AM69" s="70" t="n">
        <f aca="false">SUM(C69:AL69)</f>
        <v>-4364341.95532497</v>
      </c>
    </row>
    <row r="70" customFormat="false" ht="15" hidden="false" customHeight="false" outlineLevel="0" collapsed="false">
      <c r="A70" s="37" t="s">
        <v>791</v>
      </c>
      <c r="B70" s="9" t="s">
        <v>97</v>
      </c>
      <c r="C70" s="53" t="n">
        <f aca="false">C63+C64+C65+C66+C67+C68+C69</f>
        <v>0</v>
      </c>
      <c r="D70" s="53" t="n">
        <f aca="false">D63+D64+D65+D66+D67+D68+D69</f>
        <v>0</v>
      </c>
      <c r="E70" s="53" t="n">
        <f aca="false">E63+E64+E65+E66+E67+E68+E69</f>
        <v>0</v>
      </c>
      <c r="F70" s="53" t="n">
        <f aca="false">F63+F64+F65+F66+F67+F68+F69</f>
        <v>0</v>
      </c>
      <c r="G70" s="53" t="n">
        <f aca="false">G63+G64+G65+G66+G67+G68+G69</f>
        <v>111708.639429356</v>
      </c>
      <c r="H70" s="53" t="n">
        <f aca="false">H63+H64+H65+H66+H67+H68+H69</f>
        <v>213020.218416405</v>
      </c>
      <c r="I70" s="53" t="n">
        <f aca="false">I63+I64+I65+I66+I67+I68+I69</f>
        <v>324080.141759765</v>
      </c>
      <c r="J70" s="53" t="n">
        <f aca="false">J63+J64+J65+J66+J67+J68+J69</f>
        <v>445318.243874928</v>
      </c>
      <c r="K70" s="53" t="n">
        <f aca="false">K63+K64+K65+K66+K67+K68+K69</f>
        <v>577532.154586701</v>
      </c>
      <c r="L70" s="53" t="n">
        <f aca="false">L63+L64+L65+L66+L67+L68+L69</f>
        <v>721597.754108149</v>
      </c>
      <c r="M70" s="53" t="n">
        <f aca="false">M63+M64+M65+M66+M67+M68+M69</f>
        <v>878455.364533983</v>
      </c>
      <c r="N70" s="53" t="n">
        <f aca="false">N63+N64+N65+N66+N67+N68+N69</f>
        <v>1049122.70831838</v>
      </c>
      <c r="O70" s="53" t="n">
        <f aca="false">O63+O64+O65+O66+O67+O68+O69</f>
        <v>1234692.54338976</v>
      </c>
      <c r="P70" s="53" t="n">
        <f aca="false">P63+P64+P65+P66+P67+P68+P69</f>
        <v>1436329.82671488</v>
      </c>
      <c r="Q70" s="53" t="n">
        <f aca="false">Q63+Q64+Q65+Q66+Q67+Q68+Q69</f>
        <v>1655271.50011947</v>
      </c>
      <c r="R70" s="53" t="n">
        <f aca="false">R63+R64+R65+R66+R67+R68+R69</f>
        <v>1892828.83996669</v>
      </c>
      <c r="S70" s="53" t="n">
        <f aca="false">S63+S64+S65+S66+S67+S68+S69</f>
        <v>2150391.90760263</v>
      </c>
      <c r="T70" s="53" t="n">
        <f aca="false">T63+T64+T65+T66+T67+T68+T69</f>
        <v>2410102.85438673</v>
      </c>
      <c r="U70" s="53" t="n">
        <f aca="false">U63+U64+U65+U66+U67+U68+U69</f>
        <v>2670392.88694218</v>
      </c>
      <c r="V70" s="53" t="n">
        <f aca="false">V63+V64+V65+V66+V67+V68+V69</f>
        <v>2934099.61890854</v>
      </c>
      <c r="W70" s="53" t="n">
        <f aca="false">W63+W64+W65+W66+W67+W68+W69</f>
        <v>3201504.47794024</v>
      </c>
      <c r="X70" s="53" t="n">
        <f aca="false">X63+X64+X65+X66+X67+X68+X69</f>
        <v>3472901.13404833</v>
      </c>
      <c r="Y70" s="53" t="n">
        <f aca="false">Y63+Y64+Y65+Y66+Y67+Y68+Y69</f>
        <v>3748600.00175676</v>
      </c>
      <c r="Z70" s="53" t="n">
        <f aca="false">Z63+Z64+Z65+Z66+Z67+Z68+Z69</f>
        <v>4028935.05110389</v>
      </c>
      <c r="AA70" s="53" t="n">
        <f aca="false">AA63+AA64+AA65+AA66+AA67+AA68+AA69</f>
        <v>4314269.31821784</v>
      </c>
      <c r="AB70" s="53" t="n">
        <f aca="false">AB63+AB64+AB65+AB66+AB67+AB68+AB69</f>
        <v>4596299.30307426</v>
      </c>
      <c r="AC70" s="53" t="n">
        <f aca="false">AC63+AC64+AC65+AC66+AC67+AC68+AC69</f>
        <v>4851528.08186427</v>
      </c>
      <c r="AD70" s="53" t="n">
        <f aca="false">AD63+AD64+AD65+AD66+AD67+AD68+AD69</f>
        <v>5086622.22604281</v>
      </c>
      <c r="AE70" s="53" t="n">
        <f aca="false">AE63+AE64+AE65+AE66+AE67+AE68+AE69</f>
        <v>5305346.80823085</v>
      </c>
      <c r="AF70" s="53" t="n">
        <f aca="false">AF63+AF64+AF65+AF66+AF67+AF68+AF69</f>
        <v>5510231.04473272</v>
      </c>
      <c r="AG70" s="53" t="n">
        <f aca="false">AG63+AG64+AG65+AG66+AG67+AG68+AG69</f>
        <v>5703507.53011746</v>
      </c>
      <c r="AH70" s="53" t="n">
        <f aca="false">AH63+AH64+AH65+AH66+AH67+AH68+AH69</f>
        <v>5887274.30160827</v>
      </c>
      <c r="AI70" s="53" t="n">
        <f aca="false">AI63+AI64+AI65+AI66+AI67+AI68+AI69</f>
        <v>6063538.99863948</v>
      </c>
      <c r="AJ70" s="53" t="n">
        <f aca="false">AJ63+AJ64+AJ65+AJ66+AJ67+AJ68+AJ69</f>
        <v>6234244.61529086</v>
      </c>
      <c r="AK70" s="53" t="n">
        <f aca="false">AK63+AK64+AK65+AK66+AK67+AK68+AK69</f>
        <v>6401292.0486261</v>
      </c>
      <c r="AL70" s="53" t="n">
        <f aca="false">AL63+AL64+AL65+AL66+AL67+AL68+AL69</f>
        <v>6566561.95286268</v>
      </c>
      <c r="AM70" s="53" t="n">
        <f aca="false">SUM(C70:AL70)</f>
        <v>101677602.097215</v>
      </c>
    </row>
    <row r="71" customFormat="false" ht="15" hidden="false" customHeight="false" outlineLevel="0" collapsed="false">
      <c r="A71" s="10" t="s">
        <v>792</v>
      </c>
      <c r="B71" s="9" t="s">
        <v>61</v>
      </c>
      <c r="C71" s="62" t="n">
        <f aca="false">IFERROR(C70/C63,0)</f>
        <v>0</v>
      </c>
      <c r="D71" s="62" t="n">
        <f aca="false">IFERROR(D70/D63,0)</f>
        <v>0</v>
      </c>
      <c r="E71" s="62" t="n">
        <f aca="false">IFERROR(E70/E63,0)</f>
        <v>0</v>
      </c>
      <c r="F71" s="62" t="n">
        <f aca="false">IFERROR(F70/F63,0)</f>
        <v>0</v>
      </c>
      <c r="G71" s="62" t="n">
        <f aca="false">IFERROR(G70/G63,0)</f>
        <v>0.622324684568275</v>
      </c>
      <c r="H71" s="62" t="n">
        <f aca="false">IFERROR(H70/H63,0)</f>
        <v>0.624868015482315</v>
      </c>
      <c r="I71" s="62" t="n">
        <f aca="false">IFERROR(I70/I63,0)</f>
        <v>0.626092168037884</v>
      </c>
      <c r="J71" s="62" t="n">
        <f aca="false">IFERROR(J70/J63,0)</f>
        <v>0.626804705714412</v>
      </c>
      <c r="K71" s="62" t="n">
        <f aca="false">IFERROR(K70/K63,0)</f>
        <v>0.627261915376011</v>
      </c>
      <c r="L71" s="62" t="n">
        <f aca="false">IFERROR(L70/L63,0)</f>
        <v>0.627576391902434</v>
      </c>
      <c r="M71" s="62" t="n">
        <f aca="false">IFERROR(M70/M63,0)</f>
        <v>0.627804476579303</v>
      </c>
      <c r="N71" s="62" t="n">
        <f aca="false">IFERROR(N70/N63,0)</f>
        <v>0.627976814908191</v>
      </c>
      <c r="O71" s="62" t="n">
        <f aca="false">IFERROR(O70/O63,0)</f>
        <v>0.628111306139555</v>
      </c>
      <c r="P71" s="62" t="n">
        <f aca="false">IFERROR(P70/P63,0)</f>
        <v>0.628219039616217</v>
      </c>
      <c r="Q71" s="62" t="n">
        <f aca="false">IFERROR(Q70/Q63,0)</f>
        <v>0.628307222152769</v>
      </c>
      <c r="R71" s="62" t="n">
        <f aca="false">IFERROR(R70/R63,0)</f>
        <v>0.628380722473786</v>
      </c>
      <c r="S71" s="62" t="n">
        <f aca="false">IFERROR(S70/S63,0)</f>
        <v>0.628442935759366</v>
      </c>
      <c r="T71" s="62" t="n">
        <f aca="false">IFERROR(T70/T63,0)</f>
        <v>0.628546293861501</v>
      </c>
      <c r="U71" s="62" t="n">
        <f aca="false">IFERROR(U70/U63,0)</f>
        <v>0.628650692429371</v>
      </c>
      <c r="V71" s="62" t="n">
        <f aca="false">IFERROR(V70/V63,0)</f>
        <v>0.628737015274407</v>
      </c>
      <c r="W71" s="62" t="n">
        <f aca="false">IFERROR(W70/W63,0)</f>
        <v>0.628809319370801</v>
      </c>
      <c r="X71" s="62" t="n">
        <f aca="false">IFERROR(X70/X63,0)</f>
        <v>0.628870590178494</v>
      </c>
      <c r="Y71" s="62" t="n">
        <f aca="false">IFERROR(Y70/Y63,0)</f>
        <v>0.6289230318887</v>
      </c>
      <c r="Z71" s="62" t="n">
        <f aca="false">IFERROR(Z70/Z63,0)</f>
        <v>0.62896828868655</v>
      </c>
      <c r="AA71" s="62" t="n">
        <f aca="false">IFERROR(AA70/AA63,0)</f>
        <v>0.629007606041354</v>
      </c>
      <c r="AB71" s="62" t="n">
        <f aca="false">IFERROR(AB70/AB63,0)</f>
        <v>0.62905479536869</v>
      </c>
      <c r="AC71" s="62" t="n">
        <f aca="false">IFERROR(AC70/AC63,0)</f>
        <v>0.629133542124754</v>
      </c>
      <c r="AD71" s="62" t="n">
        <f aca="false">IFERROR(AD70/AD63,0)</f>
        <v>0.629205687114493</v>
      </c>
      <c r="AE71" s="62" t="n">
        <f aca="false">IFERROR(AE70/AE63,0)</f>
        <v>0.629265776417845</v>
      </c>
      <c r="AF71" s="62" t="n">
        <f aca="false">IFERROR(AF70/AF63,0)</f>
        <v>0.629315193341211</v>
      </c>
      <c r="AG71" s="62" t="n">
        <f aca="false">IFERROR(AG70/AG63,0)</f>
        <v>0.629355732168799</v>
      </c>
      <c r="AH71" s="62" t="n">
        <f aca="false">IFERROR(AH70/AH63,0)</f>
        <v>0.629388850906211</v>
      </c>
      <c r="AI71" s="62" t="n">
        <f aca="false">IFERROR(AI70/AI63,0)</f>
        <v>0.629415674756336</v>
      </c>
      <c r="AJ71" s="62" t="n">
        <f aca="false">IFERROR(AJ70/AJ63,0)</f>
        <v>0.629437071907498</v>
      </c>
      <c r="AK71" s="62" t="n">
        <f aca="false">IFERROR(AK70/AK63,0)</f>
        <v>0.629453717099234</v>
      </c>
      <c r="AL71" s="62" t="n">
        <f aca="false">IFERROR(AL70/AL63,0)</f>
        <v>0.62946613849656</v>
      </c>
      <c r="AM71" s="62" t="n">
        <f aca="false">AVERAGE(N71:AL71)</f>
        <v>0.628897722339308</v>
      </c>
    </row>
    <row r="72" customFormat="false" ht="15" hidden="false" customHeight="false" outlineLevel="0" collapsed="false">
      <c r="A72" s="37" t="s">
        <v>793</v>
      </c>
      <c r="B72" s="9" t="s">
        <v>97</v>
      </c>
      <c r="C72" s="53" t="n">
        <f aca="false">C42+C63</f>
        <v>0</v>
      </c>
      <c r="D72" s="53" t="n">
        <f aca="false">D42+D63</f>
        <v>258192</v>
      </c>
      <c r="E72" s="53" t="n">
        <f aca="false">E42+E63</f>
        <v>514447.56</v>
      </c>
      <c r="F72" s="53" t="n">
        <f aca="false">F42+F63</f>
        <v>861234.9174</v>
      </c>
      <c r="G72" s="53" t="n">
        <f aca="false">G42+G63</f>
        <v>1537238.0411064</v>
      </c>
      <c r="H72" s="53" t="n">
        <f aca="false">H42+H63</f>
        <v>2208205.16819772</v>
      </c>
      <c r="I72" s="53" t="n">
        <f aca="false">I42+I63</f>
        <v>2868438.53191881</v>
      </c>
      <c r="J72" s="53" t="n">
        <f aca="false">J42+J63</f>
        <v>3544212.80667976</v>
      </c>
      <c r="K72" s="53" t="n">
        <f aca="false">K42+K63</f>
        <v>4244669.47592727</v>
      </c>
      <c r="L72" s="53" t="n">
        <f aca="false">L42+L63</f>
        <v>4973948.34543042</v>
      </c>
      <c r="M72" s="53" t="n">
        <f aca="false">M42+M63</f>
        <v>5735386.65926878</v>
      </c>
      <c r="N72" s="53" t="n">
        <f aca="false">N42+N63</f>
        <v>6532215.30657745</v>
      </c>
      <c r="O72" s="53" t="n">
        <f aca="false">O42+O63</f>
        <v>7367726.03223442</v>
      </c>
      <c r="P72" s="53" t="n">
        <f aca="false">P42+P63</f>
        <v>8245310.6200728</v>
      </c>
      <c r="Q72" s="53" t="n">
        <f aca="false">Q42+Q63</f>
        <v>9168476.42619172</v>
      </c>
      <c r="R72" s="53" t="n">
        <f aca="false">R42+R63</f>
        <v>10140860.5474062</v>
      </c>
      <c r="S72" s="53" t="n">
        <f aca="false">S42+S63</f>
        <v>11166246.939644</v>
      </c>
      <c r="T72" s="53" t="n">
        <f aca="false">T42+T63</f>
        <v>12217521.3168763</v>
      </c>
      <c r="U72" s="53" t="n">
        <f aca="false">U42+U63</f>
        <v>13291378.4950097</v>
      </c>
      <c r="V72" s="53" t="n">
        <f aca="false">V42+V63</f>
        <v>14391917.825248</v>
      </c>
      <c r="W72" s="53" t="n">
        <f aca="false">W42+W63</f>
        <v>15519761.715583</v>
      </c>
      <c r="X72" s="53" t="n">
        <f aca="false">X42+X63</f>
        <v>16675590.5159301</v>
      </c>
      <c r="Y72" s="53" t="n">
        <f aca="false">Y42+Y63</f>
        <v>17860154.2759271</v>
      </c>
      <c r="Z72" s="53" t="n">
        <f aca="false">Z42+Z63</f>
        <v>19074313.4218576</v>
      </c>
      <c r="AA72" s="53" t="n">
        <f aca="false">AA42+AA63</f>
        <v>20319062.8414286</v>
      </c>
      <c r="AB72" s="53" t="n">
        <f aca="false">AB42+AB63</f>
        <v>21557359.2175775</v>
      </c>
      <c r="AC72" s="53" t="n">
        <f aca="false">AC42+AC63</f>
        <v>22687945.759448</v>
      </c>
      <c r="AD72" s="53" t="n">
        <f aca="false">AD42+AD63</f>
        <v>23747422.3725071</v>
      </c>
      <c r="AE72" s="53" t="n">
        <f aca="false">AE42+AE63</f>
        <v>24752938.6388976</v>
      </c>
      <c r="AF72" s="53" t="n">
        <f aca="false">AF42+AF63</f>
        <v>25712662.7119453</v>
      </c>
      <c r="AG72" s="53" t="n">
        <f aca="false">AG42+AG63</f>
        <v>26633273.533754</v>
      </c>
      <c r="AH72" s="53" t="n">
        <f aca="false">AH42+AH63</f>
        <v>27521099.6242882</v>
      </c>
      <c r="AI72" s="53" t="n">
        <f aca="false">AI42+AI63</f>
        <v>28382341.9039625</v>
      </c>
      <c r="AJ72" s="53" t="n">
        <f aca="false">AJ42+AJ63</f>
        <v>29223158.665169</v>
      </c>
      <c r="AK72" s="53" t="n">
        <f aca="false">AK42+AK63</f>
        <v>30049730.4227928</v>
      </c>
      <c r="AL72" s="53" t="n">
        <f aca="false">AL42+AL63</f>
        <v>30868322.9796045</v>
      </c>
      <c r="AM72" s="53" t="n">
        <f aca="false">SUM(C72:AL72)</f>
        <v>499852765.615863</v>
      </c>
    </row>
    <row r="73" customFormat="false" ht="15" hidden="false" customHeight="false" outlineLevel="0" collapsed="false">
      <c r="A73" s="37" t="s">
        <v>794</v>
      </c>
      <c r="B73" s="9" t="s">
        <v>97</v>
      </c>
      <c r="C73" s="53" t="n">
        <f aca="false">C46+C70</f>
        <v>0</v>
      </c>
      <c r="D73" s="53" t="n">
        <f aca="false">D46+D70</f>
        <v>173640.816</v>
      </c>
      <c r="E73" s="53" t="n">
        <f aca="false">E46+E70</f>
        <v>345979.32588</v>
      </c>
      <c r="F73" s="53" t="n">
        <f aca="false">F46+F70</f>
        <v>579202.8173802</v>
      </c>
      <c r="G73" s="53" t="n">
        <f aca="false">G46+G70</f>
        <v>1024821.21576787</v>
      </c>
      <c r="H73" s="53" t="n">
        <f aca="false">H46+H70</f>
        <v>1468828.4522989</v>
      </c>
      <c r="I73" s="53" t="n">
        <f aca="false">I46+I70</f>
        <v>1905064.08570893</v>
      </c>
      <c r="J73" s="53" t="n">
        <f aca="false">J46+J70</f>
        <v>2351092.02890893</v>
      </c>
      <c r="K73" s="53" t="n">
        <f aca="false">K46+K70</f>
        <v>2812974.84869069</v>
      </c>
      <c r="L73" s="53" t="n">
        <f aca="false">L46+L70</f>
        <v>3293425.5276664</v>
      </c>
      <c r="M73" s="53" t="n">
        <f aca="false">M46+M70</f>
        <v>3794619.77491064</v>
      </c>
      <c r="N73" s="53" t="n">
        <f aca="false">N46+N70</f>
        <v>4318658.69463322</v>
      </c>
      <c r="O73" s="53" t="n">
        <f aca="false">O46+O70</f>
        <v>4867679.99782835</v>
      </c>
      <c r="P73" s="53" t="n">
        <f aca="false">P46+P70</f>
        <v>5443884.07260257</v>
      </c>
      <c r="Q73" s="53" t="n">
        <f aca="false">Q46+Q70</f>
        <v>6049544.24958026</v>
      </c>
      <c r="R73" s="53" t="n">
        <f aca="false">R46+R70</f>
        <v>6687016.07129691</v>
      </c>
      <c r="S73" s="53" t="n">
        <f aca="false">S46+S70</f>
        <v>7358748.44160572</v>
      </c>
      <c r="T73" s="53" t="n">
        <f aca="false">T46+T70</f>
        <v>8047964.05821242</v>
      </c>
      <c r="U73" s="53" t="n">
        <f aca="false">U46+U70</f>
        <v>8752422.75594158</v>
      </c>
      <c r="V73" s="53" t="n">
        <f aca="false">V46+V70</f>
        <v>9474590.14130428</v>
      </c>
      <c r="W73" s="53" t="n">
        <f aca="false">W46+W70</f>
        <v>10214864.536526</v>
      </c>
      <c r="X73" s="53" t="n">
        <f aca="false">X46+X70</f>
        <v>10973683.0002547</v>
      </c>
      <c r="Y73" s="53" t="n">
        <f aca="false">Y46+Y70</f>
        <v>11751528.4769084</v>
      </c>
      <c r="Z73" s="53" t="n">
        <f aca="false">Z46+Z70</f>
        <v>12548956.5061312</v>
      </c>
      <c r="AA73" s="53" t="n">
        <f aca="false">AA46+AA70</f>
        <v>13366610.999695</v>
      </c>
      <c r="AB73" s="53" t="n">
        <f aca="false">AB46+AB70</f>
        <v>14180253.6385922</v>
      </c>
      <c r="AC73" s="53" t="n">
        <f aca="false">AC46+AC70</f>
        <v>14923613.9150413</v>
      </c>
      <c r="AD73" s="53" t="n">
        <f aca="false">AD46+AD70</f>
        <v>15620548.0387743</v>
      </c>
      <c r="AE73" s="53" t="n">
        <f aca="false">AE46+AE70</f>
        <v>16282266.3073933</v>
      </c>
      <c r="AF73" s="53" t="n">
        <f aca="false">AF46+AF70</f>
        <v>16914082.8885658</v>
      </c>
      <c r="AG73" s="53" t="n">
        <f aca="false">AG46+AG70</f>
        <v>17520339.1829943</v>
      </c>
      <c r="AH73" s="53" t="n">
        <f aca="false">AH46+AH70</f>
        <v>18105150.9459698</v>
      </c>
      <c r="AI73" s="53" t="n">
        <f aca="false">AI46+AI70</f>
        <v>18672553.9975854</v>
      </c>
      <c r="AJ73" s="53" t="n">
        <f aca="false">AJ46+AJ70</f>
        <v>19226559.4622624</v>
      </c>
      <c r="AK73" s="53" t="n">
        <f aca="false">AK46+AK70</f>
        <v>19771195.8381423</v>
      </c>
      <c r="AL73" s="53" t="n">
        <f aca="false">AL46+AL70</f>
        <v>20310549.9304191</v>
      </c>
      <c r="AM73" s="53" t="n">
        <f aca="false">SUM(C73:AL73)</f>
        <v>329132915.041473</v>
      </c>
    </row>
    <row r="74" customFormat="false" ht="15" hidden="false" customHeight="false" outlineLevel="0" collapsed="false">
      <c r="A74" s="37" t="s">
        <v>795</v>
      </c>
      <c r="B74" s="9" t="s">
        <v>61</v>
      </c>
      <c r="C74" s="52" t="n">
        <f aca="false">IFERROR(C73/C72,0)</f>
        <v>0</v>
      </c>
      <c r="D74" s="52" t="n">
        <f aca="false">IFERROR(D73/D72,0)</f>
        <v>0.672525934188511</v>
      </c>
      <c r="E74" s="52" t="n">
        <f aca="false">IFERROR(E73/E72,0)</f>
        <v>0.672525934188511</v>
      </c>
      <c r="F74" s="52" t="n">
        <f aca="false">IFERROR(F73/F72,0)</f>
        <v>0.672525934188511</v>
      </c>
      <c r="G74" s="52" t="n">
        <f aca="false">IFERROR(G73/G72,0)</f>
        <v>0.666663970291983</v>
      </c>
      <c r="H74" s="52" t="n">
        <f aca="false">IFERROR(H73/H72,0)</f>
        <v>0.665168469602722</v>
      </c>
      <c r="I74" s="52" t="n">
        <f aca="false">IFERROR(I73/I72,0)</f>
        <v>0.664146735065144</v>
      </c>
      <c r="J74" s="52" t="n">
        <f aca="false">IFERROR(J73/J72,0)</f>
        <v>0.663360852508022</v>
      </c>
      <c r="K74" s="52" t="n">
        <f aca="false">IFERROR(K73/K72,0)</f>
        <v>0.662707630039012</v>
      </c>
      <c r="L74" s="52" t="n">
        <f aca="false">IFERROR(L73/L72,0)</f>
        <v>0.662135048244335</v>
      </c>
      <c r="M74" s="52" t="n">
        <f aca="false">IFERROR(M73/M72,0)</f>
        <v>0.661615336566415</v>
      </c>
      <c r="N74" s="52" t="n">
        <f aca="false">IFERROR(N73/N72,0)</f>
        <v>0.661132325244187</v>
      </c>
      <c r="O74" s="52" t="n">
        <f aca="false">IFERROR(O73/O72,0)</f>
        <v>0.660676031727</v>
      </c>
      <c r="P74" s="52" t="n">
        <f aca="false">IFERROR(P73/P72,0)</f>
        <v>0.660240022898556</v>
      </c>
      <c r="Q74" s="52" t="n">
        <f aca="false">IFERROR(Q73/Q72,0)</f>
        <v>0.659820014620798</v>
      </c>
      <c r="R74" s="52" t="n">
        <f aca="false">IFERROR(R73/R72,0)</f>
        <v>0.659413078410519</v>
      </c>
      <c r="S74" s="52" t="n">
        <f aca="false">IFERROR(S73/S72,0)</f>
        <v>0.65901716855998</v>
      </c>
      <c r="T74" s="52" t="n">
        <f aca="false">IFERROR(T73/T72,0)</f>
        <v>0.658723144366086</v>
      </c>
      <c r="U74" s="52" t="n">
        <f aca="false">IFERROR(U73/U72,0)</f>
        <v>0.658503763114389</v>
      </c>
      <c r="V74" s="52" t="n">
        <f aca="false">IFERROR(V73/V72,0)</f>
        <v>0.658327142799747</v>
      </c>
      <c r="W74" s="52" t="n">
        <f aca="false">IFERROR(W73/W72,0)</f>
        <v>0.658184366727066</v>
      </c>
      <c r="X74" s="52" t="n">
        <f aca="false">IFERROR(X73/X72,0)</f>
        <v>0.658068629699893</v>
      </c>
      <c r="Y74" s="52" t="n">
        <f aca="false">IFERROR(Y73/Y72,0)</f>
        <v>0.657974634225182</v>
      </c>
      <c r="Z74" s="52" t="n">
        <f aca="false">IFERROR(Z73/Z72,0)</f>
        <v>0.657898202078988</v>
      </c>
      <c r="AA74" s="52" t="n">
        <f aca="false">IFERROR(AA73/AA72,0)</f>
        <v>0.657835998835624</v>
      </c>
      <c r="AB74" s="52" t="n">
        <f aca="false">IFERROR(AB73/AB72,0)</f>
        <v>0.657791777530425</v>
      </c>
      <c r="AC74" s="52" t="n">
        <f aca="false">IFERROR(AC73/AC72,0)</f>
        <v>0.657777221140731</v>
      </c>
      <c r="AD74" s="52" t="n">
        <f aca="false">IFERROR(AD73/AD72,0)</f>
        <v>0.657778675670442</v>
      </c>
      <c r="AE74" s="52" t="n">
        <f aca="false">IFERROR(AE73/AE72,0)</f>
        <v>0.657791244301265</v>
      </c>
      <c r="AF74" s="52" t="n">
        <f aca="false">IFERROR(AF73/AF72,0)</f>
        <v>0.657811409034197</v>
      </c>
      <c r="AG74" s="52" t="n">
        <f aca="false">IFERROR(AG73/AG72,0)</f>
        <v>0.657836490162941</v>
      </c>
      <c r="AH74" s="52" t="n">
        <f aca="false">IFERROR(AH73/AH72,0)</f>
        <v>0.657864372904323</v>
      </c>
      <c r="AI74" s="52" t="n">
        <f aca="false">IFERROR(AI73/AI72,0)</f>
        <v>0.657893350054336</v>
      </c>
      <c r="AJ74" s="52" t="n">
        <f aca="false">IFERROR(AJ73/AJ72,0)</f>
        <v>0.657922015979009</v>
      </c>
      <c r="AK74" s="52" t="n">
        <f aca="false">IFERROR(AK73/AK72,0)</f>
        <v>0.657949191555669</v>
      </c>
      <c r="AL74" s="52" t="n">
        <f aca="false">IFERROR(AL73/AL72,0)</f>
        <v>0.657973869971453</v>
      </c>
      <c r="AM74" s="52" t="n">
        <f aca="false">AVERAGE(N74:AL74)</f>
        <v>0.658488165664512</v>
      </c>
    </row>
    <row r="75" customFormat="false" ht="15" hidden="false" customHeight="false" outlineLevel="0" collapsed="false">
      <c r="A75" s="10" t="s">
        <v>796</v>
      </c>
      <c r="B75" s="9" t="s">
        <v>97</v>
      </c>
      <c r="C75" s="70" t="n">
        <f aca="false">-Assumptions!$F$82</f>
        <v>-600</v>
      </c>
      <c r="D75" s="70" t="n">
        <f aca="false">-Assumptions!$F$82</f>
        <v>-600</v>
      </c>
      <c r="E75" s="70" t="n">
        <f aca="false">-Assumptions!$F$82</f>
        <v>-600</v>
      </c>
      <c r="F75" s="70" t="n">
        <f aca="false">-Assumptions!$F$82</f>
        <v>-600</v>
      </c>
      <c r="G75" s="70" t="n">
        <f aca="false">-Assumptions!$F$82</f>
        <v>-600</v>
      </c>
      <c r="H75" s="70" t="n">
        <f aca="false">-Assumptions!$F$82</f>
        <v>-600</v>
      </c>
      <c r="I75" s="70" t="n">
        <f aca="false">-Assumptions!$F$82</f>
        <v>-600</v>
      </c>
      <c r="J75" s="70" t="n">
        <f aca="false">-Assumptions!$F$82</f>
        <v>-600</v>
      </c>
      <c r="K75" s="70" t="n">
        <f aca="false">-Assumptions!$F$82</f>
        <v>-600</v>
      </c>
      <c r="L75" s="70" t="n">
        <f aca="false">-Assumptions!$F$82</f>
        <v>-600</v>
      </c>
      <c r="M75" s="70" t="n">
        <f aca="false">-Assumptions!$F$82</f>
        <v>-600</v>
      </c>
      <c r="N75" s="70" t="n">
        <f aca="false">-Assumptions!$F$82</f>
        <v>-600</v>
      </c>
      <c r="O75" s="70" t="n">
        <f aca="false">-Assumptions!$F$82</f>
        <v>-600</v>
      </c>
      <c r="P75" s="70" t="n">
        <f aca="false">-Assumptions!$F$82</f>
        <v>-600</v>
      </c>
      <c r="Q75" s="70" t="n">
        <f aca="false">-Assumptions!$F$82</f>
        <v>-600</v>
      </c>
      <c r="R75" s="70" t="n">
        <f aca="false">-Assumptions!$F$82</f>
        <v>-600</v>
      </c>
      <c r="S75" s="70" t="n">
        <f aca="false">-Assumptions!$F$82</f>
        <v>-600</v>
      </c>
      <c r="T75" s="70" t="n">
        <f aca="false">-Assumptions!$F$82</f>
        <v>-600</v>
      </c>
      <c r="U75" s="70" t="n">
        <f aca="false">-Assumptions!$F$82</f>
        <v>-600</v>
      </c>
      <c r="V75" s="70" t="n">
        <f aca="false">-Assumptions!$F$82</f>
        <v>-600</v>
      </c>
      <c r="W75" s="70" t="n">
        <f aca="false">-Assumptions!$F$82</f>
        <v>-600</v>
      </c>
      <c r="X75" s="70" t="n">
        <f aca="false">-Assumptions!$F$82</f>
        <v>-600</v>
      </c>
      <c r="Y75" s="70" t="n">
        <f aca="false">-Assumptions!$F$82</f>
        <v>-600</v>
      </c>
      <c r="Z75" s="70" t="n">
        <f aca="false">-Assumptions!$F$82</f>
        <v>-600</v>
      </c>
      <c r="AA75" s="70" t="n">
        <f aca="false">-Assumptions!$F$82</f>
        <v>-600</v>
      </c>
      <c r="AB75" s="70" t="n">
        <f aca="false">-Assumptions!$F$82</f>
        <v>-600</v>
      </c>
      <c r="AC75" s="70" t="n">
        <f aca="false">-Assumptions!$F$82</f>
        <v>-600</v>
      </c>
      <c r="AD75" s="70" t="n">
        <f aca="false">-Assumptions!$F$82</f>
        <v>-600</v>
      </c>
      <c r="AE75" s="70" t="n">
        <f aca="false">-Assumptions!$F$82</f>
        <v>-600</v>
      </c>
      <c r="AF75" s="70" t="n">
        <f aca="false">-Assumptions!$F$82</f>
        <v>-600</v>
      </c>
      <c r="AG75" s="70" t="n">
        <f aca="false">-Assumptions!$F$82</f>
        <v>-600</v>
      </c>
      <c r="AH75" s="70" t="n">
        <f aca="false">-Assumptions!$F$82</f>
        <v>-600</v>
      </c>
      <c r="AI75" s="70" t="n">
        <f aca="false">-Assumptions!$F$82</f>
        <v>-600</v>
      </c>
      <c r="AJ75" s="70" t="n">
        <f aca="false">-Assumptions!$F$82</f>
        <v>-600</v>
      </c>
      <c r="AK75" s="70" t="n">
        <f aca="false">-Assumptions!$F$82</f>
        <v>-600</v>
      </c>
      <c r="AL75" s="70" t="n">
        <f aca="false">-Assumptions!$F$82</f>
        <v>-600</v>
      </c>
      <c r="AM75" s="70" t="n">
        <f aca="false">SUM(C75:AL75)</f>
        <v>-21600</v>
      </c>
    </row>
    <row r="76" customFormat="false" ht="15" hidden="false" customHeight="false" outlineLevel="0" collapsed="false">
      <c r="A76" s="10" t="s">
        <v>797</v>
      </c>
      <c r="B76" s="9" t="s">
        <v>97</v>
      </c>
      <c r="C76" s="70" t="n">
        <f aca="false">-Assumptions!$F$83</f>
        <v>-260</v>
      </c>
      <c r="D76" s="70" t="n">
        <f aca="false">-Assumptions!$F$83</f>
        <v>-260</v>
      </c>
      <c r="E76" s="70" t="n">
        <f aca="false">-Assumptions!$F$83</f>
        <v>-260</v>
      </c>
      <c r="F76" s="70" t="n">
        <f aca="false">-Assumptions!$F$83</f>
        <v>-260</v>
      </c>
      <c r="G76" s="70" t="n">
        <f aca="false">-Assumptions!$F$83</f>
        <v>-260</v>
      </c>
      <c r="H76" s="70" t="n">
        <f aca="false">-Assumptions!$F$83</f>
        <v>-260</v>
      </c>
      <c r="I76" s="70" t="n">
        <f aca="false">-Assumptions!$F$83</f>
        <v>-260</v>
      </c>
      <c r="J76" s="70" t="n">
        <f aca="false">-Assumptions!$F$83</f>
        <v>-260</v>
      </c>
      <c r="K76" s="70" t="n">
        <f aca="false">-Assumptions!$F$83</f>
        <v>-260</v>
      </c>
      <c r="L76" s="70" t="n">
        <f aca="false">-Assumptions!$F$83</f>
        <v>-260</v>
      </c>
      <c r="M76" s="70" t="n">
        <f aca="false">-Assumptions!$F$83</f>
        <v>-260</v>
      </c>
      <c r="N76" s="70" t="n">
        <f aca="false">-Assumptions!$F$83</f>
        <v>-260</v>
      </c>
      <c r="O76" s="70" t="n">
        <f aca="false">-Assumptions!$F$83</f>
        <v>-260</v>
      </c>
      <c r="P76" s="70" t="n">
        <f aca="false">-Assumptions!$F$83</f>
        <v>-260</v>
      </c>
      <c r="Q76" s="70" t="n">
        <f aca="false">-Assumptions!$F$83</f>
        <v>-260</v>
      </c>
      <c r="R76" s="70" t="n">
        <f aca="false">-Assumptions!$F$83</f>
        <v>-260</v>
      </c>
      <c r="S76" s="70" t="n">
        <f aca="false">-Assumptions!$F$83</f>
        <v>-260</v>
      </c>
      <c r="T76" s="70" t="n">
        <f aca="false">-Assumptions!$F$83</f>
        <v>-260</v>
      </c>
      <c r="U76" s="70" t="n">
        <f aca="false">-Assumptions!$F$83</f>
        <v>-260</v>
      </c>
      <c r="V76" s="70" t="n">
        <f aca="false">-Assumptions!$F$83</f>
        <v>-260</v>
      </c>
      <c r="W76" s="70" t="n">
        <f aca="false">-Assumptions!$F$83</f>
        <v>-260</v>
      </c>
      <c r="X76" s="70" t="n">
        <f aca="false">-Assumptions!$F$83</f>
        <v>-260</v>
      </c>
      <c r="Y76" s="70" t="n">
        <f aca="false">-Assumptions!$F$83</f>
        <v>-260</v>
      </c>
      <c r="Z76" s="70" t="n">
        <f aca="false">-Assumptions!$F$83</f>
        <v>-260</v>
      </c>
      <c r="AA76" s="70" t="n">
        <f aca="false">-Assumptions!$F$83</f>
        <v>-260</v>
      </c>
      <c r="AB76" s="70" t="n">
        <f aca="false">-Assumptions!$F$83</f>
        <v>-260</v>
      </c>
      <c r="AC76" s="70" t="n">
        <f aca="false">-Assumptions!$F$83</f>
        <v>-260</v>
      </c>
      <c r="AD76" s="70" t="n">
        <f aca="false">-Assumptions!$F$83</f>
        <v>-260</v>
      </c>
      <c r="AE76" s="70" t="n">
        <f aca="false">-Assumptions!$F$83</f>
        <v>-260</v>
      </c>
      <c r="AF76" s="70" t="n">
        <f aca="false">-Assumptions!$F$83</f>
        <v>-260</v>
      </c>
      <c r="AG76" s="70" t="n">
        <f aca="false">-Assumptions!$F$83</f>
        <v>-260</v>
      </c>
      <c r="AH76" s="70" t="n">
        <f aca="false">-Assumptions!$F$83</f>
        <v>-260</v>
      </c>
      <c r="AI76" s="70" t="n">
        <f aca="false">-Assumptions!$F$83</f>
        <v>-260</v>
      </c>
      <c r="AJ76" s="70" t="n">
        <f aca="false">-Assumptions!$F$83</f>
        <v>-260</v>
      </c>
      <c r="AK76" s="70" t="n">
        <f aca="false">-Assumptions!$F$83</f>
        <v>-260</v>
      </c>
      <c r="AL76" s="70" t="n">
        <f aca="false">-Assumptions!$F$83</f>
        <v>-260</v>
      </c>
      <c r="AM76" s="70" t="n">
        <f aca="false">SUM(C76:AL76)</f>
        <v>-9360</v>
      </c>
    </row>
    <row r="77" customFormat="false" ht="15" hidden="false" customHeight="false" outlineLevel="0" collapsed="false">
      <c r="A77" s="10" t="s">
        <v>798</v>
      </c>
      <c r="B77" s="9" t="s">
        <v>97</v>
      </c>
      <c r="C77" s="70" t="n">
        <f aca="false">-MAX(IF(C8=0,Assumptions!$F$84,IF(C$5&lt;=12,Assumptions!$F$85,IF(C$5&lt;=24,Assumptions!$F$86,Assumptions!$F$87))))</f>
        <v>-9000</v>
      </c>
      <c r="D77" s="70" t="n">
        <f aca="false">-MAX(IF(D8=0,Assumptions!$F$84,IF(D$5&lt;=12,Assumptions!$F$85,IF(D$5&lt;=24,Assumptions!$F$86,Assumptions!$F$87))),C72*Assumptions!$F$88)</f>
        <v>-26000</v>
      </c>
      <c r="E77" s="70" t="n">
        <f aca="false">-MAX(IF(E8=0,Assumptions!$F$84,IF(E$5&lt;=12,Assumptions!$F$85,IF(E$5&lt;=24,Assumptions!$F$86,Assumptions!$F$87))),D72*Assumptions!$F$88)</f>
        <v>-26000</v>
      </c>
      <c r="F77" s="70" t="n">
        <f aca="false">-MAX(IF(F8=0,Assumptions!$F$84,IF(F$5&lt;=12,Assumptions!$F$85,IF(F$5&lt;=24,Assumptions!$F$86,Assumptions!$F$87))),E72*Assumptions!$F$88)</f>
        <v>-26000</v>
      </c>
      <c r="G77" s="70" t="n">
        <f aca="false">-MAX(IF(G8=0,Assumptions!$F$84,IF(G$5&lt;=12,Assumptions!$F$85,IF(G$5&lt;=24,Assumptions!$F$86,Assumptions!$F$87))),F72*Assumptions!$F$88)</f>
        <v>-43061.74587</v>
      </c>
      <c r="H77" s="70" t="n">
        <f aca="false">-MAX(IF(H8=0,Assumptions!$F$84,IF(H$5&lt;=12,Assumptions!$F$85,IF(H$5&lt;=24,Assumptions!$F$86,Assumptions!$F$87))),G72*Assumptions!$F$88)</f>
        <v>-76861.9020553202</v>
      </c>
      <c r="I77" s="70" t="n">
        <f aca="false">-MAX(IF(I8=0,Assumptions!$F$84,IF(I$5&lt;=12,Assumptions!$F$85,IF(I$5&lt;=24,Assumptions!$F$86,Assumptions!$F$87))),H72*Assumptions!$F$88)</f>
        <v>-110410.258409886</v>
      </c>
      <c r="J77" s="70" t="n">
        <f aca="false">-MAX(IF(J8=0,Assumptions!$F$84,IF(J$5&lt;=12,Assumptions!$F$85,IF(J$5&lt;=24,Assumptions!$F$86,Assumptions!$F$87))),I72*Assumptions!$F$88)</f>
        <v>-143421.926595941</v>
      </c>
      <c r="K77" s="70" t="n">
        <f aca="false">-MAX(IF(K8=0,Assumptions!$F$84,IF(K$5&lt;=12,Assumptions!$F$85,IF(K$5&lt;=24,Assumptions!$F$86,Assumptions!$F$87))),J72*Assumptions!$F$88)</f>
        <v>-177210.640333988</v>
      </c>
      <c r="L77" s="70" t="n">
        <f aca="false">-MAX(IF(L8=0,Assumptions!$F$84,IF(L$5&lt;=12,Assumptions!$F$85,IF(L$5&lt;=24,Assumptions!$F$86,Assumptions!$F$87))),K72*Assumptions!$F$88)</f>
        <v>-212233.473796363</v>
      </c>
      <c r="M77" s="70" t="n">
        <f aca="false">-MAX(IF(M8=0,Assumptions!$F$84,IF(M$5&lt;=12,Assumptions!$F$85,IF(M$5&lt;=24,Assumptions!$F$86,Assumptions!$F$87))),L72*Assumptions!$F$88)</f>
        <v>-248697.417271521</v>
      </c>
      <c r="N77" s="70" t="n">
        <f aca="false">-MAX(IF(N8=0,Assumptions!$F$84,IF(N$5&lt;=12,Assumptions!$F$85,IF(N$5&lt;=24,Assumptions!$F$86,Assumptions!$F$87))),M72*Assumptions!$F$88)</f>
        <v>-286769.332963439</v>
      </c>
      <c r="O77" s="70" t="n">
        <f aca="false">-MAX(IF(O8=0,Assumptions!$F$84,IF(O$5&lt;=12,Assumptions!$F$85,IF(O$5&lt;=24,Assumptions!$F$86,Assumptions!$F$87))),N72*Assumptions!$F$88)</f>
        <v>-326610.765328873</v>
      </c>
      <c r="P77" s="70" t="n">
        <f aca="false">-MAX(IF(P8=0,Assumptions!$F$84,IF(P$5&lt;=12,Assumptions!$F$85,IF(P$5&lt;=24,Assumptions!$F$86,Assumptions!$F$87))),O72*Assumptions!$F$88)</f>
        <v>-368386.301611721</v>
      </c>
      <c r="Q77" s="70" t="n">
        <f aca="false">-MAX(IF(Q8=0,Assumptions!$F$84,IF(Q$5&lt;=12,Assumptions!$F$85,IF(Q$5&lt;=24,Assumptions!$F$86,Assumptions!$F$87))),P72*Assumptions!$F$88)</f>
        <v>-412265.53100364</v>
      </c>
      <c r="R77" s="70" t="n">
        <f aca="false">-MAX(IF(R8=0,Assumptions!$F$84,IF(R$5&lt;=12,Assumptions!$F$85,IF(R$5&lt;=24,Assumptions!$F$86,Assumptions!$F$87))),Q72*Assumptions!$F$88)</f>
        <v>-458423.821309586</v>
      </c>
      <c r="S77" s="70" t="n">
        <f aca="false">-MAX(IF(S8=0,Assumptions!$F$84,IF(S$5&lt;=12,Assumptions!$F$85,IF(S$5&lt;=24,Assumptions!$F$86,Assumptions!$F$87))),R72*Assumptions!$F$88)</f>
        <v>-507043.02737031</v>
      </c>
      <c r="T77" s="70" t="n">
        <f aca="false">-MAX(IF(T8=0,Assumptions!$F$84,IF(T$5&lt;=12,Assumptions!$F$85,IF(T$5&lt;=24,Assumptions!$F$86,Assumptions!$F$87))),S72*Assumptions!$F$88)</f>
        <v>-558312.3469822</v>
      </c>
      <c r="U77" s="70" t="n">
        <f aca="false">-MAX(IF(U8=0,Assumptions!$F$84,IF(U$5&lt;=12,Assumptions!$F$85,IF(U$5&lt;=24,Assumptions!$F$86,Assumptions!$F$87))),T72*Assumptions!$F$88)</f>
        <v>-610876.065843813</v>
      </c>
      <c r="V77" s="70" t="n">
        <f aca="false">-MAX(IF(V8=0,Assumptions!$F$84,IF(V$5&lt;=12,Assumptions!$F$85,IF(V$5&lt;=24,Assumptions!$F$86,Assumptions!$F$87))),U72*Assumptions!$F$88)</f>
        <v>-664568.924750487</v>
      </c>
      <c r="W77" s="70" t="n">
        <f aca="false">-MAX(IF(W8=0,Assumptions!$F$84,IF(W$5&lt;=12,Assumptions!$F$85,IF(W$5&lt;=24,Assumptions!$F$86,Assumptions!$F$87))),V72*Assumptions!$F$88)</f>
        <v>-719595.891262402</v>
      </c>
      <c r="X77" s="70" t="n">
        <f aca="false">-MAX(IF(X8=0,Assumptions!$F$84,IF(X$5&lt;=12,Assumptions!$F$85,IF(X$5&lt;=24,Assumptions!$F$86,Assumptions!$F$87))),W72*Assumptions!$F$88)</f>
        <v>-775988.085779151</v>
      </c>
      <c r="Y77" s="70" t="n">
        <f aca="false">-MAX(IF(Y8=0,Assumptions!$F$84,IF(Y$5&lt;=12,Assumptions!$F$85,IF(Y$5&lt;=24,Assumptions!$F$86,Assumptions!$F$87))),X72*Assumptions!$F$88)</f>
        <v>-833779.525796507</v>
      </c>
      <c r="Z77" s="70" t="n">
        <f aca="false">-MAX(IF(Z8=0,Assumptions!$F$84,IF(Z$5&lt;=12,Assumptions!$F$85,IF(Z$5&lt;=24,Assumptions!$F$86,Assumptions!$F$87))),Y72*Assumptions!$F$88)</f>
        <v>-893007.713796355</v>
      </c>
      <c r="AA77" s="70" t="n">
        <f aca="false">-MAX(IF(AA8=0,Assumptions!$F$84,IF(AA$5&lt;=12,Assumptions!$F$85,IF(AA$5&lt;=24,Assumptions!$F$86,Assumptions!$F$87))),Z72*Assumptions!$F$88)</f>
        <v>-953715.67109288</v>
      </c>
      <c r="AB77" s="70" t="n">
        <f aca="false">-MAX(IF(AB8=0,Assumptions!$F$84,IF(AB$5&lt;=12,Assumptions!$F$85,IF(AB$5&lt;=24,Assumptions!$F$86,Assumptions!$F$87))),AA72*Assumptions!$F$88)</f>
        <v>-1015953.14207143</v>
      </c>
      <c r="AC77" s="70" t="n">
        <f aca="false">-MAX(IF(AC8=0,Assumptions!$F$84,IF(AC$5&lt;=12,Assumptions!$F$85,IF(AC$5&lt;=24,Assumptions!$F$86,Assumptions!$F$87))),AB72*Assumptions!$F$88)</f>
        <v>-1077867.96087887</v>
      </c>
      <c r="AD77" s="70" t="n">
        <f aca="false">-MAX(IF(AD8=0,Assumptions!$F$84,IF(AD$5&lt;=12,Assumptions!$F$85,IF(AD$5&lt;=24,Assumptions!$F$86,Assumptions!$F$87))),AC72*Assumptions!$F$88)</f>
        <v>-1134397.2879724</v>
      </c>
      <c r="AE77" s="70" t="n">
        <f aca="false">-MAX(IF(AE8=0,Assumptions!$F$84,IF(AE$5&lt;=12,Assumptions!$F$85,IF(AE$5&lt;=24,Assumptions!$F$86,Assumptions!$F$87))),AD72*Assumptions!$F$88)</f>
        <v>-1187371.11862535</v>
      </c>
      <c r="AF77" s="70" t="n">
        <f aca="false">-MAX(IF(AF8=0,Assumptions!$F$84,IF(AF$5&lt;=12,Assumptions!$F$85,IF(AF$5&lt;=24,Assumptions!$F$86,Assumptions!$F$87))),AE72*Assumptions!$F$88)</f>
        <v>-1237646.93194488</v>
      </c>
      <c r="AG77" s="70" t="n">
        <f aca="false">-MAX(IF(AG8=0,Assumptions!$F$84,IF(AG$5&lt;=12,Assumptions!$F$85,IF(AG$5&lt;=24,Assumptions!$F$86,Assumptions!$F$87))),AF72*Assumptions!$F$88)</f>
        <v>-1285633.13559727</v>
      </c>
      <c r="AH77" s="70" t="n">
        <f aca="false">-MAX(IF(AH8=0,Assumptions!$F$84,IF(AH$5&lt;=12,Assumptions!$F$85,IF(AH$5&lt;=24,Assumptions!$F$86,Assumptions!$F$87))),AG72*Assumptions!$F$88)</f>
        <v>-1331663.6766877</v>
      </c>
      <c r="AI77" s="70" t="n">
        <f aca="false">-MAX(IF(AI8=0,Assumptions!$F$84,IF(AI$5&lt;=12,Assumptions!$F$85,IF(AI$5&lt;=24,Assumptions!$F$86,Assumptions!$F$87))),AH72*Assumptions!$F$88)</f>
        <v>-1376054.98121441</v>
      </c>
      <c r="AJ77" s="70" t="n">
        <f aca="false">-MAX(IF(AJ8=0,Assumptions!$F$84,IF(AJ$5&lt;=12,Assumptions!$F$85,IF(AJ$5&lt;=24,Assumptions!$F$86,Assumptions!$F$87))),AI72*Assumptions!$F$88)</f>
        <v>-1419117.09519812</v>
      </c>
      <c r="AK77" s="70" t="n">
        <f aca="false">-MAX(IF(AK8=0,Assumptions!$F$84,IF(AK$5&lt;=12,Assumptions!$F$85,IF(AK$5&lt;=24,Assumptions!$F$86,Assumptions!$F$87))),AJ72*Assumptions!$F$88)</f>
        <v>-1461157.93325845</v>
      </c>
      <c r="AL77" s="70" t="n">
        <f aca="false">-MAX(IF(AL8=0,Assumptions!$F$84,IF(AL$5&lt;=12,Assumptions!$F$85,IF(AL$5&lt;=24,Assumptions!$F$86,Assumptions!$F$87))),AK72*Assumptions!$F$88)</f>
        <v>-1502486.52113964</v>
      </c>
      <c r="AM77" s="70" t="n">
        <f aca="false">SUM(C77:AL77)</f>
        <v>-23497590.1538129</v>
      </c>
    </row>
    <row r="78" customFormat="false" ht="15" hidden="false" customHeight="false" outlineLevel="0" collapsed="false">
      <c r="A78" s="10" t="s">
        <v>799</v>
      </c>
      <c r="B78" s="9" t="s">
        <v>97</v>
      </c>
      <c r="C78" s="70" t="n">
        <f aca="false">-IF(C$5&gt;=Assumptions!$F$7-2,Assumptions!$F$91,0)</f>
        <v>-0</v>
      </c>
      <c r="D78" s="70" t="n">
        <f aca="false">-IF(D$5&gt;=Assumptions!$F$7-2,Assumptions!$F$91,0)</f>
        <v>-0</v>
      </c>
      <c r="E78" s="70" t="n">
        <f aca="false">-IF(E$5&gt;=Assumptions!$F$7-2,Assumptions!$F$91,0)</f>
        <v>-14000</v>
      </c>
      <c r="F78" s="70" t="n">
        <f aca="false">-IF(F$5&gt;=Assumptions!$F$7-2,Assumptions!$F$91,0)</f>
        <v>-14000</v>
      </c>
      <c r="G78" s="70" t="n">
        <f aca="false">-IF(G$5&gt;=Assumptions!$F$7-2,Assumptions!$F$91,0)</f>
        <v>-14000</v>
      </c>
      <c r="H78" s="70" t="n">
        <f aca="false">-IF(H$5&gt;=Assumptions!$F$7-2,Assumptions!$F$91,0)</f>
        <v>-14000</v>
      </c>
      <c r="I78" s="70" t="n">
        <f aca="false">-IF(I$5&gt;=Assumptions!$F$7-2,Assumptions!$F$91,0)</f>
        <v>-14000</v>
      </c>
      <c r="J78" s="70" t="n">
        <f aca="false">-IF(J$5&gt;=Assumptions!$F$7-2,Assumptions!$F$91,0)</f>
        <v>-14000</v>
      </c>
      <c r="K78" s="70" t="n">
        <f aca="false">-IF(K$5&gt;=Assumptions!$F$7-2,Assumptions!$F$91,0)</f>
        <v>-14000</v>
      </c>
      <c r="L78" s="70" t="n">
        <f aca="false">-IF(L$5&gt;=Assumptions!$F$7-2,Assumptions!$F$91,0)</f>
        <v>-14000</v>
      </c>
      <c r="M78" s="70" t="n">
        <f aca="false">-IF(M$5&gt;=Assumptions!$F$7-2,Assumptions!$F$91,0)</f>
        <v>-14000</v>
      </c>
      <c r="N78" s="70" t="n">
        <f aca="false">-IF(N$5&gt;=Assumptions!$F$7-2,Assumptions!$F$91,0)</f>
        <v>-14000</v>
      </c>
      <c r="O78" s="70" t="n">
        <f aca="false">-IF(O$5&gt;=Assumptions!$F$7-2,Assumptions!$F$91,0)</f>
        <v>-14000</v>
      </c>
      <c r="P78" s="70" t="n">
        <f aca="false">-IF(P$5&gt;=Assumptions!$F$7-2,Assumptions!$F$91,0)</f>
        <v>-14000</v>
      </c>
      <c r="Q78" s="70" t="n">
        <f aca="false">-IF(Q$5&gt;=Assumptions!$F$7-2,Assumptions!$F$91,0)</f>
        <v>-14000</v>
      </c>
      <c r="R78" s="70" t="n">
        <f aca="false">-IF(R$5&gt;=Assumptions!$F$7-2,Assumptions!$F$91,0)</f>
        <v>-14000</v>
      </c>
      <c r="S78" s="70" t="n">
        <f aca="false">-IF(S$5&gt;=Assumptions!$F$7-2,Assumptions!$F$91,0)</f>
        <v>-14000</v>
      </c>
      <c r="T78" s="70" t="n">
        <f aca="false">-IF(T$5&gt;=Assumptions!$F$7-2,Assumptions!$F$91,0)</f>
        <v>-14000</v>
      </c>
      <c r="U78" s="70" t="n">
        <f aca="false">-IF(U$5&gt;=Assumptions!$F$7-2,Assumptions!$F$91,0)</f>
        <v>-14000</v>
      </c>
      <c r="V78" s="70" t="n">
        <f aca="false">-IF(V$5&gt;=Assumptions!$F$7-2,Assumptions!$F$91,0)</f>
        <v>-14000</v>
      </c>
      <c r="W78" s="70" t="n">
        <f aca="false">-IF(W$5&gt;=Assumptions!$F$7-2,Assumptions!$F$91,0)</f>
        <v>-14000</v>
      </c>
      <c r="X78" s="70" t="n">
        <f aca="false">-IF(X$5&gt;=Assumptions!$F$7-2,Assumptions!$F$91,0)</f>
        <v>-14000</v>
      </c>
      <c r="Y78" s="70" t="n">
        <f aca="false">-IF(Y$5&gt;=Assumptions!$F$7-2,Assumptions!$F$91,0)</f>
        <v>-14000</v>
      </c>
      <c r="Z78" s="70" t="n">
        <f aca="false">-IF(Z$5&gt;=Assumptions!$F$7-2,Assumptions!$F$91,0)</f>
        <v>-14000</v>
      </c>
      <c r="AA78" s="70" t="n">
        <f aca="false">-IF(AA$5&gt;=Assumptions!$F$7-2,Assumptions!$F$91,0)</f>
        <v>-14000</v>
      </c>
      <c r="AB78" s="70" t="n">
        <f aca="false">-IF(AB$5&gt;=Assumptions!$F$7-2,Assumptions!$F$91,0)</f>
        <v>-14000</v>
      </c>
      <c r="AC78" s="70" t="n">
        <f aca="false">-IF(AC$5&gt;=Assumptions!$F$7-2,Assumptions!$F$91,0)</f>
        <v>-14000</v>
      </c>
      <c r="AD78" s="70" t="n">
        <f aca="false">-IF(AD$5&gt;=Assumptions!$F$7-2,Assumptions!$F$91,0)</f>
        <v>-14000</v>
      </c>
      <c r="AE78" s="70" t="n">
        <f aca="false">-IF(AE$5&gt;=Assumptions!$F$7-2,Assumptions!$F$91,0)</f>
        <v>-14000</v>
      </c>
      <c r="AF78" s="70" t="n">
        <f aca="false">-IF(AF$5&gt;=Assumptions!$F$7-2,Assumptions!$F$91,0)</f>
        <v>-14000</v>
      </c>
      <c r="AG78" s="70" t="n">
        <f aca="false">-IF(AG$5&gt;=Assumptions!$F$7-2,Assumptions!$F$91,0)</f>
        <v>-14000</v>
      </c>
      <c r="AH78" s="70" t="n">
        <f aca="false">-IF(AH$5&gt;=Assumptions!$F$7-2,Assumptions!$F$91,0)</f>
        <v>-14000</v>
      </c>
      <c r="AI78" s="70" t="n">
        <f aca="false">-IF(AI$5&gt;=Assumptions!$F$7-2,Assumptions!$F$91,0)</f>
        <v>-14000</v>
      </c>
      <c r="AJ78" s="70" t="n">
        <f aca="false">-IF(AJ$5&gt;=Assumptions!$F$7-2,Assumptions!$F$91,0)</f>
        <v>-14000</v>
      </c>
      <c r="AK78" s="70" t="n">
        <f aca="false">-IF(AK$5&gt;=Assumptions!$F$7-2,Assumptions!$F$91,0)</f>
        <v>-14000</v>
      </c>
      <c r="AL78" s="70" t="n">
        <f aca="false">-IF(AL$5&gt;=Assumptions!$F$7-2,Assumptions!$F$91,0)</f>
        <v>-14000</v>
      </c>
      <c r="AM78" s="70" t="n">
        <f aca="false">SUM(C78:AL78)</f>
        <v>-476000</v>
      </c>
    </row>
    <row r="79" customFormat="false" ht="15" hidden="false" customHeight="false" outlineLevel="0" collapsed="false">
      <c r="A79" s="10" t="s">
        <v>800</v>
      </c>
      <c r="B79" s="9" t="s">
        <v>97</v>
      </c>
      <c r="C79" s="70" t="n">
        <f aca="false">-Assumptions!$F$92</f>
        <v>-2000</v>
      </c>
      <c r="D79" s="70" t="n">
        <f aca="false">-MAX(Assumptions!$F$92,C72*Assumptions!$F$90)</f>
        <v>-2000</v>
      </c>
      <c r="E79" s="70" t="n">
        <f aca="false">-MAX(Assumptions!$F$92,D72*Assumptions!$F$90)</f>
        <v>-2000</v>
      </c>
      <c r="F79" s="70" t="n">
        <f aca="false">-MAX(Assumptions!$F$92,E72*Assumptions!$F$90)</f>
        <v>-3086.68536</v>
      </c>
      <c r="G79" s="70" t="n">
        <f aca="false">-MAX(Assumptions!$F$92,F72*Assumptions!$F$90)</f>
        <v>-5167.4095044</v>
      </c>
      <c r="H79" s="70" t="n">
        <f aca="false">-MAX(Assumptions!$F$92,G72*Assumptions!$F$90)</f>
        <v>-9223.42824663842</v>
      </c>
      <c r="I79" s="70" t="n">
        <f aca="false">-MAX(Assumptions!$F$92,H72*Assumptions!$F$90)</f>
        <v>-13249.2310091863</v>
      </c>
      <c r="J79" s="70" t="n">
        <f aca="false">-MAX(Assumptions!$F$92,I72*Assumptions!$F$90)</f>
        <v>-17210.6311915129</v>
      </c>
      <c r="K79" s="70" t="n">
        <f aca="false">-MAX(Assumptions!$F$92,J72*Assumptions!$F$90)</f>
        <v>-21265.2768400786</v>
      </c>
      <c r="L79" s="70" t="n">
        <f aca="false">-MAX(Assumptions!$F$92,K72*Assumptions!$F$90)</f>
        <v>-25468.0168555636</v>
      </c>
      <c r="M79" s="70" t="n">
        <f aca="false">-MAX(Assumptions!$F$92,L72*Assumptions!$F$90)</f>
        <v>-29843.6900725825</v>
      </c>
      <c r="N79" s="70" t="n">
        <f aca="false">-MAX(Assumptions!$F$92,M72*Assumptions!$F$90)</f>
        <v>-34412.3199556127</v>
      </c>
      <c r="O79" s="70" t="n">
        <f aca="false">-MAX(Assumptions!$F$92,N72*Assumptions!$F$90)</f>
        <v>-39193.2918394647</v>
      </c>
      <c r="P79" s="70" t="n">
        <f aca="false">-MAX(Assumptions!$F$92,O72*Assumptions!$F$90)</f>
        <v>-44206.3561934065</v>
      </c>
      <c r="Q79" s="70" t="n">
        <f aca="false">-MAX(Assumptions!$F$92,P72*Assumptions!$F$90)</f>
        <v>-49471.8637204368</v>
      </c>
      <c r="R79" s="70" t="n">
        <f aca="false">-MAX(Assumptions!$F$92,Q72*Assumptions!$F$90)</f>
        <v>-55010.8585571503</v>
      </c>
      <c r="S79" s="70" t="n">
        <f aca="false">-MAX(Assumptions!$F$92,R72*Assumptions!$F$90)</f>
        <v>-60845.1632844373</v>
      </c>
      <c r="T79" s="70" t="n">
        <f aca="false">-MAX(Assumptions!$F$92,S72*Assumptions!$F$90)</f>
        <v>-66997.4816378639</v>
      </c>
      <c r="U79" s="70" t="n">
        <f aca="false">-MAX(Assumptions!$F$92,T72*Assumptions!$F$90)</f>
        <v>-73305.1279012576</v>
      </c>
      <c r="V79" s="70" t="n">
        <f aca="false">-MAX(Assumptions!$F$92,U72*Assumptions!$F$90)</f>
        <v>-79748.2709700585</v>
      </c>
      <c r="W79" s="70" t="n">
        <f aca="false">-MAX(Assumptions!$F$92,V72*Assumptions!$F$90)</f>
        <v>-86351.5069514882</v>
      </c>
      <c r="X79" s="70" t="n">
        <f aca="false">-MAX(Assumptions!$F$92,W72*Assumptions!$F$90)</f>
        <v>-93118.5702934981</v>
      </c>
      <c r="Y79" s="70" t="n">
        <f aca="false">-MAX(Assumptions!$F$92,X72*Assumptions!$F$90)</f>
        <v>-100053.543095581</v>
      </c>
      <c r="Z79" s="70" t="n">
        <f aca="false">-MAX(Assumptions!$F$92,Y72*Assumptions!$F$90)</f>
        <v>-107160.925655563</v>
      </c>
      <c r="AA79" s="70" t="n">
        <f aca="false">-MAX(Assumptions!$F$92,Z72*Assumptions!$F$90)</f>
        <v>-114445.880531146</v>
      </c>
      <c r="AB79" s="70" t="n">
        <f aca="false">-MAX(Assumptions!$F$92,AA72*Assumptions!$F$90)</f>
        <v>-121914.377048572</v>
      </c>
      <c r="AC79" s="70" t="n">
        <f aca="false">-MAX(Assumptions!$F$92,AB72*Assumptions!$F$90)</f>
        <v>-129344.155305465</v>
      </c>
      <c r="AD79" s="70" t="n">
        <f aca="false">-MAX(Assumptions!$F$92,AC72*Assumptions!$F$90)</f>
        <v>-136127.674556688</v>
      </c>
      <c r="AE79" s="70" t="n">
        <f aca="false">-MAX(Assumptions!$F$92,AD72*Assumptions!$F$90)</f>
        <v>-142484.534235043</v>
      </c>
      <c r="AF79" s="70" t="n">
        <f aca="false">-MAX(Assumptions!$F$92,AE72*Assumptions!$F$90)</f>
        <v>-148517.631833386</v>
      </c>
      <c r="AG79" s="70" t="n">
        <f aca="false">-MAX(Assumptions!$F$92,AF72*Assumptions!$F$90)</f>
        <v>-154275.976271672</v>
      </c>
      <c r="AH79" s="70" t="n">
        <f aca="false">-MAX(Assumptions!$F$92,AG72*Assumptions!$F$90)</f>
        <v>-159799.641202524</v>
      </c>
      <c r="AI79" s="70" t="n">
        <f aca="false">-MAX(Assumptions!$F$92,AH72*Assumptions!$F$90)</f>
        <v>-165126.597745729</v>
      </c>
      <c r="AJ79" s="70" t="n">
        <f aca="false">-MAX(Assumptions!$F$92,AI72*Assumptions!$F$90)</f>
        <v>-170294.051423775</v>
      </c>
      <c r="AK79" s="70" t="n">
        <f aca="false">-MAX(Assumptions!$F$92,AJ72*Assumptions!$F$90)</f>
        <v>-175338.951991014</v>
      </c>
      <c r="AL79" s="70" t="n">
        <f aca="false">-MAX(Assumptions!$F$92,AK72*Assumptions!$F$90)</f>
        <v>-180298.382536757</v>
      </c>
      <c r="AM79" s="70" t="n">
        <f aca="false">SUM(C79:AL79)</f>
        <v>-2818357.50381755</v>
      </c>
    </row>
    <row r="80" customFormat="false" ht="15" hidden="false" customHeight="false" outlineLevel="0" collapsed="false">
      <c r="A80" s="10" t="s">
        <v>801</v>
      </c>
      <c r="B80" s="9" t="s">
        <v>97</v>
      </c>
      <c r="C80" s="70" t="n">
        <f aca="false">-IF(C$5&lt;=3,Assumptions!$F$93,Assumptions!$F$94)</f>
        <v>-20000</v>
      </c>
      <c r="D80" s="70" t="n">
        <f aca="false">-IF(D$5&lt;=3,Assumptions!$F$93,Assumptions!$F$94)</f>
        <v>-20000</v>
      </c>
      <c r="E80" s="70" t="n">
        <f aca="false">-IF(E$5&lt;=3,Assumptions!$F$93,Assumptions!$F$94)</f>
        <v>-20000</v>
      </c>
      <c r="F80" s="70" t="n">
        <f aca="false">-IF(F$5&lt;=3,Assumptions!$F$93,Assumptions!$F$94)</f>
        <v>-7000</v>
      </c>
      <c r="G80" s="70" t="n">
        <f aca="false">-IF(G$5&lt;=3,Assumptions!$F$93,Assumptions!$F$94)</f>
        <v>-7000</v>
      </c>
      <c r="H80" s="70" t="n">
        <f aca="false">-IF(H$5&lt;=3,Assumptions!$F$93,Assumptions!$F$94)</f>
        <v>-7000</v>
      </c>
      <c r="I80" s="70" t="n">
        <f aca="false">-IF(I$5&lt;=3,Assumptions!$F$93,Assumptions!$F$94)</f>
        <v>-7000</v>
      </c>
      <c r="J80" s="70" t="n">
        <f aca="false">-IF(J$5&lt;=3,Assumptions!$F$93,Assumptions!$F$94)</f>
        <v>-7000</v>
      </c>
      <c r="K80" s="70" t="n">
        <f aca="false">-IF(K$5&lt;=3,Assumptions!$F$93,Assumptions!$F$94)</f>
        <v>-7000</v>
      </c>
      <c r="L80" s="70" t="n">
        <f aca="false">-IF(L$5&lt;=3,Assumptions!$F$93,Assumptions!$F$94)</f>
        <v>-7000</v>
      </c>
      <c r="M80" s="70" t="n">
        <f aca="false">-IF(M$5&lt;=3,Assumptions!$F$93,Assumptions!$F$94)</f>
        <v>-7000</v>
      </c>
      <c r="N80" s="70" t="n">
        <f aca="false">-IF(N$5&lt;=3,Assumptions!$F$93,Assumptions!$F$94)</f>
        <v>-7000</v>
      </c>
      <c r="O80" s="70" t="n">
        <f aca="false">-IF(O$5&lt;=3,Assumptions!$F$93,Assumptions!$F$94)</f>
        <v>-7000</v>
      </c>
      <c r="P80" s="70" t="n">
        <f aca="false">-IF(P$5&lt;=3,Assumptions!$F$93,Assumptions!$F$94)</f>
        <v>-7000</v>
      </c>
      <c r="Q80" s="70" t="n">
        <f aca="false">-IF(Q$5&lt;=3,Assumptions!$F$93,Assumptions!$F$94)</f>
        <v>-7000</v>
      </c>
      <c r="R80" s="70" t="n">
        <f aca="false">-IF(R$5&lt;=3,Assumptions!$F$93,Assumptions!$F$94)</f>
        <v>-7000</v>
      </c>
      <c r="S80" s="70" t="n">
        <f aca="false">-IF(S$5&lt;=3,Assumptions!$F$93,Assumptions!$F$94)</f>
        <v>-7000</v>
      </c>
      <c r="T80" s="70" t="n">
        <f aca="false">-IF(T$5&lt;=3,Assumptions!$F$93,Assumptions!$F$94)</f>
        <v>-7000</v>
      </c>
      <c r="U80" s="70" t="n">
        <f aca="false">-IF(U$5&lt;=3,Assumptions!$F$93,Assumptions!$F$94)</f>
        <v>-7000</v>
      </c>
      <c r="V80" s="70" t="n">
        <f aca="false">-IF(V$5&lt;=3,Assumptions!$F$93,Assumptions!$F$94)</f>
        <v>-7000</v>
      </c>
      <c r="W80" s="70" t="n">
        <f aca="false">-IF(W$5&lt;=3,Assumptions!$F$93,Assumptions!$F$94)</f>
        <v>-7000</v>
      </c>
      <c r="X80" s="70" t="n">
        <f aca="false">-IF(X$5&lt;=3,Assumptions!$F$93,Assumptions!$F$94)</f>
        <v>-7000</v>
      </c>
      <c r="Y80" s="70" t="n">
        <f aca="false">-IF(Y$5&lt;=3,Assumptions!$F$93,Assumptions!$F$94)</f>
        <v>-7000</v>
      </c>
      <c r="Z80" s="70" t="n">
        <f aca="false">-IF(Z$5&lt;=3,Assumptions!$F$93,Assumptions!$F$94)</f>
        <v>-7000</v>
      </c>
      <c r="AA80" s="70" t="n">
        <f aca="false">-IF(AA$5&lt;=3,Assumptions!$F$93,Assumptions!$F$94)</f>
        <v>-7000</v>
      </c>
      <c r="AB80" s="70" t="n">
        <f aca="false">-IF(AB$5&lt;=3,Assumptions!$F$93,Assumptions!$F$94)</f>
        <v>-7000</v>
      </c>
      <c r="AC80" s="70" t="n">
        <f aca="false">-IF(AC$5&lt;=3,Assumptions!$F$93,Assumptions!$F$94)</f>
        <v>-7000</v>
      </c>
      <c r="AD80" s="70" t="n">
        <f aca="false">-IF(AD$5&lt;=3,Assumptions!$F$93,Assumptions!$F$94)</f>
        <v>-7000</v>
      </c>
      <c r="AE80" s="70" t="n">
        <f aca="false">-IF(AE$5&lt;=3,Assumptions!$F$93,Assumptions!$F$94)</f>
        <v>-7000</v>
      </c>
      <c r="AF80" s="70" t="n">
        <f aca="false">-IF(AF$5&lt;=3,Assumptions!$F$93,Assumptions!$F$94)</f>
        <v>-7000</v>
      </c>
      <c r="AG80" s="70" t="n">
        <f aca="false">-IF(AG$5&lt;=3,Assumptions!$F$93,Assumptions!$F$94)</f>
        <v>-7000</v>
      </c>
      <c r="AH80" s="70" t="n">
        <f aca="false">-IF(AH$5&lt;=3,Assumptions!$F$93,Assumptions!$F$94)</f>
        <v>-7000</v>
      </c>
      <c r="AI80" s="70" t="n">
        <f aca="false">-IF(AI$5&lt;=3,Assumptions!$F$93,Assumptions!$F$94)</f>
        <v>-7000</v>
      </c>
      <c r="AJ80" s="70" t="n">
        <f aca="false">-IF(AJ$5&lt;=3,Assumptions!$F$93,Assumptions!$F$94)</f>
        <v>-7000</v>
      </c>
      <c r="AK80" s="70" t="n">
        <f aca="false">-IF(AK$5&lt;=3,Assumptions!$F$93,Assumptions!$F$94)</f>
        <v>-7000</v>
      </c>
      <c r="AL80" s="70" t="n">
        <f aca="false">-IF(AL$5&lt;=3,Assumptions!$F$93,Assumptions!$F$94)</f>
        <v>-7000</v>
      </c>
      <c r="AM80" s="70" t="n">
        <f aca="false">SUM(C80:AL80)</f>
        <v>-291000</v>
      </c>
    </row>
    <row r="81" customFormat="false" ht="15" hidden="false" customHeight="false" outlineLevel="0" collapsed="false">
      <c r="A81" s="10" t="s">
        <v>802</v>
      </c>
      <c r="B81" s="9" t="s">
        <v>97</v>
      </c>
      <c r="C81" s="70" t="n">
        <f aca="false">-C8*Assumptions!$F$95</f>
        <v>-0</v>
      </c>
      <c r="D81" s="70" t="n">
        <f aca="false">-D8*Assumptions!$F$95</f>
        <v>-3500</v>
      </c>
      <c r="E81" s="70" t="n">
        <f aca="false">-E8*Assumptions!$F$95</f>
        <v>-3500</v>
      </c>
      <c r="F81" s="70" t="n">
        <f aca="false">-F8*Assumptions!$F$95</f>
        <v>-3500</v>
      </c>
      <c r="G81" s="70" t="n">
        <f aca="false">-G8*Assumptions!$F$95</f>
        <v>-3500</v>
      </c>
      <c r="H81" s="70" t="n">
        <f aca="false">-H8*Assumptions!$F$95</f>
        <v>-3500</v>
      </c>
      <c r="I81" s="70" t="n">
        <f aca="false">-I8*Assumptions!$F$95</f>
        <v>-3500</v>
      </c>
      <c r="J81" s="70" t="n">
        <f aca="false">-J8*Assumptions!$F$95</f>
        <v>-3500</v>
      </c>
      <c r="K81" s="70" t="n">
        <f aca="false">-K8*Assumptions!$F$95</f>
        <v>-3500</v>
      </c>
      <c r="L81" s="70" t="n">
        <f aca="false">-L8*Assumptions!$F$95</f>
        <v>-3500</v>
      </c>
      <c r="M81" s="70" t="n">
        <f aca="false">-M8*Assumptions!$F$95</f>
        <v>-3500</v>
      </c>
      <c r="N81" s="70" t="n">
        <f aca="false">-N8*Assumptions!$F$95</f>
        <v>-3500</v>
      </c>
      <c r="O81" s="70" t="n">
        <f aca="false">-O8*Assumptions!$F$95</f>
        <v>-3500</v>
      </c>
      <c r="P81" s="70" t="n">
        <f aca="false">-P8*Assumptions!$F$95</f>
        <v>-3500</v>
      </c>
      <c r="Q81" s="70" t="n">
        <f aca="false">-Q8*Assumptions!$F$95</f>
        <v>-3500</v>
      </c>
      <c r="R81" s="70" t="n">
        <f aca="false">-R8*Assumptions!$F$95</f>
        <v>-3500</v>
      </c>
      <c r="S81" s="70" t="n">
        <f aca="false">-S8*Assumptions!$F$95</f>
        <v>-3500</v>
      </c>
      <c r="T81" s="70" t="n">
        <f aca="false">-T8*Assumptions!$F$95</f>
        <v>-3500</v>
      </c>
      <c r="U81" s="70" t="n">
        <f aca="false">-U8*Assumptions!$F$95</f>
        <v>-3500</v>
      </c>
      <c r="V81" s="70" t="n">
        <f aca="false">-V8*Assumptions!$F$95</f>
        <v>-3500</v>
      </c>
      <c r="W81" s="70" t="n">
        <f aca="false">-W8*Assumptions!$F$95</f>
        <v>-3500</v>
      </c>
      <c r="X81" s="70" t="n">
        <f aca="false">-X8*Assumptions!$F$95</f>
        <v>-3500</v>
      </c>
      <c r="Y81" s="70" t="n">
        <f aca="false">-Y8*Assumptions!$F$95</f>
        <v>-3500</v>
      </c>
      <c r="Z81" s="70" t="n">
        <f aca="false">-Z8*Assumptions!$F$95</f>
        <v>-3500</v>
      </c>
      <c r="AA81" s="70" t="n">
        <f aca="false">-AA8*Assumptions!$F$95</f>
        <v>-3500</v>
      </c>
      <c r="AB81" s="70" t="n">
        <f aca="false">-AB8*Assumptions!$F$95</f>
        <v>-3500</v>
      </c>
      <c r="AC81" s="70" t="n">
        <f aca="false">-AC8*Assumptions!$F$95</f>
        <v>-3500</v>
      </c>
      <c r="AD81" s="70" t="n">
        <f aca="false">-AD8*Assumptions!$F$95</f>
        <v>-3500</v>
      </c>
      <c r="AE81" s="70" t="n">
        <f aca="false">-AE8*Assumptions!$F$95</f>
        <v>-3500</v>
      </c>
      <c r="AF81" s="70" t="n">
        <f aca="false">-AF8*Assumptions!$F$95</f>
        <v>-3500</v>
      </c>
      <c r="AG81" s="70" t="n">
        <f aca="false">-AG8*Assumptions!$F$95</f>
        <v>-3500</v>
      </c>
      <c r="AH81" s="70" t="n">
        <f aca="false">-AH8*Assumptions!$F$95</f>
        <v>-3500</v>
      </c>
      <c r="AI81" s="70" t="n">
        <f aca="false">-AI8*Assumptions!$F$95</f>
        <v>-3500</v>
      </c>
      <c r="AJ81" s="70" t="n">
        <f aca="false">-AJ8*Assumptions!$F$95</f>
        <v>-3500</v>
      </c>
      <c r="AK81" s="70" t="n">
        <f aca="false">-AK8*Assumptions!$F$95</f>
        <v>-3500</v>
      </c>
      <c r="AL81" s="70" t="n">
        <f aca="false">-AL8*Assumptions!$F$95</f>
        <v>-3500</v>
      </c>
      <c r="AM81" s="70" t="n">
        <f aca="false">SUM(C81:AL81)</f>
        <v>-122500</v>
      </c>
    </row>
    <row r="82" customFormat="false" ht="15" hidden="false" customHeight="false" outlineLevel="0" collapsed="false">
      <c r="A82" s="10" t="s">
        <v>803</v>
      </c>
      <c r="B82" s="9" t="s">
        <v>97</v>
      </c>
      <c r="C82" s="70" t="n">
        <f aca="false">-Assumptions!$F$96</f>
        <v>-12000</v>
      </c>
      <c r="D82" s="70" t="n">
        <f aca="false">-MAX(Assumptions!$F$96,C72*Assumptions!$F$89)</f>
        <v>-12000</v>
      </c>
      <c r="E82" s="70" t="n">
        <f aca="false">-MAX(Assumptions!$F$96,D72*Assumptions!$F$89)</f>
        <v>-12000</v>
      </c>
      <c r="F82" s="70" t="n">
        <f aca="false">-MAX(Assumptions!$F$96,E72*Assumptions!$F$89)</f>
        <v>-12000</v>
      </c>
      <c r="G82" s="70" t="n">
        <f aca="false">-MAX(Assumptions!$F$96,F72*Assumptions!$F$89)</f>
        <v>-17224.698348</v>
      </c>
      <c r="H82" s="70" t="n">
        <f aca="false">-MAX(Assumptions!$F$96,G72*Assumptions!$F$89)</f>
        <v>-30744.7608221281</v>
      </c>
      <c r="I82" s="70" t="n">
        <f aca="false">-MAX(Assumptions!$F$96,H72*Assumptions!$F$89)</f>
        <v>-44164.1033639545</v>
      </c>
      <c r="J82" s="70" t="n">
        <f aca="false">-MAX(Assumptions!$F$96,I72*Assumptions!$F$89)</f>
        <v>-57368.7706383762</v>
      </c>
      <c r="K82" s="70" t="n">
        <f aca="false">-MAX(Assumptions!$F$96,J72*Assumptions!$F$89)</f>
        <v>-70884.2561335952</v>
      </c>
      <c r="L82" s="70" t="n">
        <f aca="false">-MAX(Assumptions!$F$96,K72*Assumptions!$F$89)</f>
        <v>-84893.3895185453</v>
      </c>
      <c r="M82" s="70" t="n">
        <f aca="false">-MAX(Assumptions!$F$96,L72*Assumptions!$F$89)</f>
        <v>-99478.9669086084</v>
      </c>
      <c r="N82" s="70" t="n">
        <f aca="false">-MAX(Assumptions!$F$96,M72*Assumptions!$F$89)</f>
        <v>-114707.733185376</v>
      </c>
      <c r="O82" s="70" t="n">
        <f aca="false">-MAX(Assumptions!$F$96,N72*Assumptions!$F$89)</f>
        <v>-130644.306131549</v>
      </c>
      <c r="P82" s="70" t="n">
        <f aca="false">-MAX(Assumptions!$F$96,O72*Assumptions!$F$89)</f>
        <v>-147354.520644688</v>
      </c>
      <c r="Q82" s="70" t="n">
        <f aca="false">-MAX(Assumptions!$F$96,P72*Assumptions!$F$89)</f>
        <v>-164906.212401456</v>
      </c>
      <c r="R82" s="70" t="n">
        <f aca="false">-MAX(Assumptions!$F$96,Q72*Assumptions!$F$89)</f>
        <v>-183369.528523834</v>
      </c>
      <c r="S82" s="70" t="n">
        <f aca="false">-MAX(Assumptions!$F$96,R72*Assumptions!$F$89)</f>
        <v>-202817.210948124</v>
      </c>
      <c r="T82" s="70" t="n">
        <f aca="false">-MAX(Assumptions!$F$96,S72*Assumptions!$F$89)</f>
        <v>-223324.93879288</v>
      </c>
      <c r="U82" s="70" t="n">
        <f aca="false">-MAX(Assumptions!$F$96,T72*Assumptions!$F$89)</f>
        <v>-244350.426337525</v>
      </c>
      <c r="V82" s="70" t="n">
        <f aca="false">-MAX(Assumptions!$F$96,U72*Assumptions!$F$89)</f>
        <v>-265827.569900195</v>
      </c>
      <c r="W82" s="70" t="n">
        <f aca="false">-MAX(Assumptions!$F$96,V72*Assumptions!$F$89)</f>
        <v>-287838.356504961</v>
      </c>
      <c r="X82" s="70" t="n">
        <f aca="false">-MAX(Assumptions!$F$96,W72*Assumptions!$F$89)</f>
        <v>-310395.23431166</v>
      </c>
      <c r="Y82" s="70" t="n">
        <f aca="false">-MAX(Assumptions!$F$96,X72*Assumptions!$F$89)</f>
        <v>-333511.810318603</v>
      </c>
      <c r="Z82" s="70" t="n">
        <f aca="false">-MAX(Assumptions!$F$96,Y72*Assumptions!$F$89)</f>
        <v>-357203.085518542</v>
      </c>
      <c r="AA82" s="70" t="n">
        <f aca="false">-MAX(Assumptions!$F$96,Z72*Assumptions!$F$89)</f>
        <v>-381486.268437152</v>
      </c>
      <c r="AB82" s="70" t="n">
        <f aca="false">-MAX(Assumptions!$F$96,AA72*Assumptions!$F$89)</f>
        <v>-406381.256828573</v>
      </c>
      <c r="AC82" s="70" t="n">
        <f aca="false">-MAX(Assumptions!$F$96,AB72*Assumptions!$F$89)</f>
        <v>-431147.18435155</v>
      </c>
      <c r="AD82" s="70" t="n">
        <f aca="false">-MAX(Assumptions!$F$96,AC72*Assumptions!$F$89)</f>
        <v>-453758.91518896</v>
      </c>
      <c r="AE82" s="70" t="n">
        <f aca="false">-MAX(Assumptions!$F$96,AD72*Assumptions!$F$89)</f>
        <v>-474948.447450142</v>
      </c>
      <c r="AF82" s="70" t="n">
        <f aca="false">-MAX(Assumptions!$F$96,AE72*Assumptions!$F$89)</f>
        <v>-495058.772777953</v>
      </c>
      <c r="AG82" s="70" t="n">
        <f aca="false">-MAX(Assumptions!$F$96,AF72*Assumptions!$F$89)</f>
        <v>-514253.254238906</v>
      </c>
      <c r="AH82" s="70" t="n">
        <f aca="false">-MAX(Assumptions!$F$96,AG72*Assumptions!$F$89)</f>
        <v>-532665.47067508</v>
      </c>
      <c r="AI82" s="70" t="n">
        <f aca="false">-MAX(Assumptions!$F$96,AH72*Assumptions!$F$89)</f>
        <v>-550421.992485764</v>
      </c>
      <c r="AJ82" s="70" t="n">
        <f aca="false">-MAX(Assumptions!$F$96,AI72*Assumptions!$F$89)</f>
        <v>-567646.83807925</v>
      </c>
      <c r="AK82" s="70" t="n">
        <f aca="false">-MAX(Assumptions!$F$96,AJ72*Assumptions!$F$89)</f>
        <v>-584463.173303379</v>
      </c>
      <c r="AL82" s="70" t="n">
        <f aca="false">-MAX(Assumptions!$F$96,AK72*Assumptions!$F$89)</f>
        <v>-600994.608455856</v>
      </c>
      <c r="AM82" s="70" t="n">
        <f aca="false">SUM(C82:AL82)</f>
        <v>-9412236.06152516</v>
      </c>
    </row>
    <row r="83" customFormat="false" ht="15" hidden="false" customHeight="false" outlineLevel="0" collapsed="false">
      <c r="A83" s="10" t="s">
        <v>804</v>
      </c>
      <c r="B83" s="9" t="s">
        <v>97</v>
      </c>
      <c r="C83" s="70" t="n">
        <f aca="false">-C26</f>
        <v>-15000</v>
      </c>
      <c r="D83" s="70" t="n">
        <f aca="false">-D26</f>
        <v>-60000</v>
      </c>
      <c r="E83" s="70" t="n">
        <f aca="false">-E26</f>
        <v>-60000</v>
      </c>
      <c r="F83" s="70" t="n">
        <f aca="false">-F26</f>
        <v>-102889.512</v>
      </c>
      <c r="G83" s="70" t="n">
        <f aca="false">-G26</f>
        <v>-172246.98348</v>
      </c>
      <c r="H83" s="70" t="n">
        <f aca="false">-H26</f>
        <v>-307447.608221281</v>
      </c>
      <c r="I83" s="70" t="n">
        <f aca="false">-I26</f>
        <v>-441641.033639545</v>
      </c>
      <c r="J83" s="70" t="n">
        <f aca="false">-J26</f>
        <v>-573687.706383762</v>
      </c>
      <c r="K83" s="70" t="n">
        <f aca="false">-K26</f>
        <v>-708842.561335952</v>
      </c>
      <c r="L83" s="70" t="n">
        <f aca="false">-L26</f>
        <v>-848933.895185454</v>
      </c>
      <c r="M83" s="70" t="n">
        <f aca="false">-M26</f>
        <v>-994789.669086084</v>
      </c>
      <c r="N83" s="70" t="n">
        <f aca="false">-N26</f>
        <v>-1147077.33185376</v>
      </c>
      <c r="O83" s="70" t="n">
        <f aca="false">-O26</f>
        <v>-1306443.06131549</v>
      </c>
      <c r="P83" s="70" t="n">
        <f aca="false">-P26</f>
        <v>-1473545.20644688</v>
      </c>
      <c r="Q83" s="70" t="n">
        <f aca="false">-Q26</f>
        <v>-1649062.12401456</v>
      </c>
      <c r="R83" s="70" t="n">
        <f aca="false">-R26</f>
        <v>-1833695.28523834</v>
      </c>
      <c r="S83" s="70" t="n">
        <f aca="false">-S26</f>
        <v>-2028172.10948124</v>
      </c>
      <c r="T83" s="70" t="n">
        <f aca="false">-T26</f>
        <v>-2233249.3879288</v>
      </c>
      <c r="U83" s="70" t="n">
        <f aca="false">-U26</f>
        <v>-2443504.26337525</v>
      </c>
      <c r="V83" s="70" t="n">
        <f aca="false">-V26</f>
        <v>-2658275.69900195</v>
      </c>
      <c r="W83" s="70" t="n">
        <f aca="false">-W26</f>
        <v>-2878383.56504961</v>
      </c>
      <c r="X83" s="70" t="n">
        <f aca="false">-X26</f>
        <v>-3103952.3431166</v>
      </c>
      <c r="Y83" s="70" t="n">
        <f aca="false">-Y26</f>
        <v>-3335118.10318603</v>
      </c>
      <c r="Z83" s="70" t="n">
        <f aca="false">-Z26</f>
        <v>-3572030.85518542</v>
      </c>
      <c r="AA83" s="70" t="n">
        <f aca="false">-AA26</f>
        <v>-3814862.68437152</v>
      </c>
      <c r="AB83" s="70" t="n">
        <f aca="false">-AB26</f>
        <v>-4000000</v>
      </c>
      <c r="AC83" s="70" t="n">
        <f aca="false">-AC26</f>
        <v>-4000000</v>
      </c>
      <c r="AD83" s="70" t="n">
        <f aca="false">-AD26</f>
        <v>-4000000</v>
      </c>
      <c r="AE83" s="70" t="n">
        <f aca="false">-AE26</f>
        <v>-4000000</v>
      </c>
      <c r="AF83" s="70" t="n">
        <f aca="false">-AF26</f>
        <v>-4000000</v>
      </c>
      <c r="AG83" s="70" t="n">
        <f aca="false">-AG26</f>
        <v>-4000000</v>
      </c>
      <c r="AH83" s="70" t="n">
        <f aca="false">-AH26</f>
        <v>-4000000</v>
      </c>
      <c r="AI83" s="70" t="n">
        <f aca="false">-AI26</f>
        <v>-4000000</v>
      </c>
      <c r="AJ83" s="70" t="n">
        <f aca="false">-AJ26</f>
        <v>-4000000</v>
      </c>
      <c r="AK83" s="70" t="n">
        <f aca="false">-AK26</f>
        <v>-4000000</v>
      </c>
      <c r="AL83" s="70" t="n">
        <f aca="false">-AL26</f>
        <v>-4000000</v>
      </c>
      <c r="AM83" s="70" t="n">
        <f aca="false">SUM(C83:AL83)</f>
        <v>-81762850.9888975</v>
      </c>
    </row>
    <row r="84" customFormat="false" ht="15" hidden="false" customHeight="false" outlineLevel="0" collapsed="false">
      <c r="A84" s="10" t="s">
        <v>805</v>
      </c>
      <c r="B84" s="9" t="s">
        <v>97</v>
      </c>
      <c r="C84" s="70" t="n">
        <f aca="false">-IF(C$5=Assumptions!$F$6,Assumptions!$F$23,0)</f>
        <v>-0</v>
      </c>
      <c r="D84" s="70" t="n">
        <f aca="false">-IF(D$5=Assumptions!$F$6,Assumptions!$F$23,0)</f>
        <v>-150000</v>
      </c>
      <c r="E84" s="70" t="n">
        <f aca="false">-IF(E$5=Assumptions!$F$6,Assumptions!$F$23,0)</f>
        <v>-0</v>
      </c>
      <c r="F84" s="70" t="n">
        <f aca="false">-IF(F$5=Assumptions!$F$6,Assumptions!$F$23,0)</f>
        <v>-0</v>
      </c>
      <c r="G84" s="70" t="n">
        <f aca="false">-IF(G$5=Assumptions!$F$6,Assumptions!$F$23,0)</f>
        <v>-0</v>
      </c>
      <c r="H84" s="70" t="n">
        <f aca="false">-IF(H$5=Assumptions!$F$6,Assumptions!$F$23,0)</f>
        <v>-0</v>
      </c>
      <c r="I84" s="70" t="n">
        <f aca="false">-IF(I$5=Assumptions!$F$6,Assumptions!$F$23,0)</f>
        <v>-0</v>
      </c>
      <c r="J84" s="70" t="n">
        <f aca="false">-IF(J$5=Assumptions!$F$6,Assumptions!$F$23,0)</f>
        <v>-0</v>
      </c>
      <c r="K84" s="70" t="n">
        <f aca="false">-IF(K$5=Assumptions!$F$6,Assumptions!$F$23,0)</f>
        <v>-0</v>
      </c>
      <c r="L84" s="70" t="n">
        <f aca="false">-IF(L$5=Assumptions!$F$6,Assumptions!$F$23,0)</f>
        <v>-0</v>
      </c>
      <c r="M84" s="70" t="n">
        <f aca="false">-IF(M$5=Assumptions!$F$6,Assumptions!$F$23,0)</f>
        <v>-0</v>
      </c>
      <c r="N84" s="70" t="n">
        <f aca="false">-IF(N$5=Assumptions!$F$6,Assumptions!$F$23,0)</f>
        <v>-0</v>
      </c>
      <c r="O84" s="70" t="n">
        <f aca="false">-IF(O$5=Assumptions!$F$6,Assumptions!$F$23,0)</f>
        <v>-0</v>
      </c>
      <c r="P84" s="70" t="n">
        <f aca="false">-IF(P$5=Assumptions!$F$6,Assumptions!$F$23,0)</f>
        <v>-0</v>
      </c>
      <c r="Q84" s="70" t="n">
        <f aca="false">-IF(Q$5=Assumptions!$F$6,Assumptions!$F$23,0)</f>
        <v>-0</v>
      </c>
      <c r="R84" s="70" t="n">
        <f aca="false">-IF(R$5=Assumptions!$F$6,Assumptions!$F$23,0)</f>
        <v>-0</v>
      </c>
      <c r="S84" s="70" t="n">
        <f aca="false">-IF(S$5=Assumptions!$F$6,Assumptions!$F$23,0)</f>
        <v>-0</v>
      </c>
      <c r="T84" s="70" t="n">
        <f aca="false">-IF(T$5=Assumptions!$F$6,Assumptions!$F$23,0)</f>
        <v>-0</v>
      </c>
      <c r="U84" s="70" t="n">
        <f aca="false">-IF(U$5=Assumptions!$F$6,Assumptions!$F$23,0)</f>
        <v>-0</v>
      </c>
      <c r="V84" s="70" t="n">
        <f aca="false">-IF(V$5=Assumptions!$F$6,Assumptions!$F$23,0)</f>
        <v>-0</v>
      </c>
      <c r="W84" s="70" t="n">
        <f aca="false">-IF(W$5=Assumptions!$F$6,Assumptions!$F$23,0)</f>
        <v>-0</v>
      </c>
      <c r="X84" s="70" t="n">
        <f aca="false">-IF(X$5=Assumptions!$F$6,Assumptions!$F$23,0)</f>
        <v>-0</v>
      </c>
      <c r="Y84" s="70" t="n">
        <f aca="false">-IF(Y$5=Assumptions!$F$6,Assumptions!$F$23,0)</f>
        <v>-0</v>
      </c>
      <c r="Z84" s="70" t="n">
        <f aca="false">-IF(Z$5=Assumptions!$F$6,Assumptions!$F$23,0)</f>
        <v>-0</v>
      </c>
      <c r="AA84" s="70" t="n">
        <f aca="false">-IF(AA$5=Assumptions!$F$6,Assumptions!$F$23,0)</f>
        <v>-0</v>
      </c>
      <c r="AB84" s="70" t="n">
        <f aca="false">-IF(AB$5=Assumptions!$F$6,Assumptions!$F$23,0)</f>
        <v>-0</v>
      </c>
      <c r="AC84" s="70" t="n">
        <f aca="false">-IF(AC$5=Assumptions!$F$6,Assumptions!$F$23,0)</f>
        <v>-0</v>
      </c>
      <c r="AD84" s="70" t="n">
        <f aca="false">-IF(AD$5=Assumptions!$F$6,Assumptions!$F$23,0)</f>
        <v>-0</v>
      </c>
      <c r="AE84" s="70" t="n">
        <f aca="false">-IF(AE$5=Assumptions!$F$6,Assumptions!$F$23,0)</f>
        <v>-0</v>
      </c>
      <c r="AF84" s="70" t="n">
        <f aca="false">-IF(AF$5=Assumptions!$F$6,Assumptions!$F$23,0)</f>
        <v>-0</v>
      </c>
      <c r="AG84" s="70" t="n">
        <f aca="false">-IF(AG$5=Assumptions!$F$6,Assumptions!$F$23,0)</f>
        <v>-0</v>
      </c>
      <c r="AH84" s="70" t="n">
        <f aca="false">-IF(AH$5=Assumptions!$F$6,Assumptions!$F$23,0)</f>
        <v>-0</v>
      </c>
      <c r="AI84" s="70" t="n">
        <f aca="false">-IF(AI$5=Assumptions!$F$6,Assumptions!$F$23,0)</f>
        <v>-0</v>
      </c>
      <c r="AJ84" s="70" t="n">
        <f aca="false">-IF(AJ$5=Assumptions!$F$6,Assumptions!$F$23,0)</f>
        <v>-0</v>
      </c>
      <c r="AK84" s="70" t="n">
        <f aca="false">-IF(AK$5=Assumptions!$F$6,Assumptions!$F$23,0)</f>
        <v>-0</v>
      </c>
      <c r="AL84" s="70" t="n">
        <f aca="false">-IF(AL$5=Assumptions!$F$6,Assumptions!$F$23,0)</f>
        <v>-0</v>
      </c>
      <c r="AM84" s="70" t="n">
        <f aca="false">SUM(C84:AL84)</f>
        <v>-150000</v>
      </c>
    </row>
    <row r="85" customFormat="false" ht="15" hidden="false" customHeight="false" outlineLevel="0" collapsed="false">
      <c r="A85" s="10" t="s">
        <v>806</v>
      </c>
      <c r="B85" s="9" t="s">
        <v>97</v>
      </c>
      <c r="C85" s="70" t="n">
        <f aca="false">-C8*Assumptions!$F$98</f>
        <v>-0</v>
      </c>
      <c r="D85" s="70" t="n">
        <f aca="false">-D8*Assumptions!$F$98</f>
        <v>-25000</v>
      </c>
      <c r="E85" s="70" t="n">
        <f aca="false">-E8*Assumptions!$F$98</f>
        <v>-25000</v>
      </c>
      <c r="F85" s="70" t="n">
        <f aca="false">-F8*Assumptions!$F$98</f>
        <v>-25000</v>
      </c>
      <c r="G85" s="70" t="n">
        <f aca="false">-G8*Assumptions!$F$98</f>
        <v>-25000</v>
      </c>
      <c r="H85" s="70" t="n">
        <f aca="false">-H8*Assumptions!$F$98</f>
        <v>-25000</v>
      </c>
      <c r="I85" s="70" t="n">
        <f aca="false">-I8*Assumptions!$F$98</f>
        <v>-25000</v>
      </c>
      <c r="J85" s="70" t="n">
        <f aca="false">-J8*Assumptions!$F$98</f>
        <v>-25000</v>
      </c>
      <c r="K85" s="70" t="n">
        <f aca="false">-K8*Assumptions!$F$98</f>
        <v>-25000</v>
      </c>
      <c r="L85" s="70" t="n">
        <f aca="false">-L8*Assumptions!$F$98</f>
        <v>-25000</v>
      </c>
      <c r="M85" s="70" t="n">
        <f aca="false">-M8*Assumptions!$F$98</f>
        <v>-25000</v>
      </c>
      <c r="N85" s="70" t="n">
        <f aca="false">-N8*Assumptions!$F$98</f>
        <v>-25000</v>
      </c>
      <c r="O85" s="70" t="n">
        <f aca="false">-O8*Assumptions!$F$98</f>
        <v>-25000</v>
      </c>
      <c r="P85" s="70" t="n">
        <f aca="false">-P8*Assumptions!$F$98</f>
        <v>-25000</v>
      </c>
      <c r="Q85" s="70" t="n">
        <f aca="false">-Q8*Assumptions!$F$98</f>
        <v>-25000</v>
      </c>
      <c r="R85" s="70" t="n">
        <f aca="false">-R8*Assumptions!$F$98</f>
        <v>-25000</v>
      </c>
      <c r="S85" s="70" t="n">
        <f aca="false">-S8*Assumptions!$F$98</f>
        <v>-25000</v>
      </c>
      <c r="T85" s="70" t="n">
        <f aca="false">-T8*Assumptions!$F$98</f>
        <v>-25000</v>
      </c>
      <c r="U85" s="70" t="n">
        <f aca="false">-U8*Assumptions!$F$98</f>
        <v>-25000</v>
      </c>
      <c r="V85" s="70" t="n">
        <f aca="false">-V8*Assumptions!$F$98</f>
        <v>-25000</v>
      </c>
      <c r="W85" s="70" t="n">
        <f aca="false">-W8*Assumptions!$F$98</f>
        <v>-25000</v>
      </c>
      <c r="X85" s="70" t="n">
        <f aca="false">-X8*Assumptions!$F$98</f>
        <v>-25000</v>
      </c>
      <c r="Y85" s="70" t="n">
        <f aca="false">-Y8*Assumptions!$F$98</f>
        <v>-25000</v>
      </c>
      <c r="Z85" s="70" t="n">
        <f aca="false">-Z8*Assumptions!$F$98</f>
        <v>-25000</v>
      </c>
      <c r="AA85" s="70" t="n">
        <f aca="false">-AA8*Assumptions!$F$98</f>
        <v>-25000</v>
      </c>
      <c r="AB85" s="70" t="n">
        <f aca="false">-AB8*Assumptions!$F$98</f>
        <v>-25000</v>
      </c>
      <c r="AC85" s="70" t="n">
        <f aca="false">-AC8*Assumptions!$F$98</f>
        <v>-25000</v>
      </c>
      <c r="AD85" s="70" t="n">
        <f aca="false">-AD8*Assumptions!$F$98</f>
        <v>-25000</v>
      </c>
      <c r="AE85" s="70" t="n">
        <f aca="false">-AE8*Assumptions!$F$98</f>
        <v>-25000</v>
      </c>
      <c r="AF85" s="70" t="n">
        <f aca="false">-AF8*Assumptions!$F$98</f>
        <v>-25000</v>
      </c>
      <c r="AG85" s="70" t="n">
        <f aca="false">-AG8*Assumptions!$F$98</f>
        <v>-25000</v>
      </c>
      <c r="AH85" s="70" t="n">
        <f aca="false">-AH8*Assumptions!$F$98</f>
        <v>-25000</v>
      </c>
      <c r="AI85" s="70" t="n">
        <f aca="false">-AI8*Assumptions!$F$98</f>
        <v>-25000</v>
      </c>
      <c r="AJ85" s="70" t="n">
        <f aca="false">-AJ8*Assumptions!$F$98</f>
        <v>-25000</v>
      </c>
      <c r="AK85" s="70" t="n">
        <f aca="false">-AK8*Assumptions!$F$98</f>
        <v>-25000</v>
      </c>
      <c r="AL85" s="70" t="n">
        <f aca="false">-AL8*Assumptions!$F$98</f>
        <v>-25000</v>
      </c>
      <c r="AM85" s="70" t="n">
        <f aca="false">SUM(C85:AL85)</f>
        <v>-875000</v>
      </c>
    </row>
    <row r="86" customFormat="false" ht="15" hidden="false" customHeight="false" outlineLevel="0" collapsed="false">
      <c r="A86" s="10" t="s">
        <v>362</v>
      </c>
      <c r="B86" s="9" t="s">
        <v>97</v>
      </c>
      <c r="C86" s="70" t="n">
        <f aca="false">-C72*Assumptions!$F$99</f>
        <v>-0</v>
      </c>
      <c r="D86" s="70" t="n">
        <f aca="false">-D72*Assumptions!$F$99</f>
        <v>-12909.6</v>
      </c>
      <c r="E86" s="70" t="n">
        <f aca="false">-E72*Assumptions!$F$99</f>
        <v>-25722.378</v>
      </c>
      <c r="F86" s="70" t="n">
        <f aca="false">-F72*Assumptions!$F$99</f>
        <v>-43061.74587</v>
      </c>
      <c r="G86" s="70" t="n">
        <f aca="false">-G72*Assumptions!$F$99</f>
        <v>-76861.9020553202</v>
      </c>
      <c r="H86" s="70" t="n">
        <f aca="false">-H72*Assumptions!$F$99</f>
        <v>-110410.258409886</v>
      </c>
      <c r="I86" s="70" t="n">
        <f aca="false">-I72*Assumptions!$F$99</f>
        <v>-143421.926595941</v>
      </c>
      <c r="J86" s="70" t="n">
        <f aca="false">-J72*Assumptions!$F$99</f>
        <v>-177210.640333988</v>
      </c>
      <c r="K86" s="70" t="n">
        <f aca="false">-K72*Assumptions!$F$99</f>
        <v>-212233.473796363</v>
      </c>
      <c r="L86" s="70" t="n">
        <f aca="false">-L72*Assumptions!$F$99</f>
        <v>-248697.417271521</v>
      </c>
      <c r="M86" s="70" t="n">
        <f aca="false">-M72*Assumptions!$F$99</f>
        <v>-286769.332963439</v>
      </c>
      <c r="N86" s="70" t="n">
        <f aca="false">-N72*Assumptions!$F$99</f>
        <v>-326610.765328873</v>
      </c>
      <c r="O86" s="70" t="n">
        <f aca="false">-O72*Assumptions!$F$99</f>
        <v>-368386.301611721</v>
      </c>
      <c r="P86" s="70" t="n">
        <f aca="false">-P72*Assumptions!$F$99</f>
        <v>-412265.53100364</v>
      </c>
      <c r="Q86" s="70" t="n">
        <f aca="false">-Q72*Assumptions!$F$99</f>
        <v>-458423.821309586</v>
      </c>
      <c r="R86" s="70" t="n">
        <f aca="false">-R72*Assumptions!$F$99</f>
        <v>-507043.02737031</v>
      </c>
      <c r="S86" s="70" t="n">
        <f aca="false">-S72*Assumptions!$F$99</f>
        <v>-558312.3469822</v>
      </c>
      <c r="T86" s="70" t="n">
        <f aca="false">-T72*Assumptions!$F$99</f>
        <v>-610876.065843813</v>
      </c>
      <c r="U86" s="70" t="n">
        <f aca="false">-U72*Assumptions!$F$99</f>
        <v>-664568.924750487</v>
      </c>
      <c r="V86" s="70" t="n">
        <f aca="false">-V72*Assumptions!$F$99</f>
        <v>-719595.891262402</v>
      </c>
      <c r="W86" s="70" t="n">
        <f aca="false">-W72*Assumptions!$F$99</f>
        <v>-775988.085779151</v>
      </c>
      <c r="X86" s="70" t="n">
        <f aca="false">-X72*Assumptions!$F$99</f>
        <v>-833779.525796507</v>
      </c>
      <c r="Y86" s="70" t="n">
        <f aca="false">-Y72*Assumptions!$F$99</f>
        <v>-893007.713796355</v>
      </c>
      <c r="Z86" s="70" t="n">
        <f aca="false">-Z72*Assumptions!$F$99</f>
        <v>-953715.67109288</v>
      </c>
      <c r="AA86" s="70" t="n">
        <f aca="false">-AA72*Assumptions!$F$99</f>
        <v>-1015953.14207143</v>
      </c>
      <c r="AB86" s="70" t="n">
        <f aca="false">-AB72*Assumptions!$F$99</f>
        <v>-1077867.96087887</v>
      </c>
      <c r="AC86" s="70" t="n">
        <f aca="false">-AC72*Assumptions!$F$99</f>
        <v>-1134397.2879724</v>
      </c>
      <c r="AD86" s="70" t="n">
        <f aca="false">-AD72*Assumptions!$F$99</f>
        <v>-1187371.11862535</v>
      </c>
      <c r="AE86" s="70" t="n">
        <f aca="false">-AE72*Assumptions!$F$99</f>
        <v>-1237646.93194488</v>
      </c>
      <c r="AF86" s="70" t="n">
        <f aca="false">-AF72*Assumptions!$F$99</f>
        <v>-1285633.13559727</v>
      </c>
      <c r="AG86" s="70" t="n">
        <f aca="false">-AG72*Assumptions!$F$99</f>
        <v>-1331663.6766877</v>
      </c>
      <c r="AH86" s="70" t="n">
        <f aca="false">-AH72*Assumptions!$F$99</f>
        <v>-1376054.98121441</v>
      </c>
      <c r="AI86" s="70" t="n">
        <f aca="false">-AI72*Assumptions!$F$99</f>
        <v>-1419117.09519812</v>
      </c>
      <c r="AJ86" s="70" t="n">
        <f aca="false">-AJ72*Assumptions!$F$99</f>
        <v>-1461157.93325845</v>
      </c>
      <c r="AK86" s="70" t="n">
        <f aca="false">-AK72*Assumptions!$F$99</f>
        <v>-1502486.52113964</v>
      </c>
      <c r="AL86" s="70" t="n">
        <f aca="false">-AL72*Assumptions!$F$99</f>
        <v>-1543416.14898022</v>
      </c>
      <c r="AM86" s="70" t="n">
        <f aca="false">SUM(C86:AL86)</f>
        <v>-24992638.2807931</v>
      </c>
    </row>
    <row r="87" customFormat="false" ht="15" hidden="false" customHeight="false" outlineLevel="0" collapsed="false">
      <c r="A87" s="37" t="s">
        <v>807</v>
      </c>
      <c r="B87" s="9" t="s">
        <v>97</v>
      </c>
      <c r="C87" s="53" t="n">
        <f aca="false">C75+C76+C77+C78+C79+C80+C81+C82+C83+C84+C85+C86</f>
        <v>-58860</v>
      </c>
      <c r="D87" s="53" t="n">
        <f aca="false">D75+D76+D77+D78+D79+D80+D81+D82+D83+D84+D85+D86</f>
        <v>-312269.6</v>
      </c>
      <c r="E87" s="53" t="n">
        <f aca="false">E75+E76+E77+E78+E79+E80+E81+E82+E83+E84+E85+E86</f>
        <v>-189082.378</v>
      </c>
      <c r="F87" s="53" t="n">
        <f aca="false">F75+F76+F77+F78+F79+F80+F81+F82+F83+F84+F85+F86</f>
        <v>-237397.94323</v>
      </c>
      <c r="G87" s="53" t="n">
        <f aca="false">G75+G76+G77+G78+G79+G80+G81+G82+G83+G84+G85+G86</f>
        <v>-364922.73925772</v>
      </c>
      <c r="H87" s="53" t="n">
        <f aca="false">H75+H76+H77+H78+H79+H80+H81+H82+H83+H84+H85+H86</f>
        <v>-585047.957755254</v>
      </c>
      <c r="I87" s="53" t="n">
        <f aca="false">I75+I76+I77+I78+I79+I80+I81+I82+I83+I84+I85+I86</f>
        <v>-803246.553018512</v>
      </c>
      <c r="J87" s="53" t="n">
        <f aca="false">J75+J76+J77+J78+J79+J80+J81+J82+J83+J84+J85+J86</f>
        <v>-1019259.67514358</v>
      </c>
      <c r="K87" s="53" t="n">
        <f aca="false">K75+K76+K77+K78+K79+K80+K81+K82+K83+K84+K85+K86</f>
        <v>-1240796.20843998</v>
      </c>
      <c r="L87" s="53" t="n">
        <f aca="false">L75+L76+L77+L78+L79+L80+L81+L82+L83+L84+L85+L86</f>
        <v>-1470586.19262745</v>
      </c>
      <c r="M87" s="53" t="n">
        <f aca="false">M75+M76+M77+M78+M79+M80+M81+M82+M83+M84+M85+M86</f>
        <v>-1709939.07630223</v>
      </c>
      <c r="N87" s="53" t="n">
        <f aca="false">N75+N76+N77+N78+N79+N80+N81+N82+N83+N84+N85+N86</f>
        <v>-1959937.48328706</v>
      </c>
      <c r="O87" s="53" t="n">
        <f aca="false">O75+O76+O77+O78+O79+O80+O81+O82+O83+O84+O85+O86</f>
        <v>-2221637.7262271</v>
      </c>
      <c r="P87" s="53" t="n">
        <f aca="false">P75+P76+P77+P78+P79+P80+P81+P82+P83+P84+P85+P86</f>
        <v>-2496117.91590034</v>
      </c>
      <c r="Q87" s="53" t="n">
        <f aca="false">Q75+Q76+Q77+Q78+Q79+Q80+Q81+Q82+Q83+Q84+Q85+Q86</f>
        <v>-2784489.55244968</v>
      </c>
      <c r="R87" s="53" t="n">
        <f aca="false">R75+R76+R77+R78+R79+R80+R81+R82+R83+R84+R85+R86</f>
        <v>-3087902.52099923</v>
      </c>
      <c r="S87" s="53" t="n">
        <f aca="false">S75+S76+S77+S78+S79+S80+S81+S82+S83+S84+S85+S86</f>
        <v>-3407549.85806631</v>
      </c>
      <c r="T87" s="53" t="n">
        <f aca="false">T75+T76+T77+T78+T79+T80+T81+T82+T83+T84+T85+T86</f>
        <v>-3743120.22118555</v>
      </c>
      <c r="U87" s="53" t="n">
        <f aca="false">U75+U76+U77+U78+U79+U80+U81+U82+U83+U84+U85+U86</f>
        <v>-4086964.80820834</v>
      </c>
      <c r="V87" s="53" t="n">
        <f aca="false">V75+V76+V77+V78+V79+V80+V81+V82+V83+V84+V85+V86</f>
        <v>-4438376.35588509</v>
      </c>
      <c r="W87" s="53" t="n">
        <f aca="false">W75+W76+W77+W78+W79+W80+W81+W82+W83+W84+W85+W86</f>
        <v>-4798517.40554761</v>
      </c>
      <c r="X87" s="53" t="n">
        <f aca="false">X75+X76+X77+X78+X79+X80+X81+X82+X83+X84+X85+X86</f>
        <v>-5167593.75929742</v>
      </c>
      <c r="Y87" s="53" t="n">
        <f aca="false">Y75+Y76+Y77+Y78+Y79+Y80+Y81+Y82+Y83+Y84+Y85+Y86</f>
        <v>-5545830.69619307</v>
      </c>
      <c r="Z87" s="53" t="n">
        <f aca="false">Z75+Z76+Z77+Z78+Z79+Z80+Z81+Z82+Z83+Z84+Z85+Z86</f>
        <v>-5933478.25124876</v>
      </c>
      <c r="AA87" s="53" t="n">
        <f aca="false">AA75+AA76+AA77+AA78+AA79+AA80+AA81+AA82+AA83+AA84+AA85+AA86</f>
        <v>-6330823.64650413</v>
      </c>
      <c r="AB87" s="53" t="n">
        <f aca="false">AB75+AB76+AB77+AB78+AB79+AB80+AB81+AB82+AB83+AB84+AB85+AB86</f>
        <v>-6672476.73682745</v>
      </c>
      <c r="AC87" s="53" t="n">
        <f aca="false">AC75+AC76+AC77+AC78+AC79+AC80+AC81+AC82+AC83+AC84+AC85+AC86</f>
        <v>-6823116.58850829</v>
      </c>
      <c r="AD87" s="53" t="n">
        <f aca="false">AD75+AD76+AD77+AD78+AD79+AD80+AD81+AD82+AD83+AD84+AD85+AD86</f>
        <v>-6962014.9963434</v>
      </c>
      <c r="AE87" s="53" t="n">
        <f aca="false">AE75+AE76+AE77+AE78+AE79+AE80+AE81+AE82+AE83+AE84+AE85+AE86</f>
        <v>-7092811.03225542</v>
      </c>
      <c r="AF87" s="53" t="n">
        <f aca="false">AF75+AF76+AF77+AF78+AF79+AF80+AF81+AF82+AF83+AF84+AF85+AF86</f>
        <v>-7217216.47215349</v>
      </c>
      <c r="AG87" s="53" t="n">
        <f aca="false">AG75+AG76+AG77+AG78+AG79+AG80+AG81+AG82+AG83+AG84+AG85+AG86</f>
        <v>-7336186.04279554</v>
      </c>
      <c r="AH87" s="53" t="n">
        <f aca="false">AH75+AH76+AH77+AH78+AH79+AH80+AH81+AH82+AH83+AH84+AH85+AH86</f>
        <v>-7450543.76977971</v>
      </c>
      <c r="AI87" s="53" t="n">
        <f aca="false">AI75+AI76+AI77+AI78+AI79+AI80+AI81+AI82+AI83+AI84+AI85+AI86</f>
        <v>-7561080.66664403</v>
      </c>
      <c r="AJ87" s="53" t="n">
        <f aca="false">AJ75+AJ76+AJ77+AJ78+AJ79+AJ80+AJ81+AJ82+AJ83+AJ84+AJ85+AJ86</f>
        <v>-7668575.9179596</v>
      </c>
      <c r="AK87" s="53" t="n">
        <f aca="false">AK75+AK76+AK77+AK78+AK79+AK80+AK81+AK82+AK83+AK84+AK85+AK86</f>
        <v>-7773806.57969248</v>
      </c>
      <c r="AL87" s="53" t="n">
        <f aca="false">AL75+AL76+AL77+AL78+AL79+AL80+AL81+AL82+AL83+AL84+AL85+AL86</f>
        <v>-7877555.66111248</v>
      </c>
      <c r="AM87" s="53" t="n">
        <f aca="false">SUM(C87:AL87)</f>
        <v>-144429132.988846</v>
      </c>
    </row>
    <row r="88" customFormat="false" ht="15" hidden="false" customHeight="false" outlineLevel="0" collapsed="false">
      <c r="A88" s="37" t="s">
        <v>808</v>
      </c>
      <c r="B88" s="9" t="s">
        <v>97</v>
      </c>
      <c r="C88" s="53" t="n">
        <f aca="false">C73+C87</f>
        <v>-58860</v>
      </c>
      <c r="D88" s="53" t="n">
        <f aca="false">D73+D87</f>
        <v>-138628.784</v>
      </c>
      <c r="E88" s="53" t="n">
        <f aca="false">E73+E87</f>
        <v>156896.94788</v>
      </c>
      <c r="F88" s="53" t="n">
        <f aca="false">F73+F87</f>
        <v>341804.8741502</v>
      </c>
      <c r="G88" s="53" t="n">
        <f aca="false">G73+G87</f>
        <v>659898.476510145</v>
      </c>
      <c r="H88" s="53" t="n">
        <f aca="false">H73+H87</f>
        <v>883780.494543647</v>
      </c>
      <c r="I88" s="53" t="n">
        <f aca="false">I73+I87</f>
        <v>1101817.53269042</v>
      </c>
      <c r="J88" s="53" t="n">
        <f aca="false">J73+J87</f>
        <v>1331832.35376535</v>
      </c>
      <c r="K88" s="53" t="n">
        <f aca="false">K73+K87</f>
        <v>1572178.64025072</v>
      </c>
      <c r="L88" s="53" t="n">
        <f aca="false">L73+L87</f>
        <v>1822839.33503895</v>
      </c>
      <c r="M88" s="53" t="n">
        <f aca="false">M73+M87</f>
        <v>2084680.69860841</v>
      </c>
      <c r="N88" s="53" t="n">
        <f aca="false">N73+N87</f>
        <v>2358721.21134617</v>
      </c>
      <c r="O88" s="53" t="n">
        <f aca="false">O73+O87</f>
        <v>2646042.27160125</v>
      </c>
      <c r="P88" s="53" t="n">
        <f aca="false">P73+P87</f>
        <v>2947766.15670223</v>
      </c>
      <c r="Q88" s="53" t="n">
        <f aca="false">Q73+Q87</f>
        <v>3265054.69713058</v>
      </c>
      <c r="R88" s="53" t="n">
        <f aca="false">R73+R87</f>
        <v>3599113.55029769</v>
      </c>
      <c r="S88" s="53" t="n">
        <f aca="false">S73+S87</f>
        <v>3951198.58353941</v>
      </c>
      <c r="T88" s="53" t="n">
        <f aca="false">T73+T87</f>
        <v>4304843.83702686</v>
      </c>
      <c r="U88" s="53" t="n">
        <f aca="false">U73+U87</f>
        <v>4665457.94773325</v>
      </c>
      <c r="V88" s="53" t="n">
        <f aca="false">V73+V87</f>
        <v>5036213.78541919</v>
      </c>
      <c r="W88" s="53" t="n">
        <f aca="false">W73+W87</f>
        <v>5416347.13097837</v>
      </c>
      <c r="X88" s="53" t="n">
        <f aca="false">X73+X87</f>
        <v>5806089.24095725</v>
      </c>
      <c r="Y88" s="53" t="n">
        <f aca="false">Y73+Y87</f>
        <v>6205697.78071537</v>
      </c>
      <c r="Z88" s="53" t="n">
        <f aca="false">Z73+Z87</f>
        <v>6615478.25488248</v>
      </c>
      <c r="AA88" s="53" t="n">
        <f aca="false">AA73+AA87</f>
        <v>7035787.35319088</v>
      </c>
      <c r="AB88" s="53" t="n">
        <f aca="false">AB73+AB87</f>
        <v>7507776.90176474</v>
      </c>
      <c r="AC88" s="53" t="n">
        <f aca="false">AC73+AC87</f>
        <v>8100497.32653304</v>
      </c>
      <c r="AD88" s="53" t="n">
        <f aca="false">AD73+AD87</f>
        <v>8658533.04243094</v>
      </c>
      <c r="AE88" s="53" t="n">
        <f aca="false">AE73+AE87</f>
        <v>9189455.27513792</v>
      </c>
      <c r="AF88" s="53" t="n">
        <f aca="false">AF73+AF87</f>
        <v>9696866.41641231</v>
      </c>
      <c r="AG88" s="53" t="n">
        <f aca="false">AG73+AG87</f>
        <v>10184153.1401987</v>
      </c>
      <c r="AH88" s="53" t="n">
        <f aca="false">AH73+AH87</f>
        <v>10654607.17619</v>
      </c>
      <c r="AI88" s="53" t="n">
        <f aca="false">AI73+AI87</f>
        <v>11111473.3309414</v>
      </c>
      <c r="AJ88" s="53" t="n">
        <f aca="false">AJ73+AJ87</f>
        <v>11557983.5443028</v>
      </c>
      <c r="AK88" s="53" t="n">
        <f aca="false">AK73+AK87</f>
        <v>11997389.2584498</v>
      </c>
      <c r="AL88" s="53" t="n">
        <f aca="false">AL73+AL87</f>
        <v>12432994.2693066</v>
      </c>
      <c r="AM88" s="53" t="n">
        <f aca="false">SUM(C88:AL88)</f>
        <v>184703782.052627</v>
      </c>
    </row>
    <row r="89" customFormat="false" ht="15" hidden="false" customHeight="false" outlineLevel="0" collapsed="false">
      <c r="A89" s="37" t="s">
        <v>809</v>
      </c>
      <c r="B89" s="9" t="s">
        <v>61</v>
      </c>
      <c r="C89" s="52" t="n">
        <f aca="false">IFERROR(C88/C72,0)</f>
        <v>0</v>
      </c>
      <c r="D89" s="52" t="n">
        <f aca="false">IFERROR(D88/D72,0)</f>
        <v>-0.536921298878354</v>
      </c>
      <c r="E89" s="52" t="n">
        <f aca="false">IFERROR(E88/E72,0)</f>
        <v>0.304981421002366</v>
      </c>
      <c r="F89" s="52" t="n">
        <f aca="false">IFERROR(F88/F72,0)</f>
        <v>0.396877631462136</v>
      </c>
      <c r="G89" s="52" t="n">
        <f aca="false">IFERROR(G88/G72,0)</f>
        <v>0.429275400988121</v>
      </c>
      <c r="H89" s="52" t="n">
        <f aca="false">IFERROR(H88/H72,0)</f>
        <v>0.400225716012142</v>
      </c>
      <c r="I89" s="52" t="n">
        <f aca="false">IFERROR(I88/I72,0)</f>
        <v>0.384117533086328</v>
      </c>
      <c r="J89" s="52" t="n">
        <f aca="false">IFERROR(J88/J72,0)</f>
        <v>0.375776632615078</v>
      </c>
      <c r="K89" s="52" t="n">
        <f aca="false">IFERROR(K88/K72,0)</f>
        <v>0.370388942924058</v>
      </c>
      <c r="L89" s="52" t="n">
        <f aca="false">IFERROR(L88/L72,0)</f>
        <v>0.366477335196616</v>
      </c>
      <c r="M89" s="52" t="n">
        <f aca="false">IFERROR(M88/M72,0)</f>
        <v>0.363476923607133</v>
      </c>
      <c r="N89" s="52" t="n">
        <f aca="false">IFERROR(N88/N72,0)</f>
        <v>0.36109054901652</v>
      </c>
      <c r="O89" s="52" t="n">
        <f aca="false">IFERROR(O88/O72,0)</f>
        <v>0.359139612415634</v>
      </c>
      <c r="P89" s="52" t="n">
        <f aca="false">IFERROR(P88/P72,0)</f>
        <v>0.357508199815546</v>
      </c>
      <c r="Q89" s="52" t="n">
        <f aca="false">IFERROR(Q88/Q72,0)</f>
        <v>0.356117477469131</v>
      </c>
      <c r="R89" s="52" t="n">
        <f aca="false">IFERROR(R88/R72,0)</f>
        <v>0.354912044542241</v>
      </c>
      <c r="S89" s="52" t="n">
        <f aca="false">IFERROR(S88/S72,0)</f>
        <v>0.353851979532291</v>
      </c>
      <c r="T89" s="52" t="n">
        <f aca="false">IFERROR(T88/T72,0)</f>
        <v>0.35235001645387</v>
      </c>
      <c r="U89" s="52" t="n">
        <f aca="false">IFERROR(U88/U72,0)</f>
        <v>0.351013850781911</v>
      </c>
      <c r="V89" s="52" t="n">
        <f aca="false">IFERROR(V88/V72,0)</f>
        <v>0.349933472840156</v>
      </c>
      <c r="W89" s="52" t="n">
        <f aca="false">IFERROR(W88/W72,0)</f>
        <v>0.348996797131231</v>
      </c>
      <c r="X89" s="52" t="n">
        <f aca="false">IFERROR(X88/X72,0)</f>
        <v>0.348178928680859</v>
      </c>
      <c r="Y89" s="52" t="n">
        <f aca="false">IFERROR(Y88/Y72,0)</f>
        <v>0.347460480175121</v>
      </c>
      <c r="Z89" s="52" t="n">
        <f aca="false">IFERROR(Z88/Z72,0)</f>
        <v>0.346826546705565</v>
      </c>
      <c r="AA89" s="52" t="n">
        <f aca="false">IFERROR(AA88/AA72,0)</f>
        <v>0.346265347378403</v>
      </c>
      <c r="AB89" s="52" t="n">
        <f aca="false">IFERROR(AB88/AB72,0)</f>
        <v>0.348269786943246</v>
      </c>
      <c r="AC89" s="52" t="n">
        <f aca="false">IFERROR(AC88/AC72,0)</f>
        <v>0.357039699072788</v>
      </c>
      <c r="AD89" s="52" t="n">
        <f aca="false">IFERROR(AD88/AD72,0)</f>
        <v>0.364609383983296</v>
      </c>
      <c r="AE89" s="52" t="n">
        <f aca="false">IFERROR(AE88/AE72,0)</f>
        <v>0.371247042995424</v>
      </c>
      <c r="AF89" s="52" t="n">
        <f aca="false">IFERROR(AF88/AF72,0)</f>
        <v>0.3771241634927</v>
      </c>
      <c r="AG89" s="52" t="n">
        <f aca="false">IFERROR(AG88/AG72,0)</f>
        <v>0.382384580975062</v>
      </c>
      <c r="AH89" s="52" t="n">
        <f aca="false">IFERROR(AH88/AH72,0)</f>
        <v>0.387143221805972</v>
      </c>
      <c r="AI89" s="52" t="n">
        <f aca="false">IFERROR(AI88/AI72,0)</f>
        <v>0.391492476855482</v>
      </c>
      <c r="AJ89" s="52" t="n">
        <f aca="false">IFERROR(AJ88/AJ72,0)</f>
        <v>0.395507675153499</v>
      </c>
      <c r="AK89" s="52" t="n">
        <f aca="false">IFERROR(AK88/AK72,0)</f>
        <v>0.399251144341374</v>
      </c>
      <c r="AL89" s="52" t="n">
        <f aca="false">IFERROR(AL88/AL72,0)</f>
        <v>0.40277517756703</v>
      </c>
      <c r="AM89" s="52" t="n">
        <f aca="false">AVERAGE(N89:AL89)</f>
        <v>0.364419586244974</v>
      </c>
    </row>
    <row r="90" customFormat="false" ht="15" hidden="false" customHeight="false" outlineLevel="0" collapsed="false">
      <c r="A90" s="10" t="s">
        <v>810</v>
      </c>
      <c r="B90" s="9" t="s">
        <v>97</v>
      </c>
      <c r="C90" s="70" t="n">
        <f aca="false">-C43*Assumptions!$F$102</f>
        <v>0</v>
      </c>
      <c r="D90" s="70" t="n">
        <f aca="false">-D43*Assumptions!$F$102</f>
        <v>116160</v>
      </c>
      <c r="E90" s="70" t="n">
        <f aca="false">-E43*Assumptions!$F$102</f>
        <v>231448.8</v>
      </c>
      <c r="F90" s="70" t="n">
        <f aca="false">-F43*Assumptions!$F$102</f>
        <v>387467.652</v>
      </c>
      <c r="G90" s="70" t="n">
        <f aca="false">-G43*Assumptions!$F$102</f>
        <v>610842.30834</v>
      </c>
      <c r="H90" s="70" t="n">
        <f aca="false">-H43*Assumptions!$F$102</f>
        <v>840094.442125811</v>
      </c>
      <c r="I90" s="70" t="n">
        <f aca="false">-I43*Assumptions!$F$102</f>
        <v>1057626.30676151</v>
      </c>
      <c r="J90" s="70" t="n">
        <f aca="false">-J43*Assumptions!$F$102</f>
        <v>1274900.03772817</v>
      </c>
      <c r="K90" s="70" t="n">
        <f aca="false">-K43*Assumptions!$F$102</f>
        <v>1495437.70484884</v>
      </c>
      <c r="L90" s="70" t="n">
        <f aca="false">-L43*Assumptions!$F$102</f>
        <v>1720468.26926065</v>
      </c>
      <c r="M90" s="70" t="n">
        <f aca="false">-M43*Assumptions!$F$102</f>
        <v>1950818.16425784</v>
      </c>
      <c r="N90" s="70" t="n">
        <f aca="false">-N43*Assumptions!$F$102</f>
        <v>2187212.13663458</v>
      </c>
      <c r="O90" s="70" t="n">
        <f aca="false">-O43*Assumptions!$F$102</f>
        <v>2430349.22565433</v>
      </c>
      <c r="P90" s="70" t="n">
        <f aca="false">-P43*Assumptions!$F$102</f>
        <v>2680922.10072495</v>
      </c>
      <c r="Q90" s="70" t="n">
        <f aca="false">-Q43*Assumptions!$F$102</f>
        <v>2939624.07189659</v>
      </c>
      <c r="R90" s="70" t="n">
        <f aca="false">-R43*Assumptions!$F$102</f>
        <v>3207153.71892354</v>
      </c>
      <c r="S90" s="70" t="n">
        <f aca="false">-S43*Assumptions!$F$102</f>
        <v>3484219.3726491</v>
      </c>
      <c r="T90" s="70" t="n">
        <f aca="false">-T43*Assumptions!$F$102</f>
        <v>3771543.88307178</v>
      </c>
      <c r="U90" s="70" t="n">
        <f aca="false">-U43*Assumptions!$F$102</f>
        <v>4068678.12451982</v>
      </c>
      <c r="V90" s="70" t="n">
        <f aca="false">-V43*Assumptions!$F$102</f>
        <v>4375373.23644856</v>
      </c>
      <c r="W90" s="70" t="n">
        <f aca="false">-W43*Assumptions!$F$102</f>
        <v>4691707.41748483</v>
      </c>
      <c r="X90" s="70" t="n">
        <f aca="false">-X43*Assumptions!$F$102</f>
        <v>5017776.58991495</v>
      </c>
      <c r="Y90" s="70" t="n">
        <f aca="false">-Y43*Assumptions!$F$102</f>
        <v>5353696.17056867</v>
      </c>
      <c r="Z90" s="70" t="n">
        <f aca="false">-Z43*Assumptions!$F$102</f>
        <v>5699614.38223128</v>
      </c>
      <c r="AA90" s="70" t="n">
        <f aca="false">-AA43*Assumptions!$F$102</f>
        <v>6055719.12147884</v>
      </c>
      <c r="AB90" s="70" t="n">
        <f aca="false">-AB43*Assumptions!$F$102</f>
        <v>6411350.51803582</v>
      </c>
      <c r="AC90" s="70" t="n">
        <f aca="false">-AC43*Assumptions!$F$102</f>
        <v>6737894.44978102</v>
      </c>
      <c r="AD90" s="70" t="n">
        <f aca="false">-AD43*Assumptions!$F$102</f>
        <v>7046850.2198636</v>
      </c>
      <c r="AE90" s="70" t="n">
        <f aca="false">-AE43*Assumptions!$F$102</f>
        <v>7343198.43914299</v>
      </c>
      <c r="AF90" s="70" t="n">
        <f aca="false">-AF43*Assumptions!$F$102</f>
        <v>7628802.14856655</v>
      </c>
      <c r="AG90" s="70" t="n">
        <f aca="false">-AG43*Assumptions!$F$102</f>
        <v>7905072.07014145</v>
      </c>
      <c r="AH90" s="70" t="n">
        <f aca="false">-AH43*Assumptions!$F$102</f>
        <v>8173357.99095202</v>
      </c>
      <c r="AI90" s="70" t="n">
        <f aca="false">-AI43*Assumptions!$F$102</f>
        <v>8435016.69721226</v>
      </c>
      <c r="AJ90" s="70" t="n">
        <f aca="false">-AJ43*Assumptions!$F$102</f>
        <v>8691431.70016094</v>
      </c>
      <c r="AK90" s="70" t="n">
        <f aca="false">-AK43*Assumptions!$F$102</f>
        <v>8944026.29500545</v>
      </c>
      <c r="AL90" s="70" t="n">
        <f aca="false">-AL43*Assumptions!$F$102</f>
        <v>9194276.32425404</v>
      </c>
      <c r="AM90" s="70" t="n">
        <f aca="false">AL90</f>
        <v>9194276.32425404</v>
      </c>
    </row>
    <row r="91" customFormat="false" ht="15" hidden="false" customHeight="false" outlineLevel="0" collapsed="false">
      <c r="A91" s="10" t="s">
        <v>811</v>
      </c>
      <c r="B91" s="9" t="s">
        <v>97</v>
      </c>
      <c r="C91" s="70" t="n">
        <f aca="false">-C90</f>
        <v>-0</v>
      </c>
      <c r="D91" s="70" t="n">
        <f aca="false">-(D90-C90)</f>
        <v>-116160</v>
      </c>
      <c r="E91" s="70" t="n">
        <f aca="false">-(E90-D90)</f>
        <v>-115288.8</v>
      </c>
      <c r="F91" s="70" t="n">
        <f aca="false">-(F90-E90)</f>
        <v>-156018.852</v>
      </c>
      <c r="G91" s="70" t="n">
        <f aca="false">-(G90-F90)</f>
        <v>-223374.65634</v>
      </c>
      <c r="H91" s="70" t="n">
        <f aca="false">-(H90-G90)</f>
        <v>-229252.133785811</v>
      </c>
      <c r="I91" s="70" t="n">
        <f aca="false">-(I90-H90)</f>
        <v>-217531.864635701</v>
      </c>
      <c r="J91" s="70" t="n">
        <f aca="false">-(J90-I90)</f>
        <v>-217273.730966656</v>
      </c>
      <c r="K91" s="70" t="n">
        <f aca="false">-(K90-J90)</f>
        <v>-220537.667120672</v>
      </c>
      <c r="L91" s="70" t="n">
        <f aca="false">-(L90-K90)</f>
        <v>-225030.564411808</v>
      </c>
      <c r="M91" s="70" t="n">
        <f aca="false">-(M90-L90)</f>
        <v>-230349.894997188</v>
      </c>
      <c r="N91" s="70" t="n">
        <f aca="false">-(N90-M90)</f>
        <v>-236393.972376741</v>
      </c>
      <c r="O91" s="70" t="n">
        <f aca="false">-(O90-N90)</f>
        <v>-243137.089019751</v>
      </c>
      <c r="P91" s="70" t="n">
        <f aca="false">-(P90-O90)</f>
        <v>-250572.875070618</v>
      </c>
      <c r="Q91" s="70" t="n">
        <f aca="false">-(Q90-P90)</f>
        <v>-258701.971171641</v>
      </c>
      <c r="R91" s="70" t="n">
        <f aca="false">-(R90-Q90)</f>
        <v>-267529.647026954</v>
      </c>
      <c r="S91" s="70" t="n">
        <f aca="false">-(S90-R90)</f>
        <v>-277065.653725562</v>
      </c>
      <c r="T91" s="70" t="n">
        <f aca="false">-(T90-S90)</f>
        <v>-287324.510422672</v>
      </c>
      <c r="U91" s="70" t="n">
        <f aca="false">-(U90-T90)</f>
        <v>-297134.241448042</v>
      </c>
      <c r="V91" s="70" t="n">
        <f aca="false">-(V90-U90)</f>
        <v>-306695.111928743</v>
      </c>
      <c r="W91" s="70" t="n">
        <f aca="false">-(W90-V90)</f>
        <v>-316334.181036271</v>
      </c>
      <c r="X91" s="70" t="n">
        <f aca="false">-(X90-W90)</f>
        <v>-326069.172430113</v>
      </c>
      <c r="Y91" s="70" t="n">
        <f aca="false">-(Y90-X90)</f>
        <v>-335919.580653726</v>
      </c>
      <c r="Z91" s="70" t="n">
        <f aca="false">-(Z90-Y90)</f>
        <v>-345918.21166261</v>
      </c>
      <c r="AA91" s="70" t="n">
        <f aca="false">-(AA90-Z90)</f>
        <v>-356104.739247556</v>
      </c>
      <c r="AB91" s="70" t="n">
        <f aca="false">-(AB90-AA90)</f>
        <v>-355631.396556983</v>
      </c>
      <c r="AC91" s="70" t="n">
        <f aca="false">-(AC90-AB90)</f>
        <v>-326543.931745198</v>
      </c>
      <c r="AD91" s="70" t="n">
        <f aca="false">-(AD90-AC90)</f>
        <v>-308955.77008258</v>
      </c>
      <c r="AE91" s="70" t="n">
        <f aca="false">-(AE90-AD90)</f>
        <v>-296348.21927939</v>
      </c>
      <c r="AF91" s="70" t="n">
        <f aca="false">-(AF90-AE90)</f>
        <v>-285603.709423564</v>
      </c>
      <c r="AG91" s="70" t="n">
        <f aca="false">-(AG90-AF90)</f>
        <v>-276269.921574899</v>
      </c>
      <c r="AH91" s="70" t="n">
        <f aca="false">-(AH90-AG90)</f>
        <v>-268285.920810569</v>
      </c>
      <c r="AI91" s="70" t="n">
        <f aca="false">-(AI90-AH90)</f>
        <v>-261658.706260239</v>
      </c>
      <c r="AJ91" s="70" t="n">
        <f aca="false">-(AJ90-AI90)</f>
        <v>-256415.002948681</v>
      </c>
      <c r="AK91" s="70" t="n">
        <f aca="false">-(AK90-AJ90)</f>
        <v>-252594.594844515</v>
      </c>
      <c r="AL91" s="70" t="n">
        <f aca="false">-(AL90-AK90)</f>
        <v>-250250.029248584</v>
      </c>
      <c r="AM91" s="70" t="n">
        <f aca="false">SUM(C91:AL91)</f>
        <v>-9194276.32425404</v>
      </c>
    </row>
    <row r="92" customFormat="false" ht="15" hidden="false" customHeight="false" outlineLevel="0" collapsed="false">
      <c r="A92" s="10" t="s">
        <v>812</v>
      </c>
      <c r="B92" s="9" t="s">
        <v>97</v>
      </c>
      <c r="C92" s="70" t="n">
        <f aca="false">C88+C91</f>
        <v>-58860</v>
      </c>
      <c r="D92" s="70" t="n">
        <f aca="false">D88+D91</f>
        <v>-254788.784</v>
      </c>
      <c r="E92" s="70" t="n">
        <f aca="false">E88+E91</f>
        <v>41608.14788</v>
      </c>
      <c r="F92" s="70" t="n">
        <f aca="false">F88+F91</f>
        <v>185786.0221502</v>
      </c>
      <c r="G92" s="70" t="n">
        <f aca="false">G88+G91</f>
        <v>436523.820170145</v>
      </c>
      <c r="H92" s="70" t="n">
        <f aca="false">H88+H91</f>
        <v>654528.360757835</v>
      </c>
      <c r="I92" s="70" t="n">
        <f aca="false">I88+I91</f>
        <v>884285.668054719</v>
      </c>
      <c r="J92" s="70" t="n">
        <f aca="false">J88+J91</f>
        <v>1114558.6227987</v>
      </c>
      <c r="K92" s="70" t="n">
        <f aca="false">K88+K91</f>
        <v>1351640.97313004</v>
      </c>
      <c r="L92" s="70" t="n">
        <f aca="false">L88+L91</f>
        <v>1597808.77062715</v>
      </c>
      <c r="M92" s="70" t="n">
        <f aca="false">M88+M91</f>
        <v>1854330.80361122</v>
      </c>
      <c r="N92" s="70" t="n">
        <f aca="false">N88+N91</f>
        <v>2122327.23896942</v>
      </c>
      <c r="O92" s="70" t="n">
        <f aca="false">O88+O91</f>
        <v>2402905.1825815</v>
      </c>
      <c r="P92" s="70" t="n">
        <f aca="false">P88+P91</f>
        <v>2697193.28163161</v>
      </c>
      <c r="Q92" s="70" t="n">
        <f aca="false">Q88+Q91</f>
        <v>3006352.72595894</v>
      </c>
      <c r="R92" s="70" t="n">
        <f aca="false">R88+R91</f>
        <v>3331583.90327073</v>
      </c>
      <c r="S92" s="70" t="n">
        <f aca="false">S88+S91</f>
        <v>3674132.92981384</v>
      </c>
      <c r="T92" s="70" t="n">
        <f aca="false">T88+T91</f>
        <v>4017519.32660419</v>
      </c>
      <c r="U92" s="70" t="n">
        <f aca="false">U88+U91</f>
        <v>4368323.70628521</v>
      </c>
      <c r="V92" s="70" t="n">
        <f aca="false">V88+V91</f>
        <v>4729518.67349044</v>
      </c>
      <c r="W92" s="70" t="n">
        <f aca="false">W88+W91</f>
        <v>5100012.9499421</v>
      </c>
      <c r="X92" s="70" t="n">
        <f aca="false">X88+X91</f>
        <v>5480020.06852714</v>
      </c>
      <c r="Y92" s="70" t="n">
        <f aca="false">Y88+Y91</f>
        <v>5869778.20006164</v>
      </c>
      <c r="Z92" s="70" t="n">
        <f aca="false">Z88+Z91</f>
        <v>6269560.04321987</v>
      </c>
      <c r="AA92" s="70" t="n">
        <f aca="false">AA88+AA91</f>
        <v>6679682.61394332</v>
      </c>
      <c r="AB92" s="70" t="n">
        <f aca="false">AB88+AB91</f>
        <v>7152145.50520776</v>
      </c>
      <c r="AC92" s="70" t="n">
        <f aca="false">AC88+AC91</f>
        <v>7773953.39478784</v>
      </c>
      <c r="AD92" s="70" t="n">
        <f aca="false">AD88+AD91</f>
        <v>8349577.27234836</v>
      </c>
      <c r="AE92" s="70" t="n">
        <f aca="false">AE88+AE91</f>
        <v>8893107.05585853</v>
      </c>
      <c r="AF92" s="70" t="n">
        <f aca="false">AF88+AF91</f>
        <v>9411262.70698874</v>
      </c>
      <c r="AG92" s="70" t="n">
        <f aca="false">AG88+AG91</f>
        <v>9907883.21862383</v>
      </c>
      <c r="AH92" s="70" t="n">
        <f aca="false">AH88+AH91</f>
        <v>10386321.2553795</v>
      </c>
      <c r="AI92" s="70" t="n">
        <f aca="false">AI88+AI91</f>
        <v>10849814.6246812</v>
      </c>
      <c r="AJ92" s="70" t="n">
        <f aca="false">AJ88+AJ91</f>
        <v>11301568.5413541</v>
      </c>
      <c r="AK92" s="70" t="n">
        <f aca="false">AK88+AK91</f>
        <v>11744794.6636053</v>
      </c>
      <c r="AL92" s="70" t="n">
        <f aca="false">AL88+AL91</f>
        <v>12182744.240058</v>
      </c>
      <c r="AM92" s="70" t="n">
        <f aca="false">SUM(C92:AL92)</f>
        <v>175509505.728373</v>
      </c>
    </row>
    <row r="93" customFormat="false" ht="15" hidden="false" customHeight="false" outlineLevel="0" collapsed="false">
      <c r="A93" s="37" t="s">
        <v>813</v>
      </c>
      <c r="B93" s="9" t="s">
        <v>97</v>
      </c>
      <c r="C93" s="53" t="n">
        <f aca="false">C92</f>
        <v>-58860</v>
      </c>
      <c r="D93" s="53" t="n">
        <f aca="false">C93+D92</f>
        <v>-313648.784</v>
      </c>
      <c r="E93" s="53" t="n">
        <f aca="false">D93+E92</f>
        <v>-272040.63612</v>
      </c>
      <c r="F93" s="53" t="n">
        <f aca="false">E93+F92</f>
        <v>-86254.6139697999</v>
      </c>
      <c r="G93" s="53" t="n">
        <f aca="false">F93+G92</f>
        <v>350269.206200346</v>
      </c>
      <c r="H93" s="53" t="n">
        <f aca="false">G93+H92</f>
        <v>1004797.56695818</v>
      </c>
      <c r="I93" s="53" t="n">
        <f aca="false">H93+I92</f>
        <v>1889083.2350129</v>
      </c>
      <c r="J93" s="53" t="n">
        <f aca="false">I93+J92</f>
        <v>3003641.8578116</v>
      </c>
      <c r="K93" s="53" t="n">
        <f aca="false">J93+K92</f>
        <v>4355282.83094164</v>
      </c>
      <c r="L93" s="53" t="n">
        <f aca="false">K93+L92</f>
        <v>5953091.60156879</v>
      </c>
      <c r="M93" s="53" t="n">
        <f aca="false">L93+M92</f>
        <v>7807422.40518001</v>
      </c>
      <c r="N93" s="53" t="n">
        <f aca="false">M93+N92</f>
        <v>9929749.64414943</v>
      </c>
      <c r="O93" s="53" t="n">
        <f aca="false">N93+O92</f>
        <v>12332654.8267309</v>
      </c>
      <c r="P93" s="53" t="n">
        <f aca="false">O93+P92</f>
        <v>15029848.1083625</v>
      </c>
      <c r="Q93" s="53" t="n">
        <f aca="false">P93+Q92</f>
        <v>18036200.8343215</v>
      </c>
      <c r="R93" s="53" t="n">
        <f aca="false">Q93+R92</f>
        <v>21367784.7375922</v>
      </c>
      <c r="S93" s="53" t="n">
        <f aca="false">R93+S92</f>
        <v>25041917.6674061</v>
      </c>
      <c r="T93" s="53" t="n">
        <f aca="false">S93+T92</f>
        <v>29059436.9940103</v>
      </c>
      <c r="U93" s="53" t="n">
        <f aca="false">T93+U92</f>
        <v>33427760.7002955</v>
      </c>
      <c r="V93" s="53" t="n">
        <f aca="false">U93+V92</f>
        <v>38157279.3737859</v>
      </c>
      <c r="W93" s="53" t="n">
        <f aca="false">V93+W92</f>
        <v>43257292.323728</v>
      </c>
      <c r="X93" s="53" t="n">
        <f aca="false">W93+X92</f>
        <v>48737312.3922551</v>
      </c>
      <c r="Y93" s="53" t="n">
        <f aca="false">X93+Y92</f>
        <v>54607090.5923168</v>
      </c>
      <c r="Z93" s="53" t="n">
        <f aca="false">Y93+Z92</f>
        <v>60876650.6355366</v>
      </c>
      <c r="AA93" s="53" t="n">
        <f aca="false">Z93+AA92</f>
        <v>67556333.24948</v>
      </c>
      <c r="AB93" s="53" t="n">
        <f aca="false">AA93+AB92</f>
        <v>74708478.7546877</v>
      </c>
      <c r="AC93" s="53" t="n">
        <f aca="false">AB93+AC92</f>
        <v>82482432.1494755</v>
      </c>
      <c r="AD93" s="53" t="n">
        <f aca="false">AC93+AD92</f>
        <v>90832009.4218239</v>
      </c>
      <c r="AE93" s="53" t="n">
        <f aca="false">AD93+AE92</f>
        <v>99725116.4776824</v>
      </c>
      <c r="AF93" s="53" t="n">
        <f aca="false">AE93+AF92</f>
        <v>109136379.184671</v>
      </c>
      <c r="AG93" s="53" t="n">
        <f aca="false">AF93+AG92</f>
        <v>119044262.403295</v>
      </c>
      <c r="AH93" s="53" t="n">
        <f aca="false">AG93+AH92</f>
        <v>129430583.658674</v>
      </c>
      <c r="AI93" s="53" t="n">
        <f aca="false">AH93+AI92</f>
        <v>140280398.283356</v>
      </c>
      <c r="AJ93" s="53" t="n">
        <f aca="false">AI93+AJ92</f>
        <v>151581966.82471</v>
      </c>
      <c r="AK93" s="53" t="n">
        <f aca="false">AJ93+AK92</f>
        <v>163326761.488315</v>
      </c>
      <c r="AL93" s="53" t="n">
        <f aca="false">AK93+AL92</f>
        <v>175509505.728373</v>
      </c>
      <c r="AM93" s="53" t="n">
        <f aca="false">AL93</f>
        <v>175509505.728373</v>
      </c>
    </row>
    <row r="94" customFormat="false" ht="15" hidden="false" customHeight="false" outlineLevel="0" collapsed="false">
      <c r="A94" s="10" t="s">
        <v>814</v>
      </c>
      <c r="B94" s="9" t="s">
        <v>51</v>
      </c>
      <c r="C94" s="69" t="n">
        <f aca="false">IF(C88&gt;0,C$5,999)</f>
        <v>999</v>
      </c>
      <c r="D94" s="69" t="n">
        <f aca="false">IF(D88&gt;0,D$5,999)</f>
        <v>999</v>
      </c>
      <c r="E94" s="69" t="n">
        <f aca="false">IF(E88&gt;0,E$5,999)</f>
        <v>3</v>
      </c>
      <c r="F94" s="69" t="n">
        <f aca="false">IF(F88&gt;0,F$5,999)</f>
        <v>4</v>
      </c>
      <c r="G94" s="69" t="n">
        <f aca="false">IF(G88&gt;0,G$5,999)</f>
        <v>5</v>
      </c>
      <c r="H94" s="69" t="n">
        <f aca="false">IF(H88&gt;0,H$5,999)</f>
        <v>6</v>
      </c>
      <c r="I94" s="69" t="n">
        <f aca="false">IF(I88&gt;0,I$5,999)</f>
        <v>7</v>
      </c>
      <c r="J94" s="69" t="n">
        <f aca="false">IF(J88&gt;0,J$5,999)</f>
        <v>8</v>
      </c>
      <c r="K94" s="69" t="n">
        <f aca="false">IF(K88&gt;0,K$5,999)</f>
        <v>9</v>
      </c>
      <c r="L94" s="69" t="n">
        <f aca="false">IF(L88&gt;0,L$5,999)</f>
        <v>10</v>
      </c>
      <c r="M94" s="69" t="n">
        <f aca="false">IF(M88&gt;0,M$5,999)</f>
        <v>11</v>
      </c>
      <c r="N94" s="69" t="n">
        <f aca="false">IF(N88&gt;0,N$5,999)</f>
        <v>12</v>
      </c>
      <c r="O94" s="69" t="n">
        <f aca="false">IF(O88&gt;0,O$5,999)</f>
        <v>13</v>
      </c>
      <c r="P94" s="69" t="n">
        <f aca="false">IF(P88&gt;0,P$5,999)</f>
        <v>14</v>
      </c>
      <c r="Q94" s="69" t="n">
        <f aca="false">IF(Q88&gt;0,Q$5,999)</f>
        <v>15</v>
      </c>
      <c r="R94" s="69" t="n">
        <f aca="false">IF(R88&gt;0,R$5,999)</f>
        <v>16</v>
      </c>
      <c r="S94" s="69" t="n">
        <f aca="false">IF(S88&gt;0,S$5,999)</f>
        <v>17</v>
      </c>
      <c r="T94" s="69" t="n">
        <f aca="false">IF(T88&gt;0,T$5,999)</f>
        <v>18</v>
      </c>
      <c r="U94" s="69" t="n">
        <f aca="false">IF(U88&gt;0,U$5,999)</f>
        <v>19</v>
      </c>
      <c r="V94" s="69" t="n">
        <f aca="false">IF(V88&gt;0,V$5,999)</f>
        <v>20</v>
      </c>
      <c r="W94" s="69" t="n">
        <f aca="false">IF(W88&gt;0,W$5,999)</f>
        <v>21</v>
      </c>
      <c r="X94" s="69" t="n">
        <f aca="false">IF(X88&gt;0,X$5,999)</f>
        <v>22</v>
      </c>
      <c r="Y94" s="69" t="n">
        <f aca="false">IF(Y88&gt;0,Y$5,999)</f>
        <v>23</v>
      </c>
      <c r="Z94" s="69" t="n">
        <f aca="false">IF(Z88&gt;0,Z$5,999)</f>
        <v>24</v>
      </c>
      <c r="AA94" s="69" t="n">
        <f aca="false">IF(AA88&gt;0,AA$5,999)</f>
        <v>25</v>
      </c>
      <c r="AB94" s="69" t="n">
        <f aca="false">IF(AB88&gt;0,AB$5,999)</f>
        <v>26</v>
      </c>
      <c r="AC94" s="69" t="n">
        <f aca="false">IF(AC88&gt;0,AC$5,999)</f>
        <v>27</v>
      </c>
      <c r="AD94" s="69" t="n">
        <f aca="false">IF(AD88&gt;0,AD$5,999)</f>
        <v>28</v>
      </c>
      <c r="AE94" s="69" t="n">
        <f aca="false">IF(AE88&gt;0,AE$5,999)</f>
        <v>29</v>
      </c>
      <c r="AF94" s="69" t="n">
        <f aca="false">IF(AF88&gt;0,AF$5,999)</f>
        <v>30</v>
      </c>
      <c r="AG94" s="69" t="n">
        <f aca="false">IF(AG88&gt;0,AG$5,999)</f>
        <v>31</v>
      </c>
      <c r="AH94" s="69" t="n">
        <f aca="false">IF(AH88&gt;0,AH$5,999)</f>
        <v>32</v>
      </c>
      <c r="AI94" s="69" t="n">
        <f aca="false">IF(AI88&gt;0,AI$5,999)</f>
        <v>33</v>
      </c>
      <c r="AJ94" s="69" t="n">
        <f aca="false">IF(AJ88&gt;0,AJ$5,999)</f>
        <v>34</v>
      </c>
      <c r="AK94" s="69" t="n">
        <f aca="false">IF(AK88&gt;0,AK$5,999)</f>
        <v>35</v>
      </c>
      <c r="AL94" s="69" t="n">
        <f aca="false">IF(AL88&gt;0,AL$5,999)</f>
        <v>36</v>
      </c>
      <c r="AM94" s="69"/>
    </row>
    <row r="95" customFormat="false" ht="15" hidden="false" customHeight="false" outlineLevel="0" collapsed="false">
      <c r="A95" s="10" t="s">
        <v>815</v>
      </c>
      <c r="B95" s="9" t="s">
        <v>51</v>
      </c>
      <c r="C95" s="61" t="n">
        <f aca="false">C32+C56</f>
        <v>0</v>
      </c>
      <c r="D95" s="61" t="n">
        <f aca="false">D32+D56</f>
        <v>3000</v>
      </c>
      <c r="E95" s="61" t="n">
        <f aca="false">E32+E56</f>
        <v>4350</v>
      </c>
      <c r="F95" s="61" t="n">
        <f aca="false">F32+F56</f>
        <v>6307.5</v>
      </c>
      <c r="G95" s="61" t="n">
        <f aca="false">G32+G56</f>
        <v>9522.29164189133</v>
      </c>
      <c r="H95" s="61" t="n">
        <f aca="false">H32+H56</f>
        <v>11392.8806700536</v>
      </c>
      <c r="I95" s="61" t="n">
        <f aca="false">I32+I56</f>
        <v>12413.9781829739</v>
      </c>
      <c r="J95" s="61" t="n">
        <f aca="false">J32+J56</f>
        <v>13305.7132005177</v>
      </c>
      <c r="K95" s="61" t="n">
        <f aca="false">K32+K56</f>
        <v>14187.1824844173</v>
      </c>
      <c r="L95" s="61" t="n">
        <f aca="false">L32+L56</f>
        <v>15098.6410217771</v>
      </c>
      <c r="M95" s="61" t="n">
        <f aca="false">M32+M56</f>
        <v>16055.3412014717</v>
      </c>
      <c r="N95" s="61" t="n">
        <f aca="false">N32+N56</f>
        <v>17064.8988877853</v>
      </c>
      <c r="O95" s="61" t="n">
        <f aca="false">O32+O56</f>
        <v>18132.1646484128</v>
      </c>
      <c r="P95" s="61" t="n">
        <f aca="false">P32+P56</f>
        <v>19260.8866742016</v>
      </c>
      <c r="Q95" s="61" t="n">
        <f aca="false">Q32+Q56</f>
        <v>20454.3920986637</v>
      </c>
      <c r="R95" s="61" t="n">
        <f aca="false">R32+R56</f>
        <v>21715.9186008608</v>
      </c>
      <c r="S95" s="61" t="n">
        <f aca="false">S32+S56</f>
        <v>23048.7991919015</v>
      </c>
      <c r="T95" s="61" t="n">
        <f aca="false">T32+T56</f>
        <v>24391.4324122561</v>
      </c>
      <c r="U95" s="61" t="n">
        <f aca="false">U32+U56</f>
        <v>25742.9651112704</v>
      </c>
      <c r="V95" s="61" t="n">
        <f aca="false">V32+V56</f>
        <v>27120.456376218</v>
      </c>
      <c r="W95" s="61" t="n">
        <f aca="false">W32+W56</f>
        <v>28527.8768276112</v>
      </c>
      <c r="X95" s="61" t="n">
        <f aca="false">X32+X56</f>
        <v>29967.0635445097</v>
      </c>
      <c r="Y95" s="61" t="n">
        <f aca="false">Y32+Y56</f>
        <v>31439.7664135379</v>
      </c>
      <c r="Z95" s="61" t="n">
        <f aca="false">Z32+Z56</f>
        <v>32947.9689906151</v>
      </c>
      <c r="AA95" s="61" t="n">
        <f aca="false">AA32+AA56</f>
        <v>34493.9936888261</v>
      </c>
      <c r="AB95" s="61" t="n">
        <f aca="false">AB32+AB56</f>
        <v>35769.892299422</v>
      </c>
      <c r="AC95" s="61" t="n">
        <f aca="false">AC32+AC56</f>
        <v>36120.9046081064</v>
      </c>
      <c r="AD95" s="61" t="n">
        <f aca="false">AD32+AD56</f>
        <v>36358.3368615067</v>
      </c>
      <c r="AE95" s="61" t="n">
        <f aca="false">AE32+AE56</f>
        <v>36605.6299042944</v>
      </c>
      <c r="AF95" s="61" t="n">
        <f aca="false">AF32+AF56</f>
        <v>36883.9248242752</v>
      </c>
      <c r="AG95" s="61" t="n">
        <f aca="false">AG32+AG56</f>
        <v>37199.3657745557</v>
      </c>
      <c r="AH95" s="61" t="n">
        <f aca="false">AH32+AH56</f>
        <v>37556.2760149895</v>
      </c>
      <c r="AI95" s="61" t="n">
        <f aca="false">AI32+AI56</f>
        <v>37959.1819686655</v>
      </c>
      <c r="AJ95" s="61" t="n">
        <f aca="false">AJ32+AJ56</f>
        <v>38413.1652668618</v>
      </c>
      <c r="AK95" s="61" t="n">
        <f aca="false">AK32+AK56</f>
        <v>38923.970189465</v>
      </c>
      <c r="AL95" s="61" t="n">
        <f aca="false">AL32+AL56</f>
        <v>39498.0819772105</v>
      </c>
      <c r="AM95" s="61" t="n">
        <f aca="false">SUM(C95:AL95)</f>
        <v>871230.841559126</v>
      </c>
    </row>
    <row r="96" customFormat="false" ht="15" hidden="false" customHeight="false" outlineLevel="0" collapsed="false">
      <c r="A96" s="37" t="s">
        <v>816</v>
      </c>
      <c r="B96" s="9" t="s">
        <v>97</v>
      </c>
      <c r="C96" s="51" t="n">
        <f aca="false">IFERROR((C26-C82)/C95,0)</f>
        <v>0</v>
      </c>
      <c r="D96" s="51" t="n">
        <f aca="false">IFERROR((D26-D82)/D95,0)</f>
        <v>24</v>
      </c>
      <c r="E96" s="51" t="n">
        <f aca="false">IFERROR((E26-E82)/E95,0)</f>
        <v>16.551724137931</v>
      </c>
      <c r="F96" s="51" t="n">
        <f aca="false">IFERROR((F26-F82)/F95,0)</f>
        <v>18.214746254459</v>
      </c>
      <c r="G96" s="51" t="n">
        <f aca="false">IFERROR((G26-G82)/G95,0)</f>
        <v>19.8976978392952</v>
      </c>
      <c r="H96" s="51" t="n">
        <f aca="false">IFERROR((H26-H82)/H95,0)</f>
        <v>29.6845353548163</v>
      </c>
      <c r="I96" s="51" t="n">
        <f aca="false">IFERROR((I26-I82)/I95,0)</f>
        <v>39.1337192512383</v>
      </c>
      <c r="J96" s="51" t="n">
        <f aca="false">IFERROR((J26-J82)/J95,0)</f>
        <v>47.4274822786338</v>
      </c>
      <c r="K96" s="51" t="n">
        <f aca="false">IFERROR((K26-K82)/K95,0)</f>
        <v>54.9599484130108</v>
      </c>
      <c r="L96" s="51" t="n">
        <f aca="false">IFERROR((L26-L82)/L95,0)</f>
        <v>61.8484328064439</v>
      </c>
      <c r="M96" s="51" t="n">
        <f aca="false">IFERROR((M26-M82)/M95,0)</f>
        <v>68.156049894124</v>
      </c>
      <c r="N96" s="51" t="n">
        <f aca="false">IFERROR((N26-N82)/N95,0)</f>
        <v>73.9403774576298</v>
      </c>
      <c r="O96" s="51" t="n">
        <f aca="false">IFERROR((O26-O82)/O95,0)</f>
        <v>79.2562496156704</v>
      </c>
      <c r="P96" s="51" t="n">
        <f aca="false">IFERROR((P26-P82)/P95,0)</f>
        <v>84.1549900847834</v>
      </c>
      <c r="Q96" s="51" t="n">
        <f aca="false">IFERROR((Q26-Q82)/Q95,0)</f>
        <v>88.6835613430194</v>
      </c>
      <c r="R96" s="51" t="n">
        <f aca="false">IFERROR((R26-R82)/R95,0)</f>
        <v>92.8841579689022</v>
      </c>
      <c r="S96" s="51" t="n">
        <f aca="false">IFERROR((S26-S82)/S95,0)</f>
        <v>96.7941670997443</v>
      </c>
      <c r="T96" s="51" t="n">
        <f aca="false">IFERROR((T26-T82)/T95,0)</f>
        <v>100.714639681731</v>
      </c>
      <c r="U96" s="51" t="n">
        <f aca="false">IFERROR((U26-U82)/U95,0)</f>
        <v>104.411231499359</v>
      </c>
      <c r="V96" s="51" t="n">
        <f aca="false">IFERROR((V26-V82)/V95,0)</f>
        <v>107.819102611647</v>
      </c>
      <c r="W96" s="51" t="n">
        <f aca="false">IFERROR((W26-W82)/W95,0)</f>
        <v>110.986945880602</v>
      </c>
      <c r="X96" s="51" t="n">
        <f aca="false">IFERROR((X26-X82)/X95,0)</f>
        <v>113.936674921685</v>
      </c>
      <c r="Y96" s="51" t="n">
        <f aca="false">IFERROR((Y26-Y82)/Y95,0)</f>
        <v>116.687569024842</v>
      </c>
      <c r="Z96" s="51" t="n">
        <f aca="false">IFERROR((Z26-Z82)/Z95,0)</f>
        <v>119.255725347537</v>
      </c>
      <c r="AA96" s="51" t="n">
        <f aca="false">IFERROR((AA26-AA82)/AA95,0)</f>
        <v>121.65448253584</v>
      </c>
      <c r="AB96" s="51" t="n">
        <f aca="false">IFERROR((AB26-AB82)/AB95,0)</f>
        <v>123.1868751503</v>
      </c>
      <c r="AC96" s="51" t="n">
        <f aca="false">IFERROR((AC26-AC82)/AC95,0)</f>
        <v>122.675421128769</v>
      </c>
      <c r="AD96" s="51" t="n">
        <f aca="false">IFERROR((AD26-AD82)/AD95,0)</f>
        <v>122.49622231495</v>
      </c>
      <c r="AE96" s="51" t="n">
        <f aca="false">IFERROR((AE26-AE82)/AE95,0)</f>
        <v>122.247546597338</v>
      </c>
      <c r="AF96" s="51" t="n">
        <f aca="false">IFERROR((AF26-AF82)/AF95,0)</f>
        <v>121.870402734893</v>
      </c>
      <c r="AG96" s="51" t="n">
        <f aca="false">IFERROR((AG26-AG82)/AG95,0)</f>
        <v>121.352962886444</v>
      </c>
      <c r="AH96" s="51" t="n">
        <f aca="false">IFERROR((AH26-AH82)/AH95,0)</f>
        <v>120.689960550562</v>
      </c>
      <c r="AI96" s="51" t="n">
        <f aca="false">IFERROR((AI26-AI82)/AI95,0)</f>
        <v>119.876713788038</v>
      </c>
      <c r="AJ96" s="51" t="n">
        <f aca="false">IFERROR((AJ26-AJ82)/AJ95,0)</f>
        <v>118.908369210065</v>
      </c>
      <c r="AK96" s="51" t="n">
        <f aca="false">IFERROR((AK26-AK82)/AK95,0)</f>
        <v>117.779947702873</v>
      </c>
      <c r="AL96" s="51" t="n">
        <f aca="false">IFERROR((AL26-AL82)/AL95,0)</f>
        <v>116.486532462779</v>
      </c>
      <c r="AM96" s="51" t="n">
        <f aca="false">AVERAGE(N96:AL96)</f>
        <v>109.550033184</v>
      </c>
    </row>
    <row r="97" customFormat="false" ht="15" hidden="false" customHeight="false" outlineLevel="0" collapsed="false">
      <c r="A97" s="10" t="s">
        <v>817</v>
      </c>
      <c r="B97" s="9" t="s">
        <v>97</v>
      </c>
      <c r="C97" s="63" t="n">
        <f aca="false">IFERROR(C18/(C19*Assumptions!$F$49*Assumptions!$F$31*Assumptions!$F$32),0)</f>
        <v>0</v>
      </c>
      <c r="D97" s="63" t="n">
        <f aca="false">IFERROR(D18/(D19*Assumptions!$F$49*Assumptions!$F$31*Assumptions!$F$32),0)</f>
        <v>25.4010695187166</v>
      </c>
      <c r="E97" s="63" t="n">
        <f aca="false">IFERROR(E18/(E19*Assumptions!$F$49*Assumptions!$F$31*Assumptions!$F$32),0)</f>
        <v>25.4010695187166</v>
      </c>
      <c r="F97" s="63" t="n">
        <f aca="false">IFERROR(F18/(F19*Assumptions!$F$49*Assumptions!$F$31*Assumptions!$F$32),0)</f>
        <v>25.4010695187166</v>
      </c>
      <c r="G97" s="63" t="n">
        <f aca="false">IFERROR(G18/(G19*Assumptions!$F$49*Assumptions!$F$31*Assumptions!$F$32),0)</f>
        <v>25.4010695187166</v>
      </c>
      <c r="H97" s="63" t="n">
        <f aca="false">IFERROR(H18/(H19*Assumptions!$F$49*Assumptions!$F$31*Assumptions!$F$32),0)</f>
        <v>25.4010695187166</v>
      </c>
      <c r="I97" s="63" t="n">
        <f aca="false">IFERROR(I18/(I19*Assumptions!$F$49*Assumptions!$F$31*Assumptions!$F$32),0)</f>
        <v>25.4010695187166</v>
      </c>
      <c r="J97" s="63" t="n">
        <f aca="false">IFERROR(J18/(J19*Assumptions!$F$49*Assumptions!$F$31*Assumptions!$F$32),0)</f>
        <v>25.4010695187166</v>
      </c>
      <c r="K97" s="63" t="n">
        <f aca="false">IFERROR(K18/(K19*Assumptions!$F$49*Assumptions!$F$31*Assumptions!$F$32),0)</f>
        <v>25.4010695187166</v>
      </c>
      <c r="L97" s="63" t="n">
        <f aca="false">IFERROR(L18/(L19*Assumptions!$F$49*Assumptions!$F$31*Assumptions!$F$32),0)</f>
        <v>25.4010695187166</v>
      </c>
      <c r="M97" s="63" t="n">
        <f aca="false">IFERROR(M18/(M19*Assumptions!$F$49*Assumptions!$F$31*Assumptions!$F$32),0)</f>
        <v>25.4010695187166</v>
      </c>
      <c r="N97" s="63" t="n">
        <f aca="false">IFERROR(N18/(N19*Assumptions!$F$49*Assumptions!$F$31*Assumptions!$F$32),0)</f>
        <v>25.4010695187166</v>
      </c>
      <c r="O97" s="63" t="n">
        <f aca="false">IFERROR(O18/(O19*Assumptions!$F$49*Assumptions!$F$31*Assumptions!$F$32),0)</f>
        <v>25.4010695187166</v>
      </c>
      <c r="P97" s="63" t="n">
        <f aca="false">IFERROR(P18/(P19*Assumptions!$F$49*Assumptions!$F$31*Assumptions!$F$32),0)</f>
        <v>25.4010695187166</v>
      </c>
      <c r="Q97" s="63" t="n">
        <f aca="false">IFERROR(Q18/(Q19*Assumptions!$F$49*Assumptions!$F$31*Assumptions!$F$32),0)</f>
        <v>25.4010695187166</v>
      </c>
      <c r="R97" s="63" t="n">
        <f aca="false">IFERROR(R18/(R19*Assumptions!$F$49*Assumptions!$F$31*Assumptions!$F$32),0)</f>
        <v>25.4010695187166</v>
      </c>
      <c r="S97" s="63" t="n">
        <f aca="false">IFERROR(S18/(S19*Assumptions!$F$49*Assumptions!$F$31*Assumptions!$F$32),0)</f>
        <v>25.4010695187166</v>
      </c>
      <c r="T97" s="63" t="n">
        <f aca="false">IFERROR(T18/(T19*Assumptions!$F$49*Assumptions!$F$31*Assumptions!$F$32),0)</f>
        <v>25.4010695187166</v>
      </c>
      <c r="U97" s="63" t="n">
        <f aca="false">IFERROR(U18/(U19*Assumptions!$F$49*Assumptions!$F$31*Assumptions!$F$32),0)</f>
        <v>25.4010695187166</v>
      </c>
      <c r="V97" s="63" t="n">
        <f aca="false">IFERROR(V18/(V19*Assumptions!$F$49*Assumptions!$F$31*Assumptions!$F$32),0)</f>
        <v>25.4010695187166</v>
      </c>
      <c r="W97" s="63" t="n">
        <f aca="false">IFERROR(W18/(W19*Assumptions!$F$49*Assumptions!$F$31*Assumptions!$F$32),0)</f>
        <v>25.4010695187166</v>
      </c>
      <c r="X97" s="63" t="n">
        <f aca="false">IFERROR(X18/(X19*Assumptions!$F$49*Assumptions!$F$31*Assumptions!$F$32),0)</f>
        <v>25.4010695187166</v>
      </c>
      <c r="Y97" s="63" t="n">
        <f aca="false">IFERROR(Y18/(Y19*Assumptions!$F$49*Assumptions!$F$31*Assumptions!$F$32),0)</f>
        <v>25.4010695187166</v>
      </c>
      <c r="Z97" s="63" t="n">
        <f aca="false">IFERROR(Z18/(Z19*Assumptions!$F$49*Assumptions!$F$31*Assumptions!$F$32),0)</f>
        <v>25.4010695187166</v>
      </c>
      <c r="AA97" s="63" t="n">
        <f aca="false">IFERROR(AA18/(AA19*Assumptions!$F$49*Assumptions!$F$31*Assumptions!$F$32),0)</f>
        <v>25.4010695187166</v>
      </c>
      <c r="AB97" s="63" t="n">
        <f aca="false">IFERROR(AB18/(AB19*Assumptions!$F$49*Assumptions!$F$31*Assumptions!$F$32),0)</f>
        <v>25.4010695187166</v>
      </c>
      <c r="AC97" s="63" t="n">
        <f aca="false">IFERROR(AC18/(AC19*Assumptions!$F$49*Assumptions!$F$31*Assumptions!$F$32),0)</f>
        <v>25.4010695187166</v>
      </c>
      <c r="AD97" s="63" t="n">
        <f aca="false">IFERROR(AD18/(AD19*Assumptions!$F$49*Assumptions!$F$31*Assumptions!$F$32),0)</f>
        <v>25.4010695187166</v>
      </c>
      <c r="AE97" s="63" t="n">
        <f aca="false">IFERROR(AE18/(AE19*Assumptions!$F$49*Assumptions!$F$31*Assumptions!$F$32),0)</f>
        <v>25.4010695187166</v>
      </c>
      <c r="AF97" s="63" t="n">
        <f aca="false">IFERROR(AF18/(AF19*Assumptions!$F$49*Assumptions!$F$31*Assumptions!$F$32),0)</f>
        <v>25.4010695187166</v>
      </c>
      <c r="AG97" s="63" t="n">
        <f aca="false">IFERROR(AG18/(AG19*Assumptions!$F$49*Assumptions!$F$31*Assumptions!$F$32),0)</f>
        <v>25.4010695187166</v>
      </c>
      <c r="AH97" s="63" t="n">
        <f aca="false">IFERROR(AH18/(AH19*Assumptions!$F$49*Assumptions!$F$31*Assumptions!$F$32),0)</f>
        <v>25.4010695187166</v>
      </c>
      <c r="AI97" s="63" t="n">
        <f aca="false">IFERROR(AI18/(AI19*Assumptions!$F$49*Assumptions!$F$31*Assumptions!$F$32),0)</f>
        <v>25.4010695187166</v>
      </c>
      <c r="AJ97" s="63" t="n">
        <f aca="false">IFERROR(AJ18/(AJ19*Assumptions!$F$49*Assumptions!$F$31*Assumptions!$F$32),0)</f>
        <v>25.4010695187166</v>
      </c>
      <c r="AK97" s="63" t="n">
        <f aca="false">IFERROR(AK18/(AK19*Assumptions!$F$49*Assumptions!$F$31*Assumptions!$F$32),0)</f>
        <v>25.4010695187166</v>
      </c>
      <c r="AL97" s="63" t="n">
        <f aca="false">IFERROR(AL18/(AL19*Assumptions!$F$49*Assumptions!$F$31*Assumptions!$F$32),0)</f>
        <v>25.4010695187166</v>
      </c>
      <c r="AM97" s="63" t="n">
        <f aca="false">AVERAGE(N97:AL97)</f>
        <v>25.4010695187166</v>
      </c>
    </row>
    <row r="98" customFormat="false" ht="15" hidden="false" customHeight="false" outlineLevel="0" collapsed="false">
      <c r="A98" s="10" t="s">
        <v>818</v>
      </c>
      <c r="B98" s="9" t="s">
        <v>97</v>
      </c>
      <c r="C98" s="63" t="n">
        <f aca="false">IFERROR(C22/(C23*Assumptions!$F$49*Assumptions!$F$38*Assumptions!$F$39),0)</f>
        <v>0</v>
      </c>
      <c r="D98" s="63" t="n">
        <f aca="false">IFERROR(D22/(D23*Assumptions!$F$49*Assumptions!$F$38*Assumptions!$F$39),0)</f>
        <v>0</v>
      </c>
      <c r="E98" s="63" t="n">
        <f aca="false">IFERROR(E22/(E23*Assumptions!$F$49*Assumptions!$F$38*Assumptions!$F$39),0)</f>
        <v>65.1041666666667</v>
      </c>
      <c r="F98" s="63" t="n">
        <f aca="false">IFERROR(F22/(F23*Assumptions!$F$49*Assumptions!$F$38*Assumptions!$F$39),0)</f>
        <v>65.1041666666667</v>
      </c>
      <c r="G98" s="63" t="n">
        <f aca="false">IFERROR(G22/(G23*Assumptions!$F$49*Assumptions!$F$38*Assumptions!$F$39),0)</f>
        <v>65.1041666666667</v>
      </c>
      <c r="H98" s="63" t="n">
        <f aca="false">IFERROR(H22/(H23*Assumptions!$F$49*Assumptions!$F$38*Assumptions!$F$39),0)</f>
        <v>65.1041666666667</v>
      </c>
      <c r="I98" s="63" t="n">
        <f aca="false">IFERROR(I22/(I23*Assumptions!$F$49*Assumptions!$F$38*Assumptions!$F$39),0)</f>
        <v>65.1041666666667</v>
      </c>
      <c r="J98" s="63" t="n">
        <f aca="false">IFERROR(J22/(J23*Assumptions!$F$49*Assumptions!$F$38*Assumptions!$F$39),0)</f>
        <v>65.1041666666667</v>
      </c>
      <c r="K98" s="63" t="n">
        <f aca="false">IFERROR(K22/(K23*Assumptions!$F$49*Assumptions!$F$38*Assumptions!$F$39),0)</f>
        <v>65.1041666666667</v>
      </c>
      <c r="L98" s="63" t="n">
        <f aca="false">IFERROR(L22/(L23*Assumptions!$F$49*Assumptions!$F$38*Assumptions!$F$39),0)</f>
        <v>65.1041666666667</v>
      </c>
      <c r="M98" s="63" t="n">
        <f aca="false">IFERROR(M22/(M23*Assumptions!$F$49*Assumptions!$F$38*Assumptions!$F$39),0)</f>
        <v>65.1041666666667</v>
      </c>
      <c r="N98" s="63" t="n">
        <f aca="false">IFERROR(N22/(N23*Assumptions!$F$49*Assumptions!$F$38*Assumptions!$F$39),0)</f>
        <v>65.1041666666667</v>
      </c>
      <c r="O98" s="63" t="n">
        <f aca="false">IFERROR(O22/(O23*Assumptions!$F$49*Assumptions!$F$38*Assumptions!$F$39),0)</f>
        <v>65.1041666666667</v>
      </c>
      <c r="P98" s="63" t="n">
        <f aca="false">IFERROR(P22/(P23*Assumptions!$F$49*Assumptions!$F$38*Assumptions!$F$39),0)</f>
        <v>65.1041666666667</v>
      </c>
      <c r="Q98" s="63" t="n">
        <f aca="false">IFERROR(Q22/(Q23*Assumptions!$F$49*Assumptions!$F$38*Assumptions!$F$39),0)</f>
        <v>65.1041666666667</v>
      </c>
      <c r="R98" s="63" t="n">
        <f aca="false">IFERROR(R22/(R23*Assumptions!$F$49*Assumptions!$F$38*Assumptions!$F$39),0)</f>
        <v>65.1041666666667</v>
      </c>
      <c r="S98" s="63" t="n">
        <f aca="false">IFERROR(S22/(S23*Assumptions!$F$49*Assumptions!$F$38*Assumptions!$F$39),0)</f>
        <v>65.1041666666667</v>
      </c>
      <c r="T98" s="63" t="n">
        <f aca="false">IFERROR(T22/(T23*Assumptions!$F$49*Assumptions!$F$38*Assumptions!$F$39),0)</f>
        <v>65.1041666666667</v>
      </c>
      <c r="U98" s="63" t="n">
        <f aca="false">IFERROR(U22/(U23*Assumptions!$F$49*Assumptions!$F$38*Assumptions!$F$39),0)</f>
        <v>65.1041666666667</v>
      </c>
      <c r="V98" s="63" t="n">
        <f aca="false">IFERROR(V22/(V23*Assumptions!$F$49*Assumptions!$F$38*Assumptions!$F$39),0)</f>
        <v>65.1041666666667</v>
      </c>
      <c r="W98" s="63" t="n">
        <f aca="false">IFERROR(W22/(W23*Assumptions!$F$49*Assumptions!$F$38*Assumptions!$F$39),0)</f>
        <v>65.1041666666667</v>
      </c>
      <c r="X98" s="63" t="n">
        <f aca="false">IFERROR(X22/(X23*Assumptions!$F$49*Assumptions!$F$38*Assumptions!$F$39),0)</f>
        <v>65.1041666666667</v>
      </c>
      <c r="Y98" s="63" t="n">
        <f aca="false">IFERROR(Y22/(Y23*Assumptions!$F$49*Assumptions!$F$38*Assumptions!$F$39),0)</f>
        <v>65.1041666666667</v>
      </c>
      <c r="Z98" s="63" t="n">
        <f aca="false">IFERROR(Z22/(Z23*Assumptions!$F$49*Assumptions!$F$38*Assumptions!$F$39),0)</f>
        <v>65.1041666666667</v>
      </c>
      <c r="AA98" s="63" t="n">
        <f aca="false">IFERROR(AA22/(AA23*Assumptions!$F$49*Assumptions!$F$38*Assumptions!$F$39),0)</f>
        <v>65.1041666666667</v>
      </c>
      <c r="AB98" s="63" t="n">
        <f aca="false">IFERROR(AB22/(AB23*Assumptions!$F$49*Assumptions!$F$38*Assumptions!$F$39),0)</f>
        <v>65.1041666666667</v>
      </c>
      <c r="AC98" s="63" t="n">
        <f aca="false">IFERROR(AC22/(AC23*Assumptions!$F$49*Assumptions!$F$38*Assumptions!$F$39),0)</f>
        <v>65.1041666666667</v>
      </c>
      <c r="AD98" s="63" t="n">
        <f aca="false">IFERROR(AD22/(AD23*Assumptions!$F$49*Assumptions!$F$38*Assumptions!$F$39),0)</f>
        <v>65.1041666666667</v>
      </c>
      <c r="AE98" s="63" t="n">
        <f aca="false">IFERROR(AE22/(AE23*Assumptions!$F$49*Assumptions!$F$38*Assumptions!$F$39),0)</f>
        <v>65.1041666666667</v>
      </c>
      <c r="AF98" s="63" t="n">
        <f aca="false">IFERROR(AF22/(AF23*Assumptions!$F$49*Assumptions!$F$38*Assumptions!$F$39),0)</f>
        <v>65.1041666666667</v>
      </c>
      <c r="AG98" s="63" t="n">
        <f aca="false">IFERROR(AG22/(AG23*Assumptions!$F$49*Assumptions!$F$38*Assumptions!$F$39),0)</f>
        <v>65.1041666666667</v>
      </c>
      <c r="AH98" s="63" t="n">
        <f aca="false">IFERROR(AH22/(AH23*Assumptions!$F$49*Assumptions!$F$38*Assumptions!$F$39),0)</f>
        <v>65.1041666666667</v>
      </c>
      <c r="AI98" s="63" t="n">
        <f aca="false">IFERROR(AI22/(AI23*Assumptions!$F$49*Assumptions!$F$38*Assumptions!$F$39),0)</f>
        <v>65.1041666666667</v>
      </c>
      <c r="AJ98" s="63" t="n">
        <f aca="false">IFERROR(AJ22/(AJ23*Assumptions!$F$49*Assumptions!$F$38*Assumptions!$F$39),0)</f>
        <v>65.1041666666667</v>
      </c>
      <c r="AK98" s="63" t="n">
        <f aca="false">IFERROR(AK22/(AK23*Assumptions!$F$49*Assumptions!$F$38*Assumptions!$F$39),0)</f>
        <v>65.1041666666667</v>
      </c>
      <c r="AL98" s="63" t="n">
        <f aca="false">IFERROR(AL22/(AL23*Assumptions!$F$49*Assumptions!$F$38*Assumptions!$F$39),0)</f>
        <v>65.1041666666667</v>
      </c>
      <c r="AM98" s="63" t="n">
        <f aca="false">AVERAGE(N98:AL98)</f>
        <v>65.1041666666667</v>
      </c>
    </row>
    <row r="99" customFormat="false" ht="15" hidden="false" customHeight="false" outlineLevel="0" collapsed="false">
      <c r="A99" s="10" t="s">
        <v>819</v>
      </c>
      <c r="B99" s="9" t="s">
        <v>97</v>
      </c>
      <c r="C99" s="63" t="n">
        <f aca="false">IFERROR(C24/(C25*Assumptions!$F$49*Assumptions!$F$43),0)</f>
        <v>53.0736918224796</v>
      </c>
      <c r="D99" s="63" t="n">
        <f aca="false">IFERROR(D24/(D25*Assumptions!$F$49*Assumptions!$F$43),0)</f>
        <v>0</v>
      </c>
      <c r="E99" s="63" t="n">
        <f aca="false">IFERROR(E24/(E25*Assumptions!$F$49*Assumptions!$F$43),0)</f>
        <v>0</v>
      </c>
      <c r="F99" s="63" t="n">
        <f aca="false">IFERROR(F24/(F25*Assumptions!$F$49*Assumptions!$F$43),0)</f>
        <v>0</v>
      </c>
      <c r="G99" s="63" t="n">
        <f aca="false">IFERROR(G24/(G25*Assumptions!$F$49*Assumptions!$F$43),0)</f>
        <v>0</v>
      </c>
      <c r="H99" s="63" t="n">
        <f aca="false">IFERROR(H24/(H25*Assumptions!$F$49*Assumptions!$F$43),0)</f>
        <v>81.4721594471724</v>
      </c>
      <c r="I99" s="63" t="n">
        <f aca="false">IFERROR(I24/(I25*Assumptions!$F$49*Assumptions!$F$43),0)</f>
        <v>96.3763692273928</v>
      </c>
      <c r="J99" s="63" t="n">
        <f aca="false">IFERROR(J24/(J25*Assumptions!$F$49*Assumptions!$F$43),0)</f>
        <v>106.090755302141</v>
      </c>
      <c r="K99" s="63" t="n">
        <f aca="false">IFERROR(K24/(K25*Assumptions!$F$49*Assumptions!$F$43),0)</f>
        <v>113.626059450257</v>
      </c>
      <c r="L99" s="63" t="n">
        <f aca="false">IFERROR(L24/(L25*Assumptions!$F$49*Assumptions!$F$43),0)</f>
        <v>119.922564673535</v>
      </c>
      <c r="M99" s="63" t="n">
        <f aca="false">IFERROR(M24/(M25*Assumptions!$F$49*Assumptions!$F$43),0)</f>
        <v>125.415648369105</v>
      </c>
      <c r="N99" s="63" t="n">
        <f aca="false">IFERROR(N24/(N25*Assumptions!$F$49*Assumptions!$F$43),0)</f>
        <v>130.350102936353</v>
      </c>
      <c r="O99" s="63" t="n">
        <f aca="false">IFERROR(O24/(O25*Assumptions!$F$49*Assumptions!$F$43),0)</f>
        <v>134.877726395769</v>
      </c>
      <c r="P99" s="63" t="n">
        <f aca="false">IFERROR(P24/(P25*Assumptions!$F$49*Assumptions!$F$43),0)</f>
        <v>139.099362461898</v>
      </c>
      <c r="Q99" s="63" t="n">
        <f aca="false">IFERROR(Q24/(Q25*Assumptions!$F$49*Assumptions!$F$43),0)</f>
        <v>143.08545388442</v>
      </c>
      <c r="R99" s="63" t="n">
        <f aca="false">IFERROR(R24/(R25*Assumptions!$F$49*Assumptions!$F$43),0)</f>
        <v>146.887135467893</v>
      </c>
      <c r="S99" s="63" t="n">
        <f aca="false">IFERROR(S24/(S25*Assumptions!$F$49*Assumptions!$F$43),0)</f>
        <v>150.542679497449</v>
      </c>
      <c r="T99" s="63" t="n">
        <f aca="false">IFERROR(T24/(T25*Assumptions!$F$49*Assumptions!$F$43),0)</f>
        <v>154.081463028268</v>
      </c>
      <c r="U99" s="63" t="n">
        <f aca="false">IFERROR(U24/(U25*Assumptions!$F$49*Assumptions!$F$43),0)</f>
        <v>157.424223479423</v>
      </c>
      <c r="V99" s="63" t="n">
        <f aca="false">IFERROR(V24/(V25*Assumptions!$F$49*Assumptions!$F$43),0)</f>
        <v>160.594265518818</v>
      </c>
      <c r="W99" s="63" t="n">
        <f aca="false">IFERROR(W24/(W25*Assumptions!$F$49*Assumptions!$F$43),0)</f>
        <v>163.627612463916</v>
      </c>
      <c r="X99" s="63" t="n">
        <f aca="false">IFERROR(X24/(X25*Assumptions!$F$49*Assumptions!$F$43),0)</f>
        <v>166.541448306865</v>
      </c>
      <c r="Y99" s="63" t="n">
        <f aca="false">IFERROR(Y24/(Y25*Assumptions!$F$49*Assumptions!$F$43),0)</f>
        <v>169.350330300936</v>
      </c>
      <c r="Z99" s="63" t="n">
        <f aca="false">IFERROR(Z24/(Z25*Assumptions!$F$49*Assumptions!$F$43),0)</f>
        <v>172.066505001021</v>
      </c>
      <c r="AA99" s="63" t="n">
        <f aca="false">IFERROR(AA24/(AA25*Assumptions!$F$49*Assumptions!$F$43),0)</f>
        <v>174.700448093919</v>
      </c>
      <c r="AB99" s="63" t="n">
        <f aca="false">IFERROR(AB24/(AB25*Assumptions!$F$49*Assumptions!$F$43),0)</f>
        <v>176.56581362852</v>
      </c>
      <c r="AC99" s="63" t="n">
        <f aca="false">IFERROR(AC24/(AC25*Assumptions!$F$49*Assumptions!$F$43),0)</f>
        <v>176.398521936352</v>
      </c>
      <c r="AD99" s="63" t="n">
        <f aca="false">IFERROR(AD24/(AD25*Assumptions!$F$49*Assumptions!$F$43),0)</f>
        <v>176.350005117011</v>
      </c>
      <c r="AE99" s="63" t="n">
        <f aca="false">IFERROR(AE24/(AE25*Assumptions!$F$49*Assumptions!$F$43),0)</f>
        <v>176.315437474012</v>
      </c>
      <c r="AF99" s="63" t="n">
        <f aca="false">IFERROR(AF24/(AF25*Assumptions!$F$49*Assumptions!$F$43),0)</f>
        <v>176.278674902581</v>
      </c>
      <c r="AG99" s="63" t="n">
        <f aca="false">IFERROR(AG24/(AG25*Assumptions!$F$49*Assumptions!$F$43),0)</f>
        <v>176.23690277547</v>
      </c>
      <c r="AH99" s="63" t="n">
        <f aca="false">IFERROR(AH24/(AH25*Assumptions!$F$49*Assumptions!$F$43),0)</f>
        <v>176.189247276898</v>
      </c>
      <c r="AI99" s="63" t="n">
        <f aca="false">IFERROR(AI24/(AI25*Assumptions!$F$49*Assumptions!$F$43),0)</f>
        <v>176.135053810533</v>
      </c>
      <c r="AJ99" s="63" t="n">
        <f aca="false">IFERROR(AJ24/(AJ25*Assumptions!$F$49*Assumptions!$F$43),0)</f>
        <v>176.073620737834</v>
      </c>
      <c r="AK99" s="63" t="n">
        <f aca="false">IFERROR(AK24/(AK25*Assumptions!$F$49*Assumptions!$F$43),0)</f>
        <v>176.004150966468</v>
      </c>
      <c r="AL99" s="63" t="n">
        <f aca="false">IFERROR(AL24/(AL25*Assumptions!$F$49*Assumptions!$F$43),0)</f>
        <v>175.92573486681</v>
      </c>
      <c r="AM99" s="63" t="n">
        <f aca="false">AVERAGE(N99:AL99)</f>
        <v>164.068076813177</v>
      </c>
    </row>
    <row r="100" customFormat="false" ht="15" hidden="false" customHeight="false" outlineLevel="0" collapsed="false">
      <c r="A100" s="37" t="s">
        <v>820</v>
      </c>
      <c r="B100" s="9" t="s">
        <v>97</v>
      </c>
      <c r="C100" s="51" t="n">
        <f aca="false">IFERROR(C26/((C19*Assumptions!$F$31*Assumptions!$F$32+C23*Assumptions!$F$38*Assumptions!$F$39+C25*Assumptions!$F$43)*Assumptions!$F$49),0)</f>
        <v>53.0736918224796</v>
      </c>
      <c r="D100" s="51" t="n">
        <f aca="false">IFERROR(D26/((D19*Assumptions!$F$31*Assumptions!$F$32+D23*Assumptions!$F$38*Assumptions!$F$39+D25*Assumptions!$F$43)*Assumptions!$F$49),0)</f>
        <v>25.4010695187166</v>
      </c>
      <c r="E100" s="51" t="n">
        <f aca="false">IFERROR(E26/((E19*Assumptions!$F$31*Assumptions!$F$32+E23*Assumptions!$F$38*Assumptions!$F$39+E25*Assumptions!$F$43)*Assumptions!$F$49),0)</f>
        <v>34.8111837494577</v>
      </c>
      <c r="F100" s="51" t="n">
        <f aca="false">IFERROR(F26/((F19*Assumptions!$F$31*Assumptions!$F$32+F23*Assumptions!$F$38*Assumptions!$F$39+F25*Assumptions!$F$43)*Assumptions!$F$49),0)</f>
        <v>44.2480394950237</v>
      </c>
      <c r="G100" s="51" t="n">
        <f aca="false">IFERROR(G26/((G19*Assumptions!$F$31*Assumptions!$F$32+G23*Assumptions!$F$38*Assumptions!$F$39+G25*Assumptions!$F$43)*Assumptions!$F$49),0)</f>
        <v>51.543300864142</v>
      </c>
      <c r="H100" s="51" t="n">
        <f aca="false">IFERROR(H26/((H19*Assumptions!$F$31*Assumptions!$F$32+H23*Assumptions!$F$38*Assumptions!$F$39+H25*Assumptions!$F$43)*Assumptions!$F$49),0)</f>
        <v>60.8560593186627</v>
      </c>
      <c r="I100" s="51" t="n">
        <f aca="false">IFERROR(I26/((I19*Assumptions!$F$31*Assumptions!$F$32+I23*Assumptions!$F$38*Assumptions!$F$39+I25*Assumptions!$F$43)*Assumptions!$F$49),0)</f>
        <v>70.3596673954509</v>
      </c>
      <c r="J100" s="51" t="n">
        <f aca="false">IFERROR(J26/((J19*Assumptions!$F$31*Assumptions!$F$32+J23*Assumptions!$F$38*Assumptions!$F$39+J25*Assumptions!$F$43)*Assumptions!$F$49),0)</f>
        <v>78.298447221803</v>
      </c>
      <c r="K100" s="51" t="n">
        <f aca="false">IFERROR(K26/((K19*Assumptions!$F$31*Assumptions!$F$32+K23*Assumptions!$F$38*Assumptions!$F$39+K25*Assumptions!$F$43)*Assumptions!$F$49),0)</f>
        <v>85.1971995971589</v>
      </c>
      <c r="L100" s="51" t="n">
        <f aca="false">IFERROR(L26/((L19*Assumptions!$F$31*Assumptions!$F$32+L23*Assumptions!$F$38*Assumptions!$F$39+L25*Assumptions!$F$43)*Assumptions!$F$49),0)</f>
        <v>91.296465002364</v>
      </c>
      <c r="M100" s="51" t="n">
        <f aca="false">IFERROR(M26/((M19*Assumptions!$F$31*Assumptions!$F$32+M23*Assumptions!$F$38*Assumptions!$F$39+M25*Assumptions!$F$43)*Assumptions!$F$49),0)</f>
        <v>96.7598407467952</v>
      </c>
      <c r="N100" s="51" t="n">
        <f aca="false">IFERROR(N26/((N19*Assumptions!$F$31*Assumptions!$F$32+N23*Assumptions!$F$38*Assumptions!$F$39+N25*Assumptions!$F$43)*Assumptions!$F$49),0)</f>
        <v>101.714316012145</v>
      </c>
      <c r="O100" s="51" t="n">
        <f aca="false">IFERROR(O26/((O19*Assumptions!$F$31*Assumptions!$F$32+O23*Assumptions!$F$38*Assumptions!$F$39+O25*Assumptions!$F$43)*Assumptions!$F$49),0)</f>
        <v>106.258035391146</v>
      </c>
      <c r="P100" s="51" t="n">
        <f aca="false">IFERROR(P26/((P19*Assumptions!$F$31*Assumptions!$F$32+P23*Assumptions!$F$38*Assumptions!$F$39+P25*Assumptions!$F$43)*Assumptions!$F$49),0)</f>
        <v>110.467406634837</v>
      </c>
      <c r="Q100" s="51" t="n">
        <f aca="false">IFERROR(Q26/((Q19*Assumptions!$F$31*Assumptions!$F$32+Q23*Assumptions!$F$38*Assumptions!$F$39+Q25*Assumptions!$F$43)*Assumptions!$F$49),0)</f>
        <v>114.402510279167</v>
      </c>
      <c r="R100" s="51" t="n">
        <f aca="false">IFERROR(R26/((R19*Assumptions!$F$31*Assumptions!$F$32+R23*Assumptions!$F$38*Assumptions!$F$39+R25*Assumptions!$F$43)*Assumptions!$F$49),0)</f>
        <v>118.111079363287</v>
      </c>
      <c r="S100" s="51" t="n">
        <f aca="false">IFERROR(S26/((S19*Assumptions!$F$31*Assumptions!$F$32+S23*Assumptions!$F$38*Assumptions!$F$39+S25*Assumptions!$F$43)*Assumptions!$F$49),0)</f>
        <v>121.631405909451</v>
      </c>
      <c r="T100" s="51" t="n">
        <f aca="false">IFERROR(T26/((T19*Assumptions!$F$31*Assumptions!$F$32+T23*Assumptions!$F$38*Assumptions!$F$39+T25*Assumptions!$F$43)*Assumptions!$F$49),0)</f>
        <v>124.994480177521</v>
      </c>
      <c r="U100" s="51" t="n">
        <f aca="false">IFERROR(U26/((U19*Assumptions!$F$31*Assumptions!$F$32+U23*Assumptions!$F$38*Assumptions!$F$39+U25*Assumptions!$F$43)*Assumptions!$F$49),0)</f>
        <v>128.106730182085</v>
      </c>
      <c r="V100" s="51" t="n">
        <f aca="false">IFERROR(V26/((V19*Assumptions!$F$31*Assumptions!$F$32+V23*Assumptions!$F$38*Assumptions!$F$39+V25*Assumptions!$F$43)*Assumptions!$F$49),0)</f>
        <v>131.012936503546</v>
      </c>
      <c r="W100" s="51" t="n">
        <f aca="false">IFERROR(W26/((W19*Assumptions!$F$31*Assumptions!$F$32+W23*Assumptions!$F$38*Assumptions!$F$39+W25*Assumptions!$F$43)*Assumptions!$F$49),0)</f>
        <v>133.758893936608</v>
      </c>
      <c r="X100" s="51" t="n">
        <f aca="false">IFERROR(X26/((X19*Assumptions!$F$31*Assumptions!$F$32+X23*Assumptions!$F$38*Assumptions!$F$39+X25*Assumptions!$F$43)*Assumptions!$F$49),0)</f>
        <v>136.362136248135</v>
      </c>
      <c r="Y100" s="51" t="n">
        <f aca="false">IFERROR(Y26/((Y19*Assumptions!$F$31*Assumptions!$F$32+Y23*Assumptions!$F$38*Assumptions!$F$39+Y25*Assumptions!$F$43)*Assumptions!$F$49),0)</f>
        <v>138.838627096289</v>
      </c>
      <c r="Z100" s="51" t="n">
        <f aca="false">IFERROR(Z26/((Z19*Assumptions!$F$31*Assumptions!$F$32+Z23*Assumptions!$F$38*Assumptions!$F$39+Z25*Assumptions!$F$43)*Assumptions!$F$49),0)</f>
        <v>141.201802196458</v>
      </c>
      <c r="AA100" s="51" t="n">
        <f aca="false">IFERROR(AA26/((AA19*Assumptions!$F$31*Assumptions!$F$32+AA23*Assumptions!$F$38*Assumptions!$F$39+AA25*Assumptions!$F$43)*Assumptions!$F$49),0)</f>
        <v>143.462959271135</v>
      </c>
      <c r="AB100" s="51" t="n">
        <f aca="false">IFERROR(AB26/((AB19*Assumptions!$F$31*Assumptions!$F$32+AB23*Assumptions!$F$38*Assumptions!$F$39+AB25*Assumptions!$F$43)*Assumptions!$F$49),0)</f>
        <v>144.804803665137</v>
      </c>
      <c r="AC100" s="51" t="n">
        <f aca="false">IFERROR(AC26/((AC19*Assumptions!$F$31*Assumptions!$F$32+AC23*Assumptions!$F$38*Assumptions!$F$39+AC25*Assumptions!$F$43)*Assumptions!$F$49),0)</f>
        <v>143.877083013656</v>
      </c>
      <c r="AD100" s="51" t="n">
        <f aca="false">IFERROR(AD26/((AD19*Assumptions!$F$31*Assumptions!$F$32+AD23*Assumptions!$F$38*Assumptions!$F$39+AD25*Assumptions!$F$43)*Assumptions!$F$49),0)</f>
        <v>143.558692316225</v>
      </c>
      <c r="AE100" s="51" t="n">
        <f aca="false">IFERROR(AE26/((AE19*Assumptions!$F$31*Assumptions!$F$32+AE23*Assumptions!$F$38*Assumptions!$F$39+AE25*Assumptions!$F$43)*Assumptions!$F$49),0)</f>
        <v>143.302555829125</v>
      </c>
      <c r="AF100" s="51" t="n">
        <f aca="false">IFERROR(AF26/((AF19*Assumptions!$F$31*Assumptions!$F$32+AF23*Assumptions!$F$38*Assumptions!$F$39+AF25*Assumptions!$F$43)*Assumptions!$F$49),0)</f>
        <v>143.025043086682</v>
      </c>
      <c r="AG100" s="51" t="n">
        <f aca="false">IFERROR(AG26/((AG19*Assumptions!$F$31*Assumptions!$F$32+AG23*Assumptions!$F$38*Assumptions!$F$39+AG25*Assumptions!$F$43)*Assumptions!$F$49),0)</f>
        <v>142.711146365865</v>
      </c>
      <c r="AH100" s="51" t="n">
        <f aca="false">IFERROR(AH26/((AH19*Assumptions!$F$31*Assumptions!$F$32+AH23*Assumptions!$F$38*Assumptions!$F$39+AH25*Assumptions!$F$43)*Assumptions!$F$49),0)</f>
        <v>142.355781551237</v>
      </c>
      <c r="AI100" s="51" t="n">
        <f aca="false">IFERROR(AI26/((AI19*Assumptions!$F$31*Assumptions!$F$32+AI23*Assumptions!$F$38*Assumptions!$F$39+AI25*Assumptions!$F$43)*Assumptions!$F$49),0)</f>
        <v>141.954978609606</v>
      </c>
      <c r="AJ100" s="51" t="n">
        <f aca="false">IFERROR(AJ26/((AJ19*Assumptions!$F$31*Assumptions!$F$32+AJ23*Assumptions!$F$38*Assumptions!$F$39+AJ25*Assumptions!$F$43)*Assumptions!$F$49),0)</f>
        <v>141.504549084121</v>
      </c>
      <c r="AK100" s="51" t="n">
        <f aca="false">IFERROR(AK26/((AK19*Assumptions!$F$31*Assumptions!$F$32+AK23*Assumptions!$F$38*Assumptions!$F$39+AK25*Assumptions!$F$43)*Assumptions!$F$49),0)</f>
        <v>140.99987591076</v>
      </c>
      <c r="AL100" s="51" t="n">
        <f aca="false">IFERROR(AL26/((AL19*Assumptions!$F$31*Assumptions!$F$32+AL23*Assumptions!$F$38*Assumptions!$F$39+AL25*Assumptions!$F$43)*Assumptions!$F$49),0)</f>
        <v>140.435873183374</v>
      </c>
      <c r="AM100" s="51" t="n">
        <f aca="false">AVERAGE(N100:AL100)</f>
        <v>132.754148072704</v>
      </c>
    </row>
    <row r="101" customFormat="false" ht="15" hidden="false" customHeight="false" outlineLevel="0" collapsed="false">
      <c r="A101" s="37" t="s">
        <v>821</v>
      </c>
      <c r="B101" s="9" t="s">
        <v>370</v>
      </c>
      <c r="C101" s="72" t="n">
        <f aca="false">IFERROR(C100/C104,0)</f>
        <v>0.916956503288023</v>
      </c>
      <c r="D101" s="72" t="n">
        <f aca="false">IFERROR(D100/D104,0)</f>
        <v>0.438855393055454</v>
      </c>
      <c r="E101" s="72" t="n">
        <f aca="false">IFERROR(E100/E104,0)</f>
        <v>0.60143434967717</v>
      </c>
      <c r="F101" s="72" t="n">
        <f aca="false">IFERROR(F100/F104,0)</f>
        <v>0.764475320624335</v>
      </c>
      <c r="G101" s="72" t="n">
        <f aca="false">IFERROR(G100/G104,0)</f>
        <v>0.890515871524274</v>
      </c>
      <c r="H101" s="72" t="n">
        <f aca="false">IFERROR(H100/H104,0)</f>
        <v>1.05141280812679</v>
      </c>
      <c r="I101" s="72" t="n">
        <f aca="false">IFERROR(I100/I104,0)</f>
        <v>1.21560706203058</v>
      </c>
      <c r="J101" s="72" t="n">
        <f aca="false">IFERROR(J100/J104,0)</f>
        <v>1.35276570956341</v>
      </c>
      <c r="K101" s="72" t="n">
        <f aca="false">IFERROR(K100/K104,0)</f>
        <v>1.47195575717334</v>
      </c>
      <c r="L101" s="72" t="n">
        <f aca="false">IFERROR(L100/L104,0)</f>
        <v>1.57733303330648</v>
      </c>
      <c r="M101" s="72" t="n">
        <f aca="false">IFERROR(M100/M104,0)</f>
        <v>1.67172401585803</v>
      </c>
      <c r="N101" s="72" t="n">
        <f aca="false">IFERROR(N100/N104,0)</f>
        <v>1.7573227024943</v>
      </c>
      <c r="O101" s="72" t="n">
        <f aca="false">IFERROR(O100/O104,0)</f>
        <v>1.83582474165197</v>
      </c>
      <c r="P101" s="72" t="n">
        <f aca="false">IFERROR(P100/P104,0)</f>
        <v>1.90855023339967</v>
      </c>
      <c r="Q101" s="72" t="n">
        <f aca="false">IFERROR(Q100/Q104,0)</f>
        <v>1.97653719179424</v>
      </c>
      <c r="R101" s="72" t="n">
        <f aca="false">IFERROR(R100/R104,0)</f>
        <v>2.04061030264832</v>
      </c>
      <c r="S101" s="72" t="n">
        <f aca="false">IFERROR(S100/S104,0)</f>
        <v>2.10143113891122</v>
      </c>
      <c r="T101" s="72" t="n">
        <f aca="false">IFERROR(T100/T104,0)</f>
        <v>2.15953512066289</v>
      </c>
      <c r="U101" s="72" t="n">
        <f aca="false">IFERROR(U100/U104,0)</f>
        <v>2.21330560060404</v>
      </c>
      <c r="V101" s="72" t="n">
        <f aca="false">IFERROR(V100/V104,0)</f>
        <v>2.26351625478792</v>
      </c>
      <c r="W101" s="72" t="n">
        <f aca="false">IFERROR(W100/W104,0)</f>
        <v>2.31095828189279</v>
      </c>
      <c r="X101" s="72" t="n">
        <f aca="false">IFERROR(X100/X104,0)</f>
        <v>2.35593461357844</v>
      </c>
      <c r="Y101" s="72" t="n">
        <f aca="false">IFERROR(Y100/Y104,0)</f>
        <v>2.39872105466763</v>
      </c>
      <c r="Z101" s="72" t="n">
        <f aca="false">IFERROR(Z100/Z104,0)</f>
        <v>2.43954973460487</v>
      </c>
      <c r="AA101" s="72" t="n">
        <f aca="false">IFERROR(AA100/AA104,0)</f>
        <v>2.47861584463761</v>
      </c>
      <c r="AB101" s="72" t="n">
        <f aca="false">IFERROR(AB100/AB104,0)</f>
        <v>2.50179894913309</v>
      </c>
      <c r="AC101" s="72" t="n">
        <f aca="false">IFERROR(AC100/AC104,0)</f>
        <v>2.48577067871512</v>
      </c>
      <c r="AD101" s="72" t="n">
        <f aca="false">IFERROR(AD100/AD104,0)</f>
        <v>2.48026982865985</v>
      </c>
      <c r="AE101" s="72" t="n">
        <f aca="false">IFERROR(AE100/AE104,0)</f>
        <v>2.4758445473291</v>
      </c>
      <c r="AF101" s="72" t="n">
        <f aca="false">IFERROR(AF100/AF104,0)</f>
        <v>2.47104994749647</v>
      </c>
      <c r="AG101" s="72" t="n">
        <f aca="false">IFERROR(AG100/AG104,0)</f>
        <v>2.46562674007242</v>
      </c>
      <c r="AH101" s="72" t="n">
        <f aca="false">IFERROR(AH100/AH104,0)</f>
        <v>2.45948708657135</v>
      </c>
      <c r="AI101" s="72" t="n">
        <f aca="false">IFERROR(AI100/AI104,0)</f>
        <v>2.45256239655552</v>
      </c>
      <c r="AJ101" s="72" t="n">
        <f aca="false">IFERROR(AJ100/AJ104,0)</f>
        <v>2.44478030587212</v>
      </c>
      <c r="AK101" s="72" t="n">
        <f aca="false">IFERROR(AK100/AK104,0)</f>
        <v>2.43606104530331</v>
      </c>
      <c r="AL101" s="72" t="n">
        <f aca="false">IFERROR(AL100/AL104,0)</f>
        <v>2.42631674542535</v>
      </c>
      <c r="AM101" s="72" t="n">
        <f aca="false">AVERAGE(N101:AL101)</f>
        <v>2.29359924349879</v>
      </c>
    </row>
    <row r="102" customFormat="false" ht="15" hidden="false" customHeight="false" outlineLevel="0" collapsed="false">
      <c r="A102" s="10" t="s">
        <v>822</v>
      </c>
      <c r="B102" s="9" t="s">
        <v>97</v>
      </c>
      <c r="C102" s="63" t="n">
        <f aca="false">Assumptions!$F$70*(1-Assumptions!$F$80)*(1-Assumptions!$F$79)-Assumptions!$F$73-Assumptions!$F$75-Assumptions!$F$76-Assumptions!$F$77</f>
        <v>184.526606</v>
      </c>
      <c r="D102" s="63" t="n">
        <f aca="false">Assumptions!$F$70*(1-Assumptions!$F$80)*(1-Assumptions!$F$79)-Assumptions!$F$73-Assumptions!$F$75-Assumptions!$F$76-Assumptions!$F$77</f>
        <v>184.526606</v>
      </c>
      <c r="E102" s="63" t="n">
        <f aca="false">Assumptions!$F$70*(1-Assumptions!$F$80)*(1-Assumptions!$F$79)-Assumptions!$F$73-Assumptions!$F$75-Assumptions!$F$76-Assumptions!$F$77</f>
        <v>184.526606</v>
      </c>
      <c r="F102" s="63" t="n">
        <f aca="false">Assumptions!$F$70*(1-Assumptions!$F$80)*(1-Assumptions!$F$79)-Assumptions!$F$73-Assumptions!$F$75-Assumptions!$F$76-Assumptions!$F$77</f>
        <v>184.526606</v>
      </c>
      <c r="G102" s="63" t="n">
        <f aca="false">Assumptions!$F$70*(1-Assumptions!$F$80)*(1-Assumptions!$F$79)-Assumptions!$F$73-Assumptions!$F$75-Assumptions!$F$76-Assumptions!$F$77</f>
        <v>184.526606</v>
      </c>
      <c r="H102" s="63" t="n">
        <f aca="false">Assumptions!$F$70*(1-Assumptions!$F$80)*(1-Assumptions!$F$79)-Assumptions!$F$73-Assumptions!$F$75-Assumptions!$F$76-Assumptions!$F$77</f>
        <v>184.526606</v>
      </c>
      <c r="I102" s="63" t="n">
        <f aca="false">Assumptions!$F$70*(1-Assumptions!$F$80)*(1-Assumptions!$F$79)-Assumptions!$F$73-Assumptions!$F$75-Assumptions!$F$76-Assumptions!$F$77</f>
        <v>184.526606</v>
      </c>
      <c r="J102" s="63" t="n">
        <f aca="false">Assumptions!$F$70*(1-Assumptions!$F$80)*(1-Assumptions!$F$79)-Assumptions!$F$73-Assumptions!$F$75-Assumptions!$F$76-Assumptions!$F$77</f>
        <v>184.526606</v>
      </c>
      <c r="K102" s="63" t="n">
        <f aca="false">Assumptions!$F$70*(1-Assumptions!$F$80)*(1-Assumptions!$F$79)-Assumptions!$F$73-Assumptions!$F$75-Assumptions!$F$76-Assumptions!$F$77</f>
        <v>184.526606</v>
      </c>
      <c r="L102" s="63" t="n">
        <f aca="false">Assumptions!$F$70*(1-Assumptions!$F$80)*(1-Assumptions!$F$79)-Assumptions!$F$73-Assumptions!$F$75-Assumptions!$F$76-Assumptions!$F$77</f>
        <v>184.526606</v>
      </c>
      <c r="M102" s="63" t="n">
        <f aca="false">Assumptions!$F$70*(1-Assumptions!$F$80)*(1-Assumptions!$F$79)-Assumptions!$F$73-Assumptions!$F$75-Assumptions!$F$76-Assumptions!$F$77</f>
        <v>184.526606</v>
      </c>
      <c r="N102" s="63" t="n">
        <f aca="false">Assumptions!$F$70*(1-Assumptions!$F$80)*(1-Assumptions!$F$79)-Assumptions!$F$73-Assumptions!$F$75-Assumptions!$F$76-Assumptions!$F$77</f>
        <v>184.526606</v>
      </c>
      <c r="O102" s="63" t="n">
        <f aca="false">Assumptions!$F$70*(1-Assumptions!$F$80)*(1-Assumptions!$F$79)-Assumptions!$F$73-Assumptions!$F$75-Assumptions!$F$76-Assumptions!$F$77</f>
        <v>184.526606</v>
      </c>
      <c r="P102" s="63" t="n">
        <f aca="false">Assumptions!$F$70*(1-Assumptions!$F$80)*(1-Assumptions!$F$79)-Assumptions!$F$73-Assumptions!$F$75-Assumptions!$F$76-Assumptions!$F$77</f>
        <v>184.526606</v>
      </c>
      <c r="Q102" s="63" t="n">
        <f aca="false">Assumptions!$F$70*(1-Assumptions!$F$80)*(1-Assumptions!$F$79)-Assumptions!$F$73-Assumptions!$F$75-Assumptions!$F$76-Assumptions!$F$77</f>
        <v>184.526606</v>
      </c>
      <c r="R102" s="63" t="n">
        <f aca="false">Assumptions!$F$70*(1-Assumptions!$F$80)*(1-Assumptions!$F$79)-Assumptions!$F$73-Assumptions!$F$75-Assumptions!$F$76-Assumptions!$F$77</f>
        <v>184.526606</v>
      </c>
      <c r="S102" s="63" t="n">
        <f aca="false">Assumptions!$F$70*(1-Assumptions!$F$80)*(1-Assumptions!$F$79)-Assumptions!$F$73-Assumptions!$F$75-Assumptions!$F$76-Assumptions!$F$77</f>
        <v>184.526606</v>
      </c>
      <c r="T102" s="63" t="n">
        <f aca="false">Assumptions!$F$70*(1-Assumptions!$F$80)*(1-Assumptions!$F$79)-Assumptions!$F$73-Assumptions!$F$75-Assumptions!$F$76-Assumptions!$F$77</f>
        <v>184.526606</v>
      </c>
      <c r="U102" s="63" t="n">
        <f aca="false">Assumptions!$F$70*(1-Assumptions!$F$80)*(1-Assumptions!$F$79)-Assumptions!$F$73-Assumptions!$F$75-Assumptions!$F$76-Assumptions!$F$77</f>
        <v>184.526606</v>
      </c>
      <c r="V102" s="63" t="n">
        <f aca="false">Assumptions!$F$70*(1-Assumptions!$F$80)*(1-Assumptions!$F$79)-Assumptions!$F$73-Assumptions!$F$75-Assumptions!$F$76-Assumptions!$F$77</f>
        <v>184.526606</v>
      </c>
      <c r="W102" s="63" t="n">
        <f aca="false">Assumptions!$F$70*(1-Assumptions!$F$80)*(1-Assumptions!$F$79)-Assumptions!$F$73-Assumptions!$F$75-Assumptions!$F$76-Assumptions!$F$77</f>
        <v>184.526606</v>
      </c>
      <c r="X102" s="63" t="n">
        <f aca="false">Assumptions!$F$70*(1-Assumptions!$F$80)*(1-Assumptions!$F$79)-Assumptions!$F$73-Assumptions!$F$75-Assumptions!$F$76-Assumptions!$F$77</f>
        <v>184.526606</v>
      </c>
      <c r="Y102" s="63" t="n">
        <f aca="false">Assumptions!$F$70*(1-Assumptions!$F$80)*(1-Assumptions!$F$79)-Assumptions!$F$73-Assumptions!$F$75-Assumptions!$F$76-Assumptions!$F$77</f>
        <v>184.526606</v>
      </c>
      <c r="Z102" s="63" t="n">
        <f aca="false">Assumptions!$F$70*(1-Assumptions!$F$80)*(1-Assumptions!$F$79)-Assumptions!$F$73-Assumptions!$F$75-Assumptions!$F$76-Assumptions!$F$77</f>
        <v>184.526606</v>
      </c>
      <c r="AA102" s="63" t="n">
        <f aca="false">Assumptions!$F$70*(1-Assumptions!$F$80)*(1-Assumptions!$F$79)-Assumptions!$F$73-Assumptions!$F$75-Assumptions!$F$76-Assumptions!$F$77</f>
        <v>184.526606</v>
      </c>
      <c r="AB102" s="63" t="n">
        <f aca="false">Assumptions!$F$70*(1-Assumptions!$F$80)*(1-Assumptions!$F$79)-Assumptions!$F$73-Assumptions!$F$75-Assumptions!$F$76-Assumptions!$F$77</f>
        <v>184.526606</v>
      </c>
      <c r="AC102" s="63" t="n">
        <f aca="false">Assumptions!$F$70*(1-Assumptions!$F$80)*(1-Assumptions!$F$79)-Assumptions!$F$73-Assumptions!$F$75-Assumptions!$F$76-Assumptions!$F$77</f>
        <v>184.526606</v>
      </c>
      <c r="AD102" s="63" t="n">
        <f aca="false">Assumptions!$F$70*(1-Assumptions!$F$80)*(1-Assumptions!$F$79)-Assumptions!$F$73-Assumptions!$F$75-Assumptions!$F$76-Assumptions!$F$77</f>
        <v>184.526606</v>
      </c>
      <c r="AE102" s="63" t="n">
        <f aca="false">Assumptions!$F$70*(1-Assumptions!$F$80)*(1-Assumptions!$F$79)-Assumptions!$F$73-Assumptions!$F$75-Assumptions!$F$76-Assumptions!$F$77</f>
        <v>184.526606</v>
      </c>
      <c r="AF102" s="63" t="n">
        <f aca="false">Assumptions!$F$70*(1-Assumptions!$F$80)*(1-Assumptions!$F$79)-Assumptions!$F$73-Assumptions!$F$75-Assumptions!$F$76-Assumptions!$F$77</f>
        <v>184.526606</v>
      </c>
      <c r="AG102" s="63" t="n">
        <f aca="false">Assumptions!$F$70*(1-Assumptions!$F$80)*(1-Assumptions!$F$79)-Assumptions!$F$73-Assumptions!$F$75-Assumptions!$F$76-Assumptions!$F$77</f>
        <v>184.526606</v>
      </c>
      <c r="AH102" s="63" t="n">
        <f aca="false">Assumptions!$F$70*(1-Assumptions!$F$80)*(1-Assumptions!$F$79)-Assumptions!$F$73-Assumptions!$F$75-Assumptions!$F$76-Assumptions!$F$77</f>
        <v>184.526606</v>
      </c>
      <c r="AI102" s="63" t="n">
        <f aca="false">Assumptions!$F$70*(1-Assumptions!$F$80)*(1-Assumptions!$F$79)-Assumptions!$F$73-Assumptions!$F$75-Assumptions!$F$76-Assumptions!$F$77</f>
        <v>184.526606</v>
      </c>
      <c r="AJ102" s="63" t="n">
        <f aca="false">Assumptions!$F$70*(1-Assumptions!$F$80)*(1-Assumptions!$F$79)-Assumptions!$F$73-Assumptions!$F$75-Assumptions!$F$76-Assumptions!$F$77</f>
        <v>184.526606</v>
      </c>
      <c r="AK102" s="63" t="n">
        <f aca="false">Assumptions!$F$70*(1-Assumptions!$F$80)*(1-Assumptions!$F$79)-Assumptions!$F$73-Assumptions!$F$75-Assumptions!$F$76-Assumptions!$F$77</f>
        <v>184.526606</v>
      </c>
      <c r="AL102" s="63" t="n">
        <f aca="false">Assumptions!$F$70*(1-Assumptions!$F$80)*(1-Assumptions!$F$79)-Assumptions!$F$73-Assumptions!$F$75-Assumptions!$F$76-Assumptions!$F$77</f>
        <v>184.526606</v>
      </c>
      <c r="AM102" s="63" t="n">
        <f aca="false">AVERAGE(N102:AL102)</f>
        <v>184.526606</v>
      </c>
    </row>
    <row r="103" customFormat="false" ht="15" hidden="false" customHeight="false" outlineLevel="0" collapsed="false">
      <c r="A103" s="10" t="s">
        <v>823</v>
      </c>
      <c r="B103" s="9" t="s">
        <v>97</v>
      </c>
      <c r="C103" s="70" t="n">
        <f aca="false">C102/Assumptions!$F$68</f>
        <v>1942.38532631579</v>
      </c>
      <c r="D103" s="70" t="n">
        <f aca="false">D102/Assumptions!$F$68</f>
        <v>1942.38532631579</v>
      </c>
      <c r="E103" s="70" t="n">
        <f aca="false">E102/Assumptions!$F$68</f>
        <v>1942.38532631579</v>
      </c>
      <c r="F103" s="70" t="n">
        <f aca="false">F102/Assumptions!$F$68</f>
        <v>1942.38532631579</v>
      </c>
      <c r="G103" s="70" t="n">
        <f aca="false">G102/Assumptions!$F$68</f>
        <v>1942.38532631579</v>
      </c>
      <c r="H103" s="70" t="n">
        <f aca="false">H102/Assumptions!$F$68</f>
        <v>1942.38532631579</v>
      </c>
      <c r="I103" s="70" t="n">
        <f aca="false">I102/Assumptions!$F$68</f>
        <v>1942.38532631579</v>
      </c>
      <c r="J103" s="70" t="n">
        <f aca="false">J102/Assumptions!$F$68</f>
        <v>1942.38532631579</v>
      </c>
      <c r="K103" s="70" t="n">
        <f aca="false">K102/Assumptions!$F$68</f>
        <v>1942.38532631579</v>
      </c>
      <c r="L103" s="70" t="n">
        <f aca="false">L102/Assumptions!$F$68</f>
        <v>1942.38532631579</v>
      </c>
      <c r="M103" s="70" t="n">
        <f aca="false">M102/Assumptions!$F$68</f>
        <v>1942.38532631579</v>
      </c>
      <c r="N103" s="70" t="n">
        <f aca="false">N102/Assumptions!$F$68</f>
        <v>1942.38532631579</v>
      </c>
      <c r="O103" s="70" t="n">
        <f aca="false">O102/Assumptions!$F$68</f>
        <v>1942.38532631579</v>
      </c>
      <c r="P103" s="70" t="n">
        <f aca="false">P102/Assumptions!$F$68</f>
        <v>1942.38532631579</v>
      </c>
      <c r="Q103" s="70" t="n">
        <f aca="false">Q102/Assumptions!$F$68</f>
        <v>1942.38532631579</v>
      </c>
      <c r="R103" s="70" t="n">
        <f aca="false">R102/Assumptions!$F$68</f>
        <v>1942.38532631579</v>
      </c>
      <c r="S103" s="70" t="n">
        <f aca="false">S102/Assumptions!$F$68</f>
        <v>1942.38532631579</v>
      </c>
      <c r="T103" s="70" t="n">
        <f aca="false">T102/Assumptions!$F$68</f>
        <v>1942.38532631579</v>
      </c>
      <c r="U103" s="70" t="n">
        <f aca="false">U102/Assumptions!$F$68</f>
        <v>1942.38532631579</v>
      </c>
      <c r="V103" s="70" t="n">
        <f aca="false">V102/Assumptions!$F$68</f>
        <v>1942.38532631579</v>
      </c>
      <c r="W103" s="70" t="n">
        <f aca="false">W102/Assumptions!$F$68</f>
        <v>1942.38532631579</v>
      </c>
      <c r="X103" s="70" t="n">
        <f aca="false">X102/Assumptions!$F$68</f>
        <v>1942.38532631579</v>
      </c>
      <c r="Y103" s="70" t="n">
        <f aca="false">Y102/Assumptions!$F$68</f>
        <v>1942.38532631579</v>
      </c>
      <c r="Z103" s="70" t="n">
        <f aca="false">Z102/Assumptions!$F$68</f>
        <v>1942.38532631579</v>
      </c>
      <c r="AA103" s="70" t="n">
        <f aca="false">AA102/Assumptions!$F$68</f>
        <v>1942.38532631579</v>
      </c>
      <c r="AB103" s="70" t="n">
        <f aca="false">AB102/Assumptions!$F$68</f>
        <v>1942.38532631579</v>
      </c>
      <c r="AC103" s="70" t="n">
        <f aca="false">AC102/Assumptions!$F$68</f>
        <v>1942.38532631579</v>
      </c>
      <c r="AD103" s="70" t="n">
        <f aca="false">AD102/Assumptions!$F$68</f>
        <v>1942.38532631579</v>
      </c>
      <c r="AE103" s="70" t="n">
        <f aca="false">AE102/Assumptions!$F$68</f>
        <v>1942.38532631579</v>
      </c>
      <c r="AF103" s="70" t="n">
        <f aca="false">AF102/Assumptions!$F$68</f>
        <v>1942.38532631579</v>
      </c>
      <c r="AG103" s="70" t="n">
        <f aca="false">AG102/Assumptions!$F$68</f>
        <v>1942.38532631579</v>
      </c>
      <c r="AH103" s="70" t="n">
        <f aca="false">AH102/Assumptions!$F$68</f>
        <v>1942.38532631579</v>
      </c>
      <c r="AI103" s="70" t="n">
        <f aca="false">AI102/Assumptions!$F$68</f>
        <v>1942.38532631579</v>
      </c>
      <c r="AJ103" s="70" t="n">
        <f aca="false">AJ102/Assumptions!$F$68</f>
        <v>1942.38532631579</v>
      </c>
      <c r="AK103" s="70" t="n">
        <f aca="false">AK102/Assumptions!$F$68</f>
        <v>1942.38532631579</v>
      </c>
      <c r="AL103" s="70" t="n">
        <f aca="false">AL102/Assumptions!$F$68</f>
        <v>1942.38532631579</v>
      </c>
      <c r="AM103" s="70" t="n">
        <f aca="false">AVERAGE(N103:AL103)</f>
        <v>1942.38532631579</v>
      </c>
    </row>
    <row r="104" customFormat="false" ht="15" hidden="false" customHeight="false" outlineLevel="0" collapsed="false">
      <c r="A104" s="10" t="s">
        <v>402</v>
      </c>
      <c r="B104" s="9" t="s">
        <v>97</v>
      </c>
      <c r="C104" s="63" t="n">
        <f aca="false">Assumptions!$F$50*(1-Assumptions!$F$80)*(1-Assumptions!$F$79)-Assumptions!$F$50*Assumptions!$F$55-Assumptions!$F$56</f>
        <v>57.880272</v>
      </c>
      <c r="D104" s="63" t="n">
        <f aca="false">Assumptions!$F$50*(1-Assumptions!$F$80)*(1-Assumptions!$F$79)-Assumptions!$F$50*Assumptions!$F$55-Assumptions!$F$56</f>
        <v>57.880272</v>
      </c>
      <c r="E104" s="63" t="n">
        <f aca="false">Assumptions!$F$50*(1-Assumptions!$F$80)*(1-Assumptions!$F$79)-Assumptions!$F$50*Assumptions!$F$55-Assumptions!$F$56</f>
        <v>57.880272</v>
      </c>
      <c r="F104" s="63" t="n">
        <f aca="false">Assumptions!$F$50*(1-Assumptions!$F$80)*(1-Assumptions!$F$79)-Assumptions!$F$50*Assumptions!$F$55-Assumptions!$F$56</f>
        <v>57.880272</v>
      </c>
      <c r="G104" s="63" t="n">
        <f aca="false">Assumptions!$F$50*(1-Assumptions!$F$80)*(1-Assumptions!$F$79)-Assumptions!$F$50*Assumptions!$F$55-Assumptions!$F$56</f>
        <v>57.880272</v>
      </c>
      <c r="H104" s="63" t="n">
        <f aca="false">Assumptions!$F$50*(1-Assumptions!$F$80)*(1-Assumptions!$F$79)-Assumptions!$F$50*Assumptions!$F$55-Assumptions!$F$56</f>
        <v>57.880272</v>
      </c>
      <c r="I104" s="63" t="n">
        <f aca="false">Assumptions!$F$50*(1-Assumptions!$F$80)*(1-Assumptions!$F$79)-Assumptions!$F$50*Assumptions!$F$55-Assumptions!$F$56</f>
        <v>57.880272</v>
      </c>
      <c r="J104" s="63" t="n">
        <f aca="false">Assumptions!$F$50*(1-Assumptions!$F$80)*(1-Assumptions!$F$79)-Assumptions!$F$50*Assumptions!$F$55-Assumptions!$F$56</f>
        <v>57.880272</v>
      </c>
      <c r="K104" s="63" t="n">
        <f aca="false">Assumptions!$F$50*(1-Assumptions!$F$80)*(1-Assumptions!$F$79)-Assumptions!$F$50*Assumptions!$F$55-Assumptions!$F$56</f>
        <v>57.880272</v>
      </c>
      <c r="L104" s="63" t="n">
        <f aca="false">Assumptions!$F$50*(1-Assumptions!$F$80)*(1-Assumptions!$F$79)-Assumptions!$F$50*Assumptions!$F$55-Assumptions!$F$56</f>
        <v>57.880272</v>
      </c>
      <c r="M104" s="63" t="n">
        <f aca="false">Assumptions!$F$50*(1-Assumptions!$F$80)*(1-Assumptions!$F$79)-Assumptions!$F$50*Assumptions!$F$55-Assumptions!$F$56</f>
        <v>57.880272</v>
      </c>
      <c r="N104" s="63" t="n">
        <f aca="false">Assumptions!$F$50*(1-Assumptions!$F$80)*(1-Assumptions!$F$79)-Assumptions!$F$50*Assumptions!$F$55-Assumptions!$F$56</f>
        <v>57.880272</v>
      </c>
      <c r="O104" s="63" t="n">
        <f aca="false">Assumptions!$F$50*(1-Assumptions!$F$80)*(1-Assumptions!$F$79)-Assumptions!$F$50*Assumptions!$F$55-Assumptions!$F$56</f>
        <v>57.880272</v>
      </c>
      <c r="P104" s="63" t="n">
        <f aca="false">Assumptions!$F$50*(1-Assumptions!$F$80)*(1-Assumptions!$F$79)-Assumptions!$F$50*Assumptions!$F$55-Assumptions!$F$56</f>
        <v>57.880272</v>
      </c>
      <c r="Q104" s="63" t="n">
        <f aca="false">Assumptions!$F$50*(1-Assumptions!$F$80)*(1-Assumptions!$F$79)-Assumptions!$F$50*Assumptions!$F$55-Assumptions!$F$56</f>
        <v>57.880272</v>
      </c>
      <c r="R104" s="63" t="n">
        <f aca="false">Assumptions!$F$50*(1-Assumptions!$F$80)*(1-Assumptions!$F$79)-Assumptions!$F$50*Assumptions!$F$55-Assumptions!$F$56</f>
        <v>57.880272</v>
      </c>
      <c r="S104" s="63" t="n">
        <f aca="false">Assumptions!$F$50*(1-Assumptions!$F$80)*(1-Assumptions!$F$79)-Assumptions!$F$50*Assumptions!$F$55-Assumptions!$F$56</f>
        <v>57.880272</v>
      </c>
      <c r="T104" s="63" t="n">
        <f aca="false">Assumptions!$F$50*(1-Assumptions!$F$80)*(1-Assumptions!$F$79)-Assumptions!$F$50*Assumptions!$F$55-Assumptions!$F$56</f>
        <v>57.880272</v>
      </c>
      <c r="U104" s="63" t="n">
        <f aca="false">Assumptions!$F$50*(1-Assumptions!$F$80)*(1-Assumptions!$F$79)-Assumptions!$F$50*Assumptions!$F$55-Assumptions!$F$56</f>
        <v>57.880272</v>
      </c>
      <c r="V104" s="63" t="n">
        <f aca="false">Assumptions!$F$50*(1-Assumptions!$F$80)*(1-Assumptions!$F$79)-Assumptions!$F$50*Assumptions!$F$55-Assumptions!$F$56</f>
        <v>57.880272</v>
      </c>
      <c r="W104" s="63" t="n">
        <f aca="false">Assumptions!$F$50*(1-Assumptions!$F$80)*(1-Assumptions!$F$79)-Assumptions!$F$50*Assumptions!$F$55-Assumptions!$F$56</f>
        <v>57.880272</v>
      </c>
      <c r="X104" s="63" t="n">
        <f aca="false">Assumptions!$F$50*(1-Assumptions!$F$80)*(1-Assumptions!$F$79)-Assumptions!$F$50*Assumptions!$F$55-Assumptions!$F$56</f>
        <v>57.880272</v>
      </c>
      <c r="Y104" s="63" t="n">
        <f aca="false">Assumptions!$F$50*(1-Assumptions!$F$80)*(1-Assumptions!$F$79)-Assumptions!$F$50*Assumptions!$F$55-Assumptions!$F$56</f>
        <v>57.880272</v>
      </c>
      <c r="Z104" s="63" t="n">
        <f aca="false">Assumptions!$F$50*(1-Assumptions!$F$80)*(1-Assumptions!$F$79)-Assumptions!$F$50*Assumptions!$F$55-Assumptions!$F$56</f>
        <v>57.880272</v>
      </c>
      <c r="AA104" s="63" t="n">
        <f aca="false">Assumptions!$F$50*(1-Assumptions!$F$80)*(1-Assumptions!$F$79)-Assumptions!$F$50*Assumptions!$F$55-Assumptions!$F$56</f>
        <v>57.880272</v>
      </c>
      <c r="AB104" s="63" t="n">
        <f aca="false">Assumptions!$F$50*(1-Assumptions!$F$80)*(1-Assumptions!$F$79)-Assumptions!$F$50*Assumptions!$F$55-Assumptions!$F$56</f>
        <v>57.880272</v>
      </c>
      <c r="AC104" s="63" t="n">
        <f aca="false">Assumptions!$F$50*(1-Assumptions!$F$80)*(1-Assumptions!$F$79)-Assumptions!$F$50*Assumptions!$F$55-Assumptions!$F$56</f>
        <v>57.880272</v>
      </c>
      <c r="AD104" s="63" t="n">
        <f aca="false">Assumptions!$F$50*(1-Assumptions!$F$80)*(1-Assumptions!$F$79)-Assumptions!$F$50*Assumptions!$F$55-Assumptions!$F$56</f>
        <v>57.880272</v>
      </c>
      <c r="AE104" s="63" t="n">
        <f aca="false">Assumptions!$F$50*(1-Assumptions!$F$80)*(1-Assumptions!$F$79)-Assumptions!$F$50*Assumptions!$F$55-Assumptions!$F$56</f>
        <v>57.880272</v>
      </c>
      <c r="AF104" s="63" t="n">
        <f aca="false">Assumptions!$F$50*(1-Assumptions!$F$80)*(1-Assumptions!$F$79)-Assumptions!$F$50*Assumptions!$F$55-Assumptions!$F$56</f>
        <v>57.880272</v>
      </c>
      <c r="AG104" s="63" t="n">
        <f aca="false">Assumptions!$F$50*(1-Assumptions!$F$80)*(1-Assumptions!$F$79)-Assumptions!$F$50*Assumptions!$F$55-Assumptions!$F$56</f>
        <v>57.880272</v>
      </c>
      <c r="AH104" s="63" t="n">
        <f aca="false">Assumptions!$F$50*(1-Assumptions!$F$80)*(1-Assumptions!$F$79)-Assumptions!$F$50*Assumptions!$F$55-Assumptions!$F$56</f>
        <v>57.880272</v>
      </c>
      <c r="AI104" s="63" t="n">
        <f aca="false">Assumptions!$F$50*(1-Assumptions!$F$80)*(1-Assumptions!$F$79)-Assumptions!$F$50*Assumptions!$F$55-Assumptions!$F$56</f>
        <v>57.880272</v>
      </c>
      <c r="AJ104" s="63" t="n">
        <f aca="false">Assumptions!$F$50*(1-Assumptions!$F$80)*(1-Assumptions!$F$79)-Assumptions!$F$50*Assumptions!$F$55-Assumptions!$F$56</f>
        <v>57.880272</v>
      </c>
      <c r="AK104" s="63" t="n">
        <f aca="false">Assumptions!$F$50*(1-Assumptions!$F$80)*(1-Assumptions!$F$79)-Assumptions!$F$50*Assumptions!$F$55-Assumptions!$F$56</f>
        <v>57.880272</v>
      </c>
      <c r="AL104" s="63" t="n">
        <f aca="false">Assumptions!$F$50*(1-Assumptions!$F$80)*(1-Assumptions!$F$79)-Assumptions!$F$50*Assumptions!$F$55-Assumptions!$F$56</f>
        <v>57.880272</v>
      </c>
      <c r="AM104" s="63" t="n">
        <f aca="false">AVERAGE(N104:AL104)</f>
        <v>57.880272</v>
      </c>
    </row>
    <row r="105" customFormat="false" ht="15" hidden="false" customHeight="false" outlineLevel="0" collapsed="false">
      <c r="A105" s="10" t="s">
        <v>403</v>
      </c>
      <c r="B105" s="9" t="s">
        <v>97</v>
      </c>
      <c r="C105" s="70" t="n">
        <f aca="false">C104/Assumptions!$F$52</f>
        <v>1052.36858181818</v>
      </c>
      <c r="D105" s="70" t="n">
        <f aca="false">D104/Assumptions!$F$52</f>
        <v>1052.36858181818</v>
      </c>
      <c r="E105" s="70" t="n">
        <f aca="false">E104/Assumptions!$F$52</f>
        <v>1052.36858181818</v>
      </c>
      <c r="F105" s="70" t="n">
        <f aca="false">F104/Assumptions!$F$52</f>
        <v>1052.36858181818</v>
      </c>
      <c r="G105" s="70" t="n">
        <f aca="false">G104/Assumptions!$F$52</f>
        <v>1052.36858181818</v>
      </c>
      <c r="H105" s="70" t="n">
        <f aca="false">H104/Assumptions!$F$52</f>
        <v>1052.36858181818</v>
      </c>
      <c r="I105" s="70" t="n">
        <f aca="false">I104/Assumptions!$F$52</f>
        <v>1052.36858181818</v>
      </c>
      <c r="J105" s="70" t="n">
        <f aca="false">J104/Assumptions!$F$52</f>
        <v>1052.36858181818</v>
      </c>
      <c r="K105" s="70" t="n">
        <f aca="false">K104/Assumptions!$F$52</f>
        <v>1052.36858181818</v>
      </c>
      <c r="L105" s="70" t="n">
        <f aca="false">L104/Assumptions!$F$52</f>
        <v>1052.36858181818</v>
      </c>
      <c r="M105" s="70" t="n">
        <f aca="false">M104/Assumptions!$F$52</f>
        <v>1052.36858181818</v>
      </c>
      <c r="N105" s="70" t="n">
        <f aca="false">N104/Assumptions!$F$52</f>
        <v>1052.36858181818</v>
      </c>
      <c r="O105" s="70" t="n">
        <f aca="false">O104/Assumptions!$F$52</f>
        <v>1052.36858181818</v>
      </c>
      <c r="P105" s="70" t="n">
        <f aca="false">P104/Assumptions!$F$52</f>
        <v>1052.36858181818</v>
      </c>
      <c r="Q105" s="70" t="n">
        <f aca="false">Q104/Assumptions!$F$52</f>
        <v>1052.36858181818</v>
      </c>
      <c r="R105" s="70" t="n">
        <f aca="false">R104/Assumptions!$F$52</f>
        <v>1052.36858181818</v>
      </c>
      <c r="S105" s="70" t="n">
        <f aca="false">S104/Assumptions!$F$52</f>
        <v>1052.36858181818</v>
      </c>
      <c r="T105" s="70" t="n">
        <f aca="false">T104/Assumptions!$F$52</f>
        <v>1052.36858181818</v>
      </c>
      <c r="U105" s="70" t="n">
        <f aca="false">U104/Assumptions!$F$52</f>
        <v>1052.36858181818</v>
      </c>
      <c r="V105" s="70" t="n">
        <f aca="false">V104/Assumptions!$F$52</f>
        <v>1052.36858181818</v>
      </c>
      <c r="W105" s="70" t="n">
        <f aca="false">W104/Assumptions!$F$52</f>
        <v>1052.36858181818</v>
      </c>
      <c r="X105" s="70" t="n">
        <f aca="false">X104/Assumptions!$F$52</f>
        <v>1052.36858181818</v>
      </c>
      <c r="Y105" s="70" t="n">
        <f aca="false">Y104/Assumptions!$F$52</f>
        <v>1052.36858181818</v>
      </c>
      <c r="Z105" s="70" t="n">
        <f aca="false">Z104/Assumptions!$F$52</f>
        <v>1052.36858181818</v>
      </c>
      <c r="AA105" s="70" t="n">
        <f aca="false">AA104/Assumptions!$F$52</f>
        <v>1052.36858181818</v>
      </c>
      <c r="AB105" s="70" t="n">
        <f aca="false">AB104/Assumptions!$F$52</f>
        <v>1052.36858181818</v>
      </c>
      <c r="AC105" s="70" t="n">
        <f aca="false">AC104/Assumptions!$F$52</f>
        <v>1052.36858181818</v>
      </c>
      <c r="AD105" s="70" t="n">
        <f aca="false">AD104/Assumptions!$F$52</f>
        <v>1052.36858181818</v>
      </c>
      <c r="AE105" s="70" t="n">
        <f aca="false">AE104/Assumptions!$F$52</f>
        <v>1052.36858181818</v>
      </c>
      <c r="AF105" s="70" t="n">
        <f aca="false">AF104/Assumptions!$F$52</f>
        <v>1052.36858181818</v>
      </c>
      <c r="AG105" s="70" t="n">
        <f aca="false">AG104/Assumptions!$F$52</f>
        <v>1052.36858181818</v>
      </c>
      <c r="AH105" s="70" t="n">
        <f aca="false">AH104/Assumptions!$F$52</f>
        <v>1052.36858181818</v>
      </c>
      <c r="AI105" s="70" t="n">
        <f aca="false">AI104/Assumptions!$F$52</f>
        <v>1052.36858181818</v>
      </c>
      <c r="AJ105" s="70" t="n">
        <f aca="false">AJ104/Assumptions!$F$52</f>
        <v>1052.36858181818</v>
      </c>
      <c r="AK105" s="70" t="n">
        <f aca="false">AK104/Assumptions!$F$52</f>
        <v>1052.36858181818</v>
      </c>
      <c r="AL105" s="70" t="n">
        <f aca="false">AL104/Assumptions!$F$52</f>
        <v>1052.36858181818</v>
      </c>
      <c r="AM105" s="70" t="n">
        <f aca="false">AVERAGE(N105:AL105)</f>
        <v>1052.36858181818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105"/>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8" min="3" style="0" width="12"/>
    <col collapsed="false" customWidth="true" hidden="false" outlineLevel="0" max="39" min="39" style="0" width="15"/>
  </cols>
  <sheetData>
    <row r="1" customFormat="false" ht="17.35" hidden="false" customHeight="false" outlineLevel="0" collapsed="false">
      <c r="A1" s="4" t="s">
        <v>826</v>
      </c>
    </row>
    <row r="2" customFormat="false" ht="15" hidden="false" customHeight="false" outlineLevel="0" collapsed="false">
      <c r="A2" s="67" t="s">
        <v>686</v>
      </c>
    </row>
    <row r="4" customFormat="false" ht="15" hidden="false" customHeight="false" outlineLevel="0" collapsed="false">
      <c r="A4" s="50" t="s">
        <v>687</v>
      </c>
      <c r="B4" s="50" t="s">
        <v>25</v>
      </c>
      <c r="C4" s="68" t="s">
        <v>688</v>
      </c>
      <c r="D4" s="68" t="s">
        <v>689</v>
      </c>
      <c r="E4" s="68" t="s">
        <v>690</v>
      </c>
      <c r="F4" s="68" t="s">
        <v>691</v>
      </c>
      <c r="G4" s="68" t="s">
        <v>692</v>
      </c>
      <c r="H4" s="68" t="s">
        <v>693</v>
      </c>
      <c r="I4" s="68" t="s">
        <v>694</v>
      </c>
      <c r="J4" s="68" t="s">
        <v>695</v>
      </c>
      <c r="K4" s="68" t="s">
        <v>696</v>
      </c>
      <c r="L4" s="68" t="s">
        <v>697</v>
      </c>
      <c r="M4" s="68" t="s">
        <v>698</v>
      </c>
      <c r="N4" s="68" t="s">
        <v>699</v>
      </c>
      <c r="O4" s="68" t="s">
        <v>700</v>
      </c>
      <c r="P4" s="68" t="s">
        <v>701</v>
      </c>
      <c r="Q4" s="68" t="s">
        <v>702</v>
      </c>
      <c r="R4" s="68" t="s">
        <v>703</v>
      </c>
      <c r="S4" s="68" t="s">
        <v>704</v>
      </c>
      <c r="T4" s="68" t="s">
        <v>705</v>
      </c>
      <c r="U4" s="68" t="s">
        <v>706</v>
      </c>
      <c r="V4" s="68" t="s">
        <v>707</v>
      </c>
      <c r="W4" s="68" t="s">
        <v>708</v>
      </c>
      <c r="X4" s="68" t="s">
        <v>709</v>
      </c>
      <c r="Y4" s="68" t="s">
        <v>710</v>
      </c>
      <c r="Z4" s="68" t="s">
        <v>711</v>
      </c>
      <c r="AA4" s="68" t="s">
        <v>712</v>
      </c>
      <c r="AB4" s="68" t="s">
        <v>713</v>
      </c>
      <c r="AC4" s="68" t="s">
        <v>714</v>
      </c>
      <c r="AD4" s="68" t="s">
        <v>715</v>
      </c>
      <c r="AE4" s="68" t="s">
        <v>716</v>
      </c>
      <c r="AF4" s="68" t="s">
        <v>717</v>
      </c>
      <c r="AG4" s="68" t="s">
        <v>718</v>
      </c>
      <c r="AH4" s="68" t="s">
        <v>719</v>
      </c>
      <c r="AI4" s="68" t="s">
        <v>720</v>
      </c>
      <c r="AJ4" s="68" t="s">
        <v>721</v>
      </c>
      <c r="AK4" s="68" t="s">
        <v>722</v>
      </c>
      <c r="AL4" s="68" t="s">
        <v>723</v>
      </c>
      <c r="AM4" s="50" t="s">
        <v>724</v>
      </c>
    </row>
    <row r="5" customFormat="false" ht="15" hidden="false" customHeight="false" outlineLevel="0" collapsed="false">
      <c r="A5" s="0" t="s">
        <v>725</v>
      </c>
      <c r="B5" s="0" t="s">
        <v>51</v>
      </c>
      <c r="C5" s="10" t="n">
        <v>1</v>
      </c>
      <c r="D5" s="10" t="n">
        <v>2</v>
      </c>
      <c r="E5" s="10" t="n">
        <v>3</v>
      </c>
      <c r="F5" s="10" t="n">
        <v>4</v>
      </c>
      <c r="G5" s="10" t="n">
        <v>5</v>
      </c>
      <c r="H5" s="10" t="n">
        <v>6</v>
      </c>
      <c r="I5" s="10" t="n">
        <v>7</v>
      </c>
      <c r="J5" s="10" t="n">
        <v>8</v>
      </c>
      <c r="K5" s="10" t="n">
        <v>9</v>
      </c>
      <c r="L5" s="10" t="n">
        <v>10</v>
      </c>
      <c r="M5" s="10" t="n">
        <v>11</v>
      </c>
      <c r="N5" s="10" t="n">
        <v>12</v>
      </c>
      <c r="O5" s="10" t="n">
        <v>13</v>
      </c>
      <c r="P5" s="10" t="n">
        <v>14</v>
      </c>
      <c r="Q5" s="10" t="n">
        <v>15</v>
      </c>
      <c r="R5" s="10" t="n">
        <v>16</v>
      </c>
      <c r="S5" s="10" t="n">
        <v>17</v>
      </c>
      <c r="T5" s="10" t="n">
        <v>18</v>
      </c>
      <c r="U5" s="10" t="n">
        <v>19</v>
      </c>
      <c r="V5" s="10" t="n">
        <v>20</v>
      </c>
      <c r="W5" s="10" t="n">
        <v>21</v>
      </c>
      <c r="X5" s="10" t="n">
        <v>22</v>
      </c>
      <c r="Y5" s="10" t="n">
        <v>23</v>
      </c>
      <c r="Z5" s="10" t="n">
        <v>24</v>
      </c>
      <c r="AA5" s="10" t="n">
        <v>25</v>
      </c>
      <c r="AB5" s="10" t="n">
        <v>26</v>
      </c>
      <c r="AC5" s="10" t="n">
        <v>27</v>
      </c>
      <c r="AD5" s="10" t="n">
        <v>28</v>
      </c>
      <c r="AE5" s="10" t="n">
        <v>29</v>
      </c>
      <c r="AF5" s="10" t="n">
        <v>30</v>
      </c>
      <c r="AG5" s="10" t="n">
        <v>31</v>
      </c>
      <c r="AH5" s="10" t="n">
        <v>32</v>
      </c>
      <c r="AI5" s="10" t="n">
        <v>33</v>
      </c>
      <c r="AJ5" s="10" t="n">
        <v>34</v>
      </c>
      <c r="AK5" s="10" t="n">
        <v>35</v>
      </c>
      <c r="AL5" s="10" t="n">
        <v>36</v>
      </c>
    </row>
    <row r="6" customFormat="false" ht="15" hidden="false" customHeight="false" outlineLevel="0" collapsed="false">
      <c r="A6" s="0" t="s">
        <v>726</v>
      </c>
      <c r="B6" s="0" t="s">
        <v>51</v>
      </c>
      <c r="C6" s="10" t="n">
        <f aca="false">ROUNDUP(C$5/12,0)</f>
        <v>1</v>
      </c>
      <c r="D6" s="10" t="n">
        <f aca="false">ROUNDUP(D$5/12,0)</f>
        <v>1</v>
      </c>
      <c r="E6" s="10" t="n">
        <f aca="false">ROUNDUP(E$5/12,0)</f>
        <v>1</v>
      </c>
      <c r="F6" s="10" t="n">
        <f aca="false">ROUNDUP(F$5/12,0)</f>
        <v>1</v>
      </c>
      <c r="G6" s="10" t="n">
        <f aca="false">ROUNDUP(G$5/12,0)</f>
        <v>1</v>
      </c>
      <c r="H6" s="10" t="n">
        <f aca="false">ROUNDUP(H$5/12,0)</f>
        <v>1</v>
      </c>
      <c r="I6" s="10" t="n">
        <f aca="false">ROUNDUP(I$5/12,0)</f>
        <v>1</v>
      </c>
      <c r="J6" s="10" t="n">
        <f aca="false">ROUNDUP(J$5/12,0)</f>
        <v>1</v>
      </c>
      <c r="K6" s="10" t="n">
        <f aca="false">ROUNDUP(K$5/12,0)</f>
        <v>1</v>
      </c>
      <c r="L6" s="10" t="n">
        <f aca="false">ROUNDUP(L$5/12,0)</f>
        <v>1</v>
      </c>
      <c r="M6" s="10" t="n">
        <f aca="false">ROUNDUP(M$5/12,0)</f>
        <v>1</v>
      </c>
      <c r="N6" s="10" t="n">
        <f aca="false">ROUNDUP(N$5/12,0)</f>
        <v>1</v>
      </c>
      <c r="O6" s="10" t="n">
        <f aca="false">ROUNDUP(O$5/12,0)</f>
        <v>2</v>
      </c>
      <c r="P6" s="10" t="n">
        <f aca="false">ROUNDUP(P$5/12,0)</f>
        <v>2</v>
      </c>
      <c r="Q6" s="10" t="n">
        <f aca="false">ROUNDUP(Q$5/12,0)</f>
        <v>2</v>
      </c>
      <c r="R6" s="10" t="n">
        <f aca="false">ROUNDUP(R$5/12,0)</f>
        <v>2</v>
      </c>
      <c r="S6" s="10" t="n">
        <f aca="false">ROUNDUP(S$5/12,0)</f>
        <v>2</v>
      </c>
      <c r="T6" s="10" t="n">
        <f aca="false">ROUNDUP(T$5/12,0)</f>
        <v>2</v>
      </c>
      <c r="U6" s="10" t="n">
        <f aca="false">ROUNDUP(U$5/12,0)</f>
        <v>2</v>
      </c>
      <c r="V6" s="10" t="n">
        <f aca="false">ROUNDUP(V$5/12,0)</f>
        <v>2</v>
      </c>
      <c r="W6" s="10" t="n">
        <f aca="false">ROUNDUP(W$5/12,0)</f>
        <v>2</v>
      </c>
      <c r="X6" s="10" t="n">
        <f aca="false">ROUNDUP(X$5/12,0)</f>
        <v>2</v>
      </c>
      <c r="Y6" s="10" t="n">
        <f aca="false">ROUNDUP(Y$5/12,0)</f>
        <v>2</v>
      </c>
      <c r="Z6" s="10" t="n">
        <f aca="false">ROUNDUP(Z$5/12,0)</f>
        <v>2</v>
      </c>
      <c r="AA6" s="10" t="n">
        <f aca="false">ROUNDUP(AA$5/12,0)</f>
        <v>3</v>
      </c>
      <c r="AB6" s="10" t="n">
        <f aca="false">ROUNDUP(AB$5/12,0)</f>
        <v>3</v>
      </c>
      <c r="AC6" s="10" t="n">
        <f aca="false">ROUNDUP(AC$5/12,0)</f>
        <v>3</v>
      </c>
      <c r="AD6" s="10" t="n">
        <f aca="false">ROUNDUP(AD$5/12,0)</f>
        <v>3</v>
      </c>
      <c r="AE6" s="10" t="n">
        <f aca="false">ROUNDUP(AE$5/12,0)</f>
        <v>3</v>
      </c>
      <c r="AF6" s="10" t="n">
        <f aca="false">ROUNDUP(AF$5/12,0)</f>
        <v>3</v>
      </c>
      <c r="AG6" s="10" t="n">
        <f aca="false">ROUNDUP(AG$5/12,0)</f>
        <v>3</v>
      </c>
      <c r="AH6" s="10" t="n">
        <f aca="false">ROUNDUP(AH$5/12,0)</f>
        <v>3</v>
      </c>
      <c r="AI6" s="10" t="n">
        <f aca="false">ROUNDUP(AI$5/12,0)</f>
        <v>3</v>
      </c>
      <c r="AJ6" s="10" t="n">
        <f aca="false">ROUNDUP(AJ$5/12,0)</f>
        <v>3</v>
      </c>
      <c r="AK6" s="10" t="n">
        <f aca="false">ROUNDUP(AK$5/12,0)</f>
        <v>3</v>
      </c>
      <c r="AL6" s="10" t="n">
        <f aca="false">ROUNDUP(AL$5/12,0)</f>
        <v>3</v>
      </c>
    </row>
    <row r="8" customFormat="false" ht="15" hidden="false" customHeight="false" outlineLevel="0" collapsed="false">
      <c r="A8" s="10" t="s">
        <v>727</v>
      </c>
      <c r="B8" s="9" t="s">
        <v>728</v>
      </c>
      <c r="C8" s="69" t="n">
        <f aca="false">IF(C$5&gt;=Assumptions!$G$6,1,0)</f>
        <v>0</v>
      </c>
      <c r="D8" s="69" t="n">
        <f aca="false">IF(D$5&gt;=Assumptions!$G$6,1,0)</f>
        <v>1</v>
      </c>
      <c r="E8" s="69" t="n">
        <f aca="false">IF(E$5&gt;=Assumptions!$G$6,1,0)</f>
        <v>1</v>
      </c>
      <c r="F8" s="69" t="n">
        <f aca="false">IF(F$5&gt;=Assumptions!$G$6,1,0)</f>
        <v>1</v>
      </c>
      <c r="G8" s="69" t="n">
        <f aca="false">IF(G$5&gt;=Assumptions!$G$6,1,0)</f>
        <v>1</v>
      </c>
      <c r="H8" s="69" t="n">
        <f aca="false">IF(H$5&gt;=Assumptions!$G$6,1,0)</f>
        <v>1</v>
      </c>
      <c r="I8" s="69" t="n">
        <f aca="false">IF(I$5&gt;=Assumptions!$G$6,1,0)</f>
        <v>1</v>
      </c>
      <c r="J8" s="69" t="n">
        <f aca="false">IF(J$5&gt;=Assumptions!$G$6,1,0)</f>
        <v>1</v>
      </c>
      <c r="K8" s="69" t="n">
        <f aca="false">IF(K$5&gt;=Assumptions!$G$6,1,0)</f>
        <v>1</v>
      </c>
      <c r="L8" s="69" t="n">
        <f aca="false">IF(L$5&gt;=Assumptions!$G$6,1,0)</f>
        <v>1</v>
      </c>
      <c r="M8" s="69" t="n">
        <f aca="false">IF(M$5&gt;=Assumptions!$G$6,1,0)</f>
        <v>1</v>
      </c>
      <c r="N8" s="69" t="n">
        <f aca="false">IF(N$5&gt;=Assumptions!$G$6,1,0)</f>
        <v>1</v>
      </c>
      <c r="O8" s="69" t="n">
        <f aca="false">IF(O$5&gt;=Assumptions!$G$6,1,0)</f>
        <v>1</v>
      </c>
      <c r="P8" s="69" t="n">
        <f aca="false">IF(P$5&gt;=Assumptions!$G$6,1,0)</f>
        <v>1</v>
      </c>
      <c r="Q8" s="69" t="n">
        <f aca="false">IF(Q$5&gt;=Assumptions!$G$6,1,0)</f>
        <v>1</v>
      </c>
      <c r="R8" s="69" t="n">
        <f aca="false">IF(R$5&gt;=Assumptions!$G$6,1,0)</f>
        <v>1</v>
      </c>
      <c r="S8" s="69" t="n">
        <f aca="false">IF(S$5&gt;=Assumptions!$G$6,1,0)</f>
        <v>1</v>
      </c>
      <c r="T8" s="69" t="n">
        <f aca="false">IF(T$5&gt;=Assumptions!$G$6,1,0)</f>
        <v>1</v>
      </c>
      <c r="U8" s="69" t="n">
        <f aca="false">IF(U$5&gt;=Assumptions!$G$6,1,0)</f>
        <v>1</v>
      </c>
      <c r="V8" s="69" t="n">
        <f aca="false">IF(V$5&gt;=Assumptions!$G$6,1,0)</f>
        <v>1</v>
      </c>
      <c r="W8" s="69" t="n">
        <f aca="false">IF(W$5&gt;=Assumptions!$G$6,1,0)</f>
        <v>1</v>
      </c>
      <c r="X8" s="69" t="n">
        <f aca="false">IF(X$5&gt;=Assumptions!$G$6,1,0)</f>
        <v>1</v>
      </c>
      <c r="Y8" s="69" t="n">
        <f aca="false">IF(Y$5&gt;=Assumptions!$G$6,1,0)</f>
        <v>1</v>
      </c>
      <c r="Z8" s="69" t="n">
        <f aca="false">IF(Z$5&gt;=Assumptions!$G$6,1,0)</f>
        <v>1</v>
      </c>
      <c r="AA8" s="69" t="n">
        <f aca="false">IF(AA$5&gt;=Assumptions!$G$6,1,0)</f>
        <v>1</v>
      </c>
      <c r="AB8" s="69" t="n">
        <f aca="false">IF(AB$5&gt;=Assumptions!$G$6,1,0)</f>
        <v>1</v>
      </c>
      <c r="AC8" s="69" t="n">
        <f aca="false">IF(AC$5&gt;=Assumptions!$G$6,1,0)</f>
        <v>1</v>
      </c>
      <c r="AD8" s="69" t="n">
        <f aca="false">IF(AD$5&gt;=Assumptions!$G$6,1,0)</f>
        <v>1</v>
      </c>
      <c r="AE8" s="69" t="n">
        <f aca="false">IF(AE$5&gt;=Assumptions!$G$6,1,0)</f>
        <v>1</v>
      </c>
      <c r="AF8" s="69" t="n">
        <f aca="false">IF(AF$5&gt;=Assumptions!$G$6,1,0)</f>
        <v>1</v>
      </c>
      <c r="AG8" s="69" t="n">
        <f aca="false">IF(AG$5&gt;=Assumptions!$G$6,1,0)</f>
        <v>1</v>
      </c>
      <c r="AH8" s="69" t="n">
        <f aca="false">IF(AH$5&gt;=Assumptions!$G$6,1,0)</f>
        <v>1</v>
      </c>
      <c r="AI8" s="69" t="n">
        <f aca="false">IF(AI$5&gt;=Assumptions!$G$6,1,0)</f>
        <v>1</v>
      </c>
      <c r="AJ8" s="69" t="n">
        <f aca="false">IF(AJ$5&gt;=Assumptions!$G$6,1,0)</f>
        <v>1</v>
      </c>
      <c r="AK8" s="69" t="n">
        <f aca="false">IF(AK$5&gt;=Assumptions!$G$6,1,0)</f>
        <v>1</v>
      </c>
      <c r="AL8" s="69" t="n">
        <f aca="false">IF(AL$5&gt;=Assumptions!$G$6,1,0)</f>
        <v>1</v>
      </c>
      <c r="AM8" s="69"/>
    </row>
    <row r="9" customFormat="false" ht="15" hidden="false" customHeight="false" outlineLevel="0" collapsed="false">
      <c r="A9" s="10" t="s">
        <v>729</v>
      </c>
      <c r="B9" s="9" t="s">
        <v>728</v>
      </c>
      <c r="C9" s="69" t="n">
        <f aca="false">IF(C$5&gt;=Assumptions!$G$7,1,0)</f>
        <v>0</v>
      </c>
      <c r="D9" s="69" t="n">
        <f aca="false">IF(D$5&gt;=Assumptions!$G$7,1,0)</f>
        <v>0</v>
      </c>
      <c r="E9" s="69" t="n">
        <f aca="false">IF(E$5&gt;=Assumptions!$G$7,1,0)</f>
        <v>0</v>
      </c>
      <c r="F9" s="69" t="n">
        <f aca="false">IF(F$5&gt;=Assumptions!$G$7,1,0)</f>
        <v>0</v>
      </c>
      <c r="G9" s="69" t="n">
        <f aca="false">IF(G$5&gt;=Assumptions!$G$7,1,0)</f>
        <v>0</v>
      </c>
      <c r="H9" s="69" t="n">
        <f aca="false">IF(H$5&gt;=Assumptions!$G$7,1,0)</f>
        <v>0</v>
      </c>
      <c r="I9" s="69" t="n">
        <f aca="false">IF(I$5&gt;=Assumptions!$G$7,1,0)</f>
        <v>1</v>
      </c>
      <c r="J9" s="69" t="n">
        <f aca="false">IF(J$5&gt;=Assumptions!$G$7,1,0)</f>
        <v>1</v>
      </c>
      <c r="K9" s="69" t="n">
        <f aca="false">IF(K$5&gt;=Assumptions!$G$7,1,0)</f>
        <v>1</v>
      </c>
      <c r="L9" s="69" t="n">
        <f aca="false">IF(L$5&gt;=Assumptions!$G$7,1,0)</f>
        <v>1</v>
      </c>
      <c r="M9" s="69" t="n">
        <f aca="false">IF(M$5&gt;=Assumptions!$G$7,1,0)</f>
        <v>1</v>
      </c>
      <c r="N9" s="69" t="n">
        <f aca="false">IF(N$5&gt;=Assumptions!$G$7,1,0)</f>
        <v>1</v>
      </c>
      <c r="O9" s="69" t="n">
        <f aca="false">IF(O$5&gt;=Assumptions!$G$7,1,0)</f>
        <v>1</v>
      </c>
      <c r="P9" s="69" t="n">
        <f aca="false">IF(P$5&gt;=Assumptions!$G$7,1,0)</f>
        <v>1</v>
      </c>
      <c r="Q9" s="69" t="n">
        <f aca="false">IF(Q$5&gt;=Assumptions!$G$7,1,0)</f>
        <v>1</v>
      </c>
      <c r="R9" s="69" t="n">
        <f aca="false">IF(R$5&gt;=Assumptions!$G$7,1,0)</f>
        <v>1</v>
      </c>
      <c r="S9" s="69" t="n">
        <f aca="false">IF(S$5&gt;=Assumptions!$G$7,1,0)</f>
        <v>1</v>
      </c>
      <c r="T9" s="69" t="n">
        <f aca="false">IF(T$5&gt;=Assumptions!$G$7,1,0)</f>
        <v>1</v>
      </c>
      <c r="U9" s="69" t="n">
        <f aca="false">IF(U$5&gt;=Assumptions!$G$7,1,0)</f>
        <v>1</v>
      </c>
      <c r="V9" s="69" t="n">
        <f aca="false">IF(V$5&gt;=Assumptions!$G$7,1,0)</f>
        <v>1</v>
      </c>
      <c r="W9" s="69" t="n">
        <f aca="false">IF(W$5&gt;=Assumptions!$G$7,1,0)</f>
        <v>1</v>
      </c>
      <c r="X9" s="69" t="n">
        <f aca="false">IF(X$5&gt;=Assumptions!$G$7,1,0)</f>
        <v>1</v>
      </c>
      <c r="Y9" s="69" t="n">
        <f aca="false">IF(Y$5&gt;=Assumptions!$G$7,1,0)</f>
        <v>1</v>
      </c>
      <c r="Z9" s="69" t="n">
        <f aca="false">IF(Z$5&gt;=Assumptions!$G$7,1,0)</f>
        <v>1</v>
      </c>
      <c r="AA9" s="69" t="n">
        <f aca="false">IF(AA$5&gt;=Assumptions!$G$7,1,0)</f>
        <v>1</v>
      </c>
      <c r="AB9" s="69" t="n">
        <f aca="false">IF(AB$5&gt;=Assumptions!$G$7,1,0)</f>
        <v>1</v>
      </c>
      <c r="AC9" s="69" t="n">
        <f aca="false">IF(AC$5&gt;=Assumptions!$G$7,1,0)</f>
        <v>1</v>
      </c>
      <c r="AD9" s="69" t="n">
        <f aca="false">IF(AD$5&gt;=Assumptions!$G$7,1,0)</f>
        <v>1</v>
      </c>
      <c r="AE9" s="69" t="n">
        <f aca="false">IF(AE$5&gt;=Assumptions!$G$7,1,0)</f>
        <v>1</v>
      </c>
      <c r="AF9" s="69" t="n">
        <f aca="false">IF(AF$5&gt;=Assumptions!$G$7,1,0)</f>
        <v>1</v>
      </c>
      <c r="AG9" s="69" t="n">
        <f aca="false">IF(AG$5&gt;=Assumptions!$G$7,1,0)</f>
        <v>1</v>
      </c>
      <c r="AH9" s="69" t="n">
        <f aca="false">IF(AH$5&gt;=Assumptions!$G$7,1,0)</f>
        <v>1</v>
      </c>
      <c r="AI9" s="69" t="n">
        <f aca="false">IF(AI$5&gt;=Assumptions!$G$7,1,0)</f>
        <v>1</v>
      </c>
      <c r="AJ9" s="69" t="n">
        <f aca="false">IF(AJ$5&gt;=Assumptions!$G$7,1,0)</f>
        <v>1</v>
      </c>
      <c r="AK9" s="69" t="n">
        <f aca="false">IF(AK$5&gt;=Assumptions!$G$7,1,0)</f>
        <v>1</v>
      </c>
      <c r="AL9" s="69" t="n">
        <f aca="false">IF(AL$5&gt;=Assumptions!$G$7,1,0)</f>
        <v>1</v>
      </c>
      <c r="AM9" s="69"/>
    </row>
    <row r="10" customFormat="false" ht="15" hidden="false" customHeight="false" outlineLevel="0" collapsed="false">
      <c r="A10" s="10" t="s">
        <v>730</v>
      </c>
      <c r="B10" s="9" t="s">
        <v>51</v>
      </c>
      <c r="C10" s="69" t="n">
        <f aca="false">MAX(0,C$5-Assumptions!$G$6)</f>
        <v>0</v>
      </c>
      <c r="D10" s="69" t="n">
        <f aca="false">MAX(0,D$5-Assumptions!$G$6)</f>
        <v>0</v>
      </c>
      <c r="E10" s="69" t="n">
        <f aca="false">MAX(0,E$5-Assumptions!$G$6)</f>
        <v>1</v>
      </c>
      <c r="F10" s="69" t="n">
        <f aca="false">MAX(0,F$5-Assumptions!$G$6)</f>
        <v>2</v>
      </c>
      <c r="G10" s="69" t="n">
        <f aca="false">MAX(0,G$5-Assumptions!$G$6)</f>
        <v>3</v>
      </c>
      <c r="H10" s="69" t="n">
        <f aca="false">MAX(0,H$5-Assumptions!$G$6)</f>
        <v>4</v>
      </c>
      <c r="I10" s="69" t="n">
        <f aca="false">MAX(0,I$5-Assumptions!$G$6)</f>
        <v>5</v>
      </c>
      <c r="J10" s="69" t="n">
        <f aca="false">MAX(0,J$5-Assumptions!$G$6)</f>
        <v>6</v>
      </c>
      <c r="K10" s="69" t="n">
        <f aca="false">MAX(0,K$5-Assumptions!$G$6)</f>
        <v>7</v>
      </c>
      <c r="L10" s="69" t="n">
        <f aca="false">MAX(0,L$5-Assumptions!$G$6)</f>
        <v>8</v>
      </c>
      <c r="M10" s="69" t="n">
        <f aca="false">MAX(0,M$5-Assumptions!$G$6)</f>
        <v>9</v>
      </c>
      <c r="N10" s="69" t="n">
        <f aca="false">MAX(0,N$5-Assumptions!$G$6)</f>
        <v>10</v>
      </c>
      <c r="O10" s="69" t="n">
        <f aca="false">MAX(0,O$5-Assumptions!$G$6)</f>
        <v>11</v>
      </c>
      <c r="P10" s="69" t="n">
        <f aca="false">MAX(0,P$5-Assumptions!$G$6)</f>
        <v>12</v>
      </c>
      <c r="Q10" s="69" t="n">
        <f aca="false">MAX(0,Q$5-Assumptions!$G$6)</f>
        <v>13</v>
      </c>
      <c r="R10" s="69" t="n">
        <f aca="false">MAX(0,R$5-Assumptions!$G$6)</f>
        <v>14</v>
      </c>
      <c r="S10" s="69" t="n">
        <f aca="false">MAX(0,S$5-Assumptions!$G$6)</f>
        <v>15</v>
      </c>
      <c r="T10" s="69" t="n">
        <f aca="false">MAX(0,T$5-Assumptions!$G$6)</f>
        <v>16</v>
      </c>
      <c r="U10" s="69" t="n">
        <f aca="false">MAX(0,U$5-Assumptions!$G$6)</f>
        <v>17</v>
      </c>
      <c r="V10" s="69" t="n">
        <f aca="false">MAX(0,V$5-Assumptions!$G$6)</f>
        <v>18</v>
      </c>
      <c r="W10" s="69" t="n">
        <f aca="false">MAX(0,W$5-Assumptions!$G$6)</f>
        <v>19</v>
      </c>
      <c r="X10" s="69" t="n">
        <f aca="false">MAX(0,X$5-Assumptions!$G$6)</f>
        <v>20</v>
      </c>
      <c r="Y10" s="69" t="n">
        <f aca="false">MAX(0,Y$5-Assumptions!$G$6)</f>
        <v>21</v>
      </c>
      <c r="Z10" s="69" t="n">
        <f aca="false">MAX(0,Z$5-Assumptions!$G$6)</f>
        <v>22</v>
      </c>
      <c r="AA10" s="69" t="n">
        <f aca="false">MAX(0,AA$5-Assumptions!$G$6)</f>
        <v>23</v>
      </c>
      <c r="AB10" s="69" t="n">
        <f aca="false">MAX(0,AB$5-Assumptions!$G$6)</f>
        <v>24</v>
      </c>
      <c r="AC10" s="69" t="n">
        <f aca="false">MAX(0,AC$5-Assumptions!$G$6)</f>
        <v>25</v>
      </c>
      <c r="AD10" s="69" t="n">
        <f aca="false">MAX(0,AD$5-Assumptions!$G$6)</f>
        <v>26</v>
      </c>
      <c r="AE10" s="69" t="n">
        <f aca="false">MAX(0,AE$5-Assumptions!$G$6)</f>
        <v>27</v>
      </c>
      <c r="AF10" s="69" t="n">
        <f aca="false">MAX(0,AF$5-Assumptions!$G$6)</f>
        <v>28</v>
      </c>
      <c r="AG10" s="69" t="n">
        <f aca="false">MAX(0,AG$5-Assumptions!$G$6)</f>
        <v>29</v>
      </c>
      <c r="AH10" s="69" t="n">
        <f aca="false">MAX(0,AH$5-Assumptions!$G$6)</f>
        <v>30</v>
      </c>
      <c r="AI10" s="69" t="n">
        <f aca="false">MAX(0,AI$5-Assumptions!$G$6)</f>
        <v>31</v>
      </c>
      <c r="AJ10" s="69" t="n">
        <f aca="false">MAX(0,AJ$5-Assumptions!$G$6)</f>
        <v>32</v>
      </c>
      <c r="AK10" s="69" t="n">
        <f aca="false">MAX(0,AK$5-Assumptions!$G$6)</f>
        <v>33</v>
      </c>
      <c r="AL10" s="69" t="n">
        <f aca="false">MAX(0,AL$5-Assumptions!$G$6)</f>
        <v>34</v>
      </c>
      <c r="AM10" s="69"/>
    </row>
    <row r="11" customFormat="false" ht="15" hidden="false" customHeight="false" outlineLevel="0" collapsed="false">
      <c r="A11" s="10" t="s">
        <v>731</v>
      </c>
      <c r="B11" s="9" t="s">
        <v>84</v>
      </c>
      <c r="C11" s="61" t="n">
        <f aca="false">Assumptions!$G$9*Assumptions!$G$10*Assumptions!$G$11*Assumptions!$G$12</f>
        <v>0</v>
      </c>
      <c r="D11" s="61" t="n">
        <f aca="false">Assumptions!$G$9*Assumptions!$G$10*Assumptions!$G$11*Assumptions!$G$12</f>
        <v>0</v>
      </c>
      <c r="E11" s="61" t="n">
        <f aca="false">Assumptions!$G$9*Assumptions!$G$10*Assumptions!$G$11*Assumptions!$G$12</f>
        <v>0</v>
      </c>
      <c r="F11" s="61" t="n">
        <f aca="false">Assumptions!$G$9*Assumptions!$G$10*Assumptions!$G$11*Assumptions!$G$12</f>
        <v>0</v>
      </c>
      <c r="G11" s="61" t="n">
        <f aca="false">Assumptions!$G$9*Assumptions!$G$10*Assumptions!$G$11*Assumptions!$G$12</f>
        <v>0</v>
      </c>
      <c r="H11" s="61" t="n">
        <f aca="false">Assumptions!$G$9*Assumptions!$G$10*Assumptions!$G$11*Assumptions!$G$12</f>
        <v>0</v>
      </c>
      <c r="I11" s="61" t="n">
        <f aca="false">Assumptions!$G$9*Assumptions!$G$10*Assumptions!$G$11*Assumptions!$G$12</f>
        <v>0</v>
      </c>
      <c r="J11" s="61" t="n">
        <f aca="false">Assumptions!$G$9*Assumptions!$G$10*Assumptions!$G$11*Assumptions!$G$12</f>
        <v>0</v>
      </c>
      <c r="K11" s="61" t="n">
        <f aca="false">Assumptions!$G$9*Assumptions!$G$10*Assumptions!$G$11*Assumptions!$G$12</f>
        <v>0</v>
      </c>
      <c r="L11" s="61" t="n">
        <f aca="false">Assumptions!$G$9*Assumptions!$G$10*Assumptions!$G$11*Assumptions!$G$12</f>
        <v>0</v>
      </c>
      <c r="M11" s="61" t="n">
        <f aca="false">Assumptions!$G$9*Assumptions!$G$10*Assumptions!$G$11*Assumptions!$G$12</f>
        <v>0</v>
      </c>
      <c r="N11" s="61" t="n">
        <f aca="false">Assumptions!$G$9*Assumptions!$G$10*Assumptions!$G$11*Assumptions!$G$12</f>
        <v>0</v>
      </c>
      <c r="O11" s="61" t="n">
        <f aca="false">Assumptions!$G$9*Assumptions!$G$10*Assumptions!$G$11*Assumptions!$G$12</f>
        <v>0</v>
      </c>
      <c r="P11" s="61" t="n">
        <f aca="false">Assumptions!$G$9*Assumptions!$G$10*Assumptions!$G$11*Assumptions!$G$12</f>
        <v>0</v>
      </c>
      <c r="Q11" s="61" t="n">
        <f aca="false">Assumptions!$G$9*Assumptions!$G$10*Assumptions!$G$11*Assumptions!$G$12</f>
        <v>0</v>
      </c>
      <c r="R11" s="61" t="n">
        <f aca="false">Assumptions!$G$9*Assumptions!$G$10*Assumptions!$G$11*Assumptions!$G$12</f>
        <v>0</v>
      </c>
      <c r="S11" s="61" t="n">
        <f aca="false">Assumptions!$G$9*Assumptions!$G$10*Assumptions!$G$11*Assumptions!$G$12</f>
        <v>0</v>
      </c>
      <c r="T11" s="61" t="n">
        <f aca="false">Assumptions!$G$9*Assumptions!$G$10*Assumptions!$G$11*Assumptions!$G$12</f>
        <v>0</v>
      </c>
      <c r="U11" s="61" t="n">
        <f aca="false">Assumptions!$G$9*Assumptions!$G$10*Assumptions!$G$11*Assumptions!$G$12</f>
        <v>0</v>
      </c>
      <c r="V11" s="61" t="n">
        <f aca="false">Assumptions!$G$9*Assumptions!$G$10*Assumptions!$G$11*Assumptions!$G$12</f>
        <v>0</v>
      </c>
      <c r="W11" s="61" t="n">
        <f aca="false">Assumptions!$G$9*Assumptions!$G$10*Assumptions!$G$11*Assumptions!$G$12</f>
        <v>0</v>
      </c>
      <c r="X11" s="61" t="n">
        <f aca="false">Assumptions!$G$9*Assumptions!$G$10*Assumptions!$G$11*Assumptions!$G$12</f>
        <v>0</v>
      </c>
      <c r="Y11" s="61" t="n">
        <f aca="false">Assumptions!$G$9*Assumptions!$G$10*Assumptions!$G$11*Assumptions!$G$12</f>
        <v>0</v>
      </c>
      <c r="Z11" s="61" t="n">
        <f aca="false">Assumptions!$G$9*Assumptions!$G$10*Assumptions!$G$11*Assumptions!$G$12</f>
        <v>0</v>
      </c>
      <c r="AA11" s="61" t="n">
        <f aca="false">Assumptions!$G$9*Assumptions!$G$10*Assumptions!$G$11*Assumptions!$G$12</f>
        <v>0</v>
      </c>
      <c r="AB11" s="61" t="n">
        <f aca="false">Assumptions!$G$9*Assumptions!$G$10*Assumptions!$G$11*Assumptions!$G$12</f>
        <v>0</v>
      </c>
      <c r="AC11" s="61" t="n">
        <f aca="false">Assumptions!$G$9*Assumptions!$G$10*Assumptions!$G$11*Assumptions!$G$12</f>
        <v>0</v>
      </c>
      <c r="AD11" s="61" t="n">
        <f aca="false">Assumptions!$G$9*Assumptions!$G$10*Assumptions!$G$11*Assumptions!$G$12</f>
        <v>0</v>
      </c>
      <c r="AE11" s="61" t="n">
        <f aca="false">Assumptions!$G$9*Assumptions!$G$10*Assumptions!$G$11*Assumptions!$G$12</f>
        <v>0</v>
      </c>
      <c r="AF11" s="61" t="n">
        <f aca="false">Assumptions!$G$9*Assumptions!$G$10*Assumptions!$G$11*Assumptions!$G$12</f>
        <v>0</v>
      </c>
      <c r="AG11" s="61" t="n">
        <f aca="false">Assumptions!$G$9*Assumptions!$G$10*Assumptions!$G$11*Assumptions!$G$12</f>
        <v>0</v>
      </c>
      <c r="AH11" s="61" t="n">
        <f aca="false">Assumptions!$G$9*Assumptions!$G$10*Assumptions!$G$11*Assumptions!$G$12</f>
        <v>0</v>
      </c>
      <c r="AI11" s="61" t="n">
        <f aca="false">Assumptions!$G$9*Assumptions!$G$10*Assumptions!$G$11*Assumptions!$G$12</f>
        <v>0</v>
      </c>
      <c r="AJ11" s="61" t="n">
        <f aca="false">Assumptions!$G$9*Assumptions!$G$10*Assumptions!$G$11*Assumptions!$G$12</f>
        <v>0</v>
      </c>
      <c r="AK11" s="61" t="n">
        <f aca="false">Assumptions!$G$9*Assumptions!$G$10*Assumptions!$G$11*Assumptions!$G$12</f>
        <v>0</v>
      </c>
      <c r="AL11" s="61" t="n">
        <f aca="false">Assumptions!$G$9*Assumptions!$G$10*Assumptions!$G$11*Assumptions!$G$12</f>
        <v>0</v>
      </c>
      <c r="AM11" s="61"/>
    </row>
    <row r="12" customFormat="false" ht="15" hidden="false" customHeight="false" outlineLevel="0" collapsed="false">
      <c r="A12" s="10" t="s">
        <v>732</v>
      </c>
      <c r="B12" s="9" t="s">
        <v>78</v>
      </c>
      <c r="C12" s="57" t="n">
        <f aca="false">IF(C8=0,0,IF(C10=0,Assumptions!$G$15,Assumptions!$G$14+(1-Assumptions!$G$14)*Assumptions!$G$13^C10))</f>
        <v>0</v>
      </c>
      <c r="D12" s="57" t="n">
        <f aca="false">IF(D8=0,0,IF(D10=0,Assumptions!$G$15,Assumptions!$G$14+(1-Assumptions!$G$14)*Assumptions!$G$13^D10))</f>
        <v>1</v>
      </c>
      <c r="E12" s="57" t="n">
        <f aca="false">IF(E8=0,0,IF(E10=0,Assumptions!$G$15,Assumptions!$G$14+(1-Assumptions!$G$14)*Assumptions!$G$13^E10))</f>
        <v>0.876</v>
      </c>
      <c r="F12" s="57" t="n">
        <f aca="false">IF(F8=0,0,IF(F10=0,Assumptions!$G$15,Assumptions!$G$14+(1-Assumptions!$G$14)*Assumptions!$G$13^F10))</f>
        <v>0.7768</v>
      </c>
      <c r="G12" s="57" t="n">
        <f aca="false">IF(G8=0,0,IF(G10=0,Assumptions!$G$15,Assumptions!$G$14+(1-Assumptions!$G$14)*Assumptions!$G$13^G10))</f>
        <v>0.69744</v>
      </c>
      <c r="H12" s="57" t="n">
        <f aca="false">IF(H8=0,0,IF(H10=0,Assumptions!$G$15,Assumptions!$G$14+(1-Assumptions!$G$14)*Assumptions!$G$13^H10))</f>
        <v>0.633952</v>
      </c>
      <c r="I12" s="57" t="n">
        <f aca="false">IF(I8=0,0,IF(I10=0,Assumptions!$G$15,Assumptions!$G$14+(1-Assumptions!$G$14)*Assumptions!$G$13^I10))</f>
        <v>0.5831616</v>
      </c>
      <c r="J12" s="57" t="n">
        <f aca="false">IF(J8=0,0,IF(J10=0,Assumptions!$G$15,Assumptions!$G$14+(1-Assumptions!$G$14)*Assumptions!$G$13^J10))</f>
        <v>0.54252928</v>
      </c>
      <c r="K12" s="57" t="n">
        <f aca="false">IF(K8=0,0,IF(K10=0,Assumptions!$G$15,Assumptions!$G$14+(1-Assumptions!$G$14)*Assumptions!$G$13^K10))</f>
        <v>0.510023424</v>
      </c>
      <c r="L12" s="57" t="n">
        <f aca="false">IF(L8=0,0,IF(L10=0,Assumptions!$G$15,Assumptions!$G$14+(1-Assumptions!$G$14)*Assumptions!$G$13^L10))</f>
        <v>0.4840187392</v>
      </c>
      <c r="M12" s="57" t="n">
        <f aca="false">IF(M8=0,0,IF(M10=0,Assumptions!$G$15,Assumptions!$G$14+(1-Assumptions!$G$14)*Assumptions!$G$13^M10))</f>
        <v>0.46321499136</v>
      </c>
      <c r="N12" s="57" t="n">
        <f aca="false">IF(N8=0,0,IF(N10=0,Assumptions!$G$15,Assumptions!$G$14+(1-Assumptions!$G$14)*Assumptions!$G$13^N10))</f>
        <v>0.446571993088</v>
      </c>
      <c r="O12" s="57" t="n">
        <f aca="false">IF(O8=0,0,IF(O10=0,Assumptions!$G$15,Assumptions!$G$14+(1-Assumptions!$G$14)*Assumptions!$G$13^O10))</f>
        <v>0.4332575944704</v>
      </c>
      <c r="P12" s="57" t="n">
        <f aca="false">IF(P8=0,0,IF(P10=0,Assumptions!$G$15,Assumptions!$G$14+(1-Assumptions!$G$14)*Assumptions!$G$13^P10))</f>
        <v>0.42260607557632</v>
      </c>
      <c r="Q12" s="57" t="n">
        <f aca="false">IF(Q8=0,0,IF(Q10=0,Assumptions!$G$15,Assumptions!$G$14+(1-Assumptions!$G$14)*Assumptions!$G$13^Q10))</f>
        <v>0.414084860461056</v>
      </c>
      <c r="R12" s="57" t="n">
        <f aca="false">IF(R8=0,0,IF(R10=0,Assumptions!$G$15,Assumptions!$G$14+(1-Assumptions!$G$14)*Assumptions!$G$13^R10))</f>
        <v>0.407267888368845</v>
      </c>
      <c r="S12" s="57" t="n">
        <f aca="false">IF(S8=0,0,IF(S10=0,Assumptions!$G$15,Assumptions!$G$14+(1-Assumptions!$G$14)*Assumptions!$G$13^S10))</f>
        <v>0.401814310695076</v>
      </c>
      <c r="T12" s="57" t="n">
        <f aca="false">IF(T8=0,0,IF(T10=0,Assumptions!$G$15,Assumptions!$G$14+(1-Assumptions!$G$14)*Assumptions!$G$13^T10))</f>
        <v>0.397451448556061</v>
      </c>
      <c r="U12" s="57" t="n">
        <f aca="false">IF(U8=0,0,IF(U10=0,Assumptions!$G$15,Assumptions!$G$14+(1-Assumptions!$G$14)*Assumptions!$G$13^U10))</f>
        <v>0.393961158844849</v>
      </c>
      <c r="V12" s="57" t="n">
        <f aca="false">IF(V8=0,0,IF(V10=0,Assumptions!$G$15,Assumptions!$G$14+(1-Assumptions!$G$14)*Assumptions!$G$13^V10))</f>
        <v>0.391168927075879</v>
      </c>
      <c r="W12" s="57" t="n">
        <f aca="false">IF(W8=0,0,IF(W10=0,Assumptions!$G$15,Assumptions!$G$14+(1-Assumptions!$G$14)*Assumptions!$G$13^W10))</f>
        <v>0.388935141660703</v>
      </c>
      <c r="X12" s="57" t="n">
        <f aca="false">IF(X8=0,0,IF(X10=0,Assumptions!$G$15,Assumptions!$G$14+(1-Assumptions!$G$14)*Assumptions!$G$13^X10))</f>
        <v>0.387148113328562</v>
      </c>
      <c r="Y12" s="57" t="n">
        <f aca="false">IF(Y8=0,0,IF(Y10=0,Assumptions!$G$15,Assumptions!$G$14+(1-Assumptions!$G$14)*Assumptions!$G$13^Y10))</f>
        <v>0.38571849066285</v>
      </c>
      <c r="Z12" s="57" t="n">
        <f aca="false">IF(Z8=0,0,IF(Z10=0,Assumptions!$G$15,Assumptions!$G$14+(1-Assumptions!$G$14)*Assumptions!$G$13^Z10))</f>
        <v>0.38457479253028</v>
      </c>
      <c r="AA12" s="57" t="n">
        <f aca="false">IF(AA8=0,0,IF(AA10=0,Assumptions!$G$15,Assumptions!$G$14+(1-Assumptions!$G$14)*Assumptions!$G$13^AA10))</f>
        <v>0.383659834024224</v>
      </c>
      <c r="AB12" s="57" t="n">
        <f aca="false">IF(AB8=0,0,IF(AB10=0,Assumptions!$G$15,Assumptions!$G$14+(1-Assumptions!$G$14)*Assumptions!$G$13^AB10))</f>
        <v>0.382927867219379</v>
      </c>
      <c r="AC12" s="57" t="n">
        <f aca="false">IF(AC8=0,0,IF(AC10=0,Assumptions!$G$15,Assumptions!$G$14+(1-Assumptions!$G$14)*Assumptions!$G$13^AC10))</f>
        <v>0.382342293775503</v>
      </c>
      <c r="AD12" s="57" t="n">
        <f aca="false">IF(AD8=0,0,IF(AD10=0,Assumptions!$G$15,Assumptions!$G$14+(1-Assumptions!$G$14)*Assumptions!$G$13^AD10))</f>
        <v>0.381873835020403</v>
      </c>
      <c r="AE12" s="57" t="n">
        <f aca="false">IF(AE8=0,0,IF(AE10=0,Assumptions!$G$15,Assumptions!$G$14+(1-Assumptions!$G$14)*Assumptions!$G$13^AE10))</f>
        <v>0.381499068016322</v>
      </c>
      <c r="AF12" s="57" t="n">
        <f aca="false">IF(AF8=0,0,IF(AF10=0,Assumptions!$G$15,Assumptions!$G$14+(1-Assumptions!$G$14)*Assumptions!$G$13^AF10))</f>
        <v>0.381199254413058</v>
      </c>
      <c r="AG12" s="57" t="n">
        <f aca="false">IF(AG8=0,0,IF(AG10=0,Assumptions!$G$15,Assumptions!$G$14+(1-Assumptions!$G$14)*Assumptions!$G$13^AG10))</f>
        <v>0.380959403530446</v>
      </c>
      <c r="AH12" s="57" t="n">
        <f aca="false">IF(AH8=0,0,IF(AH10=0,Assumptions!$G$15,Assumptions!$G$14+(1-Assumptions!$G$14)*Assumptions!$G$13^AH10))</f>
        <v>0.380767522824357</v>
      </c>
      <c r="AI12" s="57" t="n">
        <f aca="false">IF(AI8=0,0,IF(AI10=0,Assumptions!$G$15,Assumptions!$G$14+(1-Assumptions!$G$14)*Assumptions!$G$13^AI10))</f>
        <v>0.380614018259486</v>
      </c>
      <c r="AJ12" s="57" t="n">
        <f aca="false">IF(AJ8=0,0,IF(AJ10=0,Assumptions!$G$15,Assumptions!$G$14+(1-Assumptions!$G$14)*Assumptions!$G$13^AJ10))</f>
        <v>0.380491214607588</v>
      </c>
      <c r="AK12" s="57" t="n">
        <f aca="false">IF(AK8=0,0,IF(AK10=0,Assumptions!$G$15,Assumptions!$G$14+(1-Assumptions!$G$14)*Assumptions!$G$13^AK10))</f>
        <v>0.380392971686071</v>
      </c>
      <c r="AL12" s="57" t="n">
        <f aca="false">IF(AL8=0,0,IF(AL10=0,Assumptions!$G$15,Assumptions!$G$14+(1-Assumptions!$G$14)*Assumptions!$G$13^AL10))</f>
        <v>0.380314377348857</v>
      </c>
      <c r="AM12" s="57"/>
    </row>
    <row r="13" customFormat="false" ht="15" hidden="false" customHeight="false" outlineLevel="0" collapsed="false">
      <c r="A13" s="10" t="s">
        <v>733</v>
      </c>
      <c r="B13" s="9" t="s">
        <v>84</v>
      </c>
      <c r="C13" s="61" t="n">
        <f aca="false">C11*C12</f>
        <v>0</v>
      </c>
      <c r="D13" s="61" t="n">
        <f aca="false">D11*D12</f>
        <v>0</v>
      </c>
      <c r="E13" s="61" t="n">
        <f aca="false">E11*E12</f>
        <v>0</v>
      </c>
      <c r="F13" s="61" t="n">
        <f aca="false">F11*F12</f>
        <v>0</v>
      </c>
      <c r="G13" s="61" t="n">
        <f aca="false">G11*G12</f>
        <v>0</v>
      </c>
      <c r="H13" s="61" t="n">
        <f aca="false">H11*H12</f>
        <v>0</v>
      </c>
      <c r="I13" s="61" t="n">
        <f aca="false">I11*I12</f>
        <v>0</v>
      </c>
      <c r="J13" s="61" t="n">
        <f aca="false">J11*J12</f>
        <v>0</v>
      </c>
      <c r="K13" s="61" t="n">
        <f aca="false">K11*K12</f>
        <v>0</v>
      </c>
      <c r="L13" s="61" t="n">
        <f aca="false">L11*L12</f>
        <v>0</v>
      </c>
      <c r="M13" s="61" t="n">
        <f aca="false">M11*M12</f>
        <v>0</v>
      </c>
      <c r="N13" s="61" t="n">
        <f aca="false">N11*N12</f>
        <v>0</v>
      </c>
      <c r="O13" s="61" t="n">
        <f aca="false">O11*O12</f>
        <v>0</v>
      </c>
      <c r="P13" s="61" t="n">
        <f aca="false">P11*P12</f>
        <v>0</v>
      </c>
      <c r="Q13" s="61" t="n">
        <f aca="false">Q11*Q12</f>
        <v>0</v>
      </c>
      <c r="R13" s="61" t="n">
        <f aca="false">R11*R12</f>
        <v>0</v>
      </c>
      <c r="S13" s="61" t="n">
        <f aca="false">S11*S12</f>
        <v>0</v>
      </c>
      <c r="T13" s="61" t="n">
        <f aca="false">T11*T12</f>
        <v>0</v>
      </c>
      <c r="U13" s="61" t="n">
        <f aca="false">U11*U12</f>
        <v>0</v>
      </c>
      <c r="V13" s="61" t="n">
        <f aca="false">V11*V12</f>
        <v>0</v>
      </c>
      <c r="W13" s="61" t="n">
        <f aca="false">W11*W12</f>
        <v>0</v>
      </c>
      <c r="X13" s="61" t="n">
        <f aca="false">X11*X12</f>
        <v>0</v>
      </c>
      <c r="Y13" s="61" t="n">
        <f aca="false">Y11*Y12</f>
        <v>0</v>
      </c>
      <c r="Z13" s="61" t="n">
        <f aca="false">Z11*Z12</f>
        <v>0</v>
      </c>
      <c r="AA13" s="61" t="n">
        <f aca="false">AA11*AA12</f>
        <v>0</v>
      </c>
      <c r="AB13" s="61" t="n">
        <f aca="false">AB11*AB12</f>
        <v>0</v>
      </c>
      <c r="AC13" s="61" t="n">
        <f aca="false">AC11*AC12</f>
        <v>0</v>
      </c>
      <c r="AD13" s="61" t="n">
        <f aca="false">AD11*AD12</f>
        <v>0</v>
      </c>
      <c r="AE13" s="61" t="n">
        <f aca="false">AE11*AE12</f>
        <v>0</v>
      </c>
      <c r="AF13" s="61" t="n">
        <f aca="false">AF11*AF12</f>
        <v>0</v>
      </c>
      <c r="AG13" s="61" t="n">
        <f aca="false">AG11*AG12</f>
        <v>0</v>
      </c>
      <c r="AH13" s="61" t="n">
        <f aca="false">AH11*AH12</f>
        <v>0</v>
      </c>
      <c r="AI13" s="61" t="n">
        <f aca="false">AI11*AI12</f>
        <v>0</v>
      </c>
      <c r="AJ13" s="61" t="n">
        <f aca="false">AJ11*AJ12</f>
        <v>0</v>
      </c>
      <c r="AK13" s="61" t="n">
        <f aca="false">AK11*AK12</f>
        <v>0</v>
      </c>
      <c r="AL13" s="61" t="n">
        <f aca="false">AL11*AL12</f>
        <v>0</v>
      </c>
      <c r="AM13" s="61" t="n">
        <f aca="false">SUM(C13:AL13)</f>
        <v>0</v>
      </c>
    </row>
    <row r="14" customFormat="false" ht="15" hidden="false" customHeight="false" outlineLevel="0" collapsed="false">
      <c r="A14" s="10" t="s">
        <v>734</v>
      </c>
      <c r="B14" s="9" t="s">
        <v>735</v>
      </c>
      <c r="C14" s="61" t="n">
        <f aca="false">Assumptions!$G$9*Assumptions!$G$10*Assumptions!$G$11*C12</f>
        <v>0</v>
      </c>
      <c r="D14" s="61" t="n">
        <f aca="false">Assumptions!$G$9*Assumptions!$G$10*Assumptions!$G$11*D12</f>
        <v>0</v>
      </c>
      <c r="E14" s="61" t="n">
        <f aca="false">Assumptions!$G$9*Assumptions!$G$10*Assumptions!$G$11*E12</f>
        <v>0</v>
      </c>
      <c r="F14" s="61" t="n">
        <f aca="false">Assumptions!$G$9*Assumptions!$G$10*Assumptions!$G$11*F12</f>
        <v>0</v>
      </c>
      <c r="G14" s="61" t="n">
        <f aca="false">Assumptions!$G$9*Assumptions!$G$10*Assumptions!$G$11*G12</f>
        <v>0</v>
      </c>
      <c r="H14" s="61" t="n">
        <f aca="false">Assumptions!$G$9*Assumptions!$G$10*Assumptions!$G$11*H12</f>
        <v>0</v>
      </c>
      <c r="I14" s="61" t="n">
        <f aca="false">Assumptions!$G$9*Assumptions!$G$10*Assumptions!$G$11*I12</f>
        <v>0</v>
      </c>
      <c r="J14" s="61" t="n">
        <f aca="false">Assumptions!$G$9*Assumptions!$G$10*Assumptions!$G$11*J12</f>
        <v>0</v>
      </c>
      <c r="K14" s="61" t="n">
        <f aca="false">Assumptions!$G$9*Assumptions!$G$10*Assumptions!$G$11*K12</f>
        <v>0</v>
      </c>
      <c r="L14" s="61" t="n">
        <f aca="false">Assumptions!$G$9*Assumptions!$G$10*Assumptions!$G$11*L12</f>
        <v>0</v>
      </c>
      <c r="M14" s="61" t="n">
        <f aca="false">Assumptions!$G$9*Assumptions!$G$10*Assumptions!$G$11*M12</f>
        <v>0</v>
      </c>
      <c r="N14" s="61" t="n">
        <f aca="false">Assumptions!$G$9*Assumptions!$G$10*Assumptions!$G$11*N12</f>
        <v>0</v>
      </c>
      <c r="O14" s="61" t="n">
        <f aca="false">Assumptions!$G$9*Assumptions!$G$10*Assumptions!$G$11*O12</f>
        <v>0</v>
      </c>
      <c r="P14" s="61" t="n">
        <f aca="false">Assumptions!$G$9*Assumptions!$G$10*Assumptions!$G$11*P12</f>
        <v>0</v>
      </c>
      <c r="Q14" s="61" t="n">
        <f aca="false">Assumptions!$G$9*Assumptions!$G$10*Assumptions!$G$11*Q12</f>
        <v>0</v>
      </c>
      <c r="R14" s="61" t="n">
        <f aca="false">Assumptions!$G$9*Assumptions!$G$10*Assumptions!$G$11*R12</f>
        <v>0</v>
      </c>
      <c r="S14" s="61" t="n">
        <f aca="false">Assumptions!$G$9*Assumptions!$G$10*Assumptions!$G$11*S12</f>
        <v>0</v>
      </c>
      <c r="T14" s="61" t="n">
        <f aca="false">Assumptions!$G$9*Assumptions!$G$10*Assumptions!$G$11*T12</f>
        <v>0</v>
      </c>
      <c r="U14" s="61" t="n">
        <f aca="false">Assumptions!$G$9*Assumptions!$G$10*Assumptions!$G$11*U12</f>
        <v>0</v>
      </c>
      <c r="V14" s="61" t="n">
        <f aca="false">Assumptions!$G$9*Assumptions!$G$10*Assumptions!$G$11*V12</f>
        <v>0</v>
      </c>
      <c r="W14" s="61" t="n">
        <f aca="false">Assumptions!$G$9*Assumptions!$G$10*Assumptions!$G$11*W12</f>
        <v>0</v>
      </c>
      <c r="X14" s="61" t="n">
        <f aca="false">Assumptions!$G$9*Assumptions!$G$10*Assumptions!$G$11*X12</f>
        <v>0</v>
      </c>
      <c r="Y14" s="61" t="n">
        <f aca="false">Assumptions!$G$9*Assumptions!$G$10*Assumptions!$G$11*Y12</f>
        <v>0</v>
      </c>
      <c r="Z14" s="61" t="n">
        <f aca="false">Assumptions!$G$9*Assumptions!$G$10*Assumptions!$G$11*Z12</f>
        <v>0</v>
      </c>
      <c r="AA14" s="61" t="n">
        <f aca="false">Assumptions!$G$9*Assumptions!$G$10*Assumptions!$G$11*AA12</f>
        <v>0</v>
      </c>
      <c r="AB14" s="61" t="n">
        <f aca="false">Assumptions!$G$9*Assumptions!$G$10*Assumptions!$G$11*AB12</f>
        <v>0</v>
      </c>
      <c r="AC14" s="61" t="n">
        <f aca="false">Assumptions!$G$9*Assumptions!$G$10*Assumptions!$G$11*AC12</f>
        <v>0</v>
      </c>
      <c r="AD14" s="61" t="n">
        <f aca="false">Assumptions!$G$9*Assumptions!$G$10*Assumptions!$G$11*AD12</f>
        <v>0</v>
      </c>
      <c r="AE14" s="61" t="n">
        <f aca="false">Assumptions!$G$9*Assumptions!$G$10*Assumptions!$G$11*AE12</f>
        <v>0</v>
      </c>
      <c r="AF14" s="61" t="n">
        <f aca="false">Assumptions!$G$9*Assumptions!$G$10*Assumptions!$G$11*AF12</f>
        <v>0</v>
      </c>
      <c r="AG14" s="61" t="n">
        <f aca="false">Assumptions!$G$9*Assumptions!$G$10*Assumptions!$G$11*AG12</f>
        <v>0</v>
      </c>
      <c r="AH14" s="61" t="n">
        <f aca="false">Assumptions!$G$9*Assumptions!$G$10*Assumptions!$G$11*AH12</f>
        <v>0</v>
      </c>
      <c r="AI14" s="61" t="n">
        <f aca="false">Assumptions!$G$9*Assumptions!$G$10*Assumptions!$G$11*AI12</f>
        <v>0</v>
      </c>
      <c r="AJ14" s="61" t="n">
        <f aca="false">Assumptions!$G$9*Assumptions!$G$10*Assumptions!$G$11*AJ12</f>
        <v>0</v>
      </c>
      <c r="AK14" s="61" t="n">
        <f aca="false">Assumptions!$G$9*Assumptions!$G$10*Assumptions!$G$11*AK12</f>
        <v>0</v>
      </c>
      <c r="AL14" s="61" t="n">
        <f aca="false">Assumptions!$G$9*Assumptions!$G$10*Assumptions!$G$11*AL12</f>
        <v>0</v>
      </c>
      <c r="AM14" s="61" t="n">
        <f aca="false">SUM(C14:AL14)</f>
        <v>0</v>
      </c>
    </row>
    <row r="15" customFormat="false" ht="15" hidden="false" customHeight="false" outlineLevel="0" collapsed="false">
      <c r="A15" s="10" t="s">
        <v>736</v>
      </c>
      <c r="B15" s="9" t="s">
        <v>84</v>
      </c>
      <c r="C15" s="61" t="n">
        <f aca="false">MIN(Assumptions!$G$19,Assumptions!$G$17*(1+Assumptions!$G$18)^(C$5-1))</f>
        <v>2200</v>
      </c>
      <c r="D15" s="61" t="n">
        <f aca="false">MIN(Assumptions!$G$19,Assumptions!$G$17*(1+Assumptions!$G$18)^(D$5-1))</f>
        <v>2398</v>
      </c>
      <c r="E15" s="61" t="n">
        <f aca="false">MIN(Assumptions!$G$19,Assumptions!$G$17*(1+Assumptions!$G$18)^(E$5-1))</f>
        <v>2613.82</v>
      </c>
      <c r="F15" s="61" t="n">
        <f aca="false">MIN(Assumptions!$G$19,Assumptions!$G$17*(1+Assumptions!$G$18)^(F$5-1))</f>
        <v>2849.0638</v>
      </c>
      <c r="G15" s="61" t="n">
        <f aca="false">MIN(Assumptions!$G$19,Assumptions!$G$17*(1+Assumptions!$G$18)^(G$5-1))</f>
        <v>3105.479542</v>
      </c>
      <c r="H15" s="61" t="n">
        <f aca="false">MIN(Assumptions!$G$19,Assumptions!$G$17*(1+Assumptions!$G$18)^(H$5-1))</f>
        <v>3384.97270078</v>
      </c>
      <c r="I15" s="61" t="n">
        <f aca="false">MIN(Assumptions!$G$19,Assumptions!$G$17*(1+Assumptions!$G$18)^(I$5-1))</f>
        <v>3689.6202438502</v>
      </c>
      <c r="J15" s="61" t="n">
        <f aca="false">MIN(Assumptions!$G$19,Assumptions!$G$17*(1+Assumptions!$G$18)^(J$5-1))</f>
        <v>4021.68606579672</v>
      </c>
      <c r="K15" s="61" t="n">
        <f aca="false">MIN(Assumptions!$G$19,Assumptions!$G$17*(1+Assumptions!$G$18)^(K$5-1))</f>
        <v>4383.63781171843</v>
      </c>
      <c r="L15" s="61" t="n">
        <f aca="false">MIN(Assumptions!$G$19,Assumptions!$G$17*(1+Assumptions!$G$18)^(L$5-1))</f>
        <v>4778.16521477308</v>
      </c>
      <c r="M15" s="61" t="n">
        <f aca="false">MIN(Assumptions!$G$19,Assumptions!$G$17*(1+Assumptions!$G$18)^(M$5-1))</f>
        <v>5208.20008410266</v>
      </c>
      <c r="N15" s="61" t="n">
        <f aca="false">MIN(Assumptions!$G$19,Assumptions!$G$17*(1+Assumptions!$G$18)^(N$5-1))</f>
        <v>5676.9380916719</v>
      </c>
      <c r="O15" s="61" t="n">
        <f aca="false">MIN(Assumptions!$G$19,Assumptions!$G$17*(1+Assumptions!$G$18)^(O$5-1))</f>
        <v>6187.86251992237</v>
      </c>
      <c r="P15" s="61" t="n">
        <f aca="false">MIN(Assumptions!$G$19,Assumptions!$G$17*(1+Assumptions!$G$18)^(P$5-1))</f>
        <v>6744.77014671539</v>
      </c>
      <c r="Q15" s="61" t="n">
        <f aca="false">MIN(Assumptions!$G$19,Assumptions!$G$17*(1+Assumptions!$G$18)^(Q$5-1))</f>
        <v>7351.79945991977</v>
      </c>
      <c r="R15" s="61" t="n">
        <f aca="false">MIN(Assumptions!$G$19,Assumptions!$G$17*(1+Assumptions!$G$18)^(R$5-1))</f>
        <v>8013.46141131255</v>
      </c>
      <c r="S15" s="61" t="n">
        <f aca="false">MIN(Assumptions!$G$19,Assumptions!$G$17*(1+Assumptions!$G$18)^(S$5-1))</f>
        <v>8734.67293833068</v>
      </c>
      <c r="T15" s="61" t="n">
        <f aca="false">MIN(Assumptions!$G$19,Assumptions!$G$17*(1+Assumptions!$G$18)^(T$5-1))</f>
        <v>9520.79350278045</v>
      </c>
      <c r="U15" s="61" t="n">
        <f aca="false">MIN(Assumptions!$G$19,Assumptions!$G$17*(1+Assumptions!$G$18)^(U$5-1))</f>
        <v>10377.6649180307</v>
      </c>
      <c r="V15" s="61" t="n">
        <f aca="false">MIN(Assumptions!$G$19,Assumptions!$G$17*(1+Assumptions!$G$18)^(V$5-1))</f>
        <v>11311.6547606535</v>
      </c>
      <c r="W15" s="61" t="n">
        <f aca="false">MIN(Assumptions!$G$19,Assumptions!$G$17*(1+Assumptions!$G$18)^(W$5-1))</f>
        <v>12329.7036891123</v>
      </c>
      <c r="X15" s="61" t="n">
        <f aca="false">MIN(Assumptions!$G$19,Assumptions!$G$17*(1+Assumptions!$G$18)^(X$5-1))</f>
        <v>13439.3770211324</v>
      </c>
      <c r="Y15" s="61" t="n">
        <f aca="false">MIN(Assumptions!$G$19,Assumptions!$G$17*(1+Assumptions!$G$18)^(Y$5-1))</f>
        <v>14648.9209530343</v>
      </c>
      <c r="Z15" s="61" t="n">
        <f aca="false">MIN(Assumptions!$G$19,Assumptions!$G$17*(1+Assumptions!$G$18)^(Z$5-1))</f>
        <v>15967.3238388074</v>
      </c>
      <c r="AA15" s="61" t="n">
        <f aca="false">MIN(Assumptions!$G$19,Assumptions!$G$17*(1+Assumptions!$G$18)^(AA$5-1))</f>
        <v>17404.3829843</v>
      </c>
      <c r="AB15" s="61" t="n">
        <f aca="false">MIN(Assumptions!$G$19,Assumptions!$G$17*(1+Assumptions!$G$18)^(AB$5-1))</f>
        <v>18970.777452887</v>
      </c>
      <c r="AC15" s="61" t="n">
        <f aca="false">MIN(Assumptions!$G$19,Assumptions!$G$17*(1+Assumptions!$G$18)^(AC$5-1))</f>
        <v>20678.1474236469</v>
      </c>
      <c r="AD15" s="61" t="n">
        <f aca="false">MIN(Assumptions!$G$19,Assumptions!$G$17*(1+Assumptions!$G$18)^(AD$5-1))</f>
        <v>22539.1806917751</v>
      </c>
      <c r="AE15" s="61" t="n">
        <f aca="false">MIN(Assumptions!$G$19,Assumptions!$G$17*(1+Assumptions!$G$18)^(AE$5-1))</f>
        <v>24567.7069540349</v>
      </c>
      <c r="AF15" s="61" t="n">
        <f aca="false">MIN(Assumptions!$G$19,Assumptions!$G$17*(1+Assumptions!$G$18)^(AF$5-1))</f>
        <v>26778.800579898</v>
      </c>
      <c r="AG15" s="61" t="n">
        <f aca="false">MIN(Assumptions!$G$19,Assumptions!$G$17*(1+Assumptions!$G$18)^(AG$5-1))</f>
        <v>29188.8926320888</v>
      </c>
      <c r="AH15" s="61" t="n">
        <f aca="false">MIN(Assumptions!$G$19,Assumptions!$G$17*(1+Assumptions!$G$18)^(AH$5-1))</f>
        <v>31815.8929689768</v>
      </c>
      <c r="AI15" s="61" t="n">
        <f aca="false">MIN(Assumptions!$G$19,Assumptions!$G$17*(1+Assumptions!$G$18)^(AI$5-1))</f>
        <v>34679.3233361847</v>
      </c>
      <c r="AJ15" s="61" t="n">
        <f aca="false">MIN(Assumptions!$G$19,Assumptions!$G$17*(1+Assumptions!$G$18)^(AJ$5-1))</f>
        <v>37800.4624364413</v>
      </c>
      <c r="AK15" s="61" t="n">
        <f aca="false">MIN(Assumptions!$G$19,Assumptions!$G$17*(1+Assumptions!$G$18)^(AK$5-1))</f>
        <v>41202.5040557211</v>
      </c>
      <c r="AL15" s="61" t="n">
        <f aca="false">MIN(Assumptions!$G$19,Assumptions!$G$17*(1+Assumptions!$G$18)^(AL$5-1))</f>
        <v>44910.729420736</v>
      </c>
      <c r="AM15" s="61" t="n">
        <f aca="false">SUM(C15:AL15)</f>
        <v>519474.389651135</v>
      </c>
    </row>
    <row r="16" customFormat="false" ht="15" hidden="false" customHeight="false" outlineLevel="0" collapsed="false">
      <c r="A16" s="37" t="s">
        <v>737</v>
      </c>
      <c r="B16" s="9" t="s">
        <v>97</v>
      </c>
      <c r="C16" s="53" t="n">
        <f aca="false">Assumptions!$G$20</f>
        <v>8000</v>
      </c>
      <c r="D16" s="53" t="n">
        <f aca="false">IF(D8=0,Assumptions!$G$20,MIN(Assumptions!$G$24,MAX(Assumptions!$G$21,C72*Assumptions!$G$22)))</f>
        <v>30000</v>
      </c>
      <c r="E16" s="53" t="n">
        <f aca="false">IF(E8=0,Assumptions!$G$20,MIN(Assumptions!$G$24,MAX(Assumptions!$G$21,D72*Assumptions!$G$22)))</f>
        <v>30000</v>
      </c>
      <c r="F16" s="53" t="n">
        <f aca="false">IF(F8=0,Assumptions!$G$20,MIN(Assumptions!$G$24,MAX(Assumptions!$G$21,E72*Assumptions!$G$22)))</f>
        <v>30000</v>
      </c>
      <c r="G16" s="53" t="n">
        <f aca="false">IF(G8=0,Assumptions!$G$20,MIN(Assumptions!$G$24,MAX(Assumptions!$G$21,F72*Assumptions!$G$22)))</f>
        <v>30000</v>
      </c>
      <c r="H16" s="53" t="n">
        <f aca="false">IF(H8=0,Assumptions!$G$20,MIN(Assumptions!$G$24,MAX(Assumptions!$G$21,G72*Assumptions!$G$22)))</f>
        <v>30000</v>
      </c>
      <c r="I16" s="53" t="n">
        <f aca="false">IF(I8=0,Assumptions!$G$20,MIN(Assumptions!$G$24,MAX(Assumptions!$G$21,H72*Assumptions!$G$22)))</f>
        <v>30000</v>
      </c>
      <c r="J16" s="53" t="n">
        <f aca="false">IF(J8=0,Assumptions!$G$20,MIN(Assumptions!$G$24,MAX(Assumptions!$G$21,I72*Assumptions!$G$22)))</f>
        <v>30000</v>
      </c>
      <c r="K16" s="53" t="n">
        <f aca="false">IF(K8=0,Assumptions!$G$20,MIN(Assumptions!$G$24,MAX(Assumptions!$G$21,J72*Assumptions!$G$22)))</f>
        <v>30000</v>
      </c>
      <c r="L16" s="53" t="n">
        <f aca="false">IF(L8=0,Assumptions!$G$20,MIN(Assumptions!$G$24,MAX(Assumptions!$G$21,K72*Assumptions!$G$22)))</f>
        <v>30000</v>
      </c>
      <c r="M16" s="53" t="n">
        <f aca="false">IF(M8=0,Assumptions!$G$20,MIN(Assumptions!$G$24,MAX(Assumptions!$G$21,L72*Assumptions!$G$22)))</f>
        <v>30000</v>
      </c>
      <c r="N16" s="53" t="n">
        <f aca="false">IF(N8=0,Assumptions!$G$20,MIN(Assumptions!$G$24,MAX(Assumptions!$G$21,M72*Assumptions!$G$22)))</f>
        <v>30000</v>
      </c>
      <c r="O16" s="53" t="n">
        <f aca="false">IF(O8=0,Assumptions!$G$20,MIN(Assumptions!$G$24,MAX(Assumptions!$G$21,N72*Assumptions!$G$22)))</f>
        <v>30000</v>
      </c>
      <c r="P16" s="53" t="n">
        <f aca="false">IF(P8=0,Assumptions!$G$20,MIN(Assumptions!$G$24,MAX(Assumptions!$G$21,O72*Assumptions!$G$22)))</f>
        <v>30000</v>
      </c>
      <c r="Q16" s="53" t="n">
        <f aca="false">IF(Q8=0,Assumptions!$G$20,MIN(Assumptions!$G$24,MAX(Assumptions!$G$21,P72*Assumptions!$G$22)))</f>
        <v>30000</v>
      </c>
      <c r="R16" s="53" t="n">
        <f aca="false">IF(R8=0,Assumptions!$G$20,MIN(Assumptions!$G$24,MAX(Assumptions!$G$21,Q72*Assumptions!$G$22)))</f>
        <v>30000</v>
      </c>
      <c r="S16" s="53" t="n">
        <f aca="false">IF(S8=0,Assumptions!$G$20,MIN(Assumptions!$G$24,MAX(Assumptions!$G$21,R72*Assumptions!$G$22)))</f>
        <v>30000</v>
      </c>
      <c r="T16" s="53" t="n">
        <f aca="false">IF(T8=0,Assumptions!$G$20,MIN(Assumptions!$G$24,MAX(Assumptions!$G$21,S72*Assumptions!$G$22)))</f>
        <v>30000</v>
      </c>
      <c r="U16" s="53" t="n">
        <f aca="false">IF(U8=0,Assumptions!$G$20,MIN(Assumptions!$G$24,MAX(Assumptions!$G$21,T72*Assumptions!$G$22)))</f>
        <v>31328.6351269562</v>
      </c>
      <c r="V16" s="53" t="n">
        <f aca="false">IF(V8=0,Assumptions!$G$20,MIN(Assumptions!$G$24,MAX(Assumptions!$G$21,U72*Assumptions!$G$22)))</f>
        <v>33379.7587964508</v>
      </c>
      <c r="W16" s="53" t="n">
        <f aca="false">IF(W8=0,Assumptions!$G$20,MIN(Assumptions!$G$24,MAX(Assumptions!$G$21,V72*Assumptions!$G$22)))</f>
        <v>35668.9846541144</v>
      </c>
      <c r="X16" s="53" t="n">
        <f aca="false">IF(X8=0,Assumptions!$G$20,MIN(Assumptions!$G$24,MAX(Assumptions!$G$21,W72*Assumptions!$G$22)))</f>
        <v>38182.8209132527</v>
      </c>
      <c r="Y16" s="53" t="n">
        <f aca="false">IF(Y8=0,Assumptions!$G$20,MIN(Assumptions!$G$24,MAX(Assumptions!$G$21,X72*Assumptions!$G$22)))</f>
        <v>40935.7005421088</v>
      </c>
      <c r="Z16" s="53" t="n">
        <f aca="false">IF(Z8=0,Assumptions!$G$20,MIN(Assumptions!$G$24,MAX(Assumptions!$G$21,Y72*Assumptions!$G$22)))</f>
        <v>43948.8198142219</v>
      </c>
      <c r="AA16" s="53" t="n">
        <f aca="false">IF(AA8=0,Assumptions!$G$20,MIN(Assumptions!$G$24,MAX(Assumptions!$G$21,Z72*Assumptions!$G$22)))</f>
        <v>47245.9626422005</v>
      </c>
      <c r="AB16" s="53" t="n">
        <f aca="false">IF(AB8=0,Assumptions!$G$20,MIN(Assumptions!$G$24,MAX(Assumptions!$G$21,AA72*Assumptions!$G$22)))</f>
        <v>50853.198240775</v>
      </c>
      <c r="AC16" s="53" t="n">
        <f aca="false">IF(AC8=0,Assumptions!$G$20,MIN(Assumptions!$G$24,MAX(Assumptions!$G$21,AB72*Assumptions!$G$22)))</f>
        <v>54726.9498085041</v>
      </c>
      <c r="AD16" s="53" t="n">
        <f aca="false">IF(AD8=0,Assumptions!$G$20,MIN(Assumptions!$G$24,MAX(Assumptions!$G$21,AC72*Assumptions!$G$22)))</f>
        <v>58862.5791637876</v>
      </c>
      <c r="AE16" s="53" t="n">
        <f aca="false">IF(AE8=0,Assumptions!$G$20,MIN(Assumptions!$G$24,MAX(Assumptions!$G$21,AD72*Assumptions!$G$22)))</f>
        <v>63300.7914452138</v>
      </c>
      <c r="AF16" s="53" t="n">
        <f aca="false">IF(AF8=0,Assumptions!$G$20,MIN(Assumptions!$G$24,MAX(Assumptions!$G$21,AE72*Assumptions!$G$22)))</f>
        <v>68069.2514659728</v>
      </c>
      <c r="AG16" s="53" t="n">
        <f aca="false">IF(AG8=0,Assumptions!$G$20,MIN(Assumptions!$G$24,MAX(Assumptions!$G$21,AF72*Assumptions!$G$22)))</f>
        <v>73197.374670564</v>
      </c>
      <c r="AH16" s="53" t="n">
        <f aca="false">IF(AH8=0,Assumptions!$G$20,MIN(Assumptions!$G$24,MAX(Assumptions!$G$21,AG72*Assumptions!$G$22)))</f>
        <v>78716.830107155</v>
      </c>
      <c r="AI16" s="53" t="n">
        <f aca="false">IF(AI8=0,Assumptions!$G$20,MIN(Assumptions!$G$24,MAX(Assumptions!$G$21,AH72*Assumptions!$G$22)))</f>
        <v>84661.8577815704</v>
      </c>
      <c r="AJ16" s="53" t="n">
        <f aca="false">IF(AJ8=0,Assumptions!$G$20,MIN(Assumptions!$G$24,MAX(Assumptions!$G$21,AI72*Assumptions!$G$22)))</f>
        <v>91069.5124435563</v>
      </c>
      <c r="AK16" s="53" t="n">
        <f aca="false">IF(AK8=0,Assumptions!$G$20,MIN(Assumptions!$G$24,MAX(Assumptions!$G$21,AJ72*Assumptions!$G$22)))</f>
        <v>97979.9184399668</v>
      </c>
      <c r="AL16" s="53" t="n">
        <f aca="false">IF(AL8=0,Assumptions!$G$20,MIN(Assumptions!$G$24,MAX(Assumptions!$G$21,AK72*Assumptions!$G$22)))</f>
        <v>105436.544613764</v>
      </c>
      <c r="AM16" s="53" t="n">
        <f aca="false">SUM(C16:AL16)</f>
        <v>1615565.49067013</v>
      </c>
    </row>
    <row r="17" customFormat="false" ht="15" hidden="false" customHeight="false" outlineLevel="0" collapsed="false">
      <c r="A17" s="10" t="s">
        <v>738</v>
      </c>
      <c r="B17" s="9" t="s">
        <v>84</v>
      </c>
      <c r="C17" s="61" t="n">
        <f aca="false">(C14*Assumptions!$G$27+C15*Assumptions!$G$28)*Assumptions!$G$29*C8</f>
        <v>0</v>
      </c>
      <c r="D17" s="61" t="n">
        <f aca="false">(D14*Assumptions!$G$27+D15*Assumptions!$G$28)*Assumptions!$G$29*D8</f>
        <v>124.696</v>
      </c>
      <c r="E17" s="61" t="n">
        <f aca="false">(E14*Assumptions!$G$27+E15*Assumptions!$G$28)*Assumptions!$G$29*E8</f>
        <v>135.91864</v>
      </c>
      <c r="F17" s="61" t="n">
        <f aca="false">(F14*Assumptions!$G$27+F15*Assumptions!$G$28)*Assumptions!$G$29*F8</f>
        <v>148.1513176</v>
      </c>
      <c r="G17" s="61" t="n">
        <f aca="false">(G14*Assumptions!$G$27+G15*Assumptions!$G$28)*Assumptions!$G$29*G8</f>
        <v>161.484936184</v>
      </c>
      <c r="H17" s="61" t="n">
        <f aca="false">(H14*Assumptions!$G$27+H15*Assumptions!$G$28)*Assumptions!$G$29*H8</f>
        <v>176.01858044056</v>
      </c>
      <c r="I17" s="61" t="n">
        <f aca="false">(I14*Assumptions!$G$27+I15*Assumptions!$G$28)*Assumptions!$G$29*I8</f>
        <v>191.860252680211</v>
      </c>
      <c r="J17" s="61" t="n">
        <f aca="false">(J14*Assumptions!$G$27+J15*Assumptions!$G$28)*Assumptions!$G$29*J8</f>
        <v>209.127675421429</v>
      </c>
      <c r="K17" s="61" t="n">
        <f aca="false">(K14*Assumptions!$G$27+K15*Assumptions!$G$28)*Assumptions!$G$29*K8</f>
        <v>227.949166209358</v>
      </c>
      <c r="L17" s="61" t="n">
        <f aca="false">(L14*Assumptions!$G$27+L15*Assumptions!$G$28)*Assumptions!$G$29*L8</f>
        <v>248.4645911682</v>
      </c>
      <c r="M17" s="61" t="n">
        <f aca="false">(M14*Assumptions!$G$27+M15*Assumptions!$G$28)*Assumptions!$G$29*M8</f>
        <v>270.826404373338</v>
      </c>
      <c r="N17" s="61" t="n">
        <f aca="false">(N14*Assumptions!$G$27+N15*Assumptions!$G$28)*Assumptions!$G$29*N8</f>
        <v>295.200780766939</v>
      </c>
      <c r="O17" s="61" t="n">
        <f aca="false">(O14*Assumptions!$G$27+O15*Assumptions!$G$28)*Assumptions!$G$29*O8</f>
        <v>321.768851035963</v>
      </c>
      <c r="P17" s="61" t="n">
        <f aca="false">(P14*Assumptions!$G$27+P15*Assumptions!$G$28)*Assumptions!$G$29*P8</f>
        <v>350.7280476292</v>
      </c>
      <c r="Q17" s="61" t="n">
        <f aca="false">(Q14*Assumptions!$G$27+Q15*Assumptions!$G$28)*Assumptions!$G$29*Q8</f>
        <v>382.293571915828</v>
      </c>
      <c r="R17" s="61" t="n">
        <f aca="false">(R14*Assumptions!$G$27+R15*Assumptions!$G$28)*Assumptions!$G$29*R8</f>
        <v>416.699993388253</v>
      </c>
      <c r="S17" s="61" t="n">
        <f aca="false">(S14*Assumptions!$G$27+S15*Assumptions!$G$28)*Assumptions!$G$29*S8</f>
        <v>454.202992793196</v>
      </c>
      <c r="T17" s="61" t="n">
        <f aca="false">(T14*Assumptions!$G$27+T15*Assumptions!$G$28)*Assumptions!$G$29*T8</f>
        <v>495.081262144583</v>
      </c>
      <c r="U17" s="61" t="n">
        <f aca="false">(U14*Assumptions!$G$27+U15*Assumptions!$G$28)*Assumptions!$G$29*U8</f>
        <v>539.638575737596</v>
      </c>
      <c r="V17" s="61" t="n">
        <f aca="false">(V14*Assumptions!$G$27+V15*Assumptions!$G$28)*Assumptions!$G$29*V8</f>
        <v>588.206047553979</v>
      </c>
      <c r="W17" s="61" t="n">
        <f aca="false">(W14*Assumptions!$G$27+W15*Assumptions!$G$28)*Assumptions!$G$29*W8</f>
        <v>641.144591833838</v>
      </c>
      <c r="X17" s="61" t="n">
        <f aca="false">(X14*Assumptions!$G$27+X15*Assumptions!$G$28)*Assumptions!$G$29*X8</f>
        <v>698.847605098883</v>
      </c>
      <c r="Y17" s="61" t="n">
        <f aca="false">(Y14*Assumptions!$G$27+Y15*Assumptions!$G$28)*Assumptions!$G$29*Y8</f>
        <v>761.743889557783</v>
      </c>
      <c r="Z17" s="61" t="n">
        <f aca="false">(Z14*Assumptions!$G$27+Z15*Assumptions!$G$28)*Assumptions!$G$29*Z8</f>
        <v>830.300839617983</v>
      </c>
      <c r="AA17" s="61" t="n">
        <f aca="false">(AA14*Assumptions!$G$27+AA15*Assumptions!$G$28)*Assumptions!$G$29*AA8</f>
        <v>905.027915183602</v>
      </c>
      <c r="AB17" s="61" t="n">
        <f aca="false">(AB14*Assumptions!$G$27+AB15*Assumptions!$G$28)*Assumptions!$G$29*AB8</f>
        <v>986.480427550126</v>
      </c>
      <c r="AC17" s="61" t="n">
        <f aca="false">(AC14*Assumptions!$G$27+AC15*Assumptions!$G$28)*Assumptions!$G$29*AC8</f>
        <v>1075.26366602964</v>
      </c>
      <c r="AD17" s="61" t="n">
        <f aca="false">(AD14*Assumptions!$G$27+AD15*Assumptions!$G$28)*Assumptions!$G$29*AD8</f>
        <v>1172.0373959723</v>
      </c>
      <c r="AE17" s="61" t="n">
        <f aca="false">(AE14*Assumptions!$G$27+AE15*Assumptions!$G$28)*Assumptions!$G$29*AE8</f>
        <v>1277.52076160981</v>
      </c>
      <c r="AF17" s="61" t="n">
        <f aca="false">(AF14*Assumptions!$G$27+AF15*Assumptions!$G$28)*Assumptions!$G$29*AF8</f>
        <v>1392.4976301547</v>
      </c>
      <c r="AG17" s="61" t="n">
        <f aca="false">(AG14*Assumptions!$G$27+AG15*Assumptions!$G$28)*Assumptions!$G$29*AG8</f>
        <v>1517.82241686862</v>
      </c>
      <c r="AH17" s="61" t="n">
        <f aca="false">(AH14*Assumptions!$G$27+AH15*Assumptions!$G$28)*Assumptions!$G$29*AH8</f>
        <v>1654.42643438679</v>
      </c>
      <c r="AI17" s="61" t="n">
        <f aca="false">(AI14*Assumptions!$G$27+AI15*Assumptions!$G$28)*Assumptions!$G$29*AI8</f>
        <v>1803.32481348161</v>
      </c>
      <c r="AJ17" s="61" t="n">
        <f aca="false">(AJ14*Assumptions!$G$27+AJ15*Assumptions!$G$28)*Assumptions!$G$29*AJ8</f>
        <v>1965.62404669495</v>
      </c>
      <c r="AK17" s="61" t="n">
        <f aca="false">(AK14*Assumptions!$G$27+AK15*Assumptions!$G$28)*Assumptions!$G$29*AK8</f>
        <v>2142.5302108975</v>
      </c>
      <c r="AL17" s="61" t="n">
        <f aca="false">(AL14*Assumptions!$G$27+AL15*Assumptions!$G$28)*Assumptions!$G$29*AL8</f>
        <v>2335.35792987827</v>
      </c>
      <c r="AM17" s="61" t="n">
        <f aca="false">SUM(C17:AL17)</f>
        <v>26898.268261859</v>
      </c>
    </row>
    <row r="18" customFormat="false" ht="15" hidden="false" customHeight="false" outlineLevel="0" collapsed="false">
      <c r="A18" s="10" t="s">
        <v>739</v>
      </c>
      <c r="B18" s="9" t="s">
        <v>97</v>
      </c>
      <c r="C18" s="70" t="n">
        <f aca="false">MIN(C16,C17*Assumptions!$G$30)</f>
        <v>0</v>
      </c>
      <c r="D18" s="70" t="n">
        <f aca="false">MIN(D16,D17*Assumptions!$G$30)</f>
        <v>137.1656</v>
      </c>
      <c r="E18" s="70" t="n">
        <f aca="false">MIN(E16,E17*Assumptions!$G$30)</f>
        <v>149.510504</v>
      </c>
      <c r="F18" s="70" t="n">
        <f aca="false">MIN(F16,F17*Assumptions!$G$30)</f>
        <v>162.96644936</v>
      </c>
      <c r="G18" s="70" t="n">
        <f aca="false">MIN(G16,G17*Assumptions!$G$30)</f>
        <v>177.6334298024</v>
      </c>
      <c r="H18" s="70" t="n">
        <f aca="false">MIN(H16,H17*Assumptions!$G$30)</f>
        <v>193.620438484616</v>
      </c>
      <c r="I18" s="70" t="n">
        <f aca="false">MIN(I16,I17*Assumptions!$G$30)</f>
        <v>211.046277948232</v>
      </c>
      <c r="J18" s="70" t="n">
        <f aca="false">MIN(J16,J17*Assumptions!$G$30)</f>
        <v>230.040442963572</v>
      </c>
      <c r="K18" s="70" t="n">
        <f aca="false">MIN(K16,K17*Assumptions!$G$30)</f>
        <v>250.744082830294</v>
      </c>
      <c r="L18" s="70" t="n">
        <f aca="false">MIN(L16,L17*Assumptions!$G$30)</f>
        <v>273.31105028502</v>
      </c>
      <c r="M18" s="70" t="n">
        <f aca="false">MIN(M16,M17*Assumptions!$G$30)</f>
        <v>297.909044810672</v>
      </c>
      <c r="N18" s="70" t="n">
        <f aca="false">MIN(N16,N17*Assumptions!$G$30)</f>
        <v>324.720858843633</v>
      </c>
      <c r="O18" s="70" t="n">
        <f aca="false">MIN(O16,O17*Assumptions!$G$30)</f>
        <v>353.94573613956</v>
      </c>
      <c r="P18" s="70" t="n">
        <f aca="false">MIN(P16,P17*Assumptions!$G$30)</f>
        <v>385.80085239212</v>
      </c>
      <c r="Q18" s="70" t="n">
        <f aca="false">MIN(Q16,Q17*Assumptions!$G$30)</f>
        <v>420.522929107411</v>
      </c>
      <c r="R18" s="70" t="n">
        <f aca="false">MIN(R16,R17*Assumptions!$G$30)</f>
        <v>458.369992727078</v>
      </c>
      <c r="S18" s="70" t="n">
        <f aca="false">MIN(S16,S17*Assumptions!$G$30)</f>
        <v>499.623292072515</v>
      </c>
      <c r="T18" s="70" t="n">
        <f aca="false">MIN(T16,T17*Assumptions!$G$30)</f>
        <v>544.589388359042</v>
      </c>
      <c r="U18" s="70" t="n">
        <f aca="false">MIN(U16,U17*Assumptions!$G$30)</f>
        <v>593.602433311355</v>
      </c>
      <c r="V18" s="70" t="n">
        <f aca="false">MIN(V16,V17*Assumptions!$G$30)</f>
        <v>647.026652309377</v>
      </c>
      <c r="W18" s="70" t="n">
        <f aca="false">MIN(W16,W17*Assumptions!$G$30)</f>
        <v>705.259051017221</v>
      </c>
      <c r="X18" s="70" t="n">
        <f aca="false">MIN(X16,X17*Assumptions!$G$30)</f>
        <v>768.732365608771</v>
      </c>
      <c r="Y18" s="70" t="n">
        <f aca="false">MIN(Y16,Y17*Assumptions!$G$30)</f>
        <v>837.918278513561</v>
      </c>
      <c r="Z18" s="70" t="n">
        <f aca="false">MIN(Z16,Z17*Assumptions!$G$30)</f>
        <v>913.330923579781</v>
      </c>
      <c r="AA18" s="70" t="n">
        <f aca="false">MIN(AA16,AA17*Assumptions!$G$30)</f>
        <v>995.530706701962</v>
      </c>
      <c r="AB18" s="70" t="n">
        <f aca="false">MIN(AB16,AB17*Assumptions!$G$30)</f>
        <v>1085.12847030514</v>
      </c>
      <c r="AC18" s="70" t="n">
        <f aca="false">MIN(AC16,AC17*Assumptions!$G$30)</f>
        <v>1182.7900326326</v>
      </c>
      <c r="AD18" s="70" t="n">
        <f aca="false">MIN(AD16,AD17*Assumptions!$G$30)</f>
        <v>1289.24113556954</v>
      </c>
      <c r="AE18" s="70" t="n">
        <f aca="false">MIN(AE16,AE17*Assumptions!$G$30)</f>
        <v>1405.27283777079</v>
      </c>
      <c r="AF18" s="70" t="n">
        <f aca="false">MIN(AF16,AF17*Assumptions!$G$30)</f>
        <v>1531.74739317017</v>
      </c>
      <c r="AG18" s="70" t="n">
        <f aca="false">MIN(AG16,AG17*Assumptions!$G$30)</f>
        <v>1669.60465855548</v>
      </c>
      <c r="AH18" s="70" t="n">
        <f aca="false">MIN(AH16,AH17*Assumptions!$G$30)</f>
        <v>1819.86907782547</v>
      </c>
      <c r="AI18" s="70" t="n">
        <f aca="false">MIN(AI16,AI17*Assumptions!$G$30)</f>
        <v>1983.65729482977</v>
      </c>
      <c r="AJ18" s="70" t="n">
        <f aca="false">MIN(AJ16,AJ17*Assumptions!$G$30)</f>
        <v>2162.18645136445</v>
      </c>
      <c r="AK18" s="70" t="n">
        <f aca="false">MIN(AK16,AK17*Assumptions!$G$30)</f>
        <v>2356.78323198725</v>
      </c>
      <c r="AL18" s="70" t="n">
        <f aca="false">MIN(AL16,AL17*Assumptions!$G$30)</f>
        <v>2568.8937228661</v>
      </c>
      <c r="AM18" s="70" t="n">
        <f aca="false">SUM(C18:AL18)</f>
        <v>29588.0950880449</v>
      </c>
    </row>
    <row r="19" customFormat="false" ht="15" hidden="false" customHeight="false" outlineLevel="0" collapsed="false">
      <c r="A19" s="10" t="s">
        <v>740</v>
      </c>
      <c r="B19" s="9" t="s">
        <v>84</v>
      </c>
      <c r="C19" s="61" t="n">
        <f aca="false">C18/Assumptions!$G$30</f>
        <v>0</v>
      </c>
      <c r="D19" s="61" t="n">
        <f aca="false">D18/Assumptions!$G$30</f>
        <v>124.696</v>
      </c>
      <c r="E19" s="61" t="n">
        <f aca="false">E18/Assumptions!$G$30</f>
        <v>135.91864</v>
      </c>
      <c r="F19" s="61" t="n">
        <f aca="false">F18/Assumptions!$G$30</f>
        <v>148.1513176</v>
      </c>
      <c r="G19" s="61" t="n">
        <f aca="false">G18/Assumptions!$G$30</f>
        <v>161.484936184</v>
      </c>
      <c r="H19" s="61" t="n">
        <f aca="false">H18/Assumptions!$G$30</f>
        <v>176.01858044056</v>
      </c>
      <c r="I19" s="61" t="n">
        <f aca="false">I18/Assumptions!$G$30</f>
        <v>191.860252680211</v>
      </c>
      <c r="J19" s="61" t="n">
        <f aca="false">J18/Assumptions!$G$30</f>
        <v>209.127675421429</v>
      </c>
      <c r="K19" s="61" t="n">
        <f aca="false">K18/Assumptions!$G$30</f>
        <v>227.949166209358</v>
      </c>
      <c r="L19" s="61" t="n">
        <f aca="false">L18/Assumptions!$G$30</f>
        <v>248.4645911682</v>
      </c>
      <c r="M19" s="61" t="n">
        <f aca="false">M18/Assumptions!$G$30</f>
        <v>270.826404373338</v>
      </c>
      <c r="N19" s="61" t="n">
        <f aca="false">N18/Assumptions!$G$30</f>
        <v>295.200780766939</v>
      </c>
      <c r="O19" s="61" t="n">
        <f aca="false">O18/Assumptions!$G$30</f>
        <v>321.768851035963</v>
      </c>
      <c r="P19" s="61" t="n">
        <f aca="false">P18/Assumptions!$G$30</f>
        <v>350.7280476292</v>
      </c>
      <c r="Q19" s="61" t="n">
        <f aca="false">Q18/Assumptions!$G$30</f>
        <v>382.293571915828</v>
      </c>
      <c r="R19" s="61" t="n">
        <f aca="false">R18/Assumptions!$G$30</f>
        <v>416.699993388253</v>
      </c>
      <c r="S19" s="61" t="n">
        <f aca="false">S18/Assumptions!$G$30</f>
        <v>454.202992793196</v>
      </c>
      <c r="T19" s="61" t="n">
        <f aca="false">T18/Assumptions!$G$30</f>
        <v>495.081262144583</v>
      </c>
      <c r="U19" s="61" t="n">
        <f aca="false">U18/Assumptions!$G$30</f>
        <v>539.638575737596</v>
      </c>
      <c r="V19" s="61" t="n">
        <f aca="false">V18/Assumptions!$G$30</f>
        <v>588.206047553979</v>
      </c>
      <c r="W19" s="61" t="n">
        <f aca="false">W18/Assumptions!$G$30</f>
        <v>641.144591833838</v>
      </c>
      <c r="X19" s="61" t="n">
        <f aca="false">X18/Assumptions!$G$30</f>
        <v>698.847605098883</v>
      </c>
      <c r="Y19" s="61" t="n">
        <f aca="false">Y18/Assumptions!$G$30</f>
        <v>761.743889557783</v>
      </c>
      <c r="Z19" s="61" t="n">
        <f aca="false">Z18/Assumptions!$G$30</f>
        <v>830.300839617983</v>
      </c>
      <c r="AA19" s="61" t="n">
        <f aca="false">AA18/Assumptions!$G$30</f>
        <v>905.027915183602</v>
      </c>
      <c r="AB19" s="61" t="n">
        <f aca="false">AB18/Assumptions!$G$30</f>
        <v>986.480427550126</v>
      </c>
      <c r="AC19" s="61" t="n">
        <f aca="false">AC18/Assumptions!$G$30</f>
        <v>1075.26366602964</v>
      </c>
      <c r="AD19" s="61" t="n">
        <f aca="false">AD18/Assumptions!$G$30</f>
        <v>1172.0373959723</v>
      </c>
      <c r="AE19" s="61" t="n">
        <f aca="false">AE18/Assumptions!$G$30</f>
        <v>1277.52076160981</v>
      </c>
      <c r="AF19" s="61" t="n">
        <f aca="false">AF18/Assumptions!$G$30</f>
        <v>1392.4976301547</v>
      </c>
      <c r="AG19" s="61" t="n">
        <f aca="false">AG18/Assumptions!$G$30</f>
        <v>1517.82241686862</v>
      </c>
      <c r="AH19" s="61" t="n">
        <f aca="false">AH18/Assumptions!$G$30</f>
        <v>1654.42643438679</v>
      </c>
      <c r="AI19" s="61" t="n">
        <f aca="false">AI18/Assumptions!$G$30</f>
        <v>1803.32481348161</v>
      </c>
      <c r="AJ19" s="61" t="n">
        <f aca="false">AJ18/Assumptions!$G$30</f>
        <v>1965.62404669495</v>
      </c>
      <c r="AK19" s="61" t="n">
        <f aca="false">AK18/Assumptions!$G$30</f>
        <v>2142.5302108975</v>
      </c>
      <c r="AL19" s="61" t="n">
        <f aca="false">AL18/Assumptions!$G$30</f>
        <v>2335.35792987827</v>
      </c>
      <c r="AM19" s="61" t="n">
        <f aca="false">SUM(C19:AL19)</f>
        <v>26898.268261859</v>
      </c>
    </row>
    <row r="20" customFormat="false" ht="15" hidden="false" customHeight="false" outlineLevel="0" collapsed="false">
      <c r="A20" s="10" t="s">
        <v>741</v>
      </c>
      <c r="B20" s="9" t="s">
        <v>51</v>
      </c>
      <c r="C20" s="61" t="n">
        <f aca="false">C8*(Assumptions!$G$35*C14)</f>
        <v>0</v>
      </c>
      <c r="D20" s="61" t="n">
        <f aca="false">D8*(Assumptions!$G$35*D14+Assumptions!$G$34*C29)</f>
        <v>3850.17639486682</v>
      </c>
      <c r="E20" s="61" t="n">
        <f aca="false">E8*(Assumptions!$G$35*E14+Assumptions!$G$34*D29)</f>
        <v>8670.87891725404</v>
      </c>
      <c r="F20" s="61" t="n">
        <f aca="false">F8*(Assumptions!$G$35*F14+Assumptions!$G$34*E29)</f>
        <v>9147.07340635962</v>
      </c>
      <c r="G20" s="61" t="n">
        <f aca="false">G8*(Assumptions!$G$35*G14+Assumptions!$G$34*F29)</f>
        <v>9315.41616260374</v>
      </c>
      <c r="H20" s="61" t="n">
        <f aca="false">H8*(Assumptions!$G$35*H14+Assumptions!$G$34*G29)</f>
        <v>9473.38444355746</v>
      </c>
      <c r="I20" s="61" t="n">
        <f aca="false">I8*(Assumptions!$G$35*I14+Assumptions!$G$34*H29)</f>
        <v>9643.70586910504</v>
      </c>
      <c r="J20" s="61" t="n">
        <f aca="false">J8*(Assumptions!$G$35*J14+Assumptions!$G$34*I29)</f>
        <v>9829.21023902729</v>
      </c>
      <c r="K20" s="61" t="n">
        <f aca="false">K8*(Assumptions!$G$35*K14+Assumptions!$G$34*J29)</f>
        <v>10031.3867682086</v>
      </c>
      <c r="L20" s="61" t="n">
        <f aca="false">L8*(Assumptions!$G$35*L14+Assumptions!$G$34*K29)</f>
        <v>10251.742424081</v>
      </c>
      <c r="M20" s="61" t="n">
        <f aca="false">M8*(Assumptions!$G$35*M14+Assumptions!$G$34*L29)</f>
        <v>10491.9108833363</v>
      </c>
      <c r="N20" s="61" t="n">
        <f aca="false">N8*(Assumptions!$G$35*N14+Assumptions!$G$34*M29)</f>
        <v>10753.6716344333</v>
      </c>
      <c r="O20" s="61" t="n">
        <f aca="false">O8*(Assumptions!$G$35*O14+Assumptions!$G$34*N29)</f>
        <v>11038.963544105</v>
      </c>
      <c r="P20" s="61" t="n">
        <f aca="false">P8*(Assumptions!$G$35*P14+Assumptions!$G$34*O29)</f>
        <v>11349.8990944603</v>
      </c>
      <c r="Q20" s="61" t="n">
        <f aca="false">Q8*(Assumptions!$G$35*Q14+Assumptions!$G$34*P29)</f>
        <v>11688.7798322353</v>
      </c>
      <c r="R20" s="61" t="n">
        <f aca="false">R8*(Assumptions!$G$35*R14+Assumptions!$G$34*Q29)</f>
        <v>12058.1131676468</v>
      </c>
      <c r="S20" s="61" t="n">
        <f aca="false">S8*(Assumptions!$G$35*S14+Assumptions!$G$34*R29)</f>
        <v>12460.6306382571</v>
      </c>
      <c r="T20" s="61" t="n">
        <f aca="false">T8*(Assumptions!$G$35*T14+Assumptions!$G$34*S29)</f>
        <v>12899.3077591558</v>
      </c>
      <c r="U20" s="61" t="n">
        <f aca="false">U8*(Assumptions!$G$35*U14+Assumptions!$G$34*T29)</f>
        <v>13377.3855888099</v>
      </c>
      <c r="V20" s="61" t="n">
        <f aca="false">V8*(Assumptions!$G$35*V14+Assumptions!$G$34*U29)</f>
        <v>14139.1296886925</v>
      </c>
      <c r="W20" s="61" t="n">
        <f aca="false">W8*(Assumptions!$G$35*W14+Assumptions!$G$34*V29)</f>
        <v>15091.4873046022</v>
      </c>
      <c r="X20" s="61" t="n">
        <f aca="false">X8*(Assumptions!$G$35*X14+Assumptions!$G$34*W29)</f>
        <v>16142.3309634347</v>
      </c>
      <c r="Y20" s="61" t="n">
        <f aca="false">Y8*(Assumptions!$G$35*Y14+Assumptions!$G$34*X29)</f>
        <v>17285.6879246022</v>
      </c>
      <c r="Z20" s="61" t="n">
        <f aca="false">Z8*(Assumptions!$G$35*Z14+Assumptions!$G$34*Y29)</f>
        <v>18527.0785587061</v>
      </c>
      <c r="AA20" s="61" t="n">
        <f aca="false">AA8*(Assumptions!$G$35*AA14+Assumptions!$G$34*Z29)</f>
        <v>19874.3163461666</v>
      </c>
      <c r="AB20" s="61" t="n">
        <f aca="false">AB8*(Assumptions!$G$35*AB14+Assumptions!$G$34*AA29)</f>
        <v>21336.1143768238</v>
      </c>
      <c r="AC20" s="61" t="n">
        <f aca="false">AC8*(Assumptions!$G$35*AC14+Assumptions!$G$34*AB29)</f>
        <v>22921.950790085</v>
      </c>
      <c r="AD20" s="61" t="n">
        <f aca="false">AD8*(Assumptions!$G$35*AD14+Assumptions!$G$34*AC29)</f>
        <v>24630.8907212911</v>
      </c>
      <c r="AE20" s="61" t="n">
        <f aca="false">AE8*(Assumptions!$G$35*AE14+Assumptions!$G$34*AD29)</f>
        <v>26468.3459670822</v>
      </c>
      <c r="AF20" s="61" t="n">
        <f aca="false">AF8*(Assumptions!$G$35*AF14+Assumptions!$G$34*AE29)</f>
        <v>28447.8386520057</v>
      </c>
      <c r="AG20" s="61" t="n">
        <f aca="false">AG8*(Assumptions!$G$35*AG14+Assumptions!$G$34*AF29)</f>
        <v>30582.0155346478</v>
      </c>
      <c r="AH20" s="61" t="n">
        <f aca="false">AH8*(Assumptions!$G$35*AH14+Assumptions!$G$34*AG29)</f>
        <v>32884.3220188576</v>
      </c>
      <c r="AI20" s="61" t="n">
        <f aca="false">AI8*(Assumptions!$G$35*AI14+Assumptions!$G$34*AH29)</f>
        <v>35369.2709590035</v>
      </c>
      <c r="AJ20" s="61" t="n">
        <f aca="false">AJ8*(Assumptions!$G$35*AJ14+Assumptions!$G$34*AI29)</f>
        <v>38052.5723931018</v>
      </c>
      <c r="AK20" s="61" t="n">
        <f aca="false">AK8*(Assumptions!$G$35*AK14+Assumptions!$G$34*AJ29)</f>
        <v>40951.2455271222</v>
      </c>
      <c r="AL20" s="61" t="n">
        <f aca="false">AL8*(Assumptions!$G$35*AL14+Assumptions!$G$34*AK29)</f>
        <v>44083.7363243795</v>
      </c>
      <c r="AM20" s="61" t="n">
        <f aca="false">AL20</f>
        <v>44083.7363243795</v>
      </c>
    </row>
    <row r="21" customFormat="false" ht="15" hidden="false" customHeight="false" outlineLevel="0" collapsed="false">
      <c r="A21" s="10" t="s">
        <v>742</v>
      </c>
      <c r="B21" s="9" t="s">
        <v>84</v>
      </c>
      <c r="C21" s="61" t="n">
        <f aca="false">C20*Assumptions!$G$36</f>
        <v>0</v>
      </c>
      <c r="D21" s="61" t="n">
        <f aca="false">D20*Assumptions!$G$36</f>
        <v>962.544098716705</v>
      </c>
      <c r="E21" s="61" t="n">
        <f aca="false">E20*Assumptions!$G$36</f>
        <v>2167.71972931351</v>
      </c>
      <c r="F21" s="61" t="n">
        <f aca="false">F20*Assumptions!$G$36</f>
        <v>2286.76835158991</v>
      </c>
      <c r="G21" s="61" t="n">
        <f aca="false">G20*Assumptions!$G$36</f>
        <v>2328.85404065093</v>
      </c>
      <c r="H21" s="61" t="n">
        <f aca="false">H20*Assumptions!$G$36</f>
        <v>2368.34611088937</v>
      </c>
      <c r="I21" s="61" t="n">
        <f aca="false">I20*Assumptions!$G$36</f>
        <v>2410.92646727626</v>
      </c>
      <c r="J21" s="61" t="n">
        <f aca="false">J20*Assumptions!$G$36</f>
        <v>2457.30255975682</v>
      </c>
      <c r="K21" s="61" t="n">
        <f aca="false">K20*Assumptions!$G$36</f>
        <v>2507.84669205215</v>
      </c>
      <c r="L21" s="61" t="n">
        <f aca="false">L20*Assumptions!$G$36</f>
        <v>2562.93560602024</v>
      </c>
      <c r="M21" s="61" t="n">
        <f aca="false">M20*Assumptions!$G$36</f>
        <v>2622.97772083409</v>
      </c>
      <c r="N21" s="61" t="n">
        <f aca="false">N20*Assumptions!$G$36</f>
        <v>2688.41790860833</v>
      </c>
      <c r="O21" s="61" t="n">
        <f aca="false">O20*Assumptions!$G$36</f>
        <v>2759.74088602625</v>
      </c>
      <c r="P21" s="61" t="n">
        <f aca="false">P20*Assumptions!$G$36</f>
        <v>2837.47477361508</v>
      </c>
      <c r="Q21" s="61" t="n">
        <f aca="false">Q20*Assumptions!$G$36</f>
        <v>2922.19495805883</v>
      </c>
      <c r="R21" s="61" t="n">
        <f aca="false">R20*Assumptions!$G$36</f>
        <v>3014.5282919117</v>
      </c>
      <c r="S21" s="61" t="n">
        <f aca="false">S20*Assumptions!$G$36</f>
        <v>3115.15765956427</v>
      </c>
      <c r="T21" s="61" t="n">
        <f aca="false">T20*Assumptions!$G$36</f>
        <v>3224.82693978894</v>
      </c>
      <c r="U21" s="61" t="n">
        <f aca="false">U20*Assumptions!$G$36</f>
        <v>3344.34639720247</v>
      </c>
      <c r="V21" s="61" t="n">
        <f aca="false">V20*Assumptions!$G$36</f>
        <v>3534.78242217313</v>
      </c>
      <c r="W21" s="61" t="n">
        <f aca="false">W20*Assumptions!$G$36</f>
        <v>3772.87182615054</v>
      </c>
      <c r="X21" s="61" t="n">
        <f aca="false">X20*Assumptions!$G$36</f>
        <v>4035.58274085868</v>
      </c>
      <c r="Y21" s="61" t="n">
        <f aca="false">Y20*Assumptions!$G$36</f>
        <v>4321.42198115056</v>
      </c>
      <c r="Z21" s="61" t="n">
        <f aca="false">Z20*Assumptions!$G$36</f>
        <v>4631.76963967652</v>
      </c>
      <c r="AA21" s="61" t="n">
        <f aca="false">AA20*Assumptions!$G$36</f>
        <v>4968.57908654166</v>
      </c>
      <c r="AB21" s="61" t="n">
        <f aca="false">AB20*Assumptions!$G$36</f>
        <v>5334.02859420596</v>
      </c>
      <c r="AC21" s="61" t="n">
        <f aca="false">AC20*Assumptions!$G$36</f>
        <v>5730.48769752125</v>
      </c>
      <c r="AD21" s="61" t="n">
        <f aca="false">AD20*Assumptions!$G$36</f>
        <v>6157.72268032277</v>
      </c>
      <c r="AE21" s="61" t="n">
        <f aca="false">AE20*Assumptions!$G$36</f>
        <v>6617.08649177055</v>
      </c>
      <c r="AF21" s="61" t="n">
        <f aca="false">AF20*Assumptions!$G$36</f>
        <v>7111.95966300143</v>
      </c>
      <c r="AG21" s="61" t="n">
        <f aca="false">AG20*Assumptions!$G$36</f>
        <v>7645.50388366194</v>
      </c>
      <c r="AH21" s="61" t="n">
        <f aca="false">AH20*Assumptions!$G$36</f>
        <v>8221.0805047144</v>
      </c>
      <c r="AI21" s="61" t="n">
        <f aca="false">AI20*Assumptions!$G$36</f>
        <v>8842.31773975088</v>
      </c>
      <c r="AJ21" s="61" t="n">
        <f aca="false">AJ20*Assumptions!$G$36</f>
        <v>9513.14309827546</v>
      </c>
      <c r="AK21" s="61" t="n">
        <f aca="false">AK20*Assumptions!$G$36</f>
        <v>10237.8113817805</v>
      </c>
      <c r="AL21" s="61" t="n">
        <f aca="false">AL20*Assumptions!$G$36</f>
        <v>11020.9340810949</v>
      </c>
      <c r="AM21" s="61" t="n">
        <f aca="false">SUM(C21:AL21)</f>
        <v>158279.992704527</v>
      </c>
    </row>
    <row r="22" customFormat="false" ht="15" hidden="false" customHeight="false" outlineLevel="0" collapsed="false">
      <c r="A22" s="10" t="s">
        <v>743</v>
      </c>
      <c r="B22" s="9" t="s">
        <v>97</v>
      </c>
      <c r="C22" s="70" t="n">
        <f aca="false">MIN(MAX(0,C16-C18),C21*Assumptions!$G$37)</f>
        <v>0</v>
      </c>
      <c r="D22" s="70" t="n">
        <f aca="false">MIN(MAX(0,D16-D18),D21*Assumptions!$G$37)</f>
        <v>1395.68894313922</v>
      </c>
      <c r="E22" s="70" t="n">
        <f aca="false">MIN(MAX(0,E16-E18),E21*Assumptions!$G$37)</f>
        <v>3143.19360750459</v>
      </c>
      <c r="F22" s="70" t="n">
        <f aca="false">MIN(MAX(0,F16-F18),F21*Assumptions!$G$37)</f>
        <v>3315.81410980536</v>
      </c>
      <c r="G22" s="70" t="n">
        <f aca="false">MIN(MAX(0,G16-G18),G21*Assumptions!$G$37)</f>
        <v>3376.83835894386</v>
      </c>
      <c r="H22" s="70" t="n">
        <f aca="false">MIN(MAX(0,H16-H18),H21*Assumptions!$G$37)</f>
        <v>3434.10186078958</v>
      </c>
      <c r="I22" s="70" t="n">
        <f aca="false">MIN(MAX(0,I16-I18),I21*Assumptions!$G$37)</f>
        <v>3495.84337755058</v>
      </c>
      <c r="J22" s="70" t="n">
        <f aca="false">MIN(MAX(0,J16-J18),J21*Assumptions!$G$37)</f>
        <v>3563.08871164739</v>
      </c>
      <c r="K22" s="70" t="n">
        <f aca="false">MIN(MAX(0,K16-K18),K21*Assumptions!$G$37)</f>
        <v>3636.37770347562</v>
      </c>
      <c r="L22" s="70" t="n">
        <f aca="false">MIN(MAX(0,L16-L18),L21*Assumptions!$G$37)</f>
        <v>3716.25662872935</v>
      </c>
      <c r="M22" s="70" t="n">
        <f aca="false">MIN(MAX(0,M16-M18),M21*Assumptions!$G$37)</f>
        <v>3803.31769520942</v>
      </c>
      <c r="N22" s="70" t="n">
        <f aca="false">MIN(MAX(0,N16-N18),N21*Assumptions!$G$37)</f>
        <v>3898.20596748208</v>
      </c>
      <c r="O22" s="70" t="n">
        <f aca="false">MIN(MAX(0,O16-O18),O21*Assumptions!$G$37)</f>
        <v>4001.62428473807</v>
      </c>
      <c r="P22" s="70" t="n">
        <f aca="false">MIN(MAX(0,P16-P18),P21*Assumptions!$G$37)</f>
        <v>4114.33842174186</v>
      </c>
      <c r="Q22" s="70" t="n">
        <f aca="false">MIN(MAX(0,Q16-Q18),Q21*Assumptions!$G$37)</f>
        <v>4237.1826891853</v>
      </c>
      <c r="R22" s="70" t="n">
        <f aca="false">MIN(MAX(0,R16-R18),R21*Assumptions!$G$37)</f>
        <v>4371.06602327197</v>
      </c>
      <c r="S22" s="70" t="n">
        <f aca="false">MIN(MAX(0,S16-S18),S21*Assumptions!$G$37)</f>
        <v>4516.9786063682</v>
      </c>
      <c r="T22" s="70" t="n">
        <f aca="false">MIN(MAX(0,T16-T18),T21*Assumptions!$G$37)</f>
        <v>4675.99906269396</v>
      </c>
      <c r="U22" s="70" t="n">
        <f aca="false">MIN(MAX(0,U16-U18),U21*Assumptions!$G$37)</f>
        <v>4849.30227594358</v>
      </c>
      <c r="V22" s="70" t="n">
        <f aca="false">MIN(MAX(0,V16-V18),V21*Assumptions!$G$37)</f>
        <v>5125.43451215104</v>
      </c>
      <c r="W22" s="70" t="n">
        <f aca="false">MIN(MAX(0,W16-W18),W21*Assumptions!$G$37)</f>
        <v>5470.66414791828</v>
      </c>
      <c r="X22" s="70" t="n">
        <f aca="false">MIN(MAX(0,X16-X18),X21*Assumptions!$G$37)</f>
        <v>5851.59497424509</v>
      </c>
      <c r="Y22" s="70" t="n">
        <f aca="false">MIN(MAX(0,Y16-Y18),Y21*Assumptions!$G$37)</f>
        <v>6266.06187266831</v>
      </c>
      <c r="Z22" s="70" t="n">
        <f aca="false">MIN(MAX(0,Z16-Z18),Z21*Assumptions!$G$37)</f>
        <v>6716.06597753095</v>
      </c>
      <c r="AA22" s="70" t="n">
        <f aca="false">MIN(MAX(0,AA16-AA18),AA21*Assumptions!$G$37)</f>
        <v>7204.4396754854</v>
      </c>
      <c r="AB22" s="70" t="n">
        <f aca="false">MIN(MAX(0,AB16-AB18),AB21*Assumptions!$G$37)</f>
        <v>7734.34146159864</v>
      </c>
      <c r="AC22" s="70" t="n">
        <f aca="false">MIN(MAX(0,AC16-AC18),AC21*Assumptions!$G$37)</f>
        <v>8309.20716140582</v>
      </c>
      <c r="AD22" s="70" t="n">
        <f aca="false">MIN(MAX(0,AD16-AD18),AD21*Assumptions!$G$37)</f>
        <v>8928.69788646802</v>
      </c>
      <c r="AE22" s="70" t="n">
        <f aca="false">MIN(MAX(0,AE16-AE18),AE21*Assumptions!$G$37)</f>
        <v>9594.77541306729</v>
      </c>
      <c r="AF22" s="70" t="n">
        <f aca="false">MIN(MAX(0,AF16-AF18),AF21*Assumptions!$G$37)</f>
        <v>10312.3415113521</v>
      </c>
      <c r="AG22" s="70" t="n">
        <f aca="false">MIN(MAX(0,AG16-AG18),AG21*Assumptions!$G$37)</f>
        <v>11085.9806313098</v>
      </c>
      <c r="AH22" s="70" t="n">
        <f aca="false">MIN(MAX(0,AH16-AH18),AH21*Assumptions!$G$37)</f>
        <v>11920.5667318359</v>
      </c>
      <c r="AI22" s="70" t="n">
        <f aca="false">MIN(MAX(0,AI16-AI18),AI21*Assumptions!$G$37)</f>
        <v>12821.3607226388</v>
      </c>
      <c r="AJ22" s="70" t="n">
        <f aca="false">MIN(MAX(0,AJ16-AJ18),AJ21*Assumptions!$G$37)</f>
        <v>13794.0574924994</v>
      </c>
      <c r="AK22" s="70" t="n">
        <f aca="false">MIN(MAX(0,AK16-AK18),AK21*Assumptions!$G$37)</f>
        <v>14844.8265035818</v>
      </c>
      <c r="AL22" s="70" t="n">
        <f aca="false">MIN(MAX(0,AL16-AL18),AL21*Assumptions!$G$37)</f>
        <v>15980.3544175876</v>
      </c>
      <c r="AM22" s="70" t="n">
        <f aca="false">SUM(C22:AL22)</f>
        <v>229505.989421564</v>
      </c>
    </row>
    <row r="23" customFormat="false" ht="15" hidden="false" customHeight="false" outlineLevel="0" collapsed="false">
      <c r="A23" s="10" t="s">
        <v>744</v>
      </c>
      <c r="B23" s="9" t="s">
        <v>84</v>
      </c>
      <c r="C23" s="61" t="n">
        <f aca="false">C22/Assumptions!$G$37</f>
        <v>0</v>
      </c>
      <c r="D23" s="61" t="n">
        <f aca="false">D22/Assumptions!$G$37</f>
        <v>962.544098716705</v>
      </c>
      <c r="E23" s="61" t="n">
        <f aca="false">E22/Assumptions!$G$37</f>
        <v>2167.71972931351</v>
      </c>
      <c r="F23" s="61" t="n">
        <f aca="false">F22/Assumptions!$G$37</f>
        <v>2286.76835158991</v>
      </c>
      <c r="G23" s="61" t="n">
        <f aca="false">G22/Assumptions!$G$37</f>
        <v>2328.85404065093</v>
      </c>
      <c r="H23" s="61" t="n">
        <f aca="false">H22/Assumptions!$G$37</f>
        <v>2368.34611088937</v>
      </c>
      <c r="I23" s="61" t="n">
        <f aca="false">I22/Assumptions!$G$37</f>
        <v>2410.92646727626</v>
      </c>
      <c r="J23" s="61" t="n">
        <f aca="false">J22/Assumptions!$G$37</f>
        <v>2457.30255975682</v>
      </c>
      <c r="K23" s="61" t="n">
        <f aca="false">K22/Assumptions!$G$37</f>
        <v>2507.84669205215</v>
      </c>
      <c r="L23" s="61" t="n">
        <f aca="false">L22/Assumptions!$G$37</f>
        <v>2562.93560602024</v>
      </c>
      <c r="M23" s="61" t="n">
        <f aca="false">M22/Assumptions!$G$37</f>
        <v>2622.97772083409</v>
      </c>
      <c r="N23" s="61" t="n">
        <f aca="false">N22/Assumptions!$G$37</f>
        <v>2688.41790860833</v>
      </c>
      <c r="O23" s="61" t="n">
        <f aca="false">O22/Assumptions!$G$37</f>
        <v>2759.74088602625</v>
      </c>
      <c r="P23" s="61" t="n">
        <f aca="false">P22/Assumptions!$G$37</f>
        <v>2837.47477361507</v>
      </c>
      <c r="Q23" s="61" t="n">
        <f aca="false">Q22/Assumptions!$G$37</f>
        <v>2922.19495805883</v>
      </c>
      <c r="R23" s="61" t="n">
        <f aca="false">R22/Assumptions!$G$37</f>
        <v>3014.5282919117</v>
      </c>
      <c r="S23" s="61" t="n">
        <f aca="false">S22/Assumptions!$G$37</f>
        <v>3115.15765956427</v>
      </c>
      <c r="T23" s="61" t="n">
        <f aca="false">T22/Assumptions!$G$37</f>
        <v>3224.82693978894</v>
      </c>
      <c r="U23" s="61" t="n">
        <f aca="false">U22/Assumptions!$G$37</f>
        <v>3344.34639720247</v>
      </c>
      <c r="V23" s="61" t="n">
        <f aca="false">V22/Assumptions!$G$37</f>
        <v>3534.78242217313</v>
      </c>
      <c r="W23" s="61" t="n">
        <f aca="false">W22/Assumptions!$G$37</f>
        <v>3772.87182615054</v>
      </c>
      <c r="X23" s="61" t="n">
        <f aca="false">X22/Assumptions!$G$37</f>
        <v>4035.58274085868</v>
      </c>
      <c r="Y23" s="61" t="n">
        <f aca="false">Y22/Assumptions!$G$37</f>
        <v>4321.42198115056</v>
      </c>
      <c r="Z23" s="61" t="n">
        <f aca="false">Z22/Assumptions!$G$37</f>
        <v>4631.76963967652</v>
      </c>
      <c r="AA23" s="61" t="n">
        <f aca="false">AA22/Assumptions!$G$37</f>
        <v>4968.57908654166</v>
      </c>
      <c r="AB23" s="61" t="n">
        <f aca="false">AB22/Assumptions!$G$37</f>
        <v>5334.02859420596</v>
      </c>
      <c r="AC23" s="61" t="n">
        <f aca="false">AC22/Assumptions!$G$37</f>
        <v>5730.48769752125</v>
      </c>
      <c r="AD23" s="61" t="n">
        <f aca="false">AD22/Assumptions!$G$37</f>
        <v>6157.72268032277</v>
      </c>
      <c r="AE23" s="61" t="n">
        <f aca="false">AE22/Assumptions!$G$37</f>
        <v>6617.08649177055</v>
      </c>
      <c r="AF23" s="61" t="n">
        <f aca="false">AF22/Assumptions!$G$37</f>
        <v>7111.95966300143</v>
      </c>
      <c r="AG23" s="61" t="n">
        <f aca="false">AG22/Assumptions!$G$37</f>
        <v>7645.50388366194</v>
      </c>
      <c r="AH23" s="61" t="n">
        <f aca="false">AH22/Assumptions!$G$37</f>
        <v>8221.0805047144</v>
      </c>
      <c r="AI23" s="61" t="n">
        <f aca="false">AI22/Assumptions!$G$37</f>
        <v>8842.31773975088</v>
      </c>
      <c r="AJ23" s="61" t="n">
        <f aca="false">AJ22/Assumptions!$G$37</f>
        <v>9513.14309827546</v>
      </c>
      <c r="AK23" s="61" t="n">
        <f aca="false">AK22/Assumptions!$G$37</f>
        <v>10237.8113817805</v>
      </c>
      <c r="AL23" s="61" t="n">
        <f aca="false">AL22/Assumptions!$G$37</f>
        <v>11020.9340810949</v>
      </c>
      <c r="AM23" s="61" t="n">
        <f aca="false">SUM(C23:AL23)</f>
        <v>158279.992704527</v>
      </c>
    </row>
    <row r="24" customFormat="false" ht="15" hidden="false" customHeight="false" outlineLevel="0" collapsed="false">
      <c r="A24" s="10" t="s">
        <v>745</v>
      </c>
      <c r="B24" s="9" t="s">
        <v>97</v>
      </c>
      <c r="C24" s="70" t="n">
        <f aca="false">MAX(0,C16-C18-C22)</f>
        <v>8000</v>
      </c>
      <c r="D24" s="70" t="n">
        <f aca="false">MAX(0,D16-D18-D22)</f>
        <v>28467.1454568608</v>
      </c>
      <c r="E24" s="70" t="n">
        <f aca="false">MAX(0,E16-E18-E22)</f>
        <v>26707.2958884954</v>
      </c>
      <c r="F24" s="70" t="n">
        <f aca="false">MAX(0,F16-F18-F22)</f>
        <v>26521.2194408346</v>
      </c>
      <c r="G24" s="70" t="n">
        <f aca="false">MAX(0,G16-G18-G22)</f>
        <v>26445.5282112537</v>
      </c>
      <c r="H24" s="70" t="n">
        <f aca="false">MAX(0,H16-H18-H22)</f>
        <v>26372.2777007258</v>
      </c>
      <c r="I24" s="70" t="n">
        <f aca="false">MAX(0,I16-I18-I22)</f>
        <v>26293.1103445012</v>
      </c>
      <c r="J24" s="70" t="n">
        <f aca="false">MAX(0,J16-J18-J22)</f>
        <v>26206.870845389</v>
      </c>
      <c r="K24" s="70" t="n">
        <f aca="false">MAX(0,K16-K18-K22)</f>
        <v>26112.8782136941</v>
      </c>
      <c r="L24" s="70" t="n">
        <f aca="false">MAX(0,L16-L18-L22)</f>
        <v>26010.4323209856</v>
      </c>
      <c r="M24" s="70" t="n">
        <f aca="false">MAX(0,M16-M18-M22)</f>
        <v>25898.7732599799</v>
      </c>
      <c r="N24" s="70" t="n">
        <f aca="false">MAX(0,N16-N18-N22)</f>
        <v>25777.0731736743</v>
      </c>
      <c r="O24" s="70" t="n">
        <f aca="false">MAX(0,O16-O18-O22)</f>
        <v>25644.4299791224</v>
      </c>
      <c r="P24" s="70" t="n">
        <f aca="false">MAX(0,P16-P18-P22)</f>
        <v>25499.860725866</v>
      </c>
      <c r="Q24" s="70" t="n">
        <f aca="false">MAX(0,Q16-Q18-Q22)</f>
        <v>25342.2943817073</v>
      </c>
      <c r="R24" s="70" t="n">
        <f aca="false">MAX(0,R16-R18-R22)</f>
        <v>25170.563984001</v>
      </c>
      <c r="S24" s="70" t="n">
        <f aca="false">MAX(0,S16-S18-S22)</f>
        <v>24983.3981015593</v>
      </c>
      <c r="T24" s="70" t="n">
        <f aca="false">MAX(0,T16-T18-T22)</f>
        <v>24779.411548947</v>
      </c>
      <c r="U24" s="70" t="n">
        <f aca="false">MAX(0,U16-U18-U22)</f>
        <v>25885.7304177013</v>
      </c>
      <c r="V24" s="70" t="n">
        <f aca="false">MAX(0,V16-V18-V22)</f>
        <v>27607.2976319904</v>
      </c>
      <c r="W24" s="70" t="n">
        <f aca="false">MAX(0,W16-W18-W22)</f>
        <v>29493.0614551789</v>
      </c>
      <c r="X24" s="70" t="n">
        <f aca="false">MAX(0,X16-X18-X22)</f>
        <v>31562.4935733989</v>
      </c>
      <c r="Y24" s="70" t="n">
        <f aca="false">MAX(0,Y16-Y18-Y22)</f>
        <v>33831.7203909269</v>
      </c>
      <c r="Z24" s="70" t="n">
        <f aca="false">MAX(0,Z16-Z18-Z22)</f>
        <v>36319.4229131112</v>
      </c>
      <c r="AA24" s="70" t="n">
        <f aca="false">MAX(0,AA16-AA18-AA22)</f>
        <v>39045.9922600131</v>
      </c>
      <c r="AB24" s="70" t="n">
        <f aca="false">MAX(0,AB16-AB18-AB22)</f>
        <v>42033.7283088712</v>
      </c>
      <c r="AC24" s="70" t="n">
        <f aca="false">MAX(0,AC16-AC18-AC22)</f>
        <v>45234.9526144656</v>
      </c>
      <c r="AD24" s="70" t="n">
        <f aca="false">MAX(0,AD16-AD18-AD22)</f>
        <v>48644.6401417501</v>
      </c>
      <c r="AE24" s="70" t="n">
        <f aca="false">MAX(0,AE16-AE18-AE22)</f>
        <v>52300.7431943757</v>
      </c>
      <c r="AF24" s="70" t="n">
        <f aca="false">MAX(0,AF16-AF18-AF22)</f>
        <v>56225.1625614506</v>
      </c>
      <c r="AG24" s="70" t="n">
        <f aca="false">MAX(0,AG16-AG18-AG22)</f>
        <v>60441.7893806987</v>
      </c>
      <c r="AH24" s="70" t="n">
        <f aca="false">MAX(0,AH16-AH18-AH22)</f>
        <v>64976.3942974937</v>
      </c>
      <c r="AI24" s="70" t="n">
        <f aca="false">MAX(0,AI16-AI18-AI22)</f>
        <v>69856.8397641019</v>
      </c>
      <c r="AJ24" s="70" t="n">
        <f aca="false">MAX(0,AJ16-AJ18-AJ22)</f>
        <v>75113.2684996925</v>
      </c>
      <c r="AK24" s="70" t="n">
        <f aca="false">MAX(0,AK16-AK18-AK22)</f>
        <v>80778.3087043978</v>
      </c>
      <c r="AL24" s="70" t="n">
        <f aca="false">MAX(0,AL16-AL18-AL22)</f>
        <v>86887.2964733099</v>
      </c>
      <c r="AM24" s="70" t="n">
        <f aca="false">SUM(C24:AL24)</f>
        <v>1356471.40616053</v>
      </c>
    </row>
    <row r="25" customFormat="false" ht="15" hidden="false" customHeight="false" outlineLevel="0" collapsed="false">
      <c r="A25" s="10" t="s">
        <v>746</v>
      </c>
      <c r="B25" s="9" t="s">
        <v>84</v>
      </c>
      <c r="C25" s="61" t="n">
        <f aca="false">(Assumptions!$G$21/(Assumptions!$G$41*Assumptions!$G$42))*(C24/Assumptions!$G$21)^Assumptions!$G$25</f>
        <v>4800.32071793967</v>
      </c>
      <c r="D25" s="61" t="n">
        <f aca="false">(Assumptions!$G$21/(Assumptions!$G$41*Assumptions!$G$42))*(D24/Assumptions!$G$21)^Assumptions!$G$25</f>
        <v>12279.9942962906</v>
      </c>
      <c r="E25" s="61" t="n">
        <f aca="false">(Assumptions!$G$21/(Assumptions!$G$41*Assumptions!$G$42))*(E24/Assumptions!$G$21)^Assumptions!$G$25</f>
        <v>11713.584187704</v>
      </c>
      <c r="F25" s="61" t="n">
        <f aca="false">(Assumptions!$G$21/(Assumptions!$G$41*Assumptions!$G$42))*(F24/Assumptions!$G$21)^Assumptions!$G$25</f>
        <v>11653.1368264533</v>
      </c>
      <c r="G25" s="61" t="n">
        <f aca="false">(Assumptions!$G$21/(Assumptions!$G$41*Assumptions!$G$42))*(G24/Assumptions!$G$21)^Assumptions!$G$25</f>
        <v>11628.5168330877</v>
      </c>
      <c r="H25" s="61" t="n">
        <f aca="false">(Assumptions!$G$21/(Assumptions!$G$41*Assumptions!$G$42))*(H24/Assumptions!$G$21)^Assumptions!$G$25</f>
        <v>11604.6732789901</v>
      </c>
      <c r="I25" s="61" t="n">
        <f aca="false">(Assumptions!$G$21/(Assumptions!$G$41*Assumptions!$G$42))*(I24/Assumptions!$G$21)^Assumptions!$G$25</f>
        <v>11578.8843798793</v>
      </c>
      <c r="J25" s="61" t="n">
        <f aca="false">(Assumptions!$G$21/(Assumptions!$G$41*Assumptions!$G$42))*(J24/Assumptions!$G$21)^Assumptions!$G$25</f>
        <v>11550.7687321316</v>
      </c>
      <c r="K25" s="61" t="n">
        <f aca="false">(Assumptions!$G$21/(Assumptions!$G$41*Assumptions!$G$42))*(K24/Assumptions!$G$21)^Assumptions!$G$25</f>
        <v>11520.0980101673</v>
      </c>
      <c r="L25" s="61" t="n">
        <f aca="false">(Assumptions!$G$21/(Assumptions!$G$41*Assumptions!$G$42))*(L24/Assumptions!$G$21)^Assumptions!$G$25</f>
        <v>11486.6361941045</v>
      </c>
      <c r="M25" s="61" t="n">
        <f aca="false">(Assumptions!$G$21/(Assumptions!$G$41*Assumptions!$G$42))*(M24/Assumptions!$G$21)^Assumptions!$G$25</f>
        <v>11450.1260351141</v>
      </c>
      <c r="N25" s="61" t="n">
        <f aca="false">(Assumptions!$G$21/(Assumptions!$G$41*Assumptions!$G$42))*(N24/Assumptions!$G$21)^Assumptions!$G$25</f>
        <v>11410.2860264165</v>
      </c>
      <c r="O25" s="61" t="n">
        <f aca="false">(Assumptions!$G$21/(Assumptions!$G$41*Assumptions!$G$42))*(O24/Assumptions!$G$21)^Assumptions!$G$25</f>
        <v>11366.8079147614</v>
      </c>
      <c r="P25" s="61" t="n">
        <f aca="false">(Assumptions!$G$21/(Assumptions!$G$41*Assumptions!$G$42))*(P24/Assumptions!$G$21)^Assumptions!$G$25</f>
        <v>11319.3539997409</v>
      </c>
      <c r="Q25" s="61" t="n">
        <f aca="false">(Assumptions!$G$21/(Assumptions!$G$41*Assumptions!$G$42))*(Q24/Assumptions!$G$21)^Assumptions!$G$25</f>
        <v>11267.5541330998</v>
      </c>
      <c r="R25" s="61" t="n">
        <f aca="false">(Assumptions!$G$21/(Assumptions!$G$41*Assumptions!$G$42))*(R24/Assumptions!$G$21)^Assumptions!$G$25</f>
        <v>11211.0023729458</v>
      </c>
      <c r="S25" s="61" t="n">
        <f aca="false">(Assumptions!$G$21/(Assumptions!$G$41*Assumptions!$G$42))*(S24/Assumptions!$G$21)^Assumptions!$G$25</f>
        <v>11149.2532441405</v>
      </c>
      <c r="T25" s="61" t="n">
        <f aca="false">(Assumptions!$G$21/(Assumptions!$G$41*Assumptions!$G$42))*(T24/Assumptions!$G$21)^Assumptions!$G$25</f>
        <v>11081.8175476676</v>
      </c>
      <c r="U25" s="61" t="n">
        <f aca="false">(Assumptions!$G$21/(Assumptions!$G$41*Assumptions!$G$42))*(U24/Assumptions!$G$21)^Assumptions!$G$25</f>
        <v>11445.8586339248</v>
      </c>
      <c r="V25" s="61" t="n">
        <f aca="false">(Assumptions!$G$21/(Assumptions!$G$41*Assumptions!$G$42))*(V24/Assumptions!$G$21)^Assumptions!$G$25</f>
        <v>12004.4245961688</v>
      </c>
      <c r="W25" s="61" t="n">
        <f aca="false">(Assumptions!$G$21/(Assumptions!$G$41*Assumptions!$G$42))*(W24/Assumptions!$G$21)^Assumptions!$G$25</f>
        <v>12605.9725536938</v>
      </c>
      <c r="X25" s="61" t="n">
        <f aca="false">(Assumptions!$G$21/(Assumptions!$G$41*Assumptions!$G$42))*(X24/Assumptions!$G$21)^Assumptions!$G$25</f>
        <v>13254.7161321869</v>
      </c>
      <c r="Y25" s="61" t="n">
        <f aca="false">(Assumptions!$G$21/(Assumptions!$G$41*Assumptions!$G$42))*(Y24/Assumptions!$G$21)^Assumptions!$G$25</f>
        <v>13953.510555723</v>
      </c>
      <c r="Z25" s="61" t="n">
        <f aca="false">(Assumptions!$G$21/(Assumptions!$G$41*Assumptions!$G$42))*(Z24/Assumptions!$G$21)^Assumptions!$G$25</f>
        <v>14705.726311292</v>
      </c>
      <c r="AA25" s="61" t="n">
        <f aca="false">(Assumptions!$G$21/(Assumptions!$G$41*Assumptions!$G$42))*(AA24/Assumptions!$G$21)^Assumptions!$G$25</f>
        <v>15514.9452445635</v>
      </c>
      <c r="AB25" s="61" t="n">
        <f aca="false">(Assumptions!$G$21/(Assumptions!$G$41*Assumptions!$G$42))*(AB24/Assumptions!$G$21)^Assumptions!$G$25</f>
        <v>16384.9876891478</v>
      </c>
      <c r="AC25" s="61" t="n">
        <f aca="false">(Assumptions!$G$21/(Assumptions!$G$41*Assumptions!$G$42))*(AC24/Assumptions!$G$21)^Assumptions!$G$25</f>
        <v>17299.5388878769</v>
      </c>
      <c r="AD25" s="61" t="n">
        <f aca="false">(Assumptions!$G$21/(Assumptions!$G$41*Assumptions!$G$42))*(AD24/Assumptions!$G$21)^Assumptions!$G$25</f>
        <v>18255.3246266247</v>
      </c>
      <c r="AE25" s="61" t="n">
        <f aca="false">(Assumptions!$G$21/(Assumptions!$G$41*Assumptions!$G$42))*(AE24/Assumptions!$G$21)^Assumptions!$G$25</f>
        <v>19261.0287962316</v>
      </c>
      <c r="AF25" s="61" t="n">
        <f aca="false">(Assumptions!$G$21/(Assumptions!$G$41*Assumptions!$G$42))*(AF24/Assumptions!$G$21)^Assumptions!$G$25</f>
        <v>20320.4067353964</v>
      </c>
      <c r="AG25" s="61" t="n">
        <f aca="false">(Assumptions!$G$21/(Assumptions!$G$41*Assumptions!$G$42))*(AG24/Assumptions!$G$21)^Assumptions!$G$25</f>
        <v>21437.4574653035</v>
      </c>
      <c r="AH25" s="61" t="n">
        <f aca="false">(Assumptions!$G$21/(Assumptions!$G$41*Assumptions!$G$42))*(AH24/Assumptions!$G$21)^Assumptions!$G$25</f>
        <v>22616.3654719284</v>
      </c>
      <c r="AI25" s="61" t="n">
        <f aca="false">(Assumptions!$G$21/(Assumptions!$G$41*Assumptions!$G$42))*(AI24/Assumptions!$G$21)^Assumptions!$G$25</f>
        <v>23861.5293707679</v>
      </c>
      <c r="AJ25" s="61" t="n">
        <f aca="false">(Assumptions!$G$21/(Assumptions!$G$41*Assumptions!$G$42))*(AJ24/Assumptions!$G$21)^Assumptions!$G$25</f>
        <v>25177.5804679013</v>
      </c>
      <c r="AK25" s="61" t="n">
        <f aca="false">(Assumptions!$G$21/(Assumptions!$G$41*Assumptions!$G$42))*(AK24/Assumptions!$G$21)^Assumptions!$G$25</f>
        <v>26569.4022141091</v>
      </c>
      <c r="AL25" s="61" t="n">
        <f aca="false">(Assumptions!$G$21/(Assumptions!$G$41*Assumptions!$G$42))*(AL24/Assumptions!$G$21)^Assumptions!$G$25</f>
        <v>28042.1504015055</v>
      </c>
      <c r="AM25" s="61" t="n">
        <f aca="false">SUM(C25:AL25)</f>
        <v>532783.740884981</v>
      </c>
    </row>
    <row r="26" customFormat="false" ht="15" hidden="false" customHeight="false" outlineLevel="0" collapsed="false">
      <c r="A26" s="37" t="s">
        <v>747</v>
      </c>
      <c r="B26" s="9" t="s">
        <v>97</v>
      </c>
      <c r="C26" s="53" t="n">
        <f aca="false">C18+C22+C24</f>
        <v>8000</v>
      </c>
      <c r="D26" s="53" t="n">
        <f aca="false">D18+D22+D24</f>
        <v>30000</v>
      </c>
      <c r="E26" s="53" t="n">
        <f aca="false">E18+E22+E24</f>
        <v>30000</v>
      </c>
      <c r="F26" s="53" t="n">
        <f aca="false">F18+F22+F24</f>
        <v>30000</v>
      </c>
      <c r="G26" s="53" t="n">
        <f aca="false">G18+G22+G24</f>
        <v>30000</v>
      </c>
      <c r="H26" s="53" t="n">
        <f aca="false">H18+H22+H24</f>
        <v>30000</v>
      </c>
      <c r="I26" s="53" t="n">
        <f aca="false">I18+I22+I24</f>
        <v>30000</v>
      </c>
      <c r="J26" s="53" t="n">
        <f aca="false">J18+J22+J24</f>
        <v>30000</v>
      </c>
      <c r="K26" s="53" t="n">
        <f aca="false">K18+K22+K24</f>
        <v>30000</v>
      </c>
      <c r="L26" s="53" t="n">
        <f aca="false">L18+L22+L24</f>
        <v>30000</v>
      </c>
      <c r="M26" s="53" t="n">
        <f aca="false">M18+M22+M24</f>
        <v>30000</v>
      </c>
      <c r="N26" s="53" t="n">
        <f aca="false">N18+N22+N24</f>
        <v>30000</v>
      </c>
      <c r="O26" s="53" t="n">
        <f aca="false">O18+O22+O24</f>
        <v>30000</v>
      </c>
      <c r="P26" s="53" t="n">
        <f aca="false">P18+P22+P24</f>
        <v>30000</v>
      </c>
      <c r="Q26" s="53" t="n">
        <f aca="false">Q18+Q22+Q24</f>
        <v>30000</v>
      </c>
      <c r="R26" s="53" t="n">
        <f aca="false">R18+R22+R24</f>
        <v>30000</v>
      </c>
      <c r="S26" s="53" t="n">
        <f aca="false">S18+S22+S24</f>
        <v>30000</v>
      </c>
      <c r="T26" s="53" t="n">
        <f aca="false">T18+T22+T24</f>
        <v>30000</v>
      </c>
      <c r="U26" s="53" t="n">
        <f aca="false">U18+U22+U24</f>
        <v>31328.6351269562</v>
      </c>
      <c r="V26" s="53" t="n">
        <f aca="false">V18+V22+V24</f>
        <v>33379.7587964508</v>
      </c>
      <c r="W26" s="53" t="n">
        <f aca="false">W18+W22+W24</f>
        <v>35668.9846541144</v>
      </c>
      <c r="X26" s="53" t="n">
        <f aca="false">X18+X22+X24</f>
        <v>38182.8209132527</v>
      </c>
      <c r="Y26" s="53" t="n">
        <f aca="false">Y18+Y22+Y24</f>
        <v>40935.7005421088</v>
      </c>
      <c r="Z26" s="53" t="n">
        <f aca="false">Z18+Z22+Z24</f>
        <v>43948.8198142219</v>
      </c>
      <c r="AA26" s="53" t="n">
        <f aca="false">AA18+AA22+AA24</f>
        <v>47245.9626422005</v>
      </c>
      <c r="AB26" s="53" t="n">
        <f aca="false">AB18+AB22+AB24</f>
        <v>50853.198240775</v>
      </c>
      <c r="AC26" s="53" t="n">
        <f aca="false">AC18+AC22+AC24</f>
        <v>54726.9498085041</v>
      </c>
      <c r="AD26" s="53" t="n">
        <f aca="false">AD18+AD22+AD24</f>
        <v>58862.5791637876</v>
      </c>
      <c r="AE26" s="53" t="n">
        <f aca="false">AE18+AE22+AE24</f>
        <v>63300.7914452138</v>
      </c>
      <c r="AF26" s="53" t="n">
        <f aca="false">AF18+AF22+AF24</f>
        <v>68069.2514659728</v>
      </c>
      <c r="AG26" s="53" t="n">
        <f aca="false">AG18+AG22+AG24</f>
        <v>73197.374670564</v>
      </c>
      <c r="AH26" s="53" t="n">
        <f aca="false">AH18+AH22+AH24</f>
        <v>78716.830107155</v>
      </c>
      <c r="AI26" s="53" t="n">
        <f aca="false">AI18+AI22+AI24</f>
        <v>84661.8577815704</v>
      </c>
      <c r="AJ26" s="53" t="n">
        <f aca="false">AJ18+AJ22+AJ24</f>
        <v>91069.5124435563</v>
      </c>
      <c r="AK26" s="53" t="n">
        <f aca="false">AK18+AK22+AK24</f>
        <v>97979.9184399668</v>
      </c>
      <c r="AL26" s="53" t="n">
        <f aca="false">AL18+AL22+AL24</f>
        <v>105436.544613764</v>
      </c>
      <c r="AM26" s="53" t="n">
        <f aca="false">SUM(C26:AL26)</f>
        <v>1615565.49067013</v>
      </c>
    </row>
    <row r="27" customFormat="false" ht="15" hidden="false" customHeight="false" outlineLevel="0" collapsed="false">
      <c r="A27" s="10" t="s">
        <v>748</v>
      </c>
      <c r="B27" s="9" t="s">
        <v>84</v>
      </c>
      <c r="C27" s="61" t="n">
        <f aca="false">C19+C23+C25</f>
        <v>4800.32071793967</v>
      </c>
      <c r="D27" s="61" t="n">
        <f aca="false">D19+D23+D25</f>
        <v>13367.2343950073</v>
      </c>
      <c r="E27" s="61" t="n">
        <f aca="false">E19+E23+E25</f>
        <v>14017.2225570175</v>
      </c>
      <c r="F27" s="61" t="n">
        <f aca="false">F19+F23+F25</f>
        <v>14088.0564956432</v>
      </c>
      <c r="G27" s="61" t="n">
        <f aca="false">G19+G23+G25</f>
        <v>14118.8558099227</v>
      </c>
      <c r="H27" s="61" t="n">
        <f aca="false">H19+H23+H25</f>
        <v>14149.0379703201</v>
      </c>
      <c r="I27" s="61" t="n">
        <f aca="false">I19+I23+I25</f>
        <v>14181.6710998358</v>
      </c>
      <c r="J27" s="61" t="n">
        <f aca="false">J19+J23+J25</f>
        <v>14217.1989673098</v>
      </c>
      <c r="K27" s="61" t="n">
        <f aca="false">K19+K23+K25</f>
        <v>14255.8938684288</v>
      </c>
      <c r="L27" s="61" t="n">
        <f aca="false">L19+L23+L25</f>
        <v>14298.036391293</v>
      </c>
      <c r="M27" s="61" t="n">
        <f aca="false">M19+M23+M25</f>
        <v>14343.9301603215</v>
      </c>
      <c r="N27" s="61" t="n">
        <f aca="false">N19+N23+N25</f>
        <v>14393.9047157918</v>
      </c>
      <c r="O27" s="61" t="n">
        <f aca="false">O19+O23+O25</f>
        <v>14448.3176518236</v>
      </c>
      <c r="P27" s="61" t="n">
        <f aca="false">P19+P23+P25</f>
        <v>14507.5568209852</v>
      </c>
      <c r="Q27" s="61" t="n">
        <f aca="false">Q19+Q23+Q25</f>
        <v>14572.0426630744</v>
      </c>
      <c r="R27" s="61" t="n">
        <f aca="false">R19+R23+R25</f>
        <v>14642.2306582458</v>
      </c>
      <c r="S27" s="61" t="n">
        <f aca="false">S19+S23+S25</f>
        <v>14718.613896498</v>
      </c>
      <c r="T27" s="61" t="n">
        <f aca="false">T19+T23+T25</f>
        <v>14801.7257496012</v>
      </c>
      <c r="U27" s="61" t="n">
        <f aca="false">U19+U23+U25</f>
        <v>15329.8436068648</v>
      </c>
      <c r="V27" s="61" t="n">
        <f aca="false">V19+V23+V25</f>
        <v>16127.4130658959</v>
      </c>
      <c r="W27" s="61" t="n">
        <f aca="false">W19+W23+W25</f>
        <v>17019.9889716781</v>
      </c>
      <c r="X27" s="61" t="n">
        <f aca="false">X19+X23+X25</f>
        <v>17989.1464781444</v>
      </c>
      <c r="Y27" s="61" t="n">
        <f aca="false">Y19+Y23+Y25</f>
        <v>19036.6764264313</v>
      </c>
      <c r="Z27" s="61" t="n">
        <f aca="false">Z19+Z23+Z25</f>
        <v>20167.7967905865</v>
      </c>
      <c r="AA27" s="61" t="n">
        <f aca="false">AA19+AA23+AA25</f>
        <v>21388.5522462887</v>
      </c>
      <c r="AB27" s="61" t="n">
        <f aca="false">AB19+AB23+AB25</f>
        <v>22705.4967109039</v>
      </c>
      <c r="AC27" s="61" t="n">
        <f aca="false">AC19+AC23+AC25</f>
        <v>24105.2902514278</v>
      </c>
      <c r="AD27" s="61" t="n">
        <f aca="false">AD19+AD23+AD25</f>
        <v>25585.0847029198</v>
      </c>
      <c r="AE27" s="61" t="n">
        <f aca="false">AE19+AE23+AE25</f>
        <v>27155.6360496119</v>
      </c>
      <c r="AF27" s="61" t="n">
        <f aca="false">AF19+AF23+AF25</f>
        <v>28824.8640285525</v>
      </c>
      <c r="AG27" s="61" t="n">
        <f aca="false">AG19+AG23+AG25</f>
        <v>30600.7837658341</v>
      </c>
      <c r="AH27" s="61" t="n">
        <f aca="false">AH19+AH23+AH25</f>
        <v>32491.8724110296</v>
      </c>
      <c r="AI27" s="61" t="n">
        <f aca="false">AI19+AI23+AI25</f>
        <v>34507.1719240004</v>
      </c>
      <c r="AJ27" s="61" t="n">
        <f aca="false">AJ19+AJ23+AJ25</f>
        <v>36656.3476128717</v>
      </c>
      <c r="AK27" s="61" t="n">
        <f aca="false">AK19+AK23+AK25</f>
        <v>38949.7438067871</v>
      </c>
      <c r="AL27" s="61" t="n">
        <f aca="false">AL19+AL23+AL25</f>
        <v>41398.4424124786</v>
      </c>
      <c r="AM27" s="61" t="n">
        <f aca="false">SUM(C27:AL27)</f>
        <v>717962.001851367</v>
      </c>
    </row>
    <row r="28" customFormat="false" ht="15" hidden="false" customHeight="false" outlineLevel="0" collapsed="false">
      <c r="A28" s="10" t="s">
        <v>749</v>
      </c>
      <c r="B28" s="9" t="s">
        <v>97</v>
      </c>
      <c r="C28" s="63" t="n">
        <f aca="false">IFERROR(C26/C27,0)</f>
        <v>1.66655531371113</v>
      </c>
      <c r="D28" s="63" t="n">
        <f aca="false">IFERROR(D26/D27,0)</f>
        <v>2.24429370455305</v>
      </c>
      <c r="E28" s="63" t="n">
        <f aca="false">IFERROR(E26/E27,0)</f>
        <v>2.14022427609819</v>
      </c>
      <c r="F28" s="63" t="n">
        <f aca="false">IFERROR(F26/F27,0)</f>
        <v>2.12946335140534</v>
      </c>
      <c r="G28" s="63" t="n">
        <f aca="false">IFERROR(G26/G27,0)</f>
        <v>2.1248180733538</v>
      </c>
      <c r="H28" s="63" t="n">
        <f aca="false">IFERROR(H26/H27,0)</f>
        <v>2.1202854966486</v>
      </c>
      <c r="I28" s="63" t="n">
        <f aca="false">IFERROR(I26/I27,0)</f>
        <v>2.11540655461594</v>
      </c>
      <c r="J28" s="63" t="n">
        <f aca="false">IFERROR(J26/J27,0)</f>
        <v>2.11012028944521</v>
      </c>
      <c r="K28" s="63" t="n">
        <f aca="false">IFERROR(K26/K27,0)</f>
        <v>2.10439277093934</v>
      </c>
      <c r="L28" s="63" t="n">
        <f aca="false">IFERROR(L26/L27,0)</f>
        <v>2.09819021150827</v>
      </c>
      <c r="M28" s="63" t="n">
        <f aca="false">IFERROR(M26/M27,0)</f>
        <v>2.09147699861134</v>
      </c>
      <c r="N28" s="63" t="n">
        <f aca="false">IFERROR(N26/N27,0)</f>
        <v>2.08421554764682</v>
      </c>
      <c r="O28" s="63" t="n">
        <f aca="false">IFERROR(O26/O27,0)</f>
        <v>2.0763663094169</v>
      </c>
      <c r="P28" s="63" t="n">
        <f aca="false">IFERROR(P26/P27,0)</f>
        <v>2.06788781668634</v>
      </c>
      <c r="Q28" s="63" t="n">
        <f aca="false">IFERROR(Q26/Q27,0)</f>
        <v>2.05873676694758</v>
      </c>
      <c r="R28" s="63" t="n">
        <f aca="false">IFERROR(R26/R27,0)</f>
        <v>2.04886814722492</v>
      </c>
      <c r="S28" s="63" t="n">
        <f aca="false">IFERROR(S26/S27,0)</f>
        <v>2.03823540796447</v>
      </c>
      <c r="T28" s="63" t="n">
        <f aca="false">IFERROR(T26/T27,0)</f>
        <v>2.02679069370059</v>
      </c>
      <c r="U28" s="63" t="n">
        <f aca="false">IFERROR(U26/U27,0)</f>
        <v>2.04363696919432</v>
      </c>
      <c r="V28" s="63" t="n">
        <f aca="false">IFERROR(V26/V27,0)</f>
        <v>2.06975282768926</v>
      </c>
      <c r="W28" s="63" t="n">
        <f aca="false">IFERROR(W26/W27,0)</f>
        <v>2.09571138462363</v>
      </c>
      <c r="X28" s="63" t="n">
        <f aca="false">IFERROR(X26/X27,0)</f>
        <v>2.12254766837561</v>
      </c>
      <c r="Y28" s="63" t="n">
        <f aca="false">IFERROR(Y26/Y27,0)</f>
        <v>2.15035963343223</v>
      </c>
      <c r="Z28" s="63" t="n">
        <f aca="false">IFERROR(Z26/Z27,0)</f>
        <v>2.17915820307826</v>
      </c>
      <c r="AA28" s="63" t="n">
        <f aca="false">IFERROR(AA26/AA27,0)</f>
        <v>2.20893691626082</v>
      </c>
      <c r="AB28" s="63" t="n">
        <f aca="false">IFERROR(AB26/AB27,0)</f>
        <v>2.23968666654862</v>
      </c>
      <c r="AC28" s="63" t="n">
        <f aca="false">IFERROR(AC26/AC27,0)</f>
        <v>2.27032942717885</v>
      </c>
      <c r="AD28" s="63" t="n">
        <f aca="false">IFERROR(AD26/AD27,0)</f>
        <v>2.30065992930132</v>
      </c>
      <c r="AE28" s="63" t="n">
        <f aca="false">IFERROR(AE26/AE27,0)</f>
        <v>2.33103696520187</v>
      </c>
      <c r="AF28" s="63" t="n">
        <f aca="false">IFERROR(AF26/AF27,0)</f>
        <v>2.36147693180952</v>
      </c>
      <c r="AG28" s="63" t="n">
        <f aca="false">IFERROR(AG26/AG27,0)</f>
        <v>2.39200980049044</v>
      </c>
      <c r="AH28" s="63" t="n">
        <f aca="false">IFERROR(AH26/AH27,0)</f>
        <v>2.42266216952256</v>
      </c>
      <c r="AI28" s="63" t="n">
        <f aca="false">IFERROR(AI26/AI27,0)</f>
        <v>2.45345686305537</v>
      </c>
      <c r="AJ28" s="63" t="n">
        <f aca="false">IFERROR(AJ26/AJ27,0)</f>
        <v>2.48441316099855</v>
      </c>
      <c r="AK28" s="63" t="n">
        <f aca="false">IFERROR(AK26/AK27,0)</f>
        <v>2.51554718629224</v>
      </c>
      <c r="AL28" s="63" t="n">
        <f aca="false">IFERROR(AL26/AL27,0)</f>
        <v>2.54687226063322</v>
      </c>
      <c r="AM28" s="63" t="n">
        <f aca="false">AVERAGE(N28:AL28)</f>
        <v>2.22357422613097</v>
      </c>
    </row>
    <row r="29" customFormat="false" ht="15" hidden="false" customHeight="false" outlineLevel="0" collapsed="false">
      <c r="A29" s="37" t="s">
        <v>750</v>
      </c>
      <c r="B29" s="9" t="s">
        <v>84</v>
      </c>
      <c r="C29" s="71" t="n">
        <f aca="false">C13+C15+C27</f>
        <v>7000.32071793967</v>
      </c>
      <c r="D29" s="71" t="n">
        <f aca="false">D13+D15+D27</f>
        <v>15765.2343950073</v>
      </c>
      <c r="E29" s="71" t="n">
        <f aca="false">E13+E15+E27</f>
        <v>16631.0425570175</v>
      </c>
      <c r="F29" s="71" t="n">
        <f aca="false">F13+F15+F27</f>
        <v>16937.1202956432</v>
      </c>
      <c r="G29" s="71" t="n">
        <f aca="false">G13+G15+G27</f>
        <v>17224.3353519227</v>
      </c>
      <c r="H29" s="71" t="n">
        <f aca="false">H13+H15+H27</f>
        <v>17534.0106711001</v>
      </c>
      <c r="I29" s="71" t="n">
        <f aca="false">I13+I15+I27</f>
        <v>17871.291343686</v>
      </c>
      <c r="J29" s="71" t="n">
        <f aca="false">J13+J15+J27</f>
        <v>18238.8850331065</v>
      </c>
      <c r="K29" s="71" t="n">
        <f aca="false">K13+K15+K27</f>
        <v>18639.5316801472</v>
      </c>
      <c r="L29" s="71" t="n">
        <f aca="false">L13+L15+L27</f>
        <v>19076.2016060661</v>
      </c>
      <c r="M29" s="71" t="n">
        <f aca="false">M13+M15+M27</f>
        <v>19552.1302444242</v>
      </c>
      <c r="N29" s="71" t="n">
        <f aca="false">N13+N15+N27</f>
        <v>20070.8428074637</v>
      </c>
      <c r="O29" s="71" t="n">
        <f aca="false">O13+O15+O27</f>
        <v>20636.180171746</v>
      </c>
      <c r="P29" s="71" t="n">
        <f aca="false">P13+P15+P27</f>
        <v>21252.3269677006</v>
      </c>
      <c r="Q29" s="71" t="n">
        <f aca="false">Q13+Q15+Q27</f>
        <v>21923.8421229942</v>
      </c>
      <c r="R29" s="71" t="n">
        <f aca="false">R13+R15+R27</f>
        <v>22655.6920695584</v>
      </c>
      <c r="S29" s="71" t="n">
        <f aca="false">S13+S15+S27</f>
        <v>23453.2868348286</v>
      </c>
      <c r="T29" s="71" t="n">
        <f aca="false">T13+T15+T27</f>
        <v>24322.5192523816</v>
      </c>
      <c r="U29" s="71" t="n">
        <f aca="false">U13+U15+U27</f>
        <v>25707.5085248955</v>
      </c>
      <c r="V29" s="71" t="n">
        <f aca="false">V13+V15+V27</f>
        <v>27439.0678265494</v>
      </c>
      <c r="W29" s="71" t="n">
        <f aca="false">W13+W15+W27</f>
        <v>29349.6926607904</v>
      </c>
      <c r="X29" s="71" t="n">
        <f aca="false">X13+X15+X27</f>
        <v>31428.5234992768</v>
      </c>
      <c r="Y29" s="71" t="n">
        <f aca="false">Y13+Y15+Y27</f>
        <v>33685.5973794656</v>
      </c>
      <c r="Z29" s="71" t="n">
        <f aca="false">Z13+Z15+Z27</f>
        <v>36135.1206293939</v>
      </c>
      <c r="AA29" s="71" t="n">
        <f aca="false">AA13+AA15+AA27</f>
        <v>38792.9352305888</v>
      </c>
      <c r="AB29" s="71" t="n">
        <f aca="false">AB13+AB15+AB27</f>
        <v>41676.2741637909</v>
      </c>
      <c r="AC29" s="71" t="n">
        <f aca="false">AC13+AC15+AC27</f>
        <v>44783.4376750747</v>
      </c>
      <c r="AD29" s="71" t="n">
        <f aca="false">AD13+AD15+AD27</f>
        <v>48124.2653946949</v>
      </c>
      <c r="AE29" s="71" t="n">
        <f aca="false">AE13+AE15+AE27</f>
        <v>51723.3430036468</v>
      </c>
      <c r="AF29" s="71" t="n">
        <f aca="false">AF13+AF15+AF27</f>
        <v>55603.6646084505</v>
      </c>
      <c r="AG29" s="71" t="n">
        <f aca="false">AG13+AG15+AG27</f>
        <v>59789.6763979229</v>
      </c>
      <c r="AH29" s="71" t="n">
        <f aca="false">AH13+AH15+AH27</f>
        <v>64307.7653800064</v>
      </c>
      <c r="AI29" s="71" t="n">
        <f aca="false">AI13+AI15+AI27</f>
        <v>69186.4952601851</v>
      </c>
      <c r="AJ29" s="71" t="n">
        <f aca="false">AJ13+AJ15+AJ27</f>
        <v>74456.810049313</v>
      </c>
      <c r="AK29" s="71" t="n">
        <f aca="false">AK13+AK15+AK27</f>
        <v>80152.2478625082</v>
      </c>
      <c r="AL29" s="71" t="n">
        <f aca="false">AL13+AL15+AL27</f>
        <v>86309.1718332146</v>
      </c>
      <c r="AM29" s="71" t="n">
        <f aca="false">SUM(C29:AL29)</f>
        <v>1237436.3915025</v>
      </c>
    </row>
    <row r="30" customFormat="false" ht="15" hidden="false" customHeight="false" outlineLevel="0" collapsed="false">
      <c r="A30" s="10" t="s">
        <v>751</v>
      </c>
      <c r="B30" s="9" t="s">
        <v>51</v>
      </c>
      <c r="C30" s="61" t="n">
        <f aca="false">C8*Assumptions!$G$47*Assumptions!$G$48^C10</f>
        <v>0</v>
      </c>
      <c r="D30" s="61" t="n">
        <f aca="false">D8*Assumptions!$G$47*Assumptions!$G$48^D10</f>
        <v>1500</v>
      </c>
      <c r="E30" s="61" t="n">
        <f aca="false">E8*Assumptions!$G$47*Assumptions!$G$48^E10</f>
        <v>2025</v>
      </c>
      <c r="F30" s="61" t="n">
        <f aca="false">F8*Assumptions!$G$47*Assumptions!$G$48^F10</f>
        <v>2733.75</v>
      </c>
      <c r="G30" s="61" t="n">
        <f aca="false">G8*Assumptions!$G$47*Assumptions!$G$48^G10</f>
        <v>3690.5625</v>
      </c>
      <c r="H30" s="61" t="n">
        <f aca="false">H8*Assumptions!$G$47*Assumptions!$G$48^H10</f>
        <v>4982.259375</v>
      </c>
      <c r="I30" s="61" t="n">
        <f aca="false">I8*Assumptions!$G$47*Assumptions!$G$48^I10</f>
        <v>6726.05015625</v>
      </c>
      <c r="J30" s="61" t="n">
        <f aca="false">J8*Assumptions!$G$47*Assumptions!$G$48^J10</f>
        <v>9080.1677109375</v>
      </c>
      <c r="K30" s="61" t="n">
        <f aca="false">K8*Assumptions!$G$47*Assumptions!$G$48^K10</f>
        <v>12258.2264097656</v>
      </c>
      <c r="L30" s="61" t="n">
        <f aca="false">L8*Assumptions!$G$47*Assumptions!$G$48^L10</f>
        <v>16548.6056531836</v>
      </c>
      <c r="M30" s="61" t="n">
        <f aca="false">M8*Assumptions!$G$47*Assumptions!$G$48^M10</f>
        <v>22340.6176317979</v>
      </c>
      <c r="N30" s="61" t="n">
        <f aca="false">N8*Assumptions!$G$47*Assumptions!$G$48^N10</f>
        <v>30159.8338029271</v>
      </c>
      <c r="O30" s="61" t="n">
        <f aca="false">O8*Assumptions!$G$47*Assumptions!$G$48^O10</f>
        <v>40715.7756339516</v>
      </c>
      <c r="P30" s="61" t="n">
        <f aca="false">P8*Assumptions!$G$47*Assumptions!$G$48^P10</f>
        <v>54966.2971058347</v>
      </c>
      <c r="Q30" s="61" t="n">
        <f aca="false">Q8*Assumptions!$G$47*Assumptions!$G$48^Q10</f>
        <v>74204.5010928768</v>
      </c>
      <c r="R30" s="61" t="n">
        <f aca="false">R8*Assumptions!$G$47*Assumptions!$G$48^R10</f>
        <v>100176.076475384</v>
      </c>
      <c r="S30" s="61" t="n">
        <f aca="false">S8*Assumptions!$G$47*Assumptions!$G$48^S10</f>
        <v>135237.703241768</v>
      </c>
      <c r="T30" s="61" t="n">
        <f aca="false">T8*Assumptions!$G$47*Assumptions!$G$48^T10</f>
        <v>182570.899376387</v>
      </c>
      <c r="U30" s="61" t="n">
        <f aca="false">U8*Assumptions!$G$47*Assumptions!$G$48^U10</f>
        <v>246470.714158122</v>
      </c>
      <c r="V30" s="61" t="n">
        <f aca="false">V8*Assumptions!$G$47*Assumptions!$G$48^V10</f>
        <v>332735.464113465</v>
      </c>
      <c r="W30" s="61" t="n">
        <f aca="false">W8*Assumptions!$G$47*Assumptions!$G$48^W10</f>
        <v>449192.876553178</v>
      </c>
      <c r="X30" s="61" t="n">
        <f aca="false">X8*Assumptions!$G$47*Assumptions!$G$48^X10</f>
        <v>606410.38334679</v>
      </c>
      <c r="Y30" s="61" t="n">
        <f aca="false">Y8*Assumptions!$G$47*Assumptions!$G$48^Y10</f>
        <v>818654.017518167</v>
      </c>
      <c r="Z30" s="61" t="n">
        <f aca="false">Z8*Assumptions!$G$47*Assumptions!$G$48^Z10</f>
        <v>1105182.92364953</v>
      </c>
      <c r="AA30" s="61" t="n">
        <f aca="false">AA8*Assumptions!$G$47*Assumptions!$G$48^AA10</f>
        <v>1491996.94692686</v>
      </c>
      <c r="AB30" s="61" t="n">
        <f aca="false">AB8*Assumptions!$G$47*Assumptions!$G$48^AB10</f>
        <v>2014195.87835126</v>
      </c>
      <c r="AC30" s="61" t="n">
        <f aca="false">AC8*Assumptions!$G$47*Assumptions!$G$48^AC10</f>
        <v>2719164.4357742</v>
      </c>
      <c r="AD30" s="61" t="n">
        <f aca="false">AD8*Assumptions!$G$47*Assumptions!$G$48^AD10</f>
        <v>3670871.98829517</v>
      </c>
      <c r="AE30" s="61" t="n">
        <f aca="false">AE8*Assumptions!$G$47*Assumptions!$G$48^AE10</f>
        <v>4955677.18419848</v>
      </c>
      <c r="AF30" s="61" t="n">
        <f aca="false">AF8*Assumptions!$G$47*Assumptions!$G$48^AF10</f>
        <v>6690164.19866795</v>
      </c>
      <c r="AG30" s="61" t="n">
        <f aca="false">AG8*Assumptions!$G$47*Assumptions!$G$48^AG10</f>
        <v>9031721.66820174</v>
      </c>
      <c r="AH30" s="61" t="n">
        <f aca="false">AH8*Assumptions!$G$47*Assumptions!$G$48^AH10</f>
        <v>12192824.2520723</v>
      </c>
      <c r="AI30" s="61" t="n">
        <f aca="false">AI8*Assumptions!$G$47*Assumptions!$G$48^AI10</f>
        <v>16460312.7402977</v>
      </c>
      <c r="AJ30" s="61" t="n">
        <f aca="false">AJ8*Assumptions!$G$47*Assumptions!$G$48^AJ10</f>
        <v>22221422.1994018</v>
      </c>
      <c r="AK30" s="61" t="n">
        <f aca="false">AK8*Assumptions!$G$47*Assumptions!$G$48^AK10</f>
        <v>29998919.9691925</v>
      </c>
      <c r="AL30" s="61" t="n">
        <f aca="false">AL8*Assumptions!$G$47*Assumptions!$G$48^AL10</f>
        <v>40498541.9584099</v>
      </c>
      <c r="AM30" s="61" t="n">
        <f aca="false">AL30</f>
        <v>40498541.9584099</v>
      </c>
    </row>
    <row r="31" customFormat="false" ht="15" hidden="false" customHeight="false" outlineLevel="0" collapsed="false">
      <c r="A31" s="10" t="s">
        <v>752</v>
      </c>
      <c r="B31" s="9" t="s">
        <v>51</v>
      </c>
      <c r="C31" s="61" t="n">
        <f aca="false">Assumptions!$G$49*C8*(C15+C13*Assumptions!$G$44+C19*Assumptions!$G$31*Assumptions!$G$32+C23*Assumptions!$G$38*Assumptions!$G$39+C25*Assumptions!$G$43)</f>
        <v>0</v>
      </c>
      <c r="D31" s="61" t="n">
        <f aca="false">Assumptions!$G$49*D8*(D15+D13*Assumptions!$G$44+D19*Assumptions!$G$31*Assumptions!$G$32+D23*Assumptions!$G$38*Assumptions!$G$39+D25*Assumptions!$G$43)</f>
        <v>231.18956573281</v>
      </c>
      <c r="E31" s="61" t="n">
        <f aca="false">Assumptions!$G$49*E8*(E15+E13*Assumptions!$G$44+E19*Assumptions!$G$31*Assumptions!$G$32+E23*Assumptions!$G$38*Assumptions!$G$39+E25*Assumptions!$G$43)</f>
        <v>236.989402675381</v>
      </c>
      <c r="F31" s="61" t="n">
        <f aca="false">Assumptions!$G$49*F8*(F15+F13*Assumptions!$G$44+F19*Assumptions!$G$31*Assumptions!$G$32+F23*Assumptions!$G$38*Assumptions!$G$39+F25*Assumptions!$G$43)</f>
        <v>240.913984463748</v>
      </c>
      <c r="G31" s="61" t="n">
        <f aca="false">Assumptions!$G$49*G8*(G15+G13*Assumptions!$G$44+G19*Assumptions!$G$31*Assumptions!$G$32+G23*Assumptions!$G$38*Assumptions!$G$39+G25*Assumptions!$G$43)</f>
        <v>245.021697286052</v>
      </c>
      <c r="H31" s="61" t="n">
        <f aca="false">Assumptions!$G$49*H8*(H15+H13*Assumptions!$G$44+H19*Assumptions!$G$31*Assumptions!$G$32+H23*Assumptions!$G$38*Assumptions!$G$39+H25*Assumptions!$G$43)</f>
        <v>249.486555864883</v>
      </c>
      <c r="I31" s="61" t="n">
        <f aca="false">Assumptions!$G$49*I8*(I15+I13*Assumptions!$G$44+I19*Assumptions!$G$31*Assumptions!$G$32+I23*Assumptions!$G$38*Assumptions!$G$39+I25*Assumptions!$G$43)</f>
        <v>254.352066337085</v>
      </c>
      <c r="J31" s="61" t="n">
        <f aca="false">Assumptions!$G$49*J8*(J15+J13*Assumptions!$G$44+J19*Assumptions!$G$31*Assumptions!$G$32+J23*Assumptions!$G$38*Assumptions!$G$39+J25*Assumptions!$G$43)</f>
        <v>259.655058072201</v>
      </c>
      <c r="K31" s="61" t="n">
        <f aca="false">Assumptions!$G$49*K8*(K15+K13*Assumptions!$G$44+K19*Assumptions!$G$31*Assumptions!$G$32+K23*Assumptions!$G$38*Assumptions!$G$39+K25*Assumptions!$G$43)</f>
        <v>265.434896798112</v>
      </c>
      <c r="L31" s="61" t="n">
        <f aca="false">Assumptions!$G$49*L8*(L15+L13*Assumptions!$G$44+L19*Assumptions!$G$31*Assumptions!$G$32+L23*Assumptions!$G$38*Assumptions!$G$39+L25*Assumptions!$G$43)</f>
        <v>271.734422360426</v>
      </c>
      <c r="M31" s="61" t="n">
        <f aca="false">Assumptions!$G$49*M8*(M15+M13*Assumptions!$G$44+M19*Assumptions!$G$31*Assumptions!$G$32+M23*Assumptions!$G$38*Assumptions!$G$39+M25*Assumptions!$G$43)</f>
        <v>278.600310318415</v>
      </c>
      <c r="N31" s="61" t="n">
        <f aca="false">Assumptions!$G$49*N8*(N15+N13*Assumptions!$G$44+N19*Assumptions!$G$31*Assumptions!$G$32+N23*Assumptions!$G$38*Assumptions!$G$39+N25*Assumptions!$G$43)</f>
        <v>286.083417705296</v>
      </c>
      <c r="O31" s="61" t="n">
        <f aca="false">Assumptions!$G$49*O8*(O15+O13*Assumptions!$G$44+O19*Assumptions!$G$31*Assumptions!$G$32+O23*Assumptions!$G$38*Assumptions!$G$39+O25*Assumptions!$G$43)</f>
        <v>294.239155779073</v>
      </c>
      <c r="P31" s="61" t="n">
        <f aca="false">Assumptions!$G$49*P8*(P15+P13*Assumptions!$G$44+P19*Assumptions!$G$31*Assumptions!$G$32+P23*Assumptions!$G$38*Assumptions!$G$39+P25*Assumptions!$G$43)</f>
        <v>303.127895259572</v>
      </c>
      <c r="Q31" s="61" t="n">
        <f aca="false">Assumptions!$G$49*Q8*(Q15+Q13*Assumptions!$G$44+Q19*Assumptions!$G$31*Assumptions!$G$32+Q23*Assumptions!$G$38*Assumptions!$G$39+Q25*Assumptions!$G$43)</f>
        <v>312.815407027032</v>
      </c>
      <c r="R31" s="61" t="n">
        <f aca="false">Assumptions!$G$49*R8*(R15+R13*Assumptions!$G$44+R19*Assumptions!$G$31*Assumptions!$G$32+R23*Assumptions!$G$38*Assumptions!$G$39+R25*Assumptions!$G$43)</f>
        <v>323.373341266119</v>
      </c>
      <c r="S31" s="61" t="n">
        <f aca="false">Assumptions!$G$49*S8*(S15+S13*Assumptions!$G$44+S19*Assumptions!$G$31*Assumptions!$G$32+S23*Assumptions!$G$38*Assumptions!$G$39+S25*Assumptions!$G$43)</f>
        <v>334.879748236938</v>
      </c>
      <c r="T31" s="61" t="n">
        <f aca="false">Assumptions!$G$49*T8*(T15+T13*Assumptions!$G$44+T19*Assumptions!$G$31*Assumptions!$G$32+T23*Assumptions!$G$38*Assumptions!$G$39+T25*Assumptions!$G$43)</f>
        <v>347.419644069354</v>
      </c>
      <c r="U31" s="61" t="n">
        <f aca="false">Assumptions!$G$49*U8*(U15+U13*Assumptions!$G$44+U19*Assumptions!$G$31*Assumptions!$G$32+U23*Assumptions!$G$38*Assumptions!$G$39+U25*Assumptions!$G$43)</f>
        <v>367.651139935594</v>
      </c>
      <c r="V31" s="61" t="n">
        <f aca="false">Assumptions!$G$49*V8*(V15+V13*Assumptions!$G$44+V19*Assumptions!$G$31*Assumptions!$G$32+V23*Assumptions!$G$38*Assumptions!$G$39+V25*Assumptions!$G$43)</f>
        <v>392.671326450662</v>
      </c>
      <c r="W31" s="61" t="n">
        <f aca="false">Assumptions!$G$49*W8*(W15+W13*Assumptions!$G$44+W19*Assumptions!$G$31*Assumptions!$G$32+W23*Assumptions!$G$38*Assumptions!$G$39+W25*Assumptions!$G$43)</f>
        <v>420.108622863105</v>
      </c>
      <c r="X31" s="61" t="n">
        <f aca="false">Assumptions!$G$49*X8*(X15+X13*Assumptions!$G$44+X19*Assumptions!$G$31*Assumptions!$G$32+X23*Assumptions!$G$38*Assumptions!$G$39+X25*Assumptions!$G$43)</f>
        <v>449.939861703886</v>
      </c>
      <c r="Y31" s="61" t="n">
        <f aca="false">Assumptions!$G$49*Y8*(Y15+Y13*Assumptions!$G$44+Y19*Assumptions!$G$31*Assumptions!$G$32+Y23*Assumptions!$G$38*Assumptions!$G$39+Y25*Assumptions!$G$43)</f>
        <v>482.326229974356</v>
      </c>
      <c r="Z31" s="61" t="n">
        <f aca="false">Assumptions!$G$49*Z8*(Z15+Z13*Assumptions!$G$44+Z19*Assumptions!$G$31*Assumptions!$G$32+Z23*Assumptions!$G$38*Assumptions!$G$39+Z25*Assumptions!$G$43)</f>
        <v>517.474364877359</v>
      </c>
      <c r="AA31" s="61" t="n">
        <f aca="false">Assumptions!$G$49*AA8*(AA15+AA13*Assumptions!$G$44+AA19*Assumptions!$G$31*Assumptions!$G$32+AA23*Assumptions!$G$38*Assumptions!$G$39+AA25*Assumptions!$G$43)</f>
        <v>555.612162808798</v>
      </c>
      <c r="AB31" s="61" t="n">
        <f aca="false">Assumptions!$G$49*AB8*(AB15+AB13*Assumptions!$G$44+AB19*Assumptions!$G$31*Assumptions!$G$32+AB23*Assumptions!$G$38*Assumptions!$G$39+AB25*Assumptions!$G$43)</f>
        <v>596.987214559074</v>
      </c>
      <c r="AC31" s="61" t="n">
        <f aca="false">Assumptions!$G$49*AC8*(AC15+AC13*Assumptions!$G$44+AC19*Assumptions!$G$31*Assumptions!$G$32+AC23*Assumptions!$G$38*Assumptions!$G$39+AC25*Assumptions!$G$43)</f>
        <v>641.562167238508</v>
      </c>
      <c r="AD31" s="61" t="n">
        <f aca="false">Assumptions!$G$49*AD8*(AD15+AD13*Assumptions!$G$44+AD19*Assumptions!$G$31*Assumptions!$G$32+AD23*Assumptions!$G$38*Assumptions!$G$39+AD25*Assumptions!$G$43)</f>
        <v>689.488590682779</v>
      </c>
      <c r="AE31" s="61" t="n">
        <f aca="false">Assumptions!$G$49*AE8*(AE15+AE13*Assumptions!$G$44+AE19*Assumptions!$G$31*Assumptions!$G$32+AE23*Assumptions!$G$38*Assumptions!$G$39+AE25*Assumptions!$G$43)</f>
        <v>741.129957074357</v>
      </c>
      <c r="AF31" s="61" t="n">
        <f aca="false">Assumptions!$G$49*AF8*(AF15+AF13*Assumptions!$G$44+AF19*Assumptions!$G$31*Assumptions!$G$32+AF23*Assumptions!$G$38*Assumptions!$G$39+AF25*Assumptions!$G$43)</f>
        <v>796.813951906352</v>
      </c>
      <c r="AG31" s="61" t="n">
        <f aca="false">Assumptions!$G$49*AG8*(AG15+AG13*Assumptions!$G$44+AG19*Assumptions!$G$31*Assumptions!$G$32+AG23*Assumptions!$G$38*Assumptions!$G$39+AG25*Assumptions!$G$43)</f>
        <v>856.891630092659</v>
      </c>
      <c r="AH31" s="61" t="n">
        <f aca="false">Assumptions!$G$49*AH8*(AH15+AH13*Assumptions!$G$44+AH19*Assumptions!$G$31*Assumptions!$G$32+AH23*Assumptions!$G$38*Assumptions!$G$39+AH25*Assumptions!$G$43)</f>
        <v>921.742260765918</v>
      </c>
      <c r="AI31" s="61" t="n">
        <f aca="false">Assumptions!$G$49*AI8*(AI15+AI13*Assumptions!$G$44+AI19*Assumptions!$G$31*Assumptions!$G$32+AI23*Assumptions!$G$38*Assumptions!$G$39+AI25*Assumptions!$G$43)</f>
        <v>991.77648923685</v>
      </c>
      <c r="AJ31" s="61" t="n">
        <f aca="false">Assumptions!$G$49*AJ8*(AJ15+AJ13*Assumptions!$G$44+AJ19*Assumptions!$G$31*Assumptions!$G$32+AJ23*Assumptions!$G$38*Assumptions!$G$39+AJ25*Assumptions!$G$43)</f>
        <v>1067.43922593215</v>
      </c>
      <c r="AK31" s="61" t="n">
        <f aca="false">Assumptions!$G$49*AK8*(AK15+AK13*Assumptions!$G$44+AK19*Assumptions!$G$31*Assumptions!$G$32+AK23*Assumptions!$G$38*Assumptions!$G$39+AK25*Assumptions!$G$43)</f>
        <v>1149.21271746944</v>
      </c>
      <c r="AL31" s="61" t="n">
        <f aca="false">Assumptions!$G$49*AL8*(AL15+AL13*Assumptions!$G$44+AL19*Assumptions!$G$31*Assumptions!$G$32+AL23*Assumptions!$G$38*Assumptions!$G$39+AL25*Assumptions!$G$43)</f>
        <v>1237.61986893818</v>
      </c>
      <c r="AM31" s="61" t="n">
        <f aca="false">SUM(C31:AL31)</f>
        <v>17611.7643517625</v>
      </c>
    </row>
    <row r="32" customFormat="false" ht="15" hidden="false" customHeight="false" outlineLevel="0" collapsed="false">
      <c r="A32" s="37" t="s">
        <v>753</v>
      </c>
      <c r="B32" s="9" t="s">
        <v>51</v>
      </c>
      <c r="C32" s="71" t="n">
        <f aca="false">MIN(C31,C30)</f>
        <v>0</v>
      </c>
      <c r="D32" s="71" t="n">
        <f aca="false">MIN(D31,D30)</f>
        <v>231.18956573281</v>
      </c>
      <c r="E32" s="71" t="n">
        <f aca="false">MIN(E31,E30)</f>
        <v>236.989402675381</v>
      </c>
      <c r="F32" s="71" t="n">
        <f aca="false">MIN(F31,F30)</f>
        <v>240.913984463748</v>
      </c>
      <c r="G32" s="71" t="n">
        <f aca="false">MIN(G31,G30)</f>
        <v>245.021697286052</v>
      </c>
      <c r="H32" s="71" t="n">
        <f aca="false">MIN(H31,H30)</f>
        <v>249.486555864883</v>
      </c>
      <c r="I32" s="71" t="n">
        <f aca="false">MIN(I31,I30)</f>
        <v>254.352066337085</v>
      </c>
      <c r="J32" s="71" t="n">
        <f aca="false">MIN(J31,J30)</f>
        <v>259.655058072201</v>
      </c>
      <c r="K32" s="71" t="n">
        <f aca="false">MIN(K31,K30)</f>
        <v>265.434896798112</v>
      </c>
      <c r="L32" s="71" t="n">
        <f aca="false">MIN(L31,L30)</f>
        <v>271.734422360426</v>
      </c>
      <c r="M32" s="71" t="n">
        <f aca="false">MIN(M31,M30)</f>
        <v>278.600310318415</v>
      </c>
      <c r="N32" s="71" t="n">
        <f aca="false">MIN(N31,N30)</f>
        <v>286.083417705296</v>
      </c>
      <c r="O32" s="71" t="n">
        <f aca="false">MIN(O31,O30)</f>
        <v>294.239155779073</v>
      </c>
      <c r="P32" s="71" t="n">
        <f aca="false">MIN(P31,P30)</f>
        <v>303.127895259572</v>
      </c>
      <c r="Q32" s="71" t="n">
        <f aca="false">MIN(Q31,Q30)</f>
        <v>312.815407027032</v>
      </c>
      <c r="R32" s="71" t="n">
        <f aca="false">MIN(R31,R30)</f>
        <v>323.373341266119</v>
      </c>
      <c r="S32" s="71" t="n">
        <f aca="false">MIN(S31,S30)</f>
        <v>334.879748236938</v>
      </c>
      <c r="T32" s="71" t="n">
        <f aca="false">MIN(T31,T30)</f>
        <v>347.419644069354</v>
      </c>
      <c r="U32" s="71" t="n">
        <f aca="false">MIN(U31,U30)</f>
        <v>367.651139935594</v>
      </c>
      <c r="V32" s="71" t="n">
        <f aca="false">MIN(V31,V30)</f>
        <v>392.671326450662</v>
      </c>
      <c r="W32" s="71" t="n">
        <f aca="false">MIN(W31,W30)</f>
        <v>420.108622863105</v>
      </c>
      <c r="X32" s="71" t="n">
        <f aca="false">MIN(X31,X30)</f>
        <v>449.939861703886</v>
      </c>
      <c r="Y32" s="71" t="n">
        <f aca="false">MIN(Y31,Y30)</f>
        <v>482.326229974356</v>
      </c>
      <c r="Z32" s="71" t="n">
        <f aca="false">MIN(Z31,Z30)</f>
        <v>517.474364877359</v>
      </c>
      <c r="AA32" s="71" t="n">
        <f aca="false">MIN(AA31,AA30)</f>
        <v>555.612162808798</v>
      </c>
      <c r="AB32" s="71" t="n">
        <f aca="false">MIN(AB31,AB30)</f>
        <v>596.987214559074</v>
      </c>
      <c r="AC32" s="71" t="n">
        <f aca="false">MIN(AC31,AC30)</f>
        <v>641.562167238508</v>
      </c>
      <c r="AD32" s="71" t="n">
        <f aca="false">MIN(AD31,AD30)</f>
        <v>689.488590682779</v>
      </c>
      <c r="AE32" s="71" t="n">
        <f aca="false">MIN(AE31,AE30)</f>
        <v>741.129957074357</v>
      </c>
      <c r="AF32" s="71" t="n">
        <f aca="false">MIN(AF31,AF30)</f>
        <v>796.813951906352</v>
      </c>
      <c r="AG32" s="71" t="n">
        <f aca="false">MIN(AG31,AG30)</f>
        <v>856.891630092659</v>
      </c>
      <c r="AH32" s="71" t="n">
        <f aca="false">MIN(AH31,AH30)</f>
        <v>921.742260765918</v>
      </c>
      <c r="AI32" s="71" t="n">
        <f aca="false">MIN(AI31,AI30)</f>
        <v>991.77648923685</v>
      </c>
      <c r="AJ32" s="71" t="n">
        <f aca="false">MIN(AJ31,AJ30)</f>
        <v>1067.43922593215</v>
      </c>
      <c r="AK32" s="71" t="n">
        <f aca="false">MIN(AK31,AK30)</f>
        <v>1149.21271746944</v>
      </c>
      <c r="AL32" s="71" t="n">
        <f aca="false">MIN(AL31,AL30)</f>
        <v>1237.61986893818</v>
      </c>
      <c r="AM32" s="71" t="n">
        <f aca="false">SUM(C32:AL32)</f>
        <v>17611.7643517625</v>
      </c>
    </row>
    <row r="33" customFormat="false" ht="15" hidden="false" customHeight="false" outlineLevel="0" collapsed="false">
      <c r="A33" s="10" t="s">
        <v>754</v>
      </c>
      <c r="B33" s="9" t="s">
        <v>51</v>
      </c>
      <c r="C33" s="61" t="n">
        <f aca="false">MAX(0,C31-C30)</f>
        <v>0</v>
      </c>
      <c r="D33" s="61" t="n">
        <f aca="false">MAX(0,D31-D30)</f>
        <v>0</v>
      </c>
      <c r="E33" s="61" t="n">
        <f aca="false">MAX(0,E31-E30)</f>
        <v>0</v>
      </c>
      <c r="F33" s="61" t="n">
        <f aca="false">MAX(0,F31-F30)</f>
        <v>0</v>
      </c>
      <c r="G33" s="61" t="n">
        <f aca="false">MAX(0,G31-G30)</f>
        <v>0</v>
      </c>
      <c r="H33" s="61" t="n">
        <f aca="false">MAX(0,H31-H30)</f>
        <v>0</v>
      </c>
      <c r="I33" s="61" t="n">
        <f aca="false">MAX(0,I31-I30)</f>
        <v>0</v>
      </c>
      <c r="J33" s="61" t="n">
        <f aca="false">MAX(0,J31-J30)</f>
        <v>0</v>
      </c>
      <c r="K33" s="61" t="n">
        <f aca="false">MAX(0,K31-K30)</f>
        <v>0</v>
      </c>
      <c r="L33" s="61" t="n">
        <f aca="false">MAX(0,L31-L30)</f>
        <v>0</v>
      </c>
      <c r="M33" s="61" t="n">
        <f aca="false">MAX(0,M31-M30)</f>
        <v>0</v>
      </c>
      <c r="N33" s="61" t="n">
        <f aca="false">MAX(0,N31-N30)</f>
        <v>0</v>
      </c>
      <c r="O33" s="61" t="n">
        <f aca="false">MAX(0,O31-O30)</f>
        <v>0</v>
      </c>
      <c r="P33" s="61" t="n">
        <f aca="false">MAX(0,P31-P30)</f>
        <v>0</v>
      </c>
      <c r="Q33" s="61" t="n">
        <f aca="false">MAX(0,Q31-Q30)</f>
        <v>0</v>
      </c>
      <c r="R33" s="61" t="n">
        <f aca="false">MAX(0,R31-R30)</f>
        <v>0</v>
      </c>
      <c r="S33" s="61" t="n">
        <f aca="false">MAX(0,S31-S30)</f>
        <v>0</v>
      </c>
      <c r="T33" s="61" t="n">
        <f aca="false">MAX(0,T31-T30)</f>
        <v>0</v>
      </c>
      <c r="U33" s="61" t="n">
        <f aca="false">MAX(0,U31-U30)</f>
        <v>0</v>
      </c>
      <c r="V33" s="61" t="n">
        <f aca="false">MAX(0,V31-V30)</f>
        <v>0</v>
      </c>
      <c r="W33" s="61" t="n">
        <f aca="false">MAX(0,W31-W30)</f>
        <v>0</v>
      </c>
      <c r="X33" s="61" t="n">
        <f aca="false">MAX(0,X31-X30)</f>
        <v>0</v>
      </c>
      <c r="Y33" s="61" t="n">
        <f aca="false">MAX(0,Y31-Y30)</f>
        <v>0</v>
      </c>
      <c r="Z33" s="61" t="n">
        <f aca="false">MAX(0,Z31-Z30)</f>
        <v>0</v>
      </c>
      <c r="AA33" s="61" t="n">
        <f aca="false">MAX(0,AA31-AA30)</f>
        <v>0</v>
      </c>
      <c r="AB33" s="61" t="n">
        <f aca="false">MAX(0,AB31-AB30)</f>
        <v>0</v>
      </c>
      <c r="AC33" s="61" t="n">
        <f aca="false">MAX(0,AC31-AC30)</f>
        <v>0</v>
      </c>
      <c r="AD33" s="61" t="n">
        <f aca="false">MAX(0,AD31-AD30)</f>
        <v>0</v>
      </c>
      <c r="AE33" s="61" t="n">
        <f aca="false">MAX(0,AE31-AE30)</f>
        <v>0</v>
      </c>
      <c r="AF33" s="61" t="n">
        <f aca="false">MAX(0,AF31-AF30)</f>
        <v>0</v>
      </c>
      <c r="AG33" s="61" t="n">
        <f aca="false">MAX(0,AG31-AG30)</f>
        <v>0</v>
      </c>
      <c r="AH33" s="61" t="n">
        <f aca="false">MAX(0,AH31-AH30)</f>
        <v>0</v>
      </c>
      <c r="AI33" s="61" t="n">
        <f aca="false">MAX(0,AI31-AI30)</f>
        <v>0</v>
      </c>
      <c r="AJ33" s="61" t="n">
        <f aca="false">MAX(0,AJ31-AJ30)</f>
        <v>0</v>
      </c>
      <c r="AK33" s="61" t="n">
        <f aca="false">MAX(0,AK31-AK30)</f>
        <v>0</v>
      </c>
      <c r="AL33" s="61" t="n">
        <f aca="false">MAX(0,AL31-AL30)</f>
        <v>0</v>
      </c>
      <c r="AM33" s="61" t="n">
        <f aca="false">SUM(C33:AL33)</f>
        <v>0</v>
      </c>
    </row>
    <row r="34" customFormat="false" ht="15" hidden="false" customHeight="false" outlineLevel="0" collapsed="false">
      <c r="A34" s="10" t="s">
        <v>755</v>
      </c>
      <c r="B34" s="9" t="s">
        <v>51</v>
      </c>
      <c r="C34" s="61" t="n">
        <f aca="false">C32*Assumptions!$G$51</f>
        <v>0</v>
      </c>
      <c r="D34" s="61" t="n">
        <f aca="false">D32*Assumptions!$G$51</f>
        <v>92.4758262931239</v>
      </c>
      <c r="E34" s="61" t="n">
        <f aca="false">E32*Assumptions!$G$51</f>
        <v>94.7957610701525</v>
      </c>
      <c r="F34" s="61" t="n">
        <f aca="false">F32*Assumptions!$G$51</f>
        <v>96.3655937854992</v>
      </c>
      <c r="G34" s="61" t="n">
        <f aca="false">G32*Assumptions!$G$51</f>
        <v>98.0086789144207</v>
      </c>
      <c r="H34" s="61" t="n">
        <f aca="false">H32*Assumptions!$G$51</f>
        <v>99.7946223459532</v>
      </c>
      <c r="I34" s="61" t="n">
        <f aca="false">I32*Assumptions!$G$51</f>
        <v>101.740826534834</v>
      </c>
      <c r="J34" s="61" t="n">
        <f aca="false">J32*Assumptions!$G$51</f>
        <v>103.86202322888</v>
      </c>
      <c r="K34" s="61" t="n">
        <f aca="false">K32*Assumptions!$G$51</f>
        <v>106.173958719245</v>
      </c>
      <c r="L34" s="61" t="n">
        <f aca="false">L32*Assumptions!$G$51</f>
        <v>108.69376894417</v>
      </c>
      <c r="M34" s="61" t="n">
        <f aca="false">M32*Assumptions!$G$51</f>
        <v>111.440124127366</v>
      </c>
      <c r="N34" s="61" t="n">
        <f aca="false">N32*Assumptions!$G$51</f>
        <v>114.433367082118</v>
      </c>
      <c r="O34" s="61" t="n">
        <f aca="false">O32*Assumptions!$G$51</f>
        <v>117.695662311629</v>
      </c>
      <c r="P34" s="61" t="n">
        <f aca="false">P32*Assumptions!$G$51</f>
        <v>121.251158103829</v>
      </c>
      <c r="Q34" s="61" t="n">
        <f aca="false">Q32*Assumptions!$G$51</f>
        <v>125.126162810813</v>
      </c>
      <c r="R34" s="61" t="n">
        <f aca="false">R32*Assumptions!$G$51</f>
        <v>129.349336506448</v>
      </c>
      <c r="S34" s="61" t="n">
        <f aca="false">S32*Assumptions!$G$51</f>
        <v>133.951899294775</v>
      </c>
      <c r="T34" s="61" t="n">
        <f aca="false">T32*Assumptions!$G$51</f>
        <v>138.967857627742</v>
      </c>
      <c r="U34" s="61" t="n">
        <f aca="false">U32*Assumptions!$G$51</f>
        <v>147.060455974238</v>
      </c>
      <c r="V34" s="61" t="n">
        <f aca="false">V32*Assumptions!$G$51</f>
        <v>157.068530580265</v>
      </c>
      <c r="W34" s="61" t="n">
        <f aca="false">W32*Assumptions!$G$51</f>
        <v>168.043449145242</v>
      </c>
      <c r="X34" s="61" t="n">
        <f aca="false">X32*Assumptions!$G$51</f>
        <v>179.975944681554</v>
      </c>
      <c r="Y34" s="61" t="n">
        <f aca="false">Y32*Assumptions!$G$51</f>
        <v>192.930491989742</v>
      </c>
      <c r="Z34" s="61" t="n">
        <f aca="false">Z32*Assumptions!$G$51</f>
        <v>206.989745950944</v>
      </c>
      <c r="AA34" s="61" t="n">
        <f aca="false">AA32*Assumptions!$G$51</f>
        <v>222.244865123519</v>
      </c>
      <c r="AB34" s="61" t="n">
        <f aca="false">AB32*Assumptions!$G$51</f>
        <v>238.79488582363</v>
      </c>
      <c r="AC34" s="61" t="n">
        <f aca="false">AC32*Assumptions!$G$51</f>
        <v>256.624866895403</v>
      </c>
      <c r="AD34" s="61" t="n">
        <f aca="false">AD32*Assumptions!$G$51</f>
        <v>275.795436273111</v>
      </c>
      <c r="AE34" s="61" t="n">
        <f aca="false">AE32*Assumptions!$G$51</f>
        <v>296.451982829743</v>
      </c>
      <c r="AF34" s="61" t="n">
        <f aca="false">AF32*Assumptions!$G$51</f>
        <v>318.725580762541</v>
      </c>
      <c r="AG34" s="61" t="n">
        <f aca="false">AG32*Assumptions!$G$51</f>
        <v>342.756652037064</v>
      </c>
      <c r="AH34" s="61" t="n">
        <f aca="false">AH32*Assumptions!$G$51</f>
        <v>368.696904306367</v>
      </c>
      <c r="AI34" s="61" t="n">
        <f aca="false">AI32*Assumptions!$G$51</f>
        <v>396.71059569474</v>
      </c>
      <c r="AJ34" s="61" t="n">
        <f aca="false">AJ32*Assumptions!$G$51</f>
        <v>426.975690372861</v>
      </c>
      <c r="AK34" s="61" t="n">
        <f aca="false">AK32*Assumptions!$G$51</f>
        <v>459.685086987776</v>
      </c>
      <c r="AL34" s="61" t="n">
        <f aca="false">AL32*Assumptions!$G$51</f>
        <v>495.04794757527</v>
      </c>
      <c r="AM34" s="61" t="n">
        <f aca="false">SUM(C34:AL34)</f>
        <v>7044.70574070501</v>
      </c>
    </row>
    <row r="35" customFormat="false" ht="15" hidden="false" customHeight="false" outlineLevel="0" collapsed="false">
      <c r="A35" s="10" t="s">
        <v>756</v>
      </c>
      <c r="B35" s="9" t="s">
        <v>51</v>
      </c>
      <c r="C35" s="61" t="n">
        <f aca="false">C32*(1-Assumptions!$G$51)</f>
        <v>0</v>
      </c>
      <c r="D35" s="61" t="n">
        <f aca="false">D32*(1-Assumptions!$G$51)</f>
        <v>138.713739439686</v>
      </c>
      <c r="E35" s="61" t="n">
        <f aca="false">E32*(1-Assumptions!$G$51)</f>
        <v>142.193641605229</v>
      </c>
      <c r="F35" s="61" t="n">
        <f aca="false">F32*(1-Assumptions!$G$51)</f>
        <v>144.548390678249</v>
      </c>
      <c r="G35" s="61" t="n">
        <f aca="false">G32*(1-Assumptions!$G$51)</f>
        <v>147.013018371631</v>
      </c>
      <c r="H35" s="61" t="n">
        <f aca="false">H32*(1-Assumptions!$G$51)</f>
        <v>149.69193351893</v>
      </c>
      <c r="I35" s="61" t="n">
        <f aca="false">I32*(1-Assumptions!$G$51)</f>
        <v>152.611239802251</v>
      </c>
      <c r="J35" s="61" t="n">
        <f aca="false">J32*(1-Assumptions!$G$51)</f>
        <v>155.793034843321</v>
      </c>
      <c r="K35" s="61" t="n">
        <f aca="false">K32*(1-Assumptions!$G$51)</f>
        <v>159.260938078867</v>
      </c>
      <c r="L35" s="61" t="n">
        <f aca="false">L32*(1-Assumptions!$G$51)</f>
        <v>163.040653416255</v>
      </c>
      <c r="M35" s="61" t="n">
        <f aca="false">M32*(1-Assumptions!$G$51)</f>
        <v>167.160186191049</v>
      </c>
      <c r="N35" s="61" t="n">
        <f aca="false">N32*(1-Assumptions!$G$51)</f>
        <v>171.650050623178</v>
      </c>
      <c r="O35" s="61" t="n">
        <f aca="false">O32*(1-Assumptions!$G$51)</f>
        <v>176.543493467444</v>
      </c>
      <c r="P35" s="61" t="n">
        <f aca="false">P32*(1-Assumptions!$G$51)</f>
        <v>181.876737155743</v>
      </c>
      <c r="Q35" s="61" t="n">
        <f aca="false">Q32*(1-Assumptions!$G$51)</f>
        <v>187.689244216219</v>
      </c>
      <c r="R35" s="61" t="n">
        <f aca="false">R32*(1-Assumptions!$G$51)</f>
        <v>194.024004759672</v>
      </c>
      <c r="S35" s="61" t="n">
        <f aca="false">S32*(1-Assumptions!$G$51)</f>
        <v>200.927848942162</v>
      </c>
      <c r="T35" s="61" t="n">
        <f aca="false">T32*(1-Assumptions!$G$51)</f>
        <v>208.451786441613</v>
      </c>
      <c r="U35" s="61" t="n">
        <f aca="false">U32*(1-Assumptions!$G$51)</f>
        <v>220.590683961357</v>
      </c>
      <c r="V35" s="61" t="n">
        <f aca="false">V32*(1-Assumptions!$G$51)</f>
        <v>235.602795870397</v>
      </c>
      <c r="W35" s="61" t="n">
        <f aca="false">W32*(1-Assumptions!$G$51)</f>
        <v>252.065173717863</v>
      </c>
      <c r="X35" s="61" t="n">
        <f aca="false">X32*(1-Assumptions!$G$51)</f>
        <v>269.963917022331</v>
      </c>
      <c r="Y35" s="61" t="n">
        <f aca="false">Y32*(1-Assumptions!$G$51)</f>
        <v>289.395737984613</v>
      </c>
      <c r="Z35" s="61" t="n">
        <f aca="false">Z32*(1-Assumptions!$G$51)</f>
        <v>310.484618926415</v>
      </c>
      <c r="AA35" s="61" t="n">
        <f aca="false">AA32*(1-Assumptions!$G$51)</f>
        <v>333.367297685279</v>
      </c>
      <c r="AB35" s="61" t="n">
        <f aca="false">AB32*(1-Assumptions!$G$51)</f>
        <v>358.192328735444</v>
      </c>
      <c r="AC35" s="61" t="n">
        <f aca="false">AC32*(1-Assumptions!$G$51)</f>
        <v>384.937300343105</v>
      </c>
      <c r="AD35" s="61" t="n">
        <f aca="false">AD32*(1-Assumptions!$G$51)</f>
        <v>413.693154409667</v>
      </c>
      <c r="AE35" s="61" t="n">
        <f aca="false">AE32*(1-Assumptions!$G$51)</f>
        <v>444.677974244614</v>
      </c>
      <c r="AF35" s="61" t="n">
        <f aca="false">AF32*(1-Assumptions!$G$51)</f>
        <v>478.088371143811</v>
      </c>
      <c r="AG35" s="61" t="n">
        <f aca="false">AG32*(1-Assumptions!$G$51)</f>
        <v>514.134978055595</v>
      </c>
      <c r="AH35" s="61" t="n">
        <f aca="false">AH32*(1-Assumptions!$G$51)</f>
        <v>553.045356459551</v>
      </c>
      <c r="AI35" s="61" t="n">
        <f aca="false">AI32*(1-Assumptions!$G$51)</f>
        <v>595.06589354211</v>
      </c>
      <c r="AJ35" s="61" t="n">
        <f aca="false">AJ32*(1-Assumptions!$G$51)</f>
        <v>640.463535559292</v>
      </c>
      <c r="AK35" s="61" t="n">
        <f aca="false">AK32*(1-Assumptions!$G$51)</f>
        <v>689.527630481664</v>
      </c>
      <c r="AL35" s="61" t="n">
        <f aca="false">AL32*(1-Assumptions!$G$51)</f>
        <v>742.571921362905</v>
      </c>
      <c r="AM35" s="61" t="n">
        <f aca="false">SUM(C35:AL35)</f>
        <v>10567.0586110575</v>
      </c>
    </row>
    <row r="36" customFormat="false" ht="15" hidden="false" customHeight="false" outlineLevel="0" collapsed="false">
      <c r="A36" s="37" t="s">
        <v>757</v>
      </c>
      <c r="B36" s="9" t="s">
        <v>51</v>
      </c>
      <c r="C36" s="71" t="n">
        <f aca="false">C34</f>
        <v>0</v>
      </c>
      <c r="D36" s="71" t="n">
        <f aca="false">C36*(1-Assumptions!$G$52)+D34</f>
        <v>92.4758262931239</v>
      </c>
      <c r="E36" s="71" t="n">
        <f aca="false">D36*(1-Assumptions!$G$52)+E34</f>
        <v>180.798279522758</v>
      </c>
      <c r="F36" s="71" t="n">
        <f aca="false">E36*(1-Assumptions!$G$52)+F34</f>
        <v>264.507993741664</v>
      </c>
      <c r="G36" s="71" t="n">
        <f aca="false">F36*(1-Assumptions!$G$52)+G34</f>
        <v>344.001113094168</v>
      </c>
      <c r="H36" s="71" t="n">
        <f aca="false">G36*(1-Assumptions!$G$52)+H34</f>
        <v>419.71565752353</v>
      </c>
      <c r="I36" s="71" t="n">
        <f aca="false">H36*(1-Assumptions!$G$52)+I34</f>
        <v>492.076388031716</v>
      </c>
      <c r="J36" s="71" t="n">
        <f aca="false">I36*(1-Assumptions!$G$52)+J34</f>
        <v>561.493064098377</v>
      </c>
      <c r="K36" s="71" t="n">
        <f aca="false">J36*(1-Assumptions!$G$52)+K34</f>
        <v>628.362508330735</v>
      </c>
      <c r="L36" s="71" t="n">
        <f aca="false">K36*(1-Assumptions!$G$52)+L34</f>
        <v>693.070901691754</v>
      </c>
      <c r="M36" s="71" t="n">
        <f aca="false">L36*(1-Assumptions!$G$52)+M34</f>
        <v>755.996062700697</v>
      </c>
      <c r="N36" s="71" t="n">
        <f aca="false">M36*(1-Assumptions!$G$52)+N34</f>
        <v>817.509705393767</v>
      </c>
      <c r="O36" s="71" t="n">
        <f aca="false">N36*(1-Assumptions!$G$52)+O34</f>
        <v>877.979688327832</v>
      </c>
      <c r="P36" s="71" t="n">
        <f aca="false">O36*(1-Assumptions!$G$52)+P34</f>
        <v>937.772268248712</v>
      </c>
      <c r="Q36" s="71" t="n">
        <f aca="false">P36*(1-Assumptions!$G$52)+Q34</f>
        <v>997.254372282115</v>
      </c>
      <c r="R36" s="71" t="n">
        <f aca="false">Q36*(1-Assumptions!$G$52)+R34</f>
        <v>1056.79590272881</v>
      </c>
      <c r="S36" s="71" t="n">
        <f aca="false">R36*(1-Assumptions!$G$52)+S34</f>
        <v>1116.77208883257</v>
      </c>
      <c r="T36" s="71" t="n">
        <f aca="false">S36*(1-Assumptions!$G$52)+T34</f>
        <v>1177.56590024203</v>
      </c>
      <c r="U36" s="71" t="n">
        <f aca="false">T36*(1-Assumptions!$G$52)+U34</f>
        <v>1242.19674319933</v>
      </c>
      <c r="V36" s="71" t="n">
        <f aca="false">U36*(1-Assumptions!$G$52)+V34</f>
        <v>1312.31150175564</v>
      </c>
      <c r="W36" s="71" t="n">
        <f aca="false">V36*(1-Assumptions!$G$52)+W34</f>
        <v>1388.49314577799</v>
      </c>
      <c r="X36" s="71" t="n">
        <f aca="false">W36*(1-Assumptions!$G$52)+X34</f>
        <v>1471.27457025508</v>
      </c>
      <c r="Y36" s="71" t="n">
        <f aca="false">X36*(1-Assumptions!$G$52)+Y34</f>
        <v>1561.21584232697</v>
      </c>
      <c r="Z36" s="71" t="n">
        <f aca="false">Y36*(1-Assumptions!$G$52)+Z34</f>
        <v>1658.92047931502</v>
      </c>
      <c r="AA36" s="71" t="n">
        <f aca="false">Z36*(1-Assumptions!$G$52)+AA34</f>
        <v>1765.04091088649</v>
      </c>
      <c r="AB36" s="71" t="n">
        <f aca="false">AA36*(1-Assumptions!$G$52)+AB34</f>
        <v>1880.28293294807</v>
      </c>
      <c r="AC36" s="71" t="n">
        <f aca="false">AB36*(1-Assumptions!$G$52)+AC34</f>
        <v>2005.28799453711</v>
      </c>
      <c r="AD36" s="71" t="n">
        <f aca="false">AC36*(1-Assumptions!$G$52)+AD34</f>
        <v>2140.71327119262</v>
      </c>
      <c r="AE36" s="71" t="n">
        <f aca="false">AD36*(1-Assumptions!$G$52)+AE34</f>
        <v>2287.31532503888</v>
      </c>
      <c r="AF36" s="71" t="n">
        <f aca="false">AE36*(1-Assumptions!$G$52)+AF34</f>
        <v>2445.9288330487</v>
      </c>
      <c r="AG36" s="71" t="n">
        <f aca="false">AF36*(1-Assumptions!$G$52)+AG34</f>
        <v>2617.47046677235</v>
      </c>
      <c r="AH36" s="71" t="n">
        <f aca="false">AG36*(1-Assumptions!$G$52)+AH34</f>
        <v>2802.94443840465</v>
      </c>
      <c r="AI36" s="71" t="n">
        <f aca="false">AH36*(1-Assumptions!$G$52)+AI34</f>
        <v>3003.44892341107</v>
      </c>
      <c r="AJ36" s="71" t="n">
        <f aca="false">AI36*(1-Assumptions!$G$52)+AJ34</f>
        <v>3220.18318914516</v>
      </c>
      <c r="AK36" s="71" t="n">
        <f aca="false">AJ36*(1-Assumptions!$G$52)+AK34</f>
        <v>3454.45545289277</v>
      </c>
      <c r="AL36" s="71" t="n">
        <f aca="false">AK36*(1-Assumptions!$G$52)+AL34</f>
        <v>3707.69151876555</v>
      </c>
      <c r="AM36" s="71" t="n">
        <f aca="false">AL36</f>
        <v>3707.69151876555</v>
      </c>
    </row>
    <row r="37" customFormat="false" ht="15" hidden="false" customHeight="false" outlineLevel="0" collapsed="false">
      <c r="A37" s="10" t="s">
        <v>758</v>
      </c>
      <c r="B37" s="9" t="s">
        <v>51</v>
      </c>
      <c r="C37" s="61" t="n">
        <f aca="false">0</f>
        <v>0</v>
      </c>
      <c r="D37" s="61" t="n">
        <f aca="false">C36*Assumptions!$G$52</f>
        <v>0</v>
      </c>
      <c r="E37" s="61" t="n">
        <f aca="false">D36*Assumptions!$G$52</f>
        <v>6.47330784051867</v>
      </c>
      <c r="F37" s="61" t="n">
        <f aca="false">E36*Assumptions!$G$52</f>
        <v>12.655879566593</v>
      </c>
      <c r="G37" s="61" t="n">
        <f aca="false">F36*Assumptions!$G$52</f>
        <v>18.5155595619165</v>
      </c>
      <c r="H37" s="61" t="n">
        <f aca="false">G36*Assumptions!$G$52</f>
        <v>24.0800779165918</v>
      </c>
      <c r="I37" s="61" t="n">
        <f aca="false">H36*Assumptions!$G$52</f>
        <v>29.3800960266471</v>
      </c>
      <c r="J37" s="61" t="n">
        <f aca="false">I36*Assumptions!$G$52</f>
        <v>34.4453471622202</v>
      </c>
      <c r="K37" s="61" t="n">
        <f aca="false">J36*Assumptions!$G$52</f>
        <v>39.3045144868864</v>
      </c>
      <c r="L37" s="61" t="n">
        <f aca="false">K36*Assumptions!$G$52</f>
        <v>43.9853755831515</v>
      </c>
      <c r="M37" s="61" t="n">
        <f aca="false">L36*Assumptions!$G$52</f>
        <v>48.5149631184228</v>
      </c>
      <c r="N37" s="61" t="n">
        <f aca="false">M36*Assumptions!$G$52</f>
        <v>52.9197243890488</v>
      </c>
      <c r="O37" s="61" t="n">
        <f aca="false">N36*Assumptions!$G$52</f>
        <v>57.2256793775637</v>
      </c>
      <c r="P37" s="61" t="n">
        <f aca="false">O36*Assumptions!$G$52</f>
        <v>61.4585781829482</v>
      </c>
      <c r="Q37" s="61" t="n">
        <f aca="false">P36*Assumptions!$G$52</f>
        <v>65.6440587774099</v>
      </c>
      <c r="R37" s="61" t="n">
        <f aca="false">Q36*Assumptions!$G$52</f>
        <v>69.8078060597481</v>
      </c>
      <c r="S37" s="61" t="n">
        <f aca="false">R36*Assumptions!$G$52</f>
        <v>73.975713191017</v>
      </c>
      <c r="T37" s="61" t="n">
        <f aca="false">S36*Assumptions!$G$52</f>
        <v>78.1740462182801</v>
      </c>
      <c r="U37" s="61" t="n">
        <f aca="false">T36*Assumptions!$G$52</f>
        <v>82.4296130169424</v>
      </c>
      <c r="V37" s="61" t="n">
        <f aca="false">U36*Assumptions!$G$52</f>
        <v>86.9537720239531</v>
      </c>
      <c r="W37" s="61" t="n">
        <f aca="false">V36*Assumptions!$G$52</f>
        <v>91.8618051228949</v>
      </c>
      <c r="X37" s="61" t="n">
        <f aca="false">W36*Assumptions!$G$52</f>
        <v>97.1945202044592</v>
      </c>
      <c r="Y37" s="61" t="n">
        <f aca="false">X36*Assumptions!$G$52</f>
        <v>102.989219917856</v>
      </c>
      <c r="Z37" s="61" t="n">
        <f aca="false">Y36*Assumptions!$G$52</f>
        <v>109.285108962888</v>
      </c>
      <c r="AA37" s="61" t="n">
        <f aca="false">Z36*Assumptions!$G$52</f>
        <v>116.124433552052</v>
      </c>
      <c r="AB37" s="61" t="n">
        <f aca="false">AA36*Assumptions!$G$52</f>
        <v>123.552863762054</v>
      </c>
      <c r="AC37" s="61" t="n">
        <f aca="false">AB36*Assumptions!$G$52</f>
        <v>131.619805306365</v>
      </c>
      <c r="AD37" s="61" t="n">
        <f aca="false">AC36*Assumptions!$G$52</f>
        <v>140.370159617597</v>
      </c>
      <c r="AE37" s="61" t="n">
        <f aca="false">AD36*Assumptions!$G$52</f>
        <v>149.849928983483</v>
      </c>
      <c r="AF37" s="61" t="n">
        <f aca="false">AE36*Assumptions!$G$52</f>
        <v>160.112072752722</v>
      </c>
      <c r="AG37" s="61" t="n">
        <f aca="false">AF36*Assumptions!$G$52</f>
        <v>171.215018313409</v>
      </c>
      <c r="AH37" s="61" t="n">
        <f aca="false">AG36*Assumptions!$G$52</f>
        <v>183.222932674065</v>
      </c>
      <c r="AI37" s="61" t="n">
        <f aca="false">AH36*Assumptions!$G$52</f>
        <v>196.206110688326</v>
      </c>
      <c r="AJ37" s="61" t="n">
        <f aca="false">AI36*Assumptions!$G$52</f>
        <v>210.241424638775</v>
      </c>
      <c r="AK37" s="61" t="n">
        <f aca="false">AJ36*Assumptions!$G$52</f>
        <v>225.412823240161</v>
      </c>
      <c r="AL37" s="61" t="n">
        <f aca="false">AK36*Assumptions!$G$52</f>
        <v>241.811881702494</v>
      </c>
      <c r="AM37" s="61" t="n">
        <f aca="false">SUM(C37:AL37)</f>
        <v>3337.01422193946</v>
      </c>
    </row>
    <row r="38" customFormat="false" ht="15" hidden="false" customHeight="false" outlineLevel="0" collapsed="false">
      <c r="A38" s="10" t="s">
        <v>759</v>
      </c>
      <c r="B38" s="9" t="s">
        <v>51</v>
      </c>
      <c r="C38" s="61" t="n">
        <f aca="false">0</f>
        <v>0</v>
      </c>
      <c r="D38" s="61" t="n">
        <f aca="false">C35*Assumptions!$G$53</f>
        <v>0</v>
      </c>
      <c r="E38" s="61" t="n">
        <f aca="false">D35*Assumptions!$G$53</f>
        <v>15.2585113383654</v>
      </c>
      <c r="F38" s="61" t="n">
        <f aca="false">E35*Assumptions!$G$53</f>
        <v>15.6413005765752</v>
      </c>
      <c r="G38" s="61" t="n">
        <f aca="false">F35*Assumptions!$G$53</f>
        <v>15.9003229746074</v>
      </c>
      <c r="H38" s="61" t="n">
        <f aca="false">G35*Assumptions!$G$53</f>
        <v>16.1714320208794</v>
      </c>
      <c r="I38" s="61" t="n">
        <f aca="false">H35*Assumptions!$G$53</f>
        <v>16.4661126870823</v>
      </c>
      <c r="J38" s="61" t="n">
        <f aca="false">I35*Assumptions!$G$53</f>
        <v>16.7872363782476</v>
      </c>
      <c r="K38" s="61" t="n">
        <f aca="false">J35*Assumptions!$G$53</f>
        <v>17.1372338327653</v>
      </c>
      <c r="L38" s="61" t="n">
        <f aca="false">K35*Assumptions!$G$53</f>
        <v>17.5187031886754</v>
      </c>
      <c r="M38" s="61" t="n">
        <f aca="false">L35*Assumptions!$G$53</f>
        <v>17.9344718757881</v>
      </c>
      <c r="N38" s="61" t="n">
        <f aca="false">M35*Assumptions!$G$53</f>
        <v>18.3876204810154</v>
      </c>
      <c r="O38" s="61" t="n">
        <f aca="false">N35*Assumptions!$G$53</f>
        <v>18.8815055685495</v>
      </c>
      <c r="P38" s="61" t="n">
        <f aca="false">O35*Assumptions!$G$53</f>
        <v>19.4197842814188</v>
      </c>
      <c r="Q38" s="61" t="n">
        <f aca="false">P35*Assumptions!$G$53</f>
        <v>20.0064410871317</v>
      </c>
      <c r="R38" s="61" t="n">
        <f aca="false">Q35*Assumptions!$G$53</f>
        <v>20.6458168637841</v>
      </c>
      <c r="S38" s="61" t="n">
        <f aca="false">R35*Assumptions!$G$53</f>
        <v>21.3426405235639</v>
      </c>
      <c r="T38" s="61" t="n">
        <f aca="false">S35*Assumptions!$G$53</f>
        <v>22.1020633836379</v>
      </c>
      <c r="U38" s="61" t="n">
        <f aca="false">T35*Assumptions!$G$53</f>
        <v>22.9296965085774</v>
      </c>
      <c r="V38" s="61" t="n">
        <f aca="false">U35*Assumptions!$G$53</f>
        <v>24.2649752357492</v>
      </c>
      <c r="W38" s="61" t="n">
        <f aca="false">V35*Assumptions!$G$53</f>
        <v>25.9163075457437</v>
      </c>
      <c r="X38" s="61" t="n">
        <f aca="false">W35*Assumptions!$G$53</f>
        <v>27.7271691089649</v>
      </c>
      <c r="Y38" s="61" t="n">
        <f aca="false">X35*Assumptions!$G$53</f>
        <v>29.6960308724565</v>
      </c>
      <c r="Z38" s="61" t="n">
        <f aca="false">Y35*Assumptions!$G$53</f>
        <v>31.8335311783075</v>
      </c>
      <c r="AA38" s="61" t="n">
        <f aca="false">Z35*Assumptions!$G$53</f>
        <v>34.1533080819057</v>
      </c>
      <c r="AB38" s="61" t="n">
        <f aca="false">AA35*Assumptions!$G$53</f>
        <v>36.6704027453806</v>
      </c>
      <c r="AC38" s="61" t="n">
        <f aca="false">AB35*Assumptions!$G$53</f>
        <v>39.4011561608989</v>
      </c>
      <c r="AD38" s="61" t="n">
        <f aca="false">AC35*Assumptions!$G$53</f>
        <v>42.3431030377416</v>
      </c>
      <c r="AE38" s="61" t="n">
        <f aca="false">AD35*Assumptions!$G$53</f>
        <v>45.5062469850634</v>
      </c>
      <c r="AF38" s="61" t="n">
        <f aca="false">AE35*Assumptions!$G$53</f>
        <v>48.9145771669076</v>
      </c>
      <c r="AG38" s="61" t="n">
        <f aca="false">AF35*Assumptions!$G$53</f>
        <v>52.5897208258192</v>
      </c>
      <c r="AH38" s="61" t="n">
        <f aca="false">AG35*Assumptions!$G$53</f>
        <v>56.5548475861155</v>
      </c>
      <c r="AI38" s="61" t="n">
        <f aca="false">AH35*Assumptions!$G$53</f>
        <v>60.8349892105506</v>
      </c>
      <c r="AJ38" s="61" t="n">
        <f aca="false">AI35*Assumptions!$G$53</f>
        <v>65.4572482896321</v>
      </c>
      <c r="AK38" s="61" t="n">
        <f aca="false">AJ35*Assumptions!$G$53</f>
        <v>70.4509889115221</v>
      </c>
      <c r="AL38" s="61" t="n">
        <f aca="false">AK35*Assumptions!$G$53</f>
        <v>75.848039352983</v>
      </c>
      <c r="AM38" s="61" t="n">
        <f aca="false">SUM(C38:AL38)</f>
        <v>1080.69353586641</v>
      </c>
    </row>
    <row r="39" customFormat="false" ht="15" hidden="false" customHeight="false" outlineLevel="0" collapsed="false">
      <c r="A39" s="37" t="s">
        <v>760</v>
      </c>
      <c r="B39" s="9" t="s">
        <v>51</v>
      </c>
      <c r="C39" s="71" t="n">
        <f aca="false">C35+C36+C38</f>
        <v>0</v>
      </c>
      <c r="D39" s="71" t="n">
        <f aca="false">D35+D36+D38</f>
        <v>231.18956573281</v>
      </c>
      <c r="E39" s="71" t="n">
        <f aca="false">E35+E36+E38</f>
        <v>338.250432466352</v>
      </c>
      <c r="F39" s="71" t="n">
        <f aca="false">F35+F36+F38</f>
        <v>424.697684996488</v>
      </c>
      <c r="G39" s="71" t="n">
        <f aca="false">G35+G36+G38</f>
        <v>506.914454440407</v>
      </c>
      <c r="H39" s="71" t="n">
        <f aca="false">H35+H36+H38</f>
        <v>585.579023063339</v>
      </c>
      <c r="I39" s="71" t="n">
        <f aca="false">I35+I36+I38</f>
        <v>661.15374052105</v>
      </c>
      <c r="J39" s="71" t="n">
        <f aca="false">J35+J36+J38</f>
        <v>734.073335319945</v>
      </c>
      <c r="K39" s="71" t="n">
        <f aca="false">K35+K36+K38</f>
        <v>804.760680242367</v>
      </c>
      <c r="L39" s="71" t="n">
        <f aca="false">L35+L36+L38</f>
        <v>873.630258296685</v>
      </c>
      <c r="M39" s="71" t="n">
        <f aca="false">M35+M36+M38</f>
        <v>941.090720767534</v>
      </c>
      <c r="N39" s="71" t="n">
        <f aca="false">N35+N36+N38</f>
        <v>1007.54737649796</v>
      </c>
      <c r="O39" s="71" t="n">
        <f aca="false">O35+O36+O38</f>
        <v>1073.40468736383</v>
      </c>
      <c r="P39" s="71" t="n">
        <f aca="false">P35+P36+P38</f>
        <v>1139.06878968587</v>
      </c>
      <c r="Q39" s="71" t="n">
        <f aca="false">Q35+Q36+Q38</f>
        <v>1204.95005758547</v>
      </c>
      <c r="R39" s="71" t="n">
        <f aca="false">R35+R36+R38</f>
        <v>1271.46572435227</v>
      </c>
      <c r="S39" s="71" t="n">
        <f aca="false">S35+S36+S38</f>
        <v>1339.0425782983</v>
      </c>
      <c r="T39" s="71" t="n">
        <f aca="false">T35+T36+T38</f>
        <v>1408.11975006728</v>
      </c>
      <c r="U39" s="71" t="n">
        <f aca="false">U35+U36+U38</f>
        <v>1485.71712366926</v>
      </c>
      <c r="V39" s="71" t="n">
        <f aca="false">V35+V36+V38</f>
        <v>1572.17927286179</v>
      </c>
      <c r="W39" s="71" t="n">
        <f aca="false">W35+W36+W38</f>
        <v>1666.47462704159</v>
      </c>
      <c r="X39" s="71" t="n">
        <f aca="false">X35+X36+X38</f>
        <v>1768.96565638638</v>
      </c>
      <c r="Y39" s="71" t="n">
        <f aca="false">Y35+Y36+Y38</f>
        <v>1880.30761118404</v>
      </c>
      <c r="Z39" s="71" t="n">
        <f aca="false">Z35+Z36+Z38</f>
        <v>2001.23862941975</v>
      </c>
      <c r="AA39" s="71" t="n">
        <f aca="false">AA35+AA36+AA38</f>
        <v>2132.56151665368</v>
      </c>
      <c r="AB39" s="71" t="n">
        <f aca="false">AB35+AB36+AB38</f>
        <v>2275.14566442889</v>
      </c>
      <c r="AC39" s="71" t="n">
        <f aca="false">AC35+AC36+AC38</f>
        <v>2429.62645104111</v>
      </c>
      <c r="AD39" s="71" t="n">
        <f aca="false">AD35+AD36+AD38</f>
        <v>2596.74952864003</v>
      </c>
      <c r="AE39" s="71" t="n">
        <f aca="false">AE35+AE36+AE38</f>
        <v>2777.49954626856</v>
      </c>
      <c r="AF39" s="71" t="n">
        <f aca="false">AF35+AF36+AF38</f>
        <v>2972.93178135942</v>
      </c>
      <c r="AG39" s="71" t="n">
        <f aca="false">AG35+AG36+AG38</f>
        <v>3184.19516565377</v>
      </c>
      <c r="AH39" s="71" t="n">
        <f aca="false">AH35+AH36+AH38</f>
        <v>3412.54464245032</v>
      </c>
      <c r="AI39" s="71" t="n">
        <f aca="false">AI35+AI36+AI38</f>
        <v>3659.34980616373</v>
      </c>
      <c r="AJ39" s="71" t="n">
        <f aca="false">AJ35+AJ36+AJ38</f>
        <v>3926.10397299408</v>
      </c>
      <c r="AK39" s="71" t="n">
        <f aca="false">AK35+AK36+AK38</f>
        <v>4214.43407228596</v>
      </c>
      <c r="AL39" s="71" t="n">
        <f aca="false">AL35+AL36+AL38</f>
        <v>4526.11147948143</v>
      </c>
      <c r="AM39" s="71" t="n">
        <f aca="false">SUM(C39:AL39)</f>
        <v>63027.0754076817</v>
      </c>
    </row>
    <row r="40" customFormat="false" ht="15" hidden="false" customHeight="false" outlineLevel="0" collapsed="false">
      <c r="A40" s="10" t="s">
        <v>761</v>
      </c>
      <c r="B40" s="9" t="s">
        <v>97</v>
      </c>
      <c r="C40" s="70" t="n">
        <f aca="false">C39*Assumptions!$G$50</f>
        <v>0</v>
      </c>
      <c r="D40" s="70" t="n">
        <f aca="false">D39*Assumptions!$G$50</f>
        <v>18032.7861271592</v>
      </c>
      <c r="E40" s="70" t="n">
        <f aca="false">E39*Assumptions!$G$50</f>
        <v>26383.5337323755</v>
      </c>
      <c r="F40" s="70" t="n">
        <f aca="false">F39*Assumptions!$G$50</f>
        <v>33126.4194297261</v>
      </c>
      <c r="G40" s="70" t="n">
        <f aca="false">G39*Assumptions!$G$50</f>
        <v>39539.3274463517</v>
      </c>
      <c r="H40" s="70" t="n">
        <f aca="false">H39*Assumptions!$G$50</f>
        <v>45675.1637989404</v>
      </c>
      <c r="I40" s="70" t="n">
        <f aca="false">I39*Assumptions!$G$50</f>
        <v>51569.9917606419</v>
      </c>
      <c r="J40" s="70" t="n">
        <f aca="false">J39*Assumptions!$G$50</f>
        <v>57257.7201549557</v>
      </c>
      <c r="K40" s="70" t="n">
        <f aca="false">K39*Assumptions!$G$50</f>
        <v>62771.3330589047</v>
      </c>
      <c r="L40" s="70" t="n">
        <f aca="false">L39*Assumptions!$G$50</f>
        <v>68143.1601471414</v>
      </c>
      <c r="M40" s="70" t="n">
        <f aca="false">M39*Assumptions!$G$50</f>
        <v>73405.0762198676</v>
      </c>
      <c r="N40" s="70" t="n">
        <f aca="false">N39*Assumptions!$G$50</f>
        <v>78588.6953668408</v>
      </c>
      <c r="O40" s="70" t="n">
        <f aca="false">O39*Assumptions!$G$50</f>
        <v>83725.5656143784</v>
      </c>
      <c r="P40" s="70" t="n">
        <f aca="false">P39*Assumptions!$G$50</f>
        <v>88847.3655954982</v>
      </c>
      <c r="Q40" s="70" t="n">
        <f aca="false">Q39*Assumptions!$G$50</f>
        <v>93986.1044916663</v>
      </c>
      <c r="R40" s="70" t="n">
        <f aca="false">R39*Assumptions!$G$50</f>
        <v>99174.3264994771</v>
      </c>
      <c r="S40" s="70" t="n">
        <f aca="false">S39*Assumptions!$G$50</f>
        <v>104445.321107267</v>
      </c>
      <c r="T40" s="70" t="n">
        <f aca="false">T39*Assumptions!$G$50</f>
        <v>109833.340505248</v>
      </c>
      <c r="U40" s="70" t="n">
        <f aca="false">U39*Assumptions!$G$50</f>
        <v>115885.935646203</v>
      </c>
      <c r="V40" s="70" t="n">
        <f aca="false">V39*Assumptions!$G$50</f>
        <v>122629.983283219</v>
      </c>
      <c r="W40" s="70" t="n">
        <f aca="false">W39*Assumptions!$G$50</f>
        <v>129985.020909244</v>
      </c>
      <c r="X40" s="70" t="n">
        <f aca="false">X39*Assumptions!$G$50</f>
        <v>137979.321198138</v>
      </c>
      <c r="Y40" s="70" t="n">
        <f aca="false">Y39*Assumptions!$G$50</f>
        <v>146663.993672355</v>
      </c>
      <c r="Z40" s="70" t="n">
        <f aca="false">Z39*Assumptions!$G$50</f>
        <v>156096.61309474</v>
      </c>
      <c r="AA40" s="70" t="n">
        <f aca="false">AA39*Assumptions!$G$50</f>
        <v>166339.798298987</v>
      </c>
      <c r="AB40" s="70" t="n">
        <f aca="false">AB39*Assumptions!$G$50</f>
        <v>177461.361825454</v>
      </c>
      <c r="AC40" s="70" t="n">
        <f aca="false">AC39*Assumptions!$G$50</f>
        <v>189510.863181207</v>
      </c>
      <c r="AD40" s="70" t="n">
        <f aca="false">AD39*Assumptions!$G$50</f>
        <v>202546.463233922</v>
      </c>
      <c r="AE40" s="70" t="n">
        <f aca="false">AE39*Assumptions!$G$50</f>
        <v>216644.964608947</v>
      </c>
      <c r="AF40" s="70" t="n">
        <f aca="false">AF39*Assumptions!$G$50</f>
        <v>231888.678946034</v>
      </c>
      <c r="AG40" s="70" t="n">
        <f aca="false">AG39*Assumptions!$G$50</f>
        <v>248367.222920994</v>
      </c>
      <c r="AH40" s="70" t="n">
        <f aca="false">AH39*Assumptions!$G$50</f>
        <v>266178.482111125</v>
      </c>
      <c r="AI40" s="70" t="n">
        <f aca="false">AI39*Assumptions!$G$50</f>
        <v>285429.284880771</v>
      </c>
      <c r="AJ40" s="70" t="n">
        <f aca="false">AJ39*Assumptions!$G$50</f>
        <v>306236.109893538</v>
      </c>
      <c r="AK40" s="70" t="n">
        <f aca="false">AK39*Assumptions!$G$50</f>
        <v>328725.857638305</v>
      </c>
      <c r="AL40" s="70" t="n">
        <f aca="false">AL39*Assumptions!$G$50</f>
        <v>353036.695399552</v>
      </c>
      <c r="AM40" s="70" t="n">
        <f aca="false">SUM(C40:AL40)</f>
        <v>4916111.88179917</v>
      </c>
    </row>
    <row r="41" customFormat="false" ht="15" hidden="false" customHeight="false" outlineLevel="0" collapsed="false">
      <c r="A41" s="10" t="s">
        <v>762</v>
      </c>
      <c r="B41" s="9" t="s">
        <v>97</v>
      </c>
      <c r="C41" s="70" t="n">
        <f aca="false">-C40*Assumptions!$G$80</f>
        <v>-0</v>
      </c>
      <c r="D41" s="70" t="n">
        <f aca="false">-D40*Assumptions!$G$80</f>
        <v>-540.983583814775</v>
      </c>
      <c r="E41" s="70" t="n">
        <f aca="false">-E40*Assumptions!$G$80</f>
        <v>-791.506011971264</v>
      </c>
      <c r="F41" s="70" t="n">
        <f aca="false">-F40*Assumptions!$G$80</f>
        <v>-993.792582891782</v>
      </c>
      <c r="G41" s="70" t="n">
        <f aca="false">-G40*Assumptions!$G$80</f>
        <v>-1186.17982339055</v>
      </c>
      <c r="H41" s="70" t="n">
        <f aca="false">-H40*Assumptions!$G$80</f>
        <v>-1370.25491396821</v>
      </c>
      <c r="I41" s="70" t="n">
        <f aca="false">-I40*Assumptions!$G$80</f>
        <v>-1547.09975281926</v>
      </c>
      <c r="J41" s="70" t="n">
        <f aca="false">-J40*Assumptions!$G$80</f>
        <v>-1717.73160464867</v>
      </c>
      <c r="K41" s="70" t="n">
        <f aca="false">-K40*Assumptions!$G$80</f>
        <v>-1883.13999176714</v>
      </c>
      <c r="L41" s="70" t="n">
        <f aca="false">-L40*Assumptions!$G$80</f>
        <v>-2044.29480441424</v>
      </c>
      <c r="M41" s="70" t="n">
        <f aca="false">-M40*Assumptions!$G$80</f>
        <v>-2202.15228659603</v>
      </c>
      <c r="N41" s="70" t="n">
        <f aca="false">-N40*Assumptions!$G$80</f>
        <v>-2357.66086100523</v>
      </c>
      <c r="O41" s="70" t="n">
        <f aca="false">-O40*Assumptions!$G$80</f>
        <v>-2511.76696843135</v>
      </c>
      <c r="P41" s="70" t="n">
        <f aca="false">-P40*Assumptions!$G$80</f>
        <v>-2665.42096786495</v>
      </c>
      <c r="Q41" s="70" t="n">
        <f aca="false">-Q40*Assumptions!$G$80</f>
        <v>-2819.58313474999</v>
      </c>
      <c r="R41" s="70" t="n">
        <f aca="false">-R40*Assumptions!$G$80</f>
        <v>-2975.22979498431</v>
      </c>
      <c r="S41" s="70" t="n">
        <f aca="false">-S40*Assumptions!$G$80</f>
        <v>-3133.35963321802</v>
      </c>
      <c r="T41" s="70" t="n">
        <f aca="false">-T40*Assumptions!$G$80</f>
        <v>-3295.00021515745</v>
      </c>
      <c r="U41" s="70" t="n">
        <f aca="false">-U40*Assumptions!$G$80</f>
        <v>-3476.57806938608</v>
      </c>
      <c r="V41" s="70" t="n">
        <f aca="false">-V40*Assumptions!$G$80</f>
        <v>-3678.89949849658</v>
      </c>
      <c r="W41" s="70" t="n">
        <f aca="false">-W40*Assumptions!$G$80</f>
        <v>-3899.55062727733</v>
      </c>
      <c r="X41" s="70" t="n">
        <f aca="false">-X40*Assumptions!$G$80</f>
        <v>-4139.37963594413</v>
      </c>
      <c r="Y41" s="70" t="n">
        <f aca="false">-Y40*Assumptions!$G$80</f>
        <v>-4399.91981017065</v>
      </c>
      <c r="Z41" s="70" t="n">
        <f aca="false">-Z40*Assumptions!$G$80</f>
        <v>-4682.89839284221</v>
      </c>
      <c r="AA41" s="70" t="n">
        <f aca="false">-AA40*Assumptions!$G$80</f>
        <v>-4990.1939489696</v>
      </c>
      <c r="AB41" s="70" t="n">
        <f aca="false">-AB40*Assumptions!$G$80</f>
        <v>-5323.84085476361</v>
      </c>
      <c r="AC41" s="70" t="n">
        <f aca="false">-AC40*Assumptions!$G$80</f>
        <v>-5685.3258954362</v>
      </c>
      <c r="AD41" s="70" t="n">
        <f aca="false">-AD40*Assumptions!$G$80</f>
        <v>-6076.39389701767</v>
      </c>
      <c r="AE41" s="70" t="n">
        <f aca="false">-AE40*Assumptions!$G$80</f>
        <v>-6499.34893826842</v>
      </c>
      <c r="AF41" s="70" t="n">
        <f aca="false">-AF40*Assumptions!$G$80</f>
        <v>-6956.66036838103</v>
      </c>
      <c r="AG41" s="70" t="n">
        <f aca="false">-AG40*Assumptions!$G$80</f>
        <v>-7451.01668762981</v>
      </c>
      <c r="AH41" s="70" t="n">
        <f aca="false">-AH40*Assumptions!$G$80</f>
        <v>-7985.35446333375</v>
      </c>
      <c r="AI41" s="70" t="n">
        <f aca="false">-AI40*Assumptions!$G$80</f>
        <v>-8562.87854642313</v>
      </c>
      <c r="AJ41" s="70" t="n">
        <f aca="false">-AJ40*Assumptions!$G$80</f>
        <v>-9187.08329680614</v>
      </c>
      <c r="AK41" s="70" t="n">
        <f aca="false">-AK40*Assumptions!$G$80</f>
        <v>-9861.77572914914</v>
      </c>
      <c r="AL41" s="70" t="n">
        <f aca="false">-AL40*Assumptions!$G$80</f>
        <v>-10591.1008619866</v>
      </c>
      <c r="AM41" s="70" t="n">
        <f aca="false">SUM(C41:AL41)</f>
        <v>-147483.356453975</v>
      </c>
    </row>
    <row r="42" customFormat="false" ht="15" hidden="false" customHeight="false" outlineLevel="0" collapsed="false">
      <c r="A42" s="37" t="s">
        <v>763</v>
      </c>
      <c r="B42" s="9" t="s">
        <v>97</v>
      </c>
      <c r="C42" s="53" t="n">
        <f aca="false">C40+C41</f>
        <v>0</v>
      </c>
      <c r="D42" s="53" t="n">
        <f aca="false">D40+D41</f>
        <v>17491.8025433444</v>
      </c>
      <c r="E42" s="53" t="n">
        <f aca="false">E40+E41</f>
        <v>25592.0277204042</v>
      </c>
      <c r="F42" s="53" t="n">
        <f aca="false">F40+F41</f>
        <v>32132.6268468343</v>
      </c>
      <c r="G42" s="53" t="n">
        <f aca="false">G40+G41</f>
        <v>38353.1476229612</v>
      </c>
      <c r="H42" s="53" t="n">
        <f aca="false">H40+H41</f>
        <v>44304.9088849722</v>
      </c>
      <c r="I42" s="53" t="n">
        <f aca="false">I40+I41</f>
        <v>50022.8920078226</v>
      </c>
      <c r="J42" s="53" t="n">
        <f aca="false">J40+J41</f>
        <v>55539.988550307</v>
      </c>
      <c r="K42" s="53" t="n">
        <f aca="false">K40+K41</f>
        <v>60888.1930671375</v>
      </c>
      <c r="L42" s="53" t="n">
        <f aca="false">L40+L41</f>
        <v>66098.8653427272</v>
      </c>
      <c r="M42" s="53" t="n">
        <f aca="false">M40+M41</f>
        <v>71202.9239332716</v>
      </c>
      <c r="N42" s="53" t="n">
        <f aca="false">N40+N41</f>
        <v>76231.0345058356</v>
      </c>
      <c r="O42" s="53" t="n">
        <f aca="false">O40+O41</f>
        <v>81213.798645947</v>
      </c>
      <c r="P42" s="53" t="n">
        <f aca="false">P40+P41</f>
        <v>86181.9446276333</v>
      </c>
      <c r="Q42" s="53" t="n">
        <f aca="false">Q40+Q41</f>
        <v>91166.5213569164</v>
      </c>
      <c r="R42" s="53" t="n">
        <f aca="false">R40+R41</f>
        <v>96199.0967044928</v>
      </c>
      <c r="S42" s="53" t="n">
        <f aca="false">S40+S41</f>
        <v>101311.961474049</v>
      </c>
      <c r="T42" s="53" t="n">
        <f aca="false">T40+T41</f>
        <v>106538.340290091</v>
      </c>
      <c r="U42" s="53" t="n">
        <f aca="false">U40+U41</f>
        <v>112409.357576816</v>
      </c>
      <c r="V42" s="53" t="n">
        <f aca="false">V40+V41</f>
        <v>118951.083784723</v>
      </c>
      <c r="W42" s="53" t="n">
        <f aca="false">W40+W41</f>
        <v>126085.470281967</v>
      </c>
      <c r="X42" s="53" t="n">
        <f aca="false">X40+X41</f>
        <v>133839.941562193</v>
      </c>
      <c r="Y42" s="53" t="n">
        <f aca="false">Y40+Y41</f>
        <v>142264.073862184</v>
      </c>
      <c r="Z42" s="53" t="n">
        <f aca="false">Z40+Z41</f>
        <v>151413.714701898</v>
      </c>
      <c r="AA42" s="53" t="n">
        <f aca="false">AA40+AA41</f>
        <v>161349.604350017</v>
      </c>
      <c r="AB42" s="53" t="n">
        <f aca="false">AB40+AB41</f>
        <v>172137.52097069</v>
      </c>
      <c r="AC42" s="53" t="n">
        <f aca="false">AC40+AC41</f>
        <v>183825.53728577</v>
      </c>
      <c r="AD42" s="53" t="n">
        <f aca="false">AD40+AD41</f>
        <v>196470.069336905</v>
      </c>
      <c r="AE42" s="53" t="n">
        <f aca="false">AE40+AE41</f>
        <v>210145.615670679</v>
      </c>
      <c r="AF42" s="53" t="n">
        <f aca="false">AF40+AF41</f>
        <v>224932.018577653</v>
      </c>
      <c r="AG42" s="53" t="n">
        <f aca="false">AG40+AG41</f>
        <v>240916.206233364</v>
      </c>
      <c r="AH42" s="53" t="n">
        <f aca="false">AH40+AH41</f>
        <v>258193.127647791</v>
      </c>
      <c r="AI42" s="53" t="n">
        <f aca="false">AI40+AI41</f>
        <v>276866.406334348</v>
      </c>
      <c r="AJ42" s="53" t="n">
        <f aca="false">AJ40+AJ41</f>
        <v>297049.026596732</v>
      </c>
      <c r="AK42" s="53" t="n">
        <f aca="false">AK40+AK41</f>
        <v>318864.081909156</v>
      </c>
      <c r="AL42" s="53" t="n">
        <f aca="false">AL40+AL41</f>
        <v>342445.594537565</v>
      </c>
      <c r="AM42" s="53" t="n">
        <f aca="false">SUM(C42:AL42)</f>
        <v>4768628.5253452</v>
      </c>
    </row>
    <row r="43" customFormat="false" ht="15" hidden="false" customHeight="false" outlineLevel="0" collapsed="false">
      <c r="A43" s="10" t="s">
        <v>764</v>
      </c>
      <c r="B43" s="9" t="s">
        <v>97</v>
      </c>
      <c r="C43" s="70" t="n">
        <f aca="false">-C40*Assumptions!$G$55</f>
        <v>-0</v>
      </c>
      <c r="D43" s="70" t="n">
        <f aca="false">-D40*Assumptions!$G$55</f>
        <v>-4688.52439306138</v>
      </c>
      <c r="E43" s="70" t="n">
        <f aca="false">-E40*Assumptions!$G$55</f>
        <v>-6859.71877041762</v>
      </c>
      <c r="F43" s="70" t="n">
        <f aca="false">-F40*Assumptions!$G$55</f>
        <v>-8612.86905172877</v>
      </c>
      <c r="G43" s="70" t="n">
        <f aca="false">-G40*Assumptions!$G$55</f>
        <v>-10280.2251360514</v>
      </c>
      <c r="H43" s="70" t="n">
        <f aca="false">-H40*Assumptions!$G$55</f>
        <v>-11875.5425877245</v>
      </c>
      <c r="I43" s="70" t="n">
        <f aca="false">-I40*Assumptions!$G$55</f>
        <v>-13408.1978577669</v>
      </c>
      <c r="J43" s="70" t="n">
        <f aca="false">-J40*Assumptions!$G$55</f>
        <v>-14887.0072402885</v>
      </c>
      <c r="K43" s="70" t="n">
        <f aca="false">-K40*Assumptions!$G$55</f>
        <v>-16320.5465953152</v>
      </c>
      <c r="L43" s="70" t="n">
        <f aca="false">-L40*Assumptions!$G$55</f>
        <v>-17717.2216382568</v>
      </c>
      <c r="M43" s="70" t="n">
        <f aca="false">-M40*Assumptions!$G$55</f>
        <v>-19085.3198171656</v>
      </c>
      <c r="N43" s="70" t="n">
        <f aca="false">-N40*Assumptions!$G$55</f>
        <v>-20433.0607953786</v>
      </c>
      <c r="O43" s="70" t="n">
        <f aca="false">-O40*Assumptions!$G$55</f>
        <v>-21768.6470597384</v>
      </c>
      <c r="P43" s="70" t="n">
        <f aca="false">-P40*Assumptions!$G$55</f>
        <v>-23100.3150548295</v>
      </c>
      <c r="Q43" s="70" t="n">
        <f aca="false">-Q40*Assumptions!$G$55</f>
        <v>-24436.3871678332</v>
      </c>
      <c r="R43" s="70" t="n">
        <f aca="false">-R40*Assumptions!$G$55</f>
        <v>-25785.3248898641</v>
      </c>
      <c r="S43" s="70" t="n">
        <f aca="false">-S40*Assumptions!$G$55</f>
        <v>-27155.7834878895</v>
      </c>
      <c r="T43" s="70" t="n">
        <f aca="false">-T40*Assumptions!$G$55</f>
        <v>-28556.6685313645</v>
      </c>
      <c r="U43" s="70" t="n">
        <f aca="false">-U40*Assumptions!$G$55</f>
        <v>-30130.3432680127</v>
      </c>
      <c r="V43" s="70" t="n">
        <f aca="false">-V40*Assumptions!$G$55</f>
        <v>-31883.7956536371</v>
      </c>
      <c r="W43" s="70" t="n">
        <f aca="false">-W40*Assumptions!$G$55</f>
        <v>-33796.1054364035</v>
      </c>
      <c r="X43" s="70" t="n">
        <f aca="false">-X40*Assumptions!$G$55</f>
        <v>-35874.6235115158</v>
      </c>
      <c r="Y43" s="70" t="n">
        <f aca="false">-Y40*Assumptions!$G$55</f>
        <v>-38132.6383548123</v>
      </c>
      <c r="Z43" s="70" t="n">
        <f aca="false">-Z40*Assumptions!$G$55</f>
        <v>-40585.1194046325</v>
      </c>
      <c r="AA43" s="70" t="n">
        <f aca="false">-AA40*Assumptions!$G$55</f>
        <v>-43248.3475577366</v>
      </c>
      <c r="AB43" s="70" t="n">
        <f aca="false">-AB40*Assumptions!$G$55</f>
        <v>-46139.9540746179</v>
      </c>
      <c r="AC43" s="70" t="n">
        <f aca="false">-AC40*Assumptions!$G$55</f>
        <v>-49272.8244271137</v>
      </c>
      <c r="AD43" s="70" t="n">
        <f aca="false">-AD40*Assumptions!$G$55</f>
        <v>-52662.0804408198</v>
      </c>
      <c r="AE43" s="70" t="n">
        <f aca="false">-AE40*Assumptions!$G$55</f>
        <v>-56327.6907983263</v>
      </c>
      <c r="AF43" s="70" t="n">
        <f aca="false">-AF40*Assumptions!$G$55</f>
        <v>-60291.056525969</v>
      </c>
      <c r="AG43" s="70" t="n">
        <f aca="false">-AG40*Assumptions!$G$55</f>
        <v>-64575.4779594584</v>
      </c>
      <c r="AH43" s="70" t="n">
        <f aca="false">-AH40*Assumptions!$G$55</f>
        <v>-69206.4053488925</v>
      </c>
      <c r="AI43" s="70" t="n">
        <f aca="false">-AI40*Assumptions!$G$55</f>
        <v>-74211.6140690004</v>
      </c>
      <c r="AJ43" s="70" t="n">
        <f aca="false">-AJ40*Assumptions!$G$55</f>
        <v>-79621.3885723199</v>
      </c>
      <c r="AK43" s="70" t="n">
        <f aca="false">-AK40*Assumptions!$G$55</f>
        <v>-85468.7229859592</v>
      </c>
      <c r="AL43" s="70" t="n">
        <f aca="false">-AL40*Assumptions!$G$55</f>
        <v>-91789.5408038835</v>
      </c>
      <c r="AM43" s="70" t="n">
        <f aca="false">SUM(C43:AL43)</f>
        <v>-1278189.08926779</v>
      </c>
    </row>
    <row r="44" customFormat="false" ht="15" hidden="false" customHeight="false" outlineLevel="0" collapsed="false">
      <c r="A44" s="10" t="s">
        <v>765</v>
      </c>
      <c r="B44" s="9" t="s">
        <v>97</v>
      </c>
      <c r="C44" s="70" t="n">
        <f aca="false">-C39*Assumptions!$G$56</f>
        <v>-0</v>
      </c>
      <c r="D44" s="70" t="n">
        <f aca="false">-D39*Assumptions!$G$56</f>
        <v>-1733.92174299607</v>
      </c>
      <c r="E44" s="70" t="n">
        <f aca="false">-E39*Assumptions!$G$56</f>
        <v>-2536.87824349764</v>
      </c>
      <c r="F44" s="70" t="n">
        <f aca="false">-F39*Assumptions!$G$56</f>
        <v>-3185.23263747366</v>
      </c>
      <c r="G44" s="70" t="n">
        <f aca="false">-G39*Assumptions!$G$56</f>
        <v>-3801.85840830305</v>
      </c>
      <c r="H44" s="70" t="n">
        <f aca="false">-H39*Assumptions!$G$56</f>
        <v>-4391.84267297504</v>
      </c>
      <c r="I44" s="70" t="n">
        <f aca="false">-I39*Assumptions!$G$56</f>
        <v>-4958.65305390787</v>
      </c>
      <c r="J44" s="70" t="n">
        <f aca="false">-J39*Assumptions!$G$56</f>
        <v>-5505.55001489959</v>
      </c>
      <c r="K44" s="70" t="n">
        <f aca="false">-K39*Assumptions!$G$56</f>
        <v>-6035.70510181776</v>
      </c>
      <c r="L44" s="70" t="n">
        <f aca="false">-L39*Assumptions!$G$56</f>
        <v>-6552.22693722513</v>
      </c>
      <c r="M44" s="70" t="n">
        <f aca="false">-M39*Assumptions!$G$56</f>
        <v>-7058.1804057565</v>
      </c>
      <c r="N44" s="70" t="n">
        <f aca="false">-N39*Assumptions!$G$56</f>
        <v>-7556.6053237347</v>
      </c>
      <c r="O44" s="70" t="n">
        <f aca="false">-O39*Assumptions!$G$56</f>
        <v>-8050.53515522869</v>
      </c>
      <c r="P44" s="70" t="n">
        <f aca="false">-P39*Assumptions!$G$56</f>
        <v>-8543.01592264406</v>
      </c>
      <c r="Q44" s="70" t="n">
        <f aca="false">-Q39*Assumptions!$G$56</f>
        <v>-9037.12543189099</v>
      </c>
      <c r="R44" s="70" t="n">
        <f aca="false">-R39*Assumptions!$G$56</f>
        <v>-9535.99293264203</v>
      </c>
      <c r="S44" s="70" t="n">
        <f aca="false">-S39*Assumptions!$G$56</f>
        <v>-10042.8193372372</v>
      </c>
      <c r="T44" s="70" t="n">
        <f aca="false">-T39*Assumptions!$G$56</f>
        <v>-10560.8981255046</v>
      </c>
      <c r="U44" s="70" t="n">
        <f aca="false">-U39*Assumptions!$G$56</f>
        <v>-11142.8784275195</v>
      </c>
      <c r="V44" s="70" t="n">
        <f aca="false">-V39*Assumptions!$G$56</f>
        <v>-11791.3445464634</v>
      </c>
      <c r="W44" s="70" t="n">
        <f aca="false">-W39*Assumptions!$G$56</f>
        <v>-12498.559702812</v>
      </c>
      <c r="X44" s="70" t="n">
        <f aca="false">-X39*Assumptions!$G$56</f>
        <v>-13267.2424228978</v>
      </c>
      <c r="Y44" s="70" t="n">
        <f aca="false">-Y39*Assumptions!$G$56</f>
        <v>-14102.3070838803</v>
      </c>
      <c r="Z44" s="70" t="n">
        <f aca="false">-Z39*Assumptions!$G$56</f>
        <v>-15009.2897206481</v>
      </c>
      <c r="AA44" s="70" t="n">
        <f aca="false">-AA39*Assumptions!$G$56</f>
        <v>-15994.2113749026</v>
      </c>
      <c r="AB44" s="70" t="n">
        <f aca="false">-AB39*Assumptions!$G$56</f>
        <v>-17063.5924832167</v>
      </c>
      <c r="AC44" s="70" t="n">
        <f aca="false">-AC39*Assumptions!$G$56</f>
        <v>-18222.1983828083</v>
      </c>
      <c r="AD44" s="70" t="n">
        <f aca="false">-AD39*Assumptions!$G$56</f>
        <v>-19475.6214648002</v>
      </c>
      <c r="AE44" s="70" t="n">
        <f aca="false">-AE39*Assumptions!$G$56</f>
        <v>-20831.2465970142</v>
      </c>
      <c r="AF44" s="70" t="n">
        <f aca="false">-AF39*Assumptions!$G$56</f>
        <v>-22296.9883601956</v>
      </c>
      <c r="AG44" s="70" t="n">
        <f aca="false">-AG39*Assumptions!$G$56</f>
        <v>-23881.4637424033</v>
      </c>
      <c r="AH44" s="70" t="n">
        <f aca="false">-AH39*Assumptions!$G$56</f>
        <v>-25594.0848183774</v>
      </c>
      <c r="AI44" s="70" t="n">
        <f aca="false">-AI39*Assumptions!$G$56</f>
        <v>-27445.123546228</v>
      </c>
      <c r="AJ44" s="70" t="n">
        <f aca="false">-AJ39*Assumptions!$G$56</f>
        <v>-29445.7797974556</v>
      </c>
      <c r="AK44" s="70" t="n">
        <f aca="false">-AK39*Assumptions!$G$56</f>
        <v>-31608.2555421447</v>
      </c>
      <c r="AL44" s="70" t="n">
        <f aca="false">-AL39*Assumptions!$G$56</f>
        <v>-33945.8360961108</v>
      </c>
      <c r="AM44" s="70" t="n">
        <f aca="false">SUM(C44:AL44)</f>
        <v>-472703.065557613</v>
      </c>
    </row>
    <row r="45" customFormat="false" ht="15" hidden="false" customHeight="false" outlineLevel="0" collapsed="false">
      <c r="A45" s="10" t="s">
        <v>766</v>
      </c>
      <c r="B45" s="9" t="s">
        <v>97</v>
      </c>
      <c r="C45" s="70" t="n">
        <f aca="false">-C42*Assumptions!$G$79</f>
        <v>-0</v>
      </c>
      <c r="D45" s="70" t="n">
        <f aca="false">-D42*Assumptions!$G$79</f>
        <v>-507.262273756987</v>
      </c>
      <c r="E45" s="70" t="n">
        <f aca="false">-E42*Assumptions!$G$79</f>
        <v>-742.168803891722</v>
      </c>
      <c r="F45" s="70" t="n">
        <f aca="false">-F42*Assumptions!$G$79</f>
        <v>-931.846178558194</v>
      </c>
      <c r="G45" s="70" t="n">
        <f aca="false">-G42*Assumptions!$G$79</f>
        <v>-1112.24128106587</v>
      </c>
      <c r="H45" s="70" t="n">
        <f aca="false">-H42*Assumptions!$G$79</f>
        <v>-1284.84235766419</v>
      </c>
      <c r="I45" s="70" t="n">
        <f aca="false">-I42*Assumptions!$G$79</f>
        <v>-1450.66386822686</v>
      </c>
      <c r="J45" s="70" t="n">
        <f aca="false">-J42*Assumptions!$G$79</f>
        <v>-1610.6596679589</v>
      </c>
      <c r="K45" s="70" t="n">
        <f aca="false">-K42*Assumptions!$G$79</f>
        <v>-1765.75759894699</v>
      </c>
      <c r="L45" s="70" t="n">
        <f aca="false">-L42*Assumptions!$G$79</f>
        <v>-1916.86709493909</v>
      </c>
      <c r="M45" s="70" t="n">
        <f aca="false">-M42*Assumptions!$G$79</f>
        <v>-2064.88479406488</v>
      </c>
      <c r="N45" s="70" t="n">
        <f aca="false">-N42*Assumptions!$G$79</f>
        <v>-2210.70000066923</v>
      </c>
      <c r="O45" s="70" t="n">
        <f aca="false">-O42*Assumptions!$G$79</f>
        <v>-2355.20016073246</v>
      </c>
      <c r="P45" s="70" t="n">
        <f aca="false">-P42*Assumptions!$G$79</f>
        <v>-2499.27639420136</v>
      </c>
      <c r="Q45" s="70" t="n">
        <f aca="false">-Q42*Assumptions!$G$79</f>
        <v>-2643.82911935057</v>
      </c>
      <c r="R45" s="70" t="n">
        <f aca="false">-R42*Assumptions!$G$79</f>
        <v>-2789.77380443029</v>
      </c>
      <c r="S45" s="70" t="n">
        <f aca="false">-S42*Assumptions!$G$79</f>
        <v>-2938.04688274743</v>
      </c>
      <c r="T45" s="70" t="n">
        <f aca="false">-T42*Assumptions!$G$79</f>
        <v>-3089.61186841263</v>
      </c>
      <c r="U45" s="70" t="n">
        <f aca="false">-U42*Assumptions!$G$79</f>
        <v>-3259.87136972768</v>
      </c>
      <c r="V45" s="70" t="n">
        <f aca="false">-V42*Assumptions!$G$79</f>
        <v>-3449.58142975696</v>
      </c>
      <c r="W45" s="70" t="n">
        <f aca="false">-W42*Assumptions!$G$79</f>
        <v>-3656.47863817704</v>
      </c>
      <c r="X45" s="70" t="n">
        <f aca="false">-X42*Assumptions!$G$79</f>
        <v>-3881.35830530361</v>
      </c>
      <c r="Y45" s="70" t="n">
        <f aca="false">-Y42*Assumptions!$G$79</f>
        <v>-4125.65814200335</v>
      </c>
      <c r="Z45" s="70" t="n">
        <f aca="false">-Z42*Assumptions!$G$79</f>
        <v>-4390.99772635505</v>
      </c>
      <c r="AA45" s="70" t="n">
        <f aca="false">-AA42*Assumptions!$G$79</f>
        <v>-4679.1385261505</v>
      </c>
      <c r="AB45" s="70" t="n">
        <f aca="false">-AB42*Assumptions!$G$79</f>
        <v>-4991.98810815001</v>
      </c>
      <c r="AC45" s="70" t="n">
        <f aca="false">-AC42*Assumptions!$G$79</f>
        <v>-5330.94058128734</v>
      </c>
      <c r="AD45" s="70" t="n">
        <f aca="false">-AD42*Assumptions!$G$79</f>
        <v>-5697.63201077023</v>
      </c>
      <c r="AE45" s="70" t="n">
        <f aca="false">-AE42*Assumptions!$G$79</f>
        <v>-6094.22285444969</v>
      </c>
      <c r="AF45" s="70" t="n">
        <f aca="false">-AF42*Assumptions!$G$79</f>
        <v>-6523.02853875195</v>
      </c>
      <c r="AG45" s="70" t="n">
        <f aca="false">-AG42*Assumptions!$G$79</f>
        <v>-6986.56998076756</v>
      </c>
      <c r="AH45" s="70" t="n">
        <f aca="false">-AH42*Assumptions!$G$79</f>
        <v>-7487.60070178595</v>
      </c>
      <c r="AI45" s="70" t="n">
        <f aca="false">-AI42*Assumptions!$G$79</f>
        <v>-8029.12578369609</v>
      </c>
      <c r="AJ45" s="70" t="n">
        <f aca="false">-AJ42*Assumptions!$G$79</f>
        <v>-8614.42177130523</v>
      </c>
      <c r="AK45" s="70" t="n">
        <f aca="false">-AK42*Assumptions!$G$79</f>
        <v>-9247.05837536551</v>
      </c>
      <c r="AL45" s="70" t="n">
        <f aca="false">-AL42*Assumptions!$G$79</f>
        <v>-9930.92224158939</v>
      </c>
      <c r="AM45" s="70" t="n">
        <f aca="false">SUM(C45:AL45)</f>
        <v>-138290.227235011</v>
      </c>
    </row>
    <row r="46" customFormat="false" ht="15" hidden="false" customHeight="false" outlineLevel="0" collapsed="false">
      <c r="A46" s="37" t="s">
        <v>767</v>
      </c>
      <c r="B46" s="9" t="s">
        <v>97</v>
      </c>
      <c r="C46" s="53" t="n">
        <f aca="false">C42+C43+C44+C45</f>
        <v>0</v>
      </c>
      <c r="D46" s="53" t="n">
        <f aca="false">D42+D43+D44+D45</f>
        <v>10562.0941335299</v>
      </c>
      <c r="E46" s="53" t="n">
        <f aca="false">E42+E43+E44+E45</f>
        <v>15453.2619025972</v>
      </c>
      <c r="F46" s="53" t="n">
        <f aca="false">F42+F43+F44+F45</f>
        <v>19402.6789790736</v>
      </c>
      <c r="G46" s="53" t="n">
        <f aca="false">G42+G43+G44+G45</f>
        <v>23158.8227975408</v>
      </c>
      <c r="H46" s="53" t="n">
        <f aca="false">H42+H43+H44+H45</f>
        <v>26752.6812666085</v>
      </c>
      <c r="I46" s="53" t="n">
        <f aca="false">I42+I43+I44+I45</f>
        <v>30205.377227921</v>
      </c>
      <c r="J46" s="53" t="n">
        <f aca="false">J42+J43+J44+J45</f>
        <v>33536.77162716</v>
      </c>
      <c r="K46" s="53" t="n">
        <f aca="false">K42+K43+K44+K45</f>
        <v>36766.1837710576</v>
      </c>
      <c r="L46" s="53" t="n">
        <f aca="false">L42+L43+L44+L45</f>
        <v>39912.5496723062</v>
      </c>
      <c r="M46" s="53" t="n">
        <f aca="false">M42+M43+M44+M45</f>
        <v>42994.5389162846</v>
      </c>
      <c r="N46" s="53" t="n">
        <f aca="false">N42+N43+N44+N45</f>
        <v>46030.6683860531</v>
      </c>
      <c r="O46" s="53" t="n">
        <f aca="false">O42+O43+O44+O45</f>
        <v>49039.4162702475</v>
      </c>
      <c r="P46" s="53" t="n">
        <f aca="false">P42+P43+P44+P45</f>
        <v>52039.3372559583</v>
      </c>
      <c r="Q46" s="53" t="n">
        <f aca="false">Q42+Q43+Q44+Q45</f>
        <v>55049.1796378415</v>
      </c>
      <c r="R46" s="53" t="n">
        <f aca="false">R42+R43+R44+R45</f>
        <v>58088.0050775564</v>
      </c>
      <c r="S46" s="53" t="n">
        <f aca="false">S42+S43+S44+S45</f>
        <v>61175.3117661751</v>
      </c>
      <c r="T46" s="53" t="n">
        <f aca="false">T42+T43+T44+T45</f>
        <v>64331.1617648089</v>
      </c>
      <c r="U46" s="53" t="n">
        <f aca="false">U42+U43+U44+U45</f>
        <v>67876.2645115566</v>
      </c>
      <c r="V46" s="53" t="n">
        <f aca="false">V42+V43+V44+V45</f>
        <v>71826.3621548654</v>
      </c>
      <c r="W46" s="53" t="n">
        <f aca="false">W42+W43+W44+W45</f>
        <v>76134.3265045745</v>
      </c>
      <c r="X46" s="53" t="n">
        <f aca="false">X42+X43+X44+X45</f>
        <v>80816.7173224762</v>
      </c>
      <c r="Y46" s="53" t="n">
        <f aca="false">Y42+Y43+Y44+Y45</f>
        <v>85903.4702814884</v>
      </c>
      <c r="Z46" s="53" t="n">
        <f aca="false">Z42+Z43+Z44+Z45</f>
        <v>91428.3078502625</v>
      </c>
      <c r="AA46" s="53" t="n">
        <f aca="false">AA42+AA43+AA44+AA45</f>
        <v>97427.9068912275</v>
      </c>
      <c r="AB46" s="53" t="n">
        <f aca="false">AB42+AB43+AB44+AB45</f>
        <v>103941.986304705</v>
      </c>
      <c r="AC46" s="53" t="n">
        <f aca="false">AC42+AC43+AC44+AC45</f>
        <v>110999.573894561</v>
      </c>
      <c r="AD46" s="53" t="n">
        <f aca="false">AD42+AD43+AD44+AD45</f>
        <v>118634.735420514</v>
      </c>
      <c r="AE46" s="53" t="n">
        <f aca="false">AE42+AE43+AE44+AE45</f>
        <v>126892.455420889</v>
      </c>
      <c r="AF46" s="53" t="n">
        <f aca="false">AF42+AF43+AF44+AF45</f>
        <v>135820.945152737</v>
      </c>
      <c r="AG46" s="53" t="n">
        <f aca="false">AG42+AG43+AG44+AG45</f>
        <v>145472.694550735</v>
      </c>
      <c r="AH46" s="53" t="n">
        <f aca="false">AH42+AH43+AH44+AH45</f>
        <v>155905.036778735</v>
      </c>
      <c r="AI46" s="53" t="n">
        <f aca="false">AI42+AI43+AI44+AI45</f>
        <v>167180.542935423</v>
      </c>
      <c r="AJ46" s="53" t="n">
        <f aca="false">AJ42+AJ43+AJ44+AJ45</f>
        <v>179367.436455651</v>
      </c>
      <c r="AK46" s="53" t="n">
        <f aca="false">AK42+AK43+AK44+AK45</f>
        <v>192540.045005686</v>
      </c>
      <c r="AL46" s="53" t="n">
        <f aca="false">AL42+AL43+AL44+AL45</f>
        <v>206779.295395982</v>
      </c>
      <c r="AM46" s="53" t="n">
        <f aca="false">SUM(C46:AL46)</f>
        <v>2879446.14328479</v>
      </c>
    </row>
    <row r="47" customFormat="false" ht="15" hidden="false" customHeight="false" outlineLevel="0" collapsed="false">
      <c r="A47" s="10" t="s">
        <v>768</v>
      </c>
      <c r="B47" s="9" t="s">
        <v>61</v>
      </c>
      <c r="C47" s="62" t="n">
        <f aca="false">IFERROR(C46/C42,0)</f>
        <v>0</v>
      </c>
      <c r="D47" s="62" t="n">
        <f aca="false">IFERROR(D46/D42,0)</f>
        <v>0.603831086439334</v>
      </c>
      <c r="E47" s="62" t="n">
        <f aca="false">IFERROR(E46/E42,0)</f>
        <v>0.603831086439334</v>
      </c>
      <c r="F47" s="62" t="n">
        <f aca="false">IFERROR(F46/F42,0)</f>
        <v>0.603831086439334</v>
      </c>
      <c r="G47" s="62" t="n">
        <f aca="false">IFERROR(G46/G42,0)</f>
        <v>0.603831086439334</v>
      </c>
      <c r="H47" s="62" t="n">
        <f aca="false">IFERROR(H46/H42,0)</f>
        <v>0.603831086439334</v>
      </c>
      <c r="I47" s="62" t="n">
        <f aca="false">IFERROR(I46/I42,0)</f>
        <v>0.603831086439334</v>
      </c>
      <c r="J47" s="62" t="n">
        <f aca="false">IFERROR(J46/J42,0)</f>
        <v>0.603831086439334</v>
      </c>
      <c r="K47" s="62" t="n">
        <f aca="false">IFERROR(K46/K42,0)</f>
        <v>0.603831086439334</v>
      </c>
      <c r="L47" s="62" t="n">
        <f aca="false">IFERROR(L46/L42,0)</f>
        <v>0.603831086439334</v>
      </c>
      <c r="M47" s="62" t="n">
        <f aca="false">IFERROR(M46/M42,0)</f>
        <v>0.603831086439334</v>
      </c>
      <c r="N47" s="62" t="n">
        <f aca="false">IFERROR(N46/N42,0)</f>
        <v>0.603831086439334</v>
      </c>
      <c r="O47" s="62" t="n">
        <f aca="false">IFERROR(O46/O42,0)</f>
        <v>0.603831086439334</v>
      </c>
      <c r="P47" s="62" t="n">
        <f aca="false">IFERROR(P46/P42,0)</f>
        <v>0.603831086439334</v>
      </c>
      <c r="Q47" s="62" t="n">
        <f aca="false">IFERROR(Q46/Q42,0)</f>
        <v>0.603831086439334</v>
      </c>
      <c r="R47" s="62" t="n">
        <f aca="false">IFERROR(R46/R42,0)</f>
        <v>0.603831086439334</v>
      </c>
      <c r="S47" s="62" t="n">
        <f aca="false">IFERROR(S46/S42,0)</f>
        <v>0.603831086439334</v>
      </c>
      <c r="T47" s="62" t="n">
        <f aca="false">IFERROR(T46/T42,0)</f>
        <v>0.603831086439334</v>
      </c>
      <c r="U47" s="62" t="n">
        <f aca="false">IFERROR(U46/U42,0)</f>
        <v>0.603831086439334</v>
      </c>
      <c r="V47" s="62" t="n">
        <f aca="false">IFERROR(V46/V42,0)</f>
        <v>0.603831086439334</v>
      </c>
      <c r="W47" s="62" t="n">
        <f aca="false">IFERROR(W46/W42,0)</f>
        <v>0.603831086439334</v>
      </c>
      <c r="X47" s="62" t="n">
        <f aca="false">IFERROR(X46/X42,0)</f>
        <v>0.603831086439334</v>
      </c>
      <c r="Y47" s="62" t="n">
        <f aca="false">IFERROR(Y46/Y42,0)</f>
        <v>0.603831086439334</v>
      </c>
      <c r="Z47" s="62" t="n">
        <f aca="false">IFERROR(Z46/Z42,0)</f>
        <v>0.603831086439334</v>
      </c>
      <c r="AA47" s="62" t="n">
        <f aca="false">IFERROR(AA46/AA42,0)</f>
        <v>0.603831086439334</v>
      </c>
      <c r="AB47" s="62" t="n">
        <f aca="false">IFERROR(AB46/AB42,0)</f>
        <v>0.603831086439334</v>
      </c>
      <c r="AC47" s="62" t="n">
        <f aca="false">IFERROR(AC46/AC42,0)</f>
        <v>0.603831086439334</v>
      </c>
      <c r="AD47" s="62" t="n">
        <f aca="false">IFERROR(AD46/AD42,0)</f>
        <v>0.603831086439334</v>
      </c>
      <c r="AE47" s="62" t="n">
        <f aca="false">IFERROR(AE46/AE42,0)</f>
        <v>0.603831086439334</v>
      </c>
      <c r="AF47" s="62" t="n">
        <f aca="false">IFERROR(AF46/AF42,0)</f>
        <v>0.603831086439334</v>
      </c>
      <c r="AG47" s="62" t="n">
        <f aca="false">IFERROR(AG46/AG42,0)</f>
        <v>0.603831086439334</v>
      </c>
      <c r="AH47" s="62" t="n">
        <f aca="false">IFERROR(AH46/AH42,0)</f>
        <v>0.603831086439334</v>
      </c>
      <c r="AI47" s="62" t="n">
        <f aca="false">IFERROR(AI46/AI42,0)</f>
        <v>0.603831086439334</v>
      </c>
      <c r="AJ47" s="62" t="n">
        <f aca="false">IFERROR(AJ46/AJ42,0)</f>
        <v>0.603831086439334</v>
      </c>
      <c r="AK47" s="62" t="n">
        <f aca="false">IFERROR(AK46/AK42,0)</f>
        <v>0.603831086439334</v>
      </c>
      <c r="AL47" s="62" t="n">
        <f aca="false">IFERROR(AL46/AL42,0)</f>
        <v>0.603831086439334</v>
      </c>
      <c r="AM47" s="62" t="n">
        <f aca="false">AVERAGE(N47:AL47)</f>
        <v>0.603831086439334</v>
      </c>
    </row>
    <row r="48" customFormat="false" ht="15" hidden="false" customHeight="false" outlineLevel="0" collapsed="false">
      <c r="A48" s="10" t="s">
        <v>769</v>
      </c>
      <c r="B48" s="9" t="s">
        <v>61</v>
      </c>
      <c r="C48" s="62" t="n">
        <f aca="false">IF(C9=0,0,MIN(Assumptions!$G$63,Assumptions!$G$61+Assumptions!$G$62*(C$5-Assumptions!$G$7)))</f>
        <v>0</v>
      </c>
      <c r="D48" s="62" t="n">
        <f aca="false">IF(D9=0,0,MIN(Assumptions!$G$63,Assumptions!$G$61+Assumptions!$G$62*(D$5-Assumptions!$G$7)))</f>
        <v>0</v>
      </c>
      <c r="E48" s="62" t="n">
        <f aca="false">IF(E9=0,0,MIN(Assumptions!$G$63,Assumptions!$G$61+Assumptions!$G$62*(E$5-Assumptions!$G$7)))</f>
        <v>0</v>
      </c>
      <c r="F48" s="62" t="n">
        <f aca="false">IF(F9=0,0,MIN(Assumptions!$G$63,Assumptions!$G$61+Assumptions!$G$62*(F$5-Assumptions!$G$7)))</f>
        <v>0</v>
      </c>
      <c r="G48" s="62" t="n">
        <f aca="false">IF(G9=0,0,MIN(Assumptions!$G$63,Assumptions!$G$61+Assumptions!$G$62*(G$5-Assumptions!$G$7)))</f>
        <v>0</v>
      </c>
      <c r="H48" s="62" t="n">
        <f aca="false">IF(H9=0,0,MIN(Assumptions!$G$63,Assumptions!$G$61+Assumptions!$G$62*(H$5-Assumptions!$G$7)))</f>
        <v>0</v>
      </c>
      <c r="I48" s="62" t="n">
        <f aca="false">IF(I9=0,0,MIN(Assumptions!$G$63,Assumptions!$G$61+Assumptions!$G$62*(I$5-Assumptions!$G$7)))</f>
        <v>0.36</v>
      </c>
      <c r="J48" s="62" t="n">
        <f aca="false">IF(J9=0,0,MIN(Assumptions!$G$63,Assumptions!$G$61+Assumptions!$G$62*(J$5-Assumptions!$G$7)))</f>
        <v>0.385</v>
      </c>
      <c r="K48" s="62" t="n">
        <f aca="false">IF(K9=0,0,MIN(Assumptions!$G$63,Assumptions!$G$61+Assumptions!$G$62*(K$5-Assumptions!$G$7)))</f>
        <v>0.41</v>
      </c>
      <c r="L48" s="62" t="n">
        <f aca="false">IF(L9=0,0,MIN(Assumptions!$G$63,Assumptions!$G$61+Assumptions!$G$62*(L$5-Assumptions!$G$7)))</f>
        <v>0.435</v>
      </c>
      <c r="M48" s="62" t="n">
        <f aca="false">IF(M9=0,0,MIN(Assumptions!$G$63,Assumptions!$G$61+Assumptions!$G$62*(M$5-Assumptions!$G$7)))</f>
        <v>0.46</v>
      </c>
      <c r="N48" s="62" t="n">
        <f aca="false">IF(N9=0,0,MIN(Assumptions!$G$63,Assumptions!$G$61+Assumptions!$G$62*(N$5-Assumptions!$G$7)))</f>
        <v>0.485</v>
      </c>
      <c r="O48" s="62" t="n">
        <f aca="false">IF(O9=0,0,MIN(Assumptions!$G$63,Assumptions!$G$61+Assumptions!$G$62*(O$5-Assumptions!$G$7)))</f>
        <v>0.51</v>
      </c>
      <c r="P48" s="62" t="n">
        <f aca="false">IF(P9=0,0,MIN(Assumptions!$G$63,Assumptions!$G$61+Assumptions!$G$62*(P$5-Assumptions!$G$7)))</f>
        <v>0.535</v>
      </c>
      <c r="Q48" s="62" t="n">
        <f aca="false">IF(Q9=0,0,MIN(Assumptions!$G$63,Assumptions!$G$61+Assumptions!$G$62*(Q$5-Assumptions!$G$7)))</f>
        <v>0.56</v>
      </c>
      <c r="R48" s="62" t="n">
        <f aca="false">IF(R9=0,0,MIN(Assumptions!$G$63,Assumptions!$G$61+Assumptions!$G$62*(R$5-Assumptions!$G$7)))</f>
        <v>0.585</v>
      </c>
      <c r="S48" s="62" t="n">
        <f aca="false">IF(S9=0,0,MIN(Assumptions!$G$63,Assumptions!$G$61+Assumptions!$G$62*(S$5-Assumptions!$G$7)))</f>
        <v>0.61</v>
      </c>
      <c r="T48" s="62" t="n">
        <f aca="false">IF(T9=0,0,MIN(Assumptions!$G$63,Assumptions!$G$61+Assumptions!$G$62*(T$5-Assumptions!$G$7)))</f>
        <v>0.635</v>
      </c>
      <c r="U48" s="62" t="n">
        <f aca="false">IF(U9=0,0,MIN(Assumptions!$G$63,Assumptions!$G$61+Assumptions!$G$62*(U$5-Assumptions!$G$7)))</f>
        <v>0.66</v>
      </c>
      <c r="V48" s="62" t="n">
        <f aca="false">IF(V9=0,0,MIN(Assumptions!$G$63,Assumptions!$G$61+Assumptions!$G$62*(V$5-Assumptions!$G$7)))</f>
        <v>0.685</v>
      </c>
      <c r="W48" s="62" t="n">
        <f aca="false">IF(W9=0,0,MIN(Assumptions!$G$63,Assumptions!$G$61+Assumptions!$G$62*(W$5-Assumptions!$G$7)))</f>
        <v>0.71</v>
      </c>
      <c r="X48" s="62" t="n">
        <f aca="false">IF(X9=0,0,MIN(Assumptions!$G$63,Assumptions!$G$61+Assumptions!$G$62*(X$5-Assumptions!$G$7)))</f>
        <v>0.735</v>
      </c>
      <c r="Y48" s="62" t="n">
        <f aca="false">IF(Y9=0,0,MIN(Assumptions!$G$63,Assumptions!$G$61+Assumptions!$G$62*(Y$5-Assumptions!$G$7)))</f>
        <v>0.76</v>
      </c>
      <c r="Z48" s="62" t="n">
        <f aca="false">IF(Z9=0,0,MIN(Assumptions!$G$63,Assumptions!$G$61+Assumptions!$G$62*(Z$5-Assumptions!$G$7)))</f>
        <v>0.785</v>
      </c>
      <c r="AA48" s="62" t="n">
        <f aca="false">IF(AA9=0,0,MIN(Assumptions!$G$63,Assumptions!$G$61+Assumptions!$G$62*(AA$5-Assumptions!$G$7)))</f>
        <v>0.81</v>
      </c>
      <c r="AB48" s="62" t="n">
        <f aca="false">IF(AB9=0,0,MIN(Assumptions!$G$63,Assumptions!$G$61+Assumptions!$G$62*(AB$5-Assumptions!$G$7)))</f>
        <v>0.82</v>
      </c>
      <c r="AC48" s="62" t="n">
        <f aca="false">IF(AC9=0,0,MIN(Assumptions!$G$63,Assumptions!$G$61+Assumptions!$G$62*(AC$5-Assumptions!$G$7)))</f>
        <v>0.82</v>
      </c>
      <c r="AD48" s="62" t="n">
        <f aca="false">IF(AD9=0,0,MIN(Assumptions!$G$63,Assumptions!$G$61+Assumptions!$G$62*(AD$5-Assumptions!$G$7)))</f>
        <v>0.82</v>
      </c>
      <c r="AE48" s="62" t="n">
        <f aca="false">IF(AE9=0,0,MIN(Assumptions!$G$63,Assumptions!$G$61+Assumptions!$G$62*(AE$5-Assumptions!$G$7)))</f>
        <v>0.82</v>
      </c>
      <c r="AF48" s="62" t="n">
        <f aca="false">IF(AF9=0,0,MIN(Assumptions!$G$63,Assumptions!$G$61+Assumptions!$G$62*(AF$5-Assumptions!$G$7)))</f>
        <v>0.82</v>
      </c>
      <c r="AG48" s="62" t="n">
        <f aca="false">IF(AG9=0,0,MIN(Assumptions!$G$63,Assumptions!$G$61+Assumptions!$G$62*(AG$5-Assumptions!$G$7)))</f>
        <v>0.82</v>
      </c>
      <c r="AH48" s="62" t="n">
        <f aca="false">IF(AH9=0,0,MIN(Assumptions!$G$63,Assumptions!$G$61+Assumptions!$G$62*(AH$5-Assumptions!$G$7)))</f>
        <v>0.82</v>
      </c>
      <c r="AI48" s="62" t="n">
        <f aca="false">IF(AI9=0,0,MIN(Assumptions!$G$63,Assumptions!$G$61+Assumptions!$G$62*(AI$5-Assumptions!$G$7)))</f>
        <v>0.82</v>
      </c>
      <c r="AJ48" s="62" t="n">
        <f aca="false">IF(AJ9=0,0,MIN(Assumptions!$G$63,Assumptions!$G$61+Assumptions!$G$62*(AJ$5-Assumptions!$G$7)))</f>
        <v>0.82</v>
      </c>
      <c r="AK48" s="62" t="n">
        <f aca="false">IF(AK9=0,0,MIN(Assumptions!$G$63,Assumptions!$G$61+Assumptions!$G$62*(AK$5-Assumptions!$G$7)))</f>
        <v>0.82</v>
      </c>
      <c r="AL48" s="62" t="n">
        <f aca="false">IF(AL9=0,0,MIN(Assumptions!$G$63,Assumptions!$G$61+Assumptions!$G$62*(AL$5-Assumptions!$G$7)))</f>
        <v>0.82</v>
      </c>
      <c r="AM48" s="62" t="n">
        <f aca="false">AL48</f>
        <v>0.82</v>
      </c>
    </row>
    <row r="49" customFormat="false" ht="15" hidden="false" customHeight="false" outlineLevel="0" collapsed="false">
      <c r="A49" s="10" t="s">
        <v>770</v>
      </c>
      <c r="B49" s="9" t="s">
        <v>84</v>
      </c>
      <c r="C49" s="61" t="n">
        <f aca="false">C15+C19+C23+(C13+C25)*Assumptions!$G$45</f>
        <v>5080.1924307638</v>
      </c>
      <c r="D49" s="61" t="n">
        <f aca="false">D15+D19+D23+(D13+D25)*Assumptions!$G$45</f>
        <v>10853.2366764911</v>
      </c>
      <c r="E49" s="61" t="n">
        <f aca="false">E15+E19+E23+(E13+E25)*Assumptions!$G$45</f>
        <v>11945.6088819359</v>
      </c>
      <c r="F49" s="61" t="n">
        <f aca="false">F15+F19+F23+(F13+F25)*Assumptions!$G$45</f>
        <v>12275.8655650619</v>
      </c>
      <c r="G49" s="61" t="n">
        <f aca="false">G15+G19+G23+(G13+G25)*Assumptions!$G$45</f>
        <v>12572.9286186876</v>
      </c>
      <c r="H49" s="61" t="n">
        <f aca="false">H15+H19+H23+(H13+H25)*Assumptions!$G$45</f>
        <v>12892.141359504</v>
      </c>
      <c r="I49" s="61" t="n">
        <f aca="false">I15+I19+I23+(I13+I25)*Assumptions!$G$45</f>
        <v>13239.7375917343</v>
      </c>
      <c r="J49" s="61" t="n">
        <f aca="false">J15+J19+J23+(J13+J25)*Assumptions!$G$45</f>
        <v>13618.5775402539</v>
      </c>
      <c r="K49" s="61" t="n">
        <f aca="false">K15+K19+K23+(K13+K25)*Assumptions!$G$45</f>
        <v>14031.4924760803</v>
      </c>
      <c r="L49" s="61" t="n">
        <f aca="false">L15+L19+L23+(L13+L25)*Assumptions!$G$45</f>
        <v>14481.5471284243</v>
      </c>
      <c r="M49" s="61" t="n">
        <f aca="false">M15+M19+M23+(M13+M25)*Assumptions!$G$45</f>
        <v>14972.0798303786</v>
      </c>
      <c r="N49" s="61" t="n">
        <f aca="false">N15+N19+N23+(N13+N25)*Assumptions!$G$45</f>
        <v>15506.7283968971</v>
      </c>
      <c r="O49" s="61" t="n">
        <f aca="false">O15+O19+O23+(O13+O25)*Assumptions!$G$45</f>
        <v>16089.4570058414</v>
      </c>
      <c r="P49" s="61" t="n">
        <f aca="false">P15+P19+P23+(P13+P25)*Assumptions!$G$45</f>
        <v>16724.5853678042</v>
      </c>
      <c r="Q49" s="61" t="n">
        <f aca="false">Q15+Q19+Q23+(Q13+Q25)*Assumptions!$G$45</f>
        <v>17416.8204697543</v>
      </c>
      <c r="R49" s="61" t="n">
        <f aca="false">R15+R19+R23+(R13+R25)*Assumptions!$G$45</f>
        <v>18171.29112038</v>
      </c>
      <c r="S49" s="61" t="n">
        <f aca="false">S15+S19+S23+(S13+S25)*Assumptions!$G$45</f>
        <v>18993.5855371724</v>
      </c>
      <c r="T49" s="61" t="n">
        <f aca="false">T15+T19+T23+(T13+T25)*Assumptions!$G$45</f>
        <v>19889.7922333145</v>
      </c>
      <c r="U49" s="61" t="n">
        <f aca="false">U15+U19+U23+(U13+U25)*Assumptions!$G$45</f>
        <v>21129.1650713256</v>
      </c>
      <c r="V49" s="61" t="n">
        <f aca="false">V15+V19+V23+(V13+V25)*Assumptions!$G$45</f>
        <v>22637.2979880818</v>
      </c>
      <c r="W49" s="61" t="n">
        <f aca="false">W15+W19+W23+(W13+W25)*Assumptions!$G$45</f>
        <v>24307.3036393129</v>
      </c>
      <c r="X49" s="61" t="n">
        <f aca="false">X15+X19+X23+(X13+X25)*Assumptions!$G$45</f>
        <v>26126.6370464021</v>
      </c>
      <c r="Y49" s="61" t="n">
        <f aca="false">Y15+Y19+Y23+(Y13+Y25)*Assumptions!$G$45</f>
        <v>28104.1931571764</v>
      </c>
      <c r="Z49" s="61" t="n">
        <f aca="false">Z15+Z19+Z23+(Z13+Z25)*Assumptions!$G$45</f>
        <v>30252.8301048771</v>
      </c>
      <c r="AA49" s="61" t="n">
        <f aca="false">AA15+AA19+AA23+(AA13+AA25)*Assumptions!$G$45</f>
        <v>32586.9571327634</v>
      </c>
      <c r="AB49" s="61" t="n">
        <f aca="false">AB15+AB19+AB23+(AB13+AB25)*Assumptions!$G$45</f>
        <v>35122.2790881318</v>
      </c>
      <c r="AC49" s="61" t="n">
        <f aca="false">AC15+AC19+AC23+(AC13+AC25)*Assumptions!$G$45</f>
        <v>37863.6221199239</v>
      </c>
      <c r="AD49" s="61" t="n">
        <f aca="false">AD15+AD19+AD23+(AD13+AD25)*Assumptions!$G$45</f>
        <v>40822.135544045</v>
      </c>
      <c r="AE49" s="61" t="n">
        <f aca="false">AE15+AE19+AE23+(AE13+AE25)*Assumptions!$G$45</f>
        <v>44018.9314851542</v>
      </c>
      <c r="AF49" s="61" t="n">
        <f aca="false">AF15+AF19+AF23+(AF13+AF25)*Assumptions!$G$45</f>
        <v>47475.5019142919</v>
      </c>
      <c r="AG49" s="61" t="n">
        <f aca="false">AG15+AG19+AG23+(AG13+AG25)*Assumptions!$G$45</f>
        <v>51214.6934118015</v>
      </c>
      <c r="AH49" s="61" t="n">
        <f aca="false">AH15+AH19+AH23+(AH13+AH25)*Assumptions!$G$45</f>
        <v>55261.219191235</v>
      </c>
      <c r="AI49" s="61" t="n">
        <f aca="false">AI15+AI19+AI23+(AI13+AI25)*Assumptions!$G$45</f>
        <v>59641.883511878</v>
      </c>
      <c r="AJ49" s="61" t="n">
        <f aca="false">AJ15+AJ19+AJ23+(AJ13+AJ25)*Assumptions!$G$45</f>
        <v>64385.7778621525</v>
      </c>
      <c r="AK49" s="61" t="n">
        <f aca="false">AK15+AK19+AK23+(AK13+AK25)*Assumptions!$G$45</f>
        <v>69524.4869768646</v>
      </c>
      <c r="AL49" s="61" t="n">
        <f aca="false">AL15+AL19+AL23+(AL13+AL25)*Assumptions!$G$45</f>
        <v>75092.3116726124</v>
      </c>
      <c r="AM49" s="61" t="n">
        <f aca="false">SUM(C49:AL49)</f>
        <v>1024322.89514851</v>
      </c>
    </row>
    <row r="50" customFormat="false" ht="15" hidden="false" customHeight="false" outlineLevel="0" collapsed="false">
      <c r="A50" s="10" t="s">
        <v>771</v>
      </c>
      <c r="B50" s="9" t="s">
        <v>51</v>
      </c>
      <c r="C50" s="61" t="n">
        <f aca="false">C49*Assumptions!$G$58*C9</f>
        <v>0</v>
      </c>
      <c r="D50" s="61" t="n">
        <f aca="false">D49*Assumptions!$G$58*D9</f>
        <v>0</v>
      </c>
      <c r="E50" s="61" t="n">
        <f aca="false">E49*Assumptions!$G$58*E9</f>
        <v>0</v>
      </c>
      <c r="F50" s="61" t="n">
        <f aca="false">F49*Assumptions!$G$58*F9</f>
        <v>0</v>
      </c>
      <c r="G50" s="61" t="n">
        <f aca="false">G49*Assumptions!$G$58*G9</f>
        <v>0</v>
      </c>
      <c r="H50" s="61" t="n">
        <f aca="false">H49*Assumptions!$G$58*H9</f>
        <v>0</v>
      </c>
      <c r="I50" s="61" t="n">
        <f aca="false">I49*Assumptions!$G$58*I9</f>
        <v>238.315276651217</v>
      </c>
      <c r="J50" s="61" t="n">
        <f aca="false">J49*Assumptions!$G$58*J9</f>
        <v>245.13439572457</v>
      </c>
      <c r="K50" s="61" t="n">
        <f aca="false">K49*Assumptions!$G$58*K9</f>
        <v>252.566864569446</v>
      </c>
      <c r="L50" s="61" t="n">
        <f aca="false">L49*Assumptions!$G$58*L9</f>
        <v>260.667848311637</v>
      </c>
      <c r="M50" s="61" t="n">
        <f aca="false">M49*Assumptions!$G$58*M9</f>
        <v>269.497436946814</v>
      </c>
      <c r="N50" s="61" t="n">
        <f aca="false">N49*Assumptions!$G$58*N9</f>
        <v>279.121111144147</v>
      </c>
      <c r="O50" s="61" t="n">
        <f aca="false">O49*Assumptions!$G$58*O9</f>
        <v>289.610226105146</v>
      </c>
      <c r="P50" s="61" t="n">
        <f aca="false">P49*Assumptions!$G$58*P9</f>
        <v>301.042536620476</v>
      </c>
      <c r="Q50" s="61" t="n">
        <f aca="false">Q49*Assumptions!$G$58*Q9</f>
        <v>313.502768455577</v>
      </c>
      <c r="R50" s="61" t="n">
        <f aca="false">R49*Assumptions!$G$58*R9</f>
        <v>327.08324016684</v>
      </c>
      <c r="S50" s="61" t="n">
        <f aca="false">S49*Assumptions!$G$58*S9</f>
        <v>341.884539669104</v>
      </c>
      <c r="T50" s="61" t="n">
        <f aca="false">T49*Assumptions!$G$58*T9</f>
        <v>358.016260199662</v>
      </c>
      <c r="U50" s="61" t="n">
        <f aca="false">U49*Assumptions!$G$58*U9</f>
        <v>380.324971283861</v>
      </c>
      <c r="V50" s="61" t="n">
        <f aca="false">V49*Assumptions!$G$58*V9</f>
        <v>407.471363785473</v>
      </c>
      <c r="W50" s="61" t="n">
        <f aca="false">W49*Assumptions!$G$58*W9</f>
        <v>437.531465507632</v>
      </c>
      <c r="X50" s="61" t="n">
        <f aca="false">X49*Assumptions!$G$58*X9</f>
        <v>470.279466835237</v>
      </c>
      <c r="Y50" s="61" t="n">
        <f aca="false">Y49*Assumptions!$G$58*Y9</f>
        <v>505.875476829175</v>
      </c>
      <c r="Z50" s="61" t="n">
        <f aca="false">Z49*Assumptions!$G$58*Z9</f>
        <v>544.550941887787</v>
      </c>
      <c r="AA50" s="61" t="n">
        <f aca="false">AA49*Assumptions!$G$58*AA9</f>
        <v>586.565228389741</v>
      </c>
      <c r="AB50" s="61" t="n">
        <f aca="false">AB49*Assumptions!$G$58*AB9</f>
        <v>632.201023586373</v>
      </c>
      <c r="AC50" s="61" t="n">
        <f aca="false">AC49*Assumptions!$G$58*AC9</f>
        <v>681.545198158631</v>
      </c>
      <c r="AD50" s="61" t="n">
        <f aca="false">AD49*Assumptions!$G$58*AD9</f>
        <v>734.79843979281</v>
      </c>
      <c r="AE50" s="61" t="n">
        <f aca="false">AE49*Assumptions!$G$58*AE9</f>
        <v>792.340766732775</v>
      </c>
      <c r="AF50" s="61" t="n">
        <f aca="false">AF49*Assumptions!$G$58*AF9</f>
        <v>854.559034457255</v>
      </c>
      <c r="AG50" s="61" t="n">
        <f aca="false">AG49*Assumptions!$G$58*AG9</f>
        <v>921.864481412426</v>
      </c>
      <c r="AH50" s="61" t="n">
        <f aca="false">AH49*Assumptions!$G$58*AH9</f>
        <v>994.70194544223</v>
      </c>
      <c r="AI50" s="61" t="n">
        <f aca="false">AI49*Assumptions!$G$58*AI9</f>
        <v>1073.5539032138</v>
      </c>
      <c r="AJ50" s="61" t="n">
        <f aca="false">AJ49*Assumptions!$G$58*AJ9</f>
        <v>1158.94400151875</v>
      </c>
      <c r="AK50" s="61" t="n">
        <f aca="false">AK49*Assumptions!$G$58*AK9</f>
        <v>1251.44076558356</v>
      </c>
      <c r="AL50" s="61" t="n">
        <f aca="false">AL49*Assumptions!$G$58*AL9</f>
        <v>1351.66161010702</v>
      </c>
      <c r="AM50" s="61" t="n">
        <f aca="false">SUM(C50:AL50)</f>
        <v>17256.6525890892</v>
      </c>
    </row>
    <row r="51" customFormat="false" ht="15" hidden="false" customHeight="false" outlineLevel="0" collapsed="false">
      <c r="A51" s="10" t="s">
        <v>772</v>
      </c>
      <c r="B51" s="9" t="s">
        <v>51</v>
      </c>
      <c r="C51" s="61" t="n">
        <f aca="false">C50*Assumptions!$G$59</f>
        <v>0</v>
      </c>
      <c r="D51" s="61" t="n">
        <f aca="false">D50*Assumptions!$G$59</f>
        <v>0</v>
      </c>
      <c r="E51" s="61" t="n">
        <f aca="false">E50*Assumptions!$G$59</f>
        <v>0</v>
      </c>
      <c r="F51" s="61" t="n">
        <f aca="false">F50*Assumptions!$G$59</f>
        <v>0</v>
      </c>
      <c r="G51" s="61" t="n">
        <f aca="false">G50*Assumptions!$G$59</f>
        <v>0</v>
      </c>
      <c r="H51" s="61" t="n">
        <f aca="false">H50*Assumptions!$G$59</f>
        <v>0</v>
      </c>
      <c r="I51" s="61" t="n">
        <f aca="false">I50*Assumptions!$G$59</f>
        <v>166.820693655852</v>
      </c>
      <c r="J51" s="61" t="n">
        <f aca="false">J50*Assumptions!$G$59</f>
        <v>171.594077007199</v>
      </c>
      <c r="K51" s="61" t="n">
        <f aca="false">K50*Assumptions!$G$59</f>
        <v>176.796805198612</v>
      </c>
      <c r="L51" s="61" t="n">
        <f aca="false">L50*Assumptions!$G$59</f>
        <v>182.467493818146</v>
      </c>
      <c r="M51" s="61" t="n">
        <f aca="false">M50*Assumptions!$G$59</f>
        <v>188.64820586277</v>
      </c>
      <c r="N51" s="61" t="n">
        <f aca="false">N50*Assumptions!$G$59</f>
        <v>195.384777800903</v>
      </c>
      <c r="O51" s="61" t="n">
        <f aca="false">O50*Assumptions!$G$59</f>
        <v>202.727158273602</v>
      </c>
      <c r="P51" s="61" t="n">
        <f aca="false">P50*Assumptions!$G$59</f>
        <v>210.729775634333</v>
      </c>
      <c r="Q51" s="61" t="n">
        <f aca="false">Q50*Assumptions!$G$59</f>
        <v>219.451937918904</v>
      </c>
      <c r="R51" s="61" t="n">
        <f aca="false">R50*Assumptions!$G$59</f>
        <v>228.958268116788</v>
      </c>
      <c r="S51" s="61" t="n">
        <f aca="false">S50*Assumptions!$G$59</f>
        <v>239.319177768373</v>
      </c>
      <c r="T51" s="61" t="n">
        <f aca="false">T50*Assumptions!$G$59</f>
        <v>250.611382139763</v>
      </c>
      <c r="U51" s="61" t="n">
        <f aca="false">U50*Assumptions!$G$59</f>
        <v>266.227479898703</v>
      </c>
      <c r="V51" s="61" t="n">
        <f aca="false">V50*Assumptions!$G$59</f>
        <v>285.229954649831</v>
      </c>
      <c r="W51" s="61" t="n">
        <f aca="false">W50*Assumptions!$G$59</f>
        <v>306.272025855342</v>
      </c>
      <c r="X51" s="61" t="n">
        <f aca="false">X50*Assumptions!$G$59</f>
        <v>329.195626784666</v>
      </c>
      <c r="Y51" s="61" t="n">
        <f aca="false">Y50*Assumptions!$G$59</f>
        <v>354.112833780423</v>
      </c>
      <c r="Z51" s="61" t="n">
        <f aca="false">Z50*Assumptions!$G$59</f>
        <v>381.185659321451</v>
      </c>
      <c r="AA51" s="61" t="n">
        <f aca="false">AA50*Assumptions!$G$59</f>
        <v>410.595659872819</v>
      </c>
      <c r="AB51" s="61" t="n">
        <f aca="false">AB50*Assumptions!$G$59</f>
        <v>442.540716510461</v>
      </c>
      <c r="AC51" s="61" t="n">
        <f aca="false">AC50*Assumptions!$G$59</f>
        <v>477.081638711041</v>
      </c>
      <c r="AD51" s="61" t="n">
        <f aca="false">AD50*Assumptions!$G$59</f>
        <v>514.358907854967</v>
      </c>
      <c r="AE51" s="61" t="n">
        <f aca="false">AE50*Assumptions!$G$59</f>
        <v>554.638536712942</v>
      </c>
      <c r="AF51" s="61" t="n">
        <f aca="false">AF50*Assumptions!$G$59</f>
        <v>598.191324120078</v>
      </c>
      <c r="AG51" s="61" t="n">
        <f aca="false">AG50*Assumptions!$G$59</f>
        <v>645.305136988699</v>
      </c>
      <c r="AH51" s="61" t="n">
        <f aca="false">AH50*Assumptions!$G$59</f>
        <v>696.291361809561</v>
      </c>
      <c r="AI51" s="61" t="n">
        <f aca="false">AI50*Assumptions!$G$59</f>
        <v>751.487732249662</v>
      </c>
      <c r="AJ51" s="61" t="n">
        <f aca="false">AJ50*Assumptions!$G$59</f>
        <v>811.260801063122</v>
      </c>
      <c r="AK51" s="61" t="n">
        <f aca="false">AK50*Assumptions!$G$59</f>
        <v>876.008535908493</v>
      </c>
      <c r="AL51" s="61" t="n">
        <f aca="false">AL50*Assumptions!$G$59</f>
        <v>946.163127074916</v>
      </c>
      <c r="AM51" s="61" t="n">
        <f aca="false">SUM(C51:AL51)</f>
        <v>12079.6568123624</v>
      </c>
    </row>
    <row r="52" customFormat="false" ht="15" hidden="false" customHeight="false" outlineLevel="0" collapsed="false">
      <c r="A52" s="10" t="s">
        <v>773</v>
      </c>
      <c r="B52" s="9" t="s">
        <v>51</v>
      </c>
      <c r="C52" s="61" t="n">
        <f aca="false">C51*Assumptions!$G$60*C48</f>
        <v>0</v>
      </c>
      <c r="D52" s="61" t="n">
        <f aca="false">D51*Assumptions!$G$60*D48</f>
        <v>0</v>
      </c>
      <c r="E52" s="61" t="n">
        <f aca="false">E51*Assumptions!$G$60*E48</f>
        <v>0</v>
      </c>
      <c r="F52" s="61" t="n">
        <f aca="false">F51*Assumptions!$G$60*F48</f>
        <v>0</v>
      </c>
      <c r="G52" s="61" t="n">
        <f aca="false">G51*Assumptions!$G$60*G48</f>
        <v>0</v>
      </c>
      <c r="H52" s="61" t="n">
        <f aca="false">H51*Assumptions!$G$60*H48</f>
        <v>0</v>
      </c>
      <c r="I52" s="61" t="n">
        <f aca="false">I51*Assumptions!$G$60*I48</f>
        <v>34.8321608353418</v>
      </c>
      <c r="J52" s="61" t="n">
        <f aca="false">J51*Assumptions!$G$60*J48</f>
        <v>38.3169573957076</v>
      </c>
      <c r="K52" s="61" t="n">
        <f aca="false">K51*Assumptions!$G$60*K48</f>
        <v>42.0422802762299</v>
      </c>
      <c r="L52" s="61" t="n">
        <f aca="false">L51*Assumptions!$G$60*L48</f>
        <v>46.0365486903181</v>
      </c>
      <c r="M52" s="61" t="n">
        <f aca="false">M51*Assumptions!$G$60*M48</f>
        <v>50.331341324187</v>
      </c>
      <c r="N52" s="61" t="n">
        <f aca="false">N51*Assumptions!$G$60*N48</f>
        <v>54.961737995394</v>
      </c>
      <c r="O52" s="61" t="n">
        <f aca="false">O51*Assumptions!$G$60*O48</f>
        <v>59.9666934173315</v>
      </c>
      <c r="P52" s="61" t="n">
        <f aca="false">P51*Assumptions!$G$60*P48</f>
        <v>65.3894493793335</v>
      </c>
      <c r="Q52" s="61" t="n">
        <f aca="false">Q51*Assumptions!$G$60*Q48</f>
        <v>71.27798943606</v>
      </c>
      <c r="R52" s="61" t="n">
        <f aca="false">R51*Assumptions!$G$60*R48</f>
        <v>77.6855403720262</v>
      </c>
      <c r="S52" s="61" t="n">
        <f aca="false">S51*Assumptions!$G$60*S48</f>
        <v>84.6711250944503</v>
      </c>
      <c r="T52" s="61" t="n">
        <f aca="false">T51*Assumptions!$G$60*T48</f>
        <v>92.3001720420748</v>
      </c>
      <c r="U52" s="61" t="n">
        <f aca="false">U51*Assumptions!$G$60*U48</f>
        <v>101.911879305223</v>
      </c>
      <c r="V52" s="61" t="n">
        <f aca="false">V51*Assumptions!$G$60*V48</f>
        <v>113.321860982378</v>
      </c>
      <c r="W52" s="61" t="n">
        <f aca="false">W51*Assumptions!$G$60*W48</f>
        <v>126.12282024723</v>
      </c>
      <c r="X52" s="61" t="n">
        <f aca="false">X51*Assumptions!$G$60*X48</f>
        <v>140.336095698303</v>
      </c>
      <c r="Y52" s="61" t="n">
        <f aca="false">Y51*Assumptions!$G$60*Y48</f>
        <v>156.09293713041</v>
      </c>
      <c r="Z52" s="61" t="n">
        <f aca="false">Z51*Assumptions!$G$60*Z48</f>
        <v>173.553830689057</v>
      </c>
      <c r="AA52" s="61" t="n">
        <f aca="false">AA51*Assumptions!$G$60*AA48</f>
        <v>192.89784100825</v>
      </c>
      <c r="AB52" s="61" t="n">
        <f aca="false">AB51*Assumptions!$G$60*AB48</f>
        <v>210.472364772375</v>
      </c>
      <c r="AC52" s="61" t="n">
        <f aca="false">AC51*Assumptions!$G$60*AC48</f>
        <v>226.900027370971</v>
      </c>
      <c r="AD52" s="61" t="n">
        <f aca="false">AD51*Assumptions!$G$60*AD48</f>
        <v>244.629096575822</v>
      </c>
      <c r="AE52" s="61" t="n">
        <f aca="false">AE51*Assumptions!$G$60*AE48</f>
        <v>263.786088060675</v>
      </c>
      <c r="AF52" s="61" t="n">
        <f aca="false">AF51*Assumptions!$G$60*AF48</f>
        <v>284.499793751509</v>
      </c>
      <c r="AG52" s="61" t="n">
        <f aca="false">AG51*Assumptions!$G$60*AG48</f>
        <v>306.907123151825</v>
      </c>
      <c r="AH52" s="61" t="n">
        <f aca="false">AH51*Assumptions!$G$60*AH48</f>
        <v>331.156171676627</v>
      </c>
      <c r="AI52" s="61" t="n">
        <f aca="false">AI51*Assumptions!$G$60*AI48</f>
        <v>357.407565457939</v>
      </c>
      <c r="AJ52" s="61" t="n">
        <f aca="false">AJ51*Assumptions!$G$60*AJ48</f>
        <v>385.835636985621</v>
      </c>
      <c r="AK52" s="61" t="n">
        <f aca="false">AK51*Assumptions!$G$60*AK48</f>
        <v>416.629659678079</v>
      </c>
      <c r="AL52" s="61" t="n">
        <f aca="false">AL51*Assumptions!$G$60*AL48</f>
        <v>449.99518323683</v>
      </c>
      <c r="AM52" s="61" t="n">
        <f aca="false">SUM(C52:AL52)</f>
        <v>5200.26797203758</v>
      </c>
    </row>
    <row r="53" customFormat="false" ht="15" hidden="false" customHeight="false" outlineLevel="0" collapsed="false">
      <c r="A53" s="10" t="s">
        <v>774</v>
      </c>
      <c r="B53" s="9" t="s">
        <v>51</v>
      </c>
      <c r="C53" s="61" t="n">
        <f aca="false">C52*Assumptions!$G$64</f>
        <v>0</v>
      </c>
      <c r="D53" s="61" t="n">
        <f aca="false">D52*Assumptions!$G$64</f>
        <v>0</v>
      </c>
      <c r="E53" s="61" t="n">
        <f aca="false">E52*Assumptions!$G$64</f>
        <v>0</v>
      </c>
      <c r="F53" s="61" t="n">
        <f aca="false">F52*Assumptions!$G$64</f>
        <v>0</v>
      </c>
      <c r="G53" s="61" t="n">
        <f aca="false">G52*Assumptions!$G$64</f>
        <v>0</v>
      </c>
      <c r="H53" s="61" t="n">
        <f aca="false">H52*Assumptions!$G$64</f>
        <v>0</v>
      </c>
      <c r="I53" s="61" t="n">
        <f aca="false">I52*Assumptions!$G$64</f>
        <v>19.5060100677914</v>
      </c>
      <c r="J53" s="61" t="n">
        <f aca="false">J52*Assumptions!$G$64</f>
        <v>21.4574961415963</v>
      </c>
      <c r="K53" s="61" t="n">
        <f aca="false">K52*Assumptions!$G$64</f>
        <v>23.5436769546888</v>
      </c>
      <c r="L53" s="61" t="n">
        <f aca="false">L52*Assumptions!$G$64</f>
        <v>25.7804672665782</v>
      </c>
      <c r="M53" s="61" t="n">
        <f aca="false">M52*Assumptions!$G$64</f>
        <v>28.1855511415447</v>
      </c>
      <c r="N53" s="61" t="n">
        <f aca="false">N52*Assumptions!$G$64</f>
        <v>30.7785732774206</v>
      </c>
      <c r="O53" s="61" t="n">
        <f aca="false">O52*Assumptions!$G$64</f>
        <v>33.5813483137056</v>
      </c>
      <c r="P53" s="61" t="n">
        <f aca="false">P52*Assumptions!$G$64</f>
        <v>36.6180916524268</v>
      </c>
      <c r="Q53" s="61" t="n">
        <f aca="false">Q52*Assumptions!$G$64</f>
        <v>39.9156740841936</v>
      </c>
      <c r="R53" s="61" t="n">
        <f aca="false">R52*Assumptions!$G$64</f>
        <v>43.5039026083347</v>
      </c>
      <c r="S53" s="61" t="n">
        <f aca="false">S52*Assumptions!$G$64</f>
        <v>47.4158300528922</v>
      </c>
      <c r="T53" s="61" t="n">
        <f aca="false">T52*Assumptions!$G$64</f>
        <v>51.6880963435619</v>
      </c>
      <c r="U53" s="61" t="n">
        <f aca="false">U52*Assumptions!$G$64</f>
        <v>57.0706524109251</v>
      </c>
      <c r="V53" s="61" t="n">
        <f aca="false">V52*Assumptions!$G$64</f>
        <v>63.4602421501317</v>
      </c>
      <c r="W53" s="61" t="n">
        <f aca="false">W52*Assumptions!$G$64</f>
        <v>70.6287793384488</v>
      </c>
      <c r="X53" s="61" t="n">
        <f aca="false">X52*Assumptions!$G$64</f>
        <v>78.5882135910497</v>
      </c>
      <c r="Y53" s="61" t="n">
        <f aca="false">Y52*Assumptions!$G$64</f>
        <v>87.4120447930298</v>
      </c>
      <c r="Z53" s="61" t="n">
        <f aca="false">Z52*Assumptions!$G$64</f>
        <v>97.1901451858717</v>
      </c>
      <c r="AA53" s="61" t="n">
        <f aca="false">AA52*Assumptions!$G$64</f>
        <v>108.02279096462</v>
      </c>
      <c r="AB53" s="61" t="n">
        <f aca="false">AB52*Assumptions!$G$64</f>
        <v>117.86452427253</v>
      </c>
      <c r="AC53" s="61" t="n">
        <f aca="false">AC52*Assumptions!$G$64</f>
        <v>127.064015327744</v>
      </c>
      <c r="AD53" s="61" t="n">
        <f aca="false">AD52*Assumptions!$G$64</f>
        <v>136.99229408246</v>
      </c>
      <c r="AE53" s="61" t="n">
        <f aca="false">AE52*Assumptions!$G$64</f>
        <v>147.720209313978</v>
      </c>
      <c r="AF53" s="61" t="n">
        <f aca="false">AF52*Assumptions!$G$64</f>
        <v>159.319884500845</v>
      </c>
      <c r="AG53" s="61" t="n">
        <f aca="false">AG52*Assumptions!$G$64</f>
        <v>171.867988965022</v>
      </c>
      <c r="AH53" s="61" t="n">
        <f aca="false">AH52*Assumptions!$G$64</f>
        <v>185.447456138911</v>
      </c>
      <c r="AI53" s="61" t="n">
        <f aca="false">AI52*Assumptions!$G$64</f>
        <v>200.148236656446</v>
      </c>
      <c r="AJ53" s="61" t="n">
        <f aca="false">AJ52*Assumptions!$G$64</f>
        <v>216.067956711948</v>
      </c>
      <c r="AK53" s="61" t="n">
        <f aca="false">AK52*Assumptions!$G$64</f>
        <v>233.312609419724</v>
      </c>
      <c r="AL53" s="61" t="n">
        <f aca="false">AL52*Assumptions!$G$64</f>
        <v>251.997302612625</v>
      </c>
      <c r="AM53" s="61" t="n">
        <f aca="false">SUM(C53:AL53)</f>
        <v>2912.15006434105</v>
      </c>
    </row>
    <row r="54" customFormat="false" ht="15" hidden="false" customHeight="false" outlineLevel="0" collapsed="false">
      <c r="A54" s="10" t="s">
        <v>775</v>
      </c>
      <c r="B54" s="9" t="s">
        <v>51</v>
      </c>
      <c r="C54" s="61" t="n">
        <f aca="false">C53*Assumptions!$G$65</f>
        <v>0</v>
      </c>
      <c r="D54" s="61" t="n">
        <f aca="false">D53*Assumptions!$G$65</f>
        <v>0</v>
      </c>
      <c r="E54" s="61" t="n">
        <f aca="false">E53*Assumptions!$G$65</f>
        <v>0</v>
      </c>
      <c r="F54" s="61" t="n">
        <f aca="false">F53*Assumptions!$G$65</f>
        <v>0</v>
      </c>
      <c r="G54" s="61" t="n">
        <f aca="false">G53*Assumptions!$G$65</f>
        <v>0</v>
      </c>
      <c r="H54" s="61" t="n">
        <f aca="false">H53*Assumptions!$G$65</f>
        <v>0</v>
      </c>
      <c r="I54" s="61" t="n">
        <f aca="false">I53*Assumptions!$G$65</f>
        <v>16.1899883562669</v>
      </c>
      <c r="J54" s="61" t="n">
        <f aca="false">J53*Assumptions!$G$65</f>
        <v>17.8097217975249</v>
      </c>
      <c r="K54" s="61" t="n">
        <f aca="false">K53*Assumptions!$G$65</f>
        <v>19.5412518723917</v>
      </c>
      <c r="L54" s="61" t="n">
        <f aca="false">L53*Assumptions!$G$65</f>
        <v>21.3977878312599</v>
      </c>
      <c r="M54" s="61" t="n">
        <f aca="false">M53*Assumptions!$G$65</f>
        <v>23.3940074474821</v>
      </c>
      <c r="N54" s="61" t="n">
        <f aca="false">N53*Assumptions!$G$65</f>
        <v>25.5462158202591</v>
      </c>
      <c r="O54" s="61" t="n">
        <f aca="false">O53*Assumptions!$G$65</f>
        <v>27.8725191003757</v>
      </c>
      <c r="P54" s="61" t="n">
        <f aca="false">P53*Assumptions!$G$65</f>
        <v>30.3930160715142</v>
      </c>
      <c r="Q54" s="61" t="n">
        <f aca="false">Q53*Assumptions!$G$65</f>
        <v>33.1300094898807</v>
      </c>
      <c r="R54" s="61" t="n">
        <f aca="false">R53*Assumptions!$G$65</f>
        <v>36.1082391649178</v>
      </c>
      <c r="S54" s="61" t="n">
        <f aca="false">S53*Assumptions!$G$65</f>
        <v>39.3551389439005</v>
      </c>
      <c r="T54" s="61" t="n">
        <f aca="false">T53*Assumptions!$G$65</f>
        <v>42.9011199651564</v>
      </c>
      <c r="U54" s="61" t="n">
        <f aca="false">U53*Assumptions!$G$65</f>
        <v>47.3686415010678</v>
      </c>
      <c r="V54" s="61" t="n">
        <f aca="false">V53*Assumptions!$G$65</f>
        <v>52.6720009846093</v>
      </c>
      <c r="W54" s="61" t="n">
        <f aca="false">W53*Assumptions!$G$65</f>
        <v>58.6218868509125</v>
      </c>
      <c r="X54" s="61" t="n">
        <f aca="false">X53*Assumptions!$G$65</f>
        <v>65.2282172805713</v>
      </c>
      <c r="Y54" s="61" t="n">
        <f aca="false">Y53*Assumptions!$G$65</f>
        <v>72.5519971782147</v>
      </c>
      <c r="Z54" s="61" t="n">
        <f aca="false">Z53*Assumptions!$G$65</f>
        <v>80.6678205042735</v>
      </c>
      <c r="AA54" s="61" t="n">
        <f aca="false">AA53*Assumptions!$G$65</f>
        <v>89.6589165006347</v>
      </c>
      <c r="AB54" s="61" t="n">
        <f aca="false">AB53*Assumptions!$G$65</f>
        <v>97.8275551461999</v>
      </c>
      <c r="AC54" s="61" t="n">
        <f aca="false">AC53*Assumptions!$G$65</f>
        <v>105.463132722027</v>
      </c>
      <c r="AD54" s="61" t="n">
        <f aca="false">AD53*Assumptions!$G$65</f>
        <v>113.703604088442</v>
      </c>
      <c r="AE54" s="61" t="n">
        <f aca="false">AE53*Assumptions!$G$65</f>
        <v>122.607773730602</v>
      </c>
      <c r="AF54" s="61" t="n">
        <f aca="false">AF53*Assumptions!$G$65</f>
        <v>132.235504135701</v>
      </c>
      <c r="AG54" s="61" t="n">
        <f aca="false">AG53*Assumptions!$G$65</f>
        <v>142.650430840968</v>
      </c>
      <c r="AH54" s="61" t="n">
        <f aca="false">AH53*Assumptions!$G$65</f>
        <v>153.921388595296</v>
      </c>
      <c r="AI54" s="61" t="n">
        <f aca="false">AI53*Assumptions!$G$65</f>
        <v>166.12303642485</v>
      </c>
      <c r="AJ54" s="61" t="n">
        <f aca="false">AJ53*Assumptions!$G$65</f>
        <v>179.336404070916</v>
      </c>
      <c r="AK54" s="61" t="n">
        <f aca="false">AK53*Assumptions!$G$65</f>
        <v>193.649465818371</v>
      </c>
      <c r="AL54" s="61" t="n">
        <f aca="false">AL53*Assumptions!$G$65</f>
        <v>209.157761168479</v>
      </c>
      <c r="AM54" s="61" t="n">
        <f aca="false">SUM(C54:AL54)</f>
        <v>2417.08455340307</v>
      </c>
    </row>
    <row r="55" customFormat="false" ht="15" hidden="false" customHeight="false" outlineLevel="0" collapsed="false">
      <c r="A55" s="10" t="s">
        <v>776</v>
      </c>
      <c r="B55" s="9" t="s">
        <v>51</v>
      </c>
      <c r="C55" s="61" t="n">
        <f aca="false">C54*Assumptions!$G$66</f>
        <v>0</v>
      </c>
      <c r="D55" s="61" t="n">
        <f aca="false">D54*Assumptions!$G$66</f>
        <v>0</v>
      </c>
      <c r="E55" s="61" t="n">
        <f aca="false">E54*Assumptions!$G$66</f>
        <v>0</v>
      </c>
      <c r="F55" s="61" t="n">
        <f aca="false">F54*Assumptions!$G$66</f>
        <v>0</v>
      </c>
      <c r="G55" s="61" t="n">
        <f aca="false">G54*Assumptions!$G$66</f>
        <v>0</v>
      </c>
      <c r="H55" s="61" t="n">
        <f aca="false">H54*Assumptions!$G$66</f>
        <v>0</v>
      </c>
      <c r="I55" s="61" t="n">
        <f aca="false">I54*Assumptions!$G$66</f>
        <v>10.0377927808855</v>
      </c>
      <c r="J55" s="61" t="n">
        <f aca="false">J54*Assumptions!$G$66</f>
        <v>11.0420275144654</v>
      </c>
      <c r="K55" s="61" t="n">
        <f aca="false">K54*Assumptions!$G$66</f>
        <v>12.1155761608828</v>
      </c>
      <c r="L55" s="61" t="n">
        <f aca="false">L54*Assumptions!$G$66</f>
        <v>13.2666284553811</v>
      </c>
      <c r="M55" s="61" t="n">
        <f aca="false">M54*Assumptions!$G$66</f>
        <v>14.5042846174389</v>
      </c>
      <c r="N55" s="61" t="n">
        <f aca="false">N54*Assumptions!$G$66</f>
        <v>15.8386538085607</v>
      </c>
      <c r="O55" s="61" t="n">
        <f aca="false">O54*Assumptions!$G$66</f>
        <v>17.2809618422329</v>
      </c>
      <c r="P55" s="61" t="n">
        <f aca="false">P54*Assumptions!$G$66</f>
        <v>18.8436699643388</v>
      </c>
      <c r="Q55" s="61" t="n">
        <f aca="false">Q54*Assumptions!$G$66</f>
        <v>20.540605883726</v>
      </c>
      <c r="R55" s="61" t="n">
        <f aca="false">R54*Assumptions!$G$66</f>
        <v>22.387108282249</v>
      </c>
      <c r="S55" s="61" t="n">
        <f aca="false">S54*Assumptions!$G$66</f>
        <v>24.4001861452183</v>
      </c>
      <c r="T55" s="61" t="n">
        <f aca="false">T54*Assumptions!$G$66</f>
        <v>26.598694378397</v>
      </c>
      <c r="U55" s="61" t="n">
        <f aca="false">U54*Assumptions!$G$66</f>
        <v>29.368557730662</v>
      </c>
      <c r="V55" s="61" t="n">
        <f aca="false">V54*Assumptions!$G$66</f>
        <v>32.6566406104578</v>
      </c>
      <c r="W55" s="61" t="n">
        <f aca="false">W54*Assumptions!$G$66</f>
        <v>36.3455698475658</v>
      </c>
      <c r="X55" s="61" t="n">
        <f aca="false">X54*Assumptions!$G$66</f>
        <v>40.4414947139542</v>
      </c>
      <c r="Y55" s="61" t="n">
        <f aca="false">Y54*Assumptions!$G$66</f>
        <v>44.9822382504931</v>
      </c>
      <c r="Z55" s="61" t="n">
        <f aca="false">Z54*Assumptions!$G$66</f>
        <v>50.0140487126496</v>
      </c>
      <c r="AA55" s="61" t="n">
        <f aca="false">AA54*Assumptions!$G$66</f>
        <v>55.5885282303935</v>
      </c>
      <c r="AB55" s="61" t="n">
        <f aca="false">AB54*Assumptions!$G$66</f>
        <v>60.653084190644</v>
      </c>
      <c r="AC55" s="61" t="n">
        <f aca="false">AC54*Assumptions!$G$66</f>
        <v>65.387142287657</v>
      </c>
      <c r="AD55" s="61" t="n">
        <f aca="false">AD54*Assumptions!$G$66</f>
        <v>70.4962345348341</v>
      </c>
      <c r="AE55" s="61" t="n">
        <f aca="false">AE54*Assumptions!$G$66</f>
        <v>76.0168197129732</v>
      </c>
      <c r="AF55" s="61" t="n">
        <f aca="false">AF54*Assumptions!$G$66</f>
        <v>81.9860125641349</v>
      </c>
      <c r="AG55" s="61" t="n">
        <f aca="false">AG54*Assumptions!$G$66</f>
        <v>88.4432671214003</v>
      </c>
      <c r="AH55" s="61" t="n">
        <f aca="false">AH54*Assumptions!$G$66</f>
        <v>95.4312609290837</v>
      </c>
      <c r="AI55" s="61" t="n">
        <f aca="false">AI54*Assumptions!$G$66</f>
        <v>102.996282583407</v>
      </c>
      <c r="AJ55" s="61" t="n">
        <f aca="false">AJ54*Assumptions!$G$66</f>
        <v>111.188570523968</v>
      </c>
      <c r="AK55" s="61" t="n">
        <f aca="false">AK54*Assumptions!$G$66</f>
        <v>120.06266880739</v>
      </c>
      <c r="AL55" s="61" t="n">
        <f aca="false">AL54*Assumptions!$G$66</f>
        <v>129.677811924457</v>
      </c>
      <c r="AM55" s="61" t="n">
        <f aca="false">SUM(C55:AL55)</f>
        <v>1498.5924231099</v>
      </c>
    </row>
    <row r="56" customFormat="false" ht="15" hidden="false" customHeight="false" outlineLevel="0" collapsed="false">
      <c r="A56" s="10" t="s">
        <v>777</v>
      </c>
      <c r="B56" s="9" t="s">
        <v>51</v>
      </c>
      <c r="C56" s="61" t="n">
        <f aca="false">C55*Assumptions!$G$67</f>
        <v>0</v>
      </c>
      <c r="D56" s="61" t="n">
        <f aca="false">D55*Assumptions!$G$67</f>
        <v>0</v>
      </c>
      <c r="E56" s="61" t="n">
        <f aca="false">E55*Assumptions!$G$67</f>
        <v>0</v>
      </c>
      <c r="F56" s="61" t="n">
        <f aca="false">F55*Assumptions!$G$67</f>
        <v>0</v>
      </c>
      <c r="G56" s="61" t="n">
        <f aca="false">G55*Assumptions!$G$67</f>
        <v>0</v>
      </c>
      <c r="H56" s="61" t="n">
        <f aca="false">H55*Assumptions!$G$67</f>
        <v>0</v>
      </c>
      <c r="I56" s="61" t="n">
        <f aca="false">I55*Assumptions!$G$67</f>
        <v>6.62494323538441</v>
      </c>
      <c r="J56" s="61" t="n">
        <f aca="false">J55*Assumptions!$G$67</f>
        <v>7.28773815954719</v>
      </c>
      <c r="K56" s="61" t="n">
        <f aca="false">K55*Assumptions!$G$67</f>
        <v>7.99628026618267</v>
      </c>
      <c r="L56" s="61" t="n">
        <f aca="false">L55*Assumptions!$G$67</f>
        <v>8.75597478055154</v>
      </c>
      <c r="M56" s="61" t="n">
        <f aca="false">M55*Assumptions!$G$67</f>
        <v>9.57282784750968</v>
      </c>
      <c r="N56" s="61" t="n">
        <f aca="false">N55*Assumptions!$G$67</f>
        <v>10.45351151365</v>
      </c>
      <c r="O56" s="61" t="n">
        <f aca="false">O55*Assumptions!$G$67</f>
        <v>11.4054348158737</v>
      </c>
      <c r="P56" s="61" t="n">
        <f aca="false">P55*Assumptions!$G$67</f>
        <v>12.4368221764636</v>
      </c>
      <c r="Q56" s="61" t="n">
        <f aca="false">Q55*Assumptions!$G$67</f>
        <v>13.5567998832592</v>
      </c>
      <c r="R56" s="61" t="n">
        <f aca="false">R55*Assumptions!$G$67</f>
        <v>14.7754914662844</v>
      </c>
      <c r="S56" s="61" t="n">
        <f aca="false">S55*Assumptions!$G$67</f>
        <v>16.1041228558441</v>
      </c>
      <c r="T56" s="61" t="n">
        <f aca="false">T55*Assumptions!$G$67</f>
        <v>17.555138289742</v>
      </c>
      <c r="U56" s="61" t="n">
        <f aca="false">U55*Assumptions!$G$67</f>
        <v>19.3832481022369</v>
      </c>
      <c r="V56" s="61" t="n">
        <f aca="false">V55*Assumptions!$G$67</f>
        <v>21.5533828029021</v>
      </c>
      <c r="W56" s="61" t="n">
        <f aca="false">W55*Assumptions!$G$67</f>
        <v>23.9880760993934</v>
      </c>
      <c r="X56" s="61" t="n">
        <f aca="false">X55*Assumptions!$G$67</f>
        <v>26.6913865112098</v>
      </c>
      <c r="Y56" s="61" t="n">
        <f aca="false">Y55*Assumptions!$G$67</f>
        <v>29.6882772453255</v>
      </c>
      <c r="Z56" s="61" t="n">
        <f aca="false">Z55*Assumptions!$G$67</f>
        <v>33.0092721503487</v>
      </c>
      <c r="AA56" s="61" t="n">
        <f aca="false">AA55*Assumptions!$G$67</f>
        <v>36.6884286320597</v>
      </c>
      <c r="AB56" s="61" t="n">
        <f aca="false">AB55*Assumptions!$G$67</f>
        <v>40.031035565825</v>
      </c>
      <c r="AC56" s="61" t="n">
        <f aca="false">AC55*Assumptions!$G$67</f>
        <v>43.1555139098536</v>
      </c>
      <c r="AD56" s="61" t="n">
        <f aca="false">AD55*Assumptions!$G$67</f>
        <v>46.5275147929905</v>
      </c>
      <c r="AE56" s="61" t="n">
        <f aca="false">AE55*Assumptions!$G$67</f>
        <v>50.1711010105623</v>
      </c>
      <c r="AF56" s="61" t="n">
        <f aca="false">AF55*Assumptions!$G$67</f>
        <v>54.110768292329</v>
      </c>
      <c r="AG56" s="61" t="n">
        <f aca="false">AG55*Assumptions!$G$67</f>
        <v>58.3725563001242</v>
      </c>
      <c r="AH56" s="61" t="n">
        <f aca="false">AH55*Assumptions!$G$67</f>
        <v>62.9846322131953</v>
      </c>
      <c r="AI56" s="61" t="n">
        <f aca="false">AI55*Assumptions!$G$67</f>
        <v>67.9775465050487</v>
      </c>
      <c r="AJ56" s="61" t="n">
        <f aca="false">AJ55*Assumptions!$G$67</f>
        <v>73.384456545819</v>
      </c>
      <c r="AK56" s="61" t="n">
        <f aca="false">AK55*Assumptions!$G$67</f>
        <v>79.2413614128775</v>
      </c>
      <c r="AL56" s="61" t="n">
        <f aca="false">AL55*Assumptions!$G$67</f>
        <v>85.5873558701415</v>
      </c>
      <c r="AM56" s="61" t="n">
        <f aca="false">SUM(C56:AL56)</f>
        <v>989.070999252535</v>
      </c>
    </row>
    <row r="57" customFormat="false" ht="15" hidden="false" customHeight="false" outlineLevel="0" collapsed="false">
      <c r="A57" s="37" t="s">
        <v>778</v>
      </c>
      <c r="B57" s="9" t="s">
        <v>51</v>
      </c>
      <c r="C57" s="71" t="n">
        <f aca="false">C56</f>
        <v>0</v>
      </c>
      <c r="D57" s="71" t="n">
        <f aca="false">C57*(1-Assumptions!$G$68)+D56</f>
        <v>0</v>
      </c>
      <c r="E57" s="71" t="n">
        <f aca="false">D57*(1-Assumptions!$G$68)+E56</f>
        <v>0</v>
      </c>
      <c r="F57" s="71" t="n">
        <f aca="false">E57*(1-Assumptions!$G$68)+F56</f>
        <v>0</v>
      </c>
      <c r="G57" s="71" t="n">
        <f aca="false">F57*(1-Assumptions!$G$68)+G56</f>
        <v>0</v>
      </c>
      <c r="H57" s="71" t="n">
        <f aca="false">G57*(1-Assumptions!$G$68)+H56</f>
        <v>0</v>
      </c>
      <c r="I57" s="71" t="n">
        <f aca="false">H57*(1-Assumptions!$G$68)+I56</f>
        <v>6.62494323538441</v>
      </c>
      <c r="J57" s="71" t="n">
        <f aca="false">I57*(1-Assumptions!$G$68)+J56</f>
        <v>13.1839376390393</v>
      </c>
      <c r="K57" s="71" t="n">
        <f aca="false">J57*(1-Assumptions!$G$68)+K56</f>
        <v>19.7299847649277</v>
      </c>
      <c r="L57" s="71" t="n">
        <f aca="false">K57*(1-Assumptions!$G$68)+L56</f>
        <v>26.3156612213372</v>
      </c>
      <c r="M57" s="71" t="n">
        <f aca="false">L57*(1-Assumptions!$G$68)+M56</f>
        <v>32.9937663344997</v>
      </c>
      <c r="N57" s="71" t="n">
        <f aca="false">M57*(1-Assumptions!$G$68)+N56</f>
        <v>39.8179635513548</v>
      </c>
      <c r="O57" s="71" t="n">
        <f aca="false">N57*(1-Assumptions!$G$68)+O56</f>
        <v>46.8434223765795</v>
      </c>
      <c r="P57" s="71" t="n">
        <f aca="false">O57*(1-Assumptions!$G$68)+P56</f>
        <v>54.1274680916194</v>
      </c>
      <c r="Q57" s="71" t="n">
        <f aca="false">P57*(1-Assumptions!$G$68)+Q56</f>
        <v>61.7302464848004</v>
      </c>
      <c r="R57" s="71" t="n">
        <f aca="false">Q57*(1-Assumptions!$G$68)+R56</f>
        <v>69.7154108377568</v>
      </c>
      <c r="S57" s="71" t="n">
        <f aca="false">R57*(1-Assumptions!$G$68)+S56</f>
        <v>78.1508385014476</v>
      </c>
      <c r="T57" s="71" t="n">
        <f aca="false">S57*(1-Assumptions!$G$68)+T56</f>
        <v>87.1093845560304</v>
      </c>
      <c r="U57" s="71" t="n">
        <f aca="false">T57*(1-Assumptions!$G$68)+U56</f>
        <v>96.910600357104</v>
      </c>
      <c r="V57" s="71" t="n">
        <f aca="false">U57*(1-Assumptions!$G$68)+V56</f>
        <v>107.803817120725</v>
      </c>
      <c r="W57" s="71" t="n">
        <f aca="false">V57*(1-Assumptions!$G$68)+W56</f>
        <v>119.933473336838</v>
      </c>
      <c r="X57" s="71" t="n">
        <f aca="false">W57*(1-Assumptions!$G$68)+X56</f>
        <v>133.432177780996</v>
      </c>
      <c r="Y57" s="71" t="n">
        <f aca="false">X57*(1-Assumptions!$G$68)+Y56</f>
        <v>148.442915470412</v>
      </c>
      <c r="Z57" s="71" t="n">
        <f aca="false">Y57*(1-Assumptions!$G$68)+Z56</f>
        <v>165.123466919015</v>
      </c>
      <c r="AA57" s="71" t="n">
        <f aca="false">Z57*(1-Assumptions!$G$68)+AA56</f>
        <v>183.648314189983</v>
      </c>
      <c r="AB57" s="71" t="n">
        <f aca="false">AA57*(1-Assumptions!$G$68)+AB56</f>
        <v>203.47803519491</v>
      </c>
      <c r="AC57" s="71" t="n">
        <f aca="false">AB57*(1-Assumptions!$G$68)+AC56</f>
        <v>224.250965233324</v>
      </c>
      <c r="AD57" s="71" t="n">
        <f aca="false">AC57*(1-Assumptions!$G$68)+AD56</f>
        <v>246.110873850649</v>
      </c>
      <c r="AE57" s="71" t="n">
        <f aca="false">AD57*(1-Assumptions!$G$68)+AE56</f>
        <v>269.20977873764</v>
      </c>
      <c r="AF57" s="71" t="n">
        <f aca="false">AE57*(1-Assumptions!$G$68)+AF56</f>
        <v>293.707471368828</v>
      </c>
      <c r="AG57" s="71" t="n">
        <f aca="false">AF57*(1-Assumptions!$G$68)+AG56</f>
        <v>319.772205818381</v>
      </c>
      <c r="AH57" s="71" t="n">
        <f aca="false">AG57*(1-Assumptions!$G$68)+AH56</f>
        <v>347.581895391555</v>
      </c>
      <c r="AI57" s="71" t="n">
        <f aca="false">AH57*(1-Assumptions!$G$68)+AI56</f>
        <v>377.325433403532</v>
      </c>
      <c r="AJ57" s="71" t="n">
        <f aca="false">AI57*(1-Assumptions!$G$68)+AJ56</f>
        <v>409.204092274963</v>
      </c>
      <c r="AK57" s="71" t="n">
        <f aca="false">AJ57*(1-Assumptions!$G$68)+AK56</f>
        <v>443.433003537594</v>
      </c>
      <c r="AL57" s="71" t="n">
        <f aca="false">AK57*(1-Assumptions!$G$68)+AL56</f>
        <v>480.242729018601</v>
      </c>
      <c r="AM57" s="71" t="n">
        <f aca="false">AL57</f>
        <v>480.242729018601</v>
      </c>
    </row>
    <row r="58" customFormat="false" ht="15" hidden="false" customHeight="false" outlineLevel="0" collapsed="false">
      <c r="A58" s="10" t="s">
        <v>779</v>
      </c>
      <c r="B58" s="9" t="s">
        <v>51</v>
      </c>
      <c r="C58" s="61" t="n">
        <f aca="false">0</f>
        <v>0</v>
      </c>
      <c r="D58" s="61" t="n">
        <f aca="false">C57*Assumptions!$G$68</f>
        <v>0</v>
      </c>
      <c r="E58" s="61" t="n">
        <f aca="false">D57*Assumptions!$G$68</f>
        <v>0</v>
      </c>
      <c r="F58" s="61" t="n">
        <f aca="false">E57*Assumptions!$G$68</f>
        <v>0</v>
      </c>
      <c r="G58" s="61" t="n">
        <f aca="false">F57*Assumptions!$G$68</f>
        <v>0</v>
      </c>
      <c r="H58" s="61" t="n">
        <f aca="false">G57*Assumptions!$G$68</f>
        <v>0</v>
      </c>
      <c r="I58" s="61" t="n">
        <f aca="false">H57*Assumptions!$G$68</f>
        <v>0</v>
      </c>
      <c r="J58" s="61" t="n">
        <f aca="false">I57*Assumptions!$G$68</f>
        <v>0.728743755892285</v>
      </c>
      <c r="K58" s="61" t="n">
        <f aca="false">J57*Assumptions!$G$68</f>
        <v>1.45023314029432</v>
      </c>
      <c r="L58" s="61" t="n">
        <f aca="false">K57*Assumptions!$G$68</f>
        <v>2.17029832414204</v>
      </c>
      <c r="M58" s="61" t="n">
        <f aca="false">L57*Assumptions!$G$68</f>
        <v>2.89472273434709</v>
      </c>
      <c r="N58" s="61" t="n">
        <f aca="false">M57*Assumptions!$G$68</f>
        <v>3.62931429679497</v>
      </c>
      <c r="O58" s="61" t="n">
        <f aca="false">N57*Assumptions!$G$68</f>
        <v>4.37997599064903</v>
      </c>
      <c r="P58" s="61" t="n">
        <f aca="false">O57*Assumptions!$G$68</f>
        <v>5.15277646142375</v>
      </c>
      <c r="Q58" s="61" t="n">
        <f aca="false">P57*Assumptions!$G$68</f>
        <v>5.95402149007813</v>
      </c>
      <c r="R58" s="61" t="n">
        <f aca="false">Q57*Assumptions!$G$68</f>
        <v>6.79032711332805</v>
      </c>
      <c r="S58" s="61" t="n">
        <f aca="false">R57*Assumptions!$G$68</f>
        <v>7.66869519215324</v>
      </c>
      <c r="T58" s="61" t="n">
        <f aca="false">S57*Assumptions!$G$68</f>
        <v>8.59659223515924</v>
      </c>
      <c r="U58" s="61" t="n">
        <f aca="false">T57*Assumptions!$G$68</f>
        <v>9.58203230116334</v>
      </c>
      <c r="V58" s="61" t="n">
        <f aca="false">U57*Assumptions!$G$68</f>
        <v>10.6601660392814</v>
      </c>
      <c r="W58" s="61" t="n">
        <f aca="false">V57*Assumptions!$G$68</f>
        <v>11.8584198832797</v>
      </c>
      <c r="X58" s="61" t="n">
        <f aca="false">W57*Assumptions!$G$68</f>
        <v>13.1926820670522</v>
      </c>
      <c r="Y58" s="61" t="n">
        <f aca="false">X57*Assumptions!$G$68</f>
        <v>14.6775395559095</v>
      </c>
      <c r="Z58" s="61" t="n">
        <f aca="false">Y57*Assumptions!$G$68</f>
        <v>16.3287207017453</v>
      </c>
      <c r="AA58" s="61" t="n">
        <f aca="false">Z57*Assumptions!$G$68</f>
        <v>18.1635813610917</v>
      </c>
      <c r="AB58" s="61" t="n">
        <f aca="false">AA57*Assumptions!$G$68</f>
        <v>20.2013145608982</v>
      </c>
      <c r="AC58" s="61" t="n">
        <f aca="false">AB57*Assumptions!$G$68</f>
        <v>22.3825838714401</v>
      </c>
      <c r="AD58" s="61" t="n">
        <f aca="false">AC57*Assumptions!$G$68</f>
        <v>24.6676061756656</v>
      </c>
      <c r="AE58" s="61" t="n">
        <f aca="false">AD57*Assumptions!$G$68</f>
        <v>27.0721961235713</v>
      </c>
      <c r="AF58" s="61" t="n">
        <f aca="false">AE57*Assumptions!$G$68</f>
        <v>29.6130756611404</v>
      </c>
      <c r="AG58" s="61" t="n">
        <f aca="false">AF57*Assumptions!$G$68</f>
        <v>32.3078218505711</v>
      </c>
      <c r="AH58" s="61" t="n">
        <f aca="false">AG57*Assumptions!$G$68</f>
        <v>35.1749426400219</v>
      </c>
      <c r="AI58" s="61" t="n">
        <f aca="false">AH57*Assumptions!$G$68</f>
        <v>38.234008493071</v>
      </c>
      <c r="AJ58" s="61" t="n">
        <f aca="false">AI57*Assumptions!$G$68</f>
        <v>41.5057976743886</v>
      </c>
      <c r="AK58" s="61" t="n">
        <f aca="false">AJ57*Assumptions!$G$68</f>
        <v>45.0124501502459</v>
      </c>
      <c r="AL58" s="61" t="n">
        <f aca="false">AK57*Assumptions!$G$68</f>
        <v>48.7776303891354</v>
      </c>
      <c r="AM58" s="61" t="n">
        <f aca="false">SUM(C58:AL58)</f>
        <v>508.828270233935</v>
      </c>
    </row>
    <row r="59" customFormat="false" ht="15" hidden="false" customHeight="false" outlineLevel="0" collapsed="false">
      <c r="A59" s="10" t="s">
        <v>780</v>
      </c>
      <c r="B59" s="9" t="s">
        <v>97</v>
      </c>
      <c r="C59" s="70" t="n">
        <f aca="false">C57*Assumptions!$G$70</f>
        <v>0</v>
      </c>
      <c r="D59" s="70" t="n">
        <f aca="false">D57*Assumptions!$G$70</f>
        <v>0</v>
      </c>
      <c r="E59" s="70" t="n">
        <f aca="false">E57*Assumptions!$G$70</f>
        <v>0</v>
      </c>
      <c r="F59" s="70" t="n">
        <f aca="false">F57*Assumptions!$G$70</f>
        <v>0</v>
      </c>
      <c r="G59" s="70" t="n">
        <f aca="false">G57*Assumptions!$G$70</f>
        <v>0</v>
      </c>
      <c r="H59" s="70" t="n">
        <f aca="false">H57*Assumptions!$G$70</f>
        <v>0</v>
      </c>
      <c r="I59" s="70" t="n">
        <f aca="false">I57*Assumptions!$G$70</f>
        <v>1649.61086561072</v>
      </c>
      <c r="J59" s="70" t="n">
        <f aca="false">J57*Assumptions!$G$70</f>
        <v>3282.80047212079</v>
      </c>
      <c r="K59" s="70" t="n">
        <f aca="false">K57*Assumptions!$G$70</f>
        <v>4912.76620646699</v>
      </c>
      <c r="L59" s="70" t="n">
        <f aca="false">L57*Assumptions!$G$70</f>
        <v>6552.59964411295</v>
      </c>
      <c r="M59" s="70" t="n">
        <f aca="false">M57*Assumptions!$G$70</f>
        <v>8215.44781729044</v>
      </c>
      <c r="N59" s="70" t="n">
        <f aca="false">N57*Assumptions!$G$70</f>
        <v>9914.67292428735</v>
      </c>
      <c r="O59" s="70" t="n">
        <f aca="false">O57*Assumptions!$G$70</f>
        <v>11664.0121717683</v>
      </c>
      <c r="P59" s="70" t="n">
        <f aca="false">P57*Assumptions!$G$70</f>
        <v>13477.7395548132</v>
      </c>
      <c r="Q59" s="70" t="n">
        <f aca="false">Q57*Assumptions!$G$70</f>
        <v>15370.8313747153</v>
      </c>
      <c r="R59" s="70" t="n">
        <f aca="false">R57*Assumptions!$G$70</f>
        <v>17359.1372986014</v>
      </c>
      <c r="S59" s="70" t="n">
        <f aca="false">S57*Assumptions!$G$70</f>
        <v>19459.5587868605</v>
      </c>
      <c r="T59" s="70" t="n">
        <f aca="false">T57*Assumptions!$G$70</f>
        <v>21690.2367544516</v>
      </c>
      <c r="U59" s="70" t="n">
        <f aca="false">U57*Assumptions!$G$70</f>
        <v>24130.7394889189</v>
      </c>
      <c r="V59" s="70" t="n">
        <f aca="false">V57*Assumptions!$G$70</f>
        <v>26843.1504630604</v>
      </c>
      <c r="W59" s="70" t="n">
        <f aca="false">W57*Assumptions!$G$70</f>
        <v>29863.4348608727</v>
      </c>
      <c r="X59" s="70" t="n">
        <f aca="false">X57*Assumptions!$G$70</f>
        <v>33224.612267468</v>
      </c>
      <c r="Y59" s="70" t="n">
        <f aca="false">Y57*Assumptions!$G$70</f>
        <v>36962.2859521325</v>
      </c>
      <c r="Z59" s="70" t="n">
        <f aca="false">Z57*Assumptions!$G$70</f>
        <v>41115.7432628348</v>
      </c>
      <c r="AA59" s="70" t="n">
        <f aca="false">AA57*Assumptions!$G$70</f>
        <v>45728.4302333058</v>
      </c>
      <c r="AB59" s="70" t="n">
        <f aca="false">AB57*Assumptions!$G$70</f>
        <v>50666.0307635326</v>
      </c>
      <c r="AC59" s="70" t="n">
        <f aca="false">AC57*Assumptions!$G$70</f>
        <v>55838.4903430976</v>
      </c>
      <c r="AD59" s="70" t="n">
        <f aca="false">AD57*Assumptions!$G$70</f>
        <v>61281.6075888115</v>
      </c>
      <c r="AE59" s="70" t="n">
        <f aca="false">AE57*Assumptions!$G$70</f>
        <v>67033.2349056723</v>
      </c>
      <c r="AF59" s="70" t="n">
        <f aca="false">AF57*Assumptions!$G$70</f>
        <v>73133.1603708382</v>
      </c>
      <c r="AG59" s="70" t="n">
        <f aca="false">AG57*Assumptions!$G$70</f>
        <v>79623.279248777</v>
      </c>
      <c r="AH59" s="70" t="n">
        <f aca="false">AH57*Assumptions!$G$70</f>
        <v>86547.8919524971</v>
      </c>
      <c r="AI59" s="70" t="n">
        <f aca="false">AI57*Assumptions!$G$70</f>
        <v>93954.0329174796</v>
      </c>
      <c r="AJ59" s="70" t="n">
        <f aca="false">AJ57*Assumptions!$G$70</f>
        <v>101891.818976466</v>
      </c>
      <c r="AK59" s="70" t="n">
        <f aca="false">AK57*Assumptions!$G$70</f>
        <v>110414.817880861</v>
      </c>
      <c r="AL59" s="70" t="n">
        <f aca="false">AL57*Assumptions!$G$70</f>
        <v>119580.439525632</v>
      </c>
      <c r="AM59" s="70" t="n">
        <f aca="false">SUM(C59:AL59)</f>
        <v>1271382.61487336</v>
      </c>
    </row>
    <row r="60" customFormat="false" ht="15" hidden="false" customHeight="false" outlineLevel="0" collapsed="false">
      <c r="A60" s="10" t="s">
        <v>781</v>
      </c>
      <c r="B60" s="9" t="s">
        <v>97</v>
      </c>
      <c r="C60" s="70" t="n">
        <f aca="false">C53*Assumptions!$G$71</f>
        <v>0</v>
      </c>
      <c r="D60" s="70" t="n">
        <f aca="false">D53*Assumptions!$G$71</f>
        <v>0</v>
      </c>
      <c r="E60" s="70" t="n">
        <f aca="false">E53*Assumptions!$G$71</f>
        <v>0</v>
      </c>
      <c r="F60" s="70" t="n">
        <f aca="false">F53*Assumptions!$G$71</f>
        <v>0</v>
      </c>
      <c r="G60" s="70" t="n">
        <f aca="false">G53*Assumptions!$G$71</f>
        <v>0</v>
      </c>
      <c r="H60" s="70" t="n">
        <f aca="false">H53*Assumptions!$G$71</f>
        <v>0</v>
      </c>
      <c r="I60" s="70" t="n">
        <f aca="false">I53*Assumptions!$G$71</f>
        <v>1150.85459399969</v>
      </c>
      <c r="J60" s="70" t="n">
        <f aca="false">J53*Assumptions!$G$71</f>
        <v>1265.99227235418</v>
      </c>
      <c r="K60" s="70" t="n">
        <f aca="false">K53*Assumptions!$G$71</f>
        <v>1389.07694032664</v>
      </c>
      <c r="L60" s="70" t="n">
        <f aca="false">L53*Assumptions!$G$71</f>
        <v>1521.04756872811</v>
      </c>
      <c r="M60" s="70" t="n">
        <f aca="false">M53*Assumptions!$G$71</f>
        <v>1662.94751735114</v>
      </c>
      <c r="N60" s="70" t="n">
        <f aca="false">N53*Assumptions!$G$71</f>
        <v>1815.93582336782</v>
      </c>
      <c r="O60" s="70" t="n">
        <f aca="false">O53*Assumptions!$G$71</f>
        <v>1981.29955050863</v>
      </c>
      <c r="P60" s="70" t="n">
        <f aca="false">P53*Assumptions!$G$71</f>
        <v>2160.46740749318</v>
      </c>
      <c r="Q60" s="70" t="n">
        <f aca="false">Q53*Assumptions!$G$71</f>
        <v>2355.02477096742</v>
      </c>
      <c r="R60" s="70" t="n">
        <f aca="false">R53*Assumptions!$G$71</f>
        <v>2566.73025389175</v>
      </c>
      <c r="S60" s="70" t="n">
        <f aca="false">S53*Assumptions!$G$71</f>
        <v>2797.53397312064</v>
      </c>
      <c r="T60" s="70" t="n">
        <f aca="false">T53*Assumptions!$G$71</f>
        <v>3049.59768427015</v>
      </c>
      <c r="U60" s="70" t="n">
        <f aca="false">U53*Assumptions!$G$71</f>
        <v>3367.16849224458</v>
      </c>
      <c r="V60" s="70" t="n">
        <f aca="false">V53*Assumptions!$G$71</f>
        <v>3744.15428685777</v>
      </c>
      <c r="W60" s="70" t="n">
        <f aca="false">W53*Assumptions!$G$71</f>
        <v>4167.09798096848</v>
      </c>
      <c r="X60" s="70" t="n">
        <f aca="false">X53*Assumptions!$G$71</f>
        <v>4636.70460187193</v>
      </c>
      <c r="Y60" s="70" t="n">
        <f aca="false">Y53*Assumptions!$G$71</f>
        <v>5157.31064278876</v>
      </c>
      <c r="Z60" s="70" t="n">
        <f aca="false">Z53*Assumptions!$G$71</f>
        <v>5734.21856596643</v>
      </c>
      <c r="AA60" s="70" t="n">
        <f aca="false">AA53*Assumptions!$G$71</f>
        <v>6373.34466691259</v>
      </c>
      <c r="AB60" s="70" t="n">
        <f aca="false">AB53*Assumptions!$G$71</f>
        <v>6954.00693207927</v>
      </c>
      <c r="AC60" s="70" t="n">
        <f aca="false">AC53*Assumptions!$G$71</f>
        <v>7496.77690433689</v>
      </c>
      <c r="AD60" s="70" t="n">
        <f aca="false">AD53*Assumptions!$G$71</f>
        <v>8082.54535086517</v>
      </c>
      <c r="AE60" s="70" t="n">
        <f aca="false">AE53*Assumptions!$G$71</f>
        <v>8715.49234952471</v>
      </c>
      <c r="AF60" s="70" t="n">
        <f aca="false">AF53*Assumptions!$G$71</f>
        <v>9399.87318554987</v>
      </c>
      <c r="AG60" s="70" t="n">
        <f aca="false">AG53*Assumptions!$G$71</f>
        <v>10140.2113489363</v>
      </c>
      <c r="AH60" s="70" t="n">
        <f aca="false">AH53*Assumptions!$G$71</f>
        <v>10941.3999121958</v>
      </c>
      <c r="AI60" s="70" t="n">
        <f aca="false">AI53*Assumptions!$G$71</f>
        <v>11808.7459627303</v>
      </c>
      <c r="AJ60" s="70" t="n">
        <f aca="false">AJ53*Assumptions!$G$71</f>
        <v>12748.0094460049</v>
      </c>
      <c r="AK60" s="70" t="n">
        <f aca="false">AK53*Assumptions!$G$71</f>
        <v>13765.4439557637</v>
      </c>
      <c r="AL60" s="70" t="n">
        <f aca="false">AL53*Assumptions!$G$71</f>
        <v>14867.8408541449</v>
      </c>
      <c r="AM60" s="70" t="n">
        <f aca="false">SUM(C60:AL60)</f>
        <v>171816.853796122</v>
      </c>
    </row>
    <row r="61" customFormat="false" ht="15" hidden="false" customHeight="false" outlineLevel="0" collapsed="false">
      <c r="A61" s="10" t="s">
        <v>782</v>
      </c>
      <c r="B61" s="9" t="s">
        <v>97</v>
      </c>
      <c r="C61" s="70" t="n">
        <f aca="false">C59+C60</f>
        <v>0</v>
      </c>
      <c r="D61" s="70" t="n">
        <f aca="false">D59+D60</f>
        <v>0</v>
      </c>
      <c r="E61" s="70" t="n">
        <f aca="false">E59+E60</f>
        <v>0</v>
      </c>
      <c r="F61" s="70" t="n">
        <f aca="false">F59+F60</f>
        <v>0</v>
      </c>
      <c r="G61" s="70" t="n">
        <f aca="false">G59+G60</f>
        <v>0</v>
      </c>
      <c r="H61" s="70" t="n">
        <f aca="false">H59+H60</f>
        <v>0</v>
      </c>
      <c r="I61" s="70" t="n">
        <f aca="false">I59+I60</f>
        <v>2800.46545961041</v>
      </c>
      <c r="J61" s="70" t="n">
        <f aca="false">J59+J60</f>
        <v>4548.79274447497</v>
      </c>
      <c r="K61" s="70" t="n">
        <f aca="false">K59+K60</f>
        <v>6301.84314679362</v>
      </c>
      <c r="L61" s="70" t="n">
        <f aca="false">L59+L60</f>
        <v>8073.64721284106</v>
      </c>
      <c r="M61" s="70" t="n">
        <f aca="false">M59+M60</f>
        <v>9878.39533464158</v>
      </c>
      <c r="N61" s="70" t="n">
        <f aca="false">N59+N60</f>
        <v>11730.6087476552</v>
      </c>
      <c r="O61" s="70" t="n">
        <f aca="false">O59+O60</f>
        <v>13645.3117222769</v>
      </c>
      <c r="P61" s="70" t="n">
        <f aca="false">P59+P60</f>
        <v>15638.2069623064</v>
      </c>
      <c r="Q61" s="70" t="n">
        <f aca="false">Q59+Q60</f>
        <v>17725.8561456827</v>
      </c>
      <c r="R61" s="70" t="n">
        <f aca="false">R59+R60</f>
        <v>19925.8675524932</v>
      </c>
      <c r="S61" s="70" t="n">
        <f aca="false">S59+S60</f>
        <v>22257.0927599811</v>
      </c>
      <c r="T61" s="70" t="n">
        <f aca="false">T59+T60</f>
        <v>24739.8344387217</v>
      </c>
      <c r="U61" s="70" t="n">
        <f aca="false">U59+U60</f>
        <v>27497.9079811635</v>
      </c>
      <c r="V61" s="70" t="n">
        <f aca="false">V59+V60</f>
        <v>30587.3047499182</v>
      </c>
      <c r="W61" s="70" t="n">
        <f aca="false">W59+W60</f>
        <v>34030.5328418412</v>
      </c>
      <c r="X61" s="70" t="n">
        <f aca="false">X59+X60</f>
        <v>37861.3168693399</v>
      </c>
      <c r="Y61" s="70" t="n">
        <f aca="false">Y59+Y60</f>
        <v>42119.5965949213</v>
      </c>
      <c r="Z61" s="70" t="n">
        <f aca="false">Z59+Z60</f>
        <v>46849.9618288012</v>
      </c>
      <c r="AA61" s="70" t="n">
        <f aca="false">AA59+AA60</f>
        <v>52101.7749002184</v>
      </c>
      <c r="AB61" s="70" t="n">
        <f aca="false">AB59+AB60</f>
        <v>57620.0376956119</v>
      </c>
      <c r="AC61" s="70" t="n">
        <f aca="false">AC59+AC60</f>
        <v>63335.2672474345</v>
      </c>
      <c r="AD61" s="70" t="n">
        <f aca="false">AD59+AD60</f>
        <v>69364.1529396767</v>
      </c>
      <c r="AE61" s="70" t="n">
        <f aca="false">AE59+AE60</f>
        <v>75748.727255197</v>
      </c>
      <c r="AF61" s="70" t="n">
        <f aca="false">AF59+AF60</f>
        <v>82533.0335563881</v>
      </c>
      <c r="AG61" s="70" t="n">
        <f aca="false">AG59+AG60</f>
        <v>89763.4905977132</v>
      </c>
      <c r="AH61" s="70" t="n">
        <f aca="false">AH59+AH60</f>
        <v>97489.2918646929</v>
      </c>
      <c r="AI61" s="70" t="n">
        <f aca="false">AI59+AI60</f>
        <v>105762.77888021</v>
      </c>
      <c r="AJ61" s="70" t="n">
        <f aca="false">AJ59+AJ60</f>
        <v>114639.828422471</v>
      </c>
      <c r="AK61" s="70" t="n">
        <f aca="false">AK59+AK60</f>
        <v>124180.261836625</v>
      </c>
      <c r="AL61" s="70" t="n">
        <f aca="false">AL59+AL60</f>
        <v>134448.280379776</v>
      </c>
      <c r="AM61" s="70" t="n">
        <f aca="false">SUM(C61:AL61)</f>
        <v>1443199.46866948</v>
      </c>
    </row>
    <row r="62" customFormat="false" ht="15" hidden="false" customHeight="false" outlineLevel="0" collapsed="false">
      <c r="A62" s="10" t="s">
        <v>783</v>
      </c>
      <c r="B62" s="9" t="s">
        <v>97</v>
      </c>
      <c r="C62" s="70" t="n">
        <f aca="false">-C61*Assumptions!$G$80</f>
        <v>-0</v>
      </c>
      <c r="D62" s="70" t="n">
        <f aca="false">-D61*Assumptions!$G$80</f>
        <v>-0</v>
      </c>
      <c r="E62" s="70" t="n">
        <f aca="false">-E61*Assumptions!$G$80</f>
        <v>-0</v>
      </c>
      <c r="F62" s="70" t="n">
        <f aca="false">-F61*Assumptions!$G$80</f>
        <v>-0</v>
      </c>
      <c r="G62" s="70" t="n">
        <f aca="false">-G61*Assumptions!$G$80</f>
        <v>-0</v>
      </c>
      <c r="H62" s="70" t="n">
        <f aca="false">-H61*Assumptions!$G$80</f>
        <v>-0</v>
      </c>
      <c r="I62" s="70" t="n">
        <f aca="false">-I61*Assumptions!$G$80</f>
        <v>-84.0139637883123</v>
      </c>
      <c r="J62" s="70" t="n">
        <f aca="false">-J61*Assumptions!$G$80</f>
        <v>-136.463782334249</v>
      </c>
      <c r="K62" s="70" t="n">
        <f aca="false">-K61*Assumptions!$G$80</f>
        <v>-189.055294403809</v>
      </c>
      <c r="L62" s="70" t="n">
        <f aca="false">-L61*Assumptions!$G$80</f>
        <v>-242.209416385232</v>
      </c>
      <c r="M62" s="70" t="n">
        <f aca="false">-M61*Assumptions!$G$80</f>
        <v>-296.351860039247</v>
      </c>
      <c r="N62" s="70" t="n">
        <f aca="false">-N61*Assumptions!$G$80</f>
        <v>-351.918262429655</v>
      </c>
      <c r="O62" s="70" t="n">
        <f aca="false">-O61*Assumptions!$G$80</f>
        <v>-409.359351668308</v>
      </c>
      <c r="P62" s="70" t="n">
        <f aca="false">-P61*Assumptions!$G$80</f>
        <v>-469.146208869192</v>
      </c>
      <c r="Q62" s="70" t="n">
        <f aca="false">-Q61*Assumptions!$G$80</f>
        <v>-531.775684370482</v>
      </c>
      <c r="R62" s="70" t="n">
        <f aca="false">-R61*Assumptions!$G$80</f>
        <v>-597.776026574795</v>
      </c>
      <c r="S62" s="70" t="n">
        <f aca="false">-S61*Assumptions!$G$80</f>
        <v>-667.712782799433</v>
      </c>
      <c r="T62" s="70" t="n">
        <f aca="false">-T61*Assumptions!$G$80</f>
        <v>-742.195033161651</v>
      </c>
      <c r="U62" s="70" t="n">
        <f aca="false">-U61*Assumptions!$G$80</f>
        <v>-824.937239434904</v>
      </c>
      <c r="V62" s="70" t="n">
        <f aca="false">-V61*Assumptions!$G$80</f>
        <v>-917.619142497546</v>
      </c>
      <c r="W62" s="70" t="n">
        <f aca="false">-W61*Assumptions!$G$80</f>
        <v>-1020.91598525524</v>
      </c>
      <c r="X62" s="70" t="n">
        <f aca="false">-X61*Assumptions!$G$80</f>
        <v>-1135.8395060802</v>
      </c>
      <c r="Y62" s="70" t="n">
        <f aca="false">-Y61*Assumptions!$G$80</f>
        <v>-1263.58789784764</v>
      </c>
      <c r="Z62" s="70" t="n">
        <f aca="false">-Z61*Assumptions!$G$80</f>
        <v>-1405.49885486404</v>
      </c>
      <c r="AA62" s="70" t="n">
        <f aca="false">-AA61*Assumptions!$G$80</f>
        <v>-1563.05324700655</v>
      </c>
      <c r="AB62" s="70" t="n">
        <f aca="false">-AB61*Assumptions!$G$80</f>
        <v>-1728.60113086836</v>
      </c>
      <c r="AC62" s="70" t="n">
        <f aca="false">-AC61*Assumptions!$G$80</f>
        <v>-1900.05801742303</v>
      </c>
      <c r="AD62" s="70" t="n">
        <f aca="false">-AD61*Assumptions!$G$80</f>
        <v>-2080.9245881903</v>
      </c>
      <c r="AE62" s="70" t="n">
        <f aca="false">-AE61*Assumptions!$G$80</f>
        <v>-2272.46181765591</v>
      </c>
      <c r="AF62" s="70" t="n">
        <f aca="false">-AF61*Assumptions!$G$80</f>
        <v>-2475.99100669164</v>
      </c>
      <c r="AG62" s="70" t="n">
        <f aca="false">-AG61*Assumptions!$G$80</f>
        <v>-2692.9047179314</v>
      </c>
      <c r="AH62" s="70" t="n">
        <f aca="false">-AH61*Assumptions!$G$80</f>
        <v>-2924.67875594079</v>
      </c>
      <c r="AI62" s="70" t="n">
        <f aca="false">-AI61*Assumptions!$G$80</f>
        <v>-3172.8833664063</v>
      </c>
      <c r="AJ62" s="70" t="n">
        <f aca="false">-AJ61*Assumptions!$G$80</f>
        <v>-3439.19485267412</v>
      </c>
      <c r="AK62" s="70" t="n">
        <f aca="false">-AK61*Assumptions!$G$80</f>
        <v>-3725.40785509874</v>
      </c>
      <c r="AL62" s="70" t="n">
        <f aca="false">-AL61*Assumptions!$G$80</f>
        <v>-4033.44841139329</v>
      </c>
      <c r="AM62" s="70" t="n">
        <f aca="false">SUM(C62:AL62)</f>
        <v>-43295.9840600844</v>
      </c>
    </row>
    <row r="63" customFormat="false" ht="15" hidden="false" customHeight="false" outlineLevel="0" collapsed="false">
      <c r="A63" s="37" t="s">
        <v>784</v>
      </c>
      <c r="B63" s="9" t="s">
        <v>97</v>
      </c>
      <c r="C63" s="53" t="n">
        <f aca="false">C61+C62</f>
        <v>0</v>
      </c>
      <c r="D63" s="53" t="n">
        <f aca="false">D61+D62</f>
        <v>0</v>
      </c>
      <c r="E63" s="53" t="n">
        <f aca="false">E61+E62</f>
        <v>0</v>
      </c>
      <c r="F63" s="53" t="n">
        <f aca="false">F61+F62</f>
        <v>0</v>
      </c>
      <c r="G63" s="53" t="n">
        <f aca="false">G61+G62</f>
        <v>0</v>
      </c>
      <c r="H63" s="53" t="n">
        <f aca="false">H61+H62</f>
        <v>0</v>
      </c>
      <c r="I63" s="53" t="n">
        <f aca="false">I61+I62</f>
        <v>2716.4514958221</v>
      </c>
      <c r="J63" s="53" t="n">
        <f aca="false">J61+J62</f>
        <v>4412.32896214072</v>
      </c>
      <c r="K63" s="53" t="n">
        <f aca="false">K61+K62</f>
        <v>6112.78785238981</v>
      </c>
      <c r="L63" s="53" t="n">
        <f aca="false">L61+L62</f>
        <v>7831.43779645583</v>
      </c>
      <c r="M63" s="53" t="n">
        <f aca="false">M61+M62</f>
        <v>9582.04347460233</v>
      </c>
      <c r="N63" s="53" t="n">
        <f aca="false">N61+N62</f>
        <v>11378.6904852255</v>
      </c>
      <c r="O63" s="53" t="n">
        <f aca="false">O61+O62</f>
        <v>13235.9523706086</v>
      </c>
      <c r="P63" s="53" t="n">
        <f aca="false">P61+P62</f>
        <v>15169.0607534372</v>
      </c>
      <c r="Q63" s="53" t="n">
        <f aca="false">Q61+Q62</f>
        <v>17194.0804613123</v>
      </c>
      <c r="R63" s="53" t="n">
        <f aca="false">R61+R62</f>
        <v>19328.0915259184</v>
      </c>
      <c r="S63" s="53" t="n">
        <f aca="false">S61+S62</f>
        <v>21589.3799771817</v>
      </c>
      <c r="T63" s="53" t="n">
        <f aca="false">T61+T62</f>
        <v>23997.6394055601</v>
      </c>
      <c r="U63" s="53" t="n">
        <f aca="false">U61+U62</f>
        <v>26672.9707417286</v>
      </c>
      <c r="V63" s="53" t="n">
        <f aca="false">V61+V62</f>
        <v>29669.6856074207</v>
      </c>
      <c r="W63" s="53" t="n">
        <f aca="false">W61+W62</f>
        <v>33009.616856586</v>
      </c>
      <c r="X63" s="53" t="n">
        <f aca="false">X61+X62</f>
        <v>36725.4773632597</v>
      </c>
      <c r="Y63" s="53" t="n">
        <f aca="false">Y61+Y62</f>
        <v>40856.0086970737</v>
      </c>
      <c r="Z63" s="53" t="n">
        <f aca="false">Z61+Z62</f>
        <v>45444.4629739372</v>
      </c>
      <c r="AA63" s="53" t="n">
        <f aca="false">AA61+AA62</f>
        <v>50538.7216532119</v>
      </c>
      <c r="AB63" s="53" t="n">
        <f aca="false">AB61+AB62</f>
        <v>55891.4365647435</v>
      </c>
      <c r="AC63" s="53" t="n">
        <f aca="false">AC61+AC62</f>
        <v>61435.2092300114</v>
      </c>
      <c r="AD63" s="53" t="n">
        <f aca="false">AD61+AD62</f>
        <v>67283.2283514864</v>
      </c>
      <c r="AE63" s="53" t="n">
        <f aca="false">AE61+AE62</f>
        <v>73476.2654375411</v>
      </c>
      <c r="AF63" s="53" t="n">
        <f aca="false">AF61+AF62</f>
        <v>80057.0425496965</v>
      </c>
      <c r="AG63" s="53" t="n">
        <f aca="false">AG61+AG62</f>
        <v>87070.5858797819</v>
      </c>
      <c r="AH63" s="53" t="n">
        <f aca="false">AH61+AH62</f>
        <v>94564.6131087521</v>
      </c>
      <c r="AI63" s="53" t="n">
        <f aca="false">AI61+AI62</f>
        <v>102589.895513804</v>
      </c>
      <c r="AJ63" s="53" t="n">
        <f aca="false">AJ61+AJ62</f>
        <v>111200.633569797</v>
      </c>
      <c r="AK63" s="53" t="n">
        <f aca="false">AK61+AK62</f>
        <v>120454.853981526</v>
      </c>
      <c r="AL63" s="53" t="n">
        <f aca="false">AL61+AL62</f>
        <v>130414.831968383</v>
      </c>
      <c r="AM63" s="53" t="n">
        <f aca="false">SUM(C63:AL63)</f>
        <v>1399903.48460939</v>
      </c>
    </row>
    <row r="64" customFormat="false" ht="15" hidden="false" customHeight="false" outlineLevel="0" collapsed="false">
      <c r="A64" s="10" t="s">
        <v>785</v>
      </c>
      <c r="B64" s="9" t="s">
        <v>97</v>
      </c>
      <c r="C64" s="70" t="n">
        <f aca="false">-C57*Assumptions!$G$73</f>
        <v>-0</v>
      </c>
      <c r="D64" s="70" t="n">
        <f aca="false">-D57*Assumptions!$G$73</f>
        <v>-0</v>
      </c>
      <c r="E64" s="70" t="n">
        <f aca="false">-E57*Assumptions!$G$73</f>
        <v>-0</v>
      </c>
      <c r="F64" s="70" t="n">
        <f aca="false">-F57*Assumptions!$G$73</f>
        <v>-0</v>
      </c>
      <c r="G64" s="70" t="n">
        <f aca="false">-G57*Assumptions!$G$73</f>
        <v>-0</v>
      </c>
      <c r="H64" s="70" t="n">
        <f aca="false">-H57*Assumptions!$G$73</f>
        <v>-0</v>
      </c>
      <c r="I64" s="70" t="n">
        <f aca="false">-I57*Assumptions!$G$73</f>
        <v>-582.995004713828</v>
      </c>
      <c r="J64" s="70" t="n">
        <f aca="false">-J57*Assumptions!$G$73</f>
        <v>-1160.18651223546</v>
      </c>
      <c r="K64" s="70" t="n">
        <f aca="false">-K57*Assumptions!$G$73</f>
        <v>-1736.23865931363</v>
      </c>
      <c r="L64" s="70" t="n">
        <f aca="false">-L57*Assumptions!$G$73</f>
        <v>-2315.77818747767</v>
      </c>
      <c r="M64" s="70" t="n">
        <f aca="false">-M57*Assumptions!$G$73</f>
        <v>-2903.45143743598</v>
      </c>
      <c r="N64" s="70" t="n">
        <f aca="false">-N57*Assumptions!$G$73</f>
        <v>-3503.98079251922</v>
      </c>
      <c r="O64" s="70" t="n">
        <f aca="false">-O57*Assumptions!$G$73</f>
        <v>-4122.221169139</v>
      </c>
      <c r="P64" s="70" t="n">
        <f aca="false">-P57*Assumptions!$G$73</f>
        <v>-4763.21719206251</v>
      </c>
      <c r="Q64" s="70" t="n">
        <f aca="false">-Q57*Assumptions!$G$73</f>
        <v>-5432.26169066244</v>
      </c>
      <c r="R64" s="70" t="n">
        <f aca="false">-R57*Assumptions!$G$73</f>
        <v>-6134.95615372259</v>
      </c>
      <c r="S64" s="70" t="n">
        <f aca="false">-S57*Assumptions!$G$73</f>
        <v>-6877.27378812739</v>
      </c>
      <c r="T64" s="70" t="n">
        <f aca="false">-T57*Assumptions!$G$73</f>
        <v>-7665.62584093067</v>
      </c>
      <c r="U64" s="70" t="n">
        <f aca="false">-U57*Assumptions!$G$73</f>
        <v>-8528.13283142515</v>
      </c>
      <c r="V64" s="70" t="n">
        <f aca="false">-V57*Assumptions!$G$73</f>
        <v>-9486.73590662377</v>
      </c>
      <c r="W64" s="70" t="n">
        <f aca="false">-W57*Assumptions!$G$73</f>
        <v>-10554.1456536418</v>
      </c>
      <c r="X64" s="70" t="n">
        <f aca="false">-X57*Assumptions!$G$73</f>
        <v>-11742.0316447276</v>
      </c>
      <c r="Y64" s="70" t="n">
        <f aca="false">-Y57*Assumptions!$G$73</f>
        <v>-13062.9765613962</v>
      </c>
      <c r="Z64" s="70" t="n">
        <f aca="false">-Z57*Assumptions!$G$73</f>
        <v>-14530.8650888733</v>
      </c>
      <c r="AA64" s="70" t="n">
        <f aca="false">-AA57*Assumptions!$G$73</f>
        <v>-16161.0516487185</v>
      </c>
      <c r="AB64" s="70" t="n">
        <f aca="false">-AB57*Assumptions!$G$73</f>
        <v>-17906.0670971521</v>
      </c>
      <c r="AC64" s="70" t="n">
        <f aca="false">-AC57*Assumptions!$G$73</f>
        <v>-19734.0849405325</v>
      </c>
      <c r="AD64" s="70" t="n">
        <f aca="false">-AD57*Assumptions!$G$73</f>
        <v>-21657.7568988571</v>
      </c>
      <c r="AE64" s="70" t="n">
        <f aca="false">-AE57*Assumptions!$G$73</f>
        <v>-23690.4605289123</v>
      </c>
      <c r="AF64" s="70" t="n">
        <f aca="false">-AF57*Assumptions!$G$73</f>
        <v>-25846.2574804569</v>
      </c>
      <c r="AG64" s="70" t="n">
        <f aca="false">-AG57*Assumptions!$G$73</f>
        <v>-28139.9541120176</v>
      </c>
      <c r="AH64" s="70" t="n">
        <f aca="false">-AH57*Assumptions!$G$73</f>
        <v>-30587.2067944568</v>
      </c>
      <c r="AI64" s="70" t="n">
        <f aca="false">-AI57*Assumptions!$G$73</f>
        <v>-33204.6381395109</v>
      </c>
      <c r="AJ64" s="70" t="n">
        <f aca="false">-AJ57*Assumptions!$G$73</f>
        <v>-36009.9601201967</v>
      </c>
      <c r="AK64" s="70" t="n">
        <f aca="false">-AK57*Assumptions!$G$73</f>
        <v>-39022.1043113083</v>
      </c>
      <c r="AL64" s="70" t="n">
        <f aca="false">-AL57*Assumptions!$G$73</f>
        <v>-42261.3601536369</v>
      </c>
      <c r="AM64" s="70" t="n">
        <f aca="false">SUM(C64:AL64)</f>
        <v>-449323.976340785</v>
      </c>
    </row>
    <row r="65" customFormat="false" ht="15" hidden="false" customHeight="false" outlineLevel="0" collapsed="false">
      <c r="A65" s="10" t="s">
        <v>786</v>
      </c>
      <c r="B65" s="9" t="s">
        <v>97</v>
      </c>
      <c r="C65" s="70" t="n">
        <f aca="false">-C54*Assumptions!$G$74</f>
        <v>-0</v>
      </c>
      <c r="D65" s="70" t="n">
        <f aca="false">-D54*Assumptions!$G$74</f>
        <v>-0</v>
      </c>
      <c r="E65" s="70" t="n">
        <f aca="false">-E54*Assumptions!$G$74</f>
        <v>-0</v>
      </c>
      <c r="F65" s="70" t="n">
        <f aca="false">-F54*Assumptions!$G$74</f>
        <v>-0</v>
      </c>
      <c r="G65" s="70" t="n">
        <f aca="false">-G54*Assumptions!$G$74</f>
        <v>-0</v>
      </c>
      <c r="H65" s="70" t="n">
        <f aca="false">-H54*Assumptions!$G$74</f>
        <v>-0</v>
      </c>
      <c r="I65" s="70" t="n">
        <f aca="false">-I54*Assumptions!$G$74</f>
        <v>-615.219557538141</v>
      </c>
      <c r="J65" s="70" t="n">
        <f aca="false">-J54*Assumptions!$G$74</f>
        <v>-676.769428305946</v>
      </c>
      <c r="K65" s="70" t="n">
        <f aca="false">-K54*Assumptions!$G$74</f>
        <v>-742.567571150883</v>
      </c>
      <c r="L65" s="70" t="n">
        <f aca="false">-L54*Assumptions!$G$74</f>
        <v>-813.115937587875</v>
      </c>
      <c r="M65" s="70" t="n">
        <f aca="false">-M54*Assumptions!$G$74</f>
        <v>-888.97228300432</v>
      </c>
      <c r="N65" s="70" t="n">
        <f aca="false">-N54*Assumptions!$G$74</f>
        <v>-970.756201169847</v>
      </c>
      <c r="O65" s="70" t="n">
        <f aca="false">-O54*Assumptions!$G$74</f>
        <v>-1059.15572581428</v>
      </c>
      <c r="P65" s="70" t="n">
        <f aca="false">-P54*Assumptions!$G$74</f>
        <v>-1154.93461071754</v>
      </c>
      <c r="Q65" s="70" t="n">
        <f aca="false">-Q54*Assumptions!$G$74</f>
        <v>-1258.94036061547</v>
      </c>
      <c r="R65" s="70" t="n">
        <f aca="false">-R54*Assumptions!$G$74</f>
        <v>-1372.11308826688</v>
      </c>
      <c r="S65" s="70" t="n">
        <f aca="false">-S54*Assumptions!$G$74</f>
        <v>-1495.49527986822</v>
      </c>
      <c r="T65" s="70" t="n">
        <f aca="false">-T54*Assumptions!$G$74</f>
        <v>-1630.24255867594</v>
      </c>
      <c r="U65" s="70" t="n">
        <f aca="false">-U54*Assumptions!$G$74</f>
        <v>-1800.00837704058</v>
      </c>
      <c r="V65" s="70" t="n">
        <f aca="false">-V54*Assumptions!$G$74</f>
        <v>-2001.53603741515</v>
      </c>
      <c r="W65" s="70" t="n">
        <f aca="false">-W54*Assumptions!$G$74</f>
        <v>-2227.63170033468</v>
      </c>
      <c r="X65" s="70" t="n">
        <f aca="false">-X54*Assumptions!$G$74</f>
        <v>-2478.67225666171</v>
      </c>
      <c r="Y65" s="70" t="n">
        <f aca="false">-Y54*Assumptions!$G$74</f>
        <v>-2756.97589277216</v>
      </c>
      <c r="Z65" s="70" t="n">
        <f aca="false">-Z54*Assumptions!$G$74</f>
        <v>-3065.37717916239</v>
      </c>
      <c r="AA65" s="70" t="n">
        <f aca="false">-AA54*Assumptions!$G$74</f>
        <v>-3407.03882702412</v>
      </c>
      <c r="AB65" s="70" t="n">
        <f aca="false">-AB54*Assumptions!$G$74</f>
        <v>-3717.4470955556</v>
      </c>
      <c r="AC65" s="70" t="n">
        <f aca="false">-AC54*Assumptions!$G$74</f>
        <v>-4007.59904343704</v>
      </c>
      <c r="AD65" s="70" t="n">
        <f aca="false">-AD54*Assumptions!$G$74</f>
        <v>-4320.7369553608</v>
      </c>
      <c r="AE65" s="70" t="n">
        <f aca="false">-AE54*Assumptions!$G$74</f>
        <v>-4659.09540176287</v>
      </c>
      <c r="AF65" s="70" t="n">
        <f aca="false">-AF54*Assumptions!$G$74</f>
        <v>-5024.94915715666</v>
      </c>
      <c r="AG65" s="70" t="n">
        <f aca="false">-AG54*Assumptions!$G$74</f>
        <v>-5420.71637195679</v>
      </c>
      <c r="AH65" s="70" t="n">
        <f aca="false">-AH54*Assumptions!$G$74</f>
        <v>-5849.01276662126</v>
      </c>
      <c r="AI65" s="70" t="n">
        <f aca="false">-AI54*Assumptions!$G$74</f>
        <v>-6312.67538414431</v>
      </c>
      <c r="AJ65" s="70" t="n">
        <f aca="false">-AJ54*Assumptions!$G$74</f>
        <v>-6814.78335469483</v>
      </c>
      <c r="AK65" s="70" t="n">
        <f aca="false">-AK54*Assumptions!$G$74</f>
        <v>-7358.67970109811</v>
      </c>
      <c r="AL65" s="70" t="n">
        <f aca="false">-AL54*Assumptions!$G$74</f>
        <v>-7947.99492440219</v>
      </c>
      <c r="AM65" s="70" t="n">
        <f aca="false">SUM(C65:AL65)</f>
        <v>-91849.2130293166</v>
      </c>
    </row>
    <row r="66" customFormat="false" ht="15" hidden="false" customHeight="false" outlineLevel="0" collapsed="false">
      <c r="A66" s="10" t="s">
        <v>787</v>
      </c>
      <c r="B66" s="9" t="s">
        <v>97</v>
      </c>
      <c r="C66" s="70" t="n">
        <f aca="false">-C57*Assumptions!$G$75</f>
        <v>-0</v>
      </c>
      <c r="D66" s="70" t="n">
        <f aca="false">-D57*Assumptions!$G$75</f>
        <v>-0</v>
      </c>
      <c r="E66" s="70" t="n">
        <f aca="false">-E57*Assumptions!$G$75</f>
        <v>-0</v>
      </c>
      <c r="F66" s="70" t="n">
        <f aca="false">-F57*Assumptions!$G$75</f>
        <v>-0</v>
      </c>
      <c r="G66" s="70" t="n">
        <f aca="false">-G57*Assumptions!$G$75</f>
        <v>-0</v>
      </c>
      <c r="H66" s="70" t="n">
        <f aca="false">-H57*Assumptions!$G$75</f>
        <v>-0</v>
      </c>
      <c r="I66" s="70" t="n">
        <f aca="false">-I57*Assumptions!$G$75</f>
        <v>-52.9995458830753</v>
      </c>
      <c r="J66" s="70" t="n">
        <f aca="false">-J57*Assumptions!$G$75</f>
        <v>-105.471501112314</v>
      </c>
      <c r="K66" s="70" t="n">
        <f aca="false">-K57*Assumptions!$G$75</f>
        <v>-157.839878119421</v>
      </c>
      <c r="L66" s="70" t="n">
        <f aca="false">-L57*Assumptions!$G$75</f>
        <v>-210.525289770697</v>
      </c>
      <c r="M66" s="70" t="n">
        <f aca="false">-M57*Assumptions!$G$75</f>
        <v>-263.950130675998</v>
      </c>
      <c r="N66" s="70" t="n">
        <f aca="false">-N57*Assumptions!$G$75</f>
        <v>-318.543708410839</v>
      </c>
      <c r="O66" s="70" t="n">
        <f aca="false">-O57*Assumptions!$G$75</f>
        <v>-374.747379012636</v>
      </c>
      <c r="P66" s="70" t="n">
        <f aca="false">-P57*Assumptions!$G$75</f>
        <v>-433.019744732955</v>
      </c>
      <c r="Q66" s="70" t="n">
        <f aca="false">-Q57*Assumptions!$G$75</f>
        <v>-493.841971878403</v>
      </c>
      <c r="R66" s="70" t="n">
        <f aca="false">-R57*Assumptions!$G$75</f>
        <v>-557.723286702054</v>
      </c>
      <c r="S66" s="70" t="n">
        <f aca="false">-S57*Assumptions!$G$75</f>
        <v>-625.206708011581</v>
      </c>
      <c r="T66" s="70" t="n">
        <f aca="false">-T57*Assumptions!$G$75</f>
        <v>-696.875076448243</v>
      </c>
      <c r="U66" s="70" t="n">
        <f aca="false">-U57*Assumptions!$G$75</f>
        <v>-775.284802856832</v>
      </c>
      <c r="V66" s="70" t="n">
        <f aca="false">-V57*Assumptions!$G$75</f>
        <v>-862.430536965797</v>
      </c>
      <c r="W66" s="70" t="n">
        <f aca="false">-W57*Assumptions!$G$75</f>
        <v>-959.467786694707</v>
      </c>
      <c r="X66" s="70" t="n">
        <f aca="false">-X57*Assumptions!$G$75</f>
        <v>-1067.45742224797</v>
      </c>
      <c r="Y66" s="70" t="n">
        <f aca="false">-Y57*Assumptions!$G$75</f>
        <v>-1187.54332376329</v>
      </c>
      <c r="Z66" s="70" t="n">
        <f aca="false">-Z57*Assumptions!$G$75</f>
        <v>-1320.98773535212</v>
      </c>
      <c r="AA66" s="70" t="n">
        <f aca="false">-AA57*Assumptions!$G$75</f>
        <v>-1469.18651351987</v>
      </c>
      <c r="AB66" s="70" t="n">
        <f aca="false">-AB57*Assumptions!$G$75</f>
        <v>-1627.82428155928</v>
      </c>
      <c r="AC66" s="70" t="n">
        <f aca="false">-AC57*Assumptions!$G$75</f>
        <v>-1794.00772186659</v>
      </c>
      <c r="AD66" s="70" t="n">
        <f aca="false">-AD57*Assumptions!$G$75</f>
        <v>-1968.88699080519</v>
      </c>
      <c r="AE66" s="70" t="n">
        <f aca="false">-AE57*Assumptions!$G$75</f>
        <v>-2153.67822990112</v>
      </c>
      <c r="AF66" s="70" t="n">
        <f aca="false">-AF57*Assumptions!$G$75</f>
        <v>-2349.65977095063</v>
      </c>
      <c r="AG66" s="70" t="n">
        <f aca="false">-AG57*Assumptions!$G$75</f>
        <v>-2558.17764654705</v>
      </c>
      <c r="AH66" s="70" t="n">
        <f aca="false">-AH57*Assumptions!$G$75</f>
        <v>-2780.65516313244</v>
      </c>
      <c r="AI66" s="70" t="n">
        <f aca="false">-AI57*Assumptions!$G$75</f>
        <v>-3018.60346722826</v>
      </c>
      <c r="AJ66" s="70" t="n">
        <f aca="false">-AJ57*Assumptions!$G$75</f>
        <v>-3273.6327381997</v>
      </c>
      <c r="AK66" s="70" t="n">
        <f aca="false">-AK57*Assumptions!$G$75</f>
        <v>-3547.46402830076</v>
      </c>
      <c r="AL66" s="70" t="n">
        <f aca="false">-AL57*Assumptions!$G$75</f>
        <v>-3841.9418321488</v>
      </c>
      <c r="AM66" s="70" t="n">
        <f aca="false">SUM(C66:AL66)</f>
        <v>-40847.6342127986</v>
      </c>
    </row>
    <row r="67" customFormat="false" ht="15" hidden="false" customHeight="false" outlineLevel="0" collapsed="false">
      <c r="A67" s="10" t="s">
        <v>788</v>
      </c>
      <c r="B67" s="9" t="s">
        <v>97</v>
      </c>
      <c r="C67" s="70" t="n">
        <f aca="false">-C57*Assumptions!$G$76</f>
        <v>-0</v>
      </c>
      <c r="D67" s="70" t="n">
        <f aca="false">-D57*Assumptions!$G$76</f>
        <v>-0</v>
      </c>
      <c r="E67" s="70" t="n">
        <f aca="false">-E57*Assumptions!$G$76</f>
        <v>-0</v>
      </c>
      <c r="F67" s="70" t="n">
        <f aca="false">-F57*Assumptions!$G$76</f>
        <v>-0</v>
      </c>
      <c r="G67" s="70" t="n">
        <f aca="false">-G57*Assumptions!$G$76</f>
        <v>-0</v>
      </c>
      <c r="H67" s="70" t="n">
        <f aca="false">-H57*Assumptions!$G$76</f>
        <v>-0</v>
      </c>
      <c r="I67" s="70" t="n">
        <f aca="false">-I57*Assumptions!$G$76</f>
        <v>-119.248978236919</v>
      </c>
      <c r="J67" s="70" t="n">
        <f aca="false">-J57*Assumptions!$G$76</f>
        <v>-237.310877502708</v>
      </c>
      <c r="K67" s="70" t="n">
        <f aca="false">-K57*Assumptions!$G$76</f>
        <v>-355.139725768698</v>
      </c>
      <c r="L67" s="70" t="n">
        <f aca="false">-L57*Assumptions!$G$76</f>
        <v>-473.681901984069</v>
      </c>
      <c r="M67" s="70" t="n">
        <f aca="false">-M57*Assumptions!$G$76</f>
        <v>-593.887794020995</v>
      </c>
      <c r="N67" s="70" t="n">
        <f aca="false">-N57*Assumptions!$G$76</f>
        <v>-716.723343924387</v>
      </c>
      <c r="O67" s="70" t="n">
        <f aca="false">-O57*Assumptions!$G$76</f>
        <v>-843.181602778431</v>
      </c>
      <c r="P67" s="70" t="n">
        <f aca="false">-P57*Assumptions!$G$76</f>
        <v>-974.294425649149</v>
      </c>
      <c r="Q67" s="70" t="n">
        <f aca="false">-Q57*Assumptions!$G$76</f>
        <v>-1111.14443672641</v>
      </c>
      <c r="R67" s="70" t="n">
        <f aca="false">-R57*Assumptions!$G$76</f>
        <v>-1254.87739507962</v>
      </c>
      <c r="S67" s="70" t="n">
        <f aca="false">-S57*Assumptions!$G$76</f>
        <v>-1406.71509302606</v>
      </c>
      <c r="T67" s="70" t="n">
        <f aca="false">-T57*Assumptions!$G$76</f>
        <v>-1567.96892200855</v>
      </c>
      <c r="U67" s="70" t="n">
        <f aca="false">-U57*Assumptions!$G$76</f>
        <v>-1744.39080642787</v>
      </c>
      <c r="V67" s="70" t="n">
        <f aca="false">-V57*Assumptions!$G$76</f>
        <v>-1940.46870817304</v>
      </c>
      <c r="W67" s="70" t="n">
        <f aca="false">-W57*Assumptions!$G$76</f>
        <v>-2158.80252006309</v>
      </c>
      <c r="X67" s="70" t="n">
        <f aca="false">-X57*Assumptions!$G$76</f>
        <v>-2401.77920005793</v>
      </c>
      <c r="Y67" s="70" t="n">
        <f aca="false">-Y57*Assumptions!$G$76</f>
        <v>-2671.97247846741</v>
      </c>
      <c r="Z67" s="70" t="n">
        <f aca="false">-Z57*Assumptions!$G$76</f>
        <v>-2972.22240454227</v>
      </c>
      <c r="AA67" s="70" t="n">
        <f aca="false">-AA57*Assumptions!$G$76</f>
        <v>-3305.6696554197</v>
      </c>
      <c r="AB67" s="70" t="n">
        <f aca="false">-AB57*Assumptions!$G$76</f>
        <v>-3662.60463350838</v>
      </c>
      <c r="AC67" s="70" t="n">
        <f aca="false">-AC57*Assumptions!$G$76</f>
        <v>-4036.51737419983</v>
      </c>
      <c r="AD67" s="70" t="n">
        <f aca="false">-AD57*Assumptions!$G$76</f>
        <v>-4429.99572931167</v>
      </c>
      <c r="AE67" s="70" t="n">
        <f aca="false">-AE57*Assumptions!$G$76</f>
        <v>-4845.77601727751</v>
      </c>
      <c r="AF67" s="70" t="n">
        <f aca="false">-AF57*Assumptions!$G$76</f>
        <v>-5286.73448463891</v>
      </c>
      <c r="AG67" s="70" t="n">
        <f aca="false">-AG57*Assumptions!$G$76</f>
        <v>-5755.89970473086</v>
      </c>
      <c r="AH67" s="70" t="n">
        <f aca="false">-AH57*Assumptions!$G$76</f>
        <v>-6256.47411704798</v>
      </c>
      <c r="AI67" s="70" t="n">
        <f aca="false">-AI57*Assumptions!$G$76</f>
        <v>-6791.85780126358</v>
      </c>
      <c r="AJ67" s="70" t="n">
        <f aca="false">-AJ57*Assumptions!$G$76</f>
        <v>-7365.67366094933</v>
      </c>
      <c r="AK67" s="70" t="n">
        <f aca="false">-AK57*Assumptions!$G$76</f>
        <v>-7981.7940636767</v>
      </c>
      <c r="AL67" s="70" t="n">
        <f aca="false">-AL57*Assumptions!$G$76</f>
        <v>-8644.36912233481</v>
      </c>
      <c r="AM67" s="70" t="n">
        <f aca="false">SUM(C67:AL67)</f>
        <v>-91907.1769787969</v>
      </c>
    </row>
    <row r="68" customFormat="false" ht="15" hidden="false" customHeight="false" outlineLevel="0" collapsed="false">
      <c r="A68" s="10" t="s">
        <v>789</v>
      </c>
      <c r="B68" s="9" t="s">
        <v>97</v>
      </c>
      <c r="C68" s="70" t="n">
        <f aca="false">-C57*Assumptions!$G$77</f>
        <v>-0</v>
      </c>
      <c r="D68" s="70" t="n">
        <f aca="false">-D57*Assumptions!$G$77</f>
        <v>-0</v>
      </c>
      <c r="E68" s="70" t="n">
        <f aca="false">-E57*Assumptions!$G$77</f>
        <v>-0</v>
      </c>
      <c r="F68" s="70" t="n">
        <f aca="false">-F57*Assumptions!$G$77</f>
        <v>-0</v>
      </c>
      <c r="G68" s="70" t="n">
        <f aca="false">-G57*Assumptions!$G$77</f>
        <v>-0</v>
      </c>
      <c r="H68" s="70" t="n">
        <f aca="false">-H57*Assumptions!$G$77</f>
        <v>-0</v>
      </c>
      <c r="I68" s="70" t="n">
        <f aca="false">-I57*Assumptions!$G$77</f>
        <v>-29.8122445592298</v>
      </c>
      <c r="J68" s="70" t="n">
        <f aca="false">-J57*Assumptions!$G$77</f>
        <v>-59.3277193756769</v>
      </c>
      <c r="K68" s="70" t="n">
        <f aca="false">-K57*Assumptions!$G$77</f>
        <v>-88.7849314421744</v>
      </c>
      <c r="L68" s="70" t="n">
        <f aca="false">-L57*Assumptions!$G$77</f>
        <v>-118.420475496017</v>
      </c>
      <c r="M68" s="70" t="n">
        <f aca="false">-M57*Assumptions!$G$77</f>
        <v>-148.471948505249</v>
      </c>
      <c r="N68" s="70" t="n">
        <f aca="false">-N57*Assumptions!$G$77</f>
        <v>-179.180835981097</v>
      </c>
      <c r="O68" s="70" t="n">
        <f aca="false">-O57*Assumptions!$G$77</f>
        <v>-210.795400694608</v>
      </c>
      <c r="P68" s="70" t="n">
        <f aca="false">-P57*Assumptions!$G$77</f>
        <v>-243.573606412287</v>
      </c>
      <c r="Q68" s="70" t="n">
        <f aca="false">-Q57*Assumptions!$G$77</f>
        <v>-277.786109181602</v>
      </c>
      <c r="R68" s="70" t="n">
        <f aca="false">-R57*Assumptions!$G$77</f>
        <v>-313.719348769905</v>
      </c>
      <c r="S68" s="70" t="n">
        <f aca="false">-S57*Assumptions!$G$77</f>
        <v>-351.678773256514</v>
      </c>
      <c r="T68" s="70" t="n">
        <f aca="false">-T57*Assumptions!$G$77</f>
        <v>-391.992230502137</v>
      </c>
      <c r="U68" s="70" t="n">
        <f aca="false">-U57*Assumptions!$G$77</f>
        <v>-436.097701606968</v>
      </c>
      <c r="V68" s="70" t="n">
        <f aca="false">-V57*Assumptions!$G$77</f>
        <v>-485.117177043261</v>
      </c>
      <c r="W68" s="70" t="n">
        <f aca="false">-W57*Assumptions!$G$77</f>
        <v>-539.700630015773</v>
      </c>
      <c r="X68" s="70" t="n">
        <f aca="false">-X57*Assumptions!$G$77</f>
        <v>-600.444800014482</v>
      </c>
      <c r="Y68" s="70" t="n">
        <f aca="false">-Y57*Assumptions!$G$77</f>
        <v>-667.993119616853</v>
      </c>
      <c r="Z68" s="70" t="n">
        <f aca="false">-Z57*Assumptions!$G$77</f>
        <v>-743.055601135569</v>
      </c>
      <c r="AA68" s="70" t="n">
        <f aca="false">-AA57*Assumptions!$G$77</f>
        <v>-826.417413854925</v>
      </c>
      <c r="AB68" s="70" t="n">
        <f aca="false">-AB57*Assumptions!$G$77</f>
        <v>-915.651158377096</v>
      </c>
      <c r="AC68" s="70" t="n">
        <f aca="false">-AC57*Assumptions!$G$77</f>
        <v>-1009.12934354996</v>
      </c>
      <c r="AD68" s="70" t="n">
        <f aca="false">-AD57*Assumptions!$G$77</f>
        <v>-1107.49893232792</v>
      </c>
      <c r="AE68" s="70" t="n">
        <f aca="false">-AE57*Assumptions!$G$77</f>
        <v>-1211.44400431938</v>
      </c>
      <c r="AF68" s="70" t="n">
        <f aca="false">-AF57*Assumptions!$G$77</f>
        <v>-1321.68362115973</v>
      </c>
      <c r="AG68" s="70" t="n">
        <f aca="false">-AG57*Assumptions!$G$77</f>
        <v>-1438.97492618272</v>
      </c>
      <c r="AH68" s="70" t="n">
        <f aca="false">-AH57*Assumptions!$G$77</f>
        <v>-1564.118529262</v>
      </c>
      <c r="AI68" s="70" t="n">
        <f aca="false">-AI57*Assumptions!$G$77</f>
        <v>-1697.9644503159</v>
      </c>
      <c r="AJ68" s="70" t="n">
        <f aca="false">-AJ57*Assumptions!$G$77</f>
        <v>-1841.41841523733</v>
      </c>
      <c r="AK68" s="70" t="n">
        <f aca="false">-AK57*Assumptions!$G$77</f>
        <v>-1995.44851591918</v>
      </c>
      <c r="AL68" s="70" t="n">
        <f aca="false">-AL57*Assumptions!$G$77</f>
        <v>-2161.0922805837</v>
      </c>
      <c r="AM68" s="70" t="n">
        <f aca="false">SUM(C68:AL68)</f>
        <v>-22976.7942446992</v>
      </c>
    </row>
    <row r="69" customFormat="false" ht="15" hidden="false" customHeight="false" outlineLevel="0" collapsed="false">
      <c r="A69" s="10" t="s">
        <v>790</v>
      </c>
      <c r="B69" s="9" t="s">
        <v>97</v>
      </c>
      <c r="C69" s="70" t="n">
        <f aca="false">-C63*Assumptions!$G$79</f>
        <v>-0</v>
      </c>
      <c r="D69" s="70" t="n">
        <f aca="false">-D63*Assumptions!$G$79</f>
        <v>-0</v>
      </c>
      <c r="E69" s="70" t="n">
        <f aca="false">-E63*Assumptions!$G$79</f>
        <v>-0</v>
      </c>
      <c r="F69" s="70" t="n">
        <f aca="false">-F63*Assumptions!$G$79</f>
        <v>-0</v>
      </c>
      <c r="G69" s="70" t="n">
        <f aca="false">-G63*Assumptions!$G$79</f>
        <v>-0</v>
      </c>
      <c r="H69" s="70" t="n">
        <f aca="false">-H63*Assumptions!$G$79</f>
        <v>-0</v>
      </c>
      <c r="I69" s="70" t="n">
        <f aca="false">-I63*Assumptions!$G$79</f>
        <v>-78.7770933788409</v>
      </c>
      <c r="J69" s="70" t="n">
        <f aca="false">-J63*Assumptions!$G$79</f>
        <v>-127.957539902081</v>
      </c>
      <c r="K69" s="70" t="n">
        <f aca="false">-K63*Assumptions!$G$79</f>
        <v>-177.270847719305</v>
      </c>
      <c r="L69" s="70" t="n">
        <f aca="false">-L63*Assumptions!$G$79</f>
        <v>-227.111696097219</v>
      </c>
      <c r="M69" s="70" t="n">
        <f aca="false">-M63*Assumptions!$G$79</f>
        <v>-277.879260763468</v>
      </c>
      <c r="N69" s="70" t="n">
        <f aca="false">-N63*Assumptions!$G$79</f>
        <v>-329.98202407154</v>
      </c>
      <c r="O69" s="70" t="n">
        <f aca="false">-O63*Assumptions!$G$79</f>
        <v>-383.84261874765</v>
      </c>
      <c r="P69" s="70" t="n">
        <f aca="false">-P63*Assumptions!$G$79</f>
        <v>-439.902761849679</v>
      </c>
      <c r="Q69" s="70" t="n">
        <f aca="false">-Q63*Assumptions!$G$79</f>
        <v>-498.628333378055</v>
      </c>
      <c r="R69" s="70" t="n">
        <f aca="false">-R63*Assumptions!$G$79</f>
        <v>-560.514654251633</v>
      </c>
      <c r="S69" s="70" t="n">
        <f aca="false">-S63*Assumptions!$G$79</f>
        <v>-626.092019338268</v>
      </c>
      <c r="T69" s="70" t="n">
        <f aca="false">-T63*Assumptions!$G$79</f>
        <v>-695.931542761242</v>
      </c>
      <c r="U69" s="70" t="n">
        <f aca="false">-U63*Assumptions!$G$79</f>
        <v>-773.516151510128</v>
      </c>
      <c r="V69" s="70" t="n">
        <f aca="false">-V63*Assumptions!$G$79</f>
        <v>-860.420882615199</v>
      </c>
      <c r="W69" s="70" t="n">
        <f aca="false">-W63*Assumptions!$G$79</f>
        <v>-957.278888840994</v>
      </c>
      <c r="X69" s="70" t="n">
        <f aca="false">-X63*Assumptions!$G$79</f>
        <v>-1065.03884353453</v>
      </c>
      <c r="Y69" s="70" t="n">
        <f aca="false">-Y63*Assumptions!$G$79</f>
        <v>-1184.82425221514</v>
      </c>
      <c r="Z69" s="70" t="n">
        <f aca="false">-Z63*Assumptions!$G$79</f>
        <v>-1317.88942624418</v>
      </c>
      <c r="AA69" s="70" t="n">
        <f aca="false">-AA63*Assumptions!$G$79</f>
        <v>-1465.62292794314</v>
      </c>
      <c r="AB69" s="70" t="n">
        <f aca="false">-AB63*Assumptions!$G$79</f>
        <v>-1620.85166037756</v>
      </c>
      <c r="AC69" s="70" t="n">
        <f aca="false">-AC63*Assumptions!$G$79</f>
        <v>-1781.62106767033</v>
      </c>
      <c r="AD69" s="70" t="n">
        <f aca="false">-AD63*Assumptions!$G$79</f>
        <v>-1951.2136221931</v>
      </c>
      <c r="AE69" s="70" t="n">
        <f aca="false">-AE63*Assumptions!$G$79</f>
        <v>-2130.81169768869</v>
      </c>
      <c r="AF69" s="70" t="n">
        <f aca="false">-AF63*Assumptions!$G$79</f>
        <v>-2321.6542339412</v>
      </c>
      <c r="AG69" s="70" t="n">
        <f aca="false">-AG63*Assumptions!$G$79</f>
        <v>-2525.04699051367</v>
      </c>
      <c r="AH69" s="70" t="n">
        <f aca="false">-AH63*Assumptions!$G$79</f>
        <v>-2742.37378015381</v>
      </c>
      <c r="AI69" s="70" t="n">
        <f aca="false">-AI63*Assumptions!$G$79</f>
        <v>-2975.1069699003</v>
      </c>
      <c r="AJ69" s="70" t="n">
        <f aca="false">-AJ63*Assumptions!$G$79</f>
        <v>-3224.8183735241</v>
      </c>
      <c r="AK69" s="70" t="n">
        <f aca="false">-AK63*Assumptions!$G$79</f>
        <v>-3493.19076546425</v>
      </c>
      <c r="AL69" s="70" t="n">
        <f aca="false">-AL63*Assumptions!$G$79</f>
        <v>-3782.03012708311</v>
      </c>
      <c r="AM69" s="70" t="n">
        <f aca="false">SUM(C69:AL69)</f>
        <v>-40597.2010536724</v>
      </c>
    </row>
    <row r="70" customFormat="false" ht="15" hidden="false" customHeight="false" outlineLevel="0" collapsed="false">
      <c r="A70" s="37" t="s">
        <v>791</v>
      </c>
      <c r="B70" s="9" t="s">
        <v>97</v>
      </c>
      <c r="C70" s="53" t="n">
        <f aca="false">C63+C64+C65+C66+C67+C68+C69</f>
        <v>0</v>
      </c>
      <c r="D70" s="53" t="n">
        <f aca="false">D63+D64+D65+D66+D67+D68+D69</f>
        <v>0</v>
      </c>
      <c r="E70" s="53" t="n">
        <f aca="false">E63+E64+E65+E66+E67+E68+E69</f>
        <v>0</v>
      </c>
      <c r="F70" s="53" t="n">
        <f aca="false">F63+F64+F65+F66+F67+F68+F69</f>
        <v>0</v>
      </c>
      <c r="G70" s="53" t="n">
        <f aca="false">G63+G64+G65+G66+G67+G68+G69</f>
        <v>0</v>
      </c>
      <c r="H70" s="53" t="n">
        <f aca="false">H63+H64+H65+H66+H67+H68+H69</f>
        <v>0</v>
      </c>
      <c r="I70" s="53" t="n">
        <f aca="false">I63+I64+I65+I66+I67+I68+I69</f>
        <v>1237.39907151206</v>
      </c>
      <c r="J70" s="53" t="n">
        <f aca="false">J63+J64+J65+J66+J67+J68+J69</f>
        <v>2045.30538370653</v>
      </c>
      <c r="K70" s="53" t="n">
        <f aca="false">K63+K64+K65+K66+K67+K68+K69</f>
        <v>2854.9462388757</v>
      </c>
      <c r="L70" s="53" t="n">
        <f aca="false">L63+L64+L65+L66+L67+L68+L69</f>
        <v>3672.80430804228</v>
      </c>
      <c r="M70" s="53" t="n">
        <f aca="false">M63+M64+M65+M66+M67+M68+M69</f>
        <v>4505.43062019632</v>
      </c>
      <c r="N70" s="53" t="n">
        <f aca="false">N63+N64+N65+N66+N67+N68+N69</f>
        <v>5359.52357914858</v>
      </c>
      <c r="O70" s="53" t="n">
        <f aca="false">O63+O64+O65+O66+O67+O68+O69</f>
        <v>6242.00847442203</v>
      </c>
      <c r="P70" s="53" t="n">
        <f aca="false">P63+P64+P65+P66+P67+P68+P69</f>
        <v>7160.11841201309</v>
      </c>
      <c r="Q70" s="53" t="n">
        <f aca="false">Q63+Q64+Q65+Q66+Q67+Q68+Q69</f>
        <v>8121.47755886988</v>
      </c>
      <c r="R70" s="53" t="n">
        <f aca="false">R63+R64+R65+R66+R67+R68+R69</f>
        <v>9134.1875991257</v>
      </c>
      <c r="S70" s="53" t="n">
        <f aca="false">S63+S64+S65+S66+S67+S68+S69</f>
        <v>10206.9183155536</v>
      </c>
      <c r="T70" s="53" t="n">
        <f aca="false">T63+T64+T65+T66+T67+T68+T69</f>
        <v>11349.0032342333</v>
      </c>
      <c r="U70" s="53" t="n">
        <f aca="false">U63+U64+U65+U66+U67+U68+U69</f>
        <v>12615.540070861</v>
      </c>
      <c r="V70" s="53" t="n">
        <f aca="false">V63+V64+V65+V66+V67+V68+V69</f>
        <v>14032.9763585844</v>
      </c>
      <c r="W70" s="53" t="n">
        <f aca="false">W63+W64+W65+W66+W67+W68+W69</f>
        <v>15612.589676995</v>
      </c>
      <c r="X70" s="53" t="n">
        <f aca="false">X63+X64+X65+X66+X67+X68+X69</f>
        <v>17370.0531960155</v>
      </c>
      <c r="Y70" s="53" t="n">
        <f aca="false">Y63+Y64+Y65+Y66+Y67+Y68+Y69</f>
        <v>19323.7230688426</v>
      </c>
      <c r="Z70" s="53" t="n">
        <f aca="false">Z63+Z64+Z65+Z66+Z67+Z68+Z69</f>
        <v>21494.0655386273</v>
      </c>
      <c r="AA70" s="53" t="n">
        <f aca="false">AA63+AA64+AA65+AA66+AA67+AA68+AA69</f>
        <v>23903.7346667316</v>
      </c>
      <c r="AB70" s="53" t="n">
        <f aca="false">AB63+AB64+AB65+AB66+AB67+AB68+AB69</f>
        <v>26440.9906382135</v>
      </c>
      <c r="AC70" s="53" t="n">
        <f aca="false">AC63+AC64+AC65+AC66+AC67+AC68+AC69</f>
        <v>29072.2497387552</v>
      </c>
      <c r="AD70" s="53" t="n">
        <f aca="false">AD63+AD64+AD65+AD66+AD67+AD68+AD69</f>
        <v>31847.1392226306</v>
      </c>
      <c r="AE70" s="53" t="n">
        <f aca="false">AE63+AE64+AE65+AE66+AE67+AE68+AE69</f>
        <v>34784.9995576792</v>
      </c>
      <c r="AF70" s="53" t="n">
        <f aca="false">AF63+AF64+AF65+AF66+AF67+AF68+AF69</f>
        <v>37906.1038013925</v>
      </c>
      <c r="AG70" s="53" t="n">
        <f aca="false">AG63+AG64+AG65+AG66+AG67+AG68+AG69</f>
        <v>41231.8161278332</v>
      </c>
      <c r="AH70" s="53" t="n">
        <f aca="false">AH63+AH64+AH65+AH66+AH67+AH68+AH69</f>
        <v>44784.7719580778</v>
      </c>
      <c r="AI70" s="53" t="n">
        <f aca="false">AI63+AI64+AI65+AI66+AI67+AI68+AI69</f>
        <v>48589.0493014404</v>
      </c>
      <c r="AJ70" s="53" t="n">
        <f aca="false">AJ63+AJ64+AJ65+AJ66+AJ67+AJ68+AJ69</f>
        <v>52670.3469069945</v>
      </c>
      <c r="AK70" s="53" t="n">
        <f aca="false">AK63+AK64+AK65+AK66+AK67+AK68+AK69</f>
        <v>57056.1725957587</v>
      </c>
      <c r="AL70" s="53" t="n">
        <f aca="false">AL63+AL64+AL65+AL66+AL67+AL68+AL69</f>
        <v>61776.0435281936</v>
      </c>
      <c r="AM70" s="53" t="n">
        <f aca="false">SUM(C70:AL70)</f>
        <v>662401.488749326</v>
      </c>
    </row>
    <row r="71" customFormat="false" ht="15" hidden="false" customHeight="false" outlineLevel="0" collapsed="false">
      <c r="A71" s="10" t="s">
        <v>792</v>
      </c>
      <c r="B71" s="9" t="s">
        <v>61</v>
      </c>
      <c r="C71" s="62" t="n">
        <f aca="false">IFERROR(C70/C63,0)</f>
        <v>0</v>
      </c>
      <c r="D71" s="62" t="n">
        <f aca="false">IFERROR(D70/D63,0)</f>
        <v>0</v>
      </c>
      <c r="E71" s="62" t="n">
        <f aca="false">IFERROR(E70/E63,0)</f>
        <v>0</v>
      </c>
      <c r="F71" s="62" t="n">
        <f aca="false">IFERROR(F70/F63,0)</f>
        <v>0</v>
      </c>
      <c r="G71" s="62" t="n">
        <f aca="false">IFERROR(G70/G63,0)</f>
        <v>0</v>
      </c>
      <c r="H71" s="62" t="n">
        <f aca="false">IFERROR(H70/H63,0)</f>
        <v>0</v>
      </c>
      <c r="I71" s="62" t="n">
        <f aca="false">IFERROR(I70/I63,0)</f>
        <v>0.45552039983603</v>
      </c>
      <c r="J71" s="62" t="n">
        <f aca="false">IFERROR(J70/J63,0)</f>
        <v>0.463543267343833</v>
      </c>
      <c r="K71" s="62" t="n">
        <f aca="false">IFERROR(K70/K63,0)</f>
        <v>0.467044875074398</v>
      </c>
      <c r="L71" s="62" t="n">
        <f aca="false">IFERROR(L70/L63,0)</f>
        <v>0.468982120972018</v>
      </c>
      <c r="M71" s="62" t="n">
        <f aca="false">IFERROR(M70/M63,0)</f>
        <v>0.470195176231269</v>
      </c>
      <c r="N71" s="62" t="n">
        <f aca="false">IFERROR(N70/N63,0)</f>
        <v>0.471014093063483</v>
      </c>
      <c r="O71" s="62" t="n">
        <f aca="false">IFERROR(O70/O63,0)</f>
        <v>0.471594963448407</v>
      </c>
      <c r="P71" s="62" t="n">
        <f aca="false">IFERROR(P70/P63,0)</f>
        <v>0.472021210040355</v>
      </c>
      <c r="Q71" s="62" t="n">
        <f aca="false">IFERROR(Q70/Q63,0)</f>
        <v>0.472341488522385</v>
      </c>
      <c r="R71" s="62" t="n">
        <f aca="false">IFERROR(R70/R63,0)</f>
        <v>0.47258611057781</v>
      </c>
      <c r="S71" s="62" t="n">
        <f aca="false">IFERROR(S70/S63,0)</f>
        <v>0.472774962798449</v>
      </c>
      <c r="T71" s="62" t="n">
        <f aca="false">IFERROR(T70/T63,0)</f>
        <v>0.472921650435493</v>
      </c>
      <c r="U71" s="62" t="n">
        <f aca="false">IFERROR(U70/U63,0)</f>
        <v>0.472970940995509</v>
      </c>
      <c r="V71" s="62" t="n">
        <f aca="false">IFERROR(V70/V63,0)</f>
        <v>0.472973544252004</v>
      </c>
      <c r="W71" s="62" t="n">
        <f aca="false">IFERROR(W70/W63,0)</f>
        <v>0.472970944946911</v>
      </c>
      <c r="X71" s="62" t="n">
        <f aca="false">IFERROR(X70/X63,0)</f>
        <v>0.472970113477477</v>
      </c>
      <c r="Y71" s="62" t="n">
        <f aca="false">IFERROR(Y70/Y63,0)</f>
        <v>0.472971386219297</v>
      </c>
      <c r="Z71" s="62" t="n">
        <f aca="false">IFERROR(Z70/Z63,0)</f>
        <v>0.472974354454455</v>
      </c>
      <c r="AA71" s="62" t="n">
        <f aca="false">IFERROR(AA70/AA63,0)</f>
        <v>0.472978616886176</v>
      </c>
      <c r="AB71" s="62" t="n">
        <f aca="false">IFERROR(AB70/AB63,0)</f>
        <v>0.473077670987841</v>
      </c>
      <c r="AC71" s="62" t="n">
        <f aca="false">IFERROR(AC70/AC63,0)</f>
        <v>0.473218047161029</v>
      </c>
      <c r="AD71" s="62" t="n">
        <f aca="false">IFERROR(AD70/AD63,0)</f>
        <v>0.473329535501206</v>
      </c>
      <c r="AE71" s="62" t="n">
        <f aca="false">IFERROR(AE70/AE63,0)</f>
        <v>0.473418175931225</v>
      </c>
      <c r="AF71" s="62" t="n">
        <f aca="false">IFERROR(AF70/AF63,0)</f>
        <v>0.473488684994349</v>
      </c>
      <c r="AG71" s="62" t="n">
        <f aca="false">IFERROR(AG70/AG63,0)</f>
        <v>0.473544719048541</v>
      </c>
      <c r="AH71" s="62" t="n">
        <f aca="false">IFERROR(AH70/AH63,0)</f>
        <v>0.473589120557962</v>
      </c>
      <c r="AI71" s="62" t="n">
        <f aca="false">IFERROR(AI70/AI63,0)</f>
        <v>0.473624123097997</v>
      </c>
      <c r="AJ71" s="62" t="n">
        <f aca="false">IFERROR(AJ70/AJ63,0)</f>
        <v>0.473651500141276</v>
      </c>
      <c r="AK71" s="62" t="n">
        <f aca="false">IFERROR(AK70/AK63,0)</f>
        <v>0.473672672456266</v>
      </c>
      <c r="AL71" s="62" t="n">
        <f aca="false">IFERROR(AL70/AL63,0)</f>
        <v>0.473688786741451</v>
      </c>
      <c r="AM71" s="62" t="n">
        <f aca="false">AVERAGE(N71:AL71)</f>
        <v>0.472974696669494</v>
      </c>
    </row>
    <row r="72" customFormat="false" ht="15" hidden="false" customHeight="false" outlineLevel="0" collapsed="false">
      <c r="A72" s="37" t="s">
        <v>793</v>
      </c>
      <c r="B72" s="9" t="s">
        <v>97</v>
      </c>
      <c r="C72" s="53" t="n">
        <f aca="false">C42+C63</f>
        <v>0</v>
      </c>
      <c r="D72" s="53" t="n">
        <f aca="false">D42+D63</f>
        <v>17491.8025433444</v>
      </c>
      <c r="E72" s="53" t="n">
        <f aca="false">E42+E63</f>
        <v>25592.0277204042</v>
      </c>
      <c r="F72" s="53" t="n">
        <f aca="false">F42+F63</f>
        <v>32132.6268468343</v>
      </c>
      <c r="G72" s="53" t="n">
        <f aca="false">G42+G63</f>
        <v>38353.1476229612</v>
      </c>
      <c r="H72" s="53" t="n">
        <f aca="false">H42+H63</f>
        <v>44304.9088849722</v>
      </c>
      <c r="I72" s="53" t="n">
        <f aca="false">I42+I63</f>
        <v>52739.3435036447</v>
      </c>
      <c r="J72" s="53" t="n">
        <f aca="false">J42+J63</f>
        <v>59952.3175124477</v>
      </c>
      <c r="K72" s="53" t="n">
        <f aca="false">K42+K63</f>
        <v>67000.9809195273</v>
      </c>
      <c r="L72" s="53" t="n">
        <f aca="false">L42+L63</f>
        <v>73930.303139183</v>
      </c>
      <c r="M72" s="53" t="n">
        <f aca="false">M42+M63</f>
        <v>80784.9674078739</v>
      </c>
      <c r="N72" s="53" t="n">
        <f aca="false">N42+N63</f>
        <v>87609.7249910611</v>
      </c>
      <c r="O72" s="53" t="n">
        <f aca="false">O42+O63</f>
        <v>94449.7510165556</v>
      </c>
      <c r="P72" s="53" t="n">
        <f aca="false">P42+P63</f>
        <v>101351.00538107</v>
      </c>
      <c r="Q72" s="53" t="n">
        <f aca="false">Q42+Q63</f>
        <v>108360.601818229</v>
      </c>
      <c r="R72" s="53" t="n">
        <f aca="false">R42+R63</f>
        <v>115527.188230411</v>
      </c>
      <c r="S72" s="53" t="n">
        <f aca="false">S42+S63</f>
        <v>122901.341451231</v>
      </c>
      <c r="T72" s="53" t="n">
        <f aca="false">T42+T63</f>
        <v>130535.979695651</v>
      </c>
      <c r="U72" s="53" t="n">
        <f aca="false">U42+U63</f>
        <v>139082.328318545</v>
      </c>
      <c r="V72" s="53" t="n">
        <f aca="false">V42+V63</f>
        <v>148620.769392144</v>
      </c>
      <c r="W72" s="53" t="n">
        <f aca="false">W42+W63</f>
        <v>159095.087138553</v>
      </c>
      <c r="X72" s="53" t="n">
        <f aca="false">X42+X63</f>
        <v>170565.418925453</v>
      </c>
      <c r="Y72" s="53" t="n">
        <f aca="false">Y42+Y63</f>
        <v>183120.082559258</v>
      </c>
      <c r="Z72" s="53" t="n">
        <f aca="false">Z42+Z63</f>
        <v>196858.177675835</v>
      </c>
      <c r="AA72" s="53" t="n">
        <f aca="false">AA42+AA63</f>
        <v>211888.326003229</v>
      </c>
      <c r="AB72" s="53" t="n">
        <f aca="false">AB42+AB63</f>
        <v>228028.957535434</v>
      </c>
      <c r="AC72" s="53" t="n">
        <f aca="false">AC42+AC63</f>
        <v>245260.746515782</v>
      </c>
      <c r="AD72" s="53" t="n">
        <f aca="false">AD42+AD63</f>
        <v>263753.297688391</v>
      </c>
      <c r="AE72" s="53" t="n">
        <f aca="false">AE42+AE63</f>
        <v>283621.88110822</v>
      </c>
      <c r="AF72" s="53" t="n">
        <f aca="false">AF42+AF63</f>
        <v>304989.06112735</v>
      </c>
      <c r="AG72" s="53" t="n">
        <f aca="false">AG42+AG63</f>
        <v>327986.792113146</v>
      </c>
      <c r="AH72" s="53" t="n">
        <f aca="false">AH42+AH63</f>
        <v>352757.740756543</v>
      </c>
      <c r="AI72" s="53" t="n">
        <f aca="false">AI42+AI63</f>
        <v>379456.301848151</v>
      </c>
      <c r="AJ72" s="53" t="n">
        <f aca="false">AJ42+AJ63</f>
        <v>408249.660166529</v>
      </c>
      <c r="AK72" s="53" t="n">
        <f aca="false">AK42+AK63</f>
        <v>439318.935890681</v>
      </c>
      <c r="AL72" s="53" t="n">
        <f aca="false">AL42+AL63</f>
        <v>472860.426505948</v>
      </c>
      <c r="AM72" s="53" t="n">
        <f aca="false">SUM(C72:AL72)</f>
        <v>6168532.00995459</v>
      </c>
    </row>
    <row r="73" customFormat="false" ht="15" hidden="false" customHeight="false" outlineLevel="0" collapsed="false">
      <c r="A73" s="37" t="s">
        <v>794</v>
      </c>
      <c r="B73" s="9" t="s">
        <v>97</v>
      </c>
      <c r="C73" s="53" t="n">
        <f aca="false">C46+C70</f>
        <v>0</v>
      </c>
      <c r="D73" s="53" t="n">
        <f aca="false">D46+D70</f>
        <v>10562.0941335299</v>
      </c>
      <c r="E73" s="53" t="n">
        <f aca="false">E46+E70</f>
        <v>15453.2619025972</v>
      </c>
      <c r="F73" s="53" t="n">
        <f aca="false">F46+F70</f>
        <v>19402.6789790736</v>
      </c>
      <c r="G73" s="53" t="n">
        <f aca="false">G46+G70</f>
        <v>23158.8227975408</v>
      </c>
      <c r="H73" s="53" t="n">
        <f aca="false">H46+H70</f>
        <v>26752.6812666085</v>
      </c>
      <c r="I73" s="53" t="n">
        <f aca="false">I46+I70</f>
        <v>31442.7762994331</v>
      </c>
      <c r="J73" s="53" t="n">
        <f aca="false">J46+J70</f>
        <v>35582.0770108666</v>
      </c>
      <c r="K73" s="53" t="n">
        <f aca="false">K46+K70</f>
        <v>39621.1300099333</v>
      </c>
      <c r="L73" s="53" t="n">
        <f aca="false">L46+L70</f>
        <v>43585.3539803485</v>
      </c>
      <c r="M73" s="53" t="n">
        <f aca="false">M46+M70</f>
        <v>47499.969536481</v>
      </c>
      <c r="N73" s="53" t="n">
        <f aca="false">N46+N70</f>
        <v>51390.1919652017</v>
      </c>
      <c r="O73" s="53" t="n">
        <f aca="false">O46+O70</f>
        <v>55281.4247446695</v>
      </c>
      <c r="P73" s="53" t="n">
        <f aca="false">P46+P70</f>
        <v>59199.4556679714</v>
      </c>
      <c r="Q73" s="53" t="n">
        <f aca="false">Q46+Q70</f>
        <v>63170.6571967114</v>
      </c>
      <c r="R73" s="53" t="n">
        <f aca="false">R46+R70</f>
        <v>67222.1926766821</v>
      </c>
      <c r="S73" s="53" t="n">
        <f aca="false">S46+S70</f>
        <v>71382.2300817288</v>
      </c>
      <c r="T73" s="53" t="n">
        <f aca="false">T46+T70</f>
        <v>75680.1649990422</v>
      </c>
      <c r="U73" s="53" t="n">
        <f aca="false">U46+U70</f>
        <v>80491.8045824177</v>
      </c>
      <c r="V73" s="53" t="n">
        <f aca="false">V46+V70</f>
        <v>85859.3385134499</v>
      </c>
      <c r="W73" s="53" t="n">
        <f aca="false">W46+W70</f>
        <v>91746.9161815695</v>
      </c>
      <c r="X73" s="53" t="n">
        <f aca="false">X46+X70</f>
        <v>98186.7705184917</v>
      </c>
      <c r="Y73" s="53" t="n">
        <f aca="false">Y46+Y70</f>
        <v>105227.193350331</v>
      </c>
      <c r="Z73" s="53" t="n">
        <f aca="false">Z46+Z70</f>
        <v>112922.37338889</v>
      </c>
      <c r="AA73" s="53" t="n">
        <f aca="false">AA46+AA70</f>
        <v>121331.641557959</v>
      </c>
      <c r="AB73" s="53" t="n">
        <f aca="false">AB46+AB70</f>
        <v>130382.976942919</v>
      </c>
      <c r="AC73" s="53" t="n">
        <f aca="false">AC46+AC70</f>
        <v>140071.823633316</v>
      </c>
      <c r="AD73" s="53" t="n">
        <f aca="false">AD46+AD70</f>
        <v>150481.874643145</v>
      </c>
      <c r="AE73" s="53" t="n">
        <f aca="false">AE46+AE70</f>
        <v>161677.454978568</v>
      </c>
      <c r="AF73" s="53" t="n">
        <f aca="false">AF46+AF70</f>
        <v>173727.048954129</v>
      </c>
      <c r="AG73" s="53" t="n">
        <f aca="false">AG46+AG70</f>
        <v>186704.510678568</v>
      </c>
      <c r="AH73" s="53" t="n">
        <f aca="false">AH46+AH70</f>
        <v>200689.808736813</v>
      </c>
      <c r="AI73" s="53" t="n">
        <f aca="false">AI46+AI70</f>
        <v>215769.592236864</v>
      </c>
      <c r="AJ73" s="53" t="n">
        <f aca="false">AJ46+AJ70</f>
        <v>232037.783362646</v>
      </c>
      <c r="AK73" s="53" t="n">
        <f aca="false">AK46+AK70</f>
        <v>249596.217601445</v>
      </c>
      <c r="AL73" s="53" t="n">
        <f aca="false">AL46+AL70</f>
        <v>268555.338924175</v>
      </c>
      <c r="AM73" s="53" t="n">
        <f aca="false">SUM(C73:AL73)</f>
        <v>3541847.63203412</v>
      </c>
    </row>
    <row r="74" customFormat="false" ht="15" hidden="false" customHeight="false" outlineLevel="0" collapsed="false">
      <c r="A74" s="37" t="s">
        <v>795</v>
      </c>
      <c r="B74" s="9" t="s">
        <v>61</v>
      </c>
      <c r="C74" s="52" t="n">
        <f aca="false">IFERROR(C73/C72,0)</f>
        <v>0</v>
      </c>
      <c r="D74" s="52" t="n">
        <f aca="false">IFERROR(D73/D72,0)</f>
        <v>0.603831086439334</v>
      </c>
      <c r="E74" s="52" t="n">
        <f aca="false">IFERROR(E73/E72,0)</f>
        <v>0.603831086439334</v>
      </c>
      <c r="F74" s="52" t="n">
        <f aca="false">IFERROR(F73/F72,0)</f>
        <v>0.603831086439334</v>
      </c>
      <c r="G74" s="52" t="n">
        <f aca="false">IFERROR(G73/G72,0)</f>
        <v>0.603831086439334</v>
      </c>
      <c r="H74" s="52" t="n">
        <f aca="false">IFERROR(H73/H72,0)</f>
        <v>0.603831086439334</v>
      </c>
      <c r="I74" s="52" t="n">
        <f aca="false">IFERROR(I73/I72,0)</f>
        <v>0.596192030666065</v>
      </c>
      <c r="J74" s="52" t="n">
        <f aca="false">IFERROR(J73/J72,0)</f>
        <v>0.593506281112132</v>
      </c>
      <c r="K74" s="52" t="n">
        <f aca="false">IFERROR(K73/K72,0)</f>
        <v>0.591351491667277</v>
      </c>
      <c r="L74" s="52" t="n">
        <f aca="false">IFERROR(L73/L72,0)</f>
        <v>0.589546534095682</v>
      </c>
      <c r="M74" s="52" t="n">
        <f aca="false">IFERROR(M73/M72,0)</f>
        <v>0.587980302036382</v>
      </c>
      <c r="N74" s="52" t="n">
        <f aca="false">IFERROR(N73/N72,0)</f>
        <v>0.586580907204594</v>
      </c>
      <c r="O74" s="52" t="n">
        <f aca="false">IFERROR(O73/O72,0)</f>
        <v>0.58529984621113</v>
      </c>
      <c r="P74" s="52" t="n">
        <f aca="false">IFERROR(P73/P72,0)</f>
        <v>0.58410328980346</v>
      </c>
      <c r="Q74" s="52" t="n">
        <f aca="false">IFERROR(Q73/Q72,0)</f>
        <v>0.582967020639828</v>
      </c>
      <c r="R74" s="52" t="n">
        <f aca="false">IFERROR(R73/R72,0)</f>
        <v>0.581873355582861</v>
      </c>
      <c r="S74" s="52" t="n">
        <f aca="false">IFERROR(S73/S72,0)</f>
        <v>0.5808092022336</v>
      </c>
      <c r="T74" s="52" t="n">
        <f aca="false">IFERROR(T73/T72,0)</f>
        <v>0.579764791098157</v>
      </c>
      <c r="U74" s="52" t="n">
        <f aca="false">IFERROR(U73/U72,0)</f>
        <v>0.578734951848552</v>
      </c>
      <c r="V74" s="52" t="n">
        <f aca="false">IFERROR(V73/V72,0)</f>
        <v>0.577707536198427</v>
      </c>
      <c r="W74" s="52" t="n">
        <f aca="false">IFERROR(W73/W72,0)</f>
        <v>0.57667975694101</v>
      </c>
      <c r="X74" s="52" t="n">
        <f aca="false">IFERROR(X73/X72,0)</f>
        <v>0.575654614734098</v>
      </c>
      <c r="Y74" s="52" t="n">
        <f aca="false">IFERROR(Y73/Y72,0)</f>
        <v>0.574634916496825</v>
      </c>
      <c r="Z74" s="52" t="n">
        <f aca="false">IFERROR(Z73/Z72,0)</f>
        <v>0.573622974275613</v>
      </c>
      <c r="AA74" s="52" t="n">
        <f aca="false">IFERROR(AA73/AA72,0)</f>
        <v>0.572620700000764</v>
      </c>
      <c r="AB74" s="52" t="n">
        <f aca="false">IFERROR(AB73/AB72,0)</f>
        <v>0.57178254179695</v>
      </c>
      <c r="AC74" s="52" t="n">
        <f aca="false">IFERROR(AC73/AC72,0)</f>
        <v>0.571113908863125</v>
      </c>
      <c r="AD74" s="52" t="n">
        <f aca="false">IFERROR(AD73/AD72,0)</f>
        <v>0.570540258499177</v>
      </c>
      <c r="AE74" s="52" t="n">
        <f aca="false">IFERROR(AE73/AE72,0)</f>
        <v>0.570045774842307</v>
      </c>
      <c r="AF74" s="52" t="n">
        <f aca="false">IFERROR(AF73/AF72,0)</f>
        <v>0.569617311230676</v>
      </c>
      <c r="AG74" s="52" t="n">
        <f aca="false">IFERROR(AG73/AG72,0)</f>
        <v>0.569243991429266</v>
      </c>
      <c r="AH74" s="52" t="n">
        <f aca="false">IFERROR(AH73/AH72,0)</f>
        <v>0.568916810461488</v>
      </c>
      <c r="AI74" s="52" t="n">
        <f aca="false">IFERROR(AI73/AI72,0)</f>
        <v>0.568628301034803</v>
      </c>
      <c r="AJ74" s="52" t="n">
        <f aca="false">IFERROR(AJ73/AJ72,0)</f>
        <v>0.568372263354722</v>
      </c>
      <c r="AK74" s="52" t="n">
        <f aca="false">IFERROR(AK73/AK72,0)</f>
        <v>0.568143544951938</v>
      </c>
      <c r="AL74" s="52" t="n">
        <f aca="false">IFERROR(AL73/AL72,0)</f>
        <v>0.567937860456159</v>
      </c>
      <c r="AM74" s="52" t="n">
        <f aca="false">AVERAGE(N74:AL74)</f>
        <v>0.575015857207581</v>
      </c>
    </row>
    <row r="75" customFormat="false" ht="15" hidden="false" customHeight="false" outlineLevel="0" collapsed="false">
      <c r="A75" s="10" t="s">
        <v>796</v>
      </c>
      <c r="B75" s="9" t="s">
        <v>97</v>
      </c>
      <c r="C75" s="70" t="n">
        <f aca="false">-Assumptions!$G$82</f>
        <v>-600</v>
      </c>
      <c r="D75" s="70" t="n">
        <f aca="false">-Assumptions!$G$82</f>
        <v>-600</v>
      </c>
      <c r="E75" s="70" t="n">
        <f aca="false">-Assumptions!$G$82</f>
        <v>-600</v>
      </c>
      <c r="F75" s="70" t="n">
        <f aca="false">-Assumptions!$G$82</f>
        <v>-600</v>
      </c>
      <c r="G75" s="70" t="n">
        <f aca="false">-Assumptions!$G$82</f>
        <v>-600</v>
      </c>
      <c r="H75" s="70" t="n">
        <f aca="false">-Assumptions!$G$82</f>
        <v>-600</v>
      </c>
      <c r="I75" s="70" t="n">
        <f aca="false">-Assumptions!$G$82</f>
        <v>-600</v>
      </c>
      <c r="J75" s="70" t="n">
        <f aca="false">-Assumptions!$G$82</f>
        <v>-600</v>
      </c>
      <c r="K75" s="70" t="n">
        <f aca="false">-Assumptions!$G$82</f>
        <v>-600</v>
      </c>
      <c r="L75" s="70" t="n">
        <f aca="false">-Assumptions!$G$82</f>
        <v>-600</v>
      </c>
      <c r="M75" s="70" t="n">
        <f aca="false">-Assumptions!$G$82</f>
        <v>-600</v>
      </c>
      <c r="N75" s="70" t="n">
        <f aca="false">-Assumptions!$G$82</f>
        <v>-600</v>
      </c>
      <c r="O75" s="70" t="n">
        <f aca="false">-Assumptions!$G$82</f>
        <v>-600</v>
      </c>
      <c r="P75" s="70" t="n">
        <f aca="false">-Assumptions!$G$82</f>
        <v>-600</v>
      </c>
      <c r="Q75" s="70" t="n">
        <f aca="false">-Assumptions!$G$82</f>
        <v>-600</v>
      </c>
      <c r="R75" s="70" t="n">
        <f aca="false">-Assumptions!$G$82</f>
        <v>-600</v>
      </c>
      <c r="S75" s="70" t="n">
        <f aca="false">-Assumptions!$G$82</f>
        <v>-600</v>
      </c>
      <c r="T75" s="70" t="n">
        <f aca="false">-Assumptions!$G$82</f>
        <v>-600</v>
      </c>
      <c r="U75" s="70" t="n">
        <f aca="false">-Assumptions!$G$82</f>
        <v>-600</v>
      </c>
      <c r="V75" s="70" t="n">
        <f aca="false">-Assumptions!$G$82</f>
        <v>-600</v>
      </c>
      <c r="W75" s="70" t="n">
        <f aca="false">-Assumptions!$G$82</f>
        <v>-600</v>
      </c>
      <c r="X75" s="70" t="n">
        <f aca="false">-Assumptions!$G$82</f>
        <v>-600</v>
      </c>
      <c r="Y75" s="70" t="n">
        <f aca="false">-Assumptions!$G$82</f>
        <v>-600</v>
      </c>
      <c r="Z75" s="70" t="n">
        <f aca="false">-Assumptions!$G$82</f>
        <v>-600</v>
      </c>
      <c r="AA75" s="70" t="n">
        <f aca="false">-Assumptions!$G$82</f>
        <v>-600</v>
      </c>
      <c r="AB75" s="70" t="n">
        <f aca="false">-Assumptions!$G$82</f>
        <v>-600</v>
      </c>
      <c r="AC75" s="70" t="n">
        <f aca="false">-Assumptions!$G$82</f>
        <v>-600</v>
      </c>
      <c r="AD75" s="70" t="n">
        <f aca="false">-Assumptions!$G$82</f>
        <v>-600</v>
      </c>
      <c r="AE75" s="70" t="n">
        <f aca="false">-Assumptions!$G$82</f>
        <v>-600</v>
      </c>
      <c r="AF75" s="70" t="n">
        <f aca="false">-Assumptions!$G$82</f>
        <v>-600</v>
      </c>
      <c r="AG75" s="70" t="n">
        <f aca="false">-Assumptions!$G$82</f>
        <v>-600</v>
      </c>
      <c r="AH75" s="70" t="n">
        <f aca="false">-Assumptions!$G$82</f>
        <v>-600</v>
      </c>
      <c r="AI75" s="70" t="n">
        <f aca="false">-Assumptions!$G$82</f>
        <v>-600</v>
      </c>
      <c r="AJ75" s="70" t="n">
        <f aca="false">-Assumptions!$G$82</f>
        <v>-600</v>
      </c>
      <c r="AK75" s="70" t="n">
        <f aca="false">-Assumptions!$G$82</f>
        <v>-600</v>
      </c>
      <c r="AL75" s="70" t="n">
        <f aca="false">-Assumptions!$G$82</f>
        <v>-600</v>
      </c>
      <c r="AM75" s="70" t="n">
        <f aca="false">SUM(C75:AL75)</f>
        <v>-21600</v>
      </c>
    </row>
    <row r="76" customFormat="false" ht="15" hidden="false" customHeight="false" outlineLevel="0" collapsed="false">
      <c r="A76" s="10" t="s">
        <v>797</v>
      </c>
      <c r="B76" s="9" t="s">
        <v>97</v>
      </c>
      <c r="C76" s="70" t="n">
        <f aca="false">-Assumptions!$G$83</f>
        <v>-280</v>
      </c>
      <c r="D76" s="70" t="n">
        <f aca="false">-Assumptions!$G$83</f>
        <v>-280</v>
      </c>
      <c r="E76" s="70" t="n">
        <f aca="false">-Assumptions!$G$83</f>
        <v>-280</v>
      </c>
      <c r="F76" s="70" t="n">
        <f aca="false">-Assumptions!$G$83</f>
        <v>-280</v>
      </c>
      <c r="G76" s="70" t="n">
        <f aca="false">-Assumptions!$G$83</f>
        <v>-280</v>
      </c>
      <c r="H76" s="70" t="n">
        <f aca="false">-Assumptions!$G$83</f>
        <v>-280</v>
      </c>
      <c r="I76" s="70" t="n">
        <f aca="false">-Assumptions!$G$83</f>
        <v>-280</v>
      </c>
      <c r="J76" s="70" t="n">
        <f aca="false">-Assumptions!$G$83</f>
        <v>-280</v>
      </c>
      <c r="K76" s="70" t="n">
        <f aca="false">-Assumptions!$G$83</f>
        <v>-280</v>
      </c>
      <c r="L76" s="70" t="n">
        <f aca="false">-Assumptions!$G$83</f>
        <v>-280</v>
      </c>
      <c r="M76" s="70" t="n">
        <f aca="false">-Assumptions!$G$83</f>
        <v>-280</v>
      </c>
      <c r="N76" s="70" t="n">
        <f aca="false">-Assumptions!$G$83</f>
        <v>-280</v>
      </c>
      <c r="O76" s="70" t="n">
        <f aca="false">-Assumptions!$G$83</f>
        <v>-280</v>
      </c>
      <c r="P76" s="70" t="n">
        <f aca="false">-Assumptions!$G$83</f>
        <v>-280</v>
      </c>
      <c r="Q76" s="70" t="n">
        <f aca="false">-Assumptions!$G$83</f>
        <v>-280</v>
      </c>
      <c r="R76" s="70" t="n">
        <f aca="false">-Assumptions!$G$83</f>
        <v>-280</v>
      </c>
      <c r="S76" s="70" t="n">
        <f aca="false">-Assumptions!$G$83</f>
        <v>-280</v>
      </c>
      <c r="T76" s="70" t="n">
        <f aca="false">-Assumptions!$G$83</f>
        <v>-280</v>
      </c>
      <c r="U76" s="70" t="n">
        <f aca="false">-Assumptions!$G$83</f>
        <v>-280</v>
      </c>
      <c r="V76" s="70" t="n">
        <f aca="false">-Assumptions!$G$83</f>
        <v>-280</v>
      </c>
      <c r="W76" s="70" t="n">
        <f aca="false">-Assumptions!$G$83</f>
        <v>-280</v>
      </c>
      <c r="X76" s="70" t="n">
        <f aca="false">-Assumptions!$G$83</f>
        <v>-280</v>
      </c>
      <c r="Y76" s="70" t="n">
        <f aca="false">-Assumptions!$G$83</f>
        <v>-280</v>
      </c>
      <c r="Z76" s="70" t="n">
        <f aca="false">-Assumptions!$G$83</f>
        <v>-280</v>
      </c>
      <c r="AA76" s="70" t="n">
        <f aca="false">-Assumptions!$G$83</f>
        <v>-280</v>
      </c>
      <c r="AB76" s="70" t="n">
        <f aca="false">-Assumptions!$G$83</f>
        <v>-280</v>
      </c>
      <c r="AC76" s="70" t="n">
        <f aca="false">-Assumptions!$G$83</f>
        <v>-280</v>
      </c>
      <c r="AD76" s="70" t="n">
        <f aca="false">-Assumptions!$G$83</f>
        <v>-280</v>
      </c>
      <c r="AE76" s="70" t="n">
        <f aca="false">-Assumptions!$G$83</f>
        <v>-280</v>
      </c>
      <c r="AF76" s="70" t="n">
        <f aca="false">-Assumptions!$G$83</f>
        <v>-280</v>
      </c>
      <c r="AG76" s="70" t="n">
        <f aca="false">-Assumptions!$G$83</f>
        <v>-280</v>
      </c>
      <c r="AH76" s="70" t="n">
        <f aca="false">-Assumptions!$G$83</f>
        <v>-280</v>
      </c>
      <c r="AI76" s="70" t="n">
        <f aca="false">-Assumptions!$G$83</f>
        <v>-280</v>
      </c>
      <c r="AJ76" s="70" t="n">
        <f aca="false">-Assumptions!$G$83</f>
        <v>-280</v>
      </c>
      <c r="AK76" s="70" t="n">
        <f aca="false">-Assumptions!$G$83</f>
        <v>-280</v>
      </c>
      <c r="AL76" s="70" t="n">
        <f aca="false">-Assumptions!$G$83</f>
        <v>-280</v>
      </c>
      <c r="AM76" s="70" t="n">
        <f aca="false">SUM(C76:AL76)</f>
        <v>-10080</v>
      </c>
    </row>
    <row r="77" customFormat="false" ht="15" hidden="false" customHeight="false" outlineLevel="0" collapsed="false">
      <c r="A77" s="10" t="s">
        <v>798</v>
      </c>
      <c r="B77" s="9" t="s">
        <v>97</v>
      </c>
      <c r="C77" s="70" t="n">
        <f aca="false">-MAX(IF(C8=0,Assumptions!$G$84,IF(C$5&lt;=12,Assumptions!$G$85,IF(C$5&lt;=24,Assumptions!$G$86,Assumptions!$G$87))))</f>
        <v>-6000</v>
      </c>
      <c r="D77" s="70" t="n">
        <f aca="false">-MAX(IF(D8=0,Assumptions!$G$84,IF(D$5&lt;=12,Assumptions!$G$85,IF(D$5&lt;=24,Assumptions!$G$86,Assumptions!$G$87))),C72*Assumptions!$G$88)</f>
        <v>-16000</v>
      </c>
      <c r="E77" s="70" t="n">
        <f aca="false">-MAX(IF(E8=0,Assumptions!$G$84,IF(E$5&lt;=12,Assumptions!$G$85,IF(E$5&lt;=24,Assumptions!$G$86,Assumptions!$G$87))),D72*Assumptions!$G$88)</f>
        <v>-16000</v>
      </c>
      <c r="F77" s="70" t="n">
        <f aca="false">-MAX(IF(F8=0,Assumptions!$G$84,IF(F$5&lt;=12,Assumptions!$G$85,IF(F$5&lt;=24,Assumptions!$G$86,Assumptions!$G$87))),E72*Assumptions!$G$88)</f>
        <v>-16000</v>
      </c>
      <c r="G77" s="70" t="n">
        <f aca="false">-MAX(IF(G8=0,Assumptions!$G$84,IF(G$5&lt;=12,Assumptions!$G$85,IF(G$5&lt;=24,Assumptions!$G$86,Assumptions!$G$87))),F72*Assumptions!$G$88)</f>
        <v>-16000</v>
      </c>
      <c r="H77" s="70" t="n">
        <f aca="false">-MAX(IF(H8=0,Assumptions!$G$84,IF(H$5&lt;=12,Assumptions!$G$85,IF(H$5&lt;=24,Assumptions!$G$86,Assumptions!$G$87))),G72*Assumptions!$G$88)</f>
        <v>-16000</v>
      </c>
      <c r="I77" s="70" t="n">
        <f aca="false">-MAX(IF(I8=0,Assumptions!$G$84,IF(I$5&lt;=12,Assumptions!$G$85,IF(I$5&lt;=24,Assumptions!$G$86,Assumptions!$G$87))),H72*Assumptions!$G$88)</f>
        <v>-16000</v>
      </c>
      <c r="J77" s="70" t="n">
        <f aca="false">-MAX(IF(J8=0,Assumptions!$G$84,IF(J$5&lt;=12,Assumptions!$G$85,IF(J$5&lt;=24,Assumptions!$G$86,Assumptions!$G$87))),I72*Assumptions!$G$88)</f>
        <v>-16000</v>
      </c>
      <c r="K77" s="70" t="n">
        <f aca="false">-MAX(IF(K8=0,Assumptions!$G$84,IF(K$5&lt;=12,Assumptions!$G$85,IF(K$5&lt;=24,Assumptions!$G$86,Assumptions!$G$87))),J72*Assumptions!$G$88)</f>
        <v>-16000</v>
      </c>
      <c r="L77" s="70" t="n">
        <f aca="false">-MAX(IF(L8=0,Assumptions!$G$84,IF(L$5&lt;=12,Assumptions!$G$85,IF(L$5&lt;=24,Assumptions!$G$86,Assumptions!$G$87))),K72*Assumptions!$G$88)</f>
        <v>-16000</v>
      </c>
      <c r="M77" s="70" t="n">
        <f aca="false">-MAX(IF(M8=0,Assumptions!$G$84,IF(M$5&lt;=12,Assumptions!$G$85,IF(M$5&lt;=24,Assumptions!$G$86,Assumptions!$G$87))),L72*Assumptions!$G$88)</f>
        <v>-16000</v>
      </c>
      <c r="N77" s="70" t="n">
        <f aca="false">-MAX(IF(N8=0,Assumptions!$G$84,IF(N$5&lt;=12,Assumptions!$G$85,IF(N$5&lt;=24,Assumptions!$G$86,Assumptions!$G$87))),M72*Assumptions!$G$88)</f>
        <v>-16000</v>
      </c>
      <c r="O77" s="70" t="n">
        <f aca="false">-MAX(IF(O8=0,Assumptions!$G$84,IF(O$5&lt;=12,Assumptions!$G$85,IF(O$5&lt;=24,Assumptions!$G$86,Assumptions!$G$87))),N72*Assumptions!$G$88)</f>
        <v>-34000</v>
      </c>
      <c r="P77" s="70" t="n">
        <f aca="false">-MAX(IF(P8=0,Assumptions!$G$84,IF(P$5&lt;=12,Assumptions!$G$85,IF(P$5&lt;=24,Assumptions!$G$86,Assumptions!$G$87))),O72*Assumptions!$G$88)</f>
        <v>-34000</v>
      </c>
      <c r="Q77" s="70" t="n">
        <f aca="false">-MAX(IF(Q8=0,Assumptions!$G$84,IF(Q$5&lt;=12,Assumptions!$G$85,IF(Q$5&lt;=24,Assumptions!$G$86,Assumptions!$G$87))),P72*Assumptions!$G$88)</f>
        <v>-34000</v>
      </c>
      <c r="R77" s="70" t="n">
        <f aca="false">-MAX(IF(R8=0,Assumptions!$G$84,IF(R$5&lt;=12,Assumptions!$G$85,IF(R$5&lt;=24,Assumptions!$G$86,Assumptions!$G$87))),Q72*Assumptions!$G$88)</f>
        <v>-34000</v>
      </c>
      <c r="S77" s="70" t="n">
        <f aca="false">-MAX(IF(S8=0,Assumptions!$G$84,IF(S$5&lt;=12,Assumptions!$G$85,IF(S$5&lt;=24,Assumptions!$G$86,Assumptions!$G$87))),R72*Assumptions!$G$88)</f>
        <v>-34000</v>
      </c>
      <c r="T77" s="70" t="n">
        <f aca="false">-MAX(IF(T8=0,Assumptions!$G$84,IF(T$5&lt;=12,Assumptions!$G$85,IF(T$5&lt;=24,Assumptions!$G$86,Assumptions!$G$87))),S72*Assumptions!$G$88)</f>
        <v>-34000</v>
      </c>
      <c r="U77" s="70" t="n">
        <f aca="false">-MAX(IF(U8=0,Assumptions!$G$84,IF(U$5&lt;=12,Assumptions!$G$85,IF(U$5&lt;=24,Assumptions!$G$86,Assumptions!$G$87))),T72*Assumptions!$G$88)</f>
        <v>-34000</v>
      </c>
      <c r="V77" s="70" t="n">
        <f aca="false">-MAX(IF(V8=0,Assumptions!$G$84,IF(V$5&lt;=12,Assumptions!$G$85,IF(V$5&lt;=24,Assumptions!$G$86,Assumptions!$G$87))),U72*Assumptions!$G$88)</f>
        <v>-34000</v>
      </c>
      <c r="W77" s="70" t="n">
        <f aca="false">-MAX(IF(W8=0,Assumptions!$G$84,IF(W$5&lt;=12,Assumptions!$G$85,IF(W$5&lt;=24,Assumptions!$G$86,Assumptions!$G$87))),V72*Assumptions!$G$88)</f>
        <v>-34000</v>
      </c>
      <c r="X77" s="70" t="n">
        <f aca="false">-MAX(IF(X8=0,Assumptions!$G$84,IF(X$5&lt;=12,Assumptions!$G$85,IF(X$5&lt;=24,Assumptions!$G$86,Assumptions!$G$87))),W72*Assumptions!$G$88)</f>
        <v>-34000</v>
      </c>
      <c r="Y77" s="70" t="n">
        <f aca="false">-MAX(IF(Y8=0,Assumptions!$G$84,IF(Y$5&lt;=12,Assumptions!$G$85,IF(Y$5&lt;=24,Assumptions!$G$86,Assumptions!$G$87))),X72*Assumptions!$G$88)</f>
        <v>-34000</v>
      </c>
      <c r="Z77" s="70" t="n">
        <f aca="false">-MAX(IF(Z8=0,Assumptions!$G$84,IF(Z$5&lt;=12,Assumptions!$G$85,IF(Z$5&lt;=24,Assumptions!$G$86,Assumptions!$G$87))),Y72*Assumptions!$G$88)</f>
        <v>-34000</v>
      </c>
      <c r="AA77" s="70" t="n">
        <f aca="false">-MAX(IF(AA8=0,Assumptions!$G$84,IF(AA$5&lt;=12,Assumptions!$G$85,IF(AA$5&lt;=24,Assumptions!$G$86,Assumptions!$G$87))),Z72*Assumptions!$G$88)</f>
        <v>-55000</v>
      </c>
      <c r="AB77" s="70" t="n">
        <f aca="false">-MAX(IF(AB8=0,Assumptions!$G$84,IF(AB$5&lt;=12,Assumptions!$G$85,IF(AB$5&lt;=24,Assumptions!$G$86,Assumptions!$G$87))),AA72*Assumptions!$G$88)</f>
        <v>-55000</v>
      </c>
      <c r="AC77" s="70" t="n">
        <f aca="false">-MAX(IF(AC8=0,Assumptions!$G$84,IF(AC$5&lt;=12,Assumptions!$G$85,IF(AC$5&lt;=24,Assumptions!$G$86,Assumptions!$G$87))),AB72*Assumptions!$G$88)</f>
        <v>-55000</v>
      </c>
      <c r="AD77" s="70" t="n">
        <f aca="false">-MAX(IF(AD8=0,Assumptions!$G$84,IF(AD$5&lt;=12,Assumptions!$G$85,IF(AD$5&lt;=24,Assumptions!$G$86,Assumptions!$G$87))),AC72*Assumptions!$G$88)</f>
        <v>-55000</v>
      </c>
      <c r="AE77" s="70" t="n">
        <f aca="false">-MAX(IF(AE8=0,Assumptions!$G$84,IF(AE$5&lt;=12,Assumptions!$G$85,IF(AE$5&lt;=24,Assumptions!$G$86,Assumptions!$G$87))),AD72*Assumptions!$G$88)</f>
        <v>-55000</v>
      </c>
      <c r="AF77" s="70" t="n">
        <f aca="false">-MAX(IF(AF8=0,Assumptions!$G$84,IF(AF$5&lt;=12,Assumptions!$G$85,IF(AF$5&lt;=24,Assumptions!$G$86,Assumptions!$G$87))),AE72*Assumptions!$G$88)</f>
        <v>-55000</v>
      </c>
      <c r="AG77" s="70" t="n">
        <f aca="false">-MAX(IF(AG8=0,Assumptions!$G$84,IF(AG$5&lt;=12,Assumptions!$G$85,IF(AG$5&lt;=24,Assumptions!$G$86,Assumptions!$G$87))),AF72*Assumptions!$G$88)</f>
        <v>-55000</v>
      </c>
      <c r="AH77" s="70" t="n">
        <f aca="false">-MAX(IF(AH8=0,Assumptions!$G$84,IF(AH$5&lt;=12,Assumptions!$G$85,IF(AH$5&lt;=24,Assumptions!$G$86,Assumptions!$G$87))),AG72*Assumptions!$G$88)</f>
        <v>-55000</v>
      </c>
      <c r="AI77" s="70" t="n">
        <f aca="false">-MAX(IF(AI8=0,Assumptions!$G$84,IF(AI$5&lt;=12,Assumptions!$G$85,IF(AI$5&lt;=24,Assumptions!$G$86,Assumptions!$G$87))),AH72*Assumptions!$G$88)</f>
        <v>-55000</v>
      </c>
      <c r="AJ77" s="70" t="n">
        <f aca="false">-MAX(IF(AJ8=0,Assumptions!$G$84,IF(AJ$5&lt;=12,Assumptions!$G$85,IF(AJ$5&lt;=24,Assumptions!$G$86,Assumptions!$G$87))),AI72*Assumptions!$G$88)</f>
        <v>-55000</v>
      </c>
      <c r="AK77" s="70" t="n">
        <f aca="false">-MAX(IF(AK8=0,Assumptions!$G$84,IF(AK$5&lt;=12,Assumptions!$G$85,IF(AK$5&lt;=24,Assumptions!$G$86,Assumptions!$G$87))),AJ72*Assumptions!$G$88)</f>
        <v>-55000</v>
      </c>
      <c r="AL77" s="70" t="n">
        <f aca="false">-MAX(IF(AL8=0,Assumptions!$G$84,IF(AL$5&lt;=12,Assumptions!$G$85,IF(AL$5&lt;=24,Assumptions!$G$86,Assumptions!$G$87))),AK72*Assumptions!$G$88)</f>
        <v>-55000</v>
      </c>
      <c r="AM77" s="70" t="n">
        <f aca="false">SUM(C77:AL77)</f>
        <v>-1250000</v>
      </c>
    </row>
    <row r="78" customFormat="false" ht="15" hidden="false" customHeight="false" outlineLevel="0" collapsed="false">
      <c r="A78" s="10" t="s">
        <v>799</v>
      </c>
      <c r="B78" s="9" t="s">
        <v>97</v>
      </c>
      <c r="C78" s="70" t="n">
        <f aca="false">-IF(C$5&gt;=Assumptions!$G$7-2,Assumptions!$G$91,0)</f>
        <v>-0</v>
      </c>
      <c r="D78" s="70" t="n">
        <f aca="false">-IF(D$5&gt;=Assumptions!$G$7-2,Assumptions!$G$91,0)</f>
        <v>-0</v>
      </c>
      <c r="E78" s="70" t="n">
        <f aca="false">-IF(E$5&gt;=Assumptions!$G$7-2,Assumptions!$G$91,0)</f>
        <v>-0</v>
      </c>
      <c r="F78" s="70" t="n">
        <f aca="false">-IF(F$5&gt;=Assumptions!$G$7-2,Assumptions!$G$91,0)</f>
        <v>-0</v>
      </c>
      <c r="G78" s="70" t="n">
        <f aca="false">-IF(G$5&gt;=Assumptions!$G$7-2,Assumptions!$G$91,0)</f>
        <v>-9000</v>
      </c>
      <c r="H78" s="70" t="n">
        <f aca="false">-IF(H$5&gt;=Assumptions!$G$7-2,Assumptions!$G$91,0)</f>
        <v>-9000</v>
      </c>
      <c r="I78" s="70" t="n">
        <f aca="false">-IF(I$5&gt;=Assumptions!$G$7-2,Assumptions!$G$91,0)</f>
        <v>-9000</v>
      </c>
      <c r="J78" s="70" t="n">
        <f aca="false">-IF(J$5&gt;=Assumptions!$G$7-2,Assumptions!$G$91,0)</f>
        <v>-9000</v>
      </c>
      <c r="K78" s="70" t="n">
        <f aca="false">-IF(K$5&gt;=Assumptions!$G$7-2,Assumptions!$G$91,0)</f>
        <v>-9000</v>
      </c>
      <c r="L78" s="70" t="n">
        <f aca="false">-IF(L$5&gt;=Assumptions!$G$7-2,Assumptions!$G$91,0)</f>
        <v>-9000</v>
      </c>
      <c r="M78" s="70" t="n">
        <f aca="false">-IF(M$5&gt;=Assumptions!$G$7-2,Assumptions!$G$91,0)</f>
        <v>-9000</v>
      </c>
      <c r="N78" s="70" t="n">
        <f aca="false">-IF(N$5&gt;=Assumptions!$G$7-2,Assumptions!$G$91,0)</f>
        <v>-9000</v>
      </c>
      <c r="O78" s="70" t="n">
        <f aca="false">-IF(O$5&gt;=Assumptions!$G$7-2,Assumptions!$G$91,0)</f>
        <v>-9000</v>
      </c>
      <c r="P78" s="70" t="n">
        <f aca="false">-IF(P$5&gt;=Assumptions!$G$7-2,Assumptions!$G$91,0)</f>
        <v>-9000</v>
      </c>
      <c r="Q78" s="70" t="n">
        <f aca="false">-IF(Q$5&gt;=Assumptions!$G$7-2,Assumptions!$G$91,0)</f>
        <v>-9000</v>
      </c>
      <c r="R78" s="70" t="n">
        <f aca="false">-IF(R$5&gt;=Assumptions!$G$7-2,Assumptions!$G$91,0)</f>
        <v>-9000</v>
      </c>
      <c r="S78" s="70" t="n">
        <f aca="false">-IF(S$5&gt;=Assumptions!$G$7-2,Assumptions!$G$91,0)</f>
        <v>-9000</v>
      </c>
      <c r="T78" s="70" t="n">
        <f aca="false">-IF(T$5&gt;=Assumptions!$G$7-2,Assumptions!$G$91,0)</f>
        <v>-9000</v>
      </c>
      <c r="U78" s="70" t="n">
        <f aca="false">-IF(U$5&gt;=Assumptions!$G$7-2,Assumptions!$G$91,0)</f>
        <v>-9000</v>
      </c>
      <c r="V78" s="70" t="n">
        <f aca="false">-IF(V$5&gt;=Assumptions!$G$7-2,Assumptions!$G$91,0)</f>
        <v>-9000</v>
      </c>
      <c r="W78" s="70" t="n">
        <f aca="false">-IF(W$5&gt;=Assumptions!$G$7-2,Assumptions!$G$91,0)</f>
        <v>-9000</v>
      </c>
      <c r="X78" s="70" t="n">
        <f aca="false">-IF(X$5&gt;=Assumptions!$G$7-2,Assumptions!$G$91,0)</f>
        <v>-9000</v>
      </c>
      <c r="Y78" s="70" t="n">
        <f aca="false">-IF(Y$5&gt;=Assumptions!$G$7-2,Assumptions!$G$91,0)</f>
        <v>-9000</v>
      </c>
      <c r="Z78" s="70" t="n">
        <f aca="false">-IF(Z$5&gt;=Assumptions!$G$7-2,Assumptions!$G$91,0)</f>
        <v>-9000</v>
      </c>
      <c r="AA78" s="70" t="n">
        <f aca="false">-IF(AA$5&gt;=Assumptions!$G$7-2,Assumptions!$G$91,0)</f>
        <v>-9000</v>
      </c>
      <c r="AB78" s="70" t="n">
        <f aca="false">-IF(AB$5&gt;=Assumptions!$G$7-2,Assumptions!$G$91,0)</f>
        <v>-9000</v>
      </c>
      <c r="AC78" s="70" t="n">
        <f aca="false">-IF(AC$5&gt;=Assumptions!$G$7-2,Assumptions!$G$91,0)</f>
        <v>-9000</v>
      </c>
      <c r="AD78" s="70" t="n">
        <f aca="false">-IF(AD$5&gt;=Assumptions!$G$7-2,Assumptions!$G$91,0)</f>
        <v>-9000</v>
      </c>
      <c r="AE78" s="70" t="n">
        <f aca="false">-IF(AE$5&gt;=Assumptions!$G$7-2,Assumptions!$G$91,0)</f>
        <v>-9000</v>
      </c>
      <c r="AF78" s="70" t="n">
        <f aca="false">-IF(AF$5&gt;=Assumptions!$G$7-2,Assumptions!$G$91,0)</f>
        <v>-9000</v>
      </c>
      <c r="AG78" s="70" t="n">
        <f aca="false">-IF(AG$5&gt;=Assumptions!$G$7-2,Assumptions!$G$91,0)</f>
        <v>-9000</v>
      </c>
      <c r="AH78" s="70" t="n">
        <f aca="false">-IF(AH$5&gt;=Assumptions!$G$7-2,Assumptions!$G$91,0)</f>
        <v>-9000</v>
      </c>
      <c r="AI78" s="70" t="n">
        <f aca="false">-IF(AI$5&gt;=Assumptions!$G$7-2,Assumptions!$G$91,0)</f>
        <v>-9000</v>
      </c>
      <c r="AJ78" s="70" t="n">
        <f aca="false">-IF(AJ$5&gt;=Assumptions!$G$7-2,Assumptions!$G$91,0)</f>
        <v>-9000</v>
      </c>
      <c r="AK78" s="70" t="n">
        <f aca="false">-IF(AK$5&gt;=Assumptions!$G$7-2,Assumptions!$G$91,0)</f>
        <v>-9000</v>
      </c>
      <c r="AL78" s="70" t="n">
        <f aca="false">-IF(AL$5&gt;=Assumptions!$G$7-2,Assumptions!$G$91,0)</f>
        <v>-9000</v>
      </c>
      <c r="AM78" s="70" t="n">
        <f aca="false">SUM(C78:AL78)</f>
        <v>-288000</v>
      </c>
    </row>
    <row r="79" customFormat="false" ht="15" hidden="false" customHeight="false" outlineLevel="0" collapsed="false">
      <c r="A79" s="10" t="s">
        <v>800</v>
      </c>
      <c r="B79" s="9" t="s">
        <v>97</v>
      </c>
      <c r="C79" s="70" t="n">
        <f aca="false">-Assumptions!$G$92</f>
        <v>-1200</v>
      </c>
      <c r="D79" s="70" t="n">
        <f aca="false">-MAX(Assumptions!$G$92,C72*Assumptions!$G$90)</f>
        <v>-1200</v>
      </c>
      <c r="E79" s="70" t="n">
        <f aca="false">-MAX(Assumptions!$G$92,D72*Assumptions!$G$90)</f>
        <v>-1200</v>
      </c>
      <c r="F79" s="70" t="n">
        <f aca="false">-MAX(Assumptions!$G$92,E72*Assumptions!$G$90)</f>
        <v>-1200</v>
      </c>
      <c r="G79" s="70" t="n">
        <f aca="false">-MAX(Assumptions!$G$92,F72*Assumptions!$G$90)</f>
        <v>-1200</v>
      </c>
      <c r="H79" s="70" t="n">
        <f aca="false">-MAX(Assumptions!$G$92,G72*Assumptions!$G$90)</f>
        <v>-1200</v>
      </c>
      <c r="I79" s="70" t="n">
        <f aca="false">-MAX(Assumptions!$G$92,H72*Assumptions!$G$90)</f>
        <v>-1200</v>
      </c>
      <c r="J79" s="70" t="n">
        <f aca="false">-MAX(Assumptions!$G$92,I72*Assumptions!$G$90)</f>
        <v>-1200</v>
      </c>
      <c r="K79" s="70" t="n">
        <f aca="false">-MAX(Assumptions!$G$92,J72*Assumptions!$G$90)</f>
        <v>-1200</v>
      </c>
      <c r="L79" s="70" t="n">
        <f aca="false">-MAX(Assumptions!$G$92,K72*Assumptions!$G$90)</f>
        <v>-1200</v>
      </c>
      <c r="M79" s="70" t="n">
        <f aca="false">-MAX(Assumptions!$G$92,L72*Assumptions!$G$90)</f>
        <v>-1200</v>
      </c>
      <c r="N79" s="70" t="n">
        <f aca="false">-MAX(Assumptions!$G$92,M72*Assumptions!$G$90)</f>
        <v>-1200</v>
      </c>
      <c r="O79" s="70" t="n">
        <f aca="false">-MAX(Assumptions!$G$92,N72*Assumptions!$G$90)</f>
        <v>-1200</v>
      </c>
      <c r="P79" s="70" t="n">
        <f aca="false">-MAX(Assumptions!$G$92,O72*Assumptions!$G$90)</f>
        <v>-1200</v>
      </c>
      <c r="Q79" s="70" t="n">
        <f aca="false">-MAX(Assumptions!$G$92,P72*Assumptions!$G$90)</f>
        <v>-1200</v>
      </c>
      <c r="R79" s="70" t="n">
        <f aca="false">-MAX(Assumptions!$G$92,Q72*Assumptions!$G$90)</f>
        <v>-1200</v>
      </c>
      <c r="S79" s="70" t="n">
        <f aca="false">-MAX(Assumptions!$G$92,R72*Assumptions!$G$90)</f>
        <v>-1200</v>
      </c>
      <c r="T79" s="70" t="n">
        <f aca="false">-MAX(Assumptions!$G$92,S72*Assumptions!$G$90)</f>
        <v>-1200</v>
      </c>
      <c r="U79" s="70" t="n">
        <f aca="false">-MAX(Assumptions!$G$92,T72*Assumptions!$G$90)</f>
        <v>-1200</v>
      </c>
      <c r="V79" s="70" t="n">
        <f aca="false">-MAX(Assumptions!$G$92,U72*Assumptions!$G$90)</f>
        <v>-1200</v>
      </c>
      <c r="W79" s="70" t="n">
        <f aca="false">-MAX(Assumptions!$G$92,V72*Assumptions!$G$90)</f>
        <v>-1200</v>
      </c>
      <c r="X79" s="70" t="n">
        <f aca="false">-MAX(Assumptions!$G$92,W72*Assumptions!$G$90)</f>
        <v>-1272.76069710842</v>
      </c>
      <c r="Y79" s="70" t="n">
        <f aca="false">-MAX(Assumptions!$G$92,X72*Assumptions!$G$90)</f>
        <v>-1364.52335140363</v>
      </c>
      <c r="Z79" s="70" t="n">
        <f aca="false">-MAX(Assumptions!$G$92,Y72*Assumptions!$G$90)</f>
        <v>-1464.96066047406</v>
      </c>
      <c r="AA79" s="70" t="n">
        <f aca="false">-MAX(Assumptions!$G$92,Z72*Assumptions!$G$90)</f>
        <v>-1574.86542140668</v>
      </c>
      <c r="AB79" s="70" t="n">
        <f aca="false">-MAX(Assumptions!$G$92,AA72*Assumptions!$G$90)</f>
        <v>-1695.10660802583</v>
      </c>
      <c r="AC79" s="70" t="n">
        <f aca="false">-MAX(Assumptions!$G$92,AB72*Assumptions!$G$90)</f>
        <v>-1824.23166028347</v>
      </c>
      <c r="AD79" s="70" t="n">
        <f aca="false">-MAX(Assumptions!$G$92,AC72*Assumptions!$G$90)</f>
        <v>-1962.08597212625</v>
      </c>
      <c r="AE79" s="70" t="n">
        <f aca="false">-MAX(Assumptions!$G$92,AD72*Assumptions!$G$90)</f>
        <v>-2110.02638150713</v>
      </c>
      <c r="AF79" s="70" t="n">
        <f aca="false">-MAX(Assumptions!$G$92,AE72*Assumptions!$G$90)</f>
        <v>-2268.97504886576</v>
      </c>
      <c r="AG79" s="70" t="n">
        <f aca="false">-MAX(Assumptions!$G$92,AF72*Assumptions!$G$90)</f>
        <v>-2439.9124890188</v>
      </c>
      <c r="AH79" s="70" t="n">
        <f aca="false">-MAX(Assumptions!$G$92,AG72*Assumptions!$G$90)</f>
        <v>-2623.89433690517</v>
      </c>
      <c r="AI79" s="70" t="n">
        <f aca="false">-MAX(Assumptions!$G$92,AH72*Assumptions!$G$90)</f>
        <v>-2822.06192605235</v>
      </c>
      <c r="AJ79" s="70" t="n">
        <f aca="false">-MAX(Assumptions!$G$92,AI72*Assumptions!$G$90)</f>
        <v>-3035.65041478521</v>
      </c>
      <c r="AK79" s="70" t="n">
        <f aca="false">-MAX(Assumptions!$G$92,AJ72*Assumptions!$G$90)</f>
        <v>-3265.99728133223</v>
      </c>
      <c r="AL79" s="70" t="n">
        <f aca="false">-MAX(Assumptions!$G$92,AK72*Assumptions!$G$90)</f>
        <v>-3514.55148712545</v>
      </c>
      <c r="AM79" s="70" t="n">
        <f aca="false">SUM(C79:AL79)</f>
        <v>-58439.6037364204</v>
      </c>
    </row>
    <row r="80" customFormat="false" ht="15" hidden="false" customHeight="false" outlineLevel="0" collapsed="false">
      <c r="A80" s="10" t="s">
        <v>801</v>
      </c>
      <c r="B80" s="9" t="s">
        <v>97</v>
      </c>
      <c r="C80" s="70" t="n">
        <f aca="false">-IF(C$5&lt;=3,Assumptions!$G$93,Assumptions!$G$94)</f>
        <v>-15000</v>
      </c>
      <c r="D80" s="70" t="n">
        <f aca="false">-IF(D$5&lt;=3,Assumptions!$G$93,Assumptions!$G$94)</f>
        <v>-15000</v>
      </c>
      <c r="E80" s="70" t="n">
        <f aca="false">-IF(E$5&lt;=3,Assumptions!$G$93,Assumptions!$G$94)</f>
        <v>-15000</v>
      </c>
      <c r="F80" s="70" t="n">
        <f aca="false">-IF(F$5&lt;=3,Assumptions!$G$93,Assumptions!$G$94)</f>
        <v>-4500</v>
      </c>
      <c r="G80" s="70" t="n">
        <f aca="false">-IF(G$5&lt;=3,Assumptions!$G$93,Assumptions!$G$94)</f>
        <v>-4500</v>
      </c>
      <c r="H80" s="70" t="n">
        <f aca="false">-IF(H$5&lt;=3,Assumptions!$G$93,Assumptions!$G$94)</f>
        <v>-4500</v>
      </c>
      <c r="I80" s="70" t="n">
        <f aca="false">-IF(I$5&lt;=3,Assumptions!$G$93,Assumptions!$G$94)</f>
        <v>-4500</v>
      </c>
      <c r="J80" s="70" t="n">
        <f aca="false">-IF(J$5&lt;=3,Assumptions!$G$93,Assumptions!$G$94)</f>
        <v>-4500</v>
      </c>
      <c r="K80" s="70" t="n">
        <f aca="false">-IF(K$5&lt;=3,Assumptions!$G$93,Assumptions!$G$94)</f>
        <v>-4500</v>
      </c>
      <c r="L80" s="70" t="n">
        <f aca="false">-IF(L$5&lt;=3,Assumptions!$G$93,Assumptions!$G$94)</f>
        <v>-4500</v>
      </c>
      <c r="M80" s="70" t="n">
        <f aca="false">-IF(M$5&lt;=3,Assumptions!$G$93,Assumptions!$G$94)</f>
        <v>-4500</v>
      </c>
      <c r="N80" s="70" t="n">
        <f aca="false">-IF(N$5&lt;=3,Assumptions!$G$93,Assumptions!$G$94)</f>
        <v>-4500</v>
      </c>
      <c r="O80" s="70" t="n">
        <f aca="false">-IF(O$5&lt;=3,Assumptions!$G$93,Assumptions!$G$94)</f>
        <v>-4500</v>
      </c>
      <c r="P80" s="70" t="n">
        <f aca="false">-IF(P$5&lt;=3,Assumptions!$G$93,Assumptions!$G$94)</f>
        <v>-4500</v>
      </c>
      <c r="Q80" s="70" t="n">
        <f aca="false">-IF(Q$5&lt;=3,Assumptions!$G$93,Assumptions!$G$94)</f>
        <v>-4500</v>
      </c>
      <c r="R80" s="70" t="n">
        <f aca="false">-IF(R$5&lt;=3,Assumptions!$G$93,Assumptions!$G$94)</f>
        <v>-4500</v>
      </c>
      <c r="S80" s="70" t="n">
        <f aca="false">-IF(S$5&lt;=3,Assumptions!$G$93,Assumptions!$G$94)</f>
        <v>-4500</v>
      </c>
      <c r="T80" s="70" t="n">
        <f aca="false">-IF(T$5&lt;=3,Assumptions!$G$93,Assumptions!$G$94)</f>
        <v>-4500</v>
      </c>
      <c r="U80" s="70" t="n">
        <f aca="false">-IF(U$5&lt;=3,Assumptions!$G$93,Assumptions!$G$94)</f>
        <v>-4500</v>
      </c>
      <c r="V80" s="70" t="n">
        <f aca="false">-IF(V$5&lt;=3,Assumptions!$G$93,Assumptions!$G$94)</f>
        <v>-4500</v>
      </c>
      <c r="W80" s="70" t="n">
        <f aca="false">-IF(W$5&lt;=3,Assumptions!$G$93,Assumptions!$G$94)</f>
        <v>-4500</v>
      </c>
      <c r="X80" s="70" t="n">
        <f aca="false">-IF(X$5&lt;=3,Assumptions!$G$93,Assumptions!$G$94)</f>
        <v>-4500</v>
      </c>
      <c r="Y80" s="70" t="n">
        <f aca="false">-IF(Y$5&lt;=3,Assumptions!$G$93,Assumptions!$G$94)</f>
        <v>-4500</v>
      </c>
      <c r="Z80" s="70" t="n">
        <f aca="false">-IF(Z$5&lt;=3,Assumptions!$G$93,Assumptions!$G$94)</f>
        <v>-4500</v>
      </c>
      <c r="AA80" s="70" t="n">
        <f aca="false">-IF(AA$5&lt;=3,Assumptions!$G$93,Assumptions!$G$94)</f>
        <v>-4500</v>
      </c>
      <c r="AB80" s="70" t="n">
        <f aca="false">-IF(AB$5&lt;=3,Assumptions!$G$93,Assumptions!$G$94)</f>
        <v>-4500</v>
      </c>
      <c r="AC80" s="70" t="n">
        <f aca="false">-IF(AC$5&lt;=3,Assumptions!$G$93,Assumptions!$G$94)</f>
        <v>-4500</v>
      </c>
      <c r="AD80" s="70" t="n">
        <f aca="false">-IF(AD$5&lt;=3,Assumptions!$G$93,Assumptions!$G$94)</f>
        <v>-4500</v>
      </c>
      <c r="AE80" s="70" t="n">
        <f aca="false">-IF(AE$5&lt;=3,Assumptions!$G$93,Assumptions!$G$94)</f>
        <v>-4500</v>
      </c>
      <c r="AF80" s="70" t="n">
        <f aca="false">-IF(AF$5&lt;=3,Assumptions!$G$93,Assumptions!$G$94)</f>
        <v>-4500</v>
      </c>
      <c r="AG80" s="70" t="n">
        <f aca="false">-IF(AG$5&lt;=3,Assumptions!$G$93,Assumptions!$G$94)</f>
        <v>-4500</v>
      </c>
      <c r="AH80" s="70" t="n">
        <f aca="false">-IF(AH$5&lt;=3,Assumptions!$G$93,Assumptions!$G$94)</f>
        <v>-4500</v>
      </c>
      <c r="AI80" s="70" t="n">
        <f aca="false">-IF(AI$5&lt;=3,Assumptions!$G$93,Assumptions!$G$94)</f>
        <v>-4500</v>
      </c>
      <c r="AJ80" s="70" t="n">
        <f aca="false">-IF(AJ$5&lt;=3,Assumptions!$G$93,Assumptions!$G$94)</f>
        <v>-4500</v>
      </c>
      <c r="AK80" s="70" t="n">
        <f aca="false">-IF(AK$5&lt;=3,Assumptions!$G$93,Assumptions!$G$94)</f>
        <v>-4500</v>
      </c>
      <c r="AL80" s="70" t="n">
        <f aca="false">-IF(AL$5&lt;=3,Assumptions!$G$93,Assumptions!$G$94)</f>
        <v>-4500</v>
      </c>
      <c r="AM80" s="70" t="n">
        <f aca="false">SUM(C80:AL80)</f>
        <v>-193500</v>
      </c>
    </row>
    <row r="81" customFormat="false" ht="15" hidden="false" customHeight="false" outlineLevel="0" collapsed="false">
      <c r="A81" s="10" t="s">
        <v>802</v>
      </c>
      <c r="B81" s="9" t="s">
        <v>97</v>
      </c>
      <c r="C81" s="70" t="n">
        <f aca="false">-C8*Assumptions!$G$95</f>
        <v>-0</v>
      </c>
      <c r="D81" s="70" t="n">
        <f aca="false">-D8*Assumptions!$G$95</f>
        <v>-2500</v>
      </c>
      <c r="E81" s="70" t="n">
        <f aca="false">-E8*Assumptions!$G$95</f>
        <v>-2500</v>
      </c>
      <c r="F81" s="70" t="n">
        <f aca="false">-F8*Assumptions!$G$95</f>
        <v>-2500</v>
      </c>
      <c r="G81" s="70" t="n">
        <f aca="false">-G8*Assumptions!$G$95</f>
        <v>-2500</v>
      </c>
      <c r="H81" s="70" t="n">
        <f aca="false">-H8*Assumptions!$G$95</f>
        <v>-2500</v>
      </c>
      <c r="I81" s="70" t="n">
        <f aca="false">-I8*Assumptions!$G$95</f>
        <v>-2500</v>
      </c>
      <c r="J81" s="70" t="n">
        <f aca="false">-J8*Assumptions!$G$95</f>
        <v>-2500</v>
      </c>
      <c r="K81" s="70" t="n">
        <f aca="false">-K8*Assumptions!$G$95</f>
        <v>-2500</v>
      </c>
      <c r="L81" s="70" t="n">
        <f aca="false">-L8*Assumptions!$G$95</f>
        <v>-2500</v>
      </c>
      <c r="M81" s="70" t="n">
        <f aca="false">-M8*Assumptions!$G$95</f>
        <v>-2500</v>
      </c>
      <c r="N81" s="70" t="n">
        <f aca="false">-N8*Assumptions!$G$95</f>
        <v>-2500</v>
      </c>
      <c r="O81" s="70" t="n">
        <f aca="false">-O8*Assumptions!$G$95</f>
        <v>-2500</v>
      </c>
      <c r="P81" s="70" t="n">
        <f aca="false">-P8*Assumptions!$G$95</f>
        <v>-2500</v>
      </c>
      <c r="Q81" s="70" t="n">
        <f aca="false">-Q8*Assumptions!$G$95</f>
        <v>-2500</v>
      </c>
      <c r="R81" s="70" t="n">
        <f aca="false">-R8*Assumptions!$G$95</f>
        <v>-2500</v>
      </c>
      <c r="S81" s="70" t="n">
        <f aca="false">-S8*Assumptions!$G$95</f>
        <v>-2500</v>
      </c>
      <c r="T81" s="70" t="n">
        <f aca="false">-T8*Assumptions!$G$95</f>
        <v>-2500</v>
      </c>
      <c r="U81" s="70" t="n">
        <f aca="false">-U8*Assumptions!$G$95</f>
        <v>-2500</v>
      </c>
      <c r="V81" s="70" t="n">
        <f aca="false">-V8*Assumptions!$G$95</f>
        <v>-2500</v>
      </c>
      <c r="W81" s="70" t="n">
        <f aca="false">-W8*Assumptions!$G$95</f>
        <v>-2500</v>
      </c>
      <c r="X81" s="70" t="n">
        <f aca="false">-X8*Assumptions!$G$95</f>
        <v>-2500</v>
      </c>
      <c r="Y81" s="70" t="n">
        <f aca="false">-Y8*Assumptions!$G$95</f>
        <v>-2500</v>
      </c>
      <c r="Z81" s="70" t="n">
        <f aca="false">-Z8*Assumptions!$G$95</f>
        <v>-2500</v>
      </c>
      <c r="AA81" s="70" t="n">
        <f aca="false">-AA8*Assumptions!$G$95</f>
        <v>-2500</v>
      </c>
      <c r="AB81" s="70" t="n">
        <f aca="false">-AB8*Assumptions!$G$95</f>
        <v>-2500</v>
      </c>
      <c r="AC81" s="70" t="n">
        <f aca="false">-AC8*Assumptions!$G$95</f>
        <v>-2500</v>
      </c>
      <c r="AD81" s="70" t="n">
        <f aca="false">-AD8*Assumptions!$G$95</f>
        <v>-2500</v>
      </c>
      <c r="AE81" s="70" t="n">
        <f aca="false">-AE8*Assumptions!$G$95</f>
        <v>-2500</v>
      </c>
      <c r="AF81" s="70" t="n">
        <f aca="false">-AF8*Assumptions!$G$95</f>
        <v>-2500</v>
      </c>
      <c r="AG81" s="70" t="n">
        <f aca="false">-AG8*Assumptions!$G$95</f>
        <v>-2500</v>
      </c>
      <c r="AH81" s="70" t="n">
        <f aca="false">-AH8*Assumptions!$G$95</f>
        <v>-2500</v>
      </c>
      <c r="AI81" s="70" t="n">
        <f aca="false">-AI8*Assumptions!$G$95</f>
        <v>-2500</v>
      </c>
      <c r="AJ81" s="70" t="n">
        <f aca="false">-AJ8*Assumptions!$G$95</f>
        <v>-2500</v>
      </c>
      <c r="AK81" s="70" t="n">
        <f aca="false">-AK8*Assumptions!$G$95</f>
        <v>-2500</v>
      </c>
      <c r="AL81" s="70" t="n">
        <f aca="false">-AL8*Assumptions!$G$95</f>
        <v>-2500</v>
      </c>
      <c r="AM81" s="70" t="n">
        <f aca="false">SUM(C81:AL81)</f>
        <v>-87500</v>
      </c>
    </row>
    <row r="82" customFormat="false" ht="15" hidden="false" customHeight="false" outlineLevel="0" collapsed="false">
      <c r="A82" s="10" t="s">
        <v>803</v>
      </c>
      <c r="B82" s="9" t="s">
        <v>97</v>
      </c>
      <c r="C82" s="70" t="n">
        <f aca="false">-Assumptions!$G$96</f>
        <v>-12000</v>
      </c>
      <c r="D82" s="70" t="n">
        <f aca="false">-MAX(Assumptions!$G$96,C72*Assumptions!$G$89)</f>
        <v>-12000</v>
      </c>
      <c r="E82" s="70" t="n">
        <f aca="false">-MAX(Assumptions!$G$96,D72*Assumptions!$G$89)</f>
        <v>-12000</v>
      </c>
      <c r="F82" s="70" t="n">
        <f aca="false">-MAX(Assumptions!$G$96,E72*Assumptions!$G$89)</f>
        <v>-12000</v>
      </c>
      <c r="G82" s="70" t="n">
        <f aca="false">-MAX(Assumptions!$G$96,F72*Assumptions!$G$89)</f>
        <v>-12000</v>
      </c>
      <c r="H82" s="70" t="n">
        <f aca="false">-MAX(Assumptions!$G$96,G72*Assumptions!$G$89)</f>
        <v>-12000</v>
      </c>
      <c r="I82" s="70" t="n">
        <f aca="false">-MAX(Assumptions!$G$96,H72*Assumptions!$G$89)</f>
        <v>-12000</v>
      </c>
      <c r="J82" s="70" t="n">
        <f aca="false">-MAX(Assumptions!$G$96,I72*Assumptions!$G$89)</f>
        <v>-12000</v>
      </c>
      <c r="K82" s="70" t="n">
        <f aca="false">-MAX(Assumptions!$G$96,J72*Assumptions!$G$89)</f>
        <v>-12000</v>
      </c>
      <c r="L82" s="70" t="n">
        <f aca="false">-MAX(Assumptions!$G$96,K72*Assumptions!$G$89)</f>
        <v>-12000</v>
      </c>
      <c r="M82" s="70" t="n">
        <f aca="false">-MAX(Assumptions!$G$96,L72*Assumptions!$G$89)</f>
        <v>-12000</v>
      </c>
      <c r="N82" s="70" t="n">
        <f aca="false">-MAX(Assumptions!$G$96,M72*Assumptions!$G$89)</f>
        <v>-12000</v>
      </c>
      <c r="O82" s="70" t="n">
        <f aca="false">-MAX(Assumptions!$G$96,N72*Assumptions!$G$89)</f>
        <v>-12000</v>
      </c>
      <c r="P82" s="70" t="n">
        <f aca="false">-MAX(Assumptions!$G$96,O72*Assumptions!$G$89)</f>
        <v>-12000</v>
      </c>
      <c r="Q82" s="70" t="n">
        <f aca="false">-MAX(Assumptions!$G$96,P72*Assumptions!$G$89)</f>
        <v>-12000</v>
      </c>
      <c r="R82" s="70" t="n">
        <f aca="false">-MAX(Assumptions!$G$96,Q72*Assumptions!$G$89)</f>
        <v>-12000</v>
      </c>
      <c r="S82" s="70" t="n">
        <f aca="false">-MAX(Assumptions!$G$96,R72*Assumptions!$G$89)</f>
        <v>-12000</v>
      </c>
      <c r="T82" s="70" t="n">
        <f aca="false">-MAX(Assumptions!$G$96,S72*Assumptions!$G$89)</f>
        <v>-12000</v>
      </c>
      <c r="U82" s="70" t="n">
        <f aca="false">-MAX(Assumptions!$G$96,T72*Assumptions!$G$89)</f>
        <v>-12000</v>
      </c>
      <c r="V82" s="70" t="n">
        <f aca="false">-MAX(Assumptions!$G$96,U72*Assumptions!$G$89)</f>
        <v>-12000</v>
      </c>
      <c r="W82" s="70" t="n">
        <f aca="false">-MAX(Assumptions!$G$96,V72*Assumptions!$G$89)</f>
        <v>-12000</v>
      </c>
      <c r="X82" s="70" t="n">
        <f aca="false">-MAX(Assumptions!$G$96,W72*Assumptions!$G$89)</f>
        <v>-12000</v>
      </c>
      <c r="Y82" s="70" t="n">
        <f aca="false">-MAX(Assumptions!$G$96,X72*Assumptions!$G$89)</f>
        <v>-12000</v>
      </c>
      <c r="Z82" s="70" t="n">
        <f aca="false">-MAX(Assumptions!$G$96,Y72*Assumptions!$G$89)</f>
        <v>-12000</v>
      </c>
      <c r="AA82" s="70" t="n">
        <f aca="false">-MAX(Assumptions!$G$96,Z72*Assumptions!$G$89)</f>
        <v>-12000</v>
      </c>
      <c r="AB82" s="70" t="n">
        <f aca="false">-MAX(Assumptions!$G$96,AA72*Assumptions!$G$89)</f>
        <v>-12000</v>
      </c>
      <c r="AC82" s="70" t="n">
        <f aca="false">-MAX(Assumptions!$G$96,AB72*Assumptions!$G$89)</f>
        <v>-12000</v>
      </c>
      <c r="AD82" s="70" t="n">
        <f aca="false">-MAX(Assumptions!$G$96,AC72*Assumptions!$G$89)</f>
        <v>-12000</v>
      </c>
      <c r="AE82" s="70" t="n">
        <f aca="false">-MAX(Assumptions!$G$96,AD72*Assumptions!$G$89)</f>
        <v>-12000</v>
      </c>
      <c r="AF82" s="70" t="n">
        <f aca="false">-MAX(Assumptions!$G$96,AE72*Assumptions!$G$89)</f>
        <v>-12000</v>
      </c>
      <c r="AG82" s="70" t="n">
        <f aca="false">-MAX(Assumptions!$G$96,AF72*Assumptions!$G$89)</f>
        <v>-12000</v>
      </c>
      <c r="AH82" s="70" t="n">
        <f aca="false">-MAX(Assumptions!$G$96,AG72*Assumptions!$G$89)</f>
        <v>-12000</v>
      </c>
      <c r="AI82" s="70" t="n">
        <f aca="false">-MAX(Assumptions!$G$96,AH72*Assumptions!$G$89)</f>
        <v>-12000</v>
      </c>
      <c r="AJ82" s="70" t="n">
        <f aca="false">-MAX(Assumptions!$G$96,AI72*Assumptions!$G$89)</f>
        <v>-12000</v>
      </c>
      <c r="AK82" s="70" t="n">
        <f aca="false">-MAX(Assumptions!$G$96,AJ72*Assumptions!$G$89)</f>
        <v>-12000</v>
      </c>
      <c r="AL82" s="70" t="n">
        <f aca="false">-MAX(Assumptions!$G$96,AK72*Assumptions!$G$89)</f>
        <v>-12000</v>
      </c>
      <c r="AM82" s="70" t="n">
        <f aca="false">SUM(C82:AL82)</f>
        <v>-432000</v>
      </c>
    </row>
    <row r="83" customFormat="false" ht="15" hidden="false" customHeight="false" outlineLevel="0" collapsed="false">
      <c r="A83" s="10" t="s">
        <v>804</v>
      </c>
      <c r="B83" s="9" t="s">
        <v>97</v>
      </c>
      <c r="C83" s="70" t="n">
        <f aca="false">-C26</f>
        <v>-8000</v>
      </c>
      <c r="D83" s="70" t="n">
        <f aca="false">-D26</f>
        <v>-30000</v>
      </c>
      <c r="E83" s="70" t="n">
        <f aca="false">-E26</f>
        <v>-30000</v>
      </c>
      <c r="F83" s="70" t="n">
        <f aca="false">-F26</f>
        <v>-30000</v>
      </c>
      <c r="G83" s="70" t="n">
        <f aca="false">-G26</f>
        <v>-30000</v>
      </c>
      <c r="H83" s="70" t="n">
        <f aca="false">-H26</f>
        <v>-30000</v>
      </c>
      <c r="I83" s="70" t="n">
        <f aca="false">-I26</f>
        <v>-30000</v>
      </c>
      <c r="J83" s="70" t="n">
        <f aca="false">-J26</f>
        <v>-30000</v>
      </c>
      <c r="K83" s="70" t="n">
        <f aca="false">-K26</f>
        <v>-30000</v>
      </c>
      <c r="L83" s="70" t="n">
        <f aca="false">-L26</f>
        <v>-30000</v>
      </c>
      <c r="M83" s="70" t="n">
        <f aca="false">-M26</f>
        <v>-30000</v>
      </c>
      <c r="N83" s="70" t="n">
        <f aca="false">-N26</f>
        <v>-30000</v>
      </c>
      <c r="O83" s="70" t="n">
        <f aca="false">-O26</f>
        <v>-30000</v>
      </c>
      <c r="P83" s="70" t="n">
        <f aca="false">-P26</f>
        <v>-30000</v>
      </c>
      <c r="Q83" s="70" t="n">
        <f aca="false">-Q26</f>
        <v>-30000</v>
      </c>
      <c r="R83" s="70" t="n">
        <f aca="false">-R26</f>
        <v>-30000</v>
      </c>
      <c r="S83" s="70" t="n">
        <f aca="false">-S26</f>
        <v>-30000</v>
      </c>
      <c r="T83" s="70" t="n">
        <f aca="false">-T26</f>
        <v>-30000</v>
      </c>
      <c r="U83" s="70" t="n">
        <f aca="false">-U26</f>
        <v>-31328.6351269562</v>
      </c>
      <c r="V83" s="70" t="n">
        <f aca="false">-V26</f>
        <v>-33379.7587964508</v>
      </c>
      <c r="W83" s="70" t="n">
        <f aca="false">-W26</f>
        <v>-35668.9846541144</v>
      </c>
      <c r="X83" s="70" t="n">
        <f aca="false">-X26</f>
        <v>-38182.8209132527</v>
      </c>
      <c r="Y83" s="70" t="n">
        <f aca="false">-Y26</f>
        <v>-40935.7005421088</v>
      </c>
      <c r="Z83" s="70" t="n">
        <f aca="false">-Z26</f>
        <v>-43948.8198142219</v>
      </c>
      <c r="AA83" s="70" t="n">
        <f aca="false">-AA26</f>
        <v>-47245.9626422005</v>
      </c>
      <c r="AB83" s="70" t="n">
        <f aca="false">-AB26</f>
        <v>-50853.198240775</v>
      </c>
      <c r="AC83" s="70" t="n">
        <f aca="false">-AC26</f>
        <v>-54726.9498085041</v>
      </c>
      <c r="AD83" s="70" t="n">
        <f aca="false">-AD26</f>
        <v>-58862.5791637876</v>
      </c>
      <c r="AE83" s="70" t="n">
        <f aca="false">-AE26</f>
        <v>-63300.7914452138</v>
      </c>
      <c r="AF83" s="70" t="n">
        <f aca="false">-AF26</f>
        <v>-68069.2514659728</v>
      </c>
      <c r="AG83" s="70" t="n">
        <f aca="false">-AG26</f>
        <v>-73197.374670564</v>
      </c>
      <c r="AH83" s="70" t="n">
        <f aca="false">-AH26</f>
        <v>-78716.830107155</v>
      </c>
      <c r="AI83" s="70" t="n">
        <f aca="false">-AI26</f>
        <v>-84661.8577815704</v>
      </c>
      <c r="AJ83" s="70" t="n">
        <f aca="false">-AJ26</f>
        <v>-91069.5124435563</v>
      </c>
      <c r="AK83" s="70" t="n">
        <f aca="false">-AK26</f>
        <v>-97979.9184399668</v>
      </c>
      <c r="AL83" s="70" t="n">
        <f aca="false">-AL26</f>
        <v>-105436.544613764</v>
      </c>
      <c r="AM83" s="70" t="n">
        <f aca="false">SUM(C83:AL83)</f>
        <v>-1615565.49067013</v>
      </c>
    </row>
    <row r="84" customFormat="false" ht="15" hidden="false" customHeight="false" outlineLevel="0" collapsed="false">
      <c r="A84" s="10" t="s">
        <v>805</v>
      </c>
      <c r="B84" s="9" t="s">
        <v>97</v>
      </c>
      <c r="C84" s="70" t="n">
        <f aca="false">-IF(C$5=Assumptions!$G$6,Assumptions!$G$23,0)</f>
        <v>-0</v>
      </c>
      <c r="D84" s="70" t="n">
        <f aca="false">-IF(D$5=Assumptions!$G$6,Assumptions!$G$23,0)</f>
        <v>-20000</v>
      </c>
      <c r="E84" s="70" t="n">
        <f aca="false">-IF(E$5=Assumptions!$G$6,Assumptions!$G$23,0)</f>
        <v>-0</v>
      </c>
      <c r="F84" s="70" t="n">
        <f aca="false">-IF(F$5=Assumptions!$G$6,Assumptions!$G$23,0)</f>
        <v>-0</v>
      </c>
      <c r="G84" s="70" t="n">
        <f aca="false">-IF(G$5=Assumptions!$G$6,Assumptions!$G$23,0)</f>
        <v>-0</v>
      </c>
      <c r="H84" s="70" t="n">
        <f aca="false">-IF(H$5=Assumptions!$G$6,Assumptions!$G$23,0)</f>
        <v>-0</v>
      </c>
      <c r="I84" s="70" t="n">
        <f aca="false">-IF(I$5=Assumptions!$G$6,Assumptions!$G$23,0)</f>
        <v>-0</v>
      </c>
      <c r="J84" s="70" t="n">
        <f aca="false">-IF(J$5=Assumptions!$G$6,Assumptions!$G$23,0)</f>
        <v>-0</v>
      </c>
      <c r="K84" s="70" t="n">
        <f aca="false">-IF(K$5=Assumptions!$G$6,Assumptions!$G$23,0)</f>
        <v>-0</v>
      </c>
      <c r="L84" s="70" t="n">
        <f aca="false">-IF(L$5=Assumptions!$G$6,Assumptions!$G$23,0)</f>
        <v>-0</v>
      </c>
      <c r="M84" s="70" t="n">
        <f aca="false">-IF(M$5=Assumptions!$G$6,Assumptions!$G$23,0)</f>
        <v>-0</v>
      </c>
      <c r="N84" s="70" t="n">
        <f aca="false">-IF(N$5=Assumptions!$G$6,Assumptions!$G$23,0)</f>
        <v>-0</v>
      </c>
      <c r="O84" s="70" t="n">
        <f aca="false">-IF(O$5=Assumptions!$G$6,Assumptions!$G$23,0)</f>
        <v>-0</v>
      </c>
      <c r="P84" s="70" t="n">
        <f aca="false">-IF(P$5=Assumptions!$G$6,Assumptions!$G$23,0)</f>
        <v>-0</v>
      </c>
      <c r="Q84" s="70" t="n">
        <f aca="false">-IF(Q$5=Assumptions!$G$6,Assumptions!$G$23,0)</f>
        <v>-0</v>
      </c>
      <c r="R84" s="70" t="n">
        <f aca="false">-IF(R$5=Assumptions!$G$6,Assumptions!$G$23,0)</f>
        <v>-0</v>
      </c>
      <c r="S84" s="70" t="n">
        <f aca="false">-IF(S$5=Assumptions!$G$6,Assumptions!$G$23,0)</f>
        <v>-0</v>
      </c>
      <c r="T84" s="70" t="n">
        <f aca="false">-IF(T$5=Assumptions!$G$6,Assumptions!$G$23,0)</f>
        <v>-0</v>
      </c>
      <c r="U84" s="70" t="n">
        <f aca="false">-IF(U$5=Assumptions!$G$6,Assumptions!$G$23,0)</f>
        <v>-0</v>
      </c>
      <c r="V84" s="70" t="n">
        <f aca="false">-IF(V$5=Assumptions!$G$6,Assumptions!$G$23,0)</f>
        <v>-0</v>
      </c>
      <c r="W84" s="70" t="n">
        <f aca="false">-IF(W$5=Assumptions!$G$6,Assumptions!$G$23,0)</f>
        <v>-0</v>
      </c>
      <c r="X84" s="70" t="n">
        <f aca="false">-IF(X$5=Assumptions!$G$6,Assumptions!$G$23,0)</f>
        <v>-0</v>
      </c>
      <c r="Y84" s="70" t="n">
        <f aca="false">-IF(Y$5=Assumptions!$G$6,Assumptions!$G$23,0)</f>
        <v>-0</v>
      </c>
      <c r="Z84" s="70" t="n">
        <f aca="false">-IF(Z$5=Assumptions!$G$6,Assumptions!$G$23,0)</f>
        <v>-0</v>
      </c>
      <c r="AA84" s="70" t="n">
        <f aca="false">-IF(AA$5=Assumptions!$G$6,Assumptions!$G$23,0)</f>
        <v>-0</v>
      </c>
      <c r="AB84" s="70" t="n">
        <f aca="false">-IF(AB$5=Assumptions!$G$6,Assumptions!$G$23,0)</f>
        <v>-0</v>
      </c>
      <c r="AC84" s="70" t="n">
        <f aca="false">-IF(AC$5=Assumptions!$G$6,Assumptions!$G$23,0)</f>
        <v>-0</v>
      </c>
      <c r="AD84" s="70" t="n">
        <f aca="false">-IF(AD$5=Assumptions!$G$6,Assumptions!$G$23,0)</f>
        <v>-0</v>
      </c>
      <c r="AE84" s="70" t="n">
        <f aca="false">-IF(AE$5=Assumptions!$G$6,Assumptions!$G$23,0)</f>
        <v>-0</v>
      </c>
      <c r="AF84" s="70" t="n">
        <f aca="false">-IF(AF$5=Assumptions!$G$6,Assumptions!$G$23,0)</f>
        <v>-0</v>
      </c>
      <c r="AG84" s="70" t="n">
        <f aca="false">-IF(AG$5=Assumptions!$G$6,Assumptions!$G$23,0)</f>
        <v>-0</v>
      </c>
      <c r="AH84" s="70" t="n">
        <f aca="false">-IF(AH$5=Assumptions!$G$6,Assumptions!$G$23,0)</f>
        <v>-0</v>
      </c>
      <c r="AI84" s="70" t="n">
        <f aca="false">-IF(AI$5=Assumptions!$G$6,Assumptions!$G$23,0)</f>
        <v>-0</v>
      </c>
      <c r="AJ84" s="70" t="n">
        <f aca="false">-IF(AJ$5=Assumptions!$G$6,Assumptions!$G$23,0)</f>
        <v>-0</v>
      </c>
      <c r="AK84" s="70" t="n">
        <f aca="false">-IF(AK$5=Assumptions!$G$6,Assumptions!$G$23,0)</f>
        <v>-0</v>
      </c>
      <c r="AL84" s="70" t="n">
        <f aca="false">-IF(AL$5=Assumptions!$G$6,Assumptions!$G$23,0)</f>
        <v>-0</v>
      </c>
      <c r="AM84" s="70" t="n">
        <f aca="false">SUM(C84:AL84)</f>
        <v>-20000</v>
      </c>
    </row>
    <row r="85" customFormat="false" ht="15" hidden="false" customHeight="false" outlineLevel="0" collapsed="false">
      <c r="A85" s="10" t="s">
        <v>806</v>
      </c>
      <c r="B85" s="9" t="s">
        <v>97</v>
      </c>
      <c r="C85" s="70" t="n">
        <f aca="false">-C8*Assumptions!$G$98</f>
        <v>-0</v>
      </c>
      <c r="D85" s="70" t="n">
        <f aca="false">-D8*Assumptions!$G$98</f>
        <v>-0</v>
      </c>
      <c r="E85" s="70" t="n">
        <f aca="false">-E8*Assumptions!$G$98</f>
        <v>-0</v>
      </c>
      <c r="F85" s="70" t="n">
        <f aca="false">-F8*Assumptions!$G$98</f>
        <v>-0</v>
      </c>
      <c r="G85" s="70" t="n">
        <f aca="false">-G8*Assumptions!$G$98</f>
        <v>-0</v>
      </c>
      <c r="H85" s="70" t="n">
        <f aca="false">-H8*Assumptions!$G$98</f>
        <v>-0</v>
      </c>
      <c r="I85" s="70" t="n">
        <f aca="false">-I8*Assumptions!$G$98</f>
        <v>-0</v>
      </c>
      <c r="J85" s="70" t="n">
        <f aca="false">-J8*Assumptions!$G$98</f>
        <v>-0</v>
      </c>
      <c r="K85" s="70" t="n">
        <f aca="false">-K8*Assumptions!$G$98</f>
        <v>-0</v>
      </c>
      <c r="L85" s="70" t="n">
        <f aca="false">-L8*Assumptions!$G$98</f>
        <v>-0</v>
      </c>
      <c r="M85" s="70" t="n">
        <f aca="false">-M8*Assumptions!$G$98</f>
        <v>-0</v>
      </c>
      <c r="N85" s="70" t="n">
        <f aca="false">-N8*Assumptions!$G$98</f>
        <v>-0</v>
      </c>
      <c r="O85" s="70" t="n">
        <f aca="false">-O8*Assumptions!$G$98</f>
        <v>-0</v>
      </c>
      <c r="P85" s="70" t="n">
        <f aca="false">-P8*Assumptions!$G$98</f>
        <v>-0</v>
      </c>
      <c r="Q85" s="70" t="n">
        <f aca="false">-Q8*Assumptions!$G$98</f>
        <v>-0</v>
      </c>
      <c r="R85" s="70" t="n">
        <f aca="false">-R8*Assumptions!$G$98</f>
        <v>-0</v>
      </c>
      <c r="S85" s="70" t="n">
        <f aca="false">-S8*Assumptions!$G$98</f>
        <v>-0</v>
      </c>
      <c r="T85" s="70" t="n">
        <f aca="false">-T8*Assumptions!$G$98</f>
        <v>-0</v>
      </c>
      <c r="U85" s="70" t="n">
        <f aca="false">-U8*Assumptions!$G$98</f>
        <v>-0</v>
      </c>
      <c r="V85" s="70" t="n">
        <f aca="false">-V8*Assumptions!$G$98</f>
        <v>-0</v>
      </c>
      <c r="W85" s="70" t="n">
        <f aca="false">-W8*Assumptions!$G$98</f>
        <v>-0</v>
      </c>
      <c r="X85" s="70" t="n">
        <f aca="false">-X8*Assumptions!$G$98</f>
        <v>-0</v>
      </c>
      <c r="Y85" s="70" t="n">
        <f aca="false">-Y8*Assumptions!$G$98</f>
        <v>-0</v>
      </c>
      <c r="Z85" s="70" t="n">
        <f aca="false">-Z8*Assumptions!$G$98</f>
        <v>-0</v>
      </c>
      <c r="AA85" s="70" t="n">
        <f aca="false">-AA8*Assumptions!$G$98</f>
        <v>-0</v>
      </c>
      <c r="AB85" s="70" t="n">
        <f aca="false">-AB8*Assumptions!$G$98</f>
        <v>-0</v>
      </c>
      <c r="AC85" s="70" t="n">
        <f aca="false">-AC8*Assumptions!$G$98</f>
        <v>-0</v>
      </c>
      <c r="AD85" s="70" t="n">
        <f aca="false">-AD8*Assumptions!$G$98</f>
        <v>-0</v>
      </c>
      <c r="AE85" s="70" t="n">
        <f aca="false">-AE8*Assumptions!$G$98</f>
        <v>-0</v>
      </c>
      <c r="AF85" s="70" t="n">
        <f aca="false">-AF8*Assumptions!$G$98</f>
        <v>-0</v>
      </c>
      <c r="AG85" s="70" t="n">
        <f aca="false">-AG8*Assumptions!$G$98</f>
        <v>-0</v>
      </c>
      <c r="AH85" s="70" t="n">
        <f aca="false">-AH8*Assumptions!$G$98</f>
        <v>-0</v>
      </c>
      <c r="AI85" s="70" t="n">
        <f aca="false">-AI8*Assumptions!$G$98</f>
        <v>-0</v>
      </c>
      <c r="AJ85" s="70" t="n">
        <f aca="false">-AJ8*Assumptions!$G$98</f>
        <v>-0</v>
      </c>
      <c r="AK85" s="70" t="n">
        <f aca="false">-AK8*Assumptions!$G$98</f>
        <v>-0</v>
      </c>
      <c r="AL85" s="70" t="n">
        <f aca="false">-AL8*Assumptions!$G$98</f>
        <v>-0</v>
      </c>
      <c r="AM85" s="70" t="n">
        <f aca="false">SUM(C85:AL85)</f>
        <v>0</v>
      </c>
    </row>
    <row r="86" customFormat="false" ht="15" hidden="false" customHeight="false" outlineLevel="0" collapsed="false">
      <c r="A86" s="10" t="s">
        <v>362</v>
      </c>
      <c r="B86" s="9" t="s">
        <v>97</v>
      </c>
      <c r="C86" s="70" t="n">
        <f aca="false">-C72*Assumptions!$G$99</f>
        <v>-0</v>
      </c>
      <c r="D86" s="70" t="n">
        <f aca="false">-D72*Assumptions!$G$99</f>
        <v>-0</v>
      </c>
      <c r="E86" s="70" t="n">
        <f aca="false">-E72*Assumptions!$G$99</f>
        <v>-0</v>
      </c>
      <c r="F86" s="70" t="n">
        <f aca="false">-F72*Assumptions!$G$99</f>
        <v>-0</v>
      </c>
      <c r="G86" s="70" t="n">
        <f aca="false">-G72*Assumptions!$G$99</f>
        <v>-0</v>
      </c>
      <c r="H86" s="70" t="n">
        <f aca="false">-H72*Assumptions!$G$99</f>
        <v>-0</v>
      </c>
      <c r="I86" s="70" t="n">
        <f aca="false">-I72*Assumptions!$G$99</f>
        <v>-0</v>
      </c>
      <c r="J86" s="70" t="n">
        <f aca="false">-J72*Assumptions!$G$99</f>
        <v>-0</v>
      </c>
      <c r="K86" s="70" t="n">
        <f aca="false">-K72*Assumptions!$G$99</f>
        <v>-0</v>
      </c>
      <c r="L86" s="70" t="n">
        <f aca="false">-L72*Assumptions!$G$99</f>
        <v>-0</v>
      </c>
      <c r="M86" s="70" t="n">
        <f aca="false">-M72*Assumptions!$G$99</f>
        <v>-0</v>
      </c>
      <c r="N86" s="70" t="n">
        <f aca="false">-N72*Assumptions!$G$99</f>
        <v>-0</v>
      </c>
      <c r="O86" s="70" t="n">
        <f aca="false">-O72*Assumptions!$G$99</f>
        <v>-0</v>
      </c>
      <c r="P86" s="70" t="n">
        <f aca="false">-P72*Assumptions!$G$99</f>
        <v>-0</v>
      </c>
      <c r="Q86" s="70" t="n">
        <f aca="false">-Q72*Assumptions!$G$99</f>
        <v>-0</v>
      </c>
      <c r="R86" s="70" t="n">
        <f aca="false">-R72*Assumptions!$G$99</f>
        <v>-0</v>
      </c>
      <c r="S86" s="70" t="n">
        <f aca="false">-S72*Assumptions!$G$99</f>
        <v>-0</v>
      </c>
      <c r="T86" s="70" t="n">
        <f aca="false">-T72*Assumptions!$G$99</f>
        <v>-0</v>
      </c>
      <c r="U86" s="70" t="n">
        <f aca="false">-U72*Assumptions!$G$99</f>
        <v>-0</v>
      </c>
      <c r="V86" s="70" t="n">
        <f aca="false">-V72*Assumptions!$G$99</f>
        <v>-0</v>
      </c>
      <c r="W86" s="70" t="n">
        <f aca="false">-W72*Assumptions!$G$99</f>
        <v>-0</v>
      </c>
      <c r="X86" s="70" t="n">
        <f aca="false">-X72*Assumptions!$G$99</f>
        <v>-0</v>
      </c>
      <c r="Y86" s="70" t="n">
        <f aca="false">-Y72*Assumptions!$G$99</f>
        <v>-0</v>
      </c>
      <c r="Z86" s="70" t="n">
        <f aca="false">-Z72*Assumptions!$G$99</f>
        <v>-0</v>
      </c>
      <c r="AA86" s="70" t="n">
        <f aca="false">-AA72*Assumptions!$G$99</f>
        <v>-0</v>
      </c>
      <c r="AB86" s="70" t="n">
        <f aca="false">-AB72*Assumptions!$G$99</f>
        <v>-0</v>
      </c>
      <c r="AC86" s="70" t="n">
        <f aca="false">-AC72*Assumptions!$G$99</f>
        <v>-0</v>
      </c>
      <c r="AD86" s="70" t="n">
        <f aca="false">-AD72*Assumptions!$G$99</f>
        <v>-0</v>
      </c>
      <c r="AE86" s="70" t="n">
        <f aca="false">-AE72*Assumptions!$G$99</f>
        <v>-0</v>
      </c>
      <c r="AF86" s="70" t="n">
        <f aca="false">-AF72*Assumptions!$G$99</f>
        <v>-0</v>
      </c>
      <c r="AG86" s="70" t="n">
        <f aca="false">-AG72*Assumptions!$G$99</f>
        <v>-0</v>
      </c>
      <c r="AH86" s="70" t="n">
        <f aca="false">-AH72*Assumptions!$G$99</f>
        <v>-0</v>
      </c>
      <c r="AI86" s="70" t="n">
        <f aca="false">-AI72*Assumptions!$G$99</f>
        <v>-0</v>
      </c>
      <c r="AJ86" s="70" t="n">
        <f aca="false">-AJ72*Assumptions!$G$99</f>
        <v>-0</v>
      </c>
      <c r="AK86" s="70" t="n">
        <f aca="false">-AK72*Assumptions!$G$99</f>
        <v>-0</v>
      </c>
      <c r="AL86" s="70" t="n">
        <f aca="false">-AL72*Assumptions!$G$99</f>
        <v>-0</v>
      </c>
      <c r="AM86" s="70" t="n">
        <f aca="false">SUM(C86:AL86)</f>
        <v>0</v>
      </c>
    </row>
    <row r="87" customFormat="false" ht="15" hidden="false" customHeight="false" outlineLevel="0" collapsed="false">
      <c r="A87" s="37" t="s">
        <v>807</v>
      </c>
      <c r="B87" s="9" t="s">
        <v>97</v>
      </c>
      <c r="C87" s="53" t="n">
        <f aca="false">C75+C76+C77+C78+C79+C80+C81+C82+C83+C84+C85+C86</f>
        <v>-43080</v>
      </c>
      <c r="D87" s="53" t="n">
        <f aca="false">D75+D76+D77+D78+D79+D80+D81+D82+D83+D84+D85+D86</f>
        <v>-97580</v>
      </c>
      <c r="E87" s="53" t="n">
        <f aca="false">E75+E76+E77+E78+E79+E80+E81+E82+E83+E84+E85+E86</f>
        <v>-77580</v>
      </c>
      <c r="F87" s="53" t="n">
        <f aca="false">F75+F76+F77+F78+F79+F80+F81+F82+F83+F84+F85+F86</f>
        <v>-67080</v>
      </c>
      <c r="G87" s="53" t="n">
        <f aca="false">G75+G76+G77+G78+G79+G80+G81+G82+G83+G84+G85+G86</f>
        <v>-76080</v>
      </c>
      <c r="H87" s="53" t="n">
        <f aca="false">H75+H76+H77+H78+H79+H80+H81+H82+H83+H84+H85+H86</f>
        <v>-76080</v>
      </c>
      <c r="I87" s="53" t="n">
        <f aca="false">I75+I76+I77+I78+I79+I80+I81+I82+I83+I84+I85+I86</f>
        <v>-76080</v>
      </c>
      <c r="J87" s="53" t="n">
        <f aca="false">J75+J76+J77+J78+J79+J80+J81+J82+J83+J84+J85+J86</f>
        <v>-76080</v>
      </c>
      <c r="K87" s="53" t="n">
        <f aca="false">K75+K76+K77+K78+K79+K80+K81+K82+K83+K84+K85+K86</f>
        <v>-76080</v>
      </c>
      <c r="L87" s="53" t="n">
        <f aca="false">L75+L76+L77+L78+L79+L80+L81+L82+L83+L84+L85+L86</f>
        <v>-76080</v>
      </c>
      <c r="M87" s="53" t="n">
        <f aca="false">M75+M76+M77+M78+M79+M80+M81+M82+M83+M84+M85+M86</f>
        <v>-76080</v>
      </c>
      <c r="N87" s="53" t="n">
        <f aca="false">N75+N76+N77+N78+N79+N80+N81+N82+N83+N84+N85+N86</f>
        <v>-76080</v>
      </c>
      <c r="O87" s="53" t="n">
        <f aca="false">O75+O76+O77+O78+O79+O80+O81+O82+O83+O84+O85+O86</f>
        <v>-94080</v>
      </c>
      <c r="P87" s="53" t="n">
        <f aca="false">P75+P76+P77+P78+P79+P80+P81+P82+P83+P84+P85+P86</f>
        <v>-94080</v>
      </c>
      <c r="Q87" s="53" t="n">
        <f aca="false">Q75+Q76+Q77+Q78+Q79+Q80+Q81+Q82+Q83+Q84+Q85+Q86</f>
        <v>-94080</v>
      </c>
      <c r="R87" s="53" t="n">
        <f aca="false">R75+R76+R77+R78+R79+R80+R81+R82+R83+R84+R85+R86</f>
        <v>-94080</v>
      </c>
      <c r="S87" s="53" t="n">
        <f aca="false">S75+S76+S77+S78+S79+S80+S81+S82+S83+S84+S85+S86</f>
        <v>-94080</v>
      </c>
      <c r="T87" s="53" t="n">
        <f aca="false">T75+T76+T77+T78+T79+T80+T81+T82+T83+T84+T85+T86</f>
        <v>-94080</v>
      </c>
      <c r="U87" s="53" t="n">
        <f aca="false">U75+U76+U77+U78+U79+U80+U81+U82+U83+U84+U85+U86</f>
        <v>-95408.6351269562</v>
      </c>
      <c r="V87" s="53" t="n">
        <f aca="false">V75+V76+V77+V78+V79+V80+V81+V82+V83+V84+V85+V86</f>
        <v>-97459.7587964508</v>
      </c>
      <c r="W87" s="53" t="n">
        <f aca="false">W75+W76+W77+W78+W79+W80+W81+W82+W83+W84+W85+W86</f>
        <v>-99748.9846541144</v>
      </c>
      <c r="X87" s="53" t="n">
        <f aca="false">X75+X76+X77+X78+X79+X80+X81+X82+X83+X84+X85+X86</f>
        <v>-102335.581610361</v>
      </c>
      <c r="Y87" s="53" t="n">
        <f aca="false">Y75+Y76+Y77+Y78+Y79+Y80+Y81+Y82+Y83+Y84+Y85+Y86</f>
        <v>-105180.223893512</v>
      </c>
      <c r="Z87" s="53" t="n">
        <f aca="false">Z75+Z76+Z77+Z78+Z79+Z80+Z81+Z82+Z83+Z84+Z85+Z86</f>
        <v>-108293.780474696</v>
      </c>
      <c r="AA87" s="53" t="n">
        <f aca="false">AA75+AA76+AA77+AA78+AA79+AA80+AA81+AA82+AA83+AA84+AA85+AA86</f>
        <v>-132700.828063607</v>
      </c>
      <c r="AB87" s="53" t="n">
        <f aca="false">AB75+AB76+AB77+AB78+AB79+AB80+AB81+AB82+AB83+AB84+AB85+AB86</f>
        <v>-136428.304848801</v>
      </c>
      <c r="AC87" s="53" t="n">
        <f aca="false">AC75+AC76+AC77+AC78+AC79+AC80+AC81+AC82+AC83+AC84+AC85+AC86</f>
        <v>-140431.181468788</v>
      </c>
      <c r="AD87" s="53" t="n">
        <f aca="false">AD75+AD76+AD77+AD78+AD79+AD80+AD81+AD82+AD83+AD84+AD85+AD86</f>
        <v>-144704.665135914</v>
      </c>
      <c r="AE87" s="53" t="n">
        <f aca="false">AE75+AE76+AE77+AE78+AE79+AE80+AE81+AE82+AE83+AE84+AE85+AE86</f>
        <v>-149290.817826721</v>
      </c>
      <c r="AF87" s="53" t="n">
        <f aca="false">AF75+AF76+AF77+AF78+AF79+AF80+AF81+AF82+AF83+AF84+AF85+AF86</f>
        <v>-154218.226514839</v>
      </c>
      <c r="AG87" s="53" t="n">
        <f aca="false">AG75+AG76+AG77+AG78+AG79+AG80+AG81+AG82+AG83+AG84+AG85+AG86</f>
        <v>-159517.287159583</v>
      </c>
      <c r="AH87" s="53" t="n">
        <f aca="false">AH75+AH76+AH77+AH78+AH79+AH80+AH81+AH82+AH83+AH84+AH85+AH86</f>
        <v>-165220.72444406</v>
      </c>
      <c r="AI87" s="53" t="n">
        <f aca="false">AI75+AI76+AI77+AI78+AI79+AI80+AI81+AI82+AI83+AI84+AI85+AI86</f>
        <v>-171363.919707623</v>
      </c>
      <c r="AJ87" s="53" t="n">
        <f aca="false">AJ75+AJ76+AJ77+AJ78+AJ79+AJ80+AJ81+AJ82+AJ83+AJ84+AJ85+AJ86</f>
        <v>-177985.162858342</v>
      </c>
      <c r="AK87" s="53" t="n">
        <f aca="false">AK75+AK76+AK77+AK78+AK79+AK80+AK81+AK82+AK83+AK84+AK85+AK86</f>
        <v>-185125.915721299</v>
      </c>
      <c r="AL87" s="53" t="n">
        <f aca="false">AL75+AL76+AL77+AL78+AL79+AL80+AL81+AL82+AL83+AL84+AL85+AL86</f>
        <v>-192831.096100889</v>
      </c>
      <c r="AM87" s="53" t="n">
        <f aca="false">SUM(C87:AL87)</f>
        <v>-3976685.09440656</v>
      </c>
    </row>
    <row r="88" customFormat="false" ht="15" hidden="false" customHeight="false" outlineLevel="0" collapsed="false">
      <c r="A88" s="37" t="s">
        <v>808</v>
      </c>
      <c r="B88" s="9" t="s">
        <v>97</v>
      </c>
      <c r="C88" s="53" t="n">
        <f aca="false">C73+C87</f>
        <v>-43080</v>
      </c>
      <c r="D88" s="53" t="n">
        <f aca="false">D73+D87</f>
        <v>-87017.9058664701</v>
      </c>
      <c r="E88" s="53" t="n">
        <f aca="false">E73+E87</f>
        <v>-62126.7380974028</v>
      </c>
      <c r="F88" s="53" t="n">
        <f aca="false">F73+F87</f>
        <v>-47677.3210209264</v>
      </c>
      <c r="G88" s="53" t="n">
        <f aca="false">G73+G87</f>
        <v>-52921.1772024592</v>
      </c>
      <c r="H88" s="53" t="n">
        <f aca="false">H73+H87</f>
        <v>-49327.3187333915</v>
      </c>
      <c r="I88" s="53" t="n">
        <f aca="false">I73+I87</f>
        <v>-44637.2237005669</v>
      </c>
      <c r="J88" s="53" t="n">
        <f aca="false">J73+J87</f>
        <v>-40497.9229891334</v>
      </c>
      <c r="K88" s="53" t="n">
        <f aca="false">K73+K87</f>
        <v>-36458.8699900667</v>
      </c>
      <c r="L88" s="53" t="n">
        <f aca="false">L73+L87</f>
        <v>-32494.6460196515</v>
      </c>
      <c r="M88" s="53" t="n">
        <f aca="false">M73+M87</f>
        <v>-28580.030463519</v>
      </c>
      <c r="N88" s="53" t="n">
        <f aca="false">N73+N87</f>
        <v>-24689.8080347984</v>
      </c>
      <c r="O88" s="53" t="n">
        <f aca="false">O73+O87</f>
        <v>-38798.5752553305</v>
      </c>
      <c r="P88" s="53" t="n">
        <f aca="false">P73+P87</f>
        <v>-34880.5443320286</v>
      </c>
      <c r="Q88" s="53" t="n">
        <f aca="false">Q73+Q87</f>
        <v>-30909.3428032886</v>
      </c>
      <c r="R88" s="53" t="n">
        <f aca="false">R73+R87</f>
        <v>-26857.8073233179</v>
      </c>
      <c r="S88" s="53" t="n">
        <f aca="false">S73+S87</f>
        <v>-22697.7699182712</v>
      </c>
      <c r="T88" s="53" t="n">
        <f aca="false">T73+T87</f>
        <v>-18399.8350009578</v>
      </c>
      <c r="U88" s="53" t="n">
        <f aca="false">U73+U87</f>
        <v>-14916.8305445385</v>
      </c>
      <c r="V88" s="53" t="n">
        <f aca="false">V73+V87</f>
        <v>-11600.4202830009</v>
      </c>
      <c r="W88" s="53" t="n">
        <f aca="false">W73+W87</f>
        <v>-8002.06847254495</v>
      </c>
      <c r="X88" s="53" t="n">
        <f aca="false">X73+X87</f>
        <v>-4148.81109186944</v>
      </c>
      <c r="Y88" s="53" t="n">
        <f aca="false">Y73+Y87</f>
        <v>46.9694568186096</v>
      </c>
      <c r="Z88" s="53" t="n">
        <f aca="false">Z73+Z87</f>
        <v>4628.5929141938</v>
      </c>
      <c r="AA88" s="53" t="n">
        <f aca="false">AA73+AA87</f>
        <v>-11369.186505648</v>
      </c>
      <c r="AB88" s="53" t="n">
        <f aca="false">AB73+AB87</f>
        <v>-6045.32790588192</v>
      </c>
      <c r="AC88" s="53" t="n">
        <f aca="false">AC73+AC87</f>
        <v>-359.35783547131</v>
      </c>
      <c r="AD88" s="53" t="n">
        <f aca="false">AD73+AD87</f>
        <v>5777.20950723105</v>
      </c>
      <c r="AE88" s="53" t="n">
        <f aca="false">AE73+AE87</f>
        <v>12386.637151847</v>
      </c>
      <c r="AF88" s="53" t="n">
        <f aca="false">AF73+AF87</f>
        <v>19508.8224392908</v>
      </c>
      <c r="AG88" s="53" t="n">
        <f aca="false">AG73+AG87</f>
        <v>27187.2235189852</v>
      </c>
      <c r="AH88" s="53" t="n">
        <f aca="false">AH73+AH87</f>
        <v>35469.084292753</v>
      </c>
      <c r="AI88" s="53" t="n">
        <f aca="false">AI73+AI87</f>
        <v>44405.6725292409</v>
      </c>
      <c r="AJ88" s="53" t="n">
        <f aca="false">AJ73+AJ87</f>
        <v>54052.6205043042</v>
      </c>
      <c r="AK88" s="53" t="n">
        <f aca="false">AK73+AK87</f>
        <v>64470.3018801457</v>
      </c>
      <c r="AL88" s="53" t="n">
        <f aca="false">AL73+AL87</f>
        <v>75724.2428232862</v>
      </c>
      <c r="AM88" s="53" t="n">
        <f aca="false">SUM(C88:AL88)</f>
        <v>-434837.462372439</v>
      </c>
    </row>
    <row r="89" customFormat="false" ht="15" hidden="false" customHeight="false" outlineLevel="0" collapsed="false">
      <c r="A89" s="37" t="s">
        <v>809</v>
      </c>
      <c r="B89" s="9" t="s">
        <v>61</v>
      </c>
      <c r="C89" s="52" t="n">
        <f aca="false">IFERROR(C88/C72,0)</f>
        <v>0</v>
      </c>
      <c r="D89" s="52" t="n">
        <f aca="false">IFERROR(D88/D72,0)</f>
        <v>-4.97478208154026</v>
      </c>
      <c r="E89" s="52" t="n">
        <f aca="false">IFERROR(E88/E72,0)</f>
        <v>-2.42758169755615</v>
      </c>
      <c r="F89" s="52" t="n">
        <f aca="false">IFERROR(F88/F72,0)</f>
        <v>-1.48376667890206</v>
      </c>
      <c r="G89" s="52" t="n">
        <f aca="false">IFERROR(G88/G72,0)</f>
        <v>-1.37983921744083</v>
      </c>
      <c r="H89" s="52" t="n">
        <f aca="false">IFERROR(H88/H72,0)</f>
        <v>-1.11336012136847</v>
      </c>
      <c r="I89" s="52" t="n">
        <f aca="false">IFERROR(I88/I72,0)</f>
        <v>-0.846374276492125</v>
      </c>
      <c r="J89" s="52" t="n">
        <f aca="false">IFERROR(J88/J72,0)</f>
        <v>-0.675502210247752</v>
      </c>
      <c r="K89" s="52" t="n">
        <f aca="false">IFERROR(K88/K72,0)</f>
        <v>-0.544154271918142</v>
      </c>
      <c r="L89" s="52" t="n">
        <f aca="false">IFERROR(L88/L72,0)</f>
        <v>-0.439530809964032</v>
      </c>
      <c r="M89" s="52" t="n">
        <f aca="false">IFERROR(M88/M72,0)</f>
        <v>-0.353779067821143</v>
      </c>
      <c r="N89" s="52" t="n">
        <f aca="false">IFERROR(N88/N72,0)</f>
        <v>-0.281815837651784</v>
      </c>
      <c r="O89" s="52" t="n">
        <f aca="false">IFERROR(O88/O72,0)</f>
        <v>-0.410785362986607</v>
      </c>
      <c r="P89" s="52" t="n">
        <f aca="false">IFERROR(P88/P72,0)</f>
        <v>-0.344155878877382</v>
      </c>
      <c r="Q89" s="52" t="n">
        <f aca="false">IFERROR(Q88/Q72,0)</f>
        <v>-0.285245211678854</v>
      </c>
      <c r="R89" s="52" t="n">
        <f aca="false">IFERROR(R88/R72,0)</f>
        <v>-0.232480403398651</v>
      </c>
      <c r="S89" s="52" t="n">
        <f aca="false">IFERROR(S88/S72,0)</f>
        <v>-0.184682849269616</v>
      </c>
      <c r="T89" s="52" t="n">
        <f aca="false">IFERROR(T88/T72,0)</f>
        <v>-0.140956041727788</v>
      </c>
      <c r="U89" s="52" t="n">
        <f aca="false">IFERROR(U88/U72,0)</f>
        <v>-0.107251803481273</v>
      </c>
      <c r="V89" s="52" t="n">
        <f aca="false">IFERROR(V88/V72,0)</f>
        <v>-0.0780538300968731</v>
      </c>
      <c r="W89" s="52" t="n">
        <f aca="false">IFERROR(W88/W72,0)</f>
        <v>-0.0502973952022547</v>
      </c>
      <c r="X89" s="52" t="n">
        <f aca="false">IFERROR(X88/X72,0)</f>
        <v>-0.0243238700904707</v>
      </c>
      <c r="Y89" s="52" t="n">
        <f aca="false">IFERROR(Y88/Y72,0)</f>
        <v>0.000256495389048387</v>
      </c>
      <c r="Z89" s="52" t="n">
        <f aca="false">IFERROR(Z88/Z72,0)</f>
        <v>0.0235123222659089</v>
      </c>
      <c r="AA89" s="52" t="n">
        <f aca="false">IFERROR(AA88/AA72,0)</f>
        <v>-0.0536565025553828</v>
      </c>
      <c r="AB89" s="52" t="n">
        <f aca="false">IFERROR(AB88/AB72,0)</f>
        <v>-0.0265112289738137</v>
      </c>
      <c r="AC89" s="52" t="n">
        <f aca="false">IFERROR(AC88/AC72,0)</f>
        <v>-0.00146520729703555</v>
      </c>
      <c r="AD89" s="52" t="n">
        <f aca="false">IFERROR(AD88/AD72,0)</f>
        <v>0.0219038380102321</v>
      </c>
      <c r="AE89" s="52" t="n">
        <f aca="false">IFERROR(AE88/AE72,0)</f>
        <v>0.0436730660675674</v>
      </c>
      <c r="AF89" s="52" t="n">
        <f aca="false">IFERROR(AF88/AF72,0)</f>
        <v>0.0639656463978712</v>
      </c>
      <c r="AG89" s="52" t="n">
        <f aca="false">IFERROR(AG88/AG72,0)</f>
        <v>0.0828912144413621</v>
      </c>
      <c r="AH89" s="52" t="n">
        <f aca="false">IFERROR(AH88/AH72,0)</f>
        <v>0.100547997094788</v>
      </c>
      <c r="AI89" s="52" t="n">
        <f aca="false">IFERROR(AI88/AI72,0)</f>
        <v>0.117024469782059</v>
      </c>
      <c r="AJ89" s="52" t="n">
        <f aca="false">IFERROR(AJ88/AJ72,0)</f>
        <v>0.132400895281225</v>
      </c>
      <c r="AK89" s="52" t="n">
        <f aca="false">IFERROR(AK88/AK72,0)</f>
        <v>0.14675056459708</v>
      </c>
      <c r="AL89" s="52" t="n">
        <f aca="false">IFERROR(AL88/AL72,0)</f>
        <v>0.160140791190387</v>
      </c>
      <c r="AM89" s="52" t="n">
        <f aca="false">AVERAGE(N89:AL89)</f>
        <v>-0.0531445649108103</v>
      </c>
    </row>
    <row r="90" customFormat="false" ht="15" hidden="false" customHeight="false" outlineLevel="0" collapsed="false">
      <c r="A90" s="10" t="s">
        <v>810</v>
      </c>
      <c r="B90" s="9" t="s">
        <v>97</v>
      </c>
      <c r="C90" s="70" t="n">
        <f aca="false">-C43*Assumptions!$G$102</f>
        <v>0</v>
      </c>
      <c r="D90" s="70" t="n">
        <f aca="false">-D43*Assumptions!$G$102</f>
        <v>9377.04878612277</v>
      </c>
      <c r="E90" s="70" t="n">
        <f aca="false">-E43*Assumptions!$G$102</f>
        <v>13719.4375408352</v>
      </c>
      <c r="F90" s="70" t="n">
        <f aca="false">-F43*Assumptions!$G$102</f>
        <v>17225.7381034576</v>
      </c>
      <c r="G90" s="70" t="n">
        <f aca="false">-G43*Assumptions!$G$102</f>
        <v>20560.4502721029</v>
      </c>
      <c r="H90" s="70" t="n">
        <f aca="false">-H43*Assumptions!$G$102</f>
        <v>23751.085175449</v>
      </c>
      <c r="I90" s="70" t="n">
        <f aca="false">-I43*Assumptions!$G$102</f>
        <v>26816.3957155338</v>
      </c>
      <c r="J90" s="70" t="n">
        <f aca="false">-J43*Assumptions!$G$102</f>
        <v>29774.014480577</v>
      </c>
      <c r="K90" s="70" t="n">
        <f aca="false">-K43*Assumptions!$G$102</f>
        <v>32641.0931906304</v>
      </c>
      <c r="L90" s="70" t="n">
        <f aca="false">-L43*Assumptions!$G$102</f>
        <v>35434.4432765135</v>
      </c>
      <c r="M90" s="70" t="n">
        <f aca="false">-M43*Assumptions!$G$102</f>
        <v>38170.6396343312</v>
      </c>
      <c r="N90" s="70" t="n">
        <f aca="false">-N43*Assumptions!$G$102</f>
        <v>40866.1215907572</v>
      </c>
      <c r="O90" s="70" t="n">
        <f aca="false">-O43*Assumptions!$G$102</f>
        <v>43537.2941194768</v>
      </c>
      <c r="P90" s="70" t="n">
        <f aca="false">-P43*Assumptions!$G$102</f>
        <v>46200.6301096591</v>
      </c>
      <c r="Q90" s="70" t="n">
        <f aca="false">-Q43*Assumptions!$G$102</f>
        <v>48872.7743356665</v>
      </c>
      <c r="R90" s="70" t="n">
        <f aca="false">-R43*Assumptions!$G$102</f>
        <v>51570.6497797281</v>
      </c>
      <c r="S90" s="70" t="n">
        <f aca="false">-S43*Assumptions!$G$102</f>
        <v>54311.566975779</v>
      </c>
      <c r="T90" s="70" t="n">
        <f aca="false">-T43*Assumptions!$G$102</f>
        <v>57113.3370627291</v>
      </c>
      <c r="U90" s="70" t="n">
        <f aca="false">-U43*Assumptions!$G$102</f>
        <v>60260.6865360253</v>
      </c>
      <c r="V90" s="70" t="n">
        <f aca="false">-V43*Assumptions!$G$102</f>
        <v>63767.5913072741</v>
      </c>
      <c r="W90" s="70" t="n">
        <f aca="false">-W43*Assumptions!$G$102</f>
        <v>67592.2108728071</v>
      </c>
      <c r="X90" s="70" t="n">
        <f aca="false">-X43*Assumptions!$G$102</f>
        <v>71749.2470230316</v>
      </c>
      <c r="Y90" s="70" t="n">
        <f aca="false">-Y43*Assumptions!$G$102</f>
        <v>76265.2767096246</v>
      </c>
      <c r="Z90" s="70" t="n">
        <f aca="false">-Z43*Assumptions!$G$102</f>
        <v>81170.238809265</v>
      </c>
      <c r="AA90" s="70" t="n">
        <f aca="false">-AA43*Assumptions!$G$102</f>
        <v>86496.6951154731</v>
      </c>
      <c r="AB90" s="70" t="n">
        <f aca="false">-AB43*Assumptions!$G$102</f>
        <v>92279.9081492359</v>
      </c>
      <c r="AC90" s="70" t="n">
        <f aca="false">-AC43*Assumptions!$G$102</f>
        <v>98545.6488542274</v>
      </c>
      <c r="AD90" s="70" t="n">
        <f aca="false">-AD43*Assumptions!$G$102</f>
        <v>105324.16088164</v>
      </c>
      <c r="AE90" s="70" t="n">
        <f aca="false">-AE43*Assumptions!$G$102</f>
        <v>112655.381596653</v>
      </c>
      <c r="AF90" s="70" t="n">
        <f aca="false">-AF43*Assumptions!$G$102</f>
        <v>120582.113051938</v>
      </c>
      <c r="AG90" s="70" t="n">
        <f aca="false">-AG43*Assumptions!$G$102</f>
        <v>129150.955918917</v>
      </c>
      <c r="AH90" s="70" t="n">
        <f aca="false">-AH43*Assumptions!$G$102</f>
        <v>138412.810697785</v>
      </c>
      <c r="AI90" s="70" t="n">
        <f aca="false">-AI43*Assumptions!$G$102</f>
        <v>148423.228138001</v>
      </c>
      <c r="AJ90" s="70" t="n">
        <f aca="false">-AJ43*Assumptions!$G$102</f>
        <v>159242.77714464</v>
      </c>
      <c r="AK90" s="70" t="n">
        <f aca="false">-AK43*Assumptions!$G$102</f>
        <v>170937.445971918</v>
      </c>
      <c r="AL90" s="70" t="n">
        <f aca="false">-AL43*Assumptions!$G$102</f>
        <v>183579.081607767</v>
      </c>
      <c r="AM90" s="70" t="n">
        <f aca="false">AL90</f>
        <v>183579.081607767</v>
      </c>
    </row>
    <row r="91" customFormat="false" ht="15" hidden="false" customHeight="false" outlineLevel="0" collapsed="false">
      <c r="A91" s="10" t="s">
        <v>811</v>
      </c>
      <c r="B91" s="9" t="s">
        <v>97</v>
      </c>
      <c r="C91" s="70" t="n">
        <f aca="false">-C90</f>
        <v>-0</v>
      </c>
      <c r="D91" s="70" t="n">
        <f aca="false">-(D90-C90)</f>
        <v>-9377.04878612277</v>
      </c>
      <c r="E91" s="70" t="n">
        <f aca="false">-(E90-D90)</f>
        <v>-4342.38875471247</v>
      </c>
      <c r="F91" s="70" t="n">
        <f aca="false">-(F90-E90)</f>
        <v>-3506.30056262231</v>
      </c>
      <c r="G91" s="70" t="n">
        <f aca="false">-(G90-F90)</f>
        <v>-3334.71216864534</v>
      </c>
      <c r="H91" s="70" t="n">
        <f aca="false">-(H90-G90)</f>
        <v>-3190.63490334613</v>
      </c>
      <c r="I91" s="70" t="n">
        <f aca="false">-(I90-H90)</f>
        <v>-3065.31054008475</v>
      </c>
      <c r="J91" s="70" t="n">
        <f aca="false">-(J90-I90)</f>
        <v>-2957.61876504319</v>
      </c>
      <c r="K91" s="70" t="n">
        <f aca="false">-(K90-J90)</f>
        <v>-2867.07871005347</v>
      </c>
      <c r="L91" s="70" t="n">
        <f aca="false">-(L90-K90)</f>
        <v>-2793.35008588311</v>
      </c>
      <c r="M91" s="70" t="n">
        <f aca="false">-(M90-L90)</f>
        <v>-2736.19635781764</v>
      </c>
      <c r="N91" s="70" t="n">
        <f aca="false">-(N90-M90)</f>
        <v>-2695.48195642608</v>
      </c>
      <c r="O91" s="70" t="n">
        <f aca="false">-(O90-N90)</f>
        <v>-2671.17252871951</v>
      </c>
      <c r="P91" s="70" t="n">
        <f aca="false">-(P90-O90)</f>
        <v>-2663.33599018231</v>
      </c>
      <c r="Q91" s="70" t="n">
        <f aca="false">-(Q90-P90)</f>
        <v>-2672.14422600743</v>
      </c>
      <c r="R91" s="70" t="n">
        <f aca="false">-(R90-Q90)</f>
        <v>-2697.87544406161</v>
      </c>
      <c r="S91" s="70" t="n">
        <f aca="false">-(S90-R90)</f>
        <v>-2740.9171960509</v>
      </c>
      <c r="T91" s="70" t="n">
        <f aca="false">-(T90-S90)</f>
        <v>-2801.77008695006</v>
      </c>
      <c r="U91" s="70" t="n">
        <f aca="false">-(U90-T90)</f>
        <v>-3147.34947329627</v>
      </c>
      <c r="V91" s="70" t="n">
        <f aca="false">-(V90-U90)</f>
        <v>-3506.90477124878</v>
      </c>
      <c r="W91" s="70" t="n">
        <f aca="false">-(W90-V90)</f>
        <v>-3824.61956553296</v>
      </c>
      <c r="X91" s="70" t="n">
        <f aca="false">-(X90-W90)</f>
        <v>-4157.03615022448</v>
      </c>
      <c r="Y91" s="70" t="n">
        <f aca="false">-(Y90-X90)</f>
        <v>-4516.02968659307</v>
      </c>
      <c r="Z91" s="70" t="n">
        <f aca="false">-(Z90-Y90)</f>
        <v>-4904.96209964034</v>
      </c>
      <c r="AA91" s="70" t="n">
        <f aca="false">-(AA90-Z90)</f>
        <v>-5326.45630620814</v>
      </c>
      <c r="AB91" s="70" t="n">
        <f aca="false">-(AB90-AA90)</f>
        <v>-5783.21303376276</v>
      </c>
      <c r="AC91" s="70" t="n">
        <f aca="false">-(AC90-AB90)</f>
        <v>-6265.74070499154</v>
      </c>
      <c r="AD91" s="70" t="n">
        <f aca="false">-(AD90-AC90)</f>
        <v>-6778.51202741214</v>
      </c>
      <c r="AE91" s="70" t="n">
        <f aca="false">-(AE90-AD90)</f>
        <v>-7331.22071501309</v>
      </c>
      <c r="AF91" s="70" t="n">
        <f aca="false">-(AF90-AE90)</f>
        <v>-7926.73145528529</v>
      </c>
      <c r="AG91" s="70" t="n">
        <f aca="false">-(AG90-AF90)</f>
        <v>-8568.84286697887</v>
      </c>
      <c r="AH91" s="70" t="n">
        <f aca="false">-(AH90-AG90)</f>
        <v>-9261.85477886823</v>
      </c>
      <c r="AI91" s="70" t="n">
        <f aca="false">-(AI90-AH90)</f>
        <v>-10010.4174402159</v>
      </c>
      <c r="AJ91" s="70" t="n">
        <f aca="false">-(AJ90-AI90)</f>
        <v>-10819.549006639</v>
      </c>
      <c r="AK91" s="70" t="n">
        <f aca="false">-(AK90-AJ90)</f>
        <v>-11694.6688272785</v>
      </c>
      <c r="AL91" s="70" t="n">
        <f aca="false">-(AL90-AK90)</f>
        <v>-12641.6356358485</v>
      </c>
      <c r="AM91" s="70" t="n">
        <f aca="false">SUM(C91:AL91)</f>
        <v>-183579.081607767</v>
      </c>
    </row>
    <row r="92" customFormat="false" ht="15" hidden="false" customHeight="false" outlineLevel="0" collapsed="false">
      <c r="A92" s="10" t="s">
        <v>812</v>
      </c>
      <c r="B92" s="9" t="s">
        <v>97</v>
      </c>
      <c r="C92" s="70" t="n">
        <f aca="false">C88+C91</f>
        <v>-43080</v>
      </c>
      <c r="D92" s="70" t="n">
        <f aca="false">D88+D91</f>
        <v>-96394.9546525928</v>
      </c>
      <c r="E92" s="70" t="n">
        <f aca="false">E88+E91</f>
        <v>-66469.1268521153</v>
      </c>
      <c r="F92" s="70" t="n">
        <f aca="false">F88+F91</f>
        <v>-51183.6215835487</v>
      </c>
      <c r="G92" s="70" t="n">
        <f aca="false">G88+G91</f>
        <v>-56255.8893711045</v>
      </c>
      <c r="H92" s="70" t="n">
        <f aca="false">H88+H91</f>
        <v>-52517.9536367377</v>
      </c>
      <c r="I92" s="70" t="n">
        <f aca="false">I88+I91</f>
        <v>-47702.5342406517</v>
      </c>
      <c r="J92" s="70" t="n">
        <f aca="false">J88+J91</f>
        <v>-43455.5417541766</v>
      </c>
      <c r="K92" s="70" t="n">
        <f aca="false">K88+K91</f>
        <v>-39325.9487001202</v>
      </c>
      <c r="L92" s="70" t="n">
        <f aca="false">L88+L91</f>
        <v>-35287.9961055346</v>
      </c>
      <c r="M92" s="70" t="n">
        <f aca="false">M88+M91</f>
        <v>-31316.2268213367</v>
      </c>
      <c r="N92" s="70" t="n">
        <f aca="false">N88+N91</f>
        <v>-27385.2899912244</v>
      </c>
      <c r="O92" s="70" t="n">
        <f aca="false">O88+O91</f>
        <v>-41469.74778405</v>
      </c>
      <c r="P92" s="70" t="n">
        <f aca="false">P88+P91</f>
        <v>-37543.8803222109</v>
      </c>
      <c r="Q92" s="70" t="n">
        <f aca="false">Q88+Q91</f>
        <v>-33581.487029296</v>
      </c>
      <c r="R92" s="70" t="n">
        <f aca="false">R88+R91</f>
        <v>-29555.6827673795</v>
      </c>
      <c r="S92" s="70" t="n">
        <f aca="false">S88+S91</f>
        <v>-25438.6871143221</v>
      </c>
      <c r="T92" s="70" t="n">
        <f aca="false">T88+T91</f>
        <v>-21201.6050879078</v>
      </c>
      <c r="U92" s="70" t="n">
        <f aca="false">U88+U91</f>
        <v>-18064.1800178348</v>
      </c>
      <c r="V92" s="70" t="n">
        <f aca="false">V88+V91</f>
        <v>-15107.3250542497</v>
      </c>
      <c r="W92" s="70" t="n">
        <f aca="false">W88+W91</f>
        <v>-11826.6880380779</v>
      </c>
      <c r="X92" s="70" t="n">
        <f aca="false">X88+X91</f>
        <v>-8305.84724209392</v>
      </c>
      <c r="Y92" s="70" t="n">
        <f aca="false">Y88+Y91</f>
        <v>-4469.06022977446</v>
      </c>
      <c r="Z92" s="70" t="n">
        <f aca="false">Z88+Z91</f>
        <v>-276.369185446543</v>
      </c>
      <c r="AA92" s="70" t="n">
        <f aca="false">AA88+AA91</f>
        <v>-16695.6428118562</v>
      </c>
      <c r="AB92" s="70" t="n">
        <f aca="false">AB88+AB91</f>
        <v>-11828.5409396447</v>
      </c>
      <c r="AC92" s="70" t="n">
        <f aca="false">AC88+AC91</f>
        <v>-6625.09854046284</v>
      </c>
      <c r="AD92" s="70" t="n">
        <f aca="false">AD88+AD91</f>
        <v>-1001.3025201811</v>
      </c>
      <c r="AE92" s="70" t="n">
        <f aca="false">AE88+AE91</f>
        <v>5055.41643683396</v>
      </c>
      <c r="AF92" s="70" t="n">
        <f aca="false">AF88+AF91</f>
        <v>11582.0909840055</v>
      </c>
      <c r="AG92" s="70" t="n">
        <f aca="false">AG88+AG91</f>
        <v>18618.3806520063</v>
      </c>
      <c r="AH92" s="70" t="n">
        <f aca="false">AH88+AH91</f>
        <v>26207.2295138848</v>
      </c>
      <c r="AI92" s="70" t="n">
        <f aca="false">AI88+AI91</f>
        <v>34395.2550890251</v>
      </c>
      <c r="AJ92" s="70" t="n">
        <f aca="false">AJ88+AJ91</f>
        <v>43233.0714976653</v>
      </c>
      <c r="AK92" s="70" t="n">
        <f aca="false">AK88+AK91</f>
        <v>52775.6330528672</v>
      </c>
      <c r="AL92" s="70" t="n">
        <f aca="false">AL88+AL91</f>
        <v>63082.6071874377</v>
      </c>
      <c r="AM92" s="70" t="n">
        <f aca="false">SUM(C92:AL92)</f>
        <v>-618416.543980206</v>
      </c>
    </row>
    <row r="93" customFormat="false" ht="15" hidden="false" customHeight="false" outlineLevel="0" collapsed="false">
      <c r="A93" s="37" t="s">
        <v>813</v>
      </c>
      <c r="B93" s="9" t="s">
        <v>97</v>
      </c>
      <c r="C93" s="53" t="n">
        <f aca="false">C92</f>
        <v>-43080</v>
      </c>
      <c r="D93" s="53" t="n">
        <f aca="false">C93+D92</f>
        <v>-139474.954652593</v>
      </c>
      <c r="E93" s="53" t="n">
        <f aca="false">D93+E92</f>
        <v>-205944.081504708</v>
      </c>
      <c r="F93" s="53" t="n">
        <f aca="false">E93+F92</f>
        <v>-257127.703088257</v>
      </c>
      <c r="G93" s="53" t="n">
        <f aca="false">F93+G92</f>
        <v>-313383.592459361</v>
      </c>
      <c r="H93" s="53" t="n">
        <f aca="false">G93+H92</f>
        <v>-365901.546096099</v>
      </c>
      <c r="I93" s="53" t="n">
        <f aca="false">H93+I92</f>
        <v>-413604.080336751</v>
      </c>
      <c r="J93" s="53" t="n">
        <f aca="false">I93+J92</f>
        <v>-457059.622090927</v>
      </c>
      <c r="K93" s="53" t="n">
        <f aca="false">J93+K92</f>
        <v>-496385.570791048</v>
      </c>
      <c r="L93" s="53" t="n">
        <f aca="false">K93+L92</f>
        <v>-531673.566896582</v>
      </c>
      <c r="M93" s="53" t="n">
        <f aca="false">L93+M92</f>
        <v>-562989.793717919</v>
      </c>
      <c r="N93" s="53" t="n">
        <f aca="false">M93+N92</f>
        <v>-590375.083709143</v>
      </c>
      <c r="O93" s="53" t="n">
        <f aca="false">N93+O92</f>
        <v>-631844.831493193</v>
      </c>
      <c r="P93" s="53" t="n">
        <f aca="false">O93+P92</f>
        <v>-669388.711815404</v>
      </c>
      <c r="Q93" s="53" t="n">
        <f aca="false">P93+Q92</f>
        <v>-702970.1988447</v>
      </c>
      <c r="R93" s="53" t="n">
        <f aca="false">Q93+R92</f>
        <v>-732525.88161208</v>
      </c>
      <c r="S93" s="53" t="n">
        <f aca="false">R93+S92</f>
        <v>-757964.568726402</v>
      </c>
      <c r="T93" s="53" t="n">
        <f aca="false">S93+T92</f>
        <v>-779166.17381431</v>
      </c>
      <c r="U93" s="53" t="n">
        <f aca="false">T93+U92</f>
        <v>-797230.353832144</v>
      </c>
      <c r="V93" s="53" t="n">
        <f aca="false">U93+V92</f>
        <v>-812337.678886394</v>
      </c>
      <c r="W93" s="53" t="n">
        <f aca="false">V93+W92</f>
        <v>-824164.366924472</v>
      </c>
      <c r="X93" s="53" t="n">
        <f aca="false">W93+X92</f>
        <v>-832470.214166566</v>
      </c>
      <c r="Y93" s="53" t="n">
        <f aca="false">X93+Y92</f>
        <v>-836939.27439634</v>
      </c>
      <c r="Z93" s="53" t="n">
        <f aca="false">Y93+Z92</f>
        <v>-837215.643581787</v>
      </c>
      <c r="AA93" s="53" t="n">
        <f aca="false">Z93+AA92</f>
        <v>-853911.286393643</v>
      </c>
      <c r="AB93" s="53" t="n">
        <f aca="false">AA93+AB92</f>
        <v>-865739.827333288</v>
      </c>
      <c r="AC93" s="53" t="n">
        <f aca="false">AB93+AC92</f>
        <v>-872364.925873751</v>
      </c>
      <c r="AD93" s="53" t="n">
        <f aca="false">AC93+AD92</f>
        <v>-873366.228393932</v>
      </c>
      <c r="AE93" s="53" t="n">
        <f aca="false">AD93+AE92</f>
        <v>-868310.811957098</v>
      </c>
      <c r="AF93" s="53" t="n">
        <f aca="false">AE93+AF92</f>
        <v>-856728.720973092</v>
      </c>
      <c r="AG93" s="53" t="n">
        <f aca="false">AF93+AG92</f>
        <v>-838110.340321086</v>
      </c>
      <c r="AH93" s="53" t="n">
        <f aca="false">AG93+AH92</f>
        <v>-811903.110807201</v>
      </c>
      <c r="AI93" s="53" t="n">
        <f aca="false">AH93+AI92</f>
        <v>-777507.855718176</v>
      </c>
      <c r="AJ93" s="53" t="n">
        <f aca="false">AI93+AJ92</f>
        <v>-734274.784220511</v>
      </c>
      <c r="AK93" s="53" t="n">
        <f aca="false">AJ93+AK92</f>
        <v>-681499.151167644</v>
      </c>
      <c r="AL93" s="53" t="n">
        <f aca="false">AK93+AL92</f>
        <v>-618416.543980206</v>
      </c>
      <c r="AM93" s="53" t="n">
        <f aca="false">AL93</f>
        <v>-618416.543980206</v>
      </c>
    </row>
    <row r="94" customFormat="false" ht="15" hidden="false" customHeight="false" outlineLevel="0" collapsed="false">
      <c r="A94" s="10" t="s">
        <v>814</v>
      </c>
      <c r="B94" s="9" t="s">
        <v>51</v>
      </c>
      <c r="C94" s="69" t="n">
        <f aca="false">IF(C88&gt;0,C$5,999)</f>
        <v>999</v>
      </c>
      <c r="D94" s="69" t="n">
        <f aca="false">IF(D88&gt;0,D$5,999)</f>
        <v>999</v>
      </c>
      <c r="E94" s="69" t="n">
        <f aca="false">IF(E88&gt;0,E$5,999)</f>
        <v>999</v>
      </c>
      <c r="F94" s="69" t="n">
        <f aca="false">IF(F88&gt;0,F$5,999)</f>
        <v>999</v>
      </c>
      <c r="G94" s="69" t="n">
        <f aca="false">IF(G88&gt;0,G$5,999)</f>
        <v>999</v>
      </c>
      <c r="H94" s="69" t="n">
        <f aca="false">IF(H88&gt;0,H$5,999)</f>
        <v>999</v>
      </c>
      <c r="I94" s="69" t="n">
        <f aca="false">IF(I88&gt;0,I$5,999)</f>
        <v>999</v>
      </c>
      <c r="J94" s="69" t="n">
        <f aca="false">IF(J88&gt;0,J$5,999)</f>
        <v>999</v>
      </c>
      <c r="K94" s="69" t="n">
        <f aca="false">IF(K88&gt;0,K$5,999)</f>
        <v>999</v>
      </c>
      <c r="L94" s="69" t="n">
        <f aca="false">IF(L88&gt;0,L$5,999)</f>
        <v>999</v>
      </c>
      <c r="M94" s="69" t="n">
        <f aca="false">IF(M88&gt;0,M$5,999)</f>
        <v>999</v>
      </c>
      <c r="N94" s="69" t="n">
        <f aca="false">IF(N88&gt;0,N$5,999)</f>
        <v>999</v>
      </c>
      <c r="O94" s="69" t="n">
        <f aca="false">IF(O88&gt;0,O$5,999)</f>
        <v>999</v>
      </c>
      <c r="P94" s="69" t="n">
        <f aca="false">IF(P88&gt;0,P$5,999)</f>
        <v>999</v>
      </c>
      <c r="Q94" s="69" t="n">
        <f aca="false">IF(Q88&gt;0,Q$5,999)</f>
        <v>999</v>
      </c>
      <c r="R94" s="69" t="n">
        <f aca="false">IF(R88&gt;0,R$5,999)</f>
        <v>999</v>
      </c>
      <c r="S94" s="69" t="n">
        <f aca="false">IF(S88&gt;0,S$5,999)</f>
        <v>999</v>
      </c>
      <c r="T94" s="69" t="n">
        <f aca="false">IF(T88&gt;0,T$5,999)</f>
        <v>999</v>
      </c>
      <c r="U94" s="69" t="n">
        <f aca="false">IF(U88&gt;0,U$5,999)</f>
        <v>999</v>
      </c>
      <c r="V94" s="69" t="n">
        <f aca="false">IF(V88&gt;0,V$5,999)</f>
        <v>999</v>
      </c>
      <c r="W94" s="69" t="n">
        <f aca="false">IF(W88&gt;0,W$5,999)</f>
        <v>999</v>
      </c>
      <c r="X94" s="69" t="n">
        <f aca="false">IF(X88&gt;0,X$5,999)</f>
        <v>999</v>
      </c>
      <c r="Y94" s="69" t="n">
        <f aca="false">IF(Y88&gt;0,Y$5,999)</f>
        <v>23</v>
      </c>
      <c r="Z94" s="69" t="n">
        <f aca="false">IF(Z88&gt;0,Z$5,999)</f>
        <v>24</v>
      </c>
      <c r="AA94" s="69" t="n">
        <f aca="false">IF(AA88&gt;0,AA$5,999)</f>
        <v>999</v>
      </c>
      <c r="AB94" s="69" t="n">
        <f aca="false">IF(AB88&gt;0,AB$5,999)</f>
        <v>999</v>
      </c>
      <c r="AC94" s="69" t="n">
        <f aca="false">IF(AC88&gt;0,AC$5,999)</f>
        <v>999</v>
      </c>
      <c r="AD94" s="69" t="n">
        <f aca="false">IF(AD88&gt;0,AD$5,999)</f>
        <v>28</v>
      </c>
      <c r="AE94" s="69" t="n">
        <f aca="false">IF(AE88&gt;0,AE$5,999)</f>
        <v>29</v>
      </c>
      <c r="AF94" s="69" t="n">
        <f aca="false">IF(AF88&gt;0,AF$5,999)</f>
        <v>30</v>
      </c>
      <c r="AG94" s="69" t="n">
        <f aca="false">IF(AG88&gt;0,AG$5,999)</f>
        <v>31</v>
      </c>
      <c r="AH94" s="69" t="n">
        <f aca="false">IF(AH88&gt;0,AH$5,999)</f>
        <v>32</v>
      </c>
      <c r="AI94" s="69" t="n">
        <f aca="false">IF(AI88&gt;0,AI$5,999)</f>
        <v>33</v>
      </c>
      <c r="AJ94" s="69" t="n">
        <f aca="false">IF(AJ88&gt;0,AJ$5,999)</f>
        <v>34</v>
      </c>
      <c r="AK94" s="69" t="n">
        <f aca="false">IF(AK88&gt;0,AK$5,999)</f>
        <v>35</v>
      </c>
      <c r="AL94" s="69" t="n">
        <f aca="false">IF(AL88&gt;0,AL$5,999)</f>
        <v>36</v>
      </c>
      <c r="AM94" s="69"/>
    </row>
    <row r="95" customFormat="false" ht="15" hidden="false" customHeight="false" outlineLevel="0" collapsed="false">
      <c r="A95" s="10" t="s">
        <v>815</v>
      </c>
      <c r="B95" s="9" t="s">
        <v>51</v>
      </c>
      <c r="C95" s="61" t="n">
        <f aca="false">C32+C56</f>
        <v>0</v>
      </c>
      <c r="D95" s="61" t="n">
        <f aca="false">D32+D56</f>
        <v>231.18956573281</v>
      </c>
      <c r="E95" s="61" t="n">
        <f aca="false">E32+E56</f>
        <v>236.989402675381</v>
      </c>
      <c r="F95" s="61" t="n">
        <f aca="false">F32+F56</f>
        <v>240.913984463748</v>
      </c>
      <c r="G95" s="61" t="n">
        <f aca="false">G32+G56</f>
        <v>245.021697286052</v>
      </c>
      <c r="H95" s="61" t="n">
        <f aca="false">H32+H56</f>
        <v>249.486555864883</v>
      </c>
      <c r="I95" s="61" t="n">
        <f aca="false">I32+I56</f>
        <v>260.977009572469</v>
      </c>
      <c r="J95" s="61" t="n">
        <f aca="false">J32+J56</f>
        <v>266.942796231748</v>
      </c>
      <c r="K95" s="61" t="n">
        <f aca="false">K32+K56</f>
        <v>273.431177064295</v>
      </c>
      <c r="L95" s="61" t="n">
        <f aca="false">L32+L56</f>
        <v>280.490397140977</v>
      </c>
      <c r="M95" s="61" t="n">
        <f aca="false">M32+M56</f>
        <v>288.173138165924</v>
      </c>
      <c r="N95" s="61" t="n">
        <f aca="false">N32+N56</f>
        <v>296.536929218946</v>
      </c>
      <c r="O95" s="61" t="n">
        <f aca="false">O32+O56</f>
        <v>305.644590594946</v>
      </c>
      <c r="P95" s="61" t="n">
        <f aca="false">P32+P56</f>
        <v>315.564717436035</v>
      </c>
      <c r="Q95" s="61" t="n">
        <f aca="false">Q32+Q56</f>
        <v>326.372206910291</v>
      </c>
      <c r="R95" s="61" t="n">
        <f aca="false">R32+R56</f>
        <v>338.148832732404</v>
      </c>
      <c r="S95" s="61" t="n">
        <f aca="false">S32+S56</f>
        <v>350.983871092782</v>
      </c>
      <c r="T95" s="61" t="n">
        <f aca="false">T32+T56</f>
        <v>364.974782359096</v>
      </c>
      <c r="U95" s="61" t="n">
        <f aca="false">U32+U56</f>
        <v>387.034388037831</v>
      </c>
      <c r="V95" s="61" t="n">
        <f aca="false">V32+V56</f>
        <v>414.224709253564</v>
      </c>
      <c r="W95" s="61" t="n">
        <f aca="false">W32+W56</f>
        <v>444.096698962498</v>
      </c>
      <c r="X95" s="61" t="n">
        <f aca="false">X32+X56</f>
        <v>476.631248215095</v>
      </c>
      <c r="Y95" s="61" t="n">
        <f aca="false">Y32+Y56</f>
        <v>512.014507219681</v>
      </c>
      <c r="Z95" s="61" t="n">
        <f aca="false">Z32+Z56</f>
        <v>550.483637027708</v>
      </c>
      <c r="AA95" s="61" t="n">
        <f aca="false">AA32+AA56</f>
        <v>592.300591440857</v>
      </c>
      <c r="AB95" s="61" t="n">
        <f aca="false">AB32+AB56</f>
        <v>637.018250124899</v>
      </c>
      <c r="AC95" s="61" t="n">
        <f aca="false">AC32+AC56</f>
        <v>684.717681148362</v>
      </c>
      <c r="AD95" s="61" t="n">
        <f aca="false">AD32+AD56</f>
        <v>736.016105475769</v>
      </c>
      <c r="AE95" s="61" t="n">
        <f aca="false">AE32+AE56</f>
        <v>791.301058084919</v>
      </c>
      <c r="AF95" s="61" t="n">
        <f aca="false">AF32+AF56</f>
        <v>850.924720198681</v>
      </c>
      <c r="AG95" s="61" t="n">
        <f aca="false">AG32+AG56</f>
        <v>915.264186392783</v>
      </c>
      <c r="AH95" s="61" t="n">
        <f aca="false">AH32+AH56</f>
        <v>984.726892979113</v>
      </c>
      <c r="AI95" s="61" t="n">
        <f aca="false">AI32+AI56</f>
        <v>1059.7540357419</v>
      </c>
      <c r="AJ95" s="61" t="n">
        <f aca="false">AJ32+AJ56</f>
        <v>1140.82368247797</v>
      </c>
      <c r="AK95" s="61" t="n">
        <f aca="false">AK32+AK56</f>
        <v>1228.45407888232</v>
      </c>
      <c r="AL95" s="61" t="n">
        <f aca="false">AL32+AL56</f>
        <v>1323.20722480832</v>
      </c>
      <c r="AM95" s="61" t="n">
        <f aca="false">SUM(C95:AL95)</f>
        <v>18600.8353510151</v>
      </c>
    </row>
    <row r="96" customFormat="false" ht="15" hidden="false" customHeight="false" outlineLevel="0" collapsed="false">
      <c r="A96" s="37" t="s">
        <v>816</v>
      </c>
      <c r="B96" s="9" t="s">
        <v>97</v>
      </c>
      <c r="C96" s="51" t="n">
        <f aca="false">IFERROR((C26-C82)/C95,0)</f>
        <v>0</v>
      </c>
      <c r="D96" s="51" t="n">
        <f aca="false">IFERROR((D26-D82)/D95,0)</f>
        <v>181.669098546343</v>
      </c>
      <c r="E96" s="51" t="n">
        <f aca="false">IFERROR((E26-E82)/E95,0)</f>
        <v>177.223114307478</v>
      </c>
      <c r="F96" s="51" t="n">
        <f aca="false">IFERROR((F26-F82)/F95,0)</f>
        <v>174.336081375633</v>
      </c>
      <c r="G96" s="51" t="n">
        <f aca="false">IFERROR((G26-G82)/G95,0)</f>
        <v>171.413390998459</v>
      </c>
      <c r="H96" s="51" t="n">
        <f aca="false">IFERROR((H26-H82)/H95,0)</f>
        <v>168.345744540826</v>
      </c>
      <c r="I96" s="51" t="n">
        <f aca="false">IFERROR((I26-I82)/I95,0)</f>
        <v>160.933716225824</v>
      </c>
      <c r="J96" s="51" t="n">
        <f aca="false">IFERROR((J26-J82)/J95,0)</f>
        <v>157.337079677316</v>
      </c>
      <c r="K96" s="51" t="n">
        <f aca="false">IFERROR((K26-K82)/K95,0)</f>
        <v>153.603551909972</v>
      </c>
      <c r="L96" s="51" t="n">
        <f aca="false">IFERROR((L26-L82)/L95,0)</f>
        <v>149.737746561393</v>
      </c>
      <c r="M96" s="51" t="n">
        <f aca="false">IFERROR((M26-M82)/M95,0)</f>
        <v>145.745714771712</v>
      </c>
      <c r="N96" s="51" t="n">
        <f aca="false">IFERROR((N26-N82)/N95,0)</f>
        <v>141.634973123329</v>
      </c>
      <c r="O96" s="51" t="n">
        <f aca="false">IFERROR((O26-O82)/O95,0)</f>
        <v>137.414504599102</v>
      </c>
      <c r="P96" s="51" t="n">
        <f aca="false">IFERROR((P26-P82)/P95,0)</f>
        <v>133.094727259911</v>
      </c>
      <c r="Q96" s="51" t="n">
        <f aca="false">IFERROR((Q26-Q82)/Q95,0)</f>
        <v>128.687428373901</v>
      </c>
      <c r="R96" s="51" t="n">
        <f aca="false">IFERROR((R26-R82)/R95,0)</f>
        <v>124.205663111772</v>
      </c>
      <c r="S96" s="51" t="n">
        <f aca="false">IFERROR((S26-S82)/S95,0)</f>
        <v>119.663618357259</v>
      </c>
      <c r="T96" s="51" t="n">
        <f aca="false">IFERROR((T26-T82)/T95,0)</f>
        <v>115.076443716258</v>
      </c>
      <c r="U96" s="51" t="n">
        <f aca="false">IFERROR((U26-U82)/U95,0)</f>
        <v>111.950349803855</v>
      </c>
      <c r="V96" s="51" t="n">
        <f aca="false">IFERROR((V26-V82)/V95,0)</f>
        <v>109.553480955362</v>
      </c>
      <c r="W96" s="51" t="n">
        <f aca="false">IFERROR((W26-W82)/W95,0)</f>
        <v>107.339200596355</v>
      </c>
      <c r="X96" s="51" t="n">
        <f aca="false">IFERROR((X26-X82)/X95,0)</f>
        <v>105.286468525047</v>
      </c>
      <c r="Y96" s="51" t="n">
        <f aca="false">IFERROR((Y26-Y82)/Y95,0)</f>
        <v>103.387110708167</v>
      </c>
      <c r="Z96" s="51" t="n">
        <f aca="false">IFERROR((Z26-Z82)/Z95,0)</f>
        <v>101.635754545427</v>
      </c>
      <c r="AA96" s="51" t="n">
        <f aca="false">IFERROR((AA26-AA82)/AA95,0)</f>
        <v>100.026850383647</v>
      </c>
      <c r="AB96" s="51" t="n">
        <f aca="false">IFERROR((AB26-AB82)/AB95,0)</f>
        <v>98.6678140358639</v>
      </c>
      <c r="AC96" s="51" t="n">
        <f aca="false">IFERROR((AC26-AC82)/AC95,0)</f>
        <v>97.4517697521614</v>
      </c>
      <c r="AD96" s="51" t="n">
        <f aca="false">IFERROR((AD26-AD82)/AD95,0)</f>
        <v>96.2785714016153</v>
      </c>
      <c r="AE96" s="51" t="n">
        <f aca="false">IFERROR((AE26-AE82)/AE95,0)</f>
        <v>95.1607364552934</v>
      </c>
      <c r="AF96" s="51" t="n">
        <f aca="false">IFERROR((AF26-AF82)/AF95,0)</f>
        <v>94.0967509408794</v>
      </c>
      <c r="AG96" s="51" t="n">
        <f aca="false">IFERROR((AG26-AG82)/AG95,0)</f>
        <v>93.0850086097455</v>
      </c>
      <c r="AH96" s="51" t="n">
        <f aca="false">IFERROR((AH26-AH82)/AH95,0)</f>
        <v>92.1238474890309</v>
      </c>
      <c r="AI96" s="51" t="n">
        <f aca="false">IFERROR((AI26-AI82)/AI95,0)</f>
        <v>91.2115967682073</v>
      </c>
      <c r="AJ96" s="51" t="n">
        <f aca="false">IFERROR((AJ26-AJ82)/AJ95,0)</f>
        <v>90.3465750462684</v>
      </c>
      <c r="AK96" s="51" t="n">
        <f aca="false">IFERROR((AK26-AK82)/AK95,0)</f>
        <v>89.5270896410143</v>
      </c>
      <c r="AL96" s="51" t="n">
        <f aca="false">IFERROR((AL26-AL82)/AL95,0)</f>
        <v>88.7514384837006</v>
      </c>
      <c r="AM96" s="51" t="n">
        <f aca="false">AVERAGE(N96:AL96)</f>
        <v>106.626310907327</v>
      </c>
    </row>
    <row r="97" customFormat="false" ht="15" hidden="false" customHeight="false" outlineLevel="0" collapsed="false">
      <c r="A97" s="10" t="s">
        <v>817</v>
      </c>
      <c r="B97" s="9" t="s">
        <v>97</v>
      </c>
      <c r="C97" s="63" t="n">
        <f aca="false">IFERROR(C18/(C19*Assumptions!$G$49*Assumptions!$G$31*Assumptions!$G$32),0)</f>
        <v>0</v>
      </c>
      <c r="D97" s="63" t="n">
        <f aca="false">IFERROR(D18/(D19*Assumptions!$G$49*Assumptions!$G$31*Assumptions!$G$32),0)</f>
        <v>58.2010582010582</v>
      </c>
      <c r="E97" s="63" t="n">
        <f aca="false">IFERROR(E18/(E19*Assumptions!$G$49*Assumptions!$G$31*Assumptions!$G$32),0)</f>
        <v>58.2010582010582</v>
      </c>
      <c r="F97" s="63" t="n">
        <f aca="false">IFERROR(F18/(F19*Assumptions!$G$49*Assumptions!$G$31*Assumptions!$G$32),0)</f>
        <v>58.2010582010582</v>
      </c>
      <c r="G97" s="63" t="n">
        <f aca="false">IFERROR(G18/(G19*Assumptions!$G$49*Assumptions!$G$31*Assumptions!$G$32),0)</f>
        <v>58.2010582010582</v>
      </c>
      <c r="H97" s="63" t="n">
        <f aca="false">IFERROR(H18/(H19*Assumptions!$G$49*Assumptions!$G$31*Assumptions!$G$32),0)</f>
        <v>58.2010582010582</v>
      </c>
      <c r="I97" s="63" t="n">
        <f aca="false">IFERROR(I18/(I19*Assumptions!$G$49*Assumptions!$G$31*Assumptions!$G$32),0)</f>
        <v>58.2010582010582</v>
      </c>
      <c r="J97" s="63" t="n">
        <f aca="false">IFERROR(J18/(J19*Assumptions!$G$49*Assumptions!$G$31*Assumptions!$G$32),0)</f>
        <v>58.2010582010582</v>
      </c>
      <c r="K97" s="63" t="n">
        <f aca="false">IFERROR(K18/(K19*Assumptions!$G$49*Assumptions!$G$31*Assumptions!$G$32),0)</f>
        <v>58.2010582010582</v>
      </c>
      <c r="L97" s="63" t="n">
        <f aca="false">IFERROR(L18/(L19*Assumptions!$G$49*Assumptions!$G$31*Assumptions!$G$32),0)</f>
        <v>58.2010582010582</v>
      </c>
      <c r="M97" s="63" t="n">
        <f aca="false">IFERROR(M18/(M19*Assumptions!$G$49*Assumptions!$G$31*Assumptions!$G$32),0)</f>
        <v>58.2010582010582</v>
      </c>
      <c r="N97" s="63" t="n">
        <f aca="false">IFERROR(N18/(N19*Assumptions!$G$49*Assumptions!$G$31*Assumptions!$G$32),0)</f>
        <v>58.2010582010582</v>
      </c>
      <c r="O97" s="63" t="n">
        <f aca="false">IFERROR(O18/(O19*Assumptions!$G$49*Assumptions!$G$31*Assumptions!$G$32),0)</f>
        <v>58.2010582010582</v>
      </c>
      <c r="P97" s="63" t="n">
        <f aca="false">IFERROR(P18/(P19*Assumptions!$G$49*Assumptions!$G$31*Assumptions!$G$32),0)</f>
        <v>58.2010582010582</v>
      </c>
      <c r="Q97" s="63" t="n">
        <f aca="false">IFERROR(Q18/(Q19*Assumptions!$G$49*Assumptions!$G$31*Assumptions!$G$32),0)</f>
        <v>58.2010582010582</v>
      </c>
      <c r="R97" s="63" t="n">
        <f aca="false">IFERROR(R18/(R19*Assumptions!$G$49*Assumptions!$G$31*Assumptions!$G$32),0)</f>
        <v>58.2010582010582</v>
      </c>
      <c r="S97" s="63" t="n">
        <f aca="false">IFERROR(S18/(S19*Assumptions!$G$49*Assumptions!$G$31*Assumptions!$G$32),0)</f>
        <v>58.2010582010582</v>
      </c>
      <c r="T97" s="63" t="n">
        <f aca="false">IFERROR(T18/(T19*Assumptions!$G$49*Assumptions!$G$31*Assumptions!$G$32),0)</f>
        <v>58.2010582010582</v>
      </c>
      <c r="U97" s="63" t="n">
        <f aca="false">IFERROR(U18/(U19*Assumptions!$G$49*Assumptions!$G$31*Assumptions!$G$32),0)</f>
        <v>58.2010582010582</v>
      </c>
      <c r="V97" s="63" t="n">
        <f aca="false">IFERROR(V18/(V19*Assumptions!$G$49*Assumptions!$G$31*Assumptions!$G$32),0)</f>
        <v>58.2010582010582</v>
      </c>
      <c r="W97" s="63" t="n">
        <f aca="false">IFERROR(W18/(W19*Assumptions!$G$49*Assumptions!$G$31*Assumptions!$G$32),0)</f>
        <v>58.2010582010582</v>
      </c>
      <c r="X97" s="63" t="n">
        <f aca="false">IFERROR(X18/(X19*Assumptions!$G$49*Assumptions!$G$31*Assumptions!$G$32),0)</f>
        <v>58.2010582010582</v>
      </c>
      <c r="Y97" s="63" t="n">
        <f aca="false">IFERROR(Y18/(Y19*Assumptions!$G$49*Assumptions!$G$31*Assumptions!$G$32),0)</f>
        <v>58.2010582010582</v>
      </c>
      <c r="Z97" s="63" t="n">
        <f aca="false">IFERROR(Z18/(Z19*Assumptions!$G$49*Assumptions!$G$31*Assumptions!$G$32),0)</f>
        <v>58.2010582010582</v>
      </c>
      <c r="AA97" s="63" t="n">
        <f aca="false">IFERROR(AA18/(AA19*Assumptions!$G$49*Assumptions!$G$31*Assumptions!$G$32),0)</f>
        <v>58.2010582010582</v>
      </c>
      <c r="AB97" s="63" t="n">
        <f aca="false">IFERROR(AB18/(AB19*Assumptions!$G$49*Assumptions!$G$31*Assumptions!$G$32),0)</f>
        <v>58.2010582010582</v>
      </c>
      <c r="AC97" s="63" t="n">
        <f aca="false">IFERROR(AC18/(AC19*Assumptions!$G$49*Assumptions!$G$31*Assumptions!$G$32),0)</f>
        <v>58.2010582010582</v>
      </c>
      <c r="AD97" s="63" t="n">
        <f aca="false">IFERROR(AD18/(AD19*Assumptions!$G$49*Assumptions!$G$31*Assumptions!$G$32),0)</f>
        <v>58.2010582010582</v>
      </c>
      <c r="AE97" s="63" t="n">
        <f aca="false">IFERROR(AE18/(AE19*Assumptions!$G$49*Assumptions!$G$31*Assumptions!$G$32),0)</f>
        <v>58.2010582010582</v>
      </c>
      <c r="AF97" s="63" t="n">
        <f aca="false">IFERROR(AF18/(AF19*Assumptions!$G$49*Assumptions!$G$31*Assumptions!$G$32),0)</f>
        <v>58.2010582010582</v>
      </c>
      <c r="AG97" s="63" t="n">
        <f aca="false">IFERROR(AG18/(AG19*Assumptions!$G$49*Assumptions!$G$31*Assumptions!$G$32),0)</f>
        <v>58.2010582010582</v>
      </c>
      <c r="AH97" s="63" t="n">
        <f aca="false">IFERROR(AH18/(AH19*Assumptions!$G$49*Assumptions!$G$31*Assumptions!$G$32),0)</f>
        <v>58.2010582010582</v>
      </c>
      <c r="AI97" s="63" t="n">
        <f aca="false">IFERROR(AI18/(AI19*Assumptions!$G$49*Assumptions!$G$31*Assumptions!$G$32),0)</f>
        <v>58.2010582010582</v>
      </c>
      <c r="AJ97" s="63" t="n">
        <f aca="false">IFERROR(AJ18/(AJ19*Assumptions!$G$49*Assumptions!$G$31*Assumptions!$G$32),0)</f>
        <v>58.2010582010582</v>
      </c>
      <c r="AK97" s="63" t="n">
        <f aca="false">IFERROR(AK18/(AK19*Assumptions!$G$49*Assumptions!$G$31*Assumptions!$G$32),0)</f>
        <v>58.2010582010582</v>
      </c>
      <c r="AL97" s="63" t="n">
        <f aca="false">IFERROR(AL18/(AL19*Assumptions!$G$49*Assumptions!$G$31*Assumptions!$G$32),0)</f>
        <v>58.2010582010582</v>
      </c>
      <c r="AM97" s="63" t="n">
        <f aca="false">AVERAGE(N97:AL97)</f>
        <v>58.2010582010582</v>
      </c>
    </row>
    <row r="98" customFormat="false" ht="15" hidden="false" customHeight="false" outlineLevel="0" collapsed="false">
      <c r="A98" s="10" t="s">
        <v>818</v>
      </c>
      <c r="B98" s="9" t="s">
        <v>97</v>
      </c>
      <c r="C98" s="63" t="n">
        <f aca="false">IFERROR(C22/(C23*Assumptions!$G$49*Assumptions!$G$38*Assumptions!$G$39),0)</f>
        <v>0</v>
      </c>
      <c r="D98" s="63" t="n">
        <f aca="false">IFERROR(D22/(D23*Assumptions!$G$49*Assumptions!$G$38*Assumptions!$G$39),0)</f>
        <v>161.111111111111</v>
      </c>
      <c r="E98" s="63" t="n">
        <f aca="false">IFERROR(E22/(E23*Assumptions!$G$49*Assumptions!$G$38*Assumptions!$G$39),0)</f>
        <v>161.111111111111</v>
      </c>
      <c r="F98" s="63" t="n">
        <f aca="false">IFERROR(F22/(F23*Assumptions!$G$49*Assumptions!$G$38*Assumptions!$G$39),0)</f>
        <v>161.111111111111</v>
      </c>
      <c r="G98" s="63" t="n">
        <f aca="false">IFERROR(G22/(G23*Assumptions!$G$49*Assumptions!$G$38*Assumptions!$G$39),0)</f>
        <v>161.111111111111</v>
      </c>
      <c r="H98" s="63" t="n">
        <f aca="false">IFERROR(H22/(H23*Assumptions!$G$49*Assumptions!$G$38*Assumptions!$G$39),0)</f>
        <v>161.111111111111</v>
      </c>
      <c r="I98" s="63" t="n">
        <f aca="false">IFERROR(I22/(I23*Assumptions!$G$49*Assumptions!$G$38*Assumptions!$G$39),0)</f>
        <v>161.111111111111</v>
      </c>
      <c r="J98" s="63" t="n">
        <f aca="false">IFERROR(J22/(J23*Assumptions!$G$49*Assumptions!$G$38*Assumptions!$G$39),0)</f>
        <v>161.111111111111</v>
      </c>
      <c r="K98" s="63" t="n">
        <f aca="false">IFERROR(K22/(K23*Assumptions!$G$49*Assumptions!$G$38*Assumptions!$G$39),0)</f>
        <v>161.111111111111</v>
      </c>
      <c r="L98" s="63" t="n">
        <f aca="false">IFERROR(L22/(L23*Assumptions!$G$49*Assumptions!$G$38*Assumptions!$G$39),0)</f>
        <v>161.111111111111</v>
      </c>
      <c r="M98" s="63" t="n">
        <f aca="false">IFERROR(M22/(M23*Assumptions!$G$49*Assumptions!$G$38*Assumptions!$G$39),0)</f>
        <v>161.111111111111</v>
      </c>
      <c r="N98" s="63" t="n">
        <f aca="false">IFERROR(N22/(N23*Assumptions!$G$49*Assumptions!$G$38*Assumptions!$G$39),0)</f>
        <v>161.111111111111</v>
      </c>
      <c r="O98" s="63" t="n">
        <f aca="false">IFERROR(O22/(O23*Assumptions!$G$49*Assumptions!$G$38*Assumptions!$G$39),0)</f>
        <v>161.111111111111</v>
      </c>
      <c r="P98" s="63" t="n">
        <f aca="false">IFERROR(P22/(P23*Assumptions!$G$49*Assumptions!$G$38*Assumptions!$G$39),0)</f>
        <v>161.111111111111</v>
      </c>
      <c r="Q98" s="63" t="n">
        <f aca="false">IFERROR(Q22/(Q23*Assumptions!$G$49*Assumptions!$G$38*Assumptions!$G$39),0)</f>
        <v>161.111111111111</v>
      </c>
      <c r="R98" s="63" t="n">
        <f aca="false">IFERROR(R22/(R23*Assumptions!$G$49*Assumptions!$G$38*Assumptions!$G$39),0)</f>
        <v>161.111111111111</v>
      </c>
      <c r="S98" s="63" t="n">
        <f aca="false">IFERROR(S22/(S23*Assumptions!$G$49*Assumptions!$G$38*Assumptions!$G$39),0)</f>
        <v>161.111111111111</v>
      </c>
      <c r="T98" s="63" t="n">
        <f aca="false">IFERROR(T22/(T23*Assumptions!$G$49*Assumptions!$G$38*Assumptions!$G$39),0)</f>
        <v>161.111111111111</v>
      </c>
      <c r="U98" s="63" t="n">
        <f aca="false">IFERROR(U22/(U23*Assumptions!$G$49*Assumptions!$G$38*Assumptions!$G$39),0)</f>
        <v>161.111111111111</v>
      </c>
      <c r="V98" s="63" t="n">
        <f aca="false">IFERROR(V22/(V23*Assumptions!$G$49*Assumptions!$G$38*Assumptions!$G$39),0)</f>
        <v>161.111111111111</v>
      </c>
      <c r="W98" s="63" t="n">
        <f aca="false">IFERROR(W22/(W23*Assumptions!$G$49*Assumptions!$G$38*Assumptions!$G$39),0)</f>
        <v>161.111111111111</v>
      </c>
      <c r="X98" s="63" t="n">
        <f aca="false">IFERROR(X22/(X23*Assumptions!$G$49*Assumptions!$G$38*Assumptions!$G$39),0)</f>
        <v>161.111111111111</v>
      </c>
      <c r="Y98" s="63" t="n">
        <f aca="false">IFERROR(Y22/(Y23*Assumptions!$G$49*Assumptions!$G$38*Assumptions!$G$39),0)</f>
        <v>161.111111111111</v>
      </c>
      <c r="Z98" s="63" t="n">
        <f aca="false">IFERROR(Z22/(Z23*Assumptions!$G$49*Assumptions!$G$38*Assumptions!$G$39),0)</f>
        <v>161.111111111111</v>
      </c>
      <c r="AA98" s="63" t="n">
        <f aca="false">IFERROR(AA22/(AA23*Assumptions!$G$49*Assumptions!$G$38*Assumptions!$G$39),0)</f>
        <v>161.111111111111</v>
      </c>
      <c r="AB98" s="63" t="n">
        <f aca="false">IFERROR(AB22/(AB23*Assumptions!$G$49*Assumptions!$G$38*Assumptions!$G$39),0)</f>
        <v>161.111111111111</v>
      </c>
      <c r="AC98" s="63" t="n">
        <f aca="false">IFERROR(AC22/(AC23*Assumptions!$G$49*Assumptions!$G$38*Assumptions!$G$39),0)</f>
        <v>161.111111111111</v>
      </c>
      <c r="AD98" s="63" t="n">
        <f aca="false">IFERROR(AD22/(AD23*Assumptions!$G$49*Assumptions!$G$38*Assumptions!$G$39),0)</f>
        <v>161.111111111111</v>
      </c>
      <c r="AE98" s="63" t="n">
        <f aca="false">IFERROR(AE22/(AE23*Assumptions!$G$49*Assumptions!$G$38*Assumptions!$G$39),0)</f>
        <v>161.111111111111</v>
      </c>
      <c r="AF98" s="63" t="n">
        <f aca="false">IFERROR(AF22/(AF23*Assumptions!$G$49*Assumptions!$G$38*Assumptions!$G$39),0)</f>
        <v>161.111111111111</v>
      </c>
      <c r="AG98" s="63" t="n">
        <f aca="false">IFERROR(AG22/(AG23*Assumptions!$G$49*Assumptions!$G$38*Assumptions!$G$39),0)</f>
        <v>161.111111111111</v>
      </c>
      <c r="AH98" s="63" t="n">
        <f aca="false">IFERROR(AH22/(AH23*Assumptions!$G$49*Assumptions!$G$38*Assumptions!$G$39),0)</f>
        <v>161.111111111111</v>
      </c>
      <c r="AI98" s="63" t="n">
        <f aca="false">IFERROR(AI22/(AI23*Assumptions!$G$49*Assumptions!$G$38*Assumptions!$G$39),0)</f>
        <v>161.111111111111</v>
      </c>
      <c r="AJ98" s="63" t="n">
        <f aca="false">IFERROR(AJ22/(AJ23*Assumptions!$G$49*Assumptions!$G$38*Assumptions!$G$39),0)</f>
        <v>161.111111111111</v>
      </c>
      <c r="AK98" s="63" t="n">
        <f aca="false">IFERROR(AK22/(AK23*Assumptions!$G$49*Assumptions!$G$38*Assumptions!$G$39),0)</f>
        <v>161.111111111111</v>
      </c>
      <c r="AL98" s="63" t="n">
        <f aca="false">IFERROR(AL22/(AL23*Assumptions!$G$49*Assumptions!$G$38*Assumptions!$G$39),0)</f>
        <v>161.111111111111</v>
      </c>
      <c r="AM98" s="63" t="n">
        <f aca="false">AVERAGE(N98:AL98)</f>
        <v>161.111111111111</v>
      </c>
    </row>
    <row r="99" customFormat="false" ht="15" hidden="false" customHeight="false" outlineLevel="0" collapsed="false">
      <c r="A99" s="10" t="s">
        <v>819</v>
      </c>
      <c r="B99" s="9" t="s">
        <v>97</v>
      </c>
      <c r="C99" s="63" t="n">
        <f aca="false">IFERROR(C24/(C25*Assumptions!$G$49*Assumptions!$G$43),0)</f>
        <v>111.103687580742</v>
      </c>
      <c r="D99" s="63" t="n">
        <f aca="false">IFERROR(D24/(D25*Assumptions!$G$49*Assumptions!$G$43),0)</f>
        <v>154.544835391114</v>
      </c>
      <c r="E99" s="63" t="n">
        <f aca="false">IFERROR(E24/(E25*Assumptions!$G$49*Assumptions!$G$43),0)</f>
        <v>152.001843674405</v>
      </c>
      <c r="F99" s="63" t="n">
        <f aca="false">IFERROR(F24/(F25*Assumptions!$G$49*Assumptions!$G$43),0)</f>
        <v>151.725781854891</v>
      </c>
      <c r="G99" s="63" t="n">
        <f aca="false">IFERROR(G24/(G25*Assumptions!$G$49*Assumptions!$G$43),0)</f>
        <v>151.613076662284</v>
      </c>
      <c r="H99" s="63" t="n">
        <f aca="false">IFERROR(H24/(H25*Assumptions!$G$49*Assumptions!$G$43),0)</f>
        <v>151.503778214775</v>
      </c>
      <c r="I99" s="63" t="n">
        <f aca="false">IFERROR(I24/(I25*Assumptions!$G$49*Assumptions!$G$43),0)</f>
        <v>151.385398235146</v>
      </c>
      <c r="J99" s="63" t="n">
        <f aca="false">IFERROR(J24/(J25*Assumptions!$G$49*Assumptions!$G$43),0)</f>
        <v>151.256142646665</v>
      </c>
      <c r="K99" s="63" t="n">
        <f aca="false">IFERROR(K24/(K25*Assumptions!$G$49*Assumptions!$G$43),0)</f>
        <v>151.11490770679</v>
      </c>
      <c r="L99" s="63" t="n">
        <f aca="false">IFERROR(L24/(L25*Assumptions!$G$49*Assumptions!$G$43),0)</f>
        <v>150.960541632634</v>
      </c>
      <c r="M99" s="63" t="n">
        <f aca="false">IFERROR(M24/(M25*Assumptions!$G$49*Assumptions!$G$43),0)</f>
        <v>150.791779820042</v>
      </c>
      <c r="N99" s="63" t="n">
        <f aca="false">IFERROR(N24/(N25*Assumptions!$G$49*Assumptions!$G$43),0)</f>
        <v>150.607227630675</v>
      </c>
      <c r="O99" s="63" t="n">
        <f aca="false">IFERROR(O24/(O25*Assumptions!$G$49*Assumptions!$G$43),0)</f>
        <v>150.405344938981</v>
      </c>
      <c r="P99" s="63" t="n">
        <f aca="false">IFERROR(P24/(P25*Assumptions!$G$49*Assumptions!$G$43),0)</f>
        <v>150.184428819582</v>
      </c>
      <c r="Q99" s="63" t="n">
        <f aca="false">IFERROR(Q24/(Q25*Assumptions!$G$49*Assumptions!$G$43),0)</f>
        <v>149.942593765825</v>
      </c>
      <c r="R99" s="63" t="n">
        <f aca="false">IFERROR(R24/(R25*Assumptions!$G$49*Assumptions!$G$43),0)</f>
        <v>149.677748974775</v>
      </c>
      <c r="S99" s="63" t="n">
        <f aca="false">IFERROR(S24/(S25*Assumptions!$G$49*Assumptions!$G$43),0)</f>
        <v>149.387572150863</v>
      </c>
      <c r="T99" s="63" t="n">
        <f aca="false">IFERROR(T24/(T25*Assumptions!$G$49*Assumptions!$G$43),0)</f>
        <v>149.069479155744</v>
      </c>
      <c r="U99" s="63" t="n">
        <f aca="false">IFERROR(U24/(U25*Assumptions!$G$49*Assumptions!$G$43),0)</f>
        <v>150.772031734271</v>
      </c>
      <c r="V99" s="63" t="n">
        <f aca="false">IFERROR(V24/(V25*Assumptions!$G$49*Assumptions!$G$43),0)</f>
        <v>153.317345121794</v>
      </c>
      <c r="W99" s="63" t="n">
        <f aca="false">IFERROR(W24/(W25*Assumptions!$G$49*Assumptions!$G$43),0)</f>
        <v>155.974010623702</v>
      </c>
      <c r="X99" s="63" t="n">
        <f aca="false">IFERROR(X24/(X25*Assumptions!$G$49*Assumptions!$G$43),0)</f>
        <v>158.74849504449</v>
      </c>
      <c r="Y99" s="63" t="n">
        <f aca="false">IFERROR(Y24/(Y25*Assumptions!$G$49*Assumptions!$G$43),0)</f>
        <v>161.640184887862</v>
      </c>
      <c r="Z99" s="63" t="n">
        <f aca="false">IFERROR(Z24/(Z25*Assumptions!$G$49*Assumptions!$G$43),0)</f>
        <v>164.649797610803</v>
      </c>
      <c r="AA99" s="63" t="n">
        <f aca="false">IFERROR(AA24/(AA25*Assumptions!$G$49*Assumptions!$G$43),0)</f>
        <v>167.777978564228</v>
      </c>
      <c r="AB99" s="63" t="n">
        <f aca="false">IFERROR(AB24/(AB25*Assumptions!$G$49*Assumptions!$G$43),0)</f>
        <v>171.025368287627</v>
      </c>
      <c r="AC99" s="63" t="n">
        <f aca="false">IFERROR(AC24/(AC25*Assumptions!$G$49*Assumptions!$G$43),0)</f>
        <v>174.320456006162</v>
      </c>
      <c r="AD99" s="63" t="n">
        <f aca="false">IFERROR(AD24/(AD25*Assumptions!$G$49*Assumptions!$G$43),0)</f>
        <v>177.645485674916</v>
      </c>
      <c r="AE99" s="63" t="n">
        <f aca="false">IFERROR(AE24/(AE25*Assumptions!$G$49*Assumptions!$G$43),0)</f>
        <v>181.024401647775</v>
      </c>
      <c r="AF99" s="63" t="n">
        <f aca="false">IFERROR(AF24/(AF25*Assumptions!$G$49*Assumptions!$G$43),0)</f>
        <v>184.462064149242</v>
      </c>
      <c r="AG99" s="63" t="n">
        <f aca="false">IFERROR(AG24/(AG25*Assumptions!$G$49*Assumptions!$G$43),0)</f>
        <v>187.963177625032</v>
      </c>
      <c r="AH99" s="63" t="n">
        <f aca="false">IFERROR(AH24/(AH25*Assumptions!$G$49*Assumptions!$G$43),0)</f>
        <v>191.53208437534</v>
      </c>
      <c r="AI99" s="63" t="n">
        <f aca="false">IFERROR(AI24/(AI25*Assumptions!$G$49*Assumptions!$G$43),0)</f>
        <v>195.172848251941</v>
      </c>
      <c r="AJ99" s="63" t="n">
        <f aca="false">IFERROR(AJ24/(AJ25*Assumptions!$G$49*Assumptions!$G$43),0)</f>
        <v>198.889295168649</v>
      </c>
      <c r="AK99" s="63" t="n">
        <f aca="false">IFERROR(AK24/(AK25*Assumptions!$G$49*Assumptions!$G$43),0)</f>
        <v>202.68504864718</v>
      </c>
      <c r="AL99" s="63" t="n">
        <f aca="false">IFERROR(AL24/(AL25*Assumptions!$G$49*Assumptions!$G$43),0)</f>
        <v>206.563560519346</v>
      </c>
      <c r="AM99" s="63" t="n">
        <f aca="false">AVERAGE(N99:AL99)</f>
        <v>169.337521175072</v>
      </c>
    </row>
    <row r="100" customFormat="false" ht="15" hidden="false" customHeight="false" outlineLevel="0" collapsed="false">
      <c r="A100" s="37" t="s">
        <v>820</v>
      </c>
      <c r="B100" s="9" t="s">
        <v>97</v>
      </c>
      <c r="C100" s="51" t="n">
        <f aca="false">IFERROR(C26/((C19*Assumptions!$G$31*Assumptions!$G$32+C23*Assumptions!$G$38*Assumptions!$G$39+C25*Assumptions!$G$43)*Assumptions!$G$49),0)</f>
        <v>111.103687580742</v>
      </c>
      <c r="D100" s="51" t="n">
        <f aca="false">IFERROR(D26/((D19*Assumptions!$G$31*Assumptions!$G$32+D23*Assumptions!$G$38*Assumptions!$G$39+D25*Assumptions!$G$43)*Assumptions!$G$49),0)</f>
        <v>153.673121274432</v>
      </c>
      <c r="E100" s="51" t="n">
        <f aca="false">IFERROR(E26/((E19*Assumptions!$G$31*Assumptions!$G$32+E23*Assumptions!$G$38*Assumptions!$G$39+E25*Assumptions!$G$43)*Assumptions!$G$49),0)</f>
        <v>151.682076356721</v>
      </c>
      <c r="F100" s="51" t="n">
        <f aca="false">IFERROR(F26/((F19*Assumptions!$G$31*Assumptions!$G$32+F23*Assumptions!$G$38*Assumptions!$G$39+F25*Assumptions!$G$43)*Assumptions!$G$49),0)</f>
        <v>151.379042288065</v>
      </c>
      <c r="G100" s="51" t="n">
        <f aca="false">IFERROR(G26/((G19*Assumptions!$G$31*Assumptions!$G$32+G23*Assumptions!$G$38*Assumptions!$G$39+G25*Assumptions!$G$43)*Assumptions!$G$49),0)</f>
        <v>151.179575496259</v>
      </c>
      <c r="H100" s="51" t="n">
        <f aca="false">IFERROR(H26/((H19*Assumptions!$G$31*Assumptions!$G$32+H23*Assumptions!$G$38*Assumptions!$G$39+H25*Assumptions!$G$43)*Assumptions!$G$49),0)</f>
        <v>150.972287686246</v>
      </c>
      <c r="I100" s="51" t="n">
        <f aca="false">IFERROR(I26/((I19*Assumptions!$G$31*Assumptions!$G$32+I23*Assumptions!$G$38*Assumptions!$G$39+I25*Assumptions!$G$43)*Assumptions!$G$49),0)</f>
        <v>150.747888404434</v>
      </c>
      <c r="J100" s="51" t="n">
        <f aca="false">IFERROR(J26/((J19*Assumptions!$G$31*Assumptions!$G$32+J23*Assumptions!$G$38*Assumptions!$G$39+J25*Assumptions!$G$43)*Assumptions!$G$49),0)</f>
        <v>150.504364895834</v>
      </c>
      <c r="K100" s="51" t="n">
        <f aca="false">IFERROR(K26/((K19*Assumptions!$G$31*Assumptions!$G$32+K23*Assumptions!$G$38*Assumptions!$G$39+K25*Assumptions!$G$43)*Assumptions!$G$49),0)</f>
        <v>150.240136606046</v>
      </c>
      <c r="L100" s="51" t="n">
        <f aca="false">IFERROR(L26/((L19*Assumptions!$G$31*Assumptions!$G$32+L23*Assumptions!$G$38*Assumptions!$G$39+L25*Assumptions!$G$43)*Assumptions!$G$49),0)</f>
        <v>149.953556280459</v>
      </c>
      <c r="M100" s="51" t="n">
        <f aca="false">IFERROR(M26/((M19*Assumptions!$G$31*Assumptions!$G$32+M23*Assumptions!$G$38*Assumptions!$G$39+M25*Assumptions!$G$43)*Assumptions!$G$49),0)</f>
        <v>149.642870513037</v>
      </c>
      <c r="N100" s="51" t="n">
        <f aca="false">IFERROR(N26/((N19*Assumptions!$G$31*Assumptions!$G$32+N23*Assumptions!$G$38*Assumptions!$G$39+N25*Assumptions!$G$43)*Assumptions!$G$49),0)</f>
        <v>149.306214089287</v>
      </c>
      <c r="O100" s="51" t="n">
        <f aca="false">IFERROR(O26/((O19*Assumptions!$G$31*Assumptions!$G$32+O23*Assumptions!$G$38*Assumptions!$G$39+O25*Assumptions!$G$43)*Assumptions!$G$49),0)</f>
        <v>148.941607546746</v>
      </c>
      <c r="P100" s="51" t="n">
        <f aca="false">IFERROR(P26/((P19*Assumptions!$G$31*Assumptions!$G$32+P23*Assumptions!$G$38*Assumptions!$G$39+P25*Assumptions!$G$43)*Assumptions!$G$49),0)</f>
        <v>148.546955968892</v>
      </c>
      <c r="Q100" s="51" t="n">
        <f aca="false">IFERROR(Q26/((Q19*Assumptions!$G$31*Assumptions!$G$32+Q23*Assumptions!$G$38*Assumptions!$G$39+Q25*Assumptions!$G$43)*Assumptions!$G$49),0)</f>
        <v>148.120049132436</v>
      </c>
      <c r="R100" s="51" t="n">
        <f aca="false">IFERROR(R26/((R19*Assumptions!$G$31*Assumptions!$G$32+R23*Assumptions!$G$38*Assumptions!$G$39+R25*Assumptions!$G$43)*Assumptions!$G$49),0)</f>
        <v>147.658563324316</v>
      </c>
      <c r="S100" s="51" t="n">
        <f aca="false">IFERROR(S26/((S19*Assumptions!$G$31*Assumptions!$G$32+S23*Assumptions!$G$38*Assumptions!$G$39+S25*Assumptions!$G$43)*Assumptions!$G$49),0)</f>
        <v>147.160065209193</v>
      </c>
      <c r="T100" s="51" t="n">
        <f aca="false">IFERROR(T26/((T19*Assumptions!$G$31*Assumptions!$G$32+T23*Assumptions!$G$38*Assumptions!$G$39+T25*Assumptions!$G$43)*Assumptions!$G$49),0)</f>
        <v>146.622018189601</v>
      </c>
      <c r="U100" s="51" t="n">
        <f aca="false">IFERROR(U26/((U19*Assumptions!$G$31*Assumptions!$G$32+U23*Assumptions!$G$38*Assumptions!$G$39+U25*Assumptions!$G$43)*Assumptions!$G$49),0)</f>
        <v>147.786224420662</v>
      </c>
      <c r="V100" s="51" t="n">
        <f aca="false">IFERROR(V26/((V19*Assumptions!$G$31*Assumptions!$G$32+V23*Assumptions!$G$38*Assumptions!$G$39+V25*Assumptions!$G$43)*Assumptions!$G$49),0)</f>
        <v>149.687362994028</v>
      </c>
      <c r="W100" s="51" t="n">
        <f aca="false">IFERROR(W26/((W19*Assumptions!$G$31*Assumptions!$G$32+W23*Assumptions!$G$38*Assumptions!$G$39+W25*Assumptions!$G$43)*Assumptions!$G$49),0)</f>
        <v>151.677663628482</v>
      </c>
      <c r="X100" s="51" t="n">
        <f aca="false">IFERROR(X26/((X19*Assumptions!$G$31*Assumptions!$G$32+X23*Assumptions!$G$38*Assumptions!$G$39+X25*Assumptions!$G$43)*Assumptions!$G$49),0)</f>
        <v>153.746498604744</v>
      </c>
      <c r="Y100" s="51" t="n">
        <f aca="false">IFERROR(Y26/((Y19*Assumptions!$G$31*Assumptions!$G$32+Y23*Assumptions!$G$38*Assumptions!$G$39+Y25*Assumptions!$G$43)*Assumptions!$G$49),0)</f>
        <v>155.890643057164</v>
      </c>
      <c r="Z100" s="51" t="n">
        <f aca="false">IFERROR(Z26/((Z19*Assumptions!$G$31*Assumptions!$G$32+Z23*Assumptions!$G$38*Assumptions!$G$39+Z25*Assumptions!$G$43)*Assumptions!$G$49),0)</f>
        <v>158.109465995744</v>
      </c>
      <c r="AA100" s="51" t="n">
        <f aca="false">IFERROR(AA26/((AA19*Assumptions!$G$31*Assumptions!$G$32+AA23*Assumptions!$G$38*Assumptions!$G$39+AA25*Assumptions!$G$43)*Assumptions!$G$49),0)</f>
        <v>160.40243488921</v>
      </c>
      <c r="AB100" s="51" t="n">
        <f aca="false">IFERROR(AB26/((AB19*Assumptions!$G$31*Assumptions!$G$32+AB23*Assumptions!$G$38*Assumptions!$G$39+AB25*Assumptions!$G$43)*Assumptions!$G$49),0)</f>
        <v>162.769011019085</v>
      </c>
      <c r="AC100" s="51" t="n">
        <f aca="false">IFERROR(AC26/((AC19*Assumptions!$G$31*Assumptions!$G$32+AC23*Assumptions!$G$38*Assumptions!$G$39+AC25*Assumptions!$G$43)*Assumptions!$G$49),0)</f>
        <v>165.143658812921</v>
      </c>
      <c r="AD100" s="51" t="n">
        <f aca="false">IFERROR(AD26/((AD19*Assumptions!$G$31*Assumptions!$G$32+AD23*Assumptions!$G$38*Assumptions!$G$39+AD25*Assumptions!$G$43)*Assumptions!$G$49),0)</f>
        <v>167.50834292875</v>
      </c>
      <c r="AE100" s="51" t="n">
        <f aca="false">IFERROR(AE26/((AE19*Assumptions!$G$31*Assumptions!$G$32+AE23*Assumptions!$G$38*Assumptions!$G$39+AE25*Assumptions!$G$43)*Assumptions!$G$49),0)</f>
        <v>169.882858713535</v>
      </c>
      <c r="AF100" s="51" t="n">
        <f aca="false">IFERROR(AF26/((AF19*Assumptions!$G$31*Assumptions!$G$32+AF23*Assumptions!$G$38*Assumptions!$G$39+AF25*Assumptions!$G$43)*Assumptions!$G$49),0)</f>
        <v>172.269675069426</v>
      </c>
      <c r="AG100" s="51" t="n">
        <f aca="false">IFERROR(AG26/((AG19*Assumptions!$G$31*Assumptions!$G$32+AG23*Assumptions!$G$38*Assumptions!$G$39+AG25*Assumptions!$G$43)*Assumptions!$G$49),0)</f>
        <v>174.67112581722</v>
      </c>
      <c r="AH100" s="51" t="n">
        <f aca="false">IFERROR(AH26/((AH19*Assumptions!$G$31*Assumptions!$G$32+AH23*Assumptions!$G$38*Assumptions!$G$39+AH25*Assumptions!$G$43)*Assumptions!$G$49),0)</f>
        <v>177.089191089736</v>
      </c>
      <c r="AI100" s="51" t="n">
        <f aca="false">IFERROR(AI26/((AI19*Assumptions!$G$31*Assumptions!$G$32+AI23*Assumptions!$G$38*Assumptions!$G$39+AI25*Assumptions!$G$43)*Assumptions!$G$49),0)</f>
        <v>179.525564859627</v>
      </c>
      <c r="AJ100" s="51" t="n">
        <f aca="false">IFERROR(AJ26/((AJ19*Assumptions!$G$31*Assumptions!$G$32+AJ23*Assumptions!$G$38*Assumptions!$G$39+AJ25*Assumptions!$G$43)*Assumptions!$G$49),0)</f>
        <v>181.981687383478</v>
      </c>
      <c r="AK100" s="51" t="n">
        <f aca="false">IFERROR(AK26/((AK19*Assumptions!$G$31*Assumptions!$G$32+AK23*Assumptions!$G$38*Assumptions!$G$39+AK25*Assumptions!$G$43)*Assumptions!$G$49),0)</f>
        <v>184.458774504675</v>
      </c>
      <c r="AL100" s="51" t="n">
        <f aca="false">IFERROR(AL26/((AL19*Assumptions!$G$31*Assumptions!$G$32+AL23*Assumptions!$G$38*Assumptions!$G$39+AL25*Assumptions!$G$43)*Assumptions!$G$49),0)</f>
        <v>186.957842936168</v>
      </c>
      <c r="AM100" s="51" t="n">
        <f aca="false">AVERAGE(N100:AL100)</f>
        <v>161.436540007405</v>
      </c>
    </row>
    <row r="101" customFormat="false" ht="15" hidden="false" customHeight="false" outlineLevel="0" collapsed="false">
      <c r="A101" s="37" t="s">
        <v>821</v>
      </c>
      <c r="B101" s="9" t="s">
        <v>370</v>
      </c>
      <c r="C101" s="72" t="n">
        <f aca="false">IFERROR(C100/C104,0)</f>
        <v>2.43190535497728</v>
      </c>
      <c r="D101" s="72" t="n">
        <f aca="false">IFERROR(D100/D104,0)</f>
        <v>3.36369111305844</v>
      </c>
      <c r="E101" s="72" t="n">
        <f aca="false">IFERROR(E100/E104,0)</f>
        <v>3.32010990614428</v>
      </c>
      <c r="F101" s="72" t="n">
        <f aca="false">IFERROR(F100/F104,0)</f>
        <v>3.3134769114134</v>
      </c>
      <c r="G101" s="72" t="n">
        <f aca="false">IFERROR(G100/G104,0)</f>
        <v>3.30911086047759</v>
      </c>
      <c r="H101" s="72" t="n">
        <f aca="false">IFERROR(H100/H104,0)</f>
        <v>3.30457361831966</v>
      </c>
      <c r="I101" s="72" t="n">
        <f aca="false">IFERROR(I100/I104,0)</f>
        <v>3.29966182981855</v>
      </c>
      <c r="J101" s="72" t="n">
        <f aca="false">IFERROR(J100/J104,0)</f>
        <v>3.294331438564</v>
      </c>
      <c r="K101" s="72" t="n">
        <f aca="false">IFERROR(K100/K104,0)</f>
        <v>3.28854784841625</v>
      </c>
      <c r="L101" s="72" t="n">
        <f aca="false">IFERROR(L100/L104,0)</f>
        <v>3.28227500326051</v>
      </c>
      <c r="M101" s="72" t="n">
        <f aca="false">IFERROR(M100/M104,0)</f>
        <v>3.27547452347481</v>
      </c>
      <c r="N101" s="72" t="n">
        <f aca="false">IFERROR(N100/N104,0)</f>
        <v>3.26810558210543</v>
      </c>
      <c r="O101" s="72" t="n">
        <f aca="false">IFERROR(O100/O104,0)</f>
        <v>3.26012485146927</v>
      </c>
      <c r="P101" s="72" t="n">
        <f aca="false">IFERROR(P100/P104,0)</f>
        <v>3.25148647675433</v>
      </c>
      <c r="Q101" s="72" t="n">
        <f aca="false">IFERROR(Q100/Q104,0)</f>
        <v>3.2421420792437</v>
      </c>
      <c r="R101" s="72" t="n">
        <f aca="false">IFERROR(R100/R104,0)</f>
        <v>3.23204079608692</v>
      </c>
      <c r="S101" s="72" t="n">
        <f aca="false">IFERROR(S100/S104,0)</f>
        <v>3.22112936495433</v>
      </c>
      <c r="T101" s="72" t="n">
        <f aca="false">IFERROR(T100/T104,0)</f>
        <v>3.20935226325172</v>
      </c>
      <c r="U101" s="72" t="n">
        <f aca="false">IFERROR(U100/U104,0)</f>
        <v>3.2348351201151</v>
      </c>
      <c r="V101" s="72" t="n">
        <f aca="false">IFERROR(V100/V104,0)</f>
        <v>3.27644840206637</v>
      </c>
      <c r="W101" s="72" t="n">
        <f aca="false">IFERROR(W100/W104,0)</f>
        <v>3.32001331765413</v>
      </c>
      <c r="X101" s="72" t="n">
        <f aca="false">IFERROR(X100/X104,0)</f>
        <v>3.36529724086936</v>
      </c>
      <c r="Y101" s="72" t="n">
        <f aca="false">IFERROR(Y100/Y104,0)</f>
        <v>3.4122295838836</v>
      </c>
      <c r="Z101" s="72" t="n">
        <f aca="false">IFERROR(Z100/Z104,0)</f>
        <v>3.46079653520246</v>
      </c>
      <c r="AA101" s="72" t="n">
        <f aca="false">IFERROR(AA100/AA104,0)</f>
        <v>3.51098643845624</v>
      </c>
      <c r="AB101" s="72" t="n">
        <f aca="false">IFERROR(AB100/AB104,0)</f>
        <v>3.56278750184597</v>
      </c>
      <c r="AC101" s="72" t="n">
        <f aca="false">IFERROR(AC100/AC104,0)</f>
        <v>3.61476524274515</v>
      </c>
      <c r="AD101" s="72" t="n">
        <f aca="false">IFERROR(AD100/AD104,0)</f>
        <v>3.66652489257618</v>
      </c>
      <c r="AE101" s="72" t="n">
        <f aca="false">IFERROR(AE100/AE104,0)</f>
        <v>3.71849974398064</v>
      </c>
      <c r="AF101" s="72" t="n">
        <f aca="false">IFERROR(AF100/AF104,0)</f>
        <v>3.77074383779634</v>
      </c>
      <c r="AG101" s="72" t="n">
        <f aca="false">IFERROR(AG100/AG104,0)</f>
        <v>3.82330825811794</v>
      </c>
      <c r="AH101" s="72" t="n">
        <f aca="false">IFERROR(AH100/AH104,0)</f>
        <v>3.87623634730168</v>
      </c>
      <c r="AI101" s="72" t="n">
        <f aca="false">IFERROR(AI100/AI104,0)</f>
        <v>3.92956518405536</v>
      </c>
      <c r="AJ101" s="72" t="n">
        <f aca="false">IFERROR(AJ100/AJ104,0)</f>
        <v>3.98332629359452</v>
      </c>
      <c r="AK101" s="72" t="n">
        <f aca="false">IFERROR(AK100/AK104,0)</f>
        <v>4.03754628904161</v>
      </c>
      <c r="AL101" s="72" t="n">
        <f aca="false">IFERROR(AL100/AL104,0)</f>
        <v>4.09224742483052</v>
      </c>
      <c r="AM101" s="72" t="n">
        <f aca="false">AVERAGE(N101:AL101)</f>
        <v>3.53362156271995</v>
      </c>
    </row>
    <row r="102" customFormat="false" ht="15" hidden="false" customHeight="false" outlineLevel="0" collapsed="false">
      <c r="A102" s="10" t="s">
        <v>822</v>
      </c>
      <c r="B102" s="9" t="s">
        <v>97</v>
      </c>
      <c r="C102" s="63" t="n">
        <f aca="false">Assumptions!$G$70*(1-Assumptions!$G$80)*(1-Assumptions!$G$79)-Assumptions!$G$73-Assumptions!$G$75-Assumptions!$G$76-Assumptions!$G$77</f>
        <v>116.02563</v>
      </c>
      <c r="D102" s="63" t="n">
        <f aca="false">Assumptions!$G$70*(1-Assumptions!$G$80)*(1-Assumptions!$G$79)-Assumptions!$G$73-Assumptions!$G$75-Assumptions!$G$76-Assumptions!$G$77</f>
        <v>116.02563</v>
      </c>
      <c r="E102" s="63" t="n">
        <f aca="false">Assumptions!$G$70*(1-Assumptions!$G$80)*(1-Assumptions!$G$79)-Assumptions!$G$73-Assumptions!$G$75-Assumptions!$G$76-Assumptions!$G$77</f>
        <v>116.02563</v>
      </c>
      <c r="F102" s="63" t="n">
        <f aca="false">Assumptions!$G$70*(1-Assumptions!$G$80)*(1-Assumptions!$G$79)-Assumptions!$G$73-Assumptions!$G$75-Assumptions!$G$76-Assumptions!$G$77</f>
        <v>116.02563</v>
      </c>
      <c r="G102" s="63" t="n">
        <f aca="false">Assumptions!$G$70*(1-Assumptions!$G$80)*(1-Assumptions!$G$79)-Assumptions!$G$73-Assumptions!$G$75-Assumptions!$G$76-Assumptions!$G$77</f>
        <v>116.02563</v>
      </c>
      <c r="H102" s="63" t="n">
        <f aca="false">Assumptions!$G$70*(1-Assumptions!$G$80)*(1-Assumptions!$G$79)-Assumptions!$G$73-Assumptions!$G$75-Assumptions!$G$76-Assumptions!$G$77</f>
        <v>116.02563</v>
      </c>
      <c r="I102" s="63" t="n">
        <f aca="false">Assumptions!$G$70*(1-Assumptions!$G$80)*(1-Assumptions!$G$79)-Assumptions!$G$73-Assumptions!$G$75-Assumptions!$G$76-Assumptions!$G$77</f>
        <v>116.02563</v>
      </c>
      <c r="J102" s="63" t="n">
        <f aca="false">Assumptions!$G$70*(1-Assumptions!$G$80)*(1-Assumptions!$G$79)-Assumptions!$G$73-Assumptions!$G$75-Assumptions!$G$76-Assumptions!$G$77</f>
        <v>116.02563</v>
      </c>
      <c r="K102" s="63" t="n">
        <f aca="false">Assumptions!$G$70*(1-Assumptions!$G$80)*(1-Assumptions!$G$79)-Assumptions!$G$73-Assumptions!$G$75-Assumptions!$G$76-Assumptions!$G$77</f>
        <v>116.02563</v>
      </c>
      <c r="L102" s="63" t="n">
        <f aca="false">Assumptions!$G$70*(1-Assumptions!$G$80)*(1-Assumptions!$G$79)-Assumptions!$G$73-Assumptions!$G$75-Assumptions!$G$76-Assumptions!$G$77</f>
        <v>116.02563</v>
      </c>
      <c r="M102" s="63" t="n">
        <f aca="false">Assumptions!$G$70*(1-Assumptions!$G$80)*(1-Assumptions!$G$79)-Assumptions!$G$73-Assumptions!$G$75-Assumptions!$G$76-Assumptions!$G$77</f>
        <v>116.02563</v>
      </c>
      <c r="N102" s="63" t="n">
        <f aca="false">Assumptions!$G$70*(1-Assumptions!$G$80)*(1-Assumptions!$G$79)-Assumptions!$G$73-Assumptions!$G$75-Assumptions!$G$76-Assumptions!$G$77</f>
        <v>116.02563</v>
      </c>
      <c r="O102" s="63" t="n">
        <f aca="false">Assumptions!$G$70*(1-Assumptions!$G$80)*(1-Assumptions!$G$79)-Assumptions!$G$73-Assumptions!$G$75-Assumptions!$G$76-Assumptions!$G$77</f>
        <v>116.02563</v>
      </c>
      <c r="P102" s="63" t="n">
        <f aca="false">Assumptions!$G$70*(1-Assumptions!$G$80)*(1-Assumptions!$G$79)-Assumptions!$G$73-Assumptions!$G$75-Assumptions!$G$76-Assumptions!$G$77</f>
        <v>116.02563</v>
      </c>
      <c r="Q102" s="63" t="n">
        <f aca="false">Assumptions!$G$70*(1-Assumptions!$G$80)*(1-Assumptions!$G$79)-Assumptions!$G$73-Assumptions!$G$75-Assumptions!$G$76-Assumptions!$G$77</f>
        <v>116.02563</v>
      </c>
      <c r="R102" s="63" t="n">
        <f aca="false">Assumptions!$G$70*(1-Assumptions!$G$80)*(1-Assumptions!$G$79)-Assumptions!$G$73-Assumptions!$G$75-Assumptions!$G$76-Assumptions!$G$77</f>
        <v>116.02563</v>
      </c>
      <c r="S102" s="63" t="n">
        <f aca="false">Assumptions!$G$70*(1-Assumptions!$G$80)*(1-Assumptions!$G$79)-Assumptions!$G$73-Assumptions!$G$75-Assumptions!$G$76-Assumptions!$G$77</f>
        <v>116.02563</v>
      </c>
      <c r="T102" s="63" t="n">
        <f aca="false">Assumptions!$G$70*(1-Assumptions!$G$80)*(1-Assumptions!$G$79)-Assumptions!$G$73-Assumptions!$G$75-Assumptions!$G$76-Assumptions!$G$77</f>
        <v>116.02563</v>
      </c>
      <c r="U102" s="63" t="n">
        <f aca="false">Assumptions!$G$70*(1-Assumptions!$G$80)*(1-Assumptions!$G$79)-Assumptions!$G$73-Assumptions!$G$75-Assumptions!$G$76-Assumptions!$G$77</f>
        <v>116.02563</v>
      </c>
      <c r="V102" s="63" t="n">
        <f aca="false">Assumptions!$G$70*(1-Assumptions!$G$80)*(1-Assumptions!$G$79)-Assumptions!$G$73-Assumptions!$G$75-Assumptions!$G$76-Assumptions!$G$77</f>
        <v>116.02563</v>
      </c>
      <c r="W102" s="63" t="n">
        <f aca="false">Assumptions!$G$70*(1-Assumptions!$G$80)*(1-Assumptions!$G$79)-Assumptions!$G$73-Assumptions!$G$75-Assumptions!$G$76-Assumptions!$G$77</f>
        <v>116.02563</v>
      </c>
      <c r="X102" s="63" t="n">
        <f aca="false">Assumptions!$G$70*(1-Assumptions!$G$80)*(1-Assumptions!$G$79)-Assumptions!$G$73-Assumptions!$G$75-Assumptions!$G$76-Assumptions!$G$77</f>
        <v>116.02563</v>
      </c>
      <c r="Y102" s="63" t="n">
        <f aca="false">Assumptions!$G$70*(1-Assumptions!$G$80)*(1-Assumptions!$G$79)-Assumptions!$G$73-Assumptions!$G$75-Assumptions!$G$76-Assumptions!$G$77</f>
        <v>116.02563</v>
      </c>
      <c r="Z102" s="63" t="n">
        <f aca="false">Assumptions!$G$70*(1-Assumptions!$G$80)*(1-Assumptions!$G$79)-Assumptions!$G$73-Assumptions!$G$75-Assumptions!$G$76-Assumptions!$G$77</f>
        <v>116.02563</v>
      </c>
      <c r="AA102" s="63" t="n">
        <f aca="false">Assumptions!$G$70*(1-Assumptions!$G$80)*(1-Assumptions!$G$79)-Assumptions!$G$73-Assumptions!$G$75-Assumptions!$G$76-Assumptions!$G$77</f>
        <v>116.02563</v>
      </c>
      <c r="AB102" s="63" t="n">
        <f aca="false">Assumptions!$G$70*(1-Assumptions!$G$80)*(1-Assumptions!$G$79)-Assumptions!$G$73-Assumptions!$G$75-Assumptions!$G$76-Assumptions!$G$77</f>
        <v>116.02563</v>
      </c>
      <c r="AC102" s="63" t="n">
        <f aca="false">Assumptions!$G$70*(1-Assumptions!$G$80)*(1-Assumptions!$G$79)-Assumptions!$G$73-Assumptions!$G$75-Assumptions!$G$76-Assumptions!$G$77</f>
        <v>116.02563</v>
      </c>
      <c r="AD102" s="63" t="n">
        <f aca="false">Assumptions!$G$70*(1-Assumptions!$G$80)*(1-Assumptions!$G$79)-Assumptions!$G$73-Assumptions!$G$75-Assumptions!$G$76-Assumptions!$G$77</f>
        <v>116.02563</v>
      </c>
      <c r="AE102" s="63" t="n">
        <f aca="false">Assumptions!$G$70*(1-Assumptions!$G$80)*(1-Assumptions!$G$79)-Assumptions!$G$73-Assumptions!$G$75-Assumptions!$G$76-Assumptions!$G$77</f>
        <v>116.02563</v>
      </c>
      <c r="AF102" s="63" t="n">
        <f aca="false">Assumptions!$G$70*(1-Assumptions!$G$80)*(1-Assumptions!$G$79)-Assumptions!$G$73-Assumptions!$G$75-Assumptions!$G$76-Assumptions!$G$77</f>
        <v>116.02563</v>
      </c>
      <c r="AG102" s="63" t="n">
        <f aca="false">Assumptions!$G$70*(1-Assumptions!$G$80)*(1-Assumptions!$G$79)-Assumptions!$G$73-Assumptions!$G$75-Assumptions!$G$76-Assumptions!$G$77</f>
        <v>116.02563</v>
      </c>
      <c r="AH102" s="63" t="n">
        <f aca="false">Assumptions!$G$70*(1-Assumptions!$G$80)*(1-Assumptions!$G$79)-Assumptions!$G$73-Assumptions!$G$75-Assumptions!$G$76-Assumptions!$G$77</f>
        <v>116.02563</v>
      </c>
      <c r="AI102" s="63" t="n">
        <f aca="false">Assumptions!$G$70*(1-Assumptions!$G$80)*(1-Assumptions!$G$79)-Assumptions!$G$73-Assumptions!$G$75-Assumptions!$G$76-Assumptions!$G$77</f>
        <v>116.02563</v>
      </c>
      <c r="AJ102" s="63" t="n">
        <f aca="false">Assumptions!$G$70*(1-Assumptions!$G$80)*(1-Assumptions!$G$79)-Assumptions!$G$73-Assumptions!$G$75-Assumptions!$G$76-Assumptions!$G$77</f>
        <v>116.02563</v>
      </c>
      <c r="AK102" s="63" t="n">
        <f aca="false">Assumptions!$G$70*(1-Assumptions!$G$80)*(1-Assumptions!$G$79)-Assumptions!$G$73-Assumptions!$G$75-Assumptions!$G$76-Assumptions!$G$77</f>
        <v>116.02563</v>
      </c>
      <c r="AL102" s="63" t="n">
        <f aca="false">Assumptions!$G$70*(1-Assumptions!$G$80)*(1-Assumptions!$G$79)-Assumptions!$G$73-Assumptions!$G$75-Assumptions!$G$76-Assumptions!$G$77</f>
        <v>116.02563</v>
      </c>
      <c r="AM102" s="63" t="n">
        <f aca="false">AVERAGE(N102:AL102)</f>
        <v>116.02563</v>
      </c>
    </row>
    <row r="103" customFormat="false" ht="15" hidden="false" customHeight="false" outlineLevel="0" collapsed="false">
      <c r="A103" s="10" t="s">
        <v>823</v>
      </c>
      <c r="B103" s="9" t="s">
        <v>97</v>
      </c>
      <c r="C103" s="70" t="n">
        <f aca="false">C102/Assumptions!$G$68</f>
        <v>1054.77845454545</v>
      </c>
      <c r="D103" s="70" t="n">
        <f aca="false">D102/Assumptions!$G$68</f>
        <v>1054.77845454545</v>
      </c>
      <c r="E103" s="70" t="n">
        <f aca="false">E102/Assumptions!$G$68</f>
        <v>1054.77845454545</v>
      </c>
      <c r="F103" s="70" t="n">
        <f aca="false">F102/Assumptions!$G$68</f>
        <v>1054.77845454545</v>
      </c>
      <c r="G103" s="70" t="n">
        <f aca="false">G102/Assumptions!$G$68</f>
        <v>1054.77845454545</v>
      </c>
      <c r="H103" s="70" t="n">
        <f aca="false">H102/Assumptions!$G$68</f>
        <v>1054.77845454545</v>
      </c>
      <c r="I103" s="70" t="n">
        <f aca="false">I102/Assumptions!$G$68</f>
        <v>1054.77845454545</v>
      </c>
      <c r="J103" s="70" t="n">
        <f aca="false">J102/Assumptions!$G$68</f>
        <v>1054.77845454545</v>
      </c>
      <c r="K103" s="70" t="n">
        <f aca="false">K102/Assumptions!$G$68</f>
        <v>1054.77845454545</v>
      </c>
      <c r="L103" s="70" t="n">
        <f aca="false">L102/Assumptions!$G$68</f>
        <v>1054.77845454545</v>
      </c>
      <c r="M103" s="70" t="n">
        <f aca="false">M102/Assumptions!$G$68</f>
        <v>1054.77845454545</v>
      </c>
      <c r="N103" s="70" t="n">
        <f aca="false">N102/Assumptions!$G$68</f>
        <v>1054.77845454545</v>
      </c>
      <c r="O103" s="70" t="n">
        <f aca="false">O102/Assumptions!$G$68</f>
        <v>1054.77845454545</v>
      </c>
      <c r="P103" s="70" t="n">
        <f aca="false">P102/Assumptions!$G$68</f>
        <v>1054.77845454545</v>
      </c>
      <c r="Q103" s="70" t="n">
        <f aca="false">Q102/Assumptions!$G$68</f>
        <v>1054.77845454545</v>
      </c>
      <c r="R103" s="70" t="n">
        <f aca="false">R102/Assumptions!$G$68</f>
        <v>1054.77845454545</v>
      </c>
      <c r="S103" s="70" t="n">
        <f aca="false">S102/Assumptions!$G$68</f>
        <v>1054.77845454545</v>
      </c>
      <c r="T103" s="70" t="n">
        <f aca="false">T102/Assumptions!$G$68</f>
        <v>1054.77845454545</v>
      </c>
      <c r="U103" s="70" t="n">
        <f aca="false">U102/Assumptions!$G$68</f>
        <v>1054.77845454545</v>
      </c>
      <c r="V103" s="70" t="n">
        <f aca="false">V102/Assumptions!$G$68</f>
        <v>1054.77845454545</v>
      </c>
      <c r="W103" s="70" t="n">
        <f aca="false">W102/Assumptions!$G$68</f>
        <v>1054.77845454545</v>
      </c>
      <c r="X103" s="70" t="n">
        <f aca="false">X102/Assumptions!$G$68</f>
        <v>1054.77845454545</v>
      </c>
      <c r="Y103" s="70" t="n">
        <f aca="false">Y102/Assumptions!$G$68</f>
        <v>1054.77845454545</v>
      </c>
      <c r="Z103" s="70" t="n">
        <f aca="false">Z102/Assumptions!$G$68</f>
        <v>1054.77845454545</v>
      </c>
      <c r="AA103" s="70" t="n">
        <f aca="false">AA102/Assumptions!$G$68</f>
        <v>1054.77845454545</v>
      </c>
      <c r="AB103" s="70" t="n">
        <f aca="false">AB102/Assumptions!$G$68</f>
        <v>1054.77845454545</v>
      </c>
      <c r="AC103" s="70" t="n">
        <f aca="false">AC102/Assumptions!$G$68</f>
        <v>1054.77845454545</v>
      </c>
      <c r="AD103" s="70" t="n">
        <f aca="false">AD102/Assumptions!$G$68</f>
        <v>1054.77845454545</v>
      </c>
      <c r="AE103" s="70" t="n">
        <f aca="false">AE102/Assumptions!$G$68</f>
        <v>1054.77845454545</v>
      </c>
      <c r="AF103" s="70" t="n">
        <f aca="false">AF102/Assumptions!$G$68</f>
        <v>1054.77845454545</v>
      </c>
      <c r="AG103" s="70" t="n">
        <f aca="false">AG102/Assumptions!$G$68</f>
        <v>1054.77845454545</v>
      </c>
      <c r="AH103" s="70" t="n">
        <f aca="false">AH102/Assumptions!$G$68</f>
        <v>1054.77845454545</v>
      </c>
      <c r="AI103" s="70" t="n">
        <f aca="false">AI102/Assumptions!$G$68</f>
        <v>1054.77845454545</v>
      </c>
      <c r="AJ103" s="70" t="n">
        <f aca="false">AJ102/Assumptions!$G$68</f>
        <v>1054.77845454545</v>
      </c>
      <c r="AK103" s="70" t="n">
        <f aca="false">AK102/Assumptions!$G$68</f>
        <v>1054.77845454545</v>
      </c>
      <c r="AL103" s="70" t="n">
        <f aca="false">AL102/Assumptions!$G$68</f>
        <v>1054.77845454545</v>
      </c>
      <c r="AM103" s="70" t="n">
        <f aca="false">AVERAGE(N103:AL103)</f>
        <v>1054.77845454545</v>
      </c>
    </row>
    <row r="104" customFormat="false" ht="15" hidden="false" customHeight="false" outlineLevel="0" collapsed="false">
      <c r="A104" s="10" t="s">
        <v>402</v>
      </c>
      <c r="B104" s="9" t="s">
        <v>97</v>
      </c>
      <c r="C104" s="63" t="n">
        <f aca="false">Assumptions!$G$50*(1-Assumptions!$G$80)*(1-Assumptions!$G$79)-Assumptions!$G$50*Assumptions!$G$55-Assumptions!$G$56</f>
        <v>45.68586</v>
      </c>
      <c r="D104" s="63" t="n">
        <f aca="false">Assumptions!$G$50*(1-Assumptions!$G$80)*(1-Assumptions!$G$79)-Assumptions!$G$50*Assumptions!$G$55-Assumptions!$G$56</f>
        <v>45.68586</v>
      </c>
      <c r="E104" s="63" t="n">
        <f aca="false">Assumptions!$G$50*(1-Assumptions!$G$80)*(1-Assumptions!$G$79)-Assumptions!$G$50*Assumptions!$G$55-Assumptions!$G$56</f>
        <v>45.68586</v>
      </c>
      <c r="F104" s="63" t="n">
        <f aca="false">Assumptions!$G$50*(1-Assumptions!$G$80)*(1-Assumptions!$G$79)-Assumptions!$G$50*Assumptions!$G$55-Assumptions!$G$56</f>
        <v>45.68586</v>
      </c>
      <c r="G104" s="63" t="n">
        <f aca="false">Assumptions!$G$50*(1-Assumptions!$G$80)*(1-Assumptions!$G$79)-Assumptions!$G$50*Assumptions!$G$55-Assumptions!$G$56</f>
        <v>45.68586</v>
      </c>
      <c r="H104" s="63" t="n">
        <f aca="false">Assumptions!$G$50*(1-Assumptions!$G$80)*(1-Assumptions!$G$79)-Assumptions!$G$50*Assumptions!$G$55-Assumptions!$G$56</f>
        <v>45.68586</v>
      </c>
      <c r="I104" s="63" t="n">
        <f aca="false">Assumptions!$G$50*(1-Assumptions!$G$80)*(1-Assumptions!$G$79)-Assumptions!$G$50*Assumptions!$G$55-Assumptions!$G$56</f>
        <v>45.68586</v>
      </c>
      <c r="J104" s="63" t="n">
        <f aca="false">Assumptions!$G$50*(1-Assumptions!$G$80)*(1-Assumptions!$G$79)-Assumptions!$G$50*Assumptions!$G$55-Assumptions!$G$56</f>
        <v>45.68586</v>
      </c>
      <c r="K104" s="63" t="n">
        <f aca="false">Assumptions!$G$50*(1-Assumptions!$G$80)*(1-Assumptions!$G$79)-Assumptions!$G$50*Assumptions!$G$55-Assumptions!$G$56</f>
        <v>45.68586</v>
      </c>
      <c r="L104" s="63" t="n">
        <f aca="false">Assumptions!$G$50*(1-Assumptions!$G$80)*(1-Assumptions!$G$79)-Assumptions!$G$50*Assumptions!$G$55-Assumptions!$G$56</f>
        <v>45.68586</v>
      </c>
      <c r="M104" s="63" t="n">
        <f aca="false">Assumptions!$G$50*(1-Assumptions!$G$80)*(1-Assumptions!$G$79)-Assumptions!$G$50*Assumptions!$G$55-Assumptions!$G$56</f>
        <v>45.68586</v>
      </c>
      <c r="N104" s="63" t="n">
        <f aca="false">Assumptions!$G$50*(1-Assumptions!$G$80)*(1-Assumptions!$G$79)-Assumptions!$G$50*Assumptions!$G$55-Assumptions!$G$56</f>
        <v>45.68586</v>
      </c>
      <c r="O104" s="63" t="n">
        <f aca="false">Assumptions!$G$50*(1-Assumptions!$G$80)*(1-Assumptions!$G$79)-Assumptions!$G$50*Assumptions!$G$55-Assumptions!$G$56</f>
        <v>45.68586</v>
      </c>
      <c r="P104" s="63" t="n">
        <f aca="false">Assumptions!$G$50*(1-Assumptions!$G$80)*(1-Assumptions!$G$79)-Assumptions!$G$50*Assumptions!$G$55-Assumptions!$G$56</f>
        <v>45.68586</v>
      </c>
      <c r="Q104" s="63" t="n">
        <f aca="false">Assumptions!$G$50*(1-Assumptions!$G$80)*(1-Assumptions!$G$79)-Assumptions!$G$50*Assumptions!$G$55-Assumptions!$G$56</f>
        <v>45.68586</v>
      </c>
      <c r="R104" s="63" t="n">
        <f aca="false">Assumptions!$G$50*(1-Assumptions!$G$80)*(1-Assumptions!$G$79)-Assumptions!$G$50*Assumptions!$G$55-Assumptions!$G$56</f>
        <v>45.68586</v>
      </c>
      <c r="S104" s="63" t="n">
        <f aca="false">Assumptions!$G$50*(1-Assumptions!$G$80)*(1-Assumptions!$G$79)-Assumptions!$G$50*Assumptions!$G$55-Assumptions!$G$56</f>
        <v>45.68586</v>
      </c>
      <c r="T104" s="63" t="n">
        <f aca="false">Assumptions!$G$50*(1-Assumptions!$G$80)*(1-Assumptions!$G$79)-Assumptions!$G$50*Assumptions!$G$55-Assumptions!$G$56</f>
        <v>45.68586</v>
      </c>
      <c r="U104" s="63" t="n">
        <f aca="false">Assumptions!$G$50*(1-Assumptions!$G$80)*(1-Assumptions!$G$79)-Assumptions!$G$50*Assumptions!$G$55-Assumptions!$G$56</f>
        <v>45.68586</v>
      </c>
      <c r="V104" s="63" t="n">
        <f aca="false">Assumptions!$G$50*(1-Assumptions!$G$80)*(1-Assumptions!$G$79)-Assumptions!$G$50*Assumptions!$G$55-Assumptions!$G$56</f>
        <v>45.68586</v>
      </c>
      <c r="W104" s="63" t="n">
        <f aca="false">Assumptions!$G$50*(1-Assumptions!$G$80)*(1-Assumptions!$G$79)-Assumptions!$G$50*Assumptions!$G$55-Assumptions!$G$56</f>
        <v>45.68586</v>
      </c>
      <c r="X104" s="63" t="n">
        <f aca="false">Assumptions!$G$50*(1-Assumptions!$G$80)*(1-Assumptions!$G$79)-Assumptions!$G$50*Assumptions!$G$55-Assumptions!$G$56</f>
        <v>45.68586</v>
      </c>
      <c r="Y104" s="63" t="n">
        <f aca="false">Assumptions!$G$50*(1-Assumptions!$G$80)*(1-Assumptions!$G$79)-Assumptions!$G$50*Assumptions!$G$55-Assumptions!$G$56</f>
        <v>45.68586</v>
      </c>
      <c r="Z104" s="63" t="n">
        <f aca="false">Assumptions!$G$50*(1-Assumptions!$G$80)*(1-Assumptions!$G$79)-Assumptions!$G$50*Assumptions!$G$55-Assumptions!$G$56</f>
        <v>45.68586</v>
      </c>
      <c r="AA104" s="63" t="n">
        <f aca="false">Assumptions!$G$50*(1-Assumptions!$G$80)*(1-Assumptions!$G$79)-Assumptions!$G$50*Assumptions!$G$55-Assumptions!$G$56</f>
        <v>45.68586</v>
      </c>
      <c r="AB104" s="63" t="n">
        <f aca="false">Assumptions!$G$50*(1-Assumptions!$G$80)*(1-Assumptions!$G$79)-Assumptions!$G$50*Assumptions!$G$55-Assumptions!$G$56</f>
        <v>45.68586</v>
      </c>
      <c r="AC104" s="63" t="n">
        <f aca="false">Assumptions!$G$50*(1-Assumptions!$G$80)*(1-Assumptions!$G$79)-Assumptions!$G$50*Assumptions!$G$55-Assumptions!$G$56</f>
        <v>45.68586</v>
      </c>
      <c r="AD104" s="63" t="n">
        <f aca="false">Assumptions!$G$50*(1-Assumptions!$G$80)*(1-Assumptions!$G$79)-Assumptions!$G$50*Assumptions!$G$55-Assumptions!$G$56</f>
        <v>45.68586</v>
      </c>
      <c r="AE104" s="63" t="n">
        <f aca="false">Assumptions!$G$50*(1-Assumptions!$G$80)*(1-Assumptions!$G$79)-Assumptions!$G$50*Assumptions!$G$55-Assumptions!$G$56</f>
        <v>45.68586</v>
      </c>
      <c r="AF104" s="63" t="n">
        <f aca="false">Assumptions!$G$50*(1-Assumptions!$G$80)*(1-Assumptions!$G$79)-Assumptions!$G$50*Assumptions!$G$55-Assumptions!$G$56</f>
        <v>45.68586</v>
      </c>
      <c r="AG104" s="63" t="n">
        <f aca="false">Assumptions!$G$50*(1-Assumptions!$G$80)*(1-Assumptions!$G$79)-Assumptions!$G$50*Assumptions!$G$55-Assumptions!$G$56</f>
        <v>45.68586</v>
      </c>
      <c r="AH104" s="63" t="n">
        <f aca="false">Assumptions!$G$50*(1-Assumptions!$G$80)*(1-Assumptions!$G$79)-Assumptions!$G$50*Assumptions!$G$55-Assumptions!$G$56</f>
        <v>45.68586</v>
      </c>
      <c r="AI104" s="63" t="n">
        <f aca="false">Assumptions!$G$50*(1-Assumptions!$G$80)*(1-Assumptions!$G$79)-Assumptions!$G$50*Assumptions!$G$55-Assumptions!$G$56</f>
        <v>45.68586</v>
      </c>
      <c r="AJ104" s="63" t="n">
        <f aca="false">Assumptions!$G$50*(1-Assumptions!$G$80)*(1-Assumptions!$G$79)-Assumptions!$G$50*Assumptions!$G$55-Assumptions!$G$56</f>
        <v>45.68586</v>
      </c>
      <c r="AK104" s="63" t="n">
        <f aca="false">Assumptions!$G$50*(1-Assumptions!$G$80)*(1-Assumptions!$G$79)-Assumptions!$G$50*Assumptions!$G$55-Assumptions!$G$56</f>
        <v>45.68586</v>
      </c>
      <c r="AL104" s="63" t="n">
        <f aca="false">Assumptions!$G$50*(1-Assumptions!$G$80)*(1-Assumptions!$G$79)-Assumptions!$G$50*Assumptions!$G$55-Assumptions!$G$56</f>
        <v>45.68586</v>
      </c>
      <c r="AM104" s="63" t="n">
        <f aca="false">AVERAGE(N104:AL104)</f>
        <v>45.68586</v>
      </c>
    </row>
    <row r="105" customFormat="false" ht="15" hidden="false" customHeight="false" outlineLevel="0" collapsed="false">
      <c r="A105" s="10" t="s">
        <v>403</v>
      </c>
      <c r="B105" s="9" t="s">
        <v>97</v>
      </c>
      <c r="C105" s="70" t="n">
        <f aca="false">C104/Assumptions!$G$52</f>
        <v>652.655142857143</v>
      </c>
      <c r="D105" s="70" t="n">
        <f aca="false">D104/Assumptions!$G$52</f>
        <v>652.655142857143</v>
      </c>
      <c r="E105" s="70" t="n">
        <f aca="false">E104/Assumptions!$G$52</f>
        <v>652.655142857143</v>
      </c>
      <c r="F105" s="70" t="n">
        <f aca="false">F104/Assumptions!$G$52</f>
        <v>652.655142857143</v>
      </c>
      <c r="G105" s="70" t="n">
        <f aca="false">G104/Assumptions!$G$52</f>
        <v>652.655142857143</v>
      </c>
      <c r="H105" s="70" t="n">
        <f aca="false">H104/Assumptions!$G$52</f>
        <v>652.655142857143</v>
      </c>
      <c r="I105" s="70" t="n">
        <f aca="false">I104/Assumptions!$G$52</f>
        <v>652.655142857143</v>
      </c>
      <c r="J105" s="70" t="n">
        <f aca="false">J104/Assumptions!$G$52</f>
        <v>652.655142857143</v>
      </c>
      <c r="K105" s="70" t="n">
        <f aca="false">K104/Assumptions!$G$52</f>
        <v>652.655142857143</v>
      </c>
      <c r="L105" s="70" t="n">
        <f aca="false">L104/Assumptions!$G$52</f>
        <v>652.655142857143</v>
      </c>
      <c r="M105" s="70" t="n">
        <f aca="false">M104/Assumptions!$G$52</f>
        <v>652.655142857143</v>
      </c>
      <c r="N105" s="70" t="n">
        <f aca="false">N104/Assumptions!$G$52</f>
        <v>652.655142857143</v>
      </c>
      <c r="O105" s="70" t="n">
        <f aca="false">O104/Assumptions!$G$52</f>
        <v>652.655142857143</v>
      </c>
      <c r="P105" s="70" t="n">
        <f aca="false">P104/Assumptions!$G$52</f>
        <v>652.655142857143</v>
      </c>
      <c r="Q105" s="70" t="n">
        <f aca="false">Q104/Assumptions!$G$52</f>
        <v>652.655142857143</v>
      </c>
      <c r="R105" s="70" t="n">
        <f aca="false">R104/Assumptions!$G$52</f>
        <v>652.655142857143</v>
      </c>
      <c r="S105" s="70" t="n">
        <f aca="false">S104/Assumptions!$G$52</f>
        <v>652.655142857143</v>
      </c>
      <c r="T105" s="70" t="n">
        <f aca="false">T104/Assumptions!$G$52</f>
        <v>652.655142857143</v>
      </c>
      <c r="U105" s="70" t="n">
        <f aca="false">U104/Assumptions!$G$52</f>
        <v>652.655142857143</v>
      </c>
      <c r="V105" s="70" t="n">
        <f aca="false">V104/Assumptions!$G$52</f>
        <v>652.655142857143</v>
      </c>
      <c r="W105" s="70" t="n">
        <f aca="false">W104/Assumptions!$G$52</f>
        <v>652.655142857143</v>
      </c>
      <c r="X105" s="70" t="n">
        <f aca="false">X104/Assumptions!$G$52</f>
        <v>652.655142857143</v>
      </c>
      <c r="Y105" s="70" t="n">
        <f aca="false">Y104/Assumptions!$G$52</f>
        <v>652.655142857143</v>
      </c>
      <c r="Z105" s="70" t="n">
        <f aca="false">Z104/Assumptions!$G$52</f>
        <v>652.655142857143</v>
      </c>
      <c r="AA105" s="70" t="n">
        <f aca="false">AA104/Assumptions!$G$52</f>
        <v>652.655142857143</v>
      </c>
      <c r="AB105" s="70" t="n">
        <f aca="false">AB104/Assumptions!$G$52</f>
        <v>652.655142857143</v>
      </c>
      <c r="AC105" s="70" t="n">
        <f aca="false">AC104/Assumptions!$G$52</f>
        <v>652.655142857143</v>
      </c>
      <c r="AD105" s="70" t="n">
        <f aca="false">AD104/Assumptions!$G$52</f>
        <v>652.655142857143</v>
      </c>
      <c r="AE105" s="70" t="n">
        <f aca="false">AE104/Assumptions!$G$52</f>
        <v>652.655142857143</v>
      </c>
      <c r="AF105" s="70" t="n">
        <f aca="false">AF104/Assumptions!$G$52</f>
        <v>652.655142857143</v>
      </c>
      <c r="AG105" s="70" t="n">
        <f aca="false">AG104/Assumptions!$G$52</f>
        <v>652.655142857143</v>
      </c>
      <c r="AH105" s="70" t="n">
        <f aca="false">AH104/Assumptions!$G$52</f>
        <v>652.655142857143</v>
      </c>
      <c r="AI105" s="70" t="n">
        <f aca="false">AI104/Assumptions!$G$52</f>
        <v>652.655142857143</v>
      </c>
      <c r="AJ105" s="70" t="n">
        <f aca="false">AJ104/Assumptions!$G$52</f>
        <v>652.655142857143</v>
      </c>
      <c r="AK105" s="70" t="n">
        <f aca="false">AK104/Assumptions!$G$52</f>
        <v>652.655142857143</v>
      </c>
      <c r="AL105" s="70" t="n">
        <f aca="false">AL104/Assumptions!$G$52</f>
        <v>652.655142857143</v>
      </c>
      <c r="AM105" s="70" t="n">
        <f aca="false">AVERAGE(N105:AL105)</f>
        <v>652.655142857143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105"/>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8" min="3" style="0" width="12"/>
    <col collapsed="false" customWidth="true" hidden="false" outlineLevel="0" max="39" min="39" style="0" width="15"/>
  </cols>
  <sheetData>
    <row r="1" customFormat="false" ht="17.35" hidden="false" customHeight="false" outlineLevel="0" collapsed="false">
      <c r="A1" s="4" t="s">
        <v>827</v>
      </c>
    </row>
    <row r="2" customFormat="false" ht="15" hidden="false" customHeight="false" outlineLevel="0" collapsed="false">
      <c r="A2" s="67" t="s">
        <v>686</v>
      </c>
    </row>
    <row r="4" customFormat="false" ht="15" hidden="false" customHeight="false" outlineLevel="0" collapsed="false">
      <c r="A4" s="50" t="s">
        <v>687</v>
      </c>
      <c r="B4" s="50" t="s">
        <v>25</v>
      </c>
      <c r="C4" s="68" t="s">
        <v>688</v>
      </c>
      <c r="D4" s="68" t="s">
        <v>689</v>
      </c>
      <c r="E4" s="68" t="s">
        <v>690</v>
      </c>
      <c r="F4" s="68" t="s">
        <v>691</v>
      </c>
      <c r="G4" s="68" t="s">
        <v>692</v>
      </c>
      <c r="H4" s="68" t="s">
        <v>693</v>
      </c>
      <c r="I4" s="68" t="s">
        <v>694</v>
      </c>
      <c r="J4" s="68" t="s">
        <v>695</v>
      </c>
      <c r="K4" s="68" t="s">
        <v>696</v>
      </c>
      <c r="L4" s="68" t="s">
        <v>697</v>
      </c>
      <c r="M4" s="68" t="s">
        <v>698</v>
      </c>
      <c r="N4" s="68" t="s">
        <v>699</v>
      </c>
      <c r="O4" s="68" t="s">
        <v>700</v>
      </c>
      <c r="P4" s="68" t="s">
        <v>701</v>
      </c>
      <c r="Q4" s="68" t="s">
        <v>702</v>
      </c>
      <c r="R4" s="68" t="s">
        <v>703</v>
      </c>
      <c r="S4" s="68" t="s">
        <v>704</v>
      </c>
      <c r="T4" s="68" t="s">
        <v>705</v>
      </c>
      <c r="U4" s="68" t="s">
        <v>706</v>
      </c>
      <c r="V4" s="68" t="s">
        <v>707</v>
      </c>
      <c r="W4" s="68" t="s">
        <v>708</v>
      </c>
      <c r="X4" s="68" t="s">
        <v>709</v>
      </c>
      <c r="Y4" s="68" t="s">
        <v>710</v>
      </c>
      <c r="Z4" s="68" t="s">
        <v>711</v>
      </c>
      <c r="AA4" s="68" t="s">
        <v>712</v>
      </c>
      <c r="AB4" s="68" t="s">
        <v>713</v>
      </c>
      <c r="AC4" s="68" t="s">
        <v>714</v>
      </c>
      <c r="AD4" s="68" t="s">
        <v>715</v>
      </c>
      <c r="AE4" s="68" t="s">
        <v>716</v>
      </c>
      <c r="AF4" s="68" t="s">
        <v>717</v>
      </c>
      <c r="AG4" s="68" t="s">
        <v>718</v>
      </c>
      <c r="AH4" s="68" t="s">
        <v>719</v>
      </c>
      <c r="AI4" s="68" t="s">
        <v>720</v>
      </c>
      <c r="AJ4" s="68" t="s">
        <v>721</v>
      </c>
      <c r="AK4" s="68" t="s">
        <v>722</v>
      </c>
      <c r="AL4" s="68" t="s">
        <v>723</v>
      </c>
      <c r="AM4" s="50" t="s">
        <v>724</v>
      </c>
    </row>
    <row r="5" customFormat="false" ht="15" hidden="false" customHeight="false" outlineLevel="0" collapsed="false">
      <c r="A5" s="0" t="s">
        <v>725</v>
      </c>
      <c r="B5" s="0" t="s">
        <v>51</v>
      </c>
      <c r="C5" s="10" t="n">
        <v>1</v>
      </c>
      <c r="D5" s="10" t="n">
        <v>2</v>
      </c>
      <c r="E5" s="10" t="n">
        <v>3</v>
      </c>
      <c r="F5" s="10" t="n">
        <v>4</v>
      </c>
      <c r="G5" s="10" t="n">
        <v>5</v>
      </c>
      <c r="H5" s="10" t="n">
        <v>6</v>
      </c>
      <c r="I5" s="10" t="n">
        <v>7</v>
      </c>
      <c r="J5" s="10" t="n">
        <v>8</v>
      </c>
      <c r="K5" s="10" t="n">
        <v>9</v>
      </c>
      <c r="L5" s="10" t="n">
        <v>10</v>
      </c>
      <c r="M5" s="10" t="n">
        <v>11</v>
      </c>
      <c r="N5" s="10" t="n">
        <v>12</v>
      </c>
      <c r="O5" s="10" t="n">
        <v>13</v>
      </c>
      <c r="P5" s="10" t="n">
        <v>14</v>
      </c>
      <c r="Q5" s="10" t="n">
        <v>15</v>
      </c>
      <c r="R5" s="10" t="n">
        <v>16</v>
      </c>
      <c r="S5" s="10" t="n">
        <v>17</v>
      </c>
      <c r="T5" s="10" t="n">
        <v>18</v>
      </c>
      <c r="U5" s="10" t="n">
        <v>19</v>
      </c>
      <c r="V5" s="10" t="n">
        <v>20</v>
      </c>
      <c r="W5" s="10" t="n">
        <v>21</v>
      </c>
      <c r="X5" s="10" t="n">
        <v>22</v>
      </c>
      <c r="Y5" s="10" t="n">
        <v>23</v>
      </c>
      <c r="Z5" s="10" t="n">
        <v>24</v>
      </c>
      <c r="AA5" s="10" t="n">
        <v>25</v>
      </c>
      <c r="AB5" s="10" t="n">
        <v>26</v>
      </c>
      <c r="AC5" s="10" t="n">
        <v>27</v>
      </c>
      <c r="AD5" s="10" t="n">
        <v>28</v>
      </c>
      <c r="AE5" s="10" t="n">
        <v>29</v>
      </c>
      <c r="AF5" s="10" t="n">
        <v>30</v>
      </c>
      <c r="AG5" s="10" t="n">
        <v>31</v>
      </c>
      <c r="AH5" s="10" t="n">
        <v>32</v>
      </c>
      <c r="AI5" s="10" t="n">
        <v>33</v>
      </c>
      <c r="AJ5" s="10" t="n">
        <v>34</v>
      </c>
      <c r="AK5" s="10" t="n">
        <v>35</v>
      </c>
      <c r="AL5" s="10" t="n">
        <v>36</v>
      </c>
    </row>
    <row r="6" customFormat="false" ht="15" hidden="false" customHeight="false" outlineLevel="0" collapsed="false">
      <c r="A6" s="0" t="s">
        <v>726</v>
      </c>
      <c r="B6" s="0" t="s">
        <v>51</v>
      </c>
      <c r="C6" s="10" t="n">
        <f aca="false">ROUNDUP(C$5/12,0)</f>
        <v>1</v>
      </c>
      <c r="D6" s="10" t="n">
        <f aca="false">ROUNDUP(D$5/12,0)</f>
        <v>1</v>
      </c>
      <c r="E6" s="10" t="n">
        <f aca="false">ROUNDUP(E$5/12,0)</f>
        <v>1</v>
      </c>
      <c r="F6" s="10" t="n">
        <f aca="false">ROUNDUP(F$5/12,0)</f>
        <v>1</v>
      </c>
      <c r="G6" s="10" t="n">
        <f aca="false">ROUNDUP(G$5/12,0)</f>
        <v>1</v>
      </c>
      <c r="H6" s="10" t="n">
        <f aca="false">ROUNDUP(H$5/12,0)</f>
        <v>1</v>
      </c>
      <c r="I6" s="10" t="n">
        <f aca="false">ROUNDUP(I$5/12,0)</f>
        <v>1</v>
      </c>
      <c r="J6" s="10" t="n">
        <f aca="false">ROUNDUP(J$5/12,0)</f>
        <v>1</v>
      </c>
      <c r="K6" s="10" t="n">
        <f aca="false">ROUNDUP(K$5/12,0)</f>
        <v>1</v>
      </c>
      <c r="L6" s="10" t="n">
        <f aca="false">ROUNDUP(L$5/12,0)</f>
        <v>1</v>
      </c>
      <c r="M6" s="10" t="n">
        <f aca="false">ROUNDUP(M$5/12,0)</f>
        <v>1</v>
      </c>
      <c r="N6" s="10" t="n">
        <f aca="false">ROUNDUP(N$5/12,0)</f>
        <v>1</v>
      </c>
      <c r="O6" s="10" t="n">
        <f aca="false">ROUNDUP(O$5/12,0)</f>
        <v>2</v>
      </c>
      <c r="P6" s="10" t="n">
        <f aca="false">ROUNDUP(P$5/12,0)</f>
        <v>2</v>
      </c>
      <c r="Q6" s="10" t="n">
        <f aca="false">ROUNDUP(Q$5/12,0)</f>
        <v>2</v>
      </c>
      <c r="R6" s="10" t="n">
        <f aca="false">ROUNDUP(R$5/12,0)</f>
        <v>2</v>
      </c>
      <c r="S6" s="10" t="n">
        <f aca="false">ROUNDUP(S$5/12,0)</f>
        <v>2</v>
      </c>
      <c r="T6" s="10" t="n">
        <f aca="false">ROUNDUP(T$5/12,0)</f>
        <v>2</v>
      </c>
      <c r="U6" s="10" t="n">
        <f aca="false">ROUNDUP(U$5/12,0)</f>
        <v>2</v>
      </c>
      <c r="V6" s="10" t="n">
        <f aca="false">ROUNDUP(V$5/12,0)</f>
        <v>2</v>
      </c>
      <c r="W6" s="10" t="n">
        <f aca="false">ROUNDUP(W$5/12,0)</f>
        <v>2</v>
      </c>
      <c r="X6" s="10" t="n">
        <f aca="false">ROUNDUP(X$5/12,0)</f>
        <v>2</v>
      </c>
      <c r="Y6" s="10" t="n">
        <f aca="false">ROUNDUP(Y$5/12,0)</f>
        <v>2</v>
      </c>
      <c r="Z6" s="10" t="n">
        <f aca="false">ROUNDUP(Z$5/12,0)</f>
        <v>2</v>
      </c>
      <c r="AA6" s="10" t="n">
        <f aca="false">ROUNDUP(AA$5/12,0)</f>
        <v>3</v>
      </c>
      <c r="AB6" s="10" t="n">
        <f aca="false">ROUNDUP(AB$5/12,0)</f>
        <v>3</v>
      </c>
      <c r="AC6" s="10" t="n">
        <f aca="false">ROUNDUP(AC$5/12,0)</f>
        <v>3</v>
      </c>
      <c r="AD6" s="10" t="n">
        <f aca="false">ROUNDUP(AD$5/12,0)</f>
        <v>3</v>
      </c>
      <c r="AE6" s="10" t="n">
        <f aca="false">ROUNDUP(AE$5/12,0)</f>
        <v>3</v>
      </c>
      <c r="AF6" s="10" t="n">
        <f aca="false">ROUNDUP(AF$5/12,0)</f>
        <v>3</v>
      </c>
      <c r="AG6" s="10" t="n">
        <f aca="false">ROUNDUP(AG$5/12,0)</f>
        <v>3</v>
      </c>
      <c r="AH6" s="10" t="n">
        <f aca="false">ROUNDUP(AH$5/12,0)</f>
        <v>3</v>
      </c>
      <c r="AI6" s="10" t="n">
        <f aca="false">ROUNDUP(AI$5/12,0)</f>
        <v>3</v>
      </c>
      <c r="AJ6" s="10" t="n">
        <f aca="false">ROUNDUP(AJ$5/12,0)</f>
        <v>3</v>
      </c>
      <c r="AK6" s="10" t="n">
        <f aca="false">ROUNDUP(AK$5/12,0)</f>
        <v>3</v>
      </c>
      <c r="AL6" s="10" t="n">
        <f aca="false">ROUNDUP(AL$5/12,0)</f>
        <v>3</v>
      </c>
    </row>
    <row r="8" customFormat="false" ht="15" hidden="false" customHeight="false" outlineLevel="0" collapsed="false">
      <c r="A8" s="10" t="s">
        <v>727</v>
      </c>
      <c r="B8" s="9" t="s">
        <v>728</v>
      </c>
      <c r="C8" s="69" t="n">
        <f aca="false">IF(C$5&gt;=Assumptions!$H$6,1,0)</f>
        <v>0</v>
      </c>
      <c r="D8" s="69" t="n">
        <f aca="false">IF(D$5&gt;=Assumptions!$H$6,1,0)</f>
        <v>1</v>
      </c>
      <c r="E8" s="69" t="n">
        <f aca="false">IF(E$5&gt;=Assumptions!$H$6,1,0)</f>
        <v>1</v>
      </c>
      <c r="F8" s="69" t="n">
        <f aca="false">IF(F$5&gt;=Assumptions!$H$6,1,0)</f>
        <v>1</v>
      </c>
      <c r="G8" s="69" t="n">
        <f aca="false">IF(G$5&gt;=Assumptions!$H$6,1,0)</f>
        <v>1</v>
      </c>
      <c r="H8" s="69" t="n">
        <f aca="false">IF(H$5&gt;=Assumptions!$H$6,1,0)</f>
        <v>1</v>
      </c>
      <c r="I8" s="69" t="n">
        <f aca="false">IF(I$5&gt;=Assumptions!$H$6,1,0)</f>
        <v>1</v>
      </c>
      <c r="J8" s="69" t="n">
        <f aca="false">IF(J$5&gt;=Assumptions!$H$6,1,0)</f>
        <v>1</v>
      </c>
      <c r="K8" s="69" t="n">
        <f aca="false">IF(K$5&gt;=Assumptions!$H$6,1,0)</f>
        <v>1</v>
      </c>
      <c r="L8" s="69" t="n">
        <f aca="false">IF(L$5&gt;=Assumptions!$H$6,1,0)</f>
        <v>1</v>
      </c>
      <c r="M8" s="69" t="n">
        <f aca="false">IF(M$5&gt;=Assumptions!$H$6,1,0)</f>
        <v>1</v>
      </c>
      <c r="N8" s="69" t="n">
        <f aca="false">IF(N$5&gt;=Assumptions!$H$6,1,0)</f>
        <v>1</v>
      </c>
      <c r="O8" s="69" t="n">
        <f aca="false">IF(O$5&gt;=Assumptions!$H$6,1,0)</f>
        <v>1</v>
      </c>
      <c r="P8" s="69" t="n">
        <f aca="false">IF(P$5&gt;=Assumptions!$H$6,1,0)</f>
        <v>1</v>
      </c>
      <c r="Q8" s="69" t="n">
        <f aca="false">IF(Q$5&gt;=Assumptions!$H$6,1,0)</f>
        <v>1</v>
      </c>
      <c r="R8" s="69" t="n">
        <f aca="false">IF(R$5&gt;=Assumptions!$H$6,1,0)</f>
        <v>1</v>
      </c>
      <c r="S8" s="69" t="n">
        <f aca="false">IF(S$5&gt;=Assumptions!$H$6,1,0)</f>
        <v>1</v>
      </c>
      <c r="T8" s="69" t="n">
        <f aca="false">IF(T$5&gt;=Assumptions!$H$6,1,0)</f>
        <v>1</v>
      </c>
      <c r="U8" s="69" t="n">
        <f aca="false">IF(U$5&gt;=Assumptions!$H$6,1,0)</f>
        <v>1</v>
      </c>
      <c r="V8" s="69" t="n">
        <f aca="false">IF(V$5&gt;=Assumptions!$H$6,1,0)</f>
        <v>1</v>
      </c>
      <c r="W8" s="69" t="n">
        <f aca="false">IF(W$5&gt;=Assumptions!$H$6,1,0)</f>
        <v>1</v>
      </c>
      <c r="X8" s="69" t="n">
        <f aca="false">IF(X$5&gt;=Assumptions!$H$6,1,0)</f>
        <v>1</v>
      </c>
      <c r="Y8" s="69" t="n">
        <f aca="false">IF(Y$5&gt;=Assumptions!$H$6,1,0)</f>
        <v>1</v>
      </c>
      <c r="Z8" s="69" t="n">
        <f aca="false">IF(Z$5&gt;=Assumptions!$H$6,1,0)</f>
        <v>1</v>
      </c>
      <c r="AA8" s="69" t="n">
        <f aca="false">IF(AA$5&gt;=Assumptions!$H$6,1,0)</f>
        <v>1</v>
      </c>
      <c r="AB8" s="69" t="n">
        <f aca="false">IF(AB$5&gt;=Assumptions!$H$6,1,0)</f>
        <v>1</v>
      </c>
      <c r="AC8" s="69" t="n">
        <f aca="false">IF(AC$5&gt;=Assumptions!$H$6,1,0)</f>
        <v>1</v>
      </c>
      <c r="AD8" s="69" t="n">
        <f aca="false">IF(AD$5&gt;=Assumptions!$H$6,1,0)</f>
        <v>1</v>
      </c>
      <c r="AE8" s="69" t="n">
        <f aca="false">IF(AE$5&gt;=Assumptions!$H$6,1,0)</f>
        <v>1</v>
      </c>
      <c r="AF8" s="69" t="n">
        <f aca="false">IF(AF$5&gt;=Assumptions!$H$6,1,0)</f>
        <v>1</v>
      </c>
      <c r="AG8" s="69" t="n">
        <f aca="false">IF(AG$5&gt;=Assumptions!$H$6,1,0)</f>
        <v>1</v>
      </c>
      <c r="AH8" s="69" t="n">
        <f aca="false">IF(AH$5&gt;=Assumptions!$H$6,1,0)</f>
        <v>1</v>
      </c>
      <c r="AI8" s="69" t="n">
        <f aca="false">IF(AI$5&gt;=Assumptions!$H$6,1,0)</f>
        <v>1</v>
      </c>
      <c r="AJ8" s="69" t="n">
        <f aca="false">IF(AJ$5&gt;=Assumptions!$H$6,1,0)</f>
        <v>1</v>
      </c>
      <c r="AK8" s="69" t="n">
        <f aca="false">IF(AK$5&gt;=Assumptions!$H$6,1,0)</f>
        <v>1</v>
      </c>
      <c r="AL8" s="69" t="n">
        <f aca="false">IF(AL$5&gt;=Assumptions!$H$6,1,0)</f>
        <v>1</v>
      </c>
      <c r="AM8" s="69"/>
    </row>
    <row r="9" customFormat="false" ht="15" hidden="false" customHeight="false" outlineLevel="0" collapsed="false">
      <c r="A9" s="10" t="s">
        <v>729</v>
      </c>
      <c r="B9" s="9" t="s">
        <v>728</v>
      </c>
      <c r="C9" s="69" t="n">
        <f aca="false">IF(C$5&gt;=Assumptions!$H$7,1,0)</f>
        <v>0</v>
      </c>
      <c r="D9" s="69" t="n">
        <f aca="false">IF(D$5&gt;=Assumptions!$H$7,1,0)</f>
        <v>0</v>
      </c>
      <c r="E9" s="69" t="n">
        <f aca="false">IF(E$5&gt;=Assumptions!$H$7,1,0)</f>
        <v>0</v>
      </c>
      <c r="F9" s="69" t="n">
        <f aca="false">IF(F$5&gt;=Assumptions!$H$7,1,0)</f>
        <v>0</v>
      </c>
      <c r="G9" s="69" t="n">
        <f aca="false">IF(G$5&gt;=Assumptions!$H$7,1,0)</f>
        <v>0</v>
      </c>
      <c r="H9" s="69" t="n">
        <f aca="false">IF(H$5&gt;=Assumptions!$H$7,1,0)</f>
        <v>0</v>
      </c>
      <c r="I9" s="69" t="n">
        <f aca="false">IF(I$5&gt;=Assumptions!$H$7,1,0)</f>
        <v>1</v>
      </c>
      <c r="J9" s="69" t="n">
        <f aca="false">IF(J$5&gt;=Assumptions!$H$7,1,0)</f>
        <v>1</v>
      </c>
      <c r="K9" s="69" t="n">
        <f aca="false">IF(K$5&gt;=Assumptions!$H$7,1,0)</f>
        <v>1</v>
      </c>
      <c r="L9" s="69" t="n">
        <f aca="false">IF(L$5&gt;=Assumptions!$H$7,1,0)</f>
        <v>1</v>
      </c>
      <c r="M9" s="69" t="n">
        <f aca="false">IF(M$5&gt;=Assumptions!$H$7,1,0)</f>
        <v>1</v>
      </c>
      <c r="N9" s="69" t="n">
        <f aca="false">IF(N$5&gt;=Assumptions!$H$7,1,0)</f>
        <v>1</v>
      </c>
      <c r="O9" s="69" t="n">
        <f aca="false">IF(O$5&gt;=Assumptions!$H$7,1,0)</f>
        <v>1</v>
      </c>
      <c r="P9" s="69" t="n">
        <f aca="false">IF(P$5&gt;=Assumptions!$H$7,1,0)</f>
        <v>1</v>
      </c>
      <c r="Q9" s="69" t="n">
        <f aca="false">IF(Q$5&gt;=Assumptions!$H$7,1,0)</f>
        <v>1</v>
      </c>
      <c r="R9" s="69" t="n">
        <f aca="false">IF(R$5&gt;=Assumptions!$H$7,1,0)</f>
        <v>1</v>
      </c>
      <c r="S9" s="69" t="n">
        <f aca="false">IF(S$5&gt;=Assumptions!$H$7,1,0)</f>
        <v>1</v>
      </c>
      <c r="T9" s="69" t="n">
        <f aca="false">IF(T$5&gt;=Assumptions!$H$7,1,0)</f>
        <v>1</v>
      </c>
      <c r="U9" s="69" t="n">
        <f aca="false">IF(U$5&gt;=Assumptions!$H$7,1,0)</f>
        <v>1</v>
      </c>
      <c r="V9" s="69" t="n">
        <f aca="false">IF(V$5&gt;=Assumptions!$H$7,1,0)</f>
        <v>1</v>
      </c>
      <c r="W9" s="69" t="n">
        <f aca="false">IF(W$5&gt;=Assumptions!$H$7,1,0)</f>
        <v>1</v>
      </c>
      <c r="X9" s="69" t="n">
        <f aca="false">IF(X$5&gt;=Assumptions!$H$7,1,0)</f>
        <v>1</v>
      </c>
      <c r="Y9" s="69" t="n">
        <f aca="false">IF(Y$5&gt;=Assumptions!$H$7,1,0)</f>
        <v>1</v>
      </c>
      <c r="Z9" s="69" t="n">
        <f aca="false">IF(Z$5&gt;=Assumptions!$H$7,1,0)</f>
        <v>1</v>
      </c>
      <c r="AA9" s="69" t="n">
        <f aca="false">IF(AA$5&gt;=Assumptions!$H$7,1,0)</f>
        <v>1</v>
      </c>
      <c r="AB9" s="69" t="n">
        <f aca="false">IF(AB$5&gt;=Assumptions!$H$7,1,0)</f>
        <v>1</v>
      </c>
      <c r="AC9" s="69" t="n">
        <f aca="false">IF(AC$5&gt;=Assumptions!$H$7,1,0)</f>
        <v>1</v>
      </c>
      <c r="AD9" s="69" t="n">
        <f aca="false">IF(AD$5&gt;=Assumptions!$H$7,1,0)</f>
        <v>1</v>
      </c>
      <c r="AE9" s="69" t="n">
        <f aca="false">IF(AE$5&gt;=Assumptions!$H$7,1,0)</f>
        <v>1</v>
      </c>
      <c r="AF9" s="69" t="n">
        <f aca="false">IF(AF$5&gt;=Assumptions!$H$7,1,0)</f>
        <v>1</v>
      </c>
      <c r="AG9" s="69" t="n">
        <f aca="false">IF(AG$5&gt;=Assumptions!$H$7,1,0)</f>
        <v>1</v>
      </c>
      <c r="AH9" s="69" t="n">
        <f aca="false">IF(AH$5&gt;=Assumptions!$H$7,1,0)</f>
        <v>1</v>
      </c>
      <c r="AI9" s="69" t="n">
        <f aca="false">IF(AI$5&gt;=Assumptions!$H$7,1,0)</f>
        <v>1</v>
      </c>
      <c r="AJ9" s="69" t="n">
        <f aca="false">IF(AJ$5&gt;=Assumptions!$H$7,1,0)</f>
        <v>1</v>
      </c>
      <c r="AK9" s="69" t="n">
        <f aca="false">IF(AK$5&gt;=Assumptions!$H$7,1,0)</f>
        <v>1</v>
      </c>
      <c r="AL9" s="69" t="n">
        <f aca="false">IF(AL$5&gt;=Assumptions!$H$7,1,0)</f>
        <v>1</v>
      </c>
      <c r="AM9" s="69"/>
    </row>
    <row r="10" customFormat="false" ht="15" hidden="false" customHeight="false" outlineLevel="0" collapsed="false">
      <c r="A10" s="10" t="s">
        <v>730</v>
      </c>
      <c r="B10" s="9" t="s">
        <v>51</v>
      </c>
      <c r="C10" s="69" t="n">
        <f aca="false">MAX(0,C$5-Assumptions!$H$6)</f>
        <v>0</v>
      </c>
      <c r="D10" s="69" t="n">
        <f aca="false">MAX(0,D$5-Assumptions!$H$6)</f>
        <v>0</v>
      </c>
      <c r="E10" s="69" t="n">
        <f aca="false">MAX(0,E$5-Assumptions!$H$6)</f>
        <v>1</v>
      </c>
      <c r="F10" s="69" t="n">
        <f aca="false">MAX(0,F$5-Assumptions!$H$6)</f>
        <v>2</v>
      </c>
      <c r="G10" s="69" t="n">
        <f aca="false">MAX(0,G$5-Assumptions!$H$6)</f>
        <v>3</v>
      </c>
      <c r="H10" s="69" t="n">
        <f aca="false">MAX(0,H$5-Assumptions!$H$6)</f>
        <v>4</v>
      </c>
      <c r="I10" s="69" t="n">
        <f aca="false">MAX(0,I$5-Assumptions!$H$6)</f>
        <v>5</v>
      </c>
      <c r="J10" s="69" t="n">
        <f aca="false">MAX(0,J$5-Assumptions!$H$6)</f>
        <v>6</v>
      </c>
      <c r="K10" s="69" t="n">
        <f aca="false">MAX(0,K$5-Assumptions!$H$6)</f>
        <v>7</v>
      </c>
      <c r="L10" s="69" t="n">
        <f aca="false">MAX(0,L$5-Assumptions!$H$6)</f>
        <v>8</v>
      </c>
      <c r="M10" s="69" t="n">
        <f aca="false">MAX(0,M$5-Assumptions!$H$6)</f>
        <v>9</v>
      </c>
      <c r="N10" s="69" t="n">
        <f aca="false">MAX(0,N$5-Assumptions!$H$6)</f>
        <v>10</v>
      </c>
      <c r="O10" s="69" t="n">
        <f aca="false">MAX(0,O$5-Assumptions!$H$6)</f>
        <v>11</v>
      </c>
      <c r="P10" s="69" t="n">
        <f aca="false">MAX(0,P$5-Assumptions!$H$6)</f>
        <v>12</v>
      </c>
      <c r="Q10" s="69" t="n">
        <f aca="false">MAX(0,Q$5-Assumptions!$H$6)</f>
        <v>13</v>
      </c>
      <c r="R10" s="69" t="n">
        <f aca="false">MAX(0,R$5-Assumptions!$H$6)</f>
        <v>14</v>
      </c>
      <c r="S10" s="69" t="n">
        <f aca="false">MAX(0,S$5-Assumptions!$H$6)</f>
        <v>15</v>
      </c>
      <c r="T10" s="69" t="n">
        <f aca="false">MAX(0,T$5-Assumptions!$H$6)</f>
        <v>16</v>
      </c>
      <c r="U10" s="69" t="n">
        <f aca="false">MAX(0,U$5-Assumptions!$H$6)</f>
        <v>17</v>
      </c>
      <c r="V10" s="69" t="n">
        <f aca="false">MAX(0,V$5-Assumptions!$H$6)</f>
        <v>18</v>
      </c>
      <c r="W10" s="69" t="n">
        <f aca="false">MAX(0,W$5-Assumptions!$H$6)</f>
        <v>19</v>
      </c>
      <c r="X10" s="69" t="n">
        <f aca="false">MAX(0,X$5-Assumptions!$H$6)</f>
        <v>20</v>
      </c>
      <c r="Y10" s="69" t="n">
        <f aca="false">MAX(0,Y$5-Assumptions!$H$6)</f>
        <v>21</v>
      </c>
      <c r="Z10" s="69" t="n">
        <f aca="false">MAX(0,Z$5-Assumptions!$H$6)</f>
        <v>22</v>
      </c>
      <c r="AA10" s="69" t="n">
        <f aca="false">MAX(0,AA$5-Assumptions!$H$6)</f>
        <v>23</v>
      </c>
      <c r="AB10" s="69" t="n">
        <f aca="false">MAX(0,AB$5-Assumptions!$H$6)</f>
        <v>24</v>
      </c>
      <c r="AC10" s="69" t="n">
        <f aca="false">MAX(0,AC$5-Assumptions!$H$6)</f>
        <v>25</v>
      </c>
      <c r="AD10" s="69" t="n">
        <f aca="false">MAX(0,AD$5-Assumptions!$H$6)</f>
        <v>26</v>
      </c>
      <c r="AE10" s="69" t="n">
        <f aca="false">MAX(0,AE$5-Assumptions!$H$6)</f>
        <v>27</v>
      </c>
      <c r="AF10" s="69" t="n">
        <f aca="false">MAX(0,AF$5-Assumptions!$H$6)</f>
        <v>28</v>
      </c>
      <c r="AG10" s="69" t="n">
        <f aca="false">MAX(0,AG$5-Assumptions!$H$6)</f>
        <v>29</v>
      </c>
      <c r="AH10" s="69" t="n">
        <f aca="false">MAX(0,AH$5-Assumptions!$H$6)</f>
        <v>30</v>
      </c>
      <c r="AI10" s="69" t="n">
        <f aca="false">MAX(0,AI$5-Assumptions!$H$6)</f>
        <v>31</v>
      </c>
      <c r="AJ10" s="69" t="n">
        <f aca="false">MAX(0,AJ$5-Assumptions!$H$6)</f>
        <v>32</v>
      </c>
      <c r="AK10" s="69" t="n">
        <f aca="false">MAX(0,AK$5-Assumptions!$H$6)</f>
        <v>33</v>
      </c>
      <c r="AL10" s="69" t="n">
        <f aca="false">MAX(0,AL$5-Assumptions!$H$6)</f>
        <v>34</v>
      </c>
      <c r="AM10" s="69"/>
    </row>
    <row r="11" customFormat="false" ht="15" hidden="false" customHeight="false" outlineLevel="0" collapsed="false">
      <c r="A11" s="10" t="s">
        <v>731</v>
      </c>
      <c r="B11" s="9" t="s">
        <v>84</v>
      </c>
      <c r="C11" s="61" t="n">
        <f aca="false">Assumptions!$H$9*Assumptions!$H$10*Assumptions!$H$11*Assumptions!$H$12</f>
        <v>22605</v>
      </c>
      <c r="D11" s="61" t="n">
        <f aca="false">Assumptions!$H$9*Assumptions!$H$10*Assumptions!$H$11*Assumptions!$H$12</f>
        <v>22605</v>
      </c>
      <c r="E11" s="61" t="n">
        <f aca="false">Assumptions!$H$9*Assumptions!$H$10*Assumptions!$H$11*Assumptions!$H$12</f>
        <v>22605</v>
      </c>
      <c r="F11" s="61" t="n">
        <f aca="false">Assumptions!$H$9*Assumptions!$H$10*Assumptions!$H$11*Assumptions!$H$12</f>
        <v>22605</v>
      </c>
      <c r="G11" s="61" t="n">
        <f aca="false">Assumptions!$H$9*Assumptions!$H$10*Assumptions!$H$11*Assumptions!$H$12</f>
        <v>22605</v>
      </c>
      <c r="H11" s="61" t="n">
        <f aca="false">Assumptions!$H$9*Assumptions!$H$10*Assumptions!$H$11*Assumptions!$H$12</f>
        <v>22605</v>
      </c>
      <c r="I11" s="61" t="n">
        <f aca="false">Assumptions!$H$9*Assumptions!$H$10*Assumptions!$H$11*Assumptions!$H$12</f>
        <v>22605</v>
      </c>
      <c r="J11" s="61" t="n">
        <f aca="false">Assumptions!$H$9*Assumptions!$H$10*Assumptions!$H$11*Assumptions!$H$12</f>
        <v>22605</v>
      </c>
      <c r="K11" s="61" t="n">
        <f aca="false">Assumptions!$H$9*Assumptions!$H$10*Assumptions!$H$11*Assumptions!$H$12</f>
        <v>22605</v>
      </c>
      <c r="L11" s="61" t="n">
        <f aca="false">Assumptions!$H$9*Assumptions!$H$10*Assumptions!$H$11*Assumptions!$H$12</f>
        <v>22605</v>
      </c>
      <c r="M11" s="61" t="n">
        <f aca="false">Assumptions!$H$9*Assumptions!$H$10*Assumptions!$H$11*Assumptions!$H$12</f>
        <v>22605</v>
      </c>
      <c r="N11" s="61" t="n">
        <f aca="false">Assumptions!$H$9*Assumptions!$H$10*Assumptions!$H$11*Assumptions!$H$12</f>
        <v>22605</v>
      </c>
      <c r="O11" s="61" t="n">
        <f aca="false">Assumptions!$H$9*Assumptions!$H$10*Assumptions!$H$11*Assumptions!$H$12</f>
        <v>22605</v>
      </c>
      <c r="P11" s="61" t="n">
        <f aca="false">Assumptions!$H$9*Assumptions!$H$10*Assumptions!$H$11*Assumptions!$H$12</f>
        <v>22605</v>
      </c>
      <c r="Q11" s="61" t="n">
        <f aca="false">Assumptions!$H$9*Assumptions!$H$10*Assumptions!$H$11*Assumptions!$H$12</f>
        <v>22605</v>
      </c>
      <c r="R11" s="61" t="n">
        <f aca="false">Assumptions!$H$9*Assumptions!$H$10*Assumptions!$H$11*Assumptions!$H$12</f>
        <v>22605</v>
      </c>
      <c r="S11" s="61" t="n">
        <f aca="false">Assumptions!$H$9*Assumptions!$H$10*Assumptions!$H$11*Assumptions!$H$12</f>
        <v>22605</v>
      </c>
      <c r="T11" s="61" t="n">
        <f aca="false">Assumptions!$H$9*Assumptions!$H$10*Assumptions!$H$11*Assumptions!$H$12</f>
        <v>22605</v>
      </c>
      <c r="U11" s="61" t="n">
        <f aca="false">Assumptions!$H$9*Assumptions!$H$10*Assumptions!$H$11*Assumptions!$H$12</f>
        <v>22605</v>
      </c>
      <c r="V11" s="61" t="n">
        <f aca="false">Assumptions!$H$9*Assumptions!$H$10*Assumptions!$H$11*Assumptions!$H$12</f>
        <v>22605</v>
      </c>
      <c r="W11" s="61" t="n">
        <f aca="false">Assumptions!$H$9*Assumptions!$H$10*Assumptions!$H$11*Assumptions!$H$12</f>
        <v>22605</v>
      </c>
      <c r="X11" s="61" t="n">
        <f aca="false">Assumptions!$H$9*Assumptions!$H$10*Assumptions!$H$11*Assumptions!$H$12</f>
        <v>22605</v>
      </c>
      <c r="Y11" s="61" t="n">
        <f aca="false">Assumptions!$H$9*Assumptions!$H$10*Assumptions!$H$11*Assumptions!$H$12</f>
        <v>22605</v>
      </c>
      <c r="Z11" s="61" t="n">
        <f aca="false">Assumptions!$H$9*Assumptions!$H$10*Assumptions!$H$11*Assumptions!$H$12</f>
        <v>22605</v>
      </c>
      <c r="AA11" s="61" t="n">
        <f aca="false">Assumptions!$H$9*Assumptions!$H$10*Assumptions!$H$11*Assumptions!$H$12</f>
        <v>22605</v>
      </c>
      <c r="AB11" s="61" t="n">
        <f aca="false">Assumptions!$H$9*Assumptions!$H$10*Assumptions!$H$11*Assumptions!$H$12</f>
        <v>22605</v>
      </c>
      <c r="AC11" s="61" t="n">
        <f aca="false">Assumptions!$H$9*Assumptions!$H$10*Assumptions!$H$11*Assumptions!$H$12</f>
        <v>22605</v>
      </c>
      <c r="AD11" s="61" t="n">
        <f aca="false">Assumptions!$H$9*Assumptions!$H$10*Assumptions!$H$11*Assumptions!$H$12</f>
        <v>22605</v>
      </c>
      <c r="AE11" s="61" t="n">
        <f aca="false">Assumptions!$H$9*Assumptions!$H$10*Assumptions!$H$11*Assumptions!$H$12</f>
        <v>22605</v>
      </c>
      <c r="AF11" s="61" t="n">
        <f aca="false">Assumptions!$H$9*Assumptions!$H$10*Assumptions!$H$11*Assumptions!$H$12</f>
        <v>22605</v>
      </c>
      <c r="AG11" s="61" t="n">
        <f aca="false">Assumptions!$H$9*Assumptions!$H$10*Assumptions!$H$11*Assumptions!$H$12</f>
        <v>22605</v>
      </c>
      <c r="AH11" s="61" t="n">
        <f aca="false">Assumptions!$H$9*Assumptions!$H$10*Assumptions!$H$11*Assumptions!$H$12</f>
        <v>22605</v>
      </c>
      <c r="AI11" s="61" t="n">
        <f aca="false">Assumptions!$H$9*Assumptions!$H$10*Assumptions!$H$11*Assumptions!$H$12</f>
        <v>22605</v>
      </c>
      <c r="AJ11" s="61" t="n">
        <f aca="false">Assumptions!$H$9*Assumptions!$H$10*Assumptions!$H$11*Assumptions!$H$12</f>
        <v>22605</v>
      </c>
      <c r="AK11" s="61" t="n">
        <f aca="false">Assumptions!$H$9*Assumptions!$H$10*Assumptions!$H$11*Assumptions!$H$12</f>
        <v>22605</v>
      </c>
      <c r="AL11" s="61" t="n">
        <f aca="false">Assumptions!$H$9*Assumptions!$H$10*Assumptions!$H$11*Assumptions!$H$12</f>
        <v>22605</v>
      </c>
      <c r="AM11" s="61"/>
    </row>
    <row r="12" customFormat="false" ht="15" hidden="false" customHeight="false" outlineLevel="0" collapsed="false">
      <c r="A12" s="10" t="s">
        <v>732</v>
      </c>
      <c r="B12" s="9" t="s">
        <v>78</v>
      </c>
      <c r="C12" s="57" t="n">
        <f aca="false">IF(C8=0,0,IF(C10=0,Assumptions!$H$15,Assumptions!$H$14+(1-Assumptions!$H$14)*Assumptions!$H$13^C10))</f>
        <v>0</v>
      </c>
      <c r="D12" s="57" t="n">
        <f aca="false">IF(D8=0,0,IF(D10=0,Assumptions!$H$15,Assumptions!$H$14+(1-Assumptions!$H$14)*Assumptions!$H$13^D10))</f>
        <v>1.8</v>
      </c>
      <c r="E12" s="57" t="n">
        <f aca="false">IF(E8=0,0,IF(E10=0,Assumptions!$H$15,Assumptions!$H$14+(1-Assumptions!$H$14)*Assumptions!$H$13^E10))</f>
        <v>0.864</v>
      </c>
      <c r="F12" s="57" t="n">
        <f aca="false">IF(F8=0,0,IF(F10=0,Assumptions!$H$15,Assumptions!$H$14+(1-Assumptions!$H$14)*Assumptions!$H$13^F10))</f>
        <v>0.7552</v>
      </c>
      <c r="G12" s="57" t="n">
        <f aca="false">IF(G8=0,0,IF(G10=0,Assumptions!$H$15,Assumptions!$H$14+(1-Assumptions!$H$14)*Assumptions!$H$13^G10))</f>
        <v>0.66816</v>
      </c>
      <c r="H12" s="57" t="n">
        <f aca="false">IF(H8=0,0,IF(H10=0,Assumptions!$H$15,Assumptions!$H$14+(1-Assumptions!$H$14)*Assumptions!$H$13^H10))</f>
        <v>0.598528</v>
      </c>
      <c r="I12" s="57" t="n">
        <f aca="false">IF(I8=0,0,IF(I10=0,Assumptions!$H$15,Assumptions!$H$14+(1-Assumptions!$H$14)*Assumptions!$H$13^I10))</f>
        <v>0.5428224</v>
      </c>
      <c r="J12" s="57" t="n">
        <f aca="false">IF(J8=0,0,IF(J10=0,Assumptions!$H$15,Assumptions!$H$14+(1-Assumptions!$H$14)*Assumptions!$H$13^J10))</f>
        <v>0.49825792</v>
      </c>
      <c r="K12" s="57" t="n">
        <f aca="false">IF(K8=0,0,IF(K10=0,Assumptions!$H$15,Assumptions!$H$14+(1-Assumptions!$H$14)*Assumptions!$H$13^K10))</f>
        <v>0.462606336</v>
      </c>
      <c r="L12" s="57" t="n">
        <f aca="false">IF(L8=0,0,IF(L10=0,Assumptions!$H$15,Assumptions!$H$14+(1-Assumptions!$H$14)*Assumptions!$H$13^L10))</f>
        <v>0.4340850688</v>
      </c>
      <c r="M12" s="57" t="n">
        <f aca="false">IF(M8=0,0,IF(M10=0,Assumptions!$H$15,Assumptions!$H$14+(1-Assumptions!$H$14)*Assumptions!$H$13^M10))</f>
        <v>0.41126805504</v>
      </c>
      <c r="N12" s="57" t="n">
        <f aca="false">IF(N8=0,0,IF(N10=0,Assumptions!$H$15,Assumptions!$H$14+(1-Assumptions!$H$14)*Assumptions!$H$13^N10))</f>
        <v>0.393014444032</v>
      </c>
      <c r="O12" s="57" t="n">
        <f aca="false">IF(O8=0,0,IF(O10=0,Assumptions!$H$15,Assumptions!$H$14+(1-Assumptions!$H$14)*Assumptions!$H$13^O10))</f>
        <v>0.3784115552256</v>
      </c>
      <c r="P12" s="57" t="n">
        <f aca="false">IF(P8=0,0,IF(P10=0,Assumptions!$H$15,Assumptions!$H$14+(1-Assumptions!$H$14)*Assumptions!$H$13^P10))</f>
        <v>0.36672924418048</v>
      </c>
      <c r="Q12" s="57" t="n">
        <f aca="false">IF(Q8=0,0,IF(Q10=0,Assumptions!$H$15,Assumptions!$H$14+(1-Assumptions!$H$14)*Assumptions!$H$13^Q10))</f>
        <v>0.357383395344384</v>
      </c>
      <c r="R12" s="57" t="n">
        <f aca="false">IF(R8=0,0,IF(R10=0,Assumptions!$H$15,Assumptions!$H$14+(1-Assumptions!$H$14)*Assumptions!$H$13^R10))</f>
        <v>0.349906716275507</v>
      </c>
      <c r="S12" s="57" t="n">
        <f aca="false">IF(S8=0,0,IF(S10=0,Assumptions!$H$15,Assumptions!$H$14+(1-Assumptions!$H$14)*Assumptions!$H$13^S10))</f>
        <v>0.343925373020406</v>
      </c>
      <c r="T12" s="57" t="n">
        <f aca="false">IF(T8=0,0,IF(T10=0,Assumptions!$H$15,Assumptions!$H$14+(1-Assumptions!$H$14)*Assumptions!$H$13^T10))</f>
        <v>0.339140298416325</v>
      </c>
      <c r="U12" s="57" t="n">
        <f aca="false">IF(U8=0,0,IF(U10=0,Assumptions!$H$15,Assumptions!$H$14+(1-Assumptions!$H$14)*Assumptions!$H$13^U10))</f>
        <v>0.33531223873306</v>
      </c>
      <c r="V12" s="57" t="n">
        <f aca="false">IF(V8=0,0,IF(V10=0,Assumptions!$H$15,Assumptions!$H$14+(1-Assumptions!$H$14)*Assumptions!$H$13^V10))</f>
        <v>0.332249790986448</v>
      </c>
      <c r="W12" s="57" t="n">
        <f aca="false">IF(W8=0,0,IF(W10=0,Assumptions!$H$15,Assumptions!$H$14+(1-Assumptions!$H$14)*Assumptions!$H$13^W10))</f>
        <v>0.329799832789158</v>
      </c>
      <c r="X12" s="57" t="n">
        <f aca="false">IF(X8=0,0,IF(X10=0,Assumptions!$H$15,Assumptions!$H$14+(1-Assumptions!$H$14)*Assumptions!$H$13^X10))</f>
        <v>0.327839866231327</v>
      </c>
      <c r="Y12" s="57" t="n">
        <f aca="false">IF(Y8=0,0,IF(Y10=0,Assumptions!$H$15,Assumptions!$H$14+(1-Assumptions!$H$14)*Assumptions!$H$13^Y10))</f>
        <v>0.326271892985061</v>
      </c>
      <c r="Z12" s="57" t="n">
        <f aca="false">IF(Z8=0,0,IF(Z10=0,Assumptions!$H$15,Assumptions!$H$14+(1-Assumptions!$H$14)*Assumptions!$H$13^Z10))</f>
        <v>0.325017514388049</v>
      </c>
      <c r="AA12" s="57" t="n">
        <f aca="false">IF(AA8=0,0,IF(AA10=0,Assumptions!$H$15,Assumptions!$H$14+(1-Assumptions!$H$14)*Assumptions!$H$13^AA10))</f>
        <v>0.324014011510439</v>
      </c>
      <c r="AB12" s="57" t="n">
        <f aca="false">IF(AB8=0,0,IF(AB10=0,Assumptions!$H$15,Assumptions!$H$14+(1-Assumptions!$H$14)*Assumptions!$H$13^AB10))</f>
        <v>0.323211209208351</v>
      </c>
      <c r="AC12" s="57" t="n">
        <f aca="false">IF(AC8=0,0,IF(AC10=0,Assumptions!$H$15,Assumptions!$H$14+(1-Assumptions!$H$14)*Assumptions!$H$13^AC10))</f>
        <v>0.322568967366681</v>
      </c>
      <c r="AD12" s="57" t="n">
        <f aca="false">IF(AD8=0,0,IF(AD10=0,Assumptions!$H$15,Assumptions!$H$14+(1-Assumptions!$H$14)*Assumptions!$H$13^AD10))</f>
        <v>0.322055173893345</v>
      </c>
      <c r="AE12" s="57" t="n">
        <f aca="false">IF(AE8=0,0,IF(AE10=0,Assumptions!$H$15,Assumptions!$H$14+(1-Assumptions!$H$14)*Assumptions!$H$13^AE10))</f>
        <v>0.321644139114676</v>
      </c>
      <c r="AF12" s="57" t="n">
        <f aca="false">IF(AF8=0,0,IF(AF10=0,Assumptions!$H$15,Assumptions!$H$14+(1-Assumptions!$H$14)*Assumptions!$H$13^AF10))</f>
        <v>0.321315311291741</v>
      </c>
      <c r="AG12" s="57" t="n">
        <f aca="false">IF(AG8=0,0,IF(AG10=0,Assumptions!$H$15,Assumptions!$H$14+(1-Assumptions!$H$14)*Assumptions!$H$13^AG10))</f>
        <v>0.321052249033393</v>
      </c>
      <c r="AH12" s="57" t="n">
        <f aca="false">IF(AH8=0,0,IF(AH10=0,Assumptions!$H$15,Assumptions!$H$14+(1-Assumptions!$H$14)*Assumptions!$H$13^AH10))</f>
        <v>0.320841799226714</v>
      </c>
      <c r="AI12" s="57" t="n">
        <f aca="false">IF(AI8=0,0,IF(AI10=0,Assumptions!$H$15,Assumptions!$H$14+(1-Assumptions!$H$14)*Assumptions!$H$13^AI10))</f>
        <v>0.320673439381371</v>
      </c>
      <c r="AJ12" s="57" t="n">
        <f aca="false">IF(AJ8=0,0,IF(AJ10=0,Assumptions!$H$15,Assumptions!$H$14+(1-Assumptions!$H$14)*Assumptions!$H$13^AJ10))</f>
        <v>0.320538751505097</v>
      </c>
      <c r="AK12" s="57" t="n">
        <f aca="false">IF(AK8=0,0,IF(AK10=0,Assumptions!$H$15,Assumptions!$H$14+(1-Assumptions!$H$14)*Assumptions!$H$13^AK10))</f>
        <v>0.320431001204078</v>
      </c>
      <c r="AL12" s="57" t="n">
        <f aca="false">IF(AL8=0,0,IF(AL10=0,Assumptions!$H$15,Assumptions!$H$14+(1-Assumptions!$H$14)*Assumptions!$H$13^AL10))</f>
        <v>0.320344800963262</v>
      </c>
      <c r="AM12" s="57"/>
    </row>
    <row r="13" customFormat="false" ht="15" hidden="false" customHeight="false" outlineLevel="0" collapsed="false">
      <c r="A13" s="10" t="s">
        <v>733</v>
      </c>
      <c r="B13" s="9" t="s">
        <v>84</v>
      </c>
      <c r="C13" s="61" t="n">
        <f aca="false">C11*C12</f>
        <v>0</v>
      </c>
      <c r="D13" s="61" t="n">
        <f aca="false">D11*D12</f>
        <v>40689</v>
      </c>
      <c r="E13" s="61" t="n">
        <f aca="false">E11*E12</f>
        <v>19530.72</v>
      </c>
      <c r="F13" s="61" t="n">
        <f aca="false">F11*F12</f>
        <v>17071.296</v>
      </c>
      <c r="G13" s="61" t="n">
        <f aca="false">G11*G12</f>
        <v>15103.7568</v>
      </c>
      <c r="H13" s="61" t="n">
        <f aca="false">H11*H12</f>
        <v>13529.72544</v>
      </c>
      <c r="I13" s="61" t="n">
        <f aca="false">I11*I12</f>
        <v>12270.500352</v>
      </c>
      <c r="J13" s="61" t="n">
        <f aca="false">J11*J12</f>
        <v>11263.1202816</v>
      </c>
      <c r="K13" s="61" t="n">
        <f aca="false">K11*K12</f>
        <v>10457.21622528</v>
      </c>
      <c r="L13" s="61" t="n">
        <f aca="false">L11*L12</f>
        <v>9812.492980224</v>
      </c>
      <c r="M13" s="61" t="n">
        <f aca="false">M11*M12</f>
        <v>9296.7143841792</v>
      </c>
      <c r="N13" s="61" t="n">
        <f aca="false">N11*N12</f>
        <v>8884.09150734336</v>
      </c>
      <c r="O13" s="61" t="n">
        <f aca="false">O11*O12</f>
        <v>8553.99320587469</v>
      </c>
      <c r="P13" s="61" t="n">
        <f aca="false">P11*P12</f>
        <v>8289.91456469975</v>
      </c>
      <c r="Q13" s="61" t="n">
        <f aca="false">Q11*Q12</f>
        <v>8078.6516517598</v>
      </c>
      <c r="R13" s="61" t="n">
        <f aca="false">R11*R12</f>
        <v>7909.64132140784</v>
      </c>
      <c r="S13" s="61" t="n">
        <f aca="false">S11*S12</f>
        <v>7774.43305712627</v>
      </c>
      <c r="T13" s="61" t="n">
        <f aca="false">T11*T12</f>
        <v>7666.26644570102</v>
      </c>
      <c r="U13" s="61" t="n">
        <f aca="false">U11*U12</f>
        <v>7579.73315656082</v>
      </c>
      <c r="V13" s="61" t="n">
        <f aca="false">V11*V12</f>
        <v>7510.50652524865</v>
      </c>
      <c r="W13" s="61" t="n">
        <f aca="false">W11*W12</f>
        <v>7455.12522019892</v>
      </c>
      <c r="X13" s="61" t="n">
        <f aca="false">X11*X12</f>
        <v>7410.82017615914</v>
      </c>
      <c r="Y13" s="61" t="n">
        <f aca="false">Y11*Y12</f>
        <v>7375.37614092731</v>
      </c>
      <c r="Z13" s="61" t="n">
        <f aca="false">Z11*Z12</f>
        <v>7347.02091274185</v>
      </c>
      <c r="AA13" s="61" t="n">
        <f aca="false">AA11*AA12</f>
        <v>7324.33673019348</v>
      </c>
      <c r="AB13" s="61" t="n">
        <f aca="false">AB11*AB12</f>
        <v>7306.18938415478</v>
      </c>
      <c r="AC13" s="61" t="n">
        <f aca="false">AC11*AC12</f>
        <v>7291.67150732383</v>
      </c>
      <c r="AD13" s="61" t="n">
        <f aca="false">AD11*AD12</f>
        <v>7280.05720585906</v>
      </c>
      <c r="AE13" s="61" t="n">
        <f aca="false">AE11*AE12</f>
        <v>7270.76576468725</v>
      </c>
      <c r="AF13" s="61" t="n">
        <f aca="false">AF11*AF12</f>
        <v>7263.3326117498</v>
      </c>
      <c r="AG13" s="61" t="n">
        <f aca="false">AG11*AG12</f>
        <v>7257.38608939984</v>
      </c>
      <c r="AH13" s="61" t="n">
        <f aca="false">AH11*AH12</f>
        <v>7252.62887151987</v>
      </c>
      <c r="AI13" s="61" t="n">
        <f aca="false">AI11*AI12</f>
        <v>7248.8230972159</v>
      </c>
      <c r="AJ13" s="61" t="n">
        <f aca="false">AJ11*AJ12</f>
        <v>7245.77847777272</v>
      </c>
      <c r="AK13" s="61" t="n">
        <f aca="false">AK11*AK12</f>
        <v>7243.34278221817</v>
      </c>
      <c r="AL13" s="61" t="n">
        <f aca="false">AL11*AL12</f>
        <v>7241.39422577454</v>
      </c>
      <c r="AM13" s="61" t="n">
        <f aca="false">SUM(C13:AL13)</f>
        <v>348085.823096902</v>
      </c>
    </row>
    <row r="14" customFormat="false" ht="15" hidden="false" customHeight="false" outlineLevel="0" collapsed="false">
      <c r="A14" s="10" t="s">
        <v>734</v>
      </c>
      <c r="B14" s="9" t="s">
        <v>735</v>
      </c>
      <c r="C14" s="61" t="n">
        <f aca="false">Assumptions!$H$9*Assumptions!$H$10*Assumptions!$H$11*C12</f>
        <v>0</v>
      </c>
      <c r="D14" s="61" t="n">
        <f aca="false">Assumptions!$H$9*Assumptions!$H$10*Assumptions!$H$11*D12</f>
        <v>8137800</v>
      </c>
      <c r="E14" s="61" t="n">
        <f aca="false">Assumptions!$H$9*Assumptions!$H$10*Assumptions!$H$11*E12</f>
        <v>3906144</v>
      </c>
      <c r="F14" s="61" t="n">
        <f aca="false">Assumptions!$H$9*Assumptions!$H$10*Assumptions!$H$11*F12</f>
        <v>3414259.2</v>
      </c>
      <c r="G14" s="61" t="n">
        <f aca="false">Assumptions!$H$9*Assumptions!$H$10*Assumptions!$H$11*G12</f>
        <v>3020751.36</v>
      </c>
      <c r="H14" s="61" t="n">
        <f aca="false">Assumptions!$H$9*Assumptions!$H$10*Assumptions!$H$11*H12</f>
        <v>2705945.088</v>
      </c>
      <c r="I14" s="61" t="n">
        <f aca="false">Assumptions!$H$9*Assumptions!$H$10*Assumptions!$H$11*I12</f>
        <v>2454100.0704</v>
      </c>
      <c r="J14" s="61" t="n">
        <f aca="false">Assumptions!$H$9*Assumptions!$H$10*Assumptions!$H$11*J12</f>
        <v>2252624.05632</v>
      </c>
      <c r="K14" s="61" t="n">
        <f aca="false">Assumptions!$H$9*Assumptions!$H$10*Assumptions!$H$11*K12</f>
        <v>2091443.245056</v>
      </c>
      <c r="L14" s="61" t="n">
        <f aca="false">Assumptions!$H$9*Assumptions!$H$10*Assumptions!$H$11*L12</f>
        <v>1962498.5960448</v>
      </c>
      <c r="M14" s="61" t="n">
        <f aca="false">Assumptions!$H$9*Assumptions!$H$10*Assumptions!$H$11*M12</f>
        <v>1859342.87683584</v>
      </c>
      <c r="N14" s="61" t="n">
        <f aca="false">Assumptions!$H$9*Assumptions!$H$10*Assumptions!$H$11*N12</f>
        <v>1776818.30146867</v>
      </c>
      <c r="O14" s="61" t="n">
        <f aca="false">Assumptions!$H$9*Assumptions!$H$10*Assumptions!$H$11*O12</f>
        <v>1710798.64117494</v>
      </c>
      <c r="P14" s="61" t="n">
        <f aca="false">Assumptions!$H$9*Assumptions!$H$10*Assumptions!$H$11*P12</f>
        <v>1657982.91293995</v>
      </c>
      <c r="Q14" s="61" t="n">
        <f aca="false">Assumptions!$H$9*Assumptions!$H$10*Assumptions!$H$11*Q12</f>
        <v>1615730.33035196</v>
      </c>
      <c r="R14" s="61" t="n">
        <f aca="false">Assumptions!$H$9*Assumptions!$H$10*Assumptions!$H$11*R12</f>
        <v>1581928.26428157</v>
      </c>
      <c r="S14" s="61" t="n">
        <f aca="false">Assumptions!$H$9*Assumptions!$H$10*Assumptions!$H$11*S12</f>
        <v>1554886.61142525</v>
      </c>
      <c r="T14" s="61" t="n">
        <f aca="false">Assumptions!$H$9*Assumptions!$H$10*Assumptions!$H$11*T12</f>
        <v>1533253.2891402</v>
      </c>
      <c r="U14" s="61" t="n">
        <f aca="false">Assumptions!$H$9*Assumptions!$H$10*Assumptions!$H$11*U12</f>
        <v>1515946.63131216</v>
      </c>
      <c r="V14" s="61" t="n">
        <f aca="false">Assumptions!$H$9*Assumptions!$H$10*Assumptions!$H$11*V12</f>
        <v>1502101.30504973</v>
      </c>
      <c r="W14" s="61" t="n">
        <f aca="false">Assumptions!$H$9*Assumptions!$H$10*Assumptions!$H$11*W12</f>
        <v>1491025.04403978</v>
      </c>
      <c r="X14" s="61" t="n">
        <f aca="false">Assumptions!$H$9*Assumptions!$H$10*Assumptions!$H$11*X12</f>
        <v>1482164.03523183</v>
      </c>
      <c r="Y14" s="61" t="n">
        <f aca="false">Assumptions!$H$9*Assumptions!$H$10*Assumptions!$H$11*Y12</f>
        <v>1475075.22818546</v>
      </c>
      <c r="Z14" s="61" t="n">
        <f aca="false">Assumptions!$H$9*Assumptions!$H$10*Assumptions!$H$11*Z12</f>
        <v>1469404.18254837</v>
      </c>
      <c r="AA14" s="61" t="n">
        <f aca="false">Assumptions!$H$9*Assumptions!$H$10*Assumptions!$H$11*AA12</f>
        <v>1464867.3460387</v>
      </c>
      <c r="AB14" s="61" t="n">
        <f aca="false">Assumptions!$H$9*Assumptions!$H$10*Assumptions!$H$11*AB12</f>
        <v>1461237.87683096</v>
      </c>
      <c r="AC14" s="61" t="n">
        <f aca="false">Assumptions!$H$9*Assumptions!$H$10*Assumptions!$H$11*AC12</f>
        <v>1458334.30146477</v>
      </c>
      <c r="AD14" s="61" t="n">
        <f aca="false">Assumptions!$H$9*Assumptions!$H$10*Assumptions!$H$11*AD12</f>
        <v>1456011.44117181</v>
      </c>
      <c r="AE14" s="61" t="n">
        <f aca="false">Assumptions!$H$9*Assumptions!$H$10*Assumptions!$H$11*AE12</f>
        <v>1454153.15293745</v>
      </c>
      <c r="AF14" s="61" t="n">
        <f aca="false">Assumptions!$H$9*Assumptions!$H$10*Assumptions!$H$11*AF12</f>
        <v>1452666.52234996</v>
      </c>
      <c r="AG14" s="61" t="n">
        <f aca="false">Assumptions!$H$9*Assumptions!$H$10*Assumptions!$H$11*AG12</f>
        <v>1451477.21787997</v>
      </c>
      <c r="AH14" s="61" t="n">
        <f aca="false">Assumptions!$H$9*Assumptions!$H$10*Assumptions!$H$11*AH12</f>
        <v>1450525.77430397</v>
      </c>
      <c r="AI14" s="61" t="n">
        <f aca="false">Assumptions!$H$9*Assumptions!$H$10*Assumptions!$H$11*AI12</f>
        <v>1449764.61944318</v>
      </c>
      <c r="AJ14" s="61" t="n">
        <f aca="false">Assumptions!$H$9*Assumptions!$H$10*Assumptions!$H$11*AJ12</f>
        <v>1449155.69555454</v>
      </c>
      <c r="AK14" s="61" t="n">
        <f aca="false">Assumptions!$H$9*Assumptions!$H$10*Assumptions!$H$11*AK12</f>
        <v>1448668.55644363</v>
      </c>
      <c r="AL14" s="61" t="n">
        <f aca="false">Assumptions!$H$9*Assumptions!$H$10*Assumptions!$H$11*AL12</f>
        <v>1448278.84515491</v>
      </c>
      <c r="AM14" s="61" t="n">
        <f aca="false">SUM(C14:AL14)</f>
        <v>69617164.6193804</v>
      </c>
    </row>
    <row r="15" customFormat="false" ht="15" hidden="false" customHeight="false" outlineLevel="0" collapsed="false">
      <c r="A15" s="10" t="s">
        <v>736</v>
      </c>
      <c r="B15" s="9" t="s">
        <v>84</v>
      </c>
      <c r="C15" s="61" t="n">
        <f aca="false">MIN(Assumptions!$H$19,Assumptions!$H$17*(1+Assumptions!$H$18)^(C$5-1))</f>
        <v>2200</v>
      </c>
      <c r="D15" s="61" t="n">
        <f aca="false">MIN(Assumptions!$H$19,Assumptions!$H$17*(1+Assumptions!$H$18)^(D$5-1))</f>
        <v>2398</v>
      </c>
      <c r="E15" s="61" t="n">
        <f aca="false">MIN(Assumptions!$H$19,Assumptions!$H$17*(1+Assumptions!$H$18)^(E$5-1))</f>
        <v>2613.82</v>
      </c>
      <c r="F15" s="61" t="n">
        <f aca="false">MIN(Assumptions!$H$19,Assumptions!$H$17*(1+Assumptions!$H$18)^(F$5-1))</f>
        <v>2849.0638</v>
      </c>
      <c r="G15" s="61" t="n">
        <f aca="false">MIN(Assumptions!$H$19,Assumptions!$H$17*(1+Assumptions!$H$18)^(G$5-1))</f>
        <v>3105.479542</v>
      </c>
      <c r="H15" s="61" t="n">
        <f aca="false">MIN(Assumptions!$H$19,Assumptions!$H$17*(1+Assumptions!$H$18)^(H$5-1))</f>
        <v>3384.97270078</v>
      </c>
      <c r="I15" s="61" t="n">
        <f aca="false">MIN(Assumptions!$H$19,Assumptions!$H$17*(1+Assumptions!$H$18)^(I$5-1))</f>
        <v>3689.6202438502</v>
      </c>
      <c r="J15" s="61" t="n">
        <f aca="false">MIN(Assumptions!$H$19,Assumptions!$H$17*(1+Assumptions!$H$18)^(J$5-1))</f>
        <v>4021.68606579672</v>
      </c>
      <c r="K15" s="61" t="n">
        <f aca="false">MIN(Assumptions!$H$19,Assumptions!$H$17*(1+Assumptions!$H$18)^(K$5-1))</f>
        <v>4383.63781171843</v>
      </c>
      <c r="L15" s="61" t="n">
        <f aca="false">MIN(Assumptions!$H$19,Assumptions!$H$17*(1+Assumptions!$H$18)^(L$5-1))</f>
        <v>4778.16521477308</v>
      </c>
      <c r="M15" s="61" t="n">
        <f aca="false">MIN(Assumptions!$H$19,Assumptions!$H$17*(1+Assumptions!$H$18)^(M$5-1))</f>
        <v>5208.20008410266</v>
      </c>
      <c r="N15" s="61" t="n">
        <f aca="false">MIN(Assumptions!$H$19,Assumptions!$H$17*(1+Assumptions!$H$18)^(N$5-1))</f>
        <v>5676.9380916719</v>
      </c>
      <c r="O15" s="61" t="n">
        <f aca="false">MIN(Assumptions!$H$19,Assumptions!$H$17*(1+Assumptions!$H$18)^(O$5-1))</f>
        <v>6187.86251992237</v>
      </c>
      <c r="P15" s="61" t="n">
        <f aca="false">MIN(Assumptions!$H$19,Assumptions!$H$17*(1+Assumptions!$H$18)^(P$5-1))</f>
        <v>6744.77014671539</v>
      </c>
      <c r="Q15" s="61" t="n">
        <f aca="false">MIN(Assumptions!$H$19,Assumptions!$H$17*(1+Assumptions!$H$18)^(Q$5-1))</f>
        <v>7351.79945991977</v>
      </c>
      <c r="R15" s="61" t="n">
        <f aca="false">MIN(Assumptions!$H$19,Assumptions!$H$17*(1+Assumptions!$H$18)^(R$5-1))</f>
        <v>8013.46141131255</v>
      </c>
      <c r="S15" s="61" t="n">
        <f aca="false">MIN(Assumptions!$H$19,Assumptions!$H$17*(1+Assumptions!$H$18)^(S$5-1))</f>
        <v>8734.67293833068</v>
      </c>
      <c r="T15" s="61" t="n">
        <f aca="false">MIN(Assumptions!$H$19,Assumptions!$H$17*(1+Assumptions!$H$18)^(T$5-1))</f>
        <v>9520.79350278045</v>
      </c>
      <c r="U15" s="61" t="n">
        <f aca="false">MIN(Assumptions!$H$19,Assumptions!$H$17*(1+Assumptions!$H$18)^(U$5-1))</f>
        <v>10377.6649180307</v>
      </c>
      <c r="V15" s="61" t="n">
        <f aca="false">MIN(Assumptions!$H$19,Assumptions!$H$17*(1+Assumptions!$H$18)^(V$5-1))</f>
        <v>11311.6547606535</v>
      </c>
      <c r="W15" s="61" t="n">
        <f aca="false">MIN(Assumptions!$H$19,Assumptions!$H$17*(1+Assumptions!$H$18)^(W$5-1))</f>
        <v>12329.7036891123</v>
      </c>
      <c r="X15" s="61" t="n">
        <f aca="false">MIN(Assumptions!$H$19,Assumptions!$H$17*(1+Assumptions!$H$18)^(X$5-1))</f>
        <v>13439.3770211324</v>
      </c>
      <c r="Y15" s="61" t="n">
        <f aca="false">MIN(Assumptions!$H$19,Assumptions!$H$17*(1+Assumptions!$H$18)^(Y$5-1))</f>
        <v>14648.9209530343</v>
      </c>
      <c r="Z15" s="61" t="n">
        <f aca="false">MIN(Assumptions!$H$19,Assumptions!$H$17*(1+Assumptions!$H$18)^(Z$5-1))</f>
        <v>15967.3238388074</v>
      </c>
      <c r="AA15" s="61" t="n">
        <f aca="false">MIN(Assumptions!$H$19,Assumptions!$H$17*(1+Assumptions!$H$18)^(AA$5-1))</f>
        <v>17404.3829843</v>
      </c>
      <c r="AB15" s="61" t="n">
        <f aca="false">MIN(Assumptions!$H$19,Assumptions!$H$17*(1+Assumptions!$H$18)^(AB$5-1))</f>
        <v>18970.777452887</v>
      </c>
      <c r="AC15" s="61" t="n">
        <f aca="false">MIN(Assumptions!$H$19,Assumptions!$H$17*(1+Assumptions!$H$18)^(AC$5-1))</f>
        <v>20678.1474236469</v>
      </c>
      <c r="AD15" s="61" t="n">
        <f aca="false">MIN(Assumptions!$H$19,Assumptions!$H$17*(1+Assumptions!$H$18)^(AD$5-1))</f>
        <v>22539.1806917751</v>
      </c>
      <c r="AE15" s="61" t="n">
        <f aca="false">MIN(Assumptions!$H$19,Assumptions!$H$17*(1+Assumptions!$H$18)^(AE$5-1))</f>
        <v>24567.7069540349</v>
      </c>
      <c r="AF15" s="61" t="n">
        <f aca="false">MIN(Assumptions!$H$19,Assumptions!$H$17*(1+Assumptions!$H$18)^(AF$5-1))</f>
        <v>26778.800579898</v>
      </c>
      <c r="AG15" s="61" t="n">
        <f aca="false">MIN(Assumptions!$H$19,Assumptions!$H$17*(1+Assumptions!$H$18)^(AG$5-1))</f>
        <v>29188.8926320888</v>
      </c>
      <c r="AH15" s="61" t="n">
        <f aca="false">MIN(Assumptions!$H$19,Assumptions!$H$17*(1+Assumptions!$H$18)^(AH$5-1))</f>
        <v>31815.8929689768</v>
      </c>
      <c r="AI15" s="61" t="n">
        <f aca="false">MIN(Assumptions!$H$19,Assumptions!$H$17*(1+Assumptions!$H$18)^(AI$5-1))</f>
        <v>34679.3233361847</v>
      </c>
      <c r="AJ15" s="61" t="n">
        <f aca="false">MIN(Assumptions!$H$19,Assumptions!$H$17*(1+Assumptions!$H$18)^(AJ$5-1))</f>
        <v>37800.4624364413</v>
      </c>
      <c r="AK15" s="61" t="n">
        <f aca="false">MIN(Assumptions!$H$19,Assumptions!$H$17*(1+Assumptions!$H$18)^(AK$5-1))</f>
        <v>41202.5040557211</v>
      </c>
      <c r="AL15" s="61" t="n">
        <f aca="false">MIN(Assumptions!$H$19,Assumptions!$H$17*(1+Assumptions!$H$18)^(AL$5-1))</f>
        <v>44910.729420736</v>
      </c>
      <c r="AM15" s="61" t="n">
        <f aca="false">SUM(C15:AL15)</f>
        <v>519474.389651135</v>
      </c>
    </row>
    <row r="16" customFormat="false" ht="15" hidden="false" customHeight="false" outlineLevel="0" collapsed="false">
      <c r="A16" s="37" t="s">
        <v>737</v>
      </c>
      <c r="B16" s="9" t="s">
        <v>97</v>
      </c>
      <c r="C16" s="53" t="n">
        <f aca="false">Assumptions!$H$20</f>
        <v>8000</v>
      </c>
      <c r="D16" s="53" t="n">
        <f aca="false">IF(D8=0,Assumptions!$H$20,MIN(Assumptions!$H$24,MAX(Assumptions!$H$21,C72*Assumptions!$H$22)))</f>
        <v>30000</v>
      </c>
      <c r="E16" s="53" t="n">
        <f aca="false">IF(E8=0,Assumptions!$H$20,MIN(Assumptions!$H$24,MAX(Assumptions!$H$21,D72*Assumptions!$H$22)))</f>
        <v>30000</v>
      </c>
      <c r="F16" s="53" t="n">
        <f aca="false">IF(F8=0,Assumptions!$H$20,MIN(Assumptions!$H$24,MAX(Assumptions!$H$21,E72*Assumptions!$H$22)))</f>
        <v>30000</v>
      </c>
      <c r="G16" s="53" t="n">
        <f aca="false">IF(G8=0,Assumptions!$H$20,MIN(Assumptions!$H$24,MAX(Assumptions!$H$21,F72*Assumptions!$H$22)))</f>
        <v>30000</v>
      </c>
      <c r="H16" s="53" t="n">
        <f aca="false">IF(H8=0,Assumptions!$H$20,MIN(Assumptions!$H$24,MAX(Assumptions!$H$21,G72*Assumptions!$H$22)))</f>
        <v>30000</v>
      </c>
      <c r="I16" s="53" t="n">
        <f aca="false">IF(I8=0,Assumptions!$H$20,MIN(Assumptions!$H$24,MAX(Assumptions!$H$21,H72*Assumptions!$H$22)))</f>
        <v>30000</v>
      </c>
      <c r="J16" s="53" t="n">
        <f aca="false">IF(J8=0,Assumptions!$H$20,MIN(Assumptions!$H$24,MAX(Assumptions!$H$21,I72*Assumptions!$H$22)))</f>
        <v>30000</v>
      </c>
      <c r="K16" s="53" t="n">
        <f aca="false">IF(K8=0,Assumptions!$H$20,MIN(Assumptions!$H$24,MAX(Assumptions!$H$21,J72*Assumptions!$H$22)))</f>
        <v>30000</v>
      </c>
      <c r="L16" s="53" t="n">
        <f aca="false">IF(L8=0,Assumptions!$H$20,MIN(Assumptions!$H$24,MAX(Assumptions!$H$21,K72*Assumptions!$H$22)))</f>
        <v>30052.4682988739</v>
      </c>
      <c r="M16" s="53" t="n">
        <f aca="false">IF(M8=0,Assumptions!$H$20,MIN(Assumptions!$H$24,MAX(Assumptions!$H$21,L72*Assumptions!$H$22)))</f>
        <v>31980.5055419907</v>
      </c>
      <c r="N16" s="53" t="n">
        <f aca="false">IF(N8=0,Assumptions!$H$20,MIN(Assumptions!$H$24,MAX(Assumptions!$H$21,M72*Assumptions!$H$22)))</f>
        <v>33991.5299236344</v>
      </c>
      <c r="O16" s="53" t="n">
        <f aca="false">IF(O8=0,Assumptions!$H$20,MIN(Assumptions!$H$24,MAX(Assumptions!$H$21,N72*Assumptions!$H$22)))</f>
        <v>36014.3913392812</v>
      </c>
      <c r="P16" s="53" t="n">
        <f aca="false">IF(P8=0,Assumptions!$H$20,MIN(Assumptions!$H$24,MAX(Assumptions!$H$21,O72*Assumptions!$H$22)))</f>
        <v>38053.5255933104</v>
      </c>
      <c r="Q16" s="53" t="n">
        <f aca="false">IF(Q8=0,Assumptions!$H$20,MIN(Assumptions!$H$24,MAX(Assumptions!$H$21,P72*Assumptions!$H$22)))</f>
        <v>40126.2172951047</v>
      </c>
      <c r="R16" s="53" t="n">
        <f aca="false">IF(R8=0,Assumptions!$H$20,MIN(Assumptions!$H$24,MAX(Assumptions!$H$21,Q72*Assumptions!$H$22)))</f>
        <v>42249.6361830115</v>
      </c>
      <c r="S16" s="53" t="n">
        <f aca="false">IF(S8=0,Assumptions!$H$20,MIN(Assumptions!$H$24,MAX(Assumptions!$H$21,R72*Assumptions!$H$22)))</f>
        <v>44440.2812566567</v>
      </c>
      <c r="T16" s="53" t="n">
        <f aca="false">IF(T8=0,Assumptions!$H$20,MIN(Assumptions!$H$24,MAX(Assumptions!$H$21,S72*Assumptions!$H$22)))</f>
        <v>46714.2241190579</v>
      </c>
      <c r="U16" s="53" t="n">
        <f aca="false">IF(U8=0,Assumptions!$H$20,MIN(Assumptions!$H$24,MAX(Assumptions!$H$21,T72*Assumptions!$H$22)))</f>
        <v>49087.4205371613</v>
      </c>
      <c r="V16" s="53" t="n">
        <f aca="false">IF(V8=0,Assumptions!$H$20,MIN(Assumptions!$H$24,MAX(Assumptions!$H$21,U72*Assumptions!$H$22)))</f>
        <v>51575.9991241854</v>
      </c>
      <c r="W16" s="53" t="n">
        <f aca="false">IF(W8=0,Assumptions!$H$20,MIN(Assumptions!$H$24,MAX(Assumptions!$H$21,V72*Assumptions!$H$22)))</f>
        <v>54196.5261134322</v>
      </c>
      <c r="X16" s="53" t="n">
        <f aca="false">IF(X8=0,Assumptions!$H$20,MIN(Assumptions!$H$24,MAX(Assumptions!$H$21,W72*Assumptions!$H$22)))</f>
        <v>56966.251870964</v>
      </c>
      <c r="Y16" s="53" t="n">
        <f aca="false">IF(Y8=0,Assumptions!$H$20,MIN(Assumptions!$H$24,MAX(Assumptions!$H$21,X72*Assumptions!$H$22)))</f>
        <v>59903.3447356923</v>
      </c>
      <c r="Z16" s="53" t="n">
        <f aca="false">IF(Z8=0,Assumptions!$H$20,MIN(Assumptions!$H$24,MAX(Assumptions!$H$21,Y72*Assumptions!$H$22)))</f>
        <v>63027.1171346061</v>
      </c>
      <c r="AA16" s="53" t="n">
        <f aca="false">IF(AA8=0,Assumptions!$H$20,MIN(Assumptions!$H$24,MAX(Assumptions!$H$21,Z72*Assumptions!$H$22)))</f>
        <v>66358.2483585598</v>
      </c>
      <c r="AB16" s="53" t="n">
        <f aca="false">IF(AB8=0,Assumptions!$H$20,MIN(Assumptions!$H$24,MAX(Assumptions!$H$21,AA72*Assumptions!$H$22)))</f>
        <v>69919.0079321546</v>
      </c>
      <c r="AC16" s="53" t="n">
        <f aca="false">IF(AC8=0,Assumptions!$H$20,MIN(Assumptions!$H$24,MAX(Assumptions!$H$21,AB72*Assumptions!$H$22)))</f>
        <v>73627.3424739896</v>
      </c>
      <c r="AD16" s="53" t="n">
        <f aca="false">IF(AD8=0,Assumptions!$H$20,MIN(Assumptions!$H$24,MAX(Assumptions!$H$21,AC72*Assumptions!$H$22)))</f>
        <v>77464.6437876609</v>
      </c>
      <c r="AE16" s="53" t="n">
        <f aca="false">IF(AE8=0,Assumptions!$H$20,MIN(Assumptions!$H$24,MAX(Assumptions!$H$21,AD72*Assumptions!$H$22)))</f>
        <v>81477.1073250131</v>
      </c>
      <c r="AF16" s="53" t="n">
        <f aca="false">IF(AF8=0,Assumptions!$H$20,MIN(Assumptions!$H$24,MAX(Assumptions!$H$21,AE72*Assumptions!$H$22)))</f>
        <v>85688.8643285074</v>
      </c>
      <c r="AG16" s="53" t="n">
        <f aca="false">IF(AG8=0,Assumptions!$H$20,MIN(Assumptions!$H$24,MAX(Assumptions!$H$21,AF72*Assumptions!$H$22)))</f>
        <v>90124.90149047</v>
      </c>
      <c r="AH16" s="53" t="n">
        <f aca="false">IF(AH8=0,Assumptions!$H$20,MIN(Assumptions!$H$24,MAX(Assumptions!$H$21,AG72*Assumptions!$H$22)))</f>
        <v>94811.699628846</v>
      </c>
      <c r="AI16" s="53" t="n">
        <f aca="false">IF(AI8=0,Assumptions!$H$20,MIN(Assumptions!$H$24,MAX(Assumptions!$H$21,AH72*Assumptions!$H$22)))</f>
        <v>99777.5568035194</v>
      </c>
      <c r="AJ16" s="53" t="n">
        <f aca="false">IF(AJ8=0,Assumptions!$H$20,MIN(Assumptions!$H$24,MAX(Assumptions!$H$21,AI72*Assumptions!$H$22)))</f>
        <v>105052.798937616</v>
      </c>
      <c r="AK16" s="53" t="n">
        <f aca="false">IF(AK8=0,Assumptions!$H$20,MIN(Assumptions!$H$24,MAX(Assumptions!$H$21,AJ72*Assumptions!$H$22)))</f>
        <v>110669.992772615</v>
      </c>
      <c r="AL16" s="53" t="n">
        <f aca="false">IF(AL8=0,Assumptions!$H$20,MIN(Assumptions!$H$24,MAX(Assumptions!$H$21,AK72*Assumptions!$H$22)))</f>
        <v>116664.17125909</v>
      </c>
      <c r="AM16" s="53" t="n">
        <f aca="false">SUM(C16:AL16)</f>
        <v>1998015.774165</v>
      </c>
    </row>
    <row r="17" customFormat="false" ht="15" hidden="false" customHeight="false" outlineLevel="0" collapsed="false">
      <c r="A17" s="10" t="s">
        <v>738</v>
      </c>
      <c r="B17" s="9" t="s">
        <v>84</v>
      </c>
      <c r="C17" s="61" t="n">
        <f aca="false">(C14*Assumptions!$H$27+C15*Assumptions!$H$28)*Assumptions!$H$29*C8</f>
        <v>0</v>
      </c>
      <c r="D17" s="61" t="n">
        <f aca="false">(D14*Assumptions!$H$27+D15*Assumptions!$H$28)*Assumptions!$H$29*D8</f>
        <v>8059.051</v>
      </c>
      <c r="E17" s="61" t="n">
        <f aca="false">(E14*Assumptions!$H$27+E15*Assumptions!$H$28)*Assumptions!$H$29*E8</f>
        <v>3944.40904</v>
      </c>
      <c r="F17" s="61" t="n">
        <f aca="false">(F14*Assumptions!$H$27+F15*Assumptions!$H$28)*Assumptions!$H$29*F8</f>
        <v>3477.0540376</v>
      </c>
      <c r="G17" s="61" t="n">
        <f aca="false">(G14*Assumptions!$H$27+G15*Assumptions!$H$28)*Assumptions!$H$29*G8</f>
        <v>3106.717512184</v>
      </c>
      <c r="H17" s="61" t="n">
        <f aca="false">(H14*Assumptions!$H$27+H15*Assumptions!$H$28)*Assumptions!$H$29*H8</f>
        <v>2814.31504124056</v>
      </c>
      <c r="I17" s="61" t="n">
        <f aca="false">(I14*Assumptions!$H$27+I15*Assumptions!$H$28)*Assumptions!$H$29*I8</f>
        <v>2584.60782132021</v>
      </c>
      <c r="J17" s="61" t="n">
        <f aca="false">(J14*Assumptions!$H$27+J15*Assumptions!$H$28)*Assumptions!$H$29*J8</f>
        <v>2405.43613033343</v>
      </c>
      <c r="K17" s="61" t="n">
        <f aca="false">(K14*Assumptions!$H$27+K15*Assumptions!$H$28)*Assumptions!$H$29*K8</f>
        <v>2267.10633013896</v>
      </c>
      <c r="L17" s="61" t="n">
        <f aca="false">(L14*Assumptions!$H$27+L15*Assumptions!$H$28)*Assumptions!$H$29*L8</f>
        <v>2161.90072231188</v>
      </c>
      <c r="M17" s="61" t="n">
        <f aca="false">(M14*Assumptions!$H$27+M15*Assumptions!$H$28)*Assumptions!$H$29*M8</f>
        <v>2083.68570928828</v>
      </c>
      <c r="N17" s="61" t="n">
        <f aca="false">(N14*Assumptions!$H$27+N15*Assumptions!$H$28)*Assumptions!$H$29*N8</f>
        <v>2027.59862469889</v>
      </c>
      <c r="O17" s="61" t="n">
        <f aca="false">(O14*Assumptions!$H$27+O15*Assumptions!$H$28)*Assumptions!$H$29*O8</f>
        <v>1989.79752618153</v>
      </c>
      <c r="P17" s="61" t="n">
        <f aca="false">(P14*Assumptions!$H$27+P15*Assumptions!$H$28)*Assumptions!$H$29*P8</f>
        <v>1967.26138774565</v>
      </c>
      <c r="Q17" s="61" t="n">
        <f aca="false">(Q14*Assumptions!$H$27+Q15*Assumptions!$H$28)*Assumptions!$H$29*Q8</f>
        <v>1957.63064400899</v>
      </c>
      <c r="R17" s="61" t="n">
        <f aca="false">(R14*Assumptions!$H$27+R15*Assumptions!$H$28)*Assumptions!$H$29*R8</f>
        <v>1959.08005106278</v>
      </c>
      <c r="S17" s="61" t="n">
        <f aca="false">(S14*Assumptions!$H$27+S15*Assumptions!$H$28)*Assumptions!$H$29*S8</f>
        <v>1970.21743893282</v>
      </c>
      <c r="T17" s="61" t="n">
        <f aca="false">(T14*Assumptions!$H$27+T15*Assumptions!$H$28)*Assumptions!$H$29*T8</f>
        <v>1990.00321905628</v>
      </c>
      <c r="U17" s="61" t="n">
        <f aca="false">(U14*Assumptions!$H$27+U15*Assumptions!$H$28)*Assumptions!$H$29*U8</f>
        <v>2017.68654126695</v>
      </c>
      <c r="V17" s="61" t="n">
        <f aca="false">(V14*Assumptions!$H$27+V15*Assumptions!$H$28)*Assumptions!$H$29*V8</f>
        <v>2052.75481997747</v>
      </c>
      <c r="W17" s="61" t="n">
        <f aca="false">(W14*Assumptions!$H$27+W15*Assumptions!$H$28)*Assumptions!$H$29*W8</f>
        <v>2094.89400977263</v>
      </c>
      <c r="X17" s="61" t="n">
        <f aca="false">(X14*Assumptions!$H$27+X15*Assumptions!$H$28)*Assumptions!$H$29*X8</f>
        <v>2143.95753944991</v>
      </c>
      <c r="Y17" s="61" t="n">
        <f aca="false">(Y14*Assumptions!$H$27+Y15*Assumptions!$H$28)*Assumptions!$H$29*Y8</f>
        <v>2199.94223703861</v>
      </c>
      <c r="Z17" s="61" t="n">
        <f aca="false">(Z14*Assumptions!$H$27+Z15*Assumptions!$H$28)*Assumptions!$H$29*Z8</f>
        <v>2262.96991760264</v>
      </c>
      <c r="AA17" s="61" t="n">
        <f aca="false">(AA14*Assumptions!$H$27+AA15*Assumptions!$H$28)*Assumptions!$H$29*AA8</f>
        <v>2333.27357757133</v>
      </c>
      <c r="AB17" s="61" t="n">
        <f aca="false">(AB14*Assumptions!$H$27+AB15*Assumptions!$H$28)*Assumptions!$H$29*AB8</f>
        <v>2411.18735746031</v>
      </c>
      <c r="AC17" s="61" t="n">
        <f aca="false">(AC14*Assumptions!$H$27+AC15*Assumptions!$H$28)*Assumptions!$H$29*AC8</f>
        <v>2497.13960995778</v>
      </c>
      <c r="AD17" s="61" t="n">
        <f aca="false">(AD14*Assumptions!$H$27+AD15*Assumptions!$H$28)*Assumptions!$H$29*AD8</f>
        <v>2591.64855111482</v>
      </c>
      <c r="AE17" s="61" t="n">
        <f aca="false">(AE14*Assumptions!$H$27+AE15*Assumptions!$H$28)*Assumptions!$H$29*AE8</f>
        <v>2695.32008572383</v>
      </c>
      <c r="AF17" s="61" t="n">
        <f aca="false">(AF14*Assumptions!$H$27+AF15*Assumptions!$H$28)*Assumptions!$H$29*AF8</f>
        <v>2808.84748944591</v>
      </c>
      <c r="AG17" s="61" t="n">
        <f aca="false">(AG14*Assumptions!$H$27+AG15*Assumptions!$H$28)*Assumptions!$H$29*AG8</f>
        <v>2933.01270430159</v>
      </c>
      <c r="AH17" s="61" t="n">
        <f aca="false">(AH14*Assumptions!$H$27+AH15*Assumptions!$H$28)*Assumptions!$H$29*AH8</f>
        <v>3068.68906433317</v>
      </c>
      <c r="AI17" s="61" t="n">
        <f aca="false">(AI14*Assumptions!$H$27+AI15*Assumptions!$H$28)*Assumptions!$H$29*AI8</f>
        <v>3216.84531743871</v>
      </c>
      <c r="AJ17" s="61" t="n">
        <f aca="false">(AJ14*Assumptions!$H$27+AJ15*Assumptions!$H$28)*Assumptions!$H$29*AJ8</f>
        <v>3378.55084986063</v>
      </c>
      <c r="AK17" s="61" t="n">
        <f aca="false">(AK14*Assumptions!$H$27+AK15*Assumptions!$H$28)*Assumptions!$H$29*AK8</f>
        <v>3554.98205343004</v>
      </c>
      <c r="AL17" s="61" t="n">
        <f aca="false">(AL14*Assumptions!$H$27+AL15*Assumptions!$H$28)*Assumptions!$H$29*AL8</f>
        <v>3747.42980390431</v>
      </c>
      <c r="AM17" s="61" t="n">
        <f aca="false">SUM(C17:AL17)</f>
        <v>94775.0037657549</v>
      </c>
    </row>
    <row r="18" customFormat="false" ht="15" hidden="false" customHeight="false" outlineLevel="0" collapsed="false">
      <c r="A18" s="10" t="s">
        <v>739</v>
      </c>
      <c r="B18" s="9" t="s">
        <v>97</v>
      </c>
      <c r="C18" s="70" t="n">
        <f aca="false">MIN(C16,C17*Assumptions!$H$30)</f>
        <v>0</v>
      </c>
      <c r="D18" s="70" t="n">
        <f aca="false">MIN(D16,D17*Assumptions!$H$30)</f>
        <v>8864.9561</v>
      </c>
      <c r="E18" s="70" t="n">
        <f aca="false">MIN(E16,E17*Assumptions!$H$30)</f>
        <v>4338.849944</v>
      </c>
      <c r="F18" s="70" t="n">
        <f aca="false">MIN(F16,F17*Assumptions!$H$30)</f>
        <v>3824.75944136</v>
      </c>
      <c r="G18" s="70" t="n">
        <f aca="false">MIN(G16,G17*Assumptions!$H$30)</f>
        <v>3417.3892634024</v>
      </c>
      <c r="H18" s="70" t="n">
        <f aca="false">MIN(H16,H17*Assumptions!$H$30)</f>
        <v>3095.74654536462</v>
      </c>
      <c r="I18" s="70" t="n">
        <f aca="false">MIN(I16,I17*Assumptions!$H$30)</f>
        <v>2843.06860345223</v>
      </c>
      <c r="J18" s="70" t="n">
        <f aca="false">MIN(J16,J17*Assumptions!$H$30)</f>
        <v>2645.97974336677</v>
      </c>
      <c r="K18" s="70" t="n">
        <f aca="false">MIN(K16,K17*Assumptions!$H$30)</f>
        <v>2493.81696315285</v>
      </c>
      <c r="L18" s="70" t="n">
        <f aca="false">MIN(L16,L17*Assumptions!$H$30)</f>
        <v>2378.09079454307</v>
      </c>
      <c r="M18" s="70" t="n">
        <f aca="false">MIN(M16,M17*Assumptions!$H$30)</f>
        <v>2292.05428021711</v>
      </c>
      <c r="N18" s="70" t="n">
        <f aca="false">MIN(N16,N17*Assumptions!$H$30)</f>
        <v>2230.35848716878</v>
      </c>
      <c r="O18" s="70" t="n">
        <f aca="false">MIN(O16,O17*Assumptions!$H$30)</f>
        <v>2188.77727879968</v>
      </c>
      <c r="P18" s="70" t="n">
        <f aca="false">MIN(P16,P17*Assumptions!$H$30)</f>
        <v>2163.98752652022</v>
      </c>
      <c r="Q18" s="70" t="n">
        <f aca="false">MIN(Q16,Q17*Assumptions!$H$30)</f>
        <v>2153.39370840989</v>
      </c>
      <c r="R18" s="70" t="n">
        <f aca="false">MIN(R16,R17*Assumptions!$H$30)</f>
        <v>2154.98805616906</v>
      </c>
      <c r="S18" s="70" t="n">
        <f aca="false">MIN(S16,S17*Assumptions!$H$30)</f>
        <v>2167.2391828261</v>
      </c>
      <c r="T18" s="70" t="n">
        <f aca="false">MIN(T16,T17*Assumptions!$H$30)</f>
        <v>2189.00354096191</v>
      </c>
      <c r="U18" s="70" t="n">
        <f aca="false">MIN(U16,U17*Assumptions!$H$30)</f>
        <v>2219.45519539365</v>
      </c>
      <c r="V18" s="70" t="n">
        <f aca="false">MIN(V16,V17*Assumptions!$H$30)</f>
        <v>2258.03030197521</v>
      </c>
      <c r="W18" s="70" t="n">
        <f aca="false">MIN(W16,W17*Assumptions!$H$30)</f>
        <v>2304.38341074989</v>
      </c>
      <c r="X18" s="70" t="n">
        <f aca="false">MIN(X16,X17*Assumptions!$H$30)</f>
        <v>2358.35329339491</v>
      </c>
      <c r="Y18" s="70" t="n">
        <f aca="false">MIN(Y16,Y17*Assumptions!$H$30)</f>
        <v>2419.93646074247</v>
      </c>
      <c r="Z18" s="70" t="n">
        <f aca="false">MIN(Z16,Z17*Assumptions!$H$30)</f>
        <v>2489.26690936291</v>
      </c>
      <c r="AA18" s="70" t="n">
        <f aca="false">MIN(AA16,AA17*Assumptions!$H$30)</f>
        <v>2566.60093532846</v>
      </c>
      <c r="AB18" s="70" t="n">
        <f aca="false">MIN(AB16,AB17*Assumptions!$H$30)</f>
        <v>2652.30609320634</v>
      </c>
      <c r="AC18" s="70" t="n">
        <f aca="false">MIN(AC16,AC17*Assumptions!$H$30)</f>
        <v>2746.85357095356</v>
      </c>
      <c r="AD18" s="70" t="n">
        <f aca="false">MIN(AD16,AD17*Assumptions!$H$30)</f>
        <v>2850.8134062263</v>
      </c>
      <c r="AE18" s="70" t="n">
        <f aca="false">MIN(AE16,AE17*Assumptions!$H$30)</f>
        <v>2964.85209429621</v>
      </c>
      <c r="AF18" s="70" t="n">
        <f aca="false">MIN(AF16,AF17*Assumptions!$H$30)</f>
        <v>3089.7322383905</v>
      </c>
      <c r="AG18" s="70" t="n">
        <f aca="false">MIN(AG16,AG17*Assumptions!$H$30)</f>
        <v>3226.31397473175</v>
      </c>
      <c r="AH18" s="70" t="n">
        <f aca="false">MIN(AH16,AH17*Assumptions!$H$30)</f>
        <v>3375.55797076649</v>
      </c>
      <c r="AI18" s="70" t="n">
        <f aca="false">MIN(AI16,AI17*Assumptions!$H$30)</f>
        <v>3538.52984918258</v>
      </c>
      <c r="AJ18" s="70" t="n">
        <f aca="false">MIN(AJ16,AJ17*Assumptions!$H$30)</f>
        <v>3716.40593484669</v>
      </c>
      <c r="AK18" s="70" t="n">
        <f aca="false">MIN(AK16,AK17*Assumptions!$H$30)</f>
        <v>3910.48025877304</v>
      </c>
      <c r="AL18" s="70" t="n">
        <f aca="false">MIN(AL16,AL17*Assumptions!$H$30)</f>
        <v>4122.17278429474</v>
      </c>
      <c r="AM18" s="70" t="n">
        <f aca="false">SUM(C18:AL18)</f>
        <v>104252.50414233</v>
      </c>
    </row>
    <row r="19" customFormat="false" ht="15" hidden="false" customHeight="false" outlineLevel="0" collapsed="false">
      <c r="A19" s="10" t="s">
        <v>740</v>
      </c>
      <c r="B19" s="9" t="s">
        <v>84</v>
      </c>
      <c r="C19" s="61" t="n">
        <f aca="false">C18/Assumptions!$H$30</f>
        <v>0</v>
      </c>
      <c r="D19" s="61" t="n">
        <f aca="false">D18/Assumptions!$H$30</f>
        <v>8059.051</v>
      </c>
      <c r="E19" s="61" t="n">
        <f aca="false">E18/Assumptions!$H$30</f>
        <v>3944.40904</v>
      </c>
      <c r="F19" s="61" t="n">
        <f aca="false">F18/Assumptions!$H$30</f>
        <v>3477.0540376</v>
      </c>
      <c r="G19" s="61" t="n">
        <f aca="false">G18/Assumptions!$H$30</f>
        <v>3106.717512184</v>
      </c>
      <c r="H19" s="61" t="n">
        <f aca="false">H18/Assumptions!$H$30</f>
        <v>2814.31504124056</v>
      </c>
      <c r="I19" s="61" t="n">
        <f aca="false">I18/Assumptions!$H$30</f>
        <v>2584.60782132021</v>
      </c>
      <c r="J19" s="61" t="n">
        <f aca="false">J18/Assumptions!$H$30</f>
        <v>2405.43613033343</v>
      </c>
      <c r="K19" s="61" t="n">
        <f aca="false">K18/Assumptions!$H$30</f>
        <v>2267.10633013896</v>
      </c>
      <c r="L19" s="61" t="n">
        <f aca="false">L18/Assumptions!$H$30</f>
        <v>2161.90072231188</v>
      </c>
      <c r="M19" s="61" t="n">
        <f aca="false">M18/Assumptions!$H$30</f>
        <v>2083.68570928828</v>
      </c>
      <c r="N19" s="61" t="n">
        <f aca="false">N18/Assumptions!$H$30</f>
        <v>2027.59862469889</v>
      </c>
      <c r="O19" s="61" t="n">
        <f aca="false">O18/Assumptions!$H$30</f>
        <v>1989.79752618153</v>
      </c>
      <c r="P19" s="61" t="n">
        <f aca="false">P18/Assumptions!$H$30</f>
        <v>1967.26138774565</v>
      </c>
      <c r="Q19" s="61" t="n">
        <f aca="false">Q18/Assumptions!$H$30</f>
        <v>1957.63064400899</v>
      </c>
      <c r="R19" s="61" t="n">
        <f aca="false">R18/Assumptions!$H$30</f>
        <v>1959.08005106278</v>
      </c>
      <c r="S19" s="61" t="n">
        <f aca="false">S18/Assumptions!$H$30</f>
        <v>1970.21743893282</v>
      </c>
      <c r="T19" s="61" t="n">
        <f aca="false">T18/Assumptions!$H$30</f>
        <v>1990.00321905628</v>
      </c>
      <c r="U19" s="61" t="n">
        <f aca="false">U18/Assumptions!$H$30</f>
        <v>2017.68654126695</v>
      </c>
      <c r="V19" s="61" t="n">
        <f aca="false">V18/Assumptions!$H$30</f>
        <v>2052.75481997747</v>
      </c>
      <c r="W19" s="61" t="n">
        <f aca="false">W18/Assumptions!$H$30</f>
        <v>2094.89400977263</v>
      </c>
      <c r="X19" s="61" t="n">
        <f aca="false">X18/Assumptions!$H$30</f>
        <v>2143.95753944991</v>
      </c>
      <c r="Y19" s="61" t="n">
        <f aca="false">Y18/Assumptions!$H$30</f>
        <v>2199.94223703861</v>
      </c>
      <c r="Z19" s="61" t="n">
        <f aca="false">Z18/Assumptions!$H$30</f>
        <v>2262.96991760264</v>
      </c>
      <c r="AA19" s="61" t="n">
        <f aca="false">AA18/Assumptions!$H$30</f>
        <v>2333.27357757133</v>
      </c>
      <c r="AB19" s="61" t="n">
        <f aca="false">AB18/Assumptions!$H$30</f>
        <v>2411.18735746031</v>
      </c>
      <c r="AC19" s="61" t="n">
        <f aca="false">AC18/Assumptions!$H$30</f>
        <v>2497.13960995778</v>
      </c>
      <c r="AD19" s="61" t="n">
        <f aca="false">AD18/Assumptions!$H$30</f>
        <v>2591.64855111482</v>
      </c>
      <c r="AE19" s="61" t="n">
        <f aca="false">AE18/Assumptions!$H$30</f>
        <v>2695.32008572383</v>
      </c>
      <c r="AF19" s="61" t="n">
        <f aca="false">AF18/Assumptions!$H$30</f>
        <v>2808.84748944591</v>
      </c>
      <c r="AG19" s="61" t="n">
        <f aca="false">AG18/Assumptions!$H$30</f>
        <v>2933.01270430159</v>
      </c>
      <c r="AH19" s="61" t="n">
        <f aca="false">AH18/Assumptions!$H$30</f>
        <v>3068.68906433317</v>
      </c>
      <c r="AI19" s="61" t="n">
        <f aca="false">AI18/Assumptions!$H$30</f>
        <v>3216.84531743871</v>
      </c>
      <c r="AJ19" s="61" t="n">
        <f aca="false">AJ18/Assumptions!$H$30</f>
        <v>3378.55084986063</v>
      </c>
      <c r="AK19" s="61" t="n">
        <f aca="false">AK18/Assumptions!$H$30</f>
        <v>3554.98205343004</v>
      </c>
      <c r="AL19" s="61" t="n">
        <f aca="false">AL18/Assumptions!$H$30</f>
        <v>3747.42980390431</v>
      </c>
      <c r="AM19" s="61" t="n">
        <f aca="false">SUM(C19:AL19)</f>
        <v>94775.0037657549</v>
      </c>
    </row>
    <row r="20" customFormat="false" ht="15" hidden="false" customHeight="false" outlineLevel="0" collapsed="false">
      <c r="A20" s="10" t="s">
        <v>741</v>
      </c>
      <c r="B20" s="9" t="s">
        <v>51</v>
      </c>
      <c r="C20" s="61" t="n">
        <f aca="false">C8*(Assumptions!$H$35*C14)</f>
        <v>0</v>
      </c>
      <c r="D20" s="61" t="n">
        <f aca="false">D8*(Assumptions!$H$35*D14+Assumptions!$H$34*C29)</f>
        <v>85888.2204935835</v>
      </c>
      <c r="E20" s="61" t="n">
        <f aca="false">E8*(Assumptions!$H$35*E14+Assumptions!$H$34*D29)</f>
        <v>75208.5088396552</v>
      </c>
      <c r="F20" s="61" t="n">
        <f aca="false">F8*(Assumptions!$H$35*F14+Assumptions!$H$34*E29)</f>
        <v>58225.0536484138</v>
      </c>
      <c r="G20" s="61" t="n">
        <f aca="false">G8*(Assumptions!$H$35*G14+Assumptions!$H$34*F29)</f>
        <v>53436.4196495501</v>
      </c>
      <c r="H20" s="61" t="n">
        <f aca="false">H8*(Assumptions!$H$35*H14+Assumptions!$H$34*G29)</f>
        <v>49187.1566683678</v>
      </c>
      <c r="I20" s="61" t="n">
        <f aca="false">I8*(Assumptions!$H$35*I14+Assumptions!$H$34*H29)</f>
        <v>45777.8241926518</v>
      </c>
      <c r="J20" s="61" t="n">
        <f aca="false">J8*(Assumptions!$H$35*J14+Assumptions!$H$34*I29)</f>
        <v>43073.9101312259</v>
      </c>
      <c r="K20" s="61" t="n">
        <f aca="false">K8*(Assumptions!$H$35*K14+Assumptions!$H$34*J29)</f>
        <v>40950.0497744302</v>
      </c>
      <c r="L20" s="61" t="n">
        <f aca="false">L8*(Assumptions!$H$35*L14+Assumptions!$H$34*K29)</f>
        <v>39300.5617517611</v>
      </c>
      <c r="M20" s="61" t="n">
        <f aca="false">M8*(Assumptions!$H$35*M14+Assumptions!$H$34*L29)</f>
        <v>38052.696794238</v>
      </c>
      <c r="N20" s="61" t="n">
        <f aca="false">N8*(Assumptions!$H$35*N14+Assumptions!$H$34*M29)</f>
        <v>37609.1508272794</v>
      </c>
      <c r="O20" s="61" t="n">
        <f aca="false">O8*(Assumptions!$H$35*O14+Assumptions!$H$34*N29)</f>
        <v>37448.496823516</v>
      </c>
      <c r="P20" s="61" t="n">
        <f aca="false">P8*(Assumptions!$H$35*P14+Assumptions!$H$34*O29)</f>
        <v>37493.1519123907</v>
      </c>
      <c r="Q20" s="61" t="n">
        <f aca="false">Q8*(Assumptions!$H$35*Q14+Assumptions!$H$34*P29)</f>
        <v>37710.240181966</v>
      </c>
      <c r="R20" s="61" t="n">
        <f aca="false">R8*(Assumptions!$H$35*R14+Assumptions!$H$34*Q29)</f>
        <v>38077.9360328326</v>
      </c>
      <c r="S20" s="61" t="n">
        <f aca="false">S8*(Assumptions!$H$35*S14+Assumptions!$H$34*R29)</f>
        <v>38579.8818433842</v>
      </c>
      <c r="T20" s="61" t="n">
        <f aca="false">T8*(Assumptions!$H$35*T14+Assumptions!$H$34*S29)</f>
        <v>39204.0065117768</v>
      </c>
      <c r="U20" s="61" t="n">
        <f aca="false">U8*(Assumptions!$H$35*U14+Assumptions!$H$34*T29)</f>
        <v>39941.8332213563</v>
      </c>
      <c r="V20" s="61" t="n">
        <f aca="false">V8*(Assumptions!$H$35*V14+Assumptions!$H$34*U29)</f>
        <v>40787.9285262485</v>
      </c>
      <c r="W20" s="61" t="n">
        <f aca="false">W8*(Assumptions!$H$35*W14+Assumptions!$H$34*V29)</f>
        <v>41739.4513349574</v>
      </c>
      <c r="X20" s="61" t="n">
        <f aca="false">X8*(Assumptions!$H$35*X14+Assumptions!$H$34*W29)</f>
        <v>42795.7894796409</v>
      </c>
      <c r="Y20" s="61" t="n">
        <f aca="false">Y8*(Assumptions!$H$35*Y14+Assumptions!$H$34*X29)</f>
        <v>43958.2724751321</v>
      </c>
      <c r="Z20" s="61" t="n">
        <f aca="false">Z8*(Assumptions!$H$35*Z14+Assumptions!$H$34*Y29)</f>
        <v>45229.9493080955</v>
      </c>
      <c r="AA20" s="61" t="n">
        <f aca="false">AA8*(Assumptions!$H$35*AA14+Assumptions!$H$34*Z29)</f>
        <v>46615.4211095005</v>
      </c>
      <c r="AB20" s="61" t="n">
        <f aca="false">AB8*(Assumptions!$H$35*AB14+Assumptions!$H$34*AA29)</f>
        <v>48120.7199343902</v>
      </c>
      <c r="AC20" s="61" t="n">
        <f aca="false">AC8*(Assumptions!$H$35*AC14+Assumptions!$H$34*AB29)</f>
        <v>49753.2262921117</v>
      </c>
      <c r="AD20" s="61" t="n">
        <f aca="false">AD8*(Assumptions!$H$35*AD14+Assumptions!$H$34*AC29)</f>
        <v>51501.7915365788</v>
      </c>
      <c r="AE20" s="61" t="n">
        <f aca="false">AE8*(Assumptions!$H$35*AE14+Assumptions!$H$34*AD29)</f>
        <v>53367.6439144955</v>
      </c>
      <c r="AF20" s="61" t="n">
        <f aca="false">AF8*(Assumptions!$H$35*AF14+Assumptions!$H$34*AE29)</f>
        <v>55365.7973833967</v>
      </c>
      <c r="AG20" s="61" t="n">
        <f aca="false">AG8*(Assumptions!$H$35*AG14+Assumptions!$H$34*AF29)</f>
        <v>57508.8223145239</v>
      </c>
      <c r="AH20" s="61" t="n">
        <f aca="false">AH8*(Assumptions!$H$35*AH14+Assumptions!$H$34*AG29)</f>
        <v>59810.0808991442</v>
      </c>
      <c r="AI20" s="61" t="n">
        <f aca="false">AI8*(Assumptions!$H$35*AI14+Assumptions!$H$34*AH29)</f>
        <v>62284.0967313515</v>
      </c>
      <c r="AJ20" s="61" t="n">
        <f aca="false">AJ8*(Assumptions!$H$35*AJ14+Assumptions!$H$34*AI29)</f>
        <v>64946.675988188</v>
      </c>
      <c r="AK20" s="61" t="n">
        <f aca="false">AK8*(Assumptions!$H$35*AK14+Assumptions!$H$34*AJ29)</f>
        <v>67815.0005966027</v>
      </c>
      <c r="AL20" s="61" t="n">
        <f aca="false">AL8*(Assumptions!$H$35*AL14+Assumptions!$H$34*AK29)</f>
        <v>70907.7295792812</v>
      </c>
      <c r="AM20" s="61" t="n">
        <f aca="false">AL20</f>
        <v>70907.7295792812</v>
      </c>
    </row>
    <row r="21" customFormat="false" ht="15" hidden="false" customHeight="false" outlineLevel="0" collapsed="false">
      <c r="A21" s="10" t="s">
        <v>742</v>
      </c>
      <c r="B21" s="9" t="s">
        <v>84</v>
      </c>
      <c r="C21" s="61" t="n">
        <f aca="false">C20*Assumptions!$H$36</f>
        <v>0</v>
      </c>
      <c r="D21" s="61" t="n">
        <f aca="false">D20*Assumptions!$H$36</f>
        <v>21472.0551233959</v>
      </c>
      <c r="E21" s="61" t="n">
        <f aca="false">E20*Assumptions!$H$36</f>
        <v>18802.1272099138</v>
      </c>
      <c r="F21" s="61" t="n">
        <f aca="false">F20*Assumptions!$H$36</f>
        <v>14556.2634121035</v>
      </c>
      <c r="G21" s="61" t="n">
        <f aca="false">G20*Assumptions!$H$36</f>
        <v>13359.1049123875</v>
      </c>
      <c r="H21" s="61" t="n">
        <f aca="false">H20*Assumptions!$H$36</f>
        <v>12296.789167092</v>
      </c>
      <c r="I21" s="61" t="n">
        <f aca="false">I20*Assumptions!$H$36</f>
        <v>11444.4560481629</v>
      </c>
      <c r="J21" s="61" t="n">
        <f aca="false">J20*Assumptions!$H$36</f>
        <v>10768.4775328065</v>
      </c>
      <c r="K21" s="61" t="n">
        <f aca="false">K20*Assumptions!$H$36</f>
        <v>10237.5124436076</v>
      </c>
      <c r="L21" s="61" t="n">
        <f aca="false">L20*Assumptions!$H$36</f>
        <v>9825.14043794028</v>
      </c>
      <c r="M21" s="61" t="n">
        <f aca="false">M20*Assumptions!$H$36</f>
        <v>9513.17419855949</v>
      </c>
      <c r="N21" s="61" t="n">
        <f aca="false">N20*Assumptions!$H$36</f>
        <v>9402.28770681986</v>
      </c>
      <c r="O21" s="61" t="n">
        <f aca="false">O20*Assumptions!$H$36</f>
        <v>9362.12420587899</v>
      </c>
      <c r="P21" s="61" t="n">
        <f aca="false">P20*Assumptions!$H$36</f>
        <v>9373.28797809768</v>
      </c>
      <c r="Q21" s="61" t="n">
        <f aca="false">Q20*Assumptions!$H$36</f>
        <v>9427.56004549149</v>
      </c>
      <c r="R21" s="61" t="n">
        <f aca="false">R20*Assumptions!$H$36</f>
        <v>9519.48400820816</v>
      </c>
      <c r="S21" s="61" t="n">
        <f aca="false">S20*Assumptions!$H$36</f>
        <v>9644.97046084605</v>
      </c>
      <c r="T21" s="61" t="n">
        <f aca="false">T20*Assumptions!$H$36</f>
        <v>9801.0016279442</v>
      </c>
      <c r="U21" s="61" t="n">
        <f aca="false">U20*Assumptions!$H$36</f>
        <v>9985.45830533908</v>
      </c>
      <c r="V21" s="61" t="n">
        <f aca="false">V20*Assumptions!$H$36</f>
        <v>10196.9821315621</v>
      </c>
      <c r="W21" s="61" t="n">
        <f aca="false">W20*Assumptions!$H$36</f>
        <v>10434.8628337394</v>
      </c>
      <c r="X21" s="61" t="n">
        <f aca="false">X20*Assumptions!$H$36</f>
        <v>10698.9473699102</v>
      </c>
      <c r="Y21" s="61" t="n">
        <f aca="false">Y20*Assumptions!$H$36</f>
        <v>10989.568118783</v>
      </c>
      <c r="Z21" s="61" t="n">
        <f aca="false">Z20*Assumptions!$H$36</f>
        <v>11307.4873270239</v>
      </c>
      <c r="AA21" s="61" t="n">
        <f aca="false">AA20*Assumptions!$H$36</f>
        <v>11653.8552773751</v>
      </c>
      <c r="AB21" s="61" t="n">
        <f aca="false">AB20*Assumptions!$H$36</f>
        <v>12030.1799835975</v>
      </c>
      <c r="AC21" s="61" t="n">
        <f aca="false">AC20*Assumptions!$H$36</f>
        <v>12438.3065730279</v>
      </c>
      <c r="AD21" s="61" t="n">
        <f aca="false">AD20*Assumptions!$H$36</f>
        <v>12875.4478841447</v>
      </c>
      <c r="AE21" s="61" t="n">
        <f aca="false">AE20*Assumptions!$H$36</f>
        <v>13341.9109786239</v>
      </c>
      <c r="AF21" s="61" t="n">
        <f aca="false">AF20*Assumptions!$H$36</f>
        <v>13841.4493458492</v>
      </c>
      <c r="AG21" s="61" t="n">
        <f aca="false">AG20*Assumptions!$H$36</f>
        <v>14377.205578631</v>
      </c>
      <c r="AH21" s="61" t="n">
        <f aca="false">AH20*Assumptions!$H$36</f>
        <v>14952.520224786</v>
      </c>
      <c r="AI21" s="61" t="n">
        <f aca="false">AI20*Assumptions!$H$36</f>
        <v>15571.0241828379</v>
      </c>
      <c r="AJ21" s="61" t="n">
        <f aca="false">AJ20*Assumptions!$H$36</f>
        <v>16236.668997047</v>
      </c>
      <c r="AK21" s="61" t="n">
        <f aca="false">AK20*Assumptions!$H$36</f>
        <v>16953.7501491507</v>
      </c>
      <c r="AL21" s="61" t="n">
        <f aca="false">AL20*Assumptions!$H$36</f>
        <v>17726.9323948203</v>
      </c>
      <c r="AM21" s="61" t="n">
        <f aca="false">SUM(C21:AL21)</f>
        <v>434418.374175505</v>
      </c>
    </row>
    <row r="22" customFormat="false" ht="15" hidden="false" customHeight="false" outlineLevel="0" collapsed="false">
      <c r="A22" s="10" t="s">
        <v>743</v>
      </c>
      <c r="B22" s="9" t="s">
        <v>97</v>
      </c>
      <c r="C22" s="70" t="n">
        <f aca="false">MIN(MAX(0,C16-C18),C21*Assumptions!$H$37)</f>
        <v>0</v>
      </c>
      <c r="D22" s="70" t="n">
        <f aca="false">MIN(MAX(0,D16-D18),D21*Assumptions!$H$37)</f>
        <v>21135.0439</v>
      </c>
      <c r="E22" s="70" t="n">
        <f aca="false">MIN(MAX(0,E16-E18),E21*Assumptions!$H$37)</f>
        <v>25661.150056</v>
      </c>
      <c r="F22" s="70" t="n">
        <f aca="false">MIN(MAX(0,F16-F18),F21*Assumptions!$H$37)</f>
        <v>21106.58194755</v>
      </c>
      <c r="G22" s="70" t="n">
        <f aca="false">MIN(MAX(0,G16-G18),G21*Assumptions!$H$37)</f>
        <v>19370.7021229619</v>
      </c>
      <c r="H22" s="70" t="n">
        <f aca="false">MIN(MAX(0,H16-H18),H21*Assumptions!$H$37)</f>
        <v>17830.3442922833</v>
      </c>
      <c r="I22" s="70" t="n">
        <f aca="false">MIN(MAX(0,I16-I18),I21*Assumptions!$H$37)</f>
        <v>16594.4612698363</v>
      </c>
      <c r="J22" s="70" t="n">
        <f aca="false">MIN(MAX(0,J16-J18),J21*Assumptions!$H$37)</f>
        <v>15614.2924225694</v>
      </c>
      <c r="K22" s="70" t="n">
        <f aca="false">MIN(MAX(0,K16-K18),K21*Assumptions!$H$37)</f>
        <v>14844.393043231</v>
      </c>
      <c r="L22" s="70" t="n">
        <f aca="false">MIN(MAX(0,L16-L18),L21*Assumptions!$H$37)</f>
        <v>14246.4536350134</v>
      </c>
      <c r="M22" s="70" t="n">
        <f aca="false">MIN(MAX(0,M16-M18),M21*Assumptions!$H$37)</f>
        <v>13794.1025879113</v>
      </c>
      <c r="N22" s="70" t="n">
        <f aca="false">MIN(MAX(0,N16-N18),N21*Assumptions!$H$37)</f>
        <v>13633.3171748888</v>
      </c>
      <c r="O22" s="70" t="n">
        <f aca="false">MIN(MAX(0,O16-O18),O21*Assumptions!$H$37)</f>
        <v>13575.0800985245</v>
      </c>
      <c r="P22" s="70" t="n">
        <f aca="false">MIN(MAX(0,P16-P18),P21*Assumptions!$H$37)</f>
        <v>13591.2675682416</v>
      </c>
      <c r="Q22" s="70" t="n">
        <f aca="false">MIN(MAX(0,Q16-Q18),Q21*Assumptions!$H$37)</f>
        <v>13669.9620659627</v>
      </c>
      <c r="R22" s="70" t="n">
        <f aca="false">MIN(MAX(0,R16-R18),R21*Assumptions!$H$37)</f>
        <v>13803.2518119018</v>
      </c>
      <c r="S22" s="70" t="n">
        <f aca="false">MIN(MAX(0,S16-S18),S21*Assumptions!$H$37)</f>
        <v>13985.2071682268</v>
      </c>
      <c r="T22" s="70" t="n">
        <f aca="false">MIN(MAX(0,T16-T18),T21*Assumptions!$H$37)</f>
        <v>14211.4523605191</v>
      </c>
      <c r="U22" s="70" t="n">
        <f aca="false">MIN(MAX(0,U16-U18),U21*Assumptions!$H$37)</f>
        <v>14478.9145427417</v>
      </c>
      <c r="V22" s="70" t="n">
        <f aca="false">MIN(MAX(0,V16-V18),V21*Assumptions!$H$37)</f>
        <v>14785.6240907651</v>
      </c>
      <c r="W22" s="70" t="n">
        <f aca="false">MIN(MAX(0,W16-W18),W21*Assumptions!$H$37)</f>
        <v>15130.5511089221</v>
      </c>
      <c r="X22" s="70" t="n">
        <f aca="false">MIN(MAX(0,X16-X18),X21*Assumptions!$H$37)</f>
        <v>15513.4736863698</v>
      </c>
      <c r="Y22" s="70" t="n">
        <f aca="false">MIN(MAX(0,Y16-Y18),Y21*Assumptions!$H$37)</f>
        <v>15934.8737722354</v>
      </c>
      <c r="Z22" s="70" t="n">
        <f aca="false">MIN(MAX(0,Z16-Z18),Z21*Assumptions!$H$37)</f>
        <v>16395.8566241846</v>
      </c>
      <c r="AA22" s="70" t="n">
        <f aca="false">MIN(MAX(0,AA16-AA18),AA21*Assumptions!$H$37)</f>
        <v>16898.0901521939</v>
      </c>
      <c r="AB22" s="70" t="n">
        <f aca="false">MIN(MAX(0,AB16-AB18),AB21*Assumptions!$H$37)</f>
        <v>17443.7609762164</v>
      </c>
      <c r="AC22" s="70" t="n">
        <f aca="false">MIN(MAX(0,AC16-AC18),AC21*Assumptions!$H$37)</f>
        <v>18035.5445308905</v>
      </c>
      <c r="AD22" s="70" t="n">
        <f aca="false">MIN(MAX(0,AD16-AD18),AD21*Assumptions!$H$37)</f>
        <v>18669.3994320098</v>
      </c>
      <c r="AE22" s="70" t="n">
        <f aca="false">MIN(MAX(0,AE16-AE18),AE21*Assumptions!$H$37)</f>
        <v>19345.7709190046</v>
      </c>
      <c r="AF22" s="70" t="n">
        <f aca="false">MIN(MAX(0,AF16-AF18),AF21*Assumptions!$H$37)</f>
        <v>20070.1015514813</v>
      </c>
      <c r="AG22" s="70" t="n">
        <f aca="false">MIN(MAX(0,AG16-AG18),AG21*Assumptions!$H$37)</f>
        <v>20846.9480890149</v>
      </c>
      <c r="AH22" s="70" t="n">
        <f aca="false">MIN(MAX(0,AH16-AH18),AH21*Assumptions!$H$37)</f>
        <v>21681.1543259398</v>
      </c>
      <c r="AI22" s="70" t="n">
        <f aca="false">MIN(MAX(0,AI16-AI18),AI21*Assumptions!$H$37)</f>
        <v>22577.9850651149</v>
      </c>
      <c r="AJ22" s="70" t="n">
        <f aca="false">MIN(MAX(0,AJ16-AJ18),AJ21*Assumptions!$H$37)</f>
        <v>23543.1700457181</v>
      </c>
      <c r="AK22" s="70" t="n">
        <f aca="false">MIN(MAX(0,AK16-AK18),AK21*Assumptions!$H$37)</f>
        <v>24582.9377162685</v>
      </c>
      <c r="AL22" s="70" t="n">
        <f aca="false">MIN(MAX(0,AL16-AL18),AL21*Assumptions!$H$37)</f>
        <v>25704.0519724894</v>
      </c>
      <c r="AM22" s="70" t="n">
        <f aca="false">SUM(C22:AL22)</f>
        <v>618305.272127183</v>
      </c>
    </row>
    <row r="23" customFormat="false" ht="15" hidden="false" customHeight="false" outlineLevel="0" collapsed="false">
      <c r="A23" s="10" t="s">
        <v>744</v>
      </c>
      <c r="B23" s="9" t="s">
        <v>84</v>
      </c>
      <c r="C23" s="61" t="n">
        <f aca="false">C22/Assumptions!$H$37</f>
        <v>0</v>
      </c>
      <c r="D23" s="61" t="n">
        <f aca="false">D22/Assumptions!$H$37</f>
        <v>14575.8923448276</v>
      </c>
      <c r="E23" s="61" t="n">
        <f aca="false">E22/Assumptions!$H$37</f>
        <v>17697.3448662069</v>
      </c>
      <c r="F23" s="61" t="n">
        <f aca="false">F22/Assumptions!$H$37</f>
        <v>14556.2634121035</v>
      </c>
      <c r="G23" s="61" t="n">
        <f aca="false">G22/Assumptions!$H$37</f>
        <v>13359.1049123875</v>
      </c>
      <c r="H23" s="61" t="n">
        <f aca="false">H22/Assumptions!$H$37</f>
        <v>12296.789167092</v>
      </c>
      <c r="I23" s="61" t="n">
        <f aca="false">I22/Assumptions!$H$37</f>
        <v>11444.4560481629</v>
      </c>
      <c r="J23" s="61" t="n">
        <f aca="false">J22/Assumptions!$H$37</f>
        <v>10768.4775328065</v>
      </c>
      <c r="K23" s="61" t="n">
        <f aca="false">K22/Assumptions!$H$37</f>
        <v>10237.5124436076</v>
      </c>
      <c r="L23" s="61" t="n">
        <f aca="false">L22/Assumptions!$H$37</f>
        <v>9825.14043794028</v>
      </c>
      <c r="M23" s="61" t="n">
        <f aca="false">M22/Assumptions!$H$37</f>
        <v>9513.17419855949</v>
      </c>
      <c r="N23" s="61" t="n">
        <f aca="false">N22/Assumptions!$H$37</f>
        <v>9402.28770681986</v>
      </c>
      <c r="O23" s="61" t="n">
        <f aca="false">O22/Assumptions!$H$37</f>
        <v>9362.12420587899</v>
      </c>
      <c r="P23" s="61" t="n">
        <f aca="false">P22/Assumptions!$H$37</f>
        <v>9373.28797809768</v>
      </c>
      <c r="Q23" s="61" t="n">
        <f aca="false">Q22/Assumptions!$H$37</f>
        <v>9427.56004549149</v>
      </c>
      <c r="R23" s="61" t="n">
        <f aca="false">R22/Assumptions!$H$37</f>
        <v>9519.48400820816</v>
      </c>
      <c r="S23" s="61" t="n">
        <f aca="false">S22/Assumptions!$H$37</f>
        <v>9644.97046084605</v>
      </c>
      <c r="T23" s="61" t="n">
        <f aca="false">T22/Assumptions!$H$37</f>
        <v>9801.0016279442</v>
      </c>
      <c r="U23" s="61" t="n">
        <f aca="false">U22/Assumptions!$H$37</f>
        <v>9985.45830533908</v>
      </c>
      <c r="V23" s="61" t="n">
        <f aca="false">V22/Assumptions!$H$37</f>
        <v>10196.9821315621</v>
      </c>
      <c r="W23" s="61" t="n">
        <f aca="false">W22/Assumptions!$H$37</f>
        <v>10434.8628337394</v>
      </c>
      <c r="X23" s="61" t="n">
        <f aca="false">X22/Assumptions!$H$37</f>
        <v>10698.9473699102</v>
      </c>
      <c r="Y23" s="61" t="n">
        <f aca="false">Y22/Assumptions!$H$37</f>
        <v>10989.568118783</v>
      </c>
      <c r="Z23" s="61" t="n">
        <f aca="false">Z22/Assumptions!$H$37</f>
        <v>11307.4873270239</v>
      </c>
      <c r="AA23" s="61" t="n">
        <f aca="false">AA22/Assumptions!$H$37</f>
        <v>11653.8552773751</v>
      </c>
      <c r="AB23" s="61" t="n">
        <f aca="false">AB22/Assumptions!$H$37</f>
        <v>12030.1799835975</v>
      </c>
      <c r="AC23" s="61" t="n">
        <f aca="false">AC22/Assumptions!$H$37</f>
        <v>12438.3065730279</v>
      </c>
      <c r="AD23" s="61" t="n">
        <f aca="false">AD22/Assumptions!$H$37</f>
        <v>12875.4478841447</v>
      </c>
      <c r="AE23" s="61" t="n">
        <f aca="false">AE22/Assumptions!$H$37</f>
        <v>13341.9109786239</v>
      </c>
      <c r="AF23" s="61" t="n">
        <f aca="false">AF22/Assumptions!$H$37</f>
        <v>13841.4493458492</v>
      </c>
      <c r="AG23" s="61" t="n">
        <f aca="false">AG22/Assumptions!$H$37</f>
        <v>14377.205578631</v>
      </c>
      <c r="AH23" s="61" t="n">
        <f aca="false">AH22/Assumptions!$H$37</f>
        <v>14952.520224786</v>
      </c>
      <c r="AI23" s="61" t="n">
        <f aca="false">AI22/Assumptions!$H$37</f>
        <v>15571.0241828379</v>
      </c>
      <c r="AJ23" s="61" t="n">
        <f aca="false">AJ22/Assumptions!$H$37</f>
        <v>16236.668997047</v>
      </c>
      <c r="AK23" s="61" t="n">
        <f aca="false">AK22/Assumptions!$H$37</f>
        <v>16953.7501491507</v>
      </c>
      <c r="AL23" s="61" t="n">
        <f aca="false">AL22/Assumptions!$H$37</f>
        <v>17726.9323948203</v>
      </c>
      <c r="AM23" s="61" t="n">
        <f aca="false">SUM(C23:AL23)</f>
        <v>426417.42905323</v>
      </c>
    </row>
    <row r="24" customFormat="false" ht="15" hidden="false" customHeight="false" outlineLevel="0" collapsed="false">
      <c r="A24" s="10" t="s">
        <v>745</v>
      </c>
      <c r="B24" s="9" t="s">
        <v>97</v>
      </c>
      <c r="C24" s="70" t="n">
        <f aca="false">MAX(0,C16-C18-C22)</f>
        <v>8000</v>
      </c>
      <c r="D24" s="70" t="n">
        <f aca="false">MAX(0,D16-D18-D22)</f>
        <v>0</v>
      </c>
      <c r="E24" s="70" t="n">
        <f aca="false">MAX(0,E16-E18-E22)</f>
        <v>0</v>
      </c>
      <c r="F24" s="70" t="n">
        <f aca="false">MAX(0,F16-F18-F22)</f>
        <v>5068.65861109</v>
      </c>
      <c r="G24" s="70" t="n">
        <f aca="false">MAX(0,G16-G18-G22)</f>
        <v>7211.90861363569</v>
      </c>
      <c r="H24" s="70" t="n">
        <f aca="false">MAX(0,H16-H18-H22)</f>
        <v>9073.90916235204</v>
      </c>
      <c r="I24" s="70" t="n">
        <f aca="false">MAX(0,I16-I18-I22)</f>
        <v>10562.4701267115</v>
      </c>
      <c r="J24" s="70" t="n">
        <f aca="false">MAX(0,J16-J18-J22)</f>
        <v>11739.7278340638</v>
      </c>
      <c r="K24" s="70" t="n">
        <f aca="false">MAX(0,K16-K18-K22)</f>
        <v>12661.7899936162</v>
      </c>
      <c r="L24" s="70" t="n">
        <f aca="false">MAX(0,L16-L18-L22)</f>
        <v>13427.9238693175</v>
      </c>
      <c r="M24" s="70" t="n">
        <f aca="false">MAX(0,M16-M18-M22)</f>
        <v>15894.3486738623</v>
      </c>
      <c r="N24" s="70" t="n">
        <f aca="false">MAX(0,N16-N18-N22)</f>
        <v>18127.8542615769</v>
      </c>
      <c r="O24" s="70" t="n">
        <f aca="false">MAX(0,O16-O18-O22)</f>
        <v>20250.533961957</v>
      </c>
      <c r="P24" s="70" t="n">
        <f aca="false">MAX(0,P16-P18-P22)</f>
        <v>22298.2704985485</v>
      </c>
      <c r="Q24" s="70" t="n">
        <f aca="false">MAX(0,Q16-Q18-Q22)</f>
        <v>24302.8615207322</v>
      </c>
      <c r="R24" s="70" t="n">
        <f aca="false">MAX(0,R16-R18-R22)</f>
        <v>26291.3963149406</v>
      </c>
      <c r="S24" s="70" t="n">
        <f aca="false">MAX(0,S16-S18-S22)</f>
        <v>28287.8349056038</v>
      </c>
      <c r="T24" s="70" t="n">
        <f aca="false">MAX(0,T16-T18-T22)</f>
        <v>30313.7682175769</v>
      </c>
      <c r="U24" s="70" t="n">
        <f aca="false">MAX(0,U16-U18-U22)</f>
        <v>32389.050799026</v>
      </c>
      <c r="V24" s="70" t="n">
        <f aca="false">MAX(0,V16-V18-V22)</f>
        <v>34532.3447314452</v>
      </c>
      <c r="W24" s="70" t="n">
        <f aca="false">MAX(0,W16-W18-W22)</f>
        <v>36761.5915937602</v>
      </c>
      <c r="X24" s="70" t="n">
        <f aca="false">MAX(0,X16-X18-X22)</f>
        <v>39094.4248911992</v>
      </c>
      <c r="Y24" s="70" t="n">
        <f aca="false">MAX(0,Y16-Y18-Y22)</f>
        <v>41548.5345027145</v>
      </c>
      <c r="Z24" s="70" t="n">
        <f aca="false">MAX(0,Z16-Z18-Z22)</f>
        <v>44141.9936010586</v>
      </c>
      <c r="AA24" s="70" t="n">
        <f aca="false">MAX(0,AA16-AA18-AA22)</f>
        <v>46893.5572710373</v>
      </c>
      <c r="AB24" s="70" t="n">
        <f aca="false">MAX(0,AB16-AB18-AB22)</f>
        <v>49822.9408627319</v>
      </c>
      <c r="AC24" s="70" t="n">
        <f aca="false">MAX(0,AC16-AC18-AC22)</f>
        <v>52844.9443721455</v>
      </c>
      <c r="AD24" s="70" t="n">
        <f aca="false">MAX(0,AD16-AD18-AD22)</f>
        <v>55944.4309494248</v>
      </c>
      <c r="AE24" s="70" t="n">
        <f aca="false">MAX(0,AE16-AE18-AE22)</f>
        <v>59166.4843117123</v>
      </c>
      <c r="AF24" s="70" t="n">
        <f aca="false">MAX(0,AF16-AF18-AF22)</f>
        <v>62529.0305386356</v>
      </c>
      <c r="AG24" s="70" t="n">
        <f aca="false">MAX(0,AG16-AG18-AG22)</f>
        <v>66051.6394267233</v>
      </c>
      <c r="AH24" s="70" t="n">
        <f aca="false">MAX(0,AH16-AH18-AH22)</f>
        <v>69754.9873321397</v>
      </c>
      <c r="AI24" s="70" t="n">
        <f aca="false">MAX(0,AI16-AI18-AI22)</f>
        <v>73661.0418892219</v>
      </c>
      <c r="AJ24" s="70" t="n">
        <f aca="false">MAX(0,AJ16-AJ18-AJ22)</f>
        <v>77793.2229570512</v>
      </c>
      <c r="AK24" s="70" t="n">
        <f aca="false">MAX(0,AK16-AK18-AK22)</f>
        <v>82176.574797573</v>
      </c>
      <c r="AL24" s="70" t="n">
        <f aca="false">MAX(0,AL16-AL18-AL22)</f>
        <v>86837.9465023062</v>
      </c>
      <c r="AM24" s="70" t="n">
        <f aca="false">SUM(C24:AL24)</f>
        <v>1275457.99789549</v>
      </c>
    </row>
    <row r="25" customFormat="false" ht="15" hidden="false" customHeight="false" outlineLevel="0" collapsed="false">
      <c r="A25" s="10" t="s">
        <v>746</v>
      </c>
      <c r="B25" s="9" t="s">
        <v>84</v>
      </c>
      <c r="C25" s="61" t="n">
        <f aca="false">(Assumptions!$H$21/(Assumptions!$H$41*Assumptions!$H$42))*(C24/Assumptions!$H$21)^Assumptions!$H$25</f>
        <v>6000.40089742459</v>
      </c>
      <c r="D25" s="61" t="n">
        <f aca="false">(Assumptions!$H$21/(Assumptions!$H$41*Assumptions!$H$42))*(D24/Assumptions!$H$21)^Assumptions!$H$25</f>
        <v>0</v>
      </c>
      <c r="E25" s="61" t="n">
        <f aca="false">(Assumptions!$H$21/(Assumptions!$H$41*Assumptions!$H$42))*(E24/Assumptions!$H$21)^Assumptions!$H$25</f>
        <v>0</v>
      </c>
      <c r="F25" s="61" t="n">
        <f aca="false">(Assumptions!$H$21/(Assumptions!$H$41*Assumptions!$H$42))*(F24/Assumptions!$H$21)^Assumptions!$H$25</f>
        <v>4280.69738584218</v>
      </c>
      <c r="G25" s="61" t="n">
        <f aca="false">(Assumptions!$H$21/(Assumptions!$H$41*Assumptions!$H$42))*(G24/Assumptions!$H$21)^Assumptions!$H$25</f>
        <v>5557.13357591544</v>
      </c>
      <c r="H25" s="61" t="n">
        <f aca="false">(Assumptions!$H$21/(Assumptions!$H$41*Assumptions!$H$42))*(H24/Assumptions!$H$21)^Assumptions!$H$25</f>
        <v>6586.60399389071</v>
      </c>
      <c r="I25" s="61" t="n">
        <f aca="false">(Assumptions!$H$21/(Assumptions!$H$41*Assumptions!$H$42))*(I24/Assumptions!$H$21)^Assumptions!$H$25</f>
        <v>7370.21474925921</v>
      </c>
      <c r="J25" s="61" t="n">
        <f aca="false">(Assumptions!$H$21/(Assumptions!$H$41*Assumptions!$H$42))*(J24/Assumptions!$H$21)^Assumptions!$H$25</f>
        <v>7969.67512377287</v>
      </c>
      <c r="K25" s="61" t="n">
        <f aca="false">(Assumptions!$H$21/(Assumptions!$H$41*Assumptions!$H$42))*(K24/Assumptions!$H$21)^Assumptions!$H$25</f>
        <v>8428.30135527891</v>
      </c>
      <c r="L25" s="61" t="n">
        <f aca="false">(Assumptions!$H$21/(Assumptions!$H$41*Assumptions!$H$42))*(L24/Assumptions!$H$21)^Assumptions!$H$25</f>
        <v>8802.78796453179</v>
      </c>
      <c r="M25" s="61" t="n">
        <f aca="false">(Assumptions!$H$21/(Assumptions!$H$41*Assumptions!$H$42))*(M24/Assumptions!$H$21)^Assumptions!$H$25</f>
        <v>9972.71255585714</v>
      </c>
      <c r="N25" s="61" t="n">
        <f aca="false">(Assumptions!$H$21/(Assumptions!$H$41*Assumptions!$H$42))*(N24/Assumptions!$H$21)^Assumptions!$H$25</f>
        <v>10991.830272678</v>
      </c>
      <c r="O25" s="61" t="n">
        <f aca="false">(Assumptions!$H$21/(Assumptions!$H$41*Assumptions!$H$42))*(O24/Assumptions!$H$21)^Assumptions!$H$25</f>
        <v>11930.4457839446</v>
      </c>
      <c r="P25" s="61" t="n">
        <f aca="false">(Assumptions!$H$21/(Assumptions!$H$41*Assumptions!$H$42))*(P24/Assumptions!$H$21)^Assumptions!$H$25</f>
        <v>12811.9238835531</v>
      </c>
      <c r="Q25" s="61" t="n">
        <f aca="false">(Assumptions!$H$21/(Assumptions!$H$41*Assumptions!$H$42))*(Q24/Assumptions!$H$21)^Assumptions!$H$25</f>
        <v>13654.6370897599</v>
      </c>
      <c r="R25" s="61" t="n">
        <f aca="false">(Assumptions!$H$21/(Assumptions!$H$41*Assumptions!$H$42))*(R24/Assumptions!$H$21)^Assumptions!$H$25</f>
        <v>14472.9072609753</v>
      </c>
      <c r="S25" s="61" t="n">
        <f aca="false">(Assumptions!$H$21/(Assumptions!$H$41*Assumptions!$H$42))*(S24/Assumptions!$H$21)^Assumptions!$H$25</f>
        <v>15278.3854145365</v>
      </c>
      <c r="T25" s="61" t="n">
        <f aca="false">(Assumptions!$H$21/(Assumptions!$H$41*Assumptions!$H$42))*(T24/Assumptions!$H$21)^Assumptions!$H$25</f>
        <v>16080.7841285811</v>
      </c>
      <c r="U25" s="61" t="n">
        <f aca="false">(Assumptions!$H$21/(Assumptions!$H$41*Assumptions!$H$42))*(U24/Assumptions!$H$21)^Assumptions!$H$25</f>
        <v>16888.394307441</v>
      </c>
      <c r="V25" s="61" t="n">
        <f aca="false">(Assumptions!$H$21/(Assumptions!$H$41*Assumptions!$H$42))*(V24/Assumptions!$H$21)^Assumptions!$H$25</f>
        <v>17708.4670253939</v>
      </c>
      <c r="W25" s="61" t="n">
        <f aca="false">(Assumptions!$H$21/(Assumptions!$H$41*Assumptions!$H$42))*(W24/Assumptions!$H$21)^Assumptions!$H$25</f>
        <v>18547.5035695816</v>
      </c>
      <c r="X25" s="61" t="n">
        <f aca="false">(Assumptions!$H$21/(Assumptions!$H$41*Assumptions!$H$42))*(X24/Assumptions!$H$21)^Assumptions!$H$25</f>
        <v>19411.4800629438</v>
      </c>
      <c r="Y25" s="61" t="n">
        <f aca="false">(Assumptions!$H$21/(Assumptions!$H$41*Assumptions!$H$42))*(Y24/Assumptions!$H$21)^Assumptions!$H$25</f>
        <v>20306.0243367837</v>
      </c>
      <c r="Z25" s="61" t="n">
        <f aca="false">(Assumptions!$H$21/(Assumptions!$H$41*Assumptions!$H$42))*(Z24/Assumptions!$H$21)^Assumptions!$H$25</f>
        <v>21236.557365849</v>
      </c>
      <c r="AA25" s="61" t="n">
        <f aca="false">(Assumptions!$H$21/(Assumptions!$H$41*Assumptions!$H$42))*(AA24/Assumptions!$H$21)^Assumptions!$H$25</f>
        <v>22208.4080961611</v>
      </c>
      <c r="AB25" s="61" t="n">
        <f aca="false">(Assumptions!$H$21/(Assumptions!$H$41*Assumptions!$H$42))*(AB24/Assumptions!$H$21)^Assumptions!$H$25</f>
        <v>23226.9081445623</v>
      </c>
      <c r="AC25" s="61" t="n">
        <f aca="false">(Assumptions!$H$21/(Assumptions!$H$41*Assumptions!$H$42))*(AC24/Assumptions!$H$21)^Assumptions!$H$25</f>
        <v>24261.4205676084</v>
      </c>
      <c r="AD25" s="61" t="n">
        <f aca="false">(Assumptions!$H$21/(Assumptions!$H$41*Assumptions!$H$42))*(AD24/Assumptions!$H$21)^Assumptions!$H$25</f>
        <v>25306.5972764173</v>
      </c>
      <c r="AE25" s="61" t="n">
        <f aca="false">(Assumptions!$H$21/(Assumptions!$H$41*Assumptions!$H$42))*(AE24/Assumptions!$H$21)^Assumptions!$H$25</f>
        <v>26377.2637803795</v>
      </c>
      <c r="AF25" s="61" t="n">
        <f aca="false">(Assumptions!$H$21/(Assumptions!$H$41*Assumptions!$H$42))*(AF24/Assumptions!$H$21)^Assumptions!$H$25</f>
        <v>27478.5702198284</v>
      </c>
      <c r="AG25" s="61" t="n">
        <f aca="false">(Assumptions!$H$21/(Assumptions!$H$41*Assumptions!$H$42))*(AG24/Assumptions!$H$21)^Assumptions!$H$25</f>
        <v>28615.9087339505</v>
      </c>
      <c r="AH25" s="61" t="n">
        <f aca="false">(Assumptions!$H$21/(Assumptions!$H$41*Assumptions!$H$42))*(AH24/Assumptions!$H$21)^Assumptions!$H$25</f>
        <v>29794.7243920563</v>
      </c>
      <c r="AI25" s="61" t="n">
        <f aca="false">(Assumptions!$H$21/(Assumptions!$H$41*Assumptions!$H$42))*(AI24/Assumptions!$H$21)^Assumptions!$H$25</f>
        <v>31020.5641256729</v>
      </c>
      <c r="AJ25" s="61" t="n">
        <f aca="false">(Assumptions!$H$21/(Assumptions!$H$41*Assumptions!$H$42))*(AJ24/Assumptions!$H$21)^Assumptions!$H$25</f>
        <v>32299.1120246352</v>
      </c>
      <c r="AK25" s="61" t="n">
        <f aca="false">(Assumptions!$H$21/(Assumptions!$H$41*Assumptions!$H$42))*(AK24/Assumptions!$H$21)^Assumptions!$H$25</f>
        <v>33636.2230099021</v>
      </c>
      <c r="AL25" s="61" t="n">
        <f aca="false">(Assumptions!$H$21/(Assumptions!$H$41*Assumptions!$H$42))*(AL24/Assumptions!$H$21)^Assumptions!$H$25</f>
        <v>35037.9541690503</v>
      </c>
      <c r="AM25" s="61" t="n">
        <f aca="false">SUM(C25:AL25)</f>
        <v>613551.522644019</v>
      </c>
    </row>
    <row r="26" customFormat="false" ht="15" hidden="false" customHeight="false" outlineLevel="0" collapsed="false">
      <c r="A26" s="37" t="s">
        <v>747</v>
      </c>
      <c r="B26" s="9" t="s">
        <v>97</v>
      </c>
      <c r="C26" s="53" t="n">
        <f aca="false">C18+C22+C24</f>
        <v>8000</v>
      </c>
      <c r="D26" s="53" t="n">
        <f aca="false">D18+D22+D24</f>
        <v>30000</v>
      </c>
      <c r="E26" s="53" t="n">
        <f aca="false">E18+E22+E24</f>
        <v>30000</v>
      </c>
      <c r="F26" s="53" t="n">
        <f aca="false">F18+F22+F24</f>
        <v>30000</v>
      </c>
      <c r="G26" s="53" t="n">
        <f aca="false">G18+G22+G24</f>
        <v>30000</v>
      </c>
      <c r="H26" s="53" t="n">
        <f aca="false">H18+H22+H24</f>
        <v>30000</v>
      </c>
      <c r="I26" s="53" t="n">
        <f aca="false">I18+I22+I24</f>
        <v>30000</v>
      </c>
      <c r="J26" s="53" t="n">
        <f aca="false">J18+J22+J24</f>
        <v>30000</v>
      </c>
      <c r="K26" s="53" t="n">
        <f aca="false">K18+K22+K24</f>
        <v>30000</v>
      </c>
      <c r="L26" s="53" t="n">
        <f aca="false">L18+L22+L24</f>
        <v>30052.4682988739</v>
      </c>
      <c r="M26" s="53" t="n">
        <f aca="false">M18+M22+M24</f>
        <v>31980.5055419907</v>
      </c>
      <c r="N26" s="53" t="n">
        <f aca="false">N18+N22+N24</f>
        <v>33991.5299236344</v>
      </c>
      <c r="O26" s="53" t="n">
        <f aca="false">O18+O22+O24</f>
        <v>36014.3913392812</v>
      </c>
      <c r="P26" s="53" t="n">
        <f aca="false">P18+P22+P24</f>
        <v>38053.5255933104</v>
      </c>
      <c r="Q26" s="53" t="n">
        <f aca="false">Q18+Q22+Q24</f>
        <v>40126.2172951047</v>
      </c>
      <c r="R26" s="53" t="n">
        <f aca="false">R18+R22+R24</f>
        <v>42249.6361830115</v>
      </c>
      <c r="S26" s="53" t="n">
        <f aca="false">S18+S22+S24</f>
        <v>44440.2812566567</v>
      </c>
      <c r="T26" s="53" t="n">
        <f aca="false">T18+T22+T24</f>
        <v>46714.2241190579</v>
      </c>
      <c r="U26" s="53" t="n">
        <f aca="false">U18+U22+U24</f>
        <v>49087.4205371613</v>
      </c>
      <c r="V26" s="53" t="n">
        <f aca="false">V18+V22+V24</f>
        <v>51575.9991241854</v>
      </c>
      <c r="W26" s="53" t="n">
        <f aca="false">W18+W22+W24</f>
        <v>54196.5261134322</v>
      </c>
      <c r="X26" s="53" t="n">
        <f aca="false">X18+X22+X24</f>
        <v>56966.251870964</v>
      </c>
      <c r="Y26" s="53" t="n">
        <f aca="false">Y18+Y22+Y24</f>
        <v>59903.3447356923</v>
      </c>
      <c r="Z26" s="53" t="n">
        <f aca="false">Z18+Z22+Z24</f>
        <v>63027.1171346061</v>
      </c>
      <c r="AA26" s="53" t="n">
        <f aca="false">AA18+AA22+AA24</f>
        <v>66358.2483585598</v>
      </c>
      <c r="AB26" s="53" t="n">
        <f aca="false">AB18+AB22+AB24</f>
        <v>69919.0079321546</v>
      </c>
      <c r="AC26" s="53" t="n">
        <f aca="false">AC18+AC22+AC24</f>
        <v>73627.3424739896</v>
      </c>
      <c r="AD26" s="53" t="n">
        <f aca="false">AD18+AD22+AD24</f>
        <v>77464.6437876609</v>
      </c>
      <c r="AE26" s="53" t="n">
        <f aca="false">AE18+AE22+AE24</f>
        <v>81477.1073250131</v>
      </c>
      <c r="AF26" s="53" t="n">
        <f aca="false">AF18+AF22+AF24</f>
        <v>85688.8643285074</v>
      </c>
      <c r="AG26" s="53" t="n">
        <f aca="false">AG18+AG22+AG24</f>
        <v>90124.90149047</v>
      </c>
      <c r="AH26" s="53" t="n">
        <f aca="false">AH18+AH22+AH24</f>
        <v>94811.699628846</v>
      </c>
      <c r="AI26" s="53" t="n">
        <f aca="false">AI18+AI22+AI24</f>
        <v>99777.5568035194</v>
      </c>
      <c r="AJ26" s="53" t="n">
        <f aca="false">AJ18+AJ22+AJ24</f>
        <v>105052.798937616</v>
      </c>
      <c r="AK26" s="53" t="n">
        <f aca="false">AK18+AK22+AK24</f>
        <v>110669.992772615</v>
      </c>
      <c r="AL26" s="53" t="n">
        <f aca="false">AL18+AL22+AL24</f>
        <v>116664.17125909</v>
      </c>
      <c r="AM26" s="53" t="n">
        <f aca="false">SUM(C26:AL26)</f>
        <v>1998015.774165</v>
      </c>
    </row>
    <row r="27" customFormat="false" ht="15" hidden="false" customHeight="false" outlineLevel="0" collapsed="false">
      <c r="A27" s="10" t="s">
        <v>748</v>
      </c>
      <c r="B27" s="9" t="s">
        <v>84</v>
      </c>
      <c r="C27" s="61" t="n">
        <f aca="false">C19+C23+C25</f>
        <v>6000.40089742459</v>
      </c>
      <c r="D27" s="61" t="n">
        <f aca="false">D19+D23+D25</f>
        <v>22634.9433448276</v>
      </c>
      <c r="E27" s="61" t="n">
        <f aca="false">E19+E23+E25</f>
        <v>21641.7539062069</v>
      </c>
      <c r="F27" s="61" t="n">
        <f aca="false">F19+F23+F25</f>
        <v>22314.0148355456</v>
      </c>
      <c r="G27" s="61" t="n">
        <f aca="false">G19+G23+G25</f>
        <v>22022.956000487</v>
      </c>
      <c r="H27" s="61" t="n">
        <f aca="false">H19+H23+H25</f>
        <v>21697.7082022232</v>
      </c>
      <c r="I27" s="61" t="n">
        <f aca="false">I19+I23+I25</f>
        <v>21399.2786187424</v>
      </c>
      <c r="J27" s="61" t="n">
        <f aca="false">J19+J23+J25</f>
        <v>21143.5887869128</v>
      </c>
      <c r="K27" s="61" t="n">
        <f aca="false">K19+K23+K25</f>
        <v>20932.9201290254</v>
      </c>
      <c r="L27" s="61" t="n">
        <f aca="false">L19+L23+L25</f>
        <v>20789.829124784</v>
      </c>
      <c r="M27" s="61" t="n">
        <f aca="false">M19+M23+M25</f>
        <v>21569.5724637049</v>
      </c>
      <c r="N27" s="61" t="n">
        <f aca="false">N19+N23+N25</f>
        <v>22421.7166041967</v>
      </c>
      <c r="O27" s="61" t="n">
        <f aca="false">O19+O23+O25</f>
        <v>23282.3675160051</v>
      </c>
      <c r="P27" s="61" t="n">
        <f aca="false">P19+P23+P25</f>
        <v>24152.4732493964</v>
      </c>
      <c r="Q27" s="61" t="n">
        <f aca="false">Q19+Q23+Q25</f>
        <v>25039.8277792603</v>
      </c>
      <c r="R27" s="61" t="n">
        <f aca="false">R19+R23+R25</f>
        <v>25951.4713202462</v>
      </c>
      <c r="S27" s="61" t="n">
        <f aca="false">S19+S23+S25</f>
        <v>26893.5733143154</v>
      </c>
      <c r="T27" s="61" t="n">
        <f aca="false">T19+T23+T25</f>
        <v>27871.7889755816</v>
      </c>
      <c r="U27" s="61" t="n">
        <f aca="false">U19+U23+U25</f>
        <v>28891.5391540471</v>
      </c>
      <c r="V27" s="61" t="n">
        <f aca="false">V19+V23+V25</f>
        <v>29958.2039769335</v>
      </c>
      <c r="W27" s="61" t="n">
        <f aca="false">W19+W23+W25</f>
        <v>31077.2604130936</v>
      </c>
      <c r="X27" s="61" t="n">
        <f aca="false">X19+X23+X25</f>
        <v>32254.384972304</v>
      </c>
      <c r="Y27" s="61" t="n">
        <f aca="false">Y19+Y23+Y25</f>
        <v>33495.5346926053</v>
      </c>
      <c r="Z27" s="61" t="n">
        <f aca="false">Z19+Z23+Z25</f>
        <v>34807.0146104755</v>
      </c>
      <c r="AA27" s="61" t="n">
        <f aca="false">AA19+AA23+AA25</f>
        <v>36195.5369511076</v>
      </c>
      <c r="AB27" s="61" t="n">
        <f aca="false">AB19+AB23+AB25</f>
        <v>37668.2754856202</v>
      </c>
      <c r="AC27" s="61" t="n">
        <f aca="false">AC19+AC23+AC25</f>
        <v>39196.8667505942</v>
      </c>
      <c r="AD27" s="61" t="n">
        <f aca="false">AD19+AD23+AD25</f>
        <v>40773.6937116768</v>
      </c>
      <c r="AE27" s="61" t="n">
        <f aca="false">AE19+AE23+AE25</f>
        <v>42414.4948447272</v>
      </c>
      <c r="AF27" s="61" t="n">
        <f aca="false">AF19+AF23+AF25</f>
        <v>44128.8670551235</v>
      </c>
      <c r="AG27" s="61" t="n">
        <f aca="false">AG19+AG23+AG25</f>
        <v>45926.1270168831</v>
      </c>
      <c r="AH27" s="61" t="n">
        <f aca="false">AH19+AH23+AH25</f>
        <v>47815.9336811755</v>
      </c>
      <c r="AI27" s="61" t="n">
        <f aca="false">AI19+AI23+AI25</f>
        <v>49808.4336259495</v>
      </c>
      <c r="AJ27" s="61" t="n">
        <f aca="false">AJ19+AJ23+AJ25</f>
        <v>51914.3318715429</v>
      </c>
      <c r="AK27" s="61" t="n">
        <f aca="false">AK19+AK23+AK25</f>
        <v>54144.9552124828</v>
      </c>
      <c r="AL27" s="61" t="n">
        <f aca="false">AL19+AL23+AL25</f>
        <v>56512.3163677749</v>
      </c>
      <c r="AM27" s="61" t="n">
        <f aca="false">SUM(C27:AL27)</f>
        <v>1134743.955463</v>
      </c>
    </row>
    <row r="28" customFormat="false" ht="15" hidden="false" customHeight="false" outlineLevel="0" collapsed="false">
      <c r="A28" s="10" t="s">
        <v>749</v>
      </c>
      <c r="B28" s="9" t="s">
        <v>97</v>
      </c>
      <c r="C28" s="63" t="n">
        <f aca="false">IFERROR(C26/C27,0)</f>
        <v>1.33324425096891</v>
      </c>
      <c r="D28" s="63" t="n">
        <f aca="false">IFERROR(D26/D27,0)</f>
        <v>1.32538436447447</v>
      </c>
      <c r="E28" s="63" t="n">
        <f aca="false">IFERROR(E26/E27,0)</f>
        <v>1.38620927536728</v>
      </c>
      <c r="F28" s="63" t="n">
        <f aca="false">IFERROR(F26/F27,0)</f>
        <v>1.34444653824514</v>
      </c>
      <c r="G28" s="63" t="n">
        <f aca="false">IFERROR(G26/G27,0)</f>
        <v>1.36221495422034</v>
      </c>
      <c r="H28" s="63" t="n">
        <f aca="false">IFERROR(H26/H27,0)</f>
        <v>1.382634503165</v>
      </c>
      <c r="I28" s="63" t="n">
        <f aca="false">IFERROR(I26/I27,0)</f>
        <v>1.40191641664616</v>
      </c>
      <c r="J28" s="63" t="n">
        <f aca="false">IFERROR(J26/J27,0)</f>
        <v>1.41886981923187</v>
      </c>
      <c r="K28" s="63" t="n">
        <f aca="false">IFERROR(K26/K27,0)</f>
        <v>1.43314930812745</v>
      </c>
      <c r="L28" s="63" t="n">
        <f aca="false">IFERROR(L26/L27,0)</f>
        <v>1.44553705172342</v>
      </c>
      <c r="M28" s="63" t="n">
        <f aca="false">IFERROR(M26/M27,0)</f>
        <v>1.48266756774175</v>
      </c>
      <c r="N28" s="63" t="n">
        <f aca="false">IFERROR(N26/N27,0)</f>
        <v>1.51600925672534</v>
      </c>
      <c r="O28" s="63" t="n">
        <f aca="false">IFERROR(O26/O27,0)</f>
        <v>1.54685262632864</v>
      </c>
      <c r="P28" s="63" t="n">
        <f aca="false">IFERROR(P26/P27,0)</f>
        <v>1.57555398986981</v>
      </c>
      <c r="Q28" s="63" t="n">
        <f aca="false">IFERROR(Q26/Q27,0)</f>
        <v>1.60249573794353</v>
      </c>
      <c r="R28" s="63" t="n">
        <f aca="false">IFERROR(R26/R27,0)</f>
        <v>1.62802469507963</v>
      </c>
      <c r="S28" s="63" t="n">
        <f aca="false">IFERROR(S26/S27,0)</f>
        <v>1.65244985250812</v>
      </c>
      <c r="T28" s="63" t="n">
        <f aca="false">IFERROR(T26/T27,0)</f>
        <v>1.67603967438129</v>
      </c>
      <c r="U28" s="63" t="n">
        <f aca="false">IFERROR(U26/U27,0)</f>
        <v>1.6990240732912</v>
      </c>
      <c r="V28" s="63" t="n">
        <f aca="false">IFERROR(V26/V27,0)</f>
        <v>1.7215985031645</v>
      </c>
      <c r="W28" s="63" t="n">
        <f aca="false">IFERROR(W26/W27,0)</f>
        <v>1.74392869233087</v>
      </c>
      <c r="X28" s="63" t="n">
        <f aca="false">IFERROR(X26/X27,0)</f>
        <v>1.76615526601668</v>
      </c>
      <c r="Y28" s="63" t="n">
        <f aca="false">IFERROR(Y26/Y27,0)</f>
        <v>1.78839792484092</v>
      </c>
      <c r="Z28" s="63" t="n">
        <f aca="false">IFERROR(Z26/Z27,0)</f>
        <v>1.81075906221608</v>
      </c>
      <c r="AA28" s="63" t="n">
        <f aca="false">IFERROR(AA26/AA27,0)</f>
        <v>1.83332681176123</v>
      </c>
      <c r="AB28" s="63" t="n">
        <f aca="false">IFERROR(AB26/AB27,0)</f>
        <v>1.85617756668596</v>
      </c>
      <c r="AC28" s="63" t="n">
        <f aca="false">IFERROR(AC26/AC27,0)</f>
        <v>1.87839867258965</v>
      </c>
      <c r="AD28" s="63" t="n">
        <f aca="false">IFERROR(AD26/AD27,0)</f>
        <v>1.89986819284603</v>
      </c>
      <c r="AE28" s="63" t="n">
        <f aca="false">IFERROR(AE26/AE27,0)</f>
        <v>1.92097318672044</v>
      </c>
      <c r="AF28" s="63" t="n">
        <f aca="false">IFERROR(AF26/AF27,0)</f>
        <v>1.94178708964971</v>
      </c>
      <c r="AG28" s="63" t="n">
        <f aca="false">IFERROR(AG26/AG27,0)</f>
        <v>1.96238845608163</v>
      </c>
      <c r="AH28" s="63" t="n">
        <f aca="false">IFERROR(AH26/AH27,0)</f>
        <v>1.98284739687457</v>
      </c>
      <c r="AI28" s="63" t="n">
        <f aca="false">IFERROR(AI26/AI27,0)</f>
        <v>2.00322615147521</v>
      </c>
      <c r="AJ28" s="63" t="n">
        <f aca="false">IFERROR(AJ26/AJ27,0)</f>
        <v>2.02357990848383</v>
      </c>
      <c r="AK28" s="63" t="n">
        <f aca="false">IFERROR(AK26/AK27,0)</f>
        <v>2.04395760118941</v>
      </c>
      <c r="AL28" s="63" t="n">
        <f aca="false">IFERROR(AL26/AL27,0)</f>
        <v>2.06440257199608</v>
      </c>
      <c r="AM28" s="63" t="n">
        <f aca="false">AVERAGE(N28:AL28)</f>
        <v>1.80552891844201</v>
      </c>
    </row>
    <row r="29" customFormat="false" ht="15" hidden="false" customHeight="false" outlineLevel="0" collapsed="false">
      <c r="A29" s="37" t="s">
        <v>750</v>
      </c>
      <c r="B29" s="9" t="s">
        <v>84</v>
      </c>
      <c r="C29" s="71" t="n">
        <f aca="false">C13+C15+C27</f>
        <v>8200.40089742459</v>
      </c>
      <c r="D29" s="71" t="n">
        <f aca="false">D13+D15+D27</f>
        <v>65721.9433448276</v>
      </c>
      <c r="E29" s="71" t="n">
        <f aca="false">E13+E15+E27</f>
        <v>43786.2939062069</v>
      </c>
      <c r="F29" s="71" t="n">
        <f aca="false">F13+F15+F27</f>
        <v>42234.3746355456</v>
      </c>
      <c r="G29" s="71" t="n">
        <f aca="false">G13+G15+G27</f>
        <v>40232.192342487</v>
      </c>
      <c r="H29" s="71" t="n">
        <f aca="false">H13+H15+H27</f>
        <v>38612.4063430032</v>
      </c>
      <c r="I29" s="71" t="n">
        <f aca="false">I13+I15+I27</f>
        <v>37359.3992145926</v>
      </c>
      <c r="J29" s="71" t="n">
        <f aca="false">J13+J15+J27</f>
        <v>36428.3951343095</v>
      </c>
      <c r="K29" s="71" t="n">
        <f aca="false">K13+K15+K27</f>
        <v>35773.7741660239</v>
      </c>
      <c r="L29" s="71" t="n">
        <f aca="false">L13+L15+L27</f>
        <v>35380.487319781</v>
      </c>
      <c r="M29" s="71" t="n">
        <f aca="false">M13+M15+M27</f>
        <v>36074.4869319868</v>
      </c>
      <c r="N29" s="71" t="n">
        <f aca="false">N13+N15+N27</f>
        <v>36982.746203212</v>
      </c>
      <c r="O29" s="71" t="n">
        <f aca="false">O13+O15+O27</f>
        <v>38024.2232418022</v>
      </c>
      <c r="P29" s="71" t="n">
        <f aca="false">P13+P15+P27</f>
        <v>39187.1579608116</v>
      </c>
      <c r="Q29" s="71" t="n">
        <f aca="false">Q13+Q15+Q27</f>
        <v>40470.2788909399</v>
      </c>
      <c r="R29" s="71" t="n">
        <f aca="false">R13+R15+R27</f>
        <v>41874.5740529666</v>
      </c>
      <c r="S29" s="71" t="n">
        <f aca="false">S13+S15+S27</f>
        <v>43402.6793097723</v>
      </c>
      <c r="T29" s="71" t="n">
        <f aca="false">T13+T15+T27</f>
        <v>45058.8489240631</v>
      </c>
      <c r="U29" s="71" t="n">
        <f aca="false">U13+U15+U27</f>
        <v>46848.9372286386</v>
      </c>
      <c r="V29" s="71" t="n">
        <f aca="false">V13+V15+V27</f>
        <v>48780.3652628356</v>
      </c>
      <c r="W29" s="71" t="n">
        <f aca="false">W13+W15+W27</f>
        <v>50862.0893224048</v>
      </c>
      <c r="X29" s="71" t="n">
        <f aca="false">X13+X15+X27</f>
        <v>53104.5821695955</v>
      </c>
      <c r="Y29" s="71" t="n">
        <f aca="false">Y13+Y15+Y27</f>
        <v>55519.8317865669</v>
      </c>
      <c r="Z29" s="71" t="n">
        <f aca="false">Z13+Z15+Z27</f>
        <v>58121.3593620247</v>
      </c>
      <c r="AA29" s="71" t="n">
        <f aca="false">AA13+AA15+AA27</f>
        <v>60924.2566656011</v>
      </c>
      <c r="AB29" s="71" t="n">
        <f aca="false">AB13+AB15+AB27</f>
        <v>63945.242322662</v>
      </c>
      <c r="AC29" s="71" t="n">
        <f aca="false">AC13+AC15+AC27</f>
        <v>67166.6856815649</v>
      </c>
      <c r="AD29" s="71" t="n">
        <f aca="false">AD13+AD15+AD27</f>
        <v>70592.931609311</v>
      </c>
      <c r="AE29" s="71" t="n">
        <f aca="false">AE13+AE15+AE27</f>
        <v>74252.9675634493</v>
      </c>
      <c r="AF29" s="71" t="n">
        <f aca="false">AF13+AF15+AF27</f>
        <v>78171.0002467713</v>
      </c>
      <c r="AG29" s="71" t="n">
        <f aca="false">AG13+AG15+AG27</f>
        <v>82372.4057383717</v>
      </c>
      <c r="AH29" s="71" t="n">
        <f aca="false">AH13+AH15+AH27</f>
        <v>86884.4555216721</v>
      </c>
      <c r="AI29" s="71" t="n">
        <f aca="false">AI13+AI15+AI27</f>
        <v>91736.5800593501</v>
      </c>
      <c r="AJ29" s="71" t="n">
        <f aca="false">AJ13+AJ15+AJ27</f>
        <v>96960.5727857569</v>
      </c>
      <c r="AK29" s="71" t="n">
        <f aca="false">AK13+AK15+AK27</f>
        <v>102590.802050422</v>
      </c>
      <c r="AL29" s="71" t="n">
        <f aca="false">AL13+AL15+AL27</f>
        <v>108664.440014285</v>
      </c>
      <c r="AM29" s="71" t="n">
        <f aca="false">SUM(C29:AL29)</f>
        <v>2002304.16821104</v>
      </c>
    </row>
    <row r="30" customFormat="false" ht="15" hidden="false" customHeight="false" outlineLevel="0" collapsed="false">
      <c r="A30" s="10" t="s">
        <v>751</v>
      </c>
      <c r="B30" s="9" t="s">
        <v>51</v>
      </c>
      <c r="C30" s="61" t="n">
        <f aca="false">C8*Assumptions!$H$47*Assumptions!$H$48^C10</f>
        <v>0</v>
      </c>
      <c r="D30" s="61" t="n">
        <f aca="false">D8*Assumptions!$H$47*Assumptions!$H$48^D10</f>
        <v>1500</v>
      </c>
      <c r="E30" s="61" t="n">
        <f aca="false">E8*Assumptions!$H$47*Assumptions!$H$48^E10</f>
        <v>2025</v>
      </c>
      <c r="F30" s="61" t="n">
        <f aca="false">F8*Assumptions!$H$47*Assumptions!$H$48^F10</f>
        <v>2733.75</v>
      </c>
      <c r="G30" s="61" t="n">
        <f aca="false">G8*Assumptions!$H$47*Assumptions!$H$48^G10</f>
        <v>3690.5625</v>
      </c>
      <c r="H30" s="61" t="n">
        <f aca="false">H8*Assumptions!$H$47*Assumptions!$H$48^H10</f>
        <v>4982.259375</v>
      </c>
      <c r="I30" s="61" t="n">
        <f aca="false">I8*Assumptions!$H$47*Assumptions!$H$48^I10</f>
        <v>6726.05015625</v>
      </c>
      <c r="J30" s="61" t="n">
        <f aca="false">J8*Assumptions!$H$47*Assumptions!$H$48^J10</f>
        <v>9080.1677109375</v>
      </c>
      <c r="K30" s="61" t="n">
        <f aca="false">K8*Assumptions!$H$47*Assumptions!$H$48^K10</f>
        <v>12258.2264097656</v>
      </c>
      <c r="L30" s="61" t="n">
        <f aca="false">L8*Assumptions!$H$47*Assumptions!$H$48^L10</f>
        <v>16548.6056531836</v>
      </c>
      <c r="M30" s="61" t="n">
        <f aca="false">M8*Assumptions!$H$47*Assumptions!$H$48^M10</f>
        <v>22340.6176317979</v>
      </c>
      <c r="N30" s="61" t="n">
        <f aca="false">N8*Assumptions!$H$47*Assumptions!$H$48^N10</f>
        <v>30159.8338029271</v>
      </c>
      <c r="O30" s="61" t="n">
        <f aca="false">O8*Assumptions!$H$47*Assumptions!$H$48^O10</f>
        <v>40715.7756339516</v>
      </c>
      <c r="P30" s="61" t="n">
        <f aca="false">P8*Assumptions!$H$47*Assumptions!$H$48^P10</f>
        <v>54966.2971058347</v>
      </c>
      <c r="Q30" s="61" t="n">
        <f aca="false">Q8*Assumptions!$H$47*Assumptions!$H$48^Q10</f>
        <v>74204.5010928768</v>
      </c>
      <c r="R30" s="61" t="n">
        <f aca="false">R8*Assumptions!$H$47*Assumptions!$H$48^R10</f>
        <v>100176.076475384</v>
      </c>
      <c r="S30" s="61" t="n">
        <f aca="false">S8*Assumptions!$H$47*Assumptions!$H$48^S10</f>
        <v>135237.703241768</v>
      </c>
      <c r="T30" s="61" t="n">
        <f aca="false">T8*Assumptions!$H$47*Assumptions!$H$48^T10</f>
        <v>182570.899376387</v>
      </c>
      <c r="U30" s="61" t="n">
        <f aca="false">U8*Assumptions!$H$47*Assumptions!$H$48^U10</f>
        <v>246470.714158122</v>
      </c>
      <c r="V30" s="61" t="n">
        <f aca="false">V8*Assumptions!$H$47*Assumptions!$H$48^V10</f>
        <v>332735.464113465</v>
      </c>
      <c r="W30" s="61" t="n">
        <f aca="false">W8*Assumptions!$H$47*Assumptions!$H$48^W10</f>
        <v>449192.876553178</v>
      </c>
      <c r="X30" s="61" t="n">
        <f aca="false">X8*Assumptions!$H$47*Assumptions!$H$48^X10</f>
        <v>606410.38334679</v>
      </c>
      <c r="Y30" s="61" t="n">
        <f aca="false">Y8*Assumptions!$H$47*Assumptions!$H$48^Y10</f>
        <v>818654.017518167</v>
      </c>
      <c r="Z30" s="61" t="n">
        <f aca="false">Z8*Assumptions!$H$47*Assumptions!$H$48^Z10</f>
        <v>1105182.92364953</v>
      </c>
      <c r="AA30" s="61" t="n">
        <f aca="false">AA8*Assumptions!$H$47*Assumptions!$H$48^AA10</f>
        <v>1491996.94692686</v>
      </c>
      <c r="AB30" s="61" t="n">
        <f aca="false">AB8*Assumptions!$H$47*Assumptions!$H$48^AB10</f>
        <v>2014195.87835126</v>
      </c>
      <c r="AC30" s="61" t="n">
        <f aca="false">AC8*Assumptions!$H$47*Assumptions!$H$48^AC10</f>
        <v>2719164.4357742</v>
      </c>
      <c r="AD30" s="61" t="n">
        <f aca="false">AD8*Assumptions!$H$47*Assumptions!$H$48^AD10</f>
        <v>3670871.98829517</v>
      </c>
      <c r="AE30" s="61" t="n">
        <f aca="false">AE8*Assumptions!$H$47*Assumptions!$H$48^AE10</f>
        <v>4955677.18419848</v>
      </c>
      <c r="AF30" s="61" t="n">
        <f aca="false">AF8*Assumptions!$H$47*Assumptions!$H$48^AF10</f>
        <v>6690164.19866795</v>
      </c>
      <c r="AG30" s="61" t="n">
        <f aca="false">AG8*Assumptions!$H$47*Assumptions!$H$48^AG10</f>
        <v>9031721.66820174</v>
      </c>
      <c r="AH30" s="61" t="n">
        <f aca="false">AH8*Assumptions!$H$47*Assumptions!$H$48^AH10</f>
        <v>12192824.2520723</v>
      </c>
      <c r="AI30" s="61" t="n">
        <f aca="false">AI8*Assumptions!$H$47*Assumptions!$H$48^AI10</f>
        <v>16460312.7402977</v>
      </c>
      <c r="AJ30" s="61" t="n">
        <f aca="false">AJ8*Assumptions!$H$47*Assumptions!$H$48^AJ10</f>
        <v>22221422.1994018</v>
      </c>
      <c r="AK30" s="61" t="n">
        <f aca="false">AK8*Assumptions!$H$47*Assumptions!$H$48^AK10</f>
        <v>29998919.9691925</v>
      </c>
      <c r="AL30" s="61" t="n">
        <f aca="false">AL8*Assumptions!$H$47*Assumptions!$H$48^AL10</f>
        <v>40498541.9584099</v>
      </c>
      <c r="AM30" s="61" t="n">
        <f aca="false">AL30</f>
        <v>40498541.9584099</v>
      </c>
    </row>
    <row r="31" customFormat="false" ht="15" hidden="false" customHeight="false" outlineLevel="0" collapsed="false">
      <c r="A31" s="10" t="s">
        <v>752</v>
      </c>
      <c r="B31" s="9" t="s">
        <v>51</v>
      </c>
      <c r="C31" s="61" t="n">
        <f aca="false">Assumptions!$H$49*C8*(C15+C13*Assumptions!$H$44+C19*Assumptions!$H$31*Assumptions!$H$32+C23*Assumptions!$H$38*Assumptions!$H$39+C25*Assumptions!$H$43)</f>
        <v>0</v>
      </c>
      <c r="D31" s="61" t="n">
        <f aca="false">Assumptions!$H$49*D8*(D15+D13*Assumptions!$H$44+D19*Assumptions!$H$31*Assumptions!$H$32+D23*Assumptions!$H$38*Assumptions!$H$39+D25*Assumptions!$H$43)</f>
        <v>904.692396668966</v>
      </c>
      <c r="E31" s="61" t="n">
        <f aca="false">Assumptions!$H$49*E8*(E15+E13*Assumptions!$H$44+E19*Assumptions!$H$31*Assumptions!$H$32+E23*Assumptions!$H$38*Assumptions!$H$39+E25*Assumptions!$H$43)</f>
        <v>514.044063101241</v>
      </c>
      <c r="F31" s="61" t="n">
        <f aca="false">Assumptions!$H$49*F8*(F15+F13*Assumptions!$H$44+F19*Assumptions!$H$31*Assumptions!$H$32+F23*Assumptions!$H$38*Assumptions!$H$39+F25*Assumptions!$H$43)</f>
        <v>492.658105204803</v>
      </c>
      <c r="G31" s="61" t="n">
        <f aca="false">Assumptions!$H$49*G8*(G15+G13*Assumptions!$H$44+G19*Assumptions!$H$31*Assumptions!$H$32+G23*Assumptions!$H$38*Assumptions!$H$39+G25*Assumptions!$H$43)</f>
        <v>462.689266906998</v>
      </c>
      <c r="H31" s="61" t="n">
        <f aca="false">Assumptions!$H$49*H8*(H15+H13*Assumptions!$H$44+H19*Assumptions!$H$31*Assumptions!$H$32+H23*Assumptions!$H$38*Assumptions!$H$39+H25*Assumptions!$H$43)</f>
        <v>438.96220394889</v>
      </c>
      <c r="I31" s="61" t="n">
        <f aca="false">Assumptions!$H$49*I8*(I15+I13*Assumptions!$H$44+I19*Assumptions!$H$31*Assumptions!$H$32+I23*Assumptions!$H$38*Assumptions!$H$39+I25*Assumptions!$H$43)</f>
        <v>420.429650752706</v>
      </c>
      <c r="J31" s="61" t="n">
        <f aca="false">Assumptions!$H$49*J8*(J15+J13*Assumptions!$H$44+J19*Assumptions!$H$31*Assumptions!$H$32+J23*Assumptions!$H$38*Assumptions!$H$39+J25*Assumptions!$H$43)</f>
        <v>406.306017121936</v>
      </c>
      <c r="K31" s="61" t="n">
        <f aca="false">Assumptions!$H$49*K8*(K15+K13*Assumptions!$H$44+K19*Assumptions!$H$31*Assumptions!$H$32+K23*Assumptions!$H$38*Assumptions!$H$39+K25*Assumptions!$H$43)</f>
        <v>395.88268192113</v>
      </c>
      <c r="L31" s="61" t="n">
        <f aca="false">Assumptions!$H$49*L8*(L15+L13*Assumptions!$H$44+L19*Assumptions!$H$31*Assumptions!$H$32+L23*Assumptions!$H$38*Assumptions!$H$39+L25*Assumptions!$H$43)</f>
        <v>388.812704185628</v>
      </c>
      <c r="M31" s="61" t="n">
        <f aca="false">Assumptions!$H$49*M8*(M15+M13*Assumptions!$H$44+M19*Assumptions!$H$31*Assumptions!$H$32+M23*Assumptions!$H$38*Assumptions!$H$39+M25*Assumptions!$H$43)</f>
        <v>393.186756059034</v>
      </c>
      <c r="N31" s="61" t="n">
        <f aca="false">Assumptions!$H$49*N8*(N15+N13*Assumptions!$H$44+N19*Assumptions!$H$31*Assumptions!$H$32+N23*Assumptions!$H$38*Assumptions!$H$39+N25*Assumptions!$H$43)</f>
        <v>399.678708180461</v>
      </c>
      <c r="O31" s="61" t="n">
        <f aca="false">Assumptions!$H$49*O8*(O15+O13*Assumptions!$H$44+O19*Assumptions!$H$31*Assumptions!$H$32+O23*Assumptions!$H$38*Assumptions!$H$39+O25*Assumptions!$H$43)</f>
        <v>407.845161603701</v>
      </c>
      <c r="P31" s="61" t="n">
        <f aca="false">Assumptions!$H$49*P8*(P15+P13*Assumptions!$H$44+P19*Assumptions!$H$31*Assumptions!$H$32+P23*Assumptions!$H$38*Assumptions!$H$39+P25*Assumptions!$H$43)</f>
        <v>417.522709256762</v>
      </c>
      <c r="Q31" s="61" t="n">
        <f aca="false">Assumptions!$H$49*Q8*(Q15+Q13*Assumptions!$H$44+Q19*Assumptions!$H$31*Assumptions!$H$32+Q23*Assumptions!$H$38*Assumptions!$H$39+Q25*Assumptions!$H$43)</f>
        <v>428.632949964175</v>
      </c>
      <c r="R31" s="61" t="n">
        <f aca="false">Assumptions!$H$49*R8*(R15+R13*Assumptions!$H$44+R19*Assumptions!$H$31*Assumptions!$H$32+R23*Assumptions!$H$38*Assumptions!$H$39+R25*Assumptions!$H$43)</f>
        <v>441.128901879452</v>
      </c>
      <c r="S31" s="61" t="n">
        <f aca="false">Assumptions!$H$49*S8*(S15+S13*Assumptions!$H$44+S19*Assumptions!$H$31*Assumptions!$H$32+S23*Assumptions!$H$38*Assumptions!$H$39+S25*Assumptions!$H$43)</f>
        <v>454.990507995448</v>
      </c>
      <c r="T31" s="61" t="n">
        <f aca="false">Assumptions!$H$49*T8*(T15+T13*Assumptions!$H$44+T19*Assumptions!$H$31*Assumptions!$H$32+T23*Assumptions!$H$38*Assumptions!$H$39+T25*Assumptions!$H$43)</f>
        <v>470.222356218307</v>
      </c>
      <c r="U31" s="61" t="n">
        <f aca="false">Assumptions!$H$49*U8*(U15+U13*Assumptions!$H$44+U19*Assumptions!$H$31*Assumptions!$H$32+U23*Assumptions!$H$38*Assumptions!$H$39+U25*Assumptions!$H$43)</f>
        <v>486.851656168249</v>
      </c>
      <c r="V31" s="61" t="n">
        <f aca="false">Assumptions!$H$49*V8*(V15+V13*Assumptions!$H$44+V19*Assumptions!$H$31*Assumptions!$H$32+V23*Assumptions!$H$38*Assumptions!$H$39+V25*Assumptions!$H$43)</f>
        <v>504.92643231079</v>
      </c>
      <c r="W31" s="61" t="n">
        <f aca="false">Assumptions!$H$49*W8*(W15+W13*Assumptions!$H$44+W19*Assumptions!$H$31*Assumptions!$H$32+W23*Assumptions!$H$38*Assumptions!$H$39+W25*Assumptions!$H$43)</f>
        <v>524.514042855892</v>
      </c>
      <c r="X31" s="61" t="n">
        <f aca="false">Assumptions!$H$49*X8*(X15+X13*Assumptions!$H$44+X19*Assumptions!$H$31*Assumptions!$H$32+X23*Assumptions!$H$38*Assumptions!$H$39+X25*Assumptions!$H$43)</f>
        <v>545.700063051997</v>
      </c>
      <c r="Y31" s="61" t="n">
        <f aca="false">Assumptions!$H$49*Y8*(Y15+Y13*Assumptions!$H$44+Y19*Assumptions!$H$31*Assumptions!$H$32+Y23*Assumptions!$H$38*Assumptions!$H$39+Y25*Assumptions!$H$43)</f>
        <v>568.587528193329</v>
      </c>
      <c r="Z31" s="61" t="n">
        <f aca="false">Assumptions!$H$49*Z8*(Z15+Z13*Assumptions!$H$44+Z19*Assumptions!$H$31*Assumptions!$H$32+Z23*Assumptions!$H$38*Assumptions!$H$39+Z25*Assumptions!$H$43)</f>
        <v>593.296512487111</v>
      </c>
      <c r="AA31" s="61" t="n">
        <f aca="false">Assumptions!$H$49*AA8*(AA15+AA13*Assumptions!$H$44+AA19*Assumptions!$H$31*Assumptions!$H$32+AA23*Assumptions!$H$38*Assumptions!$H$39+AA25*Assumptions!$H$43)</f>
        <v>619.96401395955</v>
      </c>
      <c r="AB31" s="61" t="n">
        <f aca="false">Assumptions!$H$49*AB8*(AB15+AB13*Assumptions!$H$44+AB19*Assumptions!$H$31*Assumptions!$H$32+AB23*Assumptions!$H$38*Assumptions!$H$39+AB25*Assumptions!$H$43)</f>
        <v>648.74411611071</v>
      </c>
      <c r="AC31" s="61" t="n">
        <f aca="false">Assumptions!$H$49*AC8*(AC15+AC13*Assumptions!$H$44+AC19*Assumptions!$H$31*Assumptions!$H$32+AC23*Assumptions!$H$38*Assumptions!$H$39+AC25*Assumptions!$H$43)</f>
        <v>679.447894060694</v>
      </c>
      <c r="AD31" s="61" t="n">
        <f aca="false">Assumptions!$H$49*AD8*(AD15+AD13*Assumptions!$H$44+AD19*Assumptions!$H$31*Assumptions!$H$32+AD23*Assumptions!$H$38*Assumptions!$H$39+AD25*Assumptions!$H$43)</f>
        <v>712.126211230443</v>
      </c>
      <c r="AE31" s="61" t="n">
        <f aca="false">Assumptions!$H$49*AE8*(AE15+AE13*Assumptions!$H$44+AE19*Assumptions!$H$31*Assumptions!$H$32+AE23*Assumptions!$H$38*Assumptions!$H$39+AE25*Assumptions!$H$43)</f>
        <v>747.06522429569</v>
      </c>
      <c r="AF31" s="61" t="n">
        <f aca="false">Assumptions!$H$49*AF8*(AF15+AF13*Assumptions!$H$44+AF19*Assumptions!$H$31*Assumptions!$H$32+AF23*Assumptions!$H$38*Assumptions!$H$39+AF25*Assumptions!$H$43)</f>
        <v>784.490536839124</v>
      </c>
      <c r="AG31" s="61" t="n">
        <f aca="false">Assumptions!$H$49*AG8*(AG15+AG13*Assumptions!$H$44+AG19*Assumptions!$H$31*Assumptions!$H$32+AG23*Assumptions!$H$38*Assumptions!$H$39+AG25*Assumptions!$H$43)</f>
        <v>824.642770726176</v>
      </c>
      <c r="AH31" s="61" t="n">
        <f aca="false">Assumptions!$H$49*AH8*(AH15+AH13*Assumptions!$H$44+AH19*Assumptions!$H$31*Assumptions!$H$32+AH23*Assumptions!$H$38*Assumptions!$H$39+AH25*Assumptions!$H$43)</f>
        <v>867.781467985482</v>
      </c>
      <c r="AI31" s="61" t="n">
        <f aca="false">Assumptions!$H$49*AI8*(AI15+AI13*Assumptions!$H$44+AI19*Assumptions!$H$31*Assumptions!$H$32+AI23*Assumptions!$H$38*Assumptions!$H$39+AI25*Assumptions!$H$43)</f>
        <v>914.187263368001</v>
      </c>
      <c r="AJ31" s="61" t="n">
        <f aca="false">Assumptions!$H$49*AJ8*(AJ15+AJ13*Assumptions!$H$44+AJ19*Assumptions!$H$31*Assumptions!$H$32+AJ23*Assumptions!$H$38*Assumptions!$H$39+AJ25*Assumptions!$H$43)</f>
        <v>964.163733423428</v>
      </c>
      <c r="AK31" s="61" t="n">
        <f aca="false">Assumptions!$H$49*AK8*(AK15+AK13*Assumptions!$H$44+AK19*Assumptions!$H$31*Assumptions!$H$32+AK23*Assumptions!$H$38*Assumptions!$H$39+AK25*Assumptions!$H$43)</f>
        <v>1018.03937272206</v>
      </c>
      <c r="AL31" s="61" t="n">
        <f aca="false">Assumptions!$H$49*AL8*(AL15+AL13*Assumptions!$H$44+AL19*Assumptions!$H$31*Assumptions!$H$32+AL23*Assumptions!$H$38*Assumptions!$H$39+AL25*Assumptions!$H$43)</f>
        <v>1076.16974763415</v>
      </c>
      <c r="AM31" s="61" t="n">
        <f aca="false">SUM(C31:AL31)</f>
        <v>20918.3837283925</v>
      </c>
    </row>
    <row r="32" customFormat="false" ht="15" hidden="false" customHeight="false" outlineLevel="0" collapsed="false">
      <c r="A32" s="37" t="s">
        <v>753</v>
      </c>
      <c r="B32" s="9" t="s">
        <v>51</v>
      </c>
      <c r="C32" s="71" t="n">
        <f aca="false">MIN(C31,C30)</f>
        <v>0</v>
      </c>
      <c r="D32" s="71" t="n">
        <f aca="false">MIN(D31,D30)</f>
        <v>904.692396668966</v>
      </c>
      <c r="E32" s="71" t="n">
        <f aca="false">MIN(E31,E30)</f>
        <v>514.044063101241</v>
      </c>
      <c r="F32" s="71" t="n">
        <f aca="false">MIN(F31,F30)</f>
        <v>492.658105204803</v>
      </c>
      <c r="G32" s="71" t="n">
        <f aca="false">MIN(G31,G30)</f>
        <v>462.689266906998</v>
      </c>
      <c r="H32" s="71" t="n">
        <f aca="false">MIN(H31,H30)</f>
        <v>438.96220394889</v>
      </c>
      <c r="I32" s="71" t="n">
        <f aca="false">MIN(I31,I30)</f>
        <v>420.429650752706</v>
      </c>
      <c r="J32" s="71" t="n">
        <f aca="false">MIN(J31,J30)</f>
        <v>406.306017121936</v>
      </c>
      <c r="K32" s="71" t="n">
        <f aca="false">MIN(K31,K30)</f>
        <v>395.88268192113</v>
      </c>
      <c r="L32" s="71" t="n">
        <f aca="false">MIN(L31,L30)</f>
        <v>388.812704185628</v>
      </c>
      <c r="M32" s="71" t="n">
        <f aca="false">MIN(M31,M30)</f>
        <v>393.186756059034</v>
      </c>
      <c r="N32" s="71" t="n">
        <f aca="false">MIN(N31,N30)</f>
        <v>399.678708180461</v>
      </c>
      <c r="O32" s="71" t="n">
        <f aca="false">MIN(O31,O30)</f>
        <v>407.845161603701</v>
      </c>
      <c r="P32" s="71" t="n">
        <f aca="false">MIN(P31,P30)</f>
        <v>417.522709256762</v>
      </c>
      <c r="Q32" s="71" t="n">
        <f aca="false">MIN(Q31,Q30)</f>
        <v>428.632949964175</v>
      </c>
      <c r="R32" s="71" t="n">
        <f aca="false">MIN(R31,R30)</f>
        <v>441.128901879452</v>
      </c>
      <c r="S32" s="71" t="n">
        <f aca="false">MIN(S31,S30)</f>
        <v>454.990507995448</v>
      </c>
      <c r="T32" s="71" t="n">
        <f aca="false">MIN(T31,T30)</f>
        <v>470.222356218307</v>
      </c>
      <c r="U32" s="71" t="n">
        <f aca="false">MIN(U31,U30)</f>
        <v>486.851656168249</v>
      </c>
      <c r="V32" s="71" t="n">
        <f aca="false">MIN(V31,V30)</f>
        <v>504.92643231079</v>
      </c>
      <c r="W32" s="71" t="n">
        <f aca="false">MIN(W31,W30)</f>
        <v>524.514042855892</v>
      </c>
      <c r="X32" s="71" t="n">
        <f aca="false">MIN(X31,X30)</f>
        <v>545.700063051997</v>
      </c>
      <c r="Y32" s="71" t="n">
        <f aca="false">MIN(Y31,Y30)</f>
        <v>568.587528193329</v>
      </c>
      <c r="Z32" s="71" t="n">
        <f aca="false">MIN(Z31,Z30)</f>
        <v>593.296512487111</v>
      </c>
      <c r="AA32" s="71" t="n">
        <f aca="false">MIN(AA31,AA30)</f>
        <v>619.96401395955</v>
      </c>
      <c r="AB32" s="71" t="n">
        <f aca="false">MIN(AB31,AB30)</f>
        <v>648.74411611071</v>
      </c>
      <c r="AC32" s="71" t="n">
        <f aca="false">MIN(AC31,AC30)</f>
        <v>679.447894060694</v>
      </c>
      <c r="AD32" s="71" t="n">
        <f aca="false">MIN(AD31,AD30)</f>
        <v>712.126211230443</v>
      </c>
      <c r="AE32" s="71" t="n">
        <f aca="false">MIN(AE31,AE30)</f>
        <v>747.06522429569</v>
      </c>
      <c r="AF32" s="71" t="n">
        <f aca="false">MIN(AF31,AF30)</f>
        <v>784.490536839124</v>
      </c>
      <c r="AG32" s="71" t="n">
        <f aca="false">MIN(AG31,AG30)</f>
        <v>824.642770726176</v>
      </c>
      <c r="AH32" s="71" t="n">
        <f aca="false">MIN(AH31,AH30)</f>
        <v>867.781467985482</v>
      </c>
      <c r="AI32" s="71" t="n">
        <f aca="false">MIN(AI31,AI30)</f>
        <v>914.187263368001</v>
      </c>
      <c r="AJ32" s="71" t="n">
        <f aca="false">MIN(AJ31,AJ30)</f>
        <v>964.163733423428</v>
      </c>
      <c r="AK32" s="71" t="n">
        <f aca="false">MIN(AK31,AK30)</f>
        <v>1018.03937272206</v>
      </c>
      <c r="AL32" s="71" t="n">
        <f aca="false">MIN(AL31,AL30)</f>
        <v>1076.16974763415</v>
      </c>
      <c r="AM32" s="71" t="n">
        <f aca="false">SUM(C32:AL32)</f>
        <v>20918.3837283925</v>
      </c>
    </row>
    <row r="33" customFormat="false" ht="15" hidden="false" customHeight="false" outlineLevel="0" collapsed="false">
      <c r="A33" s="10" t="s">
        <v>754</v>
      </c>
      <c r="B33" s="9" t="s">
        <v>51</v>
      </c>
      <c r="C33" s="61" t="n">
        <f aca="false">MAX(0,C31-C30)</f>
        <v>0</v>
      </c>
      <c r="D33" s="61" t="n">
        <f aca="false">MAX(0,D31-D30)</f>
        <v>0</v>
      </c>
      <c r="E33" s="61" t="n">
        <f aca="false">MAX(0,E31-E30)</f>
        <v>0</v>
      </c>
      <c r="F33" s="61" t="n">
        <f aca="false">MAX(0,F31-F30)</f>
        <v>0</v>
      </c>
      <c r="G33" s="61" t="n">
        <f aca="false">MAX(0,G31-G30)</f>
        <v>0</v>
      </c>
      <c r="H33" s="61" t="n">
        <f aca="false">MAX(0,H31-H30)</f>
        <v>0</v>
      </c>
      <c r="I33" s="61" t="n">
        <f aca="false">MAX(0,I31-I30)</f>
        <v>0</v>
      </c>
      <c r="J33" s="61" t="n">
        <f aca="false">MAX(0,J31-J30)</f>
        <v>0</v>
      </c>
      <c r="K33" s="61" t="n">
        <f aca="false">MAX(0,K31-K30)</f>
        <v>0</v>
      </c>
      <c r="L33" s="61" t="n">
        <f aca="false">MAX(0,L31-L30)</f>
        <v>0</v>
      </c>
      <c r="M33" s="61" t="n">
        <f aca="false">MAX(0,M31-M30)</f>
        <v>0</v>
      </c>
      <c r="N33" s="61" t="n">
        <f aca="false">MAX(0,N31-N30)</f>
        <v>0</v>
      </c>
      <c r="O33" s="61" t="n">
        <f aca="false">MAX(0,O31-O30)</f>
        <v>0</v>
      </c>
      <c r="P33" s="61" t="n">
        <f aca="false">MAX(0,P31-P30)</f>
        <v>0</v>
      </c>
      <c r="Q33" s="61" t="n">
        <f aca="false">MAX(0,Q31-Q30)</f>
        <v>0</v>
      </c>
      <c r="R33" s="61" t="n">
        <f aca="false">MAX(0,R31-R30)</f>
        <v>0</v>
      </c>
      <c r="S33" s="61" t="n">
        <f aca="false">MAX(0,S31-S30)</f>
        <v>0</v>
      </c>
      <c r="T33" s="61" t="n">
        <f aca="false">MAX(0,T31-T30)</f>
        <v>0</v>
      </c>
      <c r="U33" s="61" t="n">
        <f aca="false">MAX(0,U31-U30)</f>
        <v>0</v>
      </c>
      <c r="V33" s="61" t="n">
        <f aca="false">MAX(0,V31-V30)</f>
        <v>0</v>
      </c>
      <c r="W33" s="61" t="n">
        <f aca="false">MAX(0,W31-W30)</f>
        <v>0</v>
      </c>
      <c r="X33" s="61" t="n">
        <f aca="false">MAX(0,X31-X30)</f>
        <v>0</v>
      </c>
      <c r="Y33" s="61" t="n">
        <f aca="false">MAX(0,Y31-Y30)</f>
        <v>0</v>
      </c>
      <c r="Z33" s="61" t="n">
        <f aca="false">MAX(0,Z31-Z30)</f>
        <v>0</v>
      </c>
      <c r="AA33" s="61" t="n">
        <f aca="false">MAX(0,AA31-AA30)</f>
        <v>0</v>
      </c>
      <c r="AB33" s="61" t="n">
        <f aca="false">MAX(0,AB31-AB30)</f>
        <v>0</v>
      </c>
      <c r="AC33" s="61" t="n">
        <f aca="false">MAX(0,AC31-AC30)</f>
        <v>0</v>
      </c>
      <c r="AD33" s="61" t="n">
        <f aca="false">MAX(0,AD31-AD30)</f>
        <v>0</v>
      </c>
      <c r="AE33" s="61" t="n">
        <f aca="false">MAX(0,AE31-AE30)</f>
        <v>0</v>
      </c>
      <c r="AF33" s="61" t="n">
        <f aca="false">MAX(0,AF31-AF30)</f>
        <v>0</v>
      </c>
      <c r="AG33" s="61" t="n">
        <f aca="false">MAX(0,AG31-AG30)</f>
        <v>0</v>
      </c>
      <c r="AH33" s="61" t="n">
        <f aca="false">MAX(0,AH31-AH30)</f>
        <v>0</v>
      </c>
      <c r="AI33" s="61" t="n">
        <f aca="false">MAX(0,AI31-AI30)</f>
        <v>0</v>
      </c>
      <c r="AJ33" s="61" t="n">
        <f aca="false">MAX(0,AJ31-AJ30)</f>
        <v>0</v>
      </c>
      <c r="AK33" s="61" t="n">
        <f aca="false">MAX(0,AK31-AK30)</f>
        <v>0</v>
      </c>
      <c r="AL33" s="61" t="n">
        <f aca="false">MAX(0,AL31-AL30)</f>
        <v>0</v>
      </c>
      <c r="AM33" s="61" t="n">
        <f aca="false">SUM(C33:AL33)</f>
        <v>0</v>
      </c>
    </row>
    <row r="34" customFormat="false" ht="15" hidden="false" customHeight="false" outlineLevel="0" collapsed="false">
      <c r="A34" s="10" t="s">
        <v>755</v>
      </c>
      <c r="B34" s="9" t="s">
        <v>51</v>
      </c>
      <c r="C34" s="61" t="n">
        <f aca="false">C32*Assumptions!$H$51</f>
        <v>0</v>
      </c>
      <c r="D34" s="61" t="n">
        <f aca="false">D32*Assumptions!$H$51</f>
        <v>361.876958667586</v>
      </c>
      <c r="E34" s="61" t="n">
        <f aca="false">E32*Assumptions!$H$51</f>
        <v>205.617625240497</v>
      </c>
      <c r="F34" s="61" t="n">
        <f aca="false">F32*Assumptions!$H$51</f>
        <v>197.063242081921</v>
      </c>
      <c r="G34" s="61" t="n">
        <f aca="false">G32*Assumptions!$H$51</f>
        <v>185.075706762799</v>
      </c>
      <c r="H34" s="61" t="n">
        <f aca="false">H32*Assumptions!$H$51</f>
        <v>175.584881579556</v>
      </c>
      <c r="I34" s="61" t="n">
        <f aca="false">I32*Assumptions!$H$51</f>
        <v>168.171860301083</v>
      </c>
      <c r="J34" s="61" t="n">
        <f aca="false">J32*Assumptions!$H$51</f>
        <v>162.522406848774</v>
      </c>
      <c r="K34" s="61" t="n">
        <f aca="false">K32*Assumptions!$H$51</f>
        <v>158.353072768452</v>
      </c>
      <c r="L34" s="61" t="n">
        <f aca="false">L32*Assumptions!$H$51</f>
        <v>155.525081674251</v>
      </c>
      <c r="M34" s="61" t="n">
        <f aca="false">M32*Assumptions!$H$51</f>
        <v>157.274702423614</v>
      </c>
      <c r="N34" s="61" t="n">
        <f aca="false">N32*Assumptions!$H$51</f>
        <v>159.871483272184</v>
      </c>
      <c r="O34" s="61" t="n">
        <f aca="false">O32*Assumptions!$H$51</f>
        <v>163.13806464148</v>
      </c>
      <c r="P34" s="61" t="n">
        <f aca="false">P32*Assumptions!$H$51</f>
        <v>167.009083702705</v>
      </c>
      <c r="Q34" s="61" t="n">
        <f aca="false">Q32*Assumptions!$H$51</f>
        <v>171.45317998567</v>
      </c>
      <c r="R34" s="61" t="n">
        <f aca="false">R32*Assumptions!$H$51</f>
        <v>176.451560751781</v>
      </c>
      <c r="S34" s="61" t="n">
        <f aca="false">S32*Assumptions!$H$51</f>
        <v>181.996203198179</v>
      </c>
      <c r="T34" s="61" t="n">
        <f aca="false">T32*Assumptions!$H$51</f>
        <v>188.088942487323</v>
      </c>
      <c r="U34" s="61" t="n">
        <f aca="false">U32*Assumptions!$H$51</f>
        <v>194.7406624673</v>
      </c>
      <c r="V34" s="61" t="n">
        <f aca="false">V32*Assumptions!$H$51</f>
        <v>201.970572924316</v>
      </c>
      <c r="W34" s="61" t="n">
        <f aca="false">W32*Assumptions!$H$51</f>
        <v>209.805617142357</v>
      </c>
      <c r="X34" s="61" t="n">
        <f aca="false">X32*Assumptions!$H$51</f>
        <v>218.280025220799</v>
      </c>
      <c r="Y34" s="61" t="n">
        <f aca="false">Y32*Assumptions!$H$51</f>
        <v>227.435011277332</v>
      </c>
      <c r="Z34" s="61" t="n">
        <f aca="false">Z32*Assumptions!$H$51</f>
        <v>237.318604994844</v>
      </c>
      <c r="AA34" s="61" t="n">
        <f aca="false">AA32*Assumptions!$H$51</f>
        <v>247.98560558382</v>
      </c>
      <c r="AB34" s="61" t="n">
        <f aca="false">AB32*Assumptions!$H$51</f>
        <v>259.497646444284</v>
      </c>
      <c r="AC34" s="61" t="n">
        <f aca="false">AC32*Assumptions!$H$51</f>
        <v>271.779157624278</v>
      </c>
      <c r="AD34" s="61" t="n">
        <f aca="false">AD32*Assumptions!$H$51</f>
        <v>284.850484492177</v>
      </c>
      <c r="AE34" s="61" t="n">
        <f aca="false">AE32*Assumptions!$H$51</f>
        <v>298.826089718276</v>
      </c>
      <c r="AF34" s="61" t="n">
        <f aca="false">AF32*Assumptions!$H$51</f>
        <v>313.79621473565</v>
      </c>
      <c r="AG34" s="61" t="n">
        <f aca="false">AG32*Assumptions!$H$51</f>
        <v>329.857108290471</v>
      </c>
      <c r="AH34" s="61" t="n">
        <f aca="false">AH32*Assumptions!$H$51</f>
        <v>347.112587194193</v>
      </c>
      <c r="AI34" s="61" t="n">
        <f aca="false">AI32*Assumptions!$H$51</f>
        <v>365.674905347201</v>
      </c>
      <c r="AJ34" s="61" t="n">
        <f aca="false">AJ32*Assumptions!$H$51</f>
        <v>385.665493369371</v>
      </c>
      <c r="AK34" s="61" t="n">
        <f aca="false">AK32*Assumptions!$H$51</f>
        <v>407.215749088825</v>
      </c>
      <c r="AL34" s="61" t="n">
        <f aca="false">AL32*Assumptions!$H$51</f>
        <v>430.467899053658</v>
      </c>
      <c r="AM34" s="61" t="n">
        <f aca="false">SUM(C34:AL34)</f>
        <v>8367.35349135701</v>
      </c>
    </row>
    <row r="35" customFormat="false" ht="15" hidden="false" customHeight="false" outlineLevel="0" collapsed="false">
      <c r="A35" s="10" t="s">
        <v>756</v>
      </c>
      <c r="B35" s="9" t="s">
        <v>51</v>
      </c>
      <c r="C35" s="61" t="n">
        <f aca="false">C32*(1-Assumptions!$H$51)</f>
        <v>0</v>
      </c>
      <c r="D35" s="61" t="n">
        <f aca="false">D32*(1-Assumptions!$H$51)</f>
        <v>542.815438001379</v>
      </c>
      <c r="E35" s="61" t="n">
        <f aca="false">E32*(1-Assumptions!$H$51)</f>
        <v>308.426437860745</v>
      </c>
      <c r="F35" s="61" t="n">
        <f aca="false">F32*(1-Assumptions!$H$51)</f>
        <v>295.594863122881</v>
      </c>
      <c r="G35" s="61" t="n">
        <f aca="false">G32*(1-Assumptions!$H$51)</f>
        <v>277.613560144199</v>
      </c>
      <c r="H35" s="61" t="n">
        <f aca="false">H32*(1-Assumptions!$H$51)</f>
        <v>263.377322369334</v>
      </c>
      <c r="I35" s="61" t="n">
        <f aca="false">I32*(1-Assumptions!$H$51)</f>
        <v>252.257790451624</v>
      </c>
      <c r="J35" s="61" t="n">
        <f aca="false">J32*(1-Assumptions!$H$51)</f>
        <v>243.783610273162</v>
      </c>
      <c r="K35" s="61" t="n">
        <f aca="false">K32*(1-Assumptions!$H$51)</f>
        <v>237.529609152678</v>
      </c>
      <c r="L35" s="61" t="n">
        <f aca="false">L32*(1-Assumptions!$H$51)</f>
        <v>233.287622511377</v>
      </c>
      <c r="M35" s="61" t="n">
        <f aca="false">M32*(1-Assumptions!$H$51)</f>
        <v>235.91205363542</v>
      </c>
      <c r="N35" s="61" t="n">
        <f aca="false">N32*(1-Assumptions!$H$51)</f>
        <v>239.807224908277</v>
      </c>
      <c r="O35" s="61" t="n">
        <f aca="false">O32*(1-Assumptions!$H$51)</f>
        <v>244.707096962221</v>
      </c>
      <c r="P35" s="61" t="n">
        <f aca="false">P32*(1-Assumptions!$H$51)</f>
        <v>250.513625554057</v>
      </c>
      <c r="Q35" s="61" t="n">
        <f aca="false">Q32*(1-Assumptions!$H$51)</f>
        <v>257.179769978505</v>
      </c>
      <c r="R35" s="61" t="n">
        <f aca="false">R32*(1-Assumptions!$H$51)</f>
        <v>264.677341127671</v>
      </c>
      <c r="S35" s="61" t="n">
        <f aca="false">S32*(1-Assumptions!$H$51)</f>
        <v>272.994304797269</v>
      </c>
      <c r="T35" s="61" t="n">
        <f aca="false">T32*(1-Assumptions!$H$51)</f>
        <v>282.133413730984</v>
      </c>
      <c r="U35" s="61" t="n">
        <f aca="false">U32*(1-Assumptions!$H$51)</f>
        <v>292.11099370095</v>
      </c>
      <c r="V35" s="61" t="n">
        <f aca="false">V32*(1-Assumptions!$H$51)</f>
        <v>302.955859386474</v>
      </c>
      <c r="W35" s="61" t="n">
        <f aca="false">W32*(1-Assumptions!$H$51)</f>
        <v>314.708425713535</v>
      </c>
      <c r="X35" s="61" t="n">
        <f aca="false">X32*(1-Assumptions!$H$51)</f>
        <v>327.420037831198</v>
      </c>
      <c r="Y35" s="61" t="n">
        <f aca="false">Y32*(1-Assumptions!$H$51)</f>
        <v>341.152516915997</v>
      </c>
      <c r="Z35" s="61" t="n">
        <f aca="false">Z32*(1-Assumptions!$H$51)</f>
        <v>355.977907492267</v>
      </c>
      <c r="AA35" s="61" t="n">
        <f aca="false">AA32*(1-Assumptions!$H$51)</f>
        <v>371.97840837573</v>
      </c>
      <c r="AB35" s="61" t="n">
        <f aca="false">AB32*(1-Assumptions!$H$51)</f>
        <v>389.246469666426</v>
      </c>
      <c r="AC35" s="61" t="n">
        <f aca="false">AC32*(1-Assumptions!$H$51)</f>
        <v>407.668736436416</v>
      </c>
      <c r="AD35" s="61" t="n">
        <f aca="false">AD32*(1-Assumptions!$H$51)</f>
        <v>427.275726738266</v>
      </c>
      <c r="AE35" s="61" t="n">
        <f aca="false">AE32*(1-Assumptions!$H$51)</f>
        <v>448.239134577414</v>
      </c>
      <c r="AF35" s="61" t="n">
        <f aca="false">AF32*(1-Assumptions!$H$51)</f>
        <v>470.694322103474</v>
      </c>
      <c r="AG35" s="61" t="n">
        <f aca="false">AG32*(1-Assumptions!$H$51)</f>
        <v>494.785662435706</v>
      </c>
      <c r="AH35" s="61" t="n">
        <f aca="false">AH32*(1-Assumptions!$H$51)</f>
        <v>520.668880791289</v>
      </c>
      <c r="AI35" s="61" t="n">
        <f aca="false">AI32*(1-Assumptions!$H$51)</f>
        <v>548.512358020801</v>
      </c>
      <c r="AJ35" s="61" t="n">
        <f aca="false">AJ32*(1-Assumptions!$H$51)</f>
        <v>578.498240054057</v>
      </c>
      <c r="AK35" s="61" t="n">
        <f aca="false">AK32*(1-Assumptions!$H$51)</f>
        <v>610.823623633238</v>
      </c>
      <c r="AL35" s="61" t="n">
        <f aca="false">AL32*(1-Assumptions!$H$51)</f>
        <v>645.701848580487</v>
      </c>
      <c r="AM35" s="61" t="n">
        <f aca="false">SUM(C35:AL35)</f>
        <v>12551.0302370355</v>
      </c>
    </row>
    <row r="36" customFormat="false" ht="15" hidden="false" customHeight="false" outlineLevel="0" collapsed="false">
      <c r="A36" s="37" t="s">
        <v>757</v>
      </c>
      <c r="B36" s="9" t="s">
        <v>51</v>
      </c>
      <c r="C36" s="71" t="n">
        <f aca="false">C34</f>
        <v>0</v>
      </c>
      <c r="D36" s="71" t="n">
        <f aca="false">C36*(1-Assumptions!$H$52)+D34</f>
        <v>361.876958667586</v>
      </c>
      <c r="E36" s="71" t="n">
        <f aca="false">D36*(1-Assumptions!$H$52)+E34</f>
        <v>542.163196801352</v>
      </c>
      <c r="F36" s="71" t="n">
        <f aca="false">E36*(1-Assumptions!$H$52)+F34</f>
        <v>701.275015107178</v>
      </c>
      <c r="G36" s="71" t="n">
        <f aca="false">F36*(1-Assumptions!$H$52)+G34</f>
        <v>837.261470812475</v>
      </c>
      <c r="H36" s="71" t="n">
        <f aca="false">G36*(1-Assumptions!$H$52)+H34</f>
        <v>954.238049435157</v>
      </c>
      <c r="I36" s="71" t="n">
        <f aca="false">H36*(1-Assumptions!$H$52)+I34</f>
        <v>1055.61324627578</v>
      </c>
      <c r="J36" s="71" t="n">
        <f aca="false">I36*(1-Assumptions!$H$52)+J34</f>
        <v>1144.24272588525</v>
      </c>
      <c r="K36" s="71" t="n">
        <f aca="false">J36*(1-Assumptions!$H$52)+K34</f>
        <v>1222.49880784173</v>
      </c>
      <c r="L36" s="71" t="n">
        <f aca="false">K36*(1-Assumptions!$H$52)+L34</f>
        <v>1292.44897296706</v>
      </c>
      <c r="M36" s="71" t="n">
        <f aca="false">L36*(1-Assumptions!$H$52)+M34</f>
        <v>1359.25224728298</v>
      </c>
      <c r="N36" s="71" t="n">
        <f aca="false">M36*(1-Assumptions!$H$52)+N34</f>
        <v>1423.97607324536</v>
      </c>
      <c r="O36" s="71" t="n">
        <f aca="false">N36*(1-Assumptions!$H$52)+O34</f>
        <v>1487.43581275966</v>
      </c>
      <c r="P36" s="71" t="n">
        <f aca="false">O36*(1-Assumptions!$H$52)+P34</f>
        <v>1550.32438956919</v>
      </c>
      <c r="Q36" s="71" t="n">
        <f aca="false">P36*(1-Assumptions!$H$52)+Q34</f>
        <v>1613.25486228502</v>
      </c>
      <c r="R36" s="71" t="n">
        <f aca="false">Q36*(1-Assumptions!$H$52)+R34</f>
        <v>1676.77858267685</v>
      </c>
      <c r="S36" s="71" t="n">
        <f aca="false">R36*(1-Assumptions!$H$52)+S34</f>
        <v>1741.40028508765</v>
      </c>
      <c r="T36" s="71" t="n">
        <f aca="false">S36*(1-Assumptions!$H$52)+T34</f>
        <v>1807.59120761883</v>
      </c>
      <c r="U36" s="71" t="n">
        <f aca="false">T36*(1-Assumptions!$H$52)+U34</f>
        <v>1875.80048555282</v>
      </c>
      <c r="V36" s="71" t="n">
        <f aca="false">U36*(1-Assumptions!$H$52)+V34</f>
        <v>1946.46502448843</v>
      </c>
      <c r="W36" s="71" t="n">
        <f aca="false">V36*(1-Assumptions!$H$52)+W34</f>
        <v>2020.0180899166</v>
      </c>
      <c r="X36" s="71" t="n">
        <f aca="false">W36*(1-Assumptions!$H$52)+X34</f>
        <v>2096.89684884324</v>
      </c>
      <c r="Y36" s="71" t="n">
        <f aca="false">X36*(1-Assumptions!$H$52)+Y34</f>
        <v>2177.54908070154</v>
      </c>
      <c r="Z36" s="71" t="n">
        <f aca="false">Y36*(1-Assumptions!$H$52)+Z34</f>
        <v>2262.43925004728</v>
      </c>
      <c r="AA36" s="71" t="n">
        <f aca="false">Z36*(1-Assumptions!$H$52)+AA34</f>
        <v>2352.05410812779</v>
      </c>
      <c r="AB36" s="71" t="n">
        <f aca="false">AA36*(1-Assumptions!$H$52)+AB34</f>
        <v>2446.90796700313</v>
      </c>
      <c r="AC36" s="71" t="n">
        <f aca="false">AB36*(1-Assumptions!$H$52)+AC34</f>
        <v>2547.40356693719</v>
      </c>
      <c r="AD36" s="71" t="n">
        <f aca="false">AC36*(1-Assumptions!$H$52)+AD34</f>
        <v>2653.93580174376</v>
      </c>
      <c r="AE36" s="71" t="n">
        <f aca="false">AD36*(1-Assumptions!$H$52)+AE34</f>
        <v>2766.98638533997</v>
      </c>
      <c r="AF36" s="71" t="n">
        <f aca="false">AE36*(1-Assumptions!$H$52)+AF34</f>
        <v>2887.09355310182</v>
      </c>
      <c r="AG36" s="71" t="n">
        <f aca="false">AF36*(1-Assumptions!$H$52)+AG34</f>
        <v>3014.85411267517</v>
      </c>
      <c r="AH36" s="71" t="n">
        <f aca="false">AG36*(1-Assumptions!$H$52)+AH34</f>
        <v>3150.9269119821</v>
      </c>
      <c r="AI36" s="71" t="n">
        <f aca="false">AH36*(1-Assumptions!$H$52)+AI34</f>
        <v>3296.03693349055</v>
      </c>
      <c r="AJ36" s="71" t="n">
        <f aca="false">AI36*(1-Assumptions!$H$52)+AJ34</f>
        <v>3450.97984151558</v>
      </c>
      <c r="AK36" s="71" t="n">
        <f aca="false">AJ36*(1-Assumptions!$H$52)+AK34</f>
        <v>3616.62700169832</v>
      </c>
      <c r="AL36" s="71" t="n">
        <f aca="false">AK36*(1-Assumptions!$H$52)+AL34</f>
        <v>3793.93101063309</v>
      </c>
      <c r="AM36" s="71" t="n">
        <f aca="false">AL36</f>
        <v>3793.93101063309</v>
      </c>
    </row>
    <row r="37" customFormat="false" ht="15" hidden="false" customHeight="false" outlineLevel="0" collapsed="false">
      <c r="A37" s="10" t="s">
        <v>758</v>
      </c>
      <c r="B37" s="9" t="s">
        <v>51</v>
      </c>
      <c r="C37" s="61" t="n">
        <f aca="false">0</f>
        <v>0</v>
      </c>
      <c r="D37" s="61" t="n">
        <f aca="false">C36*Assumptions!$H$52</f>
        <v>0</v>
      </c>
      <c r="E37" s="61" t="n">
        <f aca="false">D36*Assumptions!$H$52</f>
        <v>25.331387106731</v>
      </c>
      <c r="F37" s="61" t="n">
        <f aca="false">E36*Assumptions!$H$52</f>
        <v>37.9514237760946</v>
      </c>
      <c r="G37" s="61" t="n">
        <f aca="false">F36*Assumptions!$H$52</f>
        <v>49.0892510575025</v>
      </c>
      <c r="H37" s="61" t="n">
        <f aca="false">G36*Assumptions!$H$52</f>
        <v>58.6083029568732</v>
      </c>
      <c r="I37" s="61" t="n">
        <f aca="false">H36*Assumptions!$H$52</f>
        <v>66.796663460461</v>
      </c>
      <c r="J37" s="61" t="n">
        <f aca="false">I36*Assumptions!$H$52</f>
        <v>73.8929272393045</v>
      </c>
      <c r="K37" s="61" t="n">
        <f aca="false">J36*Assumptions!$H$52</f>
        <v>80.0969908119674</v>
      </c>
      <c r="L37" s="61" t="n">
        <f aca="false">K36*Assumptions!$H$52</f>
        <v>85.5749165489213</v>
      </c>
      <c r="M37" s="61" t="n">
        <f aca="false">L36*Assumptions!$H$52</f>
        <v>90.4714281076944</v>
      </c>
      <c r="N37" s="61" t="n">
        <f aca="false">M36*Assumptions!$H$52</f>
        <v>95.1476573098087</v>
      </c>
      <c r="O37" s="61" t="n">
        <f aca="false">N36*Assumptions!$H$52</f>
        <v>99.678325127175</v>
      </c>
      <c r="P37" s="61" t="n">
        <f aca="false">O36*Assumptions!$H$52</f>
        <v>104.120506893176</v>
      </c>
      <c r="Q37" s="61" t="n">
        <f aca="false">P36*Assumptions!$H$52</f>
        <v>108.522707269843</v>
      </c>
      <c r="R37" s="61" t="n">
        <f aca="false">Q36*Assumptions!$H$52</f>
        <v>112.927840359951</v>
      </c>
      <c r="S37" s="61" t="n">
        <f aca="false">R36*Assumptions!$H$52</f>
        <v>117.374500787379</v>
      </c>
      <c r="T37" s="61" t="n">
        <f aca="false">S36*Assumptions!$H$52</f>
        <v>121.898019956135</v>
      </c>
      <c r="U37" s="61" t="n">
        <f aca="false">T36*Assumptions!$H$52</f>
        <v>126.531384533318</v>
      </c>
      <c r="V37" s="61" t="n">
        <f aca="false">U36*Assumptions!$H$52</f>
        <v>131.306033988697</v>
      </c>
      <c r="W37" s="61" t="n">
        <f aca="false">V36*Assumptions!$H$52</f>
        <v>136.25255171419</v>
      </c>
      <c r="X37" s="61" t="n">
        <f aca="false">W36*Assumptions!$H$52</f>
        <v>141.401266294162</v>
      </c>
      <c r="Y37" s="61" t="n">
        <f aca="false">X36*Assumptions!$H$52</f>
        <v>146.782779419027</v>
      </c>
      <c r="Z37" s="61" t="n">
        <f aca="false">Y36*Assumptions!$H$52</f>
        <v>152.428435649108</v>
      </c>
      <c r="AA37" s="61" t="n">
        <f aca="false">Z36*Assumptions!$H$52</f>
        <v>158.370747503309</v>
      </c>
      <c r="AB37" s="61" t="n">
        <f aca="false">AA36*Assumptions!$H$52</f>
        <v>164.643787568945</v>
      </c>
      <c r="AC37" s="61" t="n">
        <f aca="false">AB36*Assumptions!$H$52</f>
        <v>171.283557690219</v>
      </c>
      <c r="AD37" s="61" t="n">
        <f aca="false">AC36*Assumptions!$H$52</f>
        <v>178.318249685603</v>
      </c>
      <c r="AE37" s="61" t="n">
        <f aca="false">AD36*Assumptions!$H$52</f>
        <v>185.775506122063</v>
      </c>
      <c r="AF37" s="61" t="n">
        <f aca="false">AE36*Assumptions!$H$52</f>
        <v>193.689046973798</v>
      </c>
      <c r="AG37" s="61" t="n">
        <f aca="false">AF36*Assumptions!$H$52</f>
        <v>202.096548717128</v>
      </c>
      <c r="AH37" s="61" t="n">
        <f aca="false">AG36*Assumptions!$H$52</f>
        <v>211.039787887262</v>
      </c>
      <c r="AI37" s="61" t="n">
        <f aca="false">AH36*Assumptions!$H$52</f>
        <v>220.564883838747</v>
      </c>
      <c r="AJ37" s="61" t="n">
        <f aca="false">AI36*Assumptions!$H$52</f>
        <v>230.722585344339</v>
      </c>
      <c r="AK37" s="61" t="n">
        <f aca="false">AJ36*Assumptions!$H$52</f>
        <v>241.568588906091</v>
      </c>
      <c r="AL37" s="61" t="n">
        <f aca="false">AK36*Assumptions!$H$52</f>
        <v>253.163890118882</v>
      </c>
      <c r="AM37" s="61" t="n">
        <f aca="false">SUM(C37:AL37)</f>
        <v>4573.42248072391</v>
      </c>
    </row>
    <row r="38" customFormat="false" ht="15" hidden="false" customHeight="false" outlineLevel="0" collapsed="false">
      <c r="A38" s="10" t="s">
        <v>759</v>
      </c>
      <c r="B38" s="9" t="s">
        <v>51</v>
      </c>
      <c r="C38" s="61" t="n">
        <f aca="false">0</f>
        <v>0</v>
      </c>
      <c r="D38" s="61" t="n">
        <f aca="false">C35*Assumptions!$H$53</f>
        <v>0</v>
      </c>
      <c r="E38" s="61" t="n">
        <f aca="false">D35*Assumptions!$H$53</f>
        <v>59.7096981801517</v>
      </c>
      <c r="F38" s="61" t="n">
        <f aca="false">E35*Assumptions!$H$53</f>
        <v>33.9269081646819</v>
      </c>
      <c r="G38" s="61" t="n">
        <f aca="false">F35*Assumptions!$H$53</f>
        <v>32.515434943517</v>
      </c>
      <c r="H38" s="61" t="n">
        <f aca="false">G35*Assumptions!$H$53</f>
        <v>30.5374916158619</v>
      </c>
      <c r="I38" s="61" t="n">
        <f aca="false">H35*Assumptions!$H$53</f>
        <v>28.9715054606267</v>
      </c>
      <c r="J38" s="61" t="n">
        <f aca="false">I35*Assumptions!$H$53</f>
        <v>27.7483569496786</v>
      </c>
      <c r="K38" s="61" t="n">
        <f aca="false">J35*Assumptions!$H$53</f>
        <v>26.8161971300478</v>
      </c>
      <c r="L38" s="61" t="n">
        <f aca="false">K35*Assumptions!$H$53</f>
        <v>26.1282570067946</v>
      </c>
      <c r="M38" s="61" t="n">
        <f aca="false">L35*Assumptions!$H$53</f>
        <v>25.6616384762515</v>
      </c>
      <c r="N38" s="61" t="n">
        <f aca="false">M35*Assumptions!$H$53</f>
        <v>25.9503258998962</v>
      </c>
      <c r="O38" s="61" t="n">
        <f aca="false">N35*Assumptions!$H$53</f>
        <v>26.3787947399104</v>
      </c>
      <c r="P38" s="61" t="n">
        <f aca="false">O35*Assumptions!$H$53</f>
        <v>26.9177806658443</v>
      </c>
      <c r="Q38" s="61" t="n">
        <f aca="false">P35*Assumptions!$H$53</f>
        <v>27.5564988109463</v>
      </c>
      <c r="R38" s="61" t="n">
        <f aca="false">Q35*Assumptions!$H$53</f>
        <v>28.2897746976356</v>
      </c>
      <c r="S38" s="61" t="n">
        <f aca="false">R35*Assumptions!$H$53</f>
        <v>29.1145075240438</v>
      </c>
      <c r="T38" s="61" t="n">
        <f aca="false">S35*Assumptions!$H$53</f>
        <v>30.0293735276996</v>
      </c>
      <c r="U38" s="61" t="n">
        <f aca="false">T35*Assumptions!$H$53</f>
        <v>31.0346755104083</v>
      </c>
      <c r="V38" s="61" t="n">
        <f aca="false">U35*Assumptions!$H$53</f>
        <v>32.1322093071045</v>
      </c>
      <c r="W38" s="61" t="n">
        <f aca="false">V35*Assumptions!$H$53</f>
        <v>33.3251445325121</v>
      </c>
      <c r="X38" s="61" t="n">
        <f aca="false">W35*Assumptions!$H$53</f>
        <v>34.6179268284889</v>
      </c>
      <c r="Y38" s="61" t="n">
        <f aca="false">X35*Assumptions!$H$53</f>
        <v>36.0162041614318</v>
      </c>
      <c r="Z38" s="61" t="n">
        <f aca="false">Y35*Assumptions!$H$53</f>
        <v>37.5267768607597</v>
      </c>
      <c r="AA38" s="61" t="n">
        <f aca="false">Z35*Assumptions!$H$53</f>
        <v>39.1575698241493</v>
      </c>
      <c r="AB38" s="61" t="n">
        <f aca="false">AA35*Assumptions!$H$53</f>
        <v>40.9176249213303</v>
      </c>
      <c r="AC38" s="61" t="n">
        <f aca="false">AB35*Assumptions!$H$53</f>
        <v>42.8171116633069</v>
      </c>
      <c r="AD38" s="61" t="n">
        <f aca="false">AC35*Assumptions!$H$53</f>
        <v>44.8435610080058</v>
      </c>
      <c r="AE38" s="61" t="n">
        <f aca="false">AD35*Assumptions!$H$53</f>
        <v>47.0003299412092</v>
      </c>
      <c r="AF38" s="61" t="n">
        <f aca="false">AE35*Assumptions!$H$53</f>
        <v>49.3063048035155</v>
      </c>
      <c r="AG38" s="61" t="n">
        <f aca="false">AF35*Assumptions!$H$53</f>
        <v>51.7763754313822</v>
      </c>
      <c r="AH38" s="61" t="n">
        <f aca="false">AG35*Assumptions!$H$53</f>
        <v>54.4264228679276</v>
      </c>
      <c r="AI38" s="61" t="n">
        <f aca="false">AH35*Assumptions!$H$53</f>
        <v>57.2735768870418</v>
      </c>
      <c r="AJ38" s="61" t="n">
        <f aca="false">AI35*Assumptions!$H$53</f>
        <v>60.3363593822881</v>
      </c>
      <c r="AK38" s="61" t="n">
        <f aca="false">AJ35*Assumptions!$H$53</f>
        <v>63.6348064059462</v>
      </c>
      <c r="AL38" s="61" t="n">
        <f aca="false">AK35*Assumptions!$H$53</f>
        <v>67.1905985996561</v>
      </c>
      <c r="AM38" s="61" t="n">
        <f aca="false">SUM(C38:AL38)</f>
        <v>1309.58612273005</v>
      </c>
    </row>
    <row r="39" customFormat="false" ht="15" hidden="false" customHeight="false" outlineLevel="0" collapsed="false">
      <c r="A39" s="37" t="s">
        <v>760</v>
      </c>
      <c r="B39" s="9" t="s">
        <v>51</v>
      </c>
      <c r="C39" s="71" t="n">
        <f aca="false">C35+C36+C38</f>
        <v>0</v>
      </c>
      <c r="D39" s="71" t="n">
        <f aca="false">D35+D36+D38</f>
        <v>904.692396668966</v>
      </c>
      <c r="E39" s="71" t="n">
        <f aca="false">E35+E36+E38</f>
        <v>910.299332842248</v>
      </c>
      <c r="F39" s="71" t="n">
        <f aca="false">F35+F36+F38</f>
        <v>1030.79678639474</v>
      </c>
      <c r="G39" s="71" t="n">
        <f aca="false">G35+G36+G38</f>
        <v>1147.39046590019</v>
      </c>
      <c r="H39" s="71" t="n">
        <f aca="false">H35+H36+H38</f>
        <v>1248.15286342035</v>
      </c>
      <c r="I39" s="71" t="n">
        <f aca="false">I35+I36+I38</f>
        <v>1336.84254218803</v>
      </c>
      <c r="J39" s="71" t="n">
        <f aca="false">J35+J36+J38</f>
        <v>1415.77469310809</v>
      </c>
      <c r="K39" s="71" t="n">
        <f aca="false">K35+K36+K38</f>
        <v>1486.84461412446</v>
      </c>
      <c r="L39" s="71" t="n">
        <f aca="false">L35+L36+L38</f>
        <v>1551.86485248523</v>
      </c>
      <c r="M39" s="71" t="n">
        <f aca="false">M35+M36+M38</f>
        <v>1620.82593939465</v>
      </c>
      <c r="N39" s="71" t="n">
        <f aca="false">N35+N36+N38</f>
        <v>1689.73362405353</v>
      </c>
      <c r="O39" s="71" t="n">
        <f aca="false">O35+O36+O38</f>
        <v>1758.52170446179</v>
      </c>
      <c r="P39" s="71" t="n">
        <f aca="false">P35+P36+P38</f>
        <v>1827.75579578909</v>
      </c>
      <c r="Q39" s="71" t="n">
        <f aca="false">Q35+Q36+Q38</f>
        <v>1897.99113107447</v>
      </c>
      <c r="R39" s="71" t="n">
        <f aca="false">R35+R36+R38</f>
        <v>1969.74569850215</v>
      </c>
      <c r="S39" s="71" t="n">
        <f aca="false">S35+S36+S38</f>
        <v>2043.50909740896</v>
      </c>
      <c r="T39" s="71" t="n">
        <f aca="false">T35+T36+T38</f>
        <v>2119.75399487752</v>
      </c>
      <c r="U39" s="71" t="n">
        <f aca="false">U35+U36+U38</f>
        <v>2198.94615476417</v>
      </c>
      <c r="V39" s="71" t="n">
        <f aca="false">V35+V36+V38</f>
        <v>2281.55309318201</v>
      </c>
      <c r="W39" s="71" t="n">
        <f aca="false">W35+W36+W38</f>
        <v>2368.05166016265</v>
      </c>
      <c r="X39" s="71" t="n">
        <f aca="false">X35+X36+X38</f>
        <v>2458.93481350292</v>
      </c>
      <c r="Y39" s="71" t="n">
        <f aca="false">Y35+Y36+Y38</f>
        <v>2554.71780177897</v>
      </c>
      <c r="Z39" s="71" t="n">
        <f aca="false">Z35+Z36+Z38</f>
        <v>2655.9439344003</v>
      </c>
      <c r="AA39" s="71" t="n">
        <f aca="false">AA35+AA36+AA38</f>
        <v>2763.19008632767</v>
      </c>
      <c r="AB39" s="71" t="n">
        <f aca="false">AB35+AB36+AB38</f>
        <v>2877.07206159088</v>
      </c>
      <c r="AC39" s="71" t="n">
        <f aca="false">AC35+AC36+AC38</f>
        <v>2997.88941503691</v>
      </c>
      <c r="AD39" s="71" t="n">
        <f aca="false">AD35+AD36+AD38</f>
        <v>3126.05508949003</v>
      </c>
      <c r="AE39" s="71" t="n">
        <f aca="false">AE35+AE36+AE38</f>
        <v>3262.2258498586</v>
      </c>
      <c r="AF39" s="71" t="n">
        <f aca="false">AF35+AF36+AF38</f>
        <v>3407.09418000881</v>
      </c>
      <c r="AG39" s="71" t="n">
        <f aca="false">AG35+AG36+AG38</f>
        <v>3561.41615054226</v>
      </c>
      <c r="AH39" s="71" t="n">
        <f aca="false">AH35+AH36+AH38</f>
        <v>3726.02221564131</v>
      </c>
      <c r="AI39" s="71" t="n">
        <f aca="false">AI35+AI36+AI38</f>
        <v>3901.82286839839</v>
      </c>
      <c r="AJ39" s="71" t="n">
        <f aca="false">AJ35+AJ36+AJ38</f>
        <v>4089.81444095193</v>
      </c>
      <c r="AK39" s="71" t="n">
        <f aca="false">AK35+AK36+AK38</f>
        <v>4291.0854317375</v>
      </c>
      <c r="AL39" s="71" t="n">
        <f aca="false">AL35+AL36+AL38</f>
        <v>4506.82345781324</v>
      </c>
      <c r="AM39" s="71" t="n">
        <f aca="false">SUM(C39:AL39)</f>
        <v>82989.154237883</v>
      </c>
    </row>
    <row r="40" customFormat="false" ht="15" hidden="false" customHeight="false" outlineLevel="0" collapsed="false">
      <c r="A40" s="10" t="s">
        <v>761</v>
      </c>
      <c r="B40" s="9" t="s">
        <v>97</v>
      </c>
      <c r="C40" s="70" t="n">
        <f aca="false">C39*Assumptions!$H$50</f>
        <v>0</v>
      </c>
      <c r="D40" s="70" t="n">
        <f aca="false">D39*Assumptions!$H$50</f>
        <v>70566.0069401793</v>
      </c>
      <c r="E40" s="70" t="n">
        <f aca="false">E39*Assumptions!$H$50</f>
        <v>71003.3479616954</v>
      </c>
      <c r="F40" s="70" t="n">
        <f aca="false">F39*Assumptions!$H$50</f>
        <v>80402.1493387898</v>
      </c>
      <c r="G40" s="70" t="n">
        <f aca="false">G39*Assumptions!$H$50</f>
        <v>89496.4563402149</v>
      </c>
      <c r="H40" s="70" t="n">
        <f aca="false">H39*Assumptions!$H$50</f>
        <v>97355.9233467875</v>
      </c>
      <c r="I40" s="70" t="n">
        <f aca="false">I39*Assumptions!$H$50</f>
        <v>104273.718290666</v>
      </c>
      <c r="J40" s="70" t="n">
        <f aca="false">J39*Assumptions!$H$50</f>
        <v>110430.426062431</v>
      </c>
      <c r="K40" s="70" t="n">
        <f aca="false">K39*Assumptions!$H$50</f>
        <v>115973.879901708</v>
      </c>
      <c r="L40" s="70" t="n">
        <f aca="false">L39*Assumptions!$H$50</f>
        <v>121045.458493848</v>
      </c>
      <c r="M40" s="70" t="n">
        <f aca="false">M39*Assumptions!$H$50</f>
        <v>126424.423272783</v>
      </c>
      <c r="N40" s="70" t="n">
        <f aca="false">N39*Assumptions!$H$50</f>
        <v>131799.222676175</v>
      </c>
      <c r="O40" s="70" t="n">
        <f aca="false">O39*Assumptions!$H$50</f>
        <v>137164.69294802</v>
      </c>
      <c r="P40" s="70" t="n">
        <f aca="false">P39*Assumptions!$H$50</f>
        <v>142564.952071549</v>
      </c>
      <c r="Q40" s="70" t="n">
        <f aca="false">Q39*Assumptions!$H$50</f>
        <v>148043.308223809</v>
      </c>
      <c r="R40" s="70" t="n">
        <f aca="false">R39*Assumptions!$H$50</f>
        <v>153640.164483168</v>
      </c>
      <c r="S40" s="70" t="n">
        <f aca="false">S39*Assumptions!$H$50</f>
        <v>159393.709597899</v>
      </c>
      <c r="T40" s="70" t="n">
        <f aca="false">T39*Assumptions!$H$50</f>
        <v>165340.811600446</v>
      </c>
      <c r="U40" s="70" t="n">
        <f aca="false">U39*Assumptions!$H$50</f>
        <v>171517.800071606</v>
      </c>
      <c r="V40" s="70" t="n">
        <f aca="false">V39*Assumptions!$H$50</f>
        <v>177961.141268197</v>
      </c>
      <c r="W40" s="70" t="n">
        <f aca="false">W39*Assumptions!$H$50</f>
        <v>184708.029492687</v>
      </c>
      <c r="X40" s="70" t="n">
        <f aca="false">X39*Assumptions!$H$50</f>
        <v>191796.915453228</v>
      </c>
      <c r="Y40" s="70" t="n">
        <f aca="false">Y39*Assumptions!$H$50</f>
        <v>199267.98853876</v>
      </c>
      <c r="Z40" s="70" t="n">
        <f aca="false">Z39*Assumptions!$H$50</f>
        <v>207163.626883224</v>
      </c>
      <c r="AA40" s="70" t="n">
        <f aca="false">AA39*Assumptions!$H$50</f>
        <v>215528.826733558</v>
      </c>
      <c r="AB40" s="70" t="n">
        <f aca="false">AB39*Assumptions!$H$50</f>
        <v>224411.620804089</v>
      </c>
      <c r="AC40" s="70" t="n">
        <f aca="false">AC39*Assumptions!$H$50</f>
        <v>233835.374372879</v>
      </c>
      <c r="AD40" s="70" t="n">
        <f aca="false">AD39*Assumptions!$H$50</f>
        <v>243832.296980222</v>
      </c>
      <c r="AE40" s="70" t="n">
        <f aca="false">AE39*Assumptions!$H$50</f>
        <v>254453.61628897</v>
      </c>
      <c r="AF40" s="70" t="n">
        <f aca="false">AF39*Assumptions!$H$50</f>
        <v>265753.346040687</v>
      </c>
      <c r="AG40" s="70" t="n">
        <f aca="false">AG39*Assumptions!$H$50</f>
        <v>277790.459742296</v>
      </c>
      <c r="AH40" s="70" t="n">
        <f aca="false">AH39*Assumptions!$H$50</f>
        <v>290629.732820023</v>
      </c>
      <c r="AI40" s="70" t="n">
        <f aca="false">AI39*Assumptions!$H$50</f>
        <v>304342.183735075</v>
      </c>
      <c r="AJ40" s="70" t="n">
        <f aca="false">AJ39*Assumptions!$H$50</f>
        <v>319005.52639425</v>
      </c>
      <c r="AK40" s="70" t="n">
        <f aca="false">AK39*Assumptions!$H$50</f>
        <v>334704.663675525</v>
      </c>
      <c r="AL40" s="70" t="n">
        <f aca="false">AL39*Assumptions!$H$50</f>
        <v>351532.229709432</v>
      </c>
      <c r="AM40" s="70" t="n">
        <f aca="false">SUM(C40:AL40)</f>
        <v>6473154.03055488</v>
      </c>
    </row>
    <row r="41" customFormat="false" ht="15" hidden="false" customHeight="false" outlineLevel="0" collapsed="false">
      <c r="A41" s="10" t="s">
        <v>762</v>
      </c>
      <c r="B41" s="9" t="s">
        <v>97</v>
      </c>
      <c r="C41" s="70" t="n">
        <f aca="false">-C40*Assumptions!$H$80</f>
        <v>-0</v>
      </c>
      <c r="D41" s="70" t="n">
        <f aca="false">-D40*Assumptions!$H$80</f>
        <v>-2116.98020820538</v>
      </c>
      <c r="E41" s="70" t="n">
        <f aca="false">-E40*Assumptions!$H$80</f>
        <v>-2130.10043885086</v>
      </c>
      <c r="F41" s="70" t="n">
        <f aca="false">-F40*Assumptions!$H$80</f>
        <v>-2412.06448016369</v>
      </c>
      <c r="G41" s="70" t="n">
        <f aca="false">-G40*Assumptions!$H$80</f>
        <v>-2684.89369020645</v>
      </c>
      <c r="H41" s="70" t="n">
        <f aca="false">-H40*Assumptions!$H$80</f>
        <v>-2920.67770040363</v>
      </c>
      <c r="I41" s="70" t="n">
        <f aca="false">-I40*Assumptions!$H$80</f>
        <v>-3128.21154871999</v>
      </c>
      <c r="J41" s="70" t="n">
        <f aca="false">-J40*Assumptions!$H$80</f>
        <v>-3312.91278187293</v>
      </c>
      <c r="K41" s="70" t="n">
        <f aca="false">-K40*Assumptions!$H$80</f>
        <v>-3479.21639705123</v>
      </c>
      <c r="L41" s="70" t="n">
        <f aca="false">-L40*Assumptions!$H$80</f>
        <v>-3631.36375481545</v>
      </c>
      <c r="M41" s="70" t="n">
        <f aca="false">-M40*Assumptions!$H$80</f>
        <v>-3792.73269818349</v>
      </c>
      <c r="N41" s="70" t="n">
        <f aca="false">-N40*Assumptions!$H$80</f>
        <v>-3953.97668028526</v>
      </c>
      <c r="O41" s="70" t="n">
        <f aca="false">-O40*Assumptions!$H$80</f>
        <v>-4114.9407884406</v>
      </c>
      <c r="P41" s="70" t="n">
        <f aca="false">-P40*Assumptions!$H$80</f>
        <v>-4276.94856214648</v>
      </c>
      <c r="Q41" s="70" t="n">
        <f aca="false">-Q40*Assumptions!$H$80</f>
        <v>-4441.29924671426</v>
      </c>
      <c r="R41" s="70" t="n">
        <f aca="false">-R40*Assumptions!$H$80</f>
        <v>-4609.20493449504</v>
      </c>
      <c r="S41" s="70" t="n">
        <f aca="false">-S40*Assumptions!$H$80</f>
        <v>-4781.81128793696</v>
      </c>
      <c r="T41" s="70" t="n">
        <f aca="false">-T40*Assumptions!$H$80</f>
        <v>-4960.22434801339</v>
      </c>
      <c r="U41" s="70" t="n">
        <f aca="false">-U40*Assumptions!$H$80</f>
        <v>-5145.53400214817</v>
      </c>
      <c r="V41" s="70" t="n">
        <f aca="false">-V40*Assumptions!$H$80</f>
        <v>-5338.83423804591</v>
      </c>
      <c r="W41" s="70" t="n">
        <f aca="false">-W40*Assumptions!$H$80</f>
        <v>-5541.2408847806</v>
      </c>
      <c r="X41" s="70" t="n">
        <f aca="false">-X40*Assumptions!$H$80</f>
        <v>-5753.90746359684</v>
      </c>
      <c r="Y41" s="70" t="n">
        <f aca="false">-Y40*Assumptions!$H$80</f>
        <v>-5978.03965616279</v>
      </c>
      <c r="Z41" s="70" t="n">
        <f aca="false">-Z40*Assumptions!$H$80</f>
        <v>-6214.90880649671</v>
      </c>
      <c r="AA41" s="70" t="n">
        <f aca="false">-AA40*Assumptions!$H$80</f>
        <v>-6465.86480200674</v>
      </c>
      <c r="AB41" s="70" t="n">
        <f aca="false">-AB40*Assumptions!$H$80</f>
        <v>-6732.34862412267</v>
      </c>
      <c r="AC41" s="70" t="n">
        <f aca="false">-AC40*Assumptions!$H$80</f>
        <v>-7015.06123118637</v>
      </c>
      <c r="AD41" s="70" t="n">
        <f aca="false">-AD40*Assumptions!$H$80</f>
        <v>-7314.96890940667</v>
      </c>
      <c r="AE41" s="70" t="n">
        <f aca="false">-AE40*Assumptions!$H$80</f>
        <v>-7633.60848866911</v>
      </c>
      <c r="AF41" s="70" t="n">
        <f aca="false">-AF40*Assumptions!$H$80</f>
        <v>-7972.60038122062</v>
      </c>
      <c r="AG41" s="70" t="n">
        <f aca="false">-AG40*Assumptions!$H$80</f>
        <v>-8333.71379226888</v>
      </c>
      <c r="AH41" s="70" t="n">
        <f aca="false">-AH40*Assumptions!$H$80</f>
        <v>-8718.89198460068</v>
      </c>
      <c r="AI41" s="70" t="n">
        <f aca="false">-AI40*Assumptions!$H$80</f>
        <v>-9130.26551205224</v>
      </c>
      <c r="AJ41" s="70" t="n">
        <f aca="false">-AJ40*Assumptions!$H$80</f>
        <v>-9570.16579182751</v>
      </c>
      <c r="AK41" s="70" t="n">
        <f aca="false">-AK40*Assumptions!$H$80</f>
        <v>-10041.1399102658</v>
      </c>
      <c r="AL41" s="70" t="n">
        <f aca="false">-AL40*Assumptions!$H$80</f>
        <v>-10545.966891283</v>
      </c>
      <c r="AM41" s="70" t="n">
        <f aca="false">SUM(C41:AL41)</f>
        <v>-194194.620916646</v>
      </c>
    </row>
    <row r="42" customFormat="false" ht="15" hidden="false" customHeight="false" outlineLevel="0" collapsed="false">
      <c r="A42" s="37" t="s">
        <v>763</v>
      </c>
      <c r="B42" s="9" t="s">
        <v>97</v>
      </c>
      <c r="C42" s="53" t="n">
        <f aca="false">C40+C41</f>
        <v>0</v>
      </c>
      <c r="D42" s="53" t="n">
        <f aca="false">D40+D41</f>
        <v>68449.0267319739</v>
      </c>
      <c r="E42" s="53" t="n">
        <f aca="false">E40+E41</f>
        <v>68873.2475228445</v>
      </c>
      <c r="F42" s="53" t="n">
        <f aca="false">F40+F41</f>
        <v>77990.0848586261</v>
      </c>
      <c r="G42" s="53" t="n">
        <f aca="false">G40+G41</f>
        <v>86811.5626500084</v>
      </c>
      <c r="H42" s="53" t="n">
        <f aca="false">H40+H41</f>
        <v>94435.2456463839</v>
      </c>
      <c r="I42" s="53" t="n">
        <f aca="false">I40+I41</f>
        <v>101145.506741946</v>
      </c>
      <c r="J42" s="53" t="n">
        <f aca="false">J40+J41</f>
        <v>107117.513280558</v>
      </c>
      <c r="K42" s="53" t="n">
        <f aca="false">K40+K41</f>
        <v>112494.663504657</v>
      </c>
      <c r="L42" s="53" t="n">
        <f aca="false">L40+L41</f>
        <v>117414.094739033</v>
      </c>
      <c r="M42" s="53" t="n">
        <f aca="false">M40+M41</f>
        <v>122631.690574599</v>
      </c>
      <c r="N42" s="53" t="n">
        <f aca="false">N40+N41</f>
        <v>127845.24599589</v>
      </c>
      <c r="O42" s="53" t="n">
        <f aca="false">O40+O41</f>
        <v>133049.752159579</v>
      </c>
      <c r="P42" s="53" t="n">
        <f aca="false">P40+P41</f>
        <v>138288.003509403</v>
      </c>
      <c r="Q42" s="53" t="n">
        <f aca="false">Q40+Q41</f>
        <v>143602.008977094</v>
      </c>
      <c r="R42" s="53" t="n">
        <f aca="false">R40+R41</f>
        <v>149030.959548673</v>
      </c>
      <c r="S42" s="53" t="n">
        <f aca="false">S40+S41</f>
        <v>154611.898309962</v>
      </c>
      <c r="T42" s="53" t="n">
        <f aca="false">T40+T41</f>
        <v>160380.587252433</v>
      </c>
      <c r="U42" s="53" t="n">
        <f aca="false">U40+U41</f>
        <v>166372.266069457</v>
      </c>
      <c r="V42" s="53" t="n">
        <f aca="false">V40+V41</f>
        <v>172622.307030151</v>
      </c>
      <c r="W42" s="53" t="n">
        <f aca="false">W40+W41</f>
        <v>179166.788607906</v>
      </c>
      <c r="X42" s="53" t="n">
        <f aca="false">X40+X41</f>
        <v>186043.007989631</v>
      </c>
      <c r="Y42" s="53" t="n">
        <f aca="false">Y40+Y41</f>
        <v>193289.948882597</v>
      </c>
      <c r="Z42" s="53" t="n">
        <f aca="false">Z40+Z41</f>
        <v>200948.718076727</v>
      </c>
      <c r="AA42" s="53" t="n">
        <f aca="false">AA40+AA41</f>
        <v>209062.961931551</v>
      </c>
      <c r="AB42" s="53" t="n">
        <f aca="false">AB40+AB41</f>
        <v>217679.272179966</v>
      </c>
      <c r="AC42" s="53" t="n">
        <f aca="false">AC40+AC41</f>
        <v>226820.313141693</v>
      </c>
      <c r="AD42" s="53" t="n">
        <f aca="false">AD40+AD41</f>
        <v>236517.328070816</v>
      </c>
      <c r="AE42" s="53" t="n">
        <f aca="false">AE40+AE41</f>
        <v>246820.007800301</v>
      </c>
      <c r="AF42" s="53" t="n">
        <f aca="false">AF40+AF41</f>
        <v>257780.745659467</v>
      </c>
      <c r="AG42" s="53" t="n">
        <f aca="false">AG40+AG41</f>
        <v>269456.745950027</v>
      </c>
      <c r="AH42" s="53" t="n">
        <f aca="false">AH40+AH41</f>
        <v>281910.840835422</v>
      </c>
      <c r="AI42" s="53" t="n">
        <f aca="false">AI40+AI41</f>
        <v>295211.918223023</v>
      </c>
      <c r="AJ42" s="53" t="n">
        <f aca="false">AJ40+AJ41</f>
        <v>309435.360602423</v>
      </c>
      <c r="AK42" s="53" t="n">
        <f aca="false">AK40+AK41</f>
        <v>324663.523765259</v>
      </c>
      <c r="AL42" s="53" t="n">
        <f aca="false">AL40+AL41</f>
        <v>340986.262818149</v>
      </c>
      <c r="AM42" s="53" t="n">
        <f aca="false">SUM(C42:AL42)</f>
        <v>6278959.40963823</v>
      </c>
    </row>
    <row r="43" customFormat="false" ht="15" hidden="false" customHeight="false" outlineLevel="0" collapsed="false">
      <c r="A43" s="10" t="s">
        <v>764</v>
      </c>
      <c r="B43" s="9" t="s">
        <v>97</v>
      </c>
      <c r="C43" s="70" t="n">
        <f aca="false">-C40*Assumptions!$H$55</f>
        <v>-0</v>
      </c>
      <c r="D43" s="70" t="n">
        <f aca="false">-D40*Assumptions!$H$55</f>
        <v>-18347.1618044466</v>
      </c>
      <c r="E43" s="70" t="n">
        <f aca="false">-E40*Assumptions!$H$55</f>
        <v>-18460.8704700408</v>
      </c>
      <c r="F43" s="70" t="n">
        <f aca="false">-F40*Assumptions!$H$55</f>
        <v>-20904.5588280854</v>
      </c>
      <c r="G43" s="70" t="n">
        <f aca="false">-G40*Assumptions!$H$55</f>
        <v>-23269.0786484559</v>
      </c>
      <c r="H43" s="70" t="n">
        <f aca="false">-H40*Assumptions!$H$55</f>
        <v>-25312.5400701648</v>
      </c>
      <c r="I43" s="70" t="n">
        <f aca="false">-I40*Assumptions!$H$55</f>
        <v>-27111.1667555732</v>
      </c>
      <c r="J43" s="70" t="n">
        <f aca="false">-J40*Assumptions!$H$55</f>
        <v>-28711.910776232</v>
      </c>
      <c r="K43" s="70" t="n">
        <f aca="false">-K40*Assumptions!$H$55</f>
        <v>-30153.208774444</v>
      </c>
      <c r="L43" s="70" t="n">
        <f aca="false">-L40*Assumptions!$H$55</f>
        <v>-31471.8192084005</v>
      </c>
      <c r="M43" s="70" t="n">
        <f aca="false">-M40*Assumptions!$H$55</f>
        <v>-32870.3500509236</v>
      </c>
      <c r="N43" s="70" t="n">
        <f aca="false">-N40*Assumptions!$H$55</f>
        <v>-34267.7978958056</v>
      </c>
      <c r="O43" s="70" t="n">
        <f aca="false">-O40*Assumptions!$H$55</f>
        <v>-35662.8201664852</v>
      </c>
      <c r="P43" s="70" t="n">
        <f aca="false">-P40*Assumptions!$H$55</f>
        <v>-37066.8875386028</v>
      </c>
      <c r="Q43" s="70" t="n">
        <f aca="false">-Q40*Assumptions!$H$55</f>
        <v>-38491.2601381902</v>
      </c>
      <c r="R43" s="70" t="n">
        <f aca="false">-R40*Assumptions!$H$55</f>
        <v>-39946.4427656237</v>
      </c>
      <c r="S43" s="70" t="n">
        <f aca="false">-S40*Assumptions!$H$55</f>
        <v>-41442.3644954537</v>
      </c>
      <c r="T43" s="70" t="n">
        <f aca="false">-T40*Assumptions!$H$55</f>
        <v>-42988.6110161161</v>
      </c>
      <c r="U43" s="70" t="n">
        <f aca="false">-U40*Assumptions!$H$55</f>
        <v>-44594.6280186174</v>
      </c>
      <c r="V43" s="70" t="n">
        <f aca="false">-V40*Assumptions!$H$55</f>
        <v>-46269.8967297312</v>
      </c>
      <c r="W43" s="70" t="n">
        <f aca="false">-W40*Assumptions!$H$55</f>
        <v>-48024.0876680985</v>
      </c>
      <c r="X43" s="70" t="n">
        <f aca="false">-X40*Assumptions!$H$55</f>
        <v>-49867.1980178393</v>
      </c>
      <c r="Y43" s="70" t="n">
        <f aca="false">-Y40*Assumptions!$H$55</f>
        <v>-51809.6770200775</v>
      </c>
      <c r="Z43" s="70" t="n">
        <f aca="false">-Z40*Assumptions!$H$55</f>
        <v>-53862.5429896382</v>
      </c>
      <c r="AA43" s="70" t="n">
        <f aca="false">-AA40*Assumptions!$H$55</f>
        <v>-56037.4949507251</v>
      </c>
      <c r="AB43" s="70" t="n">
        <f aca="false">-AB40*Assumptions!$H$55</f>
        <v>-58347.0214090631</v>
      </c>
      <c r="AC43" s="70" t="n">
        <f aca="false">-AC40*Assumptions!$H$55</f>
        <v>-60797.1973369485</v>
      </c>
      <c r="AD43" s="70" t="n">
        <f aca="false">-AD40*Assumptions!$H$55</f>
        <v>-63396.3972148578</v>
      </c>
      <c r="AE43" s="70" t="n">
        <f aca="false">-AE40*Assumptions!$H$55</f>
        <v>-66157.9402351323</v>
      </c>
      <c r="AF43" s="70" t="n">
        <f aca="false">-AF40*Assumptions!$H$55</f>
        <v>-69095.8699705787</v>
      </c>
      <c r="AG43" s="70" t="n">
        <f aca="false">-AG40*Assumptions!$H$55</f>
        <v>-72225.5195329969</v>
      </c>
      <c r="AH43" s="70" t="n">
        <f aca="false">-AH40*Assumptions!$H$55</f>
        <v>-75563.7305332059</v>
      </c>
      <c r="AI43" s="70" t="n">
        <f aca="false">-AI40*Assumptions!$H$55</f>
        <v>-79128.9677711194</v>
      </c>
      <c r="AJ43" s="70" t="n">
        <f aca="false">-AJ40*Assumptions!$H$55</f>
        <v>-82941.4368625051</v>
      </c>
      <c r="AK43" s="70" t="n">
        <f aca="false">-AK40*Assumptions!$H$55</f>
        <v>-87023.2125556366</v>
      </c>
      <c r="AL43" s="70" t="n">
        <f aca="false">-AL40*Assumptions!$H$55</f>
        <v>-91398.3797244525</v>
      </c>
      <c r="AM43" s="70" t="n">
        <f aca="false">SUM(C43:AL43)</f>
        <v>-1683020.04794427</v>
      </c>
    </row>
    <row r="44" customFormat="false" ht="15" hidden="false" customHeight="false" outlineLevel="0" collapsed="false">
      <c r="A44" s="10" t="s">
        <v>765</v>
      </c>
      <c r="B44" s="9" t="s">
        <v>97</v>
      </c>
      <c r="C44" s="70" t="n">
        <f aca="false">-C39*Assumptions!$H$56</f>
        <v>-0</v>
      </c>
      <c r="D44" s="70" t="n">
        <f aca="false">-D39*Assumptions!$H$56</f>
        <v>-6785.19297501724</v>
      </c>
      <c r="E44" s="70" t="n">
        <f aca="false">-E39*Assumptions!$H$56</f>
        <v>-6827.24499631686</v>
      </c>
      <c r="F44" s="70" t="n">
        <f aca="false">-F39*Assumptions!$H$56</f>
        <v>-7730.97589796056</v>
      </c>
      <c r="G44" s="70" t="n">
        <f aca="false">-G39*Assumptions!$H$56</f>
        <v>-8605.42849425143</v>
      </c>
      <c r="H44" s="70" t="n">
        <f aca="false">-H39*Assumptions!$H$56</f>
        <v>-9361.14647565265</v>
      </c>
      <c r="I44" s="70" t="n">
        <f aca="false">-I39*Assumptions!$H$56</f>
        <v>-10026.3190664102</v>
      </c>
      <c r="J44" s="70" t="n">
        <f aca="false">-J39*Assumptions!$H$56</f>
        <v>-10618.3101983107</v>
      </c>
      <c r="K44" s="70" t="n">
        <f aca="false">-K39*Assumptions!$H$56</f>
        <v>-11151.3346059334</v>
      </c>
      <c r="L44" s="70" t="n">
        <f aca="false">-L39*Assumptions!$H$56</f>
        <v>-11638.9863936393</v>
      </c>
      <c r="M44" s="70" t="n">
        <f aca="false">-M39*Assumptions!$H$56</f>
        <v>-12156.1945454599</v>
      </c>
      <c r="N44" s="70" t="n">
        <f aca="false">-N39*Assumptions!$H$56</f>
        <v>-12673.0021804015</v>
      </c>
      <c r="O44" s="70" t="n">
        <f aca="false">-O39*Assumptions!$H$56</f>
        <v>-13188.9127834635</v>
      </c>
      <c r="P44" s="70" t="n">
        <f aca="false">-P39*Assumptions!$H$56</f>
        <v>-13708.1684684182</v>
      </c>
      <c r="Q44" s="70" t="n">
        <f aca="false">-Q39*Assumptions!$H$56</f>
        <v>-14234.9334830585</v>
      </c>
      <c r="R44" s="70" t="n">
        <f aca="false">-R39*Assumptions!$H$56</f>
        <v>-14773.0927387661</v>
      </c>
      <c r="S44" s="70" t="n">
        <f aca="false">-S39*Assumptions!$H$56</f>
        <v>-15326.3182305672</v>
      </c>
      <c r="T44" s="70" t="n">
        <f aca="false">-T39*Assumptions!$H$56</f>
        <v>-15898.1549615814</v>
      </c>
      <c r="U44" s="70" t="n">
        <f aca="false">-U39*Assumptions!$H$56</f>
        <v>-16492.0961607313</v>
      </c>
      <c r="V44" s="70" t="n">
        <f aca="false">-V39*Assumptions!$H$56</f>
        <v>-17111.6481988651</v>
      </c>
      <c r="W44" s="70" t="n">
        <f aca="false">-W39*Assumptions!$H$56</f>
        <v>-17760.3874512199</v>
      </c>
      <c r="X44" s="70" t="n">
        <f aca="false">-X39*Assumptions!$H$56</f>
        <v>-18442.0111012719</v>
      </c>
      <c r="Y44" s="70" t="n">
        <f aca="false">-Y39*Assumptions!$H$56</f>
        <v>-19160.3835133423</v>
      </c>
      <c r="Z44" s="70" t="n">
        <f aca="false">-Z39*Assumptions!$H$56</f>
        <v>-19919.5795080023</v>
      </c>
      <c r="AA44" s="70" t="n">
        <f aca="false">-AA39*Assumptions!$H$56</f>
        <v>-20723.9256474575</v>
      </c>
      <c r="AB44" s="70" t="n">
        <f aca="false">-AB39*Assumptions!$H$56</f>
        <v>-21578.0404619316</v>
      </c>
      <c r="AC44" s="70" t="n">
        <f aca="false">-AC39*Assumptions!$H$56</f>
        <v>-22484.1706127768</v>
      </c>
      <c r="AD44" s="70" t="n">
        <f aca="false">-AD39*Assumptions!$H$56</f>
        <v>-23445.4131711752</v>
      </c>
      <c r="AE44" s="70" t="n">
        <f aca="false">-AE39*Assumptions!$H$56</f>
        <v>-24466.6938739395</v>
      </c>
      <c r="AF44" s="70" t="n">
        <f aca="false">-AF39*Assumptions!$H$56</f>
        <v>-25553.2063500661</v>
      </c>
      <c r="AG44" s="70" t="n">
        <f aca="false">-AG39*Assumptions!$H$56</f>
        <v>-26710.6211290669</v>
      </c>
      <c r="AH44" s="70" t="n">
        <f aca="false">-AH39*Assumptions!$H$56</f>
        <v>-27945.1666173099</v>
      </c>
      <c r="AI44" s="70" t="n">
        <f aca="false">-AI39*Assumptions!$H$56</f>
        <v>-29263.671512988</v>
      </c>
      <c r="AJ44" s="70" t="n">
        <f aca="false">-AJ39*Assumptions!$H$56</f>
        <v>-30673.6083071395</v>
      </c>
      <c r="AK44" s="70" t="n">
        <f aca="false">-AK39*Assumptions!$H$56</f>
        <v>-32183.1407380313</v>
      </c>
      <c r="AL44" s="70" t="n">
        <f aca="false">-AL39*Assumptions!$H$56</f>
        <v>-33801.1759335993</v>
      </c>
      <c r="AM44" s="70" t="n">
        <f aca="false">SUM(C44:AL44)</f>
        <v>-622418.656784123</v>
      </c>
    </row>
    <row r="45" customFormat="false" ht="15" hidden="false" customHeight="false" outlineLevel="0" collapsed="false">
      <c r="A45" s="10" t="s">
        <v>766</v>
      </c>
      <c r="B45" s="9" t="s">
        <v>97</v>
      </c>
      <c r="C45" s="70" t="n">
        <f aca="false">-C42*Assumptions!$H$79</f>
        <v>-0</v>
      </c>
      <c r="D45" s="70" t="n">
        <f aca="false">-D42*Assumptions!$H$79</f>
        <v>-1985.02177522724</v>
      </c>
      <c r="E45" s="70" t="n">
        <f aca="false">-E42*Assumptions!$H$79</f>
        <v>-1997.32417816249</v>
      </c>
      <c r="F45" s="70" t="n">
        <f aca="false">-F42*Assumptions!$H$79</f>
        <v>-2261.71246090016</v>
      </c>
      <c r="G45" s="70" t="n">
        <f aca="false">-G42*Assumptions!$H$79</f>
        <v>-2517.53531685024</v>
      </c>
      <c r="H45" s="70" t="n">
        <f aca="false">-H42*Assumptions!$H$79</f>
        <v>-2738.62212374513</v>
      </c>
      <c r="I45" s="70" t="n">
        <f aca="false">-I42*Assumptions!$H$79</f>
        <v>-2933.21969551644</v>
      </c>
      <c r="J45" s="70" t="n">
        <f aca="false">-J42*Assumptions!$H$79</f>
        <v>-3106.40788513618</v>
      </c>
      <c r="K45" s="70" t="n">
        <f aca="false">-K42*Assumptions!$H$79</f>
        <v>-3262.34524163504</v>
      </c>
      <c r="L45" s="70" t="n">
        <f aca="false">-L42*Assumptions!$H$79</f>
        <v>-3405.00874743195</v>
      </c>
      <c r="M45" s="70" t="n">
        <f aca="false">-M42*Assumptions!$H$79</f>
        <v>-3556.31902666338</v>
      </c>
      <c r="N45" s="70" t="n">
        <f aca="false">-N42*Assumptions!$H$79</f>
        <v>-3707.51213388081</v>
      </c>
      <c r="O45" s="70" t="n">
        <f aca="false">-O42*Assumptions!$H$79</f>
        <v>-3858.4428126278</v>
      </c>
      <c r="P45" s="70" t="n">
        <f aca="false">-P42*Assumptions!$H$79</f>
        <v>-4010.35210177268</v>
      </c>
      <c r="Q45" s="70" t="n">
        <f aca="false">-Q42*Assumptions!$H$79</f>
        <v>-4164.45826033574</v>
      </c>
      <c r="R45" s="70" t="n">
        <f aca="false">-R42*Assumptions!$H$79</f>
        <v>-4321.89782691151</v>
      </c>
      <c r="S45" s="70" t="n">
        <f aca="false">-S42*Assumptions!$H$79</f>
        <v>-4483.74505098889</v>
      </c>
      <c r="T45" s="70" t="n">
        <f aca="false">-T42*Assumptions!$H$79</f>
        <v>-4651.03703032056</v>
      </c>
      <c r="U45" s="70" t="n">
        <f aca="false">-U42*Assumptions!$H$79</f>
        <v>-4824.79571601426</v>
      </c>
      <c r="V45" s="70" t="n">
        <f aca="false">-V42*Assumptions!$H$79</f>
        <v>-5006.04690387438</v>
      </c>
      <c r="W45" s="70" t="n">
        <f aca="false">-W42*Assumptions!$H$79</f>
        <v>-5195.83686962927</v>
      </c>
      <c r="X45" s="70" t="n">
        <f aca="false">-X42*Assumptions!$H$79</f>
        <v>-5395.24723169931</v>
      </c>
      <c r="Y45" s="70" t="n">
        <f aca="false">-Y42*Assumptions!$H$79</f>
        <v>-5605.40851759531</v>
      </c>
      <c r="Z45" s="70" t="n">
        <f aca="false">-Z42*Assumptions!$H$79</f>
        <v>-5827.51282422508</v>
      </c>
      <c r="AA45" s="70" t="n">
        <f aca="false">-AA42*Assumptions!$H$79</f>
        <v>-6062.82589601499</v>
      </c>
      <c r="AB45" s="70" t="n">
        <f aca="false">-AB42*Assumptions!$H$79</f>
        <v>-6312.69889321902</v>
      </c>
      <c r="AC45" s="70" t="n">
        <f aca="false">-AC42*Assumptions!$H$79</f>
        <v>-6577.78908110908</v>
      </c>
      <c r="AD45" s="70" t="n">
        <f aca="false">-AD42*Assumptions!$H$79</f>
        <v>-6859.00251405366</v>
      </c>
      <c r="AE45" s="70" t="n">
        <f aca="false">-AE42*Assumptions!$H$79</f>
        <v>-7157.78022620874</v>
      </c>
      <c r="AF45" s="70" t="n">
        <f aca="false">-AF42*Assumptions!$H$79</f>
        <v>-7475.64162412454</v>
      </c>
      <c r="AG45" s="70" t="n">
        <f aca="false">-AG42*Assumptions!$H$79</f>
        <v>-7814.24563255078</v>
      </c>
      <c r="AH45" s="70" t="n">
        <f aca="false">-AH42*Assumptions!$H$79</f>
        <v>-8175.41438422723</v>
      </c>
      <c r="AI45" s="70" t="n">
        <f aca="false">-AI42*Assumptions!$H$79</f>
        <v>-8561.14562846765</v>
      </c>
      <c r="AJ45" s="70" t="n">
        <f aca="false">-AJ42*Assumptions!$H$79</f>
        <v>-8973.62545747027</v>
      </c>
      <c r="AK45" s="70" t="n">
        <f aca="false">-AK42*Assumptions!$H$79</f>
        <v>-9415.24218919252</v>
      </c>
      <c r="AL45" s="70" t="n">
        <f aca="false">-AL42*Assumptions!$H$79</f>
        <v>-9888.60162172634</v>
      </c>
      <c r="AM45" s="70" t="n">
        <f aca="false">SUM(C45:AL45)</f>
        <v>-182089.822879509</v>
      </c>
    </row>
    <row r="46" customFormat="false" ht="15" hidden="false" customHeight="false" outlineLevel="0" collapsed="false">
      <c r="A46" s="37" t="s">
        <v>767</v>
      </c>
      <c r="B46" s="9" t="s">
        <v>97</v>
      </c>
      <c r="C46" s="53" t="n">
        <f aca="false">C42+C43+C44+C45</f>
        <v>0</v>
      </c>
      <c r="D46" s="53" t="n">
        <f aca="false">D42+D43+D44+D45</f>
        <v>41331.6501772828</v>
      </c>
      <c r="E46" s="53" t="n">
        <f aca="false">E42+E43+E44+E45</f>
        <v>41587.8078783244</v>
      </c>
      <c r="F46" s="53" t="n">
        <f aca="false">F42+F43+F44+F45</f>
        <v>47092.8376716801</v>
      </c>
      <c r="G46" s="53" t="n">
        <f aca="false">G42+G43+G44+G45</f>
        <v>52419.5201904509</v>
      </c>
      <c r="H46" s="53" t="n">
        <f aca="false">H42+H43+H44+H45</f>
        <v>57022.9369768214</v>
      </c>
      <c r="I46" s="53" t="n">
        <f aca="false">I42+I43+I44+I45</f>
        <v>61074.8012244464</v>
      </c>
      <c r="J46" s="53" t="n">
        <f aca="false">J42+J43+J44+J45</f>
        <v>64680.8844208791</v>
      </c>
      <c r="K46" s="53" t="n">
        <f aca="false">K42+K43+K44+K45</f>
        <v>67927.774882644</v>
      </c>
      <c r="L46" s="53" t="n">
        <f aca="false">L42+L43+L44+L45</f>
        <v>70898.280389561</v>
      </c>
      <c r="M46" s="53" t="n">
        <f aca="false">M42+M43+M44+M45</f>
        <v>74048.8269515526</v>
      </c>
      <c r="N46" s="53" t="n">
        <f aca="false">N42+N43+N44+N45</f>
        <v>77196.9337858022</v>
      </c>
      <c r="O46" s="53" t="n">
        <f aca="false">O42+O43+O44+O45</f>
        <v>80339.5763970029</v>
      </c>
      <c r="P46" s="53" t="n">
        <f aca="false">P42+P43+P44+P45</f>
        <v>83502.5954006091</v>
      </c>
      <c r="Q46" s="53" t="n">
        <f aca="false">Q42+Q43+Q44+Q45</f>
        <v>86711.3570955098</v>
      </c>
      <c r="R46" s="53" t="n">
        <f aca="false">R42+R43+R44+R45</f>
        <v>89989.5262173716</v>
      </c>
      <c r="S46" s="53" t="n">
        <f aca="false">S42+S43+S44+S45</f>
        <v>93359.4705329521</v>
      </c>
      <c r="T46" s="53" t="n">
        <f aca="false">T42+T43+T44+T45</f>
        <v>96842.784244415</v>
      </c>
      <c r="U46" s="53" t="n">
        <f aca="false">U42+U43+U44+U45</f>
        <v>100460.746174094</v>
      </c>
      <c r="V46" s="53" t="n">
        <f aca="false">V42+V43+V44+V45</f>
        <v>104234.71519768</v>
      </c>
      <c r="W46" s="53" t="n">
        <f aca="false">W42+W43+W44+W45</f>
        <v>108186.476618958</v>
      </c>
      <c r="X46" s="53" t="n">
        <f aca="false">X42+X43+X44+X45</f>
        <v>112338.551638821</v>
      </c>
      <c r="Y46" s="53" t="n">
        <f aca="false">Y42+Y43+Y44+Y45</f>
        <v>116714.479831582</v>
      </c>
      <c r="Z46" s="53" t="n">
        <f aca="false">Z42+Z43+Z44+Z45</f>
        <v>121339.082754862</v>
      </c>
      <c r="AA46" s="53" t="n">
        <f aca="false">AA42+AA43+AA44+AA45</f>
        <v>126238.715437354</v>
      </c>
      <c r="AB46" s="53" t="n">
        <f aca="false">AB42+AB43+AB44+AB45</f>
        <v>131441.511415752</v>
      </c>
      <c r="AC46" s="53" t="n">
        <f aca="false">AC42+AC43+AC44+AC45</f>
        <v>136961.156110858</v>
      </c>
      <c r="AD46" s="53" t="n">
        <f aca="false">AD42+AD43+AD44+AD45</f>
        <v>142816.515170729</v>
      </c>
      <c r="AE46" s="53" t="n">
        <f aca="false">AE42+AE43+AE44+AE45</f>
        <v>149037.593465021</v>
      </c>
      <c r="AF46" s="53" t="n">
        <f aca="false">AF42+AF43+AF44+AF45</f>
        <v>155656.027714697</v>
      </c>
      <c r="AG46" s="53" t="n">
        <f aca="false">AG42+AG43+AG44+AG45</f>
        <v>162706.359655412</v>
      </c>
      <c r="AH46" s="53" t="n">
        <f aca="false">AH42+AH43+AH44+AH45</f>
        <v>170226.529300679</v>
      </c>
      <c r="AI46" s="53" t="n">
        <f aca="false">AI42+AI43+AI44+AI45</f>
        <v>178258.133310447</v>
      </c>
      <c r="AJ46" s="53" t="n">
        <f aca="false">AJ42+AJ43+AJ44+AJ45</f>
        <v>186846.689975308</v>
      </c>
      <c r="AK46" s="53" t="n">
        <f aca="false">AK42+AK43+AK44+AK45</f>
        <v>196041.928282399</v>
      </c>
      <c r="AL46" s="53" t="n">
        <f aca="false">AL42+AL43+AL44+AL45</f>
        <v>205898.105538371</v>
      </c>
      <c r="AM46" s="53" t="n">
        <f aca="false">SUM(C46:AL46)</f>
        <v>3791430.88203033</v>
      </c>
    </row>
    <row r="47" customFormat="false" ht="15" hidden="false" customHeight="false" outlineLevel="0" collapsed="false">
      <c r="A47" s="10" t="s">
        <v>768</v>
      </c>
      <c r="B47" s="9" t="s">
        <v>61</v>
      </c>
      <c r="C47" s="62" t="n">
        <f aca="false">IFERROR(C46/C42,0)</f>
        <v>0</v>
      </c>
      <c r="D47" s="62" t="n">
        <f aca="false">IFERROR(D46/D42,0)</f>
        <v>0.603831086439334</v>
      </c>
      <c r="E47" s="62" t="n">
        <f aca="false">IFERROR(E46/E42,0)</f>
        <v>0.603831086439334</v>
      </c>
      <c r="F47" s="62" t="n">
        <f aca="false">IFERROR(F46/F42,0)</f>
        <v>0.603831086439334</v>
      </c>
      <c r="G47" s="62" t="n">
        <f aca="false">IFERROR(G46/G42,0)</f>
        <v>0.603831086439334</v>
      </c>
      <c r="H47" s="62" t="n">
        <f aca="false">IFERROR(H46/H42,0)</f>
        <v>0.603831086439334</v>
      </c>
      <c r="I47" s="62" t="n">
        <f aca="false">IFERROR(I46/I42,0)</f>
        <v>0.603831086439334</v>
      </c>
      <c r="J47" s="62" t="n">
        <f aca="false">IFERROR(J46/J42,0)</f>
        <v>0.603831086439334</v>
      </c>
      <c r="K47" s="62" t="n">
        <f aca="false">IFERROR(K46/K42,0)</f>
        <v>0.603831086439334</v>
      </c>
      <c r="L47" s="62" t="n">
        <f aca="false">IFERROR(L46/L42,0)</f>
        <v>0.603831086439334</v>
      </c>
      <c r="M47" s="62" t="n">
        <f aca="false">IFERROR(M46/M42,0)</f>
        <v>0.603831086439334</v>
      </c>
      <c r="N47" s="62" t="n">
        <f aca="false">IFERROR(N46/N42,0)</f>
        <v>0.603831086439334</v>
      </c>
      <c r="O47" s="62" t="n">
        <f aca="false">IFERROR(O46/O42,0)</f>
        <v>0.603831086439334</v>
      </c>
      <c r="P47" s="62" t="n">
        <f aca="false">IFERROR(P46/P42,0)</f>
        <v>0.603831086439334</v>
      </c>
      <c r="Q47" s="62" t="n">
        <f aca="false">IFERROR(Q46/Q42,0)</f>
        <v>0.603831086439334</v>
      </c>
      <c r="R47" s="62" t="n">
        <f aca="false">IFERROR(R46/R42,0)</f>
        <v>0.603831086439334</v>
      </c>
      <c r="S47" s="62" t="n">
        <f aca="false">IFERROR(S46/S42,0)</f>
        <v>0.603831086439334</v>
      </c>
      <c r="T47" s="62" t="n">
        <f aca="false">IFERROR(T46/T42,0)</f>
        <v>0.603831086439334</v>
      </c>
      <c r="U47" s="62" t="n">
        <f aca="false">IFERROR(U46/U42,0)</f>
        <v>0.603831086439334</v>
      </c>
      <c r="V47" s="62" t="n">
        <f aca="false">IFERROR(V46/V42,0)</f>
        <v>0.603831086439334</v>
      </c>
      <c r="W47" s="62" t="n">
        <f aca="false">IFERROR(W46/W42,0)</f>
        <v>0.603831086439334</v>
      </c>
      <c r="X47" s="62" t="n">
        <f aca="false">IFERROR(X46/X42,0)</f>
        <v>0.603831086439334</v>
      </c>
      <c r="Y47" s="62" t="n">
        <f aca="false">IFERROR(Y46/Y42,0)</f>
        <v>0.603831086439334</v>
      </c>
      <c r="Z47" s="62" t="n">
        <f aca="false">IFERROR(Z46/Z42,0)</f>
        <v>0.603831086439334</v>
      </c>
      <c r="AA47" s="62" t="n">
        <f aca="false">IFERROR(AA46/AA42,0)</f>
        <v>0.603831086439334</v>
      </c>
      <c r="AB47" s="62" t="n">
        <f aca="false">IFERROR(AB46/AB42,0)</f>
        <v>0.603831086439334</v>
      </c>
      <c r="AC47" s="62" t="n">
        <f aca="false">IFERROR(AC46/AC42,0)</f>
        <v>0.603831086439334</v>
      </c>
      <c r="AD47" s="62" t="n">
        <f aca="false">IFERROR(AD46/AD42,0)</f>
        <v>0.603831086439334</v>
      </c>
      <c r="AE47" s="62" t="n">
        <f aca="false">IFERROR(AE46/AE42,0)</f>
        <v>0.603831086439334</v>
      </c>
      <c r="AF47" s="62" t="n">
        <f aca="false">IFERROR(AF46/AF42,0)</f>
        <v>0.603831086439334</v>
      </c>
      <c r="AG47" s="62" t="n">
        <f aca="false">IFERROR(AG46/AG42,0)</f>
        <v>0.603831086439334</v>
      </c>
      <c r="AH47" s="62" t="n">
        <f aca="false">IFERROR(AH46/AH42,0)</f>
        <v>0.603831086439334</v>
      </c>
      <c r="AI47" s="62" t="n">
        <f aca="false">IFERROR(AI46/AI42,0)</f>
        <v>0.603831086439334</v>
      </c>
      <c r="AJ47" s="62" t="n">
        <f aca="false">IFERROR(AJ46/AJ42,0)</f>
        <v>0.603831086439334</v>
      </c>
      <c r="AK47" s="62" t="n">
        <f aca="false">IFERROR(AK46/AK42,0)</f>
        <v>0.603831086439334</v>
      </c>
      <c r="AL47" s="62" t="n">
        <f aca="false">IFERROR(AL46/AL42,0)</f>
        <v>0.603831086439334</v>
      </c>
      <c r="AM47" s="62" t="n">
        <f aca="false">AVERAGE(N47:AL47)</f>
        <v>0.603831086439334</v>
      </c>
    </row>
    <row r="48" customFormat="false" ht="15" hidden="false" customHeight="false" outlineLevel="0" collapsed="false">
      <c r="A48" s="10" t="s">
        <v>769</v>
      </c>
      <c r="B48" s="9" t="s">
        <v>61</v>
      </c>
      <c r="C48" s="62" t="n">
        <f aca="false">IF(C9=0,0,MIN(Assumptions!$H$63,Assumptions!$H$61+Assumptions!$H$62*(C$5-Assumptions!$H$7)))</f>
        <v>0</v>
      </c>
      <c r="D48" s="62" t="n">
        <f aca="false">IF(D9=0,0,MIN(Assumptions!$H$63,Assumptions!$H$61+Assumptions!$H$62*(D$5-Assumptions!$H$7)))</f>
        <v>0</v>
      </c>
      <c r="E48" s="62" t="n">
        <f aca="false">IF(E9=0,0,MIN(Assumptions!$H$63,Assumptions!$H$61+Assumptions!$H$62*(E$5-Assumptions!$H$7)))</f>
        <v>0</v>
      </c>
      <c r="F48" s="62" t="n">
        <f aca="false">IF(F9=0,0,MIN(Assumptions!$H$63,Assumptions!$H$61+Assumptions!$H$62*(F$5-Assumptions!$H$7)))</f>
        <v>0</v>
      </c>
      <c r="G48" s="62" t="n">
        <f aca="false">IF(G9=0,0,MIN(Assumptions!$H$63,Assumptions!$H$61+Assumptions!$H$62*(G$5-Assumptions!$H$7)))</f>
        <v>0</v>
      </c>
      <c r="H48" s="62" t="n">
        <f aca="false">IF(H9=0,0,MIN(Assumptions!$H$63,Assumptions!$H$61+Assumptions!$H$62*(H$5-Assumptions!$H$7)))</f>
        <v>0</v>
      </c>
      <c r="I48" s="62" t="n">
        <f aca="false">IF(I9=0,0,MIN(Assumptions!$H$63,Assumptions!$H$61+Assumptions!$H$62*(I$5-Assumptions!$H$7)))</f>
        <v>0.36</v>
      </c>
      <c r="J48" s="62" t="n">
        <f aca="false">IF(J9=0,0,MIN(Assumptions!$H$63,Assumptions!$H$61+Assumptions!$H$62*(J$5-Assumptions!$H$7)))</f>
        <v>0.385</v>
      </c>
      <c r="K48" s="62" t="n">
        <f aca="false">IF(K9=0,0,MIN(Assumptions!$H$63,Assumptions!$H$61+Assumptions!$H$62*(K$5-Assumptions!$H$7)))</f>
        <v>0.41</v>
      </c>
      <c r="L48" s="62" t="n">
        <f aca="false">IF(L9=0,0,MIN(Assumptions!$H$63,Assumptions!$H$61+Assumptions!$H$62*(L$5-Assumptions!$H$7)))</f>
        <v>0.435</v>
      </c>
      <c r="M48" s="62" t="n">
        <f aca="false">IF(M9=0,0,MIN(Assumptions!$H$63,Assumptions!$H$61+Assumptions!$H$62*(M$5-Assumptions!$H$7)))</f>
        <v>0.46</v>
      </c>
      <c r="N48" s="62" t="n">
        <f aca="false">IF(N9=0,0,MIN(Assumptions!$H$63,Assumptions!$H$61+Assumptions!$H$62*(N$5-Assumptions!$H$7)))</f>
        <v>0.485</v>
      </c>
      <c r="O48" s="62" t="n">
        <f aca="false">IF(O9=0,0,MIN(Assumptions!$H$63,Assumptions!$H$61+Assumptions!$H$62*(O$5-Assumptions!$H$7)))</f>
        <v>0.51</v>
      </c>
      <c r="P48" s="62" t="n">
        <f aca="false">IF(P9=0,0,MIN(Assumptions!$H$63,Assumptions!$H$61+Assumptions!$H$62*(P$5-Assumptions!$H$7)))</f>
        <v>0.535</v>
      </c>
      <c r="Q48" s="62" t="n">
        <f aca="false">IF(Q9=0,0,MIN(Assumptions!$H$63,Assumptions!$H$61+Assumptions!$H$62*(Q$5-Assumptions!$H$7)))</f>
        <v>0.56</v>
      </c>
      <c r="R48" s="62" t="n">
        <f aca="false">IF(R9=0,0,MIN(Assumptions!$H$63,Assumptions!$H$61+Assumptions!$H$62*(R$5-Assumptions!$H$7)))</f>
        <v>0.585</v>
      </c>
      <c r="S48" s="62" t="n">
        <f aca="false">IF(S9=0,0,MIN(Assumptions!$H$63,Assumptions!$H$61+Assumptions!$H$62*(S$5-Assumptions!$H$7)))</f>
        <v>0.61</v>
      </c>
      <c r="T48" s="62" t="n">
        <f aca="false">IF(T9=0,0,MIN(Assumptions!$H$63,Assumptions!$H$61+Assumptions!$H$62*(T$5-Assumptions!$H$7)))</f>
        <v>0.635</v>
      </c>
      <c r="U48" s="62" t="n">
        <f aca="false">IF(U9=0,0,MIN(Assumptions!$H$63,Assumptions!$H$61+Assumptions!$H$62*(U$5-Assumptions!$H$7)))</f>
        <v>0.66</v>
      </c>
      <c r="V48" s="62" t="n">
        <f aca="false">IF(V9=0,0,MIN(Assumptions!$H$63,Assumptions!$H$61+Assumptions!$H$62*(V$5-Assumptions!$H$7)))</f>
        <v>0.685</v>
      </c>
      <c r="W48" s="62" t="n">
        <f aca="false">IF(W9=0,0,MIN(Assumptions!$H$63,Assumptions!$H$61+Assumptions!$H$62*(W$5-Assumptions!$H$7)))</f>
        <v>0.71</v>
      </c>
      <c r="X48" s="62" t="n">
        <f aca="false">IF(X9=0,0,MIN(Assumptions!$H$63,Assumptions!$H$61+Assumptions!$H$62*(X$5-Assumptions!$H$7)))</f>
        <v>0.735</v>
      </c>
      <c r="Y48" s="62" t="n">
        <f aca="false">IF(Y9=0,0,MIN(Assumptions!$H$63,Assumptions!$H$61+Assumptions!$H$62*(Y$5-Assumptions!$H$7)))</f>
        <v>0.76</v>
      </c>
      <c r="Z48" s="62" t="n">
        <f aca="false">IF(Z9=0,0,MIN(Assumptions!$H$63,Assumptions!$H$61+Assumptions!$H$62*(Z$5-Assumptions!$H$7)))</f>
        <v>0.785</v>
      </c>
      <c r="AA48" s="62" t="n">
        <f aca="false">IF(AA9=0,0,MIN(Assumptions!$H$63,Assumptions!$H$61+Assumptions!$H$62*(AA$5-Assumptions!$H$7)))</f>
        <v>0.81</v>
      </c>
      <c r="AB48" s="62" t="n">
        <f aca="false">IF(AB9=0,0,MIN(Assumptions!$H$63,Assumptions!$H$61+Assumptions!$H$62*(AB$5-Assumptions!$H$7)))</f>
        <v>0.82</v>
      </c>
      <c r="AC48" s="62" t="n">
        <f aca="false">IF(AC9=0,0,MIN(Assumptions!$H$63,Assumptions!$H$61+Assumptions!$H$62*(AC$5-Assumptions!$H$7)))</f>
        <v>0.82</v>
      </c>
      <c r="AD48" s="62" t="n">
        <f aca="false">IF(AD9=0,0,MIN(Assumptions!$H$63,Assumptions!$H$61+Assumptions!$H$62*(AD$5-Assumptions!$H$7)))</f>
        <v>0.82</v>
      </c>
      <c r="AE48" s="62" t="n">
        <f aca="false">IF(AE9=0,0,MIN(Assumptions!$H$63,Assumptions!$H$61+Assumptions!$H$62*(AE$5-Assumptions!$H$7)))</f>
        <v>0.82</v>
      </c>
      <c r="AF48" s="62" t="n">
        <f aca="false">IF(AF9=0,0,MIN(Assumptions!$H$63,Assumptions!$H$61+Assumptions!$H$62*(AF$5-Assumptions!$H$7)))</f>
        <v>0.82</v>
      </c>
      <c r="AG48" s="62" t="n">
        <f aca="false">IF(AG9=0,0,MIN(Assumptions!$H$63,Assumptions!$H$61+Assumptions!$H$62*(AG$5-Assumptions!$H$7)))</f>
        <v>0.82</v>
      </c>
      <c r="AH48" s="62" t="n">
        <f aca="false">IF(AH9=0,0,MIN(Assumptions!$H$63,Assumptions!$H$61+Assumptions!$H$62*(AH$5-Assumptions!$H$7)))</f>
        <v>0.82</v>
      </c>
      <c r="AI48" s="62" t="n">
        <f aca="false">IF(AI9=0,0,MIN(Assumptions!$H$63,Assumptions!$H$61+Assumptions!$H$62*(AI$5-Assumptions!$H$7)))</f>
        <v>0.82</v>
      </c>
      <c r="AJ48" s="62" t="n">
        <f aca="false">IF(AJ9=0,0,MIN(Assumptions!$H$63,Assumptions!$H$61+Assumptions!$H$62*(AJ$5-Assumptions!$H$7)))</f>
        <v>0.82</v>
      </c>
      <c r="AK48" s="62" t="n">
        <f aca="false">IF(AK9=0,0,MIN(Assumptions!$H$63,Assumptions!$H$61+Assumptions!$H$62*(AK$5-Assumptions!$H$7)))</f>
        <v>0.82</v>
      </c>
      <c r="AL48" s="62" t="n">
        <f aca="false">IF(AL9=0,0,MIN(Assumptions!$H$63,Assumptions!$H$61+Assumptions!$H$62*(AL$5-Assumptions!$H$7)))</f>
        <v>0.82</v>
      </c>
      <c r="AM48" s="62" t="n">
        <f aca="false">AL48</f>
        <v>0.82</v>
      </c>
    </row>
    <row r="49" customFormat="false" ht="15" hidden="false" customHeight="false" outlineLevel="0" collapsed="false">
      <c r="A49" s="10" t="s">
        <v>770</v>
      </c>
      <c r="B49" s="9" t="s">
        <v>84</v>
      </c>
      <c r="C49" s="61" t="n">
        <f aca="false">C15+C19+C23+(C13+C25)*Assumptions!$H$45</f>
        <v>5800.24053845475</v>
      </c>
      <c r="D49" s="61" t="n">
        <f aca="false">D15+D19+D23+(D13+D25)*Assumptions!$H$45</f>
        <v>49446.3433448276</v>
      </c>
      <c r="E49" s="61" t="n">
        <f aca="false">E15+E19+E23+(E13+E25)*Assumptions!$H$45</f>
        <v>35974.0059062069</v>
      </c>
      <c r="F49" s="61" t="n">
        <f aca="false">F15+F19+F23+(F13+F25)*Assumptions!$H$45</f>
        <v>33693.5772812088</v>
      </c>
      <c r="G49" s="61" t="n">
        <f aca="false">G15+G19+G23+(G13+G25)*Assumptions!$H$45</f>
        <v>31967.8361921208</v>
      </c>
      <c r="H49" s="61" t="n">
        <f aca="false">H15+H19+H23+(H13+H25)*Assumptions!$H$45</f>
        <v>30565.8745694469</v>
      </c>
      <c r="I49" s="61" t="n">
        <f aca="false">I15+I19+I23+(I13+I25)*Assumptions!$H$45</f>
        <v>29503.1131740889</v>
      </c>
      <c r="J49" s="61" t="n">
        <f aca="false">J15+J19+J23+(J13+J25)*Assumptions!$H$45</f>
        <v>28735.2769721604</v>
      </c>
      <c r="K49" s="61" t="n">
        <f aca="false">K15+K19+K23+(K13+K25)*Assumptions!$H$45</f>
        <v>28219.5671338003</v>
      </c>
      <c r="L49" s="61" t="n">
        <f aca="false">L15+L19+L23+(L13+L25)*Assumptions!$H$45</f>
        <v>27934.3749418787</v>
      </c>
      <c r="M49" s="61" t="n">
        <f aca="false">M15+M19+M23+(M13+M25)*Assumptions!$H$45</f>
        <v>28366.7161559722</v>
      </c>
      <c r="N49" s="61" t="n">
        <f aca="false">N15+N19+N23+(N13+N25)*Assumptions!$H$45</f>
        <v>29032.3774912035</v>
      </c>
      <c r="O49" s="61" t="n">
        <f aca="false">O15+O19+O23+(O13+O25)*Assumptions!$H$45</f>
        <v>29830.4476458745</v>
      </c>
      <c r="P49" s="61" t="n">
        <f aca="false">P15+P19+P23+(P13+P25)*Assumptions!$H$45</f>
        <v>30746.4225815104</v>
      </c>
      <c r="Q49" s="61" t="n">
        <f aca="false">Q15+Q19+Q23+(Q13+Q25)*Assumptions!$H$45</f>
        <v>31776.9633943321</v>
      </c>
      <c r="R49" s="61" t="n">
        <f aca="false">R15+R19+R23+(R13+R25)*Assumptions!$H$45</f>
        <v>32921.5546200134</v>
      </c>
      <c r="S49" s="61" t="n">
        <f aca="false">S15+S19+S23+(S13+S25)*Assumptions!$H$45</f>
        <v>34181.5519211072</v>
      </c>
      <c r="T49" s="61" t="n">
        <f aca="false">T15+T19+T23+(T13+T25)*Assumptions!$H$45</f>
        <v>35560.0286943502</v>
      </c>
      <c r="U49" s="61" t="n">
        <f aca="false">U15+U19+U23+(U13+U25)*Assumptions!$H$45</f>
        <v>37061.6862430378</v>
      </c>
      <c r="V49" s="61" t="n">
        <f aca="false">V15+V19+V23+(V13+V25)*Assumptions!$H$45</f>
        <v>38692.7758425786</v>
      </c>
      <c r="W49" s="61" t="n">
        <f aca="false">W15+W19+W23+(W13+W25)*Assumptions!$H$45</f>
        <v>40461.0378064926</v>
      </c>
      <c r="X49" s="61" t="n">
        <f aca="false">X15+X19+X23+(X13+X25)*Assumptions!$H$45</f>
        <v>42375.6620739543</v>
      </c>
      <c r="Y49" s="61" t="n">
        <f aca="false">Y15+Y19+Y23+(Y13+Y25)*Assumptions!$H$45</f>
        <v>44447.2715954825</v>
      </c>
      <c r="Z49" s="61" t="n">
        <f aca="false">Z15+Z19+Z23+(Z13+Z25)*Assumptions!$H$45</f>
        <v>46687.9280505884</v>
      </c>
      <c r="AA49" s="61" t="n">
        <f aca="false">AA15+AA19+AA23+(AA13+AA25)*Assumptions!$H$45</f>
        <v>49111.1587350592</v>
      </c>
      <c r="AB49" s="61" t="n">
        <f aca="false">AB15+AB19+AB23+(AB13+AB25)*Assumptions!$H$45</f>
        <v>51732.0033111751</v>
      </c>
      <c r="AC49" s="61" t="n">
        <f aca="false">AC15+AC19+AC23+(AC13+AC25)*Assumptions!$H$45</f>
        <v>54545.4488515919</v>
      </c>
      <c r="AD49" s="61" t="n">
        <f aca="false">AD15+AD19+AD23+(AD13+AD25)*Assumptions!$H$45</f>
        <v>57558.2698164004</v>
      </c>
      <c r="AE49" s="61" t="n">
        <f aca="false">AE15+AE19+AE23+(AE13+AE25)*Assumptions!$H$45</f>
        <v>60793.7557454226</v>
      </c>
      <c r="AF49" s="61" t="n">
        <f aca="false">AF15+AF19+AF23+(AF13+AF25)*Assumptions!$H$45</f>
        <v>64274.23911414</v>
      </c>
      <c r="AG49" s="61" t="n">
        <f aca="false">AG15+AG19+AG23+(AG13+AG25)*Assumptions!$H$45</f>
        <v>68023.0878090316</v>
      </c>
      <c r="AH49" s="61" t="n">
        <f aca="false">AH15+AH19+AH23+(AH13+AH25)*Assumptions!$H$45</f>
        <v>72065.5142162417</v>
      </c>
      <c r="AI49" s="61" t="n">
        <f aca="false">AI15+AI19+AI23+(AI13+AI25)*Assumptions!$H$45</f>
        <v>76428.8251701946</v>
      </c>
      <c r="AJ49" s="61" t="n">
        <f aca="false">AJ15+AJ19+AJ23+(AJ13+AJ25)*Assumptions!$H$45</f>
        <v>81142.6165847937</v>
      </c>
      <c r="AK49" s="61" t="n">
        <f aca="false">AK15+AK19+AK23+(AK13+AK25)*Assumptions!$H$45</f>
        <v>86238.9757335739</v>
      </c>
      <c r="AL49" s="61" t="n">
        <f aca="false">AL15+AL19+AL23+(AL13+AL25)*Assumptions!$H$45</f>
        <v>91752.7006563555</v>
      </c>
      <c r="AM49" s="61" t="n">
        <f aca="false">SUM(C49:AL49)</f>
        <v>1617649.22991467</v>
      </c>
    </row>
    <row r="50" customFormat="false" ht="15" hidden="false" customHeight="false" outlineLevel="0" collapsed="false">
      <c r="A50" s="10" t="s">
        <v>771</v>
      </c>
      <c r="B50" s="9" t="s">
        <v>51</v>
      </c>
      <c r="C50" s="61" t="n">
        <f aca="false">C49*Assumptions!$H$58*C9</f>
        <v>0</v>
      </c>
      <c r="D50" s="61" t="n">
        <f aca="false">D49*Assumptions!$H$58*D9</f>
        <v>0</v>
      </c>
      <c r="E50" s="61" t="n">
        <f aca="false">E49*Assumptions!$H$58*E9</f>
        <v>0</v>
      </c>
      <c r="F50" s="61" t="n">
        <f aca="false">F49*Assumptions!$H$58*F9</f>
        <v>0</v>
      </c>
      <c r="G50" s="61" t="n">
        <f aca="false">G49*Assumptions!$H$58*G9</f>
        <v>0</v>
      </c>
      <c r="H50" s="61" t="n">
        <f aca="false">H49*Assumptions!$H$58*H9</f>
        <v>0</v>
      </c>
      <c r="I50" s="61" t="n">
        <f aca="false">I49*Assumptions!$H$58*I9</f>
        <v>531.0560371336</v>
      </c>
      <c r="J50" s="61" t="n">
        <f aca="false">J49*Assumptions!$H$58*J9</f>
        <v>517.234985498886</v>
      </c>
      <c r="K50" s="61" t="n">
        <f aca="false">K49*Assumptions!$H$58*K9</f>
        <v>507.952208408405</v>
      </c>
      <c r="L50" s="61" t="n">
        <f aca="false">L49*Assumptions!$H$58*L9</f>
        <v>502.818748953817</v>
      </c>
      <c r="M50" s="61" t="n">
        <f aca="false">M49*Assumptions!$H$58*M9</f>
        <v>510.6008908075</v>
      </c>
      <c r="N50" s="61" t="n">
        <f aca="false">N49*Assumptions!$H$58*N9</f>
        <v>522.582794841662</v>
      </c>
      <c r="O50" s="61" t="n">
        <f aca="false">O49*Assumptions!$H$58*O9</f>
        <v>536.948057625741</v>
      </c>
      <c r="P50" s="61" t="n">
        <f aca="false">P49*Assumptions!$H$58*P9</f>
        <v>553.435606467188</v>
      </c>
      <c r="Q50" s="61" t="n">
        <f aca="false">Q49*Assumptions!$H$58*Q9</f>
        <v>571.985341097977</v>
      </c>
      <c r="R50" s="61" t="n">
        <f aca="false">R49*Assumptions!$H$58*R9</f>
        <v>592.587983160241</v>
      </c>
      <c r="S50" s="61" t="n">
        <f aca="false">S49*Assumptions!$H$58*S9</f>
        <v>615.26793457993</v>
      </c>
      <c r="T50" s="61" t="n">
        <f aca="false">T49*Assumptions!$H$58*T9</f>
        <v>640.080516498304</v>
      </c>
      <c r="U50" s="61" t="n">
        <f aca="false">U49*Assumptions!$H$58*U9</f>
        <v>667.110352374681</v>
      </c>
      <c r="V50" s="61" t="n">
        <f aca="false">V49*Assumptions!$H$58*V9</f>
        <v>696.469965166415</v>
      </c>
      <c r="W50" s="61" t="n">
        <f aca="false">W49*Assumptions!$H$58*W9</f>
        <v>728.298680516866</v>
      </c>
      <c r="X50" s="61" t="n">
        <f aca="false">X49*Assumptions!$H$58*X9</f>
        <v>762.761917331177</v>
      </c>
      <c r="Y50" s="61" t="n">
        <f aca="false">Y49*Assumptions!$H$58*Y9</f>
        <v>800.050888718685</v>
      </c>
      <c r="Z50" s="61" t="n">
        <f aca="false">Z49*Assumptions!$H$58*Z9</f>
        <v>840.382704910591</v>
      </c>
      <c r="AA50" s="61" t="n">
        <f aca="false">AA49*Assumptions!$H$58*AA9</f>
        <v>884.000857231066</v>
      </c>
      <c r="AB50" s="61" t="n">
        <f aca="false">AB49*Assumptions!$H$58*AB9</f>
        <v>931.176059601152</v>
      </c>
      <c r="AC50" s="61" t="n">
        <f aca="false">AC49*Assumptions!$H$58*AC9</f>
        <v>981.818079328655</v>
      </c>
      <c r="AD50" s="61" t="n">
        <f aca="false">AD49*Assumptions!$H$58*AD9</f>
        <v>1036.04885669521</v>
      </c>
      <c r="AE50" s="61" t="n">
        <f aca="false">AE49*Assumptions!$H$58*AE9</f>
        <v>1094.28760341761</v>
      </c>
      <c r="AF50" s="61" t="n">
        <f aca="false">AF49*Assumptions!$H$58*AF9</f>
        <v>1156.93630405452</v>
      </c>
      <c r="AG50" s="61" t="n">
        <f aca="false">AG49*Assumptions!$H$58*AG9</f>
        <v>1224.41558056257</v>
      </c>
      <c r="AH50" s="61" t="n">
        <f aca="false">AH49*Assumptions!$H$58*AH9</f>
        <v>1297.17925589235</v>
      </c>
      <c r="AI50" s="61" t="n">
        <f aca="false">AI49*Assumptions!$H$58*AI9</f>
        <v>1375.7188530635</v>
      </c>
      <c r="AJ50" s="61" t="n">
        <f aca="false">AJ49*Assumptions!$H$58*AJ9</f>
        <v>1460.56709852629</v>
      </c>
      <c r="AK50" s="61" t="n">
        <f aca="false">AK49*Assumptions!$H$58*AK9</f>
        <v>1552.30156320433</v>
      </c>
      <c r="AL50" s="61" t="n">
        <f aca="false">AL49*Assumptions!$H$58*AL9</f>
        <v>1651.5486118144</v>
      </c>
      <c r="AM50" s="61" t="n">
        <f aca="false">SUM(C50:AL50)</f>
        <v>25743.6243374833</v>
      </c>
    </row>
    <row r="51" customFormat="false" ht="15" hidden="false" customHeight="false" outlineLevel="0" collapsed="false">
      <c r="A51" s="10" t="s">
        <v>772</v>
      </c>
      <c r="B51" s="9" t="s">
        <v>51</v>
      </c>
      <c r="C51" s="61" t="n">
        <f aca="false">C50*Assumptions!$H$59</f>
        <v>0</v>
      </c>
      <c r="D51" s="61" t="n">
        <f aca="false">D50*Assumptions!$H$59</f>
        <v>0</v>
      </c>
      <c r="E51" s="61" t="n">
        <f aca="false">E50*Assumptions!$H$59</f>
        <v>0</v>
      </c>
      <c r="F51" s="61" t="n">
        <f aca="false">F50*Assumptions!$H$59</f>
        <v>0</v>
      </c>
      <c r="G51" s="61" t="n">
        <f aca="false">G50*Assumptions!$H$59</f>
        <v>0</v>
      </c>
      <c r="H51" s="61" t="n">
        <f aca="false">H50*Assumptions!$H$59</f>
        <v>0</v>
      </c>
      <c r="I51" s="61" t="n">
        <f aca="false">I50*Assumptions!$H$59</f>
        <v>371.73922599352</v>
      </c>
      <c r="J51" s="61" t="n">
        <f aca="false">J50*Assumptions!$H$59</f>
        <v>362.06448984922</v>
      </c>
      <c r="K51" s="61" t="n">
        <f aca="false">K50*Assumptions!$H$59</f>
        <v>355.566545885884</v>
      </c>
      <c r="L51" s="61" t="n">
        <f aca="false">L50*Assumptions!$H$59</f>
        <v>351.973124267672</v>
      </c>
      <c r="M51" s="61" t="n">
        <f aca="false">M50*Assumptions!$H$59</f>
        <v>357.42062356525</v>
      </c>
      <c r="N51" s="61" t="n">
        <f aca="false">N50*Assumptions!$H$59</f>
        <v>365.807956389164</v>
      </c>
      <c r="O51" s="61" t="n">
        <f aca="false">O50*Assumptions!$H$59</f>
        <v>375.863640338018</v>
      </c>
      <c r="P51" s="61" t="n">
        <f aca="false">P50*Assumptions!$H$59</f>
        <v>387.404924527031</v>
      </c>
      <c r="Q51" s="61" t="n">
        <f aca="false">Q50*Assumptions!$H$59</f>
        <v>400.389738768584</v>
      </c>
      <c r="R51" s="61" t="n">
        <f aca="false">R50*Assumptions!$H$59</f>
        <v>414.811588212168</v>
      </c>
      <c r="S51" s="61" t="n">
        <f aca="false">S50*Assumptions!$H$59</f>
        <v>430.687554205951</v>
      </c>
      <c r="T51" s="61" t="n">
        <f aca="false">T50*Assumptions!$H$59</f>
        <v>448.056361548813</v>
      </c>
      <c r="U51" s="61" t="n">
        <f aca="false">U50*Assumptions!$H$59</f>
        <v>466.977246662277</v>
      </c>
      <c r="V51" s="61" t="n">
        <f aca="false">V50*Assumptions!$H$59</f>
        <v>487.52897561649</v>
      </c>
      <c r="W51" s="61" t="n">
        <f aca="false">W50*Assumptions!$H$59</f>
        <v>509.809076361806</v>
      </c>
      <c r="X51" s="61" t="n">
        <f aca="false">X50*Assumptions!$H$59</f>
        <v>533.933342131824</v>
      </c>
      <c r="Y51" s="61" t="n">
        <f aca="false">Y50*Assumptions!$H$59</f>
        <v>560.03562210308</v>
      </c>
      <c r="Z51" s="61" t="n">
        <f aca="false">Z50*Assumptions!$H$59</f>
        <v>588.267893437413</v>
      </c>
      <c r="AA51" s="61" t="n">
        <f aca="false">AA50*Assumptions!$H$59</f>
        <v>618.800600061746</v>
      </c>
      <c r="AB51" s="61" t="n">
        <f aca="false">AB50*Assumptions!$H$59</f>
        <v>651.823241720807</v>
      </c>
      <c r="AC51" s="61" t="n">
        <f aca="false">AC50*Assumptions!$H$59</f>
        <v>687.272655530058</v>
      </c>
      <c r="AD51" s="61" t="n">
        <f aca="false">AD50*Assumptions!$H$59</f>
        <v>725.234199686645</v>
      </c>
      <c r="AE51" s="61" t="n">
        <f aca="false">AE50*Assumptions!$H$59</f>
        <v>766.001322392325</v>
      </c>
      <c r="AF51" s="61" t="n">
        <f aca="false">AF50*Assumptions!$H$59</f>
        <v>809.855412838164</v>
      </c>
      <c r="AG51" s="61" t="n">
        <f aca="false">AG50*Assumptions!$H$59</f>
        <v>857.090906393798</v>
      </c>
      <c r="AH51" s="61" t="n">
        <f aca="false">AH50*Assumptions!$H$59</f>
        <v>908.025479124645</v>
      </c>
      <c r="AI51" s="61" t="n">
        <f aca="false">AI50*Assumptions!$H$59</f>
        <v>963.003197144451</v>
      </c>
      <c r="AJ51" s="61" t="n">
        <f aca="false">AJ50*Assumptions!$H$59</f>
        <v>1022.3969689684</v>
      </c>
      <c r="AK51" s="61" t="n">
        <f aca="false">AK50*Assumptions!$H$59</f>
        <v>1086.61109424303</v>
      </c>
      <c r="AL51" s="61" t="n">
        <f aca="false">AL50*Assumptions!$H$59</f>
        <v>1156.08402827008</v>
      </c>
      <c r="AM51" s="61" t="n">
        <f aca="false">SUM(C51:AL51)</f>
        <v>18020.5370362383</v>
      </c>
    </row>
    <row r="52" customFormat="false" ht="15" hidden="false" customHeight="false" outlineLevel="0" collapsed="false">
      <c r="A52" s="10" t="s">
        <v>773</v>
      </c>
      <c r="B52" s="9" t="s">
        <v>51</v>
      </c>
      <c r="C52" s="61" t="n">
        <f aca="false">C51*Assumptions!$H$60*C48</f>
        <v>0</v>
      </c>
      <c r="D52" s="61" t="n">
        <f aca="false">D51*Assumptions!$H$60*D48</f>
        <v>0</v>
      </c>
      <c r="E52" s="61" t="n">
        <f aca="false">E51*Assumptions!$H$60*E48</f>
        <v>0</v>
      </c>
      <c r="F52" s="61" t="n">
        <f aca="false">F51*Assumptions!$H$60*F48</f>
        <v>0</v>
      </c>
      <c r="G52" s="61" t="n">
        <f aca="false">G51*Assumptions!$H$60*G48</f>
        <v>0</v>
      </c>
      <c r="H52" s="61" t="n">
        <f aca="false">H51*Assumptions!$H$60*H48</f>
        <v>0</v>
      </c>
      <c r="I52" s="61" t="n">
        <f aca="false">I51*Assumptions!$H$60*I48</f>
        <v>77.619150387447</v>
      </c>
      <c r="J52" s="61" t="n">
        <f aca="false">J51*Assumptions!$H$60*J48</f>
        <v>80.8490005833309</v>
      </c>
      <c r="K52" s="61" t="n">
        <f aca="false">K51*Assumptions!$H$60*K48</f>
        <v>84.5537246116631</v>
      </c>
      <c r="L52" s="61" t="n">
        <f aca="false">L51*Assumptions!$H$60*L48</f>
        <v>88.8028192527336</v>
      </c>
      <c r="M52" s="61" t="n">
        <f aca="false">M51*Assumptions!$H$60*M48</f>
        <v>95.3598223672088</v>
      </c>
      <c r="N52" s="61" t="n">
        <f aca="false">N51*Assumptions!$H$60*N48</f>
        <v>102.901778132272</v>
      </c>
      <c r="O52" s="61" t="n">
        <f aca="false">O51*Assumptions!$H$60*O48</f>
        <v>111.180464811986</v>
      </c>
      <c r="P52" s="61" t="n">
        <f aca="false">P51*Assumptions!$H$60*P48</f>
        <v>120.211748080738</v>
      </c>
      <c r="Q52" s="61" t="n">
        <f aca="false">Q51*Assumptions!$H$60*Q48</f>
        <v>130.046587152036</v>
      </c>
      <c r="R52" s="61" t="n">
        <f aca="false">R51*Assumptions!$H$60*R48</f>
        <v>140.745571880389</v>
      </c>
      <c r="S52" s="61" t="n">
        <f aca="false">S51*Assumptions!$H$60*S48</f>
        <v>152.377256678065</v>
      </c>
      <c r="T52" s="61" t="n">
        <f aca="false">T51*Assumptions!$H$60*T48</f>
        <v>165.019157958428</v>
      </c>
      <c r="U52" s="61" t="n">
        <f aca="false">U51*Assumptions!$H$60*U48</f>
        <v>178.75889002232</v>
      </c>
      <c r="V52" s="61" t="n">
        <f aca="false">V51*Assumptions!$H$60*V48</f>
        <v>193.695262012432</v>
      </c>
      <c r="W52" s="61" t="n">
        <f aca="false">W51*Assumptions!$H$60*W48</f>
        <v>209.939377645792</v>
      </c>
      <c r="X52" s="61" t="n">
        <f aca="false">X51*Assumptions!$H$60*X48</f>
        <v>227.615783750796</v>
      </c>
      <c r="Y52" s="61" t="n">
        <f aca="false">Y51*Assumptions!$H$60*Y48</f>
        <v>246.863702223038</v>
      </c>
      <c r="Z52" s="61" t="n">
        <f aca="false">Z51*Assumptions!$H$60*Z48</f>
        <v>267.838371882054</v>
      </c>
      <c r="AA52" s="61" t="n">
        <f aca="false">AA51*Assumptions!$H$60*AA48</f>
        <v>290.712521909009</v>
      </c>
      <c r="AB52" s="61" t="n">
        <f aca="false">AB51*Assumptions!$H$60*AB48</f>
        <v>310.007133762416</v>
      </c>
      <c r="AC52" s="61" t="n">
        <f aca="false">AC51*Assumptions!$H$60*AC48</f>
        <v>326.866874970096</v>
      </c>
      <c r="AD52" s="61" t="n">
        <f aca="false">AD51*Assumptions!$H$60*AD48</f>
        <v>344.921385370968</v>
      </c>
      <c r="AE52" s="61" t="n">
        <f aca="false">AE51*Assumptions!$H$60*AE48</f>
        <v>364.31022892979</v>
      </c>
      <c r="AF52" s="61" t="n">
        <f aca="false">AF51*Assumptions!$H$60*AF48</f>
        <v>385.167234345831</v>
      </c>
      <c r="AG52" s="61" t="n">
        <f aca="false">AG51*Assumptions!$H$60*AG48</f>
        <v>407.63243508089</v>
      </c>
      <c r="AH52" s="61" t="n">
        <f aca="false">AH51*Assumptions!$H$60*AH48</f>
        <v>431.856917871681</v>
      </c>
      <c r="AI52" s="61" t="n">
        <f aca="false">AI51*Assumptions!$H$60*AI48</f>
        <v>458.004320561901</v>
      </c>
      <c r="AJ52" s="61" t="n">
        <f aca="false">AJ51*Assumptions!$H$60*AJ48</f>
        <v>486.251998441371</v>
      </c>
      <c r="AK52" s="61" t="n">
        <f aca="false">AK51*Assumptions!$H$60*AK48</f>
        <v>516.792236421986</v>
      </c>
      <c r="AL52" s="61" t="n">
        <f aca="false">AL51*Assumptions!$H$60*AL48</f>
        <v>549.833563845249</v>
      </c>
      <c r="AM52" s="61" t="n">
        <f aca="false">SUM(C52:AL52)</f>
        <v>7546.73532094391</v>
      </c>
    </row>
    <row r="53" customFormat="false" ht="15" hidden="false" customHeight="false" outlineLevel="0" collapsed="false">
      <c r="A53" s="10" t="s">
        <v>774</v>
      </c>
      <c r="B53" s="9" t="s">
        <v>51</v>
      </c>
      <c r="C53" s="61" t="n">
        <f aca="false">C52*Assumptions!$H$64</f>
        <v>0</v>
      </c>
      <c r="D53" s="61" t="n">
        <f aca="false">D52*Assumptions!$H$64</f>
        <v>0</v>
      </c>
      <c r="E53" s="61" t="n">
        <f aca="false">E52*Assumptions!$H$64</f>
        <v>0</v>
      </c>
      <c r="F53" s="61" t="n">
        <f aca="false">F52*Assumptions!$H$64</f>
        <v>0</v>
      </c>
      <c r="G53" s="61" t="n">
        <f aca="false">G52*Assumptions!$H$64</f>
        <v>0</v>
      </c>
      <c r="H53" s="61" t="n">
        <f aca="false">H52*Assumptions!$H$64</f>
        <v>0</v>
      </c>
      <c r="I53" s="61" t="n">
        <f aca="false">I52*Assumptions!$H$64</f>
        <v>43.4667242169703</v>
      </c>
      <c r="J53" s="61" t="n">
        <f aca="false">J52*Assumptions!$H$64</f>
        <v>45.2754403266653</v>
      </c>
      <c r="K53" s="61" t="n">
        <f aca="false">K52*Assumptions!$H$64</f>
        <v>47.3500857825313</v>
      </c>
      <c r="L53" s="61" t="n">
        <f aca="false">L52*Assumptions!$H$64</f>
        <v>49.7295787815308</v>
      </c>
      <c r="M53" s="61" t="n">
        <f aca="false">M52*Assumptions!$H$64</f>
        <v>53.4015005256369</v>
      </c>
      <c r="N53" s="61" t="n">
        <f aca="false">N52*Assumptions!$H$64</f>
        <v>57.6249957540722</v>
      </c>
      <c r="O53" s="61" t="n">
        <f aca="false">O52*Assumptions!$H$64</f>
        <v>62.2610602947121</v>
      </c>
      <c r="P53" s="61" t="n">
        <f aca="false">P52*Assumptions!$H$64</f>
        <v>67.3185789252132</v>
      </c>
      <c r="Q53" s="61" t="n">
        <f aca="false">Q52*Assumptions!$H$64</f>
        <v>72.8260888051402</v>
      </c>
      <c r="R53" s="61" t="n">
        <f aca="false">R52*Assumptions!$H$64</f>
        <v>78.8175202530177</v>
      </c>
      <c r="S53" s="61" t="n">
        <f aca="false">S52*Assumptions!$H$64</f>
        <v>85.3312637397166</v>
      </c>
      <c r="T53" s="61" t="n">
        <f aca="false">T52*Assumptions!$H$64</f>
        <v>92.4107284567195</v>
      </c>
      <c r="U53" s="61" t="n">
        <f aca="false">U52*Assumptions!$H$64</f>
        <v>100.104978412499</v>
      </c>
      <c r="V53" s="61" t="n">
        <f aca="false">V52*Assumptions!$H$64</f>
        <v>108.469346726962</v>
      </c>
      <c r="W53" s="61" t="n">
        <f aca="false">W52*Assumptions!$H$64</f>
        <v>117.566051481643</v>
      </c>
      <c r="X53" s="61" t="n">
        <f aca="false">X52*Assumptions!$H$64</f>
        <v>127.464838900446</v>
      </c>
      <c r="Y53" s="61" t="n">
        <f aca="false">Y52*Assumptions!$H$64</f>
        <v>138.243673244901</v>
      </c>
      <c r="Z53" s="61" t="n">
        <f aca="false">Z52*Assumptions!$H$64</f>
        <v>149.98948825395</v>
      </c>
      <c r="AA53" s="61" t="n">
        <f aca="false">AA52*Assumptions!$H$64</f>
        <v>162.799012269045</v>
      </c>
      <c r="AB53" s="61" t="n">
        <f aca="false">AB52*Assumptions!$H$64</f>
        <v>173.603994906953</v>
      </c>
      <c r="AC53" s="61" t="n">
        <f aca="false">AC52*Assumptions!$H$64</f>
        <v>183.045449983254</v>
      </c>
      <c r="AD53" s="61" t="n">
        <f aca="false">AD52*Assumptions!$H$64</f>
        <v>193.155975807742</v>
      </c>
      <c r="AE53" s="61" t="n">
        <f aca="false">AE52*Assumptions!$H$64</f>
        <v>204.013728200682</v>
      </c>
      <c r="AF53" s="61" t="n">
        <f aca="false">AF52*Assumptions!$H$64</f>
        <v>215.693651233665</v>
      </c>
      <c r="AG53" s="61" t="n">
        <f aca="false">AG52*Assumptions!$H$64</f>
        <v>228.274163645298</v>
      </c>
      <c r="AH53" s="61" t="n">
        <f aca="false">AH52*Assumptions!$H$64</f>
        <v>241.839874008142</v>
      </c>
      <c r="AI53" s="61" t="n">
        <f aca="false">AI52*Assumptions!$H$64</f>
        <v>256.482419514665</v>
      </c>
      <c r="AJ53" s="61" t="n">
        <f aca="false">AJ52*Assumptions!$H$64</f>
        <v>272.301119127168</v>
      </c>
      <c r="AK53" s="61" t="n">
        <f aca="false">AK52*Assumptions!$H$64</f>
        <v>289.403652396312</v>
      </c>
      <c r="AL53" s="61" t="n">
        <f aca="false">AL52*Assumptions!$H$64</f>
        <v>307.90679575334</v>
      </c>
      <c r="AM53" s="61" t="n">
        <f aca="false">SUM(C53:AL53)</f>
        <v>4226.17177972859</v>
      </c>
    </row>
    <row r="54" customFormat="false" ht="15" hidden="false" customHeight="false" outlineLevel="0" collapsed="false">
      <c r="A54" s="10" t="s">
        <v>775</v>
      </c>
      <c r="B54" s="9" t="s">
        <v>51</v>
      </c>
      <c r="C54" s="61" t="n">
        <f aca="false">C53*Assumptions!$H$65</f>
        <v>0</v>
      </c>
      <c r="D54" s="61" t="n">
        <f aca="false">D53*Assumptions!$H$65</f>
        <v>0</v>
      </c>
      <c r="E54" s="61" t="n">
        <f aca="false">E53*Assumptions!$H$65</f>
        <v>0</v>
      </c>
      <c r="F54" s="61" t="n">
        <f aca="false">F53*Assumptions!$H$65</f>
        <v>0</v>
      </c>
      <c r="G54" s="61" t="n">
        <f aca="false">G53*Assumptions!$H$65</f>
        <v>0</v>
      </c>
      <c r="H54" s="61" t="n">
        <f aca="false">H53*Assumptions!$H$65</f>
        <v>0</v>
      </c>
      <c r="I54" s="61" t="n">
        <f aca="false">I53*Assumptions!$H$65</f>
        <v>36.0773811000854</v>
      </c>
      <c r="J54" s="61" t="n">
        <f aca="false">J53*Assumptions!$H$65</f>
        <v>37.5786154711322</v>
      </c>
      <c r="K54" s="61" t="n">
        <f aca="false">K53*Assumptions!$H$65</f>
        <v>39.300571199501</v>
      </c>
      <c r="L54" s="61" t="n">
        <f aca="false">L53*Assumptions!$H$65</f>
        <v>41.2755503886706</v>
      </c>
      <c r="M54" s="61" t="n">
        <f aca="false">M53*Assumptions!$H$65</f>
        <v>44.3232454362786</v>
      </c>
      <c r="N54" s="61" t="n">
        <f aca="false">N53*Assumptions!$H$65</f>
        <v>47.8287464758799</v>
      </c>
      <c r="O54" s="61" t="n">
        <f aca="false">O53*Assumptions!$H$65</f>
        <v>51.676680044611</v>
      </c>
      <c r="P54" s="61" t="n">
        <f aca="false">P53*Assumptions!$H$65</f>
        <v>55.8744205079269</v>
      </c>
      <c r="Q54" s="61" t="n">
        <f aca="false">Q53*Assumptions!$H$65</f>
        <v>60.4456537082663</v>
      </c>
      <c r="R54" s="61" t="n">
        <f aca="false">R53*Assumptions!$H$65</f>
        <v>65.4185418100047</v>
      </c>
      <c r="S54" s="61" t="n">
        <f aca="false">S53*Assumptions!$H$65</f>
        <v>70.8249489039648</v>
      </c>
      <c r="T54" s="61" t="n">
        <f aca="false">T53*Assumptions!$H$65</f>
        <v>76.7009046190772</v>
      </c>
      <c r="U54" s="61" t="n">
        <f aca="false">U53*Assumptions!$H$65</f>
        <v>83.0871320823741</v>
      </c>
      <c r="V54" s="61" t="n">
        <f aca="false">V53*Assumptions!$H$65</f>
        <v>90.0295577833782</v>
      </c>
      <c r="W54" s="61" t="n">
        <f aca="false">W53*Assumptions!$H$65</f>
        <v>97.5798227297641</v>
      </c>
      <c r="X54" s="61" t="n">
        <f aca="false">X53*Assumptions!$H$65</f>
        <v>105.79581628737</v>
      </c>
      <c r="Y54" s="61" t="n">
        <f aca="false">Y53*Assumptions!$H$65</f>
        <v>114.742248793268</v>
      </c>
      <c r="Z54" s="61" t="n">
        <f aca="false">Z53*Assumptions!$H$65</f>
        <v>124.491275250779</v>
      </c>
      <c r="AA54" s="61" t="n">
        <f aca="false">AA53*Assumptions!$H$65</f>
        <v>135.123180183307</v>
      </c>
      <c r="AB54" s="61" t="n">
        <f aca="false">AB53*Assumptions!$H$65</f>
        <v>144.091315772771</v>
      </c>
      <c r="AC54" s="61" t="n">
        <f aca="false">AC53*Assumptions!$H$65</f>
        <v>151.927723486101</v>
      </c>
      <c r="AD54" s="61" t="n">
        <f aca="false">AD53*Assumptions!$H$65</f>
        <v>160.319459920426</v>
      </c>
      <c r="AE54" s="61" t="n">
        <f aca="false">AE53*Assumptions!$H$65</f>
        <v>169.331394406566</v>
      </c>
      <c r="AF54" s="61" t="n">
        <f aca="false">AF53*Assumptions!$H$65</f>
        <v>179.025730523942</v>
      </c>
      <c r="AG54" s="61" t="n">
        <f aca="false">AG53*Assumptions!$H$65</f>
        <v>189.467555825598</v>
      </c>
      <c r="AH54" s="61" t="n">
        <f aca="false">AH53*Assumptions!$H$65</f>
        <v>200.727095426757</v>
      </c>
      <c r="AI54" s="61" t="n">
        <f aca="false">AI53*Assumptions!$H$65</f>
        <v>212.880408197172</v>
      </c>
      <c r="AJ54" s="61" t="n">
        <f aca="false">AJ53*Assumptions!$H$65</f>
        <v>226.009928875549</v>
      </c>
      <c r="AK54" s="61" t="n">
        <f aca="false">AK53*Assumptions!$H$65</f>
        <v>240.205031488939</v>
      </c>
      <c r="AL54" s="61" t="n">
        <f aca="false">AL53*Assumptions!$H$65</f>
        <v>255.562640475272</v>
      </c>
      <c r="AM54" s="61" t="n">
        <f aca="false">SUM(C54:AL54)</f>
        <v>3507.72257717473</v>
      </c>
    </row>
    <row r="55" customFormat="false" ht="15" hidden="false" customHeight="false" outlineLevel="0" collapsed="false">
      <c r="A55" s="10" t="s">
        <v>776</v>
      </c>
      <c r="B55" s="9" t="s">
        <v>51</v>
      </c>
      <c r="C55" s="61" t="n">
        <f aca="false">C54*Assumptions!$H$66</f>
        <v>0</v>
      </c>
      <c r="D55" s="61" t="n">
        <f aca="false">D54*Assumptions!$H$66</f>
        <v>0</v>
      </c>
      <c r="E55" s="61" t="n">
        <f aca="false">E54*Assumptions!$H$66</f>
        <v>0</v>
      </c>
      <c r="F55" s="61" t="n">
        <f aca="false">F54*Assumptions!$H$66</f>
        <v>0</v>
      </c>
      <c r="G55" s="61" t="n">
        <f aca="false">G54*Assumptions!$H$66</f>
        <v>0</v>
      </c>
      <c r="H55" s="61" t="n">
        <f aca="false">H54*Assumptions!$H$66</f>
        <v>0</v>
      </c>
      <c r="I55" s="61" t="n">
        <f aca="false">I54*Assumptions!$H$66</f>
        <v>22.3679762820529</v>
      </c>
      <c r="J55" s="61" t="n">
        <f aca="false">J54*Assumptions!$H$66</f>
        <v>23.298741592102</v>
      </c>
      <c r="K55" s="61" t="n">
        <f aca="false">K54*Assumptions!$H$66</f>
        <v>24.3663541436906</v>
      </c>
      <c r="L55" s="61" t="n">
        <f aca="false">L54*Assumptions!$H$66</f>
        <v>25.5908412409758</v>
      </c>
      <c r="M55" s="61" t="n">
        <f aca="false">M54*Assumptions!$H$66</f>
        <v>27.4804121704927</v>
      </c>
      <c r="N55" s="61" t="n">
        <f aca="false">N54*Assumptions!$H$66</f>
        <v>29.6538228150455</v>
      </c>
      <c r="O55" s="61" t="n">
        <f aca="false">O54*Assumptions!$H$66</f>
        <v>32.0395416276588</v>
      </c>
      <c r="P55" s="61" t="n">
        <f aca="false">P54*Assumptions!$H$66</f>
        <v>34.6421407149147</v>
      </c>
      <c r="Q55" s="61" t="n">
        <f aca="false">Q54*Assumptions!$H$66</f>
        <v>37.4763052991251</v>
      </c>
      <c r="R55" s="61" t="n">
        <f aca="false">R54*Assumptions!$H$66</f>
        <v>40.5594959222029</v>
      </c>
      <c r="S55" s="61" t="n">
        <f aca="false">S54*Assumptions!$H$66</f>
        <v>43.9114683204582</v>
      </c>
      <c r="T55" s="61" t="n">
        <f aca="false">T54*Assumptions!$H$66</f>
        <v>47.5545608638279</v>
      </c>
      <c r="U55" s="61" t="n">
        <f aca="false">U54*Assumptions!$H$66</f>
        <v>51.514021891072</v>
      </c>
      <c r="V55" s="61" t="n">
        <f aca="false">V54*Assumptions!$H$66</f>
        <v>55.8183258256945</v>
      </c>
      <c r="W55" s="61" t="n">
        <f aca="false">W54*Assumptions!$H$66</f>
        <v>60.4994900924537</v>
      </c>
      <c r="X55" s="61" t="n">
        <f aca="false">X54*Assumptions!$H$66</f>
        <v>65.5934060981695</v>
      </c>
      <c r="Y55" s="61" t="n">
        <f aca="false">Y54*Assumptions!$H$66</f>
        <v>71.1401942518261</v>
      </c>
      <c r="Z55" s="61" t="n">
        <f aca="false">Z54*Assumptions!$H$66</f>
        <v>77.1845906554829</v>
      </c>
      <c r="AA55" s="61" t="n">
        <f aca="false">AA54*Assumptions!$H$66</f>
        <v>83.7763717136504</v>
      </c>
      <c r="AB55" s="61" t="n">
        <f aca="false">AB54*Assumptions!$H$66</f>
        <v>89.3366157791179</v>
      </c>
      <c r="AC55" s="61" t="n">
        <f aca="false">AC54*Assumptions!$H$66</f>
        <v>94.1951885613823</v>
      </c>
      <c r="AD55" s="61" t="n">
        <f aca="false">AD54*Assumptions!$H$66</f>
        <v>99.3980651506642</v>
      </c>
      <c r="AE55" s="61" t="n">
        <f aca="false">AE54*Assumptions!$H$66</f>
        <v>104.985464532071</v>
      </c>
      <c r="AF55" s="61" t="n">
        <f aca="false">AF54*Assumptions!$H$66</f>
        <v>110.995952924844</v>
      </c>
      <c r="AG55" s="61" t="n">
        <f aca="false">AG54*Assumptions!$H$66</f>
        <v>117.469884611871</v>
      </c>
      <c r="AH55" s="61" t="n">
        <f aca="false">AH54*Assumptions!$H$66</f>
        <v>124.45079916459</v>
      </c>
      <c r="AI55" s="61" t="n">
        <f aca="false">AI54*Assumptions!$H$66</f>
        <v>131.985853082246</v>
      </c>
      <c r="AJ55" s="61" t="n">
        <f aca="false">AJ54*Assumptions!$H$66</f>
        <v>140.126155902841</v>
      </c>
      <c r="AK55" s="61" t="n">
        <f aca="false">AK54*Assumptions!$H$66</f>
        <v>148.927119523142</v>
      </c>
      <c r="AL55" s="61" t="n">
        <f aca="false">AL54*Assumptions!$H$66</f>
        <v>158.448837094669</v>
      </c>
      <c r="AM55" s="61" t="n">
        <f aca="false">SUM(C55:AL55)</f>
        <v>2174.78799784833</v>
      </c>
    </row>
    <row r="56" customFormat="false" ht="15" hidden="false" customHeight="false" outlineLevel="0" collapsed="false">
      <c r="A56" s="10" t="s">
        <v>777</v>
      </c>
      <c r="B56" s="9" t="s">
        <v>51</v>
      </c>
      <c r="C56" s="61" t="n">
        <f aca="false">C55*Assumptions!$H$67</f>
        <v>0</v>
      </c>
      <c r="D56" s="61" t="n">
        <f aca="false">D55*Assumptions!$H$67</f>
        <v>0</v>
      </c>
      <c r="E56" s="61" t="n">
        <f aca="false">E55*Assumptions!$H$67</f>
        <v>0</v>
      </c>
      <c r="F56" s="61" t="n">
        <f aca="false">F55*Assumptions!$H$67</f>
        <v>0</v>
      </c>
      <c r="G56" s="61" t="n">
        <f aca="false">G55*Assumptions!$H$67</f>
        <v>0</v>
      </c>
      <c r="H56" s="61" t="n">
        <f aca="false">H55*Assumptions!$H$67</f>
        <v>0</v>
      </c>
      <c r="I56" s="61" t="n">
        <f aca="false">I55*Assumptions!$H$67</f>
        <v>14.7628643461549</v>
      </c>
      <c r="J56" s="61" t="n">
        <f aca="false">J55*Assumptions!$H$67</f>
        <v>15.3771694507873</v>
      </c>
      <c r="K56" s="61" t="n">
        <f aca="false">K55*Assumptions!$H$67</f>
        <v>16.0817937348358</v>
      </c>
      <c r="L56" s="61" t="n">
        <f aca="false">L55*Assumptions!$H$67</f>
        <v>16.889955219044</v>
      </c>
      <c r="M56" s="61" t="n">
        <f aca="false">M55*Assumptions!$H$67</f>
        <v>18.1370720325252</v>
      </c>
      <c r="N56" s="61" t="n">
        <f aca="false">N55*Assumptions!$H$67</f>
        <v>19.5715230579301</v>
      </c>
      <c r="O56" s="61" t="n">
        <f aca="false">O55*Assumptions!$H$67</f>
        <v>21.1460974742548</v>
      </c>
      <c r="P56" s="61" t="n">
        <f aca="false">P55*Assumptions!$H$67</f>
        <v>22.8638128718437</v>
      </c>
      <c r="Q56" s="61" t="n">
        <f aca="false">Q55*Assumptions!$H$67</f>
        <v>24.7343614974226</v>
      </c>
      <c r="R56" s="61" t="n">
        <f aca="false">R55*Assumptions!$H$67</f>
        <v>26.7692673086539</v>
      </c>
      <c r="S56" s="61" t="n">
        <f aca="false">S55*Assumptions!$H$67</f>
        <v>28.9815690915024</v>
      </c>
      <c r="T56" s="61" t="n">
        <f aca="false">T55*Assumptions!$H$67</f>
        <v>31.3860101701264</v>
      </c>
      <c r="U56" s="61" t="n">
        <f aca="false">U55*Assumptions!$H$67</f>
        <v>33.9992544481075</v>
      </c>
      <c r="V56" s="61" t="n">
        <f aca="false">V55*Assumptions!$H$67</f>
        <v>36.8400950449584</v>
      </c>
      <c r="W56" s="61" t="n">
        <f aca="false">W55*Assumptions!$H$67</f>
        <v>39.9296634610195</v>
      </c>
      <c r="X56" s="61" t="n">
        <f aca="false">X55*Assumptions!$H$67</f>
        <v>43.2916480247919</v>
      </c>
      <c r="Y56" s="61" t="n">
        <f aca="false">Y55*Assumptions!$H$67</f>
        <v>46.9525282062052</v>
      </c>
      <c r="Z56" s="61" t="n">
        <f aca="false">Z55*Assumptions!$H$67</f>
        <v>50.9418298326187</v>
      </c>
      <c r="AA56" s="61" t="n">
        <f aca="false">AA55*Assumptions!$H$67</f>
        <v>55.2924053310093</v>
      </c>
      <c r="AB56" s="61" t="n">
        <f aca="false">AB55*Assumptions!$H$67</f>
        <v>58.9621664142178</v>
      </c>
      <c r="AC56" s="61" t="n">
        <f aca="false">AC55*Assumptions!$H$67</f>
        <v>62.1688244505123</v>
      </c>
      <c r="AD56" s="61" t="n">
        <f aca="false">AD55*Assumptions!$H$67</f>
        <v>65.6027229994384</v>
      </c>
      <c r="AE56" s="61" t="n">
        <f aca="false">AE55*Assumptions!$H$67</f>
        <v>69.2904065911669</v>
      </c>
      <c r="AF56" s="61" t="n">
        <f aca="false">AF55*Assumptions!$H$67</f>
        <v>73.2573289303971</v>
      </c>
      <c r="AG56" s="61" t="n">
        <f aca="false">AG55*Assumptions!$H$67</f>
        <v>77.5301238438346</v>
      </c>
      <c r="AH56" s="61" t="n">
        <f aca="false">AH55*Assumptions!$H$67</f>
        <v>82.1375274486291</v>
      </c>
      <c r="AI56" s="61" t="n">
        <f aca="false">AI55*Assumptions!$H$67</f>
        <v>87.1106630342826</v>
      </c>
      <c r="AJ56" s="61" t="n">
        <f aca="false">AJ55*Assumptions!$H$67</f>
        <v>92.4832628958748</v>
      </c>
      <c r="AK56" s="61" t="n">
        <f aca="false">AK55*Assumptions!$H$67</f>
        <v>98.2918988852738</v>
      </c>
      <c r="AL56" s="61" t="n">
        <f aca="false">AL55*Assumptions!$H$67</f>
        <v>104.576232482481</v>
      </c>
      <c r="AM56" s="61" t="n">
        <f aca="false">SUM(C56:AL56)</f>
        <v>1435.3600785799</v>
      </c>
    </row>
    <row r="57" customFormat="false" ht="15" hidden="false" customHeight="false" outlineLevel="0" collapsed="false">
      <c r="A57" s="37" t="s">
        <v>778</v>
      </c>
      <c r="B57" s="9" t="s">
        <v>51</v>
      </c>
      <c r="C57" s="71" t="n">
        <f aca="false">C56</f>
        <v>0</v>
      </c>
      <c r="D57" s="71" t="n">
        <f aca="false">C57*(1-Assumptions!$H$68)+D56</f>
        <v>0</v>
      </c>
      <c r="E57" s="71" t="n">
        <f aca="false">D57*(1-Assumptions!$H$68)+E56</f>
        <v>0</v>
      </c>
      <c r="F57" s="71" t="n">
        <f aca="false">E57*(1-Assumptions!$H$68)+F56</f>
        <v>0</v>
      </c>
      <c r="G57" s="71" t="n">
        <f aca="false">F57*(1-Assumptions!$H$68)+G56</f>
        <v>0</v>
      </c>
      <c r="H57" s="71" t="n">
        <f aca="false">G57*(1-Assumptions!$H$68)+H56</f>
        <v>0</v>
      </c>
      <c r="I57" s="71" t="n">
        <f aca="false">H57*(1-Assumptions!$H$68)+I56</f>
        <v>14.7628643461549</v>
      </c>
      <c r="J57" s="71" t="n">
        <f aca="false">I57*(1-Assumptions!$H$68)+J56</f>
        <v>28.5161187188652</v>
      </c>
      <c r="K57" s="71" t="n">
        <f aca="false">J57*(1-Assumptions!$H$68)+K56</f>
        <v>41.4611393946258</v>
      </c>
      <c r="L57" s="71" t="n">
        <f aca="false">K57*(1-Assumptions!$H$68)+L56</f>
        <v>53.790369280261</v>
      </c>
      <c r="M57" s="71" t="n">
        <f aca="false">L57*(1-Assumptions!$H$68)+M56</f>
        <v>66.0105006919575</v>
      </c>
      <c r="N57" s="71" t="n">
        <f aca="false">M57*(1-Assumptions!$H$68)+N56</f>
        <v>78.3208686737722</v>
      </c>
      <c r="O57" s="71" t="n">
        <f aca="false">N57*(1-Assumptions!$H$68)+O56</f>
        <v>90.8516705939121</v>
      </c>
      <c r="P57" s="71" t="n">
        <f aca="false">O57*(1-Assumptions!$H$68)+P56</f>
        <v>103.721799700425</v>
      </c>
      <c r="Q57" s="71" t="n">
        <f aca="false">P57*(1-Assumptions!$H$68)+Q56</f>
        <v>117.046763230801</v>
      </c>
      <c r="R57" s="71" t="n">
        <f aca="false">Q57*(1-Assumptions!$H$68)+R56</f>
        <v>130.940886584067</v>
      </c>
      <c r="S57" s="71" t="n">
        <f aca="false">R57*(1-Assumptions!$H$68)+S56</f>
        <v>145.518958151322</v>
      </c>
      <c r="T57" s="71" t="n">
        <f aca="false">S57*(1-Assumptions!$H$68)+T56</f>
        <v>160.897882924803</v>
      </c>
      <c r="U57" s="71" t="n">
        <f aca="false">T57*(1-Assumptions!$H$68)+U56</f>
        <v>177.198370251182</v>
      </c>
      <c r="V57" s="71" t="n">
        <f aca="false">U57*(1-Assumptions!$H$68)+V56</f>
        <v>194.546644568511</v>
      </c>
      <c r="W57" s="71" t="n">
        <f aca="false">V57*(1-Assumptions!$H$68)+W56</f>
        <v>213.076177126994</v>
      </c>
      <c r="X57" s="71" t="n">
        <f aca="false">W57*(1-Assumptions!$H$68)+X56</f>
        <v>232.929445667816</v>
      </c>
      <c r="Y57" s="71" t="n">
        <f aca="false">X57*(1-Assumptions!$H$68)+Y56</f>
        <v>254.259734850562</v>
      </c>
      <c r="Z57" s="71" t="n">
        <f aca="false">Y57*(1-Assumptions!$H$68)+Z56</f>
        <v>277.232993849619</v>
      </c>
      <c r="AA57" s="71" t="n">
        <f aca="false">Z57*(1-Assumptions!$H$68)+AA56</f>
        <v>302.02976985717</v>
      </c>
      <c r="AB57" s="71" t="n">
        <f aca="false">AA57*(1-Assumptions!$H$68)+AB56</f>
        <v>327.768661587099</v>
      </c>
      <c r="AC57" s="71" t="n">
        <f aca="false">AB57*(1-Assumptions!$H$68)+AC56</f>
        <v>353.88293326303</v>
      </c>
      <c r="AD57" s="71" t="n">
        <f aca="false">AC57*(1-Assumptions!$H$68)+AD56</f>
        <v>380.558533603535</v>
      </c>
      <c r="AE57" s="71" t="n">
        <f aca="false">AD57*(1-Assumptions!$H$68)+AE56</f>
        <v>407.987501498313</v>
      </c>
      <c r="AF57" s="71" t="n">
        <f aca="false">AE57*(1-Assumptions!$H$68)+AF56</f>
        <v>436.366205263896</v>
      </c>
      <c r="AG57" s="71" t="n">
        <f aca="false">AF57*(1-Assumptions!$H$68)+AG56</f>
        <v>465.896046528702</v>
      </c>
      <c r="AH57" s="71" t="n">
        <f aca="false">AG57*(1-Assumptions!$H$68)+AH56</f>
        <v>496.785008859174</v>
      </c>
      <c r="AI57" s="71" t="n">
        <f aca="false">AH57*(1-Assumptions!$H$68)+AI56</f>
        <v>529.249320918947</v>
      </c>
      <c r="AJ57" s="71" t="n">
        <f aca="false">AI57*(1-Assumptions!$H$68)+AJ56</f>
        <v>563.515158513738</v>
      </c>
      <c r="AK57" s="71" t="n">
        <f aca="false">AJ57*(1-Assumptions!$H$68)+AK56</f>
        <v>599.820389962501</v>
      </c>
      <c r="AL57" s="71" t="n">
        <f aca="false">AK57*(1-Assumptions!$H$68)+AL56</f>
        <v>638.416379549107</v>
      </c>
      <c r="AM57" s="71" t="n">
        <f aca="false">AL57</f>
        <v>638.416379549107</v>
      </c>
    </row>
    <row r="58" customFormat="false" ht="15" hidden="false" customHeight="false" outlineLevel="0" collapsed="false">
      <c r="A58" s="10" t="s">
        <v>779</v>
      </c>
      <c r="B58" s="9" t="s">
        <v>51</v>
      </c>
      <c r="C58" s="61" t="n">
        <f aca="false">0</f>
        <v>0</v>
      </c>
      <c r="D58" s="61" t="n">
        <f aca="false">C57*Assumptions!$H$68</f>
        <v>0</v>
      </c>
      <c r="E58" s="61" t="n">
        <f aca="false">D57*Assumptions!$H$68</f>
        <v>0</v>
      </c>
      <c r="F58" s="61" t="n">
        <f aca="false">E57*Assumptions!$H$68</f>
        <v>0</v>
      </c>
      <c r="G58" s="61" t="n">
        <f aca="false">F57*Assumptions!$H$68</f>
        <v>0</v>
      </c>
      <c r="H58" s="61" t="n">
        <f aca="false">G57*Assumptions!$H$68</f>
        <v>0</v>
      </c>
      <c r="I58" s="61" t="n">
        <f aca="false">H57*Assumptions!$H$68</f>
        <v>0</v>
      </c>
      <c r="J58" s="61" t="n">
        <f aca="false">I57*Assumptions!$H$68</f>
        <v>1.62391507807704</v>
      </c>
      <c r="K58" s="61" t="n">
        <f aca="false">J57*Assumptions!$H$68</f>
        <v>3.13677305907517</v>
      </c>
      <c r="L58" s="61" t="n">
        <f aca="false">K57*Assumptions!$H$68</f>
        <v>4.56072533340884</v>
      </c>
      <c r="M58" s="61" t="n">
        <f aca="false">L57*Assumptions!$H$68</f>
        <v>5.91694062082871</v>
      </c>
      <c r="N58" s="61" t="n">
        <f aca="false">M57*Assumptions!$H$68</f>
        <v>7.26115507611532</v>
      </c>
      <c r="O58" s="61" t="n">
        <f aca="false">N57*Assumptions!$H$68</f>
        <v>8.61529555411495</v>
      </c>
      <c r="P58" s="61" t="n">
        <f aca="false">O57*Assumptions!$H$68</f>
        <v>9.99368376533033</v>
      </c>
      <c r="Q58" s="61" t="n">
        <f aca="false">P57*Assumptions!$H$68</f>
        <v>11.4093979670468</v>
      </c>
      <c r="R58" s="61" t="n">
        <f aca="false">Q57*Assumptions!$H$68</f>
        <v>12.8751439553881</v>
      </c>
      <c r="S58" s="61" t="n">
        <f aca="false">R57*Assumptions!$H$68</f>
        <v>14.4034975242474</v>
      </c>
      <c r="T58" s="61" t="n">
        <f aca="false">S57*Assumptions!$H$68</f>
        <v>16.0070853966454</v>
      </c>
      <c r="U58" s="61" t="n">
        <f aca="false">T57*Assumptions!$H$68</f>
        <v>17.6987671217283</v>
      </c>
      <c r="V58" s="61" t="n">
        <f aca="false">U57*Assumptions!$H$68</f>
        <v>19.49182072763</v>
      </c>
      <c r="W58" s="61" t="n">
        <f aca="false">V57*Assumptions!$H$68</f>
        <v>21.4001309025362</v>
      </c>
      <c r="X58" s="61" t="n">
        <f aca="false">W57*Assumptions!$H$68</f>
        <v>23.4383794839693</v>
      </c>
      <c r="Y58" s="61" t="n">
        <f aca="false">X57*Assumptions!$H$68</f>
        <v>25.6222390234598</v>
      </c>
      <c r="Z58" s="61" t="n">
        <f aca="false">Y57*Assumptions!$H$68</f>
        <v>27.9685708335618</v>
      </c>
      <c r="AA58" s="61" t="n">
        <f aca="false">Z57*Assumptions!$H$68</f>
        <v>30.4956293234581</v>
      </c>
      <c r="AB58" s="61" t="n">
        <f aca="false">AA57*Assumptions!$H$68</f>
        <v>33.2232746842887</v>
      </c>
      <c r="AC58" s="61" t="n">
        <f aca="false">AB57*Assumptions!$H$68</f>
        <v>36.0545527745809</v>
      </c>
      <c r="AD58" s="61" t="n">
        <f aca="false">AC57*Assumptions!$H$68</f>
        <v>38.9271226589333</v>
      </c>
      <c r="AE58" s="61" t="n">
        <f aca="false">AD57*Assumptions!$H$68</f>
        <v>41.8614386963889</v>
      </c>
      <c r="AF58" s="61" t="n">
        <f aca="false">AE57*Assumptions!$H$68</f>
        <v>44.8786251648145</v>
      </c>
      <c r="AG58" s="61" t="n">
        <f aca="false">AF57*Assumptions!$H$68</f>
        <v>48.0002825790286</v>
      </c>
      <c r="AH58" s="61" t="n">
        <f aca="false">AG57*Assumptions!$H$68</f>
        <v>51.2485651181572</v>
      </c>
      <c r="AI58" s="61" t="n">
        <f aca="false">AH57*Assumptions!$H$68</f>
        <v>54.6463509745091</v>
      </c>
      <c r="AJ58" s="61" t="n">
        <f aca="false">AI57*Assumptions!$H$68</f>
        <v>58.2174253010842</v>
      </c>
      <c r="AK58" s="61" t="n">
        <f aca="false">AJ57*Assumptions!$H$68</f>
        <v>61.9866674365112</v>
      </c>
      <c r="AL58" s="61" t="n">
        <f aca="false">AK57*Assumptions!$H$68</f>
        <v>65.9802428958751</v>
      </c>
      <c r="AM58" s="61" t="n">
        <f aca="false">SUM(C58:AL58)</f>
        <v>796.943699030793</v>
      </c>
    </row>
    <row r="59" customFormat="false" ht="15" hidden="false" customHeight="false" outlineLevel="0" collapsed="false">
      <c r="A59" s="10" t="s">
        <v>780</v>
      </c>
      <c r="B59" s="9" t="s">
        <v>97</v>
      </c>
      <c r="C59" s="70" t="n">
        <f aca="false">C57*Assumptions!$H$70</f>
        <v>0</v>
      </c>
      <c r="D59" s="70" t="n">
        <f aca="false">D57*Assumptions!$H$70</f>
        <v>0</v>
      </c>
      <c r="E59" s="70" t="n">
        <f aca="false">E57*Assumptions!$H$70</f>
        <v>0</v>
      </c>
      <c r="F59" s="70" t="n">
        <f aca="false">F57*Assumptions!$H$70</f>
        <v>0</v>
      </c>
      <c r="G59" s="70" t="n">
        <f aca="false">G57*Assumptions!$H$70</f>
        <v>0</v>
      </c>
      <c r="H59" s="70" t="n">
        <f aca="false">H57*Assumptions!$H$70</f>
        <v>0</v>
      </c>
      <c r="I59" s="70" t="n">
        <f aca="false">I57*Assumptions!$H$70</f>
        <v>3675.95322219258</v>
      </c>
      <c r="J59" s="70" t="n">
        <f aca="false">J57*Assumptions!$H$70</f>
        <v>7100.51356099743</v>
      </c>
      <c r="K59" s="70" t="n">
        <f aca="false">K57*Assumptions!$H$70</f>
        <v>10323.8237092618</v>
      </c>
      <c r="L59" s="70" t="n">
        <f aca="false">L57*Assumptions!$H$70</f>
        <v>13393.801950785</v>
      </c>
      <c r="M59" s="70" t="n">
        <f aca="false">M57*Assumptions!$H$70</f>
        <v>16436.6146722974</v>
      </c>
      <c r="N59" s="70" t="n">
        <f aca="false">N57*Assumptions!$H$70</f>
        <v>19501.8962997693</v>
      </c>
      <c r="O59" s="70" t="n">
        <f aca="false">O57*Assumptions!$H$70</f>
        <v>22622.0659778841</v>
      </c>
      <c r="P59" s="70" t="n">
        <f aca="false">P57*Assumptions!$H$70</f>
        <v>25826.728125406</v>
      </c>
      <c r="Q59" s="70" t="n">
        <f aca="false">Q57*Assumptions!$H$70</f>
        <v>29144.6440444695</v>
      </c>
      <c r="R59" s="70" t="n">
        <f aca="false">R57*Assumptions!$H$70</f>
        <v>32604.2807594327</v>
      </c>
      <c r="S59" s="70" t="n">
        <f aca="false">S57*Assumptions!$H$70</f>
        <v>36234.2205796792</v>
      </c>
      <c r="T59" s="70" t="n">
        <f aca="false">T57*Assumptions!$H$70</f>
        <v>40063.572848276</v>
      </c>
      <c r="U59" s="70" t="n">
        <f aca="false">U57*Assumptions!$H$70</f>
        <v>44122.3941925444</v>
      </c>
      <c r="V59" s="70" t="n">
        <f aca="false">V57*Assumptions!$H$70</f>
        <v>48442.1144975591</v>
      </c>
      <c r="W59" s="70" t="n">
        <f aca="false">W57*Assumptions!$H$70</f>
        <v>53055.9681046215</v>
      </c>
      <c r="X59" s="70" t="n">
        <f aca="false">X57*Assumptions!$H$70</f>
        <v>57999.4319712863</v>
      </c>
      <c r="Y59" s="70" t="n">
        <f aca="false">Y57*Assumptions!$H$70</f>
        <v>63310.6739777899</v>
      </c>
      <c r="Z59" s="70" t="n">
        <f aca="false">Z57*Assumptions!$H$70</f>
        <v>69031.015468555</v>
      </c>
      <c r="AA59" s="70" t="n">
        <f aca="false">AA57*Assumptions!$H$70</f>
        <v>75205.4126944353</v>
      </c>
      <c r="AB59" s="70" t="n">
        <f aca="false">AB57*Assumptions!$H$70</f>
        <v>81614.3967351876</v>
      </c>
      <c r="AC59" s="70" t="n">
        <f aca="false">AC57*Assumptions!$H$70</f>
        <v>88116.8503824946</v>
      </c>
      <c r="AD59" s="70" t="n">
        <f aca="false">AD57*Assumptions!$H$70</f>
        <v>94759.0748672803</v>
      </c>
      <c r="AE59" s="70" t="n">
        <f aca="false">AE57*Assumptions!$H$70</f>
        <v>101588.88787308</v>
      </c>
      <c r="AF59" s="70" t="n">
        <f aca="false">AF57*Assumptions!$H$70</f>
        <v>108655.18511071</v>
      </c>
      <c r="AG59" s="70" t="n">
        <f aca="false">AG57*Assumptions!$H$70</f>
        <v>116008.115585647</v>
      </c>
      <c r="AH59" s="70" t="n">
        <f aca="false">AH57*Assumptions!$H$70</f>
        <v>123699.467205934</v>
      </c>
      <c r="AI59" s="70" t="n">
        <f aca="false">AI57*Assumptions!$H$70</f>
        <v>131783.080908818</v>
      </c>
      <c r="AJ59" s="70" t="n">
        <f aca="false">AJ57*Assumptions!$H$70</f>
        <v>140315.274469921</v>
      </c>
      <c r="AK59" s="70" t="n">
        <f aca="false">AK57*Assumptions!$H$70</f>
        <v>149355.277100663</v>
      </c>
      <c r="AL59" s="70" t="n">
        <f aca="false">AL57*Assumptions!$H$70</f>
        <v>158965.678507728</v>
      </c>
      <c r="AM59" s="70" t="n">
        <f aca="false">SUM(C59:AL59)</f>
        <v>1962956.4154047</v>
      </c>
    </row>
    <row r="60" customFormat="false" ht="15" hidden="false" customHeight="false" outlineLevel="0" collapsed="false">
      <c r="A60" s="10" t="s">
        <v>781</v>
      </c>
      <c r="B60" s="9" t="s">
        <v>97</v>
      </c>
      <c r="C60" s="70" t="n">
        <f aca="false">C53*Assumptions!$H$71</f>
        <v>0</v>
      </c>
      <c r="D60" s="70" t="n">
        <f aca="false">D53*Assumptions!$H$71</f>
        <v>0</v>
      </c>
      <c r="E60" s="70" t="n">
        <f aca="false">E53*Assumptions!$H$71</f>
        <v>0</v>
      </c>
      <c r="F60" s="70" t="n">
        <f aca="false">F53*Assumptions!$H$71</f>
        <v>0</v>
      </c>
      <c r="G60" s="70" t="n">
        <f aca="false">G53*Assumptions!$H$71</f>
        <v>0</v>
      </c>
      <c r="H60" s="70" t="n">
        <f aca="false">H53*Assumptions!$H$71</f>
        <v>0</v>
      </c>
      <c r="I60" s="70" t="n">
        <f aca="false">I53*Assumptions!$H$71</f>
        <v>2564.53672880125</v>
      </c>
      <c r="J60" s="70" t="n">
        <f aca="false">J53*Assumptions!$H$71</f>
        <v>2671.25097927325</v>
      </c>
      <c r="K60" s="70" t="n">
        <f aca="false">K53*Assumptions!$H$71</f>
        <v>2793.65506116935</v>
      </c>
      <c r="L60" s="70" t="n">
        <f aca="false">L53*Assumptions!$H$71</f>
        <v>2934.04514811032</v>
      </c>
      <c r="M60" s="70" t="n">
        <f aca="false">M53*Assumptions!$H$71</f>
        <v>3150.68853101258</v>
      </c>
      <c r="N60" s="70" t="n">
        <f aca="false">N53*Assumptions!$H$71</f>
        <v>3399.87474949026</v>
      </c>
      <c r="O60" s="70" t="n">
        <f aca="false">O53*Assumptions!$H$71</f>
        <v>3673.40255738801</v>
      </c>
      <c r="P60" s="70" t="n">
        <f aca="false">P53*Assumptions!$H$71</f>
        <v>3971.79615658758</v>
      </c>
      <c r="Q60" s="70" t="n">
        <f aca="false">Q53*Assumptions!$H$71</f>
        <v>4296.73923950327</v>
      </c>
      <c r="R60" s="70" t="n">
        <f aca="false">R53*Assumptions!$H$71</f>
        <v>4650.23369492804</v>
      </c>
      <c r="S60" s="70" t="n">
        <f aca="false">S53*Assumptions!$H$71</f>
        <v>5034.54456064328</v>
      </c>
      <c r="T60" s="70" t="n">
        <f aca="false">T53*Assumptions!$H$71</f>
        <v>5452.23297894645</v>
      </c>
      <c r="U60" s="70" t="n">
        <f aca="false">U53*Assumptions!$H$71</f>
        <v>5906.19372633744</v>
      </c>
      <c r="V60" s="70" t="n">
        <f aca="false">V53*Assumptions!$H$71</f>
        <v>6399.69145689074</v>
      </c>
      <c r="W60" s="70" t="n">
        <f aca="false">W53*Assumptions!$H$71</f>
        <v>6936.39703741696</v>
      </c>
      <c r="X60" s="70" t="n">
        <f aca="false">X53*Assumptions!$H$71</f>
        <v>7520.42549512632</v>
      </c>
      <c r="Y60" s="70" t="n">
        <f aca="false">Y53*Assumptions!$H$71</f>
        <v>8156.37672144916</v>
      </c>
      <c r="Z60" s="70" t="n">
        <f aca="false">Z53*Assumptions!$H$71</f>
        <v>8849.37980698308</v>
      </c>
      <c r="AA60" s="70" t="n">
        <f aca="false">AA53*Assumptions!$H$71</f>
        <v>9605.14172387364</v>
      </c>
      <c r="AB60" s="70" t="n">
        <f aca="false">AB53*Assumptions!$H$71</f>
        <v>10242.6356995102</v>
      </c>
      <c r="AC60" s="70" t="n">
        <f aca="false">AC53*Assumptions!$H$71</f>
        <v>10799.681549012</v>
      </c>
      <c r="AD60" s="70" t="n">
        <f aca="false">AD53*Assumptions!$H$71</f>
        <v>11396.2025726568</v>
      </c>
      <c r="AE60" s="70" t="n">
        <f aca="false">AE53*Assumptions!$H$71</f>
        <v>12036.8099638402</v>
      </c>
      <c r="AF60" s="70" t="n">
        <f aca="false">AF53*Assumptions!$H$71</f>
        <v>12725.9254227862</v>
      </c>
      <c r="AG60" s="70" t="n">
        <f aca="false">AG53*Assumptions!$H$71</f>
        <v>13468.1756550726</v>
      </c>
      <c r="AH60" s="70" t="n">
        <f aca="false">AH53*Assumptions!$H$71</f>
        <v>14268.5525664803</v>
      </c>
      <c r="AI60" s="70" t="n">
        <f aca="false">AI53*Assumptions!$H$71</f>
        <v>15132.4627513652</v>
      </c>
      <c r="AJ60" s="70" t="n">
        <f aca="false">AJ53*Assumptions!$H$71</f>
        <v>16065.7660285029</v>
      </c>
      <c r="AK60" s="70" t="n">
        <f aca="false">AK53*Assumptions!$H$71</f>
        <v>17074.8154913824</v>
      </c>
      <c r="AL60" s="70" t="n">
        <f aca="false">AL53*Assumptions!$H$71</f>
        <v>18166.500949447</v>
      </c>
      <c r="AM60" s="70" t="n">
        <f aca="false">SUM(C60:AL60)</f>
        <v>249344.135003987</v>
      </c>
    </row>
    <row r="61" customFormat="false" ht="15" hidden="false" customHeight="false" outlineLevel="0" collapsed="false">
      <c r="A61" s="10" t="s">
        <v>782</v>
      </c>
      <c r="B61" s="9" t="s">
        <v>97</v>
      </c>
      <c r="C61" s="70" t="n">
        <f aca="false">C59+C60</f>
        <v>0</v>
      </c>
      <c r="D61" s="70" t="n">
        <f aca="false">D59+D60</f>
        <v>0</v>
      </c>
      <c r="E61" s="70" t="n">
        <f aca="false">E59+E60</f>
        <v>0</v>
      </c>
      <c r="F61" s="70" t="n">
        <f aca="false">F59+F60</f>
        <v>0</v>
      </c>
      <c r="G61" s="70" t="n">
        <f aca="false">G59+G60</f>
        <v>0</v>
      </c>
      <c r="H61" s="70" t="n">
        <f aca="false">H59+H60</f>
        <v>0</v>
      </c>
      <c r="I61" s="70" t="n">
        <f aca="false">I59+I60</f>
        <v>6240.48995099383</v>
      </c>
      <c r="J61" s="70" t="n">
        <f aca="false">J59+J60</f>
        <v>9771.76454027069</v>
      </c>
      <c r="K61" s="70" t="n">
        <f aca="false">K59+K60</f>
        <v>13117.4787704312</v>
      </c>
      <c r="L61" s="70" t="n">
        <f aca="false">L59+L60</f>
        <v>16327.8470988953</v>
      </c>
      <c r="M61" s="70" t="n">
        <f aca="false">M59+M60</f>
        <v>19587.30320331</v>
      </c>
      <c r="N61" s="70" t="n">
        <f aca="false">N59+N60</f>
        <v>22901.7710492595</v>
      </c>
      <c r="O61" s="70" t="n">
        <f aca="false">O59+O60</f>
        <v>26295.4685352721</v>
      </c>
      <c r="P61" s="70" t="n">
        <f aca="false">P59+P60</f>
        <v>29798.5242819935</v>
      </c>
      <c r="Q61" s="70" t="n">
        <f aca="false">Q59+Q60</f>
        <v>33441.3832839728</v>
      </c>
      <c r="R61" s="70" t="n">
        <f aca="false">R59+R60</f>
        <v>37254.5144543607</v>
      </c>
      <c r="S61" s="70" t="n">
        <f aca="false">S59+S60</f>
        <v>41268.7651403225</v>
      </c>
      <c r="T61" s="70" t="n">
        <f aca="false">T59+T60</f>
        <v>45515.8058272224</v>
      </c>
      <c r="U61" s="70" t="n">
        <f aca="false">U59+U60</f>
        <v>50028.5879188818</v>
      </c>
      <c r="V61" s="70" t="n">
        <f aca="false">V59+V60</f>
        <v>54841.8059544499</v>
      </c>
      <c r="W61" s="70" t="n">
        <f aca="false">W59+W60</f>
        <v>59992.3651420384</v>
      </c>
      <c r="X61" s="70" t="n">
        <f aca="false">X59+X60</f>
        <v>65519.8574664126</v>
      </c>
      <c r="Y61" s="70" t="n">
        <f aca="false">Y59+Y60</f>
        <v>71467.050699239</v>
      </c>
      <c r="Z61" s="70" t="n">
        <f aca="false">Z59+Z60</f>
        <v>77880.3952755381</v>
      </c>
      <c r="AA61" s="70" t="n">
        <f aca="false">AA59+AA60</f>
        <v>84810.5544183089</v>
      </c>
      <c r="AB61" s="70" t="n">
        <f aca="false">AB59+AB60</f>
        <v>91857.0324346979</v>
      </c>
      <c r="AC61" s="70" t="n">
        <f aca="false">AC59+AC60</f>
        <v>98916.5319315065</v>
      </c>
      <c r="AD61" s="70" t="n">
        <f aca="false">AD59+AD60</f>
        <v>106155.277439937</v>
      </c>
      <c r="AE61" s="70" t="n">
        <f aca="false">AE59+AE60</f>
        <v>113625.69783692</v>
      </c>
      <c r="AF61" s="70" t="n">
        <f aca="false">AF59+AF60</f>
        <v>121381.110533496</v>
      </c>
      <c r="AG61" s="70" t="n">
        <f aca="false">AG59+AG60</f>
        <v>129476.291240719</v>
      </c>
      <c r="AH61" s="70" t="n">
        <f aca="false">AH59+AH60</f>
        <v>137968.019772415</v>
      </c>
      <c r="AI61" s="70" t="n">
        <f aca="false">AI59+AI60</f>
        <v>146915.543660183</v>
      </c>
      <c r="AJ61" s="70" t="n">
        <f aca="false">AJ59+AJ60</f>
        <v>156381.040498424</v>
      </c>
      <c r="AK61" s="70" t="n">
        <f aca="false">AK59+AK60</f>
        <v>166430.092592045</v>
      </c>
      <c r="AL61" s="70" t="n">
        <f aca="false">AL59+AL60</f>
        <v>177132.179457175</v>
      </c>
      <c r="AM61" s="70" t="n">
        <f aca="false">SUM(C61:AL61)</f>
        <v>2212300.55040869</v>
      </c>
    </row>
    <row r="62" customFormat="false" ht="15" hidden="false" customHeight="false" outlineLevel="0" collapsed="false">
      <c r="A62" s="10" t="s">
        <v>783</v>
      </c>
      <c r="B62" s="9" t="s">
        <v>97</v>
      </c>
      <c r="C62" s="70" t="n">
        <f aca="false">-C61*Assumptions!$H$80</f>
        <v>-0</v>
      </c>
      <c r="D62" s="70" t="n">
        <f aca="false">-D61*Assumptions!$H$80</f>
        <v>-0</v>
      </c>
      <c r="E62" s="70" t="n">
        <f aca="false">-E61*Assumptions!$H$80</f>
        <v>-0</v>
      </c>
      <c r="F62" s="70" t="n">
        <f aca="false">-F61*Assumptions!$H$80</f>
        <v>-0</v>
      </c>
      <c r="G62" s="70" t="n">
        <f aca="false">-G61*Assumptions!$H$80</f>
        <v>-0</v>
      </c>
      <c r="H62" s="70" t="n">
        <f aca="false">-H61*Assumptions!$H$80</f>
        <v>-0</v>
      </c>
      <c r="I62" s="70" t="n">
        <f aca="false">-I61*Assumptions!$H$80</f>
        <v>-187.214698529815</v>
      </c>
      <c r="J62" s="70" t="n">
        <f aca="false">-J61*Assumptions!$H$80</f>
        <v>-293.152936208121</v>
      </c>
      <c r="K62" s="70" t="n">
        <f aca="false">-K61*Assumptions!$H$80</f>
        <v>-393.524363112936</v>
      </c>
      <c r="L62" s="70" t="n">
        <f aca="false">-L61*Assumptions!$H$80</f>
        <v>-489.835412966859</v>
      </c>
      <c r="M62" s="70" t="n">
        <f aca="false">-M61*Assumptions!$H$80</f>
        <v>-587.6190960993</v>
      </c>
      <c r="N62" s="70" t="n">
        <f aca="false">-N61*Assumptions!$H$80</f>
        <v>-687.053131477786</v>
      </c>
      <c r="O62" s="70" t="n">
        <f aca="false">-O61*Assumptions!$H$80</f>
        <v>-788.864056058164</v>
      </c>
      <c r="P62" s="70" t="n">
        <f aca="false">-P61*Assumptions!$H$80</f>
        <v>-893.955728459806</v>
      </c>
      <c r="Q62" s="70" t="n">
        <f aca="false">-Q61*Assumptions!$H$80</f>
        <v>-1003.24149851918</v>
      </c>
      <c r="R62" s="70" t="n">
        <f aca="false">-R61*Assumptions!$H$80</f>
        <v>-1117.63543363082</v>
      </c>
      <c r="S62" s="70" t="n">
        <f aca="false">-S61*Assumptions!$H$80</f>
        <v>-1238.06295420967</v>
      </c>
      <c r="T62" s="70" t="n">
        <f aca="false">-T61*Assumptions!$H$80</f>
        <v>-1365.47417481667</v>
      </c>
      <c r="U62" s="70" t="n">
        <f aca="false">-U61*Assumptions!$H$80</f>
        <v>-1500.85763756645</v>
      </c>
      <c r="V62" s="70" t="n">
        <f aca="false">-V61*Assumptions!$H$80</f>
        <v>-1645.2541786335</v>
      </c>
      <c r="W62" s="70" t="n">
        <f aca="false">-W61*Assumptions!$H$80</f>
        <v>-1799.77095426115</v>
      </c>
      <c r="X62" s="70" t="n">
        <f aca="false">-X61*Assumptions!$H$80</f>
        <v>-1965.59572399238</v>
      </c>
      <c r="Y62" s="70" t="n">
        <f aca="false">-Y61*Assumptions!$H$80</f>
        <v>-2144.01152097717</v>
      </c>
      <c r="Z62" s="70" t="n">
        <f aca="false">-Z61*Assumptions!$H$80</f>
        <v>-2336.41185826614</v>
      </c>
      <c r="AA62" s="70" t="n">
        <f aca="false">-AA61*Assumptions!$H$80</f>
        <v>-2544.31663254927</v>
      </c>
      <c r="AB62" s="70" t="n">
        <f aca="false">-AB61*Assumptions!$H$80</f>
        <v>-2755.71097304094</v>
      </c>
      <c r="AC62" s="70" t="n">
        <f aca="false">-AC61*Assumptions!$H$80</f>
        <v>-2967.4959579452</v>
      </c>
      <c r="AD62" s="70" t="n">
        <f aca="false">-AD61*Assumptions!$H$80</f>
        <v>-3184.65832319811</v>
      </c>
      <c r="AE62" s="70" t="n">
        <f aca="false">-AE61*Assumptions!$H$80</f>
        <v>-3408.77093510761</v>
      </c>
      <c r="AF62" s="70" t="n">
        <f aca="false">-AF61*Assumptions!$H$80</f>
        <v>-3641.43331600489</v>
      </c>
      <c r="AG62" s="70" t="n">
        <f aca="false">-AG61*Assumptions!$H$80</f>
        <v>-3884.28873722158</v>
      </c>
      <c r="AH62" s="70" t="n">
        <f aca="false">-AH61*Assumptions!$H$80</f>
        <v>-4139.04059317244</v>
      </c>
      <c r="AI62" s="70" t="n">
        <f aca="false">-AI61*Assumptions!$H$80</f>
        <v>-4407.46630980549</v>
      </c>
      <c r="AJ62" s="70" t="n">
        <f aca="false">-AJ61*Assumptions!$H$80</f>
        <v>-4691.43121495271</v>
      </c>
      <c r="AK62" s="70" t="n">
        <f aca="false">-AK61*Assumptions!$H$80</f>
        <v>-4992.90277776135</v>
      </c>
      <c r="AL62" s="70" t="n">
        <f aca="false">-AL61*Assumptions!$H$80</f>
        <v>-5313.96538371524</v>
      </c>
      <c r="AM62" s="70" t="n">
        <f aca="false">SUM(C62:AL62)</f>
        <v>-66369.0165122608</v>
      </c>
    </row>
    <row r="63" customFormat="false" ht="15" hidden="false" customHeight="false" outlineLevel="0" collapsed="false">
      <c r="A63" s="37" t="s">
        <v>784</v>
      </c>
      <c r="B63" s="9" t="s">
        <v>97</v>
      </c>
      <c r="C63" s="53" t="n">
        <f aca="false">C61+C62</f>
        <v>0</v>
      </c>
      <c r="D63" s="53" t="n">
        <f aca="false">D61+D62</f>
        <v>0</v>
      </c>
      <c r="E63" s="53" t="n">
        <f aca="false">E61+E62</f>
        <v>0</v>
      </c>
      <c r="F63" s="53" t="n">
        <f aca="false">F61+F62</f>
        <v>0</v>
      </c>
      <c r="G63" s="53" t="n">
        <f aca="false">G61+G62</f>
        <v>0</v>
      </c>
      <c r="H63" s="53" t="n">
        <f aca="false">H61+H62</f>
        <v>0</v>
      </c>
      <c r="I63" s="53" t="n">
        <f aca="false">I61+I62</f>
        <v>6053.27525246401</v>
      </c>
      <c r="J63" s="53" t="n">
        <f aca="false">J61+J62</f>
        <v>9478.61160406257</v>
      </c>
      <c r="K63" s="53" t="n">
        <f aca="false">K61+K62</f>
        <v>12723.9544073182</v>
      </c>
      <c r="L63" s="53" t="n">
        <f aca="false">L61+L62</f>
        <v>15838.0116859284</v>
      </c>
      <c r="M63" s="53" t="n">
        <f aca="false">M61+M62</f>
        <v>18999.6841072107</v>
      </c>
      <c r="N63" s="53" t="n">
        <f aca="false">N61+N62</f>
        <v>22214.7179177818</v>
      </c>
      <c r="O63" s="53" t="n">
        <f aca="false">O61+O62</f>
        <v>25506.604479214</v>
      </c>
      <c r="P63" s="53" t="n">
        <f aca="false">P61+P62</f>
        <v>28904.5685535337</v>
      </c>
      <c r="Q63" s="53" t="n">
        <f aca="false">Q61+Q62</f>
        <v>32438.1417854536</v>
      </c>
      <c r="R63" s="53" t="n">
        <f aca="false">R61+R62</f>
        <v>36136.8790207299</v>
      </c>
      <c r="S63" s="53" t="n">
        <f aca="false">S61+S62</f>
        <v>40030.7021861128</v>
      </c>
      <c r="T63" s="53" t="n">
        <f aca="false">T61+T62</f>
        <v>44150.3316524057</v>
      </c>
      <c r="U63" s="53" t="n">
        <f aca="false">U61+U62</f>
        <v>48527.7302813153</v>
      </c>
      <c r="V63" s="53" t="n">
        <f aca="false">V61+V62</f>
        <v>53196.5517758164</v>
      </c>
      <c r="W63" s="53" t="n">
        <f aca="false">W61+W62</f>
        <v>58192.5941877773</v>
      </c>
      <c r="X63" s="53" t="n">
        <f aca="false">X61+X62</f>
        <v>63554.2617424202</v>
      </c>
      <c r="Y63" s="53" t="n">
        <f aca="false">Y61+Y62</f>
        <v>69323.0391782619</v>
      </c>
      <c r="Z63" s="53" t="n">
        <f aca="false">Z61+Z62</f>
        <v>75543.983417272</v>
      </c>
      <c r="AA63" s="53" t="n">
        <f aca="false">AA61+AA62</f>
        <v>82266.2377857597</v>
      </c>
      <c r="AB63" s="53" t="n">
        <f aca="false">AB61+AB62</f>
        <v>89101.3214616569</v>
      </c>
      <c r="AC63" s="53" t="n">
        <f aca="false">AC61+AC62</f>
        <v>95949.0359735613</v>
      </c>
      <c r="AD63" s="53" t="n">
        <f aca="false">AD61+AD62</f>
        <v>102970.619116739</v>
      </c>
      <c r="AE63" s="53" t="n">
        <f aca="false">AE61+AE62</f>
        <v>110216.926901813</v>
      </c>
      <c r="AF63" s="53" t="n">
        <f aca="false">AF61+AF62</f>
        <v>117739.677217491</v>
      </c>
      <c r="AG63" s="53" t="n">
        <f aca="false">AG61+AG62</f>
        <v>125592.002503498</v>
      </c>
      <c r="AH63" s="53" t="n">
        <f aca="false">AH61+AH62</f>
        <v>133828.979179242</v>
      </c>
      <c r="AI63" s="53" t="n">
        <f aca="false">AI61+AI62</f>
        <v>142508.077350378</v>
      </c>
      <c r="AJ63" s="53" t="n">
        <f aca="false">AJ61+AJ62</f>
        <v>151689.609283471</v>
      </c>
      <c r="AK63" s="53" t="n">
        <f aca="false">AK61+AK62</f>
        <v>161437.189814284</v>
      </c>
      <c r="AL63" s="53" t="n">
        <f aca="false">AL61+AL62</f>
        <v>171818.214073459</v>
      </c>
      <c r="AM63" s="53" t="n">
        <f aca="false">SUM(C63:AL63)</f>
        <v>2145931.53389643</v>
      </c>
    </row>
    <row r="64" customFormat="false" ht="15" hidden="false" customHeight="false" outlineLevel="0" collapsed="false">
      <c r="A64" s="10" t="s">
        <v>785</v>
      </c>
      <c r="B64" s="9" t="s">
        <v>97</v>
      </c>
      <c r="C64" s="70" t="n">
        <f aca="false">-C57*Assumptions!$H$73</f>
        <v>-0</v>
      </c>
      <c r="D64" s="70" t="n">
        <f aca="false">-D57*Assumptions!$H$73</f>
        <v>-0</v>
      </c>
      <c r="E64" s="70" t="n">
        <f aca="false">-E57*Assumptions!$H$73</f>
        <v>-0</v>
      </c>
      <c r="F64" s="70" t="n">
        <f aca="false">-F57*Assumptions!$H$73</f>
        <v>-0</v>
      </c>
      <c r="G64" s="70" t="n">
        <f aca="false">-G57*Assumptions!$H$73</f>
        <v>-0</v>
      </c>
      <c r="H64" s="70" t="n">
        <f aca="false">-H57*Assumptions!$H$73</f>
        <v>-0</v>
      </c>
      <c r="I64" s="70" t="n">
        <f aca="false">-I57*Assumptions!$H$73</f>
        <v>-1299.13206246163</v>
      </c>
      <c r="J64" s="70" t="n">
        <f aca="false">-J57*Assumptions!$H$73</f>
        <v>-2509.41844726014</v>
      </c>
      <c r="K64" s="70" t="n">
        <f aca="false">-K57*Assumptions!$H$73</f>
        <v>-3648.58026672707</v>
      </c>
      <c r="L64" s="70" t="n">
        <f aca="false">-L57*Assumptions!$H$73</f>
        <v>-4733.55249666297</v>
      </c>
      <c r="M64" s="70" t="n">
        <f aca="false">-M57*Assumptions!$H$73</f>
        <v>-5808.92406089226</v>
      </c>
      <c r="N64" s="70" t="n">
        <f aca="false">-N57*Assumptions!$H$73</f>
        <v>-6892.23644329196</v>
      </c>
      <c r="O64" s="70" t="n">
        <f aca="false">-O57*Assumptions!$H$73</f>
        <v>-7994.94701226427</v>
      </c>
      <c r="P64" s="70" t="n">
        <f aca="false">-P57*Assumptions!$H$73</f>
        <v>-9127.51837363744</v>
      </c>
      <c r="Q64" s="70" t="n">
        <f aca="false">-Q57*Assumptions!$H$73</f>
        <v>-10300.1151643105</v>
      </c>
      <c r="R64" s="70" t="n">
        <f aca="false">-R57*Assumptions!$H$73</f>
        <v>-11522.7980193979</v>
      </c>
      <c r="S64" s="70" t="n">
        <f aca="false">-S57*Assumptions!$H$73</f>
        <v>-12805.6683173163</v>
      </c>
      <c r="T64" s="70" t="n">
        <f aca="false">-T57*Assumptions!$H$73</f>
        <v>-14159.0136973827</v>
      </c>
      <c r="U64" s="70" t="n">
        <f aca="false">-U57*Assumptions!$H$73</f>
        <v>-15593.456582104</v>
      </c>
      <c r="V64" s="70" t="n">
        <f aca="false">-V57*Assumptions!$H$73</f>
        <v>-17120.1047220289</v>
      </c>
      <c r="W64" s="70" t="n">
        <f aca="false">-W57*Assumptions!$H$73</f>
        <v>-18750.7035871755</v>
      </c>
      <c r="X64" s="70" t="n">
        <f aca="false">-X57*Assumptions!$H$73</f>
        <v>-20497.7912187678</v>
      </c>
      <c r="Y64" s="70" t="n">
        <f aca="false">-Y57*Assumptions!$H$73</f>
        <v>-22374.8566668494</v>
      </c>
      <c r="Z64" s="70" t="n">
        <f aca="false">-Z57*Assumptions!$H$73</f>
        <v>-24396.5034587664</v>
      </c>
      <c r="AA64" s="70" t="n">
        <f aca="false">-AA57*Assumptions!$H$73</f>
        <v>-26578.619747431</v>
      </c>
      <c r="AB64" s="70" t="n">
        <f aca="false">-AB57*Assumptions!$H$73</f>
        <v>-28843.6422196647</v>
      </c>
      <c r="AC64" s="70" t="n">
        <f aca="false">-AC57*Assumptions!$H$73</f>
        <v>-31141.6981271467</v>
      </c>
      <c r="AD64" s="70" t="n">
        <f aca="false">-AD57*Assumptions!$H$73</f>
        <v>-33489.1509571111</v>
      </c>
      <c r="AE64" s="70" t="n">
        <f aca="false">-AE57*Assumptions!$H$73</f>
        <v>-35902.9001318516</v>
      </c>
      <c r="AF64" s="70" t="n">
        <f aca="false">-AF57*Assumptions!$H$73</f>
        <v>-38400.2260632228</v>
      </c>
      <c r="AG64" s="70" t="n">
        <f aca="false">-AG57*Assumptions!$H$73</f>
        <v>-40998.8520945258</v>
      </c>
      <c r="AH64" s="70" t="n">
        <f aca="false">-AH57*Assumptions!$H$73</f>
        <v>-43717.0807796073</v>
      </c>
      <c r="AI64" s="70" t="n">
        <f aca="false">-AI57*Assumptions!$H$73</f>
        <v>-46573.9402408674</v>
      </c>
      <c r="AJ64" s="70" t="n">
        <f aca="false">-AJ57*Assumptions!$H$73</f>
        <v>-49589.3339492089</v>
      </c>
      <c r="AK64" s="70" t="n">
        <f aca="false">-AK57*Assumptions!$H$73</f>
        <v>-52784.1943167001</v>
      </c>
      <c r="AL64" s="70" t="n">
        <f aca="false">-AL57*Assumptions!$H$73</f>
        <v>-56180.6414003214</v>
      </c>
      <c r="AM64" s="70" t="n">
        <f aca="false">SUM(C64:AL64)</f>
        <v>-693735.600624956</v>
      </c>
    </row>
    <row r="65" customFormat="false" ht="15" hidden="false" customHeight="false" outlineLevel="0" collapsed="false">
      <c r="A65" s="10" t="s">
        <v>786</v>
      </c>
      <c r="B65" s="9" t="s">
        <v>97</v>
      </c>
      <c r="C65" s="70" t="n">
        <f aca="false">-C54*Assumptions!$H$74</f>
        <v>-0</v>
      </c>
      <c r="D65" s="70" t="n">
        <f aca="false">-D54*Assumptions!$H$74</f>
        <v>-0</v>
      </c>
      <c r="E65" s="70" t="n">
        <f aca="false">-E54*Assumptions!$H$74</f>
        <v>-0</v>
      </c>
      <c r="F65" s="70" t="n">
        <f aca="false">-F54*Assumptions!$H$74</f>
        <v>-0</v>
      </c>
      <c r="G65" s="70" t="n">
        <f aca="false">-G54*Assumptions!$H$74</f>
        <v>-0</v>
      </c>
      <c r="H65" s="70" t="n">
        <f aca="false">-H54*Assumptions!$H$74</f>
        <v>-0</v>
      </c>
      <c r="I65" s="70" t="n">
        <f aca="false">-I54*Assumptions!$H$74</f>
        <v>-1370.94048180324</v>
      </c>
      <c r="J65" s="70" t="n">
        <f aca="false">-J54*Assumptions!$H$74</f>
        <v>-1427.98738790302</v>
      </c>
      <c r="K65" s="70" t="n">
        <f aca="false">-K54*Assumptions!$H$74</f>
        <v>-1493.42170558104</v>
      </c>
      <c r="L65" s="70" t="n">
        <f aca="false">-L54*Assumptions!$H$74</f>
        <v>-1568.47091476948</v>
      </c>
      <c r="M65" s="70" t="n">
        <f aca="false">-M54*Assumptions!$H$74</f>
        <v>-1684.28332657859</v>
      </c>
      <c r="N65" s="70" t="n">
        <f aca="false">-N54*Assumptions!$H$74</f>
        <v>-1817.49236608344</v>
      </c>
      <c r="O65" s="70" t="n">
        <f aca="false">-O54*Assumptions!$H$74</f>
        <v>-1963.71384169522</v>
      </c>
      <c r="P65" s="70" t="n">
        <f aca="false">-P54*Assumptions!$H$74</f>
        <v>-2123.22797930122</v>
      </c>
      <c r="Q65" s="70" t="n">
        <f aca="false">-Q54*Assumptions!$H$74</f>
        <v>-2296.93484091412</v>
      </c>
      <c r="R65" s="70" t="n">
        <f aca="false">-R54*Assumptions!$H$74</f>
        <v>-2485.90458878018</v>
      </c>
      <c r="S65" s="70" t="n">
        <f aca="false">-S54*Assumptions!$H$74</f>
        <v>-2691.34805835066</v>
      </c>
      <c r="T65" s="70" t="n">
        <f aca="false">-T54*Assumptions!$H$74</f>
        <v>-2914.63437552493</v>
      </c>
      <c r="U65" s="70" t="n">
        <f aca="false">-U54*Assumptions!$H$74</f>
        <v>-3157.31101913022</v>
      </c>
      <c r="V65" s="70" t="n">
        <f aca="false">-V54*Assumptions!$H$74</f>
        <v>-3421.12319576837</v>
      </c>
      <c r="W65" s="70" t="n">
        <f aca="false">-W54*Assumptions!$H$74</f>
        <v>-3708.03326373103</v>
      </c>
      <c r="X65" s="70" t="n">
        <f aca="false">-X54*Assumptions!$H$74</f>
        <v>-4020.24101892007</v>
      </c>
      <c r="Y65" s="70" t="n">
        <f aca="false">-Y54*Assumptions!$H$74</f>
        <v>-4360.20545414418</v>
      </c>
      <c r="Z65" s="70" t="n">
        <f aca="false">-Z54*Assumptions!$H$74</f>
        <v>-4730.6684595296</v>
      </c>
      <c r="AA65" s="70" t="n">
        <f aca="false">-AA54*Assumptions!$H$74</f>
        <v>-5134.68084696567</v>
      </c>
      <c r="AB65" s="70" t="n">
        <f aca="false">-AB54*Assumptions!$H$74</f>
        <v>-5475.46999936529</v>
      </c>
      <c r="AC65" s="70" t="n">
        <f aca="false">-AC54*Assumptions!$H$74</f>
        <v>-5773.25349247182</v>
      </c>
      <c r="AD65" s="70" t="n">
        <f aca="false">-AD54*Assumptions!$H$74</f>
        <v>-6092.13947697619</v>
      </c>
      <c r="AE65" s="70" t="n">
        <f aca="false">-AE54*Assumptions!$H$74</f>
        <v>-6434.59298744952</v>
      </c>
      <c r="AF65" s="70" t="n">
        <f aca="false">-AF54*Assumptions!$H$74</f>
        <v>-6802.9777599098</v>
      </c>
      <c r="AG65" s="70" t="n">
        <f aca="false">-AG54*Assumptions!$H$74</f>
        <v>-7199.76712137271</v>
      </c>
      <c r="AH65" s="70" t="n">
        <f aca="false">-AH54*Assumptions!$H$74</f>
        <v>-7627.62962621678</v>
      </c>
      <c r="AI65" s="70" t="n">
        <f aca="false">-AI54*Assumptions!$H$74</f>
        <v>-8089.45551149252</v>
      </c>
      <c r="AJ65" s="70" t="n">
        <f aca="false">-AJ54*Assumptions!$H$74</f>
        <v>-8588.37729727088</v>
      </c>
      <c r="AK65" s="70" t="n">
        <f aca="false">-AK54*Assumptions!$H$74</f>
        <v>-9127.79119657968</v>
      </c>
      <c r="AL65" s="70" t="n">
        <f aca="false">-AL54*Assumptions!$H$74</f>
        <v>-9711.38033806033</v>
      </c>
      <c r="AM65" s="70" t="n">
        <f aca="false">SUM(C65:AL65)</f>
        <v>-133293.45793264</v>
      </c>
    </row>
    <row r="66" customFormat="false" ht="15" hidden="false" customHeight="false" outlineLevel="0" collapsed="false">
      <c r="A66" s="10" t="s">
        <v>787</v>
      </c>
      <c r="B66" s="9" t="s">
        <v>97</v>
      </c>
      <c r="C66" s="70" t="n">
        <f aca="false">-C57*Assumptions!$H$75</f>
        <v>-0</v>
      </c>
      <c r="D66" s="70" t="n">
        <f aca="false">-D57*Assumptions!$H$75</f>
        <v>-0</v>
      </c>
      <c r="E66" s="70" t="n">
        <f aca="false">-E57*Assumptions!$H$75</f>
        <v>-0</v>
      </c>
      <c r="F66" s="70" t="n">
        <f aca="false">-F57*Assumptions!$H$75</f>
        <v>-0</v>
      </c>
      <c r="G66" s="70" t="n">
        <f aca="false">-G57*Assumptions!$H$75</f>
        <v>-0</v>
      </c>
      <c r="H66" s="70" t="n">
        <f aca="false">-H57*Assumptions!$H$75</f>
        <v>-0</v>
      </c>
      <c r="I66" s="70" t="n">
        <f aca="false">-I57*Assumptions!$H$75</f>
        <v>-118.102914769239</v>
      </c>
      <c r="J66" s="70" t="n">
        <f aca="false">-J57*Assumptions!$H$75</f>
        <v>-228.128949750922</v>
      </c>
      <c r="K66" s="70" t="n">
        <f aca="false">-K57*Assumptions!$H$75</f>
        <v>-331.689115157007</v>
      </c>
      <c r="L66" s="70" t="n">
        <f aca="false">-L57*Assumptions!$H$75</f>
        <v>-430.322954242088</v>
      </c>
      <c r="M66" s="70" t="n">
        <f aca="false">-M57*Assumptions!$H$75</f>
        <v>-528.08400553566</v>
      </c>
      <c r="N66" s="70" t="n">
        <f aca="false">-N57*Assumptions!$H$75</f>
        <v>-626.566949390178</v>
      </c>
      <c r="O66" s="70" t="n">
        <f aca="false">-O57*Assumptions!$H$75</f>
        <v>-726.813364751297</v>
      </c>
      <c r="P66" s="70" t="n">
        <f aca="false">-P57*Assumptions!$H$75</f>
        <v>-829.774397603404</v>
      </c>
      <c r="Q66" s="70" t="n">
        <f aca="false">-Q57*Assumptions!$H$75</f>
        <v>-936.37410584641</v>
      </c>
      <c r="R66" s="70" t="n">
        <f aca="false">-R57*Assumptions!$H$75</f>
        <v>-1047.52709267254</v>
      </c>
      <c r="S66" s="70" t="n">
        <f aca="false">-S57*Assumptions!$H$75</f>
        <v>-1164.15166521058</v>
      </c>
      <c r="T66" s="70" t="n">
        <f aca="false">-T57*Assumptions!$H$75</f>
        <v>-1287.18306339842</v>
      </c>
      <c r="U66" s="70" t="n">
        <f aca="false">-U57*Assumptions!$H$75</f>
        <v>-1417.58696200946</v>
      </c>
      <c r="V66" s="70" t="n">
        <f aca="false">-V57*Assumptions!$H$75</f>
        <v>-1556.37315654808</v>
      </c>
      <c r="W66" s="70" t="n">
        <f aca="false">-W57*Assumptions!$H$75</f>
        <v>-1704.60941701595</v>
      </c>
      <c r="X66" s="70" t="n">
        <f aca="false">-X57*Assumptions!$H$75</f>
        <v>-1863.43556534253</v>
      </c>
      <c r="Y66" s="70" t="n">
        <f aca="false">-Y57*Assumptions!$H$75</f>
        <v>-2034.07787880449</v>
      </c>
      <c r="Z66" s="70" t="n">
        <f aca="false">-Z57*Assumptions!$H$75</f>
        <v>-2217.86395079695</v>
      </c>
      <c r="AA66" s="70" t="n">
        <f aca="false">-AA57*Assumptions!$H$75</f>
        <v>-2416.23815885736</v>
      </c>
      <c r="AB66" s="70" t="n">
        <f aca="false">-AB57*Assumptions!$H$75</f>
        <v>-2622.14929269679</v>
      </c>
      <c r="AC66" s="70" t="n">
        <f aca="false">-AC57*Assumptions!$H$75</f>
        <v>-2831.06346610424</v>
      </c>
      <c r="AD66" s="70" t="n">
        <f aca="false">-AD57*Assumptions!$H$75</f>
        <v>-3044.46826882828</v>
      </c>
      <c r="AE66" s="70" t="n">
        <f aca="false">-AE57*Assumptions!$H$75</f>
        <v>-3263.90001198651</v>
      </c>
      <c r="AF66" s="70" t="n">
        <f aca="false">-AF57*Assumptions!$H$75</f>
        <v>-3490.92964211117</v>
      </c>
      <c r="AG66" s="70" t="n">
        <f aca="false">-AG57*Assumptions!$H$75</f>
        <v>-3727.16837222962</v>
      </c>
      <c r="AH66" s="70" t="n">
        <f aca="false">-AH57*Assumptions!$H$75</f>
        <v>-3974.28007087339</v>
      </c>
      <c r="AI66" s="70" t="n">
        <f aca="false">-AI57*Assumptions!$H$75</f>
        <v>-4233.99456735158</v>
      </c>
      <c r="AJ66" s="70" t="n">
        <f aca="false">-AJ57*Assumptions!$H$75</f>
        <v>-4508.1212681099</v>
      </c>
      <c r="AK66" s="70" t="n">
        <f aca="false">-AK57*Assumptions!$H$75</f>
        <v>-4798.56311970001</v>
      </c>
      <c r="AL66" s="70" t="n">
        <f aca="false">-AL57*Assumptions!$H$75</f>
        <v>-5107.33103639285</v>
      </c>
      <c r="AM66" s="70" t="n">
        <f aca="false">SUM(C66:AL66)</f>
        <v>-63066.8727840869</v>
      </c>
    </row>
    <row r="67" customFormat="false" ht="15" hidden="false" customHeight="false" outlineLevel="0" collapsed="false">
      <c r="A67" s="10" t="s">
        <v>788</v>
      </c>
      <c r="B67" s="9" t="s">
        <v>97</v>
      </c>
      <c r="C67" s="70" t="n">
        <f aca="false">-C57*Assumptions!$H$76</f>
        <v>-0</v>
      </c>
      <c r="D67" s="70" t="n">
        <f aca="false">-D57*Assumptions!$H$76</f>
        <v>-0</v>
      </c>
      <c r="E67" s="70" t="n">
        <f aca="false">-E57*Assumptions!$H$76</f>
        <v>-0</v>
      </c>
      <c r="F67" s="70" t="n">
        <f aca="false">-F57*Assumptions!$H$76</f>
        <v>-0</v>
      </c>
      <c r="G67" s="70" t="n">
        <f aca="false">-G57*Assumptions!$H$76</f>
        <v>-0</v>
      </c>
      <c r="H67" s="70" t="n">
        <f aca="false">-H57*Assumptions!$H$76</f>
        <v>-0</v>
      </c>
      <c r="I67" s="70" t="n">
        <f aca="false">-I57*Assumptions!$H$76</f>
        <v>-265.731558230789</v>
      </c>
      <c r="J67" s="70" t="n">
        <f aca="false">-J57*Assumptions!$H$76</f>
        <v>-513.290136939573</v>
      </c>
      <c r="K67" s="70" t="n">
        <f aca="false">-K57*Assumptions!$H$76</f>
        <v>-746.300509103265</v>
      </c>
      <c r="L67" s="70" t="n">
        <f aca="false">-L57*Assumptions!$H$76</f>
        <v>-968.226647044698</v>
      </c>
      <c r="M67" s="70" t="n">
        <f aca="false">-M57*Assumptions!$H$76</f>
        <v>-1188.18901245524</v>
      </c>
      <c r="N67" s="70" t="n">
        <f aca="false">-N57*Assumptions!$H$76</f>
        <v>-1409.7756361279</v>
      </c>
      <c r="O67" s="70" t="n">
        <f aca="false">-O57*Assumptions!$H$76</f>
        <v>-1635.33007069042</v>
      </c>
      <c r="P67" s="70" t="n">
        <f aca="false">-P57*Assumptions!$H$76</f>
        <v>-1866.99239460766</v>
      </c>
      <c r="Q67" s="70" t="n">
        <f aca="false">-Q57*Assumptions!$H$76</f>
        <v>-2106.84173815442</v>
      </c>
      <c r="R67" s="70" t="n">
        <f aca="false">-R57*Assumptions!$H$76</f>
        <v>-2356.93595851321</v>
      </c>
      <c r="S67" s="70" t="n">
        <f aca="false">-S57*Assumptions!$H$76</f>
        <v>-2619.3412467238</v>
      </c>
      <c r="T67" s="70" t="n">
        <f aca="false">-T57*Assumptions!$H$76</f>
        <v>-2896.16189264645</v>
      </c>
      <c r="U67" s="70" t="n">
        <f aca="false">-U57*Assumptions!$H$76</f>
        <v>-3189.57066452128</v>
      </c>
      <c r="V67" s="70" t="n">
        <f aca="false">-V57*Assumptions!$H$76</f>
        <v>-3501.83960223319</v>
      </c>
      <c r="W67" s="70" t="n">
        <f aca="false">-W57*Assumptions!$H$76</f>
        <v>-3835.37118828589</v>
      </c>
      <c r="X67" s="70" t="n">
        <f aca="false">-X57*Assumptions!$H$76</f>
        <v>-4192.73002202069</v>
      </c>
      <c r="Y67" s="70" t="n">
        <f aca="false">-Y57*Assumptions!$H$76</f>
        <v>-4576.67522731011</v>
      </c>
      <c r="Z67" s="70" t="n">
        <f aca="false">-Z57*Assumptions!$H$76</f>
        <v>-4990.19388929314</v>
      </c>
      <c r="AA67" s="70" t="n">
        <f aca="false">-AA57*Assumptions!$H$76</f>
        <v>-5436.53585742906</v>
      </c>
      <c r="AB67" s="70" t="n">
        <f aca="false">-AB57*Assumptions!$H$76</f>
        <v>-5899.83590856778</v>
      </c>
      <c r="AC67" s="70" t="n">
        <f aca="false">-AC57*Assumptions!$H$76</f>
        <v>-6369.89279873455</v>
      </c>
      <c r="AD67" s="70" t="n">
        <f aca="false">-AD57*Assumptions!$H$76</f>
        <v>-6850.05360486364</v>
      </c>
      <c r="AE67" s="70" t="n">
        <f aca="false">-AE57*Assumptions!$H$76</f>
        <v>-7343.77502696964</v>
      </c>
      <c r="AF67" s="70" t="n">
        <f aca="false">-AF57*Assumptions!$H$76</f>
        <v>-7854.59169475013</v>
      </c>
      <c r="AG67" s="70" t="n">
        <f aca="false">-AG57*Assumptions!$H$76</f>
        <v>-8386.12883751664</v>
      </c>
      <c r="AH67" s="70" t="n">
        <f aca="false">-AH57*Assumptions!$H$76</f>
        <v>-8942.13015946513</v>
      </c>
      <c r="AI67" s="70" t="n">
        <f aca="false">-AI57*Assumptions!$H$76</f>
        <v>-9526.48777654105</v>
      </c>
      <c r="AJ67" s="70" t="n">
        <f aca="false">-AJ57*Assumptions!$H$76</f>
        <v>-10143.2728532473</v>
      </c>
      <c r="AK67" s="70" t="n">
        <f aca="false">-AK57*Assumptions!$H$76</f>
        <v>-10796.767019325</v>
      </c>
      <c r="AL67" s="70" t="n">
        <f aca="false">-AL57*Assumptions!$H$76</f>
        <v>-11491.4948318839</v>
      </c>
      <c r="AM67" s="70" t="n">
        <f aca="false">SUM(C67:AL67)</f>
        <v>-141900.463764196</v>
      </c>
    </row>
    <row r="68" customFormat="false" ht="15" hidden="false" customHeight="false" outlineLevel="0" collapsed="false">
      <c r="A68" s="10" t="s">
        <v>789</v>
      </c>
      <c r="B68" s="9" t="s">
        <v>97</v>
      </c>
      <c r="C68" s="70" t="n">
        <f aca="false">-C57*Assumptions!$H$77</f>
        <v>-0</v>
      </c>
      <c r="D68" s="70" t="n">
        <f aca="false">-D57*Assumptions!$H$77</f>
        <v>-0</v>
      </c>
      <c r="E68" s="70" t="n">
        <f aca="false">-E57*Assumptions!$H$77</f>
        <v>-0</v>
      </c>
      <c r="F68" s="70" t="n">
        <f aca="false">-F57*Assumptions!$H$77</f>
        <v>-0</v>
      </c>
      <c r="G68" s="70" t="n">
        <f aca="false">-G57*Assumptions!$H$77</f>
        <v>-0</v>
      </c>
      <c r="H68" s="70" t="n">
        <f aca="false">-H57*Assumptions!$H$77</f>
        <v>-0</v>
      </c>
      <c r="I68" s="70" t="n">
        <f aca="false">-I57*Assumptions!$H$77</f>
        <v>-66.4328895576972</v>
      </c>
      <c r="J68" s="70" t="n">
        <f aca="false">-J57*Assumptions!$H$77</f>
        <v>-128.322534234893</v>
      </c>
      <c r="K68" s="70" t="n">
        <f aca="false">-K57*Assumptions!$H$77</f>
        <v>-186.575127275816</v>
      </c>
      <c r="L68" s="70" t="n">
        <f aca="false">-L57*Assumptions!$H$77</f>
        <v>-242.056661761174</v>
      </c>
      <c r="M68" s="70" t="n">
        <f aca="false">-M57*Assumptions!$H$77</f>
        <v>-297.047253113809</v>
      </c>
      <c r="N68" s="70" t="n">
        <f aca="false">-N57*Assumptions!$H$77</f>
        <v>-352.443909031975</v>
      </c>
      <c r="O68" s="70" t="n">
        <f aca="false">-O57*Assumptions!$H$77</f>
        <v>-408.832517672605</v>
      </c>
      <c r="P68" s="70" t="n">
        <f aca="false">-P57*Assumptions!$H$77</f>
        <v>-466.748098651915</v>
      </c>
      <c r="Q68" s="70" t="n">
        <f aca="false">-Q57*Assumptions!$H$77</f>
        <v>-526.710434538606</v>
      </c>
      <c r="R68" s="70" t="n">
        <f aca="false">-R57*Assumptions!$H$77</f>
        <v>-589.233989628302</v>
      </c>
      <c r="S68" s="70" t="n">
        <f aca="false">-S57*Assumptions!$H$77</f>
        <v>-654.835311680949</v>
      </c>
      <c r="T68" s="70" t="n">
        <f aca="false">-T57*Assumptions!$H$77</f>
        <v>-724.040473161614</v>
      </c>
      <c r="U68" s="70" t="n">
        <f aca="false">-U57*Assumptions!$H$77</f>
        <v>-797.39266613032</v>
      </c>
      <c r="V68" s="70" t="n">
        <f aca="false">-V57*Assumptions!$H$77</f>
        <v>-875.459900558297</v>
      </c>
      <c r="W68" s="70" t="n">
        <f aca="false">-W57*Assumptions!$H$77</f>
        <v>-958.842797071472</v>
      </c>
      <c r="X68" s="70" t="n">
        <f aca="false">-X57*Assumptions!$H$77</f>
        <v>-1048.18250550517</v>
      </c>
      <c r="Y68" s="70" t="n">
        <f aca="false">-Y57*Assumptions!$H$77</f>
        <v>-1144.16880682753</v>
      </c>
      <c r="Z68" s="70" t="n">
        <f aca="false">-Z57*Assumptions!$H$77</f>
        <v>-1247.54847232328</v>
      </c>
      <c r="AA68" s="70" t="n">
        <f aca="false">-AA57*Assumptions!$H$77</f>
        <v>-1359.13396435726</v>
      </c>
      <c r="AB68" s="70" t="n">
        <f aca="false">-AB57*Assumptions!$H$77</f>
        <v>-1474.95897714195</v>
      </c>
      <c r="AC68" s="70" t="n">
        <f aca="false">-AC57*Assumptions!$H$77</f>
        <v>-1592.47319968364</v>
      </c>
      <c r="AD68" s="70" t="n">
        <f aca="false">-AD57*Assumptions!$H$77</f>
        <v>-1712.51340121591</v>
      </c>
      <c r="AE68" s="70" t="n">
        <f aca="false">-AE57*Assumptions!$H$77</f>
        <v>-1835.94375674241</v>
      </c>
      <c r="AF68" s="70" t="n">
        <f aca="false">-AF57*Assumptions!$H$77</f>
        <v>-1963.64792368753</v>
      </c>
      <c r="AG68" s="70" t="n">
        <f aca="false">-AG57*Assumptions!$H$77</f>
        <v>-2096.53220937916</v>
      </c>
      <c r="AH68" s="70" t="n">
        <f aca="false">-AH57*Assumptions!$H$77</f>
        <v>-2235.53253986628</v>
      </c>
      <c r="AI68" s="70" t="n">
        <f aca="false">-AI57*Assumptions!$H$77</f>
        <v>-2381.62194413526</v>
      </c>
      <c r="AJ68" s="70" t="n">
        <f aca="false">-AJ57*Assumptions!$H$77</f>
        <v>-2535.81821331182</v>
      </c>
      <c r="AK68" s="70" t="n">
        <f aca="false">-AK57*Assumptions!$H$77</f>
        <v>-2699.19175483125</v>
      </c>
      <c r="AL68" s="70" t="n">
        <f aca="false">-AL57*Assumptions!$H$77</f>
        <v>-2872.87370797098</v>
      </c>
      <c r="AM68" s="70" t="n">
        <f aca="false">SUM(C68:AL68)</f>
        <v>-35475.1159410489</v>
      </c>
    </row>
    <row r="69" customFormat="false" ht="15" hidden="false" customHeight="false" outlineLevel="0" collapsed="false">
      <c r="A69" s="10" t="s">
        <v>790</v>
      </c>
      <c r="B69" s="9" t="s">
        <v>97</v>
      </c>
      <c r="C69" s="70" t="n">
        <f aca="false">-C63*Assumptions!$H$79</f>
        <v>-0</v>
      </c>
      <c r="D69" s="70" t="n">
        <f aca="false">-D63*Assumptions!$H$79</f>
        <v>-0</v>
      </c>
      <c r="E69" s="70" t="n">
        <f aca="false">-E63*Assumptions!$H$79</f>
        <v>-0</v>
      </c>
      <c r="F69" s="70" t="n">
        <f aca="false">-F63*Assumptions!$H$79</f>
        <v>-0</v>
      </c>
      <c r="G69" s="70" t="n">
        <f aca="false">-G63*Assumptions!$H$79</f>
        <v>-0</v>
      </c>
      <c r="H69" s="70" t="n">
        <f aca="false">-H63*Assumptions!$H$79</f>
        <v>-0</v>
      </c>
      <c r="I69" s="70" t="n">
        <f aca="false">-I63*Assumptions!$H$79</f>
        <v>-175.544982321456</v>
      </c>
      <c r="J69" s="70" t="n">
        <f aca="false">-J63*Assumptions!$H$79</f>
        <v>-274.879736517814</v>
      </c>
      <c r="K69" s="70" t="n">
        <f aca="false">-K63*Assumptions!$H$79</f>
        <v>-368.994677812229</v>
      </c>
      <c r="L69" s="70" t="n">
        <f aca="false">-L63*Assumptions!$H$79</f>
        <v>-459.302338891925</v>
      </c>
      <c r="M69" s="70" t="n">
        <f aca="false">-M63*Assumptions!$H$79</f>
        <v>-550.99083910911</v>
      </c>
      <c r="N69" s="70" t="n">
        <f aca="false">-N63*Assumptions!$H$79</f>
        <v>-644.226819615671</v>
      </c>
      <c r="O69" s="70" t="n">
        <f aca="false">-O63*Assumptions!$H$79</f>
        <v>-739.691529897205</v>
      </c>
      <c r="P69" s="70" t="n">
        <f aca="false">-P63*Assumptions!$H$79</f>
        <v>-838.232488052478</v>
      </c>
      <c r="Q69" s="70" t="n">
        <f aca="false">-Q63*Assumptions!$H$79</f>
        <v>-940.706111778155</v>
      </c>
      <c r="R69" s="70" t="n">
        <f aca="false">-R63*Assumptions!$H$79</f>
        <v>-1047.96949160117</v>
      </c>
      <c r="S69" s="70" t="n">
        <f aca="false">-S63*Assumptions!$H$79</f>
        <v>-1160.89036339727</v>
      </c>
      <c r="T69" s="70" t="n">
        <f aca="false">-T63*Assumptions!$H$79</f>
        <v>-1280.35961791977</v>
      </c>
      <c r="U69" s="70" t="n">
        <f aca="false">-U63*Assumptions!$H$79</f>
        <v>-1407.30417815814</v>
      </c>
      <c r="V69" s="70" t="n">
        <f aca="false">-V63*Assumptions!$H$79</f>
        <v>-1542.70000149867</v>
      </c>
      <c r="W69" s="70" t="n">
        <f aca="false">-W63*Assumptions!$H$79</f>
        <v>-1687.58523144554</v>
      </c>
      <c r="X69" s="70" t="n">
        <f aca="false">-X63*Assumptions!$H$79</f>
        <v>-1843.07359053019</v>
      </c>
      <c r="Y69" s="70" t="n">
        <f aca="false">-Y63*Assumptions!$H$79</f>
        <v>-2010.36813616959</v>
      </c>
      <c r="Z69" s="70" t="n">
        <f aca="false">-Z63*Assumptions!$H$79</f>
        <v>-2190.77551910089</v>
      </c>
      <c r="AA69" s="70" t="n">
        <f aca="false">-AA63*Assumptions!$H$79</f>
        <v>-2385.72089578703</v>
      </c>
      <c r="AB69" s="70" t="n">
        <f aca="false">-AB63*Assumptions!$H$79</f>
        <v>-2583.93832238805</v>
      </c>
      <c r="AC69" s="70" t="n">
        <f aca="false">-AC63*Assumptions!$H$79</f>
        <v>-2782.52204323328</v>
      </c>
      <c r="AD69" s="70" t="n">
        <f aca="false">-AD63*Assumptions!$H$79</f>
        <v>-2986.14795438543</v>
      </c>
      <c r="AE69" s="70" t="n">
        <f aca="false">-AE63*Assumptions!$H$79</f>
        <v>-3196.29088015257</v>
      </c>
      <c r="AF69" s="70" t="n">
        <f aca="false">-AF63*Assumptions!$H$79</f>
        <v>-3414.45063930725</v>
      </c>
      <c r="AG69" s="70" t="n">
        <f aca="false">-AG63*Assumptions!$H$79</f>
        <v>-3642.16807260144</v>
      </c>
      <c r="AH69" s="70" t="n">
        <f aca="false">-AH63*Assumptions!$H$79</f>
        <v>-3881.04039619802</v>
      </c>
      <c r="AI69" s="70" t="n">
        <f aca="false">-AI63*Assumptions!$H$79</f>
        <v>-4132.73424316095</v>
      </c>
      <c r="AJ69" s="70" t="n">
        <f aca="false">-AJ63*Assumptions!$H$79</f>
        <v>-4398.99866922066</v>
      </c>
      <c r="AK69" s="70" t="n">
        <f aca="false">-AK63*Assumptions!$H$79</f>
        <v>-4681.67850461423</v>
      </c>
      <c r="AL69" s="70" t="n">
        <f aca="false">-AL63*Assumptions!$H$79</f>
        <v>-4982.72820813032</v>
      </c>
      <c r="AM69" s="70" t="n">
        <f aca="false">SUM(C69:AL69)</f>
        <v>-62232.0144829965</v>
      </c>
    </row>
    <row r="70" customFormat="false" ht="15" hidden="false" customHeight="false" outlineLevel="0" collapsed="false">
      <c r="A70" s="37" t="s">
        <v>791</v>
      </c>
      <c r="B70" s="9" t="s">
        <v>97</v>
      </c>
      <c r="C70" s="53" t="n">
        <f aca="false">C63+C64+C65+C66+C67+C68+C69</f>
        <v>0</v>
      </c>
      <c r="D70" s="53" t="n">
        <f aca="false">D63+D64+D65+D66+D67+D68+D69</f>
        <v>0</v>
      </c>
      <c r="E70" s="53" t="n">
        <f aca="false">E63+E64+E65+E66+E67+E68+E69</f>
        <v>0</v>
      </c>
      <c r="F70" s="53" t="n">
        <f aca="false">F63+F64+F65+F66+F67+F68+F69</f>
        <v>0</v>
      </c>
      <c r="G70" s="53" t="n">
        <f aca="false">G63+G64+G65+G66+G67+G68+G69</f>
        <v>0</v>
      </c>
      <c r="H70" s="53" t="n">
        <f aca="false">H63+H64+H65+H66+H67+H68+H69</f>
        <v>0</v>
      </c>
      <c r="I70" s="53" t="n">
        <f aca="false">I63+I64+I65+I66+I67+I68+I69</f>
        <v>2757.39036331995</v>
      </c>
      <c r="J70" s="53" t="n">
        <f aca="false">J63+J64+J65+J66+J67+J68+J69</f>
        <v>4396.5844114562</v>
      </c>
      <c r="K70" s="53" t="n">
        <f aca="false">K63+K64+K65+K66+K67+K68+K69</f>
        <v>5948.39300566182</v>
      </c>
      <c r="L70" s="53" t="n">
        <f aca="false">L63+L64+L65+L66+L67+L68+L69</f>
        <v>7436.07967255611</v>
      </c>
      <c r="M70" s="53" t="n">
        <f aca="false">M63+M64+M65+M66+M67+M68+M69</f>
        <v>8942.16560952603</v>
      </c>
      <c r="N70" s="53" t="n">
        <f aca="false">N63+N64+N65+N66+N67+N68+N69</f>
        <v>10471.9757942406</v>
      </c>
      <c r="O70" s="53" t="n">
        <f aca="false">O63+O64+O65+O66+O67+O68+O69</f>
        <v>12037.276142243</v>
      </c>
      <c r="P70" s="53" t="n">
        <f aca="false">P63+P64+P65+P66+P67+P68+P69</f>
        <v>13652.0748216796</v>
      </c>
      <c r="Q70" s="53" t="n">
        <f aca="false">Q63+Q64+Q65+Q66+Q67+Q68+Q69</f>
        <v>15330.4593899114</v>
      </c>
      <c r="R70" s="53" t="n">
        <f aca="false">R63+R64+R65+R66+R67+R68+R69</f>
        <v>17086.5098801366</v>
      </c>
      <c r="S70" s="53" t="n">
        <f aca="false">S63+S64+S65+S66+S67+S68+S69</f>
        <v>18934.4672234332</v>
      </c>
      <c r="T70" s="53" t="n">
        <f aca="false">T63+T64+T65+T66+T67+T68+T69</f>
        <v>20888.9385323719</v>
      </c>
      <c r="U70" s="53" t="n">
        <f aca="false">U63+U64+U65+U66+U67+U68+U69</f>
        <v>22965.1082092619</v>
      </c>
      <c r="V70" s="53" t="n">
        <f aca="false">V63+V64+V65+V66+V67+V68+V69</f>
        <v>25178.9511971808</v>
      </c>
      <c r="W70" s="53" t="n">
        <f aca="false">W63+W64+W65+W66+W67+W68+W69</f>
        <v>27547.4487030519</v>
      </c>
      <c r="X70" s="53" t="n">
        <f aca="false">X63+X64+X65+X66+X67+X68+X69</f>
        <v>30088.8078213337</v>
      </c>
      <c r="Y70" s="53" t="n">
        <f aca="false">Y63+Y64+Y65+Y66+Y67+Y68+Y69</f>
        <v>32822.6870081565</v>
      </c>
      <c r="Z70" s="53" t="n">
        <f aca="false">Z63+Z64+Z65+Z66+Z67+Z68+Z69</f>
        <v>35770.4296674617</v>
      </c>
      <c r="AA70" s="53" t="n">
        <f aca="false">AA63+AA64+AA65+AA66+AA67+AA68+AA69</f>
        <v>38955.3083149323</v>
      </c>
      <c r="AB70" s="53" t="n">
        <f aca="false">AB63+AB64+AB65+AB66+AB67+AB68+AB69</f>
        <v>42201.3267418324</v>
      </c>
      <c r="AC70" s="53" t="n">
        <f aca="false">AC63+AC64+AC65+AC66+AC67+AC68+AC69</f>
        <v>45458.1328461871</v>
      </c>
      <c r="AD70" s="53" t="n">
        <f aca="false">AD63+AD64+AD65+AD66+AD67+AD68+AD69</f>
        <v>48796.1454533584</v>
      </c>
      <c r="AE70" s="53" t="n">
        <f aca="false">AE63+AE64+AE65+AE66+AE67+AE68+AE69</f>
        <v>52239.5241066604</v>
      </c>
      <c r="AF70" s="53" t="n">
        <f aca="false">AF63+AF64+AF65+AF66+AF67+AF68+AF69</f>
        <v>55812.8534945027</v>
      </c>
      <c r="AG70" s="53" t="n">
        <f aca="false">AG63+AG64+AG65+AG66+AG67+AG68+AG69</f>
        <v>59541.3857958725</v>
      </c>
      <c r="AH70" s="53" t="n">
        <f aca="false">AH63+AH64+AH65+AH66+AH67+AH68+AH69</f>
        <v>63451.2856070153</v>
      </c>
      <c r="AI70" s="53" t="n">
        <f aca="false">AI63+AI64+AI65+AI66+AI67+AI68+AI69</f>
        <v>67569.8430668289</v>
      </c>
      <c r="AJ70" s="53" t="n">
        <f aca="false">AJ63+AJ64+AJ65+AJ66+AJ67+AJ68+AJ69</f>
        <v>71925.6870331015</v>
      </c>
      <c r="AK70" s="53" t="n">
        <f aca="false">AK63+AK64+AK65+AK66+AK67+AK68+AK69</f>
        <v>76549.0039025335</v>
      </c>
      <c r="AL70" s="53" t="n">
        <f aca="false">AL63+AL64+AL65+AL66+AL67+AL68+AL69</f>
        <v>81471.7645506996</v>
      </c>
      <c r="AM70" s="53" t="n">
        <f aca="false">SUM(C70:AL70)</f>
        <v>1016228.00836651</v>
      </c>
    </row>
    <row r="71" customFormat="false" ht="15" hidden="false" customHeight="false" outlineLevel="0" collapsed="false">
      <c r="A71" s="10" t="s">
        <v>792</v>
      </c>
      <c r="B71" s="9" t="s">
        <v>61</v>
      </c>
      <c r="C71" s="62" t="n">
        <f aca="false">IFERROR(C70/C63,0)</f>
        <v>0</v>
      </c>
      <c r="D71" s="62" t="n">
        <f aca="false">IFERROR(D70/D63,0)</f>
        <v>0</v>
      </c>
      <c r="E71" s="62" t="n">
        <f aca="false">IFERROR(E70/E63,0)</f>
        <v>0</v>
      </c>
      <c r="F71" s="62" t="n">
        <f aca="false">IFERROR(F70/F63,0)</f>
        <v>0</v>
      </c>
      <c r="G71" s="62" t="n">
        <f aca="false">IFERROR(G70/G63,0)</f>
        <v>0</v>
      </c>
      <c r="H71" s="62" t="n">
        <f aca="false">IFERROR(H70/H63,0)</f>
        <v>0</v>
      </c>
      <c r="I71" s="62" t="n">
        <f aca="false">IFERROR(I70/I63,0)</f>
        <v>0.45552039983603</v>
      </c>
      <c r="J71" s="62" t="n">
        <f aca="false">IFERROR(J70/J63,0)</f>
        <v>0.463842659147655</v>
      </c>
      <c r="K71" s="62" t="n">
        <f aca="false">IFERROR(K70/K63,0)</f>
        <v>0.467495624020829</v>
      </c>
      <c r="L71" s="62" t="n">
        <f aca="false">IFERROR(L70/L63,0)</f>
        <v>0.469508409263445</v>
      </c>
      <c r="M71" s="62" t="n">
        <f aca="false">IFERROR(M70/M63,0)</f>
        <v>0.470648120203869</v>
      </c>
      <c r="N71" s="62" t="n">
        <f aca="false">IFERROR(N70/N63,0)</f>
        <v>0.471398098908938</v>
      </c>
      <c r="O71" s="62" t="n">
        <f aca="false">IFERROR(O70/O63,0)</f>
        <v>0.471927815874217</v>
      </c>
      <c r="P71" s="62" t="n">
        <f aca="false">IFERROR(P70/P63,0)</f>
        <v>0.472315467930088</v>
      </c>
      <c r="Q71" s="62" t="n">
        <f aca="false">IFERROR(Q70/Q63,0)</f>
        <v>0.472605967731052</v>
      </c>
      <c r="R71" s="62" t="n">
        <f aca="false">IFERROR(R70/R63,0)</f>
        <v>0.472827492112281</v>
      </c>
      <c r="S71" s="62" t="n">
        <f aca="false">IFERROR(S70/S63,0)</f>
        <v>0.47299862828791</v>
      </c>
      <c r="T71" s="62" t="n">
        <f aca="false">IFERROR(T70/T63,0)</f>
        <v>0.473132086454749</v>
      </c>
      <c r="U71" s="62" t="n">
        <f aca="false">IFERROR(U70/U63,0)</f>
        <v>0.473236808648027</v>
      </c>
      <c r="V71" s="62" t="n">
        <f aca="false">IFERROR(V70/V63,0)</f>
        <v>0.473319235113044</v>
      </c>
      <c r="W71" s="62" t="n">
        <f aca="false">IFERROR(W70/W63,0)</f>
        <v>0.473384097882991</v>
      </c>
      <c r="X71" s="62" t="n">
        <f aca="false">IFERROR(X70/X63,0)</f>
        <v>0.47343493569764</v>
      </c>
      <c r="Y71" s="62" t="n">
        <f aca="false">IFERROR(Y70/Y63,0)</f>
        <v>0.473474437895807</v>
      </c>
      <c r="Z71" s="62" t="n">
        <f aca="false">IFERROR(Z70/Z63,0)</f>
        <v>0.473504679649754</v>
      </c>
      <c r="AA71" s="62" t="n">
        <f aca="false">IFERROR(AA70/AA63,0)</f>
        <v>0.473527286082791</v>
      </c>
      <c r="AB71" s="62" t="n">
        <f aca="false">IFERROR(AB70/AB63,0)</f>
        <v>0.473633006217454</v>
      </c>
      <c r="AC71" s="62" t="n">
        <f aca="false">IFERROR(AC70/AC63,0)</f>
        <v>0.473773731908188</v>
      </c>
      <c r="AD71" s="62" t="n">
        <f aca="false">IFERROR(AD70/AD63,0)</f>
        <v>0.473884161054113</v>
      </c>
      <c r="AE71" s="62" t="n">
        <f aca="false">IFERROR(AE70/AE63,0)</f>
        <v>0.473970065897394</v>
      </c>
      <c r="AF71" s="62" t="n">
        <f aca="false">IFERROR(AF70/AF63,0)</f>
        <v>0.474036066800183</v>
      </c>
      <c r="AG71" s="62" t="n">
        <f aca="false">IFERROR(AG70/AG63,0)</f>
        <v>0.474085806492449</v>
      </c>
      <c r="AH71" s="62" t="n">
        <f aca="false">IFERROR(AH70/AH63,0)</f>
        <v>0.474122166933909</v>
      </c>
      <c r="AI71" s="62" t="n">
        <f aca="false">IFERROR(AI70/AI63,0)</f>
        <v>0.474147461134419</v>
      </c>
      <c r="AJ71" s="62" t="n">
        <f aca="false">IFERROR(AJ70/AJ63,0)</f>
        <v>0.474163572395324</v>
      </c>
      <c r="AK71" s="62" t="n">
        <f aca="false">IFERROR(AK70/AK63,0)</f>
        <v>0.47417205410101</v>
      </c>
      <c r="AL71" s="62" t="n">
        <f aca="false">IFERROR(AL70/AL63,0)</f>
        <v>0.474174202019508</v>
      </c>
      <c r="AM71" s="62" t="n">
        <f aca="false">AVERAGE(N71:AL71)</f>
        <v>0.47340997332893</v>
      </c>
    </row>
    <row r="72" customFormat="false" ht="15" hidden="false" customHeight="false" outlineLevel="0" collapsed="false">
      <c r="A72" s="37" t="s">
        <v>793</v>
      </c>
      <c r="B72" s="9" t="s">
        <v>97</v>
      </c>
      <c r="C72" s="53" t="n">
        <f aca="false">C42+C63</f>
        <v>0</v>
      </c>
      <c r="D72" s="53" t="n">
        <f aca="false">D42+D63</f>
        <v>68449.0267319739</v>
      </c>
      <c r="E72" s="53" t="n">
        <f aca="false">E42+E63</f>
        <v>68873.2475228445</v>
      </c>
      <c r="F72" s="53" t="n">
        <f aca="false">F42+F63</f>
        <v>77990.0848586261</v>
      </c>
      <c r="G72" s="53" t="n">
        <f aca="false">G42+G63</f>
        <v>86811.5626500084</v>
      </c>
      <c r="H72" s="53" t="n">
        <f aca="false">H42+H63</f>
        <v>94435.2456463839</v>
      </c>
      <c r="I72" s="53" t="n">
        <f aca="false">I42+I63</f>
        <v>107198.78199441</v>
      </c>
      <c r="J72" s="53" t="n">
        <f aca="false">J42+J63</f>
        <v>116596.124884621</v>
      </c>
      <c r="K72" s="53" t="n">
        <f aca="false">K42+K63</f>
        <v>125218.617911975</v>
      </c>
      <c r="L72" s="53" t="n">
        <f aca="false">L42+L63</f>
        <v>133252.106424961</v>
      </c>
      <c r="M72" s="53" t="n">
        <f aca="false">M42+M63</f>
        <v>141631.37468181</v>
      </c>
      <c r="N72" s="53" t="n">
        <f aca="false">N42+N63</f>
        <v>150059.963913672</v>
      </c>
      <c r="O72" s="53" t="n">
        <f aca="false">O42+O63</f>
        <v>158556.356638793</v>
      </c>
      <c r="P72" s="53" t="n">
        <f aca="false">P42+P63</f>
        <v>167192.572062936</v>
      </c>
      <c r="Q72" s="53" t="n">
        <f aca="false">Q42+Q63</f>
        <v>176040.150762548</v>
      </c>
      <c r="R72" s="53" t="n">
        <f aca="false">R42+R63</f>
        <v>185167.838569403</v>
      </c>
      <c r="S72" s="53" t="n">
        <f aca="false">S42+S63</f>
        <v>194642.600496075</v>
      </c>
      <c r="T72" s="53" t="n">
        <f aca="false">T42+T63</f>
        <v>204530.918904839</v>
      </c>
      <c r="U72" s="53" t="n">
        <f aca="false">U42+U63</f>
        <v>214899.996350773</v>
      </c>
      <c r="V72" s="53" t="n">
        <f aca="false">V42+V63</f>
        <v>225818.858805967</v>
      </c>
      <c r="W72" s="53" t="n">
        <f aca="false">W42+W63</f>
        <v>237359.382795683</v>
      </c>
      <c r="X72" s="53" t="n">
        <f aca="false">X42+X63</f>
        <v>249597.269732051</v>
      </c>
      <c r="Y72" s="53" t="n">
        <f aca="false">Y42+Y63</f>
        <v>262612.988060859</v>
      </c>
      <c r="Z72" s="53" t="n">
        <f aca="false">Z42+Z63</f>
        <v>276492.701493999</v>
      </c>
      <c r="AA72" s="53" t="n">
        <f aca="false">AA42+AA63</f>
        <v>291329.199717311</v>
      </c>
      <c r="AB72" s="53" t="n">
        <f aca="false">AB42+AB63</f>
        <v>306780.593641623</v>
      </c>
      <c r="AC72" s="53" t="n">
        <f aca="false">AC42+AC63</f>
        <v>322769.349115254</v>
      </c>
      <c r="AD72" s="53" t="n">
        <f aca="false">AD42+AD63</f>
        <v>339487.947187555</v>
      </c>
      <c r="AE72" s="53" t="n">
        <f aca="false">AE42+AE63</f>
        <v>357036.934702114</v>
      </c>
      <c r="AF72" s="53" t="n">
        <f aca="false">AF42+AF63</f>
        <v>375520.422876958</v>
      </c>
      <c r="AG72" s="53" t="n">
        <f aca="false">AG42+AG63</f>
        <v>395048.748453525</v>
      </c>
      <c r="AH72" s="53" t="n">
        <f aca="false">AH42+AH63</f>
        <v>415739.820014664</v>
      </c>
      <c r="AI72" s="53" t="n">
        <f aca="false">AI42+AI63</f>
        <v>437719.9955734</v>
      </c>
      <c r="AJ72" s="53" t="n">
        <f aca="false">AJ42+AJ63</f>
        <v>461124.969885894</v>
      </c>
      <c r="AK72" s="53" t="n">
        <f aca="false">AK42+AK63</f>
        <v>486100.713579543</v>
      </c>
      <c r="AL72" s="53" t="n">
        <f aca="false">AL42+AL63</f>
        <v>512804.476891609</v>
      </c>
      <c r="AM72" s="53" t="n">
        <f aca="false">SUM(C72:AL72)</f>
        <v>8424890.94353466</v>
      </c>
    </row>
    <row r="73" customFormat="false" ht="15" hidden="false" customHeight="false" outlineLevel="0" collapsed="false">
      <c r="A73" s="37" t="s">
        <v>794</v>
      </c>
      <c r="B73" s="9" t="s">
        <v>97</v>
      </c>
      <c r="C73" s="53" t="n">
        <f aca="false">C46+C70</f>
        <v>0</v>
      </c>
      <c r="D73" s="53" t="n">
        <f aca="false">D46+D70</f>
        <v>41331.6501772828</v>
      </c>
      <c r="E73" s="53" t="n">
        <f aca="false">E46+E70</f>
        <v>41587.8078783244</v>
      </c>
      <c r="F73" s="53" t="n">
        <f aca="false">F46+F70</f>
        <v>47092.8376716801</v>
      </c>
      <c r="G73" s="53" t="n">
        <f aca="false">G46+G70</f>
        <v>52419.5201904509</v>
      </c>
      <c r="H73" s="53" t="n">
        <f aca="false">H46+H70</f>
        <v>57022.9369768214</v>
      </c>
      <c r="I73" s="53" t="n">
        <f aca="false">I46+I70</f>
        <v>63832.1915877664</v>
      </c>
      <c r="J73" s="53" t="n">
        <f aca="false">J46+J70</f>
        <v>69077.4688323353</v>
      </c>
      <c r="K73" s="53" t="n">
        <f aca="false">K46+K70</f>
        <v>73876.1678883058</v>
      </c>
      <c r="L73" s="53" t="n">
        <f aca="false">L46+L70</f>
        <v>78334.3600621172</v>
      </c>
      <c r="M73" s="53" t="n">
        <f aca="false">M46+M70</f>
        <v>82990.9925610786</v>
      </c>
      <c r="N73" s="53" t="n">
        <f aca="false">N46+N70</f>
        <v>87668.9095800428</v>
      </c>
      <c r="O73" s="53" t="n">
        <f aca="false">O46+O70</f>
        <v>92376.8525392458</v>
      </c>
      <c r="P73" s="53" t="n">
        <f aca="false">P46+P70</f>
        <v>97154.6702222887</v>
      </c>
      <c r="Q73" s="53" t="n">
        <f aca="false">Q46+Q70</f>
        <v>102041.816485421</v>
      </c>
      <c r="R73" s="53" t="n">
        <f aca="false">R46+R70</f>
        <v>107076.036097508</v>
      </c>
      <c r="S73" s="53" t="n">
        <f aca="false">S46+S70</f>
        <v>112293.937756385</v>
      </c>
      <c r="T73" s="53" t="n">
        <f aca="false">T46+T70</f>
        <v>117731.722776787</v>
      </c>
      <c r="U73" s="53" t="n">
        <f aca="false">U46+U70</f>
        <v>123425.854383356</v>
      </c>
      <c r="V73" s="53" t="n">
        <f aca="false">V46+V70</f>
        <v>129413.666394861</v>
      </c>
      <c r="W73" s="53" t="n">
        <f aca="false">W46+W70</f>
        <v>135733.92532201</v>
      </c>
      <c r="X73" s="53" t="n">
        <f aca="false">X46+X70</f>
        <v>142427.359460154</v>
      </c>
      <c r="Y73" s="53" t="n">
        <f aca="false">Y46+Y70</f>
        <v>149537.166839738</v>
      </c>
      <c r="Z73" s="53" t="n">
        <f aca="false">Z46+Z70</f>
        <v>157109.512422323</v>
      </c>
      <c r="AA73" s="53" t="n">
        <f aca="false">AA46+AA70</f>
        <v>165194.023752286</v>
      </c>
      <c r="AB73" s="53" t="n">
        <f aca="false">AB46+AB70</f>
        <v>173642.838157585</v>
      </c>
      <c r="AC73" s="53" t="n">
        <f aca="false">AC46+AC70</f>
        <v>182419.288957045</v>
      </c>
      <c r="AD73" s="53" t="n">
        <f aca="false">AD46+AD70</f>
        <v>191612.660624087</v>
      </c>
      <c r="AE73" s="53" t="n">
        <f aca="false">AE46+AE70</f>
        <v>201277.117571681</v>
      </c>
      <c r="AF73" s="53" t="n">
        <f aca="false">AF46+AF70</f>
        <v>211468.8812092</v>
      </c>
      <c r="AG73" s="53" t="n">
        <f aca="false">AG46+AG70</f>
        <v>222247.745451285</v>
      </c>
      <c r="AH73" s="53" t="n">
        <f aca="false">AH46+AH70</f>
        <v>233677.814907694</v>
      </c>
      <c r="AI73" s="53" t="n">
        <f aca="false">AI46+AI70</f>
        <v>245827.976377276</v>
      </c>
      <c r="AJ73" s="53" t="n">
        <f aca="false">AJ46+AJ70</f>
        <v>258772.37700841</v>
      </c>
      <c r="AK73" s="53" t="n">
        <f aca="false">AK46+AK70</f>
        <v>272590.932184933</v>
      </c>
      <c r="AL73" s="53" t="n">
        <f aca="false">AL46+AL70</f>
        <v>287369.870089071</v>
      </c>
      <c r="AM73" s="53" t="n">
        <f aca="false">SUM(C73:AL73)</f>
        <v>4807658.89039684</v>
      </c>
    </row>
    <row r="74" customFormat="false" ht="15" hidden="false" customHeight="false" outlineLevel="0" collapsed="false">
      <c r="A74" s="37" t="s">
        <v>795</v>
      </c>
      <c r="B74" s="9" t="s">
        <v>61</v>
      </c>
      <c r="C74" s="52" t="n">
        <f aca="false">IFERROR(C73/C72,0)</f>
        <v>0</v>
      </c>
      <c r="D74" s="52" t="n">
        <f aca="false">IFERROR(D73/D72,0)</f>
        <v>0.603831086439334</v>
      </c>
      <c r="E74" s="52" t="n">
        <f aca="false">IFERROR(E73/E72,0)</f>
        <v>0.603831086439334</v>
      </c>
      <c r="F74" s="52" t="n">
        <f aca="false">IFERROR(F73/F72,0)</f>
        <v>0.603831086439334</v>
      </c>
      <c r="G74" s="52" t="n">
        <f aca="false">IFERROR(G73/G72,0)</f>
        <v>0.603831086439334</v>
      </c>
      <c r="H74" s="52" t="n">
        <f aca="false">IFERROR(H73/H72,0)</f>
        <v>0.603831086439334</v>
      </c>
      <c r="I74" s="52" t="n">
        <f aca="false">IFERROR(I73/I72,0)</f>
        <v>0.595456313963481</v>
      </c>
      <c r="J74" s="52" t="n">
        <f aca="false">IFERROR(J73/J72,0)</f>
        <v>0.59245081172888</v>
      </c>
      <c r="K74" s="52" t="n">
        <f aca="false">IFERROR(K73/K72,0)</f>
        <v>0.589977505902826</v>
      </c>
      <c r="L74" s="52" t="n">
        <f aca="false">IFERROR(L73/L72,0)</f>
        <v>0.587865829394824</v>
      </c>
      <c r="M74" s="52" t="n">
        <f aca="false">IFERROR(M73/M72,0)</f>
        <v>0.585964746494389</v>
      </c>
      <c r="N74" s="52" t="n">
        <f aca="false">IFERROR(N73/N72,0)</f>
        <v>0.584225847411759</v>
      </c>
      <c r="O74" s="52" t="n">
        <f aca="false">IFERROR(O73/O72,0)</f>
        <v>0.582612103970636</v>
      </c>
      <c r="P74" s="52" t="n">
        <f aca="false">IFERROR(P73/P72,0)</f>
        <v>0.581094417195261</v>
      </c>
      <c r="Q74" s="52" t="n">
        <f aca="false">IFERROR(Q73/Q72,0)</f>
        <v>0.579650812859508</v>
      </c>
      <c r="R74" s="52" t="n">
        <f aca="false">IFERROR(R73/R72,0)</f>
        <v>0.578264761984436</v>
      </c>
      <c r="S74" s="52" t="n">
        <f aca="false">IFERROR(S73/S72,0)</f>
        <v>0.576923743672701</v>
      </c>
      <c r="T74" s="52" t="n">
        <f aca="false">IFERROR(T73/T72,0)</f>
        <v>0.575618216586429</v>
      </c>
      <c r="U74" s="52" t="n">
        <f aca="false">IFERROR(U73/U72,0)</f>
        <v>0.574340886362293</v>
      </c>
      <c r="V74" s="52" t="n">
        <f aca="false">IFERROR(V73/V72,0)</f>
        <v>0.573086176589257</v>
      </c>
      <c r="W74" s="52" t="n">
        <f aca="false">IFERROR(W73/W72,0)</f>
        <v>0.571849841043987</v>
      </c>
      <c r="X74" s="52" t="n">
        <f aca="false">IFERROR(X73/X72,0)</f>
        <v>0.570628675598309</v>
      </c>
      <c r="Y74" s="52" t="n">
        <f aca="false">IFERROR(Y73/Y72,0)</f>
        <v>0.569420301501174</v>
      </c>
      <c r="Z74" s="52" t="n">
        <f aca="false">IFERROR(Z73/Z72,0)</f>
        <v>0.56822300036637</v>
      </c>
      <c r="AA74" s="52" t="n">
        <f aca="false">IFERROR(AA73/AA72,0)</f>
        <v>0.567035586932518</v>
      </c>
      <c r="AB74" s="52" t="n">
        <f aca="false">IFERROR(AB73/AB72,0)</f>
        <v>0.566016370515379</v>
      </c>
      <c r="AC74" s="52" t="n">
        <f aca="false">IFERROR(AC73/AC72,0)</f>
        <v>0.565169181823108</v>
      </c>
      <c r="AD74" s="52" t="n">
        <f aca="false">IFERROR(AD73/AD72,0)</f>
        <v>0.564416681686282</v>
      </c>
      <c r="AE74" s="52" t="n">
        <f aca="false">IFERROR(AE73/AE72,0)</f>
        <v>0.563743125734632</v>
      </c>
      <c r="AF74" s="52" t="n">
        <f aca="false">IFERROR(AF73/AF72,0)</f>
        <v>0.563135500298713</v>
      </c>
      <c r="AG74" s="52" t="n">
        <f aca="false">IFERROR(AG73/AG72,0)</f>
        <v>0.562583089609335</v>
      </c>
      <c r="AH74" s="52" t="n">
        <f aca="false">IFERROR(AH73/AH72,0)</f>
        <v>0.562077057952861</v>
      </c>
      <c r="AI74" s="52" t="n">
        <f aca="false">IFERROR(AI73/AI72,0)</f>
        <v>0.56161011345906</v>
      </c>
      <c r="AJ74" s="52" t="n">
        <f aca="false">IFERROR(AJ73/AJ72,0)</f>
        <v>0.561176240515544</v>
      </c>
      <c r="AK74" s="52" t="n">
        <f aca="false">IFERROR(AK73/AK72,0)</f>
        <v>0.560770483502545</v>
      </c>
      <c r="AL74" s="52" t="n">
        <f aca="false">IFERROR(AL73/AL72,0)</f>
        <v>0.560388770064915</v>
      </c>
      <c r="AM74" s="52" t="n">
        <f aca="false">AVERAGE(N74:AL74)</f>
        <v>0.56976243948948</v>
      </c>
    </row>
    <row r="75" customFormat="false" ht="15" hidden="false" customHeight="false" outlineLevel="0" collapsed="false">
      <c r="A75" s="10" t="s">
        <v>796</v>
      </c>
      <c r="B75" s="9" t="s">
        <v>97</v>
      </c>
      <c r="C75" s="70" t="n">
        <f aca="false">-Assumptions!$H$82</f>
        <v>-600</v>
      </c>
      <c r="D75" s="70" t="n">
        <f aca="false">-Assumptions!$H$82</f>
        <v>-600</v>
      </c>
      <c r="E75" s="70" t="n">
        <f aca="false">-Assumptions!$H$82</f>
        <v>-600</v>
      </c>
      <c r="F75" s="70" t="n">
        <f aca="false">-Assumptions!$H$82</f>
        <v>-600</v>
      </c>
      <c r="G75" s="70" t="n">
        <f aca="false">-Assumptions!$H$82</f>
        <v>-600</v>
      </c>
      <c r="H75" s="70" t="n">
        <f aca="false">-Assumptions!$H$82</f>
        <v>-600</v>
      </c>
      <c r="I75" s="70" t="n">
        <f aca="false">-Assumptions!$H$82</f>
        <v>-600</v>
      </c>
      <c r="J75" s="70" t="n">
        <f aca="false">-Assumptions!$H$82</f>
        <v>-600</v>
      </c>
      <c r="K75" s="70" t="n">
        <f aca="false">-Assumptions!$H$82</f>
        <v>-600</v>
      </c>
      <c r="L75" s="70" t="n">
        <f aca="false">-Assumptions!$H$82</f>
        <v>-600</v>
      </c>
      <c r="M75" s="70" t="n">
        <f aca="false">-Assumptions!$H$82</f>
        <v>-600</v>
      </c>
      <c r="N75" s="70" t="n">
        <f aca="false">-Assumptions!$H$82</f>
        <v>-600</v>
      </c>
      <c r="O75" s="70" t="n">
        <f aca="false">-Assumptions!$H$82</f>
        <v>-600</v>
      </c>
      <c r="P75" s="70" t="n">
        <f aca="false">-Assumptions!$H$82</f>
        <v>-600</v>
      </c>
      <c r="Q75" s="70" t="n">
        <f aca="false">-Assumptions!$H$82</f>
        <v>-600</v>
      </c>
      <c r="R75" s="70" t="n">
        <f aca="false">-Assumptions!$H$82</f>
        <v>-600</v>
      </c>
      <c r="S75" s="70" t="n">
        <f aca="false">-Assumptions!$H$82</f>
        <v>-600</v>
      </c>
      <c r="T75" s="70" t="n">
        <f aca="false">-Assumptions!$H$82</f>
        <v>-600</v>
      </c>
      <c r="U75" s="70" t="n">
        <f aca="false">-Assumptions!$H$82</f>
        <v>-600</v>
      </c>
      <c r="V75" s="70" t="n">
        <f aca="false">-Assumptions!$H$82</f>
        <v>-600</v>
      </c>
      <c r="W75" s="70" t="n">
        <f aca="false">-Assumptions!$H$82</f>
        <v>-600</v>
      </c>
      <c r="X75" s="70" t="n">
        <f aca="false">-Assumptions!$H$82</f>
        <v>-600</v>
      </c>
      <c r="Y75" s="70" t="n">
        <f aca="false">-Assumptions!$H$82</f>
        <v>-600</v>
      </c>
      <c r="Z75" s="70" t="n">
        <f aca="false">-Assumptions!$H$82</f>
        <v>-600</v>
      </c>
      <c r="AA75" s="70" t="n">
        <f aca="false">-Assumptions!$H$82</f>
        <v>-600</v>
      </c>
      <c r="AB75" s="70" t="n">
        <f aca="false">-Assumptions!$H$82</f>
        <v>-600</v>
      </c>
      <c r="AC75" s="70" t="n">
        <f aca="false">-Assumptions!$H$82</f>
        <v>-600</v>
      </c>
      <c r="AD75" s="70" t="n">
        <f aca="false">-Assumptions!$H$82</f>
        <v>-600</v>
      </c>
      <c r="AE75" s="70" t="n">
        <f aca="false">-Assumptions!$H$82</f>
        <v>-600</v>
      </c>
      <c r="AF75" s="70" t="n">
        <f aca="false">-Assumptions!$H$82</f>
        <v>-600</v>
      </c>
      <c r="AG75" s="70" t="n">
        <f aca="false">-Assumptions!$H$82</f>
        <v>-600</v>
      </c>
      <c r="AH75" s="70" t="n">
        <f aca="false">-Assumptions!$H$82</f>
        <v>-600</v>
      </c>
      <c r="AI75" s="70" t="n">
        <f aca="false">-Assumptions!$H$82</f>
        <v>-600</v>
      </c>
      <c r="AJ75" s="70" t="n">
        <f aca="false">-Assumptions!$H$82</f>
        <v>-600</v>
      </c>
      <c r="AK75" s="70" t="n">
        <f aca="false">-Assumptions!$H$82</f>
        <v>-600</v>
      </c>
      <c r="AL75" s="70" t="n">
        <f aca="false">-Assumptions!$H$82</f>
        <v>-600</v>
      </c>
      <c r="AM75" s="70" t="n">
        <f aca="false">SUM(C75:AL75)</f>
        <v>-21600</v>
      </c>
    </row>
    <row r="76" customFormat="false" ht="15" hidden="false" customHeight="false" outlineLevel="0" collapsed="false">
      <c r="A76" s="10" t="s">
        <v>797</v>
      </c>
      <c r="B76" s="9" t="s">
        <v>97</v>
      </c>
      <c r="C76" s="70" t="n">
        <f aca="false">-Assumptions!$H$83</f>
        <v>-280</v>
      </c>
      <c r="D76" s="70" t="n">
        <f aca="false">-Assumptions!$H$83</f>
        <v>-280</v>
      </c>
      <c r="E76" s="70" t="n">
        <f aca="false">-Assumptions!$H$83</f>
        <v>-280</v>
      </c>
      <c r="F76" s="70" t="n">
        <f aca="false">-Assumptions!$H$83</f>
        <v>-280</v>
      </c>
      <c r="G76" s="70" t="n">
        <f aca="false">-Assumptions!$H$83</f>
        <v>-280</v>
      </c>
      <c r="H76" s="70" t="n">
        <f aca="false">-Assumptions!$H$83</f>
        <v>-280</v>
      </c>
      <c r="I76" s="70" t="n">
        <f aca="false">-Assumptions!$H$83</f>
        <v>-280</v>
      </c>
      <c r="J76" s="70" t="n">
        <f aca="false">-Assumptions!$H$83</f>
        <v>-280</v>
      </c>
      <c r="K76" s="70" t="n">
        <f aca="false">-Assumptions!$H$83</f>
        <v>-280</v>
      </c>
      <c r="L76" s="70" t="n">
        <f aca="false">-Assumptions!$H$83</f>
        <v>-280</v>
      </c>
      <c r="M76" s="70" t="n">
        <f aca="false">-Assumptions!$H$83</f>
        <v>-280</v>
      </c>
      <c r="N76" s="70" t="n">
        <f aca="false">-Assumptions!$H$83</f>
        <v>-280</v>
      </c>
      <c r="O76" s="70" t="n">
        <f aca="false">-Assumptions!$H$83</f>
        <v>-280</v>
      </c>
      <c r="P76" s="70" t="n">
        <f aca="false">-Assumptions!$H$83</f>
        <v>-280</v>
      </c>
      <c r="Q76" s="70" t="n">
        <f aca="false">-Assumptions!$H$83</f>
        <v>-280</v>
      </c>
      <c r="R76" s="70" t="n">
        <f aca="false">-Assumptions!$H$83</f>
        <v>-280</v>
      </c>
      <c r="S76" s="70" t="n">
        <f aca="false">-Assumptions!$H$83</f>
        <v>-280</v>
      </c>
      <c r="T76" s="70" t="n">
        <f aca="false">-Assumptions!$H$83</f>
        <v>-280</v>
      </c>
      <c r="U76" s="70" t="n">
        <f aca="false">-Assumptions!$H$83</f>
        <v>-280</v>
      </c>
      <c r="V76" s="70" t="n">
        <f aca="false">-Assumptions!$H$83</f>
        <v>-280</v>
      </c>
      <c r="W76" s="70" t="n">
        <f aca="false">-Assumptions!$H$83</f>
        <v>-280</v>
      </c>
      <c r="X76" s="70" t="n">
        <f aca="false">-Assumptions!$H$83</f>
        <v>-280</v>
      </c>
      <c r="Y76" s="70" t="n">
        <f aca="false">-Assumptions!$H$83</f>
        <v>-280</v>
      </c>
      <c r="Z76" s="70" t="n">
        <f aca="false">-Assumptions!$H$83</f>
        <v>-280</v>
      </c>
      <c r="AA76" s="70" t="n">
        <f aca="false">-Assumptions!$H$83</f>
        <v>-280</v>
      </c>
      <c r="AB76" s="70" t="n">
        <f aca="false">-Assumptions!$H$83</f>
        <v>-280</v>
      </c>
      <c r="AC76" s="70" t="n">
        <f aca="false">-Assumptions!$H$83</f>
        <v>-280</v>
      </c>
      <c r="AD76" s="70" t="n">
        <f aca="false">-Assumptions!$H$83</f>
        <v>-280</v>
      </c>
      <c r="AE76" s="70" t="n">
        <f aca="false">-Assumptions!$H$83</f>
        <v>-280</v>
      </c>
      <c r="AF76" s="70" t="n">
        <f aca="false">-Assumptions!$H$83</f>
        <v>-280</v>
      </c>
      <c r="AG76" s="70" t="n">
        <f aca="false">-Assumptions!$H$83</f>
        <v>-280</v>
      </c>
      <c r="AH76" s="70" t="n">
        <f aca="false">-Assumptions!$H$83</f>
        <v>-280</v>
      </c>
      <c r="AI76" s="70" t="n">
        <f aca="false">-Assumptions!$H$83</f>
        <v>-280</v>
      </c>
      <c r="AJ76" s="70" t="n">
        <f aca="false">-Assumptions!$H$83</f>
        <v>-280</v>
      </c>
      <c r="AK76" s="70" t="n">
        <f aca="false">-Assumptions!$H$83</f>
        <v>-280</v>
      </c>
      <c r="AL76" s="70" t="n">
        <f aca="false">-Assumptions!$H$83</f>
        <v>-280</v>
      </c>
      <c r="AM76" s="70" t="n">
        <f aca="false">SUM(C76:AL76)</f>
        <v>-10080</v>
      </c>
    </row>
    <row r="77" customFormat="false" ht="15" hidden="false" customHeight="false" outlineLevel="0" collapsed="false">
      <c r="A77" s="10" t="s">
        <v>798</v>
      </c>
      <c r="B77" s="9" t="s">
        <v>97</v>
      </c>
      <c r="C77" s="70" t="n">
        <f aca="false">-MAX(IF(C8=0,Assumptions!$H$84,IF(C$5&lt;=12,Assumptions!$H$85,IF(C$5&lt;=24,Assumptions!$H$86,Assumptions!$H$87))))</f>
        <v>-6000</v>
      </c>
      <c r="D77" s="70" t="n">
        <f aca="false">-MAX(IF(D8=0,Assumptions!$H$84,IF(D$5&lt;=12,Assumptions!$H$85,IF(D$5&lt;=24,Assumptions!$H$86,Assumptions!$H$87))),C72*Assumptions!$H$88)</f>
        <v>-16000</v>
      </c>
      <c r="E77" s="70" t="n">
        <f aca="false">-MAX(IF(E8=0,Assumptions!$H$84,IF(E$5&lt;=12,Assumptions!$H$85,IF(E$5&lt;=24,Assumptions!$H$86,Assumptions!$H$87))),D72*Assumptions!$H$88)</f>
        <v>-16000</v>
      </c>
      <c r="F77" s="70" t="n">
        <f aca="false">-MAX(IF(F8=0,Assumptions!$H$84,IF(F$5&lt;=12,Assumptions!$H$85,IF(F$5&lt;=24,Assumptions!$H$86,Assumptions!$H$87))),E72*Assumptions!$H$88)</f>
        <v>-16000</v>
      </c>
      <c r="G77" s="70" t="n">
        <f aca="false">-MAX(IF(G8=0,Assumptions!$H$84,IF(G$5&lt;=12,Assumptions!$H$85,IF(G$5&lt;=24,Assumptions!$H$86,Assumptions!$H$87))),F72*Assumptions!$H$88)</f>
        <v>-16000</v>
      </c>
      <c r="H77" s="70" t="n">
        <f aca="false">-MAX(IF(H8=0,Assumptions!$H$84,IF(H$5&lt;=12,Assumptions!$H$85,IF(H$5&lt;=24,Assumptions!$H$86,Assumptions!$H$87))),G72*Assumptions!$H$88)</f>
        <v>-16000</v>
      </c>
      <c r="I77" s="70" t="n">
        <f aca="false">-MAX(IF(I8=0,Assumptions!$H$84,IF(I$5&lt;=12,Assumptions!$H$85,IF(I$5&lt;=24,Assumptions!$H$86,Assumptions!$H$87))),H72*Assumptions!$H$88)</f>
        <v>-16000</v>
      </c>
      <c r="J77" s="70" t="n">
        <f aca="false">-MAX(IF(J8=0,Assumptions!$H$84,IF(J$5&lt;=12,Assumptions!$H$85,IF(J$5&lt;=24,Assumptions!$H$86,Assumptions!$H$87))),I72*Assumptions!$H$88)</f>
        <v>-16000</v>
      </c>
      <c r="K77" s="70" t="n">
        <f aca="false">-MAX(IF(K8=0,Assumptions!$H$84,IF(K$5&lt;=12,Assumptions!$H$85,IF(K$5&lt;=24,Assumptions!$H$86,Assumptions!$H$87))),J72*Assumptions!$H$88)</f>
        <v>-16000</v>
      </c>
      <c r="L77" s="70" t="n">
        <f aca="false">-MAX(IF(L8=0,Assumptions!$H$84,IF(L$5&lt;=12,Assumptions!$H$85,IF(L$5&lt;=24,Assumptions!$H$86,Assumptions!$H$87))),K72*Assumptions!$H$88)</f>
        <v>-16000</v>
      </c>
      <c r="M77" s="70" t="n">
        <f aca="false">-MAX(IF(M8=0,Assumptions!$H$84,IF(M$5&lt;=12,Assumptions!$H$85,IF(M$5&lt;=24,Assumptions!$H$86,Assumptions!$H$87))),L72*Assumptions!$H$88)</f>
        <v>-16000</v>
      </c>
      <c r="N77" s="70" t="n">
        <f aca="false">-MAX(IF(N8=0,Assumptions!$H$84,IF(N$5&lt;=12,Assumptions!$H$85,IF(N$5&lt;=24,Assumptions!$H$86,Assumptions!$H$87))),M72*Assumptions!$H$88)</f>
        <v>-16000</v>
      </c>
      <c r="O77" s="70" t="n">
        <f aca="false">-MAX(IF(O8=0,Assumptions!$H$84,IF(O$5&lt;=12,Assumptions!$H$85,IF(O$5&lt;=24,Assumptions!$H$86,Assumptions!$H$87))),N72*Assumptions!$H$88)</f>
        <v>-34000</v>
      </c>
      <c r="P77" s="70" t="n">
        <f aca="false">-MAX(IF(P8=0,Assumptions!$H$84,IF(P$5&lt;=12,Assumptions!$H$85,IF(P$5&lt;=24,Assumptions!$H$86,Assumptions!$H$87))),O72*Assumptions!$H$88)</f>
        <v>-34000</v>
      </c>
      <c r="Q77" s="70" t="n">
        <f aca="false">-MAX(IF(Q8=0,Assumptions!$H$84,IF(Q$5&lt;=12,Assumptions!$H$85,IF(Q$5&lt;=24,Assumptions!$H$86,Assumptions!$H$87))),P72*Assumptions!$H$88)</f>
        <v>-34000</v>
      </c>
      <c r="R77" s="70" t="n">
        <f aca="false">-MAX(IF(R8=0,Assumptions!$H$84,IF(R$5&lt;=12,Assumptions!$H$85,IF(R$5&lt;=24,Assumptions!$H$86,Assumptions!$H$87))),Q72*Assumptions!$H$88)</f>
        <v>-34000</v>
      </c>
      <c r="S77" s="70" t="n">
        <f aca="false">-MAX(IF(S8=0,Assumptions!$H$84,IF(S$5&lt;=12,Assumptions!$H$85,IF(S$5&lt;=24,Assumptions!$H$86,Assumptions!$H$87))),R72*Assumptions!$H$88)</f>
        <v>-34000</v>
      </c>
      <c r="T77" s="70" t="n">
        <f aca="false">-MAX(IF(T8=0,Assumptions!$H$84,IF(T$5&lt;=12,Assumptions!$H$85,IF(T$5&lt;=24,Assumptions!$H$86,Assumptions!$H$87))),S72*Assumptions!$H$88)</f>
        <v>-34000</v>
      </c>
      <c r="U77" s="70" t="n">
        <f aca="false">-MAX(IF(U8=0,Assumptions!$H$84,IF(U$5&lt;=12,Assumptions!$H$85,IF(U$5&lt;=24,Assumptions!$H$86,Assumptions!$H$87))),T72*Assumptions!$H$88)</f>
        <v>-34000</v>
      </c>
      <c r="V77" s="70" t="n">
        <f aca="false">-MAX(IF(V8=0,Assumptions!$H$84,IF(V$5&lt;=12,Assumptions!$H$85,IF(V$5&lt;=24,Assumptions!$H$86,Assumptions!$H$87))),U72*Assumptions!$H$88)</f>
        <v>-34000</v>
      </c>
      <c r="W77" s="70" t="n">
        <f aca="false">-MAX(IF(W8=0,Assumptions!$H$84,IF(W$5&lt;=12,Assumptions!$H$85,IF(W$5&lt;=24,Assumptions!$H$86,Assumptions!$H$87))),V72*Assumptions!$H$88)</f>
        <v>-34000</v>
      </c>
      <c r="X77" s="70" t="n">
        <f aca="false">-MAX(IF(X8=0,Assumptions!$H$84,IF(X$5&lt;=12,Assumptions!$H$85,IF(X$5&lt;=24,Assumptions!$H$86,Assumptions!$H$87))),W72*Assumptions!$H$88)</f>
        <v>-34000</v>
      </c>
      <c r="Y77" s="70" t="n">
        <f aca="false">-MAX(IF(Y8=0,Assumptions!$H$84,IF(Y$5&lt;=12,Assumptions!$H$85,IF(Y$5&lt;=24,Assumptions!$H$86,Assumptions!$H$87))),X72*Assumptions!$H$88)</f>
        <v>-34000</v>
      </c>
      <c r="Z77" s="70" t="n">
        <f aca="false">-MAX(IF(Z8=0,Assumptions!$H$84,IF(Z$5&lt;=12,Assumptions!$H$85,IF(Z$5&lt;=24,Assumptions!$H$86,Assumptions!$H$87))),Y72*Assumptions!$H$88)</f>
        <v>-34000</v>
      </c>
      <c r="AA77" s="70" t="n">
        <f aca="false">-MAX(IF(AA8=0,Assumptions!$H$84,IF(AA$5&lt;=12,Assumptions!$H$85,IF(AA$5&lt;=24,Assumptions!$H$86,Assumptions!$H$87))),Z72*Assumptions!$H$88)</f>
        <v>-55000</v>
      </c>
      <c r="AB77" s="70" t="n">
        <f aca="false">-MAX(IF(AB8=0,Assumptions!$H$84,IF(AB$5&lt;=12,Assumptions!$H$85,IF(AB$5&lt;=24,Assumptions!$H$86,Assumptions!$H$87))),AA72*Assumptions!$H$88)</f>
        <v>-55000</v>
      </c>
      <c r="AC77" s="70" t="n">
        <f aca="false">-MAX(IF(AC8=0,Assumptions!$H$84,IF(AC$5&lt;=12,Assumptions!$H$85,IF(AC$5&lt;=24,Assumptions!$H$86,Assumptions!$H$87))),AB72*Assumptions!$H$88)</f>
        <v>-55000</v>
      </c>
      <c r="AD77" s="70" t="n">
        <f aca="false">-MAX(IF(AD8=0,Assumptions!$H$84,IF(AD$5&lt;=12,Assumptions!$H$85,IF(AD$5&lt;=24,Assumptions!$H$86,Assumptions!$H$87))),AC72*Assumptions!$H$88)</f>
        <v>-55000</v>
      </c>
      <c r="AE77" s="70" t="n">
        <f aca="false">-MAX(IF(AE8=0,Assumptions!$H$84,IF(AE$5&lt;=12,Assumptions!$H$85,IF(AE$5&lt;=24,Assumptions!$H$86,Assumptions!$H$87))),AD72*Assumptions!$H$88)</f>
        <v>-55000</v>
      </c>
      <c r="AF77" s="70" t="n">
        <f aca="false">-MAX(IF(AF8=0,Assumptions!$H$84,IF(AF$5&lt;=12,Assumptions!$H$85,IF(AF$5&lt;=24,Assumptions!$H$86,Assumptions!$H$87))),AE72*Assumptions!$H$88)</f>
        <v>-55000</v>
      </c>
      <c r="AG77" s="70" t="n">
        <f aca="false">-MAX(IF(AG8=0,Assumptions!$H$84,IF(AG$5&lt;=12,Assumptions!$H$85,IF(AG$5&lt;=24,Assumptions!$H$86,Assumptions!$H$87))),AF72*Assumptions!$H$88)</f>
        <v>-55000</v>
      </c>
      <c r="AH77" s="70" t="n">
        <f aca="false">-MAX(IF(AH8=0,Assumptions!$H$84,IF(AH$5&lt;=12,Assumptions!$H$85,IF(AH$5&lt;=24,Assumptions!$H$86,Assumptions!$H$87))),AG72*Assumptions!$H$88)</f>
        <v>-55000</v>
      </c>
      <c r="AI77" s="70" t="n">
        <f aca="false">-MAX(IF(AI8=0,Assumptions!$H$84,IF(AI$5&lt;=12,Assumptions!$H$85,IF(AI$5&lt;=24,Assumptions!$H$86,Assumptions!$H$87))),AH72*Assumptions!$H$88)</f>
        <v>-55000</v>
      </c>
      <c r="AJ77" s="70" t="n">
        <f aca="false">-MAX(IF(AJ8=0,Assumptions!$H$84,IF(AJ$5&lt;=12,Assumptions!$H$85,IF(AJ$5&lt;=24,Assumptions!$H$86,Assumptions!$H$87))),AI72*Assumptions!$H$88)</f>
        <v>-55000</v>
      </c>
      <c r="AK77" s="70" t="n">
        <f aca="false">-MAX(IF(AK8=0,Assumptions!$H$84,IF(AK$5&lt;=12,Assumptions!$H$85,IF(AK$5&lt;=24,Assumptions!$H$86,Assumptions!$H$87))),AJ72*Assumptions!$H$88)</f>
        <v>-55000</v>
      </c>
      <c r="AL77" s="70" t="n">
        <f aca="false">-MAX(IF(AL8=0,Assumptions!$H$84,IF(AL$5&lt;=12,Assumptions!$H$85,IF(AL$5&lt;=24,Assumptions!$H$86,Assumptions!$H$87))),AK72*Assumptions!$H$88)</f>
        <v>-55000</v>
      </c>
      <c r="AM77" s="70" t="n">
        <f aca="false">SUM(C77:AL77)</f>
        <v>-1250000</v>
      </c>
    </row>
    <row r="78" customFormat="false" ht="15" hidden="false" customHeight="false" outlineLevel="0" collapsed="false">
      <c r="A78" s="10" t="s">
        <v>799</v>
      </c>
      <c r="B78" s="9" t="s">
        <v>97</v>
      </c>
      <c r="C78" s="70" t="n">
        <f aca="false">-IF(C$5&gt;=Assumptions!$H$7-2,Assumptions!$H$91,0)</f>
        <v>-0</v>
      </c>
      <c r="D78" s="70" t="n">
        <f aca="false">-IF(D$5&gt;=Assumptions!$H$7-2,Assumptions!$H$91,0)</f>
        <v>-0</v>
      </c>
      <c r="E78" s="70" t="n">
        <f aca="false">-IF(E$5&gt;=Assumptions!$H$7-2,Assumptions!$H$91,0)</f>
        <v>-0</v>
      </c>
      <c r="F78" s="70" t="n">
        <f aca="false">-IF(F$5&gt;=Assumptions!$H$7-2,Assumptions!$H$91,0)</f>
        <v>-0</v>
      </c>
      <c r="G78" s="70" t="n">
        <f aca="false">-IF(G$5&gt;=Assumptions!$H$7-2,Assumptions!$H$91,0)</f>
        <v>-9000</v>
      </c>
      <c r="H78" s="70" t="n">
        <f aca="false">-IF(H$5&gt;=Assumptions!$H$7-2,Assumptions!$H$91,0)</f>
        <v>-9000</v>
      </c>
      <c r="I78" s="70" t="n">
        <f aca="false">-IF(I$5&gt;=Assumptions!$H$7-2,Assumptions!$H$91,0)</f>
        <v>-9000</v>
      </c>
      <c r="J78" s="70" t="n">
        <f aca="false">-IF(J$5&gt;=Assumptions!$H$7-2,Assumptions!$H$91,0)</f>
        <v>-9000</v>
      </c>
      <c r="K78" s="70" t="n">
        <f aca="false">-IF(K$5&gt;=Assumptions!$H$7-2,Assumptions!$H$91,0)</f>
        <v>-9000</v>
      </c>
      <c r="L78" s="70" t="n">
        <f aca="false">-IF(L$5&gt;=Assumptions!$H$7-2,Assumptions!$H$91,0)</f>
        <v>-9000</v>
      </c>
      <c r="M78" s="70" t="n">
        <f aca="false">-IF(M$5&gt;=Assumptions!$H$7-2,Assumptions!$H$91,0)</f>
        <v>-9000</v>
      </c>
      <c r="N78" s="70" t="n">
        <f aca="false">-IF(N$5&gt;=Assumptions!$H$7-2,Assumptions!$H$91,0)</f>
        <v>-9000</v>
      </c>
      <c r="O78" s="70" t="n">
        <f aca="false">-IF(O$5&gt;=Assumptions!$H$7-2,Assumptions!$H$91,0)</f>
        <v>-9000</v>
      </c>
      <c r="P78" s="70" t="n">
        <f aca="false">-IF(P$5&gt;=Assumptions!$H$7-2,Assumptions!$H$91,0)</f>
        <v>-9000</v>
      </c>
      <c r="Q78" s="70" t="n">
        <f aca="false">-IF(Q$5&gt;=Assumptions!$H$7-2,Assumptions!$H$91,0)</f>
        <v>-9000</v>
      </c>
      <c r="R78" s="70" t="n">
        <f aca="false">-IF(R$5&gt;=Assumptions!$H$7-2,Assumptions!$H$91,0)</f>
        <v>-9000</v>
      </c>
      <c r="S78" s="70" t="n">
        <f aca="false">-IF(S$5&gt;=Assumptions!$H$7-2,Assumptions!$H$91,0)</f>
        <v>-9000</v>
      </c>
      <c r="T78" s="70" t="n">
        <f aca="false">-IF(T$5&gt;=Assumptions!$H$7-2,Assumptions!$H$91,0)</f>
        <v>-9000</v>
      </c>
      <c r="U78" s="70" t="n">
        <f aca="false">-IF(U$5&gt;=Assumptions!$H$7-2,Assumptions!$H$91,0)</f>
        <v>-9000</v>
      </c>
      <c r="V78" s="70" t="n">
        <f aca="false">-IF(V$5&gt;=Assumptions!$H$7-2,Assumptions!$H$91,0)</f>
        <v>-9000</v>
      </c>
      <c r="W78" s="70" t="n">
        <f aca="false">-IF(W$5&gt;=Assumptions!$H$7-2,Assumptions!$H$91,0)</f>
        <v>-9000</v>
      </c>
      <c r="X78" s="70" t="n">
        <f aca="false">-IF(X$5&gt;=Assumptions!$H$7-2,Assumptions!$H$91,0)</f>
        <v>-9000</v>
      </c>
      <c r="Y78" s="70" t="n">
        <f aca="false">-IF(Y$5&gt;=Assumptions!$H$7-2,Assumptions!$H$91,0)</f>
        <v>-9000</v>
      </c>
      <c r="Z78" s="70" t="n">
        <f aca="false">-IF(Z$5&gt;=Assumptions!$H$7-2,Assumptions!$H$91,0)</f>
        <v>-9000</v>
      </c>
      <c r="AA78" s="70" t="n">
        <f aca="false">-IF(AA$5&gt;=Assumptions!$H$7-2,Assumptions!$H$91,0)</f>
        <v>-9000</v>
      </c>
      <c r="AB78" s="70" t="n">
        <f aca="false">-IF(AB$5&gt;=Assumptions!$H$7-2,Assumptions!$H$91,0)</f>
        <v>-9000</v>
      </c>
      <c r="AC78" s="70" t="n">
        <f aca="false">-IF(AC$5&gt;=Assumptions!$H$7-2,Assumptions!$H$91,0)</f>
        <v>-9000</v>
      </c>
      <c r="AD78" s="70" t="n">
        <f aca="false">-IF(AD$5&gt;=Assumptions!$H$7-2,Assumptions!$H$91,0)</f>
        <v>-9000</v>
      </c>
      <c r="AE78" s="70" t="n">
        <f aca="false">-IF(AE$5&gt;=Assumptions!$H$7-2,Assumptions!$H$91,0)</f>
        <v>-9000</v>
      </c>
      <c r="AF78" s="70" t="n">
        <f aca="false">-IF(AF$5&gt;=Assumptions!$H$7-2,Assumptions!$H$91,0)</f>
        <v>-9000</v>
      </c>
      <c r="AG78" s="70" t="n">
        <f aca="false">-IF(AG$5&gt;=Assumptions!$H$7-2,Assumptions!$H$91,0)</f>
        <v>-9000</v>
      </c>
      <c r="AH78" s="70" t="n">
        <f aca="false">-IF(AH$5&gt;=Assumptions!$H$7-2,Assumptions!$H$91,0)</f>
        <v>-9000</v>
      </c>
      <c r="AI78" s="70" t="n">
        <f aca="false">-IF(AI$5&gt;=Assumptions!$H$7-2,Assumptions!$H$91,0)</f>
        <v>-9000</v>
      </c>
      <c r="AJ78" s="70" t="n">
        <f aca="false">-IF(AJ$5&gt;=Assumptions!$H$7-2,Assumptions!$H$91,0)</f>
        <v>-9000</v>
      </c>
      <c r="AK78" s="70" t="n">
        <f aca="false">-IF(AK$5&gt;=Assumptions!$H$7-2,Assumptions!$H$91,0)</f>
        <v>-9000</v>
      </c>
      <c r="AL78" s="70" t="n">
        <f aca="false">-IF(AL$5&gt;=Assumptions!$H$7-2,Assumptions!$H$91,0)</f>
        <v>-9000</v>
      </c>
      <c r="AM78" s="70" t="n">
        <f aca="false">SUM(C78:AL78)</f>
        <v>-288000</v>
      </c>
    </row>
    <row r="79" customFormat="false" ht="15" hidden="false" customHeight="false" outlineLevel="0" collapsed="false">
      <c r="A79" s="10" t="s">
        <v>800</v>
      </c>
      <c r="B79" s="9" t="s">
        <v>97</v>
      </c>
      <c r="C79" s="70" t="n">
        <f aca="false">-Assumptions!$H$92</f>
        <v>-1200</v>
      </c>
      <c r="D79" s="70" t="n">
        <f aca="false">-MAX(Assumptions!$H$92,C72*Assumptions!$H$90)</f>
        <v>-1200</v>
      </c>
      <c r="E79" s="70" t="n">
        <f aca="false">-MAX(Assumptions!$H$92,D72*Assumptions!$H$90)</f>
        <v>-1200</v>
      </c>
      <c r="F79" s="70" t="n">
        <f aca="false">-MAX(Assumptions!$H$92,E72*Assumptions!$H$90)</f>
        <v>-1200</v>
      </c>
      <c r="G79" s="70" t="n">
        <f aca="false">-MAX(Assumptions!$H$92,F72*Assumptions!$H$90)</f>
        <v>-1200</v>
      </c>
      <c r="H79" s="70" t="n">
        <f aca="false">-MAX(Assumptions!$H$92,G72*Assumptions!$H$90)</f>
        <v>-1200</v>
      </c>
      <c r="I79" s="70" t="n">
        <f aca="false">-MAX(Assumptions!$H$92,H72*Assumptions!$H$90)</f>
        <v>-1200</v>
      </c>
      <c r="J79" s="70" t="n">
        <f aca="false">-MAX(Assumptions!$H$92,I72*Assumptions!$H$90)</f>
        <v>-1200</v>
      </c>
      <c r="K79" s="70" t="n">
        <f aca="false">-MAX(Assumptions!$H$92,J72*Assumptions!$H$90)</f>
        <v>-1200</v>
      </c>
      <c r="L79" s="70" t="n">
        <f aca="false">-MAX(Assumptions!$H$92,K72*Assumptions!$H$90)</f>
        <v>-1200</v>
      </c>
      <c r="M79" s="70" t="n">
        <f aca="false">-MAX(Assumptions!$H$92,L72*Assumptions!$H$90)</f>
        <v>-1200</v>
      </c>
      <c r="N79" s="70" t="n">
        <f aca="false">-MAX(Assumptions!$H$92,M72*Assumptions!$H$90)</f>
        <v>-1200</v>
      </c>
      <c r="O79" s="70" t="n">
        <f aca="false">-MAX(Assumptions!$H$92,N72*Assumptions!$H$90)</f>
        <v>-1200.47971130937</v>
      </c>
      <c r="P79" s="70" t="n">
        <f aca="false">-MAX(Assumptions!$H$92,O72*Assumptions!$H$90)</f>
        <v>-1268.45085311035</v>
      </c>
      <c r="Q79" s="70" t="n">
        <f aca="false">-MAX(Assumptions!$H$92,P72*Assumptions!$H$90)</f>
        <v>-1337.54057650349</v>
      </c>
      <c r="R79" s="70" t="n">
        <f aca="false">-MAX(Assumptions!$H$92,Q72*Assumptions!$H$90)</f>
        <v>-1408.32120610038</v>
      </c>
      <c r="S79" s="70" t="n">
        <f aca="false">-MAX(Assumptions!$H$92,R72*Assumptions!$H$90)</f>
        <v>-1481.34270855522</v>
      </c>
      <c r="T79" s="70" t="n">
        <f aca="false">-MAX(Assumptions!$H$92,S72*Assumptions!$H$90)</f>
        <v>-1557.1408039686</v>
      </c>
      <c r="U79" s="70" t="n">
        <f aca="false">-MAX(Assumptions!$H$92,T72*Assumptions!$H$90)</f>
        <v>-1636.24735123871</v>
      </c>
      <c r="V79" s="70" t="n">
        <f aca="false">-MAX(Assumptions!$H$92,U72*Assumptions!$H$90)</f>
        <v>-1719.19997080618</v>
      </c>
      <c r="W79" s="70" t="n">
        <f aca="false">-MAX(Assumptions!$H$92,V72*Assumptions!$H$90)</f>
        <v>-1806.55087044774</v>
      </c>
      <c r="X79" s="70" t="n">
        <f aca="false">-MAX(Assumptions!$H$92,W72*Assumptions!$H$90)</f>
        <v>-1898.87506236547</v>
      </c>
      <c r="Y79" s="70" t="n">
        <f aca="false">-MAX(Assumptions!$H$92,X72*Assumptions!$H$90)</f>
        <v>-1996.77815785641</v>
      </c>
      <c r="Z79" s="70" t="n">
        <f aca="false">-MAX(Assumptions!$H$92,Y72*Assumptions!$H$90)</f>
        <v>-2100.90390448687</v>
      </c>
      <c r="AA79" s="70" t="n">
        <f aca="false">-MAX(Assumptions!$H$92,Z72*Assumptions!$H$90)</f>
        <v>-2211.94161195199</v>
      </c>
      <c r="AB79" s="70" t="n">
        <f aca="false">-MAX(Assumptions!$H$92,AA72*Assumptions!$H$90)</f>
        <v>-2330.63359773849</v>
      </c>
      <c r="AC79" s="70" t="n">
        <f aca="false">-MAX(Assumptions!$H$92,AB72*Assumptions!$H$90)</f>
        <v>-2454.24474913299</v>
      </c>
      <c r="AD79" s="70" t="n">
        <f aca="false">-MAX(Assumptions!$H$92,AC72*Assumptions!$H$90)</f>
        <v>-2582.15479292203</v>
      </c>
      <c r="AE79" s="70" t="n">
        <f aca="false">-MAX(Assumptions!$H$92,AD72*Assumptions!$H$90)</f>
        <v>-2715.90357750044</v>
      </c>
      <c r="AF79" s="70" t="n">
        <f aca="false">-MAX(Assumptions!$H$92,AE72*Assumptions!$H$90)</f>
        <v>-2856.29547761691</v>
      </c>
      <c r="AG79" s="70" t="n">
        <f aca="false">-MAX(Assumptions!$H$92,AF72*Assumptions!$H$90)</f>
        <v>-3004.16338301567</v>
      </c>
      <c r="AH79" s="70" t="n">
        <f aca="false">-MAX(Assumptions!$H$92,AG72*Assumptions!$H$90)</f>
        <v>-3160.3899876282</v>
      </c>
      <c r="AI79" s="70" t="n">
        <f aca="false">-MAX(Assumptions!$H$92,AH72*Assumptions!$H$90)</f>
        <v>-3325.91856011731</v>
      </c>
      <c r="AJ79" s="70" t="n">
        <f aca="false">-MAX(Assumptions!$H$92,AI72*Assumptions!$H$90)</f>
        <v>-3501.7599645872</v>
      </c>
      <c r="AK79" s="70" t="n">
        <f aca="false">-MAX(Assumptions!$H$92,AJ72*Assumptions!$H$90)</f>
        <v>-3688.99975908715</v>
      </c>
      <c r="AL79" s="70" t="n">
        <f aca="false">-MAX(Assumptions!$H$92,AK72*Assumptions!$H$90)</f>
        <v>-3888.80570863635</v>
      </c>
      <c r="AM79" s="70" t="n">
        <f aca="false">SUM(C79:AL79)</f>
        <v>-69533.0423466835</v>
      </c>
    </row>
    <row r="80" customFormat="false" ht="15" hidden="false" customHeight="false" outlineLevel="0" collapsed="false">
      <c r="A80" s="10" t="s">
        <v>801</v>
      </c>
      <c r="B80" s="9" t="s">
        <v>97</v>
      </c>
      <c r="C80" s="70" t="n">
        <f aca="false">-IF(C$5&lt;=3,Assumptions!$H$93,Assumptions!$H$94)</f>
        <v>-15000</v>
      </c>
      <c r="D80" s="70" t="n">
        <f aca="false">-IF(D$5&lt;=3,Assumptions!$H$93,Assumptions!$H$94)</f>
        <v>-15000</v>
      </c>
      <c r="E80" s="70" t="n">
        <f aca="false">-IF(E$5&lt;=3,Assumptions!$H$93,Assumptions!$H$94)</f>
        <v>-15000</v>
      </c>
      <c r="F80" s="70" t="n">
        <f aca="false">-IF(F$5&lt;=3,Assumptions!$H$93,Assumptions!$H$94)</f>
        <v>-4500</v>
      </c>
      <c r="G80" s="70" t="n">
        <f aca="false">-IF(G$5&lt;=3,Assumptions!$H$93,Assumptions!$H$94)</f>
        <v>-4500</v>
      </c>
      <c r="H80" s="70" t="n">
        <f aca="false">-IF(H$5&lt;=3,Assumptions!$H$93,Assumptions!$H$94)</f>
        <v>-4500</v>
      </c>
      <c r="I80" s="70" t="n">
        <f aca="false">-IF(I$5&lt;=3,Assumptions!$H$93,Assumptions!$H$94)</f>
        <v>-4500</v>
      </c>
      <c r="J80" s="70" t="n">
        <f aca="false">-IF(J$5&lt;=3,Assumptions!$H$93,Assumptions!$H$94)</f>
        <v>-4500</v>
      </c>
      <c r="K80" s="70" t="n">
        <f aca="false">-IF(K$5&lt;=3,Assumptions!$H$93,Assumptions!$H$94)</f>
        <v>-4500</v>
      </c>
      <c r="L80" s="70" t="n">
        <f aca="false">-IF(L$5&lt;=3,Assumptions!$H$93,Assumptions!$H$94)</f>
        <v>-4500</v>
      </c>
      <c r="M80" s="70" t="n">
        <f aca="false">-IF(M$5&lt;=3,Assumptions!$H$93,Assumptions!$H$94)</f>
        <v>-4500</v>
      </c>
      <c r="N80" s="70" t="n">
        <f aca="false">-IF(N$5&lt;=3,Assumptions!$H$93,Assumptions!$H$94)</f>
        <v>-4500</v>
      </c>
      <c r="O80" s="70" t="n">
        <f aca="false">-IF(O$5&lt;=3,Assumptions!$H$93,Assumptions!$H$94)</f>
        <v>-4500</v>
      </c>
      <c r="P80" s="70" t="n">
        <f aca="false">-IF(P$5&lt;=3,Assumptions!$H$93,Assumptions!$H$94)</f>
        <v>-4500</v>
      </c>
      <c r="Q80" s="70" t="n">
        <f aca="false">-IF(Q$5&lt;=3,Assumptions!$H$93,Assumptions!$H$94)</f>
        <v>-4500</v>
      </c>
      <c r="R80" s="70" t="n">
        <f aca="false">-IF(R$5&lt;=3,Assumptions!$H$93,Assumptions!$H$94)</f>
        <v>-4500</v>
      </c>
      <c r="S80" s="70" t="n">
        <f aca="false">-IF(S$5&lt;=3,Assumptions!$H$93,Assumptions!$H$94)</f>
        <v>-4500</v>
      </c>
      <c r="T80" s="70" t="n">
        <f aca="false">-IF(T$5&lt;=3,Assumptions!$H$93,Assumptions!$H$94)</f>
        <v>-4500</v>
      </c>
      <c r="U80" s="70" t="n">
        <f aca="false">-IF(U$5&lt;=3,Assumptions!$H$93,Assumptions!$H$94)</f>
        <v>-4500</v>
      </c>
      <c r="V80" s="70" t="n">
        <f aca="false">-IF(V$5&lt;=3,Assumptions!$H$93,Assumptions!$H$94)</f>
        <v>-4500</v>
      </c>
      <c r="W80" s="70" t="n">
        <f aca="false">-IF(W$5&lt;=3,Assumptions!$H$93,Assumptions!$H$94)</f>
        <v>-4500</v>
      </c>
      <c r="X80" s="70" t="n">
        <f aca="false">-IF(X$5&lt;=3,Assumptions!$H$93,Assumptions!$H$94)</f>
        <v>-4500</v>
      </c>
      <c r="Y80" s="70" t="n">
        <f aca="false">-IF(Y$5&lt;=3,Assumptions!$H$93,Assumptions!$H$94)</f>
        <v>-4500</v>
      </c>
      <c r="Z80" s="70" t="n">
        <f aca="false">-IF(Z$5&lt;=3,Assumptions!$H$93,Assumptions!$H$94)</f>
        <v>-4500</v>
      </c>
      <c r="AA80" s="70" t="n">
        <f aca="false">-IF(AA$5&lt;=3,Assumptions!$H$93,Assumptions!$H$94)</f>
        <v>-4500</v>
      </c>
      <c r="AB80" s="70" t="n">
        <f aca="false">-IF(AB$5&lt;=3,Assumptions!$H$93,Assumptions!$H$94)</f>
        <v>-4500</v>
      </c>
      <c r="AC80" s="70" t="n">
        <f aca="false">-IF(AC$5&lt;=3,Assumptions!$H$93,Assumptions!$H$94)</f>
        <v>-4500</v>
      </c>
      <c r="AD80" s="70" t="n">
        <f aca="false">-IF(AD$5&lt;=3,Assumptions!$H$93,Assumptions!$H$94)</f>
        <v>-4500</v>
      </c>
      <c r="AE80" s="70" t="n">
        <f aca="false">-IF(AE$5&lt;=3,Assumptions!$H$93,Assumptions!$H$94)</f>
        <v>-4500</v>
      </c>
      <c r="AF80" s="70" t="n">
        <f aca="false">-IF(AF$5&lt;=3,Assumptions!$H$93,Assumptions!$H$94)</f>
        <v>-4500</v>
      </c>
      <c r="AG80" s="70" t="n">
        <f aca="false">-IF(AG$5&lt;=3,Assumptions!$H$93,Assumptions!$H$94)</f>
        <v>-4500</v>
      </c>
      <c r="AH80" s="70" t="n">
        <f aca="false">-IF(AH$5&lt;=3,Assumptions!$H$93,Assumptions!$H$94)</f>
        <v>-4500</v>
      </c>
      <c r="AI80" s="70" t="n">
        <f aca="false">-IF(AI$5&lt;=3,Assumptions!$H$93,Assumptions!$H$94)</f>
        <v>-4500</v>
      </c>
      <c r="AJ80" s="70" t="n">
        <f aca="false">-IF(AJ$5&lt;=3,Assumptions!$H$93,Assumptions!$H$94)</f>
        <v>-4500</v>
      </c>
      <c r="AK80" s="70" t="n">
        <f aca="false">-IF(AK$5&lt;=3,Assumptions!$H$93,Assumptions!$H$94)</f>
        <v>-4500</v>
      </c>
      <c r="AL80" s="70" t="n">
        <f aca="false">-IF(AL$5&lt;=3,Assumptions!$H$93,Assumptions!$H$94)</f>
        <v>-4500</v>
      </c>
      <c r="AM80" s="70" t="n">
        <f aca="false">SUM(C80:AL80)</f>
        <v>-193500</v>
      </c>
    </row>
    <row r="81" customFormat="false" ht="15" hidden="false" customHeight="false" outlineLevel="0" collapsed="false">
      <c r="A81" s="10" t="s">
        <v>802</v>
      </c>
      <c r="B81" s="9" t="s">
        <v>97</v>
      </c>
      <c r="C81" s="70" t="n">
        <f aca="false">-C8*Assumptions!$H$95</f>
        <v>-0</v>
      </c>
      <c r="D81" s="70" t="n">
        <f aca="false">-D8*Assumptions!$H$95</f>
        <v>-2500</v>
      </c>
      <c r="E81" s="70" t="n">
        <f aca="false">-E8*Assumptions!$H$95</f>
        <v>-2500</v>
      </c>
      <c r="F81" s="70" t="n">
        <f aca="false">-F8*Assumptions!$H$95</f>
        <v>-2500</v>
      </c>
      <c r="G81" s="70" t="n">
        <f aca="false">-G8*Assumptions!$H$95</f>
        <v>-2500</v>
      </c>
      <c r="H81" s="70" t="n">
        <f aca="false">-H8*Assumptions!$H$95</f>
        <v>-2500</v>
      </c>
      <c r="I81" s="70" t="n">
        <f aca="false">-I8*Assumptions!$H$95</f>
        <v>-2500</v>
      </c>
      <c r="J81" s="70" t="n">
        <f aca="false">-J8*Assumptions!$H$95</f>
        <v>-2500</v>
      </c>
      <c r="K81" s="70" t="n">
        <f aca="false">-K8*Assumptions!$H$95</f>
        <v>-2500</v>
      </c>
      <c r="L81" s="70" t="n">
        <f aca="false">-L8*Assumptions!$H$95</f>
        <v>-2500</v>
      </c>
      <c r="M81" s="70" t="n">
        <f aca="false">-M8*Assumptions!$H$95</f>
        <v>-2500</v>
      </c>
      <c r="N81" s="70" t="n">
        <f aca="false">-N8*Assumptions!$H$95</f>
        <v>-2500</v>
      </c>
      <c r="O81" s="70" t="n">
        <f aca="false">-O8*Assumptions!$H$95</f>
        <v>-2500</v>
      </c>
      <c r="P81" s="70" t="n">
        <f aca="false">-P8*Assumptions!$H$95</f>
        <v>-2500</v>
      </c>
      <c r="Q81" s="70" t="n">
        <f aca="false">-Q8*Assumptions!$H$95</f>
        <v>-2500</v>
      </c>
      <c r="R81" s="70" t="n">
        <f aca="false">-R8*Assumptions!$H$95</f>
        <v>-2500</v>
      </c>
      <c r="S81" s="70" t="n">
        <f aca="false">-S8*Assumptions!$H$95</f>
        <v>-2500</v>
      </c>
      <c r="T81" s="70" t="n">
        <f aca="false">-T8*Assumptions!$H$95</f>
        <v>-2500</v>
      </c>
      <c r="U81" s="70" t="n">
        <f aca="false">-U8*Assumptions!$H$95</f>
        <v>-2500</v>
      </c>
      <c r="V81" s="70" t="n">
        <f aca="false">-V8*Assumptions!$H$95</f>
        <v>-2500</v>
      </c>
      <c r="W81" s="70" t="n">
        <f aca="false">-W8*Assumptions!$H$95</f>
        <v>-2500</v>
      </c>
      <c r="X81" s="70" t="n">
        <f aca="false">-X8*Assumptions!$H$95</f>
        <v>-2500</v>
      </c>
      <c r="Y81" s="70" t="n">
        <f aca="false">-Y8*Assumptions!$H$95</f>
        <v>-2500</v>
      </c>
      <c r="Z81" s="70" t="n">
        <f aca="false">-Z8*Assumptions!$H$95</f>
        <v>-2500</v>
      </c>
      <c r="AA81" s="70" t="n">
        <f aca="false">-AA8*Assumptions!$H$95</f>
        <v>-2500</v>
      </c>
      <c r="AB81" s="70" t="n">
        <f aca="false">-AB8*Assumptions!$H$95</f>
        <v>-2500</v>
      </c>
      <c r="AC81" s="70" t="n">
        <f aca="false">-AC8*Assumptions!$H$95</f>
        <v>-2500</v>
      </c>
      <c r="AD81" s="70" t="n">
        <f aca="false">-AD8*Assumptions!$H$95</f>
        <v>-2500</v>
      </c>
      <c r="AE81" s="70" t="n">
        <f aca="false">-AE8*Assumptions!$H$95</f>
        <v>-2500</v>
      </c>
      <c r="AF81" s="70" t="n">
        <f aca="false">-AF8*Assumptions!$H$95</f>
        <v>-2500</v>
      </c>
      <c r="AG81" s="70" t="n">
        <f aca="false">-AG8*Assumptions!$H$95</f>
        <v>-2500</v>
      </c>
      <c r="AH81" s="70" t="n">
        <f aca="false">-AH8*Assumptions!$H$95</f>
        <v>-2500</v>
      </c>
      <c r="AI81" s="70" t="n">
        <f aca="false">-AI8*Assumptions!$H$95</f>
        <v>-2500</v>
      </c>
      <c r="AJ81" s="70" t="n">
        <f aca="false">-AJ8*Assumptions!$H$95</f>
        <v>-2500</v>
      </c>
      <c r="AK81" s="70" t="n">
        <f aca="false">-AK8*Assumptions!$H$95</f>
        <v>-2500</v>
      </c>
      <c r="AL81" s="70" t="n">
        <f aca="false">-AL8*Assumptions!$H$95</f>
        <v>-2500</v>
      </c>
      <c r="AM81" s="70" t="n">
        <f aca="false">SUM(C81:AL81)</f>
        <v>-87500</v>
      </c>
    </row>
    <row r="82" customFormat="false" ht="15" hidden="false" customHeight="false" outlineLevel="0" collapsed="false">
      <c r="A82" s="10" t="s">
        <v>803</v>
      </c>
      <c r="B82" s="9" t="s">
        <v>97</v>
      </c>
      <c r="C82" s="70" t="n">
        <f aca="false">-Assumptions!$H$96</f>
        <v>-6000</v>
      </c>
      <c r="D82" s="70" t="n">
        <f aca="false">-MAX(Assumptions!$H$96,C72*Assumptions!$H$89)</f>
        <v>-6000</v>
      </c>
      <c r="E82" s="70" t="n">
        <f aca="false">-MAX(Assumptions!$H$96,D72*Assumptions!$H$89)</f>
        <v>-6000</v>
      </c>
      <c r="F82" s="70" t="n">
        <f aca="false">-MAX(Assumptions!$H$96,E72*Assumptions!$H$89)</f>
        <v>-6000</v>
      </c>
      <c r="G82" s="70" t="n">
        <f aca="false">-MAX(Assumptions!$H$96,F72*Assumptions!$H$89)</f>
        <v>-6000</v>
      </c>
      <c r="H82" s="70" t="n">
        <f aca="false">-MAX(Assumptions!$H$96,G72*Assumptions!$H$89)</f>
        <v>-6000</v>
      </c>
      <c r="I82" s="70" t="n">
        <f aca="false">-MAX(Assumptions!$H$96,H72*Assumptions!$H$89)</f>
        <v>-6000</v>
      </c>
      <c r="J82" s="70" t="n">
        <f aca="false">-MAX(Assumptions!$H$96,I72*Assumptions!$H$89)</f>
        <v>-6000</v>
      </c>
      <c r="K82" s="70" t="n">
        <f aca="false">-MAX(Assumptions!$H$96,J72*Assumptions!$H$89)</f>
        <v>-6000</v>
      </c>
      <c r="L82" s="70" t="n">
        <f aca="false">-MAX(Assumptions!$H$96,K72*Assumptions!$H$89)</f>
        <v>-6000</v>
      </c>
      <c r="M82" s="70" t="n">
        <f aca="false">-MAX(Assumptions!$H$96,L72*Assumptions!$H$89)</f>
        <v>-6000</v>
      </c>
      <c r="N82" s="70" t="n">
        <f aca="false">-MAX(Assumptions!$H$96,M72*Assumptions!$H$89)</f>
        <v>-6000</v>
      </c>
      <c r="O82" s="70" t="n">
        <f aca="false">-MAX(Assumptions!$H$96,N72*Assumptions!$H$89)</f>
        <v>-6000</v>
      </c>
      <c r="P82" s="70" t="n">
        <f aca="false">-MAX(Assumptions!$H$96,O72*Assumptions!$H$89)</f>
        <v>-6000</v>
      </c>
      <c r="Q82" s="70" t="n">
        <f aca="false">-MAX(Assumptions!$H$96,P72*Assumptions!$H$89)</f>
        <v>-6000</v>
      </c>
      <c r="R82" s="70" t="n">
        <f aca="false">-MAX(Assumptions!$H$96,Q72*Assumptions!$H$89)</f>
        <v>-6000</v>
      </c>
      <c r="S82" s="70" t="n">
        <f aca="false">-MAX(Assumptions!$H$96,R72*Assumptions!$H$89)</f>
        <v>-6000</v>
      </c>
      <c r="T82" s="70" t="n">
        <f aca="false">-MAX(Assumptions!$H$96,S72*Assumptions!$H$89)</f>
        <v>-6000</v>
      </c>
      <c r="U82" s="70" t="n">
        <f aca="false">-MAX(Assumptions!$H$96,T72*Assumptions!$H$89)</f>
        <v>-6000</v>
      </c>
      <c r="V82" s="70" t="n">
        <f aca="false">-MAX(Assumptions!$H$96,U72*Assumptions!$H$89)</f>
        <v>-6000</v>
      </c>
      <c r="W82" s="70" t="n">
        <f aca="false">-MAX(Assumptions!$H$96,V72*Assumptions!$H$89)</f>
        <v>-6000</v>
      </c>
      <c r="X82" s="70" t="n">
        <f aca="false">-MAX(Assumptions!$H$96,W72*Assumptions!$H$89)</f>
        <v>-6000</v>
      </c>
      <c r="Y82" s="70" t="n">
        <f aca="false">-MAX(Assumptions!$H$96,X72*Assumptions!$H$89)</f>
        <v>-6239.93174330129</v>
      </c>
      <c r="Z82" s="70" t="n">
        <f aca="false">-MAX(Assumptions!$H$96,Y72*Assumptions!$H$89)</f>
        <v>-6565.32470152147</v>
      </c>
      <c r="AA82" s="70" t="n">
        <f aca="false">-MAX(Assumptions!$H$96,Z72*Assumptions!$H$89)</f>
        <v>-6912.31753734998</v>
      </c>
      <c r="AB82" s="70" t="n">
        <f aca="false">-MAX(Assumptions!$H$96,AA72*Assumptions!$H$89)</f>
        <v>-7283.22999293278</v>
      </c>
      <c r="AC82" s="70" t="n">
        <f aca="false">-MAX(Assumptions!$H$96,AB72*Assumptions!$H$89)</f>
        <v>-7669.51484104058</v>
      </c>
      <c r="AD82" s="70" t="n">
        <f aca="false">-MAX(Assumptions!$H$96,AC72*Assumptions!$H$89)</f>
        <v>-8069.23372788135</v>
      </c>
      <c r="AE82" s="70" t="n">
        <f aca="false">-MAX(Assumptions!$H$96,AD72*Assumptions!$H$89)</f>
        <v>-8487.19867968887</v>
      </c>
      <c r="AF82" s="70" t="n">
        <f aca="false">-MAX(Assumptions!$H$96,AE72*Assumptions!$H$89)</f>
        <v>-8925.92336755285</v>
      </c>
      <c r="AG82" s="70" t="n">
        <f aca="false">-MAX(Assumptions!$H$96,AF72*Assumptions!$H$89)</f>
        <v>-9388.01057192396</v>
      </c>
      <c r="AH82" s="70" t="n">
        <f aca="false">-MAX(Assumptions!$H$96,AG72*Assumptions!$H$89)</f>
        <v>-9876.21871133812</v>
      </c>
      <c r="AI82" s="70" t="n">
        <f aca="false">-MAX(Assumptions!$H$96,AH72*Assumptions!$H$89)</f>
        <v>-10393.4955003666</v>
      </c>
      <c r="AJ82" s="70" t="n">
        <f aca="false">-MAX(Assumptions!$H$96,AI72*Assumptions!$H$89)</f>
        <v>-10942.999889335</v>
      </c>
      <c r="AK82" s="70" t="n">
        <f aca="false">-MAX(Assumptions!$H$96,AJ72*Assumptions!$H$89)</f>
        <v>-11528.1242471473</v>
      </c>
      <c r="AL82" s="70" t="n">
        <f aca="false">-MAX(Assumptions!$H$96,AK72*Assumptions!$H$89)</f>
        <v>-12152.5178394886</v>
      </c>
      <c r="AM82" s="70" t="n">
        <f aca="false">SUM(C82:AL82)</f>
        <v>-256434.041350869</v>
      </c>
    </row>
    <row r="83" customFormat="false" ht="15" hidden="false" customHeight="false" outlineLevel="0" collapsed="false">
      <c r="A83" s="10" t="s">
        <v>804</v>
      </c>
      <c r="B83" s="9" t="s">
        <v>97</v>
      </c>
      <c r="C83" s="70" t="n">
        <f aca="false">-C26</f>
        <v>-8000</v>
      </c>
      <c r="D83" s="70" t="n">
        <f aca="false">-D26</f>
        <v>-30000</v>
      </c>
      <c r="E83" s="70" t="n">
        <f aca="false">-E26</f>
        <v>-30000</v>
      </c>
      <c r="F83" s="70" t="n">
        <f aca="false">-F26</f>
        <v>-30000</v>
      </c>
      <c r="G83" s="70" t="n">
        <f aca="false">-G26</f>
        <v>-30000</v>
      </c>
      <c r="H83" s="70" t="n">
        <f aca="false">-H26</f>
        <v>-30000</v>
      </c>
      <c r="I83" s="70" t="n">
        <f aca="false">-I26</f>
        <v>-30000</v>
      </c>
      <c r="J83" s="70" t="n">
        <f aca="false">-J26</f>
        <v>-30000</v>
      </c>
      <c r="K83" s="70" t="n">
        <f aca="false">-K26</f>
        <v>-30000</v>
      </c>
      <c r="L83" s="70" t="n">
        <f aca="false">-L26</f>
        <v>-30052.4682988739</v>
      </c>
      <c r="M83" s="70" t="n">
        <f aca="false">-M26</f>
        <v>-31980.5055419907</v>
      </c>
      <c r="N83" s="70" t="n">
        <f aca="false">-N26</f>
        <v>-33991.5299236344</v>
      </c>
      <c r="O83" s="70" t="n">
        <f aca="false">-O26</f>
        <v>-36014.3913392812</v>
      </c>
      <c r="P83" s="70" t="n">
        <f aca="false">-P26</f>
        <v>-38053.5255933104</v>
      </c>
      <c r="Q83" s="70" t="n">
        <f aca="false">-Q26</f>
        <v>-40126.2172951047</v>
      </c>
      <c r="R83" s="70" t="n">
        <f aca="false">-R26</f>
        <v>-42249.6361830115</v>
      </c>
      <c r="S83" s="70" t="n">
        <f aca="false">-S26</f>
        <v>-44440.2812566567</v>
      </c>
      <c r="T83" s="70" t="n">
        <f aca="false">-T26</f>
        <v>-46714.2241190579</v>
      </c>
      <c r="U83" s="70" t="n">
        <f aca="false">-U26</f>
        <v>-49087.4205371613</v>
      </c>
      <c r="V83" s="70" t="n">
        <f aca="false">-V26</f>
        <v>-51575.9991241854</v>
      </c>
      <c r="W83" s="70" t="n">
        <f aca="false">-W26</f>
        <v>-54196.5261134322</v>
      </c>
      <c r="X83" s="70" t="n">
        <f aca="false">-X26</f>
        <v>-56966.251870964</v>
      </c>
      <c r="Y83" s="70" t="n">
        <f aca="false">-Y26</f>
        <v>-59903.3447356923</v>
      </c>
      <c r="Z83" s="70" t="n">
        <f aca="false">-Z26</f>
        <v>-63027.1171346061</v>
      </c>
      <c r="AA83" s="70" t="n">
        <f aca="false">-AA26</f>
        <v>-66358.2483585598</v>
      </c>
      <c r="AB83" s="70" t="n">
        <f aca="false">-AB26</f>
        <v>-69919.0079321546</v>
      </c>
      <c r="AC83" s="70" t="n">
        <f aca="false">-AC26</f>
        <v>-73627.3424739896</v>
      </c>
      <c r="AD83" s="70" t="n">
        <f aca="false">-AD26</f>
        <v>-77464.6437876609</v>
      </c>
      <c r="AE83" s="70" t="n">
        <f aca="false">-AE26</f>
        <v>-81477.1073250131</v>
      </c>
      <c r="AF83" s="70" t="n">
        <f aca="false">-AF26</f>
        <v>-85688.8643285074</v>
      </c>
      <c r="AG83" s="70" t="n">
        <f aca="false">-AG26</f>
        <v>-90124.90149047</v>
      </c>
      <c r="AH83" s="70" t="n">
        <f aca="false">-AH26</f>
        <v>-94811.699628846</v>
      </c>
      <c r="AI83" s="70" t="n">
        <f aca="false">-AI26</f>
        <v>-99777.5568035194</v>
      </c>
      <c r="AJ83" s="70" t="n">
        <f aca="false">-AJ26</f>
        <v>-105052.798937616</v>
      </c>
      <c r="AK83" s="70" t="n">
        <f aca="false">-AK26</f>
        <v>-110669.992772615</v>
      </c>
      <c r="AL83" s="70" t="n">
        <f aca="false">-AL26</f>
        <v>-116664.17125909</v>
      </c>
      <c r="AM83" s="70" t="n">
        <f aca="false">SUM(C83:AL83)</f>
        <v>-1998015.774165</v>
      </c>
    </row>
    <row r="84" customFormat="false" ht="15" hidden="false" customHeight="false" outlineLevel="0" collapsed="false">
      <c r="A84" s="10" t="s">
        <v>805</v>
      </c>
      <c r="B84" s="9" t="s">
        <v>97</v>
      </c>
      <c r="C84" s="70" t="n">
        <f aca="false">-IF(C$5=Assumptions!$H$6,Assumptions!$H$23,0)</f>
        <v>-0</v>
      </c>
      <c r="D84" s="70" t="n">
        <f aca="false">-IF(D$5=Assumptions!$H$6,Assumptions!$H$23,0)</f>
        <v>-60000</v>
      </c>
      <c r="E84" s="70" t="n">
        <f aca="false">-IF(E$5=Assumptions!$H$6,Assumptions!$H$23,0)</f>
        <v>-0</v>
      </c>
      <c r="F84" s="70" t="n">
        <f aca="false">-IF(F$5=Assumptions!$H$6,Assumptions!$H$23,0)</f>
        <v>-0</v>
      </c>
      <c r="G84" s="70" t="n">
        <f aca="false">-IF(G$5=Assumptions!$H$6,Assumptions!$H$23,0)</f>
        <v>-0</v>
      </c>
      <c r="H84" s="70" t="n">
        <f aca="false">-IF(H$5=Assumptions!$H$6,Assumptions!$H$23,0)</f>
        <v>-0</v>
      </c>
      <c r="I84" s="70" t="n">
        <f aca="false">-IF(I$5=Assumptions!$H$6,Assumptions!$H$23,0)</f>
        <v>-0</v>
      </c>
      <c r="J84" s="70" t="n">
        <f aca="false">-IF(J$5=Assumptions!$H$6,Assumptions!$H$23,0)</f>
        <v>-0</v>
      </c>
      <c r="K84" s="70" t="n">
        <f aca="false">-IF(K$5=Assumptions!$H$6,Assumptions!$H$23,0)</f>
        <v>-0</v>
      </c>
      <c r="L84" s="70" t="n">
        <f aca="false">-IF(L$5=Assumptions!$H$6,Assumptions!$H$23,0)</f>
        <v>-0</v>
      </c>
      <c r="M84" s="70" t="n">
        <f aca="false">-IF(M$5=Assumptions!$H$6,Assumptions!$H$23,0)</f>
        <v>-0</v>
      </c>
      <c r="N84" s="70" t="n">
        <f aca="false">-IF(N$5=Assumptions!$H$6,Assumptions!$H$23,0)</f>
        <v>-0</v>
      </c>
      <c r="O84" s="70" t="n">
        <f aca="false">-IF(O$5=Assumptions!$H$6,Assumptions!$H$23,0)</f>
        <v>-0</v>
      </c>
      <c r="P84" s="70" t="n">
        <f aca="false">-IF(P$5=Assumptions!$H$6,Assumptions!$H$23,0)</f>
        <v>-0</v>
      </c>
      <c r="Q84" s="70" t="n">
        <f aca="false">-IF(Q$5=Assumptions!$H$6,Assumptions!$H$23,0)</f>
        <v>-0</v>
      </c>
      <c r="R84" s="70" t="n">
        <f aca="false">-IF(R$5=Assumptions!$H$6,Assumptions!$H$23,0)</f>
        <v>-0</v>
      </c>
      <c r="S84" s="70" t="n">
        <f aca="false">-IF(S$5=Assumptions!$H$6,Assumptions!$H$23,0)</f>
        <v>-0</v>
      </c>
      <c r="T84" s="70" t="n">
        <f aca="false">-IF(T$5=Assumptions!$H$6,Assumptions!$H$23,0)</f>
        <v>-0</v>
      </c>
      <c r="U84" s="70" t="n">
        <f aca="false">-IF(U$5=Assumptions!$H$6,Assumptions!$H$23,0)</f>
        <v>-0</v>
      </c>
      <c r="V84" s="70" t="n">
        <f aca="false">-IF(V$5=Assumptions!$H$6,Assumptions!$H$23,0)</f>
        <v>-0</v>
      </c>
      <c r="W84" s="70" t="n">
        <f aca="false">-IF(W$5=Assumptions!$H$6,Assumptions!$H$23,0)</f>
        <v>-0</v>
      </c>
      <c r="X84" s="70" t="n">
        <f aca="false">-IF(X$5=Assumptions!$H$6,Assumptions!$H$23,0)</f>
        <v>-0</v>
      </c>
      <c r="Y84" s="70" t="n">
        <f aca="false">-IF(Y$5=Assumptions!$H$6,Assumptions!$H$23,0)</f>
        <v>-0</v>
      </c>
      <c r="Z84" s="70" t="n">
        <f aca="false">-IF(Z$5=Assumptions!$H$6,Assumptions!$H$23,0)</f>
        <v>-0</v>
      </c>
      <c r="AA84" s="70" t="n">
        <f aca="false">-IF(AA$5=Assumptions!$H$6,Assumptions!$H$23,0)</f>
        <v>-0</v>
      </c>
      <c r="AB84" s="70" t="n">
        <f aca="false">-IF(AB$5=Assumptions!$H$6,Assumptions!$H$23,0)</f>
        <v>-0</v>
      </c>
      <c r="AC84" s="70" t="n">
        <f aca="false">-IF(AC$5=Assumptions!$H$6,Assumptions!$H$23,0)</f>
        <v>-0</v>
      </c>
      <c r="AD84" s="70" t="n">
        <f aca="false">-IF(AD$5=Assumptions!$H$6,Assumptions!$H$23,0)</f>
        <v>-0</v>
      </c>
      <c r="AE84" s="70" t="n">
        <f aca="false">-IF(AE$5=Assumptions!$H$6,Assumptions!$H$23,0)</f>
        <v>-0</v>
      </c>
      <c r="AF84" s="70" t="n">
        <f aca="false">-IF(AF$5=Assumptions!$H$6,Assumptions!$H$23,0)</f>
        <v>-0</v>
      </c>
      <c r="AG84" s="70" t="n">
        <f aca="false">-IF(AG$5=Assumptions!$H$6,Assumptions!$H$23,0)</f>
        <v>-0</v>
      </c>
      <c r="AH84" s="70" t="n">
        <f aca="false">-IF(AH$5=Assumptions!$H$6,Assumptions!$H$23,0)</f>
        <v>-0</v>
      </c>
      <c r="AI84" s="70" t="n">
        <f aca="false">-IF(AI$5=Assumptions!$H$6,Assumptions!$H$23,0)</f>
        <v>-0</v>
      </c>
      <c r="AJ84" s="70" t="n">
        <f aca="false">-IF(AJ$5=Assumptions!$H$6,Assumptions!$H$23,0)</f>
        <v>-0</v>
      </c>
      <c r="AK84" s="70" t="n">
        <f aca="false">-IF(AK$5=Assumptions!$H$6,Assumptions!$H$23,0)</f>
        <v>-0</v>
      </c>
      <c r="AL84" s="70" t="n">
        <f aca="false">-IF(AL$5=Assumptions!$H$6,Assumptions!$H$23,0)</f>
        <v>-0</v>
      </c>
      <c r="AM84" s="70" t="n">
        <f aca="false">SUM(C84:AL84)</f>
        <v>-60000</v>
      </c>
    </row>
    <row r="85" customFormat="false" ht="15" hidden="false" customHeight="false" outlineLevel="0" collapsed="false">
      <c r="A85" s="10" t="s">
        <v>806</v>
      </c>
      <c r="B85" s="9" t="s">
        <v>97</v>
      </c>
      <c r="C85" s="70" t="n">
        <f aca="false">-C8*Assumptions!$H$98</f>
        <v>-0</v>
      </c>
      <c r="D85" s="70" t="n">
        <f aca="false">-D8*Assumptions!$H$98</f>
        <v>-15000</v>
      </c>
      <c r="E85" s="70" t="n">
        <f aca="false">-E8*Assumptions!$H$98</f>
        <v>-15000</v>
      </c>
      <c r="F85" s="70" t="n">
        <f aca="false">-F8*Assumptions!$H$98</f>
        <v>-15000</v>
      </c>
      <c r="G85" s="70" t="n">
        <f aca="false">-G8*Assumptions!$H$98</f>
        <v>-15000</v>
      </c>
      <c r="H85" s="70" t="n">
        <f aca="false">-H8*Assumptions!$H$98</f>
        <v>-15000</v>
      </c>
      <c r="I85" s="70" t="n">
        <f aca="false">-I8*Assumptions!$H$98</f>
        <v>-15000</v>
      </c>
      <c r="J85" s="70" t="n">
        <f aca="false">-J8*Assumptions!$H$98</f>
        <v>-15000</v>
      </c>
      <c r="K85" s="70" t="n">
        <f aca="false">-K8*Assumptions!$H$98</f>
        <v>-15000</v>
      </c>
      <c r="L85" s="70" t="n">
        <f aca="false">-L8*Assumptions!$H$98</f>
        <v>-15000</v>
      </c>
      <c r="M85" s="70" t="n">
        <f aca="false">-M8*Assumptions!$H$98</f>
        <v>-15000</v>
      </c>
      <c r="N85" s="70" t="n">
        <f aca="false">-N8*Assumptions!$H$98</f>
        <v>-15000</v>
      </c>
      <c r="O85" s="70" t="n">
        <f aca="false">-O8*Assumptions!$H$98</f>
        <v>-15000</v>
      </c>
      <c r="P85" s="70" t="n">
        <f aca="false">-P8*Assumptions!$H$98</f>
        <v>-15000</v>
      </c>
      <c r="Q85" s="70" t="n">
        <f aca="false">-Q8*Assumptions!$H$98</f>
        <v>-15000</v>
      </c>
      <c r="R85" s="70" t="n">
        <f aca="false">-R8*Assumptions!$H$98</f>
        <v>-15000</v>
      </c>
      <c r="S85" s="70" t="n">
        <f aca="false">-S8*Assumptions!$H$98</f>
        <v>-15000</v>
      </c>
      <c r="T85" s="70" t="n">
        <f aca="false">-T8*Assumptions!$H$98</f>
        <v>-15000</v>
      </c>
      <c r="U85" s="70" t="n">
        <f aca="false">-U8*Assumptions!$H$98</f>
        <v>-15000</v>
      </c>
      <c r="V85" s="70" t="n">
        <f aca="false">-V8*Assumptions!$H$98</f>
        <v>-15000</v>
      </c>
      <c r="W85" s="70" t="n">
        <f aca="false">-W8*Assumptions!$H$98</f>
        <v>-15000</v>
      </c>
      <c r="X85" s="70" t="n">
        <f aca="false">-X8*Assumptions!$H$98</f>
        <v>-15000</v>
      </c>
      <c r="Y85" s="70" t="n">
        <f aca="false">-Y8*Assumptions!$H$98</f>
        <v>-15000</v>
      </c>
      <c r="Z85" s="70" t="n">
        <f aca="false">-Z8*Assumptions!$H$98</f>
        <v>-15000</v>
      </c>
      <c r="AA85" s="70" t="n">
        <f aca="false">-AA8*Assumptions!$H$98</f>
        <v>-15000</v>
      </c>
      <c r="AB85" s="70" t="n">
        <f aca="false">-AB8*Assumptions!$H$98</f>
        <v>-15000</v>
      </c>
      <c r="AC85" s="70" t="n">
        <f aca="false">-AC8*Assumptions!$H$98</f>
        <v>-15000</v>
      </c>
      <c r="AD85" s="70" t="n">
        <f aca="false">-AD8*Assumptions!$H$98</f>
        <v>-15000</v>
      </c>
      <c r="AE85" s="70" t="n">
        <f aca="false">-AE8*Assumptions!$H$98</f>
        <v>-15000</v>
      </c>
      <c r="AF85" s="70" t="n">
        <f aca="false">-AF8*Assumptions!$H$98</f>
        <v>-15000</v>
      </c>
      <c r="AG85" s="70" t="n">
        <f aca="false">-AG8*Assumptions!$H$98</f>
        <v>-15000</v>
      </c>
      <c r="AH85" s="70" t="n">
        <f aca="false">-AH8*Assumptions!$H$98</f>
        <v>-15000</v>
      </c>
      <c r="AI85" s="70" t="n">
        <f aca="false">-AI8*Assumptions!$H$98</f>
        <v>-15000</v>
      </c>
      <c r="AJ85" s="70" t="n">
        <f aca="false">-AJ8*Assumptions!$H$98</f>
        <v>-15000</v>
      </c>
      <c r="AK85" s="70" t="n">
        <f aca="false">-AK8*Assumptions!$H$98</f>
        <v>-15000</v>
      </c>
      <c r="AL85" s="70" t="n">
        <f aca="false">-AL8*Assumptions!$H$98</f>
        <v>-15000</v>
      </c>
      <c r="AM85" s="70" t="n">
        <f aca="false">SUM(C85:AL85)</f>
        <v>-525000</v>
      </c>
    </row>
    <row r="86" customFormat="false" ht="15" hidden="false" customHeight="false" outlineLevel="0" collapsed="false">
      <c r="A86" s="10" t="s">
        <v>362</v>
      </c>
      <c r="B86" s="9" t="s">
        <v>97</v>
      </c>
      <c r="C86" s="70" t="n">
        <f aca="false">-C72*Assumptions!$H$99</f>
        <v>-0</v>
      </c>
      <c r="D86" s="70" t="n">
        <f aca="false">-D72*Assumptions!$H$99</f>
        <v>-3422.4513365987</v>
      </c>
      <c r="E86" s="70" t="n">
        <f aca="false">-E72*Assumptions!$H$99</f>
        <v>-3443.66237614223</v>
      </c>
      <c r="F86" s="70" t="n">
        <f aca="false">-F72*Assumptions!$H$99</f>
        <v>-3899.50424293131</v>
      </c>
      <c r="G86" s="70" t="n">
        <f aca="false">-G72*Assumptions!$H$99</f>
        <v>-4340.57813250042</v>
      </c>
      <c r="H86" s="70" t="n">
        <f aca="false">-H72*Assumptions!$H$99</f>
        <v>-4721.7622823192</v>
      </c>
      <c r="I86" s="70" t="n">
        <f aca="false">-I72*Assumptions!$H$99</f>
        <v>-5359.93909972052</v>
      </c>
      <c r="J86" s="70" t="n">
        <f aca="false">-J72*Assumptions!$H$99</f>
        <v>-5829.80624423103</v>
      </c>
      <c r="K86" s="70" t="n">
        <f aca="false">-K72*Assumptions!$H$99</f>
        <v>-6260.93089559874</v>
      </c>
      <c r="L86" s="70" t="n">
        <f aca="false">-L72*Assumptions!$H$99</f>
        <v>-6662.60532124806</v>
      </c>
      <c r="M86" s="70" t="n">
        <f aca="false">-M72*Assumptions!$H$99</f>
        <v>-7081.56873409051</v>
      </c>
      <c r="N86" s="70" t="n">
        <f aca="false">-N72*Assumptions!$H$99</f>
        <v>-7502.99819568359</v>
      </c>
      <c r="O86" s="70" t="n">
        <f aca="false">-O72*Assumptions!$H$99</f>
        <v>-7927.81783193966</v>
      </c>
      <c r="P86" s="70" t="n">
        <f aca="false">-P72*Assumptions!$H$99</f>
        <v>-8359.62860314682</v>
      </c>
      <c r="Q86" s="70" t="n">
        <f aca="false">-Q72*Assumptions!$H$99</f>
        <v>-8802.0075381274</v>
      </c>
      <c r="R86" s="70" t="n">
        <f aca="false">-R72*Assumptions!$H$99</f>
        <v>-9258.39192847014</v>
      </c>
      <c r="S86" s="70" t="n">
        <f aca="false">-S72*Assumptions!$H$99</f>
        <v>-9732.13002480373</v>
      </c>
      <c r="T86" s="70" t="n">
        <f aca="false">-T72*Assumptions!$H$99</f>
        <v>-10226.5459452419</v>
      </c>
      <c r="U86" s="70" t="n">
        <f aca="false">-U72*Assumptions!$H$99</f>
        <v>-10744.9998175386</v>
      </c>
      <c r="V86" s="70" t="n">
        <f aca="false">-V72*Assumptions!$H$99</f>
        <v>-11290.9429402984</v>
      </c>
      <c r="W86" s="70" t="n">
        <f aca="false">-W72*Assumptions!$H$99</f>
        <v>-11867.9691397842</v>
      </c>
      <c r="X86" s="70" t="n">
        <f aca="false">-X72*Assumptions!$H$99</f>
        <v>-12479.8634866026</v>
      </c>
      <c r="Y86" s="70" t="n">
        <f aca="false">-Y72*Assumptions!$H$99</f>
        <v>-13130.6494030429</v>
      </c>
      <c r="Z86" s="70" t="n">
        <f aca="false">-Z72*Assumptions!$H$99</f>
        <v>-13824.6350747</v>
      </c>
      <c r="AA86" s="70" t="n">
        <f aca="false">-AA72*Assumptions!$H$99</f>
        <v>-14566.4599858656</v>
      </c>
      <c r="AB86" s="70" t="n">
        <f aca="false">-AB72*Assumptions!$H$99</f>
        <v>-15339.0296820812</v>
      </c>
      <c r="AC86" s="70" t="n">
        <f aca="false">-AC72*Assumptions!$H$99</f>
        <v>-16138.4674557627</v>
      </c>
      <c r="AD86" s="70" t="n">
        <f aca="false">-AD72*Assumptions!$H$99</f>
        <v>-16974.3973593777</v>
      </c>
      <c r="AE86" s="70" t="n">
        <f aca="false">-AE72*Assumptions!$H$99</f>
        <v>-17851.8467351057</v>
      </c>
      <c r="AF86" s="70" t="n">
        <f aca="false">-AF72*Assumptions!$H$99</f>
        <v>-18776.0211438479</v>
      </c>
      <c r="AG86" s="70" t="n">
        <f aca="false">-AG72*Assumptions!$H$99</f>
        <v>-19752.4374226762</v>
      </c>
      <c r="AH86" s="70" t="n">
        <f aca="false">-AH72*Assumptions!$H$99</f>
        <v>-20786.9910007332</v>
      </c>
      <c r="AI86" s="70" t="n">
        <f aca="false">-AI72*Assumptions!$H$99</f>
        <v>-21885.99977867</v>
      </c>
      <c r="AJ86" s="70" t="n">
        <f aca="false">-AJ72*Assumptions!$H$99</f>
        <v>-23056.2484942947</v>
      </c>
      <c r="AK86" s="70" t="n">
        <f aca="false">-AK72*Assumptions!$H$99</f>
        <v>-24305.0356789772</v>
      </c>
      <c r="AL86" s="70" t="n">
        <f aca="false">-AL72*Assumptions!$H$99</f>
        <v>-25640.2238445804</v>
      </c>
      <c r="AM86" s="70" t="n">
        <f aca="false">SUM(C86:AL86)</f>
        <v>-421244.547176733</v>
      </c>
    </row>
    <row r="87" customFormat="false" ht="15" hidden="false" customHeight="false" outlineLevel="0" collapsed="false">
      <c r="A87" s="37" t="s">
        <v>807</v>
      </c>
      <c r="B87" s="9" t="s">
        <v>97</v>
      </c>
      <c r="C87" s="53" t="n">
        <f aca="false">C75+C76+C77+C78+C79+C80+C81+C82+C83+C84+C85+C86</f>
        <v>-37080</v>
      </c>
      <c r="D87" s="53" t="n">
        <f aca="false">D75+D76+D77+D78+D79+D80+D81+D82+D83+D84+D85+D86</f>
        <v>-150002.451336599</v>
      </c>
      <c r="E87" s="53" t="n">
        <f aca="false">E75+E76+E77+E78+E79+E80+E81+E82+E83+E84+E85+E86</f>
        <v>-90023.6623761422</v>
      </c>
      <c r="F87" s="53" t="n">
        <f aca="false">F75+F76+F77+F78+F79+F80+F81+F82+F83+F84+F85+F86</f>
        <v>-79979.5042429313</v>
      </c>
      <c r="G87" s="53" t="n">
        <f aca="false">G75+G76+G77+G78+G79+G80+G81+G82+G83+G84+G85+G86</f>
        <v>-89420.5781325004</v>
      </c>
      <c r="H87" s="53" t="n">
        <f aca="false">H75+H76+H77+H78+H79+H80+H81+H82+H83+H84+H85+H86</f>
        <v>-89801.7622823192</v>
      </c>
      <c r="I87" s="53" t="n">
        <f aca="false">I75+I76+I77+I78+I79+I80+I81+I82+I83+I84+I85+I86</f>
        <v>-90439.9390997205</v>
      </c>
      <c r="J87" s="53" t="n">
        <f aca="false">J75+J76+J77+J78+J79+J80+J81+J82+J83+J84+J85+J86</f>
        <v>-90909.806244231</v>
      </c>
      <c r="K87" s="53" t="n">
        <f aca="false">K75+K76+K77+K78+K79+K80+K81+K82+K83+K84+K85+K86</f>
        <v>-91340.9308955987</v>
      </c>
      <c r="L87" s="53" t="n">
        <f aca="false">L75+L76+L77+L78+L79+L80+L81+L82+L83+L84+L85+L86</f>
        <v>-91795.073620122</v>
      </c>
      <c r="M87" s="53" t="n">
        <f aca="false">M75+M76+M77+M78+M79+M80+M81+M82+M83+M84+M85+M86</f>
        <v>-94142.0742760812</v>
      </c>
      <c r="N87" s="53" t="n">
        <f aca="false">N75+N76+N77+N78+N79+N80+N81+N82+N83+N84+N85+N86</f>
        <v>-96574.528119318</v>
      </c>
      <c r="O87" s="53" t="n">
        <f aca="false">O75+O76+O77+O78+O79+O80+O81+O82+O83+O84+O85+O86</f>
        <v>-117022.68888253</v>
      </c>
      <c r="P87" s="53" t="n">
        <f aca="false">P75+P76+P77+P78+P79+P80+P81+P82+P83+P84+P85+P86</f>
        <v>-119561.605049568</v>
      </c>
      <c r="Q87" s="53" t="n">
        <f aca="false">Q75+Q76+Q77+Q78+Q79+Q80+Q81+Q82+Q83+Q84+Q85+Q86</f>
        <v>-122145.765409736</v>
      </c>
      <c r="R87" s="53" t="n">
        <f aca="false">R75+R76+R77+R78+R79+R80+R81+R82+R83+R84+R85+R86</f>
        <v>-124796.349317582</v>
      </c>
      <c r="S87" s="53" t="n">
        <f aca="false">S75+S76+S77+S78+S79+S80+S81+S82+S83+S84+S85+S86</f>
        <v>-127533.753990016</v>
      </c>
      <c r="T87" s="53" t="n">
        <f aca="false">T75+T76+T77+T78+T79+T80+T81+T82+T83+T84+T85+T86</f>
        <v>-130377.910868268</v>
      </c>
      <c r="U87" s="53" t="n">
        <f aca="false">U75+U76+U77+U78+U79+U80+U81+U82+U83+U84+U85+U86</f>
        <v>-133348.667705939</v>
      </c>
      <c r="V87" s="53" t="n">
        <f aca="false">V75+V76+V77+V78+V79+V80+V81+V82+V83+V84+V85+V86</f>
        <v>-136466.14203529</v>
      </c>
      <c r="W87" s="53" t="n">
        <f aca="false">W75+W76+W77+W78+W79+W80+W81+W82+W83+W84+W85+W86</f>
        <v>-139751.046123664</v>
      </c>
      <c r="X87" s="53" t="n">
        <f aca="false">X75+X76+X77+X78+X79+X80+X81+X82+X83+X84+X85+X86</f>
        <v>-143224.990419932</v>
      </c>
      <c r="Y87" s="53" t="n">
        <f aca="false">Y75+Y76+Y77+Y78+Y79+Y80+Y81+Y82+Y83+Y84+Y85+Y86</f>
        <v>-147150.704039893</v>
      </c>
      <c r="Z87" s="53" t="n">
        <f aca="false">Z75+Z76+Z77+Z78+Z79+Z80+Z81+Z82+Z83+Z84+Z85+Z86</f>
        <v>-151397.980815314</v>
      </c>
      <c r="AA87" s="53" t="n">
        <f aca="false">AA75+AA76+AA77+AA78+AA79+AA80+AA81+AA82+AA83+AA84+AA85+AA86</f>
        <v>-176928.967493727</v>
      </c>
      <c r="AB87" s="53" t="n">
        <f aca="false">AB75+AB76+AB77+AB78+AB79+AB80+AB81+AB82+AB83+AB84+AB85+AB86</f>
        <v>-181751.901204907</v>
      </c>
      <c r="AC87" s="53" t="n">
        <f aca="false">AC75+AC76+AC77+AC78+AC79+AC80+AC81+AC82+AC83+AC84+AC85+AC86</f>
        <v>-186769.569519926</v>
      </c>
      <c r="AD87" s="53" t="n">
        <f aca="false">AD75+AD76+AD77+AD78+AD79+AD80+AD81+AD82+AD83+AD84+AD85+AD86</f>
        <v>-191970.429667842</v>
      </c>
      <c r="AE87" s="53" t="n">
        <f aca="false">AE75+AE76+AE77+AE78+AE79+AE80+AE81+AE82+AE83+AE84+AE85+AE86</f>
        <v>-197412.056317308</v>
      </c>
      <c r="AF87" s="53" t="n">
        <f aca="false">AF75+AF76+AF77+AF78+AF79+AF80+AF81+AF82+AF83+AF84+AF85+AF86</f>
        <v>-203127.104317525</v>
      </c>
      <c r="AG87" s="53" t="n">
        <f aca="false">AG75+AG76+AG77+AG78+AG79+AG80+AG81+AG82+AG83+AG84+AG85+AG86</f>
        <v>-209149.512868086</v>
      </c>
      <c r="AH87" s="53" t="n">
        <f aca="false">AH75+AH76+AH77+AH78+AH79+AH80+AH81+AH82+AH83+AH84+AH85+AH86</f>
        <v>-215515.299328546</v>
      </c>
      <c r="AI87" s="53" t="n">
        <f aca="false">AI75+AI76+AI77+AI78+AI79+AI80+AI81+AI82+AI83+AI84+AI85+AI86</f>
        <v>-222262.970642673</v>
      </c>
      <c r="AJ87" s="53" t="n">
        <f aca="false">AJ75+AJ76+AJ77+AJ78+AJ79+AJ80+AJ81+AJ82+AJ83+AJ84+AJ85+AJ86</f>
        <v>-229433.807285833</v>
      </c>
      <c r="AK87" s="53" t="n">
        <f aca="false">AK75+AK76+AK77+AK78+AK79+AK80+AK81+AK82+AK83+AK84+AK85+AK86</f>
        <v>-237072.152457826</v>
      </c>
      <c r="AL87" s="53" t="n">
        <f aca="false">AL75+AL76+AL77+AL78+AL79+AL80+AL81+AL82+AL83+AL84+AL85+AL86</f>
        <v>-245225.718651796</v>
      </c>
      <c r="AM87" s="53" t="n">
        <f aca="false">SUM(C87:AL87)</f>
        <v>-5180907.40503929</v>
      </c>
    </row>
    <row r="88" customFormat="false" ht="15" hidden="false" customHeight="false" outlineLevel="0" collapsed="false">
      <c r="A88" s="37" t="s">
        <v>808</v>
      </c>
      <c r="B88" s="9" t="s">
        <v>97</v>
      </c>
      <c r="C88" s="53" t="n">
        <f aca="false">C73+C87</f>
        <v>-37080</v>
      </c>
      <c r="D88" s="53" t="n">
        <f aca="false">D73+D87</f>
        <v>-108670.801159316</v>
      </c>
      <c r="E88" s="53" t="n">
        <f aca="false">E73+E87</f>
        <v>-48435.8544978179</v>
      </c>
      <c r="F88" s="53" t="n">
        <f aca="false">F73+F87</f>
        <v>-32886.6665712513</v>
      </c>
      <c r="G88" s="53" t="n">
        <f aca="false">G73+G87</f>
        <v>-37001.0579420495</v>
      </c>
      <c r="H88" s="53" t="n">
        <f aca="false">H73+H87</f>
        <v>-32778.8253054978</v>
      </c>
      <c r="I88" s="53" t="n">
        <f aca="false">I73+I87</f>
        <v>-26607.7475119542</v>
      </c>
      <c r="J88" s="53" t="n">
        <f aca="false">J73+J87</f>
        <v>-21832.3374118957</v>
      </c>
      <c r="K88" s="53" t="n">
        <f aca="false">K73+K87</f>
        <v>-17464.7630072929</v>
      </c>
      <c r="L88" s="53" t="n">
        <f aca="false">L73+L87</f>
        <v>-13460.7135580049</v>
      </c>
      <c r="M88" s="53" t="n">
        <f aca="false">M73+M87</f>
        <v>-11151.0817150026</v>
      </c>
      <c r="N88" s="53" t="n">
        <f aca="false">N73+N87</f>
        <v>-8905.61853927519</v>
      </c>
      <c r="O88" s="53" t="n">
        <f aca="false">O73+O87</f>
        <v>-24645.8363432845</v>
      </c>
      <c r="P88" s="53" t="n">
        <f aca="false">P73+P87</f>
        <v>-22406.9348272789</v>
      </c>
      <c r="Q88" s="53" t="n">
        <f aca="false">Q73+Q87</f>
        <v>-20103.9489243144</v>
      </c>
      <c r="R88" s="53" t="n">
        <f aca="false">R73+R87</f>
        <v>-17720.3132200738</v>
      </c>
      <c r="S88" s="53" t="n">
        <f aca="false">S73+S87</f>
        <v>-15239.8162336303</v>
      </c>
      <c r="T88" s="53" t="n">
        <f aca="false">T73+T87</f>
        <v>-12646.1880914816</v>
      </c>
      <c r="U88" s="53" t="n">
        <f aca="false">U73+U87</f>
        <v>-9922.8133225824</v>
      </c>
      <c r="V88" s="53" t="n">
        <f aca="false">V73+V87</f>
        <v>-7052.47564042886</v>
      </c>
      <c r="W88" s="53" t="n">
        <f aca="false">W73+W87</f>
        <v>-4017.12080165389</v>
      </c>
      <c r="X88" s="53" t="n">
        <f aca="false">X73+X87</f>
        <v>-797.630959777598</v>
      </c>
      <c r="Y88" s="53" t="n">
        <f aca="false">Y73+Y87</f>
        <v>2386.46279984535</v>
      </c>
      <c r="Z88" s="53" t="n">
        <f aca="false">Z73+Z87</f>
        <v>5711.53160700877</v>
      </c>
      <c r="AA88" s="53" t="n">
        <f aca="false">AA73+AA87</f>
        <v>-11734.9437414412</v>
      </c>
      <c r="AB88" s="53" t="n">
        <f aca="false">AB73+AB87</f>
        <v>-8109.0630473223</v>
      </c>
      <c r="AC88" s="53" t="n">
        <f aca="false">AC73+AC87</f>
        <v>-4350.28056288062</v>
      </c>
      <c r="AD88" s="53" t="n">
        <f aca="false">AD73+AD87</f>
        <v>-357.769043754583</v>
      </c>
      <c r="AE88" s="53" t="n">
        <f aca="false">AE73+AE87</f>
        <v>3865.06125437314</v>
      </c>
      <c r="AF88" s="53" t="n">
        <f aca="false">AF73+AF87</f>
        <v>8341.77689167514</v>
      </c>
      <c r="AG88" s="53" t="n">
        <f aca="false">AG73+AG87</f>
        <v>13098.232583199</v>
      </c>
      <c r="AH88" s="53" t="n">
        <f aca="false">AH73+AH87</f>
        <v>18162.5155791487</v>
      </c>
      <c r="AI88" s="53" t="n">
        <f aca="false">AI73+AI87</f>
        <v>23565.0057346031</v>
      </c>
      <c r="AJ88" s="53" t="n">
        <f aca="false">AJ73+AJ87</f>
        <v>29338.5697225767</v>
      </c>
      <c r="AK88" s="53" t="n">
        <f aca="false">AK73+AK87</f>
        <v>35518.7797271064</v>
      </c>
      <c r="AL88" s="53" t="n">
        <f aca="false">AL73+AL87</f>
        <v>42144.1514372753</v>
      </c>
      <c r="AM88" s="53" t="n">
        <f aca="false">SUM(C88:AL88)</f>
        <v>-373248.514642451</v>
      </c>
    </row>
    <row r="89" customFormat="false" ht="15" hidden="false" customHeight="false" outlineLevel="0" collapsed="false">
      <c r="A89" s="37" t="s">
        <v>809</v>
      </c>
      <c r="B89" s="9" t="s">
        <v>61</v>
      </c>
      <c r="C89" s="52" t="n">
        <f aca="false">IFERROR(C88/C72,0)</f>
        <v>0</v>
      </c>
      <c r="D89" s="52" t="n">
        <f aca="false">IFERROR(D88/D72,0)</f>
        <v>-1.58761645486704</v>
      </c>
      <c r="E89" s="52" t="n">
        <f aca="false">IFERROR(E88/E72,0)</f>
        <v>-0.703260790508713</v>
      </c>
      <c r="F89" s="52" t="n">
        <f aca="false">IFERROR(F88/F72,0)</f>
        <v>-0.421677532866716</v>
      </c>
      <c r="G89" s="52" t="n">
        <f aca="false">IFERROR(G88/G72,0)</f>
        <v>-0.42622269214556</v>
      </c>
      <c r="H89" s="52" t="n">
        <f aca="false">IFERROR(H88/H72,0)</f>
        <v>-0.347103722568153</v>
      </c>
      <c r="I89" s="52" t="n">
        <f aca="false">IFERROR(I88/I72,0)</f>
        <v>-0.2482094200785</v>
      </c>
      <c r="J89" s="52" t="n">
        <f aca="false">IFERROR(J88/J72,0)</f>
        <v>-0.187247538745393</v>
      </c>
      <c r="K89" s="52" t="n">
        <f aca="false">IFERROR(K88/K72,0)</f>
        <v>-0.139474171640915</v>
      </c>
      <c r="L89" s="52" t="n">
        <f aca="false">IFERROR(L88/L72,0)</f>
        <v>-0.101016891358374</v>
      </c>
      <c r="M89" s="52" t="n">
        <f aca="false">IFERROR(M88/M72,0)</f>
        <v>-0.0787331319776756</v>
      </c>
      <c r="N89" s="52" t="n">
        <f aca="false">IFERROR(N88/N72,0)</f>
        <v>-0.0593470657130007</v>
      </c>
      <c r="O89" s="52" t="n">
        <f aca="false">IFERROR(O88/O72,0)</f>
        <v>-0.155438967353608</v>
      </c>
      <c r="P89" s="52" t="n">
        <f aca="false">IFERROR(P88/P72,0)</f>
        <v>-0.134018721949228</v>
      </c>
      <c r="Q89" s="52" t="n">
        <f aca="false">IFERROR(Q88/Q72,0)</f>
        <v>-0.114200929942577</v>
      </c>
      <c r="R89" s="52" t="n">
        <f aca="false">IFERROR(R88/R72,0)</f>
        <v>-0.0956986556465748</v>
      </c>
      <c r="S89" s="52" t="n">
        <f aca="false">IFERROR(S88/S72,0)</f>
        <v>-0.0782964068235292</v>
      </c>
      <c r="T89" s="52" t="n">
        <f aca="false">IFERROR(T88/T72,0)</f>
        <v>-0.0618302022950644</v>
      </c>
      <c r="U89" s="52" t="n">
        <f aca="false">IFERROR(U88/U72,0)</f>
        <v>-0.0461740972130394</v>
      </c>
      <c r="V89" s="52" t="n">
        <f aca="false">IFERROR(V88/V72,0)</f>
        <v>-0.0312306761167748</v>
      </c>
      <c r="W89" s="52" t="n">
        <f aca="false">IFERROR(W88/W72,0)</f>
        <v>-0.0169242132092658</v>
      </c>
      <c r="X89" s="52" t="n">
        <f aca="false">IFERROR(X88/X72,0)</f>
        <v>-0.00319567181417439</v>
      </c>
      <c r="Y89" s="52" t="n">
        <f aca="false">IFERROR(Y88/Y72,0)</f>
        <v>0.00908737537113855</v>
      </c>
      <c r="Z89" s="52" t="n">
        <f aca="false">IFERROR(Z88/Z72,0)</f>
        <v>0.0206570791060564</v>
      </c>
      <c r="AA89" s="52" t="n">
        <f aca="false">IFERROR(AA88/AA72,0)</f>
        <v>-0.0402806987862119</v>
      </c>
      <c r="AB89" s="52" t="n">
        <f aca="false">IFERROR(AB88/AB72,0)</f>
        <v>-0.0264327770901806</v>
      </c>
      <c r="AC89" s="52" t="n">
        <f aca="false">IFERROR(AC88/AC72,0)</f>
        <v>-0.0134779853626288</v>
      </c>
      <c r="AD89" s="52" t="n">
        <f aca="false">IFERROR(AD88/AD72,0)</f>
        <v>-0.00105384902974752</v>
      </c>
      <c r="AE89" s="52" t="n">
        <f aca="false">IFERROR(AE88/AE72,0)</f>
        <v>0.0108253821347583</v>
      </c>
      <c r="AF89" s="52" t="n">
        <f aca="false">IFERROR(AF88/AF72,0)</f>
        <v>0.0222139100392108</v>
      </c>
      <c r="AG89" s="52" t="n">
        <f aca="false">IFERROR(AG88/AG72,0)</f>
        <v>0.033155990582109</v>
      </c>
      <c r="AH89" s="52" t="n">
        <f aca="false">IFERROR(AH88/AH72,0)</f>
        <v>0.0436872166310845</v>
      </c>
      <c r="AI89" s="52" t="n">
        <f aca="false">IFERROR(AI88/AI72,0)</f>
        <v>0.0538357990791205</v>
      </c>
      <c r="AJ89" s="52" t="n">
        <f aca="false">IFERROR(AJ88/AJ72,0)</f>
        <v>0.0636239016287418</v>
      </c>
      <c r="AK89" s="52" t="n">
        <f aca="false">IFERROR(AK88/AK72,0)</f>
        <v>0.073068766893086</v>
      </c>
      <c r="AL89" s="52" t="n">
        <f aca="false">IFERROR(AL88/AL72,0)</f>
        <v>0.0821836651909403</v>
      </c>
      <c r="AM89" s="52" t="n">
        <f aca="false">AVERAGE(N89:AL89)</f>
        <v>-0.0186104732675744</v>
      </c>
    </row>
    <row r="90" customFormat="false" ht="15" hidden="false" customHeight="false" outlineLevel="0" collapsed="false">
      <c r="A90" s="10" t="s">
        <v>810</v>
      </c>
      <c r="B90" s="9" t="s">
        <v>97</v>
      </c>
      <c r="C90" s="70" t="n">
        <f aca="false">-C43*Assumptions!$H$102</f>
        <v>0</v>
      </c>
      <c r="D90" s="70" t="n">
        <f aca="false">-D43*Assumptions!$H$102</f>
        <v>36694.3236088932</v>
      </c>
      <c r="E90" s="70" t="n">
        <f aca="false">-E43*Assumptions!$H$102</f>
        <v>36921.7409400816</v>
      </c>
      <c r="F90" s="70" t="n">
        <f aca="false">-F43*Assumptions!$H$102</f>
        <v>41809.1176561707</v>
      </c>
      <c r="G90" s="70" t="n">
        <f aca="false">-G43*Assumptions!$H$102</f>
        <v>46538.1572969117</v>
      </c>
      <c r="H90" s="70" t="n">
        <f aca="false">-H43*Assumptions!$H$102</f>
        <v>50625.0801403295</v>
      </c>
      <c r="I90" s="70" t="n">
        <f aca="false">-I43*Assumptions!$H$102</f>
        <v>54222.3335111465</v>
      </c>
      <c r="J90" s="70" t="n">
        <f aca="false">-J43*Assumptions!$H$102</f>
        <v>57423.8215524641</v>
      </c>
      <c r="K90" s="70" t="n">
        <f aca="false">-K43*Assumptions!$H$102</f>
        <v>60306.417548888</v>
      </c>
      <c r="L90" s="70" t="n">
        <f aca="false">-L43*Assumptions!$H$102</f>
        <v>62943.6384168011</v>
      </c>
      <c r="M90" s="70" t="n">
        <f aca="false">-M43*Assumptions!$H$102</f>
        <v>65740.7001018471</v>
      </c>
      <c r="N90" s="70" t="n">
        <f aca="false">-N43*Assumptions!$H$102</f>
        <v>68535.5957916112</v>
      </c>
      <c r="O90" s="70" t="n">
        <f aca="false">-O43*Assumptions!$H$102</f>
        <v>71325.6403329703</v>
      </c>
      <c r="P90" s="70" t="n">
        <f aca="false">-P43*Assumptions!$H$102</f>
        <v>74133.7750772056</v>
      </c>
      <c r="Q90" s="70" t="n">
        <f aca="false">-Q43*Assumptions!$H$102</f>
        <v>76982.5202763804</v>
      </c>
      <c r="R90" s="70" t="n">
        <f aca="false">-R43*Assumptions!$H$102</f>
        <v>79892.8855312473</v>
      </c>
      <c r="S90" s="70" t="n">
        <f aca="false">-S43*Assumptions!$H$102</f>
        <v>82884.7289909074</v>
      </c>
      <c r="T90" s="70" t="n">
        <f aca="false">-T43*Assumptions!$H$102</f>
        <v>85977.2220322321</v>
      </c>
      <c r="U90" s="70" t="n">
        <f aca="false">-U43*Assumptions!$H$102</f>
        <v>89189.2560372349</v>
      </c>
      <c r="V90" s="70" t="n">
        <f aca="false">-V43*Assumptions!$H$102</f>
        <v>92539.7934594624</v>
      </c>
      <c r="W90" s="70" t="n">
        <f aca="false">-W43*Assumptions!$H$102</f>
        <v>96048.175336197</v>
      </c>
      <c r="X90" s="70" t="n">
        <f aca="false">-X43*Assumptions!$H$102</f>
        <v>99734.3960356786</v>
      </c>
      <c r="Y90" s="70" t="n">
        <f aca="false">-Y43*Assumptions!$H$102</f>
        <v>103619.354040155</v>
      </c>
      <c r="Z90" s="70" t="n">
        <f aca="false">-Z43*Assumptions!$H$102</f>
        <v>107725.085979276</v>
      </c>
      <c r="AA90" s="70" t="n">
        <f aca="false">-AA43*Assumptions!$H$102</f>
        <v>112074.98990145</v>
      </c>
      <c r="AB90" s="70" t="n">
        <f aca="false">-AB43*Assumptions!$H$102</f>
        <v>116694.042818126</v>
      </c>
      <c r="AC90" s="70" t="n">
        <f aca="false">-AC43*Assumptions!$H$102</f>
        <v>121594.394673897</v>
      </c>
      <c r="AD90" s="70" t="n">
        <f aca="false">-AD43*Assumptions!$H$102</f>
        <v>126792.794429716</v>
      </c>
      <c r="AE90" s="70" t="n">
        <f aca="false">-AE43*Assumptions!$H$102</f>
        <v>132315.880470265</v>
      </c>
      <c r="AF90" s="70" t="n">
        <f aca="false">-AF43*Assumptions!$H$102</f>
        <v>138191.739941158</v>
      </c>
      <c r="AG90" s="70" t="n">
        <f aca="false">-AG43*Assumptions!$H$102</f>
        <v>144451.039065994</v>
      </c>
      <c r="AH90" s="70" t="n">
        <f aca="false">-AH43*Assumptions!$H$102</f>
        <v>151127.461066412</v>
      </c>
      <c r="AI90" s="70" t="n">
        <f aca="false">-AI43*Assumptions!$H$102</f>
        <v>158257.935542239</v>
      </c>
      <c r="AJ90" s="70" t="n">
        <f aca="false">-AJ43*Assumptions!$H$102</f>
        <v>165882.87372501</v>
      </c>
      <c r="AK90" s="70" t="n">
        <f aca="false">-AK43*Assumptions!$H$102</f>
        <v>174046.425111273</v>
      </c>
      <c r="AL90" s="70" t="n">
        <f aca="false">-AL43*Assumptions!$H$102</f>
        <v>182796.759448905</v>
      </c>
      <c r="AM90" s="70" t="n">
        <f aca="false">AL90</f>
        <v>182796.759448905</v>
      </c>
    </row>
    <row r="91" customFormat="false" ht="15" hidden="false" customHeight="false" outlineLevel="0" collapsed="false">
      <c r="A91" s="10" t="s">
        <v>811</v>
      </c>
      <c r="B91" s="9" t="s">
        <v>97</v>
      </c>
      <c r="C91" s="70" t="n">
        <f aca="false">-C90</f>
        <v>-0</v>
      </c>
      <c r="D91" s="70" t="n">
        <f aca="false">-(D90-C90)</f>
        <v>-36694.3236088932</v>
      </c>
      <c r="E91" s="70" t="n">
        <f aca="false">-(E90-D90)</f>
        <v>-227.417331188342</v>
      </c>
      <c r="F91" s="70" t="n">
        <f aca="false">-(F90-E90)</f>
        <v>-4887.37671608912</v>
      </c>
      <c r="G91" s="70" t="n">
        <f aca="false">-(G90-F90)</f>
        <v>-4729.03964074102</v>
      </c>
      <c r="H91" s="70" t="n">
        <f aca="false">-(H90-G90)</f>
        <v>-4086.92284341779</v>
      </c>
      <c r="I91" s="70" t="n">
        <f aca="false">-(I90-H90)</f>
        <v>-3597.25337081695</v>
      </c>
      <c r="J91" s="70" t="n">
        <f aca="false">-(J90-I90)</f>
        <v>-3201.48804131762</v>
      </c>
      <c r="K91" s="70" t="n">
        <f aca="false">-(K90-J90)</f>
        <v>-2882.59599642394</v>
      </c>
      <c r="L91" s="70" t="n">
        <f aca="false">-(L90-K90)</f>
        <v>-2637.22086791305</v>
      </c>
      <c r="M91" s="70" t="n">
        <f aca="false">-(M90-L90)</f>
        <v>-2797.06168504605</v>
      </c>
      <c r="N91" s="70" t="n">
        <f aca="false">-(N90-M90)</f>
        <v>-2794.89568976402</v>
      </c>
      <c r="O91" s="70" t="n">
        <f aca="false">-(O90-N90)</f>
        <v>-2790.04454135918</v>
      </c>
      <c r="P91" s="70" t="n">
        <f aca="false">-(P90-O90)</f>
        <v>-2808.13474423524</v>
      </c>
      <c r="Q91" s="70" t="n">
        <f aca="false">-(Q90-P90)</f>
        <v>-2848.74519917487</v>
      </c>
      <c r="R91" s="70" t="n">
        <f aca="false">-(R90-Q90)</f>
        <v>-2910.36525486688</v>
      </c>
      <c r="S91" s="70" t="n">
        <f aca="false">-(S90-R90)</f>
        <v>-2991.84345966006</v>
      </c>
      <c r="T91" s="70" t="n">
        <f aca="false">-(T90-S90)</f>
        <v>-3092.49304132476</v>
      </c>
      <c r="U91" s="70" t="n">
        <f aca="false">-(U90-T90)</f>
        <v>-3212.03400500273</v>
      </c>
      <c r="V91" s="70" t="n">
        <f aca="false">-(V90-U90)</f>
        <v>-3350.53742222754</v>
      </c>
      <c r="W91" s="70" t="n">
        <f aca="false">-(W90-V90)</f>
        <v>-3508.38187673458</v>
      </c>
      <c r="X91" s="70" t="n">
        <f aca="false">-(X90-W90)</f>
        <v>-3686.22069948162</v>
      </c>
      <c r="Y91" s="70" t="n">
        <f aca="false">-(Y90-X90)</f>
        <v>-3884.95800447643</v>
      </c>
      <c r="Z91" s="70" t="n">
        <f aca="false">-(Z90-Y90)</f>
        <v>-4105.73193912131</v>
      </c>
      <c r="AA91" s="70" t="n">
        <f aca="false">-(AA90-Z90)</f>
        <v>-4349.90392217386</v>
      </c>
      <c r="AB91" s="70" t="n">
        <f aca="false">-(AB90-AA90)</f>
        <v>-4619.05291667601</v>
      </c>
      <c r="AC91" s="70" t="n">
        <f aca="false">-(AC90-AB90)</f>
        <v>-4900.35185577079</v>
      </c>
      <c r="AD91" s="70" t="n">
        <f aca="false">-(AD90-AC90)</f>
        <v>-5198.39975581865</v>
      </c>
      <c r="AE91" s="70" t="n">
        <f aca="false">-(AE90-AD90)</f>
        <v>-5523.08604054898</v>
      </c>
      <c r="AF91" s="70" t="n">
        <f aca="false">-(AF90-AE90)</f>
        <v>-5875.85947089284</v>
      </c>
      <c r="AG91" s="70" t="n">
        <f aca="false">-(AG90-AF90)</f>
        <v>-6259.2991248364</v>
      </c>
      <c r="AH91" s="70" t="n">
        <f aca="false">-(AH90-AG90)</f>
        <v>-6676.42200041786</v>
      </c>
      <c r="AI91" s="70" t="n">
        <f aca="false">-(AI90-AH90)</f>
        <v>-7130.4744758271</v>
      </c>
      <c r="AJ91" s="70" t="n">
        <f aca="false">-(AJ90-AI90)</f>
        <v>-7624.93818277138</v>
      </c>
      <c r="AK91" s="70" t="n">
        <f aca="false">-(AK90-AJ90)</f>
        <v>-8163.55138626287</v>
      </c>
      <c r="AL91" s="70" t="n">
        <f aca="false">-(AL90-AK90)</f>
        <v>-8750.33433763179</v>
      </c>
      <c r="AM91" s="70" t="n">
        <f aca="false">SUM(C91:AL91)</f>
        <v>-182796.759448905</v>
      </c>
    </row>
    <row r="92" customFormat="false" ht="15" hidden="false" customHeight="false" outlineLevel="0" collapsed="false">
      <c r="A92" s="10" t="s">
        <v>812</v>
      </c>
      <c r="B92" s="9" t="s">
        <v>97</v>
      </c>
      <c r="C92" s="70" t="n">
        <f aca="false">C88+C91</f>
        <v>-37080</v>
      </c>
      <c r="D92" s="70" t="n">
        <f aca="false">D88+D91</f>
        <v>-145365.124768209</v>
      </c>
      <c r="E92" s="70" t="n">
        <f aca="false">E88+E91</f>
        <v>-48663.2718290062</v>
      </c>
      <c r="F92" s="70" t="n">
        <f aca="false">F88+F91</f>
        <v>-37774.0432873404</v>
      </c>
      <c r="G92" s="70" t="n">
        <f aca="false">G88+G91</f>
        <v>-41730.0975827906</v>
      </c>
      <c r="H92" s="70" t="n">
        <f aca="false">H88+H91</f>
        <v>-36865.7481489156</v>
      </c>
      <c r="I92" s="70" t="n">
        <f aca="false">I88+I91</f>
        <v>-30205.0008827711</v>
      </c>
      <c r="J92" s="70" t="n">
        <f aca="false">J88+J91</f>
        <v>-25033.8254532133</v>
      </c>
      <c r="K92" s="70" t="n">
        <f aca="false">K88+K91</f>
        <v>-20347.3590037168</v>
      </c>
      <c r="L92" s="70" t="n">
        <f aca="false">L88+L91</f>
        <v>-16097.9344259179</v>
      </c>
      <c r="M92" s="70" t="n">
        <f aca="false">M88+M91</f>
        <v>-13948.1434000486</v>
      </c>
      <c r="N92" s="70" t="n">
        <f aca="false">N88+N91</f>
        <v>-11700.5142290392</v>
      </c>
      <c r="O92" s="70" t="n">
        <f aca="false">O88+O91</f>
        <v>-27435.8808846436</v>
      </c>
      <c r="P92" s="70" t="n">
        <f aca="false">P88+P91</f>
        <v>-25215.0695715141</v>
      </c>
      <c r="Q92" s="70" t="n">
        <f aca="false">Q88+Q91</f>
        <v>-22952.6941234893</v>
      </c>
      <c r="R92" s="70" t="n">
        <f aca="false">R88+R91</f>
        <v>-20630.6784749407</v>
      </c>
      <c r="S92" s="70" t="n">
        <f aca="false">S88+S91</f>
        <v>-18231.6596932904</v>
      </c>
      <c r="T92" s="70" t="n">
        <f aca="false">T88+T91</f>
        <v>-15738.6811328064</v>
      </c>
      <c r="U92" s="70" t="n">
        <f aca="false">U88+U91</f>
        <v>-13134.8473275851</v>
      </c>
      <c r="V92" s="70" t="n">
        <f aca="false">V88+V91</f>
        <v>-10403.0130626564</v>
      </c>
      <c r="W92" s="70" t="n">
        <f aca="false">W88+W91</f>
        <v>-7525.50267838847</v>
      </c>
      <c r="X92" s="70" t="n">
        <f aca="false">X88+X91</f>
        <v>-4483.85165925922</v>
      </c>
      <c r="Y92" s="70" t="n">
        <f aca="false">Y88+Y91</f>
        <v>-1498.49520463108</v>
      </c>
      <c r="Z92" s="70" t="n">
        <f aca="false">Z88+Z91</f>
        <v>1605.79966788746</v>
      </c>
      <c r="AA92" s="70" t="n">
        <f aca="false">AA88+AA91</f>
        <v>-16084.847663615</v>
      </c>
      <c r="AB92" s="70" t="n">
        <f aca="false">AB88+AB91</f>
        <v>-12728.1159639983</v>
      </c>
      <c r="AC92" s="70" t="n">
        <f aca="false">AC88+AC91</f>
        <v>-9250.63241865141</v>
      </c>
      <c r="AD92" s="70" t="n">
        <f aca="false">AD88+AD91</f>
        <v>-5556.16879957324</v>
      </c>
      <c r="AE92" s="70" t="n">
        <f aca="false">AE88+AE91</f>
        <v>-1658.02478617584</v>
      </c>
      <c r="AF92" s="70" t="n">
        <f aca="false">AF88+AF91</f>
        <v>2465.91742078229</v>
      </c>
      <c r="AG92" s="70" t="n">
        <f aca="false">AG88+AG91</f>
        <v>6838.93345836262</v>
      </c>
      <c r="AH92" s="70" t="n">
        <f aca="false">AH88+AH91</f>
        <v>11486.0935787308</v>
      </c>
      <c r="AI92" s="70" t="n">
        <f aca="false">AI88+AI91</f>
        <v>16434.531258776</v>
      </c>
      <c r="AJ92" s="70" t="n">
        <f aca="false">AJ88+AJ91</f>
        <v>21713.6315398053</v>
      </c>
      <c r="AK92" s="70" t="n">
        <f aca="false">AK88+AK91</f>
        <v>27355.2283408435</v>
      </c>
      <c r="AL92" s="70" t="n">
        <f aca="false">AL88+AL91</f>
        <v>33393.8170996435</v>
      </c>
      <c r="AM92" s="70" t="n">
        <f aca="false">SUM(C92:AL92)</f>
        <v>-556045.274091356</v>
      </c>
    </row>
    <row r="93" customFormat="false" ht="15" hidden="false" customHeight="false" outlineLevel="0" collapsed="false">
      <c r="A93" s="37" t="s">
        <v>813</v>
      </c>
      <c r="B93" s="9" t="s">
        <v>97</v>
      </c>
      <c r="C93" s="53" t="n">
        <f aca="false">C92</f>
        <v>-37080</v>
      </c>
      <c r="D93" s="53" t="n">
        <f aca="false">C93+D92</f>
        <v>-182445.124768209</v>
      </c>
      <c r="E93" s="53" t="n">
        <f aca="false">D93+E92</f>
        <v>-231108.396597215</v>
      </c>
      <c r="F93" s="53" t="n">
        <f aca="false">E93+F92</f>
        <v>-268882.439884556</v>
      </c>
      <c r="G93" s="53" t="n">
        <f aca="false">F93+G92</f>
        <v>-310612.537467346</v>
      </c>
      <c r="H93" s="53" t="n">
        <f aca="false">G93+H92</f>
        <v>-347478.285616262</v>
      </c>
      <c r="I93" s="53" t="n">
        <f aca="false">H93+I92</f>
        <v>-377683.286499033</v>
      </c>
      <c r="J93" s="53" t="n">
        <f aca="false">I93+J92</f>
        <v>-402717.111952246</v>
      </c>
      <c r="K93" s="53" t="n">
        <f aca="false">J93+K92</f>
        <v>-423064.470955963</v>
      </c>
      <c r="L93" s="53" t="n">
        <f aca="false">K93+L92</f>
        <v>-439162.405381881</v>
      </c>
      <c r="M93" s="53" t="n">
        <f aca="false">L93+M92</f>
        <v>-453110.54878193</v>
      </c>
      <c r="N93" s="53" t="n">
        <f aca="false">M93+N92</f>
        <v>-464811.063010969</v>
      </c>
      <c r="O93" s="53" t="n">
        <f aca="false">N93+O92</f>
        <v>-492246.943895613</v>
      </c>
      <c r="P93" s="53" t="n">
        <f aca="false">O93+P92</f>
        <v>-517462.013467127</v>
      </c>
      <c r="Q93" s="53" t="n">
        <f aca="false">P93+Q92</f>
        <v>-540414.707590616</v>
      </c>
      <c r="R93" s="53" t="n">
        <f aca="false">Q93+R92</f>
        <v>-561045.386065557</v>
      </c>
      <c r="S93" s="53" t="n">
        <f aca="false">R93+S92</f>
        <v>-579277.045758847</v>
      </c>
      <c r="T93" s="53" t="n">
        <f aca="false">S93+T92</f>
        <v>-595015.726891653</v>
      </c>
      <c r="U93" s="53" t="n">
        <f aca="false">T93+U92</f>
        <v>-608150.574219239</v>
      </c>
      <c r="V93" s="53" t="n">
        <f aca="false">U93+V92</f>
        <v>-618553.587281895</v>
      </c>
      <c r="W93" s="53" t="n">
        <f aca="false">V93+W92</f>
        <v>-626079.089960283</v>
      </c>
      <c r="X93" s="53" t="n">
        <f aca="false">W93+X92</f>
        <v>-630562.941619543</v>
      </c>
      <c r="Y93" s="53" t="n">
        <f aca="false">X93+Y92</f>
        <v>-632061.436824174</v>
      </c>
      <c r="Z93" s="53" t="n">
        <f aca="false">Y93+Z92</f>
        <v>-630455.637156286</v>
      </c>
      <c r="AA93" s="53" t="n">
        <f aca="false">Z93+AA92</f>
        <v>-646540.484819901</v>
      </c>
      <c r="AB93" s="53" t="n">
        <f aca="false">AA93+AB92</f>
        <v>-659268.600783899</v>
      </c>
      <c r="AC93" s="53" t="n">
        <f aca="false">AB93+AC92</f>
        <v>-668519.233202551</v>
      </c>
      <c r="AD93" s="53" t="n">
        <f aca="false">AC93+AD92</f>
        <v>-674075.402002124</v>
      </c>
      <c r="AE93" s="53" t="n">
        <f aca="false">AD93+AE92</f>
        <v>-675733.4267883</v>
      </c>
      <c r="AF93" s="53" t="n">
        <f aca="false">AE93+AF92</f>
        <v>-673267.509367518</v>
      </c>
      <c r="AG93" s="53" t="n">
        <f aca="false">AF93+AG92</f>
        <v>-666428.575909155</v>
      </c>
      <c r="AH93" s="53" t="n">
        <f aca="false">AG93+AH92</f>
        <v>-654942.482330424</v>
      </c>
      <c r="AI93" s="53" t="n">
        <f aca="false">AH93+AI92</f>
        <v>-638507.951071648</v>
      </c>
      <c r="AJ93" s="53" t="n">
        <f aca="false">AI93+AJ92</f>
        <v>-616794.319531843</v>
      </c>
      <c r="AK93" s="53" t="n">
        <f aca="false">AJ93+AK92</f>
        <v>-589439.091190999</v>
      </c>
      <c r="AL93" s="53" t="n">
        <f aca="false">AK93+AL92</f>
        <v>-556045.274091356</v>
      </c>
      <c r="AM93" s="53" t="n">
        <f aca="false">AL93</f>
        <v>-556045.274091356</v>
      </c>
    </row>
    <row r="94" customFormat="false" ht="15" hidden="false" customHeight="false" outlineLevel="0" collapsed="false">
      <c r="A94" s="10" t="s">
        <v>814</v>
      </c>
      <c r="B94" s="9" t="s">
        <v>51</v>
      </c>
      <c r="C94" s="69" t="n">
        <f aca="false">IF(C88&gt;0,C$5,999)</f>
        <v>999</v>
      </c>
      <c r="D94" s="69" t="n">
        <f aca="false">IF(D88&gt;0,D$5,999)</f>
        <v>999</v>
      </c>
      <c r="E94" s="69" t="n">
        <f aca="false">IF(E88&gt;0,E$5,999)</f>
        <v>999</v>
      </c>
      <c r="F94" s="69" t="n">
        <f aca="false">IF(F88&gt;0,F$5,999)</f>
        <v>999</v>
      </c>
      <c r="G94" s="69" t="n">
        <f aca="false">IF(G88&gt;0,G$5,999)</f>
        <v>999</v>
      </c>
      <c r="H94" s="69" t="n">
        <f aca="false">IF(H88&gt;0,H$5,999)</f>
        <v>999</v>
      </c>
      <c r="I94" s="69" t="n">
        <f aca="false">IF(I88&gt;0,I$5,999)</f>
        <v>999</v>
      </c>
      <c r="J94" s="69" t="n">
        <f aca="false">IF(J88&gt;0,J$5,999)</f>
        <v>999</v>
      </c>
      <c r="K94" s="69" t="n">
        <f aca="false">IF(K88&gt;0,K$5,999)</f>
        <v>999</v>
      </c>
      <c r="L94" s="69" t="n">
        <f aca="false">IF(L88&gt;0,L$5,999)</f>
        <v>999</v>
      </c>
      <c r="M94" s="69" t="n">
        <f aca="false">IF(M88&gt;0,M$5,999)</f>
        <v>999</v>
      </c>
      <c r="N94" s="69" t="n">
        <f aca="false">IF(N88&gt;0,N$5,999)</f>
        <v>999</v>
      </c>
      <c r="O94" s="69" t="n">
        <f aca="false">IF(O88&gt;0,O$5,999)</f>
        <v>999</v>
      </c>
      <c r="P94" s="69" t="n">
        <f aca="false">IF(P88&gt;0,P$5,999)</f>
        <v>999</v>
      </c>
      <c r="Q94" s="69" t="n">
        <f aca="false">IF(Q88&gt;0,Q$5,999)</f>
        <v>999</v>
      </c>
      <c r="R94" s="69" t="n">
        <f aca="false">IF(R88&gt;0,R$5,999)</f>
        <v>999</v>
      </c>
      <c r="S94" s="69" t="n">
        <f aca="false">IF(S88&gt;0,S$5,999)</f>
        <v>999</v>
      </c>
      <c r="T94" s="69" t="n">
        <f aca="false">IF(T88&gt;0,T$5,999)</f>
        <v>999</v>
      </c>
      <c r="U94" s="69" t="n">
        <f aca="false">IF(U88&gt;0,U$5,999)</f>
        <v>999</v>
      </c>
      <c r="V94" s="69" t="n">
        <f aca="false">IF(V88&gt;0,V$5,999)</f>
        <v>999</v>
      </c>
      <c r="W94" s="69" t="n">
        <f aca="false">IF(W88&gt;0,W$5,999)</f>
        <v>999</v>
      </c>
      <c r="X94" s="69" t="n">
        <f aca="false">IF(X88&gt;0,X$5,999)</f>
        <v>999</v>
      </c>
      <c r="Y94" s="69" t="n">
        <f aca="false">IF(Y88&gt;0,Y$5,999)</f>
        <v>23</v>
      </c>
      <c r="Z94" s="69" t="n">
        <f aca="false">IF(Z88&gt;0,Z$5,999)</f>
        <v>24</v>
      </c>
      <c r="AA94" s="69" t="n">
        <f aca="false">IF(AA88&gt;0,AA$5,999)</f>
        <v>999</v>
      </c>
      <c r="AB94" s="69" t="n">
        <f aca="false">IF(AB88&gt;0,AB$5,999)</f>
        <v>999</v>
      </c>
      <c r="AC94" s="69" t="n">
        <f aca="false">IF(AC88&gt;0,AC$5,999)</f>
        <v>999</v>
      </c>
      <c r="AD94" s="69" t="n">
        <f aca="false">IF(AD88&gt;0,AD$5,999)</f>
        <v>999</v>
      </c>
      <c r="AE94" s="69" t="n">
        <f aca="false">IF(AE88&gt;0,AE$5,999)</f>
        <v>29</v>
      </c>
      <c r="AF94" s="69" t="n">
        <f aca="false">IF(AF88&gt;0,AF$5,999)</f>
        <v>30</v>
      </c>
      <c r="AG94" s="69" t="n">
        <f aca="false">IF(AG88&gt;0,AG$5,999)</f>
        <v>31</v>
      </c>
      <c r="AH94" s="69" t="n">
        <f aca="false">IF(AH88&gt;0,AH$5,999)</f>
        <v>32</v>
      </c>
      <c r="AI94" s="69" t="n">
        <f aca="false">IF(AI88&gt;0,AI$5,999)</f>
        <v>33</v>
      </c>
      <c r="AJ94" s="69" t="n">
        <f aca="false">IF(AJ88&gt;0,AJ$5,999)</f>
        <v>34</v>
      </c>
      <c r="AK94" s="69" t="n">
        <f aca="false">IF(AK88&gt;0,AK$5,999)</f>
        <v>35</v>
      </c>
      <c r="AL94" s="69" t="n">
        <f aca="false">IF(AL88&gt;0,AL$5,999)</f>
        <v>36</v>
      </c>
      <c r="AM94" s="69"/>
    </row>
    <row r="95" customFormat="false" ht="15" hidden="false" customHeight="false" outlineLevel="0" collapsed="false">
      <c r="A95" s="10" t="s">
        <v>815</v>
      </c>
      <c r="B95" s="9" t="s">
        <v>51</v>
      </c>
      <c r="C95" s="61" t="n">
        <f aca="false">C32+C56</f>
        <v>0</v>
      </c>
      <c r="D95" s="61" t="n">
        <f aca="false">D32+D56</f>
        <v>904.692396668966</v>
      </c>
      <c r="E95" s="61" t="n">
        <f aca="false">E32+E56</f>
        <v>514.044063101241</v>
      </c>
      <c r="F95" s="61" t="n">
        <f aca="false">F32+F56</f>
        <v>492.658105204803</v>
      </c>
      <c r="G95" s="61" t="n">
        <f aca="false">G32+G56</f>
        <v>462.689266906998</v>
      </c>
      <c r="H95" s="61" t="n">
        <f aca="false">H32+H56</f>
        <v>438.96220394889</v>
      </c>
      <c r="I95" s="61" t="n">
        <f aca="false">I32+I56</f>
        <v>435.192515098861</v>
      </c>
      <c r="J95" s="61" t="n">
        <f aca="false">J32+J56</f>
        <v>421.683186572723</v>
      </c>
      <c r="K95" s="61" t="n">
        <f aca="false">K32+K56</f>
        <v>411.964475655965</v>
      </c>
      <c r="L95" s="61" t="n">
        <f aca="false">L32+L56</f>
        <v>405.702659404672</v>
      </c>
      <c r="M95" s="61" t="n">
        <f aca="false">M32+M56</f>
        <v>411.323828091559</v>
      </c>
      <c r="N95" s="61" t="n">
        <f aca="false">N32+N56</f>
        <v>419.250231238391</v>
      </c>
      <c r="O95" s="61" t="n">
        <f aca="false">O32+O56</f>
        <v>428.991259077956</v>
      </c>
      <c r="P95" s="61" t="n">
        <f aca="false">P32+P56</f>
        <v>440.386522128606</v>
      </c>
      <c r="Q95" s="61" t="n">
        <f aca="false">Q32+Q56</f>
        <v>453.367311461598</v>
      </c>
      <c r="R95" s="61" t="n">
        <f aca="false">R32+R56</f>
        <v>467.898169188106</v>
      </c>
      <c r="S95" s="61" t="n">
        <f aca="false">S32+S56</f>
        <v>483.972077086951</v>
      </c>
      <c r="T95" s="61" t="n">
        <f aca="false">T32+T56</f>
        <v>501.608366388434</v>
      </c>
      <c r="U95" s="61" t="n">
        <f aca="false">U32+U56</f>
        <v>520.850910616357</v>
      </c>
      <c r="V95" s="61" t="n">
        <f aca="false">V32+V56</f>
        <v>541.766527355748</v>
      </c>
      <c r="W95" s="61" t="n">
        <f aca="false">W32+W56</f>
        <v>564.443706316911</v>
      </c>
      <c r="X95" s="61" t="n">
        <f aca="false">X32+X56</f>
        <v>588.991711076789</v>
      </c>
      <c r="Y95" s="61" t="n">
        <f aca="false">Y32+Y56</f>
        <v>615.540056399534</v>
      </c>
      <c r="Z95" s="61" t="n">
        <f aca="false">Z32+Z56</f>
        <v>644.23834231973</v>
      </c>
      <c r="AA95" s="61" t="n">
        <f aca="false">AA32+AA56</f>
        <v>675.25641929056</v>
      </c>
      <c r="AB95" s="61" t="n">
        <f aca="false">AB32+AB56</f>
        <v>707.706282524928</v>
      </c>
      <c r="AC95" s="61" t="n">
        <f aca="false">AC32+AC56</f>
        <v>741.616718511206</v>
      </c>
      <c r="AD95" s="61" t="n">
        <f aca="false">AD32+AD56</f>
        <v>777.728934229881</v>
      </c>
      <c r="AE95" s="61" t="n">
        <f aca="false">AE32+AE56</f>
        <v>816.355630886857</v>
      </c>
      <c r="AF95" s="61" t="n">
        <f aca="false">AF32+AF56</f>
        <v>857.747865769521</v>
      </c>
      <c r="AG95" s="61" t="n">
        <f aca="false">AG32+AG56</f>
        <v>902.172894570011</v>
      </c>
      <c r="AH95" s="61" t="n">
        <f aca="false">AH32+AH56</f>
        <v>949.918995434112</v>
      </c>
      <c r="AI95" s="61" t="n">
        <f aca="false">AI32+AI56</f>
        <v>1001.29792640228</v>
      </c>
      <c r="AJ95" s="61" t="n">
        <f aca="false">AJ32+AJ56</f>
        <v>1056.6469963193</v>
      </c>
      <c r="AK95" s="61" t="n">
        <f aca="false">AK32+AK56</f>
        <v>1116.33127160734</v>
      </c>
      <c r="AL95" s="61" t="n">
        <f aca="false">AL32+AL56</f>
        <v>1180.74598011663</v>
      </c>
      <c r="AM95" s="61" t="n">
        <f aca="false">SUM(C95:AL95)</f>
        <v>22353.7438069724</v>
      </c>
    </row>
    <row r="96" customFormat="false" ht="15" hidden="false" customHeight="false" outlineLevel="0" collapsed="false">
      <c r="A96" s="37" t="s">
        <v>816</v>
      </c>
      <c r="B96" s="9" t="s">
        <v>97</v>
      </c>
      <c r="C96" s="51" t="n">
        <f aca="false">IFERROR((C26-C82)/C95,0)</f>
        <v>0</v>
      </c>
      <c r="D96" s="51" t="n">
        <f aca="false">IFERROR((D26-D82)/D95,0)</f>
        <v>39.7925307348114</v>
      </c>
      <c r="E96" s="51" t="n">
        <f aca="false">IFERROR((E26-E82)/E95,0)</f>
        <v>70.0329068734129</v>
      </c>
      <c r="F96" s="51" t="n">
        <f aca="false">IFERROR((F26-F82)/F95,0)</f>
        <v>73.0729883862044</v>
      </c>
      <c r="G96" s="51" t="n">
        <f aca="false">IFERROR((G26-G82)/G95,0)</f>
        <v>77.805997620507</v>
      </c>
      <c r="H96" s="51" t="n">
        <f aca="false">IFERROR((H26-H82)/H95,0)</f>
        <v>82.0116166634511</v>
      </c>
      <c r="I96" s="51" t="n">
        <f aca="false">IFERROR((I26-I82)/I95,0)</f>
        <v>82.7220109514567</v>
      </c>
      <c r="J96" s="51" t="n">
        <f aca="false">IFERROR((J26-J82)/J95,0)</f>
        <v>85.3721493915705</v>
      </c>
      <c r="K96" s="51" t="n">
        <f aca="false">IFERROR((K26-K82)/K95,0)</f>
        <v>87.3861755741868</v>
      </c>
      <c r="L96" s="51" t="n">
        <f aca="false">IFERROR((L26-L82)/L95,0)</f>
        <v>88.8642641676969</v>
      </c>
      <c r="M96" s="51" t="n">
        <f aca="false">IFERROR((M26-M82)/M95,0)</f>
        <v>92.3372363770192</v>
      </c>
      <c r="N96" s="51" t="n">
        <f aca="false">IFERROR((N26-N82)/N95,0)</f>
        <v>95.3882119647413</v>
      </c>
      <c r="O96" s="51" t="n">
        <f aca="false">IFERROR((O26-O82)/O95,0)</f>
        <v>97.9376396376562</v>
      </c>
      <c r="P96" s="51" t="n">
        <f aca="false">IFERROR((P26-P82)/P95,0)</f>
        <v>100.033773468765</v>
      </c>
      <c r="Q96" s="51" t="n">
        <f aca="false">IFERROR((Q26-Q82)/Q95,0)</f>
        <v>101.741383044137</v>
      </c>
      <c r="R96" s="51" t="n">
        <f aca="false">IFERROR((R26-R82)/R95,0)</f>
        <v>103.119950793426</v>
      </c>
      <c r="S96" s="51" t="n">
        <f aca="false">IFERROR((S26-S82)/S95,0)</f>
        <v>104.221469883674</v>
      </c>
      <c r="T96" s="51" t="n">
        <f aca="false">IFERROR((T26-T82)/T95,0)</f>
        <v>105.090400502286</v>
      </c>
      <c r="U96" s="51" t="n">
        <f aca="false">IFERROR((U26-U82)/U95,0)</f>
        <v>105.764278057943</v>
      </c>
      <c r="V96" s="51" t="n">
        <f aca="false">IFERROR((V26-V82)/V95,0)</f>
        <v>106.274559643251</v>
      </c>
      <c r="W96" s="51" t="n">
        <f aca="false">IFERROR((W26-W82)/W95,0)</f>
        <v>106.64752824728</v>
      </c>
      <c r="X96" s="51" t="n">
        <f aca="false">IFERROR((X26-X82)/X95,0)</f>
        <v>106.905157894072</v>
      </c>
      <c r="Y96" s="51" t="n">
        <f aca="false">IFERROR((Y26-Y82)/Y95,0)</f>
        <v>107.45568187046</v>
      </c>
      <c r="Z96" s="51" t="n">
        <f aca="false">IFERROR((Z26-Z82)/Z95,0)</f>
        <v>108.022818985818</v>
      </c>
      <c r="AA96" s="51" t="n">
        <f aca="false">IFERROR((AA26-AA82)/AA95,0)</f>
        <v>108.507766535399</v>
      </c>
      <c r="AB96" s="51" t="n">
        <f aca="false">IFERROR((AB26-AB82)/AB95,0)</f>
        <v>109.087964642123</v>
      </c>
      <c r="AC96" s="51" t="n">
        <f aca="false">IFERROR((AC26-AC82)/AC95,0)</f>
        <v>109.621122725272</v>
      </c>
      <c r="AD96" s="51" t="n">
        <f aca="false">IFERROR((AD26-AD82)/AD95,0)</f>
        <v>109.97903479088</v>
      </c>
      <c r="AE96" s="51" t="n">
        <f aca="false">IFERROR((AE26-AE82)/AE95,0)</f>
        <v>110.202346380545</v>
      </c>
      <c r="AF96" s="51" t="n">
        <f aca="false">IFERROR((AF26-AF82)/AF95,0)</f>
        <v>110.306060174428</v>
      </c>
      <c r="AG96" s="51" t="n">
        <f aca="false">IFERROR((AG26-AG82)/AG95,0)</f>
        <v>110.303593314919</v>
      </c>
      <c r="AH96" s="51" t="n">
        <f aca="false">IFERROR((AH26-AH82)/AH95,0)</f>
        <v>110.207205923219</v>
      </c>
      <c r="AI96" s="51" t="n">
        <f aca="false">IFERROR((AI26-AI82)/AI95,0)</f>
        <v>110.028243741337</v>
      </c>
      <c r="AJ96" s="51" t="n">
        <f aca="false">IFERROR((AJ26-AJ82)/AJ95,0)</f>
        <v>109.777247492311</v>
      </c>
      <c r="AK96" s="51" t="n">
        <f aca="false">IFERROR((AK26-AK82)/AK95,0)</f>
        <v>109.464027504861</v>
      </c>
      <c r="AL96" s="51" t="n">
        <f aca="false">IFERROR((AL26-AL82)/AL95,0)</f>
        <v>109.097715569487</v>
      </c>
      <c r="AM96" s="51" t="n">
        <f aca="false">AVERAGE(N96:AL96)</f>
        <v>106.607407311532</v>
      </c>
    </row>
    <row r="97" customFormat="false" ht="15" hidden="false" customHeight="false" outlineLevel="0" collapsed="false">
      <c r="A97" s="10" t="s">
        <v>817</v>
      </c>
      <c r="B97" s="9" t="s">
        <v>97</v>
      </c>
      <c r="C97" s="63" t="n">
        <f aca="false">IFERROR(C18/(C19*Assumptions!$H$49*Assumptions!$H$31*Assumptions!$H$32),0)</f>
        <v>0</v>
      </c>
      <c r="D97" s="63" t="n">
        <f aca="false">IFERROR(D18/(D19*Assumptions!$H$49*Assumptions!$H$31*Assumptions!$H$32),0)</f>
        <v>87.3015873015873</v>
      </c>
      <c r="E97" s="63" t="n">
        <f aca="false">IFERROR(E18/(E19*Assumptions!$H$49*Assumptions!$H$31*Assumptions!$H$32),0)</f>
        <v>87.3015873015873</v>
      </c>
      <c r="F97" s="63" t="n">
        <f aca="false">IFERROR(F18/(F19*Assumptions!$H$49*Assumptions!$H$31*Assumptions!$H$32),0)</f>
        <v>87.3015873015873</v>
      </c>
      <c r="G97" s="63" t="n">
        <f aca="false">IFERROR(G18/(G19*Assumptions!$H$49*Assumptions!$H$31*Assumptions!$H$32),0)</f>
        <v>87.3015873015873</v>
      </c>
      <c r="H97" s="63" t="n">
        <f aca="false">IFERROR(H18/(H19*Assumptions!$H$49*Assumptions!$H$31*Assumptions!$H$32),0)</f>
        <v>87.3015873015873</v>
      </c>
      <c r="I97" s="63" t="n">
        <f aca="false">IFERROR(I18/(I19*Assumptions!$H$49*Assumptions!$H$31*Assumptions!$H$32),0)</f>
        <v>87.3015873015873</v>
      </c>
      <c r="J97" s="63" t="n">
        <f aca="false">IFERROR(J18/(J19*Assumptions!$H$49*Assumptions!$H$31*Assumptions!$H$32),0)</f>
        <v>87.3015873015873</v>
      </c>
      <c r="K97" s="63" t="n">
        <f aca="false">IFERROR(K18/(K19*Assumptions!$H$49*Assumptions!$H$31*Assumptions!$H$32),0)</f>
        <v>87.3015873015873</v>
      </c>
      <c r="L97" s="63" t="n">
        <f aca="false">IFERROR(L18/(L19*Assumptions!$H$49*Assumptions!$H$31*Assumptions!$H$32),0)</f>
        <v>87.3015873015873</v>
      </c>
      <c r="M97" s="63" t="n">
        <f aca="false">IFERROR(M18/(M19*Assumptions!$H$49*Assumptions!$H$31*Assumptions!$H$32),0)</f>
        <v>87.3015873015873</v>
      </c>
      <c r="N97" s="63" t="n">
        <f aca="false">IFERROR(N18/(N19*Assumptions!$H$49*Assumptions!$H$31*Assumptions!$H$32),0)</f>
        <v>87.3015873015873</v>
      </c>
      <c r="O97" s="63" t="n">
        <f aca="false">IFERROR(O18/(O19*Assumptions!$H$49*Assumptions!$H$31*Assumptions!$H$32),0)</f>
        <v>87.3015873015873</v>
      </c>
      <c r="P97" s="63" t="n">
        <f aca="false">IFERROR(P18/(P19*Assumptions!$H$49*Assumptions!$H$31*Assumptions!$H$32),0)</f>
        <v>87.3015873015873</v>
      </c>
      <c r="Q97" s="63" t="n">
        <f aca="false">IFERROR(Q18/(Q19*Assumptions!$H$49*Assumptions!$H$31*Assumptions!$H$32),0)</f>
        <v>87.3015873015873</v>
      </c>
      <c r="R97" s="63" t="n">
        <f aca="false">IFERROR(R18/(R19*Assumptions!$H$49*Assumptions!$H$31*Assumptions!$H$32),0)</f>
        <v>87.3015873015873</v>
      </c>
      <c r="S97" s="63" t="n">
        <f aca="false">IFERROR(S18/(S19*Assumptions!$H$49*Assumptions!$H$31*Assumptions!$H$32),0)</f>
        <v>87.3015873015873</v>
      </c>
      <c r="T97" s="63" t="n">
        <f aca="false">IFERROR(T18/(T19*Assumptions!$H$49*Assumptions!$H$31*Assumptions!$H$32),0)</f>
        <v>87.3015873015873</v>
      </c>
      <c r="U97" s="63" t="n">
        <f aca="false">IFERROR(U18/(U19*Assumptions!$H$49*Assumptions!$H$31*Assumptions!$H$32),0)</f>
        <v>87.3015873015873</v>
      </c>
      <c r="V97" s="63" t="n">
        <f aca="false">IFERROR(V18/(V19*Assumptions!$H$49*Assumptions!$H$31*Assumptions!$H$32),0)</f>
        <v>87.3015873015873</v>
      </c>
      <c r="W97" s="63" t="n">
        <f aca="false">IFERROR(W18/(W19*Assumptions!$H$49*Assumptions!$H$31*Assumptions!$H$32),0)</f>
        <v>87.3015873015873</v>
      </c>
      <c r="X97" s="63" t="n">
        <f aca="false">IFERROR(X18/(X19*Assumptions!$H$49*Assumptions!$H$31*Assumptions!$H$32),0)</f>
        <v>87.3015873015873</v>
      </c>
      <c r="Y97" s="63" t="n">
        <f aca="false">IFERROR(Y18/(Y19*Assumptions!$H$49*Assumptions!$H$31*Assumptions!$H$32),0)</f>
        <v>87.3015873015873</v>
      </c>
      <c r="Z97" s="63" t="n">
        <f aca="false">IFERROR(Z18/(Z19*Assumptions!$H$49*Assumptions!$H$31*Assumptions!$H$32),0)</f>
        <v>87.3015873015873</v>
      </c>
      <c r="AA97" s="63" t="n">
        <f aca="false">IFERROR(AA18/(AA19*Assumptions!$H$49*Assumptions!$H$31*Assumptions!$H$32),0)</f>
        <v>87.3015873015873</v>
      </c>
      <c r="AB97" s="63" t="n">
        <f aca="false">IFERROR(AB18/(AB19*Assumptions!$H$49*Assumptions!$H$31*Assumptions!$H$32),0)</f>
        <v>87.3015873015873</v>
      </c>
      <c r="AC97" s="63" t="n">
        <f aca="false">IFERROR(AC18/(AC19*Assumptions!$H$49*Assumptions!$H$31*Assumptions!$H$32),0)</f>
        <v>87.3015873015873</v>
      </c>
      <c r="AD97" s="63" t="n">
        <f aca="false">IFERROR(AD18/(AD19*Assumptions!$H$49*Assumptions!$H$31*Assumptions!$H$32),0)</f>
        <v>87.3015873015873</v>
      </c>
      <c r="AE97" s="63" t="n">
        <f aca="false">IFERROR(AE18/(AE19*Assumptions!$H$49*Assumptions!$H$31*Assumptions!$H$32),0)</f>
        <v>87.3015873015873</v>
      </c>
      <c r="AF97" s="63" t="n">
        <f aca="false">IFERROR(AF18/(AF19*Assumptions!$H$49*Assumptions!$H$31*Assumptions!$H$32),0)</f>
        <v>87.3015873015873</v>
      </c>
      <c r="AG97" s="63" t="n">
        <f aca="false">IFERROR(AG18/(AG19*Assumptions!$H$49*Assumptions!$H$31*Assumptions!$H$32),0)</f>
        <v>87.3015873015873</v>
      </c>
      <c r="AH97" s="63" t="n">
        <f aca="false">IFERROR(AH18/(AH19*Assumptions!$H$49*Assumptions!$H$31*Assumptions!$H$32),0)</f>
        <v>87.3015873015873</v>
      </c>
      <c r="AI97" s="63" t="n">
        <f aca="false">IFERROR(AI18/(AI19*Assumptions!$H$49*Assumptions!$H$31*Assumptions!$H$32),0)</f>
        <v>87.3015873015873</v>
      </c>
      <c r="AJ97" s="63" t="n">
        <f aca="false">IFERROR(AJ18/(AJ19*Assumptions!$H$49*Assumptions!$H$31*Assumptions!$H$32),0)</f>
        <v>87.3015873015873</v>
      </c>
      <c r="AK97" s="63" t="n">
        <f aca="false">IFERROR(AK18/(AK19*Assumptions!$H$49*Assumptions!$H$31*Assumptions!$H$32),0)</f>
        <v>87.3015873015873</v>
      </c>
      <c r="AL97" s="63" t="n">
        <f aca="false">IFERROR(AL18/(AL19*Assumptions!$H$49*Assumptions!$H$31*Assumptions!$H$32),0)</f>
        <v>87.3015873015873</v>
      </c>
      <c r="AM97" s="63" t="n">
        <f aca="false">AVERAGE(N97:AL97)</f>
        <v>87.3015873015873</v>
      </c>
    </row>
    <row r="98" customFormat="false" ht="15" hidden="false" customHeight="false" outlineLevel="0" collapsed="false">
      <c r="A98" s="10" t="s">
        <v>818</v>
      </c>
      <c r="B98" s="9" t="s">
        <v>97</v>
      </c>
      <c r="C98" s="63" t="n">
        <f aca="false">IFERROR(C22/(C23*Assumptions!$H$49*Assumptions!$H$38*Assumptions!$H$39),0)</f>
        <v>0</v>
      </c>
      <c r="D98" s="63" t="n">
        <f aca="false">IFERROR(D22/(D23*Assumptions!$H$49*Assumptions!$H$38*Assumptions!$H$39),0)</f>
        <v>241.666666666667</v>
      </c>
      <c r="E98" s="63" t="n">
        <f aca="false">IFERROR(E22/(E23*Assumptions!$H$49*Assumptions!$H$38*Assumptions!$H$39),0)</f>
        <v>241.666666666667</v>
      </c>
      <c r="F98" s="63" t="n">
        <f aca="false">IFERROR(F22/(F23*Assumptions!$H$49*Assumptions!$H$38*Assumptions!$H$39),0)</f>
        <v>241.666666666667</v>
      </c>
      <c r="G98" s="63" t="n">
        <f aca="false">IFERROR(G22/(G23*Assumptions!$H$49*Assumptions!$H$38*Assumptions!$H$39),0)</f>
        <v>241.666666666667</v>
      </c>
      <c r="H98" s="63" t="n">
        <f aca="false">IFERROR(H22/(H23*Assumptions!$H$49*Assumptions!$H$38*Assumptions!$H$39),0)</f>
        <v>241.666666666667</v>
      </c>
      <c r="I98" s="63" t="n">
        <f aca="false">IFERROR(I22/(I23*Assumptions!$H$49*Assumptions!$H$38*Assumptions!$H$39),0)</f>
        <v>241.666666666667</v>
      </c>
      <c r="J98" s="63" t="n">
        <f aca="false">IFERROR(J22/(J23*Assumptions!$H$49*Assumptions!$H$38*Assumptions!$H$39),0)</f>
        <v>241.666666666667</v>
      </c>
      <c r="K98" s="63" t="n">
        <f aca="false">IFERROR(K22/(K23*Assumptions!$H$49*Assumptions!$H$38*Assumptions!$H$39),0)</f>
        <v>241.666666666667</v>
      </c>
      <c r="L98" s="63" t="n">
        <f aca="false">IFERROR(L22/(L23*Assumptions!$H$49*Assumptions!$H$38*Assumptions!$H$39),0)</f>
        <v>241.666666666667</v>
      </c>
      <c r="M98" s="63" t="n">
        <f aca="false">IFERROR(M22/(M23*Assumptions!$H$49*Assumptions!$H$38*Assumptions!$H$39),0)</f>
        <v>241.666666666667</v>
      </c>
      <c r="N98" s="63" t="n">
        <f aca="false">IFERROR(N22/(N23*Assumptions!$H$49*Assumptions!$H$38*Assumptions!$H$39),0)</f>
        <v>241.666666666667</v>
      </c>
      <c r="O98" s="63" t="n">
        <f aca="false">IFERROR(O22/(O23*Assumptions!$H$49*Assumptions!$H$38*Assumptions!$H$39),0)</f>
        <v>241.666666666667</v>
      </c>
      <c r="P98" s="63" t="n">
        <f aca="false">IFERROR(P22/(P23*Assumptions!$H$49*Assumptions!$H$38*Assumptions!$H$39),0)</f>
        <v>241.666666666667</v>
      </c>
      <c r="Q98" s="63" t="n">
        <f aca="false">IFERROR(Q22/(Q23*Assumptions!$H$49*Assumptions!$H$38*Assumptions!$H$39),0)</f>
        <v>241.666666666667</v>
      </c>
      <c r="R98" s="63" t="n">
        <f aca="false">IFERROR(R22/(R23*Assumptions!$H$49*Assumptions!$H$38*Assumptions!$H$39),0)</f>
        <v>241.666666666667</v>
      </c>
      <c r="S98" s="63" t="n">
        <f aca="false">IFERROR(S22/(S23*Assumptions!$H$49*Assumptions!$H$38*Assumptions!$H$39),0)</f>
        <v>241.666666666667</v>
      </c>
      <c r="T98" s="63" t="n">
        <f aca="false">IFERROR(T22/(T23*Assumptions!$H$49*Assumptions!$H$38*Assumptions!$H$39),0)</f>
        <v>241.666666666667</v>
      </c>
      <c r="U98" s="63" t="n">
        <f aca="false">IFERROR(U22/(U23*Assumptions!$H$49*Assumptions!$H$38*Assumptions!$H$39),0)</f>
        <v>241.666666666667</v>
      </c>
      <c r="V98" s="63" t="n">
        <f aca="false">IFERROR(V22/(V23*Assumptions!$H$49*Assumptions!$H$38*Assumptions!$H$39),0)</f>
        <v>241.666666666667</v>
      </c>
      <c r="W98" s="63" t="n">
        <f aca="false">IFERROR(W22/(W23*Assumptions!$H$49*Assumptions!$H$38*Assumptions!$H$39),0)</f>
        <v>241.666666666667</v>
      </c>
      <c r="X98" s="63" t="n">
        <f aca="false">IFERROR(X22/(X23*Assumptions!$H$49*Assumptions!$H$38*Assumptions!$H$39),0)</f>
        <v>241.666666666667</v>
      </c>
      <c r="Y98" s="63" t="n">
        <f aca="false">IFERROR(Y22/(Y23*Assumptions!$H$49*Assumptions!$H$38*Assumptions!$H$39),0)</f>
        <v>241.666666666667</v>
      </c>
      <c r="Z98" s="63" t="n">
        <f aca="false">IFERROR(Z22/(Z23*Assumptions!$H$49*Assumptions!$H$38*Assumptions!$H$39),0)</f>
        <v>241.666666666667</v>
      </c>
      <c r="AA98" s="63" t="n">
        <f aca="false">IFERROR(AA22/(AA23*Assumptions!$H$49*Assumptions!$H$38*Assumptions!$H$39),0)</f>
        <v>241.666666666667</v>
      </c>
      <c r="AB98" s="63" t="n">
        <f aca="false">IFERROR(AB22/(AB23*Assumptions!$H$49*Assumptions!$H$38*Assumptions!$H$39),0)</f>
        <v>241.666666666667</v>
      </c>
      <c r="AC98" s="63" t="n">
        <f aca="false">IFERROR(AC22/(AC23*Assumptions!$H$49*Assumptions!$H$38*Assumptions!$H$39),0)</f>
        <v>241.666666666667</v>
      </c>
      <c r="AD98" s="63" t="n">
        <f aca="false">IFERROR(AD22/(AD23*Assumptions!$H$49*Assumptions!$H$38*Assumptions!$H$39),0)</f>
        <v>241.666666666667</v>
      </c>
      <c r="AE98" s="63" t="n">
        <f aca="false">IFERROR(AE22/(AE23*Assumptions!$H$49*Assumptions!$H$38*Assumptions!$H$39),0)</f>
        <v>241.666666666667</v>
      </c>
      <c r="AF98" s="63" t="n">
        <f aca="false">IFERROR(AF22/(AF23*Assumptions!$H$49*Assumptions!$H$38*Assumptions!$H$39),0)</f>
        <v>241.666666666667</v>
      </c>
      <c r="AG98" s="63" t="n">
        <f aca="false">IFERROR(AG22/(AG23*Assumptions!$H$49*Assumptions!$H$38*Assumptions!$H$39),0)</f>
        <v>241.666666666667</v>
      </c>
      <c r="AH98" s="63" t="n">
        <f aca="false">IFERROR(AH22/(AH23*Assumptions!$H$49*Assumptions!$H$38*Assumptions!$H$39),0)</f>
        <v>241.666666666667</v>
      </c>
      <c r="AI98" s="63" t="n">
        <f aca="false">IFERROR(AI22/(AI23*Assumptions!$H$49*Assumptions!$H$38*Assumptions!$H$39),0)</f>
        <v>241.666666666667</v>
      </c>
      <c r="AJ98" s="63" t="n">
        <f aca="false">IFERROR(AJ22/(AJ23*Assumptions!$H$49*Assumptions!$H$38*Assumptions!$H$39),0)</f>
        <v>241.666666666667</v>
      </c>
      <c r="AK98" s="63" t="n">
        <f aca="false">IFERROR(AK22/(AK23*Assumptions!$H$49*Assumptions!$H$38*Assumptions!$H$39),0)</f>
        <v>241.666666666667</v>
      </c>
      <c r="AL98" s="63" t="n">
        <f aca="false">IFERROR(AL22/(AL23*Assumptions!$H$49*Assumptions!$H$38*Assumptions!$H$39),0)</f>
        <v>241.666666666667</v>
      </c>
      <c r="AM98" s="63" t="n">
        <f aca="false">AVERAGE(N98:AL98)</f>
        <v>241.666666666667</v>
      </c>
    </row>
    <row r="99" customFormat="false" ht="15" hidden="false" customHeight="false" outlineLevel="0" collapsed="false">
      <c r="A99" s="10" t="s">
        <v>819</v>
      </c>
      <c r="B99" s="9" t="s">
        <v>97</v>
      </c>
      <c r="C99" s="63" t="n">
        <f aca="false">IFERROR(C24/(C25*Assumptions!$H$49*Assumptions!$H$43),0)</f>
        <v>133.324425096891</v>
      </c>
      <c r="D99" s="63" t="n">
        <f aca="false">IFERROR(D24/(D25*Assumptions!$H$49*Assumptions!$H$43),0)</f>
        <v>0</v>
      </c>
      <c r="E99" s="63" t="n">
        <f aca="false">IFERROR(E24/(E25*Assumptions!$H$49*Assumptions!$H$43),0)</f>
        <v>0</v>
      </c>
      <c r="F99" s="63" t="n">
        <f aca="false">IFERROR(F24/(F25*Assumptions!$H$49*Assumptions!$H$43),0)</f>
        <v>118.407309702711</v>
      </c>
      <c r="G99" s="63" t="n">
        <f aca="false">IFERROR(G24/(G25*Assumptions!$H$49*Assumptions!$H$43),0)</f>
        <v>129.777492570847</v>
      </c>
      <c r="H99" s="63" t="n">
        <f aca="false">IFERROR(H24/(H25*Assumptions!$H$49*Assumptions!$H$43),0)</f>
        <v>137.763089609887</v>
      </c>
      <c r="I99" s="63" t="n">
        <f aca="false">IFERROR(I24/(I25*Assumptions!$H$49*Assumptions!$H$43),0)</f>
        <v>143.312922161096</v>
      </c>
      <c r="J99" s="63" t="n">
        <f aca="false">IFERROR(J24/(J25*Assumptions!$H$49*Assumptions!$H$43),0)</f>
        <v>147.304973562162</v>
      </c>
      <c r="K99" s="63" t="n">
        <f aca="false">IFERROR(K24/(K25*Assumptions!$H$49*Assumptions!$H$43),0)</f>
        <v>150.229440783886</v>
      </c>
      <c r="L99" s="63" t="n">
        <f aca="false">IFERROR(L24/(L25*Assumptions!$H$49*Assumptions!$H$43),0)</f>
        <v>152.54171659503</v>
      </c>
      <c r="M99" s="63" t="n">
        <f aca="false">IFERROR(M24/(M25*Assumptions!$H$49*Assumptions!$H$43),0)</f>
        <v>159.378389629081</v>
      </c>
      <c r="N99" s="63" t="n">
        <f aca="false">IFERROR(N24/(N25*Assumptions!$H$49*Assumptions!$H$43),0)</f>
        <v>164.921162462239</v>
      </c>
      <c r="O99" s="63" t="n">
        <f aca="false">IFERROR(O24/(O25*Assumptions!$H$49*Assumptions!$H$43),0)</f>
        <v>169.738284123542</v>
      </c>
      <c r="P99" s="63" t="n">
        <f aca="false">IFERROR(P24/(P25*Assumptions!$H$49*Assumptions!$H$43),0)</f>
        <v>174.043107820623</v>
      </c>
      <c r="Q99" s="63" t="n">
        <f aca="false">IFERROR(Q24/(Q25*Assumptions!$H$49*Assumptions!$H$43),0)</f>
        <v>177.982478486798</v>
      </c>
      <c r="R99" s="63" t="n">
        <f aca="false">IFERROR(R24/(R25*Assumptions!$H$49*Assumptions!$H$43),0)</f>
        <v>181.659398770782</v>
      </c>
      <c r="S99" s="63" t="n">
        <f aca="false">IFERROR(S24/(S25*Assumptions!$H$49*Assumptions!$H$43),0)</f>
        <v>185.149373694223</v>
      </c>
      <c r="T99" s="63" t="n">
        <f aca="false">IFERROR(T24/(T25*Assumptions!$H$49*Assumptions!$H$43),0)</f>
        <v>188.509266558083</v>
      </c>
      <c r="U99" s="63" t="n">
        <f aca="false">IFERROR(U24/(U25*Assumptions!$H$49*Assumptions!$H$43),0)</f>
        <v>191.78289072014</v>
      </c>
      <c r="V99" s="63" t="n">
        <f aca="false">IFERROR(V24/(V25*Assumptions!$H$49*Assumptions!$H$43),0)</f>
        <v>195.004709791795</v>
      </c>
      <c r="W99" s="63" t="n">
        <f aca="false">IFERROR(W24/(W25*Assumptions!$H$49*Assumptions!$H$43),0)</f>
        <v>198.202369692761</v>
      </c>
      <c r="X99" s="63" t="n">
        <f aca="false">IFERROR(X24/(X25*Assumptions!$H$49*Assumptions!$H$43),0)</f>
        <v>201.398475358043</v>
      </c>
      <c r="Y99" s="63" t="n">
        <f aca="false">IFERROR(Y24/(Y25*Assumptions!$H$49*Assumptions!$H$43),0)</f>
        <v>204.611862044559</v>
      </c>
      <c r="Z99" s="63" t="n">
        <f aca="false">IFERROR(Z24/(Z25*Assumptions!$H$49*Assumptions!$H$43),0)</f>
        <v>207.85851887672</v>
      </c>
      <c r="AA99" s="63" t="n">
        <f aca="false">IFERROR(AA24/(AA25*Assumptions!$H$49*Assumptions!$H$43),0)</f>
        <v>211.152267501529</v>
      </c>
      <c r="AB99" s="63" t="n">
        <f aca="false">IFERROR(AB24/(AB25*Assumptions!$H$49*Assumptions!$H$43),0)</f>
        <v>214.505264982486</v>
      </c>
      <c r="AC99" s="63" t="n">
        <f aca="false">IFERROR(AC24/(AC25*Assumptions!$H$49*Assumptions!$H$43),0)</f>
        <v>217.814716268919</v>
      </c>
      <c r="AD99" s="63" t="n">
        <f aca="false">IFERROR(AD24/(AD25*Assumptions!$H$49*Assumptions!$H$43),0)</f>
        <v>221.066587255325</v>
      </c>
      <c r="AE99" s="63" t="n">
        <f aca="false">IFERROR(AE24/(AE25*Assumptions!$H$49*Assumptions!$H$43),0)</f>
        <v>224.308650072047</v>
      </c>
      <c r="AF99" s="63" t="n">
        <f aca="false">IFERROR(AF24/(AF25*Assumptions!$H$49*Assumptions!$H$43),0)</f>
        <v>227.555618936516</v>
      </c>
      <c r="AG99" s="63" t="n">
        <f aca="false">IFERROR(AG24/(AG25*Assumptions!$H$49*Assumptions!$H$43),0)</f>
        <v>230.82139393448</v>
      </c>
      <c r="AH99" s="63" t="n">
        <f aca="false">IFERROR(AH24/(AH25*Assumptions!$H$49*Assumptions!$H$43),0)</f>
        <v>234.118585606845</v>
      </c>
      <c r="AI99" s="63" t="n">
        <f aca="false">IFERROR(AI24/(AI25*Assumptions!$H$49*Assumptions!$H$43),0)</f>
        <v>237.458743789444</v>
      </c>
      <c r="AJ99" s="63" t="n">
        <f aca="false">IFERROR(AJ24/(AJ25*Assumptions!$H$49*Assumptions!$H$43),0)</f>
        <v>240.852512904121</v>
      </c>
      <c r="AK99" s="63" t="n">
        <f aca="false">IFERROR(AK24/(AK25*Assumptions!$H$49*Assumptions!$H$43),0)</f>
        <v>244.309757291659</v>
      </c>
      <c r="AL99" s="63" t="n">
        <f aca="false">IFERROR(AL24/(AL25*Assumptions!$H$49*Assumptions!$H$43),0)</f>
        <v>247.839660053588</v>
      </c>
      <c r="AM99" s="63" t="n">
        <f aca="false">AVERAGE(N99:AL99)</f>
        <v>207.706626279891</v>
      </c>
    </row>
    <row r="100" customFormat="false" ht="15" hidden="false" customHeight="false" outlineLevel="0" collapsed="false">
      <c r="A100" s="37" t="s">
        <v>820</v>
      </c>
      <c r="B100" s="9" t="s">
        <v>97</v>
      </c>
      <c r="C100" s="51" t="n">
        <f aca="false">IFERROR(C26/((C19*Assumptions!$H$31*Assumptions!$H$32+C23*Assumptions!$H$38*Assumptions!$H$39+C25*Assumptions!$H$43)*Assumptions!$H$49),0)</f>
        <v>133.324425096891</v>
      </c>
      <c r="D100" s="51" t="n">
        <f aca="false">IFERROR(D26/((D19*Assumptions!$H$31*Assumptions!$H$32+D23*Assumptions!$H$38*Assumptions!$H$39+D25*Assumptions!$H$43)*Assumptions!$H$49),0)</f>
        <v>158.730665434585</v>
      </c>
      <c r="E100" s="51" t="n">
        <f aca="false">IFERROR(E26/((E19*Assumptions!$H$31*Assumptions!$H$32+E23*Assumptions!$H$38*Assumptions!$H$39+E25*Assumptions!$H$43)*Assumptions!$H$49),0)</f>
        <v>192.451262057952</v>
      </c>
      <c r="F100" s="51" t="n">
        <f aca="false">IFERROR(F26/((F19*Assumptions!$H$31*Assumptions!$H$32+F23*Assumptions!$H$38*Assumptions!$H$39+F25*Assumptions!$H$43)*Assumptions!$H$49),0)</f>
        <v>172.457962952869</v>
      </c>
      <c r="G100" s="51" t="n">
        <f aca="false">IFERROR(G26/((G19*Assumptions!$H$31*Assumptions!$H$32+G23*Assumptions!$H$38*Assumptions!$H$39+G25*Assumptions!$H$43)*Assumptions!$H$49),0)</f>
        <v>171.555418635572</v>
      </c>
      <c r="H100" s="51" t="n">
        <f aca="false">IFERROR(H26/((H19*Assumptions!$H$31*Assumptions!$H$32+H23*Assumptions!$H$38*Assumptions!$H$39+H25*Assumptions!$H$43)*Assumptions!$H$49),0)</f>
        <v>171.32367781068</v>
      </c>
      <c r="I100" s="51" t="n">
        <f aca="false">IFERROR(I26/((I19*Assumptions!$H$31*Assumptions!$H$32+I23*Assumptions!$H$38*Assumptions!$H$39+I25*Assumptions!$H$43)*Assumptions!$H$49),0)</f>
        <v>171.492325091762</v>
      </c>
      <c r="J100" s="51" t="n">
        <f aca="false">IFERROR(J26/((J19*Assumptions!$H$31*Assumptions!$H$32+J23*Assumptions!$H$38*Assumptions!$H$39+J25*Assumptions!$H$43)*Assumptions!$H$49),0)</f>
        <v>171.805452039459</v>
      </c>
      <c r="K100" s="51" t="n">
        <f aca="false">IFERROR(K26/((K19*Assumptions!$H$31*Assumptions!$H$32+K23*Assumptions!$H$38*Assumptions!$H$39+K25*Assumptions!$H$43)*Assumptions!$H$49),0)</f>
        <v>172.143085266141</v>
      </c>
      <c r="L100" s="51" t="n">
        <f aca="false">IFERROR(L26/((L19*Assumptions!$H$31*Assumptions!$H$32+L23*Assumptions!$H$38*Assumptions!$H$39+L25*Assumptions!$H$43)*Assumptions!$H$49),0)</f>
        <v>172.498550596475</v>
      </c>
      <c r="M100" s="51" t="n">
        <f aca="false">IFERROR(M26/((M19*Assumptions!$H$31*Assumptions!$H$32+M23*Assumptions!$H$38*Assumptions!$H$39+M25*Assumptions!$H$43)*Assumptions!$H$49),0)</f>
        <v>174.698999538892</v>
      </c>
      <c r="N100" s="51" t="n">
        <f aca="false">IFERROR(N26/((N19*Assumptions!$H$31*Assumptions!$H$32+N23*Assumptions!$H$38*Assumptions!$H$39+N25*Assumptions!$H$43)*Assumptions!$H$49),0)</f>
        <v>177.150147893664</v>
      </c>
      <c r="O100" s="51" t="n">
        <f aca="false">IFERROR(O26/((O19*Assumptions!$H$31*Assumptions!$H$32+O23*Assumptions!$H$38*Assumptions!$H$39+O25*Assumptions!$H$43)*Assumptions!$H$49),0)</f>
        <v>179.579324005687</v>
      </c>
      <c r="P100" s="51" t="n">
        <f aca="false">IFERROR(P26/((P19*Assumptions!$H$31*Assumptions!$H$32+P23*Assumptions!$H$38*Assumptions!$H$39+P25*Assumptions!$H$43)*Assumptions!$H$49),0)</f>
        <v>181.946782932844</v>
      </c>
      <c r="Q100" s="51" t="n">
        <f aca="false">IFERROR(Q26/((Q19*Assumptions!$H$31*Assumptions!$H$32+Q23*Assumptions!$H$38*Assumptions!$H$39+Q25*Assumptions!$H$43)*Assumptions!$H$49),0)</f>
        <v>184.25295441089</v>
      </c>
      <c r="R100" s="51" t="n">
        <f aca="false">IFERROR(R26/((R19*Assumptions!$H$31*Assumptions!$H$32+R23*Assumptions!$H$38*Assumptions!$H$39+R25*Assumptions!$H$43)*Assumptions!$H$49),0)</f>
        <v>186.507589816761</v>
      </c>
      <c r="S100" s="51" t="n">
        <f aca="false">IFERROR(S26/((S19*Assumptions!$H$31*Assumptions!$H$32+S23*Assumptions!$H$38*Assumptions!$H$39+S25*Assumptions!$H$43)*Assumptions!$H$49),0)</f>
        <v>188.723373847079</v>
      </c>
      <c r="T100" s="51" t="n">
        <f aca="false">IFERROR(T26/((T19*Assumptions!$H$31*Assumptions!$H$32+T23*Assumptions!$H$38*Assumptions!$H$39+T25*Assumptions!$H$43)*Assumptions!$H$49),0)</f>
        <v>190.91350949572</v>
      </c>
      <c r="U100" s="51" t="n">
        <f aca="false">IFERROR(U26/((U19*Assumptions!$H$31*Assumptions!$H$32+U23*Assumptions!$H$38*Assumptions!$H$39+U25*Assumptions!$H$43)*Assumptions!$H$49),0)</f>
        <v>193.090664450352</v>
      </c>
      <c r="V100" s="51" t="n">
        <f aca="false">IFERROR(V26/((V19*Assumptions!$H$31*Assumptions!$H$32+V23*Assumptions!$H$38*Assumptions!$H$39+V25*Assumptions!$H$43)*Assumptions!$H$49),0)</f>
        <v>195.26653692707</v>
      </c>
      <c r="W100" s="51" t="n">
        <f aca="false">IFERROR(W26/((W19*Assumptions!$H$31*Assumptions!$H$32+W23*Assumptions!$H$38*Assumptions!$H$39+W25*Assumptions!$H$43)*Assumptions!$H$49),0)</f>
        <v>197.451728199801</v>
      </c>
      <c r="X100" s="51" t="n">
        <f aca="false">IFERROR(X26/((X19*Assumptions!$H$31*Assumptions!$H$32+X23*Assumptions!$H$38*Assumptions!$H$39+X25*Assumptions!$H$43)*Assumptions!$H$49),0)</f>
        <v>199.655764442278</v>
      </c>
      <c r="Y100" s="51" t="n">
        <f aca="false">IFERROR(Y26/((Y19*Assumptions!$H$31*Assumptions!$H$32+Y23*Assumptions!$H$38*Assumptions!$H$39+Y25*Assumptions!$H$43)*Assumptions!$H$49),0)</f>
        <v>201.887185517412</v>
      </c>
      <c r="Z100" s="51" t="n">
        <f aca="false">IFERROR(Z26/((Z19*Assumptions!$H$31*Assumptions!$H$32+Z23*Assumptions!$H$38*Assumptions!$H$39+Z25*Assumptions!$H$43)*Assumptions!$H$49),0)</f>
        <v>204.153657494402</v>
      </c>
      <c r="AA100" s="51" t="n">
        <f aca="false">IFERROR(AA26/((AA19*Assumptions!$H$31*Assumptions!$H$32+AA23*Assumptions!$H$38*Assumptions!$H$39+AA25*Assumptions!$H$43)*Assumptions!$H$49),0)</f>
        <v>206.462086729138</v>
      </c>
      <c r="AB100" s="51" t="n">
        <f aca="false">IFERROR(AB26/((AB19*Assumptions!$H$31*Assumptions!$H$32+AB23*Assumptions!$H$38*Assumptions!$H$39+AB25*Assumptions!$H$43)*Assumptions!$H$49),0)</f>
        <v>208.818724806177</v>
      </c>
      <c r="AC100" s="51" t="n">
        <f aca="false">IFERROR(AC26/((AC19*Assumptions!$H$31*Assumptions!$H$32+AC23*Assumptions!$H$38*Assumptions!$H$39+AC25*Assumptions!$H$43)*Assumptions!$H$49),0)</f>
        <v>211.14325334448</v>
      </c>
      <c r="AD100" s="51" t="n">
        <f aca="false">IFERROR(AD26/((AD19*Assumptions!$H$31*Assumptions!$H$32+AD23*Assumptions!$H$38*Assumptions!$H$39+AD25*Assumptions!$H$43)*Assumptions!$H$49),0)</f>
        <v>213.416842661782</v>
      </c>
      <c r="AE100" s="51" t="n">
        <f aca="false">IFERROR(AE26/((AE19*Assumptions!$H$31*Assumptions!$H$32+AE23*Assumptions!$H$38*Assumptions!$H$39+AE25*Assumptions!$H$43)*Assumptions!$H$49),0)</f>
        <v>215.670494675153</v>
      </c>
      <c r="AF100" s="51" t="n">
        <f aca="false">IFERROR(AF26/((AF19*Assumptions!$H$31*Assumptions!$H$32+AF23*Assumptions!$H$38*Assumptions!$H$39+AF25*Assumptions!$H$43)*Assumptions!$H$49),0)</f>
        <v>217.912577525688</v>
      </c>
      <c r="AG100" s="51" t="n">
        <f aca="false">IFERROR(AG26/((AG19*Assumptions!$H$31*Assumptions!$H$32+AG23*Assumptions!$H$38*Assumptions!$H$39+AG25*Assumptions!$H$43)*Assumptions!$H$49),0)</f>
        <v>220.150666751369</v>
      </c>
      <c r="AH100" s="51" t="n">
        <f aca="false">IFERROR(AH26/((AH19*Assumptions!$H$31*Assumptions!$H$32+AH23*Assumptions!$H$38*Assumptions!$H$39+AH25*Assumptions!$H$43)*Assumptions!$H$49),0)</f>
        <v>222.391523775189</v>
      </c>
      <c r="AI100" s="51" t="n">
        <f aca="false">IFERROR(AI26/((AI19*Assumptions!$H$31*Assumptions!$H$32+AI23*Assumptions!$H$38*Assumptions!$H$39+AI25*Assumptions!$H$43)*Assumptions!$H$49),0)</f>
        <v>224.641232545606</v>
      </c>
      <c r="AJ100" s="51" t="n">
        <f aca="false">IFERROR(AJ26/((AJ19*Assumptions!$H$31*Assumptions!$H$32+AJ23*Assumptions!$H$38*Assumptions!$H$39+AJ25*Assumptions!$H$43)*Assumptions!$H$49),0)</f>
        <v>226.905266771416</v>
      </c>
      <c r="AK100" s="51" t="n">
        <f aca="false">IFERROR(AK26/((AK19*Assumptions!$H$31*Assumptions!$H$32+AK23*Assumptions!$H$38*Assumptions!$H$39+AK25*Assumptions!$H$43)*Assumptions!$H$49),0)</f>
        <v>229.188545039106</v>
      </c>
      <c r="AL100" s="51" t="n">
        <f aca="false">IFERROR(AL26/((AL19*Assumptions!$H$31*Assumptions!$H$32+AL23*Assumptions!$H$38*Assumptions!$H$39+AL25*Assumptions!$H$43)*Assumptions!$H$49),0)</f>
        <v>231.495476348674</v>
      </c>
      <c r="AM100" s="51" t="n">
        <f aca="false">AVERAGE(N100:AL100)</f>
        <v>204.35103641631</v>
      </c>
    </row>
    <row r="101" customFormat="false" ht="15" hidden="false" customHeight="false" outlineLevel="0" collapsed="false">
      <c r="A101" s="37" t="s">
        <v>821</v>
      </c>
      <c r="B101" s="9" t="s">
        <v>370</v>
      </c>
      <c r="C101" s="72" t="n">
        <f aca="false">IFERROR(C100/C104,0)</f>
        <v>2.91828642597273</v>
      </c>
      <c r="D101" s="72" t="n">
        <f aca="false">IFERROR(D100/D104,0)</f>
        <v>3.47439372783144</v>
      </c>
      <c r="E101" s="72" t="n">
        <f aca="false">IFERROR(E100/E104,0)</f>
        <v>4.21249073691405</v>
      </c>
      <c r="F101" s="72" t="n">
        <f aca="false">IFERROR(F100/F104,0)</f>
        <v>3.77486519795991</v>
      </c>
      <c r="G101" s="72" t="n">
        <f aca="false">IFERROR(G100/G104,0)</f>
        <v>3.75510975683881</v>
      </c>
      <c r="H101" s="72" t="n">
        <f aca="false">IFERROR(H100/H104,0)</f>
        <v>3.75003727215993</v>
      </c>
      <c r="I101" s="72" t="n">
        <f aca="false">IFERROR(I100/I104,0)</f>
        <v>3.75372872682624</v>
      </c>
      <c r="J101" s="72" t="n">
        <f aca="false">IFERROR(J100/J104,0)</f>
        <v>3.76058264065642</v>
      </c>
      <c r="K101" s="72" t="n">
        <f aca="false">IFERROR(K100/K104,0)</f>
        <v>3.76797296288483</v>
      </c>
      <c r="L101" s="72" t="n">
        <f aca="false">IFERROR(L100/L104,0)</f>
        <v>3.77575360508645</v>
      </c>
      <c r="M101" s="72" t="n">
        <f aca="false">IFERROR(M100/M104,0)</f>
        <v>3.82391837515792</v>
      </c>
      <c r="N101" s="72" t="n">
        <f aca="false">IFERROR(N100/N104,0)</f>
        <v>3.87757060704699</v>
      </c>
      <c r="O101" s="72" t="n">
        <f aca="false">IFERROR(O100/O104,0)</f>
        <v>3.93074189707027</v>
      </c>
      <c r="P101" s="72" t="n">
        <f aca="false">IFERROR(P100/P104,0)</f>
        <v>3.98256228366598</v>
      </c>
      <c r="Q101" s="72" t="n">
        <f aca="false">IFERROR(Q100/Q104,0)</f>
        <v>4.0330411731527</v>
      </c>
      <c r="R101" s="72" t="n">
        <f aca="false">IFERROR(R100/R104,0)</f>
        <v>4.08239200962313</v>
      </c>
      <c r="S101" s="72" t="n">
        <f aca="false">IFERROR(S100/S104,0)</f>
        <v>4.13089244346235</v>
      </c>
      <c r="T101" s="72" t="n">
        <f aca="false">IFERROR(T100/T104,0)</f>
        <v>4.17883146986222</v>
      </c>
      <c r="U101" s="72" t="n">
        <f aca="false">IFERROR(U100/U104,0)</f>
        <v>4.22648636690547</v>
      </c>
      <c r="V101" s="72" t="n">
        <f aca="false">IFERROR(V100/V104,0)</f>
        <v>4.27411319228903</v>
      </c>
      <c r="W101" s="72" t="n">
        <f aca="false">IFERROR(W100/W104,0)</f>
        <v>4.3219439931699</v>
      </c>
      <c r="X101" s="72" t="n">
        <f aca="false">IFERROR(X100/X104,0)</f>
        <v>4.37018728425553</v>
      </c>
      <c r="Y101" s="72" t="n">
        <f aca="false">IFERROR(Y100/Y104,0)</f>
        <v>4.41902999127983</v>
      </c>
      <c r="Z101" s="72" t="n">
        <f aca="false">IFERROR(Z100/Z104,0)</f>
        <v>4.46863991384646</v>
      </c>
      <c r="AA101" s="72" t="n">
        <f aca="false">IFERROR(AA100/AA104,0)</f>
        <v>4.51916822249024</v>
      </c>
      <c r="AB101" s="72" t="n">
        <f aca="false">IFERROR(AB100/AB104,0)</f>
        <v>4.57075175571122</v>
      </c>
      <c r="AC101" s="72" t="n">
        <f aca="false">IFERROR(AC100/AC104,0)</f>
        <v>4.62163245574189</v>
      </c>
      <c r="AD101" s="72" t="n">
        <f aca="false">IFERROR(AD100/AD104,0)</f>
        <v>4.67139816699921</v>
      </c>
      <c r="AE101" s="72" t="n">
        <f aca="false">IFERROR(AE100/AE104,0)</f>
        <v>4.72072747837412</v>
      </c>
      <c r="AF101" s="72" t="n">
        <f aca="false">IFERROR(AF100/AF104,0)</f>
        <v>4.76980355684863</v>
      </c>
      <c r="AG101" s="72" t="n">
        <f aca="false">IFERROR(AG100/AG104,0)</f>
        <v>4.81879222042376</v>
      </c>
      <c r="AH101" s="72" t="n">
        <f aca="false">IFERROR(AH100/AH104,0)</f>
        <v>4.86784146725461</v>
      </c>
      <c r="AI101" s="72" t="n">
        <f aca="false">IFERROR(AI100/AI104,0)</f>
        <v>4.91708446651998</v>
      </c>
      <c r="AJ101" s="72" t="n">
        <f aca="false">IFERROR(AJ100/AJ104,0)</f>
        <v>4.96664103010026</v>
      </c>
      <c r="AK101" s="72" t="n">
        <f aca="false">IFERROR(AK100/AK104,0)</f>
        <v>5.01661881901986</v>
      </c>
      <c r="AL101" s="72" t="n">
        <f aca="false">IFERROR(AL100/AL104,0)</f>
        <v>5.06711434016289</v>
      </c>
      <c r="AM101" s="72" t="n">
        <f aca="false">AVERAGE(N101:AL101)</f>
        <v>4.47296026421106</v>
      </c>
    </row>
    <row r="102" customFormat="false" ht="15" hidden="false" customHeight="false" outlineLevel="0" collapsed="false">
      <c r="A102" s="10" t="s">
        <v>822</v>
      </c>
      <c r="B102" s="9" t="s">
        <v>97</v>
      </c>
      <c r="C102" s="63" t="n">
        <f aca="false">Assumptions!$H$70*(1-Assumptions!$H$80)*(1-Assumptions!$H$79)-Assumptions!$H$73-Assumptions!$H$75-Assumptions!$H$76-Assumptions!$H$77</f>
        <v>116.02563</v>
      </c>
      <c r="D102" s="63" t="n">
        <f aca="false">Assumptions!$H$70*(1-Assumptions!$H$80)*(1-Assumptions!$H$79)-Assumptions!$H$73-Assumptions!$H$75-Assumptions!$H$76-Assumptions!$H$77</f>
        <v>116.02563</v>
      </c>
      <c r="E102" s="63" t="n">
        <f aca="false">Assumptions!$H$70*(1-Assumptions!$H$80)*(1-Assumptions!$H$79)-Assumptions!$H$73-Assumptions!$H$75-Assumptions!$H$76-Assumptions!$H$77</f>
        <v>116.02563</v>
      </c>
      <c r="F102" s="63" t="n">
        <f aca="false">Assumptions!$H$70*(1-Assumptions!$H$80)*(1-Assumptions!$H$79)-Assumptions!$H$73-Assumptions!$H$75-Assumptions!$H$76-Assumptions!$H$77</f>
        <v>116.02563</v>
      </c>
      <c r="G102" s="63" t="n">
        <f aca="false">Assumptions!$H$70*(1-Assumptions!$H$80)*(1-Assumptions!$H$79)-Assumptions!$H$73-Assumptions!$H$75-Assumptions!$H$76-Assumptions!$H$77</f>
        <v>116.02563</v>
      </c>
      <c r="H102" s="63" t="n">
        <f aca="false">Assumptions!$H$70*(1-Assumptions!$H$80)*(1-Assumptions!$H$79)-Assumptions!$H$73-Assumptions!$H$75-Assumptions!$H$76-Assumptions!$H$77</f>
        <v>116.02563</v>
      </c>
      <c r="I102" s="63" t="n">
        <f aca="false">Assumptions!$H$70*(1-Assumptions!$H$80)*(1-Assumptions!$H$79)-Assumptions!$H$73-Assumptions!$H$75-Assumptions!$H$76-Assumptions!$H$77</f>
        <v>116.02563</v>
      </c>
      <c r="J102" s="63" t="n">
        <f aca="false">Assumptions!$H$70*(1-Assumptions!$H$80)*(1-Assumptions!$H$79)-Assumptions!$H$73-Assumptions!$H$75-Assumptions!$H$76-Assumptions!$H$77</f>
        <v>116.02563</v>
      </c>
      <c r="K102" s="63" t="n">
        <f aca="false">Assumptions!$H$70*(1-Assumptions!$H$80)*(1-Assumptions!$H$79)-Assumptions!$H$73-Assumptions!$H$75-Assumptions!$H$76-Assumptions!$H$77</f>
        <v>116.02563</v>
      </c>
      <c r="L102" s="63" t="n">
        <f aca="false">Assumptions!$H$70*(1-Assumptions!$H$80)*(1-Assumptions!$H$79)-Assumptions!$H$73-Assumptions!$H$75-Assumptions!$H$76-Assumptions!$H$77</f>
        <v>116.02563</v>
      </c>
      <c r="M102" s="63" t="n">
        <f aca="false">Assumptions!$H$70*(1-Assumptions!$H$80)*(1-Assumptions!$H$79)-Assumptions!$H$73-Assumptions!$H$75-Assumptions!$H$76-Assumptions!$H$77</f>
        <v>116.02563</v>
      </c>
      <c r="N102" s="63" t="n">
        <f aca="false">Assumptions!$H$70*(1-Assumptions!$H$80)*(1-Assumptions!$H$79)-Assumptions!$H$73-Assumptions!$H$75-Assumptions!$H$76-Assumptions!$H$77</f>
        <v>116.02563</v>
      </c>
      <c r="O102" s="63" t="n">
        <f aca="false">Assumptions!$H$70*(1-Assumptions!$H$80)*(1-Assumptions!$H$79)-Assumptions!$H$73-Assumptions!$H$75-Assumptions!$H$76-Assumptions!$H$77</f>
        <v>116.02563</v>
      </c>
      <c r="P102" s="63" t="n">
        <f aca="false">Assumptions!$H$70*(1-Assumptions!$H$80)*(1-Assumptions!$H$79)-Assumptions!$H$73-Assumptions!$H$75-Assumptions!$H$76-Assumptions!$H$77</f>
        <v>116.02563</v>
      </c>
      <c r="Q102" s="63" t="n">
        <f aca="false">Assumptions!$H$70*(1-Assumptions!$H$80)*(1-Assumptions!$H$79)-Assumptions!$H$73-Assumptions!$H$75-Assumptions!$H$76-Assumptions!$H$77</f>
        <v>116.02563</v>
      </c>
      <c r="R102" s="63" t="n">
        <f aca="false">Assumptions!$H$70*(1-Assumptions!$H$80)*(1-Assumptions!$H$79)-Assumptions!$H$73-Assumptions!$H$75-Assumptions!$H$76-Assumptions!$H$77</f>
        <v>116.02563</v>
      </c>
      <c r="S102" s="63" t="n">
        <f aca="false">Assumptions!$H$70*(1-Assumptions!$H$80)*(1-Assumptions!$H$79)-Assumptions!$H$73-Assumptions!$H$75-Assumptions!$H$76-Assumptions!$H$77</f>
        <v>116.02563</v>
      </c>
      <c r="T102" s="63" t="n">
        <f aca="false">Assumptions!$H$70*(1-Assumptions!$H$80)*(1-Assumptions!$H$79)-Assumptions!$H$73-Assumptions!$H$75-Assumptions!$H$76-Assumptions!$H$77</f>
        <v>116.02563</v>
      </c>
      <c r="U102" s="63" t="n">
        <f aca="false">Assumptions!$H$70*(1-Assumptions!$H$80)*(1-Assumptions!$H$79)-Assumptions!$H$73-Assumptions!$H$75-Assumptions!$H$76-Assumptions!$H$77</f>
        <v>116.02563</v>
      </c>
      <c r="V102" s="63" t="n">
        <f aca="false">Assumptions!$H$70*(1-Assumptions!$H$80)*(1-Assumptions!$H$79)-Assumptions!$H$73-Assumptions!$H$75-Assumptions!$H$76-Assumptions!$H$77</f>
        <v>116.02563</v>
      </c>
      <c r="W102" s="63" t="n">
        <f aca="false">Assumptions!$H$70*(1-Assumptions!$H$80)*(1-Assumptions!$H$79)-Assumptions!$H$73-Assumptions!$H$75-Assumptions!$H$76-Assumptions!$H$77</f>
        <v>116.02563</v>
      </c>
      <c r="X102" s="63" t="n">
        <f aca="false">Assumptions!$H$70*(1-Assumptions!$H$80)*(1-Assumptions!$H$79)-Assumptions!$H$73-Assumptions!$H$75-Assumptions!$H$76-Assumptions!$H$77</f>
        <v>116.02563</v>
      </c>
      <c r="Y102" s="63" t="n">
        <f aca="false">Assumptions!$H$70*(1-Assumptions!$H$80)*(1-Assumptions!$H$79)-Assumptions!$H$73-Assumptions!$H$75-Assumptions!$H$76-Assumptions!$H$77</f>
        <v>116.02563</v>
      </c>
      <c r="Z102" s="63" t="n">
        <f aca="false">Assumptions!$H$70*(1-Assumptions!$H$80)*(1-Assumptions!$H$79)-Assumptions!$H$73-Assumptions!$H$75-Assumptions!$H$76-Assumptions!$H$77</f>
        <v>116.02563</v>
      </c>
      <c r="AA102" s="63" t="n">
        <f aca="false">Assumptions!$H$70*(1-Assumptions!$H$80)*(1-Assumptions!$H$79)-Assumptions!$H$73-Assumptions!$H$75-Assumptions!$H$76-Assumptions!$H$77</f>
        <v>116.02563</v>
      </c>
      <c r="AB102" s="63" t="n">
        <f aca="false">Assumptions!$H$70*(1-Assumptions!$H$80)*(1-Assumptions!$H$79)-Assumptions!$H$73-Assumptions!$H$75-Assumptions!$H$76-Assumptions!$H$77</f>
        <v>116.02563</v>
      </c>
      <c r="AC102" s="63" t="n">
        <f aca="false">Assumptions!$H$70*(1-Assumptions!$H$80)*(1-Assumptions!$H$79)-Assumptions!$H$73-Assumptions!$H$75-Assumptions!$H$76-Assumptions!$H$77</f>
        <v>116.02563</v>
      </c>
      <c r="AD102" s="63" t="n">
        <f aca="false">Assumptions!$H$70*(1-Assumptions!$H$80)*(1-Assumptions!$H$79)-Assumptions!$H$73-Assumptions!$H$75-Assumptions!$H$76-Assumptions!$H$77</f>
        <v>116.02563</v>
      </c>
      <c r="AE102" s="63" t="n">
        <f aca="false">Assumptions!$H$70*(1-Assumptions!$H$80)*(1-Assumptions!$H$79)-Assumptions!$H$73-Assumptions!$H$75-Assumptions!$H$76-Assumptions!$H$77</f>
        <v>116.02563</v>
      </c>
      <c r="AF102" s="63" t="n">
        <f aca="false">Assumptions!$H$70*(1-Assumptions!$H$80)*(1-Assumptions!$H$79)-Assumptions!$H$73-Assumptions!$H$75-Assumptions!$H$76-Assumptions!$H$77</f>
        <v>116.02563</v>
      </c>
      <c r="AG102" s="63" t="n">
        <f aca="false">Assumptions!$H$70*(1-Assumptions!$H$80)*(1-Assumptions!$H$79)-Assumptions!$H$73-Assumptions!$H$75-Assumptions!$H$76-Assumptions!$H$77</f>
        <v>116.02563</v>
      </c>
      <c r="AH102" s="63" t="n">
        <f aca="false">Assumptions!$H$70*(1-Assumptions!$H$80)*(1-Assumptions!$H$79)-Assumptions!$H$73-Assumptions!$H$75-Assumptions!$H$76-Assumptions!$H$77</f>
        <v>116.02563</v>
      </c>
      <c r="AI102" s="63" t="n">
        <f aca="false">Assumptions!$H$70*(1-Assumptions!$H$80)*(1-Assumptions!$H$79)-Assumptions!$H$73-Assumptions!$H$75-Assumptions!$H$76-Assumptions!$H$77</f>
        <v>116.02563</v>
      </c>
      <c r="AJ102" s="63" t="n">
        <f aca="false">Assumptions!$H$70*(1-Assumptions!$H$80)*(1-Assumptions!$H$79)-Assumptions!$H$73-Assumptions!$H$75-Assumptions!$H$76-Assumptions!$H$77</f>
        <v>116.02563</v>
      </c>
      <c r="AK102" s="63" t="n">
        <f aca="false">Assumptions!$H$70*(1-Assumptions!$H$80)*(1-Assumptions!$H$79)-Assumptions!$H$73-Assumptions!$H$75-Assumptions!$H$76-Assumptions!$H$77</f>
        <v>116.02563</v>
      </c>
      <c r="AL102" s="63" t="n">
        <f aca="false">Assumptions!$H$70*(1-Assumptions!$H$80)*(1-Assumptions!$H$79)-Assumptions!$H$73-Assumptions!$H$75-Assumptions!$H$76-Assumptions!$H$77</f>
        <v>116.02563</v>
      </c>
      <c r="AM102" s="63" t="n">
        <f aca="false">AVERAGE(N102:AL102)</f>
        <v>116.02563</v>
      </c>
    </row>
    <row r="103" customFormat="false" ht="15" hidden="false" customHeight="false" outlineLevel="0" collapsed="false">
      <c r="A103" s="10" t="s">
        <v>823</v>
      </c>
      <c r="B103" s="9" t="s">
        <v>97</v>
      </c>
      <c r="C103" s="70" t="n">
        <f aca="false">C102/Assumptions!$H$68</f>
        <v>1054.77845454545</v>
      </c>
      <c r="D103" s="70" t="n">
        <f aca="false">D102/Assumptions!$H$68</f>
        <v>1054.77845454545</v>
      </c>
      <c r="E103" s="70" t="n">
        <f aca="false">E102/Assumptions!$H$68</f>
        <v>1054.77845454545</v>
      </c>
      <c r="F103" s="70" t="n">
        <f aca="false">F102/Assumptions!$H$68</f>
        <v>1054.77845454545</v>
      </c>
      <c r="G103" s="70" t="n">
        <f aca="false">G102/Assumptions!$H$68</f>
        <v>1054.77845454545</v>
      </c>
      <c r="H103" s="70" t="n">
        <f aca="false">H102/Assumptions!$H$68</f>
        <v>1054.77845454545</v>
      </c>
      <c r="I103" s="70" t="n">
        <f aca="false">I102/Assumptions!$H$68</f>
        <v>1054.77845454545</v>
      </c>
      <c r="J103" s="70" t="n">
        <f aca="false">J102/Assumptions!$H$68</f>
        <v>1054.77845454545</v>
      </c>
      <c r="K103" s="70" t="n">
        <f aca="false">K102/Assumptions!$H$68</f>
        <v>1054.77845454545</v>
      </c>
      <c r="L103" s="70" t="n">
        <f aca="false">L102/Assumptions!$H$68</f>
        <v>1054.77845454545</v>
      </c>
      <c r="M103" s="70" t="n">
        <f aca="false">M102/Assumptions!$H$68</f>
        <v>1054.77845454545</v>
      </c>
      <c r="N103" s="70" t="n">
        <f aca="false">N102/Assumptions!$H$68</f>
        <v>1054.77845454545</v>
      </c>
      <c r="O103" s="70" t="n">
        <f aca="false">O102/Assumptions!$H$68</f>
        <v>1054.77845454545</v>
      </c>
      <c r="P103" s="70" t="n">
        <f aca="false">P102/Assumptions!$H$68</f>
        <v>1054.77845454545</v>
      </c>
      <c r="Q103" s="70" t="n">
        <f aca="false">Q102/Assumptions!$H$68</f>
        <v>1054.77845454545</v>
      </c>
      <c r="R103" s="70" t="n">
        <f aca="false">R102/Assumptions!$H$68</f>
        <v>1054.77845454545</v>
      </c>
      <c r="S103" s="70" t="n">
        <f aca="false">S102/Assumptions!$H$68</f>
        <v>1054.77845454545</v>
      </c>
      <c r="T103" s="70" t="n">
        <f aca="false">T102/Assumptions!$H$68</f>
        <v>1054.77845454545</v>
      </c>
      <c r="U103" s="70" t="n">
        <f aca="false">U102/Assumptions!$H$68</f>
        <v>1054.77845454545</v>
      </c>
      <c r="V103" s="70" t="n">
        <f aca="false">V102/Assumptions!$H$68</f>
        <v>1054.77845454545</v>
      </c>
      <c r="W103" s="70" t="n">
        <f aca="false">W102/Assumptions!$H$68</f>
        <v>1054.77845454545</v>
      </c>
      <c r="X103" s="70" t="n">
        <f aca="false">X102/Assumptions!$H$68</f>
        <v>1054.77845454545</v>
      </c>
      <c r="Y103" s="70" t="n">
        <f aca="false">Y102/Assumptions!$H$68</f>
        <v>1054.77845454545</v>
      </c>
      <c r="Z103" s="70" t="n">
        <f aca="false">Z102/Assumptions!$H$68</f>
        <v>1054.77845454545</v>
      </c>
      <c r="AA103" s="70" t="n">
        <f aca="false">AA102/Assumptions!$H$68</f>
        <v>1054.77845454545</v>
      </c>
      <c r="AB103" s="70" t="n">
        <f aca="false">AB102/Assumptions!$H$68</f>
        <v>1054.77845454545</v>
      </c>
      <c r="AC103" s="70" t="n">
        <f aca="false">AC102/Assumptions!$H$68</f>
        <v>1054.77845454545</v>
      </c>
      <c r="AD103" s="70" t="n">
        <f aca="false">AD102/Assumptions!$H$68</f>
        <v>1054.77845454545</v>
      </c>
      <c r="AE103" s="70" t="n">
        <f aca="false">AE102/Assumptions!$H$68</f>
        <v>1054.77845454545</v>
      </c>
      <c r="AF103" s="70" t="n">
        <f aca="false">AF102/Assumptions!$H$68</f>
        <v>1054.77845454545</v>
      </c>
      <c r="AG103" s="70" t="n">
        <f aca="false">AG102/Assumptions!$H$68</f>
        <v>1054.77845454545</v>
      </c>
      <c r="AH103" s="70" t="n">
        <f aca="false">AH102/Assumptions!$H$68</f>
        <v>1054.77845454545</v>
      </c>
      <c r="AI103" s="70" t="n">
        <f aca="false">AI102/Assumptions!$H$68</f>
        <v>1054.77845454545</v>
      </c>
      <c r="AJ103" s="70" t="n">
        <f aca="false">AJ102/Assumptions!$H$68</f>
        <v>1054.77845454545</v>
      </c>
      <c r="AK103" s="70" t="n">
        <f aca="false">AK102/Assumptions!$H$68</f>
        <v>1054.77845454545</v>
      </c>
      <c r="AL103" s="70" t="n">
        <f aca="false">AL102/Assumptions!$H$68</f>
        <v>1054.77845454545</v>
      </c>
      <c r="AM103" s="70" t="n">
        <f aca="false">AVERAGE(N103:AL103)</f>
        <v>1054.77845454545</v>
      </c>
    </row>
    <row r="104" customFormat="false" ht="15" hidden="false" customHeight="false" outlineLevel="0" collapsed="false">
      <c r="A104" s="10" t="s">
        <v>402</v>
      </c>
      <c r="B104" s="9" t="s">
        <v>97</v>
      </c>
      <c r="C104" s="63" t="n">
        <f aca="false">Assumptions!$H$50*(1-Assumptions!$H$80)*(1-Assumptions!$H$79)-Assumptions!$H$50*Assumptions!$H$55-Assumptions!$H$56</f>
        <v>45.68586</v>
      </c>
      <c r="D104" s="63" t="n">
        <f aca="false">Assumptions!$H$50*(1-Assumptions!$H$80)*(1-Assumptions!$H$79)-Assumptions!$H$50*Assumptions!$H$55-Assumptions!$H$56</f>
        <v>45.68586</v>
      </c>
      <c r="E104" s="63" t="n">
        <f aca="false">Assumptions!$H$50*(1-Assumptions!$H$80)*(1-Assumptions!$H$79)-Assumptions!$H$50*Assumptions!$H$55-Assumptions!$H$56</f>
        <v>45.68586</v>
      </c>
      <c r="F104" s="63" t="n">
        <f aca="false">Assumptions!$H$50*(1-Assumptions!$H$80)*(1-Assumptions!$H$79)-Assumptions!$H$50*Assumptions!$H$55-Assumptions!$H$56</f>
        <v>45.68586</v>
      </c>
      <c r="G104" s="63" t="n">
        <f aca="false">Assumptions!$H$50*(1-Assumptions!$H$80)*(1-Assumptions!$H$79)-Assumptions!$H$50*Assumptions!$H$55-Assumptions!$H$56</f>
        <v>45.68586</v>
      </c>
      <c r="H104" s="63" t="n">
        <f aca="false">Assumptions!$H$50*(1-Assumptions!$H$80)*(1-Assumptions!$H$79)-Assumptions!$H$50*Assumptions!$H$55-Assumptions!$H$56</f>
        <v>45.68586</v>
      </c>
      <c r="I104" s="63" t="n">
        <f aca="false">Assumptions!$H$50*(1-Assumptions!$H$80)*(1-Assumptions!$H$79)-Assumptions!$H$50*Assumptions!$H$55-Assumptions!$H$56</f>
        <v>45.68586</v>
      </c>
      <c r="J104" s="63" t="n">
        <f aca="false">Assumptions!$H$50*(1-Assumptions!$H$80)*(1-Assumptions!$H$79)-Assumptions!$H$50*Assumptions!$H$55-Assumptions!$H$56</f>
        <v>45.68586</v>
      </c>
      <c r="K104" s="63" t="n">
        <f aca="false">Assumptions!$H$50*(1-Assumptions!$H$80)*(1-Assumptions!$H$79)-Assumptions!$H$50*Assumptions!$H$55-Assumptions!$H$56</f>
        <v>45.68586</v>
      </c>
      <c r="L104" s="63" t="n">
        <f aca="false">Assumptions!$H$50*(1-Assumptions!$H$80)*(1-Assumptions!$H$79)-Assumptions!$H$50*Assumptions!$H$55-Assumptions!$H$56</f>
        <v>45.68586</v>
      </c>
      <c r="M104" s="63" t="n">
        <f aca="false">Assumptions!$H$50*(1-Assumptions!$H$80)*(1-Assumptions!$H$79)-Assumptions!$H$50*Assumptions!$H$55-Assumptions!$H$56</f>
        <v>45.68586</v>
      </c>
      <c r="N104" s="63" t="n">
        <f aca="false">Assumptions!$H$50*(1-Assumptions!$H$80)*(1-Assumptions!$H$79)-Assumptions!$H$50*Assumptions!$H$55-Assumptions!$H$56</f>
        <v>45.68586</v>
      </c>
      <c r="O104" s="63" t="n">
        <f aca="false">Assumptions!$H$50*(1-Assumptions!$H$80)*(1-Assumptions!$H$79)-Assumptions!$H$50*Assumptions!$H$55-Assumptions!$H$56</f>
        <v>45.68586</v>
      </c>
      <c r="P104" s="63" t="n">
        <f aca="false">Assumptions!$H$50*(1-Assumptions!$H$80)*(1-Assumptions!$H$79)-Assumptions!$H$50*Assumptions!$H$55-Assumptions!$H$56</f>
        <v>45.68586</v>
      </c>
      <c r="Q104" s="63" t="n">
        <f aca="false">Assumptions!$H$50*(1-Assumptions!$H$80)*(1-Assumptions!$H$79)-Assumptions!$H$50*Assumptions!$H$55-Assumptions!$H$56</f>
        <v>45.68586</v>
      </c>
      <c r="R104" s="63" t="n">
        <f aca="false">Assumptions!$H$50*(1-Assumptions!$H$80)*(1-Assumptions!$H$79)-Assumptions!$H$50*Assumptions!$H$55-Assumptions!$H$56</f>
        <v>45.68586</v>
      </c>
      <c r="S104" s="63" t="n">
        <f aca="false">Assumptions!$H$50*(1-Assumptions!$H$80)*(1-Assumptions!$H$79)-Assumptions!$H$50*Assumptions!$H$55-Assumptions!$H$56</f>
        <v>45.68586</v>
      </c>
      <c r="T104" s="63" t="n">
        <f aca="false">Assumptions!$H$50*(1-Assumptions!$H$80)*(1-Assumptions!$H$79)-Assumptions!$H$50*Assumptions!$H$55-Assumptions!$H$56</f>
        <v>45.68586</v>
      </c>
      <c r="U104" s="63" t="n">
        <f aca="false">Assumptions!$H$50*(1-Assumptions!$H$80)*(1-Assumptions!$H$79)-Assumptions!$H$50*Assumptions!$H$55-Assumptions!$H$56</f>
        <v>45.68586</v>
      </c>
      <c r="V104" s="63" t="n">
        <f aca="false">Assumptions!$H$50*(1-Assumptions!$H$80)*(1-Assumptions!$H$79)-Assumptions!$H$50*Assumptions!$H$55-Assumptions!$H$56</f>
        <v>45.68586</v>
      </c>
      <c r="W104" s="63" t="n">
        <f aca="false">Assumptions!$H$50*(1-Assumptions!$H$80)*(1-Assumptions!$H$79)-Assumptions!$H$50*Assumptions!$H$55-Assumptions!$H$56</f>
        <v>45.68586</v>
      </c>
      <c r="X104" s="63" t="n">
        <f aca="false">Assumptions!$H$50*(1-Assumptions!$H$80)*(1-Assumptions!$H$79)-Assumptions!$H$50*Assumptions!$H$55-Assumptions!$H$56</f>
        <v>45.68586</v>
      </c>
      <c r="Y104" s="63" t="n">
        <f aca="false">Assumptions!$H$50*(1-Assumptions!$H$80)*(1-Assumptions!$H$79)-Assumptions!$H$50*Assumptions!$H$55-Assumptions!$H$56</f>
        <v>45.68586</v>
      </c>
      <c r="Z104" s="63" t="n">
        <f aca="false">Assumptions!$H$50*(1-Assumptions!$H$80)*(1-Assumptions!$H$79)-Assumptions!$H$50*Assumptions!$H$55-Assumptions!$H$56</f>
        <v>45.68586</v>
      </c>
      <c r="AA104" s="63" t="n">
        <f aca="false">Assumptions!$H$50*(1-Assumptions!$H$80)*(1-Assumptions!$H$79)-Assumptions!$H$50*Assumptions!$H$55-Assumptions!$H$56</f>
        <v>45.68586</v>
      </c>
      <c r="AB104" s="63" t="n">
        <f aca="false">Assumptions!$H$50*(1-Assumptions!$H$80)*(1-Assumptions!$H$79)-Assumptions!$H$50*Assumptions!$H$55-Assumptions!$H$56</f>
        <v>45.68586</v>
      </c>
      <c r="AC104" s="63" t="n">
        <f aca="false">Assumptions!$H$50*(1-Assumptions!$H$80)*(1-Assumptions!$H$79)-Assumptions!$H$50*Assumptions!$H$55-Assumptions!$H$56</f>
        <v>45.68586</v>
      </c>
      <c r="AD104" s="63" t="n">
        <f aca="false">Assumptions!$H$50*(1-Assumptions!$H$80)*(1-Assumptions!$H$79)-Assumptions!$H$50*Assumptions!$H$55-Assumptions!$H$56</f>
        <v>45.68586</v>
      </c>
      <c r="AE104" s="63" t="n">
        <f aca="false">Assumptions!$H$50*(1-Assumptions!$H$80)*(1-Assumptions!$H$79)-Assumptions!$H$50*Assumptions!$H$55-Assumptions!$H$56</f>
        <v>45.68586</v>
      </c>
      <c r="AF104" s="63" t="n">
        <f aca="false">Assumptions!$H$50*(1-Assumptions!$H$80)*(1-Assumptions!$H$79)-Assumptions!$H$50*Assumptions!$H$55-Assumptions!$H$56</f>
        <v>45.68586</v>
      </c>
      <c r="AG104" s="63" t="n">
        <f aca="false">Assumptions!$H$50*(1-Assumptions!$H$80)*(1-Assumptions!$H$79)-Assumptions!$H$50*Assumptions!$H$55-Assumptions!$H$56</f>
        <v>45.68586</v>
      </c>
      <c r="AH104" s="63" t="n">
        <f aca="false">Assumptions!$H$50*(1-Assumptions!$H$80)*(1-Assumptions!$H$79)-Assumptions!$H$50*Assumptions!$H$55-Assumptions!$H$56</f>
        <v>45.68586</v>
      </c>
      <c r="AI104" s="63" t="n">
        <f aca="false">Assumptions!$H$50*(1-Assumptions!$H$80)*(1-Assumptions!$H$79)-Assumptions!$H$50*Assumptions!$H$55-Assumptions!$H$56</f>
        <v>45.68586</v>
      </c>
      <c r="AJ104" s="63" t="n">
        <f aca="false">Assumptions!$H$50*(1-Assumptions!$H$80)*(1-Assumptions!$H$79)-Assumptions!$H$50*Assumptions!$H$55-Assumptions!$H$56</f>
        <v>45.68586</v>
      </c>
      <c r="AK104" s="63" t="n">
        <f aca="false">Assumptions!$H$50*(1-Assumptions!$H$80)*(1-Assumptions!$H$79)-Assumptions!$H$50*Assumptions!$H$55-Assumptions!$H$56</f>
        <v>45.68586</v>
      </c>
      <c r="AL104" s="63" t="n">
        <f aca="false">Assumptions!$H$50*(1-Assumptions!$H$80)*(1-Assumptions!$H$79)-Assumptions!$H$50*Assumptions!$H$55-Assumptions!$H$56</f>
        <v>45.68586</v>
      </c>
      <c r="AM104" s="63" t="n">
        <f aca="false">AVERAGE(N104:AL104)</f>
        <v>45.68586</v>
      </c>
    </row>
    <row r="105" customFormat="false" ht="15" hidden="false" customHeight="false" outlineLevel="0" collapsed="false">
      <c r="A105" s="10" t="s">
        <v>403</v>
      </c>
      <c r="B105" s="9" t="s">
        <v>97</v>
      </c>
      <c r="C105" s="70" t="n">
        <f aca="false">C104/Assumptions!$H$52</f>
        <v>652.655142857143</v>
      </c>
      <c r="D105" s="70" t="n">
        <f aca="false">D104/Assumptions!$H$52</f>
        <v>652.655142857143</v>
      </c>
      <c r="E105" s="70" t="n">
        <f aca="false">E104/Assumptions!$H$52</f>
        <v>652.655142857143</v>
      </c>
      <c r="F105" s="70" t="n">
        <f aca="false">F104/Assumptions!$H$52</f>
        <v>652.655142857143</v>
      </c>
      <c r="G105" s="70" t="n">
        <f aca="false">G104/Assumptions!$H$52</f>
        <v>652.655142857143</v>
      </c>
      <c r="H105" s="70" t="n">
        <f aca="false">H104/Assumptions!$H$52</f>
        <v>652.655142857143</v>
      </c>
      <c r="I105" s="70" t="n">
        <f aca="false">I104/Assumptions!$H$52</f>
        <v>652.655142857143</v>
      </c>
      <c r="J105" s="70" t="n">
        <f aca="false">J104/Assumptions!$H$52</f>
        <v>652.655142857143</v>
      </c>
      <c r="K105" s="70" t="n">
        <f aca="false">K104/Assumptions!$H$52</f>
        <v>652.655142857143</v>
      </c>
      <c r="L105" s="70" t="n">
        <f aca="false">L104/Assumptions!$H$52</f>
        <v>652.655142857143</v>
      </c>
      <c r="M105" s="70" t="n">
        <f aca="false">M104/Assumptions!$H$52</f>
        <v>652.655142857143</v>
      </c>
      <c r="N105" s="70" t="n">
        <f aca="false">N104/Assumptions!$H$52</f>
        <v>652.655142857143</v>
      </c>
      <c r="O105" s="70" t="n">
        <f aca="false">O104/Assumptions!$H$52</f>
        <v>652.655142857143</v>
      </c>
      <c r="P105" s="70" t="n">
        <f aca="false">P104/Assumptions!$H$52</f>
        <v>652.655142857143</v>
      </c>
      <c r="Q105" s="70" t="n">
        <f aca="false">Q104/Assumptions!$H$52</f>
        <v>652.655142857143</v>
      </c>
      <c r="R105" s="70" t="n">
        <f aca="false">R104/Assumptions!$H$52</f>
        <v>652.655142857143</v>
      </c>
      <c r="S105" s="70" t="n">
        <f aca="false">S104/Assumptions!$H$52</f>
        <v>652.655142857143</v>
      </c>
      <c r="T105" s="70" t="n">
        <f aca="false">T104/Assumptions!$H$52</f>
        <v>652.655142857143</v>
      </c>
      <c r="U105" s="70" t="n">
        <f aca="false">U104/Assumptions!$H$52</f>
        <v>652.655142857143</v>
      </c>
      <c r="V105" s="70" t="n">
        <f aca="false">V104/Assumptions!$H$52</f>
        <v>652.655142857143</v>
      </c>
      <c r="W105" s="70" t="n">
        <f aca="false">W104/Assumptions!$H$52</f>
        <v>652.655142857143</v>
      </c>
      <c r="X105" s="70" t="n">
        <f aca="false">X104/Assumptions!$H$52</f>
        <v>652.655142857143</v>
      </c>
      <c r="Y105" s="70" t="n">
        <f aca="false">Y104/Assumptions!$H$52</f>
        <v>652.655142857143</v>
      </c>
      <c r="Z105" s="70" t="n">
        <f aca="false">Z104/Assumptions!$H$52</f>
        <v>652.655142857143</v>
      </c>
      <c r="AA105" s="70" t="n">
        <f aca="false">AA104/Assumptions!$H$52</f>
        <v>652.655142857143</v>
      </c>
      <c r="AB105" s="70" t="n">
        <f aca="false">AB104/Assumptions!$H$52</f>
        <v>652.655142857143</v>
      </c>
      <c r="AC105" s="70" t="n">
        <f aca="false">AC104/Assumptions!$H$52</f>
        <v>652.655142857143</v>
      </c>
      <c r="AD105" s="70" t="n">
        <f aca="false">AD104/Assumptions!$H$52</f>
        <v>652.655142857143</v>
      </c>
      <c r="AE105" s="70" t="n">
        <f aca="false">AE104/Assumptions!$H$52</f>
        <v>652.655142857143</v>
      </c>
      <c r="AF105" s="70" t="n">
        <f aca="false">AF104/Assumptions!$H$52</f>
        <v>652.655142857143</v>
      </c>
      <c r="AG105" s="70" t="n">
        <f aca="false">AG104/Assumptions!$H$52</f>
        <v>652.655142857143</v>
      </c>
      <c r="AH105" s="70" t="n">
        <f aca="false">AH104/Assumptions!$H$52</f>
        <v>652.655142857143</v>
      </c>
      <c r="AI105" s="70" t="n">
        <f aca="false">AI104/Assumptions!$H$52</f>
        <v>652.655142857143</v>
      </c>
      <c r="AJ105" s="70" t="n">
        <f aca="false">AJ104/Assumptions!$H$52</f>
        <v>652.655142857143</v>
      </c>
      <c r="AK105" s="70" t="n">
        <f aca="false">AK104/Assumptions!$H$52</f>
        <v>652.655142857143</v>
      </c>
      <c r="AL105" s="70" t="n">
        <f aca="false">AL104/Assumptions!$H$52</f>
        <v>652.655142857143</v>
      </c>
      <c r="AM105" s="70" t="n">
        <f aca="false">AVERAGE(N105:AL105)</f>
        <v>652.655142857143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105"/>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8" min="3" style="0" width="12"/>
    <col collapsed="false" customWidth="true" hidden="false" outlineLevel="0" max="39" min="39" style="0" width="15"/>
  </cols>
  <sheetData>
    <row r="1" customFormat="false" ht="17.35" hidden="false" customHeight="false" outlineLevel="0" collapsed="false">
      <c r="A1" s="4" t="s">
        <v>828</v>
      </c>
    </row>
    <row r="2" customFormat="false" ht="15" hidden="false" customHeight="false" outlineLevel="0" collapsed="false">
      <c r="A2" s="67" t="s">
        <v>686</v>
      </c>
    </row>
    <row r="4" customFormat="false" ht="15" hidden="false" customHeight="false" outlineLevel="0" collapsed="false">
      <c r="A4" s="50" t="s">
        <v>687</v>
      </c>
      <c r="B4" s="50" t="s">
        <v>25</v>
      </c>
      <c r="C4" s="68" t="s">
        <v>688</v>
      </c>
      <c r="D4" s="68" t="s">
        <v>689</v>
      </c>
      <c r="E4" s="68" t="s">
        <v>690</v>
      </c>
      <c r="F4" s="68" t="s">
        <v>691</v>
      </c>
      <c r="G4" s="68" t="s">
        <v>692</v>
      </c>
      <c r="H4" s="68" t="s">
        <v>693</v>
      </c>
      <c r="I4" s="68" t="s">
        <v>694</v>
      </c>
      <c r="J4" s="68" t="s">
        <v>695</v>
      </c>
      <c r="K4" s="68" t="s">
        <v>696</v>
      </c>
      <c r="L4" s="68" t="s">
        <v>697</v>
      </c>
      <c r="M4" s="68" t="s">
        <v>698</v>
      </c>
      <c r="N4" s="68" t="s">
        <v>699</v>
      </c>
      <c r="O4" s="68" t="s">
        <v>700</v>
      </c>
      <c r="P4" s="68" t="s">
        <v>701</v>
      </c>
      <c r="Q4" s="68" t="s">
        <v>702</v>
      </c>
      <c r="R4" s="68" t="s">
        <v>703</v>
      </c>
      <c r="S4" s="68" t="s">
        <v>704</v>
      </c>
      <c r="T4" s="68" t="s">
        <v>705</v>
      </c>
      <c r="U4" s="68" t="s">
        <v>706</v>
      </c>
      <c r="V4" s="68" t="s">
        <v>707</v>
      </c>
      <c r="W4" s="68" t="s">
        <v>708</v>
      </c>
      <c r="X4" s="68" t="s">
        <v>709</v>
      </c>
      <c r="Y4" s="68" t="s">
        <v>710</v>
      </c>
      <c r="Z4" s="68" t="s">
        <v>711</v>
      </c>
      <c r="AA4" s="68" t="s">
        <v>712</v>
      </c>
      <c r="AB4" s="68" t="s">
        <v>713</v>
      </c>
      <c r="AC4" s="68" t="s">
        <v>714</v>
      </c>
      <c r="AD4" s="68" t="s">
        <v>715</v>
      </c>
      <c r="AE4" s="68" t="s">
        <v>716</v>
      </c>
      <c r="AF4" s="68" t="s">
        <v>717</v>
      </c>
      <c r="AG4" s="68" t="s">
        <v>718</v>
      </c>
      <c r="AH4" s="68" t="s">
        <v>719</v>
      </c>
      <c r="AI4" s="68" t="s">
        <v>720</v>
      </c>
      <c r="AJ4" s="68" t="s">
        <v>721</v>
      </c>
      <c r="AK4" s="68" t="s">
        <v>722</v>
      </c>
      <c r="AL4" s="68" t="s">
        <v>723</v>
      </c>
      <c r="AM4" s="50" t="s">
        <v>724</v>
      </c>
    </row>
    <row r="5" customFormat="false" ht="15" hidden="false" customHeight="false" outlineLevel="0" collapsed="false">
      <c r="A5" s="0" t="s">
        <v>725</v>
      </c>
      <c r="B5" s="0" t="s">
        <v>51</v>
      </c>
      <c r="C5" s="10" t="n">
        <v>1</v>
      </c>
      <c r="D5" s="10" t="n">
        <v>2</v>
      </c>
      <c r="E5" s="10" t="n">
        <v>3</v>
      </c>
      <c r="F5" s="10" t="n">
        <v>4</v>
      </c>
      <c r="G5" s="10" t="n">
        <v>5</v>
      </c>
      <c r="H5" s="10" t="n">
        <v>6</v>
      </c>
      <c r="I5" s="10" t="n">
        <v>7</v>
      </c>
      <c r="J5" s="10" t="n">
        <v>8</v>
      </c>
      <c r="K5" s="10" t="n">
        <v>9</v>
      </c>
      <c r="L5" s="10" t="n">
        <v>10</v>
      </c>
      <c r="M5" s="10" t="n">
        <v>11</v>
      </c>
      <c r="N5" s="10" t="n">
        <v>12</v>
      </c>
      <c r="O5" s="10" t="n">
        <v>13</v>
      </c>
      <c r="P5" s="10" t="n">
        <v>14</v>
      </c>
      <c r="Q5" s="10" t="n">
        <v>15</v>
      </c>
      <c r="R5" s="10" t="n">
        <v>16</v>
      </c>
      <c r="S5" s="10" t="n">
        <v>17</v>
      </c>
      <c r="T5" s="10" t="n">
        <v>18</v>
      </c>
      <c r="U5" s="10" t="n">
        <v>19</v>
      </c>
      <c r="V5" s="10" t="n">
        <v>20</v>
      </c>
      <c r="W5" s="10" t="n">
        <v>21</v>
      </c>
      <c r="X5" s="10" t="n">
        <v>22</v>
      </c>
      <c r="Y5" s="10" t="n">
        <v>23</v>
      </c>
      <c r="Z5" s="10" t="n">
        <v>24</v>
      </c>
      <c r="AA5" s="10" t="n">
        <v>25</v>
      </c>
      <c r="AB5" s="10" t="n">
        <v>26</v>
      </c>
      <c r="AC5" s="10" t="n">
        <v>27</v>
      </c>
      <c r="AD5" s="10" t="n">
        <v>28</v>
      </c>
      <c r="AE5" s="10" t="n">
        <v>29</v>
      </c>
      <c r="AF5" s="10" t="n">
        <v>30</v>
      </c>
      <c r="AG5" s="10" t="n">
        <v>31</v>
      </c>
      <c r="AH5" s="10" t="n">
        <v>32</v>
      </c>
      <c r="AI5" s="10" t="n">
        <v>33</v>
      </c>
      <c r="AJ5" s="10" t="n">
        <v>34</v>
      </c>
      <c r="AK5" s="10" t="n">
        <v>35</v>
      </c>
      <c r="AL5" s="10" t="n">
        <v>36</v>
      </c>
    </row>
    <row r="6" customFormat="false" ht="15" hidden="false" customHeight="false" outlineLevel="0" collapsed="false">
      <c r="A6" s="0" t="s">
        <v>726</v>
      </c>
      <c r="B6" s="0" t="s">
        <v>51</v>
      </c>
      <c r="C6" s="10" t="n">
        <f aca="false">ROUNDUP(C$5/12,0)</f>
        <v>1</v>
      </c>
      <c r="D6" s="10" t="n">
        <f aca="false">ROUNDUP(D$5/12,0)</f>
        <v>1</v>
      </c>
      <c r="E6" s="10" t="n">
        <f aca="false">ROUNDUP(E$5/12,0)</f>
        <v>1</v>
      </c>
      <c r="F6" s="10" t="n">
        <f aca="false">ROUNDUP(F$5/12,0)</f>
        <v>1</v>
      </c>
      <c r="G6" s="10" t="n">
        <f aca="false">ROUNDUP(G$5/12,0)</f>
        <v>1</v>
      </c>
      <c r="H6" s="10" t="n">
        <f aca="false">ROUNDUP(H$5/12,0)</f>
        <v>1</v>
      </c>
      <c r="I6" s="10" t="n">
        <f aca="false">ROUNDUP(I$5/12,0)</f>
        <v>1</v>
      </c>
      <c r="J6" s="10" t="n">
        <f aca="false">ROUNDUP(J$5/12,0)</f>
        <v>1</v>
      </c>
      <c r="K6" s="10" t="n">
        <f aca="false">ROUNDUP(K$5/12,0)</f>
        <v>1</v>
      </c>
      <c r="L6" s="10" t="n">
        <f aca="false">ROUNDUP(L$5/12,0)</f>
        <v>1</v>
      </c>
      <c r="M6" s="10" t="n">
        <f aca="false">ROUNDUP(M$5/12,0)</f>
        <v>1</v>
      </c>
      <c r="N6" s="10" t="n">
        <f aca="false">ROUNDUP(N$5/12,0)</f>
        <v>1</v>
      </c>
      <c r="O6" s="10" t="n">
        <f aca="false">ROUNDUP(O$5/12,0)</f>
        <v>2</v>
      </c>
      <c r="P6" s="10" t="n">
        <f aca="false">ROUNDUP(P$5/12,0)</f>
        <v>2</v>
      </c>
      <c r="Q6" s="10" t="n">
        <f aca="false">ROUNDUP(Q$5/12,0)</f>
        <v>2</v>
      </c>
      <c r="R6" s="10" t="n">
        <f aca="false">ROUNDUP(R$5/12,0)</f>
        <v>2</v>
      </c>
      <c r="S6" s="10" t="n">
        <f aca="false">ROUNDUP(S$5/12,0)</f>
        <v>2</v>
      </c>
      <c r="T6" s="10" t="n">
        <f aca="false">ROUNDUP(T$5/12,0)</f>
        <v>2</v>
      </c>
      <c r="U6" s="10" t="n">
        <f aca="false">ROUNDUP(U$5/12,0)</f>
        <v>2</v>
      </c>
      <c r="V6" s="10" t="n">
        <f aca="false">ROUNDUP(V$5/12,0)</f>
        <v>2</v>
      </c>
      <c r="W6" s="10" t="n">
        <f aca="false">ROUNDUP(W$5/12,0)</f>
        <v>2</v>
      </c>
      <c r="X6" s="10" t="n">
        <f aca="false">ROUNDUP(X$5/12,0)</f>
        <v>2</v>
      </c>
      <c r="Y6" s="10" t="n">
        <f aca="false">ROUNDUP(Y$5/12,0)</f>
        <v>2</v>
      </c>
      <c r="Z6" s="10" t="n">
        <f aca="false">ROUNDUP(Z$5/12,0)</f>
        <v>2</v>
      </c>
      <c r="AA6" s="10" t="n">
        <f aca="false">ROUNDUP(AA$5/12,0)</f>
        <v>3</v>
      </c>
      <c r="AB6" s="10" t="n">
        <f aca="false">ROUNDUP(AB$5/12,0)</f>
        <v>3</v>
      </c>
      <c r="AC6" s="10" t="n">
        <f aca="false">ROUNDUP(AC$5/12,0)</f>
        <v>3</v>
      </c>
      <c r="AD6" s="10" t="n">
        <f aca="false">ROUNDUP(AD$5/12,0)</f>
        <v>3</v>
      </c>
      <c r="AE6" s="10" t="n">
        <f aca="false">ROUNDUP(AE$5/12,0)</f>
        <v>3</v>
      </c>
      <c r="AF6" s="10" t="n">
        <f aca="false">ROUNDUP(AF$5/12,0)</f>
        <v>3</v>
      </c>
      <c r="AG6" s="10" t="n">
        <f aca="false">ROUNDUP(AG$5/12,0)</f>
        <v>3</v>
      </c>
      <c r="AH6" s="10" t="n">
        <f aca="false">ROUNDUP(AH$5/12,0)</f>
        <v>3</v>
      </c>
      <c r="AI6" s="10" t="n">
        <f aca="false">ROUNDUP(AI$5/12,0)</f>
        <v>3</v>
      </c>
      <c r="AJ6" s="10" t="n">
        <f aca="false">ROUNDUP(AJ$5/12,0)</f>
        <v>3</v>
      </c>
      <c r="AK6" s="10" t="n">
        <f aca="false">ROUNDUP(AK$5/12,0)</f>
        <v>3</v>
      </c>
      <c r="AL6" s="10" t="n">
        <f aca="false">ROUNDUP(AL$5/12,0)</f>
        <v>3</v>
      </c>
    </row>
    <row r="8" customFormat="false" ht="15" hidden="false" customHeight="false" outlineLevel="0" collapsed="false">
      <c r="A8" s="10" t="s">
        <v>727</v>
      </c>
      <c r="B8" s="9" t="s">
        <v>728</v>
      </c>
      <c r="C8" s="69" t="n">
        <f aca="false">IF(C$5&gt;=Assumptions!$I$6,1,0)</f>
        <v>0</v>
      </c>
      <c r="D8" s="69" t="n">
        <f aca="false">IF(D$5&gt;=Assumptions!$I$6,1,0)</f>
        <v>1</v>
      </c>
      <c r="E8" s="69" t="n">
        <f aca="false">IF(E$5&gt;=Assumptions!$I$6,1,0)</f>
        <v>1</v>
      </c>
      <c r="F8" s="69" t="n">
        <f aca="false">IF(F$5&gt;=Assumptions!$I$6,1,0)</f>
        <v>1</v>
      </c>
      <c r="G8" s="69" t="n">
        <f aca="false">IF(G$5&gt;=Assumptions!$I$6,1,0)</f>
        <v>1</v>
      </c>
      <c r="H8" s="69" t="n">
        <f aca="false">IF(H$5&gt;=Assumptions!$I$6,1,0)</f>
        <v>1</v>
      </c>
      <c r="I8" s="69" t="n">
        <f aca="false">IF(I$5&gt;=Assumptions!$I$6,1,0)</f>
        <v>1</v>
      </c>
      <c r="J8" s="69" t="n">
        <f aca="false">IF(J$5&gt;=Assumptions!$I$6,1,0)</f>
        <v>1</v>
      </c>
      <c r="K8" s="69" t="n">
        <f aca="false">IF(K$5&gt;=Assumptions!$I$6,1,0)</f>
        <v>1</v>
      </c>
      <c r="L8" s="69" t="n">
        <f aca="false">IF(L$5&gt;=Assumptions!$I$6,1,0)</f>
        <v>1</v>
      </c>
      <c r="M8" s="69" t="n">
        <f aca="false">IF(M$5&gt;=Assumptions!$I$6,1,0)</f>
        <v>1</v>
      </c>
      <c r="N8" s="69" t="n">
        <f aca="false">IF(N$5&gt;=Assumptions!$I$6,1,0)</f>
        <v>1</v>
      </c>
      <c r="O8" s="69" t="n">
        <f aca="false">IF(O$5&gt;=Assumptions!$I$6,1,0)</f>
        <v>1</v>
      </c>
      <c r="P8" s="69" t="n">
        <f aca="false">IF(P$5&gt;=Assumptions!$I$6,1,0)</f>
        <v>1</v>
      </c>
      <c r="Q8" s="69" t="n">
        <f aca="false">IF(Q$5&gt;=Assumptions!$I$6,1,0)</f>
        <v>1</v>
      </c>
      <c r="R8" s="69" t="n">
        <f aca="false">IF(R$5&gt;=Assumptions!$I$6,1,0)</f>
        <v>1</v>
      </c>
      <c r="S8" s="69" t="n">
        <f aca="false">IF(S$5&gt;=Assumptions!$I$6,1,0)</f>
        <v>1</v>
      </c>
      <c r="T8" s="69" t="n">
        <f aca="false">IF(T$5&gt;=Assumptions!$I$6,1,0)</f>
        <v>1</v>
      </c>
      <c r="U8" s="69" t="n">
        <f aca="false">IF(U$5&gt;=Assumptions!$I$6,1,0)</f>
        <v>1</v>
      </c>
      <c r="V8" s="69" t="n">
        <f aca="false">IF(V$5&gt;=Assumptions!$I$6,1,0)</f>
        <v>1</v>
      </c>
      <c r="W8" s="69" t="n">
        <f aca="false">IF(W$5&gt;=Assumptions!$I$6,1,0)</f>
        <v>1</v>
      </c>
      <c r="X8" s="69" t="n">
        <f aca="false">IF(X$5&gt;=Assumptions!$I$6,1,0)</f>
        <v>1</v>
      </c>
      <c r="Y8" s="69" t="n">
        <f aca="false">IF(Y$5&gt;=Assumptions!$I$6,1,0)</f>
        <v>1</v>
      </c>
      <c r="Z8" s="69" t="n">
        <f aca="false">IF(Z$5&gt;=Assumptions!$I$6,1,0)</f>
        <v>1</v>
      </c>
      <c r="AA8" s="69" t="n">
        <f aca="false">IF(AA$5&gt;=Assumptions!$I$6,1,0)</f>
        <v>1</v>
      </c>
      <c r="AB8" s="69" t="n">
        <f aca="false">IF(AB$5&gt;=Assumptions!$I$6,1,0)</f>
        <v>1</v>
      </c>
      <c r="AC8" s="69" t="n">
        <f aca="false">IF(AC$5&gt;=Assumptions!$I$6,1,0)</f>
        <v>1</v>
      </c>
      <c r="AD8" s="69" t="n">
        <f aca="false">IF(AD$5&gt;=Assumptions!$I$6,1,0)</f>
        <v>1</v>
      </c>
      <c r="AE8" s="69" t="n">
        <f aca="false">IF(AE$5&gt;=Assumptions!$I$6,1,0)</f>
        <v>1</v>
      </c>
      <c r="AF8" s="69" t="n">
        <f aca="false">IF(AF$5&gt;=Assumptions!$I$6,1,0)</f>
        <v>1</v>
      </c>
      <c r="AG8" s="69" t="n">
        <f aca="false">IF(AG$5&gt;=Assumptions!$I$6,1,0)</f>
        <v>1</v>
      </c>
      <c r="AH8" s="69" t="n">
        <f aca="false">IF(AH$5&gt;=Assumptions!$I$6,1,0)</f>
        <v>1</v>
      </c>
      <c r="AI8" s="69" t="n">
        <f aca="false">IF(AI$5&gt;=Assumptions!$I$6,1,0)</f>
        <v>1</v>
      </c>
      <c r="AJ8" s="69" t="n">
        <f aca="false">IF(AJ$5&gt;=Assumptions!$I$6,1,0)</f>
        <v>1</v>
      </c>
      <c r="AK8" s="69" t="n">
        <f aca="false">IF(AK$5&gt;=Assumptions!$I$6,1,0)</f>
        <v>1</v>
      </c>
      <c r="AL8" s="69" t="n">
        <f aca="false">IF(AL$5&gt;=Assumptions!$I$6,1,0)</f>
        <v>1</v>
      </c>
      <c r="AM8" s="69"/>
    </row>
    <row r="9" customFormat="false" ht="15" hidden="false" customHeight="false" outlineLevel="0" collapsed="false">
      <c r="A9" s="10" t="s">
        <v>729</v>
      </c>
      <c r="B9" s="9" t="s">
        <v>728</v>
      </c>
      <c r="C9" s="69" t="n">
        <f aca="false">IF(C$5&gt;=Assumptions!$I$7,1,0)</f>
        <v>0</v>
      </c>
      <c r="D9" s="69" t="n">
        <f aca="false">IF(D$5&gt;=Assumptions!$I$7,1,0)</f>
        <v>0</v>
      </c>
      <c r="E9" s="69" t="n">
        <f aca="false">IF(E$5&gt;=Assumptions!$I$7,1,0)</f>
        <v>0</v>
      </c>
      <c r="F9" s="69" t="n">
        <f aca="false">IF(F$5&gt;=Assumptions!$I$7,1,0)</f>
        <v>0</v>
      </c>
      <c r="G9" s="69" t="n">
        <f aca="false">IF(G$5&gt;=Assumptions!$I$7,1,0)</f>
        <v>0</v>
      </c>
      <c r="H9" s="69" t="n">
        <f aca="false">IF(H$5&gt;=Assumptions!$I$7,1,0)</f>
        <v>0</v>
      </c>
      <c r="I9" s="69" t="n">
        <f aca="false">IF(I$5&gt;=Assumptions!$I$7,1,0)</f>
        <v>1</v>
      </c>
      <c r="J9" s="69" t="n">
        <f aca="false">IF(J$5&gt;=Assumptions!$I$7,1,0)</f>
        <v>1</v>
      </c>
      <c r="K9" s="69" t="n">
        <f aca="false">IF(K$5&gt;=Assumptions!$I$7,1,0)</f>
        <v>1</v>
      </c>
      <c r="L9" s="69" t="n">
        <f aca="false">IF(L$5&gt;=Assumptions!$I$7,1,0)</f>
        <v>1</v>
      </c>
      <c r="M9" s="69" t="n">
        <f aca="false">IF(M$5&gt;=Assumptions!$I$7,1,0)</f>
        <v>1</v>
      </c>
      <c r="N9" s="69" t="n">
        <f aca="false">IF(N$5&gt;=Assumptions!$I$7,1,0)</f>
        <v>1</v>
      </c>
      <c r="O9" s="69" t="n">
        <f aca="false">IF(O$5&gt;=Assumptions!$I$7,1,0)</f>
        <v>1</v>
      </c>
      <c r="P9" s="69" t="n">
        <f aca="false">IF(P$5&gt;=Assumptions!$I$7,1,0)</f>
        <v>1</v>
      </c>
      <c r="Q9" s="69" t="n">
        <f aca="false">IF(Q$5&gt;=Assumptions!$I$7,1,0)</f>
        <v>1</v>
      </c>
      <c r="R9" s="69" t="n">
        <f aca="false">IF(R$5&gt;=Assumptions!$I$7,1,0)</f>
        <v>1</v>
      </c>
      <c r="S9" s="69" t="n">
        <f aca="false">IF(S$5&gt;=Assumptions!$I$7,1,0)</f>
        <v>1</v>
      </c>
      <c r="T9" s="69" t="n">
        <f aca="false">IF(T$5&gt;=Assumptions!$I$7,1,0)</f>
        <v>1</v>
      </c>
      <c r="U9" s="69" t="n">
        <f aca="false">IF(U$5&gt;=Assumptions!$I$7,1,0)</f>
        <v>1</v>
      </c>
      <c r="V9" s="69" t="n">
        <f aca="false">IF(V$5&gt;=Assumptions!$I$7,1,0)</f>
        <v>1</v>
      </c>
      <c r="W9" s="69" t="n">
        <f aca="false">IF(W$5&gt;=Assumptions!$I$7,1,0)</f>
        <v>1</v>
      </c>
      <c r="X9" s="69" t="n">
        <f aca="false">IF(X$5&gt;=Assumptions!$I$7,1,0)</f>
        <v>1</v>
      </c>
      <c r="Y9" s="69" t="n">
        <f aca="false">IF(Y$5&gt;=Assumptions!$I$7,1,0)</f>
        <v>1</v>
      </c>
      <c r="Z9" s="69" t="n">
        <f aca="false">IF(Z$5&gt;=Assumptions!$I$7,1,0)</f>
        <v>1</v>
      </c>
      <c r="AA9" s="69" t="n">
        <f aca="false">IF(AA$5&gt;=Assumptions!$I$7,1,0)</f>
        <v>1</v>
      </c>
      <c r="AB9" s="69" t="n">
        <f aca="false">IF(AB$5&gt;=Assumptions!$I$7,1,0)</f>
        <v>1</v>
      </c>
      <c r="AC9" s="69" t="n">
        <f aca="false">IF(AC$5&gt;=Assumptions!$I$7,1,0)</f>
        <v>1</v>
      </c>
      <c r="AD9" s="69" t="n">
        <f aca="false">IF(AD$5&gt;=Assumptions!$I$7,1,0)</f>
        <v>1</v>
      </c>
      <c r="AE9" s="69" t="n">
        <f aca="false">IF(AE$5&gt;=Assumptions!$I$7,1,0)</f>
        <v>1</v>
      </c>
      <c r="AF9" s="69" t="n">
        <f aca="false">IF(AF$5&gt;=Assumptions!$I$7,1,0)</f>
        <v>1</v>
      </c>
      <c r="AG9" s="69" t="n">
        <f aca="false">IF(AG$5&gt;=Assumptions!$I$7,1,0)</f>
        <v>1</v>
      </c>
      <c r="AH9" s="69" t="n">
        <f aca="false">IF(AH$5&gt;=Assumptions!$I$7,1,0)</f>
        <v>1</v>
      </c>
      <c r="AI9" s="69" t="n">
        <f aca="false">IF(AI$5&gt;=Assumptions!$I$7,1,0)</f>
        <v>1</v>
      </c>
      <c r="AJ9" s="69" t="n">
        <f aca="false">IF(AJ$5&gt;=Assumptions!$I$7,1,0)</f>
        <v>1</v>
      </c>
      <c r="AK9" s="69" t="n">
        <f aca="false">IF(AK$5&gt;=Assumptions!$I$7,1,0)</f>
        <v>1</v>
      </c>
      <c r="AL9" s="69" t="n">
        <f aca="false">IF(AL$5&gt;=Assumptions!$I$7,1,0)</f>
        <v>1</v>
      </c>
      <c r="AM9" s="69"/>
    </row>
    <row r="10" customFormat="false" ht="15" hidden="false" customHeight="false" outlineLevel="0" collapsed="false">
      <c r="A10" s="10" t="s">
        <v>730</v>
      </c>
      <c r="B10" s="9" t="s">
        <v>51</v>
      </c>
      <c r="C10" s="69" t="n">
        <f aca="false">MAX(0,C$5-Assumptions!$I$6)</f>
        <v>0</v>
      </c>
      <c r="D10" s="69" t="n">
        <f aca="false">MAX(0,D$5-Assumptions!$I$6)</f>
        <v>0</v>
      </c>
      <c r="E10" s="69" t="n">
        <f aca="false">MAX(0,E$5-Assumptions!$I$6)</f>
        <v>1</v>
      </c>
      <c r="F10" s="69" t="n">
        <f aca="false">MAX(0,F$5-Assumptions!$I$6)</f>
        <v>2</v>
      </c>
      <c r="G10" s="69" t="n">
        <f aca="false">MAX(0,G$5-Assumptions!$I$6)</f>
        <v>3</v>
      </c>
      <c r="H10" s="69" t="n">
        <f aca="false">MAX(0,H$5-Assumptions!$I$6)</f>
        <v>4</v>
      </c>
      <c r="I10" s="69" t="n">
        <f aca="false">MAX(0,I$5-Assumptions!$I$6)</f>
        <v>5</v>
      </c>
      <c r="J10" s="69" t="n">
        <f aca="false">MAX(0,J$5-Assumptions!$I$6)</f>
        <v>6</v>
      </c>
      <c r="K10" s="69" t="n">
        <f aca="false">MAX(0,K$5-Assumptions!$I$6)</f>
        <v>7</v>
      </c>
      <c r="L10" s="69" t="n">
        <f aca="false">MAX(0,L$5-Assumptions!$I$6)</f>
        <v>8</v>
      </c>
      <c r="M10" s="69" t="n">
        <f aca="false">MAX(0,M$5-Assumptions!$I$6)</f>
        <v>9</v>
      </c>
      <c r="N10" s="69" t="n">
        <f aca="false">MAX(0,N$5-Assumptions!$I$6)</f>
        <v>10</v>
      </c>
      <c r="O10" s="69" t="n">
        <f aca="false">MAX(0,O$5-Assumptions!$I$6)</f>
        <v>11</v>
      </c>
      <c r="P10" s="69" t="n">
        <f aca="false">MAX(0,P$5-Assumptions!$I$6)</f>
        <v>12</v>
      </c>
      <c r="Q10" s="69" t="n">
        <f aca="false">MAX(0,Q$5-Assumptions!$I$6)</f>
        <v>13</v>
      </c>
      <c r="R10" s="69" t="n">
        <f aca="false">MAX(0,R$5-Assumptions!$I$6)</f>
        <v>14</v>
      </c>
      <c r="S10" s="69" t="n">
        <f aca="false">MAX(0,S$5-Assumptions!$I$6)</f>
        <v>15</v>
      </c>
      <c r="T10" s="69" t="n">
        <f aca="false">MAX(0,T$5-Assumptions!$I$6)</f>
        <v>16</v>
      </c>
      <c r="U10" s="69" t="n">
        <f aca="false">MAX(0,U$5-Assumptions!$I$6)</f>
        <v>17</v>
      </c>
      <c r="V10" s="69" t="n">
        <f aca="false">MAX(0,V$5-Assumptions!$I$6)</f>
        <v>18</v>
      </c>
      <c r="W10" s="69" t="n">
        <f aca="false">MAX(0,W$5-Assumptions!$I$6)</f>
        <v>19</v>
      </c>
      <c r="X10" s="69" t="n">
        <f aca="false">MAX(0,X$5-Assumptions!$I$6)</f>
        <v>20</v>
      </c>
      <c r="Y10" s="69" t="n">
        <f aca="false">MAX(0,Y$5-Assumptions!$I$6)</f>
        <v>21</v>
      </c>
      <c r="Z10" s="69" t="n">
        <f aca="false">MAX(0,Z$5-Assumptions!$I$6)</f>
        <v>22</v>
      </c>
      <c r="AA10" s="69" t="n">
        <f aca="false">MAX(0,AA$5-Assumptions!$I$6)</f>
        <v>23</v>
      </c>
      <c r="AB10" s="69" t="n">
        <f aca="false">MAX(0,AB$5-Assumptions!$I$6)</f>
        <v>24</v>
      </c>
      <c r="AC10" s="69" t="n">
        <f aca="false">MAX(0,AC$5-Assumptions!$I$6)</f>
        <v>25</v>
      </c>
      <c r="AD10" s="69" t="n">
        <f aca="false">MAX(0,AD$5-Assumptions!$I$6)</f>
        <v>26</v>
      </c>
      <c r="AE10" s="69" t="n">
        <f aca="false">MAX(0,AE$5-Assumptions!$I$6)</f>
        <v>27</v>
      </c>
      <c r="AF10" s="69" t="n">
        <f aca="false">MAX(0,AF$5-Assumptions!$I$6)</f>
        <v>28</v>
      </c>
      <c r="AG10" s="69" t="n">
        <f aca="false">MAX(0,AG$5-Assumptions!$I$6)</f>
        <v>29</v>
      </c>
      <c r="AH10" s="69" t="n">
        <f aca="false">MAX(0,AH$5-Assumptions!$I$6)</f>
        <v>30</v>
      </c>
      <c r="AI10" s="69" t="n">
        <f aca="false">MAX(0,AI$5-Assumptions!$I$6)</f>
        <v>31</v>
      </c>
      <c r="AJ10" s="69" t="n">
        <f aca="false">MAX(0,AJ$5-Assumptions!$I$6)</f>
        <v>32</v>
      </c>
      <c r="AK10" s="69" t="n">
        <f aca="false">MAX(0,AK$5-Assumptions!$I$6)</f>
        <v>33</v>
      </c>
      <c r="AL10" s="69" t="n">
        <f aca="false">MAX(0,AL$5-Assumptions!$I$6)</f>
        <v>34</v>
      </c>
      <c r="AM10" s="69"/>
    </row>
    <row r="11" customFormat="false" ht="15" hidden="false" customHeight="false" outlineLevel="0" collapsed="false">
      <c r="A11" s="10" t="s">
        <v>731</v>
      </c>
      <c r="B11" s="9" t="s">
        <v>84</v>
      </c>
      <c r="C11" s="61" t="n">
        <f aca="false">Assumptions!$I$9*Assumptions!$I$10*Assumptions!$I$11*Assumptions!$I$12</f>
        <v>76720</v>
      </c>
      <c r="D11" s="61" t="n">
        <f aca="false">Assumptions!$I$9*Assumptions!$I$10*Assumptions!$I$11*Assumptions!$I$12</f>
        <v>76720</v>
      </c>
      <c r="E11" s="61" t="n">
        <f aca="false">Assumptions!$I$9*Assumptions!$I$10*Assumptions!$I$11*Assumptions!$I$12</f>
        <v>76720</v>
      </c>
      <c r="F11" s="61" t="n">
        <f aca="false">Assumptions!$I$9*Assumptions!$I$10*Assumptions!$I$11*Assumptions!$I$12</f>
        <v>76720</v>
      </c>
      <c r="G11" s="61" t="n">
        <f aca="false">Assumptions!$I$9*Assumptions!$I$10*Assumptions!$I$11*Assumptions!$I$12</f>
        <v>76720</v>
      </c>
      <c r="H11" s="61" t="n">
        <f aca="false">Assumptions!$I$9*Assumptions!$I$10*Assumptions!$I$11*Assumptions!$I$12</f>
        <v>76720</v>
      </c>
      <c r="I11" s="61" t="n">
        <f aca="false">Assumptions!$I$9*Assumptions!$I$10*Assumptions!$I$11*Assumptions!$I$12</f>
        <v>76720</v>
      </c>
      <c r="J11" s="61" t="n">
        <f aca="false">Assumptions!$I$9*Assumptions!$I$10*Assumptions!$I$11*Assumptions!$I$12</f>
        <v>76720</v>
      </c>
      <c r="K11" s="61" t="n">
        <f aca="false">Assumptions!$I$9*Assumptions!$I$10*Assumptions!$I$11*Assumptions!$I$12</f>
        <v>76720</v>
      </c>
      <c r="L11" s="61" t="n">
        <f aca="false">Assumptions!$I$9*Assumptions!$I$10*Assumptions!$I$11*Assumptions!$I$12</f>
        <v>76720</v>
      </c>
      <c r="M11" s="61" t="n">
        <f aca="false">Assumptions!$I$9*Assumptions!$I$10*Assumptions!$I$11*Assumptions!$I$12</f>
        <v>76720</v>
      </c>
      <c r="N11" s="61" t="n">
        <f aca="false">Assumptions!$I$9*Assumptions!$I$10*Assumptions!$I$11*Assumptions!$I$12</f>
        <v>76720</v>
      </c>
      <c r="O11" s="61" t="n">
        <f aca="false">Assumptions!$I$9*Assumptions!$I$10*Assumptions!$I$11*Assumptions!$I$12</f>
        <v>76720</v>
      </c>
      <c r="P11" s="61" t="n">
        <f aca="false">Assumptions!$I$9*Assumptions!$I$10*Assumptions!$I$11*Assumptions!$I$12</f>
        <v>76720</v>
      </c>
      <c r="Q11" s="61" t="n">
        <f aca="false">Assumptions!$I$9*Assumptions!$I$10*Assumptions!$I$11*Assumptions!$I$12</f>
        <v>76720</v>
      </c>
      <c r="R11" s="61" t="n">
        <f aca="false">Assumptions!$I$9*Assumptions!$I$10*Assumptions!$I$11*Assumptions!$I$12</f>
        <v>76720</v>
      </c>
      <c r="S11" s="61" t="n">
        <f aca="false">Assumptions!$I$9*Assumptions!$I$10*Assumptions!$I$11*Assumptions!$I$12</f>
        <v>76720</v>
      </c>
      <c r="T11" s="61" t="n">
        <f aca="false">Assumptions!$I$9*Assumptions!$I$10*Assumptions!$I$11*Assumptions!$I$12</f>
        <v>76720</v>
      </c>
      <c r="U11" s="61" t="n">
        <f aca="false">Assumptions!$I$9*Assumptions!$I$10*Assumptions!$I$11*Assumptions!$I$12</f>
        <v>76720</v>
      </c>
      <c r="V11" s="61" t="n">
        <f aca="false">Assumptions!$I$9*Assumptions!$I$10*Assumptions!$I$11*Assumptions!$I$12</f>
        <v>76720</v>
      </c>
      <c r="W11" s="61" t="n">
        <f aca="false">Assumptions!$I$9*Assumptions!$I$10*Assumptions!$I$11*Assumptions!$I$12</f>
        <v>76720</v>
      </c>
      <c r="X11" s="61" t="n">
        <f aca="false">Assumptions!$I$9*Assumptions!$I$10*Assumptions!$I$11*Assumptions!$I$12</f>
        <v>76720</v>
      </c>
      <c r="Y11" s="61" t="n">
        <f aca="false">Assumptions!$I$9*Assumptions!$I$10*Assumptions!$I$11*Assumptions!$I$12</f>
        <v>76720</v>
      </c>
      <c r="Z11" s="61" t="n">
        <f aca="false">Assumptions!$I$9*Assumptions!$I$10*Assumptions!$I$11*Assumptions!$I$12</f>
        <v>76720</v>
      </c>
      <c r="AA11" s="61" t="n">
        <f aca="false">Assumptions!$I$9*Assumptions!$I$10*Assumptions!$I$11*Assumptions!$I$12</f>
        <v>76720</v>
      </c>
      <c r="AB11" s="61" t="n">
        <f aca="false">Assumptions!$I$9*Assumptions!$I$10*Assumptions!$I$11*Assumptions!$I$12</f>
        <v>76720</v>
      </c>
      <c r="AC11" s="61" t="n">
        <f aca="false">Assumptions!$I$9*Assumptions!$I$10*Assumptions!$I$11*Assumptions!$I$12</f>
        <v>76720</v>
      </c>
      <c r="AD11" s="61" t="n">
        <f aca="false">Assumptions!$I$9*Assumptions!$I$10*Assumptions!$I$11*Assumptions!$I$12</f>
        <v>76720</v>
      </c>
      <c r="AE11" s="61" t="n">
        <f aca="false">Assumptions!$I$9*Assumptions!$I$10*Assumptions!$I$11*Assumptions!$I$12</f>
        <v>76720</v>
      </c>
      <c r="AF11" s="61" t="n">
        <f aca="false">Assumptions!$I$9*Assumptions!$I$10*Assumptions!$I$11*Assumptions!$I$12</f>
        <v>76720</v>
      </c>
      <c r="AG11" s="61" t="n">
        <f aca="false">Assumptions!$I$9*Assumptions!$I$10*Assumptions!$I$11*Assumptions!$I$12</f>
        <v>76720</v>
      </c>
      <c r="AH11" s="61" t="n">
        <f aca="false">Assumptions!$I$9*Assumptions!$I$10*Assumptions!$I$11*Assumptions!$I$12</f>
        <v>76720</v>
      </c>
      <c r="AI11" s="61" t="n">
        <f aca="false">Assumptions!$I$9*Assumptions!$I$10*Assumptions!$I$11*Assumptions!$I$12</f>
        <v>76720</v>
      </c>
      <c r="AJ11" s="61" t="n">
        <f aca="false">Assumptions!$I$9*Assumptions!$I$10*Assumptions!$I$11*Assumptions!$I$12</f>
        <v>76720</v>
      </c>
      <c r="AK11" s="61" t="n">
        <f aca="false">Assumptions!$I$9*Assumptions!$I$10*Assumptions!$I$11*Assumptions!$I$12</f>
        <v>76720</v>
      </c>
      <c r="AL11" s="61" t="n">
        <f aca="false">Assumptions!$I$9*Assumptions!$I$10*Assumptions!$I$11*Assumptions!$I$12</f>
        <v>76720</v>
      </c>
      <c r="AM11" s="61"/>
    </row>
    <row r="12" customFormat="false" ht="15" hidden="false" customHeight="false" outlineLevel="0" collapsed="false">
      <c r="A12" s="10" t="s">
        <v>732</v>
      </c>
      <c r="B12" s="9" t="s">
        <v>78</v>
      </c>
      <c r="C12" s="57" t="n">
        <f aca="false">IF(C8=0,0,IF(C10=0,Assumptions!$I$15,Assumptions!$I$14+(1-Assumptions!$I$14)*Assumptions!$I$13^C10))</f>
        <v>0</v>
      </c>
      <c r="D12" s="57" t="n">
        <f aca="false">IF(D8=0,0,IF(D10=0,Assumptions!$I$15,Assumptions!$I$14+(1-Assumptions!$I$14)*Assumptions!$I$13^D10))</f>
        <v>2.3</v>
      </c>
      <c r="E12" s="57" t="n">
        <f aca="false">IF(E8=0,0,IF(E10=0,Assumptions!$I$15,Assumptions!$I$14+(1-Assumptions!$I$14)*Assumptions!$I$13^E10))</f>
        <v>0.876</v>
      </c>
      <c r="F12" s="57" t="n">
        <f aca="false">IF(F8=0,0,IF(F10=0,Assumptions!$I$15,Assumptions!$I$14+(1-Assumptions!$I$14)*Assumptions!$I$13^F10))</f>
        <v>0.7768</v>
      </c>
      <c r="G12" s="57" t="n">
        <f aca="false">IF(G8=0,0,IF(G10=0,Assumptions!$I$15,Assumptions!$I$14+(1-Assumptions!$I$14)*Assumptions!$I$13^G10))</f>
        <v>0.69744</v>
      </c>
      <c r="H12" s="57" t="n">
        <f aca="false">IF(H8=0,0,IF(H10=0,Assumptions!$I$15,Assumptions!$I$14+(1-Assumptions!$I$14)*Assumptions!$I$13^H10))</f>
        <v>0.633952</v>
      </c>
      <c r="I12" s="57" t="n">
        <f aca="false">IF(I8=0,0,IF(I10=0,Assumptions!$I$15,Assumptions!$I$14+(1-Assumptions!$I$14)*Assumptions!$I$13^I10))</f>
        <v>0.5831616</v>
      </c>
      <c r="J12" s="57" t="n">
        <f aca="false">IF(J8=0,0,IF(J10=0,Assumptions!$I$15,Assumptions!$I$14+(1-Assumptions!$I$14)*Assumptions!$I$13^J10))</f>
        <v>0.54252928</v>
      </c>
      <c r="K12" s="57" t="n">
        <f aca="false">IF(K8=0,0,IF(K10=0,Assumptions!$I$15,Assumptions!$I$14+(1-Assumptions!$I$14)*Assumptions!$I$13^K10))</f>
        <v>0.510023424</v>
      </c>
      <c r="L12" s="57" t="n">
        <f aca="false">IF(L8=0,0,IF(L10=0,Assumptions!$I$15,Assumptions!$I$14+(1-Assumptions!$I$14)*Assumptions!$I$13^L10))</f>
        <v>0.4840187392</v>
      </c>
      <c r="M12" s="57" t="n">
        <f aca="false">IF(M8=0,0,IF(M10=0,Assumptions!$I$15,Assumptions!$I$14+(1-Assumptions!$I$14)*Assumptions!$I$13^M10))</f>
        <v>0.46321499136</v>
      </c>
      <c r="N12" s="57" t="n">
        <f aca="false">IF(N8=0,0,IF(N10=0,Assumptions!$I$15,Assumptions!$I$14+(1-Assumptions!$I$14)*Assumptions!$I$13^N10))</f>
        <v>0.446571993088</v>
      </c>
      <c r="O12" s="57" t="n">
        <f aca="false">IF(O8=0,0,IF(O10=0,Assumptions!$I$15,Assumptions!$I$14+(1-Assumptions!$I$14)*Assumptions!$I$13^O10))</f>
        <v>0.4332575944704</v>
      </c>
      <c r="P12" s="57" t="n">
        <f aca="false">IF(P8=0,0,IF(P10=0,Assumptions!$I$15,Assumptions!$I$14+(1-Assumptions!$I$14)*Assumptions!$I$13^P10))</f>
        <v>0.42260607557632</v>
      </c>
      <c r="Q12" s="57" t="n">
        <f aca="false">IF(Q8=0,0,IF(Q10=0,Assumptions!$I$15,Assumptions!$I$14+(1-Assumptions!$I$14)*Assumptions!$I$13^Q10))</f>
        <v>0.414084860461056</v>
      </c>
      <c r="R12" s="57" t="n">
        <f aca="false">IF(R8=0,0,IF(R10=0,Assumptions!$I$15,Assumptions!$I$14+(1-Assumptions!$I$14)*Assumptions!$I$13^R10))</f>
        <v>0.407267888368845</v>
      </c>
      <c r="S12" s="57" t="n">
        <f aca="false">IF(S8=0,0,IF(S10=0,Assumptions!$I$15,Assumptions!$I$14+(1-Assumptions!$I$14)*Assumptions!$I$13^S10))</f>
        <v>0.401814310695076</v>
      </c>
      <c r="T12" s="57" t="n">
        <f aca="false">IF(T8=0,0,IF(T10=0,Assumptions!$I$15,Assumptions!$I$14+(1-Assumptions!$I$14)*Assumptions!$I$13^T10))</f>
        <v>0.397451448556061</v>
      </c>
      <c r="U12" s="57" t="n">
        <f aca="false">IF(U8=0,0,IF(U10=0,Assumptions!$I$15,Assumptions!$I$14+(1-Assumptions!$I$14)*Assumptions!$I$13^U10))</f>
        <v>0.393961158844849</v>
      </c>
      <c r="V12" s="57" t="n">
        <f aca="false">IF(V8=0,0,IF(V10=0,Assumptions!$I$15,Assumptions!$I$14+(1-Assumptions!$I$14)*Assumptions!$I$13^V10))</f>
        <v>0.391168927075879</v>
      </c>
      <c r="W12" s="57" t="n">
        <f aca="false">IF(W8=0,0,IF(W10=0,Assumptions!$I$15,Assumptions!$I$14+(1-Assumptions!$I$14)*Assumptions!$I$13^W10))</f>
        <v>0.388935141660703</v>
      </c>
      <c r="X12" s="57" t="n">
        <f aca="false">IF(X8=0,0,IF(X10=0,Assumptions!$I$15,Assumptions!$I$14+(1-Assumptions!$I$14)*Assumptions!$I$13^X10))</f>
        <v>0.387148113328562</v>
      </c>
      <c r="Y12" s="57" t="n">
        <f aca="false">IF(Y8=0,0,IF(Y10=0,Assumptions!$I$15,Assumptions!$I$14+(1-Assumptions!$I$14)*Assumptions!$I$13^Y10))</f>
        <v>0.38571849066285</v>
      </c>
      <c r="Z12" s="57" t="n">
        <f aca="false">IF(Z8=0,0,IF(Z10=0,Assumptions!$I$15,Assumptions!$I$14+(1-Assumptions!$I$14)*Assumptions!$I$13^Z10))</f>
        <v>0.38457479253028</v>
      </c>
      <c r="AA12" s="57" t="n">
        <f aca="false">IF(AA8=0,0,IF(AA10=0,Assumptions!$I$15,Assumptions!$I$14+(1-Assumptions!$I$14)*Assumptions!$I$13^AA10))</f>
        <v>0.383659834024224</v>
      </c>
      <c r="AB12" s="57" t="n">
        <f aca="false">IF(AB8=0,0,IF(AB10=0,Assumptions!$I$15,Assumptions!$I$14+(1-Assumptions!$I$14)*Assumptions!$I$13^AB10))</f>
        <v>0.382927867219379</v>
      </c>
      <c r="AC12" s="57" t="n">
        <f aca="false">IF(AC8=0,0,IF(AC10=0,Assumptions!$I$15,Assumptions!$I$14+(1-Assumptions!$I$14)*Assumptions!$I$13^AC10))</f>
        <v>0.382342293775503</v>
      </c>
      <c r="AD12" s="57" t="n">
        <f aca="false">IF(AD8=0,0,IF(AD10=0,Assumptions!$I$15,Assumptions!$I$14+(1-Assumptions!$I$14)*Assumptions!$I$13^AD10))</f>
        <v>0.381873835020403</v>
      </c>
      <c r="AE12" s="57" t="n">
        <f aca="false">IF(AE8=0,0,IF(AE10=0,Assumptions!$I$15,Assumptions!$I$14+(1-Assumptions!$I$14)*Assumptions!$I$13^AE10))</f>
        <v>0.381499068016322</v>
      </c>
      <c r="AF12" s="57" t="n">
        <f aca="false">IF(AF8=0,0,IF(AF10=0,Assumptions!$I$15,Assumptions!$I$14+(1-Assumptions!$I$14)*Assumptions!$I$13^AF10))</f>
        <v>0.381199254413058</v>
      </c>
      <c r="AG12" s="57" t="n">
        <f aca="false">IF(AG8=0,0,IF(AG10=0,Assumptions!$I$15,Assumptions!$I$14+(1-Assumptions!$I$14)*Assumptions!$I$13^AG10))</f>
        <v>0.380959403530446</v>
      </c>
      <c r="AH12" s="57" t="n">
        <f aca="false">IF(AH8=0,0,IF(AH10=0,Assumptions!$I$15,Assumptions!$I$14+(1-Assumptions!$I$14)*Assumptions!$I$13^AH10))</f>
        <v>0.380767522824357</v>
      </c>
      <c r="AI12" s="57" t="n">
        <f aca="false">IF(AI8=0,0,IF(AI10=0,Assumptions!$I$15,Assumptions!$I$14+(1-Assumptions!$I$14)*Assumptions!$I$13^AI10))</f>
        <v>0.380614018259486</v>
      </c>
      <c r="AJ12" s="57" t="n">
        <f aca="false">IF(AJ8=0,0,IF(AJ10=0,Assumptions!$I$15,Assumptions!$I$14+(1-Assumptions!$I$14)*Assumptions!$I$13^AJ10))</f>
        <v>0.380491214607588</v>
      </c>
      <c r="AK12" s="57" t="n">
        <f aca="false">IF(AK8=0,0,IF(AK10=0,Assumptions!$I$15,Assumptions!$I$14+(1-Assumptions!$I$14)*Assumptions!$I$13^AK10))</f>
        <v>0.380392971686071</v>
      </c>
      <c r="AL12" s="57" t="n">
        <f aca="false">IF(AL8=0,0,IF(AL10=0,Assumptions!$I$15,Assumptions!$I$14+(1-Assumptions!$I$14)*Assumptions!$I$13^AL10))</f>
        <v>0.380314377348857</v>
      </c>
      <c r="AM12" s="57"/>
    </row>
    <row r="13" customFormat="false" ht="15" hidden="false" customHeight="false" outlineLevel="0" collapsed="false">
      <c r="A13" s="10" t="s">
        <v>733</v>
      </c>
      <c r="B13" s="9" t="s">
        <v>84</v>
      </c>
      <c r="C13" s="61" t="n">
        <f aca="false">C11*C12</f>
        <v>0</v>
      </c>
      <c r="D13" s="61" t="n">
        <f aca="false">D11*D12</f>
        <v>176456</v>
      </c>
      <c r="E13" s="61" t="n">
        <f aca="false">E11*E12</f>
        <v>67206.72</v>
      </c>
      <c r="F13" s="61" t="n">
        <f aca="false">F11*F12</f>
        <v>59596.096</v>
      </c>
      <c r="G13" s="61" t="n">
        <f aca="false">G11*G12</f>
        <v>53507.5968</v>
      </c>
      <c r="H13" s="61" t="n">
        <f aca="false">H11*H12</f>
        <v>48636.79744</v>
      </c>
      <c r="I13" s="61" t="n">
        <f aca="false">I11*I12</f>
        <v>44740.157952</v>
      </c>
      <c r="J13" s="61" t="n">
        <f aca="false">J11*J12</f>
        <v>41622.8463616</v>
      </c>
      <c r="K13" s="61" t="n">
        <f aca="false">K11*K12</f>
        <v>39128.99708928</v>
      </c>
      <c r="L13" s="61" t="n">
        <f aca="false">L11*L12</f>
        <v>37133.917671424</v>
      </c>
      <c r="M13" s="61" t="n">
        <f aca="false">M11*M12</f>
        <v>35537.8541371392</v>
      </c>
      <c r="N13" s="61" t="n">
        <f aca="false">N11*N12</f>
        <v>34261.0033097114</v>
      </c>
      <c r="O13" s="61" t="n">
        <f aca="false">O11*O12</f>
        <v>33239.5226477691</v>
      </c>
      <c r="P13" s="61" t="n">
        <f aca="false">P11*P12</f>
        <v>32422.3381182153</v>
      </c>
      <c r="Q13" s="61" t="n">
        <f aca="false">Q11*Q12</f>
        <v>31768.5904945722</v>
      </c>
      <c r="R13" s="61" t="n">
        <f aca="false">R11*R12</f>
        <v>31245.5923956578</v>
      </c>
      <c r="S13" s="61" t="n">
        <f aca="false">S11*S12</f>
        <v>30827.1939165262</v>
      </c>
      <c r="T13" s="61" t="n">
        <f aca="false">T11*T12</f>
        <v>30492.475133221</v>
      </c>
      <c r="U13" s="61" t="n">
        <f aca="false">U11*U12</f>
        <v>30224.7001065768</v>
      </c>
      <c r="V13" s="61" t="n">
        <f aca="false">V11*V12</f>
        <v>30010.4800852614</v>
      </c>
      <c r="W13" s="61" t="n">
        <f aca="false">W11*W12</f>
        <v>29839.1040682091</v>
      </c>
      <c r="X13" s="61" t="n">
        <f aca="false">X11*X12</f>
        <v>29702.0032545673</v>
      </c>
      <c r="Y13" s="61" t="n">
        <f aca="false">Y11*Y12</f>
        <v>29592.3226036539</v>
      </c>
      <c r="Z13" s="61" t="n">
        <f aca="false">Z11*Z12</f>
        <v>29504.5780829231</v>
      </c>
      <c r="AA13" s="61" t="n">
        <f aca="false">AA11*AA12</f>
        <v>29434.3824663385</v>
      </c>
      <c r="AB13" s="61" t="n">
        <f aca="false">AB11*AB12</f>
        <v>29378.2259730708</v>
      </c>
      <c r="AC13" s="61" t="n">
        <f aca="false">AC11*AC12</f>
        <v>29333.3007784566</v>
      </c>
      <c r="AD13" s="61" t="n">
        <f aca="false">AD11*AD12</f>
        <v>29297.3606227653</v>
      </c>
      <c r="AE13" s="61" t="n">
        <f aca="false">AE11*AE12</f>
        <v>29268.6084982122</v>
      </c>
      <c r="AF13" s="61" t="n">
        <f aca="false">AF11*AF12</f>
        <v>29245.6067985698</v>
      </c>
      <c r="AG13" s="61" t="n">
        <f aca="false">AG11*AG12</f>
        <v>29227.2054388558</v>
      </c>
      <c r="AH13" s="61" t="n">
        <f aca="false">AH11*AH12</f>
        <v>29212.4843510847</v>
      </c>
      <c r="AI13" s="61" t="n">
        <f aca="false">AI11*AI12</f>
        <v>29200.7074808677</v>
      </c>
      <c r="AJ13" s="61" t="n">
        <f aca="false">AJ11*AJ12</f>
        <v>29191.2859846942</v>
      </c>
      <c r="AK13" s="61" t="n">
        <f aca="false">AK11*AK12</f>
        <v>29183.7487877554</v>
      </c>
      <c r="AL13" s="61" t="n">
        <f aca="false">AL11*AL12</f>
        <v>29177.7190302043</v>
      </c>
      <c r="AM13" s="61" t="n">
        <f aca="false">SUM(C13:AL13)</f>
        <v>1357847.52387918</v>
      </c>
    </row>
    <row r="14" customFormat="false" ht="15" hidden="false" customHeight="false" outlineLevel="0" collapsed="false">
      <c r="A14" s="10" t="s">
        <v>734</v>
      </c>
      <c r="B14" s="9" t="s">
        <v>735</v>
      </c>
      <c r="C14" s="61" t="n">
        <f aca="false">Assumptions!$I$9*Assumptions!$I$10*Assumptions!$I$11*C12</f>
        <v>0</v>
      </c>
      <c r="D14" s="61" t="n">
        <f aca="false">Assumptions!$I$9*Assumptions!$I$10*Assumptions!$I$11*D12</f>
        <v>25208000</v>
      </c>
      <c r="E14" s="61" t="n">
        <f aca="false">Assumptions!$I$9*Assumptions!$I$10*Assumptions!$I$11*E12</f>
        <v>9600960</v>
      </c>
      <c r="F14" s="61" t="n">
        <f aca="false">Assumptions!$I$9*Assumptions!$I$10*Assumptions!$I$11*F12</f>
        <v>8513728</v>
      </c>
      <c r="G14" s="61" t="n">
        <f aca="false">Assumptions!$I$9*Assumptions!$I$10*Assumptions!$I$11*G12</f>
        <v>7643942.4</v>
      </c>
      <c r="H14" s="61" t="n">
        <f aca="false">Assumptions!$I$9*Assumptions!$I$10*Assumptions!$I$11*H12</f>
        <v>6948113.92</v>
      </c>
      <c r="I14" s="61" t="n">
        <f aca="false">Assumptions!$I$9*Assumptions!$I$10*Assumptions!$I$11*I12</f>
        <v>6391451.136</v>
      </c>
      <c r="J14" s="61" t="n">
        <f aca="false">Assumptions!$I$9*Assumptions!$I$10*Assumptions!$I$11*J12</f>
        <v>5946120.9088</v>
      </c>
      <c r="K14" s="61" t="n">
        <f aca="false">Assumptions!$I$9*Assumptions!$I$10*Assumptions!$I$11*K12</f>
        <v>5589856.72704</v>
      </c>
      <c r="L14" s="61" t="n">
        <f aca="false">Assumptions!$I$9*Assumptions!$I$10*Assumptions!$I$11*L12</f>
        <v>5304845.381632</v>
      </c>
      <c r="M14" s="61" t="n">
        <f aca="false">Assumptions!$I$9*Assumptions!$I$10*Assumptions!$I$11*M12</f>
        <v>5076836.3053056</v>
      </c>
      <c r="N14" s="61" t="n">
        <f aca="false">Assumptions!$I$9*Assumptions!$I$10*Assumptions!$I$11*N12</f>
        <v>4894429.04424448</v>
      </c>
      <c r="O14" s="61" t="n">
        <f aca="false">Assumptions!$I$9*Assumptions!$I$10*Assumptions!$I$11*O12</f>
        <v>4748503.23539558</v>
      </c>
      <c r="P14" s="61" t="n">
        <f aca="false">Assumptions!$I$9*Assumptions!$I$10*Assumptions!$I$11*P12</f>
        <v>4631762.58831647</v>
      </c>
      <c r="Q14" s="61" t="n">
        <f aca="false">Assumptions!$I$9*Assumptions!$I$10*Assumptions!$I$11*Q12</f>
        <v>4538370.07065317</v>
      </c>
      <c r="R14" s="61" t="n">
        <f aca="false">Assumptions!$I$9*Assumptions!$I$10*Assumptions!$I$11*R12</f>
        <v>4463656.05652254</v>
      </c>
      <c r="S14" s="61" t="n">
        <f aca="false">Assumptions!$I$9*Assumptions!$I$10*Assumptions!$I$11*S12</f>
        <v>4403884.84521803</v>
      </c>
      <c r="T14" s="61" t="n">
        <f aca="false">Assumptions!$I$9*Assumptions!$I$10*Assumptions!$I$11*T12</f>
        <v>4356067.87617443</v>
      </c>
      <c r="U14" s="61" t="n">
        <f aca="false">Assumptions!$I$9*Assumptions!$I$10*Assumptions!$I$11*U12</f>
        <v>4317814.30093954</v>
      </c>
      <c r="V14" s="61" t="n">
        <f aca="false">Assumptions!$I$9*Assumptions!$I$10*Assumptions!$I$11*V12</f>
        <v>4287211.44075163</v>
      </c>
      <c r="W14" s="61" t="n">
        <f aca="false">Assumptions!$I$9*Assumptions!$I$10*Assumptions!$I$11*W12</f>
        <v>4262729.15260131</v>
      </c>
      <c r="X14" s="61" t="n">
        <f aca="false">Assumptions!$I$9*Assumptions!$I$10*Assumptions!$I$11*X12</f>
        <v>4243143.32208104</v>
      </c>
      <c r="Y14" s="61" t="n">
        <f aca="false">Assumptions!$I$9*Assumptions!$I$10*Assumptions!$I$11*Y12</f>
        <v>4227474.65766484</v>
      </c>
      <c r="Z14" s="61" t="n">
        <f aca="false">Assumptions!$I$9*Assumptions!$I$10*Assumptions!$I$11*Z12</f>
        <v>4214939.72613187</v>
      </c>
      <c r="AA14" s="61" t="n">
        <f aca="false">Assumptions!$I$9*Assumptions!$I$10*Assumptions!$I$11*AA12</f>
        <v>4204911.78090549</v>
      </c>
      <c r="AB14" s="61" t="n">
        <f aca="false">Assumptions!$I$9*Assumptions!$I$10*Assumptions!$I$11*AB12</f>
        <v>4196889.4247244</v>
      </c>
      <c r="AC14" s="61" t="n">
        <f aca="false">Assumptions!$I$9*Assumptions!$I$10*Assumptions!$I$11*AC12</f>
        <v>4190471.53977952</v>
      </c>
      <c r="AD14" s="61" t="n">
        <f aca="false">Assumptions!$I$9*Assumptions!$I$10*Assumptions!$I$11*AD12</f>
        <v>4185337.23182361</v>
      </c>
      <c r="AE14" s="61" t="n">
        <f aca="false">Assumptions!$I$9*Assumptions!$I$10*Assumptions!$I$11*AE12</f>
        <v>4181229.78545889</v>
      </c>
      <c r="AF14" s="61" t="n">
        <f aca="false">Assumptions!$I$9*Assumptions!$I$10*Assumptions!$I$11*AF12</f>
        <v>4177943.82836711</v>
      </c>
      <c r="AG14" s="61" t="n">
        <f aca="false">Assumptions!$I$9*Assumptions!$I$10*Assumptions!$I$11*AG12</f>
        <v>4175315.06269369</v>
      </c>
      <c r="AH14" s="61" t="n">
        <f aca="false">Assumptions!$I$9*Assumptions!$I$10*Assumptions!$I$11*AH12</f>
        <v>4173212.05015495</v>
      </c>
      <c r="AI14" s="61" t="n">
        <f aca="false">Assumptions!$I$9*Assumptions!$I$10*Assumptions!$I$11*AI12</f>
        <v>4171529.64012396</v>
      </c>
      <c r="AJ14" s="61" t="n">
        <f aca="false">Assumptions!$I$9*Assumptions!$I$10*Assumptions!$I$11*AJ12</f>
        <v>4170183.71209917</v>
      </c>
      <c r="AK14" s="61" t="n">
        <f aca="false">Assumptions!$I$9*Assumptions!$I$10*Assumptions!$I$11*AK12</f>
        <v>4169106.96967934</v>
      </c>
      <c r="AL14" s="61" t="n">
        <f aca="false">Assumptions!$I$9*Assumptions!$I$10*Assumptions!$I$11*AL12</f>
        <v>4168245.57574347</v>
      </c>
      <c r="AM14" s="61" t="n">
        <f aca="false">SUM(C14:AL14)</f>
        <v>193978217.697026</v>
      </c>
    </row>
    <row r="15" customFormat="false" ht="15" hidden="false" customHeight="false" outlineLevel="0" collapsed="false">
      <c r="A15" s="10" t="s">
        <v>736</v>
      </c>
      <c r="B15" s="9" t="s">
        <v>84</v>
      </c>
      <c r="C15" s="61" t="n">
        <f aca="false">MIN(Assumptions!$I$19,Assumptions!$I$17*(1+Assumptions!$I$18)^(C$5-1))</f>
        <v>2200</v>
      </c>
      <c r="D15" s="61" t="n">
        <f aca="false">MIN(Assumptions!$I$19,Assumptions!$I$17*(1+Assumptions!$I$18)^(D$5-1))</f>
        <v>2398</v>
      </c>
      <c r="E15" s="61" t="n">
        <f aca="false">MIN(Assumptions!$I$19,Assumptions!$I$17*(1+Assumptions!$I$18)^(E$5-1))</f>
        <v>2613.82</v>
      </c>
      <c r="F15" s="61" t="n">
        <f aca="false">MIN(Assumptions!$I$19,Assumptions!$I$17*(1+Assumptions!$I$18)^(F$5-1))</f>
        <v>2849.0638</v>
      </c>
      <c r="G15" s="61" t="n">
        <f aca="false">MIN(Assumptions!$I$19,Assumptions!$I$17*(1+Assumptions!$I$18)^(G$5-1))</f>
        <v>3105.479542</v>
      </c>
      <c r="H15" s="61" t="n">
        <f aca="false">MIN(Assumptions!$I$19,Assumptions!$I$17*(1+Assumptions!$I$18)^(H$5-1))</f>
        <v>3384.97270078</v>
      </c>
      <c r="I15" s="61" t="n">
        <f aca="false">MIN(Assumptions!$I$19,Assumptions!$I$17*(1+Assumptions!$I$18)^(I$5-1))</f>
        <v>3689.6202438502</v>
      </c>
      <c r="J15" s="61" t="n">
        <f aca="false">MIN(Assumptions!$I$19,Assumptions!$I$17*(1+Assumptions!$I$18)^(J$5-1))</f>
        <v>4021.68606579672</v>
      </c>
      <c r="K15" s="61" t="n">
        <f aca="false">MIN(Assumptions!$I$19,Assumptions!$I$17*(1+Assumptions!$I$18)^(K$5-1))</f>
        <v>4383.63781171843</v>
      </c>
      <c r="L15" s="61" t="n">
        <f aca="false">MIN(Assumptions!$I$19,Assumptions!$I$17*(1+Assumptions!$I$18)^(L$5-1))</f>
        <v>4778.16521477308</v>
      </c>
      <c r="M15" s="61" t="n">
        <f aca="false">MIN(Assumptions!$I$19,Assumptions!$I$17*(1+Assumptions!$I$18)^(M$5-1))</f>
        <v>5208.20008410266</v>
      </c>
      <c r="N15" s="61" t="n">
        <f aca="false">MIN(Assumptions!$I$19,Assumptions!$I$17*(1+Assumptions!$I$18)^(N$5-1))</f>
        <v>5676.9380916719</v>
      </c>
      <c r="O15" s="61" t="n">
        <f aca="false">MIN(Assumptions!$I$19,Assumptions!$I$17*(1+Assumptions!$I$18)^(O$5-1))</f>
        <v>6187.86251992237</v>
      </c>
      <c r="P15" s="61" t="n">
        <f aca="false">MIN(Assumptions!$I$19,Assumptions!$I$17*(1+Assumptions!$I$18)^(P$5-1))</f>
        <v>6744.77014671539</v>
      </c>
      <c r="Q15" s="61" t="n">
        <f aca="false">MIN(Assumptions!$I$19,Assumptions!$I$17*(1+Assumptions!$I$18)^(Q$5-1))</f>
        <v>7351.79945991977</v>
      </c>
      <c r="R15" s="61" t="n">
        <f aca="false">MIN(Assumptions!$I$19,Assumptions!$I$17*(1+Assumptions!$I$18)^(R$5-1))</f>
        <v>8013.46141131255</v>
      </c>
      <c r="S15" s="61" t="n">
        <f aca="false">MIN(Assumptions!$I$19,Assumptions!$I$17*(1+Assumptions!$I$18)^(S$5-1))</f>
        <v>8734.67293833068</v>
      </c>
      <c r="T15" s="61" t="n">
        <f aca="false">MIN(Assumptions!$I$19,Assumptions!$I$17*(1+Assumptions!$I$18)^(T$5-1))</f>
        <v>9520.79350278045</v>
      </c>
      <c r="U15" s="61" t="n">
        <f aca="false">MIN(Assumptions!$I$19,Assumptions!$I$17*(1+Assumptions!$I$18)^(U$5-1))</f>
        <v>10377.6649180307</v>
      </c>
      <c r="V15" s="61" t="n">
        <f aca="false">MIN(Assumptions!$I$19,Assumptions!$I$17*(1+Assumptions!$I$18)^(V$5-1))</f>
        <v>11311.6547606535</v>
      </c>
      <c r="W15" s="61" t="n">
        <f aca="false">MIN(Assumptions!$I$19,Assumptions!$I$17*(1+Assumptions!$I$18)^(W$5-1))</f>
        <v>12329.7036891123</v>
      </c>
      <c r="X15" s="61" t="n">
        <f aca="false">MIN(Assumptions!$I$19,Assumptions!$I$17*(1+Assumptions!$I$18)^(X$5-1))</f>
        <v>13439.3770211324</v>
      </c>
      <c r="Y15" s="61" t="n">
        <f aca="false">MIN(Assumptions!$I$19,Assumptions!$I$17*(1+Assumptions!$I$18)^(Y$5-1))</f>
        <v>14648.9209530343</v>
      </c>
      <c r="Z15" s="61" t="n">
        <f aca="false">MIN(Assumptions!$I$19,Assumptions!$I$17*(1+Assumptions!$I$18)^(Z$5-1))</f>
        <v>15967.3238388074</v>
      </c>
      <c r="AA15" s="61" t="n">
        <f aca="false">MIN(Assumptions!$I$19,Assumptions!$I$17*(1+Assumptions!$I$18)^(AA$5-1))</f>
        <v>17404.3829843</v>
      </c>
      <c r="AB15" s="61" t="n">
        <f aca="false">MIN(Assumptions!$I$19,Assumptions!$I$17*(1+Assumptions!$I$18)^(AB$5-1))</f>
        <v>18970.777452887</v>
      </c>
      <c r="AC15" s="61" t="n">
        <f aca="false">MIN(Assumptions!$I$19,Assumptions!$I$17*(1+Assumptions!$I$18)^(AC$5-1))</f>
        <v>20678.1474236469</v>
      </c>
      <c r="AD15" s="61" t="n">
        <f aca="false">MIN(Assumptions!$I$19,Assumptions!$I$17*(1+Assumptions!$I$18)^(AD$5-1))</f>
        <v>22539.1806917751</v>
      </c>
      <c r="AE15" s="61" t="n">
        <f aca="false">MIN(Assumptions!$I$19,Assumptions!$I$17*(1+Assumptions!$I$18)^(AE$5-1))</f>
        <v>24567.7069540349</v>
      </c>
      <c r="AF15" s="61" t="n">
        <f aca="false">MIN(Assumptions!$I$19,Assumptions!$I$17*(1+Assumptions!$I$18)^(AF$5-1))</f>
        <v>26778.800579898</v>
      </c>
      <c r="AG15" s="61" t="n">
        <f aca="false">MIN(Assumptions!$I$19,Assumptions!$I$17*(1+Assumptions!$I$18)^(AG$5-1))</f>
        <v>29188.8926320888</v>
      </c>
      <c r="AH15" s="61" t="n">
        <f aca="false">MIN(Assumptions!$I$19,Assumptions!$I$17*(1+Assumptions!$I$18)^(AH$5-1))</f>
        <v>31815.8929689768</v>
      </c>
      <c r="AI15" s="61" t="n">
        <f aca="false">MIN(Assumptions!$I$19,Assumptions!$I$17*(1+Assumptions!$I$18)^(AI$5-1))</f>
        <v>34679.3233361847</v>
      </c>
      <c r="AJ15" s="61" t="n">
        <f aca="false">MIN(Assumptions!$I$19,Assumptions!$I$17*(1+Assumptions!$I$18)^(AJ$5-1))</f>
        <v>37800.4624364413</v>
      </c>
      <c r="AK15" s="61" t="n">
        <f aca="false">MIN(Assumptions!$I$19,Assumptions!$I$17*(1+Assumptions!$I$18)^(AK$5-1))</f>
        <v>41202.5040557211</v>
      </c>
      <c r="AL15" s="61" t="n">
        <f aca="false">MIN(Assumptions!$I$19,Assumptions!$I$17*(1+Assumptions!$I$18)^(AL$5-1))</f>
        <v>44910.729420736</v>
      </c>
      <c r="AM15" s="61" t="n">
        <f aca="false">SUM(C15:AL15)</f>
        <v>519474.389651135</v>
      </c>
    </row>
    <row r="16" customFormat="false" ht="15" hidden="false" customHeight="false" outlineLevel="0" collapsed="false">
      <c r="A16" s="37" t="s">
        <v>737</v>
      </c>
      <c r="B16" s="9" t="s">
        <v>97</v>
      </c>
      <c r="C16" s="53" t="n">
        <f aca="false">Assumptions!$I$20</f>
        <v>8000</v>
      </c>
      <c r="D16" s="53" t="n">
        <f aca="false">IF(D8=0,Assumptions!$I$20,MIN(Assumptions!$I$24,MAX(Assumptions!$I$21,C72*Assumptions!$I$22)))</f>
        <v>30000</v>
      </c>
      <c r="E16" s="53" t="n">
        <f aca="false">IF(E8=0,Assumptions!$I$20,MIN(Assumptions!$I$24,MAX(Assumptions!$I$21,D72*Assumptions!$I$22)))</f>
        <v>30000</v>
      </c>
      <c r="F16" s="53" t="n">
        <f aca="false">IF(F8=0,Assumptions!$I$20,MIN(Assumptions!$I$24,MAX(Assumptions!$I$21,E72*Assumptions!$I$22)))</f>
        <v>47992.6512</v>
      </c>
      <c r="G16" s="53" t="n">
        <f aca="false">IF(G8=0,Assumptions!$I$20,MIN(Assumptions!$I$24,MAX(Assumptions!$I$21,F72*Assumptions!$I$22)))</f>
        <v>59804.3651177933</v>
      </c>
      <c r="H16" s="53" t="n">
        <f aca="false">IF(H8=0,Assumptions!$I$20,MIN(Assumptions!$I$24,MAX(Assumptions!$I$21,G72*Assumptions!$I$22)))</f>
        <v>69647.6681258248</v>
      </c>
      <c r="I16" s="53" t="n">
        <f aca="false">IF(I8=0,Assumptions!$I$20,MIN(Assumptions!$I$24,MAX(Assumptions!$I$21,H72*Assumptions!$I$22)))</f>
        <v>78356.0623912766</v>
      </c>
      <c r="J16" s="53" t="n">
        <f aca="false">IF(J8=0,Assumptions!$I$20,MIN(Assumptions!$I$24,MAX(Assumptions!$I$21,I72*Assumptions!$I$22)))</f>
        <v>89656.1562943909</v>
      </c>
      <c r="K16" s="53" t="n">
        <f aca="false">IF(K8=0,Assumptions!$I$20,MIN(Assumptions!$I$24,MAX(Assumptions!$I$21,J72*Assumptions!$I$22)))</f>
        <v>98854.6557636465</v>
      </c>
      <c r="L16" s="53" t="n">
        <f aca="false">IF(L8=0,Assumptions!$I$20,MIN(Assumptions!$I$24,MAX(Assumptions!$I$21,K72*Assumptions!$I$22)))</f>
        <v>107214.470147757</v>
      </c>
      <c r="M16" s="53" t="n">
        <f aca="false">IF(M8=0,Assumptions!$I$20,MIN(Assumptions!$I$24,MAX(Assumptions!$I$21,L72*Assumptions!$I$22)))</f>
        <v>114928.084782887</v>
      </c>
      <c r="N16" s="53" t="n">
        <f aca="false">IF(N8=0,Assumptions!$I$20,MIN(Assumptions!$I$24,MAX(Assumptions!$I$21,M72*Assumptions!$I$22)))</f>
        <v>122126.949149632</v>
      </c>
      <c r="O16" s="53" t="n">
        <f aca="false">IF(O8=0,Assumptions!$I$20,MIN(Assumptions!$I$24,MAX(Assumptions!$I$21,N72*Assumptions!$I$22)))</f>
        <v>128913.457421384</v>
      </c>
      <c r="P16" s="53" t="n">
        <f aca="false">IF(P8=0,Assumptions!$I$20,MIN(Assumptions!$I$24,MAX(Assumptions!$I$21,O72*Assumptions!$I$22)))</f>
        <v>135372.875739768</v>
      </c>
      <c r="Q16" s="53" t="n">
        <f aca="false">IF(Q8=0,Assumptions!$I$20,MIN(Assumptions!$I$24,MAX(Assumptions!$I$21,P72*Assumptions!$I$22)))</f>
        <v>141577.388674455</v>
      </c>
      <c r="R16" s="53" t="n">
        <f aca="false">IF(R8=0,Assumptions!$I$20,MIN(Assumptions!$I$24,MAX(Assumptions!$I$21,Q72*Assumptions!$I$22)))</f>
        <v>147588.815625174</v>
      </c>
      <c r="S16" s="53" t="n">
        <f aca="false">IF(S8=0,Assumptions!$I$20,MIN(Assumptions!$I$24,MAX(Assumptions!$I$21,R72*Assumptions!$I$22)))</f>
        <v>153460.740933407</v>
      </c>
      <c r="T16" s="53" t="n">
        <f aca="false">IF(T8=0,Assumptions!$I$20,MIN(Assumptions!$I$24,MAX(Assumptions!$I$21,S72*Assumptions!$I$22)))</f>
        <v>159240.258347861</v>
      </c>
      <c r="U16" s="53" t="n">
        <f aca="false">IF(U8=0,Assumptions!$I$20,MIN(Assumptions!$I$24,MAX(Assumptions!$I$21,T72*Assumptions!$I$22)))</f>
        <v>164969.419113679</v>
      </c>
      <c r="V16" s="53" t="n">
        <f aca="false">IF(V8=0,Assumptions!$I$20,MIN(Assumptions!$I$24,MAX(Assumptions!$I$21,U72*Assumptions!$I$22)))</f>
        <v>170686.443065705</v>
      </c>
      <c r="W16" s="53" t="n">
        <f aca="false">IF(W8=0,Assumptions!$I$20,MIN(Assumptions!$I$24,MAX(Assumptions!$I$21,V72*Assumptions!$I$22)))</f>
        <v>176426.738516131</v>
      </c>
      <c r="X16" s="53" t="n">
        <f aca="false">IF(X8=0,Assumptions!$I$20,MIN(Assumptions!$I$24,MAX(Assumptions!$I$21,W72*Assumptions!$I$22)))</f>
        <v>182223.768086958</v>
      </c>
      <c r="Y16" s="53" t="n">
        <f aca="false">IF(Y8=0,Assumptions!$I$20,MIN(Assumptions!$I$24,MAX(Assumptions!$I$21,X72*Assumptions!$I$22)))</f>
        <v>188109.791178729</v>
      </c>
      <c r="Z16" s="53" t="n">
        <f aca="false">IF(Z8=0,Assumptions!$I$20,MIN(Assumptions!$I$24,MAX(Assumptions!$I$21,Y72*Assumptions!$I$22)))</f>
        <v>194116.50861149</v>
      </c>
      <c r="AA16" s="53" t="n">
        <f aca="false">IF(AA8=0,Assumptions!$I$20,MIN(Assumptions!$I$24,MAX(Assumptions!$I$21,Z72*Assumptions!$I$22)))</f>
        <v>200275.630759606</v>
      </c>
      <c r="AB16" s="53" t="n">
        <f aca="false">IF(AB8=0,Assumptions!$I$20,MIN(Assumptions!$I$24,MAX(Assumptions!$I$21,AA72*Assumptions!$I$22)))</f>
        <v>206619.387034902</v>
      </c>
      <c r="AC16" s="53" t="n">
        <f aca="false">IF(AC8=0,Assumptions!$I$20,MIN(Assumptions!$I$24,MAX(Assumptions!$I$21,AB72*Assumptions!$I$22)))</f>
        <v>212968.700264406</v>
      </c>
      <c r="AD16" s="53" t="n">
        <f aca="false">IF(AD8=0,Assumptions!$I$20,MIN(Assumptions!$I$24,MAX(Assumptions!$I$21,AC72*Assumptions!$I$22)))</f>
        <v>219284.953162874</v>
      </c>
      <c r="AE16" s="53" t="n">
        <f aca="false">IF(AE8=0,Assumptions!$I$20,MIN(Assumptions!$I$24,MAX(Assumptions!$I$21,AD72*Assumptions!$I$22)))</f>
        <v>225658.073322528</v>
      </c>
      <c r="AF16" s="53" t="n">
        <f aca="false">IF(AF8=0,Assumptions!$I$20,MIN(Assumptions!$I$24,MAX(Assumptions!$I$21,AE72*Assumptions!$I$22)))</f>
        <v>232130.395921312</v>
      </c>
      <c r="AG16" s="53" t="n">
        <f aca="false">IF(AG8=0,Assumptions!$I$20,MIN(Assumptions!$I$24,MAX(Assumptions!$I$21,AF72*Assumptions!$I$22)))</f>
        <v>238743.425017824</v>
      </c>
      <c r="AH16" s="53" t="n">
        <f aca="false">IF(AH8=0,Assumptions!$I$20,MIN(Assumptions!$I$24,MAX(Assumptions!$I$21,AG72*Assumptions!$I$22)))</f>
        <v>245539.272880406</v>
      </c>
      <c r="AI16" s="53" t="n">
        <f aca="false">IF(AI8=0,Assumptions!$I$20,MIN(Assumptions!$I$24,MAX(Assumptions!$I$21,AH72*Assumptions!$I$22)))</f>
        <v>252561.273628233</v>
      </c>
      <c r="AJ16" s="53" t="n">
        <f aca="false">IF(AJ8=0,Assumptions!$I$20,MIN(Assumptions!$I$24,MAX(Assumptions!$I$21,AI72*Assumptions!$I$22)))</f>
        <v>259854.371510516</v>
      </c>
      <c r="AK16" s="53" t="n">
        <f aca="false">IF(AK8=0,Assumptions!$I$20,MIN(Assumptions!$I$24,MAX(Assumptions!$I$21,AJ72*Assumptions!$I$22)))</f>
        <v>267465.48531242</v>
      </c>
      <c r="AL16" s="53" t="n">
        <f aca="false">IF(AL8=0,Assumptions!$I$20,MIN(Assumptions!$I$24,MAX(Assumptions!$I$21,AK72*Assumptions!$I$22)))</f>
        <v>275443.872204135</v>
      </c>
      <c r="AM16" s="53" t="n">
        <f aca="false">SUM(C16:AL16)</f>
        <v>5635812.10930711</v>
      </c>
    </row>
    <row r="17" customFormat="false" ht="15" hidden="false" customHeight="false" outlineLevel="0" collapsed="false">
      <c r="A17" s="10" t="s">
        <v>738</v>
      </c>
      <c r="B17" s="9" t="s">
        <v>84</v>
      </c>
      <c r="C17" s="61" t="n">
        <f aca="false">(C14*Assumptions!$I$27+C15*Assumptions!$I$28)*Assumptions!$I$29*C8</f>
        <v>0</v>
      </c>
      <c r="D17" s="61" t="n">
        <f aca="false">(D14*Assumptions!$I$27+D15*Assumptions!$I$28)*Assumptions!$I$29*D8</f>
        <v>24702.496</v>
      </c>
      <c r="E17" s="61" t="n">
        <f aca="false">(E14*Assumptions!$I$27+E15*Assumptions!$I$28)*Assumptions!$I$29*E8</f>
        <v>9496.85464</v>
      </c>
      <c r="F17" s="61" t="n">
        <f aca="false">(F14*Assumptions!$I$27+F15*Assumptions!$I$28)*Assumptions!$I$29*F8</f>
        <v>8449.0361176</v>
      </c>
      <c r="G17" s="61" t="n">
        <f aca="false">(G14*Assumptions!$I$27+G15*Assumptions!$I$28)*Assumptions!$I$29*G8</f>
        <v>7614.328776184</v>
      </c>
      <c r="H17" s="61" t="n">
        <f aca="false">(H14*Assumptions!$I$27+H15*Assumptions!$I$28)*Assumptions!$I$29*H8</f>
        <v>6950.42965244056</v>
      </c>
      <c r="I17" s="61" t="n">
        <f aca="false">(I14*Assumptions!$I$27+I15*Assumptions!$I$28)*Assumptions!$I$29*I8</f>
        <v>6423.52511028021</v>
      </c>
      <c r="J17" s="61" t="n">
        <f aca="false">(J14*Assumptions!$I$27+J15*Assumptions!$I$28)*Assumptions!$I$29*J8</f>
        <v>6006.59556150143</v>
      </c>
      <c r="K17" s="61" t="n">
        <f aca="false">(K14*Assumptions!$I$27+K15*Assumptions!$I$28)*Assumptions!$I$29*K8</f>
        <v>5678.05947507336</v>
      </c>
      <c r="L17" s="61" t="n">
        <f aca="false">(L14*Assumptions!$I$27+L15*Assumptions!$I$28)*Assumptions!$I$29*L8</f>
        <v>5420.6888382594</v>
      </c>
      <c r="M17" s="61" t="n">
        <f aca="false">(M14*Assumptions!$I$27+M15*Assumptions!$I$28)*Assumptions!$I$29*M8</f>
        <v>5220.7418020463</v>
      </c>
      <c r="N17" s="61" t="n">
        <f aca="false">(N14*Assumptions!$I$27+N15*Assumptions!$I$28)*Assumptions!$I$29*N8</f>
        <v>5067.26909890531</v>
      </c>
      <c r="O17" s="61" t="n">
        <f aca="false">(O14*Assumptions!$I$27+O15*Assumptions!$I$28)*Assumptions!$I$29*O8</f>
        <v>4951.55950554666</v>
      </c>
      <c r="P17" s="61" t="n">
        <f aca="false">(P14*Assumptions!$I$27+P15*Assumptions!$I$28)*Assumptions!$I$29*P8</f>
        <v>4866.69657123776</v>
      </c>
      <c r="Q17" s="61" t="n">
        <f aca="false">(Q14*Assumptions!$I$27+Q15*Assumptions!$I$28)*Assumptions!$I$29*Q8</f>
        <v>4807.20439080267</v>
      </c>
      <c r="R17" s="61" t="n">
        <f aca="false">(R14*Assumptions!$I$27+R15*Assumptions!$I$28)*Assumptions!$I$29*R8</f>
        <v>4768.76464849773</v>
      </c>
      <c r="S17" s="61" t="n">
        <f aca="false">(S14*Assumptions!$I$27+S15*Assumptions!$I$28)*Assumptions!$I$29*S8</f>
        <v>4747.99071688078</v>
      </c>
      <c r="T17" s="61" t="n">
        <f aca="false">(T14*Assumptions!$I$27+T15*Assumptions!$I$28)*Assumptions!$I$29*T8</f>
        <v>4742.24744141465</v>
      </c>
      <c r="U17" s="61" t="n">
        <f aca="false">(U14*Assumptions!$I$27+U15*Assumptions!$I$28)*Assumptions!$I$29*U8</f>
        <v>4749.50751915365</v>
      </c>
      <c r="V17" s="61" t="n">
        <f aca="false">(V14*Assumptions!$I$27+V15*Assumptions!$I$28)*Assumptions!$I$29*V8</f>
        <v>4768.23720228682</v>
      </c>
      <c r="W17" s="61" t="n">
        <f aca="false">(W14*Assumptions!$I$27+W15*Assumptions!$I$28)*Assumptions!$I$29*W8</f>
        <v>4797.30551562011</v>
      </c>
      <c r="X17" s="61" t="n">
        <f aca="false">(X14*Assumptions!$I$27+X15*Assumptions!$I$28)*Assumptions!$I$29*X8</f>
        <v>4835.9123441279</v>
      </c>
      <c r="Y17" s="61" t="n">
        <f aca="false">(Y14*Assumptions!$I$27+Y15*Assumptions!$I$28)*Assumptions!$I$29*Y8</f>
        <v>4883.531680781</v>
      </c>
      <c r="Z17" s="61" t="n">
        <f aca="false">(Z14*Assumptions!$I$27+Z15*Assumptions!$I$28)*Assumptions!$I$29*Z8</f>
        <v>4939.86707259656</v>
      </c>
      <c r="AA17" s="61" t="n">
        <f aca="false">(AA14*Assumptions!$I$27+AA15*Assumptions!$I$28)*Assumptions!$I$29*AA8</f>
        <v>5004.81690156646</v>
      </c>
      <c r="AB17" s="61" t="n">
        <f aca="false">(AB14*Assumptions!$I$27+AB15*Assumptions!$I$28)*Assumptions!$I$29*AB8</f>
        <v>5078.44761665641</v>
      </c>
      <c r="AC17" s="61" t="n">
        <f aca="false">(AC14*Assumptions!$I$27+AC15*Assumptions!$I$28)*Assumptions!$I$29*AC8</f>
        <v>5160.97341731467</v>
      </c>
      <c r="AD17" s="61" t="n">
        <f aca="false">(AD14*Assumptions!$I$27+AD15*Assumptions!$I$28)*Assumptions!$I$29*AD8</f>
        <v>5252.74119700033</v>
      </c>
      <c r="AE17" s="61" t="n">
        <f aca="false">(AE14*Assumptions!$I$27+AE15*Assumptions!$I$28)*Assumptions!$I$29*AE8</f>
        <v>5354.21980243223</v>
      </c>
      <c r="AF17" s="61" t="n">
        <f aca="false">(AF14*Assumptions!$I$27+AF15*Assumptions!$I$28)*Assumptions!$I$29*AF8</f>
        <v>5465.99286281263</v>
      </c>
      <c r="AG17" s="61" t="n">
        <f aca="false">(AG14*Assumptions!$I$27+AG15*Assumptions!$I$28)*Assumptions!$I$29*AG8</f>
        <v>5588.75460299497</v>
      </c>
      <c r="AH17" s="61" t="n">
        <f aca="false">(AH14*Assumptions!$I$27+AH15*Assumptions!$I$28)*Assumptions!$I$29*AH8</f>
        <v>5723.30818328787</v>
      </c>
      <c r="AI17" s="61" t="n">
        <f aca="false">(AI14*Assumptions!$I$27+AI15*Assumptions!$I$28)*Assumptions!$I$29*AI8</f>
        <v>5870.56621260247</v>
      </c>
      <c r="AJ17" s="61" t="n">
        <f aca="false">(AJ14*Assumptions!$I$27+AJ15*Assumptions!$I$28)*Assumptions!$I$29*AJ8</f>
        <v>6031.55316599164</v>
      </c>
      <c r="AK17" s="61" t="n">
        <f aca="false">(AK14*Assumptions!$I$27+AK15*Assumptions!$I$28)*Assumptions!$I$29*AK8</f>
        <v>6207.40950633485</v>
      </c>
      <c r="AL17" s="61" t="n">
        <f aca="false">(AL14*Assumptions!$I$27+AL15*Assumptions!$I$28)*Assumptions!$I$29*AL8</f>
        <v>6399.39736622815</v>
      </c>
      <c r="AM17" s="61" t="n">
        <f aca="false">SUM(C17:AL17)</f>
        <v>216027.03051646</v>
      </c>
    </row>
    <row r="18" customFormat="false" ht="15" hidden="false" customHeight="false" outlineLevel="0" collapsed="false">
      <c r="A18" s="10" t="s">
        <v>739</v>
      </c>
      <c r="B18" s="9" t="s">
        <v>97</v>
      </c>
      <c r="C18" s="70" t="n">
        <f aca="false">MIN(C16,C17*Assumptions!$I$30)</f>
        <v>0</v>
      </c>
      <c r="D18" s="70" t="n">
        <f aca="false">MIN(D16,D17*Assumptions!$I$30)</f>
        <v>27172.7456</v>
      </c>
      <c r="E18" s="70" t="n">
        <f aca="false">MIN(E16,E17*Assumptions!$I$30)</f>
        <v>10446.540104</v>
      </c>
      <c r="F18" s="70" t="n">
        <f aca="false">MIN(F16,F17*Assumptions!$I$30)</f>
        <v>9293.93972936</v>
      </c>
      <c r="G18" s="70" t="n">
        <f aca="false">MIN(G16,G17*Assumptions!$I$30)</f>
        <v>8375.7616538024</v>
      </c>
      <c r="H18" s="70" t="n">
        <f aca="false">MIN(H16,H17*Assumptions!$I$30)</f>
        <v>7645.47261768462</v>
      </c>
      <c r="I18" s="70" t="n">
        <f aca="false">MIN(I16,I17*Assumptions!$I$30)</f>
        <v>7065.87762130823</v>
      </c>
      <c r="J18" s="70" t="n">
        <f aca="false">MIN(J16,J17*Assumptions!$I$30)</f>
        <v>6607.25511765157</v>
      </c>
      <c r="K18" s="70" t="n">
        <f aca="false">MIN(K16,K17*Assumptions!$I$30)</f>
        <v>6245.8654225807</v>
      </c>
      <c r="L18" s="70" t="n">
        <f aca="false">MIN(L16,L17*Assumptions!$I$30)</f>
        <v>5962.75772208534</v>
      </c>
      <c r="M18" s="70" t="n">
        <f aca="false">MIN(M16,M17*Assumptions!$I$30)</f>
        <v>5742.81598225093</v>
      </c>
      <c r="N18" s="70" t="n">
        <f aca="false">MIN(N16,N17*Assumptions!$I$30)</f>
        <v>5573.99600879584</v>
      </c>
      <c r="O18" s="70" t="n">
        <f aca="false">MIN(O16,O17*Assumptions!$I$30)</f>
        <v>5446.71545610133</v>
      </c>
      <c r="P18" s="70" t="n">
        <f aca="false">MIN(P16,P17*Assumptions!$I$30)</f>
        <v>5353.36622836153</v>
      </c>
      <c r="Q18" s="70" t="n">
        <f aca="false">MIN(Q16,Q17*Assumptions!$I$30)</f>
        <v>5287.92482988294</v>
      </c>
      <c r="R18" s="70" t="n">
        <f aca="false">MIN(R16,R17*Assumptions!$I$30)</f>
        <v>5245.6411133475</v>
      </c>
      <c r="S18" s="70" t="n">
        <f aca="false">MIN(S16,S17*Assumptions!$I$30)</f>
        <v>5222.78978856885</v>
      </c>
      <c r="T18" s="70" t="n">
        <f aca="false">MIN(T16,T17*Assumptions!$I$30)</f>
        <v>5216.47218555611</v>
      </c>
      <c r="U18" s="70" t="n">
        <f aca="false">MIN(U16,U17*Assumptions!$I$30)</f>
        <v>5224.45827106901</v>
      </c>
      <c r="V18" s="70" t="n">
        <f aca="false">MIN(V16,V17*Assumptions!$I$30)</f>
        <v>5245.0609225155</v>
      </c>
      <c r="W18" s="70" t="n">
        <f aca="false">MIN(W16,W17*Assumptions!$I$30)</f>
        <v>5277.03606718212</v>
      </c>
      <c r="X18" s="70" t="n">
        <f aca="false">MIN(X16,X17*Assumptions!$I$30)</f>
        <v>5319.50357854069</v>
      </c>
      <c r="Y18" s="70" t="n">
        <f aca="false">MIN(Y16,Y17*Assumptions!$I$30)</f>
        <v>5371.8848488591</v>
      </c>
      <c r="Z18" s="70" t="n">
        <f aca="false">MIN(Z16,Z17*Assumptions!$I$30)</f>
        <v>5433.85377985621</v>
      </c>
      <c r="AA18" s="70" t="n">
        <f aca="false">MIN(AA16,AA17*Assumptions!$I$30)</f>
        <v>5505.29859172311</v>
      </c>
      <c r="AB18" s="70" t="n">
        <f aca="false">MIN(AB16,AB17*Assumptions!$I$30)</f>
        <v>5586.29237832205</v>
      </c>
      <c r="AC18" s="70" t="n">
        <f aca="false">MIN(AC16,AC17*Assumptions!$I$30)</f>
        <v>5677.07075904613</v>
      </c>
      <c r="AD18" s="70" t="n">
        <f aca="false">MIN(AD16,AD17*Assumptions!$I$30)</f>
        <v>5778.01531670036</v>
      </c>
      <c r="AE18" s="70" t="n">
        <f aca="false">MIN(AE16,AE17*Assumptions!$I$30)</f>
        <v>5889.64178267545</v>
      </c>
      <c r="AF18" s="70" t="n">
        <f aca="false">MIN(AF16,AF17*Assumptions!$I$30)</f>
        <v>6012.59214909389</v>
      </c>
      <c r="AG18" s="70" t="n">
        <f aca="false">MIN(AG16,AG17*Assumptions!$I$30)</f>
        <v>6147.63006329446</v>
      </c>
      <c r="AH18" s="70" t="n">
        <f aca="false">MIN(AH16,AH17*Assumptions!$I$30)</f>
        <v>6295.63900161666</v>
      </c>
      <c r="AI18" s="70" t="n">
        <f aca="false">MIN(AI16,AI17*Assumptions!$I$30)</f>
        <v>6457.62283386272</v>
      </c>
      <c r="AJ18" s="70" t="n">
        <f aca="false">MIN(AJ16,AJ17*Assumptions!$I$30)</f>
        <v>6634.7084825908</v>
      </c>
      <c r="AK18" s="70" t="n">
        <f aca="false">MIN(AK16,AK17*Assumptions!$I$30)</f>
        <v>6828.15045696833</v>
      </c>
      <c r="AL18" s="70" t="n">
        <f aca="false">MIN(AL16,AL17*Assumptions!$I$30)</f>
        <v>7039.33710285097</v>
      </c>
      <c r="AM18" s="70" t="n">
        <f aca="false">SUM(C18:AL18)</f>
        <v>237629.733568105</v>
      </c>
    </row>
    <row r="19" customFormat="false" ht="15" hidden="false" customHeight="false" outlineLevel="0" collapsed="false">
      <c r="A19" s="10" t="s">
        <v>740</v>
      </c>
      <c r="B19" s="9" t="s">
        <v>84</v>
      </c>
      <c r="C19" s="61" t="n">
        <f aca="false">C18/Assumptions!$I$30</f>
        <v>0</v>
      </c>
      <c r="D19" s="61" t="n">
        <f aca="false">D18/Assumptions!$I$30</f>
        <v>24702.496</v>
      </c>
      <c r="E19" s="61" t="n">
        <f aca="false">E18/Assumptions!$I$30</f>
        <v>9496.85464</v>
      </c>
      <c r="F19" s="61" t="n">
        <f aca="false">F18/Assumptions!$I$30</f>
        <v>8449.0361176</v>
      </c>
      <c r="G19" s="61" t="n">
        <f aca="false">G18/Assumptions!$I$30</f>
        <v>7614.328776184</v>
      </c>
      <c r="H19" s="61" t="n">
        <f aca="false">H18/Assumptions!$I$30</f>
        <v>6950.42965244056</v>
      </c>
      <c r="I19" s="61" t="n">
        <f aca="false">I18/Assumptions!$I$30</f>
        <v>6423.52511028021</v>
      </c>
      <c r="J19" s="61" t="n">
        <f aca="false">J18/Assumptions!$I$30</f>
        <v>6006.59556150143</v>
      </c>
      <c r="K19" s="61" t="n">
        <f aca="false">K18/Assumptions!$I$30</f>
        <v>5678.05947507336</v>
      </c>
      <c r="L19" s="61" t="n">
        <f aca="false">L18/Assumptions!$I$30</f>
        <v>5420.6888382594</v>
      </c>
      <c r="M19" s="61" t="n">
        <f aca="false">M18/Assumptions!$I$30</f>
        <v>5220.7418020463</v>
      </c>
      <c r="N19" s="61" t="n">
        <f aca="false">N18/Assumptions!$I$30</f>
        <v>5067.26909890531</v>
      </c>
      <c r="O19" s="61" t="n">
        <f aca="false">O18/Assumptions!$I$30</f>
        <v>4951.55950554666</v>
      </c>
      <c r="P19" s="61" t="n">
        <f aca="false">P18/Assumptions!$I$30</f>
        <v>4866.69657123776</v>
      </c>
      <c r="Q19" s="61" t="n">
        <f aca="false">Q18/Assumptions!$I$30</f>
        <v>4807.20439080267</v>
      </c>
      <c r="R19" s="61" t="n">
        <f aca="false">R18/Assumptions!$I$30</f>
        <v>4768.76464849773</v>
      </c>
      <c r="S19" s="61" t="n">
        <f aca="false">S18/Assumptions!$I$30</f>
        <v>4747.99071688078</v>
      </c>
      <c r="T19" s="61" t="n">
        <f aca="false">T18/Assumptions!$I$30</f>
        <v>4742.24744141465</v>
      </c>
      <c r="U19" s="61" t="n">
        <f aca="false">U18/Assumptions!$I$30</f>
        <v>4749.50751915365</v>
      </c>
      <c r="V19" s="61" t="n">
        <f aca="false">V18/Assumptions!$I$30</f>
        <v>4768.23720228682</v>
      </c>
      <c r="W19" s="61" t="n">
        <f aca="false">W18/Assumptions!$I$30</f>
        <v>4797.30551562011</v>
      </c>
      <c r="X19" s="61" t="n">
        <f aca="false">X18/Assumptions!$I$30</f>
        <v>4835.9123441279</v>
      </c>
      <c r="Y19" s="61" t="n">
        <f aca="false">Y18/Assumptions!$I$30</f>
        <v>4883.531680781</v>
      </c>
      <c r="Z19" s="61" t="n">
        <f aca="false">Z18/Assumptions!$I$30</f>
        <v>4939.86707259656</v>
      </c>
      <c r="AA19" s="61" t="n">
        <f aca="false">AA18/Assumptions!$I$30</f>
        <v>5004.81690156646</v>
      </c>
      <c r="AB19" s="61" t="n">
        <f aca="false">AB18/Assumptions!$I$30</f>
        <v>5078.44761665641</v>
      </c>
      <c r="AC19" s="61" t="n">
        <f aca="false">AC18/Assumptions!$I$30</f>
        <v>5160.97341731467</v>
      </c>
      <c r="AD19" s="61" t="n">
        <f aca="false">AD18/Assumptions!$I$30</f>
        <v>5252.74119700033</v>
      </c>
      <c r="AE19" s="61" t="n">
        <f aca="false">AE18/Assumptions!$I$30</f>
        <v>5354.21980243223</v>
      </c>
      <c r="AF19" s="61" t="n">
        <f aca="false">AF18/Assumptions!$I$30</f>
        <v>5465.99286281263</v>
      </c>
      <c r="AG19" s="61" t="n">
        <f aca="false">AG18/Assumptions!$I$30</f>
        <v>5588.75460299497</v>
      </c>
      <c r="AH19" s="61" t="n">
        <f aca="false">AH18/Assumptions!$I$30</f>
        <v>5723.30818328787</v>
      </c>
      <c r="AI19" s="61" t="n">
        <f aca="false">AI18/Assumptions!$I$30</f>
        <v>5870.56621260247</v>
      </c>
      <c r="AJ19" s="61" t="n">
        <f aca="false">AJ18/Assumptions!$I$30</f>
        <v>6031.55316599164</v>
      </c>
      <c r="AK19" s="61" t="n">
        <f aca="false">AK18/Assumptions!$I$30</f>
        <v>6207.40950633485</v>
      </c>
      <c r="AL19" s="61" t="n">
        <f aca="false">AL18/Assumptions!$I$30</f>
        <v>6399.39736622815</v>
      </c>
      <c r="AM19" s="61" t="n">
        <f aca="false">SUM(C19:AL19)</f>
        <v>216027.03051646</v>
      </c>
    </row>
    <row r="20" customFormat="false" ht="15" hidden="false" customHeight="false" outlineLevel="0" collapsed="false">
      <c r="A20" s="10" t="s">
        <v>741</v>
      </c>
      <c r="B20" s="9" t="s">
        <v>51</v>
      </c>
      <c r="C20" s="61" t="n">
        <f aca="false">C8*(Assumptions!$I$35*C14)</f>
        <v>0</v>
      </c>
      <c r="D20" s="61" t="n">
        <f aca="false">D8*(Assumptions!$I$35*D14+Assumptions!$I$34*C29)</f>
        <v>256590.220493584</v>
      </c>
      <c r="E20" s="61" t="n">
        <f aca="false">E8*(Assumptions!$I$35*E14+Assumptions!$I$34*D29)</f>
        <v>209038.079641379</v>
      </c>
      <c r="F20" s="61" t="n">
        <f aca="false">F8*(Assumptions!$I$35*F14+Assumptions!$I$34*E29)</f>
        <v>136178.676667724</v>
      </c>
      <c r="G20" s="61" t="n">
        <f aca="false">G8*(Assumptions!$I$35*G14+Assumptions!$I$34*F29)</f>
        <v>130110.053346992</v>
      </c>
      <c r="H20" s="61" t="n">
        <f aca="false">H8*(Assumptions!$I$35*H14+Assumptions!$I$34*G29)</f>
        <v>124767.912225257</v>
      </c>
      <c r="I20" s="61" t="n">
        <f aca="false">I8*(Assumptions!$I$35*I14+Assumptions!$I$34*H29)</f>
        <v>119212.811888947</v>
      </c>
      <c r="J20" s="61" t="n">
        <f aca="false">J8*(Assumptions!$I$35*J14+Assumptions!$I$34*I29)</f>
        <v>114378.686747672</v>
      </c>
      <c r="K20" s="61" t="n">
        <f aca="false">K8*(Assumptions!$I$35*K14+Assumptions!$I$34*J29)</f>
        <v>111209.646720956</v>
      </c>
      <c r="L20" s="61" t="n">
        <f aca="false">L8*(Assumptions!$I$35*L14+Assumptions!$I$34*K29)</f>
        <v>108635.598360242</v>
      </c>
      <c r="M20" s="61" t="n">
        <f aca="false">M8*(Assumptions!$I$35*M14+Assumptions!$I$34*L29)</f>
        <v>106734.195798647</v>
      </c>
      <c r="N20" s="61" t="n">
        <f aca="false">N8*(Assumptions!$I$35*N14+Assumptions!$I$34*M29)</f>
        <v>105417.396294337</v>
      </c>
      <c r="O20" s="61" t="n">
        <f aca="false">O8*(Assumptions!$I$35*O14+Assumptions!$I$34*N29)</f>
        <v>104589.469744308</v>
      </c>
      <c r="P20" s="61" t="n">
        <f aca="false">P8*(Assumptions!$I$35*P14+Assumptions!$I$34*O29)</f>
        <v>104166.560913689</v>
      </c>
      <c r="Q20" s="61" t="n">
        <f aca="false">Q8*(Assumptions!$I$35*Q14+Assumptions!$I$34*P29)</f>
        <v>104079.290113704</v>
      </c>
      <c r="R20" s="61" t="n">
        <f aca="false">R8*(Assumptions!$I$35*R14+Assumptions!$I$34*Q29)</f>
        <v>104271.614472382</v>
      </c>
      <c r="S20" s="61" t="n">
        <f aca="false">S8*(Assumptions!$I$35*S14+Assumptions!$I$34*R29)</f>
        <v>104699.009436095</v>
      </c>
      <c r="T20" s="61" t="n">
        <f aca="false">T8*(Assumptions!$I$35*T14+Assumptions!$I$34*S29)</f>
        <v>105326.653923104</v>
      </c>
      <c r="U20" s="61" t="n">
        <f aca="false">U8*(Assumptions!$I$35*U14+Assumptions!$I$34*T29)</f>
        <v>106127.809778629</v>
      </c>
      <c r="V20" s="61" t="n">
        <f aca="false">V8*(Assumptions!$I$35*V14+Assumptions!$I$34*U29)</f>
        <v>107082.441127351</v>
      </c>
      <c r="W20" s="61" t="n">
        <f aca="false">W8*(Assumptions!$I$35*W14+Assumptions!$I$34*V29)</f>
        <v>108176.068079434</v>
      </c>
      <c r="X20" s="61" t="n">
        <f aca="false">X8*(Assumptions!$I$35*X14+Assumptions!$I$34*W29)</f>
        <v>109398.83093516</v>
      </c>
      <c r="Y20" s="61" t="n">
        <f aca="false">Y8*(Assumptions!$I$35*Y14+Assumptions!$I$34*X29)</f>
        <v>110744.73603133</v>
      </c>
      <c r="Z20" s="61" t="n">
        <f aca="false">Z8*(Assumptions!$I$35*Z14+Assumptions!$I$34*Y29)</f>
        <v>112211.054970514</v>
      </c>
      <c r="AA20" s="61" t="n">
        <f aca="false">AA8*(Assumptions!$I$35*AA14+Assumptions!$I$34*Z29)</f>
        <v>113797.851796694</v>
      </c>
      <c r="AB20" s="61" t="n">
        <f aca="false">AB8*(Assumptions!$I$35*AB14+Assumptions!$I$34*AA29)</f>
        <v>115507.616191406</v>
      </c>
      <c r="AC20" s="61" t="n">
        <f aca="false">AC8*(Assumptions!$I$35*AC14+Assumptions!$I$34*AB29)</f>
        <v>117344.984267899</v>
      </c>
      <c r="AD20" s="61" t="n">
        <f aca="false">AD8*(Assumptions!$I$35*AD14+Assumptions!$I$34*AC29)</f>
        <v>119287.021655115</v>
      </c>
      <c r="AE20" s="61" t="n">
        <f aca="false">AE8*(Assumptions!$I$35*AE14+Assumptions!$I$34*AD29)</f>
        <v>121330.207193008</v>
      </c>
      <c r="AF20" s="61" t="n">
        <f aca="false">AF8*(Assumptions!$I$35*AF14+Assumptions!$I$34*AE29)</f>
        <v>123491.837052075</v>
      </c>
      <c r="AG20" s="61" t="n">
        <f aca="false">AG8*(Assumptions!$I$35*AG14+Assumptions!$I$34*AF29)</f>
        <v>125785.491803533</v>
      </c>
      <c r="AH20" s="61" t="n">
        <f aca="false">AH8*(Assumptions!$I$35*AH14+Assumptions!$I$34*AG29)</f>
        <v>128225.421793273</v>
      </c>
      <c r="AI20" s="61" t="n">
        <f aca="false">AI8*(Assumptions!$I$35*AI14+Assumptions!$I$34*AH29)</f>
        <v>130827.108507511</v>
      </c>
      <c r="AJ20" s="61" t="n">
        <f aca="false">AJ8*(Assumptions!$I$35*AJ14+Assumptions!$I$34*AI29)</f>
        <v>133607.398476334</v>
      </c>
      <c r="AK20" s="61" t="n">
        <f aca="false">AK8*(Assumptions!$I$35*AK14+Assumptions!$I$34*AJ29)</f>
        <v>136584.586920594</v>
      </c>
      <c r="AL20" s="61" t="n">
        <f aca="false">AL8*(Assumptions!$I$35*AL14+Assumptions!$I$34*AK29)</f>
        <v>139778.509923049</v>
      </c>
      <c r="AM20" s="61" t="n">
        <f aca="false">AL20</f>
        <v>139778.509923049</v>
      </c>
    </row>
    <row r="21" customFormat="false" ht="15" hidden="false" customHeight="false" outlineLevel="0" collapsed="false">
      <c r="A21" s="10" t="s">
        <v>742</v>
      </c>
      <c r="B21" s="9" t="s">
        <v>84</v>
      </c>
      <c r="C21" s="61" t="n">
        <f aca="false">C20*Assumptions!$I$36</f>
        <v>0</v>
      </c>
      <c r="D21" s="61" t="n">
        <f aca="false">D20*Assumptions!$I$36</f>
        <v>64147.5551233959</v>
      </c>
      <c r="E21" s="61" t="n">
        <f aca="false">E20*Assumptions!$I$36</f>
        <v>52259.5199103448</v>
      </c>
      <c r="F21" s="61" t="n">
        <f aca="false">F20*Assumptions!$I$36</f>
        <v>34044.669166931</v>
      </c>
      <c r="G21" s="61" t="n">
        <f aca="false">G20*Assumptions!$I$36</f>
        <v>32527.5133367479</v>
      </c>
      <c r="H21" s="61" t="n">
        <f aca="false">H20*Assumptions!$I$36</f>
        <v>31191.9780563143</v>
      </c>
      <c r="I21" s="61" t="n">
        <f aca="false">I20*Assumptions!$I$36</f>
        <v>29803.2029722368</v>
      </c>
      <c r="J21" s="61" t="n">
        <f aca="false">J20*Assumptions!$I$36</f>
        <v>28594.671686918</v>
      </c>
      <c r="K21" s="61" t="n">
        <f aca="false">K20*Assumptions!$I$36</f>
        <v>27802.4116802391</v>
      </c>
      <c r="L21" s="61" t="n">
        <f aca="false">L20*Assumptions!$I$36</f>
        <v>27158.8995900604</v>
      </c>
      <c r="M21" s="61" t="n">
        <f aca="false">M20*Assumptions!$I$36</f>
        <v>26683.5489496618</v>
      </c>
      <c r="N21" s="61" t="n">
        <f aca="false">N20*Assumptions!$I$36</f>
        <v>26354.3490735844</v>
      </c>
      <c r="O21" s="61" t="n">
        <f aca="false">O20*Assumptions!$I$36</f>
        <v>26147.367436077</v>
      </c>
      <c r="P21" s="61" t="n">
        <f aca="false">P20*Assumptions!$I$36</f>
        <v>26041.6402284223</v>
      </c>
      <c r="Q21" s="61" t="n">
        <f aca="false">Q20*Assumptions!$I$36</f>
        <v>26019.822528426</v>
      </c>
      <c r="R21" s="61" t="n">
        <f aca="false">R20*Assumptions!$I$36</f>
        <v>26067.9036180955</v>
      </c>
      <c r="S21" s="61" t="n">
        <f aca="false">S20*Assumptions!$I$36</f>
        <v>26174.7523590238</v>
      </c>
      <c r="T21" s="61" t="n">
        <f aca="false">T20*Assumptions!$I$36</f>
        <v>26331.663480776</v>
      </c>
      <c r="U21" s="61" t="n">
        <f aca="false">U20*Assumptions!$I$36</f>
        <v>26531.9524446573</v>
      </c>
      <c r="V21" s="61" t="n">
        <f aca="false">V20*Assumptions!$I$36</f>
        <v>26770.6102818377</v>
      </c>
      <c r="W21" s="61" t="n">
        <f aca="false">W20*Assumptions!$I$36</f>
        <v>27044.0170198586</v>
      </c>
      <c r="X21" s="61" t="n">
        <f aca="false">X20*Assumptions!$I$36</f>
        <v>27349.7077337899</v>
      </c>
      <c r="Y21" s="61" t="n">
        <f aca="false">Y20*Assumptions!$I$36</f>
        <v>27686.1840078325</v>
      </c>
      <c r="Z21" s="61" t="n">
        <f aca="false">Z20*Assumptions!$I$36</f>
        <v>28052.7637426285</v>
      </c>
      <c r="AA21" s="61" t="n">
        <f aca="false">AA20*Assumptions!$I$36</f>
        <v>28449.4629491735</v>
      </c>
      <c r="AB21" s="61" t="n">
        <f aca="false">AB20*Assumptions!$I$36</f>
        <v>28876.9040478515</v>
      </c>
      <c r="AC21" s="61" t="n">
        <f aca="false">AC20*Assumptions!$I$36</f>
        <v>29336.2460669749</v>
      </c>
      <c r="AD21" s="61" t="n">
        <f aca="false">AD20*Assumptions!$I$36</f>
        <v>29821.7554137787</v>
      </c>
      <c r="AE21" s="61" t="n">
        <f aca="false">AE20*Assumptions!$I$36</f>
        <v>30332.551798252</v>
      </c>
      <c r="AF21" s="61" t="n">
        <f aca="false">AF20*Assumptions!$I$36</f>
        <v>30872.9592630188</v>
      </c>
      <c r="AG21" s="61" t="n">
        <f aca="false">AG20*Assumptions!$I$36</f>
        <v>31446.3729508832</v>
      </c>
      <c r="AH21" s="61" t="n">
        <f aca="false">AH20*Assumptions!$I$36</f>
        <v>32056.3554483182</v>
      </c>
      <c r="AI21" s="61" t="n">
        <f aca="false">AI20*Assumptions!$I$36</f>
        <v>32706.7771268777</v>
      </c>
      <c r="AJ21" s="61" t="n">
        <f aca="false">AJ20*Assumptions!$I$36</f>
        <v>33401.8496190835</v>
      </c>
      <c r="AK21" s="61" t="n">
        <f aca="false">AK20*Assumptions!$I$36</f>
        <v>34146.1467301485</v>
      </c>
      <c r="AL21" s="61" t="n">
        <f aca="false">AL20*Assumptions!$I$36</f>
        <v>34944.6274807622</v>
      </c>
      <c r="AM21" s="61" t="n">
        <f aca="false">SUM(C21:AL21)</f>
        <v>1077178.71332298</v>
      </c>
    </row>
    <row r="22" customFormat="false" ht="15" hidden="false" customHeight="false" outlineLevel="0" collapsed="false">
      <c r="A22" s="10" t="s">
        <v>743</v>
      </c>
      <c r="B22" s="9" t="s">
        <v>97</v>
      </c>
      <c r="C22" s="70" t="n">
        <f aca="false">MIN(MAX(0,C16-C18),C21*Assumptions!$I$37)</f>
        <v>0</v>
      </c>
      <c r="D22" s="70" t="n">
        <f aca="false">MIN(MAX(0,D16-D18),D21*Assumptions!$I$37)</f>
        <v>2827.2544</v>
      </c>
      <c r="E22" s="70" t="n">
        <f aca="false">MIN(MAX(0,E16-E18),E21*Assumptions!$I$37)</f>
        <v>19553.459896</v>
      </c>
      <c r="F22" s="70" t="n">
        <f aca="false">MIN(MAX(0,F16-F18),F21*Assumptions!$I$37)</f>
        <v>38698.71147064</v>
      </c>
      <c r="G22" s="70" t="n">
        <f aca="false">MIN(MAX(0,G16-G18),G21*Assumptions!$I$37)</f>
        <v>47164.8943382845</v>
      </c>
      <c r="H22" s="70" t="n">
        <f aca="false">MIN(MAX(0,H16-H18),H21*Assumptions!$I$37)</f>
        <v>45228.3681816557</v>
      </c>
      <c r="I22" s="70" t="n">
        <f aca="false">MIN(MAX(0,I16-I18),I21*Assumptions!$I$37)</f>
        <v>43214.6443097433</v>
      </c>
      <c r="J22" s="70" t="n">
        <f aca="false">MIN(MAX(0,J16-J18),J21*Assumptions!$I$37)</f>
        <v>41462.273946031</v>
      </c>
      <c r="K22" s="70" t="n">
        <f aca="false">MIN(MAX(0,K16-K18),K21*Assumptions!$I$37)</f>
        <v>40313.4969363466</v>
      </c>
      <c r="L22" s="70" t="n">
        <f aca="false">MIN(MAX(0,L16-L18),L21*Assumptions!$I$37)</f>
        <v>39380.4044055876</v>
      </c>
      <c r="M22" s="70" t="n">
        <f aca="false">MIN(MAX(0,M16-M18),M21*Assumptions!$I$37)</f>
        <v>38691.1459770096</v>
      </c>
      <c r="N22" s="70" t="n">
        <f aca="false">MIN(MAX(0,N16-N18),N21*Assumptions!$I$37)</f>
        <v>38213.8061566973</v>
      </c>
      <c r="O22" s="70" t="n">
        <f aca="false">MIN(MAX(0,O16-O18),O21*Assumptions!$I$37)</f>
        <v>37913.6827823117</v>
      </c>
      <c r="P22" s="70" t="n">
        <f aca="false">MIN(MAX(0,P16-P18),P21*Assumptions!$I$37)</f>
        <v>37760.3783312123</v>
      </c>
      <c r="Q22" s="70" t="n">
        <f aca="false">MIN(MAX(0,Q16-Q18),Q21*Assumptions!$I$37)</f>
        <v>37728.7426662177</v>
      </c>
      <c r="R22" s="70" t="n">
        <f aca="false">MIN(MAX(0,R16-R18),R21*Assumptions!$I$37)</f>
        <v>37798.4602462385</v>
      </c>
      <c r="S22" s="70" t="n">
        <f aca="false">MIN(MAX(0,S16-S18),S21*Assumptions!$I$37)</f>
        <v>37953.3909205845</v>
      </c>
      <c r="T22" s="70" t="n">
        <f aca="false">MIN(MAX(0,T16-T18),T21*Assumptions!$I$37)</f>
        <v>38180.9120471253</v>
      </c>
      <c r="U22" s="70" t="n">
        <f aca="false">MIN(MAX(0,U16-U18),U21*Assumptions!$I$37)</f>
        <v>38471.3310447531</v>
      </c>
      <c r="V22" s="70" t="n">
        <f aca="false">MIN(MAX(0,V16-V18),V21*Assumptions!$I$37)</f>
        <v>38817.3849086647</v>
      </c>
      <c r="W22" s="70" t="n">
        <f aca="false">MIN(MAX(0,W16-W18),W21*Assumptions!$I$37)</f>
        <v>39213.824678795</v>
      </c>
      <c r="X22" s="70" t="n">
        <f aca="false">MIN(MAX(0,X16-X18),X21*Assumptions!$I$37)</f>
        <v>39657.0762139954</v>
      </c>
      <c r="Y22" s="70" t="n">
        <f aca="false">MIN(MAX(0,Y16-Y18),Y21*Assumptions!$I$37)</f>
        <v>40144.9668113571</v>
      </c>
      <c r="Z22" s="70" t="n">
        <f aca="false">MIN(MAX(0,Z16-Z18),Z21*Assumptions!$I$37)</f>
        <v>40676.5074268114</v>
      </c>
      <c r="AA22" s="70" t="n">
        <f aca="false">MIN(MAX(0,AA16-AA18),AA21*Assumptions!$I$37)</f>
        <v>41251.7212763016</v>
      </c>
      <c r="AB22" s="70" t="n">
        <f aca="false">MIN(MAX(0,AB16-AB18),AB21*Assumptions!$I$37)</f>
        <v>41871.5108693846</v>
      </c>
      <c r="AC22" s="70" t="n">
        <f aca="false">MIN(MAX(0,AC16-AC18),AC21*Assumptions!$I$37)</f>
        <v>42537.5567971136</v>
      </c>
      <c r="AD22" s="70" t="n">
        <f aca="false">MIN(MAX(0,AD16-AD18),AD21*Assumptions!$I$37)</f>
        <v>43241.545349979</v>
      </c>
      <c r="AE22" s="70" t="n">
        <f aca="false">MIN(MAX(0,AE16-AE18),AE21*Assumptions!$I$37)</f>
        <v>43982.2001074653</v>
      </c>
      <c r="AF22" s="70" t="n">
        <f aca="false">MIN(MAX(0,AF16-AF18),AF21*Assumptions!$I$37)</f>
        <v>44765.7909313773</v>
      </c>
      <c r="AG22" s="70" t="n">
        <f aca="false">MIN(MAX(0,AG16-AG18),AG21*Assumptions!$I$37)</f>
        <v>45597.2407787807</v>
      </c>
      <c r="AH22" s="70" t="n">
        <f aca="false">MIN(MAX(0,AH16-AH18),AH21*Assumptions!$I$37)</f>
        <v>46481.7154000614</v>
      </c>
      <c r="AI22" s="70" t="n">
        <f aca="false">MIN(MAX(0,AI16-AI18),AI21*Assumptions!$I$37)</f>
        <v>47424.8268339726</v>
      </c>
      <c r="AJ22" s="70" t="n">
        <f aca="false">MIN(MAX(0,AJ16-AJ18),AJ21*Assumptions!$I$37)</f>
        <v>48432.681947671</v>
      </c>
      <c r="AK22" s="70" t="n">
        <f aca="false">MIN(MAX(0,AK16-AK18),AK21*Assumptions!$I$37)</f>
        <v>49511.9127587154</v>
      </c>
      <c r="AL22" s="70" t="n">
        <f aca="false">MIN(MAX(0,AL16-AL18),AL21*Assumptions!$I$37)</f>
        <v>50669.7098471052</v>
      </c>
      <c r="AM22" s="70" t="n">
        <f aca="false">SUM(C22:AL22)</f>
        <v>1404833.53099399</v>
      </c>
    </row>
    <row r="23" customFormat="false" ht="15" hidden="false" customHeight="false" outlineLevel="0" collapsed="false">
      <c r="A23" s="10" t="s">
        <v>744</v>
      </c>
      <c r="B23" s="9" t="s">
        <v>84</v>
      </c>
      <c r="C23" s="61" t="n">
        <f aca="false">C22/Assumptions!$I$37</f>
        <v>0</v>
      </c>
      <c r="D23" s="61" t="n">
        <f aca="false">D22/Assumptions!$I$37</f>
        <v>1949.83062068966</v>
      </c>
      <c r="E23" s="61" t="n">
        <f aca="false">E22/Assumptions!$I$37</f>
        <v>13485.1447558621</v>
      </c>
      <c r="F23" s="61" t="n">
        <f aca="false">F22/Assumptions!$I$37</f>
        <v>26688.7665314759</v>
      </c>
      <c r="G23" s="61" t="n">
        <f aca="false">G22/Assumptions!$I$37</f>
        <v>32527.5133367479</v>
      </c>
      <c r="H23" s="61" t="n">
        <f aca="false">H22/Assumptions!$I$37</f>
        <v>31191.9780563143</v>
      </c>
      <c r="I23" s="61" t="n">
        <f aca="false">I22/Assumptions!$I$37</f>
        <v>29803.2029722368</v>
      </c>
      <c r="J23" s="61" t="n">
        <f aca="false">J22/Assumptions!$I$37</f>
        <v>28594.671686918</v>
      </c>
      <c r="K23" s="61" t="n">
        <f aca="false">K22/Assumptions!$I$37</f>
        <v>27802.4116802391</v>
      </c>
      <c r="L23" s="61" t="n">
        <f aca="false">L22/Assumptions!$I$37</f>
        <v>27158.8995900604</v>
      </c>
      <c r="M23" s="61" t="n">
        <f aca="false">M22/Assumptions!$I$37</f>
        <v>26683.5489496618</v>
      </c>
      <c r="N23" s="61" t="n">
        <f aca="false">N22/Assumptions!$I$37</f>
        <v>26354.3490735844</v>
      </c>
      <c r="O23" s="61" t="n">
        <f aca="false">O22/Assumptions!$I$37</f>
        <v>26147.367436077</v>
      </c>
      <c r="P23" s="61" t="n">
        <f aca="false">P22/Assumptions!$I$37</f>
        <v>26041.6402284223</v>
      </c>
      <c r="Q23" s="61" t="n">
        <f aca="false">Q22/Assumptions!$I$37</f>
        <v>26019.822528426</v>
      </c>
      <c r="R23" s="61" t="n">
        <f aca="false">R22/Assumptions!$I$37</f>
        <v>26067.9036180955</v>
      </c>
      <c r="S23" s="61" t="n">
        <f aca="false">S22/Assumptions!$I$37</f>
        <v>26174.7523590238</v>
      </c>
      <c r="T23" s="61" t="n">
        <f aca="false">T22/Assumptions!$I$37</f>
        <v>26331.663480776</v>
      </c>
      <c r="U23" s="61" t="n">
        <f aca="false">U22/Assumptions!$I$37</f>
        <v>26531.9524446573</v>
      </c>
      <c r="V23" s="61" t="n">
        <f aca="false">V22/Assumptions!$I$37</f>
        <v>26770.6102818377</v>
      </c>
      <c r="W23" s="61" t="n">
        <f aca="false">W22/Assumptions!$I$37</f>
        <v>27044.0170198586</v>
      </c>
      <c r="X23" s="61" t="n">
        <f aca="false">X22/Assumptions!$I$37</f>
        <v>27349.7077337899</v>
      </c>
      <c r="Y23" s="61" t="n">
        <f aca="false">Y22/Assumptions!$I$37</f>
        <v>27686.1840078325</v>
      </c>
      <c r="Z23" s="61" t="n">
        <f aca="false">Z22/Assumptions!$I$37</f>
        <v>28052.7637426285</v>
      </c>
      <c r="AA23" s="61" t="n">
        <f aca="false">AA22/Assumptions!$I$37</f>
        <v>28449.4629491735</v>
      </c>
      <c r="AB23" s="61" t="n">
        <f aca="false">AB22/Assumptions!$I$37</f>
        <v>28876.9040478515</v>
      </c>
      <c r="AC23" s="61" t="n">
        <f aca="false">AC22/Assumptions!$I$37</f>
        <v>29336.2460669749</v>
      </c>
      <c r="AD23" s="61" t="n">
        <f aca="false">AD22/Assumptions!$I$37</f>
        <v>29821.7554137786</v>
      </c>
      <c r="AE23" s="61" t="n">
        <f aca="false">AE22/Assumptions!$I$37</f>
        <v>30332.551798252</v>
      </c>
      <c r="AF23" s="61" t="n">
        <f aca="false">AF22/Assumptions!$I$37</f>
        <v>30872.9592630188</v>
      </c>
      <c r="AG23" s="61" t="n">
        <f aca="false">AG22/Assumptions!$I$37</f>
        <v>31446.3729508832</v>
      </c>
      <c r="AH23" s="61" t="n">
        <f aca="false">AH22/Assumptions!$I$37</f>
        <v>32056.3554483182</v>
      </c>
      <c r="AI23" s="61" t="n">
        <f aca="false">AI22/Assumptions!$I$37</f>
        <v>32706.7771268777</v>
      </c>
      <c r="AJ23" s="61" t="n">
        <f aca="false">AJ22/Assumptions!$I$37</f>
        <v>33401.8496190835</v>
      </c>
      <c r="AK23" s="61" t="n">
        <f aca="false">AK22/Assumptions!$I$37</f>
        <v>34146.1467301485</v>
      </c>
      <c r="AL23" s="61" t="n">
        <f aca="false">AL22/Assumptions!$I$37</f>
        <v>34944.6274807622</v>
      </c>
      <c r="AM23" s="61" t="n">
        <f aca="false">SUM(C23:AL23)</f>
        <v>968850.711030338</v>
      </c>
    </row>
    <row r="24" customFormat="false" ht="15" hidden="false" customHeight="false" outlineLevel="0" collapsed="false">
      <c r="A24" s="10" t="s">
        <v>745</v>
      </c>
      <c r="B24" s="9" t="s">
        <v>97</v>
      </c>
      <c r="C24" s="70" t="n">
        <f aca="false">MAX(0,C16-C18-C22)</f>
        <v>8000</v>
      </c>
      <c r="D24" s="70" t="n">
        <f aca="false">MAX(0,D16-D18-D22)</f>
        <v>0</v>
      </c>
      <c r="E24" s="70" t="n">
        <f aca="false">MAX(0,E16-E18-E22)</f>
        <v>0</v>
      </c>
      <c r="F24" s="70" t="n">
        <f aca="false">MAX(0,F16-F18-F22)</f>
        <v>0</v>
      </c>
      <c r="G24" s="70" t="n">
        <f aca="false">MAX(0,G16-G18-G22)</f>
        <v>4263.70912570641</v>
      </c>
      <c r="H24" s="70" t="n">
        <f aca="false">MAX(0,H16-H18-H22)</f>
        <v>16773.8273264845</v>
      </c>
      <c r="I24" s="70" t="n">
        <f aca="false">MAX(0,I16-I18-I22)</f>
        <v>28075.540460225</v>
      </c>
      <c r="J24" s="70" t="n">
        <f aca="false">MAX(0,J16-J18-J22)</f>
        <v>41586.6272307083</v>
      </c>
      <c r="K24" s="70" t="n">
        <f aca="false">MAX(0,K16-K18-K22)</f>
        <v>52295.2934047192</v>
      </c>
      <c r="L24" s="70" t="n">
        <f aca="false">MAX(0,L16-L18-L22)</f>
        <v>61871.3080200839</v>
      </c>
      <c r="M24" s="70" t="n">
        <f aca="false">MAX(0,M16-M18-M22)</f>
        <v>70494.1228236263</v>
      </c>
      <c r="N24" s="70" t="n">
        <f aca="false">MAX(0,N16-N18-N22)</f>
        <v>78339.1469841385</v>
      </c>
      <c r="O24" s="70" t="n">
        <f aca="false">MAX(0,O16-O18-O22)</f>
        <v>85553.059182971</v>
      </c>
      <c r="P24" s="70" t="n">
        <f aca="false">MAX(0,P16-P18-P22)</f>
        <v>92259.1311801937</v>
      </c>
      <c r="Q24" s="70" t="n">
        <f aca="false">MAX(0,Q16-Q18-Q22)</f>
        <v>98560.7211783548</v>
      </c>
      <c r="R24" s="70" t="n">
        <f aca="false">MAX(0,R16-R18-R22)</f>
        <v>104544.714265588</v>
      </c>
      <c r="S24" s="70" t="n">
        <f aca="false">MAX(0,S16-S18-S22)</f>
        <v>110284.560224253</v>
      </c>
      <c r="T24" s="70" t="n">
        <f aca="false">MAX(0,T16-T18-T22)</f>
        <v>115842.87411518</v>
      </c>
      <c r="U24" s="70" t="n">
        <f aca="false">MAX(0,U16-U18-U22)</f>
        <v>121273.629797857</v>
      </c>
      <c r="V24" s="70" t="n">
        <f aca="false">MAX(0,V16-V18-V22)</f>
        <v>126623.997234525</v>
      </c>
      <c r="W24" s="70" t="n">
        <f aca="false">MAX(0,W16-W18-W22)</f>
        <v>131935.877770154</v>
      </c>
      <c r="X24" s="70" t="n">
        <f aca="false">MAX(0,X16-X18-X22)</f>
        <v>137247.188294422</v>
      </c>
      <c r="Y24" s="70" t="n">
        <f aca="false">MAX(0,Y16-Y18-Y22)</f>
        <v>142592.939518513</v>
      </c>
      <c r="Z24" s="70" t="n">
        <f aca="false">MAX(0,Z16-Z18-Z22)</f>
        <v>148006.147404822</v>
      </c>
      <c r="AA24" s="70" t="n">
        <f aca="false">MAX(0,AA16-AA18-AA22)</f>
        <v>153518.610891581</v>
      </c>
      <c r="AB24" s="70" t="n">
        <f aca="false">MAX(0,AB16-AB18-AB22)</f>
        <v>159161.583787196</v>
      </c>
      <c r="AC24" s="70" t="n">
        <f aca="false">MAX(0,AC16-AC18-AC22)</f>
        <v>164754.072708246</v>
      </c>
      <c r="AD24" s="70" t="n">
        <f aca="false">MAX(0,AD16-AD18-AD22)</f>
        <v>170265.392496195</v>
      </c>
      <c r="AE24" s="70" t="n">
        <f aca="false">MAX(0,AE16-AE18-AE22)</f>
        <v>175786.231432388</v>
      </c>
      <c r="AF24" s="70" t="n">
        <f aca="false">MAX(0,AF16-AF18-AF22)</f>
        <v>181352.012840841</v>
      </c>
      <c r="AG24" s="70" t="n">
        <f aca="false">MAX(0,AG16-AG18-AG22)</f>
        <v>186998.554175749</v>
      </c>
      <c r="AH24" s="70" t="n">
        <f aca="false">MAX(0,AH16-AH18-AH22)</f>
        <v>192761.918478728</v>
      </c>
      <c r="AI24" s="70" t="n">
        <f aca="false">MAX(0,AI16-AI18-AI22)</f>
        <v>198678.823960398</v>
      </c>
      <c r="AJ24" s="70" t="n">
        <f aca="false">MAX(0,AJ16-AJ18-AJ22)</f>
        <v>204786.981080254</v>
      </c>
      <c r="AK24" s="70" t="n">
        <f aca="false">MAX(0,AK16-AK18-AK22)</f>
        <v>211125.422096736</v>
      </c>
      <c r="AL24" s="70" t="n">
        <f aca="false">MAX(0,AL16-AL18-AL22)</f>
        <v>217734.825254179</v>
      </c>
      <c r="AM24" s="70" t="n">
        <f aca="false">SUM(C24:AL24)</f>
        <v>3993348.84474502</v>
      </c>
    </row>
    <row r="25" customFormat="false" ht="15" hidden="false" customHeight="false" outlineLevel="0" collapsed="false">
      <c r="A25" s="10" t="s">
        <v>746</v>
      </c>
      <c r="B25" s="9" t="s">
        <v>84</v>
      </c>
      <c r="C25" s="61" t="n">
        <f aca="false">(Assumptions!$I$21/(Assumptions!$I$41*Assumptions!$I$42))*(C24/Assumptions!$I$21)^Assumptions!$I$25</f>
        <v>6000.40089742459</v>
      </c>
      <c r="D25" s="61" t="n">
        <f aca="false">(Assumptions!$I$21/(Assumptions!$I$41*Assumptions!$I$42))*(D24/Assumptions!$I$21)^Assumptions!$I$25</f>
        <v>0</v>
      </c>
      <c r="E25" s="61" t="n">
        <f aca="false">(Assumptions!$I$21/(Assumptions!$I$41*Assumptions!$I$42))*(E24/Assumptions!$I$21)^Assumptions!$I$25</f>
        <v>0</v>
      </c>
      <c r="F25" s="61" t="n">
        <f aca="false">(Assumptions!$I$21/(Assumptions!$I$41*Assumptions!$I$42))*(F24/Assumptions!$I$21)^Assumptions!$I$25</f>
        <v>0</v>
      </c>
      <c r="G25" s="61" t="n">
        <f aca="false">(Assumptions!$I$21/(Assumptions!$I$41*Assumptions!$I$42))*(G24/Assumptions!$I$21)^Assumptions!$I$25</f>
        <v>3766.48704553544</v>
      </c>
      <c r="H25" s="61" t="n">
        <f aca="false">(Assumptions!$I$21/(Assumptions!$I$41*Assumptions!$I$42))*(H24/Assumptions!$I$21)^Assumptions!$I$25</f>
        <v>10378.1867485508</v>
      </c>
      <c r="I25" s="61" t="n">
        <f aca="false">(Assumptions!$I$21/(Assumptions!$I$41*Assumptions!$I$42))*(I24/Assumptions!$I$21)^Assumptions!$I$25</f>
        <v>15193.4531028542</v>
      </c>
      <c r="J25" s="61" t="n">
        <f aca="false">(Assumptions!$I$21/(Assumptions!$I$41*Assumptions!$I$42))*(J24/Assumptions!$I$21)^Assumptions!$I$25</f>
        <v>20319.7993251952</v>
      </c>
      <c r="K25" s="61" t="n">
        <f aca="false">(Assumptions!$I$21/(Assumptions!$I$41*Assumptions!$I$42))*(K24/Assumptions!$I$21)^Assumptions!$I$25</f>
        <v>24074.4294780921</v>
      </c>
      <c r="L25" s="61" t="n">
        <f aca="false">(Assumptions!$I$21/(Assumptions!$I$41*Assumptions!$I$42))*(L24/Assumptions!$I$21)^Assumptions!$I$25</f>
        <v>27264.3882229218</v>
      </c>
      <c r="M25" s="61" t="n">
        <f aca="false">(Assumptions!$I$21/(Assumptions!$I$41*Assumptions!$I$42))*(M24/Assumptions!$I$21)^Assumptions!$I$25</f>
        <v>30028.0293032185</v>
      </c>
      <c r="N25" s="61" t="n">
        <f aca="false">(Assumptions!$I$21/(Assumptions!$I$41*Assumptions!$I$42))*(N24/Assumptions!$I$21)^Assumptions!$I$25</f>
        <v>32466.6902267675</v>
      </c>
      <c r="O25" s="61" t="n">
        <f aca="false">(Assumptions!$I$21/(Assumptions!$I$41*Assumptions!$I$42))*(O24/Assumptions!$I$21)^Assumptions!$I$25</f>
        <v>34653.5697643656</v>
      </c>
      <c r="P25" s="61" t="n">
        <f aca="false">(Assumptions!$I$21/(Assumptions!$I$41*Assumptions!$I$42))*(P24/Assumptions!$I$21)^Assumptions!$I$25</f>
        <v>36643.8084029952</v>
      </c>
      <c r="Q25" s="61" t="n">
        <f aca="false">(Assumptions!$I$21/(Assumptions!$I$41*Assumptions!$I$42))*(Q24/Assumptions!$I$21)^Assumptions!$I$25</f>
        <v>38479.9538665644</v>
      </c>
      <c r="R25" s="61" t="n">
        <f aca="false">(Assumptions!$I$21/(Assumptions!$I$41*Assumptions!$I$42))*(R24/Assumptions!$I$21)^Assumptions!$I$25</f>
        <v>40195.4797153726</v>
      </c>
      <c r="S25" s="61" t="n">
        <f aca="false">(Assumptions!$I$21/(Assumptions!$I$41*Assumptions!$I$42))*(S24/Assumptions!$I$21)^Assumptions!$I$25</f>
        <v>41817.1630898929</v>
      </c>
      <c r="T25" s="61" t="n">
        <f aca="false">(Assumptions!$I$21/(Assumptions!$I$41*Assumptions!$I$42))*(T24/Assumptions!$I$21)^Assumptions!$I$25</f>
        <v>43366.7600222329</v>
      </c>
      <c r="U25" s="61" t="n">
        <f aca="false">(Assumptions!$I$21/(Assumptions!$I$41*Assumptions!$I$42))*(U24/Assumptions!$I$21)^Assumptions!$I$25</f>
        <v>44862.2235930989</v>
      </c>
      <c r="V25" s="61" t="n">
        <f aca="false">(Assumptions!$I$21/(Assumptions!$I$41*Assumptions!$I$42))*(V24/Assumptions!$I$21)^Assumptions!$I$25</f>
        <v>46318.6114034538</v>
      </c>
      <c r="W25" s="61" t="n">
        <f aca="false">(Assumptions!$I$21/(Assumptions!$I$41*Assumptions!$I$42))*(W24/Assumptions!$I$21)^Assumptions!$I$25</f>
        <v>47748.7746423804</v>
      </c>
      <c r="X25" s="61" t="n">
        <f aca="false">(Assumptions!$I$21/(Assumptions!$I$41*Assumptions!$I$42))*(X24/Assumptions!$I$21)^Assumptions!$I$25</f>
        <v>49163.8895639855</v>
      </c>
      <c r="Y25" s="61" t="n">
        <f aca="false">(Assumptions!$I$21/(Assumptions!$I$41*Assumptions!$I$42))*(Y24/Assumptions!$I$21)^Assumptions!$I$25</f>
        <v>50573.8729532356</v>
      </c>
      <c r="Z25" s="61" t="n">
        <f aca="false">(Assumptions!$I$21/(Assumptions!$I$41*Assumptions!$I$42))*(Z24/Assumptions!$I$21)^Assumptions!$I$25</f>
        <v>51987.7108769336</v>
      </c>
      <c r="AA25" s="61" t="n">
        <f aca="false">(Assumptions!$I$21/(Assumptions!$I$41*Assumptions!$I$42))*(AA24/Assumptions!$I$21)^Assumptions!$I$25</f>
        <v>53413.721869825</v>
      </c>
      <c r="AB25" s="61" t="n">
        <f aca="false">(Assumptions!$I$21/(Assumptions!$I$41*Assumptions!$I$42))*(AB24/Assumptions!$I$21)^Assumptions!$I$25</f>
        <v>54859.7701279058</v>
      </c>
      <c r="AC25" s="61" t="n">
        <f aca="false">(Assumptions!$I$21/(Assumptions!$I$41*Assumptions!$I$42))*(AC24/Assumptions!$I$21)^Assumptions!$I$25</f>
        <v>56279.785653386</v>
      </c>
      <c r="AD25" s="61" t="n">
        <f aca="false">(Assumptions!$I$21/(Assumptions!$I$41*Assumptions!$I$42))*(AD24/Assumptions!$I$21)^Assumptions!$I$25</f>
        <v>57666.9790536241</v>
      </c>
      <c r="AE25" s="61" t="n">
        <f aca="false">(Assumptions!$I$21/(Assumptions!$I$41*Assumptions!$I$42))*(AE24/Assumptions!$I$21)^Assumptions!$I$25</f>
        <v>59044.9107078037</v>
      </c>
      <c r="AF25" s="61" t="n">
        <f aca="false">(Assumptions!$I$21/(Assumptions!$I$41*Assumptions!$I$42))*(AF24/Assumptions!$I$21)^Assumptions!$I$25</f>
        <v>60422.7153622388</v>
      </c>
      <c r="AG25" s="61" t="n">
        <f aca="false">(Assumptions!$I$21/(Assumptions!$I$41*Assumptions!$I$42))*(AG24/Assumptions!$I$21)^Assumptions!$I$25</f>
        <v>61809.3221783104</v>
      </c>
      <c r="AH25" s="61" t="n">
        <f aca="false">(Assumptions!$I$21/(Assumptions!$I$41*Assumptions!$I$42))*(AH24/Assumptions!$I$21)^Assumptions!$I$25</f>
        <v>63213.4356051888</v>
      </c>
      <c r="AI25" s="61" t="n">
        <f aca="false">(Assumptions!$I$21/(Assumptions!$I$41*Assumptions!$I$42))*(AI24/Assumptions!$I$21)^Assumptions!$I$25</f>
        <v>64643.6464895442</v>
      </c>
      <c r="AJ25" s="61" t="n">
        <f aca="false">(Assumptions!$I$21/(Assumptions!$I$41*Assumptions!$I$42))*(AJ24/Assumptions!$I$21)^Assumptions!$I$25</f>
        <v>66108.5164734272</v>
      </c>
      <c r="AK25" s="61" t="n">
        <f aca="false">(Assumptions!$I$21/(Assumptions!$I$41*Assumptions!$I$42))*(AK24/Assumptions!$I$21)^Assumptions!$I$25</f>
        <v>67616.6530393386</v>
      </c>
      <c r="AL25" s="61" t="n">
        <f aca="false">(Assumptions!$I$21/(Assumptions!$I$41*Assumptions!$I$42))*(AL24/Assumptions!$I$21)^Assumptions!$I$25</f>
        <v>69176.7764933785</v>
      </c>
      <c r="AM25" s="61" t="n">
        <f aca="false">SUM(C25:AL25)</f>
        <v>1429559.91529904</v>
      </c>
    </row>
    <row r="26" customFormat="false" ht="15" hidden="false" customHeight="false" outlineLevel="0" collapsed="false">
      <c r="A26" s="37" t="s">
        <v>747</v>
      </c>
      <c r="B26" s="9" t="s">
        <v>97</v>
      </c>
      <c r="C26" s="53" t="n">
        <f aca="false">C18+C22+C24</f>
        <v>8000</v>
      </c>
      <c r="D26" s="53" t="n">
        <f aca="false">D18+D22+D24</f>
        <v>30000</v>
      </c>
      <c r="E26" s="53" t="n">
        <f aca="false">E18+E22+E24</f>
        <v>30000</v>
      </c>
      <c r="F26" s="53" t="n">
        <f aca="false">F18+F22+F24</f>
        <v>47992.6512</v>
      </c>
      <c r="G26" s="53" t="n">
        <f aca="false">G18+G22+G24</f>
        <v>59804.3651177933</v>
      </c>
      <c r="H26" s="53" t="n">
        <f aca="false">H18+H22+H24</f>
        <v>69647.6681258248</v>
      </c>
      <c r="I26" s="53" t="n">
        <f aca="false">I18+I22+I24</f>
        <v>78356.0623912766</v>
      </c>
      <c r="J26" s="53" t="n">
        <f aca="false">J18+J22+J24</f>
        <v>89656.1562943909</v>
      </c>
      <c r="K26" s="53" t="n">
        <f aca="false">K18+K22+K24</f>
        <v>98854.6557636465</v>
      </c>
      <c r="L26" s="53" t="n">
        <f aca="false">L18+L22+L24</f>
        <v>107214.470147757</v>
      </c>
      <c r="M26" s="53" t="n">
        <f aca="false">M18+M22+M24</f>
        <v>114928.084782887</v>
      </c>
      <c r="N26" s="53" t="n">
        <f aca="false">N18+N22+N24</f>
        <v>122126.949149632</v>
      </c>
      <c r="O26" s="53" t="n">
        <f aca="false">O18+O22+O24</f>
        <v>128913.457421384</v>
      </c>
      <c r="P26" s="53" t="n">
        <f aca="false">P18+P22+P24</f>
        <v>135372.875739768</v>
      </c>
      <c r="Q26" s="53" t="n">
        <f aca="false">Q18+Q22+Q24</f>
        <v>141577.388674455</v>
      </c>
      <c r="R26" s="53" t="n">
        <f aca="false">R18+R22+R24</f>
        <v>147588.815625174</v>
      </c>
      <c r="S26" s="53" t="n">
        <f aca="false">S18+S22+S24</f>
        <v>153460.740933407</v>
      </c>
      <c r="T26" s="53" t="n">
        <f aca="false">T18+T22+T24</f>
        <v>159240.258347861</v>
      </c>
      <c r="U26" s="53" t="n">
        <f aca="false">U18+U22+U24</f>
        <v>164969.419113679</v>
      </c>
      <c r="V26" s="53" t="n">
        <f aca="false">V18+V22+V24</f>
        <v>170686.443065705</v>
      </c>
      <c r="W26" s="53" t="n">
        <f aca="false">W18+W22+W24</f>
        <v>176426.738516131</v>
      </c>
      <c r="X26" s="53" t="n">
        <f aca="false">X18+X22+X24</f>
        <v>182223.768086958</v>
      </c>
      <c r="Y26" s="53" t="n">
        <f aca="false">Y18+Y22+Y24</f>
        <v>188109.791178729</v>
      </c>
      <c r="Z26" s="53" t="n">
        <f aca="false">Z18+Z22+Z24</f>
        <v>194116.50861149</v>
      </c>
      <c r="AA26" s="53" t="n">
        <f aca="false">AA18+AA22+AA24</f>
        <v>200275.630759606</v>
      </c>
      <c r="AB26" s="53" t="n">
        <f aca="false">AB18+AB22+AB24</f>
        <v>206619.387034902</v>
      </c>
      <c r="AC26" s="53" t="n">
        <f aca="false">AC18+AC22+AC24</f>
        <v>212968.700264406</v>
      </c>
      <c r="AD26" s="53" t="n">
        <f aca="false">AD18+AD22+AD24</f>
        <v>219284.953162874</v>
      </c>
      <c r="AE26" s="53" t="n">
        <f aca="false">AE18+AE22+AE24</f>
        <v>225658.073322528</v>
      </c>
      <c r="AF26" s="53" t="n">
        <f aca="false">AF18+AF22+AF24</f>
        <v>232130.395921312</v>
      </c>
      <c r="AG26" s="53" t="n">
        <f aca="false">AG18+AG22+AG24</f>
        <v>238743.425017824</v>
      </c>
      <c r="AH26" s="53" t="n">
        <f aca="false">AH18+AH22+AH24</f>
        <v>245539.272880406</v>
      </c>
      <c r="AI26" s="53" t="n">
        <f aca="false">AI18+AI22+AI24</f>
        <v>252561.273628233</v>
      </c>
      <c r="AJ26" s="53" t="n">
        <f aca="false">AJ18+AJ22+AJ24</f>
        <v>259854.371510516</v>
      </c>
      <c r="AK26" s="53" t="n">
        <f aca="false">AK18+AK22+AK24</f>
        <v>267465.48531242</v>
      </c>
      <c r="AL26" s="53" t="n">
        <f aca="false">AL18+AL22+AL24</f>
        <v>275443.872204135</v>
      </c>
      <c r="AM26" s="53" t="n">
        <f aca="false">SUM(C26:AL26)</f>
        <v>5635812.10930711</v>
      </c>
    </row>
    <row r="27" customFormat="false" ht="15" hidden="false" customHeight="false" outlineLevel="0" collapsed="false">
      <c r="A27" s="10" t="s">
        <v>748</v>
      </c>
      <c r="B27" s="9" t="s">
        <v>84</v>
      </c>
      <c r="C27" s="61" t="n">
        <f aca="false">C19+C23+C25</f>
        <v>6000.40089742459</v>
      </c>
      <c r="D27" s="61" t="n">
        <f aca="false">D19+D23+D25</f>
        <v>26652.3266206897</v>
      </c>
      <c r="E27" s="61" t="n">
        <f aca="false">E19+E23+E25</f>
        <v>22981.9993958621</v>
      </c>
      <c r="F27" s="61" t="n">
        <f aca="false">F19+F23+F25</f>
        <v>35137.8026490759</v>
      </c>
      <c r="G27" s="61" t="n">
        <f aca="false">G19+G23+G25</f>
        <v>43908.3291584674</v>
      </c>
      <c r="H27" s="61" t="n">
        <f aca="false">H19+H23+H25</f>
        <v>48520.5944573056</v>
      </c>
      <c r="I27" s="61" t="n">
        <f aca="false">I19+I23+I25</f>
        <v>51420.1811853712</v>
      </c>
      <c r="J27" s="61" t="n">
        <f aca="false">J19+J23+J25</f>
        <v>54921.0665736146</v>
      </c>
      <c r="K27" s="61" t="n">
        <f aca="false">K19+K23+K25</f>
        <v>57554.9006334045</v>
      </c>
      <c r="L27" s="61" t="n">
        <f aca="false">L19+L23+L25</f>
        <v>59843.9766512416</v>
      </c>
      <c r="M27" s="61" t="n">
        <f aca="false">M19+M23+M25</f>
        <v>61932.3200549266</v>
      </c>
      <c r="N27" s="61" t="n">
        <f aca="false">N19+N23+N25</f>
        <v>63888.3083992572</v>
      </c>
      <c r="O27" s="61" t="n">
        <f aca="false">O19+O23+O25</f>
        <v>65752.4967059892</v>
      </c>
      <c r="P27" s="61" t="n">
        <f aca="false">P19+P23+P25</f>
        <v>67552.1452026552</v>
      </c>
      <c r="Q27" s="61" t="n">
        <f aca="false">Q19+Q23+Q25</f>
        <v>69306.980785793</v>
      </c>
      <c r="R27" s="61" t="n">
        <f aca="false">R19+R23+R25</f>
        <v>71032.1479819659</v>
      </c>
      <c r="S27" s="61" t="n">
        <f aca="false">S19+S23+S25</f>
        <v>72739.9061657975</v>
      </c>
      <c r="T27" s="61" t="n">
        <f aca="false">T19+T23+T25</f>
        <v>74440.6709444236</v>
      </c>
      <c r="U27" s="61" t="n">
        <f aca="false">U19+U23+U25</f>
        <v>76143.6835569098</v>
      </c>
      <c r="V27" s="61" t="n">
        <f aca="false">V19+V23+V25</f>
        <v>77857.4588875784</v>
      </c>
      <c r="W27" s="61" t="n">
        <f aca="false">W19+W23+W25</f>
        <v>79590.0971778591</v>
      </c>
      <c r="X27" s="61" t="n">
        <f aca="false">X19+X23+X25</f>
        <v>81349.5096419033</v>
      </c>
      <c r="Y27" s="61" t="n">
        <f aca="false">Y19+Y23+Y25</f>
        <v>83143.5886418491</v>
      </c>
      <c r="Z27" s="61" t="n">
        <f aca="false">Z19+Z23+Z25</f>
        <v>84980.3416921587</v>
      </c>
      <c r="AA27" s="61" t="n">
        <f aca="false">AA19+AA23+AA25</f>
        <v>86868.0017205649</v>
      </c>
      <c r="AB27" s="61" t="n">
        <f aca="false">AB19+AB23+AB25</f>
        <v>88815.1217924136</v>
      </c>
      <c r="AC27" s="61" t="n">
        <f aca="false">AC19+AC23+AC25</f>
        <v>90777.0051376755</v>
      </c>
      <c r="AD27" s="61" t="n">
        <f aca="false">AD19+AD23+AD25</f>
        <v>92741.4756644031</v>
      </c>
      <c r="AE27" s="61" t="n">
        <f aca="false">AE19+AE23+AE25</f>
        <v>94731.6823084879</v>
      </c>
      <c r="AF27" s="61" t="n">
        <f aca="false">AF19+AF23+AF25</f>
        <v>96761.6674880703</v>
      </c>
      <c r="AG27" s="61" t="n">
        <f aca="false">AG19+AG23+AG25</f>
        <v>98844.4497321886</v>
      </c>
      <c r="AH27" s="61" t="n">
        <f aca="false">AH19+AH23+AH25</f>
        <v>100993.099236795</v>
      </c>
      <c r="AI27" s="61" t="n">
        <f aca="false">AI19+AI23+AI25</f>
        <v>103220.989829024</v>
      </c>
      <c r="AJ27" s="61" t="n">
        <f aca="false">AJ19+AJ23+AJ25</f>
        <v>105541.919258502</v>
      </c>
      <c r="AK27" s="61" t="n">
        <f aca="false">AK19+AK23+AK25</f>
        <v>107970.209275822</v>
      </c>
      <c r="AL27" s="61" t="n">
        <f aca="false">AL19+AL23+AL25</f>
        <v>110520.801340369</v>
      </c>
      <c r="AM27" s="61" t="n">
        <f aca="false">SUM(C27:AL27)</f>
        <v>2614437.65684584</v>
      </c>
    </row>
    <row r="28" customFormat="false" ht="15" hidden="false" customHeight="false" outlineLevel="0" collapsed="false">
      <c r="A28" s="10" t="s">
        <v>749</v>
      </c>
      <c r="B28" s="9" t="s">
        <v>97</v>
      </c>
      <c r="C28" s="63" t="n">
        <f aca="false">IFERROR(C26/C27,0)</f>
        <v>1.33324425096891</v>
      </c>
      <c r="D28" s="63" t="n">
        <f aca="false">IFERROR(D26/D27,0)</f>
        <v>1.12560529618872</v>
      </c>
      <c r="E28" s="63" t="n">
        <f aca="false">IFERROR(E26/E27,0)</f>
        <v>1.30536945386055</v>
      </c>
      <c r="F28" s="63" t="n">
        <f aca="false">IFERROR(F26/F27,0)</f>
        <v>1.36584099123404</v>
      </c>
      <c r="G28" s="63" t="n">
        <f aca="false">IFERROR(G26/G27,0)</f>
        <v>1.3620278034711</v>
      </c>
      <c r="H28" s="63" t="n">
        <f aca="false">IFERROR(H26/H27,0)</f>
        <v>1.43542487277458</v>
      </c>
      <c r="I28" s="63" t="n">
        <f aca="false">IFERROR(I26/I27,0)</f>
        <v>1.52383870661211</v>
      </c>
      <c r="J28" s="63" t="n">
        <f aca="false">IFERROR(J26/J27,0)</f>
        <v>1.63245475530266</v>
      </c>
      <c r="K28" s="63" t="n">
        <f aca="false">IFERROR(K26/K27,0)</f>
        <v>1.71757147828819</v>
      </c>
      <c r="L28" s="63" t="n">
        <f aca="false">IFERROR(L26/L27,0)</f>
        <v>1.79156660615288</v>
      </c>
      <c r="M28" s="63" t="n">
        <f aca="false">IFERROR(M26/M27,0)</f>
        <v>1.85570449614933</v>
      </c>
      <c r="N28" s="63" t="n">
        <f aca="false">IFERROR(N26/N27,0)</f>
        <v>1.91156961593698</v>
      </c>
      <c r="O28" s="63" t="n">
        <f aca="false">IFERROR(O26/O27,0)</f>
        <v>1.9605865005829</v>
      </c>
      <c r="P28" s="63" t="n">
        <f aca="false">IFERROR(P26/P27,0)</f>
        <v>2.0039759704692</v>
      </c>
      <c r="Q28" s="63" t="n">
        <f aca="false">IFERROR(Q26/Q27,0)</f>
        <v>2.04275798872308</v>
      </c>
      <c r="R28" s="63" t="n">
        <f aca="false">IFERROR(R26/R27,0)</f>
        <v>2.07777492048594</v>
      </c>
      <c r="S28" s="63" t="n">
        <f aca="false">IFERROR(S26/S27,0)</f>
        <v>2.10971870906213</v>
      </c>
      <c r="T28" s="63" t="n">
        <f aca="false">IFERROR(T26/T27,0)</f>
        <v>2.13915667776219</v>
      </c>
      <c r="U28" s="63" t="n">
        <f aca="false">IFERROR(U26/U27,0)</f>
        <v>2.16655422232601</v>
      </c>
      <c r="V28" s="63" t="n">
        <f aca="false">IFERROR(V26/V27,0)</f>
        <v>2.19229403970359</v>
      </c>
      <c r="W28" s="63" t="n">
        <f aca="false">IFERROR(W26/W27,0)</f>
        <v>2.21669208572358</v>
      </c>
      <c r="X28" s="63" t="n">
        <f aca="false">IFERROR(X26/X27,0)</f>
        <v>2.24001065143599</v>
      </c>
      <c r="Y28" s="63" t="n">
        <f aca="false">IFERROR(Y26/Y27,0)</f>
        <v>2.26246899191511</v>
      </c>
      <c r="Z28" s="63" t="n">
        <f aca="false">IFERROR(Z26/Z27,0)</f>
        <v>2.28425191928125</v>
      </c>
      <c r="AA28" s="63" t="n">
        <f aca="false">IFERROR(AA26/AA27,0)</f>
        <v>2.30551672414254</v>
      </c>
      <c r="AB28" s="63" t="n">
        <f aca="false">IFERROR(AB26/AB27,0)</f>
        <v>2.32639873554225</v>
      </c>
      <c r="AC28" s="63" t="n">
        <f aca="false">IFERROR(AC26/AC27,0)</f>
        <v>2.34606440189793</v>
      </c>
      <c r="AD28" s="63" t="n">
        <f aca="false">IFERROR(AD26/AD27,0)</f>
        <v>2.36447556599579</v>
      </c>
      <c r="AE28" s="63" t="n">
        <f aca="false">IFERROR(AE26/AE27,0)</f>
        <v>2.38207606814885</v>
      </c>
      <c r="AF28" s="63" t="n">
        <f aca="false">IFERROR(AF26/AF27,0)</f>
        <v>2.39899127358394</v>
      </c>
      <c r="AG28" s="63" t="n">
        <f aca="false">IFERROR(AG26/AG27,0)</f>
        <v>2.41534477317321</v>
      </c>
      <c r="AH28" s="63" t="n">
        <f aca="false">IFERROR(AH26/AH27,0)</f>
        <v>2.43124802324067</v>
      </c>
      <c r="AI28" s="63" t="n">
        <f aca="false">IFERROR(AI26/AI27,0)</f>
        <v>2.44680150855535</v>
      </c>
      <c r="AJ28" s="63" t="n">
        <f aca="false">IFERROR(AJ26/AJ27,0)</f>
        <v>2.46209632472248</v>
      </c>
      <c r="AK28" s="63" t="n">
        <f aca="false">IFERROR(AK26/AK27,0)</f>
        <v>2.47721558665455</v>
      </c>
      <c r="AL28" s="63" t="n">
        <f aca="false">IFERROR(AL26/AL27,0)</f>
        <v>2.49223556890305</v>
      </c>
      <c r="AM28" s="63" t="n">
        <f aca="false">AVERAGE(N28:AL28)</f>
        <v>2.25825107391874</v>
      </c>
    </row>
    <row r="29" customFormat="false" ht="15" hidden="false" customHeight="false" outlineLevel="0" collapsed="false">
      <c r="A29" s="37" t="s">
        <v>750</v>
      </c>
      <c r="B29" s="9" t="s">
        <v>84</v>
      </c>
      <c r="C29" s="71" t="n">
        <f aca="false">C13+C15+C27</f>
        <v>8200.40089742459</v>
      </c>
      <c r="D29" s="71" t="n">
        <f aca="false">D13+D15+D27</f>
        <v>205506.32662069</v>
      </c>
      <c r="E29" s="71" t="n">
        <f aca="false">E13+E15+E27</f>
        <v>92802.5393958621</v>
      </c>
      <c r="F29" s="71" t="n">
        <f aca="false">F13+F15+F27</f>
        <v>97582.9624490759</v>
      </c>
      <c r="G29" s="71" t="n">
        <f aca="false">G13+G15+G27</f>
        <v>100521.405500467</v>
      </c>
      <c r="H29" s="71" t="n">
        <f aca="false">H13+H15+H27</f>
        <v>100542.364598086</v>
      </c>
      <c r="I29" s="71" t="n">
        <f aca="false">I13+I15+I27</f>
        <v>99849.9593812214</v>
      </c>
      <c r="J29" s="71" t="n">
        <f aca="false">J13+J15+J27</f>
        <v>100565.599001011</v>
      </c>
      <c r="K29" s="71" t="n">
        <f aca="false">K13+K15+K27</f>
        <v>101067.535534403</v>
      </c>
      <c r="L29" s="71" t="n">
        <f aca="false">L13+L15+L27</f>
        <v>101756.059537439</v>
      </c>
      <c r="M29" s="71" t="n">
        <f aca="false">M13+M15+M27</f>
        <v>102678.374276168</v>
      </c>
      <c r="N29" s="71" t="n">
        <f aca="false">N13+N15+N27</f>
        <v>103826.24980064</v>
      </c>
      <c r="O29" s="71" t="n">
        <f aca="false">O13+O15+O27</f>
        <v>105179.881873681</v>
      </c>
      <c r="P29" s="71" t="n">
        <f aca="false">P13+P15+P27</f>
        <v>106719.253467586</v>
      </c>
      <c r="Q29" s="71" t="n">
        <f aca="false">Q13+Q15+Q27</f>
        <v>108427.370740285</v>
      </c>
      <c r="R29" s="71" t="n">
        <f aca="false">R13+R15+R27</f>
        <v>110291.201788936</v>
      </c>
      <c r="S29" s="71" t="n">
        <f aca="false">S13+S15+S27</f>
        <v>112301.773020654</v>
      </c>
      <c r="T29" s="71" t="n">
        <f aca="false">T13+T15+T27</f>
        <v>114453.939580425</v>
      </c>
      <c r="U29" s="71" t="n">
        <f aca="false">U13+U15+U27</f>
        <v>116746.048581517</v>
      </c>
      <c r="V29" s="71" t="n">
        <f aca="false">V13+V15+V27</f>
        <v>119179.593733493</v>
      </c>
      <c r="W29" s="71" t="n">
        <f aca="false">W13+W15+W27</f>
        <v>121758.904935181</v>
      </c>
      <c r="X29" s="71" t="n">
        <f aca="false">X13+X15+X27</f>
        <v>124490.889917603</v>
      </c>
      <c r="Y29" s="71" t="n">
        <f aca="false">Y13+Y15+Y27</f>
        <v>127384.832198537</v>
      </c>
      <c r="Z29" s="71" t="n">
        <f aca="false">Z13+Z15+Z27</f>
        <v>130452.243613889</v>
      </c>
      <c r="AA29" s="71" t="n">
        <f aca="false">AA13+AA15+AA27</f>
        <v>133706.767171203</v>
      </c>
      <c r="AB29" s="71" t="n">
        <f aca="false">AB13+AB15+AB27</f>
        <v>137164.125218371</v>
      </c>
      <c r="AC29" s="71" t="n">
        <f aca="false">AC13+AC15+AC27</f>
        <v>140788.453339779</v>
      </c>
      <c r="AD29" s="71" t="n">
        <f aca="false">AD13+AD15+AD27</f>
        <v>144578.016978943</v>
      </c>
      <c r="AE29" s="71" t="n">
        <f aca="false">AE13+AE15+AE27</f>
        <v>148567.997760735</v>
      </c>
      <c r="AF29" s="71" t="n">
        <f aca="false">AF13+AF15+AF27</f>
        <v>152786.074866538</v>
      </c>
      <c r="AG29" s="71" t="n">
        <f aca="false">AG13+AG15+AG27</f>
        <v>157260.547803133</v>
      </c>
      <c r="AH29" s="71" t="n">
        <f aca="false">AH13+AH15+AH27</f>
        <v>162021.476556856</v>
      </c>
      <c r="AI29" s="71" t="n">
        <f aca="false">AI13+AI15+AI27</f>
        <v>167101.020646077</v>
      </c>
      <c r="AJ29" s="71" t="n">
        <f aca="false">AJ13+AJ15+AJ27</f>
        <v>172533.667679638</v>
      </c>
      <c r="AK29" s="71" t="n">
        <f aca="false">AK13+AK15+AK27</f>
        <v>178356.462119298</v>
      </c>
      <c r="AL29" s="71" t="n">
        <f aca="false">AL13+AL15+AL27</f>
        <v>184609.249791309</v>
      </c>
      <c r="AM29" s="71" t="n">
        <f aca="false">SUM(C29:AL29)</f>
        <v>4491759.57037616</v>
      </c>
    </row>
    <row r="30" customFormat="false" ht="15" hidden="false" customHeight="false" outlineLevel="0" collapsed="false">
      <c r="A30" s="10" t="s">
        <v>751</v>
      </c>
      <c r="B30" s="9" t="s">
        <v>51</v>
      </c>
      <c r="C30" s="61" t="n">
        <f aca="false">C8*Assumptions!$I$47*Assumptions!$I$48^C10</f>
        <v>0</v>
      </c>
      <c r="D30" s="61" t="n">
        <f aca="false">D8*Assumptions!$I$47*Assumptions!$I$48^D10</f>
        <v>1500</v>
      </c>
      <c r="E30" s="61" t="n">
        <f aca="false">E8*Assumptions!$I$47*Assumptions!$I$48^E10</f>
        <v>2025</v>
      </c>
      <c r="F30" s="61" t="n">
        <f aca="false">F8*Assumptions!$I$47*Assumptions!$I$48^F10</f>
        <v>2733.75</v>
      </c>
      <c r="G30" s="61" t="n">
        <f aca="false">G8*Assumptions!$I$47*Assumptions!$I$48^G10</f>
        <v>3690.5625</v>
      </c>
      <c r="H30" s="61" t="n">
        <f aca="false">H8*Assumptions!$I$47*Assumptions!$I$48^H10</f>
        <v>4982.259375</v>
      </c>
      <c r="I30" s="61" t="n">
        <f aca="false">I8*Assumptions!$I$47*Assumptions!$I$48^I10</f>
        <v>6726.05015625</v>
      </c>
      <c r="J30" s="61" t="n">
        <f aca="false">J8*Assumptions!$I$47*Assumptions!$I$48^J10</f>
        <v>9080.1677109375</v>
      </c>
      <c r="K30" s="61" t="n">
        <f aca="false">K8*Assumptions!$I$47*Assumptions!$I$48^K10</f>
        <v>12258.2264097656</v>
      </c>
      <c r="L30" s="61" t="n">
        <f aca="false">L8*Assumptions!$I$47*Assumptions!$I$48^L10</f>
        <v>16548.6056531836</v>
      </c>
      <c r="M30" s="61" t="n">
        <f aca="false">M8*Assumptions!$I$47*Assumptions!$I$48^M10</f>
        <v>22340.6176317979</v>
      </c>
      <c r="N30" s="61" t="n">
        <f aca="false">N8*Assumptions!$I$47*Assumptions!$I$48^N10</f>
        <v>30159.8338029271</v>
      </c>
      <c r="O30" s="61" t="n">
        <f aca="false">O8*Assumptions!$I$47*Assumptions!$I$48^O10</f>
        <v>40715.7756339516</v>
      </c>
      <c r="P30" s="61" t="n">
        <f aca="false">P8*Assumptions!$I$47*Assumptions!$I$48^P10</f>
        <v>54966.2971058347</v>
      </c>
      <c r="Q30" s="61" t="n">
        <f aca="false">Q8*Assumptions!$I$47*Assumptions!$I$48^Q10</f>
        <v>74204.5010928768</v>
      </c>
      <c r="R30" s="61" t="n">
        <f aca="false">R8*Assumptions!$I$47*Assumptions!$I$48^R10</f>
        <v>100176.076475384</v>
      </c>
      <c r="S30" s="61" t="n">
        <f aca="false">S8*Assumptions!$I$47*Assumptions!$I$48^S10</f>
        <v>135237.703241768</v>
      </c>
      <c r="T30" s="61" t="n">
        <f aca="false">T8*Assumptions!$I$47*Assumptions!$I$48^T10</f>
        <v>182570.899376387</v>
      </c>
      <c r="U30" s="61" t="n">
        <f aca="false">U8*Assumptions!$I$47*Assumptions!$I$48^U10</f>
        <v>246470.714158122</v>
      </c>
      <c r="V30" s="61" t="n">
        <f aca="false">V8*Assumptions!$I$47*Assumptions!$I$48^V10</f>
        <v>332735.464113465</v>
      </c>
      <c r="W30" s="61" t="n">
        <f aca="false">W8*Assumptions!$I$47*Assumptions!$I$48^W10</f>
        <v>449192.876553178</v>
      </c>
      <c r="X30" s="61" t="n">
        <f aca="false">X8*Assumptions!$I$47*Assumptions!$I$48^X10</f>
        <v>606410.38334679</v>
      </c>
      <c r="Y30" s="61" t="n">
        <f aca="false">Y8*Assumptions!$I$47*Assumptions!$I$48^Y10</f>
        <v>818654.017518167</v>
      </c>
      <c r="Z30" s="61" t="n">
        <f aca="false">Z8*Assumptions!$I$47*Assumptions!$I$48^Z10</f>
        <v>1105182.92364953</v>
      </c>
      <c r="AA30" s="61" t="n">
        <f aca="false">AA8*Assumptions!$I$47*Assumptions!$I$48^AA10</f>
        <v>1491996.94692686</v>
      </c>
      <c r="AB30" s="61" t="n">
        <f aca="false">AB8*Assumptions!$I$47*Assumptions!$I$48^AB10</f>
        <v>2014195.87835126</v>
      </c>
      <c r="AC30" s="61" t="n">
        <f aca="false">AC8*Assumptions!$I$47*Assumptions!$I$48^AC10</f>
        <v>2719164.4357742</v>
      </c>
      <c r="AD30" s="61" t="n">
        <f aca="false">AD8*Assumptions!$I$47*Assumptions!$I$48^AD10</f>
        <v>3670871.98829517</v>
      </c>
      <c r="AE30" s="61" t="n">
        <f aca="false">AE8*Assumptions!$I$47*Assumptions!$I$48^AE10</f>
        <v>4955677.18419848</v>
      </c>
      <c r="AF30" s="61" t="n">
        <f aca="false">AF8*Assumptions!$I$47*Assumptions!$I$48^AF10</f>
        <v>6690164.19866795</v>
      </c>
      <c r="AG30" s="61" t="n">
        <f aca="false">AG8*Assumptions!$I$47*Assumptions!$I$48^AG10</f>
        <v>9031721.66820174</v>
      </c>
      <c r="AH30" s="61" t="n">
        <f aca="false">AH8*Assumptions!$I$47*Assumptions!$I$48^AH10</f>
        <v>12192824.2520723</v>
      </c>
      <c r="AI30" s="61" t="n">
        <f aca="false">AI8*Assumptions!$I$47*Assumptions!$I$48^AI10</f>
        <v>16460312.7402977</v>
      </c>
      <c r="AJ30" s="61" t="n">
        <f aca="false">AJ8*Assumptions!$I$47*Assumptions!$I$48^AJ10</f>
        <v>22221422.1994018</v>
      </c>
      <c r="AK30" s="61" t="n">
        <f aca="false">AK8*Assumptions!$I$47*Assumptions!$I$48^AK10</f>
        <v>29998919.9691925</v>
      </c>
      <c r="AL30" s="61" t="n">
        <f aca="false">AL8*Assumptions!$I$47*Assumptions!$I$48^AL10</f>
        <v>40498541.9584099</v>
      </c>
      <c r="AM30" s="61" t="n">
        <f aca="false">AL30</f>
        <v>40498541.9584099</v>
      </c>
    </row>
    <row r="31" customFormat="false" ht="15" hidden="false" customHeight="false" outlineLevel="0" collapsed="false">
      <c r="A31" s="10" t="s">
        <v>752</v>
      </c>
      <c r="B31" s="9" t="s">
        <v>51</v>
      </c>
      <c r="C31" s="61" t="n">
        <f aca="false">Assumptions!$I$49*C8*(C15+C13*Assumptions!$I$44+C19*Assumptions!$I$31*Assumptions!$I$32+C23*Assumptions!$I$38*Assumptions!$I$39+C25*Assumptions!$I$43)</f>
        <v>0</v>
      </c>
      <c r="D31" s="61" t="n">
        <f aca="false">Assumptions!$I$49*D8*(D15+D13*Assumptions!$I$44+D19*Assumptions!$I$31*Assumptions!$I$32+D23*Assumptions!$I$38*Assumptions!$I$39+D25*Assumptions!$I$43)</f>
        <v>5020.02364998621</v>
      </c>
      <c r="E31" s="61" t="n">
        <f aca="false">Assumptions!$I$49*E8*(E15+E13*Assumptions!$I$44+E19*Assumptions!$I$31*Assumptions!$I$32+E23*Assumptions!$I$38*Assumptions!$I$39+E25*Assumptions!$I$43)</f>
        <v>2053.83551549876</v>
      </c>
      <c r="F31" s="61" t="n">
        <f aca="false">Assumptions!$I$49*F8*(F15+F13*Assumptions!$I$44+F19*Assumptions!$I$31*Assumptions!$I$32+F23*Assumptions!$I$38*Assumptions!$I$39+F25*Assumptions!$I$43)</f>
        <v>1962.32208640592</v>
      </c>
      <c r="G31" s="61" t="n">
        <f aca="false">Assumptions!$I$49*G8*(G15+G13*Assumptions!$I$44+G19*Assumptions!$I$31*Assumptions!$I$32+G23*Assumptions!$I$38*Assumptions!$I$39+G25*Assumptions!$I$43)</f>
        <v>1904.18165111364</v>
      </c>
      <c r="H31" s="61" t="n">
        <f aca="false">Assumptions!$I$49*H8*(H15+H13*Assumptions!$I$44+H19*Assumptions!$I$31*Assumptions!$I$32+H23*Assumptions!$I$38*Assumptions!$I$39+H25*Assumptions!$I$43)</f>
        <v>1858.77664939792</v>
      </c>
      <c r="I31" s="61" t="n">
        <f aca="false">Assumptions!$I$49*I8*(I15+I13*Assumptions!$I$44+I19*Assumptions!$I$31*Assumptions!$I$32+I23*Assumptions!$I$38*Assumptions!$I$39+I25*Assumptions!$I$43)</f>
        <v>1813.75357931099</v>
      </c>
      <c r="J31" s="61" t="n">
        <f aca="false">Assumptions!$I$49*J8*(J15+J13*Assumptions!$I$44+J19*Assumptions!$I$31*Assumptions!$I$32+J23*Assumptions!$I$38*Assumptions!$I$39+J25*Assumptions!$I$43)</f>
        <v>1797.38156438032</v>
      </c>
      <c r="K31" s="61" t="n">
        <f aca="false">Assumptions!$I$49*K8*(K15+K13*Assumptions!$I$44+K19*Assumptions!$I$31*Assumptions!$I$32+K23*Assumptions!$I$38*Assumptions!$I$39+K25*Assumptions!$I$43)</f>
        <v>1782.19746432484</v>
      </c>
      <c r="L31" s="61" t="n">
        <f aca="false">Assumptions!$I$49*L8*(L15+L13*Assumptions!$I$44+L19*Assumptions!$I$31*Assumptions!$I$32+L23*Assumptions!$I$38*Assumptions!$I$39+L25*Assumptions!$I$43)</f>
        <v>1774.43431754038</v>
      </c>
      <c r="M31" s="61" t="n">
        <f aca="false">Assumptions!$I$49*M8*(M15+M13*Assumptions!$I$44+M19*Assumptions!$I$31*Assumptions!$I$32+M23*Assumptions!$I$38*Assumptions!$I$39+M25*Assumptions!$I$43)</f>
        <v>1773.5826819125</v>
      </c>
      <c r="N31" s="61" t="n">
        <f aca="false">Assumptions!$I$49*N8*(N15+N13*Assumptions!$I$44+N19*Assumptions!$I$31*Assumptions!$I$32+N23*Assumptions!$I$38*Assumptions!$I$39+N25*Assumptions!$I$43)</f>
        <v>1778.7705368058</v>
      </c>
      <c r="O31" s="61" t="n">
        <f aca="false">Assumptions!$I$49*O8*(O15+O13*Assumptions!$I$44+O19*Assumptions!$I$31*Assumptions!$I$32+O23*Assumptions!$I$38*Assumptions!$I$39+O25*Assumptions!$I$43)</f>
        <v>1789.14009336196</v>
      </c>
      <c r="P31" s="61" t="n">
        <f aca="false">Assumptions!$I$49*P8*(P15+P13*Assumptions!$I$44+P19*Assumptions!$I$31*Assumptions!$I$32+P23*Assumptions!$I$38*Assumptions!$I$39+P25*Assumptions!$I$43)</f>
        <v>1803.95362751234</v>
      </c>
      <c r="Q31" s="61" t="n">
        <f aca="false">Assumptions!$I$49*Q8*(Q15+Q13*Assumptions!$I$44+Q19*Assumptions!$I$31*Assumptions!$I$32+Q23*Assumptions!$I$38*Assumptions!$I$39+Q25*Assumptions!$I$43)</f>
        <v>1822.60992325086</v>
      </c>
      <c r="R31" s="61" t="n">
        <f aca="false">Assumptions!$I$49*R8*(R15+R13*Assumptions!$I$44+R19*Assumptions!$I$31*Assumptions!$I$32+R23*Assumptions!$I$38*Assumptions!$I$39+R25*Assumptions!$I$43)</f>
        <v>1844.63750740902</v>
      </c>
      <c r="S31" s="61" t="n">
        <f aca="false">Assumptions!$I$49*S8*(S15+S13*Assumptions!$I$44+S19*Assumptions!$I$31*Assumptions!$I$32+S23*Assumptions!$I$38*Assumptions!$I$39+S25*Assumptions!$I$43)</f>
        <v>1869.68078107503</v>
      </c>
      <c r="T31" s="61" t="n">
        <f aca="false">Assumptions!$I$49*T8*(T15+T13*Assumptions!$I$44+T19*Assumptions!$I$31*Assumptions!$I$32+T23*Assumptions!$I$38*Assumptions!$I$39+T25*Assumptions!$I$43)</f>
        <v>1897.48486674206</v>
      </c>
      <c r="U31" s="61" t="n">
        <f aca="false">Assumptions!$I$49*U8*(U15+U13*Assumptions!$I$44+U19*Assumptions!$I$31*Assumptions!$I$32+U23*Assumptions!$I$38*Assumptions!$I$39+U25*Assumptions!$I$43)</f>
        <v>1927.88144449857</v>
      </c>
      <c r="V31" s="61" t="n">
        <f aca="false">Assumptions!$I$49*V8*(V15+V13*Assumptions!$I$44+V19*Assumptions!$I$31*Assumptions!$I$32+V23*Assumptions!$I$38*Assumptions!$I$39+V25*Assumptions!$I$43)</f>
        <v>1960.77641029554</v>
      </c>
      <c r="W31" s="61" t="n">
        <f aca="false">Assumptions!$I$49*W8*(W15+W13*Assumptions!$I$44+W19*Assumptions!$I$31*Assumptions!$I$32+W23*Assumptions!$I$38*Assumptions!$I$39+W25*Assumptions!$I$43)</f>
        <v>1996.13955613567</v>
      </c>
      <c r="X31" s="61" t="n">
        <f aca="false">Assumptions!$I$49*X8*(X15+X13*Assumptions!$I$44+X19*Assumptions!$I$31*Assumptions!$I$32+X23*Assumptions!$I$38*Assumptions!$I$39+X25*Assumptions!$I$43)</f>
        <v>2033.99619467636</v>
      </c>
      <c r="Y31" s="61" t="n">
        <f aca="false">Assumptions!$I$49*Y8*(Y15+Y13*Assumptions!$I$44+Y19*Assumptions!$I$31*Assumptions!$I$32+Y23*Assumptions!$I$38*Assumptions!$I$39+Y25*Assumptions!$I$43)</f>
        <v>2074.42053982447</v>
      </c>
      <c r="Z31" s="61" t="n">
        <f aca="false">Assumptions!$I$49*Z8*(Z15+Z13*Assumptions!$I$44+Z19*Assumptions!$I$31*Assumptions!$I$32+Z23*Assumptions!$I$38*Assumptions!$I$39+Z25*Assumptions!$I$43)</f>
        <v>2117.53062320638</v>
      </c>
      <c r="AA31" s="61" t="n">
        <f aca="false">Assumptions!$I$49*AA8*(AA15+AA13*Assumptions!$I$44+AA19*Assumptions!$I$31*Assumptions!$I$32+AA23*Assumptions!$I$38*Assumptions!$I$39+AA25*Assumptions!$I$43)</f>
        <v>2163.48453168567</v>
      </c>
      <c r="AB31" s="61" t="n">
        <f aca="false">Assumptions!$I$49*AB8*(AB15+AB13*Assumptions!$I$44+AB19*Assumptions!$I$31*Assumptions!$I$32+AB23*Assumptions!$I$38*Assumptions!$I$39+AB25*Assumptions!$I$43)</f>
        <v>2212.47777241067</v>
      </c>
      <c r="AC31" s="61" t="n">
        <f aca="false">Assumptions!$I$49*AC8*(AC15+AC13*Assumptions!$I$44+AC19*Assumptions!$I$31*Assumptions!$I$32+AC23*Assumptions!$I$38*Assumptions!$I$39+AC25*Assumptions!$I$43)</f>
        <v>2263.93677819616</v>
      </c>
      <c r="AD31" s="61" t="n">
        <f aca="false">Assumptions!$I$49*AD8*(AD15+AD13*Assumptions!$I$44+AD19*Assumptions!$I$31*Assumptions!$I$32+AD23*Assumptions!$I$38*Assumptions!$I$39+AD25*Assumptions!$I$43)</f>
        <v>2317.84769940882</v>
      </c>
      <c r="AE31" s="61" t="n">
        <f aca="false">Assumptions!$I$49*AE8*(AE15+AE13*Assumptions!$I$44+AE19*Assumptions!$I$31*Assumptions!$I$32+AE23*Assumptions!$I$38*Assumptions!$I$39+AE25*Assumptions!$I$43)</f>
        <v>2374.72650208223</v>
      </c>
      <c r="AF31" s="61" t="n">
        <f aca="false">Assumptions!$I$49*AF8*(AF15+AF13*Assumptions!$I$44+AF19*Assumptions!$I$31*Assumptions!$I$32+AF23*Assumptions!$I$38*Assumptions!$I$39+AF25*Assumptions!$I$43)</f>
        <v>2434.94961096991</v>
      </c>
      <c r="AG31" s="61" t="n">
        <f aca="false">Assumptions!$I$49*AG8*(AG15+AG13*Assumptions!$I$44+AG19*Assumptions!$I$31*Assumptions!$I$32+AG23*Assumptions!$I$38*Assumptions!$I$39+AG25*Assumptions!$I$43)</f>
        <v>2498.91177940137</v>
      </c>
      <c r="AH31" s="61" t="n">
        <f aca="false">Assumptions!$I$49*AH8*(AH15+AH13*Assumptions!$I$44+AH19*Assumptions!$I$31*Assumptions!$I$32+AH23*Assumptions!$I$38*Assumptions!$I$39+AH25*Assumptions!$I$43)</f>
        <v>2567.03600326415</v>
      </c>
      <c r="AI31" s="61" t="n">
        <f aca="false">Assumptions!$I$49*AI8*(AI15+AI13*Assumptions!$I$44+AI19*Assumptions!$I$31*Assumptions!$I$32+AI23*Assumptions!$I$38*Assumptions!$I$39+AI25*Assumptions!$I$43)</f>
        <v>2639.77728370815</v>
      </c>
      <c r="AJ31" s="61" t="n">
        <f aca="false">Assumptions!$I$49*AJ8*(AJ15+AJ13*Assumptions!$I$44+AJ19*Assumptions!$I$31*Assumptions!$I$32+AJ23*Assumptions!$I$38*Assumptions!$I$39+AJ25*Assumptions!$I$43)</f>
        <v>2717.62547766672</v>
      </c>
      <c r="AK31" s="61" t="n">
        <f aca="false">Assumptions!$I$49*AK8*(AK15+AK13*Assumptions!$I$44+AK19*Assumptions!$I$31*Assumptions!$I$32+AK23*Assumptions!$I$38*Assumptions!$I$39+AK25*Assumptions!$I$43)</f>
        <v>2801.10831075472</v>
      </c>
      <c r="AL31" s="61" t="n">
        <f aca="false">Assumptions!$I$49*AL8*(AL15+AL13*Assumptions!$I$44+AL19*Assumptions!$I$31*Assumptions!$I$32+AL23*Assumptions!$I$38*Assumptions!$I$39+AL25*Assumptions!$I$43)</f>
        <v>2890.7946815305</v>
      </c>
      <c r="AM31" s="61" t="n">
        <f aca="false">SUM(C31:AL31)</f>
        <v>76540.1876957446</v>
      </c>
    </row>
    <row r="32" customFormat="false" ht="15" hidden="false" customHeight="false" outlineLevel="0" collapsed="false">
      <c r="A32" s="37" t="s">
        <v>753</v>
      </c>
      <c r="B32" s="9" t="s">
        <v>51</v>
      </c>
      <c r="C32" s="71" t="n">
        <f aca="false">MIN(C31,C30)</f>
        <v>0</v>
      </c>
      <c r="D32" s="71" t="n">
        <f aca="false">MIN(D31,D30)</f>
        <v>1500</v>
      </c>
      <c r="E32" s="71" t="n">
        <f aca="false">MIN(E31,E30)</f>
        <v>2025</v>
      </c>
      <c r="F32" s="71" t="n">
        <f aca="false">MIN(F31,F30)</f>
        <v>1962.32208640592</v>
      </c>
      <c r="G32" s="71" t="n">
        <f aca="false">MIN(G31,G30)</f>
        <v>1904.18165111364</v>
      </c>
      <c r="H32" s="71" t="n">
        <f aca="false">MIN(H31,H30)</f>
        <v>1858.77664939792</v>
      </c>
      <c r="I32" s="71" t="n">
        <f aca="false">MIN(I31,I30)</f>
        <v>1813.75357931099</v>
      </c>
      <c r="J32" s="71" t="n">
        <f aca="false">MIN(J31,J30)</f>
        <v>1797.38156438032</v>
      </c>
      <c r="K32" s="71" t="n">
        <f aca="false">MIN(K31,K30)</f>
        <v>1782.19746432484</v>
      </c>
      <c r="L32" s="71" t="n">
        <f aca="false">MIN(L31,L30)</f>
        <v>1774.43431754038</v>
      </c>
      <c r="M32" s="71" t="n">
        <f aca="false">MIN(M31,M30)</f>
        <v>1773.5826819125</v>
      </c>
      <c r="N32" s="71" t="n">
        <f aca="false">MIN(N31,N30)</f>
        <v>1778.7705368058</v>
      </c>
      <c r="O32" s="71" t="n">
        <f aca="false">MIN(O31,O30)</f>
        <v>1789.14009336196</v>
      </c>
      <c r="P32" s="71" t="n">
        <f aca="false">MIN(P31,P30)</f>
        <v>1803.95362751234</v>
      </c>
      <c r="Q32" s="71" t="n">
        <f aca="false">MIN(Q31,Q30)</f>
        <v>1822.60992325086</v>
      </c>
      <c r="R32" s="71" t="n">
        <f aca="false">MIN(R31,R30)</f>
        <v>1844.63750740902</v>
      </c>
      <c r="S32" s="71" t="n">
        <f aca="false">MIN(S31,S30)</f>
        <v>1869.68078107503</v>
      </c>
      <c r="T32" s="71" t="n">
        <f aca="false">MIN(T31,T30)</f>
        <v>1897.48486674206</v>
      </c>
      <c r="U32" s="71" t="n">
        <f aca="false">MIN(U31,U30)</f>
        <v>1927.88144449857</v>
      </c>
      <c r="V32" s="71" t="n">
        <f aca="false">MIN(V31,V30)</f>
        <v>1960.77641029554</v>
      </c>
      <c r="W32" s="71" t="n">
        <f aca="false">MIN(W31,W30)</f>
        <v>1996.13955613567</v>
      </c>
      <c r="X32" s="71" t="n">
        <f aca="false">MIN(X31,X30)</f>
        <v>2033.99619467636</v>
      </c>
      <c r="Y32" s="71" t="n">
        <f aca="false">MIN(Y31,Y30)</f>
        <v>2074.42053982447</v>
      </c>
      <c r="Z32" s="71" t="n">
        <f aca="false">MIN(Z31,Z30)</f>
        <v>2117.53062320638</v>
      </c>
      <c r="AA32" s="71" t="n">
        <f aca="false">MIN(AA31,AA30)</f>
        <v>2163.48453168567</v>
      </c>
      <c r="AB32" s="71" t="n">
        <f aca="false">MIN(AB31,AB30)</f>
        <v>2212.47777241067</v>
      </c>
      <c r="AC32" s="71" t="n">
        <f aca="false">MIN(AC31,AC30)</f>
        <v>2263.93677819616</v>
      </c>
      <c r="AD32" s="71" t="n">
        <f aca="false">MIN(AD31,AD30)</f>
        <v>2317.84769940882</v>
      </c>
      <c r="AE32" s="71" t="n">
        <f aca="false">MIN(AE31,AE30)</f>
        <v>2374.72650208223</v>
      </c>
      <c r="AF32" s="71" t="n">
        <f aca="false">MIN(AF31,AF30)</f>
        <v>2434.94961096991</v>
      </c>
      <c r="AG32" s="71" t="n">
        <f aca="false">MIN(AG31,AG30)</f>
        <v>2498.91177940137</v>
      </c>
      <c r="AH32" s="71" t="n">
        <f aca="false">MIN(AH31,AH30)</f>
        <v>2567.03600326415</v>
      </c>
      <c r="AI32" s="71" t="n">
        <f aca="false">MIN(AI31,AI30)</f>
        <v>2639.77728370815</v>
      </c>
      <c r="AJ32" s="71" t="n">
        <f aca="false">MIN(AJ31,AJ30)</f>
        <v>2717.62547766672</v>
      </c>
      <c r="AK32" s="71" t="n">
        <f aca="false">MIN(AK31,AK30)</f>
        <v>2801.10831075472</v>
      </c>
      <c r="AL32" s="71" t="n">
        <f aca="false">MIN(AL31,AL30)</f>
        <v>2890.7946815305</v>
      </c>
      <c r="AM32" s="71" t="n">
        <f aca="false">SUM(C32:AL32)</f>
        <v>72991.3285302596</v>
      </c>
    </row>
    <row r="33" customFormat="false" ht="15" hidden="false" customHeight="false" outlineLevel="0" collapsed="false">
      <c r="A33" s="10" t="s">
        <v>754</v>
      </c>
      <c r="B33" s="9" t="s">
        <v>51</v>
      </c>
      <c r="C33" s="61" t="n">
        <f aca="false">MAX(0,C31-C30)</f>
        <v>0</v>
      </c>
      <c r="D33" s="61" t="n">
        <f aca="false">MAX(0,D31-D30)</f>
        <v>3520.02364998621</v>
      </c>
      <c r="E33" s="61" t="n">
        <f aca="false">MAX(0,E31-E30)</f>
        <v>28.8355154987587</v>
      </c>
      <c r="F33" s="61" t="n">
        <f aca="false">MAX(0,F31-F30)</f>
        <v>0</v>
      </c>
      <c r="G33" s="61" t="n">
        <f aca="false">MAX(0,G31-G30)</f>
        <v>0</v>
      </c>
      <c r="H33" s="61" t="n">
        <f aca="false">MAX(0,H31-H30)</f>
        <v>0</v>
      </c>
      <c r="I33" s="61" t="n">
        <f aca="false">MAX(0,I31-I30)</f>
        <v>0</v>
      </c>
      <c r="J33" s="61" t="n">
        <f aca="false">MAX(0,J31-J30)</f>
        <v>0</v>
      </c>
      <c r="K33" s="61" t="n">
        <f aca="false">MAX(0,K31-K30)</f>
        <v>0</v>
      </c>
      <c r="L33" s="61" t="n">
        <f aca="false">MAX(0,L31-L30)</f>
        <v>0</v>
      </c>
      <c r="M33" s="61" t="n">
        <f aca="false">MAX(0,M31-M30)</f>
        <v>0</v>
      </c>
      <c r="N33" s="61" t="n">
        <f aca="false">MAX(0,N31-N30)</f>
        <v>0</v>
      </c>
      <c r="O33" s="61" t="n">
        <f aca="false">MAX(0,O31-O30)</f>
        <v>0</v>
      </c>
      <c r="P33" s="61" t="n">
        <f aca="false">MAX(0,P31-P30)</f>
        <v>0</v>
      </c>
      <c r="Q33" s="61" t="n">
        <f aca="false">MAX(0,Q31-Q30)</f>
        <v>0</v>
      </c>
      <c r="R33" s="61" t="n">
        <f aca="false">MAX(0,R31-R30)</f>
        <v>0</v>
      </c>
      <c r="S33" s="61" t="n">
        <f aca="false">MAX(0,S31-S30)</f>
        <v>0</v>
      </c>
      <c r="T33" s="61" t="n">
        <f aca="false">MAX(0,T31-T30)</f>
        <v>0</v>
      </c>
      <c r="U33" s="61" t="n">
        <f aca="false">MAX(0,U31-U30)</f>
        <v>0</v>
      </c>
      <c r="V33" s="61" t="n">
        <f aca="false">MAX(0,V31-V30)</f>
        <v>0</v>
      </c>
      <c r="W33" s="61" t="n">
        <f aca="false">MAX(0,W31-W30)</f>
        <v>0</v>
      </c>
      <c r="X33" s="61" t="n">
        <f aca="false">MAX(0,X31-X30)</f>
        <v>0</v>
      </c>
      <c r="Y33" s="61" t="n">
        <f aca="false">MAX(0,Y31-Y30)</f>
        <v>0</v>
      </c>
      <c r="Z33" s="61" t="n">
        <f aca="false">MAX(0,Z31-Z30)</f>
        <v>0</v>
      </c>
      <c r="AA33" s="61" t="n">
        <f aca="false">MAX(0,AA31-AA30)</f>
        <v>0</v>
      </c>
      <c r="AB33" s="61" t="n">
        <f aca="false">MAX(0,AB31-AB30)</f>
        <v>0</v>
      </c>
      <c r="AC33" s="61" t="n">
        <f aca="false">MAX(0,AC31-AC30)</f>
        <v>0</v>
      </c>
      <c r="AD33" s="61" t="n">
        <f aca="false">MAX(0,AD31-AD30)</f>
        <v>0</v>
      </c>
      <c r="AE33" s="61" t="n">
        <f aca="false">MAX(0,AE31-AE30)</f>
        <v>0</v>
      </c>
      <c r="AF33" s="61" t="n">
        <f aca="false">MAX(0,AF31-AF30)</f>
        <v>0</v>
      </c>
      <c r="AG33" s="61" t="n">
        <f aca="false">MAX(0,AG31-AG30)</f>
        <v>0</v>
      </c>
      <c r="AH33" s="61" t="n">
        <f aca="false">MAX(0,AH31-AH30)</f>
        <v>0</v>
      </c>
      <c r="AI33" s="61" t="n">
        <f aca="false">MAX(0,AI31-AI30)</f>
        <v>0</v>
      </c>
      <c r="AJ33" s="61" t="n">
        <f aca="false">MAX(0,AJ31-AJ30)</f>
        <v>0</v>
      </c>
      <c r="AK33" s="61" t="n">
        <f aca="false">MAX(0,AK31-AK30)</f>
        <v>0</v>
      </c>
      <c r="AL33" s="61" t="n">
        <f aca="false">MAX(0,AL31-AL30)</f>
        <v>0</v>
      </c>
      <c r="AM33" s="61" t="n">
        <f aca="false">SUM(C33:AL33)</f>
        <v>3548.85916548497</v>
      </c>
    </row>
    <row r="34" customFormat="false" ht="15" hidden="false" customHeight="false" outlineLevel="0" collapsed="false">
      <c r="A34" s="10" t="s">
        <v>755</v>
      </c>
      <c r="B34" s="9" t="s">
        <v>51</v>
      </c>
      <c r="C34" s="61" t="n">
        <f aca="false">C32*Assumptions!$I$51</f>
        <v>0</v>
      </c>
      <c r="D34" s="61" t="n">
        <f aca="false">D32*Assumptions!$I$51</f>
        <v>600</v>
      </c>
      <c r="E34" s="61" t="n">
        <f aca="false">E32*Assumptions!$I$51</f>
        <v>810</v>
      </c>
      <c r="F34" s="61" t="n">
        <f aca="false">F32*Assumptions!$I$51</f>
        <v>784.928834562369</v>
      </c>
      <c r="G34" s="61" t="n">
        <f aca="false">G32*Assumptions!$I$51</f>
        <v>761.672660445456</v>
      </c>
      <c r="H34" s="61" t="n">
        <f aca="false">H32*Assumptions!$I$51</f>
        <v>743.510659759167</v>
      </c>
      <c r="I34" s="61" t="n">
        <f aca="false">I32*Assumptions!$I$51</f>
        <v>725.501431724398</v>
      </c>
      <c r="J34" s="61" t="n">
        <f aca="false">J32*Assumptions!$I$51</f>
        <v>718.952625752127</v>
      </c>
      <c r="K34" s="61" t="n">
        <f aca="false">K32*Assumptions!$I$51</f>
        <v>712.878985729934</v>
      </c>
      <c r="L34" s="61" t="n">
        <f aca="false">L32*Assumptions!$I$51</f>
        <v>709.773727016153</v>
      </c>
      <c r="M34" s="61" t="n">
        <f aca="false">M32*Assumptions!$I$51</f>
        <v>709.433072764999</v>
      </c>
      <c r="N34" s="61" t="n">
        <f aca="false">N32*Assumptions!$I$51</f>
        <v>711.50821472232</v>
      </c>
      <c r="O34" s="61" t="n">
        <f aca="false">O32*Assumptions!$I$51</f>
        <v>715.656037344782</v>
      </c>
      <c r="P34" s="61" t="n">
        <f aca="false">P32*Assumptions!$I$51</f>
        <v>721.581451004937</v>
      </c>
      <c r="Q34" s="61" t="n">
        <f aca="false">Q32*Assumptions!$I$51</f>
        <v>729.043969300343</v>
      </c>
      <c r="R34" s="61" t="n">
        <f aca="false">R32*Assumptions!$I$51</f>
        <v>737.855002963607</v>
      </c>
      <c r="S34" s="61" t="n">
        <f aca="false">S32*Assumptions!$I$51</f>
        <v>747.872312430013</v>
      </c>
      <c r="T34" s="61" t="n">
        <f aca="false">T32*Assumptions!$I$51</f>
        <v>758.993946696823</v>
      </c>
      <c r="U34" s="61" t="n">
        <f aca="false">U32*Assumptions!$I$51</f>
        <v>771.152577799428</v>
      </c>
      <c r="V34" s="61" t="n">
        <f aca="false">V32*Assumptions!$I$51</f>
        <v>784.310564118214</v>
      </c>
      <c r="W34" s="61" t="n">
        <f aca="false">W32*Assumptions!$I$51</f>
        <v>798.455822454268</v>
      </c>
      <c r="X34" s="61" t="n">
        <f aca="false">X32*Assumptions!$I$51</f>
        <v>813.598477870544</v>
      </c>
      <c r="Y34" s="61" t="n">
        <f aca="false">Y32*Assumptions!$I$51</f>
        <v>829.76821592979</v>
      </c>
      <c r="Z34" s="61" t="n">
        <f aca="false">Z32*Assumptions!$I$51</f>
        <v>847.012249282554</v>
      </c>
      <c r="AA34" s="61" t="n">
        <f aca="false">AA32*Assumptions!$I$51</f>
        <v>865.39381267427</v>
      </c>
      <c r="AB34" s="61" t="n">
        <f aca="false">AB32*Assumptions!$I$51</f>
        <v>884.991108964267</v>
      </c>
      <c r="AC34" s="61" t="n">
        <f aca="false">AC32*Assumptions!$I$51</f>
        <v>905.574711278463</v>
      </c>
      <c r="AD34" s="61" t="n">
        <f aca="false">AD32*Assumptions!$I$51</f>
        <v>927.139079763527</v>
      </c>
      <c r="AE34" s="61" t="n">
        <f aca="false">AE32*Assumptions!$I$51</f>
        <v>949.890600832891</v>
      </c>
      <c r="AF34" s="61" t="n">
        <f aca="false">AF32*Assumptions!$I$51</f>
        <v>973.979844387964</v>
      </c>
      <c r="AG34" s="61" t="n">
        <f aca="false">AG32*Assumptions!$I$51</f>
        <v>999.564711760546</v>
      </c>
      <c r="AH34" s="61" t="n">
        <f aca="false">AH32*Assumptions!$I$51</f>
        <v>1026.81440130566</v>
      </c>
      <c r="AI34" s="61" t="n">
        <f aca="false">AI32*Assumptions!$I$51</f>
        <v>1055.91091348326</v>
      </c>
      <c r="AJ34" s="61" t="n">
        <f aca="false">AJ32*Assumptions!$I$51</f>
        <v>1087.05019106669</v>
      </c>
      <c r="AK34" s="61" t="n">
        <f aca="false">AK32*Assumptions!$I$51</f>
        <v>1120.44332430189</v>
      </c>
      <c r="AL34" s="61" t="n">
        <f aca="false">AL32*Assumptions!$I$51</f>
        <v>1156.3178726122</v>
      </c>
      <c r="AM34" s="61" t="n">
        <f aca="false">SUM(C34:AL34)</f>
        <v>29196.5314121038</v>
      </c>
    </row>
    <row r="35" customFormat="false" ht="15" hidden="false" customHeight="false" outlineLevel="0" collapsed="false">
      <c r="A35" s="10" t="s">
        <v>756</v>
      </c>
      <c r="B35" s="9" t="s">
        <v>51</v>
      </c>
      <c r="C35" s="61" t="n">
        <f aca="false">C32*(1-Assumptions!$I$51)</f>
        <v>0</v>
      </c>
      <c r="D35" s="61" t="n">
        <f aca="false">D32*(1-Assumptions!$I$51)</f>
        <v>900</v>
      </c>
      <c r="E35" s="61" t="n">
        <f aca="false">E32*(1-Assumptions!$I$51)</f>
        <v>1215</v>
      </c>
      <c r="F35" s="61" t="n">
        <f aca="false">F32*(1-Assumptions!$I$51)</f>
        <v>1177.39325184355</v>
      </c>
      <c r="G35" s="61" t="n">
        <f aca="false">G32*(1-Assumptions!$I$51)</f>
        <v>1142.50899066818</v>
      </c>
      <c r="H35" s="61" t="n">
        <f aca="false">H32*(1-Assumptions!$I$51)</f>
        <v>1115.26598963875</v>
      </c>
      <c r="I35" s="61" t="n">
        <f aca="false">I32*(1-Assumptions!$I$51)</f>
        <v>1088.2521475866</v>
      </c>
      <c r="J35" s="61" t="n">
        <f aca="false">J32*(1-Assumptions!$I$51)</f>
        <v>1078.42893862819</v>
      </c>
      <c r="K35" s="61" t="n">
        <f aca="false">K32*(1-Assumptions!$I$51)</f>
        <v>1069.3184785949</v>
      </c>
      <c r="L35" s="61" t="n">
        <f aca="false">L32*(1-Assumptions!$I$51)</f>
        <v>1064.66059052423</v>
      </c>
      <c r="M35" s="61" t="n">
        <f aca="false">M32*(1-Assumptions!$I$51)</f>
        <v>1064.1496091475</v>
      </c>
      <c r="N35" s="61" t="n">
        <f aca="false">N32*(1-Assumptions!$I$51)</f>
        <v>1067.26232208348</v>
      </c>
      <c r="O35" s="61" t="n">
        <f aca="false">O32*(1-Assumptions!$I$51)</f>
        <v>1073.48405601717</v>
      </c>
      <c r="P35" s="61" t="n">
        <f aca="false">P32*(1-Assumptions!$I$51)</f>
        <v>1082.37217650741</v>
      </c>
      <c r="Q35" s="61" t="n">
        <f aca="false">Q32*(1-Assumptions!$I$51)</f>
        <v>1093.56595395051</v>
      </c>
      <c r="R35" s="61" t="n">
        <f aca="false">R32*(1-Assumptions!$I$51)</f>
        <v>1106.78250444541</v>
      </c>
      <c r="S35" s="61" t="n">
        <f aca="false">S32*(1-Assumptions!$I$51)</f>
        <v>1121.80846864502</v>
      </c>
      <c r="T35" s="61" t="n">
        <f aca="false">T32*(1-Assumptions!$I$51)</f>
        <v>1138.49092004523</v>
      </c>
      <c r="U35" s="61" t="n">
        <f aca="false">U32*(1-Assumptions!$I$51)</f>
        <v>1156.72886669914</v>
      </c>
      <c r="V35" s="61" t="n">
        <f aca="false">V32*(1-Assumptions!$I$51)</f>
        <v>1176.46584617732</v>
      </c>
      <c r="W35" s="61" t="n">
        <f aca="false">W32*(1-Assumptions!$I$51)</f>
        <v>1197.6837336814</v>
      </c>
      <c r="X35" s="61" t="n">
        <f aca="false">X32*(1-Assumptions!$I$51)</f>
        <v>1220.39771680582</v>
      </c>
      <c r="Y35" s="61" t="n">
        <f aca="false">Y32*(1-Assumptions!$I$51)</f>
        <v>1244.65232389468</v>
      </c>
      <c r="Z35" s="61" t="n">
        <f aca="false">Z32*(1-Assumptions!$I$51)</f>
        <v>1270.51837392383</v>
      </c>
      <c r="AA35" s="61" t="n">
        <f aca="false">AA32*(1-Assumptions!$I$51)</f>
        <v>1298.0907190114</v>
      </c>
      <c r="AB35" s="61" t="n">
        <f aca="false">AB32*(1-Assumptions!$I$51)</f>
        <v>1327.4866634464</v>
      </c>
      <c r="AC35" s="61" t="n">
        <f aca="false">AC32*(1-Assumptions!$I$51)</f>
        <v>1358.36206691769</v>
      </c>
      <c r="AD35" s="61" t="n">
        <f aca="false">AD32*(1-Assumptions!$I$51)</f>
        <v>1390.70861964529</v>
      </c>
      <c r="AE35" s="61" t="n">
        <f aca="false">AE32*(1-Assumptions!$I$51)</f>
        <v>1424.83590124934</v>
      </c>
      <c r="AF35" s="61" t="n">
        <f aca="false">AF32*(1-Assumptions!$I$51)</f>
        <v>1460.96976658195</v>
      </c>
      <c r="AG35" s="61" t="n">
        <f aca="false">AG32*(1-Assumptions!$I$51)</f>
        <v>1499.34706764082</v>
      </c>
      <c r="AH35" s="61" t="n">
        <f aca="false">AH32*(1-Assumptions!$I$51)</f>
        <v>1540.22160195849</v>
      </c>
      <c r="AI35" s="61" t="n">
        <f aca="false">AI32*(1-Assumptions!$I$51)</f>
        <v>1583.86637022489</v>
      </c>
      <c r="AJ35" s="61" t="n">
        <f aca="false">AJ32*(1-Assumptions!$I$51)</f>
        <v>1630.57528660003</v>
      </c>
      <c r="AK35" s="61" t="n">
        <f aca="false">AK32*(1-Assumptions!$I$51)</f>
        <v>1680.66498645283</v>
      </c>
      <c r="AL35" s="61" t="n">
        <f aca="false">AL32*(1-Assumptions!$I$51)</f>
        <v>1734.4768089183</v>
      </c>
      <c r="AM35" s="61" t="n">
        <f aca="false">SUM(C35:AL35)</f>
        <v>43794.7971181558</v>
      </c>
    </row>
    <row r="36" customFormat="false" ht="15" hidden="false" customHeight="false" outlineLevel="0" collapsed="false">
      <c r="A36" s="37" t="s">
        <v>757</v>
      </c>
      <c r="B36" s="9" t="s">
        <v>51</v>
      </c>
      <c r="C36" s="71" t="n">
        <f aca="false">C34</f>
        <v>0</v>
      </c>
      <c r="D36" s="71" t="n">
        <f aca="false">C36*(1-Assumptions!$I$52)+D34</f>
        <v>600</v>
      </c>
      <c r="E36" s="71" t="n">
        <f aca="false">D36*(1-Assumptions!$I$52)+E34</f>
        <v>1356</v>
      </c>
      <c r="F36" s="71" t="n">
        <f aca="false">E36*(1-Assumptions!$I$52)+F34</f>
        <v>2018.88883456237</v>
      </c>
      <c r="G36" s="71" t="n">
        <f aca="false">F36*(1-Assumptions!$I$52)+G34</f>
        <v>2598.86149989721</v>
      </c>
      <c r="H36" s="71" t="n">
        <f aca="false">G36*(1-Assumptions!$I$52)+H34</f>
        <v>3108.47462466563</v>
      </c>
      <c r="I36" s="71" t="n">
        <f aca="false">H36*(1-Assumptions!$I$52)+I34</f>
        <v>3554.21334017012</v>
      </c>
      <c r="J36" s="71" t="n">
        <f aca="false">I36*(1-Assumptions!$I$52)+J34</f>
        <v>3953.28676530694</v>
      </c>
      <c r="K36" s="71" t="n">
        <f aca="false">J36*(1-Assumptions!$I$52)+K34</f>
        <v>4310.36994215925</v>
      </c>
      <c r="L36" s="71" t="n">
        <f aca="false">K36*(1-Assumptions!$I$52)+L34</f>
        <v>4632.21037438107</v>
      </c>
      <c r="M36" s="71" t="n">
        <f aca="false">L36*(1-Assumptions!$I$52)+M34</f>
        <v>4924.74451345177</v>
      </c>
      <c r="N36" s="71" t="n">
        <f aca="false">M36*(1-Assumptions!$I$52)+N34</f>
        <v>5193.02572196343</v>
      </c>
      <c r="O36" s="71" t="n">
        <f aca="false">N36*(1-Assumptions!$I$52)+O34</f>
        <v>5441.30944433151</v>
      </c>
      <c r="P36" s="71" t="n">
        <f aca="false">O36*(1-Assumptions!$I$52)+P34</f>
        <v>5673.17304534661</v>
      </c>
      <c r="Q36" s="71" t="n">
        <f aca="false">P36*(1-Assumptions!$I$52)+Q34</f>
        <v>5891.63144056576</v>
      </c>
      <c r="R36" s="71" t="n">
        <f aca="false">Q36*(1-Assumptions!$I$52)+R34</f>
        <v>6099.23961387845</v>
      </c>
      <c r="S36" s="71" t="n">
        <f aca="false">R36*(1-Assumptions!$I$52)+S34</f>
        <v>6298.1803610594</v>
      </c>
      <c r="T36" s="71" t="n">
        <f aca="false">S36*(1-Assumptions!$I$52)+T34</f>
        <v>6490.33807526088</v>
      </c>
      <c r="U36" s="71" t="n">
        <f aca="false">T36*(1-Assumptions!$I$52)+U34</f>
        <v>6677.36022628683</v>
      </c>
      <c r="V36" s="71" t="n">
        <f aca="false">U36*(1-Assumptions!$I$52)+V34</f>
        <v>6860.70837003923</v>
      </c>
      <c r="W36" s="71" t="n">
        <f aca="false">V36*(1-Assumptions!$I$52)+W34</f>
        <v>7041.70043918996</v>
      </c>
      <c r="X36" s="71" t="n">
        <f aca="false">W36*(1-Assumptions!$I$52)+X34</f>
        <v>7221.54587753341</v>
      </c>
      <c r="Y36" s="71" t="n">
        <f aca="false">X36*(1-Assumptions!$I$52)+Y34</f>
        <v>7401.37496448519</v>
      </c>
      <c r="Z36" s="71" t="n">
        <f aca="false">Y36*(1-Assumptions!$I$52)+Z34</f>
        <v>7582.26346696408</v>
      </c>
      <c r="AA36" s="71" t="n">
        <f aca="false">Z36*(1-Assumptions!$I$52)+AA34</f>
        <v>7765.25356761158</v>
      </c>
      <c r="AB36" s="71" t="n">
        <f aca="false">AA36*(1-Assumptions!$I$52)+AB34</f>
        <v>7951.37185549081</v>
      </c>
      <c r="AC36" s="71" t="n">
        <f aca="false">AB36*(1-Assumptions!$I$52)+AC34</f>
        <v>8141.3230997751</v>
      </c>
      <c r="AD36" s="71" t="n">
        <f aca="false">AC36*(1-Assumptions!$I$52)+AD34</f>
        <v>8335.74310055887</v>
      </c>
      <c r="AE36" s="71" t="n">
        <f aca="false">AD36*(1-Assumptions!$I$52)+AE34</f>
        <v>8535.41682234146</v>
      </c>
      <c r="AF36" s="71" t="n">
        <f aca="false">AE36*(1-Assumptions!$I$52)+AF34</f>
        <v>8741.20915271869</v>
      </c>
      <c r="AG36" s="71" t="n">
        <f aca="false">AF36*(1-Assumptions!$I$52)+AG34</f>
        <v>8954.06504073456</v>
      </c>
      <c r="AH36" s="71" t="n">
        <f aca="false">AG36*(1-Assumptions!$I$52)+AH34</f>
        <v>9175.01358837411</v>
      </c>
      <c r="AI36" s="71" t="n">
        <f aca="false">AH36*(1-Assumptions!$I$52)+AI34</f>
        <v>9405.17327890369</v>
      </c>
      <c r="AJ36" s="71" t="n">
        <f aca="false">AI36*(1-Assumptions!$I$52)+AJ34</f>
        <v>9645.75787486905</v>
      </c>
      <c r="AK36" s="71" t="n">
        <f aca="false">AJ36*(1-Assumptions!$I$52)+AK34</f>
        <v>9898.08299043272</v>
      </c>
      <c r="AL36" s="71" t="n">
        <f aca="false">AK36*(1-Assumptions!$I$52)+AL34</f>
        <v>10163.573393906</v>
      </c>
      <c r="AM36" s="71" t="n">
        <f aca="false">AL36</f>
        <v>10163.573393906</v>
      </c>
    </row>
    <row r="37" customFormat="false" ht="15" hidden="false" customHeight="false" outlineLevel="0" collapsed="false">
      <c r="A37" s="10" t="s">
        <v>758</v>
      </c>
      <c r="B37" s="9" t="s">
        <v>51</v>
      </c>
      <c r="C37" s="61" t="n">
        <f aca="false">0</f>
        <v>0</v>
      </c>
      <c r="D37" s="61" t="n">
        <f aca="false">C36*Assumptions!$I$52</f>
        <v>0</v>
      </c>
      <c r="E37" s="61" t="n">
        <f aca="false">D36*Assumptions!$I$52</f>
        <v>54</v>
      </c>
      <c r="F37" s="61" t="n">
        <f aca="false">E36*Assumptions!$I$52</f>
        <v>122.04</v>
      </c>
      <c r="G37" s="61" t="n">
        <f aca="false">F36*Assumptions!$I$52</f>
        <v>181.699995110613</v>
      </c>
      <c r="H37" s="61" t="n">
        <f aca="false">G36*Assumptions!$I$52</f>
        <v>233.897534990749</v>
      </c>
      <c r="I37" s="61" t="n">
        <f aca="false">H36*Assumptions!$I$52</f>
        <v>279.762716219907</v>
      </c>
      <c r="J37" s="61" t="n">
        <f aca="false">I36*Assumptions!$I$52</f>
        <v>319.879200615311</v>
      </c>
      <c r="K37" s="61" t="n">
        <f aca="false">J36*Assumptions!$I$52</f>
        <v>355.795808877624</v>
      </c>
      <c r="L37" s="61" t="n">
        <f aca="false">K36*Assumptions!$I$52</f>
        <v>387.933294794332</v>
      </c>
      <c r="M37" s="61" t="n">
        <f aca="false">L36*Assumptions!$I$52</f>
        <v>416.898933694296</v>
      </c>
      <c r="N37" s="61" t="n">
        <f aca="false">M36*Assumptions!$I$52</f>
        <v>443.227006210659</v>
      </c>
      <c r="O37" s="61" t="n">
        <f aca="false">N36*Assumptions!$I$52</f>
        <v>467.372314976709</v>
      </c>
      <c r="P37" s="61" t="n">
        <f aca="false">O36*Assumptions!$I$52</f>
        <v>489.717849989836</v>
      </c>
      <c r="Q37" s="61" t="n">
        <f aca="false">P36*Assumptions!$I$52</f>
        <v>510.585574081195</v>
      </c>
      <c r="R37" s="61" t="n">
        <f aca="false">Q36*Assumptions!$I$52</f>
        <v>530.246829650918</v>
      </c>
      <c r="S37" s="61" t="n">
        <f aca="false">R36*Assumptions!$I$52</f>
        <v>548.93156524906</v>
      </c>
      <c r="T37" s="61" t="n">
        <f aca="false">S36*Assumptions!$I$52</f>
        <v>566.836232495346</v>
      </c>
      <c r="U37" s="61" t="n">
        <f aca="false">T36*Assumptions!$I$52</f>
        <v>584.130426773479</v>
      </c>
      <c r="V37" s="61" t="n">
        <f aca="false">U36*Assumptions!$I$52</f>
        <v>600.962420365814</v>
      </c>
      <c r="W37" s="61" t="n">
        <f aca="false">V36*Assumptions!$I$52</f>
        <v>617.46375330353</v>
      </c>
      <c r="X37" s="61" t="n">
        <f aca="false">W36*Assumptions!$I$52</f>
        <v>633.753039527097</v>
      </c>
      <c r="Y37" s="61" t="n">
        <f aca="false">X36*Assumptions!$I$52</f>
        <v>649.939128978007</v>
      </c>
      <c r="Z37" s="61" t="n">
        <f aca="false">Y36*Assumptions!$I$52</f>
        <v>666.123746803668</v>
      </c>
      <c r="AA37" s="61" t="n">
        <f aca="false">Z36*Assumptions!$I$52</f>
        <v>682.403712026767</v>
      </c>
      <c r="AB37" s="61" t="n">
        <f aca="false">AA36*Assumptions!$I$52</f>
        <v>698.872821085043</v>
      </c>
      <c r="AC37" s="61" t="n">
        <f aca="false">AB36*Assumptions!$I$52</f>
        <v>715.623466994173</v>
      </c>
      <c r="AD37" s="61" t="n">
        <f aca="false">AC36*Assumptions!$I$52</f>
        <v>732.719078979759</v>
      </c>
      <c r="AE37" s="61" t="n">
        <f aca="false">AD36*Assumptions!$I$52</f>
        <v>750.216879050298</v>
      </c>
      <c r="AF37" s="61" t="n">
        <f aca="false">AE36*Assumptions!$I$52</f>
        <v>768.187514010731</v>
      </c>
      <c r="AG37" s="61" t="n">
        <f aca="false">AF36*Assumptions!$I$52</f>
        <v>786.708823744682</v>
      </c>
      <c r="AH37" s="61" t="n">
        <f aca="false">AG36*Assumptions!$I$52</f>
        <v>805.86585366611</v>
      </c>
      <c r="AI37" s="61" t="n">
        <f aca="false">AH36*Assumptions!$I$52</f>
        <v>825.75122295367</v>
      </c>
      <c r="AJ37" s="61" t="n">
        <f aca="false">AI36*Assumptions!$I$52</f>
        <v>846.465595101333</v>
      </c>
      <c r="AK37" s="61" t="n">
        <f aca="false">AJ36*Assumptions!$I$52</f>
        <v>868.118208738215</v>
      </c>
      <c r="AL37" s="61" t="n">
        <f aca="false">AK36*Assumptions!$I$52</f>
        <v>890.827469138945</v>
      </c>
      <c r="AM37" s="61" t="n">
        <f aca="false">SUM(C37:AL37)</f>
        <v>19032.9580181979</v>
      </c>
    </row>
    <row r="38" customFormat="false" ht="15" hidden="false" customHeight="false" outlineLevel="0" collapsed="false">
      <c r="A38" s="10" t="s">
        <v>759</v>
      </c>
      <c r="B38" s="9" t="s">
        <v>51</v>
      </c>
      <c r="C38" s="61" t="n">
        <f aca="false">0</f>
        <v>0</v>
      </c>
      <c r="D38" s="61" t="n">
        <f aca="false">C35*Assumptions!$I$53</f>
        <v>0</v>
      </c>
      <c r="E38" s="61" t="n">
        <f aca="false">D35*Assumptions!$I$53</f>
        <v>72</v>
      </c>
      <c r="F38" s="61" t="n">
        <f aca="false">E35*Assumptions!$I$53</f>
        <v>97.2</v>
      </c>
      <c r="G38" s="61" t="n">
        <f aca="false">F35*Assumptions!$I$53</f>
        <v>94.1914601474843</v>
      </c>
      <c r="H38" s="61" t="n">
        <f aca="false">G35*Assumptions!$I$53</f>
        <v>91.4007192534548</v>
      </c>
      <c r="I38" s="61" t="n">
        <f aca="false">H35*Assumptions!$I$53</f>
        <v>89.2212791711</v>
      </c>
      <c r="J38" s="61" t="n">
        <f aca="false">I35*Assumptions!$I$53</f>
        <v>87.0601718069277</v>
      </c>
      <c r="K38" s="61" t="n">
        <f aca="false">J35*Assumptions!$I$53</f>
        <v>86.2743150902552</v>
      </c>
      <c r="L38" s="61" t="n">
        <f aca="false">K35*Assumptions!$I$53</f>
        <v>85.5454782875921</v>
      </c>
      <c r="M38" s="61" t="n">
        <f aca="false">L35*Assumptions!$I$53</f>
        <v>85.1728472419383</v>
      </c>
      <c r="N38" s="61" t="n">
        <f aca="false">M35*Assumptions!$I$53</f>
        <v>85.1319687317999</v>
      </c>
      <c r="O38" s="61" t="n">
        <f aca="false">N35*Assumptions!$I$53</f>
        <v>85.3809857666784</v>
      </c>
      <c r="P38" s="61" t="n">
        <f aca="false">O35*Assumptions!$I$53</f>
        <v>85.8787244813739</v>
      </c>
      <c r="Q38" s="61" t="n">
        <f aca="false">P35*Assumptions!$I$53</f>
        <v>86.5897741205924</v>
      </c>
      <c r="R38" s="61" t="n">
        <f aca="false">Q35*Assumptions!$I$53</f>
        <v>87.4852763160412</v>
      </c>
      <c r="S38" s="61" t="n">
        <f aca="false">R35*Assumptions!$I$53</f>
        <v>88.5426003556329</v>
      </c>
      <c r="T38" s="61" t="n">
        <f aca="false">S35*Assumptions!$I$53</f>
        <v>89.7446774916016</v>
      </c>
      <c r="U38" s="61" t="n">
        <f aca="false">T35*Assumptions!$I$53</f>
        <v>91.0792736036187</v>
      </c>
      <c r="V38" s="61" t="n">
        <f aca="false">U35*Assumptions!$I$53</f>
        <v>92.5383093359314</v>
      </c>
      <c r="W38" s="61" t="n">
        <f aca="false">V35*Assumptions!$I$53</f>
        <v>94.1172676941857</v>
      </c>
      <c r="X38" s="61" t="n">
        <f aca="false">W35*Assumptions!$I$53</f>
        <v>95.8146986945122</v>
      </c>
      <c r="Y38" s="61" t="n">
        <f aca="false">X35*Assumptions!$I$53</f>
        <v>97.6318173444653</v>
      </c>
      <c r="Z38" s="61" t="n">
        <f aca="false">Y35*Assumptions!$I$53</f>
        <v>99.5721859115748</v>
      </c>
      <c r="AA38" s="61" t="n">
        <f aca="false">Z35*Assumptions!$I$53</f>
        <v>101.641469913906</v>
      </c>
      <c r="AB38" s="61" t="n">
        <f aca="false">AA35*Assumptions!$I$53</f>
        <v>103.847257520912</v>
      </c>
      <c r="AC38" s="61" t="n">
        <f aca="false">AB35*Assumptions!$I$53</f>
        <v>106.198933075712</v>
      </c>
      <c r="AD38" s="61" t="n">
        <f aca="false">AC35*Assumptions!$I$53</f>
        <v>108.668965353416</v>
      </c>
      <c r="AE38" s="61" t="n">
        <f aca="false">AD35*Assumptions!$I$53</f>
        <v>111.256689571623</v>
      </c>
      <c r="AF38" s="61" t="n">
        <f aca="false">AE35*Assumptions!$I$53</f>
        <v>113.986872099947</v>
      </c>
      <c r="AG38" s="61" t="n">
        <f aca="false">AF35*Assumptions!$I$53</f>
        <v>116.877581326556</v>
      </c>
      <c r="AH38" s="61" t="n">
        <f aca="false">AG35*Assumptions!$I$53</f>
        <v>119.947765411266</v>
      </c>
      <c r="AI38" s="61" t="n">
        <f aca="false">AH35*Assumptions!$I$53</f>
        <v>123.217728156679</v>
      </c>
      <c r="AJ38" s="61" t="n">
        <f aca="false">AI35*Assumptions!$I$53</f>
        <v>126.709309617991</v>
      </c>
      <c r="AK38" s="61" t="n">
        <f aca="false">AJ35*Assumptions!$I$53</f>
        <v>130.446022928003</v>
      </c>
      <c r="AL38" s="61" t="n">
        <f aca="false">AK35*Assumptions!$I$53</f>
        <v>134.453198916227</v>
      </c>
      <c r="AM38" s="61" t="n">
        <f aca="false">SUM(C38:AL38)</f>
        <v>3364.825624739</v>
      </c>
    </row>
    <row r="39" customFormat="false" ht="15" hidden="false" customHeight="false" outlineLevel="0" collapsed="false">
      <c r="A39" s="37" t="s">
        <v>760</v>
      </c>
      <c r="B39" s="9" t="s">
        <v>51</v>
      </c>
      <c r="C39" s="71" t="n">
        <f aca="false">C35+C36+C38</f>
        <v>0</v>
      </c>
      <c r="D39" s="71" t="n">
        <f aca="false">D35+D36+D38</f>
        <v>1500</v>
      </c>
      <c r="E39" s="71" t="n">
        <f aca="false">E35+E36+E38</f>
        <v>2643</v>
      </c>
      <c r="F39" s="71" t="n">
        <f aca="false">F35+F36+F38</f>
        <v>3293.48208640592</v>
      </c>
      <c r="G39" s="71" t="n">
        <f aca="false">G35+G36+G38</f>
        <v>3835.56195071288</v>
      </c>
      <c r="H39" s="71" t="n">
        <f aca="false">H35+H36+H38</f>
        <v>4315.14133355783</v>
      </c>
      <c r="I39" s="71" t="n">
        <f aca="false">I35+I36+I38</f>
        <v>4731.68676692782</v>
      </c>
      <c r="J39" s="71" t="n">
        <f aca="false">J35+J36+J38</f>
        <v>5118.77587574206</v>
      </c>
      <c r="K39" s="71" t="n">
        <f aca="false">K35+K36+K38</f>
        <v>5465.96273584441</v>
      </c>
      <c r="L39" s="71" t="n">
        <f aca="false">L35+L36+L38</f>
        <v>5782.41644319289</v>
      </c>
      <c r="M39" s="71" t="n">
        <f aca="false">M35+M36+M38</f>
        <v>6074.06696984121</v>
      </c>
      <c r="N39" s="71" t="n">
        <f aca="false">N35+N36+N38</f>
        <v>6345.42001277871</v>
      </c>
      <c r="O39" s="71" t="n">
        <f aca="false">O35+O36+O38</f>
        <v>6600.17448611536</v>
      </c>
      <c r="P39" s="71" t="n">
        <f aca="false">P35+P36+P38</f>
        <v>6841.42394633539</v>
      </c>
      <c r="Q39" s="71" t="n">
        <f aca="false">Q35+Q36+Q38</f>
        <v>7071.78716863686</v>
      </c>
      <c r="R39" s="71" t="n">
        <f aca="false">R35+R36+R38</f>
        <v>7293.5073946399</v>
      </c>
      <c r="S39" s="71" t="n">
        <f aca="false">S35+S36+S38</f>
        <v>7508.53143006005</v>
      </c>
      <c r="T39" s="71" t="n">
        <f aca="false">T35+T36+T38</f>
        <v>7718.57367279771</v>
      </c>
      <c r="U39" s="71" t="n">
        <f aca="false">U35+U36+U38</f>
        <v>7925.16836658959</v>
      </c>
      <c r="V39" s="71" t="n">
        <f aca="false">V35+V36+V38</f>
        <v>8129.71252555248</v>
      </c>
      <c r="W39" s="71" t="n">
        <f aca="false">W35+W36+W38</f>
        <v>8333.50144056555</v>
      </c>
      <c r="X39" s="71" t="n">
        <f aca="false">X35+X36+X38</f>
        <v>8537.75829303374</v>
      </c>
      <c r="Y39" s="71" t="n">
        <f aca="false">Y35+Y36+Y38</f>
        <v>8743.65910572434</v>
      </c>
      <c r="Z39" s="71" t="n">
        <f aca="false">Z35+Z36+Z38</f>
        <v>8952.35402679949</v>
      </c>
      <c r="AA39" s="71" t="n">
        <f aca="false">AA35+AA36+AA38</f>
        <v>9164.9857565369</v>
      </c>
      <c r="AB39" s="71" t="n">
        <f aca="false">AB35+AB36+AB38</f>
        <v>9382.70577645812</v>
      </c>
      <c r="AC39" s="71" t="n">
        <f aca="false">AC35+AC36+AC38</f>
        <v>9605.88409976851</v>
      </c>
      <c r="AD39" s="71" t="n">
        <f aca="false">AD35+AD36+AD38</f>
        <v>9835.12068555757</v>
      </c>
      <c r="AE39" s="71" t="n">
        <f aca="false">AE35+AE36+AE38</f>
        <v>10071.5094131624</v>
      </c>
      <c r="AF39" s="71" t="n">
        <f aca="false">AF35+AF36+AF38</f>
        <v>10316.1657914006</v>
      </c>
      <c r="AG39" s="71" t="n">
        <f aca="false">AG35+AG36+AG38</f>
        <v>10570.2896897019</v>
      </c>
      <c r="AH39" s="71" t="n">
        <f aca="false">AH35+AH36+AH38</f>
        <v>10835.1829557439</v>
      </c>
      <c r="AI39" s="71" t="n">
        <f aca="false">AI35+AI36+AI38</f>
        <v>11112.2573772853</v>
      </c>
      <c r="AJ39" s="71" t="n">
        <f aca="false">AJ35+AJ36+AJ38</f>
        <v>11403.0424710871</v>
      </c>
      <c r="AK39" s="71" t="n">
        <f aca="false">AK35+AK36+AK38</f>
        <v>11709.1939998136</v>
      </c>
      <c r="AL39" s="71" t="n">
        <f aca="false">AL35+AL36+AL38</f>
        <v>12032.5034017405</v>
      </c>
      <c r="AM39" s="71" t="n">
        <f aca="false">SUM(C39:AL39)</f>
        <v>268800.50745011</v>
      </c>
    </row>
    <row r="40" customFormat="false" ht="15" hidden="false" customHeight="false" outlineLevel="0" collapsed="false">
      <c r="A40" s="10" t="s">
        <v>761</v>
      </c>
      <c r="B40" s="9" t="s">
        <v>97</v>
      </c>
      <c r="C40" s="70" t="n">
        <f aca="false">C39*Assumptions!$I$50</f>
        <v>0</v>
      </c>
      <c r="D40" s="70" t="n">
        <f aca="false">D39*Assumptions!$I$50</f>
        <v>117000</v>
      </c>
      <c r="E40" s="70" t="n">
        <f aca="false">E39*Assumptions!$I$50</f>
        <v>206154</v>
      </c>
      <c r="F40" s="70" t="n">
        <f aca="false">F39*Assumptions!$I$50</f>
        <v>256891.602739662</v>
      </c>
      <c r="G40" s="70" t="n">
        <f aca="false">G39*Assumptions!$I$50</f>
        <v>299173.832155605</v>
      </c>
      <c r="H40" s="70" t="n">
        <f aca="false">H39*Assumptions!$I$50</f>
        <v>336581.024017511</v>
      </c>
      <c r="I40" s="70" t="n">
        <f aca="false">I39*Assumptions!$I$50</f>
        <v>369071.56782037</v>
      </c>
      <c r="J40" s="70" t="n">
        <f aca="false">J39*Assumptions!$I$50</f>
        <v>399264.51830788</v>
      </c>
      <c r="K40" s="70" t="n">
        <f aca="false">K39*Assumptions!$I$50</f>
        <v>426345.093395864</v>
      </c>
      <c r="L40" s="70" t="n">
        <f aca="false">L39*Assumptions!$I$50</f>
        <v>451028.482569045</v>
      </c>
      <c r="M40" s="70" t="n">
        <f aca="false">M39*Assumptions!$I$50</f>
        <v>473777.223647614</v>
      </c>
      <c r="N40" s="70" t="n">
        <f aca="false">N39*Assumptions!$I$50</f>
        <v>494942.76099674</v>
      </c>
      <c r="O40" s="70" t="n">
        <f aca="false">O39*Assumptions!$I$50</f>
        <v>514813.609916998</v>
      </c>
      <c r="P40" s="70" t="n">
        <f aca="false">P39*Assumptions!$I$50</f>
        <v>533631.06781416</v>
      </c>
      <c r="Q40" s="70" t="n">
        <f aca="false">Q39*Assumptions!$I$50</f>
        <v>551599.399153675</v>
      </c>
      <c r="R40" s="70" t="n">
        <f aca="false">R39*Assumptions!$I$50</f>
        <v>568893.576781912</v>
      </c>
      <c r="S40" s="70" t="n">
        <f aca="false">S39*Assumptions!$I$50</f>
        <v>585665.451544684</v>
      </c>
      <c r="T40" s="70" t="n">
        <f aca="false">T39*Assumptions!$I$50</f>
        <v>602048.746478222</v>
      </c>
      <c r="U40" s="70" t="n">
        <f aca="false">U39*Assumptions!$I$50</f>
        <v>618163.132593988</v>
      </c>
      <c r="V40" s="70" t="n">
        <f aca="false">V39*Assumptions!$I$50</f>
        <v>634117.576993093</v>
      </c>
      <c r="W40" s="70" t="n">
        <f aca="false">W39*Assumptions!$I$50</f>
        <v>650013.112364113</v>
      </c>
      <c r="X40" s="70" t="n">
        <f aca="false">X39*Assumptions!$I$50</f>
        <v>665945.146856632</v>
      </c>
      <c r="Y40" s="70" t="n">
        <f aca="false">Y39*Assumptions!$I$50</f>
        <v>682005.410246499</v>
      </c>
      <c r="Z40" s="70" t="n">
        <f aca="false">Z39*Assumptions!$I$50</f>
        <v>698283.61409036</v>
      </c>
      <c r="AA40" s="70" t="n">
        <f aca="false">AA39*Assumptions!$I$50</f>
        <v>714868.889009878</v>
      </c>
      <c r="AB40" s="70" t="n">
        <f aca="false">AB39*Assumptions!$I$50</f>
        <v>731851.050563733</v>
      </c>
      <c r="AC40" s="70" t="n">
        <f aca="false">AC39*Assumptions!$I$50</f>
        <v>749258.959781944</v>
      </c>
      <c r="AD40" s="70" t="n">
        <f aca="false">AD39*Assumptions!$I$50</f>
        <v>767139.413473491</v>
      </c>
      <c r="AE40" s="70" t="n">
        <f aca="false">AE39*Assumptions!$I$50</f>
        <v>785577.734226669</v>
      </c>
      <c r="AF40" s="70" t="n">
        <f aca="false">AF39*Assumptions!$I$50</f>
        <v>804660.931729246</v>
      </c>
      <c r="AG40" s="70" t="n">
        <f aca="false">AG39*Assumptions!$I$50</f>
        <v>824482.595796751</v>
      </c>
      <c r="AH40" s="70" t="n">
        <f aca="false">AH39*Assumptions!$I$50</f>
        <v>845144.270548021</v>
      </c>
      <c r="AI40" s="70" t="n">
        <f aca="false">AI39*Assumptions!$I$50</f>
        <v>866756.07542825</v>
      </c>
      <c r="AJ40" s="70" t="n">
        <f aca="false">AJ39*Assumptions!$I$50</f>
        <v>889437.312744792</v>
      </c>
      <c r="AK40" s="70" t="n">
        <f aca="false">AK39*Assumptions!$I$50</f>
        <v>913317.131985458</v>
      </c>
      <c r="AL40" s="70" t="n">
        <f aca="false">AL39*Assumptions!$I$50</f>
        <v>938535.265335759</v>
      </c>
      <c r="AM40" s="70" t="n">
        <f aca="false">SUM(C40:AL40)</f>
        <v>20966439.5811086</v>
      </c>
    </row>
    <row r="41" customFormat="false" ht="15" hidden="false" customHeight="false" outlineLevel="0" collapsed="false">
      <c r="A41" s="10" t="s">
        <v>762</v>
      </c>
      <c r="B41" s="9" t="s">
        <v>97</v>
      </c>
      <c r="C41" s="70" t="n">
        <f aca="false">-C40*Assumptions!$I$80</f>
        <v>-0</v>
      </c>
      <c r="D41" s="70" t="n">
        <f aca="false">-D40*Assumptions!$I$80</f>
        <v>-3510</v>
      </c>
      <c r="E41" s="70" t="n">
        <f aca="false">-E40*Assumptions!$I$80</f>
        <v>-6184.62</v>
      </c>
      <c r="F41" s="70" t="n">
        <f aca="false">-F40*Assumptions!$I$80</f>
        <v>-7706.74808218986</v>
      </c>
      <c r="G41" s="70" t="n">
        <f aca="false">-G40*Assumptions!$I$80</f>
        <v>-8975.21496466814</v>
      </c>
      <c r="H41" s="70" t="n">
        <f aca="false">-H40*Assumptions!$I$80</f>
        <v>-10097.4307205253</v>
      </c>
      <c r="I41" s="70" t="n">
        <f aca="false">-I40*Assumptions!$I$80</f>
        <v>-11072.1470346111</v>
      </c>
      <c r="J41" s="70" t="n">
        <f aca="false">-J40*Assumptions!$I$80</f>
        <v>-11977.9355492364</v>
      </c>
      <c r="K41" s="70" t="n">
        <f aca="false">-K40*Assumptions!$I$80</f>
        <v>-12790.3528018759</v>
      </c>
      <c r="L41" s="70" t="n">
        <f aca="false">-L40*Assumptions!$I$80</f>
        <v>-13530.8544770714</v>
      </c>
      <c r="M41" s="70" t="n">
        <f aca="false">-M40*Assumptions!$I$80</f>
        <v>-14213.3167094284</v>
      </c>
      <c r="N41" s="70" t="n">
        <f aca="false">-N40*Assumptions!$I$80</f>
        <v>-14848.2828299022</v>
      </c>
      <c r="O41" s="70" t="n">
        <f aca="false">-O40*Assumptions!$I$80</f>
        <v>-15444.4082975099</v>
      </c>
      <c r="P41" s="70" t="n">
        <f aca="false">-P40*Assumptions!$I$80</f>
        <v>-16008.9320344248</v>
      </c>
      <c r="Q41" s="70" t="n">
        <f aca="false">-Q40*Assumptions!$I$80</f>
        <v>-16547.9819746103</v>
      </c>
      <c r="R41" s="70" t="n">
        <f aca="false">-R40*Assumptions!$I$80</f>
        <v>-17066.8073034574</v>
      </c>
      <c r="S41" s="70" t="n">
        <f aca="false">-S40*Assumptions!$I$80</f>
        <v>-17569.9635463405</v>
      </c>
      <c r="T41" s="70" t="n">
        <f aca="false">-T40*Assumptions!$I$80</f>
        <v>-18061.4623943466</v>
      </c>
      <c r="U41" s="70" t="n">
        <f aca="false">-U40*Assumptions!$I$80</f>
        <v>-18544.8939778196</v>
      </c>
      <c r="V41" s="70" t="n">
        <f aca="false">-V40*Assumptions!$I$80</f>
        <v>-19023.5273097928</v>
      </c>
      <c r="W41" s="70" t="n">
        <f aca="false">-W40*Assumptions!$I$80</f>
        <v>-19500.3933709234</v>
      </c>
      <c r="X41" s="70" t="n">
        <f aca="false">-X40*Assumptions!$I$80</f>
        <v>-19978.354405699</v>
      </c>
      <c r="Y41" s="70" t="n">
        <f aca="false">-Y40*Assumptions!$I$80</f>
        <v>-20460.162307395</v>
      </c>
      <c r="Z41" s="70" t="n">
        <f aca="false">-Z40*Assumptions!$I$80</f>
        <v>-20948.5084227108</v>
      </c>
      <c r="AA41" s="70" t="n">
        <f aca="false">-AA40*Assumptions!$I$80</f>
        <v>-21446.0666702963</v>
      </c>
      <c r="AB41" s="70" t="n">
        <f aca="false">-AB40*Assumptions!$I$80</f>
        <v>-21955.531516912</v>
      </c>
      <c r="AC41" s="70" t="n">
        <f aca="false">-AC40*Assumptions!$I$80</f>
        <v>-22477.7687934583</v>
      </c>
      <c r="AD41" s="70" t="n">
        <f aca="false">-AD40*Assumptions!$I$80</f>
        <v>-23014.1824042047</v>
      </c>
      <c r="AE41" s="70" t="n">
        <f aca="false">-AE40*Assumptions!$I$80</f>
        <v>-23567.3320268001</v>
      </c>
      <c r="AF41" s="70" t="n">
        <f aca="false">-AF40*Assumptions!$I$80</f>
        <v>-24139.8279518774</v>
      </c>
      <c r="AG41" s="70" t="n">
        <f aca="false">-AG40*Assumptions!$I$80</f>
        <v>-24734.4778739025</v>
      </c>
      <c r="AH41" s="70" t="n">
        <f aca="false">-AH40*Assumptions!$I$80</f>
        <v>-25354.3281164406</v>
      </c>
      <c r="AI41" s="70" t="n">
        <f aca="false">-AI40*Assumptions!$I$80</f>
        <v>-26002.6822628475</v>
      </c>
      <c r="AJ41" s="70" t="n">
        <f aca="false">-AJ40*Assumptions!$I$80</f>
        <v>-26683.1193823438</v>
      </c>
      <c r="AK41" s="70" t="n">
        <f aca="false">-AK40*Assumptions!$I$80</f>
        <v>-27399.5139595637</v>
      </c>
      <c r="AL41" s="70" t="n">
        <f aca="false">-AL40*Assumptions!$I$80</f>
        <v>-28156.0579600728</v>
      </c>
      <c r="AM41" s="70" t="n">
        <f aca="false">SUM(C41:AL41)</f>
        <v>-628993.187433259</v>
      </c>
    </row>
    <row r="42" customFormat="false" ht="15" hidden="false" customHeight="false" outlineLevel="0" collapsed="false">
      <c r="A42" s="37" t="s">
        <v>763</v>
      </c>
      <c r="B42" s="9" t="s">
        <v>97</v>
      </c>
      <c r="C42" s="53" t="n">
        <f aca="false">C40+C41</f>
        <v>0</v>
      </c>
      <c r="D42" s="53" t="n">
        <f aca="false">D40+D41</f>
        <v>113490</v>
      </c>
      <c r="E42" s="53" t="n">
        <f aca="false">E40+E41</f>
        <v>199969.38</v>
      </c>
      <c r="F42" s="53" t="n">
        <f aca="false">F40+F41</f>
        <v>249184.854657472</v>
      </c>
      <c r="G42" s="53" t="n">
        <f aca="false">G40+G41</f>
        <v>290198.617190937</v>
      </c>
      <c r="H42" s="53" t="n">
        <f aca="false">H40+H41</f>
        <v>326483.593296986</v>
      </c>
      <c r="I42" s="53" t="n">
        <f aca="false">I40+I41</f>
        <v>357999.420785759</v>
      </c>
      <c r="J42" s="53" t="n">
        <f aca="false">J40+J41</f>
        <v>387286.582758644</v>
      </c>
      <c r="K42" s="53" t="n">
        <f aca="false">K40+K41</f>
        <v>413554.740593988</v>
      </c>
      <c r="L42" s="53" t="n">
        <f aca="false">L40+L41</f>
        <v>437497.628091974</v>
      </c>
      <c r="M42" s="53" t="n">
        <f aca="false">M40+M41</f>
        <v>459563.906938186</v>
      </c>
      <c r="N42" s="53" t="n">
        <f aca="false">N40+N41</f>
        <v>480094.478166838</v>
      </c>
      <c r="O42" s="53" t="n">
        <f aca="false">O40+O41</f>
        <v>499369.201619488</v>
      </c>
      <c r="P42" s="53" t="n">
        <f aca="false">P40+P41</f>
        <v>517622.135779735</v>
      </c>
      <c r="Q42" s="53" t="n">
        <f aca="false">Q40+Q41</f>
        <v>535051.417179065</v>
      </c>
      <c r="R42" s="53" t="n">
        <f aca="false">R40+R41</f>
        <v>551826.769478455</v>
      </c>
      <c r="S42" s="53" t="n">
        <f aca="false">S40+S41</f>
        <v>568095.487998344</v>
      </c>
      <c r="T42" s="53" t="n">
        <f aca="false">T40+T41</f>
        <v>583987.284083875</v>
      </c>
      <c r="U42" s="53" t="n">
        <f aca="false">U40+U41</f>
        <v>599618.238616168</v>
      </c>
      <c r="V42" s="53" t="n">
        <f aca="false">V40+V41</f>
        <v>615094.049683301</v>
      </c>
      <c r="W42" s="53" t="n">
        <f aca="false">W40+W41</f>
        <v>630512.71899319</v>
      </c>
      <c r="X42" s="53" t="n">
        <f aca="false">X40+X41</f>
        <v>645966.792450933</v>
      </c>
      <c r="Y42" s="53" t="n">
        <f aca="false">Y40+Y41</f>
        <v>661545.247939104</v>
      </c>
      <c r="Z42" s="53" t="n">
        <f aca="false">Z40+Z41</f>
        <v>677335.105667649</v>
      </c>
      <c r="AA42" s="53" t="n">
        <f aca="false">AA40+AA41</f>
        <v>693422.822339581</v>
      </c>
      <c r="AB42" s="53" t="n">
        <f aca="false">AB40+AB41</f>
        <v>709895.519046821</v>
      </c>
      <c r="AC42" s="53" t="n">
        <f aca="false">AC40+AC41</f>
        <v>726781.190988485</v>
      </c>
      <c r="AD42" s="53" t="n">
        <f aca="false">AD40+AD41</f>
        <v>744125.231069286</v>
      </c>
      <c r="AE42" s="53" t="n">
        <f aca="false">AE40+AE41</f>
        <v>762010.402199869</v>
      </c>
      <c r="AF42" s="53" t="n">
        <f aca="false">AF40+AF41</f>
        <v>780521.103777368</v>
      </c>
      <c r="AG42" s="53" t="n">
        <f aca="false">AG40+AG41</f>
        <v>799748.117922848</v>
      </c>
      <c r="AH42" s="53" t="n">
        <f aca="false">AH40+AH41</f>
        <v>819789.94243158</v>
      </c>
      <c r="AI42" s="53" t="n">
        <f aca="false">AI40+AI41</f>
        <v>840753.393165403</v>
      </c>
      <c r="AJ42" s="53" t="n">
        <f aca="false">AJ40+AJ41</f>
        <v>862754.193362448</v>
      </c>
      <c r="AK42" s="53" t="n">
        <f aca="false">AK40+AK41</f>
        <v>885917.618025894</v>
      </c>
      <c r="AL42" s="53" t="n">
        <f aca="false">AL40+AL41</f>
        <v>910379.207375686</v>
      </c>
      <c r="AM42" s="53" t="n">
        <f aca="false">SUM(C42:AL42)</f>
        <v>20337446.3936754</v>
      </c>
    </row>
    <row r="43" customFormat="false" ht="15" hidden="false" customHeight="false" outlineLevel="0" collapsed="false">
      <c r="A43" s="10" t="s">
        <v>764</v>
      </c>
      <c r="B43" s="9" t="s">
        <v>97</v>
      </c>
      <c r="C43" s="70" t="n">
        <f aca="false">-C40*Assumptions!$I$55</f>
        <v>-0</v>
      </c>
      <c r="D43" s="70" t="n">
        <f aca="false">-D40*Assumptions!$I$55</f>
        <v>-30420</v>
      </c>
      <c r="E43" s="70" t="n">
        <f aca="false">-E40*Assumptions!$I$55</f>
        <v>-53600.04</v>
      </c>
      <c r="F43" s="70" t="n">
        <f aca="false">-F40*Assumptions!$I$55</f>
        <v>-66791.8167123121</v>
      </c>
      <c r="G43" s="70" t="n">
        <f aca="false">-G40*Assumptions!$I$55</f>
        <v>-77785.1963604572</v>
      </c>
      <c r="H43" s="70" t="n">
        <f aca="false">-H40*Assumptions!$I$55</f>
        <v>-87511.0662445529</v>
      </c>
      <c r="I43" s="70" t="n">
        <f aca="false">-I40*Assumptions!$I$55</f>
        <v>-95958.6076332961</v>
      </c>
      <c r="J43" s="70" t="n">
        <f aca="false">-J40*Assumptions!$I$55</f>
        <v>-103808.774760049</v>
      </c>
      <c r="K43" s="70" t="n">
        <f aca="false">-K40*Assumptions!$I$55</f>
        <v>-110849.724282925</v>
      </c>
      <c r="L43" s="70" t="n">
        <f aca="false">-L40*Assumptions!$I$55</f>
        <v>-117267.405467952</v>
      </c>
      <c r="M43" s="70" t="n">
        <f aca="false">-M40*Assumptions!$I$55</f>
        <v>-123182.07814838</v>
      </c>
      <c r="N43" s="70" t="n">
        <f aca="false">-N40*Assumptions!$I$55</f>
        <v>-128685.117859152</v>
      </c>
      <c r="O43" s="70" t="n">
        <f aca="false">-O40*Assumptions!$I$55</f>
        <v>-133851.538578419</v>
      </c>
      <c r="P43" s="70" t="n">
        <f aca="false">-P40*Assumptions!$I$55</f>
        <v>-138744.077631682</v>
      </c>
      <c r="Q43" s="70" t="n">
        <f aca="false">-Q40*Assumptions!$I$55</f>
        <v>-143415.843779956</v>
      </c>
      <c r="R43" s="70" t="n">
        <f aca="false">-R40*Assumptions!$I$55</f>
        <v>-147912.329963297</v>
      </c>
      <c r="S43" s="70" t="n">
        <f aca="false">-S40*Assumptions!$I$55</f>
        <v>-152273.017401618</v>
      </c>
      <c r="T43" s="70" t="n">
        <f aca="false">-T40*Assumptions!$I$55</f>
        <v>-156532.674084338</v>
      </c>
      <c r="U43" s="70" t="n">
        <f aca="false">-U40*Assumptions!$I$55</f>
        <v>-160722.414474437</v>
      </c>
      <c r="V43" s="70" t="n">
        <f aca="false">-V40*Assumptions!$I$55</f>
        <v>-164870.570018204</v>
      </c>
      <c r="W43" s="70" t="n">
        <f aca="false">-W40*Assumptions!$I$55</f>
        <v>-169003.409214669</v>
      </c>
      <c r="X43" s="70" t="n">
        <f aca="false">-X40*Assumptions!$I$55</f>
        <v>-173145.738182724</v>
      </c>
      <c r="Y43" s="70" t="n">
        <f aca="false">-Y40*Assumptions!$I$55</f>
        <v>-177321.40666409</v>
      </c>
      <c r="Z43" s="70" t="n">
        <f aca="false">-Z40*Assumptions!$I$55</f>
        <v>-181553.739663494</v>
      </c>
      <c r="AA43" s="70" t="n">
        <f aca="false">-AA40*Assumptions!$I$55</f>
        <v>-185865.911142568</v>
      </c>
      <c r="AB43" s="70" t="n">
        <f aca="false">-AB40*Assumptions!$I$55</f>
        <v>-190281.273146571</v>
      </c>
      <c r="AC43" s="70" t="n">
        <f aca="false">-AC40*Assumptions!$I$55</f>
        <v>-194807.329543305</v>
      </c>
      <c r="AD43" s="70" t="n">
        <f aca="false">-AD40*Assumptions!$I$55</f>
        <v>-199456.247503108</v>
      </c>
      <c r="AE43" s="70" t="n">
        <f aca="false">-AE40*Assumptions!$I$55</f>
        <v>-204250.210898934</v>
      </c>
      <c r="AF43" s="70" t="n">
        <f aca="false">-AF40*Assumptions!$I$55</f>
        <v>-209211.842249604</v>
      </c>
      <c r="AG43" s="70" t="n">
        <f aca="false">-AG40*Assumptions!$I$55</f>
        <v>-214365.474907155</v>
      </c>
      <c r="AH43" s="70" t="n">
        <f aca="false">-AH40*Assumptions!$I$55</f>
        <v>-219737.510342485</v>
      </c>
      <c r="AI43" s="70" t="n">
        <f aca="false">-AI40*Assumptions!$I$55</f>
        <v>-225356.579611345</v>
      </c>
      <c r="AJ43" s="70" t="n">
        <f aca="false">-AJ40*Assumptions!$I$55</f>
        <v>-231253.701313646</v>
      </c>
      <c r="AK43" s="70" t="n">
        <f aca="false">-AK40*Assumptions!$I$55</f>
        <v>-237462.454316219</v>
      </c>
      <c r="AL43" s="70" t="n">
        <f aca="false">-AL40*Assumptions!$I$55</f>
        <v>-244019.168987297</v>
      </c>
      <c r="AM43" s="70" t="n">
        <f aca="false">SUM(C43:AL43)</f>
        <v>-5451274.29108824</v>
      </c>
    </row>
    <row r="44" customFormat="false" ht="15" hidden="false" customHeight="false" outlineLevel="0" collapsed="false">
      <c r="A44" s="10" t="s">
        <v>765</v>
      </c>
      <c r="B44" s="9" t="s">
        <v>97</v>
      </c>
      <c r="C44" s="70" t="n">
        <f aca="false">-C39*Assumptions!$I$56</f>
        <v>-0</v>
      </c>
      <c r="D44" s="70" t="n">
        <f aca="false">-D39*Assumptions!$I$56</f>
        <v>-11250</v>
      </c>
      <c r="E44" s="70" t="n">
        <f aca="false">-E39*Assumptions!$I$56</f>
        <v>-19822.5</v>
      </c>
      <c r="F44" s="70" t="n">
        <f aca="false">-F39*Assumptions!$I$56</f>
        <v>-24701.1156480444</v>
      </c>
      <c r="G44" s="70" t="n">
        <f aca="false">-G39*Assumptions!$I$56</f>
        <v>-28766.7146303466</v>
      </c>
      <c r="H44" s="70" t="n">
        <f aca="false">-H39*Assumptions!$I$56</f>
        <v>-32363.5600016838</v>
      </c>
      <c r="I44" s="70" t="n">
        <f aca="false">-I39*Assumptions!$I$56</f>
        <v>-35487.6507519586</v>
      </c>
      <c r="J44" s="70" t="n">
        <f aca="false">-J39*Assumptions!$I$56</f>
        <v>-38390.8190680654</v>
      </c>
      <c r="K44" s="70" t="n">
        <f aca="false">-K39*Assumptions!$I$56</f>
        <v>-40994.720518833</v>
      </c>
      <c r="L44" s="70" t="n">
        <f aca="false">-L39*Assumptions!$I$56</f>
        <v>-43368.1233239467</v>
      </c>
      <c r="M44" s="70" t="n">
        <f aca="false">-M39*Assumptions!$I$56</f>
        <v>-45555.5022738091</v>
      </c>
      <c r="N44" s="70" t="n">
        <f aca="false">-N39*Assumptions!$I$56</f>
        <v>-47590.6500958404</v>
      </c>
      <c r="O44" s="70" t="n">
        <f aca="false">-O39*Assumptions!$I$56</f>
        <v>-49501.3086458652</v>
      </c>
      <c r="P44" s="70" t="n">
        <f aca="false">-P39*Assumptions!$I$56</f>
        <v>-51310.6795975154</v>
      </c>
      <c r="Q44" s="70" t="n">
        <f aca="false">-Q39*Assumptions!$I$56</f>
        <v>-53038.4037647765</v>
      </c>
      <c r="R44" s="70" t="n">
        <f aca="false">-R39*Assumptions!$I$56</f>
        <v>-54701.3054597992</v>
      </c>
      <c r="S44" s="70" t="n">
        <f aca="false">-S39*Assumptions!$I$56</f>
        <v>-56313.9857254504</v>
      </c>
      <c r="T44" s="70" t="n">
        <f aca="false">-T39*Assumptions!$I$56</f>
        <v>-57889.3025459828</v>
      </c>
      <c r="U44" s="70" t="n">
        <f aca="false">-U39*Assumptions!$I$56</f>
        <v>-59438.7627494219</v>
      </c>
      <c r="V44" s="70" t="n">
        <f aca="false">-V39*Assumptions!$I$56</f>
        <v>-60972.8439416436</v>
      </c>
      <c r="W44" s="70" t="n">
        <f aca="false">-W39*Assumptions!$I$56</f>
        <v>-62501.2608042417</v>
      </c>
      <c r="X44" s="70" t="n">
        <f aca="false">-X39*Assumptions!$I$56</f>
        <v>-64033.187197753</v>
      </c>
      <c r="Y44" s="70" t="n">
        <f aca="false">-Y39*Assumptions!$I$56</f>
        <v>-65577.4432929326</v>
      </c>
      <c r="Z44" s="70" t="n">
        <f aca="false">-Z39*Assumptions!$I$56</f>
        <v>-67142.6552009962</v>
      </c>
      <c r="AA44" s="70" t="n">
        <f aca="false">-AA39*Assumptions!$I$56</f>
        <v>-68737.3931740267</v>
      </c>
      <c r="AB44" s="70" t="n">
        <f aca="false">-AB39*Assumptions!$I$56</f>
        <v>-70370.2933234359</v>
      </c>
      <c r="AC44" s="70" t="n">
        <f aca="false">-AC39*Assumptions!$I$56</f>
        <v>-72044.1307482638</v>
      </c>
      <c r="AD44" s="70" t="n">
        <f aca="false">-AD39*Assumptions!$I$56</f>
        <v>-73763.4051416818</v>
      </c>
      <c r="AE44" s="70" t="n">
        <f aca="false">-AE39*Assumptions!$I$56</f>
        <v>-75536.3205987181</v>
      </c>
      <c r="AF44" s="70" t="n">
        <f aca="false">-AF39*Assumptions!$I$56</f>
        <v>-77371.2434355044</v>
      </c>
      <c r="AG44" s="70" t="n">
        <f aca="false">-AG39*Assumptions!$I$56</f>
        <v>-79277.1726727645</v>
      </c>
      <c r="AH44" s="70" t="n">
        <f aca="false">-AH39*Assumptions!$I$56</f>
        <v>-81263.872168079</v>
      </c>
      <c r="AI44" s="70" t="n">
        <f aca="false">-AI39*Assumptions!$I$56</f>
        <v>-83341.9303296395</v>
      </c>
      <c r="AJ44" s="70" t="n">
        <f aca="false">-AJ39*Assumptions!$I$56</f>
        <v>-85522.8185331531</v>
      </c>
      <c r="AK44" s="70" t="n">
        <f aca="false">-AK39*Assumptions!$I$56</f>
        <v>-87818.9549986017</v>
      </c>
      <c r="AL44" s="70" t="n">
        <f aca="false">-AL39*Assumptions!$I$56</f>
        <v>-90243.7755130538</v>
      </c>
      <c r="AM44" s="70" t="n">
        <f aca="false">SUM(C44:AL44)</f>
        <v>-2016003.80587583</v>
      </c>
    </row>
    <row r="45" customFormat="false" ht="15" hidden="false" customHeight="false" outlineLevel="0" collapsed="false">
      <c r="A45" s="10" t="s">
        <v>766</v>
      </c>
      <c r="B45" s="9" t="s">
        <v>97</v>
      </c>
      <c r="C45" s="70" t="n">
        <f aca="false">-C42*Assumptions!$I$79</f>
        <v>-0</v>
      </c>
      <c r="D45" s="70" t="n">
        <f aca="false">-D42*Assumptions!$I$79</f>
        <v>-3291.21</v>
      </c>
      <c r="E45" s="70" t="n">
        <f aca="false">-E42*Assumptions!$I$79</f>
        <v>-5799.11202</v>
      </c>
      <c r="F45" s="70" t="n">
        <f aca="false">-F42*Assumptions!$I$79</f>
        <v>-7226.36078506669</v>
      </c>
      <c r="G45" s="70" t="n">
        <f aca="false">-G42*Assumptions!$I$79</f>
        <v>-8415.75989853716</v>
      </c>
      <c r="H45" s="70" t="n">
        <f aca="false">-H42*Assumptions!$I$79</f>
        <v>-9468.02420561259</v>
      </c>
      <c r="I45" s="70" t="n">
        <f aca="false">-I42*Assumptions!$I$79</f>
        <v>-10381.983202787</v>
      </c>
      <c r="J45" s="70" t="n">
        <f aca="false">-J42*Assumptions!$I$79</f>
        <v>-11231.3109000007</v>
      </c>
      <c r="K45" s="70" t="n">
        <f aca="false">-K42*Assumptions!$I$79</f>
        <v>-11993.0874772256</v>
      </c>
      <c r="L45" s="70" t="n">
        <f aca="false">-L42*Assumptions!$I$79</f>
        <v>-12687.4312146672</v>
      </c>
      <c r="M45" s="70" t="n">
        <f aca="false">-M42*Assumptions!$I$79</f>
        <v>-13327.3533012074</v>
      </c>
      <c r="N45" s="70" t="n">
        <f aca="false">-N42*Assumptions!$I$79</f>
        <v>-13922.7398668383</v>
      </c>
      <c r="O45" s="70" t="n">
        <f aca="false">-O42*Assumptions!$I$79</f>
        <v>-14481.7068469652</v>
      </c>
      <c r="P45" s="70" t="n">
        <f aca="false">-P42*Assumptions!$I$79</f>
        <v>-15011.0419376123</v>
      </c>
      <c r="Q45" s="70" t="n">
        <f aca="false">-Q42*Assumptions!$I$79</f>
        <v>-15516.4910981929</v>
      </c>
      <c r="R45" s="70" t="n">
        <f aca="false">-R42*Assumptions!$I$79</f>
        <v>-16002.9763148752</v>
      </c>
      <c r="S45" s="70" t="n">
        <f aca="false">-S42*Assumptions!$I$79</f>
        <v>-16474.769151952</v>
      </c>
      <c r="T45" s="70" t="n">
        <f aca="false">-T42*Assumptions!$I$79</f>
        <v>-16935.6312384324</v>
      </c>
      <c r="U45" s="70" t="n">
        <f aca="false">-U42*Assumptions!$I$79</f>
        <v>-17388.9289198689</v>
      </c>
      <c r="V45" s="70" t="n">
        <f aca="false">-V42*Assumptions!$I$79</f>
        <v>-17837.7274408157</v>
      </c>
      <c r="W45" s="70" t="n">
        <f aca="false">-W42*Assumptions!$I$79</f>
        <v>-18284.8688508025</v>
      </c>
      <c r="X45" s="70" t="n">
        <f aca="false">-X42*Assumptions!$I$79</f>
        <v>-18733.0369810771</v>
      </c>
      <c r="Y45" s="70" t="n">
        <f aca="false">-Y42*Assumptions!$I$79</f>
        <v>-19184.812190234</v>
      </c>
      <c r="Z45" s="70" t="n">
        <f aca="false">-Z42*Assumptions!$I$79</f>
        <v>-19642.7180643618</v>
      </c>
      <c r="AA45" s="70" t="n">
        <f aca="false">-AA42*Assumptions!$I$79</f>
        <v>-20109.2618478479</v>
      </c>
      <c r="AB45" s="70" t="n">
        <f aca="false">-AB42*Assumptions!$I$79</f>
        <v>-20586.9700523578</v>
      </c>
      <c r="AC45" s="70" t="n">
        <f aca="false">-AC42*Assumptions!$I$79</f>
        <v>-21076.6545386661</v>
      </c>
      <c r="AD45" s="70" t="n">
        <f aca="false">-AD42*Assumptions!$I$79</f>
        <v>-21579.6317010093</v>
      </c>
      <c r="AE45" s="70" t="n">
        <f aca="false">-AE42*Assumptions!$I$79</f>
        <v>-22098.3016637962</v>
      </c>
      <c r="AF45" s="70" t="n">
        <f aca="false">-AF42*Assumptions!$I$79</f>
        <v>-22635.1120095437</v>
      </c>
      <c r="AG45" s="70" t="n">
        <f aca="false">-AG42*Assumptions!$I$79</f>
        <v>-23192.6954197626</v>
      </c>
      <c r="AH45" s="70" t="n">
        <f aca="false">-AH42*Assumptions!$I$79</f>
        <v>-23773.9083305158</v>
      </c>
      <c r="AI45" s="70" t="n">
        <f aca="false">-AI42*Assumptions!$I$79</f>
        <v>-24381.8484017967</v>
      </c>
      <c r="AJ45" s="70" t="n">
        <f aca="false">-AJ42*Assumptions!$I$79</f>
        <v>-25019.871607511</v>
      </c>
      <c r="AK45" s="70" t="n">
        <f aca="false">-AK42*Assumptions!$I$79</f>
        <v>-25691.6109227509</v>
      </c>
      <c r="AL45" s="70" t="n">
        <f aca="false">-AL42*Assumptions!$I$79</f>
        <v>-26400.9970138949</v>
      </c>
      <c r="AM45" s="70" t="n">
        <f aca="false">SUM(C45:AL45)</f>
        <v>-589785.945416585</v>
      </c>
    </row>
    <row r="46" customFormat="false" ht="15" hidden="false" customHeight="false" outlineLevel="0" collapsed="false">
      <c r="A46" s="37" t="s">
        <v>767</v>
      </c>
      <c r="B46" s="9" t="s">
        <v>97</v>
      </c>
      <c r="C46" s="53" t="n">
        <f aca="false">C42+C43+C44+C45</f>
        <v>0</v>
      </c>
      <c r="D46" s="53" t="n">
        <f aca="false">D42+D43+D44+D45</f>
        <v>68528.79</v>
      </c>
      <c r="E46" s="53" t="n">
        <f aca="false">E42+E43+E44+E45</f>
        <v>120747.72798</v>
      </c>
      <c r="F46" s="53" t="n">
        <f aca="false">F42+F43+F44+F45</f>
        <v>150465.561512049</v>
      </c>
      <c r="G46" s="53" t="n">
        <f aca="false">G42+G43+G44+G45</f>
        <v>175230.946301596</v>
      </c>
      <c r="H46" s="53" t="n">
        <f aca="false">H42+H43+H44+H45</f>
        <v>197140.942845137</v>
      </c>
      <c r="I46" s="53" t="n">
        <f aca="false">I42+I43+I44+I45</f>
        <v>216171.179197717</v>
      </c>
      <c r="J46" s="53" t="n">
        <f aca="false">J42+J43+J44+J45</f>
        <v>233855.678030529</v>
      </c>
      <c r="K46" s="53" t="n">
        <f aca="false">K42+K43+K44+K45</f>
        <v>249717.208315004</v>
      </c>
      <c r="L46" s="53" t="n">
        <f aca="false">L42+L43+L44+L45</f>
        <v>264174.668085408</v>
      </c>
      <c r="M46" s="53" t="n">
        <f aca="false">M42+M43+M44+M45</f>
        <v>277498.97321479</v>
      </c>
      <c r="N46" s="53" t="n">
        <f aca="false">N42+N43+N44+N45</f>
        <v>289895.970345007</v>
      </c>
      <c r="O46" s="53" t="n">
        <f aca="false">O42+O43+O44+O45</f>
        <v>301534.647548238</v>
      </c>
      <c r="P46" s="53" t="n">
        <f aca="false">P42+P43+P44+P45</f>
        <v>312556.336612926</v>
      </c>
      <c r="Q46" s="53" t="n">
        <f aca="false">Q42+Q43+Q44+Q45</f>
        <v>323080.67853614</v>
      </c>
      <c r="R46" s="53" t="n">
        <f aca="false">R42+R43+R44+R45</f>
        <v>333210.157740483</v>
      </c>
      <c r="S46" s="53" t="n">
        <f aca="false">S42+S43+S44+S45</f>
        <v>343033.715719323</v>
      </c>
      <c r="T46" s="53" t="n">
        <f aca="false">T42+T43+T44+T45</f>
        <v>352629.676215122</v>
      </c>
      <c r="U46" s="53" t="n">
        <f aca="false">U42+U43+U44+U45</f>
        <v>362068.132472441</v>
      </c>
      <c r="V46" s="53" t="n">
        <f aca="false">V42+V43+V44+V45</f>
        <v>371412.908282637</v>
      </c>
      <c r="W46" s="53" t="n">
        <f aca="false">W42+W43+W44+W45</f>
        <v>380723.180123476</v>
      </c>
      <c r="X46" s="53" t="n">
        <f aca="false">X42+X43+X44+X45</f>
        <v>390054.830089378</v>
      </c>
      <c r="Y46" s="53" t="n">
        <f aca="false">Y42+Y43+Y44+Y45</f>
        <v>399461.585791848</v>
      </c>
      <c r="Z46" s="53" t="n">
        <f aca="false">Z42+Z43+Z44+Z45</f>
        <v>408995.992738798</v>
      </c>
      <c r="AA46" s="53" t="n">
        <f aca="false">AA42+AA43+AA44+AA45</f>
        <v>418710.256175139</v>
      </c>
      <c r="AB46" s="53" t="n">
        <f aca="false">AB42+AB43+AB44+AB45</f>
        <v>428656.982524457</v>
      </c>
      <c r="AC46" s="53" t="n">
        <f aca="false">AC42+AC43+AC44+AC45</f>
        <v>438853.07615825</v>
      </c>
      <c r="AD46" s="53" t="n">
        <f aca="false">AD42+AD43+AD44+AD45</f>
        <v>449325.946723487</v>
      </c>
      <c r="AE46" s="53" t="n">
        <f aca="false">AE42+AE43+AE44+AE45</f>
        <v>460125.569038421</v>
      </c>
      <c r="AF46" s="53" t="n">
        <f aca="false">AF42+AF43+AF44+AF45</f>
        <v>471302.906082716</v>
      </c>
      <c r="AG46" s="53" t="n">
        <f aca="false">AG42+AG43+AG44+AG45</f>
        <v>482912.774923166</v>
      </c>
      <c r="AH46" s="53" t="n">
        <f aca="false">AH42+AH43+AH44+AH45</f>
        <v>495014.6515905</v>
      </c>
      <c r="AI46" s="53" t="n">
        <f aca="false">AI42+AI43+AI44+AI45</f>
        <v>507673.034822622</v>
      </c>
      <c r="AJ46" s="53" t="n">
        <f aca="false">AJ42+AJ43+AJ44+AJ45</f>
        <v>520957.801908138</v>
      </c>
      <c r="AK46" s="53" t="n">
        <f aca="false">AK42+AK43+AK44+AK45</f>
        <v>534944.597788322</v>
      </c>
      <c r="AL46" s="53" t="n">
        <f aca="false">AL42+AL43+AL44+AL45</f>
        <v>549715.26586144</v>
      </c>
      <c r="AM46" s="53" t="n">
        <f aca="false">SUM(C46:AL46)</f>
        <v>12280382.3512947</v>
      </c>
    </row>
    <row r="47" customFormat="false" ht="15" hidden="false" customHeight="false" outlineLevel="0" collapsed="false">
      <c r="A47" s="10" t="s">
        <v>768</v>
      </c>
      <c r="B47" s="9" t="s">
        <v>61</v>
      </c>
      <c r="C47" s="62" t="n">
        <f aca="false">IFERROR(C46/C42,0)</f>
        <v>0</v>
      </c>
      <c r="D47" s="62" t="n">
        <f aca="false">IFERROR(D46/D42,0)</f>
        <v>0.603831086439334</v>
      </c>
      <c r="E47" s="62" t="n">
        <f aca="false">IFERROR(E46/E42,0)</f>
        <v>0.603831086439334</v>
      </c>
      <c r="F47" s="62" t="n">
        <f aca="false">IFERROR(F46/F42,0)</f>
        <v>0.603831086439334</v>
      </c>
      <c r="G47" s="62" t="n">
        <f aca="false">IFERROR(G46/G42,0)</f>
        <v>0.603831086439334</v>
      </c>
      <c r="H47" s="62" t="n">
        <f aca="false">IFERROR(H46/H42,0)</f>
        <v>0.603831086439334</v>
      </c>
      <c r="I47" s="62" t="n">
        <f aca="false">IFERROR(I46/I42,0)</f>
        <v>0.603831086439334</v>
      </c>
      <c r="J47" s="62" t="n">
        <f aca="false">IFERROR(J46/J42,0)</f>
        <v>0.603831086439334</v>
      </c>
      <c r="K47" s="62" t="n">
        <f aca="false">IFERROR(K46/K42,0)</f>
        <v>0.603831086439334</v>
      </c>
      <c r="L47" s="62" t="n">
        <f aca="false">IFERROR(L46/L42,0)</f>
        <v>0.603831086439334</v>
      </c>
      <c r="M47" s="62" t="n">
        <f aca="false">IFERROR(M46/M42,0)</f>
        <v>0.603831086439334</v>
      </c>
      <c r="N47" s="62" t="n">
        <f aca="false">IFERROR(N46/N42,0)</f>
        <v>0.603831086439334</v>
      </c>
      <c r="O47" s="62" t="n">
        <f aca="false">IFERROR(O46/O42,0)</f>
        <v>0.603831086439334</v>
      </c>
      <c r="P47" s="62" t="n">
        <f aca="false">IFERROR(P46/P42,0)</f>
        <v>0.603831086439334</v>
      </c>
      <c r="Q47" s="62" t="n">
        <f aca="false">IFERROR(Q46/Q42,0)</f>
        <v>0.603831086439334</v>
      </c>
      <c r="R47" s="62" t="n">
        <f aca="false">IFERROR(R46/R42,0)</f>
        <v>0.603831086439334</v>
      </c>
      <c r="S47" s="62" t="n">
        <f aca="false">IFERROR(S46/S42,0)</f>
        <v>0.603831086439334</v>
      </c>
      <c r="T47" s="62" t="n">
        <f aca="false">IFERROR(T46/T42,0)</f>
        <v>0.603831086439334</v>
      </c>
      <c r="U47" s="62" t="n">
        <f aca="false">IFERROR(U46/U42,0)</f>
        <v>0.603831086439334</v>
      </c>
      <c r="V47" s="62" t="n">
        <f aca="false">IFERROR(V46/V42,0)</f>
        <v>0.603831086439334</v>
      </c>
      <c r="W47" s="62" t="n">
        <f aca="false">IFERROR(W46/W42,0)</f>
        <v>0.603831086439334</v>
      </c>
      <c r="X47" s="62" t="n">
        <f aca="false">IFERROR(X46/X42,0)</f>
        <v>0.603831086439334</v>
      </c>
      <c r="Y47" s="62" t="n">
        <f aca="false">IFERROR(Y46/Y42,0)</f>
        <v>0.603831086439334</v>
      </c>
      <c r="Z47" s="62" t="n">
        <f aca="false">IFERROR(Z46/Z42,0)</f>
        <v>0.603831086439334</v>
      </c>
      <c r="AA47" s="62" t="n">
        <f aca="false">IFERROR(AA46/AA42,0)</f>
        <v>0.603831086439334</v>
      </c>
      <c r="AB47" s="62" t="n">
        <f aca="false">IFERROR(AB46/AB42,0)</f>
        <v>0.603831086439334</v>
      </c>
      <c r="AC47" s="62" t="n">
        <f aca="false">IFERROR(AC46/AC42,0)</f>
        <v>0.603831086439334</v>
      </c>
      <c r="AD47" s="62" t="n">
        <f aca="false">IFERROR(AD46/AD42,0)</f>
        <v>0.603831086439334</v>
      </c>
      <c r="AE47" s="62" t="n">
        <f aca="false">IFERROR(AE46/AE42,0)</f>
        <v>0.603831086439334</v>
      </c>
      <c r="AF47" s="62" t="n">
        <f aca="false">IFERROR(AF46/AF42,0)</f>
        <v>0.603831086439334</v>
      </c>
      <c r="AG47" s="62" t="n">
        <f aca="false">IFERROR(AG46/AG42,0)</f>
        <v>0.603831086439334</v>
      </c>
      <c r="AH47" s="62" t="n">
        <f aca="false">IFERROR(AH46/AH42,0)</f>
        <v>0.603831086439334</v>
      </c>
      <c r="AI47" s="62" t="n">
        <f aca="false">IFERROR(AI46/AI42,0)</f>
        <v>0.603831086439334</v>
      </c>
      <c r="AJ47" s="62" t="n">
        <f aca="false">IFERROR(AJ46/AJ42,0)</f>
        <v>0.603831086439334</v>
      </c>
      <c r="AK47" s="62" t="n">
        <f aca="false">IFERROR(AK46/AK42,0)</f>
        <v>0.603831086439334</v>
      </c>
      <c r="AL47" s="62" t="n">
        <f aca="false">IFERROR(AL46/AL42,0)</f>
        <v>0.603831086439334</v>
      </c>
      <c r="AM47" s="62" t="n">
        <f aca="false">AVERAGE(N47:AL47)</f>
        <v>0.603831086439334</v>
      </c>
    </row>
    <row r="48" customFormat="false" ht="15" hidden="false" customHeight="false" outlineLevel="0" collapsed="false">
      <c r="A48" s="10" t="s">
        <v>769</v>
      </c>
      <c r="B48" s="9" t="s">
        <v>61</v>
      </c>
      <c r="C48" s="62" t="n">
        <f aca="false">IF(C9=0,0,MIN(Assumptions!$I$63,Assumptions!$I$61+Assumptions!$I$62*(C$5-Assumptions!$I$7)))</f>
        <v>0</v>
      </c>
      <c r="D48" s="62" t="n">
        <f aca="false">IF(D9=0,0,MIN(Assumptions!$I$63,Assumptions!$I$61+Assumptions!$I$62*(D$5-Assumptions!$I$7)))</f>
        <v>0</v>
      </c>
      <c r="E48" s="62" t="n">
        <f aca="false">IF(E9=0,0,MIN(Assumptions!$I$63,Assumptions!$I$61+Assumptions!$I$62*(E$5-Assumptions!$I$7)))</f>
        <v>0</v>
      </c>
      <c r="F48" s="62" t="n">
        <f aca="false">IF(F9=0,0,MIN(Assumptions!$I$63,Assumptions!$I$61+Assumptions!$I$62*(F$5-Assumptions!$I$7)))</f>
        <v>0</v>
      </c>
      <c r="G48" s="62" t="n">
        <f aca="false">IF(G9=0,0,MIN(Assumptions!$I$63,Assumptions!$I$61+Assumptions!$I$62*(G$5-Assumptions!$I$7)))</f>
        <v>0</v>
      </c>
      <c r="H48" s="62" t="n">
        <f aca="false">IF(H9=0,0,MIN(Assumptions!$I$63,Assumptions!$I$61+Assumptions!$I$62*(H$5-Assumptions!$I$7)))</f>
        <v>0</v>
      </c>
      <c r="I48" s="62" t="n">
        <f aca="false">IF(I9=0,0,MIN(Assumptions!$I$63,Assumptions!$I$61+Assumptions!$I$62*(I$5-Assumptions!$I$7)))</f>
        <v>0.36</v>
      </c>
      <c r="J48" s="62" t="n">
        <f aca="false">IF(J9=0,0,MIN(Assumptions!$I$63,Assumptions!$I$61+Assumptions!$I$62*(J$5-Assumptions!$I$7)))</f>
        <v>0.385</v>
      </c>
      <c r="K48" s="62" t="n">
        <f aca="false">IF(K9=0,0,MIN(Assumptions!$I$63,Assumptions!$I$61+Assumptions!$I$62*(K$5-Assumptions!$I$7)))</f>
        <v>0.41</v>
      </c>
      <c r="L48" s="62" t="n">
        <f aca="false">IF(L9=0,0,MIN(Assumptions!$I$63,Assumptions!$I$61+Assumptions!$I$62*(L$5-Assumptions!$I$7)))</f>
        <v>0.435</v>
      </c>
      <c r="M48" s="62" t="n">
        <f aca="false">IF(M9=0,0,MIN(Assumptions!$I$63,Assumptions!$I$61+Assumptions!$I$62*(M$5-Assumptions!$I$7)))</f>
        <v>0.46</v>
      </c>
      <c r="N48" s="62" t="n">
        <f aca="false">IF(N9=0,0,MIN(Assumptions!$I$63,Assumptions!$I$61+Assumptions!$I$62*(N$5-Assumptions!$I$7)))</f>
        <v>0.485</v>
      </c>
      <c r="O48" s="62" t="n">
        <f aca="false">IF(O9=0,0,MIN(Assumptions!$I$63,Assumptions!$I$61+Assumptions!$I$62*(O$5-Assumptions!$I$7)))</f>
        <v>0.51</v>
      </c>
      <c r="P48" s="62" t="n">
        <f aca="false">IF(P9=0,0,MIN(Assumptions!$I$63,Assumptions!$I$61+Assumptions!$I$62*(P$5-Assumptions!$I$7)))</f>
        <v>0.535</v>
      </c>
      <c r="Q48" s="62" t="n">
        <f aca="false">IF(Q9=0,0,MIN(Assumptions!$I$63,Assumptions!$I$61+Assumptions!$I$62*(Q$5-Assumptions!$I$7)))</f>
        <v>0.56</v>
      </c>
      <c r="R48" s="62" t="n">
        <f aca="false">IF(R9=0,0,MIN(Assumptions!$I$63,Assumptions!$I$61+Assumptions!$I$62*(R$5-Assumptions!$I$7)))</f>
        <v>0.585</v>
      </c>
      <c r="S48" s="62" t="n">
        <f aca="false">IF(S9=0,0,MIN(Assumptions!$I$63,Assumptions!$I$61+Assumptions!$I$62*(S$5-Assumptions!$I$7)))</f>
        <v>0.61</v>
      </c>
      <c r="T48" s="62" t="n">
        <f aca="false">IF(T9=0,0,MIN(Assumptions!$I$63,Assumptions!$I$61+Assumptions!$I$62*(T$5-Assumptions!$I$7)))</f>
        <v>0.635</v>
      </c>
      <c r="U48" s="62" t="n">
        <f aca="false">IF(U9=0,0,MIN(Assumptions!$I$63,Assumptions!$I$61+Assumptions!$I$62*(U$5-Assumptions!$I$7)))</f>
        <v>0.66</v>
      </c>
      <c r="V48" s="62" t="n">
        <f aca="false">IF(V9=0,0,MIN(Assumptions!$I$63,Assumptions!$I$61+Assumptions!$I$62*(V$5-Assumptions!$I$7)))</f>
        <v>0.685</v>
      </c>
      <c r="W48" s="62" t="n">
        <f aca="false">IF(W9=0,0,MIN(Assumptions!$I$63,Assumptions!$I$61+Assumptions!$I$62*(W$5-Assumptions!$I$7)))</f>
        <v>0.71</v>
      </c>
      <c r="X48" s="62" t="n">
        <f aca="false">IF(X9=0,0,MIN(Assumptions!$I$63,Assumptions!$I$61+Assumptions!$I$62*(X$5-Assumptions!$I$7)))</f>
        <v>0.735</v>
      </c>
      <c r="Y48" s="62" t="n">
        <f aca="false">IF(Y9=0,0,MIN(Assumptions!$I$63,Assumptions!$I$61+Assumptions!$I$62*(Y$5-Assumptions!$I$7)))</f>
        <v>0.76</v>
      </c>
      <c r="Z48" s="62" t="n">
        <f aca="false">IF(Z9=0,0,MIN(Assumptions!$I$63,Assumptions!$I$61+Assumptions!$I$62*(Z$5-Assumptions!$I$7)))</f>
        <v>0.785</v>
      </c>
      <c r="AA48" s="62" t="n">
        <f aca="false">IF(AA9=0,0,MIN(Assumptions!$I$63,Assumptions!$I$61+Assumptions!$I$62*(AA$5-Assumptions!$I$7)))</f>
        <v>0.81</v>
      </c>
      <c r="AB48" s="62" t="n">
        <f aca="false">IF(AB9=0,0,MIN(Assumptions!$I$63,Assumptions!$I$61+Assumptions!$I$62*(AB$5-Assumptions!$I$7)))</f>
        <v>0.82</v>
      </c>
      <c r="AC48" s="62" t="n">
        <f aca="false">IF(AC9=0,0,MIN(Assumptions!$I$63,Assumptions!$I$61+Assumptions!$I$62*(AC$5-Assumptions!$I$7)))</f>
        <v>0.82</v>
      </c>
      <c r="AD48" s="62" t="n">
        <f aca="false">IF(AD9=0,0,MIN(Assumptions!$I$63,Assumptions!$I$61+Assumptions!$I$62*(AD$5-Assumptions!$I$7)))</f>
        <v>0.82</v>
      </c>
      <c r="AE48" s="62" t="n">
        <f aca="false">IF(AE9=0,0,MIN(Assumptions!$I$63,Assumptions!$I$61+Assumptions!$I$62*(AE$5-Assumptions!$I$7)))</f>
        <v>0.82</v>
      </c>
      <c r="AF48" s="62" t="n">
        <f aca="false">IF(AF9=0,0,MIN(Assumptions!$I$63,Assumptions!$I$61+Assumptions!$I$62*(AF$5-Assumptions!$I$7)))</f>
        <v>0.82</v>
      </c>
      <c r="AG48" s="62" t="n">
        <f aca="false">IF(AG9=0,0,MIN(Assumptions!$I$63,Assumptions!$I$61+Assumptions!$I$62*(AG$5-Assumptions!$I$7)))</f>
        <v>0.82</v>
      </c>
      <c r="AH48" s="62" t="n">
        <f aca="false">IF(AH9=0,0,MIN(Assumptions!$I$63,Assumptions!$I$61+Assumptions!$I$62*(AH$5-Assumptions!$I$7)))</f>
        <v>0.82</v>
      </c>
      <c r="AI48" s="62" t="n">
        <f aca="false">IF(AI9=0,0,MIN(Assumptions!$I$63,Assumptions!$I$61+Assumptions!$I$62*(AI$5-Assumptions!$I$7)))</f>
        <v>0.82</v>
      </c>
      <c r="AJ48" s="62" t="n">
        <f aca="false">IF(AJ9=0,0,MIN(Assumptions!$I$63,Assumptions!$I$61+Assumptions!$I$62*(AJ$5-Assumptions!$I$7)))</f>
        <v>0.82</v>
      </c>
      <c r="AK48" s="62" t="n">
        <f aca="false">IF(AK9=0,0,MIN(Assumptions!$I$63,Assumptions!$I$61+Assumptions!$I$62*(AK$5-Assumptions!$I$7)))</f>
        <v>0.82</v>
      </c>
      <c r="AL48" s="62" t="n">
        <f aca="false">IF(AL9=0,0,MIN(Assumptions!$I$63,Assumptions!$I$61+Assumptions!$I$62*(AL$5-Assumptions!$I$7)))</f>
        <v>0.82</v>
      </c>
      <c r="AM48" s="62" t="n">
        <f aca="false">AL48</f>
        <v>0.82</v>
      </c>
    </row>
    <row r="49" customFormat="false" ht="15" hidden="false" customHeight="false" outlineLevel="0" collapsed="false">
      <c r="A49" s="10" t="s">
        <v>770</v>
      </c>
      <c r="B49" s="9" t="s">
        <v>84</v>
      </c>
      <c r="C49" s="61" t="n">
        <f aca="false">C15+C19+C23+(C13+C25)*Assumptions!$I$45</f>
        <v>5800.24053845475</v>
      </c>
      <c r="D49" s="61" t="n">
        <f aca="false">D15+D19+D23+(D13+D25)*Assumptions!$I$45</f>
        <v>134923.92662069</v>
      </c>
      <c r="E49" s="61" t="n">
        <f aca="false">E15+E19+E23+(E13+E25)*Assumptions!$I$45</f>
        <v>65919.8513958621</v>
      </c>
      <c r="F49" s="61" t="n">
        <f aca="false">F15+F19+F23+(F13+F25)*Assumptions!$I$45</f>
        <v>73744.5240490759</v>
      </c>
      <c r="G49" s="61" t="n">
        <f aca="false">G15+G19+G23+(G13+G25)*Assumptions!$I$45</f>
        <v>77611.7719622532</v>
      </c>
      <c r="H49" s="61" t="n">
        <f aca="false">H15+H19+H23+(H13+H25)*Assumptions!$I$45</f>
        <v>76936.3709226653</v>
      </c>
      <c r="I49" s="61" t="n">
        <f aca="false">I15+I19+I23+(I13+I25)*Assumptions!$I$45</f>
        <v>75876.5149592797</v>
      </c>
      <c r="J49" s="61" t="n">
        <f aca="false">J15+J19+J23+(J13+J25)*Assumptions!$I$45</f>
        <v>75788.5407262932</v>
      </c>
      <c r="K49" s="61" t="n">
        <f aca="false">K15+K19+K23+(K13+K25)*Assumptions!$I$45</f>
        <v>75786.1649074541</v>
      </c>
      <c r="L49" s="61" t="n">
        <f aca="false">L15+L19+L23+(L13+L25)*Assumptions!$I$45</f>
        <v>75996.7371797004</v>
      </c>
      <c r="M49" s="61" t="n">
        <f aca="false">M15+M19+M23+(M13+M25)*Assumptions!$I$45</f>
        <v>76452.0209000254</v>
      </c>
      <c r="N49" s="61" t="n">
        <f aca="false">N15+N19+N23+(N13+N25)*Assumptions!$I$45</f>
        <v>77135.1723860489</v>
      </c>
      <c r="O49" s="61" t="n">
        <f aca="false">O15+O19+O23+(O13+O25)*Assumptions!$I$45</f>
        <v>78022.6449088268</v>
      </c>
      <c r="P49" s="61" t="n">
        <f aca="false">P15+P19+P23+(P13+P25)*Assumptions!$I$45</f>
        <v>79092.7948591017</v>
      </c>
      <c r="Q49" s="61" t="n">
        <f aca="false">Q15+Q19+Q23+(Q13+Q25)*Assumptions!$I$45</f>
        <v>80327.9529958304</v>
      </c>
      <c r="R49" s="61" t="n">
        <f aca="false">R15+R19+R23+(R13+R25)*Assumptions!$I$45</f>
        <v>81714.7729445241</v>
      </c>
      <c r="S49" s="61" t="n">
        <f aca="false">S15+S19+S23+(S13+S25)*Assumptions!$I$45</f>
        <v>83244.0302180867</v>
      </c>
      <c r="T49" s="61" t="n">
        <f aca="false">T15+T19+T23+(T13+T25)*Assumptions!$I$45</f>
        <v>84910.2455182435</v>
      </c>
      <c r="U49" s="61" t="n">
        <f aca="false">U15+U19+U23+(U13+U25)*Assumptions!$I$45</f>
        <v>86711.279101647</v>
      </c>
      <c r="V49" s="61" t="n">
        <f aca="false">V15+V19+V23+(V13+V25)*Assumptions!$I$45</f>
        <v>88647.9571380071</v>
      </c>
      <c r="W49" s="61" t="n">
        <f aca="false">W15+W19+W23+(W13+W25)*Assumptions!$I$45</f>
        <v>90723.7534509447</v>
      </c>
      <c r="X49" s="61" t="n">
        <f aca="false">X15+X19+X23+(X13+X25)*Assumptions!$I$45</f>
        <v>92944.5327901819</v>
      </c>
      <c r="Y49" s="61" t="n">
        <f aca="false">Y15+Y19+Y23+(Y13+Y25)*Assumptions!$I$45</f>
        <v>95318.3539757814</v>
      </c>
      <c r="Z49" s="61" t="n">
        <f aca="false">Z15+Z19+Z23+(Z13+Z25)*Assumptions!$I$45</f>
        <v>97855.3280299464</v>
      </c>
      <c r="AA49" s="61" t="n">
        <f aca="false">AA15+AA19+AA23+(AA13+AA25)*Assumptions!$I$45</f>
        <v>100567.525436738</v>
      </c>
      <c r="AB49" s="61" t="n">
        <f aca="false">AB15+AB19+AB23+(AB13+AB25)*Assumptions!$I$45</f>
        <v>103468.926777981</v>
      </c>
      <c r="AC49" s="61" t="n">
        <f aca="false">AC15+AC19+AC23+(AC13+AC25)*Assumptions!$I$45</f>
        <v>106543.218767042</v>
      </c>
      <c r="AD49" s="61" t="n">
        <f aca="false">AD15+AD19+AD23+(AD13+AD25)*Assumptions!$I$45</f>
        <v>109792.281108388</v>
      </c>
      <c r="AE49" s="61" t="n">
        <f aca="false">AE15+AE19+AE23+(AE13+AE25)*Assumptions!$I$45</f>
        <v>113242.590078329</v>
      </c>
      <c r="AF49" s="61" t="n">
        <f aca="false">AF15+AF19+AF23+(AF13+AF25)*Assumptions!$I$45</f>
        <v>116918.746002215</v>
      </c>
      <c r="AG49" s="61" t="n">
        <f aca="false">AG15+AG19+AG23+(AG13+AG25)*Assumptions!$I$45</f>
        <v>120845.936756267</v>
      </c>
      <c r="AH49" s="61" t="n">
        <f aca="false">AH15+AH19+AH23+(AH13+AH25)*Assumptions!$I$45</f>
        <v>125051.108574347</v>
      </c>
      <c r="AI49" s="61" t="n">
        <f aca="false">AI15+AI19+AI23+(AI13+AI25)*Assumptions!$I$45</f>
        <v>129563.279057912</v>
      </c>
      <c r="AJ49" s="61" t="n">
        <f aca="false">AJ15+AJ19+AJ23+(AJ13+AJ25)*Assumptions!$I$45</f>
        <v>134413.746696389</v>
      </c>
      <c r="AK49" s="61" t="n">
        <f aca="false">AK15+AK19+AK23+(AK13+AK25)*Assumptions!$I$45</f>
        <v>139636.301388461</v>
      </c>
      <c r="AL49" s="61" t="n">
        <f aca="false">AL15+AL19+AL23+(AL13+AL25)*Assumptions!$I$45</f>
        <v>145267.451581876</v>
      </c>
      <c r="AM49" s="61" t="n">
        <f aca="false">SUM(C49:AL49)</f>
        <v>3376796.59470487</v>
      </c>
    </row>
    <row r="50" customFormat="false" ht="15" hidden="false" customHeight="false" outlineLevel="0" collapsed="false">
      <c r="A50" s="10" t="s">
        <v>771</v>
      </c>
      <c r="B50" s="9" t="s">
        <v>51</v>
      </c>
      <c r="C50" s="61" t="n">
        <f aca="false">C49*Assumptions!$I$58*C9</f>
        <v>0</v>
      </c>
      <c r="D50" s="61" t="n">
        <f aca="false">D49*Assumptions!$I$58*D9</f>
        <v>0</v>
      </c>
      <c r="E50" s="61" t="n">
        <f aca="false">E49*Assumptions!$I$58*E9</f>
        <v>0</v>
      </c>
      <c r="F50" s="61" t="n">
        <f aca="false">F49*Assumptions!$I$58*F9</f>
        <v>0</v>
      </c>
      <c r="G50" s="61" t="n">
        <f aca="false">G49*Assumptions!$I$58*G9</f>
        <v>0</v>
      </c>
      <c r="H50" s="61" t="n">
        <f aca="false">H49*Assumptions!$I$58*H9</f>
        <v>0</v>
      </c>
      <c r="I50" s="61" t="n">
        <f aca="false">I49*Assumptions!$I$58*I9</f>
        <v>1365.77726926704</v>
      </c>
      <c r="J50" s="61" t="n">
        <f aca="false">J49*Assumptions!$I$58*J9</f>
        <v>1364.19373307328</v>
      </c>
      <c r="K50" s="61" t="n">
        <f aca="false">K49*Assumptions!$I$58*K9</f>
        <v>1364.15096833417</v>
      </c>
      <c r="L50" s="61" t="n">
        <f aca="false">L49*Assumptions!$I$58*L9</f>
        <v>1367.94126923461</v>
      </c>
      <c r="M50" s="61" t="n">
        <f aca="false">M49*Assumptions!$I$58*M9</f>
        <v>1376.13637620046</v>
      </c>
      <c r="N50" s="61" t="n">
        <f aca="false">N49*Assumptions!$I$58*N9</f>
        <v>1388.43310294888</v>
      </c>
      <c r="O50" s="61" t="n">
        <f aca="false">O49*Assumptions!$I$58*O9</f>
        <v>1404.40760835888</v>
      </c>
      <c r="P50" s="61" t="n">
        <f aca="false">P49*Assumptions!$I$58*P9</f>
        <v>1423.67030746383</v>
      </c>
      <c r="Q50" s="61" t="n">
        <f aca="false">Q49*Assumptions!$I$58*Q9</f>
        <v>1445.90315392495</v>
      </c>
      <c r="R50" s="61" t="n">
        <f aca="false">R49*Assumptions!$I$58*R9</f>
        <v>1470.86591300143</v>
      </c>
      <c r="S50" s="61" t="n">
        <f aca="false">S49*Assumptions!$I$58*S9</f>
        <v>1498.39254392556</v>
      </c>
      <c r="T50" s="61" t="n">
        <f aca="false">T49*Assumptions!$I$58*T9</f>
        <v>1528.38441932838</v>
      </c>
      <c r="U50" s="61" t="n">
        <f aca="false">U49*Assumptions!$I$58*U9</f>
        <v>1560.80302382965</v>
      </c>
      <c r="V50" s="61" t="n">
        <f aca="false">V49*Assumptions!$I$58*V9</f>
        <v>1595.66322848413</v>
      </c>
      <c r="W50" s="61" t="n">
        <f aca="false">W49*Assumptions!$I$58*W9</f>
        <v>1633.027562117</v>
      </c>
      <c r="X50" s="61" t="n">
        <f aca="false">X49*Assumptions!$I$58*X9</f>
        <v>1673.00159022327</v>
      </c>
      <c r="Y50" s="61" t="n">
        <f aca="false">Y49*Assumptions!$I$58*Y9</f>
        <v>1715.73037156407</v>
      </c>
      <c r="Z50" s="61" t="n">
        <f aca="false">Z49*Assumptions!$I$58*Z9</f>
        <v>1761.39590453904</v>
      </c>
      <c r="AA50" s="61" t="n">
        <f aca="false">AA49*Assumptions!$I$58*AA9</f>
        <v>1810.21545786128</v>
      </c>
      <c r="AB50" s="61" t="n">
        <f aca="false">AB49*Assumptions!$I$58*AB9</f>
        <v>1862.44068200366</v>
      </c>
      <c r="AC50" s="61" t="n">
        <f aca="false">AC49*Assumptions!$I$58*AC9</f>
        <v>1917.77793780676</v>
      </c>
      <c r="AD50" s="61" t="n">
        <f aca="false">AD49*Assumptions!$I$58*AD9</f>
        <v>1976.26105995098</v>
      </c>
      <c r="AE50" s="61" t="n">
        <f aca="false">AE49*Assumptions!$I$58*AE9</f>
        <v>2038.36662140991</v>
      </c>
      <c r="AF50" s="61" t="n">
        <f aca="false">AF49*Assumptions!$I$58*AF9</f>
        <v>2104.53742803986</v>
      </c>
      <c r="AG50" s="61" t="n">
        <f aca="false">AG49*Assumptions!$I$58*AG9</f>
        <v>2175.2268616128</v>
      </c>
      <c r="AH50" s="61" t="n">
        <f aca="false">AH49*Assumptions!$I$58*AH9</f>
        <v>2250.91995433825</v>
      </c>
      <c r="AI50" s="61" t="n">
        <f aca="false">AI49*Assumptions!$I$58*AI9</f>
        <v>2332.13902304242</v>
      </c>
      <c r="AJ50" s="61" t="n">
        <f aca="false">AJ49*Assumptions!$I$58*AJ9</f>
        <v>2419.44744053501</v>
      </c>
      <c r="AK50" s="61" t="n">
        <f aca="false">AK49*Assumptions!$I$58*AK9</f>
        <v>2513.45342499229</v>
      </c>
      <c r="AL50" s="61" t="n">
        <f aca="false">AL49*Assumptions!$I$58*AL9</f>
        <v>2614.81412847377</v>
      </c>
      <c r="AM50" s="61" t="n">
        <f aca="false">SUM(C50:AL50)</f>
        <v>52953.4783658856</v>
      </c>
    </row>
    <row r="51" customFormat="false" ht="15" hidden="false" customHeight="false" outlineLevel="0" collapsed="false">
      <c r="A51" s="10" t="s">
        <v>772</v>
      </c>
      <c r="B51" s="9" t="s">
        <v>51</v>
      </c>
      <c r="C51" s="61" t="n">
        <f aca="false">C50*Assumptions!$I$59</f>
        <v>0</v>
      </c>
      <c r="D51" s="61" t="n">
        <f aca="false">D50*Assumptions!$I$59</f>
        <v>0</v>
      </c>
      <c r="E51" s="61" t="n">
        <f aca="false">E50*Assumptions!$I$59</f>
        <v>0</v>
      </c>
      <c r="F51" s="61" t="n">
        <f aca="false">F50*Assumptions!$I$59</f>
        <v>0</v>
      </c>
      <c r="G51" s="61" t="n">
        <f aca="false">G50*Assumptions!$I$59</f>
        <v>0</v>
      </c>
      <c r="H51" s="61" t="n">
        <f aca="false">H50*Assumptions!$I$59</f>
        <v>0</v>
      </c>
      <c r="I51" s="61" t="n">
        <f aca="false">I50*Assumptions!$I$59</f>
        <v>956.044088486925</v>
      </c>
      <c r="J51" s="61" t="n">
        <f aca="false">J50*Assumptions!$I$59</f>
        <v>954.935613151294</v>
      </c>
      <c r="K51" s="61" t="n">
        <f aca="false">K50*Assumptions!$I$59</f>
        <v>954.905677833922</v>
      </c>
      <c r="L51" s="61" t="n">
        <f aca="false">L50*Assumptions!$I$59</f>
        <v>957.558888464225</v>
      </c>
      <c r="M51" s="61" t="n">
        <f aca="false">M50*Assumptions!$I$59</f>
        <v>963.29546334032</v>
      </c>
      <c r="N51" s="61" t="n">
        <f aca="false">N50*Assumptions!$I$59</f>
        <v>971.903172064216</v>
      </c>
      <c r="O51" s="61" t="n">
        <f aca="false">O50*Assumptions!$I$59</f>
        <v>983.085325851218</v>
      </c>
      <c r="P51" s="61" t="n">
        <f aca="false">P50*Assumptions!$I$59</f>
        <v>996.569215224681</v>
      </c>
      <c r="Q51" s="61" t="n">
        <f aca="false">Q50*Assumptions!$I$59</f>
        <v>1012.13220774746</v>
      </c>
      <c r="R51" s="61" t="n">
        <f aca="false">R50*Assumptions!$I$59</f>
        <v>1029.606139101</v>
      </c>
      <c r="S51" s="61" t="n">
        <f aca="false">S50*Assumptions!$I$59</f>
        <v>1048.87478074789</v>
      </c>
      <c r="T51" s="61" t="n">
        <f aca="false">T50*Assumptions!$I$59</f>
        <v>1069.86909352987</v>
      </c>
      <c r="U51" s="61" t="n">
        <f aca="false">U50*Assumptions!$I$59</f>
        <v>1092.56211668075</v>
      </c>
      <c r="V51" s="61" t="n">
        <f aca="false">V50*Assumptions!$I$59</f>
        <v>1116.96425993889</v>
      </c>
      <c r="W51" s="61" t="n">
        <f aca="false">W50*Assumptions!$I$59</f>
        <v>1143.1192934819</v>
      </c>
      <c r="X51" s="61" t="n">
        <f aca="false">X50*Assumptions!$I$59</f>
        <v>1171.10111315629</v>
      </c>
      <c r="Y51" s="61" t="n">
        <f aca="false">Y50*Assumptions!$I$59</f>
        <v>1201.01126009485</v>
      </c>
      <c r="Z51" s="61" t="n">
        <f aca="false">Z50*Assumptions!$I$59</f>
        <v>1232.97713317732</v>
      </c>
      <c r="AA51" s="61" t="n">
        <f aca="false">AA50*Assumptions!$I$59</f>
        <v>1267.1508205029</v>
      </c>
      <c r="AB51" s="61" t="n">
        <f aca="false">AB50*Assumptions!$I$59</f>
        <v>1303.70847740256</v>
      </c>
      <c r="AC51" s="61" t="n">
        <f aca="false">AC50*Assumptions!$I$59</f>
        <v>1342.44455646473</v>
      </c>
      <c r="AD51" s="61" t="n">
        <f aca="false">AD50*Assumptions!$I$59</f>
        <v>1383.38274196568</v>
      </c>
      <c r="AE51" s="61" t="n">
        <f aca="false">AE50*Assumptions!$I$59</f>
        <v>1426.85663498694</v>
      </c>
      <c r="AF51" s="61" t="n">
        <f aca="false">AF50*Assumptions!$I$59</f>
        <v>1473.1761996279</v>
      </c>
      <c r="AG51" s="61" t="n">
        <f aca="false">AG50*Assumptions!$I$59</f>
        <v>1522.65880312896</v>
      </c>
      <c r="AH51" s="61" t="n">
        <f aca="false">AH50*Assumptions!$I$59</f>
        <v>1575.64396803677</v>
      </c>
      <c r="AI51" s="61" t="n">
        <f aca="false">AI50*Assumptions!$I$59</f>
        <v>1632.49731612969</v>
      </c>
      <c r="AJ51" s="61" t="n">
        <f aca="false">AJ50*Assumptions!$I$59</f>
        <v>1693.6132083745</v>
      </c>
      <c r="AK51" s="61" t="n">
        <f aca="false">AK50*Assumptions!$I$59</f>
        <v>1759.41739749461</v>
      </c>
      <c r="AL51" s="61" t="n">
        <f aca="false">AL50*Assumptions!$I$59</f>
        <v>1830.36988993164</v>
      </c>
      <c r="AM51" s="61" t="n">
        <f aca="false">SUM(C51:AL51)</f>
        <v>37067.4348561199</v>
      </c>
    </row>
    <row r="52" customFormat="false" ht="15" hidden="false" customHeight="false" outlineLevel="0" collapsed="false">
      <c r="A52" s="10" t="s">
        <v>773</v>
      </c>
      <c r="B52" s="9" t="s">
        <v>51</v>
      </c>
      <c r="C52" s="61" t="n">
        <f aca="false">C51*Assumptions!$I$60*C48</f>
        <v>0</v>
      </c>
      <c r="D52" s="61" t="n">
        <f aca="false">D51*Assumptions!$I$60*D48</f>
        <v>0</v>
      </c>
      <c r="E52" s="61" t="n">
        <f aca="false">E51*Assumptions!$I$60*E48</f>
        <v>0</v>
      </c>
      <c r="F52" s="61" t="n">
        <f aca="false">F51*Assumptions!$I$60*F48</f>
        <v>0</v>
      </c>
      <c r="G52" s="61" t="n">
        <f aca="false">G51*Assumptions!$I$60*G48</f>
        <v>0</v>
      </c>
      <c r="H52" s="61" t="n">
        <f aca="false">H51*Assumptions!$I$60*H48</f>
        <v>0</v>
      </c>
      <c r="I52" s="61" t="n">
        <f aca="false">I51*Assumptions!$I$60*I48</f>
        <v>199.62200567607</v>
      </c>
      <c r="J52" s="61" t="n">
        <f aca="false">J51*Assumptions!$I$60*J48</f>
        <v>213.237122416684</v>
      </c>
      <c r="K52" s="61" t="n">
        <f aca="false">K51*Assumptions!$I$60*K48</f>
        <v>227.076570188907</v>
      </c>
      <c r="L52" s="61" t="n">
        <f aca="false">L51*Assumptions!$I$60*L48</f>
        <v>241.592107559524</v>
      </c>
      <c r="M52" s="61" t="n">
        <f aca="false">M51*Assumptions!$I$60*M48</f>
        <v>257.007229619197</v>
      </c>
      <c r="N52" s="61" t="n">
        <f aca="false">N51*Assumptions!$I$60*N48</f>
        <v>273.396362301664</v>
      </c>
      <c r="O52" s="61" t="n">
        <f aca="false">O51*Assumptions!$I$60*O48</f>
        <v>290.79663938679</v>
      </c>
      <c r="P52" s="61" t="n">
        <f aca="false">P51*Assumptions!$I$60*P48</f>
        <v>309.235427484219</v>
      </c>
      <c r="Q52" s="61" t="n">
        <f aca="false">Q51*Assumptions!$I$60*Q48</f>
        <v>328.740541076376</v>
      </c>
      <c r="R52" s="61" t="n">
        <f aca="false">R51*Assumptions!$I$60*R48</f>
        <v>349.34536299697</v>
      </c>
      <c r="S52" s="61" t="n">
        <f aca="false">S51*Assumptions!$I$60*S48</f>
        <v>371.091897428604</v>
      </c>
      <c r="T52" s="61" t="n">
        <f aca="false">T51*Assumptions!$I$60*T48</f>
        <v>394.03278714705</v>
      </c>
      <c r="U52" s="61" t="n">
        <f aca="false">U51*Assumptions!$I$60*U48</f>
        <v>418.232778265392</v>
      </c>
      <c r="V52" s="61" t="n">
        <f aca="false">V51*Assumptions!$I$60*V48</f>
        <v>443.769900473721</v>
      </c>
      <c r="W52" s="61" t="n">
        <f aca="false">W51*Assumptions!$I$60*W48</f>
        <v>470.736525055848</v>
      </c>
      <c r="X52" s="61" t="n">
        <f aca="false">X51*Assumptions!$I$60*X48</f>
        <v>499.240404538527</v>
      </c>
      <c r="Y52" s="61" t="n">
        <f aca="false">Y51*Assumptions!$I$60*Y48</f>
        <v>529.405763449808</v>
      </c>
      <c r="Z52" s="61" t="n">
        <f aca="false">Z51*Assumptions!$I$60*Z48</f>
        <v>561.374488735636</v>
      </c>
      <c r="AA52" s="61" t="n">
        <f aca="false">AA51*Assumptions!$I$60*AA48</f>
        <v>595.307455472262</v>
      </c>
      <c r="AB52" s="61" t="n">
        <f aca="false">AB51*Assumptions!$I$60*AB48</f>
        <v>620.043751852657</v>
      </c>
      <c r="AC52" s="61" t="n">
        <f aca="false">AC51*Assumptions!$I$60*AC48</f>
        <v>638.466631054625</v>
      </c>
      <c r="AD52" s="61" t="n">
        <f aca="false">AD51*Assumptions!$I$60*AD48</f>
        <v>657.93683207888</v>
      </c>
      <c r="AE52" s="61" t="n">
        <f aca="false">AE51*Assumptions!$I$60*AE48</f>
        <v>678.613015599789</v>
      </c>
      <c r="AF52" s="61" t="n">
        <f aca="false">AF51*Assumptions!$I$60*AF48</f>
        <v>700.642600543031</v>
      </c>
      <c r="AG52" s="61" t="n">
        <f aca="false">AG51*Assumptions!$I$60*AG48</f>
        <v>724.176526768134</v>
      </c>
      <c r="AH52" s="61" t="n">
        <f aca="false">AH51*Assumptions!$I$60*AH48</f>
        <v>749.376271198288</v>
      </c>
      <c r="AI52" s="61" t="n">
        <f aca="false">AI51*Assumptions!$I$60*AI48</f>
        <v>776.415723551281</v>
      </c>
      <c r="AJ52" s="61" t="n">
        <f aca="false">AJ51*Assumptions!$I$60*AJ48</f>
        <v>805.482441902914</v>
      </c>
      <c r="AK52" s="61" t="n">
        <f aca="false">AK51*Assumptions!$I$60*AK48</f>
        <v>836.778914248435</v>
      </c>
      <c r="AL52" s="61" t="n">
        <f aca="false">AL51*Assumptions!$I$60*AL48</f>
        <v>870.523919651487</v>
      </c>
      <c r="AM52" s="61" t="n">
        <f aca="false">SUM(C52:AL52)</f>
        <v>15031.6979977228</v>
      </c>
    </row>
    <row r="53" customFormat="false" ht="15" hidden="false" customHeight="false" outlineLevel="0" collapsed="false">
      <c r="A53" s="10" t="s">
        <v>774</v>
      </c>
      <c r="B53" s="9" t="s">
        <v>51</v>
      </c>
      <c r="C53" s="61" t="n">
        <f aca="false">C52*Assumptions!$I$64</f>
        <v>0</v>
      </c>
      <c r="D53" s="61" t="n">
        <f aca="false">D52*Assumptions!$I$64</f>
        <v>0</v>
      </c>
      <c r="E53" s="61" t="n">
        <f aca="false">E52*Assumptions!$I$64</f>
        <v>0</v>
      </c>
      <c r="F53" s="61" t="n">
        <f aca="false">F52*Assumptions!$I$64</f>
        <v>0</v>
      </c>
      <c r="G53" s="61" t="n">
        <f aca="false">G52*Assumptions!$I$64</f>
        <v>0</v>
      </c>
      <c r="H53" s="61" t="n">
        <f aca="false">H52*Assumptions!$I$64</f>
        <v>0</v>
      </c>
      <c r="I53" s="61" t="n">
        <f aca="false">I52*Assumptions!$I$64</f>
        <v>111.788323178599</v>
      </c>
      <c r="J53" s="61" t="n">
        <f aca="false">J52*Assumptions!$I$64</f>
        <v>119.412788553343</v>
      </c>
      <c r="K53" s="61" t="n">
        <f aca="false">K52*Assumptions!$I$64</f>
        <v>127.162879305788</v>
      </c>
      <c r="L53" s="61" t="n">
        <f aca="false">L52*Assumptions!$I$64</f>
        <v>135.291580233333</v>
      </c>
      <c r="M53" s="61" t="n">
        <f aca="false">M52*Assumptions!$I$64</f>
        <v>143.924048586751</v>
      </c>
      <c r="N53" s="61" t="n">
        <f aca="false">N52*Assumptions!$I$64</f>
        <v>153.101962888932</v>
      </c>
      <c r="O53" s="61" t="n">
        <f aca="false">O52*Assumptions!$I$64</f>
        <v>162.846118056603</v>
      </c>
      <c r="P53" s="61" t="n">
        <f aca="false">P52*Assumptions!$I$64</f>
        <v>173.171839391162</v>
      </c>
      <c r="Q53" s="61" t="n">
        <f aca="false">Q52*Assumptions!$I$64</f>
        <v>184.09470300277</v>
      </c>
      <c r="R53" s="61" t="n">
        <f aca="false">R52*Assumptions!$I$64</f>
        <v>195.633403278303</v>
      </c>
      <c r="S53" s="61" t="n">
        <f aca="false">S52*Assumptions!$I$64</f>
        <v>207.811462560018</v>
      </c>
      <c r="T53" s="61" t="n">
        <f aca="false">T52*Assumptions!$I$64</f>
        <v>220.658360802348</v>
      </c>
      <c r="U53" s="61" t="n">
        <f aca="false">U52*Assumptions!$I$64</f>
        <v>234.21035582862</v>
      </c>
      <c r="V53" s="61" t="n">
        <f aca="false">V52*Assumptions!$I$64</f>
        <v>248.511144265284</v>
      </c>
      <c r="W53" s="61" t="n">
        <f aca="false">W52*Assumptions!$I$64</f>
        <v>263.612454031275</v>
      </c>
      <c r="X53" s="61" t="n">
        <f aca="false">X52*Assumptions!$I$64</f>
        <v>279.574626541575</v>
      </c>
      <c r="Y53" s="61" t="n">
        <f aca="false">Y52*Assumptions!$I$64</f>
        <v>296.467227531893</v>
      </c>
      <c r="Z53" s="61" t="n">
        <f aca="false">Z52*Assumptions!$I$64</f>
        <v>314.369713691956</v>
      </c>
      <c r="AA53" s="61" t="n">
        <f aca="false">AA52*Assumptions!$I$64</f>
        <v>333.372175064467</v>
      </c>
      <c r="AB53" s="61" t="n">
        <f aca="false">AB52*Assumptions!$I$64</f>
        <v>347.224501037488</v>
      </c>
      <c r="AC53" s="61" t="n">
        <f aca="false">AC52*Assumptions!$I$64</f>
        <v>357.54131339059</v>
      </c>
      <c r="AD53" s="61" t="n">
        <f aca="false">AD52*Assumptions!$I$64</f>
        <v>368.444625964173</v>
      </c>
      <c r="AE53" s="61" t="n">
        <f aca="false">AE52*Assumptions!$I$64</f>
        <v>380.023288735882</v>
      </c>
      <c r="AF53" s="61" t="n">
        <f aca="false">AF52*Assumptions!$I$64</f>
        <v>392.359856304097</v>
      </c>
      <c r="AG53" s="61" t="n">
        <f aca="false">AG52*Assumptions!$I$64</f>
        <v>405.538854990155</v>
      </c>
      <c r="AH53" s="61" t="n">
        <f aca="false">AH52*Assumptions!$I$64</f>
        <v>419.650711871042</v>
      </c>
      <c r="AI53" s="61" t="n">
        <f aca="false">AI52*Assumptions!$I$64</f>
        <v>434.792805188717</v>
      </c>
      <c r="AJ53" s="61" t="n">
        <f aca="false">AJ52*Assumptions!$I$64</f>
        <v>451.070167465632</v>
      </c>
      <c r="AK53" s="61" t="n">
        <f aca="false">AK52*Assumptions!$I$64</f>
        <v>468.596191979123</v>
      </c>
      <c r="AL53" s="61" t="n">
        <f aca="false">AL52*Assumptions!$I$64</f>
        <v>487.493395004833</v>
      </c>
      <c r="AM53" s="61" t="n">
        <f aca="false">SUM(C53:AL53)</f>
        <v>8417.75087872475</v>
      </c>
    </row>
    <row r="54" customFormat="false" ht="15" hidden="false" customHeight="false" outlineLevel="0" collapsed="false">
      <c r="A54" s="10" t="s">
        <v>775</v>
      </c>
      <c r="B54" s="9" t="s">
        <v>51</v>
      </c>
      <c r="C54" s="61" t="n">
        <f aca="false">C53*Assumptions!$I$65</f>
        <v>0</v>
      </c>
      <c r="D54" s="61" t="n">
        <f aca="false">D53*Assumptions!$I$65</f>
        <v>0</v>
      </c>
      <c r="E54" s="61" t="n">
        <f aca="false">E53*Assumptions!$I$65</f>
        <v>0</v>
      </c>
      <c r="F54" s="61" t="n">
        <f aca="false">F53*Assumptions!$I$65</f>
        <v>0</v>
      </c>
      <c r="G54" s="61" t="n">
        <f aca="false">G53*Assumptions!$I$65</f>
        <v>0</v>
      </c>
      <c r="H54" s="61" t="n">
        <f aca="false">H53*Assumptions!$I$65</f>
        <v>0</v>
      </c>
      <c r="I54" s="61" t="n">
        <f aca="false">I53*Assumptions!$I$65</f>
        <v>92.7843082382373</v>
      </c>
      <c r="J54" s="61" t="n">
        <f aca="false">J53*Assumptions!$I$65</f>
        <v>99.1126144992747</v>
      </c>
      <c r="K54" s="61" t="n">
        <f aca="false">K53*Assumptions!$I$65</f>
        <v>105.545189823804</v>
      </c>
      <c r="L54" s="61" t="n">
        <f aca="false">L53*Assumptions!$I$65</f>
        <v>112.292011593667</v>
      </c>
      <c r="M54" s="61" t="n">
        <f aca="false">M53*Assumptions!$I$65</f>
        <v>119.456960327003</v>
      </c>
      <c r="N54" s="61" t="n">
        <f aca="false">N53*Assumptions!$I$65</f>
        <v>127.074629197813</v>
      </c>
      <c r="O54" s="61" t="n">
        <f aca="false">O53*Assumptions!$I$65</f>
        <v>135.16227798698</v>
      </c>
      <c r="P54" s="61" t="n">
        <f aca="false">P53*Assumptions!$I$65</f>
        <v>143.732626694665</v>
      </c>
      <c r="Q54" s="61" t="n">
        <f aca="false">Q53*Assumptions!$I$65</f>
        <v>152.7986034923</v>
      </c>
      <c r="R54" s="61" t="n">
        <f aca="false">R53*Assumptions!$I$65</f>
        <v>162.375724720992</v>
      </c>
      <c r="S54" s="61" t="n">
        <f aca="false">S53*Assumptions!$I$65</f>
        <v>172.483513924815</v>
      </c>
      <c r="T54" s="61" t="n">
        <f aca="false">T53*Assumptions!$I$65</f>
        <v>183.146439465949</v>
      </c>
      <c r="U54" s="61" t="n">
        <f aca="false">U53*Assumptions!$I$65</f>
        <v>194.394595337754</v>
      </c>
      <c r="V54" s="61" t="n">
        <f aca="false">V53*Assumptions!$I$65</f>
        <v>206.264249740185</v>
      </c>
      <c r="W54" s="61" t="n">
        <f aca="false">W53*Assumptions!$I$65</f>
        <v>218.798336845958</v>
      </c>
      <c r="X54" s="61" t="n">
        <f aca="false">X53*Assumptions!$I$65</f>
        <v>232.046940029507</v>
      </c>
      <c r="Y54" s="61" t="n">
        <f aca="false">Y53*Assumptions!$I$65</f>
        <v>246.067798851471</v>
      </c>
      <c r="Z54" s="61" t="n">
        <f aca="false">Z53*Assumptions!$I$65</f>
        <v>260.926862364324</v>
      </c>
      <c r="AA54" s="61" t="n">
        <f aca="false">AA53*Assumptions!$I$65</f>
        <v>276.698905303507</v>
      </c>
      <c r="AB54" s="61" t="n">
        <f aca="false">AB53*Assumptions!$I$65</f>
        <v>288.196335861115</v>
      </c>
      <c r="AC54" s="61" t="n">
        <f aca="false">AC53*Assumptions!$I$65</f>
        <v>296.75929011419</v>
      </c>
      <c r="AD54" s="61" t="n">
        <f aca="false">AD53*Assumptions!$I$65</f>
        <v>305.809039550263</v>
      </c>
      <c r="AE54" s="61" t="n">
        <f aca="false">AE53*Assumptions!$I$65</f>
        <v>315.419329650782</v>
      </c>
      <c r="AF54" s="61" t="n">
        <f aca="false">AF53*Assumptions!$I$65</f>
        <v>325.658680732401</v>
      </c>
      <c r="AG54" s="61" t="n">
        <f aca="false">AG53*Assumptions!$I$65</f>
        <v>336.597249641829</v>
      </c>
      <c r="AH54" s="61" t="n">
        <f aca="false">AH53*Assumptions!$I$65</f>
        <v>348.310090852964</v>
      </c>
      <c r="AI54" s="61" t="n">
        <f aca="false">AI53*Assumptions!$I$65</f>
        <v>360.878028306635</v>
      </c>
      <c r="AJ54" s="61" t="n">
        <f aca="false">AJ53*Assumptions!$I$65</f>
        <v>374.388238996475</v>
      </c>
      <c r="AK54" s="61" t="n">
        <f aca="false">AK53*Assumptions!$I$65</f>
        <v>388.934839342672</v>
      </c>
      <c r="AL54" s="61" t="n">
        <f aca="false">AL53*Assumptions!$I$65</f>
        <v>404.619517854011</v>
      </c>
      <c r="AM54" s="61" t="n">
        <f aca="false">SUM(C54:AL54)</f>
        <v>6986.73322934154</v>
      </c>
    </row>
    <row r="55" customFormat="false" ht="15" hidden="false" customHeight="false" outlineLevel="0" collapsed="false">
      <c r="A55" s="10" t="s">
        <v>776</v>
      </c>
      <c r="B55" s="9" t="s">
        <v>51</v>
      </c>
      <c r="C55" s="61" t="n">
        <f aca="false">C54*Assumptions!$I$66</f>
        <v>0</v>
      </c>
      <c r="D55" s="61" t="n">
        <f aca="false">D54*Assumptions!$I$66</f>
        <v>0</v>
      </c>
      <c r="E55" s="61" t="n">
        <f aca="false">E54*Assumptions!$I$66</f>
        <v>0</v>
      </c>
      <c r="F55" s="61" t="n">
        <f aca="false">F54*Assumptions!$I$66</f>
        <v>0</v>
      </c>
      <c r="G55" s="61" t="n">
        <f aca="false">G54*Assumptions!$I$66</f>
        <v>0</v>
      </c>
      <c r="H55" s="61" t="n">
        <f aca="false">H54*Assumptions!$I$66</f>
        <v>0</v>
      </c>
      <c r="I55" s="61" t="n">
        <f aca="false">I54*Assumptions!$I$66</f>
        <v>57.5262711077071</v>
      </c>
      <c r="J55" s="61" t="n">
        <f aca="false">J54*Assumptions!$I$66</f>
        <v>61.4498209895503</v>
      </c>
      <c r="K55" s="61" t="n">
        <f aca="false">K54*Assumptions!$I$66</f>
        <v>65.4380176907583</v>
      </c>
      <c r="L55" s="61" t="n">
        <f aca="false">L54*Assumptions!$I$66</f>
        <v>69.6210471880733</v>
      </c>
      <c r="M55" s="61" t="n">
        <f aca="false">M54*Assumptions!$I$66</f>
        <v>74.0633154027418</v>
      </c>
      <c r="N55" s="61" t="n">
        <f aca="false">N54*Assumptions!$I$66</f>
        <v>78.7862701026443</v>
      </c>
      <c r="O55" s="61" t="n">
        <f aca="false">O54*Assumptions!$I$66</f>
        <v>83.8006123519277</v>
      </c>
      <c r="P55" s="61" t="n">
        <f aca="false">P54*Assumptions!$I$66</f>
        <v>89.1142285506922</v>
      </c>
      <c r="Q55" s="61" t="n">
        <f aca="false">Q54*Assumptions!$I$66</f>
        <v>94.7351341652257</v>
      </c>
      <c r="R55" s="61" t="n">
        <f aca="false">R54*Assumptions!$I$66</f>
        <v>100.672949327015</v>
      </c>
      <c r="S55" s="61" t="n">
        <f aca="false">S54*Assumptions!$I$66</f>
        <v>106.939778633385</v>
      </c>
      <c r="T55" s="61" t="n">
        <f aca="false">T54*Assumptions!$I$66</f>
        <v>113.550792468888</v>
      </c>
      <c r="U55" s="61" t="n">
        <f aca="false">U54*Assumptions!$I$66</f>
        <v>120.524649109408</v>
      </c>
      <c r="V55" s="61" t="n">
        <f aca="false">V54*Assumptions!$I$66</f>
        <v>127.883834838915</v>
      </c>
      <c r="W55" s="61" t="n">
        <f aca="false">W54*Assumptions!$I$66</f>
        <v>135.654968844494</v>
      </c>
      <c r="X55" s="61" t="n">
        <f aca="false">X54*Assumptions!$I$66</f>
        <v>143.869102818295</v>
      </c>
      <c r="Y55" s="61" t="n">
        <f aca="false">Y54*Assumptions!$I$66</f>
        <v>152.562035287912</v>
      </c>
      <c r="Z55" s="61" t="n">
        <f aca="false">Z54*Assumptions!$I$66</f>
        <v>161.774654665881</v>
      </c>
      <c r="AA55" s="61" t="n">
        <f aca="false">AA54*Assumptions!$I$66</f>
        <v>171.553321288175</v>
      </c>
      <c r="AB55" s="61" t="n">
        <f aca="false">AB54*Assumptions!$I$66</f>
        <v>178.681728233891</v>
      </c>
      <c r="AC55" s="61" t="n">
        <f aca="false">AC54*Assumptions!$I$66</f>
        <v>183.990759870798</v>
      </c>
      <c r="AD55" s="61" t="n">
        <f aca="false">AD54*Assumptions!$I$66</f>
        <v>189.601604521163</v>
      </c>
      <c r="AE55" s="61" t="n">
        <f aca="false">AE54*Assumptions!$I$66</f>
        <v>195.559984383485</v>
      </c>
      <c r="AF55" s="61" t="n">
        <f aca="false">AF54*Assumptions!$I$66</f>
        <v>201.908382054089</v>
      </c>
      <c r="AG55" s="61" t="n">
        <f aca="false">AG54*Assumptions!$I$66</f>
        <v>208.690294777934</v>
      </c>
      <c r="AH55" s="61" t="n">
        <f aca="false">AH54*Assumptions!$I$66</f>
        <v>215.952256328838</v>
      </c>
      <c r="AI55" s="61" t="n">
        <f aca="false">AI54*Assumptions!$I$66</f>
        <v>223.744377550114</v>
      </c>
      <c r="AJ55" s="61" t="n">
        <f aca="false">AJ54*Assumptions!$I$66</f>
        <v>232.120708177814</v>
      </c>
      <c r="AK55" s="61" t="n">
        <f aca="false">AK54*Assumptions!$I$66</f>
        <v>241.139600392457</v>
      </c>
      <c r="AL55" s="61" t="n">
        <f aca="false">AL54*Assumptions!$I$66</f>
        <v>250.864101069487</v>
      </c>
      <c r="AM55" s="61" t="n">
        <f aca="false">SUM(C55:AL55)</f>
        <v>4331.77460219176</v>
      </c>
    </row>
    <row r="56" customFormat="false" ht="15" hidden="false" customHeight="false" outlineLevel="0" collapsed="false">
      <c r="A56" s="10" t="s">
        <v>777</v>
      </c>
      <c r="B56" s="9" t="s">
        <v>51</v>
      </c>
      <c r="C56" s="61" t="n">
        <f aca="false">C55*Assumptions!$I$67</f>
        <v>0</v>
      </c>
      <c r="D56" s="61" t="n">
        <f aca="false">D55*Assumptions!$I$67</f>
        <v>0</v>
      </c>
      <c r="E56" s="61" t="n">
        <f aca="false">E55*Assumptions!$I$67</f>
        <v>0</v>
      </c>
      <c r="F56" s="61" t="n">
        <f aca="false">F55*Assumptions!$I$67</f>
        <v>0</v>
      </c>
      <c r="G56" s="61" t="n">
        <f aca="false">G55*Assumptions!$I$67</f>
        <v>0</v>
      </c>
      <c r="H56" s="61" t="n">
        <f aca="false">H55*Assumptions!$I$67</f>
        <v>0</v>
      </c>
      <c r="I56" s="61" t="n">
        <f aca="false">I55*Assumptions!$I$67</f>
        <v>37.9673389310867</v>
      </c>
      <c r="J56" s="61" t="n">
        <f aca="false">J55*Assumptions!$I$67</f>
        <v>40.5568818531032</v>
      </c>
      <c r="K56" s="61" t="n">
        <f aca="false">K55*Assumptions!$I$67</f>
        <v>43.1890916759005</v>
      </c>
      <c r="L56" s="61" t="n">
        <f aca="false">L55*Assumptions!$I$67</f>
        <v>45.9498911441284</v>
      </c>
      <c r="M56" s="61" t="n">
        <f aca="false">M55*Assumptions!$I$67</f>
        <v>48.8817881658096</v>
      </c>
      <c r="N56" s="61" t="n">
        <f aca="false">N55*Assumptions!$I$67</f>
        <v>51.9989382677452</v>
      </c>
      <c r="O56" s="61" t="n">
        <f aca="false">O55*Assumptions!$I$67</f>
        <v>55.3084041522723</v>
      </c>
      <c r="P56" s="61" t="n">
        <f aca="false">P55*Assumptions!$I$67</f>
        <v>58.8153908434568</v>
      </c>
      <c r="Q56" s="61" t="n">
        <f aca="false">Q55*Assumptions!$I$67</f>
        <v>62.525188549049</v>
      </c>
      <c r="R56" s="61" t="n">
        <f aca="false">R55*Assumptions!$I$67</f>
        <v>66.4441465558298</v>
      </c>
      <c r="S56" s="61" t="n">
        <f aca="false">S55*Assumptions!$I$67</f>
        <v>70.5802538980344</v>
      </c>
      <c r="T56" s="61" t="n">
        <f aca="false">T55*Assumptions!$I$67</f>
        <v>74.9435230294663</v>
      </c>
      <c r="U56" s="61" t="n">
        <f aca="false">U55*Assumptions!$I$67</f>
        <v>79.546268412209</v>
      </c>
      <c r="V56" s="61" t="n">
        <f aca="false">V55*Assumptions!$I$67</f>
        <v>84.4033309936839</v>
      </c>
      <c r="W56" s="61" t="n">
        <f aca="false">W55*Assumptions!$I$67</f>
        <v>89.532279437366</v>
      </c>
      <c r="X56" s="61" t="n">
        <f aca="false">X55*Assumptions!$I$67</f>
        <v>94.9536078600744</v>
      </c>
      <c r="Y56" s="61" t="n">
        <f aca="false">Y55*Assumptions!$I$67</f>
        <v>100.690943290022</v>
      </c>
      <c r="Z56" s="61" t="n">
        <f aca="false">Z55*Assumptions!$I$67</f>
        <v>106.771272079481</v>
      </c>
      <c r="AA56" s="61" t="n">
        <f aca="false">AA55*Assumptions!$I$67</f>
        <v>113.225192050195</v>
      </c>
      <c r="AB56" s="61" t="n">
        <f aca="false">AB55*Assumptions!$I$67</f>
        <v>117.929940634368</v>
      </c>
      <c r="AC56" s="61" t="n">
        <f aca="false">AC55*Assumptions!$I$67</f>
        <v>121.433901514726</v>
      </c>
      <c r="AD56" s="61" t="n">
        <f aca="false">AD55*Assumptions!$I$67</f>
        <v>125.137058983968</v>
      </c>
      <c r="AE56" s="61" t="n">
        <f aca="false">AE55*Assumptions!$I$67</f>
        <v>129.0695896931</v>
      </c>
      <c r="AF56" s="61" t="n">
        <f aca="false">AF55*Assumptions!$I$67</f>
        <v>133.259532155698</v>
      </c>
      <c r="AG56" s="61" t="n">
        <f aca="false">AG55*Assumptions!$I$67</f>
        <v>137.735594553436</v>
      </c>
      <c r="AH56" s="61" t="n">
        <f aca="false">AH55*Assumptions!$I$67</f>
        <v>142.528489177033</v>
      </c>
      <c r="AI56" s="61" t="n">
        <f aca="false">AI55*Assumptions!$I$67</f>
        <v>147.671289183075</v>
      </c>
      <c r="AJ56" s="61" t="n">
        <f aca="false">AJ55*Assumptions!$I$67</f>
        <v>153.199667397357</v>
      </c>
      <c r="AK56" s="61" t="n">
        <f aca="false">AK55*Assumptions!$I$67</f>
        <v>159.152136259022</v>
      </c>
      <c r="AL56" s="61" t="n">
        <f aca="false">AL55*Assumptions!$I$67</f>
        <v>165.570306705861</v>
      </c>
      <c r="AM56" s="61" t="n">
        <f aca="false">SUM(C56:AL56)</f>
        <v>2858.97123744656</v>
      </c>
    </row>
    <row r="57" customFormat="false" ht="15" hidden="false" customHeight="false" outlineLevel="0" collapsed="false">
      <c r="A57" s="37" t="s">
        <v>778</v>
      </c>
      <c r="B57" s="9" t="s">
        <v>51</v>
      </c>
      <c r="C57" s="71" t="n">
        <f aca="false">C56</f>
        <v>0</v>
      </c>
      <c r="D57" s="71" t="n">
        <f aca="false">C57*(1-Assumptions!$I$68)+D56</f>
        <v>0</v>
      </c>
      <c r="E57" s="71" t="n">
        <f aca="false">D57*(1-Assumptions!$I$68)+E56</f>
        <v>0</v>
      </c>
      <c r="F57" s="71" t="n">
        <f aca="false">E57*(1-Assumptions!$I$68)+F56</f>
        <v>0</v>
      </c>
      <c r="G57" s="71" t="n">
        <f aca="false">F57*(1-Assumptions!$I$68)+G56</f>
        <v>0</v>
      </c>
      <c r="H57" s="71" t="n">
        <f aca="false">G57*(1-Assumptions!$I$68)+H56</f>
        <v>0</v>
      </c>
      <c r="I57" s="71" t="n">
        <f aca="false">H57*(1-Assumptions!$I$68)+I56</f>
        <v>37.9673389310867</v>
      </c>
      <c r="J57" s="71" t="n">
        <f aca="false">I57*(1-Assumptions!$I$68)+J56</f>
        <v>73.5884667231486</v>
      </c>
      <c r="K57" s="71" t="n">
        <f aca="false">J57*(1-Assumptions!$I$68)+K56</f>
        <v>107.21105772504</v>
      </c>
      <c r="L57" s="71" t="n">
        <f aca="false">K57*(1-Assumptions!$I$68)+L56</f>
        <v>139.223511364913</v>
      </c>
      <c r="M57" s="71" t="n">
        <f aca="false">L57*(1-Assumptions!$I$68)+M56</f>
        <v>170.006243053284</v>
      </c>
      <c r="N57" s="71" t="n">
        <f aca="false">M57*(1-Assumptions!$I$68)+N56</f>
        <v>199.904369724102</v>
      </c>
      <c r="O57" s="71" t="n">
        <f aca="false">N57*(1-Assumptions!$I$68)+O56</f>
        <v>229.225205812241</v>
      </c>
      <c r="P57" s="71" t="n">
        <f aca="false">O57*(1-Assumptions!$I$68)+P56</f>
        <v>258.241319900107</v>
      </c>
      <c r="Q57" s="71" t="n">
        <f aca="false">P57*(1-Assumptions!$I$68)+Q56</f>
        <v>287.195136862142</v>
      </c>
      <c r="R57" s="71" t="n">
        <f aca="false">Q57*(1-Assumptions!$I$68)+R56</f>
        <v>316.303915625893</v>
      </c>
      <c r="S57" s="71" t="n">
        <f aca="false">R57*(1-Assumptions!$I$68)+S56</f>
        <v>345.764660492561</v>
      </c>
      <c r="T57" s="71" t="n">
        <f aca="false">S57*(1-Assumptions!$I$68)+T56</f>
        <v>375.758777657995</v>
      </c>
      <c r="U57" s="71" t="n">
        <f aca="false">T57*(1-Assumptions!$I$68)+U56</f>
        <v>406.456404974664</v>
      </c>
      <c r="V57" s="71" t="n">
        <f aca="false">U57*(1-Assumptions!$I$68)+V56</f>
        <v>438.020403321642</v>
      </c>
      <c r="W57" s="71" t="n">
        <f aca="false">V57*(1-Assumptions!$I$68)+W56</f>
        <v>470.610030327195</v>
      </c>
      <c r="X57" s="71" t="n">
        <f aca="false">W57*(1-Assumptions!$I$68)+X56</f>
        <v>504.384334244734</v>
      </c>
      <c r="Y57" s="71" t="n">
        <f aca="false">X57*(1-Assumptions!$I$68)+Y56</f>
        <v>539.50531408294</v>
      </c>
      <c r="Z57" s="71" t="n">
        <f aca="false">Y57*(1-Assumptions!$I$68)+Z56</f>
        <v>576.140895331639</v>
      </c>
      <c r="AA57" s="71" t="n">
        <f aca="false">Z57*(1-Assumptions!$I$68)+AA56</f>
        <v>614.467770988721</v>
      </c>
      <c r="AB57" s="71" t="n">
        <f aca="false">AA57*(1-Assumptions!$I$68)+AB56</f>
        <v>652.516901394556</v>
      </c>
      <c r="AC57" s="71" t="n">
        <f aca="false">AB57*(1-Assumptions!$I$68)+AC56</f>
        <v>689.12360572799</v>
      </c>
      <c r="AD57" s="71" t="n">
        <f aca="false">AC57*(1-Assumptions!$I$68)+AD56</f>
        <v>724.674595967319</v>
      </c>
      <c r="AE57" s="71" t="n">
        <f aca="false">AD57*(1-Assumptions!$I$68)+AE56</f>
        <v>759.536488184667</v>
      </c>
      <c r="AF57" s="71" t="n">
        <f aca="false">AE57*(1-Assumptions!$I$68)+AF56</f>
        <v>794.056276876359</v>
      </c>
      <c r="AG57" s="71" t="n">
        <f aca="false">AF57*(1-Assumptions!$I$68)+AG56</f>
        <v>828.564555435868</v>
      </c>
      <c r="AH57" s="71" t="n">
        <f aca="false">AG57*(1-Assumptions!$I$68)+AH56</f>
        <v>863.379652406239</v>
      </c>
      <c r="AI57" s="71" t="n">
        <f aca="false">AH57*(1-Assumptions!$I$68)+AI56</f>
        <v>898.811586776503</v>
      </c>
      <c r="AJ57" s="71" t="n">
        <f aca="false">AI57*(1-Assumptions!$I$68)+AJ56</f>
        <v>935.165747892915</v>
      </c>
      <c r="AK57" s="71" t="n">
        <f aca="false">AJ57*(1-Assumptions!$I$68)+AK56</f>
        <v>972.746336925857</v>
      </c>
      <c r="AL57" s="71" t="n">
        <f aca="false">AK57*(1-Assumptions!$I$68)+AL56</f>
        <v>1011.85961983136</v>
      </c>
      <c r="AM57" s="71" t="n">
        <f aca="false">AL57</f>
        <v>1011.85961983136</v>
      </c>
    </row>
    <row r="58" customFormat="false" ht="15" hidden="false" customHeight="false" outlineLevel="0" collapsed="false">
      <c r="A58" s="10" t="s">
        <v>779</v>
      </c>
      <c r="B58" s="9" t="s">
        <v>51</v>
      </c>
      <c r="C58" s="61" t="n">
        <f aca="false">0</f>
        <v>0</v>
      </c>
      <c r="D58" s="61" t="n">
        <f aca="false">C57*Assumptions!$I$68</f>
        <v>0</v>
      </c>
      <c r="E58" s="61" t="n">
        <f aca="false">D57*Assumptions!$I$68</f>
        <v>0</v>
      </c>
      <c r="F58" s="61" t="n">
        <f aca="false">E57*Assumptions!$I$68</f>
        <v>0</v>
      </c>
      <c r="G58" s="61" t="n">
        <f aca="false">F57*Assumptions!$I$68</f>
        <v>0</v>
      </c>
      <c r="H58" s="61" t="n">
        <f aca="false">G57*Assumptions!$I$68</f>
        <v>0</v>
      </c>
      <c r="I58" s="61" t="n">
        <f aca="false">H57*Assumptions!$I$68</f>
        <v>0</v>
      </c>
      <c r="J58" s="61" t="n">
        <f aca="false">I57*Assumptions!$I$68</f>
        <v>4.93575406104127</v>
      </c>
      <c r="K58" s="61" t="n">
        <f aca="false">J57*Assumptions!$I$68</f>
        <v>9.56650067400932</v>
      </c>
      <c r="L58" s="61" t="n">
        <f aca="false">K57*Assumptions!$I$68</f>
        <v>13.9374375042552</v>
      </c>
      <c r="M58" s="61" t="n">
        <f aca="false">L57*Assumptions!$I$68</f>
        <v>18.0990564774387</v>
      </c>
      <c r="N58" s="61" t="n">
        <f aca="false">M57*Assumptions!$I$68</f>
        <v>22.1008115969269</v>
      </c>
      <c r="O58" s="61" t="n">
        <f aca="false">N57*Assumptions!$I$68</f>
        <v>25.9875680641333</v>
      </c>
      <c r="P58" s="61" t="n">
        <f aca="false">O57*Assumptions!$I$68</f>
        <v>29.7992767555914</v>
      </c>
      <c r="Q58" s="61" t="n">
        <f aca="false">P57*Assumptions!$I$68</f>
        <v>33.5713715870139</v>
      </c>
      <c r="R58" s="61" t="n">
        <f aca="false">Q57*Assumptions!$I$68</f>
        <v>37.3353677920784</v>
      </c>
      <c r="S58" s="61" t="n">
        <f aca="false">R57*Assumptions!$I$68</f>
        <v>41.1195090313661</v>
      </c>
      <c r="T58" s="61" t="n">
        <f aca="false">S57*Assumptions!$I$68</f>
        <v>44.949405864033</v>
      </c>
      <c r="U58" s="61" t="n">
        <f aca="false">T57*Assumptions!$I$68</f>
        <v>48.8486410955393</v>
      </c>
      <c r="V58" s="61" t="n">
        <f aca="false">U57*Assumptions!$I$68</f>
        <v>52.8393326467064</v>
      </c>
      <c r="W58" s="61" t="n">
        <f aca="false">V57*Assumptions!$I$68</f>
        <v>56.9426524318135</v>
      </c>
      <c r="X58" s="61" t="n">
        <f aca="false">W57*Assumptions!$I$68</f>
        <v>61.1793039425353</v>
      </c>
      <c r="Y58" s="61" t="n">
        <f aca="false">X57*Assumptions!$I$68</f>
        <v>65.5699634518154</v>
      </c>
      <c r="Z58" s="61" t="n">
        <f aca="false">Y57*Assumptions!$I$68</f>
        <v>70.1356908307822</v>
      </c>
      <c r="AA58" s="61" t="n">
        <f aca="false">Z57*Assumptions!$I$68</f>
        <v>74.8983163931131</v>
      </c>
      <c r="AB58" s="61" t="n">
        <f aca="false">AA57*Assumptions!$I$68</f>
        <v>79.8808102285338</v>
      </c>
      <c r="AC58" s="61" t="n">
        <f aca="false">AB57*Assumptions!$I$68</f>
        <v>84.8271971812923</v>
      </c>
      <c r="AD58" s="61" t="n">
        <f aca="false">AC57*Assumptions!$I$68</f>
        <v>89.5860687446387</v>
      </c>
      <c r="AE58" s="61" t="n">
        <f aca="false">AD57*Assumptions!$I$68</f>
        <v>94.2076974757515</v>
      </c>
      <c r="AF58" s="61" t="n">
        <f aca="false">AE57*Assumptions!$I$68</f>
        <v>98.7397434640067</v>
      </c>
      <c r="AG58" s="61" t="n">
        <f aca="false">AF57*Assumptions!$I$68</f>
        <v>103.227315993927</v>
      </c>
      <c r="AH58" s="61" t="n">
        <f aca="false">AG57*Assumptions!$I$68</f>
        <v>107.713392206663</v>
      </c>
      <c r="AI58" s="61" t="n">
        <f aca="false">AH57*Assumptions!$I$68</f>
        <v>112.239354812811</v>
      </c>
      <c r="AJ58" s="61" t="n">
        <f aca="false">AI57*Assumptions!$I$68</f>
        <v>116.845506280945</v>
      </c>
      <c r="AK58" s="61" t="n">
        <f aca="false">AJ57*Assumptions!$I$68</f>
        <v>121.571547226079</v>
      </c>
      <c r="AL58" s="61" t="n">
        <f aca="false">AK57*Assumptions!$I$68</f>
        <v>126.457023800361</v>
      </c>
      <c r="AM58" s="61" t="n">
        <f aca="false">SUM(C58:AL58)</f>
        <v>1847.1116176152</v>
      </c>
    </row>
    <row r="59" customFormat="false" ht="15" hidden="false" customHeight="false" outlineLevel="0" collapsed="false">
      <c r="A59" s="10" t="s">
        <v>780</v>
      </c>
      <c r="B59" s="9" t="s">
        <v>97</v>
      </c>
      <c r="C59" s="70" t="n">
        <f aca="false">C57*Assumptions!$I$70</f>
        <v>0</v>
      </c>
      <c r="D59" s="70" t="n">
        <f aca="false">D57*Assumptions!$I$70</f>
        <v>0</v>
      </c>
      <c r="E59" s="70" t="n">
        <f aca="false">E57*Assumptions!$I$70</f>
        <v>0</v>
      </c>
      <c r="F59" s="70" t="n">
        <f aca="false">F57*Assumptions!$I$70</f>
        <v>0</v>
      </c>
      <c r="G59" s="70" t="n">
        <f aca="false">G57*Assumptions!$I$70</f>
        <v>0</v>
      </c>
      <c r="H59" s="70" t="n">
        <f aca="false">H57*Assumptions!$I$70</f>
        <v>0</v>
      </c>
      <c r="I59" s="70" t="n">
        <f aca="false">I57*Assumptions!$I$70</f>
        <v>9453.86739384059</v>
      </c>
      <c r="J59" s="70" t="n">
        <f aca="false">J57*Assumptions!$I$70</f>
        <v>18323.528214064</v>
      </c>
      <c r="K59" s="70" t="n">
        <f aca="false">K57*Assumptions!$I$70</f>
        <v>26695.5533735349</v>
      </c>
      <c r="L59" s="70" t="n">
        <f aca="false">L57*Assumptions!$I$70</f>
        <v>34666.6543298634</v>
      </c>
      <c r="M59" s="70" t="n">
        <f aca="false">M57*Assumptions!$I$70</f>
        <v>42331.5545202677</v>
      </c>
      <c r="N59" s="70" t="n">
        <f aca="false">N57*Assumptions!$I$70</f>
        <v>49776.1880613015</v>
      </c>
      <c r="O59" s="70" t="n">
        <f aca="false">O57*Assumptions!$I$70</f>
        <v>57077.0762472481</v>
      </c>
      <c r="P59" s="70" t="n">
        <f aca="false">P57*Assumptions!$I$70</f>
        <v>64302.0886551266</v>
      </c>
      <c r="Q59" s="70" t="n">
        <f aca="false">Q57*Assumptions!$I$70</f>
        <v>71511.5890786733</v>
      </c>
      <c r="R59" s="70" t="n">
        <f aca="false">R57*Assumptions!$I$70</f>
        <v>78759.6749908474</v>
      </c>
      <c r="S59" s="70" t="n">
        <f aca="false">S57*Assumptions!$I$70</f>
        <v>86095.4004626478</v>
      </c>
      <c r="T59" s="70" t="n">
        <f aca="false">T57*Assumptions!$I$70</f>
        <v>93563.9356368407</v>
      </c>
      <c r="U59" s="70" t="n">
        <f aca="false">U57*Assumptions!$I$70</f>
        <v>101207.644838691</v>
      </c>
      <c r="V59" s="70" t="n">
        <f aca="false">V57*Assumptions!$I$70</f>
        <v>109067.080427089</v>
      </c>
      <c r="W59" s="70" t="n">
        <f aca="false">W57*Assumptions!$I$70</f>
        <v>117181.897551471</v>
      </c>
      <c r="X59" s="70" t="n">
        <f aca="false">X57*Assumptions!$I$70</f>
        <v>125591.699226939</v>
      </c>
      <c r="Y59" s="70" t="n">
        <f aca="false">Y57*Assumptions!$I$70</f>
        <v>134336.823206652</v>
      </c>
      <c r="Z59" s="70" t="n">
        <f aca="false">Z57*Assumptions!$I$70</f>
        <v>143459.082937578</v>
      </c>
      <c r="AA59" s="70" t="n">
        <f aca="false">AA57*Assumptions!$I$70</f>
        <v>153002.474976192</v>
      </c>
      <c r="AB59" s="70" t="n">
        <f aca="false">AB57*Assumptions!$I$70</f>
        <v>162476.708447244</v>
      </c>
      <c r="AC59" s="70" t="n">
        <f aca="false">AC57*Assumptions!$I$70</f>
        <v>171591.777826269</v>
      </c>
      <c r="AD59" s="70" t="n">
        <f aca="false">AD57*Assumptions!$I$70</f>
        <v>180443.974395862</v>
      </c>
      <c r="AE59" s="70" t="n">
        <f aca="false">AE57*Assumptions!$I$70</f>
        <v>189124.585557982</v>
      </c>
      <c r="AF59" s="70" t="n">
        <f aca="false">AF57*Assumptions!$I$70</f>
        <v>197720.012942213</v>
      </c>
      <c r="AG59" s="70" t="n">
        <f aca="false">AG57*Assumptions!$I$70</f>
        <v>206312.574303531</v>
      </c>
      <c r="AH59" s="70" t="n">
        <f aca="false">AH57*Assumptions!$I$70</f>
        <v>214981.533449153</v>
      </c>
      <c r="AI59" s="70" t="n">
        <f aca="false">AI57*Assumptions!$I$70</f>
        <v>223804.085107349</v>
      </c>
      <c r="AJ59" s="70" t="n">
        <f aca="false">AJ57*Assumptions!$I$70</f>
        <v>232856.271225336</v>
      </c>
      <c r="AK59" s="70" t="n">
        <f aca="false">AK57*Assumptions!$I$70</f>
        <v>242213.837894538</v>
      </c>
      <c r="AL59" s="70" t="n">
        <f aca="false">AL57*Assumptions!$I$70</f>
        <v>251953.045338008</v>
      </c>
      <c r="AM59" s="70" t="n">
        <f aca="false">SUM(C59:AL59)</f>
        <v>3789882.22061636</v>
      </c>
    </row>
    <row r="60" customFormat="false" ht="15" hidden="false" customHeight="false" outlineLevel="0" collapsed="false">
      <c r="A60" s="10" t="s">
        <v>781</v>
      </c>
      <c r="B60" s="9" t="s">
        <v>97</v>
      </c>
      <c r="C60" s="70" t="n">
        <f aca="false">C53*Assumptions!$I$71</f>
        <v>0</v>
      </c>
      <c r="D60" s="70" t="n">
        <f aca="false">D53*Assumptions!$I$71</f>
        <v>0</v>
      </c>
      <c r="E60" s="70" t="n">
        <f aca="false">E53*Assumptions!$I$71</f>
        <v>0</v>
      </c>
      <c r="F60" s="70" t="n">
        <f aca="false">F53*Assumptions!$I$71</f>
        <v>0</v>
      </c>
      <c r="G60" s="70" t="n">
        <f aca="false">G53*Assumptions!$I$71</f>
        <v>0</v>
      </c>
      <c r="H60" s="70" t="n">
        <f aca="false">H53*Assumptions!$I$71</f>
        <v>0</v>
      </c>
      <c r="I60" s="70" t="n">
        <f aca="false">I53*Assumptions!$I$71</f>
        <v>6595.51106753735</v>
      </c>
      <c r="J60" s="70" t="n">
        <f aca="false">J53*Assumptions!$I$71</f>
        <v>7045.35452464724</v>
      </c>
      <c r="K60" s="70" t="n">
        <f aca="false">K53*Assumptions!$I$71</f>
        <v>7502.60987904147</v>
      </c>
      <c r="L60" s="70" t="n">
        <f aca="false">L53*Assumptions!$I$71</f>
        <v>7982.20323376667</v>
      </c>
      <c r="M60" s="70" t="n">
        <f aca="false">M53*Assumptions!$I$71</f>
        <v>8491.51886661828</v>
      </c>
      <c r="N60" s="70" t="n">
        <f aca="false">N53*Assumptions!$I$71</f>
        <v>9033.01581044698</v>
      </c>
      <c r="O60" s="70" t="n">
        <f aca="false">O53*Assumptions!$I$71</f>
        <v>9607.92096533955</v>
      </c>
      <c r="P60" s="70" t="n">
        <f aca="false">P53*Assumptions!$I$71</f>
        <v>10217.1385240786</v>
      </c>
      <c r="Q60" s="70" t="n">
        <f aca="false">Q53*Assumptions!$I$71</f>
        <v>10861.5874771635</v>
      </c>
      <c r="R60" s="70" t="n">
        <f aca="false">R53*Assumptions!$I$71</f>
        <v>11542.3707934199</v>
      </c>
      <c r="S60" s="70" t="n">
        <f aca="false">S53*Assumptions!$I$71</f>
        <v>12260.8762910411</v>
      </c>
      <c r="T60" s="70" t="n">
        <f aca="false">T53*Assumptions!$I$71</f>
        <v>13018.8432873385</v>
      </c>
      <c r="U60" s="70" t="n">
        <f aca="false">U53*Assumptions!$I$71</f>
        <v>13818.4109938886</v>
      </c>
      <c r="V60" s="70" t="n">
        <f aca="false">V53*Assumptions!$I$71</f>
        <v>14662.1575116517</v>
      </c>
      <c r="W60" s="70" t="n">
        <f aca="false">W53*Assumptions!$I$71</f>
        <v>15553.1347878452</v>
      </c>
      <c r="X60" s="70" t="n">
        <f aca="false">X53*Assumptions!$I$71</f>
        <v>16494.9029659529</v>
      </c>
      <c r="Y60" s="70" t="n">
        <f aca="false">Y53*Assumptions!$I$71</f>
        <v>17491.5664243817</v>
      </c>
      <c r="Z60" s="70" t="n">
        <f aca="false">Z53*Assumptions!$I$71</f>
        <v>18547.8131078254</v>
      </c>
      <c r="AA60" s="70" t="n">
        <f aca="false">AA53*Assumptions!$I$71</f>
        <v>19668.9583288035</v>
      </c>
      <c r="AB60" s="70" t="n">
        <f aca="false">AB53*Assumptions!$I$71</f>
        <v>20486.2455612118</v>
      </c>
      <c r="AC60" s="70" t="n">
        <f aca="false">AC53*Assumptions!$I$71</f>
        <v>21094.9374900448</v>
      </c>
      <c r="AD60" s="70" t="n">
        <f aca="false">AD53*Assumptions!$I$71</f>
        <v>21738.2329318862</v>
      </c>
      <c r="AE60" s="70" t="n">
        <f aca="false">AE53*Assumptions!$I$71</f>
        <v>22421.374035417</v>
      </c>
      <c r="AF60" s="70" t="n">
        <f aca="false">AF53*Assumptions!$I$71</f>
        <v>23149.2315219417</v>
      </c>
      <c r="AG60" s="70" t="n">
        <f aca="false">AG53*Assumptions!$I$71</f>
        <v>23926.7924444191</v>
      </c>
      <c r="AH60" s="70" t="n">
        <f aca="false">AH53*Assumptions!$I$71</f>
        <v>24759.3920003914</v>
      </c>
      <c r="AI60" s="70" t="n">
        <f aca="false">AI53*Assumptions!$I$71</f>
        <v>25652.7755061343</v>
      </c>
      <c r="AJ60" s="70" t="n">
        <f aca="false">AJ53*Assumptions!$I$71</f>
        <v>26613.1398804723</v>
      </c>
      <c r="AK60" s="70" t="n">
        <f aca="false">AK53*Assumptions!$I$71</f>
        <v>27647.1753267683</v>
      </c>
      <c r="AL60" s="70" t="n">
        <f aca="false">AL53*Assumptions!$I$71</f>
        <v>28762.1103052851</v>
      </c>
      <c r="AM60" s="70" t="n">
        <f aca="false">SUM(C60:AL60)</f>
        <v>496647.30184476</v>
      </c>
    </row>
    <row r="61" customFormat="false" ht="15" hidden="false" customHeight="false" outlineLevel="0" collapsed="false">
      <c r="A61" s="10" t="s">
        <v>782</v>
      </c>
      <c r="B61" s="9" t="s">
        <v>97</v>
      </c>
      <c r="C61" s="70" t="n">
        <f aca="false">C59+C60</f>
        <v>0</v>
      </c>
      <c r="D61" s="70" t="n">
        <f aca="false">D59+D60</f>
        <v>0</v>
      </c>
      <c r="E61" s="70" t="n">
        <f aca="false">E59+E60</f>
        <v>0</v>
      </c>
      <c r="F61" s="70" t="n">
        <f aca="false">F59+F60</f>
        <v>0</v>
      </c>
      <c r="G61" s="70" t="n">
        <f aca="false">G59+G60</f>
        <v>0</v>
      </c>
      <c r="H61" s="70" t="n">
        <f aca="false">H59+H60</f>
        <v>0</v>
      </c>
      <c r="I61" s="70" t="n">
        <f aca="false">I59+I60</f>
        <v>16049.3784613779</v>
      </c>
      <c r="J61" s="70" t="n">
        <f aca="false">J59+J60</f>
        <v>25368.8827387112</v>
      </c>
      <c r="K61" s="70" t="n">
        <f aca="false">K59+K60</f>
        <v>34198.1632525764</v>
      </c>
      <c r="L61" s="70" t="n">
        <f aca="false">L59+L60</f>
        <v>42648.85756363</v>
      </c>
      <c r="M61" s="70" t="n">
        <f aca="false">M59+M60</f>
        <v>50823.073386886</v>
      </c>
      <c r="N61" s="70" t="n">
        <f aca="false">N59+N60</f>
        <v>58809.2038717484</v>
      </c>
      <c r="O61" s="70" t="n">
        <f aca="false">O59+O60</f>
        <v>66684.9972125876</v>
      </c>
      <c r="P61" s="70" t="n">
        <f aca="false">P59+P60</f>
        <v>74519.2271792052</v>
      </c>
      <c r="Q61" s="70" t="n">
        <f aca="false">Q59+Q60</f>
        <v>82373.1765558368</v>
      </c>
      <c r="R61" s="70" t="n">
        <f aca="false">R59+R60</f>
        <v>90302.0457842673</v>
      </c>
      <c r="S61" s="70" t="n">
        <f aca="false">S59+S60</f>
        <v>98356.2767536889</v>
      </c>
      <c r="T61" s="70" t="n">
        <f aca="false">T59+T60</f>
        <v>106582.778924179</v>
      </c>
      <c r="U61" s="70" t="n">
        <f aca="false">U59+U60</f>
        <v>115026.05583258</v>
      </c>
      <c r="V61" s="70" t="n">
        <f aca="false">V59+V60</f>
        <v>123729.237938741</v>
      </c>
      <c r="W61" s="70" t="n">
        <f aca="false">W59+W60</f>
        <v>132735.032339317</v>
      </c>
      <c r="X61" s="70" t="n">
        <f aca="false">X59+X60</f>
        <v>142086.602192892</v>
      </c>
      <c r="Y61" s="70" t="n">
        <f aca="false">Y59+Y60</f>
        <v>151828.389631034</v>
      </c>
      <c r="Z61" s="70" t="n">
        <f aca="false">Z59+Z60</f>
        <v>162006.896045404</v>
      </c>
      <c r="AA61" s="70" t="n">
        <f aca="false">AA59+AA60</f>
        <v>172671.433304995</v>
      </c>
      <c r="AB61" s="70" t="n">
        <f aca="false">AB59+AB60</f>
        <v>182962.954008456</v>
      </c>
      <c r="AC61" s="70" t="n">
        <f aca="false">AC59+AC60</f>
        <v>192686.715316314</v>
      </c>
      <c r="AD61" s="70" t="n">
        <f aca="false">AD59+AD60</f>
        <v>202182.207327749</v>
      </c>
      <c r="AE61" s="70" t="n">
        <f aca="false">AE59+AE60</f>
        <v>211545.959593399</v>
      </c>
      <c r="AF61" s="70" t="n">
        <f aca="false">AF59+AF60</f>
        <v>220869.244464155</v>
      </c>
      <c r="AG61" s="70" t="n">
        <f aca="false">AG59+AG60</f>
        <v>230239.36674795</v>
      </c>
      <c r="AH61" s="70" t="n">
        <f aca="false">AH59+AH60</f>
        <v>239740.925449545</v>
      </c>
      <c r="AI61" s="70" t="n">
        <f aca="false">AI59+AI60</f>
        <v>249456.860613484</v>
      </c>
      <c r="AJ61" s="70" t="n">
        <f aca="false">AJ59+AJ60</f>
        <v>259469.411105808</v>
      </c>
      <c r="AK61" s="70" t="n">
        <f aca="false">AK59+AK60</f>
        <v>269861.013221307</v>
      </c>
      <c r="AL61" s="70" t="n">
        <f aca="false">AL59+AL60</f>
        <v>280715.155643293</v>
      </c>
      <c r="AM61" s="70" t="n">
        <f aca="false">SUM(C61:AL61)</f>
        <v>4286529.52246112</v>
      </c>
    </row>
    <row r="62" customFormat="false" ht="15" hidden="false" customHeight="false" outlineLevel="0" collapsed="false">
      <c r="A62" s="10" t="s">
        <v>783</v>
      </c>
      <c r="B62" s="9" t="s">
        <v>97</v>
      </c>
      <c r="C62" s="70" t="n">
        <f aca="false">-C61*Assumptions!$I$80</f>
        <v>-0</v>
      </c>
      <c r="D62" s="70" t="n">
        <f aca="false">-D61*Assumptions!$I$80</f>
        <v>-0</v>
      </c>
      <c r="E62" s="70" t="n">
        <f aca="false">-E61*Assumptions!$I$80</f>
        <v>-0</v>
      </c>
      <c r="F62" s="70" t="n">
        <f aca="false">-F61*Assumptions!$I$80</f>
        <v>-0</v>
      </c>
      <c r="G62" s="70" t="n">
        <f aca="false">-G61*Assumptions!$I$80</f>
        <v>-0</v>
      </c>
      <c r="H62" s="70" t="n">
        <f aca="false">-H61*Assumptions!$I$80</f>
        <v>-0</v>
      </c>
      <c r="I62" s="70" t="n">
        <f aca="false">-I61*Assumptions!$I$80</f>
        <v>-481.481353841338</v>
      </c>
      <c r="J62" s="70" t="n">
        <f aca="false">-J61*Assumptions!$I$80</f>
        <v>-761.066482161337</v>
      </c>
      <c r="K62" s="70" t="n">
        <f aca="false">-K61*Assumptions!$I$80</f>
        <v>-1025.94489757729</v>
      </c>
      <c r="L62" s="70" t="n">
        <f aca="false">-L61*Assumptions!$I$80</f>
        <v>-1279.4657269089</v>
      </c>
      <c r="M62" s="70" t="n">
        <f aca="false">-M61*Assumptions!$I$80</f>
        <v>-1524.69220160658</v>
      </c>
      <c r="N62" s="70" t="n">
        <f aca="false">-N61*Assumptions!$I$80</f>
        <v>-1764.27611615245</v>
      </c>
      <c r="O62" s="70" t="n">
        <f aca="false">-O61*Assumptions!$I$80</f>
        <v>-2000.54991637763</v>
      </c>
      <c r="P62" s="70" t="n">
        <f aca="false">-P61*Assumptions!$I$80</f>
        <v>-2235.57681537615</v>
      </c>
      <c r="Q62" s="70" t="n">
        <f aca="false">-Q61*Assumptions!$I$80</f>
        <v>-2471.1952966751</v>
      </c>
      <c r="R62" s="70" t="n">
        <f aca="false">-R61*Assumptions!$I$80</f>
        <v>-2709.06137352802</v>
      </c>
      <c r="S62" s="70" t="n">
        <f aca="false">-S61*Assumptions!$I$80</f>
        <v>-2950.68830261067</v>
      </c>
      <c r="T62" s="70" t="n">
        <f aca="false">-T61*Assumptions!$I$80</f>
        <v>-3197.48336772538</v>
      </c>
      <c r="U62" s="70" t="n">
        <f aca="false">-U61*Assumptions!$I$80</f>
        <v>-3450.7816749774</v>
      </c>
      <c r="V62" s="70" t="n">
        <f aca="false">-V61*Assumptions!$I$80</f>
        <v>-3711.87713816222</v>
      </c>
      <c r="W62" s="70" t="n">
        <f aca="false">-W61*Assumptions!$I$80</f>
        <v>-3982.0509701795</v>
      </c>
      <c r="X62" s="70" t="n">
        <f aca="false">-X61*Assumptions!$I$80</f>
        <v>-4262.59806578675</v>
      </c>
      <c r="Y62" s="70" t="n">
        <f aca="false">-Y61*Assumptions!$I$80</f>
        <v>-4554.85168893101</v>
      </c>
      <c r="Z62" s="70" t="n">
        <f aca="false">-Z61*Assumptions!$I$80</f>
        <v>-4860.20688136211</v>
      </c>
      <c r="AA62" s="70" t="n">
        <f aca="false">-AA61*Assumptions!$I$80</f>
        <v>-5180.14299914985</v>
      </c>
      <c r="AB62" s="70" t="n">
        <f aca="false">-AB61*Assumptions!$I$80</f>
        <v>-5488.88862025368</v>
      </c>
      <c r="AC62" s="70" t="n">
        <f aca="false">-AC61*Assumptions!$I$80</f>
        <v>-5780.60145948943</v>
      </c>
      <c r="AD62" s="70" t="n">
        <f aca="false">-AD61*Assumptions!$I$80</f>
        <v>-6065.46621983246</v>
      </c>
      <c r="AE62" s="70" t="n">
        <f aca="false">-AE61*Assumptions!$I$80</f>
        <v>-6346.37878780197</v>
      </c>
      <c r="AF62" s="70" t="n">
        <f aca="false">-AF61*Assumptions!$I$80</f>
        <v>-6626.07733392465</v>
      </c>
      <c r="AG62" s="70" t="n">
        <f aca="false">-AG61*Assumptions!$I$80</f>
        <v>-6907.18100243851</v>
      </c>
      <c r="AH62" s="70" t="n">
        <f aca="false">-AH61*Assumptions!$I$80</f>
        <v>-7192.22776348635</v>
      </c>
      <c r="AI62" s="70" t="n">
        <f aca="false">-AI61*Assumptions!$I$80</f>
        <v>-7483.7058184045</v>
      </c>
      <c r="AJ62" s="70" t="n">
        <f aca="false">-AJ61*Assumptions!$I$80</f>
        <v>-7784.08233317424</v>
      </c>
      <c r="AK62" s="70" t="n">
        <f aca="false">-AK61*Assumptions!$I$80</f>
        <v>-8095.8303966392</v>
      </c>
      <c r="AL62" s="70" t="n">
        <f aca="false">-AL61*Assumptions!$I$80</f>
        <v>-8421.45466929879</v>
      </c>
      <c r="AM62" s="70" t="n">
        <f aca="false">SUM(C62:AL62)</f>
        <v>-128595.885673833</v>
      </c>
    </row>
    <row r="63" customFormat="false" ht="15" hidden="false" customHeight="false" outlineLevel="0" collapsed="false">
      <c r="A63" s="37" t="s">
        <v>784</v>
      </c>
      <c r="B63" s="9" t="s">
        <v>97</v>
      </c>
      <c r="C63" s="53" t="n">
        <f aca="false">C61+C62</f>
        <v>0</v>
      </c>
      <c r="D63" s="53" t="n">
        <f aca="false">D61+D62</f>
        <v>0</v>
      </c>
      <c r="E63" s="53" t="n">
        <f aca="false">E61+E62</f>
        <v>0</v>
      </c>
      <c r="F63" s="53" t="n">
        <f aca="false">F61+F62</f>
        <v>0</v>
      </c>
      <c r="G63" s="53" t="n">
        <f aca="false">G61+G62</f>
        <v>0</v>
      </c>
      <c r="H63" s="53" t="n">
        <f aca="false">H61+H62</f>
        <v>0</v>
      </c>
      <c r="I63" s="53" t="n">
        <f aca="false">I61+I62</f>
        <v>15567.8971075366</v>
      </c>
      <c r="J63" s="53" t="n">
        <f aca="false">J61+J62</f>
        <v>24607.8162565499</v>
      </c>
      <c r="K63" s="53" t="n">
        <f aca="false">K61+K62</f>
        <v>33172.2183549991</v>
      </c>
      <c r="L63" s="53" t="n">
        <f aca="false">L61+L62</f>
        <v>41369.3918367211</v>
      </c>
      <c r="M63" s="53" t="n">
        <f aca="false">M61+M62</f>
        <v>49298.3811852794</v>
      </c>
      <c r="N63" s="53" t="n">
        <f aca="false">N61+N62</f>
        <v>57044.927755596</v>
      </c>
      <c r="O63" s="53" t="n">
        <f aca="false">O61+O62</f>
        <v>64684.44729621</v>
      </c>
      <c r="P63" s="53" t="n">
        <f aca="false">P61+P62</f>
        <v>72283.650363829</v>
      </c>
      <c r="Q63" s="53" t="n">
        <f aca="false">Q61+Q62</f>
        <v>79901.9812591617</v>
      </c>
      <c r="R63" s="53" t="n">
        <f aca="false">R61+R62</f>
        <v>87592.9844107393</v>
      </c>
      <c r="S63" s="53" t="n">
        <f aca="false">S61+S62</f>
        <v>95405.5884510782</v>
      </c>
      <c r="T63" s="53" t="n">
        <f aca="false">T61+T62</f>
        <v>103385.295556454</v>
      </c>
      <c r="U63" s="53" t="n">
        <f aca="false">U61+U62</f>
        <v>111575.274157603</v>
      </c>
      <c r="V63" s="53" t="n">
        <f aca="false">V61+V62</f>
        <v>120017.360800578</v>
      </c>
      <c r="W63" s="53" t="n">
        <f aca="false">W61+W62</f>
        <v>128752.981369137</v>
      </c>
      <c r="X63" s="53" t="n">
        <f aca="false">X61+X62</f>
        <v>137824.004127105</v>
      </c>
      <c r="Y63" s="53" t="n">
        <f aca="false">Y61+Y62</f>
        <v>147273.537942103</v>
      </c>
      <c r="Z63" s="53" t="n">
        <f aca="false">Z61+Z62</f>
        <v>157146.689164041</v>
      </c>
      <c r="AA63" s="53" t="n">
        <f aca="false">AA61+AA62</f>
        <v>167491.290305845</v>
      </c>
      <c r="AB63" s="53" t="n">
        <f aca="false">AB61+AB62</f>
        <v>177474.065388202</v>
      </c>
      <c r="AC63" s="53" t="n">
        <f aca="false">AC61+AC62</f>
        <v>186906.113856825</v>
      </c>
      <c r="AD63" s="53" t="n">
        <f aca="false">AD61+AD62</f>
        <v>196116.741107916</v>
      </c>
      <c r="AE63" s="53" t="n">
        <f aca="false">AE61+AE62</f>
        <v>205199.580805597</v>
      </c>
      <c r="AF63" s="53" t="n">
        <f aca="false">AF61+AF62</f>
        <v>214243.16713023</v>
      </c>
      <c r="AG63" s="53" t="n">
        <f aca="false">AG61+AG62</f>
        <v>223332.185745512</v>
      </c>
      <c r="AH63" s="53" t="n">
        <f aca="false">AH61+AH62</f>
        <v>232548.697686059</v>
      </c>
      <c r="AI63" s="53" t="n">
        <f aca="false">AI61+AI62</f>
        <v>241973.154795079</v>
      </c>
      <c r="AJ63" s="53" t="n">
        <f aca="false">AJ61+AJ62</f>
        <v>251685.328772634</v>
      </c>
      <c r="AK63" s="53" t="n">
        <f aca="false">AK61+AK62</f>
        <v>261765.182824668</v>
      </c>
      <c r="AL63" s="53" t="n">
        <f aca="false">AL61+AL62</f>
        <v>272293.700973994</v>
      </c>
      <c r="AM63" s="53" t="n">
        <f aca="false">SUM(C63:AL63)</f>
        <v>4157933.63678728</v>
      </c>
    </row>
    <row r="64" customFormat="false" ht="15" hidden="false" customHeight="false" outlineLevel="0" collapsed="false">
      <c r="A64" s="10" t="s">
        <v>785</v>
      </c>
      <c r="B64" s="9" t="s">
        <v>97</v>
      </c>
      <c r="C64" s="70" t="n">
        <f aca="false">-C57*Assumptions!$I$73</f>
        <v>-0</v>
      </c>
      <c r="D64" s="70" t="n">
        <f aca="false">-D57*Assumptions!$I$73</f>
        <v>-0</v>
      </c>
      <c r="E64" s="70" t="n">
        <f aca="false">-E57*Assumptions!$I$73</f>
        <v>-0</v>
      </c>
      <c r="F64" s="70" t="n">
        <f aca="false">-F57*Assumptions!$I$73</f>
        <v>-0</v>
      </c>
      <c r="G64" s="70" t="n">
        <f aca="false">-G57*Assumptions!$I$73</f>
        <v>-0</v>
      </c>
      <c r="H64" s="70" t="n">
        <f aca="false">-H57*Assumptions!$I$73</f>
        <v>-0</v>
      </c>
      <c r="I64" s="70" t="n">
        <f aca="false">-I57*Assumptions!$I$73</f>
        <v>-3341.12582593563</v>
      </c>
      <c r="J64" s="70" t="n">
        <f aca="false">-J57*Assumptions!$I$73</f>
        <v>-6475.78507163708</v>
      </c>
      <c r="K64" s="70" t="n">
        <f aca="false">-K57*Assumptions!$I$73</f>
        <v>-9434.5730798035</v>
      </c>
      <c r="L64" s="70" t="n">
        <f aca="false">-L57*Assumptions!$I$73</f>
        <v>-12251.6690001123</v>
      </c>
      <c r="M64" s="70" t="n">
        <f aca="false">-M57*Assumptions!$I$73</f>
        <v>-14960.549388689</v>
      </c>
      <c r="N64" s="70" t="n">
        <f aca="false">-N57*Assumptions!$I$73</f>
        <v>-17591.584535721</v>
      </c>
      <c r="O64" s="70" t="n">
        <f aca="false">-O57*Assumptions!$I$73</f>
        <v>-20171.8181114772</v>
      </c>
      <c r="P64" s="70" t="n">
        <f aca="false">-P57*Assumptions!$I$73</f>
        <v>-22725.2361512094</v>
      </c>
      <c r="Q64" s="70" t="n">
        <f aca="false">-Q57*Assumptions!$I$73</f>
        <v>-25273.1720438685</v>
      </c>
      <c r="R64" s="70" t="n">
        <f aca="false">-R57*Assumptions!$I$73</f>
        <v>-27834.7445750786</v>
      </c>
      <c r="S64" s="70" t="n">
        <f aca="false">-S57*Assumptions!$I$73</f>
        <v>-30427.2901233454</v>
      </c>
      <c r="T64" s="70" t="n">
        <f aca="false">-T57*Assumptions!$I$73</f>
        <v>-33066.7724339035</v>
      </c>
      <c r="U64" s="70" t="n">
        <f aca="false">-U57*Assumptions!$I$73</f>
        <v>-35768.1636377705</v>
      </c>
      <c r="V64" s="70" t="n">
        <f aca="false">-V57*Assumptions!$I$73</f>
        <v>-38545.7954923045</v>
      </c>
      <c r="W64" s="70" t="n">
        <f aca="false">-W57*Assumptions!$I$73</f>
        <v>-41413.6826687931</v>
      </c>
      <c r="X64" s="70" t="n">
        <f aca="false">-X57*Assumptions!$I$73</f>
        <v>-44385.8214135366</v>
      </c>
      <c r="Y64" s="70" t="n">
        <f aca="false">-Y57*Assumptions!$I$73</f>
        <v>-47476.4676392987</v>
      </c>
      <c r="Z64" s="70" t="n">
        <f aca="false">-Z57*Assumptions!$I$73</f>
        <v>-50700.3987891842</v>
      </c>
      <c r="AA64" s="70" t="n">
        <f aca="false">-AA57*Assumptions!$I$73</f>
        <v>-54073.1638470075</v>
      </c>
      <c r="AB64" s="70" t="n">
        <f aca="false">-AB57*Assumptions!$I$73</f>
        <v>-57421.4873227209</v>
      </c>
      <c r="AC64" s="70" t="n">
        <f aca="false">-AC57*Assumptions!$I$73</f>
        <v>-60642.8773040631</v>
      </c>
      <c r="AD64" s="70" t="n">
        <f aca="false">-AD57*Assumptions!$I$73</f>
        <v>-63771.3644451241</v>
      </c>
      <c r="AE64" s="70" t="n">
        <f aca="false">-AE57*Assumptions!$I$73</f>
        <v>-66839.2109602507</v>
      </c>
      <c r="AF64" s="70" t="n">
        <f aca="false">-AF57*Assumptions!$I$73</f>
        <v>-69876.9523651196</v>
      </c>
      <c r="AG64" s="70" t="n">
        <f aca="false">-AG57*Assumptions!$I$73</f>
        <v>-72913.6808783564</v>
      </c>
      <c r="AH64" s="70" t="n">
        <f aca="false">-AH57*Assumptions!$I$73</f>
        <v>-75977.409411749</v>
      </c>
      <c r="AI64" s="70" t="n">
        <f aca="false">-AI57*Assumptions!$I$73</f>
        <v>-79095.4196363322</v>
      </c>
      <c r="AJ64" s="70" t="n">
        <f aca="false">-AJ57*Assumptions!$I$73</f>
        <v>-82294.5858145765</v>
      </c>
      <c r="AK64" s="70" t="n">
        <f aca="false">-AK57*Assumptions!$I$73</f>
        <v>-85601.6776494754</v>
      </c>
      <c r="AL64" s="70" t="n">
        <f aca="false">-AL57*Assumptions!$I$73</f>
        <v>-89043.6465451594</v>
      </c>
      <c r="AM64" s="70" t="n">
        <f aca="false">SUM(C64:AL64)</f>
        <v>-1339396.1261616</v>
      </c>
    </row>
    <row r="65" customFormat="false" ht="15" hidden="false" customHeight="false" outlineLevel="0" collapsed="false">
      <c r="A65" s="10" t="s">
        <v>786</v>
      </c>
      <c r="B65" s="9" t="s">
        <v>97</v>
      </c>
      <c r="C65" s="70" t="n">
        <f aca="false">-C54*Assumptions!$I$74</f>
        <v>-0</v>
      </c>
      <c r="D65" s="70" t="n">
        <f aca="false">-D54*Assumptions!$I$74</f>
        <v>-0</v>
      </c>
      <c r="E65" s="70" t="n">
        <f aca="false">-E54*Assumptions!$I$74</f>
        <v>-0</v>
      </c>
      <c r="F65" s="70" t="n">
        <f aca="false">-F54*Assumptions!$I$74</f>
        <v>-0</v>
      </c>
      <c r="G65" s="70" t="n">
        <f aca="false">-G54*Assumptions!$I$74</f>
        <v>-0</v>
      </c>
      <c r="H65" s="70" t="n">
        <f aca="false">-H54*Assumptions!$I$74</f>
        <v>-0</v>
      </c>
      <c r="I65" s="70" t="n">
        <f aca="false">-I54*Assumptions!$I$74</f>
        <v>-3525.80371305302</v>
      </c>
      <c r="J65" s="70" t="n">
        <f aca="false">-J54*Assumptions!$I$74</f>
        <v>-3766.27935097244</v>
      </c>
      <c r="K65" s="70" t="n">
        <f aca="false">-K54*Assumptions!$I$74</f>
        <v>-4010.71721330454</v>
      </c>
      <c r="L65" s="70" t="n">
        <f aca="false">-L54*Assumptions!$I$74</f>
        <v>-4267.09644055933</v>
      </c>
      <c r="M65" s="70" t="n">
        <f aca="false">-M54*Assumptions!$I$74</f>
        <v>-4539.36449242611</v>
      </c>
      <c r="N65" s="70" t="n">
        <f aca="false">-N54*Assumptions!$I$74</f>
        <v>-4828.83590951691</v>
      </c>
      <c r="O65" s="70" t="n">
        <f aca="false">-O54*Assumptions!$I$74</f>
        <v>-5136.16656350524</v>
      </c>
      <c r="P65" s="70" t="n">
        <f aca="false">-P54*Assumptions!$I$74</f>
        <v>-5461.83981439726</v>
      </c>
      <c r="Q65" s="70" t="n">
        <f aca="false">-Q54*Assumptions!$I$74</f>
        <v>-5806.34693270738</v>
      </c>
      <c r="R65" s="70" t="n">
        <f aca="false">-R54*Assumptions!$I$74</f>
        <v>-6170.27753939769</v>
      </c>
      <c r="S65" s="70" t="n">
        <f aca="false">-S54*Assumptions!$I$74</f>
        <v>-6554.37352914298</v>
      </c>
      <c r="T65" s="70" t="n">
        <f aca="false">-T54*Assumptions!$I$74</f>
        <v>-6959.56469970606</v>
      </c>
      <c r="U65" s="70" t="n">
        <f aca="false">-U54*Assumptions!$I$74</f>
        <v>-7386.99462283466</v>
      </c>
      <c r="V65" s="70" t="n">
        <f aca="false">-V54*Assumptions!$I$74</f>
        <v>-7838.04149012705</v>
      </c>
      <c r="W65" s="70" t="n">
        <f aca="false">-W54*Assumptions!$I$74</f>
        <v>-8314.3368001464</v>
      </c>
      <c r="X65" s="70" t="n">
        <f aca="false">-X54*Assumptions!$I$74</f>
        <v>-8817.78372112128</v>
      </c>
      <c r="Y65" s="70" t="n">
        <f aca="false">-Y54*Assumptions!$I$74</f>
        <v>-9350.57635635589</v>
      </c>
      <c r="Z65" s="70" t="n">
        <f aca="false">-Z54*Assumptions!$I$74</f>
        <v>-9915.2207698443</v>
      </c>
      <c r="AA65" s="70" t="n">
        <f aca="false">-AA54*Assumptions!$I$74</f>
        <v>-10514.5584015333</v>
      </c>
      <c r="AB65" s="70" t="n">
        <f aca="false">-AB54*Assumptions!$I$74</f>
        <v>-10951.4607627224</v>
      </c>
      <c r="AC65" s="70" t="n">
        <f aca="false">-AC54*Assumptions!$I$74</f>
        <v>-11276.8530243392</v>
      </c>
      <c r="AD65" s="70" t="n">
        <f aca="false">-AD54*Assumptions!$I$74</f>
        <v>-11620.74350291</v>
      </c>
      <c r="AE65" s="70" t="n">
        <f aca="false">-AE54*Assumptions!$I$74</f>
        <v>-11985.9345267297</v>
      </c>
      <c r="AF65" s="70" t="n">
        <f aca="false">-AF54*Assumptions!$I$74</f>
        <v>-12375.0298678312</v>
      </c>
      <c r="AG65" s="70" t="n">
        <f aca="false">-AG54*Assumptions!$I$74</f>
        <v>-12790.6954863895</v>
      </c>
      <c r="AH65" s="70" t="n">
        <f aca="false">-AH54*Assumptions!$I$74</f>
        <v>-13235.7834524126</v>
      </c>
      <c r="AI65" s="70" t="n">
        <f aca="false">-AI54*Assumptions!$I$74</f>
        <v>-13713.3650756521</v>
      </c>
      <c r="AJ65" s="70" t="n">
        <f aca="false">-AJ54*Assumptions!$I$74</f>
        <v>-14226.753081866</v>
      </c>
      <c r="AK65" s="70" t="n">
        <f aca="false">-AK54*Assumptions!$I$74</f>
        <v>-14779.5238950216</v>
      </c>
      <c r="AL65" s="70" t="n">
        <f aca="false">-AL54*Assumptions!$I$74</f>
        <v>-15375.5416784524</v>
      </c>
      <c r="AM65" s="70" t="n">
        <f aca="false">SUM(C65:AL65)</f>
        <v>-265495.862714979</v>
      </c>
    </row>
    <row r="66" customFormat="false" ht="15" hidden="false" customHeight="false" outlineLevel="0" collapsed="false">
      <c r="A66" s="10" t="s">
        <v>787</v>
      </c>
      <c r="B66" s="9" t="s">
        <v>97</v>
      </c>
      <c r="C66" s="70" t="n">
        <f aca="false">-C57*Assumptions!$I$75</f>
        <v>-0</v>
      </c>
      <c r="D66" s="70" t="n">
        <f aca="false">-D57*Assumptions!$I$75</f>
        <v>-0</v>
      </c>
      <c r="E66" s="70" t="n">
        <f aca="false">-E57*Assumptions!$I$75</f>
        <v>-0</v>
      </c>
      <c r="F66" s="70" t="n">
        <f aca="false">-F57*Assumptions!$I$75</f>
        <v>-0</v>
      </c>
      <c r="G66" s="70" t="n">
        <f aca="false">-G57*Assumptions!$I$75</f>
        <v>-0</v>
      </c>
      <c r="H66" s="70" t="n">
        <f aca="false">-H57*Assumptions!$I$75</f>
        <v>-0</v>
      </c>
      <c r="I66" s="70" t="n">
        <f aca="false">-I57*Assumptions!$I$75</f>
        <v>-303.738711448694</v>
      </c>
      <c r="J66" s="70" t="n">
        <f aca="false">-J57*Assumptions!$I$75</f>
        <v>-588.707733785189</v>
      </c>
      <c r="K66" s="70" t="n">
        <f aca="false">-K57*Assumptions!$I$75</f>
        <v>-857.688461800319</v>
      </c>
      <c r="L66" s="70" t="n">
        <f aca="false">-L57*Assumptions!$I$75</f>
        <v>-1113.7880909193</v>
      </c>
      <c r="M66" s="70" t="n">
        <f aca="false">-M57*Assumptions!$I$75</f>
        <v>-1360.04994442627</v>
      </c>
      <c r="N66" s="70" t="n">
        <f aca="false">-N57*Assumptions!$I$75</f>
        <v>-1599.23495779282</v>
      </c>
      <c r="O66" s="70" t="n">
        <f aca="false">-O57*Assumptions!$I$75</f>
        <v>-1833.80164649793</v>
      </c>
      <c r="P66" s="70" t="n">
        <f aca="false">-P57*Assumptions!$I$75</f>
        <v>-2065.93055920085</v>
      </c>
      <c r="Q66" s="70" t="n">
        <f aca="false">-Q57*Assumptions!$I$75</f>
        <v>-2297.56109489713</v>
      </c>
      <c r="R66" s="70" t="n">
        <f aca="false">-R57*Assumptions!$I$75</f>
        <v>-2530.43132500715</v>
      </c>
      <c r="S66" s="70" t="n">
        <f aca="false">-S57*Assumptions!$I$75</f>
        <v>-2766.11728394049</v>
      </c>
      <c r="T66" s="70" t="n">
        <f aca="false">-T57*Assumptions!$I$75</f>
        <v>-3006.07022126396</v>
      </c>
      <c r="U66" s="70" t="n">
        <f aca="false">-U57*Assumptions!$I$75</f>
        <v>-3251.65123979732</v>
      </c>
      <c r="V66" s="70" t="n">
        <f aca="false">-V57*Assumptions!$I$75</f>
        <v>-3504.16322657314</v>
      </c>
      <c r="W66" s="70" t="n">
        <f aca="false">-W57*Assumptions!$I$75</f>
        <v>-3764.88024261756</v>
      </c>
      <c r="X66" s="70" t="n">
        <f aca="false">-X57*Assumptions!$I$75</f>
        <v>-4035.07467395787</v>
      </c>
      <c r="Y66" s="70" t="n">
        <f aca="false">-Y57*Assumptions!$I$75</f>
        <v>-4316.04251266352</v>
      </c>
      <c r="Z66" s="70" t="n">
        <f aca="false">-Z57*Assumptions!$I$75</f>
        <v>-4609.12716265311</v>
      </c>
      <c r="AA66" s="70" t="n">
        <f aca="false">-AA57*Assumptions!$I$75</f>
        <v>-4915.74216790977</v>
      </c>
      <c r="AB66" s="70" t="n">
        <f aca="false">-AB57*Assumptions!$I$75</f>
        <v>-5220.13521115645</v>
      </c>
      <c r="AC66" s="70" t="n">
        <f aca="false">-AC57*Assumptions!$I$75</f>
        <v>-5512.98884582392</v>
      </c>
      <c r="AD66" s="70" t="n">
        <f aca="false">-AD57*Assumptions!$I$75</f>
        <v>-5797.39676773855</v>
      </c>
      <c r="AE66" s="70" t="n">
        <f aca="false">-AE57*Assumptions!$I$75</f>
        <v>-6076.29190547734</v>
      </c>
      <c r="AF66" s="70" t="n">
        <f aca="false">-AF57*Assumptions!$I$75</f>
        <v>-6352.45021501087</v>
      </c>
      <c r="AG66" s="70" t="n">
        <f aca="false">-AG57*Assumptions!$I$75</f>
        <v>-6628.51644348695</v>
      </c>
      <c r="AH66" s="70" t="n">
        <f aca="false">-AH57*Assumptions!$I$75</f>
        <v>-6907.03721924991</v>
      </c>
      <c r="AI66" s="70" t="n">
        <f aca="false">-AI57*Assumptions!$I$75</f>
        <v>-7190.49269421202</v>
      </c>
      <c r="AJ66" s="70" t="n">
        <f aca="false">-AJ57*Assumptions!$I$75</f>
        <v>-7481.32598314332</v>
      </c>
      <c r="AK66" s="70" t="n">
        <f aca="false">-AK57*Assumptions!$I$75</f>
        <v>-7781.97069540686</v>
      </c>
      <c r="AL66" s="70" t="n">
        <f aca="false">-AL57*Assumptions!$I$75</f>
        <v>-8094.87695865086</v>
      </c>
      <c r="AM66" s="70" t="n">
        <f aca="false">SUM(C66:AL66)</f>
        <v>-121763.284196509</v>
      </c>
    </row>
    <row r="67" customFormat="false" ht="15" hidden="false" customHeight="false" outlineLevel="0" collapsed="false">
      <c r="A67" s="10" t="s">
        <v>788</v>
      </c>
      <c r="B67" s="9" t="s">
        <v>97</v>
      </c>
      <c r="C67" s="70" t="n">
        <f aca="false">-C57*Assumptions!$I$76</f>
        <v>-0</v>
      </c>
      <c r="D67" s="70" t="n">
        <f aca="false">-D57*Assumptions!$I$76</f>
        <v>-0</v>
      </c>
      <c r="E67" s="70" t="n">
        <f aca="false">-E57*Assumptions!$I$76</f>
        <v>-0</v>
      </c>
      <c r="F67" s="70" t="n">
        <f aca="false">-F57*Assumptions!$I$76</f>
        <v>-0</v>
      </c>
      <c r="G67" s="70" t="n">
        <f aca="false">-G57*Assumptions!$I$76</f>
        <v>-0</v>
      </c>
      <c r="H67" s="70" t="n">
        <f aca="false">-H57*Assumptions!$I$76</f>
        <v>-0</v>
      </c>
      <c r="I67" s="70" t="n">
        <f aca="false">-I57*Assumptions!$I$76</f>
        <v>-683.412100759561</v>
      </c>
      <c r="J67" s="70" t="n">
        <f aca="false">-J57*Assumptions!$I$76</f>
        <v>-1324.59240101668</v>
      </c>
      <c r="K67" s="70" t="n">
        <f aca="false">-K57*Assumptions!$I$76</f>
        <v>-1929.79903905072</v>
      </c>
      <c r="L67" s="70" t="n">
        <f aca="false">-L57*Assumptions!$I$76</f>
        <v>-2506.02320456843</v>
      </c>
      <c r="M67" s="70" t="n">
        <f aca="false">-M57*Assumptions!$I$76</f>
        <v>-3060.11237495911</v>
      </c>
      <c r="N67" s="70" t="n">
        <f aca="false">-N57*Assumptions!$I$76</f>
        <v>-3598.27865503384</v>
      </c>
      <c r="O67" s="70" t="n">
        <f aca="false">-O57*Assumptions!$I$76</f>
        <v>-4126.05370462034</v>
      </c>
      <c r="P67" s="70" t="n">
        <f aca="false">-P57*Assumptions!$I$76</f>
        <v>-4648.34375820192</v>
      </c>
      <c r="Q67" s="70" t="n">
        <f aca="false">-Q57*Assumptions!$I$76</f>
        <v>-5169.51246351855</v>
      </c>
      <c r="R67" s="70" t="n">
        <f aca="false">-R57*Assumptions!$I$76</f>
        <v>-5693.47048126608</v>
      </c>
      <c r="S67" s="70" t="n">
        <f aca="false">-S57*Assumptions!$I$76</f>
        <v>-6223.76388886611</v>
      </c>
      <c r="T67" s="70" t="n">
        <f aca="false">-T57*Assumptions!$I$76</f>
        <v>-6763.65799784391</v>
      </c>
      <c r="U67" s="70" t="n">
        <f aca="false">-U57*Assumptions!$I$76</f>
        <v>-7316.21528954396</v>
      </c>
      <c r="V67" s="70" t="n">
        <f aca="false">-V57*Assumptions!$I$76</f>
        <v>-7884.36725978956</v>
      </c>
      <c r="W67" s="70" t="n">
        <f aca="false">-W57*Assumptions!$I$76</f>
        <v>-8470.9805458895</v>
      </c>
      <c r="X67" s="70" t="n">
        <f aca="false">-X57*Assumptions!$I$76</f>
        <v>-9078.91801640521</v>
      </c>
      <c r="Y67" s="70" t="n">
        <f aca="false">-Y57*Assumptions!$I$76</f>
        <v>-9711.09565349292</v>
      </c>
      <c r="Z67" s="70" t="n">
        <f aca="false">-Z57*Assumptions!$I$76</f>
        <v>-10370.5361159695</v>
      </c>
      <c r="AA67" s="70" t="n">
        <f aca="false">-AA57*Assumptions!$I$76</f>
        <v>-11060.419877797</v>
      </c>
      <c r="AB67" s="70" t="n">
        <f aca="false">-AB57*Assumptions!$I$76</f>
        <v>-11745.304225102</v>
      </c>
      <c r="AC67" s="70" t="n">
        <f aca="false">-AC57*Assumptions!$I$76</f>
        <v>-12404.2249031038</v>
      </c>
      <c r="AD67" s="70" t="n">
        <f aca="false">-AD57*Assumptions!$I$76</f>
        <v>-13044.1427274117</v>
      </c>
      <c r="AE67" s="70" t="n">
        <f aca="false">-AE57*Assumptions!$I$76</f>
        <v>-13671.656787324</v>
      </c>
      <c r="AF67" s="70" t="n">
        <f aca="false">-AF57*Assumptions!$I$76</f>
        <v>-14293.0129837745</v>
      </c>
      <c r="AG67" s="70" t="n">
        <f aca="false">-AG57*Assumptions!$I$76</f>
        <v>-14914.1619978456</v>
      </c>
      <c r="AH67" s="70" t="n">
        <f aca="false">-AH57*Assumptions!$I$76</f>
        <v>-15540.8337433123</v>
      </c>
      <c r="AI67" s="70" t="n">
        <f aca="false">-AI57*Assumptions!$I$76</f>
        <v>-16178.6085619771</v>
      </c>
      <c r="AJ67" s="70" t="n">
        <f aca="false">-AJ57*Assumptions!$I$76</f>
        <v>-16832.9834620725</v>
      </c>
      <c r="AK67" s="70" t="n">
        <f aca="false">-AK57*Assumptions!$I$76</f>
        <v>-17509.4340646654</v>
      </c>
      <c r="AL67" s="70" t="n">
        <f aca="false">-AL57*Assumptions!$I$76</f>
        <v>-18213.4731569644</v>
      </c>
      <c r="AM67" s="70" t="n">
        <f aca="false">SUM(C67:AL67)</f>
        <v>-273967.389442146</v>
      </c>
    </row>
    <row r="68" customFormat="false" ht="15" hidden="false" customHeight="false" outlineLevel="0" collapsed="false">
      <c r="A68" s="10" t="s">
        <v>789</v>
      </c>
      <c r="B68" s="9" t="s">
        <v>97</v>
      </c>
      <c r="C68" s="70" t="n">
        <f aca="false">-C57*Assumptions!$I$77</f>
        <v>-0</v>
      </c>
      <c r="D68" s="70" t="n">
        <f aca="false">-D57*Assumptions!$I$77</f>
        <v>-0</v>
      </c>
      <c r="E68" s="70" t="n">
        <f aca="false">-E57*Assumptions!$I$77</f>
        <v>-0</v>
      </c>
      <c r="F68" s="70" t="n">
        <f aca="false">-F57*Assumptions!$I$77</f>
        <v>-0</v>
      </c>
      <c r="G68" s="70" t="n">
        <f aca="false">-G57*Assumptions!$I$77</f>
        <v>-0</v>
      </c>
      <c r="H68" s="70" t="n">
        <f aca="false">-H57*Assumptions!$I$77</f>
        <v>-0</v>
      </c>
      <c r="I68" s="70" t="n">
        <f aca="false">-I57*Assumptions!$I$77</f>
        <v>-170.85302518989</v>
      </c>
      <c r="J68" s="70" t="n">
        <f aca="false">-J57*Assumptions!$I$77</f>
        <v>-331.148100254169</v>
      </c>
      <c r="K68" s="70" t="n">
        <f aca="false">-K57*Assumptions!$I$77</f>
        <v>-482.449759762679</v>
      </c>
      <c r="L68" s="70" t="n">
        <f aca="false">-L57*Assumptions!$I$77</f>
        <v>-626.505801142109</v>
      </c>
      <c r="M68" s="70" t="n">
        <f aca="false">-M57*Assumptions!$I$77</f>
        <v>-765.028093739778</v>
      </c>
      <c r="N68" s="70" t="n">
        <f aca="false">-N57*Assumptions!$I$77</f>
        <v>-899.56966375846</v>
      </c>
      <c r="O68" s="70" t="n">
        <f aca="false">-O57*Assumptions!$I$77</f>
        <v>-1031.51342615509</v>
      </c>
      <c r="P68" s="70" t="n">
        <f aca="false">-P57*Assumptions!$I$77</f>
        <v>-1162.08593955048</v>
      </c>
      <c r="Q68" s="70" t="n">
        <f aca="false">-Q57*Assumptions!$I$77</f>
        <v>-1292.37811587964</v>
      </c>
      <c r="R68" s="70" t="n">
        <f aca="false">-R57*Assumptions!$I$77</f>
        <v>-1423.36762031652</v>
      </c>
      <c r="S68" s="70" t="n">
        <f aca="false">-S57*Assumptions!$I$77</f>
        <v>-1555.94097221653</v>
      </c>
      <c r="T68" s="70" t="n">
        <f aca="false">-T57*Assumptions!$I$77</f>
        <v>-1690.91449946098</v>
      </c>
      <c r="U68" s="70" t="n">
        <f aca="false">-U57*Assumptions!$I$77</f>
        <v>-1829.05382238599</v>
      </c>
      <c r="V68" s="70" t="n">
        <f aca="false">-V57*Assumptions!$I$77</f>
        <v>-1971.09181494739</v>
      </c>
      <c r="W68" s="70" t="n">
        <f aca="false">-W57*Assumptions!$I$77</f>
        <v>-2117.74513647238</v>
      </c>
      <c r="X68" s="70" t="n">
        <f aca="false">-X57*Assumptions!$I$77</f>
        <v>-2269.7295041013</v>
      </c>
      <c r="Y68" s="70" t="n">
        <f aca="false">-Y57*Assumptions!$I$77</f>
        <v>-2427.77391337323</v>
      </c>
      <c r="Z68" s="70" t="n">
        <f aca="false">-Z57*Assumptions!$I$77</f>
        <v>-2592.63402899238</v>
      </c>
      <c r="AA68" s="70" t="n">
        <f aca="false">-AA57*Assumptions!$I$77</f>
        <v>-2765.10496944925</v>
      </c>
      <c r="AB68" s="70" t="n">
        <f aca="false">-AB57*Assumptions!$I$77</f>
        <v>-2936.3260562755</v>
      </c>
      <c r="AC68" s="70" t="n">
        <f aca="false">-AC57*Assumptions!$I$77</f>
        <v>-3101.05622577595</v>
      </c>
      <c r="AD68" s="70" t="n">
        <f aca="false">-AD57*Assumptions!$I$77</f>
        <v>-3261.03568185294</v>
      </c>
      <c r="AE68" s="70" t="n">
        <f aca="false">-AE57*Assumptions!$I$77</f>
        <v>-3417.914196831</v>
      </c>
      <c r="AF68" s="70" t="n">
        <f aca="false">-AF57*Assumptions!$I$77</f>
        <v>-3573.25324594362</v>
      </c>
      <c r="AG68" s="70" t="n">
        <f aca="false">-AG57*Assumptions!$I$77</f>
        <v>-3728.54049946141</v>
      </c>
      <c r="AH68" s="70" t="n">
        <f aca="false">-AH57*Assumptions!$I$77</f>
        <v>-3885.20843582807</v>
      </c>
      <c r="AI68" s="70" t="n">
        <f aca="false">-AI57*Assumptions!$I$77</f>
        <v>-4044.65214049426</v>
      </c>
      <c r="AJ68" s="70" t="n">
        <f aca="false">-AJ57*Assumptions!$I$77</f>
        <v>-4208.24586551812</v>
      </c>
      <c r="AK68" s="70" t="n">
        <f aca="false">-AK57*Assumptions!$I$77</f>
        <v>-4377.35851616636</v>
      </c>
      <c r="AL68" s="70" t="n">
        <f aca="false">-AL57*Assumptions!$I$77</f>
        <v>-4553.36828924111</v>
      </c>
      <c r="AM68" s="70" t="n">
        <f aca="false">SUM(C68:AL68)</f>
        <v>-68491.8473605365</v>
      </c>
    </row>
    <row r="69" customFormat="false" ht="15" hidden="false" customHeight="false" outlineLevel="0" collapsed="false">
      <c r="A69" s="10" t="s">
        <v>790</v>
      </c>
      <c r="B69" s="9" t="s">
        <v>97</v>
      </c>
      <c r="C69" s="70" t="n">
        <f aca="false">-C63*Assumptions!$I$79</f>
        <v>-0</v>
      </c>
      <c r="D69" s="70" t="n">
        <f aca="false">-D63*Assumptions!$I$79</f>
        <v>-0</v>
      </c>
      <c r="E69" s="70" t="n">
        <f aca="false">-E63*Assumptions!$I$79</f>
        <v>-0</v>
      </c>
      <c r="F69" s="70" t="n">
        <f aca="false">-F63*Assumptions!$I$79</f>
        <v>-0</v>
      </c>
      <c r="G69" s="70" t="n">
        <f aca="false">-G63*Assumptions!$I$79</f>
        <v>-0</v>
      </c>
      <c r="H69" s="70" t="n">
        <f aca="false">-H63*Assumptions!$I$79</f>
        <v>-0</v>
      </c>
      <c r="I69" s="70" t="n">
        <f aca="false">-I63*Assumptions!$I$79</f>
        <v>-451.469016118561</v>
      </c>
      <c r="J69" s="70" t="n">
        <f aca="false">-J63*Assumptions!$I$79</f>
        <v>-713.626671439947</v>
      </c>
      <c r="K69" s="70" t="n">
        <f aca="false">-K63*Assumptions!$I$79</f>
        <v>-961.994332294974</v>
      </c>
      <c r="L69" s="70" t="n">
        <f aca="false">-L63*Assumptions!$I$79</f>
        <v>-1199.71236326491</v>
      </c>
      <c r="M69" s="70" t="n">
        <f aca="false">-M63*Assumptions!$I$79</f>
        <v>-1429.6530543731</v>
      </c>
      <c r="N69" s="70" t="n">
        <f aca="false">-N63*Assumptions!$I$79</f>
        <v>-1654.30290491228</v>
      </c>
      <c r="O69" s="70" t="n">
        <f aca="false">-O63*Assumptions!$I$79</f>
        <v>-1875.84897159009</v>
      </c>
      <c r="P69" s="70" t="n">
        <f aca="false">-P63*Assumptions!$I$79</f>
        <v>-2096.22586055104</v>
      </c>
      <c r="Q69" s="70" t="n">
        <f aca="false">-Q63*Assumptions!$I$79</f>
        <v>-2317.15745651569</v>
      </c>
      <c r="R69" s="70" t="n">
        <f aca="false">-R63*Assumptions!$I$79</f>
        <v>-2540.19654791144</v>
      </c>
      <c r="S69" s="70" t="n">
        <f aca="false">-S63*Assumptions!$I$79</f>
        <v>-2766.76206508127</v>
      </c>
      <c r="T69" s="70" t="n">
        <f aca="false">-T63*Assumptions!$I$79</f>
        <v>-2998.17357113716</v>
      </c>
      <c r="U69" s="70" t="n">
        <f aca="false">-U63*Assumptions!$I$79</f>
        <v>-3235.68295057048</v>
      </c>
      <c r="V69" s="70" t="n">
        <f aca="false">-V63*Assumptions!$I$79</f>
        <v>-3480.50346321677</v>
      </c>
      <c r="W69" s="70" t="n">
        <f aca="false">-W63*Assumptions!$I$79</f>
        <v>-3733.83645970498</v>
      </c>
      <c r="X69" s="70" t="n">
        <f aca="false">-X63*Assumptions!$I$79</f>
        <v>-3996.89611968604</v>
      </c>
      <c r="Y69" s="70" t="n">
        <f aca="false">-Y63*Assumptions!$I$79</f>
        <v>-4270.93260032098</v>
      </c>
      <c r="Z69" s="70" t="n">
        <f aca="false">-Z63*Assumptions!$I$79</f>
        <v>-4557.2539857572</v>
      </c>
      <c r="AA69" s="70" t="n">
        <f aca="false">-AA63*Assumptions!$I$79</f>
        <v>-4857.24741886951</v>
      </c>
      <c r="AB69" s="70" t="n">
        <f aca="false">-AB63*Assumptions!$I$79</f>
        <v>-5146.74789625787</v>
      </c>
      <c r="AC69" s="70" t="n">
        <f aca="false">-AC63*Assumptions!$I$79</f>
        <v>-5420.27730184792</v>
      </c>
      <c r="AD69" s="70" t="n">
        <f aca="false">-AD63*Assumptions!$I$79</f>
        <v>-5687.38549212957</v>
      </c>
      <c r="AE69" s="70" t="n">
        <f aca="false">-AE63*Assumptions!$I$79</f>
        <v>-5950.78784336232</v>
      </c>
      <c r="AF69" s="70" t="n">
        <f aca="false">-AF63*Assumptions!$I$79</f>
        <v>-6213.05184677668</v>
      </c>
      <c r="AG69" s="70" t="n">
        <f aca="false">-AG63*Assumptions!$I$79</f>
        <v>-6476.63338661985</v>
      </c>
      <c r="AH69" s="70" t="n">
        <f aca="false">-AH63*Assumptions!$I$79</f>
        <v>-6743.9122328957</v>
      </c>
      <c r="AI69" s="70" t="n">
        <f aca="false">-AI63*Assumptions!$I$79</f>
        <v>-7017.22148905729</v>
      </c>
      <c r="AJ69" s="70" t="n">
        <f aca="false">-AJ63*Assumptions!$I$79</f>
        <v>-7298.87453440638</v>
      </c>
      <c r="AK69" s="70" t="n">
        <f aca="false">-AK63*Assumptions!$I$79</f>
        <v>-7591.19030191536</v>
      </c>
      <c r="AL69" s="70" t="n">
        <f aca="false">-AL63*Assumptions!$I$79</f>
        <v>-7896.51732824583</v>
      </c>
      <c r="AM69" s="70" t="n">
        <f aca="false">SUM(C69:AL69)</f>
        <v>-120580.075466831</v>
      </c>
    </row>
    <row r="70" customFormat="false" ht="15" hidden="false" customHeight="false" outlineLevel="0" collapsed="false">
      <c r="A70" s="37" t="s">
        <v>791</v>
      </c>
      <c r="B70" s="9" t="s">
        <v>97</v>
      </c>
      <c r="C70" s="53" t="n">
        <f aca="false">C63+C64+C65+C66+C67+C68+C69</f>
        <v>0</v>
      </c>
      <c r="D70" s="53" t="n">
        <f aca="false">D63+D64+D65+D66+D67+D68+D69</f>
        <v>0</v>
      </c>
      <c r="E70" s="53" t="n">
        <f aca="false">E63+E64+E65+E66+E67+E68+E69</f>
        <v>0</v>
      </c>
      <c r="F70" s="53" t="n">
        <f aca="false">F63+F64+F65+F66+F67+F68+F69</f>
        <v>0</v>
      </c>
      <c r="G70" s="53" t="n">
        <f aca="false">G63+G64+G65+G66+G67+G68+G69</f>
        <v>0</v>
      </c>
      <c r="H70" s="53" t="n">
        <f aca="false">H63+H64+H65+H66+H67+H68+H69</f>
        <v>0</v>
      </c>
      <c r="I70" s="53" t="n">
        <f aca="false">I63+I64+I65+I66+I67+I68+I69</f>
        <v>7091.49471503125</v>
      </c>
      <c r="J70" s="53" t="n">
        <f aca="false">J63+J64+J65+J66+J67+J68+J69</f>
        <v>11407.6769274444</v>
      </c>
      <c r="K70" s="53" t="n">
        <f aca="false">K63+K64+K65+K66+K67+K68+K69</f>
        <v>15494.9964689824</v>
      </c>
      <c r="L70" s="53" t="n">
        <f aca="false">L63+L64+L65+L66+L67+L68+L69</f>
        <v>19404.5969361547</v>
      </c>
      <c r="M70" s="53" t="n">
        <f aca="false">M63+M64+M65+M66+M67+M68+M69</f>
        <v>23183.623836666</v>
      </c>
      <c r="N70" s="53" t="n">
        <f aca="false">N63+N64+N65+N66+N67+N68+N69</f>
        <v>26873.1211288607</v>
      </c>
      <c r="O70" s="53" t="n">
        <f aca="false">O63+O64+O65+O66+O67+O68+O69</f>
        <v>30509.2448723641</v>
      </c>
      <c r="P70" s="53" t="n">
        <f aca="false">P63+P64+P65+P66+P67+P68+P69</f>
        <v>34123.9882807181</v>
      </c>
      <c r="Q70" s="53" t="n">
        <f aca="false">Q63+Q64+Q65+Q66+Q67+Q68+Q69</f>
        <v>37745.8531517748</v>
      </c>
      <c r="R70" s="53" t="n">
        <f aca="false">R63+R64+R65+R66+R67+R68+R69</f>
        <v>41400.4963217618</v>
      </c>
      <c r="S70" s="53" t="n">
        <f aca="false">S63+S64+S65+S66+S67+S68+S69</f>
        <v>45111.3405884854</v>
      </c>
      <c r="T70" s="53" t="n">
        <f aca="false">T63+T64+T65+T66+T67+T68+T69</f>
        <v>48900.1421331383</v>
      </c>
      <c r="U70" s="53" t="n">
        <f aca="false">U63+U64+U65+U66+U67+U68+U69</f>
        <v>52787.5125946997</v>
      </c>
      <c r="V70" s="53" t="n">
        <f aca="false">V63+V64+V65+V66+V67+V68+V69</f>
        <v>56793.39805362</v>
      </c>
      <c r="W70" s="53" t="n">
        <f aca="false">W63+W64+W65+W66+W67+W68+W69</f>
        <v>60937.5195155132</v>
      </c>
      <c r="X70" s="53" t="n">
        <f aca="false">X63+X64+X65+X66+X67+X68+X69</f>
        <v>65239.7806782966</v>
      </c>
      <c r="Y70" s="53" t="n">
        <f aca="false">Y63+Y64+Y65+Y66+Y67+Y68+Y69</f>
        <v>69720.6492665975</v>
      </c>
      <c r="Z70" s="53" t="n">
        <f aca="false">Z63+Z64+Z65+Z66+Z67+Z68+Z69</f>
        <v>74401.5183116407</v>
      </c>
      <c r="AA70" s="53" t="n">
        <f aca="false">AA63+AA64+AA65+AA66+AA67+AA68+AA69</f>
        <v>79305.053623279</v>
      </c>
      <c r="AB70" s="53" t="n">
        <f aca="false">AB63+AB64+AB65+AB66+AB67+AB68+AB69</f>
        <v>84052.6039139674</v>
      </c>
      <c r="AC70" s="53" t="n">
        <f aca="false">AC63+AC64+AC65+AC66+AC67+AC68+AC69</f>
        <v>88547.8362518709</v>
      </c>
      <c r="AD70" s="53" t="n">
        <f aca="false">AD63+AD64+AD65+AD66+AD67+AD68+AD69</f>
        <v>92934.6724907493</v>
      </c>
      <c r="AE70" s="53" t="n">
        <f aca="false">AE63+AE64+AE65+AE66+AE67+AE68+AE69</f>
        <v>97257.7845856221</v>
      </c>
      <c r="AF70" s="53" t="n">
        <f aca="false">AF63+AF64+AF65+AF66+AF67+AF68+AF69</f>
        <v>101559.416605774</v>
      </c>
      <c r="AG70" s="53" t="n">
        <f aca="false">AG63+AG64+AG65+AG66+AG67+AG68+AG69</f>
        <v>105879.957053352</v>
      </c>
      <c r="AH70" s="53" t="n">
        <f aca="false">AH63+AH64+AH65+AH66+AH67+AH68+AH69</f>
        <v>110258.513190611</v>
      </c>
      <c r="AI70" s="53" t="n">
        <f aca="false">AI63+AI64+AI65+AI66+AI67+AI68+AI69</f>
        <v>114733.395197354</v>
      </c>
      <c r="AJ70" s="53" t="n">
        <f aca="false">AJ63+AJ64+AJ65+AJ66+AJ67+AJ68+AJ69</f>
        <v>119342.560031051</v>
      </c>
      <c r="AK70" s="53" t="n">
        <f aca="false">AK63+AK64+AK65+AK66+AK67+AK68+AK69</f>
        <v>124124.027702017</v>
      </c>
      <c r="AL70" s="53" t="n">
        <f aca="false">AL63+AL64+AL65+AL66+AL67+AL68+AL69</f>
        <v>129116.27701728</v>
      </c>
      <c r="AM70" s="53" t="n">
        <f aca="false">SUM(C70:AL70)</f>
        <v>1968239.05144468</v>
      </c>
    </row>
    <row r="71" customFormat="false" ht="15" hidden="false" customHeight="false" outlineLevel="0" collapsed="false">
      <c r="A71" s="10" t="s">
        <v>792</v>
      </c>
      <c r="B71" s="9" t="s">
        <v>61</v>
      </c>
      <c r="C71" s="62" t="n">
        <f aca="false">IFERROR(C70/C63,0)</f>
        <v>0</v>
      </c>
      <c r="D71" s="62" t="n">
        <f aca="false">IFERROR(D70/D63,0)</f>
        <v>0</v>
      </c>
      <c r="E71" s="62" t="n">
        <f aca="false">IFERROR(E70/E63,0)</f>
        <v>0</v>
      </c>
      <c r="F71" s="62" t="n">
        <f aca="false">IFERROR(F70/F63,0)</f>
        <v>0</v>
      </c>
      <c r="G71" s="62" t="n">
        <f aca="false">IFERROR(G70/G63,0)</f>
        <v>0</v>
      </c>
      <c r="H71" s="62" t="n">
        <f aca="false">IFERROR(H70/H63,0)</f>
        <v>0</v>
      </c>
      <c r="I71" s="62" t="n">
        <f aca="false">IFERROR(I70/I63,0)</f>
        <v>0.45552039983603</v>
      </c>
      <c r="J71" s="62" t="n">
        <f aca="false">IFERROR(J70/J63,0)</f>
        <v>0.46357940942476</v>
      </c>
      <c r="K71" s="62" t="n">
        <f aca="false">IFERROR(K70/K63,0)</f>
        <v>0.467107635165052</v>
      </c>
      <c r="L71" s="62" t="n">
        <f aca="false">IFERROR(L70/L63,0)</f>
        <v>0.469056857609649</v>
      </c>
      <c r="M71" s="62" t="n">
        <f aca="false">IFERROR(M70/M63,0)</f>
        <v>0.470271503429989</v>
      </c>
      <c r="N71" s="62" t="n">
        <f aca="false">IFERROR(N70/N63,0)</f>
        <v>0.471086951744355</v>
      </c>
      <c r="O71" s="62" t="n">
        <f aca="false">IFERROR(O70/O63,0)</f>
        <v>0.471662758941927</v>
      </c>
      <c r="P71" s="62" t="n">
        <f aca="false">IFERROR(P70/P63,0)</f>
        <v>0.472084463207932</v>
      </c>
      <c r="Q71" s="62" t="n">
        <f aca="false">IFERROR(Q70/Q63,0)</f>
        <v>0.47240196747245</v>
      </c>
      <c r="R71" s="62" t="n">
        <f aca="false">IFERROR(R70/R63,0)</f>
        <v>0.472646258148112</v>
      </c>
      <c r="S71" s="62" t="n">
        <f aca="false">IFERROR(S70/S63,0)</f>
        <v>0.472837506909959</v>
      </c>
      <c r="T71" s="62" t="n">
        <f aca="false">IFERROR(T70/T63,0)</f>
        <v>0.472989334411064</v>
      </c>
      <c r="U71" s="62" t="n">
        <f aca="false">IFERROR(U70/U63,0)</f>
        <v>0.473111206701013</v>
      </c>
      <c r="V71" s="62" t="n">
        <f aca="false">IFERROR(V70/V63,0)</f>
        <v>0.473209856263947</v>
      </c>
      <c r="W71" s="62" t="n">
        <f aca="false">IFERROR(W70/W63,0)</f>
        <v>0.473290162818088</v>
      </c>
      <c r="X71" s="62" t="n">
        <f aca="false">IFERROR(X70/X63,0)</f>
        <v>0.473355719792691</v>
      </c>
      <c r="Y71" s="62" t="n">
        <f aca="false">IFERROR(Y70/Y63,0)</f>
        <v>0.473409210105393</v>
      </c>
      <c r="Z71" s="62" t="n">
        <f aca="false">IFERROR(Z70/Z63,0)</f>
        <v>0.473452662015519</v>
      </c>
      <c r="AA71" s="62" t="n">
        <f aca="false">IFERROR(AA70/AA63,0)</f>
        <v>0.473487627198197</v>
      </c>
      <c r="AB71" s="62" t="n">
        <f aca="false">IFERROR(AB70/AB63,0)</f>
        <v>0.473604995355872</v>
      </c>
      <c r="AC71" s="62" t="n">
        <f aca="false">IFERROR(AC70/AC63,0)</f>
        <v>0.473755697043174</v>
      </c>
      <c r="AD71" s="62" t="n">
        <f aca="false">IFERROR(AD70/AD63,0)</f>
        <v>0.473874244318646</v>
      </c>
      <c r="AE71" s="62" t="n">
        <f aca="false">IFERROR(AE70/AE63,0)</f>
        <v>0.473966780067463</v>
      </c>
      <c r="AF71" s="62" t="n">
        <f aca="false">IFERROR(AF70/AF63,0)</f>
        <v>0.474038066026348</v>
      </c>
      <c r="AG71" s="62" t="n">
        <f aca="false">IFERROR(AG70/AG63,0)</f>
        <v>0.474091796038762</v>
      </c>
      <c r="AH71" s="62" t="n">
        <f aca="false">IFERROR(AH70/AH63,0)</f>
        <v>0.474130856408666</v>
      </c>
      <c r="AI71" s="62" t="n">
        <f aca="false">IFERROR(AI70/AI63,0)</f>
        <v>0.474157537411614</v>
      </c>
      <c r="AJ71" s="62" t="n">
        <f aca="false">IFERROR(AJ70/AJ63,0)</f>
        <v>0.474173685899912</v>
      </c>
      <c r="AK71" s="62" t="n">
        <f aca="false">IFERROR(AK70/AK63,0)</f>
        <v>0.474180814891474</v>
      </c>
      <c r="AL71" s="62" t="n">
        <f aca="false">IFERROR(AL70/AL63,0)</f>
        <v>0.474180183219191</v>
      </c>
      <c r="AM71" s="62" t="n">
        <f aca="false">AVERAGE(N71:AL71)</f>
        <v>0.473327213696471</v>
      </c>
    </row>
    <row r="72" customFormat="false" ht="15" hidden="false" customHeight="false" outlineLevel="0" collapsed="false">
      <c r="A72" s="37" t="s">
        <v>793</v>
      </c>
      <c r="B72" s="9" t="s">
        <v>97</v>
      </c>
      <c r="C72" s="53" t="n">
        <f aca="false">C42+C63</f>
        <v>0</v>
      </c>
      <c r="D72" s="53" t="n">
        <f aca="false">D42+D63</f>
        <v>113490</v>
      </c>
      <c r="E72" s="53" t="n">
        <f aca="false">E42+E63</f>
        <v>199969.38</v>
      </c>
      <c r="F72" s="53" t="n">
        <f aca="false">F42+F63</f>
        <v>249184.854657472</v>
      </c>
      <c r="G72" s="53" t="n">
        <f aca="false">G42+G63</f>
        <v>290198.617190937</v>
      </c>
      <c r="H72" s="53" t="n">
        <f aca="false">H42+H63</f>
        <v>326483.593296986</v>
      </c>
      <c r="I72" s="53" t="n">
        <f aca="false">I42+I63</f>
        <v>373567.317893295</v>
      </c>
      <c r="J72" s="53" t="n">
        <f aca="false">J42+J63</f>
        <v>411894.399015194</v>
      </c>
      <c r="K72" s="53" t="n">
        <f aca="false">K42+K63</f>
        <v>446726.958948987</v>
      </c>
      <c r="L72" s="53" t="n">
        <f aca="false">L42+L63</f>
        <v>478867.019928695</v>
      </c>
      <c r="M72" s="53" t="n">
        <f aca="false">M42+M63</f>
        <v>508862.288123465</v>
      </c>
      <c r="N72" s="53" t="n">
        <f aca="false">N42+N63</f>
        <v>537139.405922434</v>
      </c>
      <c r="O72" s="53" t="n">
        <f aca="false">O42+O63</f>
        <v>564053.648915698</v>
      </c>
      <c r="P72" s="53" t="n">
        <f aca="false">P42+P63</f>
        <v>589905.786143564</v>
      </c>
      <c r="Q72" s="53" t="n">
        <f aca="false">Q42+Q63</f>
        <v>614953.398438227</v>
      </c>
      <c r="R72" s="53" t="n">
        <f aca="false">R42+R63</f>
        <v>639419.753889194</v>
      </c>
      <c r="S72" s="53" t="n">
        <f aca="false">S42+S63</f>
        <v>663501.076449422</v>
      </c>
      <c r="T72" s="53" t="n">
        <f aca="false">T42+T63</f>
        <v>687372.579640329</v>
      </c>
      <c r="U72" s="53" t="n">
        <f aca="false">U42+U63</f>
        <v>711193.512773771</v>
      </c>
      <c r="V72" s="53" t="n">
        <f aca="false">V42+V63</f>
        <v>735111.410483879</v>
      </c>
      <c r="W72" s="53" t="n">
        <f aca="false">W42+W63</f>
        <v>759265.700362327</v>
      </c>
      <c r="X72" s="53" t="n">
        <f aca="false">X42+X63</f>
        <v>783790.796578038</v>
      </c>
      <c r="Y72" s="53" t="n">
        <f aca="false">Y42+Y63</f>
        <v>808818.785881207</v>
      </c>
      <c r="Z72" s="53" t="n">
        <f aca="false">Z42+Z63</f>
        <v>834481.794831691</v>
      </c>
      <c r="AA72" s="53" t="n">
        <f aca="false">AA42+AA63</f>
        <v>860914.112645427</v>
      </c>
      <c r="AB72" s="53" t="n">
        <f aca="false">AB42+AB63</f>
        <v>887369.584435024</v>
      </c>
      <c r="AC72" s="53" t="n">
        <f aca="false">AC42+AC63</f>
        <v>913687.30484531</v>
      </c>
      <c r="AD72" s="53" t="n">
        <f aca="false">AD42+AD63</f>
        <v>940241.972177202</v>
      </c>
      <c r="AE72" s="53" t="n">
        <f aca="false">AE42+AE63</f>
        <v>967209.983005466</v>
      </c>
      <c r="AF72" s="53" t="n">
        <f aca="false">AF42+AF63</f>
        <v>994764.270907599</v>
      </c>
      <c r="AG72" s="53" t="n">
        <f aca="false">AG42+AG63</f>
        <v>1023080.30366836</v>
      </c>
      <c r="AH72" s="53" t="n">
        <f aca="false">AH42+AH63</f>
        <v>1052338.64011764</v>
      </c>
      <c r="AI72" s="53" t="n">
        <f aca="false">AI42+AI63</f>
        <v>1082726.54796048</v>
      </c>
      <c r="AJ72" s="53" t="n">
        <f aca="false">AJ42+AJ63</f>
        <v>1114439.52213508</v>
      </c>
      <c r="AK72" s="53" t="n">
        <f aca="false">AK42+AK63</f>
        <v>1147682.80085056</v>
      </c>
      <c r="AL72" s="53" t="n">
        <f aca="false">AL42+AL63</f>
        <v>1182672.90834968</v>
      </c>
      <c r="AM72" s="53" t="n">
        <f aca="false">SUM(C72:AL72)</f>
        <v>24495380.0304626</v>
      </c>
    </row>
    <row r="73" customFormat="false" ht="15" hidden="false" customHeight="false" outlineLevel="0" collapsed="false">
      <c r="A73" s="37" t="s">
        <v>794</v>
      </c>
      <c r="B73" s="9" t="s">
        <v>97</v>
      </c>
      <c r="C73" s="53" t="n">
        <f aca="false">C46+C70</f>
        <v>0</v>
      </c>
      <c r="D73" s="53" t="n">
        <f aca="false">D46+D70</f>
        <v>68528.79</v>
      </c>
      <c r="E73" s="53" t="n">
        <f aca="false">E46+E70</f>
        <v>120747.72798</v>
      </c>
      <c r="F73" s="53" t="n">
        <f aca="false">F46+F70</f>
        <v>150465.561512049</v>
      </c>
      <c r="G73" s="53" t="n">
        <f aca="false">G46+G70</f>
        <v>175230.946301596</v>
      </c>
      <c r="H73" s="53" t="n">
        <f aca="false">H46+H70</f>
        <v>197140.942845137</v>
      </c>
      <c r="I73" s="53" t="n">
        <f aca="false">I46+I70</f>
        <v>223262.673912748</v>
      </c>
      <c r="J73" s="53" t="n">
        <f aca="false">J46+J70</f>
        <v>245263.354957973</v>
      </c>
      <c r="K73" s="53" t="n">
        <f aca="false">K46+K70</f>
        <v>265212.204783987</v>
      </c>
      <c r="L73" s="53" t="n">
        <f aca="false">L46+L70</f>
        <v>283579.265021563</v>
      </c>
      <c r="M73" s="53" t="n">
        <f aca="false">M46+M70</f>
        <v>300682.597051456</v>
      </c>
      <c r="N73" s="53" t="n">
        <f aca="false">N46+N70</f>
        <v>316769.091473867</v>
      </c>
      <c r="O73" s="53" t="n">
        <f aca="false">O46+O70</f>
        <v>332043.892420602</v>
      </c>
      <c r="P73" s="53" t="n">
        <f aca="false">P46+P70</f>
        <v>346680.324893644</v>
      </c>
      <c r="Q73" s="53" t="n">
        <f aca="false">Q46+Q70</f>
        <v>360826.531687915</v>
      </c>
      <c r="R73" s="53" t="n">
        <f aca="false">R46+R70</f>
        <v>374610.654062245</v>
      </c>
      <c r="S73" s="53" t="n">
        <f aca="false">S46+S70</f>
        <v>388145.056307809</v>
      </c>
      <c r="T73" s="53" t="n">
        <f aca="false">T46+T70</f>
        <v>401529.81834826</v>
      </c>
      <c r="U73" s="53" t="n">
        <f aca="false">U46+U70</f>
        <v>414855.64506714</v>
      </c>
      <c r="V73" s="53" t="n">
        <f aca="false">V46+V70</f>
        <v>428206.306336257</v>
      </c>
      <c r="W73" s="53" t="n">
        <f aca="false">W46+W70</f>
        <v>441660.699638989</v>
      </c>
      <c r="X73" s="53" t="n">
        <f aca="false">X46+X70</f>
        <v>455294.610767675</v>
      </c>
      <c r="Y73" s="53" t="n">
        <f aca="false">Y46+Y70</f>
        <v>469182.235058445</v>
      </c>
      <c r="Z73" s="53" t="n">
        <f aca="false">Z46+Z70</f>
        <v>483397.511050438</v>
      </c>
      <c r="AA73" s="53" t="n">
        <f aca="false">AA46+AA70</f>
        <v>498015.309798418</v>
      </c>
      <c r="AB73" s="53" t="n">
        <f aca="false">AB46+AB70</f>
        <v>512709.586438424</v>
      </c>
      <c r="AC73" s="53" t="n">
        <f aca="false">AC46+AC70</f>
        <v>527400.912410121</v>
      </c>
      <c r="AD73" s="53" t="n">
        <f aca="false">AD46+AD70</f>
        <v>542260.619214237</v>
      </c>
      <c r="AE73" s="53" t="n">
        <f aca="false">AE46+AE70</f>
        <v>557383.353624043</v>
      </c>
      <c r="AF73" s="53" t="n">
        <f aca="false">AF46+AF70</f>
        <v>572862.32268849</v>
      </c>
      <c r="AG73" s="53" t="n">
        <f aca="false">AG46+AG70</f>
        <v>588792.731976518</v>
      </c>
      <c r="AH73" s="53" t="n">
        <f aca="false">AH46+AH70</f>
        <v>605273.164781111</v>
      </c>
      <c r="AI73" s="53" t="n">
        <f aca="false">AI46+AI70</f>
        <v>622406.430019976</v>
      </c>
      <c r="AJ73" s="53" t="n">
        <f aca="false">AJ46+AJ70</f>
        <v>640300.361939189</v>
      </c>
      <c r="AK73" s="53" t="n">
        <f aca="false">AK46+AK70</f>
        <v>659068.625490339</v>
      </c>
      <c r="AL73" s="53" t="n">
        <f aca="false">AL46+AL70</f>
        <v>678831.54287872</v>
      </c>
      <c r="AM73" s="53" t="n">
        <f aca="false">SUM(C73:AL73)</f>
        <v>14248621.4027394</v>
      </c>
    </row>
    <row r="74" customFormat="false" ht="15" hidden="false" customHeight="false" outlineLevel="0" collapsed="false">
      <c r="A74" s="37" t="s">
        <v>795</v>
      </c>
      <c r="B74" s="9" t="s">
        <v>61</v>
      </c>
      <c r="C74" s="52" t="n">
        <f aca="false">IFERROR(C73/C72,0)</f>
        <v>0</v>
      </c>
      <c r="D74" s="52" t="n">
        <f aca="false">IFERROR(D73/D72,0)</f>
        <v>0.603831086439334</v>
      </c>
      <c r="E74" s="52" t="n">
        <f aca="false">IFERROR(E73/E72,0)</f>
        <v>0.603831086439334</v>
      </c>
      <c r="F74" s="52" t="n">
        <f aca="false">IFERROR(F73/F72,0)</f>
        <v>0.603831086439334</v>
      </c>
      <c r="G74" s="52" t="n">
        <f aca="false">IFERROR(G73/G72,0)</f>
        <v>0.603831086439334</v>
      </c>
      <c r="H74" s="52" t="n">
        <f aca="false">IFERROR(H73/H72,0)</f>
        <v>0.603831086439334</v>
      </c>
      <c r="I74" s="52" t="n">
        <f aca="false">IFERROR(I73/I72,0)</f>
        <v>0.597650445365031</v>
      </c>
      <c r="J74" s="52" t="n">
        <f aca="false">IFERROR(J73/J72,0)</f>
        <v>0.595452027374925</v>
      </c>
      <c r="K74" s="52" t="n">
        <f aca="false">IFERROR(K73/K72,0)</f>
        <v>0.593678531082948</v>
      </c>
      <c r="L74" s="52" t="n">
        <f aca="false">IFERROR(L73/L72,0)</f>
        <v>0.592187921113859</v>
      </c>
      <c r="M74" s="52" t="n">
        <f aca="false">IFERROR(M73/M72,0)</f>
        <v>0.59089188581902</v>
      </c>
      <c r="N74" s="52" t="n">
        <f aca="false">IFERROR(N73/N72,0)</f>
        <v>0.589733480696463</v>
      </c>
      <c r="O74" s="52" t="n">
        <f aca="false">IFERROR(O73/O72,0)</f>
        <v>0.588674309720189</v>
      </c>
      <c r="P74" s="52" t="n">
        <f aca="false">IFERROR(P73/P72,0)</f>
        <v>0.587687615610661</v>
      </c>
      <c r="Q74" s="52" t="n">
        <f aca="false">IFERROR(Q73/Q72,0)</f>
        <v>0.586754268867027</v>
      </c>
      <c r="R74" s="52" t="n">
        <f aca="false">IFERROR(R73/R72,0)</f>
        <v>0.585860308168024</v>
      </c>
      <c r="S74" s="52" t="n">
        <f aca="false">IFERROR(S73/S72,0)</f>
        <v>0.584995367882266</v>
      </c>
      <c r="T74" s="52" t="n">
        <f aca="false">IFERROR(T73/T72,0)</f>
        <v>0.58415163805103</v>
      </c>
      <c r="U74" s="52" t="n">
        <f aca="false">IFERROR(U73/U72,0)</f>
        <v>0.583323156940979</v>
      </c>
      <c r="V74" s="52" t="n">
        <f aca="false">IFERROR(V73/V72,0)</f>
        <v>0.582505318553544</v>
      </c>
      <c r="W74" s="52" t="n">
        <f aca="false">IFERROR(W73/W72,0)</f>
        <v>0.581694523311439</v>
      </c>
      <c r="X74" s="52" t="n">
        <f aca="false">IFERROR(X73/X72,0)</f>
        <v>0.58088792667055</v>
      </c>
      <c r="Y74" s="52" t="n">
        <f aca="false">IFERROR(Y73/Y72,0)</f>
        <v>0.580083256284993</v>
      </c>
      <c r="Z74" s="52" t="n">
        <f aca="false">IFERROR(Z73/Z72,0)</f>
        <v>0.579278678150116</v>
      </c>
      <c r="AA74" s="52" t="n">
        <f aca="false">IFERROR(AA73/AA72,0)</f>
        <v>0.578472698360247</v>
      </c>
      <c r="AB74" s="52" t="n">
        <f aca="false">IFERROR(AB73/AB72,0)</f>
        <v>0.57778584642932</v>
      </c>
      <c r="AC74" s="52" t="n">
        <f aca="false">IFERROR(AC73/AC72,0)</f>
        <v>0.577222546065047</v>
      </c>
      <c r="AD74" s="52" t="n">
        <f aca="false">IFERROR(AD73/AD72,0)</f>
        <v>0.57672454034209</v>
      </c>
      <c r="AE74" s="52" t="n">
        <f aca="false">IFERROR(AE73/AE72,0)</f>
        <v>0.576279570535505</v>
      </c>
      <c r="AF74" s="52" t="n">
        <f aca="false">IFERROR(AF73/AF72,0)</f>
        <v>0.575877461065047</v>
      </c>
      <c r="AG74" s="52" t="n">
        <f aca="false">IFERROR(AG73/AG72,0)</f>
        <v>0.575509791230797</v>
      </c>
      <c r="AH74" s="52" t="n">
        <f aca="false">IFERROR(AH73/AH72,0)</f>
        <v>0.575169571568187</v>
      </c>
      <c r="AI74" s="52" t="n">
        <f aca="false">IFERROR(AI73/AI72,0)</f>
        <v>0.574850991870842</v>
      </c>
      <c r="AJ74" s="52" t="n">
        <f aca="false">IFERROR(AJ73/AJ72,0)</f>
        <v>0.57454922337327</v>
      </c>
      <c r="AK74" s="52" t="n">
        <f aca="false">IFERROR(AK73/AK72,0)</f>
        <v>0.574260261634918</v>
      </c>
      <c r="AL74" s="52" t="n">
        <f aca="false">IFERROR(AL73/AL72,0)</f>
        <v>0.573980800681375</v>
      </c>
      <c r="AM74" s="52" t="n">
        <f aca="false">AVERAGE(N74:AL74)</f>
        <v>0.580252526082557</v>
      </c>
    </row>
    <row r="75" customFormat="false" ht="15" hidden="false" customHeight="false" outlineLevel="0" collapsed="false">
      <c r="A75" s="10" t="s">
        <v>796</v>
      </c>
      <c r="B75" s="9" t="s">
        <v>97</v>
      </c>
      <c r="C75" s="70" t="n">
        <f aca="false">-Assumptions!$I$82</f>
        <v>-600</v>
      </c>
      <c r="D75" s="70" t="n">
        <f aca="false">-Assumptions!$I$82</f>
        <v>-600</v>
      </c>
      <c r="E75" s="70" t="n">
        <f aca="false">-Assumptions!$I$82</f>
        <v>-600</v>
      </c>
      <c r="F75" s="70" t="n">
        <f aca="false">-Assumptions!$I$82</f>
        <v>-600</v>
      </c>
      <c r="G75" s="70" t="n">
        <f aca="false">-Assumptions!$I$82</f>
        <v>-600</v>
      </c>
      <c r="H75" s="70" t="n">
        <f aca="false">-Assumptions!$I$82</f>
        <v>-600</v>
      </c>
      <c r="I75" s="70" t="n">
        <f aca="false">-Assumptions!$I$82</f>
        <v>-600</v>
      </c>
      <c r="J75" s="70" t="n">
        <f aca="false">-Assumptions!$I$82</f>
        <v>-600</v>
      </c>
      <c r="K75" s="70" t="n">
        <f aca="false">-Assumptions!$I$82</f>
        <v>-600</v>
      </c>
      <c r="L75" s="70" t="n">
        <f aca="false">-Assumptions!$I$82</f>
        <v>-600</v>
      </c>
      <c r="M75" s="70" t="n">
        <f aca="false">-Assumptions!$I$82</f>
        <v>-600</v>
      </c>
      <c r="N75" s="70" t="n">
        <f aca="false">-Assumptions!$I$82</f>
        <v>-600</v>
      </c>
      <c r="O75" s="70" t="n">
        <f aca="false">-Assumptions!$I$82</f>
        <v>-600</v>
      </c>
      <c r="P75" s="70" t="n">
        <f aca="false">-Assumptions!$I$82</f>
        <v>-600</v>
      </c>
      <c r="Q75" s="70" t="n">
        <f aca="false">-Assumptions!$I$82</f>
        <v>-600</v>
      </c>
      <c r="R75" s="70" t="n">
        <f aca="false">-Assumptions!$I$82</f>
        <v>-600</v>
      </c>
      <c r="S75" s="70" t="n">
        <f aca="false">-Assumptions!$I$82</f>
        <v>-600</v>
      </c>
      <c r="T75" s="70" t="n">
        <f aca="false">-Assumptions!$I$82</f>
        <v>-600</v>
      </c>
      <c r="U75" s="70" t="n">
        <f aca="false">-Assumptions!$I$82</f>
        <v>-600</v>
      </c>
      <c r="V75" s="70" t="n">
        <f aca="false">-Assumptions!$I$82</f>
        <v>-600</v>
      </c>
      <c r="W75" s="70" t="n">
        <f aca="false">-Assumptions!$I$82</f>
        <v>-600</v>
      </c>
      <c r="X75" s="70" t="n">
        <f aca="false">-Assumptions!$I$82</f>
        <v>-600</v>
      </c>
      <c r="Y75" s="70" t="n">
        <f aca="false">-Assumptions!$I$82</f>
        <v>-600</v>
      </c>
      <c r="Z75" s="70" t="n">
        <f aca="false">-Assumptions!$I$82</f>
        <v>-600</v>
      </c>
      <c r="AA75" s="70" t="n">
        <f aca="false">-Assumptions!$I$82</f>
        <v>-600</v>
      </c>
      <c r="AB75" s="70" t="n">
        <f aca="false">-Assumptions!$I$82</f>
        <v>-600</v>
      </c>
      <c r="AC75" s="70" t="n">
        <f aca="false">-Assumptions!$I$82</f>
        <v>-600</v>
      </c>
      <c r="AD75" s="70" t="n">
        <f aca="false">-Assumptions!$I$82</f>
        <v>-600</v>
      </c>
      <c r="AE75" s="70" t="n">
        <f aca="false">-Assumptions!$I$82</f>
        <v>-600</v>
      </c>
      <c r="AF75" s="70" t="n">
        <f aca="false">-Assumptions!$I$82</f>
        <v>-600</v>
      </c>
      <c r="AG75" s="70" t="n">
        <f aca="false">-Assumptions!$I$82</f>
        <v>-600</v>
      </c>
      <c r="AH75" s="70" t="n">
        <f aca="false">-Assumptions!$I$82</f>
        <v>-600</v>
      </c>
      <c r="AI75" s="70" t="n">
        <f aca="false">-Assumptions!$I$82</f>
        <v>-600</v>
      </c>
      <c r="AJ75" s="70" t="n">
        <f aca="false">-Assumptions!$I$82</f>
        <v>-600</v>
      </c>
      <c r="AK75" s="70" t="n">
        <f aca="false">-Assumptions!$I$82</f>
        <v>-600</v>
      </c>
      <c r="AL75" s="70" t="n">
        <f aca="false">-Assumptions!$I$82</f>
        <v>-600</v>
      </c>
      <c r="AM75" s="70" t="n">
        <f aca="false">SUM(C75:AL75)</f>
        <v>-21600</v>
      </c>
    </row>
    <row r="76" customFormat="false" ht="15" hidden="false" customHeight="false" outlineLevel="0" collapsed="false">
      <c r="A76" s="10" t="s">
        <v>797</v>
      </c>
      <c r="B76" s="9" t="s">
        <v>97</v>
      </c>
      <c r="C76" s="70" t="n">
        <f aca="false">-Assumptions!$I$83</f>
        <v>-280</v>
      </c>
      <c r="D76" s="70" t="n">
        <f aca="false">-Assumptions!$I$83</f>
        <v>-280</v>
      </c>
      <c r="E76" s="70" t="n">
        <f aca="false">-Assumptions!$I$83</f>
        <v>-280</v>
      </c>
      <c r="F76" s="70" t="n">
        <f aca="false">-Assumptions!$I$83</f>
        <v>-280</v>
      </c>
      <c r="G76" s="70" t="n">
        <f aca="false">-Assumptions!$I$83</f>
        <v>-280</v>
      </c>
      <c r="H76" s="70" t="n">
        <f aca="false">-Assumptions!$I$83</f>
        <v>-280</v>
      </c>
      <c r="I76" s="70" t="n">
        <f aca="false">-Assumptions!$I$83</f>
        <v>-280</v>
      </c>
      <c r="J76" s="70" t="n">
        <f aca="false">-Assumptions!$I$83</f>
        <v>-280</v>
      </c>
      <c r="K76" s="70" t="n">
        <f aca="false">-Assumptions!$I$83</f>
        <v>-280</v>
      </c>
      <c r="L76" s="70" t="n">
        <f aca="false">-Assumptions!$I$83</f>
        <v>-280</v>
      </c>
      <c r="M76" s="70" t="n">
        <f aca="false">-Assumptions!$I$83</f>
        <v>-280</v>
      </c>
      <c r="N76" s="70" t="n">
        <f aca="false">-Assumptions!$I$83</f>
        <v>-280</v>
      </c>
      <c r="O76" s="70" t="n">
        <f aca="false">-Assumptions!$I$83</f>
        <v>-280</v>
      </c>
      <c r="P76" s="70" t="n">
        <f aca="false">-Assumptions!$I$83</f>
        <v>-280</v>
      </c>
      <c r="Q76" s="70" t="n">
        <f aca="false">-Assumptions!$I$83</f>
        <v>-280</v>
      </c>
      <c r="R76" s="70" t="n">
        <f aca="false">-Assumptions!$I$83</f>
        <v>-280</v>
      </c>
      <c r="S76" s="70" t="n">
        <f aca="false">-Assumptions!$I$83</f>
        <v>-280</v>
      </c>
      <c r="T76" s="70" t="n">
        <f aca="false">-Assumptions!$I$83</f>
        <v>-280</v>
      </c>
      <c r="U76" s="70" t="n">
        <f aca="false">-Assumptions!$I$83</f>
        <v>-280</v>
      </c>
      <c r="V76" s="70" t="n">
        <f aca="false">-Assumptions!$I$83</f>
        <v>-280</v>
      </c>
      <c r="W76" s="70" t="n">
        <f aca="false">-Assumptions!$I$83</f>
        <v>-280</v>
      </c>
      <c r="X76" s="70" t="n">
        <f aca="false">-Assumptions!$I$83</f>
        <v>-280</v>
      </c>
      <c r="Y76" s="70" t="n">
        <f aca="false">-Assumptions!$I$83</f>
        <v>-280</v>
      </c>
      <c r="Z76" s="70" t="n">
        <f aca="false">-Assumptions!$I$83</f>
        <v>-280</v>
      </c>
      <c r="AA76" s="70" t="n">
        <f aca="false">-Assumptions!$I$83</f>
        <v>-280</v>
      </c>
      <c r="AB76" s="70" t="n">
        <f aca="false">-Assumptions!$I$83</f>
        <v>-280</v>
      </c>
      <c r="AC76" s="70" t="n">
        <f aca="false">-Assumptions!$I$83</f>
        <v>-280</v>
      </c>
      <c r="AD76" s="70" t="n">
        <f aca="false">-Assumptions!$I$83</f>
        <v>-280</v>
      </c>
      <c r="AE76" s="70" t="n">
        <f aca="false">-Assumptions!$I$83</f>
        <v>-280</v>
      </c>
      <c r="AF76" s="70" t="n">
        <f aca="false">-Assumptions!$I$83</f>
        <v>-280</v>
      </c>
      <c r="AG76" s="70" t="n">
        <f aca="false">-Assumptions!$I$83</f>
        <v>-280</v>
      </c>
      <c r="AH76" s="70" t="n">
        <f aca="false">-Assumptions!$I$83</f>
        <v>-280</v>
      </c>
      <c r="AI76" s="70" t="n">
        <f aca="false">-Assumptions!$I$83</f>
        <v>-280</v>
      </c>
      <c r="AJ76" s="70" t="n">
        <f aca="false">-Assumptions!$I$83</f>
        <v>-280</v>
      </c>
      <c r="AK76" s="70" t="n">
        <f aca="false">-Assumptions!$I$83</f>
        <v>-280</v>
      </c>
      <c r="AL76" s="70" t="n">
        <f aca="false">-Assumptions!$I$83</f>
        <v>-280</v>
      </c>
      <c r="AM76" s="70" t="n">
        <f aca="false">SUM(C76:AL76)</f>
        <v>-10080</v>
      </c>
    </row>
    <row r="77" customFormat="false" ht="15" hidden="false" customHeight="false" outlineLevel="0" collapsed="false">
      <c r="A77" s="10" t="s">
        <v>798</v>
      </c>
      <c r="B77" s="9" t="s">
        <v>97</v>
      </c>
      <c r="C77" s="70" t="n">
        <f aca="false">-MAX(IF(C8=0,Assumptions!$I$84,IF(C$5&lt;=12,Assumptions!$I$85,IF(C$5&lt;=24,Assumptions!$I$86,Assumptions!$I$87))))</f>
        <v>-6000</v>
      </c>
      <c r="D77" s="70" t="n">
        <f aca="false">-MAX(IF(D8=0,Assumptions!$I$84,IF(D$5&lt;=12,Assumptions!$I$85,IF(D$5&lt;=24,Assumptions!$I$86,Assumptions!$I$87))),C72*Assumptions!$I$88)</f>
        <v>-16000</v>
      </c>
      <c r="E77" s="70" t="n">
        <f aca="false">-MAX(IF(E8=0,Assumptions!$I$84,IF(E$5&lt;=12,Assumptions!$I$85,IF(E$5&lt;=24,Assumptions!$I$86,Assumptions!$I$87))),D72*Assumptions!$I$88)</f>
        <v>-16000</v>
      </c>
      <c r="F77" s="70" t="n">
        <f aca="false">-MAX(IF(F8=0,Assumptions!$I$84,IF(F$5&lt;=12,Assumptions!$I$85,IF(F$5&lt;=24,Assumptions!$I$86,Assumptions!$I$87))),E72*Assumptions!$I$88)</f>
        <v>-16000</v>
      </c>
      <c r="G77" s="70" t="n">
        <f aca="false">-MAX(IF(G8=0,Assumptions!$I$84,IF(G$5&lt;=12,Assumptions!$I$85,IF(G$5&lt;=24,Assumptions!$I$86,Assumptions!$I$87))),F72*Assumptions!$I$88)</f>
        <v>-16000</v>
      </c>
      <c r="H77" s="70" t="n">
        <f aca="false">-MAX(IF(H8=0,Assumptions!$I$84,IF(H$5&lt;=12,Assumptions!$I$85,IF(H$5&lt;=24,Assumptions!$I$86,Assumptions!$I$87))),G72*Assumptions!$I$88)</f>
        <v>-17411.9170314562</v>
      </c>
      <c r="I77" s="70" t="n">
        <f aca="false">-MAX(IF(I8=0,Assumptions!$I$84,IF(I$5&lt;=12,Assumptions!$I$85,IF(I$5&lt;=24,Assumptions!$I$86,Assumptions!$I$87))),H72*Assumptions!$I$88)</f>
        <v>-19589.0155978191</v>
      </c>
      <c r="J77" s="70" t="n">
        <f aca="false">-MAX(IF(J8=0,Assumptions!$I$84,IF(J$5&lt;=12,Assumptions!$I$85,IF(J$5&lt;=24,Assumptions!$I$86,Assumptions!$I$87))),I72*Assumptions!$I$88)</f>
        <v>-22414.0390735977</v>
      </c>
      <c r="K77" s="70" t="n">
        <f aca="false">-MAX(IF(K8=0,Assumptions!$I$84,IF(K$5&lt;=12,Assumptions!$I$85,IF(K$5&lt;=24,Assumptions!$I$86,Assumptions!$I$87))),J72*Assumptions!$I$88)</f>
        <v>-24713.6639409116</v>
      </c>
      <c r="L77" s="70" t="n">
        <f aca="false">-MAX(IF(L8=0,Assumptions!$I$84,IF(L$5&lt;=12,Assumptions!$I$85,IF(L$5&lt;=24,Assumptions!$I$86,Assumptions!$I$87))),K72*Assumptions!$I$88)</f>
        <v>-26803.6175369392</v>
      </c>
      <c r="M77" s="70" t="n">
        <f aca="false">-MAX(IF(M8=0,Assumptions!$I$84,IF(M$5&lt;=12,Assumptions!$I$85,IF(M$5&lt;=24,Assumptions!$I$86,Assumptions!$I$87))),L72*Assumptions!$I$88)</f>
        <v>-28732.0211957217</v>
      </c>
      <c r="N77" s="70" t="n">
        <f aca="false">-MAX(IF(N8=0,Assumptions!$I$84,IF(N$5&lt;=12,Assumptions!$I$85,IF(N$5&lt;=24,Assumptions!$I$86,Assumptions!$I$87))),M72*Assumptions!$I$88)</f>
        <v>-30531.7372874079</v>
      </c>
      <c r="O77" s="70" t="n">
        <f aca="false">-MAX(IF(O8=0,Assumptions!$I$84,IF(O$5&lt;=12,Assumptions!$I$85,IF(O$5&lt;=24,Assumptions!$I$86,Assumptions!$I$87))),N72*Assumptions!$I$88)</f>
        <v>-34000</v>
      </c>
      <c r="P77" s="70" t="n">
        <f aca="false">-MAX(IF(P8=0,Assumptions!$I$84,IF(P$5&lt;=12,Assumptions!$I$85,IF(P$5&lt;=24,Assumptions!$I$86,Assumptions!$I$87))),O72*Assumptions!$I$88)</f>
        <v>-34000</v>
      </c>
      <c r="Q77" s="70" t="n">
        <f aca="false">-MAX(IF(Q8=0,Assumptions!$I$84,IF(Q$5&lt;=12,Assumptions!$I$85,IF(Q$5&lt;=24,Assumptions!$I$86,Assumptions!$I$87))),P72*Assumptions!$I$88)</f>
        <v>-35394.3471686139</v>
      </c>
      <c r="R77" s="70" t="n">
        <f aca="false">-MAX(IF(R8=0,Assumptions!$I$84,IF(R$5&lt;=12,Assumptions!$I$85,IF(R$5&lt;=24,Assumptions!$I$86,Assumptions!$I$87))),Q72*Assumptions!$I$88)</f>
        <v>-36897.2039062936</v>
      </c>
      <c r="S77" s="70" t="n">
        <f aca="false">-MAX(IF(S8=0,Assumptions!$I$84,IF(S$5&lt;=12,Assumptions!$I$85,IF(S$5&lt;=24,Assumptions!$I$86,Assumptions!$I$87))),R72*Assumptions!$I$88)</f>
        <v>-38365.1852333516</v>
      </c>
      <c r="T77" s="70" t="n">
        <f aca="false">-MAX(IF(T8=0,Assumptions!$I$84,IF(T$5&lt;=12,Assumptions!$I$85,IF(T$5&lt;=24,Assumptions!$I$86,Assumptions!$I$87))),S72*Assumptions!$I$88)</f>
        <v>-39810.0645869653</v>
      </c>
      <c r="U77" s="70" t="n">
        <f aca="false">-MAX(IF(U8=0,Assumptions!$I$84,IF(U$5&lt;=12,Assumptions!$I$85,IF(U$5&lt;=24,Assumptions!$I$86,Assumptions!$I$87))),T72*Assumptions!$I$88)</f>
        <v>-41242.3547784197</v>
      </c>
      <c r="V77" s="70" t="n">
        <f aca="false">-MAX(IF(V8=0,Assumptions!$I$84,IF(V$5&lt;=12,Assumptions!$I$85,IF(V$5&lt;=24,Assumptions!$I$86,Assumptions!$I$87))),U72*Assumptions!$I$88)</f>
        <v>-42671.6107664262</v>
      </c>
      <c r="W77" s="70" t="n">
        <f aca="false">-MAX(IF(W8=0,Assumptions!$I$84,IF(W$5&lt;=12,Assumptions!$I$85,IF(W$5&lt;=24,Assumptions!$I$86,Assumptions!$I$87))),V72*Assumptions!$I$88)</f>
        <v>-44106.6846290327</v>
      </c>
      <c r="X77" s="70" t="n">
        <f aca="false">-MAX(IF(X8=0,Assumptions!$I$84,IF(X$5&lt;=12,Assumptions!$I$85,IF(X$5&lt;=24,Assumptions!$I$86,Assumptions!$I$87))),W72*Assumptions!$I$88)</f>
        <v>-45555.9420217396</v>
      </c>
      <c r="Y77" s="70" t="n">
        <f aca="false">-MAX(IF(Y8=0,Assumptions!$I$84,IF(Y$5&lt;=12,Assumptions!$I$85,IF(Y$5&lt;=24,Assumptions!$I$86,Assumptions!$I$87))),X72*Assumptions!$I$88)</f>
        <v>-47027.4477946823</v>
      </c>
      <c r="Z77" s="70" t="n">
        <f aca="false">-MAX(IF(Z8=0,Assumptions!$I$84,IF(Z$5&lt;=12,Assumptions!$I$85,IF(Z$5&lt;=24,Assumptions!$I$86,Assumptions!$I$87))),Y72*Assumptions!$I$88)</f>
        <v>-48529.1271528724</v>
      </c>
      <c r="AA77" s="70" t="n">
        <f aca="false">-MAX(IF(AA8=0,Assumptions!$I$84,IF(AA$5&lt;=12,Assumptions!$I$85,IF(AA$5&lt;=24,Assumptions!$I$86,Assumptions!$I$87))),Z72*Assumptions!$I$88)</f>
        <v>-55000</v>
      </c>
      <c r="AB77" s="70" t="n">
        <f aca="false">-MAX(IF(AB8=0,Assumptions!$I$84,IF(AB$5&lt;=12,Assumptions!$I$85,IF(AB$5&lt;=24,Assumptions!$I$86,Assumptions!$I$87))),AA72*Assumptions!$I$88)</f>
        <v>-55000</v>
      </c>
      <c r="AC77" s="70" t="n">
        <f aca="false">-MAX(IF(AC8=0,Assumptions!$I$84,IF(AC$5&lt;=12,Assumptions!$I$85,IF(AC$5&lt;=24,Assumptions!$I$86,Assumptions!$I$87))),AB72*Assumptions!$I$88)</f>
        <v>-55000</v>
      </c>
      <c r="AD77" s="70" t="n">
        <f aca="false">-MAX(IF(AD8=0,Assumptions!$I$84,IF(AD$5&lt;=12,Assumptions!$I$85,IF(AD$5&lt;=24,Assumptions!$I$86,Assumptions!$I$87))),AC72*Assumptions!$I$88)</f>
        <v>-55000</v>
      </c>
      <c r="AE77" s="70" t="n">
        <f aca="false">-MAX(IF(AE8=0,Assumptions!$I$84,IF(AE$5&lt;=12,Assumptions!$I$85,IF(AE$5&lt;=24,Assumptions!$I$86,Assumptions!$I$87))),AD72*Assumptions!$I$88)</f>
        <v>-56414.5183306321</v>
      </c>
      <c r="AF77" s="70" t="n">
        <f aca="false">-MAX(IF(AF8=0,Assumptions!$I$84,IF(AF$5&lt;=12,Assumptions!$I$85,IF(AF$5&lt;=24,Assumptions!$I$86,Assumptions!$I$87))),AE72*Assumptions!$I$88)</f>
        <v>-58032.5989803279</v>
      </c>
      <c r="AG77" s="70" t="n">
        <f aca="false">-MAX(IF(AG8=0,Assumptions!$I$84,IF(AG$5&lt;=12,Assumptions!$I$85,IF(AG$5&lt;=24,Assumptions!$I$86,Assumptions!$I$87))),AF72*Assumptions!$I$88)</f>
        <v>-59685.8562544559</v>
      </c>
      <c r="AH77" s="70" t="n">
        <f aca="false">-MAX(IF(AH8=0,Assumptions!$I$84,IF(AH$5&lt;=12,Assumptions!$I$85,IF(AH$5&lt;=24,Assumptions!$I$86,Assumptions!$I$87))),AG72*Assumptions!$I$88)</f>
        <v>-61384.8182201016</v>
      </c>
      <c r="AI77" s="70" t="n">
        <f aca="false">-MAX(IF(AI8=0,Assumptions!$I$84,IF(AI$5&lt;=12,Assumptions!$I$85,IF(AI$5&lt;=24,Assumptions!$I$86,Assumptions!$I$87))),AH72*Assumptions!$I$88)</f>
        <v>-63140.3184070583</v>
      </c>
      <c r="AJ77" s="70" t="n">
        <f aca="false">-MAX(IF(AJ8=0,Assumptions!$I$84,IF(AJ$5&lt;=12,Assumptions!$I$85,IF(AJ$5&lt;=24,Assumptions!$I$86,Assumptions!$I$87))),AI72*Assumptions!$I$88)</f>
        <v>-64963.5928776289</v>
      </c>
      <c r="AK77" s="70" t="n">
        <f aca="false">-MAX(IF(AK8=0,Assumptions!$I$84,IF(AK$5&lt;=12,Assumptions!$I$85,IF(AK$5&lt;=24,Assumptions!$I$86,Assumptions!$I$87))),AJ72*Assumptions!$I$88)</f>
        <v>-66866.3713281049</v>
      </c>
      <c r="AL77" s="70" t="n">
        <f aca="false">-MAX(IF(AL8=0,Assumptions!$I$84,IF(AL$5&lt;=12,Assumptions!$I$85,IF(AL$5&lt;=24,Assumptions!$I$86,Assumptions!$I$87))),AK72*Assumptions!$I$88)</f>
        <v>-68860.9680510337</v>
      </c>
      <c r="AM77" s="70" t="n">
        <f aca="false">SUM(C77:AL77)</f>
        <v>-1447145.02215159</v>
      </c>
    </row>
    <row r="78" customFormat="false" ht="15" hidden="false" customHeight="false" outlineLevel="0" collapsed="false">
      <c r="A78" s="10" t="s">
        <v>799</v>
      </c>
      <c r="B78" s="9" t="s">
        <v>97</v>
      </c>
      <c r="C78" s="70" t="n">
        <f aca="false">-IF(C$5&gt;=Assumptions!$I$7-2,Assumptions!$I$91,0)</f>
        <v>-0</v>
      </c>
      <c r="D78" s="70" t="n">
        <f aca="false">-IF(D$5&gt;=Assumptions!$I$7-2,Assumptions!$I$91,0)</f>
        <v>-0</v>
      </c>
      <c r="E78" s="70" t="n">
        <f aca="false">-IF(E$5&gt;=Assumptions!$I$7-2,Assumptions!$I$91,0)</f>
        <v>-0</v>
      </c>
      <c r="F78" s="70" t="n">
        <f aca="false">-IF(F$5&gt;=Assumptions!$I$7-2,Assumptions!$I$91,0)</f>
        <v>-0</v>
      </c>
      <c r="G78" s="70" t="n">
        <f aca="false">-IF(G$5&gt;=Assumptions!$I$7-2,Assumptions!$I$91,0)</f>
        <v>-9000</v>
      </c>
      <c r="H78" s="70" t="n">
        <f aca="false">-IF(H$5&gt;=Assumptions!$I$7-2,Assumptions!$I$91,0)</f>
        <v>-9000</v>
      </c>
      <c r="I78" s="70" t="n">
        <f aca="false">-IF(I$5&gt;=Assumptions!$I$7-2,Assumptions!$I$91,0)</f>
        <v>-9000</v>
      </c>
      <c r="J78" s="70" t="n">
        <f aca="false">-IF(J$5&gt;=Assumptions!$I$7-2,Assumptions!$I$91,0)</f>
        <v>-9000</v>
      </c>
      <c r="K78" s="70" t="n">
        <f aca="false">-IF(K$5&gt;=Assumptions!$I$7-2,Assumptions!$I$91,0)</f>
        <v>-9000</v>
      </c>
      <c r="L78" s="70" t="n">
        <f aca="false">-IF(L$5&gt;=Assumptions!$I$7-2,Assumptions!$I$91,0)</f>
        <v>-9000</v>
      </c>
      <c r="M78" s="70" t="n">
        <f aca="false">-IF(M$5&gt;=Assumptions!$I$7-2,Assumptions!$I$91,0)</f>
        <v>-9000</v>
      </c>
      <c r="N78" s="70" t="n">
        <f aca="false">-IF(N$5&gt;=Assumptions!$I$7-2,Assumptions!$I$91,0)</f>
        <v>-9000</v>
      </c>
      <c r="O78" s="70" t="n">
        <f aca="false">-IF(O$5&gt;=Assumptions!$I$7-2,Assumptions!$I$91,0)</f>
        <v>-9000</v>
      </c>
      <c r="P78" s="70" t="n">
        <f aca="false">-IF(P$5&gt;=Assumptions!$I$7-2,Assumptions!$I$91,0)</f>
        <v>-9000</v>
      </c>
      <c r="Q78" s="70" t="n">
        <f aca="false">-IF(Q$5&gt;=Assumptions!$I$7-2,Assumptions!$I$91,0)</f>
        <v>-9000</v>
      </c>
      <c r="R78" s="70" t="n">
        <f aca="false">-IF(R$5&gt;=Assumptions!$I$7-2,Assumptions!$I$91,0)</f>
        <v>-9000</v>
      </c>
      <c r="S78" s="70" t="n">
        <f aca="false">-IF(S$5&gt;=Assumptions!$I$7-2,Assumptions!$I$91,0)</f>
        <v>-9000</v>
      </c>
      <c r="T78" s="70" t="n">
        <f aca="false">-IF(T$5&gt;=Assumptions!$I$7-2,Assumptions!$I$91,0)</f>
        <v>-9000</v>
      </c>
      <c r="U78" s="70" t="n">
        <f aca="false">-IF(U$5&gt;=Assumptions!$I$7-2,Assumptions!$I$91,0)</f>
        <v>-9000</v>
      </c>
      <c r="V78" s="70" t="n">
        <f aca="false">-IF(V$5&gt;=Assumptions!$I$7-2,Assumptions!$I$91,0)</f>
        <v>-9000</v>
      </c>
      <c r="W78" s="70" t="n">
        <f aca="false">-IF(W$5&gt;=Assumptions!$I$7-2,Assumptions!$I$91,0)</f>
        <v>-9000</v>
      </c>
      <c r="X78" s="70" t="n">
        <f aca="false">-IF(X$5&gt;=Assumptions!$I$7-2,Assumptions!$I$91,0)</f>
        <v>-9000</v>
      </c>
      <c r="Y78" s="70" t="n">
        <f aca="false">-IF(Y$5&gt;=Assumptions!$I$7-2,Assumptions!$I$91,0)</f>
        <v>-9000</v>
      </c>
      <c r="Z78" s="70" t="n">
        <f aca="false">-IF(Z$5&gt;=Assumptions!$I$7-2,Assumptions!$I$91,0)</f>
        <v>-9000</v>
      </c>
      <c r="AA78" s="70" t="n">
        <f aca="false">-IF(AA$5&gt;=Assumptions!$I$7-2,Assumptions!$I$91,0)</f>
        <v>-9000</v>
      </c>
      <c r="AB78" s="70" t="n">
        <f aca="false">-IF(AB$5&gt;=Assumptions!$I$7-2,Assumptions!$I$91,0)</f>
        <v>-9000</v>
      </c>
      <c r="AC78" s="70" t="n">
        <f aca="false">-IF(AC$5&gt;=Assumptions!$I$7-2,Assumptions!$I$91,0)</f>
        <v>-9000</v>
      </c>
      <c r="AD78" s="70" t="n">
        <f aca="false">-IF(AD$5&gt;=Assumptions!$I$7-2,Assumptions!$I$91,0)</f>
        <v>-9000</v>
      </c>
      <c r="AE78" s="70" t="n">
        <f aca="false">-IF(AE$5&gt;=Assumptions!$I$7-2,Assumptions!$I$91,0)</f>
        <v>-9000</v>
      </c>
      <c r="AF78" s="70" t="n">
        <f aca="false">-IF(AF$5&gt;=Assumptions!$I$7-2,Assumptions!$I$91,0)</f>
        <v>-9000</v>
      </c>
      <c r="AG78" s="70" t="n">
        <f aca="false">-IF(AG$5&gt;=Assumptions!$I$7-2,Assumptions!$I$91,0)</f>
        <v>-9000</v>
      </c>
      <c r="AH78" s="70" t="n">
        <f aca="false">-IF(AH$5&gt;=Assumptions!$I$7-2,Assumptions!$I$91,0)</f>
        <v>-9000</v>
      </c>
      <c r="AI78" s="70" t="n">
        <f aca="false">-IF(AI$5&gt;=Assumptions!$I$7-2,Assumptions!$I$91,0)</f>
        <v>-9000</v>
      </c>
      <c r="AJ78" s="70" t="n">
        <f aca="false">-IF(AJ$5&gt;=Assumptions!$I$7-2,Assumptions!$I$91,0)</f>
        <v>-9000</v>
      </c>
      <c r="AK78" s="70" t="n">
        <f aca="false">-IF(AK$5&gt;=Assumptions!$I$7-2,Assumptions!$I$91,0)</f>
        <v>-9000</v>
      </c>
      <c r="AL78" s="70" t="n">
        <f aca="false">-IF(AL$5&gt;=Assumptions!$I$7-2,Assumptions!$I$91,0)</f>
        <v>-9000</v>
      </c>
      <c r="AM78" s="70" t="n">
        <f aca="false">SUM(C78:AL78)</f>
        <v>-288000</v>
      </c>
    </row>
    <row r="79" customFormat="false" ht="15" hidden="false" customHeight="false" outlineLevel="0" collapsed="false">
      <c r="A79" s="10" t="s">
        <v>800</v>
      </c>
      <c r="B79" s="9" t="s">
        <v>97</v>
      </c>
      <c r="C79" s="70" t="n">
        <f aca="false">-Assumptions!$I$92</f>
        <v>-1200</v>
      </c>
      <c r="D79" s="70" t="n">
        <f aca="false">-MAX(Assumptions!$I$92,C72*Assumptions!$I$90)</f>
        <v>-1200</v>
      </c>
      <c r="E79" s="70" t="n">
        <f aca="false">-MAX(Assumptions!$I$92,D72*Assumptions!$I$90)</f>
        <v>-1200</v>
      </c>
      <c r="F79" s="70" t="n">
        <f aca="false">-MAX(Assumptions!$I$92,E72*Assumptions!$I$90)</f>
        <v>-1599.75504</v>
      </c>
      <c r="G79" s="70" t="n">
        <f aca="false">-MAX(Assumptions!$I$92,F72*Assumptions!$I$90)</f>
        <v>-1993.47883725978</v>
      </c>
      <c r="H79" s="70" t="n">
        <f aca="false">-MAX(Assumptions!$I$92,G72*Assumptions!$I$90)</f>
        <v>-2321.58893752749</v>
      </c>
      <c r="I79" s="70" t="n">
        <f aca="false">-MAX(Assumptions!$I$92,H72*Assumptions!$I$90)</f>
        <v>-2611.86874637589</v>
      </c>
      <c r="J79" s="70" t="n">
        <f aca="false">-MAX(Assumptions!$I$92,I72*Assumptions!$I$90)</f>
        <v>-2988.53854314636</v>
      </c>
      <c r="K79" s="70" t="n">
        <f aca="false">-MAX(Assumptions!$I$92,J72*Assumptions!$I$90)</f>
        <v>-3295.15519212155</v>
      </c>
      <c r="L79" s="70" t="n">
        <f aca="false">-MAX(Assumptions!$I$92,K72*Assumptions!$I$90)</f>
        <v>-3573.81567159189</v>
      </c>
      <c r="M79" s="70" t="n">
        <f aca="false">-MAX(Assumptions!$I$92,L72*Assumptions!$I$90)</f>
        <v>-3830.93615942956</v>
      </c>
      <c r="N79" s="70" t="n">
        <f aca="false">-MAX(Assumptions!$I$92,M72*Assumptions!$I$90)</f>
        <v>-4070.89830498772</v>
      </c>
      <c r="O79" s="70" t="n">
        <f aca="false">-MAX(Assumptions!$I$92,N72*Assumptions!$I$90)</f>
        <v>-4297.11524737947</v>
      </c>
      <c r="P79" s="70" t="n">
        <f aca="false">-MAX(Assumptions!$I$92,O72*Assumptions!$I$90)</f>
        <v>-4512.42919132558</v>
      </c>
      <c r="Q79" s="70" t="n">
        <f aca="false">-MAX(Assumptions!$I$92,P72*Assumptions!$I$90)</f>
        <v>-4719.24628914852</v>
      </c>
      <c r="R79" s="70" t="n">
        <f aca="false">-MAX(Assumptions!$I$92,Q72*Assumptions!$I$90)</f>
        <v>-4919.62718750581</v>
      </c>
      <c r="S79" s="70" t="n">
        <f aca="false">-MAX(Assumptions!$I$92,R72*Assumptions!$I$90)</f>
        <v>-5115.35803111355</v>
      </c>
      <c r="T79" s="70" t="n">
        <f aca="false">-MAX(Assumptions!$I$92,S72*Assumptions!$I$90)</f>
        <v>-5308.00861159537</v>
      </c>
      <c r="U79" s="70" t="n">
        <f aca="false">-MAX(Assumptions!$I$92,T72*Assumptions!$I$90)</f>
        <v>-5498.98063712263</v>
      </c>
      <c r="V79" s="70" t="n">
        <f aca="false">-MAX(Assumptions!$I$92,U72*Assumptions!$I$90)</f>
        <v>-5689.54810219017</v>
      </c>
      <c r="W79" s="70" t="n">
        <f aca="false">-MAX(Assumptions!$I$92,V72*Assumptions!$I$90)</f>
        <v>-5880.89128387103</v>
      </c>
      <c r="X79" s="70" t="n">
        <f aca="false">-MAX(Assumptions!$I$92,W72*Assumptions!$I$90)</f>
        <v>-6074.12560289862</v>
      </c>
      <c r="Y79" s="70" t="n">
        <f aca="false">-MAX(Assumptions!$I$92,X72*Assumptions!$I$90)</f>
        <v>-6270.3263726243</v>
      </c>
      <c r="Z79" s="70" t="n">
        <f aca="false">-MAX(Assumptions!$I$92,Y72*Assumptions!$I$90)</f>
        <v>-6470.55028704965</v>
      </c>
      <c r="AA79" s="70" t="n">
        <f aca="false">-MAX(Assumptions!$I$92,Z72*Assumptions!$I$90)</f>
        <v>-6675.85435865353</v>
      </c>
      <c r="AB79" s="70" t="n">
        <f aca="false">-MAX(Assumptions!$I$92,AA72*Assumptions!$I$90)</f>
        <v>-6887.31290116342</v>
      </c>
      <c r="AC79" s="70" t="n">
        <f aca="false">-MAX(Assumptions!$I$92,AB72*Assumptions!$I$90)</f>
        <v>-7098.95667548019</v>
      </c>
      <c r="AD79" s="70" t="n">
        <f aca="false">-MAX(Assumptions!$I$92,AC72*Assumptions!$I$90)</f>
        <v>-7309.49843876248</v>
      </c>
      <c r="AE79" s="70" t="n">
        <f aca="false">-MAX(Assumptions!$I$92,AD72*Assumptions!$I$90)</f>
        <v>-7521.93577741762</v>
      </c>
      <c r="AF79" s="70" t="n">
        <f aca="false">-MAX(Assumptions!$I$92,AE72*Assumptions!$I$90)</f>
        <v>-7737.67986404373</v>
      </c>
      <c r="AG79" s="70" t="n">
        <f aca="false">-MAX(Assumptions!$I$92,AF72*Assumptions!$I$90)</f>
        <v>-7958.11416726079</v>
      </c>
      <c r="AH79" s="70" t="n">
        <f aca="false">-MAX(Assumptions!$I$92,AG72*Assumptions!$I$90)</f>
        <v>-8184.64242934688</v>
      </c>
      <c r="AI79" s="70" t="n">
        <f aca="false">-MAX(Assumptions!$I$92,AH72*Assumptions!$I$90)</f>
        <v>-8418.70912094111</v>
      </c>
      <c r="AJ79" s="70" t="n">
        <f aca="false">-MAX(Assumptions!$I$92,AI72*Assumptions!$I$90)</f>
        <v>-8661.81238368385</v>
      </c>
      <c r="AK79" s="70" t="n">
        <f aca="false">-MAX(Assumptions!$I$92,AJ72*Assumptions!$I$90)</f>
        <v>-8915.51617708066</v>
      </c>
      <c r="AL79" s="70" t="n">
        <f aca="false">-MAX(Assumptions!$I$92,AK72*Assumptions!$I$90)</f>
        <v>-9181.46240680449</v>
      </c>
      <c r="AM79" s="70" t="n">
        <f aca="false">SUM(C79:AL79)</f>
        <v>-189193.736976904</v>
      </c>
    </row>
    <row r="80" customFormat="false" ht="15" hidden="false" customHeight="false" outlineLevel="0" collapsed="false">
      <c r="A80" s="10" t="s">
        <v>801</v>
      </c>
      <c r="B80" s="9" t="s">
        <v>97</v>
      </c>
      <c r="C80" s="70" t="n">
        <f aca="false">-IF(C$5&lt;=3,Assumptions!$I$93,Assumptions!$I$94)</f>
        <v>-15000</v>
      </c>
      <c r="D80" s="70" t="n">
        <f aca="false">-IF(D$5&lt;=3,Assumptions!$I$93,Assumptions!$I$94)</f>
        <v>-15000</v>
      </c>
      <c r="E80" s="70" t="n">
        <f aca="false">-IF(E$5&lt;=3,Assumptions!$I$93,Assumptions!$I$94)</f>
        <v>-15000</v>
      </c>
      <c r="F80" s="70" t="n">
        <f aca="false">-IF(F$5&lt;=3,Assumptions!$I$93,Assumptions!$I$94)</f>
        <v>-4500</v>
      </c>
      <c r="G80" s="70" t="n">
        <f aca="false">-IF(G$5&lt;=3,Assumptions!$I$93,Assumptions!$I$94)</f>
        <v>-4500</v>
      </c>
      <c r="H80" s="70" t="n">
        <f aca="false">-IF(H$5&lt;=3,Assumptions!$I$93,Assumptions!$I$94)</f>
        <v>-4500</v>
      </c>
      <c r="I80" s="70" t="n">
        <f aca="false">-IF(I$5&lt;=3,Assumptions!$I$93,Assumptions!$I$94)</f>
        <v>-4500</v>
      </c>
      <c r="J80" s="70" t="n">
        <f aca="false">-IF(J$5&lt;=3,Assumptions!$I$93,Assumptions!$I$94)</f>
        <v>-4500</v>
      </c>
      <c r="K80" s="70" t="n">
        <f aca="false">-IF(K$5&lt;=3,Assumptions!$I$93,Assumptions!$I$94)</f>
        <v>-4500</v>
      </c>
      <c r="L80" s="70" t="n">
        <f aca="false">-IF(L$5&lt;=3,Assumptions!$I$93,Assumptions!$I$94)</f>
        <v>-4500</v>
      </c>
      <c r="M80" s="70" t="n">
        <f aca="false">-IF(M$5&lt;=3,Assumptions!$I$93,Assumptions!$I$94)</f>
        <v>-4500</v>
      </c>
      <c r="N80" s="70" t="n">
        <f aca="false">-IF(N$5&lt;=3,Assumptions!$I$93,Assumptions!$I$94)</f>
        <v>-4500</v>
      </c>
      <c r="O80" s="70" t="n">
        <f aca="false">-IF(O$5&lt;=3,Assumptions!$I$93,Assumptions!$I$94)</f>
        <v>-4500</v>
      </c>
      <c r="P80" s="70" t="n">
        <f aca="false">-IF(P$5&lt;=3,Assumptions!$I$93,Assumptions!$I$94)</f>
        <v>-4500</v>
      </c>
      <c r="Q80" s="70" t="n">
        <f aca="false">-IF(Q$5&lt;=3,Assumptions!$I$93,Assumptions!$I$94)</f>
        <v>-4500</v>
      </c>
      <c r="R80" s="70" t="n">
        <f aca="false">-IF(R$5&lt;=3,Assumptions!$I$93,Assumptions!$I$94)</f>
        <v>-4500</v>
      </c>
      <c r="S80" s="70" t="n">
        <f aca="false">-IF(S$5&lt;=3,Assumptions!$I$93,Assumptions!$I$94)</f>
        <v>-4500</v>
      </c>
      <c r="T80" s="70" t="n">
        <f aca="false">-IF(T$5&lt;=3,Assumptions!$I$93,Assumptions!$I$94)</f>
        <v>-4500</v>
      </c>
      <c r="U80" s="70" t="n">
        <f aca="false">-IF(U$5&lt;=3,Assumptions!$I$93,Assumptions!$I$94)</f>
        <v>-4500</v>
      </c>
      <c r="V80" s="70" t="n">
        <f aca="false">-IF(V$5&lt;=3,Assumptions!$I$93,Assumptions!$I$94)</f>
        <v>-4500</v>
      </c>
      <c r="W80" s="70" t="n">
        <f aca="false">-IF(W$5&lt;=3,Assumptions!$I$93,Assumptions!$I$94)</f>
        <v>-4500</v>
      </c>
      <c r="X80" s="70" t="n">
        <f aca="false">-IF(X$5&lt;=3,Assumptions!$I$93,Assumptions!$I$94)</f>
        <v>-4500</v>
      </c>
      <c r="Y80" s="70" t="n">
        <f aca="false">-IF(Y$5&lt;=3,Assumptions!$I$93,Assumptions!$I$94)</f>
        <v>-4500</v>
      </c>
      <c r="Z80" s="70" t="n">
        <f aca="false">-IF(Z$5&lt;=3,Assumptions!$I$93,Assumptions!$I$94)</f>
        <v>-4500</v>
      </c>
      <c r="AA80" s="70" t="n">
        <f aca="false">-IF(AA$5&lt;=3,Assumptions!$I$93,Assumptions!$I$94)</f>
        <v>-4500</v>
      </c>
      <c r="AB80" s="70" t="n">
        <f aca="false">-IF(AB$5&lt;=3,Assumptions!$I$93,Assumptions!$I$94)</f>
        <v>-4500</v>
      </c>
      <c r="AC80" s="70" t="n">
        <f aca="false">-IF(AC$5&lt;=3,Assumptions!$I$93,Assumptions!$I$94)</f>
        <v>-4500</v>
      </c>
      <c r="AD80" s="70" t="n">
        <f aca="false">-IF(AD$5&lt;=3,Assumptions!$I$93,Assumptions!$I$94)</f>
        <v>-4500</v>
      </c>
      <c r="AE80" s="70" t="n">
        <f aca="false">-IF(AE$5&lt;=3,Assumptions!$I$93,Assumptions!$I$94)</f>
        <v>-4500</v>
      </c>
      <c r="AF80" s="70" t="n">
        <f aca="false">-IF(AF$5&lt;=3,Assumptions!$I$93,Assumptions!$I$94)</f>
        <v>-4500</v>
      </c>
      <c r="AG80" s="70" t="n">
        <f aca="false">-IF(AG$5&lt;=3,Assumptions!$I$93,Assumptions!$I$94)</f>
        <v>-4500</v>
      </c>
      <c r="AH80" s="70" t="n">
        <f aca="false">-IF(AH$5&lt;=3,Assumptions!$I$93,Assumptions!$I$94)</f>
        <v>-4500</v>
      </c>
      <c r="AI80" s="70" t="n">
        <f aca="false">-IF(AI$5&lt;=3,Assumptions!$I$93,Assumptions!$I$94)</f>
        <v>-4500</v>
      </c>
      <c r="AJ80" s="70" t="n">
        <f aca="false">-IF(AJ$5&lt;=3,Assumptions!$I$93,Assumptions!$I$94)</f>
        <v>-4500</v>
      </c>
      <c r="AK80" s="70" t="n">
        <f aca="false">-IF(AK$5&lt;=3,Assumptions!$I$93,Assumptions!$I$94)</f>
        <v>-4500</v>
      </c>
      <c r="AL80" s="70" t="n">
        <f aca="false">-IF(AL$5&lt;=3,Assumptions!$I$93,Assumptions!$I$94)</f>
        <v>-4500</v>
      </c>
      <c r="AM80" s="70" t="n">
        <f aca="false">SUM(C80:AL80)</f>
        <v>-193500</v>
      </c>
    </row>
    <row r="81" customFormat="false" ht="15" hidden="false" customHeight="false" outlineLevel="0" collapsed="false">
      <c r="A81" s="10" t="s">
        <v>802</v>
      </c>
      <c r="B81" s="9" t="s">
        <v>97</v>
      </c>
      <c r="C81" s="70" t="n">
        <f aca="false">-C8*Assumptions!$I$95</f>
        <v>-0</v>
      </c>
      <c r="D81" s="70" t="n">
        <f aca="false">-D8*Assumptions!$I$95</f>
        <v>-2500</v>
      </c>
      <c r="E81" s="70" t="n">
        <f aca="false">-E8*Assumptions!$I$95</f>
        <v>-2500</v>
      </c>
      <c r="F81" s="70" t="n">
        <f aca="false">-F8*Assumptions!$I$95</f>
        <v>-2500</v>
      </c>
      <c r="G81" s="70" t="n">
        <f aca="false">-G8*Assumptions!$I$95</f>
        <v>-2500</v>
      </c>
      <c r="H81" s="70" t="n">
        <f aca="false">-H8*Assumptions!$I$95</f>
        <v>-2500</v>
      </c>
      <c r="I81" s="70" t="n">
        <f aca="false">-I8*Assumptions!$I$95</f>
        <v>-2500</v>
      </c>
      <c r="J81" s="70" t="n">
        <f aca="false">-J8*Assumptions!$I$95</f>
        <v>-2500</v>
      </c>
      <c r="K81" s="70" t="n">
        <f aca="false">-K8*Assumptions!$I$95</f>
        <v>-2500</v>
      </c>
      <c r="L81" s="70" t="n">
        <f aca="false">-L8*Assumptions!$I$95</f>
        <v>-2500</v>
      </c>
      <c r="M81" s="70" t="n">
        <f aca="false">-M8*Assumptions!$I$95</f>
        <v>-2500</v>
      </c>
      <c r="N81" s="70" t="n">
        <f aca="false">-N8*Assumptions!$I$95</f>
        <v>-2500</v>
      </c>
      <c r="O81" s="70" t="n">
        <f aca="false">-O8*Assumptions!$I$95</f>
        <v>-2500</v>
      </c>
      <c r="P81" s="70" t="n">
        <f aca="false">-P8*Assumptions!$I$95</f>
        <v>-2500</v>
      </c>
      <c r="Q81" s="70" t="n">
        <f aca="false">-Q8*Assumptions!$I$95</f>
        <v>-2500</v>
      </c>
      <c r="R81" s="70" t="n">
        <f aca="false">-R8*Assumptions!$I$95</f>
        <v>-2500</v>
      </c>
      <c r="S81" s="70" t="n">
        <f aca="false">-S8*Assumptions!$I$95</f>
        <v>-2500</v>
      </c>
      <c r="T81" s="70" t="n">
        <f aca="false">-T8*Assumptions!$I$95</f>
        <v>-2500</v>
      </c>
      <c r="U81" s="70" t="n">
        <f aca="false">-U8*Assumptions!$I$95</f>
        <v>-2500</v>
      </c>
      <c r="V81" s="70" t="n">
        <f aca="false">-V8*Assumptions!$I$95</f>
        <v>-2500</v>
      </c>
      <c r="W81" s="70" t="n">
        <f aca="false">-W8*Assumptions!$I$95</f>
        <v>-2500</v>
      </c>
      <c r="X81" s="70" t="n">
        <f aca="false">-X8*Assumptions!$I$95</f>
        <v>-2500</v>
      </c>
      <c r="Y81" s="70" t="n">
        <f aca="false">-Y8*Assumptions!$I$95</f>
        <v>-2500</v>
      </c>
      <c r="Z81" s="70" t="n">
        <f aca="false">-Z8*Assumptions!$I$95</f>
        <v>-2500</v>
      </c>
      <c r="AA81" s="70" t="n">
        <f aca="false">-AA8*Assumptions!$I$95</f>
        <v>-2500</v>
      </c>
      <c r="AB81" s="70" t="n">
        <f aca="false">-AB8*Assumptions!$I$95</f>
        <v>-2500</v>
      </c>
      <c r="AC81" s="70" t="n">
        <f aca="false">-AC8*Assumptions!$I$95</f>
        <v>-2500</v>
      </c>
      <c r="AD81" s="70" t="n">
        <f aca="false">-AD8*Assumptions!$I$95</f>
        <v>-2500</v>
      </c>
      <c r="AE81" s="70" t="n">
        <f aca="false">-AE8*Assumptions!$I$95</f>
        <v>-2500</v>
      </c>
      <c r="AF81" s="70" t="n">
        <f aca="false">-AF8*Assumptions!$I$95</f>
        <v>-2500</v>
      </c>
      <c r="AG81" s="70" t="n">
        <f aca="false">-AG8*Assumptions!$I$95</f>
        <v>-2500</v>
      </c>
      <c r="AH81" s="70" t="n">
        <f aca="false">-AH8*Assumptions!$I$95</f>
        <v>-2500</v>
      </c>
      <c r="AI81" s="70" t="n">
        <f aca="false">-AI8*Assumptions!$I$95</f>
        <v>-2500</v>
      </c>
      <c r="AJ81" s="70" t="n">
        <f aca="false">-AJ8*Assumptions!$I$95</f>
        <v>-2500</v>
      </c>
      <c r="AK81" s="70" t="n">
        <f aca="false">-AK8*Assumptions!$I$95</f>
        <v>-2500</v>
      </c>
      <c r="AL81" s="70" t="n">
        <f aca="false">-AL8*Assumptions!$I$95</f>
        <v>-2500</v>
      </c>
      <c r="AM81" s="70" t="n">
        <f aca="false">SUM(C81:AL81)</f>
        <v>-87500</v>
      </c>
    </row>
    <row r="82" customFormat="false" ht="15" hidden="false" customHeight="false" outlineLevel="0" collapsed="false">
      <c r="A82" s="10" t="s">
        <v>803</v>
      </c>
      <c r="B82" s="9" t="s">
        <v>97</v>
      </c>
      <c r="C82" s="70" t="n">
        <f aca="false">-Assumptions!$I$96</f>
        <v>-6000</v>
      </c>
      <c r="D82" s="70" t="n">
        <f aca="false">-MAX(Assumptions!$I$96,C72*Assumptions!$I$89)</f>
        <v>-6000</v>
      </c>
      <c r="E82" s="70" t="n">
        <f aca="false">-MAX(Assumptions!$I$96,D72*Assumptions!$I$89)</f>
        <v>-6000</v>
      </c>
      <c r="F82" s="70" t="n">
        <f aca="false">-MAX(Assumptions!$I$96,E72*Assumptions!$I$89)</f>
        <v>-6000</v>
      </c>
      <c r="G82" s="70" t="n">
        <f aca="false">-MAX(Assumptions!$I$96,F72*Assumptions!$I$89)</f>
        <v>-6229.6213664368</v>
      </c>
      <c r="H82" s="70" t="n">
        <f aca="false">-MAX(Assumptions!$I$96,G72*Assumptions!$I$89)</f>
        <v>-7254.96542977342</v>
      </c>
      <c r="I82" s="70" t="n">
        <f aca="false">-MAX(Assumptions!$I$96,H72*Assumptions!$I$89)</f>
        <v>-8162.08983242465</v>
      </c>
      <c r="J82" s="70" t="n">
        <f aca="false">-MAX(Assumptions!$I$96,I72*Assumptions!$I$89)</f>
        <v>-9339.18294733238</v>
      </c>
      <c r="K82" s="70" t="n">
        <f aca="false">-MAX(Assumptions!$I$96,J72*Assumptions!$I$89)</f>
        <v>-10297.3599753798</v>
      </c>
      <c r="L82" s="70" t="n">
        <f aca="false">-MAX(Assumptions!$I$96,K72*Assumptions!$I$89)</f>
        <v>-11168.1739737247</v>
      </c>
      <c r="M82" s="70" t="n">
        <f aca="false">-MAX(Assumptions!$I$96,L72*Assumptions!$I$89)</f>
        <v>-11971.6754982174</v>
      </c>
      <c r="N82" s="70" t="n">
        <f aca="false">-MAX(Assumptions!$I$96,M72*Assumptions!$I$89)</f>
        <v>-12721.5572030866</v>
      </c>
      <c r="O82" s="70" t="n">
        <f aca="false">-MAX(Assumptions!$I$96,N72*Assumptions!$I$89)</f>
        <v>-13428.4851480608</v>
      </c>
      <c r="P82" s="70" t="n">
        <f aca="false">-MAX(Assumptions!$I$96,O72*Assumptions!$I$89)</f>
        <v>-14101.3412228925</v>
      </c>
      <c r="Q82" s="70" t="n">
        <f aca="false">-MAX(Assumptions!$I$96,P72*Assumptions!$I$89)</f>
        <v>-14747.6446535891</v>
      </c>
      <c r="R82" s="70" t="n">
        <f aca="false">-MAX(Assumptions!$I$96,Q72*Assumptions!$I$89)</f>
        <v>-15373.8349609557</v>
      </c>
      <c r="S82" s="70" t="n">
        <f aca="false">-MAX(Assumptions!$I$96,R72*Assumptions!$I$89)</f>
        <v>-15985.4938472298</v>
      </c>
      <c r="T82" s="70" t="n">
        <f aca="false">-MAX(Assumptions!$I$96,S72*Assumptions!$I$89)</f>
        <v>-16587.5269112355</v>
      </c>
      <c r="U82" s="70" t="n">
        <f aca="false">-MAX(Assumptions!$I$96,T72*Assumptions!$I$89)</f>
        <v>-17184.3144910082</v>
      </c>
      <c r="V82" s="70" t="n">
        <f aca="false">-MAX(Assumptions!$I$96,U72*Assumptions!$I$89)</f>
        <v>-17779.8378193443</v>
      </c>
      <c r="W82" s="70" t="n">
        <f aca="false">-MAX(Assumptions!$I$96,V72*Assumptions!$I$89)</f>
        <v>-18377.785262097</v>
      </c>
      <c r="X82" s="70" t="n">
        <f aca="false">-MAX(Assumptions!$I$96,W72*Assumptions!$I$89)</f>
        <v>-18981.6425090582</v>
      </c>
      <c r="Y82" s="70" t="n">
        <f aca="false">-MAX(Assumptions!$I$96,X72*Assumptions!$I$89)</f>
        <v>-19594.7699144509</v>
      </c>
      <c r="Z82" s="70" t="n">
        <f aca="false">-MAX(Assumptions!$I$96,Y72*Assumptions!$I$89)</f>
        <v>-20220.4696470302</v>
      </c>
      <c r="AA82" s="70" t="n">
        <f aca="false">-MAX(Assumptions!$I$96,Z72*Assumptions!$I$89)</f>
        <v>-20862.0448707923</v>
      </c>
      <c r="AB82" s="70" t="n">
        <f aca="false">-MAX(Assumptions!$I$96,AA72*Assumptions!$I$89)</f>
        <v>-21522.8528161357</v>
      </c>
      <c r="AC82" s="70" t="n">
        <f aca="false">-MAX(Assumptions!$I$96,AB72*Assumptions!$I$89)</f>
        <v>-22184.2396108756</v>
      </c>
      <c r="AD82" s="70" t="n">
        <f aca="false">-MAX(Assumptions!$I$96,AC72*Assumptions!$I$89)</f>
        <v>-22842.1826211328</v>
      </c>
      <c r="AE82" s="70" t="n">
        <f aca="false">-MAX(Assumptions!$I$96,AD72*Assumptions!$I$89)</f>
        <v>-23506.0493044301</v>
      </c>
      <c r="AF82" s="70" t="n">
        <f aca="false">-MAX(Assumptions!$I$96,AE72*Assumptions!$I$89)</f>
        <v>-24180.2495751366</v>
      </c>
      <c r="AG82" s="70" t="n">
        <f aca="false">-MAX(Assumptions!$I$96,AF72*Assumptions!$I$89)</f>
        <v>-24869.10677269</v>
      </c>
      <c r="AH82" s="70" t="n">
        <f aca="false">-MAX(Assumptions!$I$96,AG72*Assumptions!$I$89)</f>
        <v>-25577.007591709</v>
      </c>
      <c r="AI82" s="70" t="n">
        <f aca="false">-MAX(Assumptions!$I$96,AH72*Assumptions!$I$89)</f>
        <v>-26308.466002941</v>
      </c>
      <c r="AJ82" s="70" t="n">
        <f aca="false">-MAX(Assumptions!$I$96,AI72*Assumptions!$I$89)</f>
        <v>-27068.163699012</v>
      </c>
      <c r="AK82" s="70" t="n">
        <f aca="false">-MAX(Assumptions!$I$96,AJ72*Assumptions!$I$89)</f>
        <v>-27860.9880533771</v>
      </c>
      <c r="AL82" s="70" t="n">
        <f aca="false">-MAX(Assumptions!$I$96,AK72*Assumptions!$I$89)</f>
        <v>-28692.070021264</v>
      </c>
      <c r="AM82" s="70" t="n">
        <f aca="false">SUM(C82:AL82)</f>
        <v>-598981.193552824</v>
      </c>
    </row>
    <row r="83" customFormat="false" ht="15" hidden="false" customHeight="false" outlineLevel="0" collapsed="false">
      <c r="A83" s="10" t="s">
        <v>804</v>
      </c>
      <c r="B83" s="9" t="s">
        <v>97</v>
      </c>
      <c r="C83" s="70" t="n">
        <f aca="false">-C26</f>
        <v>-8000</v>
      </c>
      <c r="D83" s="70" t="n">
        <f aca="false">-D26</f>
        <v>-30000</v>
      </c>
      <c r="E83" s="70" t="n">
        <f aca="false">-E26</f>
        <v>-30000</v>
      </c>
      <c r="F83" s="70" t="n">
        <f aca="false">-F26</f>
        <v>-47992.6512</v>
      </c>
      <c r="G83" s="70" t="n">
        <f aca="false">-G26</f>
        <v>-59804.3651177933</v>
      </c>
      <c r="H83" s="70" t="n">
        <f aca="false">-H26</f>
        <v>-69647.6681258248</v>
      </c>
      <c r="I83" s="70" t="n">
        <f aca="false">-I26</f>
        <v>-78356.0623912766</v>
      </c>
      <c r="J83" s="70" t="n">
        <f aca="false">-J26</f>
        <v>-89656.1562943909</v>
      </c>
      <c r="K83" s="70" t="n">
        <f aca="false">-K26</f>
        <v>-98854.6557636465</v>
      </c>
      <c r="L83" s="70" t="n">
        <f aca="false">-L26</f>
        <v>-107214.470147757</v>
      </c>
      <c r="M83" s="70" t="n">
        <f aca="false">-M26</f>
        <v>-114928.084782887</v>
      </c>
      <c r="N83" s="70" t="n">
        <f aca="false">-N26</f>
        <v>-122126.949149632</v>
      </c>
      <c r="O83" s="70" t="n">
        <f aca="false">-O26</f>
        <v>-128913.457421384</v>
      </c>
      <c r="P83" s="70" t="n">
        <f aca="false">-P26</f>
        <v>-135372.875739768</v>
      </c>
      <c r="Q83" s="70" t="n">
        <f aca="false">-Q26</f>
        <v>-141577.388674455</v>
      </c>
      <c r="R83" s="70" t="n">
        <f aca="false">-R26</f>
        <v>-147588.815625174</v>
      </c>
      <c r="S83" s="70" t="n">
        <f aca="false">-S26</f>
        <v>-153460.740933407</v>
      </c>
      <c r="T83" s="70" t="n">
        <f aca="false">-T26</f>
        <v>-159240.258347861</v>
      </c>
      <c r="U83" s="70" t="n">
        <f aca="false">-U26</f>
        <v>-164969.419113679</v>
      </c>
      <c r="V83" s="70" t="n">
        <f aca="false">-V26</f>
        <v>-170686.443065705</v>
      </c>
      <c r="W83" s="70" t="n">
        <f aca="false">-W26</f>
        <v>-176426.738516131</v>
      </c>
      <c r="X83" s="70" t="n">
        <f aca="false">-X26</f>
        <v>-182223.768086958</v>
      </c>
      <c r="Y83" s="70" t="n">
        <f aca="false">-Y26</f>
        <v>-188109.791178729</v>
      </c>
      <c r="Z83" s="70" t="n">
        <f aca="false">-Z26</f>
        <v>-194116.50861149</v>
      </c>
      <c r="AA83" s="70" t="n">
        <f aca="false">-AA26</f>
        <v>-200275.630759606</v>
      </c>
      <c r="AB83" s="70" t="n">
        <f aca="false">-AB26</f>
        <v>-206619.387034902</v>
      </c>
      <c r="AC83" s="70" t="n">
        <f aca="false">-AC26</f>
        <v>-212968.700264406</v>
      </c>
      <c r="AD83" s="70" t="n">
        <f aca="false">-AD26</f>
        <v>-219284.953162874</v>
      </c>
      <c r="AE83" s="70" t="n">
        <f aca="false">-AE26</f>
        <v>-225658.073322528</v>
      </c>
      <c r="AF83" s="70" t="n">
        <f aca="false">-AF26</f>
        <v>-232130.395921312</v>
      </c>
      <c r="AG83" s="70" t="n">
        <f aca="false">-AG26</f>
        <v>-238743.425017824</v>
      </c>
      <c r="AH83" s="70" t="n">
        <f aca="false">-AH26</f>
        <v>-245539.272880406</v>
      </c>
      <c r="AI83" s="70" t="n">
        <f aca="false">-AI26</f>
        <v>-252561.273628233</v>
      </c>
      <c r="AJ83" s="70" t="n">
        <f aca="false">-AJ26</f>
        <v>-259854.371510516</v>
      </c>
      <c r="AK83" s="70" t="n">
        <f aca="false">-AK26</f>
        <v>-267465.48531242</v>
      </c>
      <c r="AL83" s="70" t="n">
        <f aca="false">-AL26</f>
        <v>-275443.872204135</v>
      </c>
      <c r="AM83" s="70" t="n">
        <f aca="false">SUM(C83:AL83)</f>
        <v>-5635812.10930711</v>
      </c>
    </row>
    <row r="84" customFormat="false" ht="15" hidden="false" customHeight="false" outlineLevel="0" collapsed="false">
      <c r="A84" s="10" t="s">
        <v>805</v>
      </c>
      <c r="B84" s="9" t="s">
        <v>97</v>
      </c>
      <c r="C84" s="70" t="n">
        <f aca="false">-IF(C$5=Assumptions!$I$6,Assumptions!$I$23,0)</f>
        <v>-0</v>
      </c>
      <c r="D84" s="70" t="n">
        <f aca="false">-IF(D$5=Assumptions!$I$6,Assumptions!$I$23,0)</f>
        <v>-60000</v>
      </c>
      <c r="E84" s="70" t="n">
        <f aca="false">-IF(E$5=Assumptions!$I$6,Assumptions!$I$23,0)</f>
        <v>-0</v>
      </c>
      <c r="F84" s="70" t="n">
        <f aca="false">-IF(F$5=Assumptions!$I$6,Assumptions!$I$23,0)</f>
        <v>-0</v>
      </c>
      <c r="G84" s="70" t="n">
        <f aca="false">-IF(G$5=Assumptions!$I$6,Assumptions!$I$23,0)</f>
        <v>-0</v>
      </c>
      <c r="H84" s="70" t="n">
        <f aca="false">-IF(H$5=Assumptions!$I$6,Assumptions!$I$23,0)</f>
        <v>-0</v>
      </c>
      <c r="I84" s="70" t="n">
        <f aca="false">-IF(I$5=Assumptions!$I$6,Assumptions!$I$23,0)</f>
        <v>-0</v>
      </c>
      <c r="J84" s="70" t="n">
        <f aca="false">-IF(J$5=Assumptions!$I$6,Assumptions!$I$23,0)</f>
        <v>-0</v>
      </c>
      <c r="K84" s="70" t="n">
        <f aca="false">-IF(K$5=Assumptions!$I$6,Assumptions!$I$23,0)</f>
        <v>-0</v>
      </c>
      <c r="L84" s="70" t="n">
        <f aca="false">-IF(L$5=Assumptions!$I$6,Assumptions!$I$23,0)</f>
        <v>-0</v>
      </c>
      <c r="M84" s="70" t="n">
        <f aca="false">-IF(M$5=Assumptions!$I$6,Assumptions!$I$23,0)</f>
        <v>-0</v>
      </c>
      <c r="N84" s="70" t="n">
        <f aca="false">-IF(N$5=Assumptions!$I$6,Assumptions!$I$23,0)</f>
        <v>-0</v>
      </c>
      <c r="O84" s="70" t="n">
        <f aca="false">-IF(O$5=Assumptions!$I$6,Assumptions!$I$23,0)</f>
        <v>-0</v>
      </c>
      <c r="P84" s="70" t="n">
        <f aca="false">-IF(P$5=Assumptions!$I$6,Assumptions!$I$23,0)</f>
        <v>-0</v>
      </c>
      <c r="Q84" s="70" t="n">
        <f aca="false">-IF(Q$5=Assumptions!$I$6,Assumptions!$I$23,0)</f>
        <v>-0</v>
      </c>
      <c r="R84" s="70" t="n">
        <f aca="false">-IF(R$5=Assumptions!$I$6,Assumptions!$I$23,0)</f>
        <v>-0</v>
      </c>
      <c r="S84" s="70" t="n">
        <f aca="false">-IF(S$5=Assumptions!$I$6,Assumptions!$I$23,0)</f>
        <v>-0</v>
      </c>
      <c r="T84" s="70" t="n">
        <f aca="false">-IF(T$5=Assumptions!$I$6,Assumptions!$I$23,0)</f>
        <v>-0</v>
      </c>
      <c r="U84" s="70" t="n">
        <f aca="false">-IF(U$5=Assumptions!$I$6,Assumptions!$I$23,0)</f>
        <v>-0</v>
      </c>
      <c r="V84" s="70" t="n">
        <f aca="false">-IF(V$5=Assumptions!$I$6,Assumptions!$I$23,0)</f>
        <v>-0</v>
      </c>
      <c r="W84" s="70" t="n">
        <f aca="false">-IF(W$5=Assumptions!$I$6,Assumptions!$I$23,0)</f>
        <v>-0</v>
      </c>
      <c r="X84" s="70" t="n">
        <f aca="false">-IF(X$5=Assumptions!$I$6,Assumptions!$I$23,0)</f>
        <v>-0</v>
      </c>
      <c r="Y84" s="70" t="n">
        <f aca="false">-IF(Y$5=Assumptions!$I$6,Assumptions!$I$23,0)</f>
        <v>-0</v>
      </c>
      <c r="Z84" s="70" t="n">
        <f aca="false">-IF(Z$5=Assumptions!$I$6,Assumptions!$I$23,0)</f>
        <v>-0</v>
      </c>
      <c r="AA84" s="70" t="n">
        <f aca="false">-IF(AA$5=Assumptions!$I$6,Assumptions!$I$23,0)</f>
        <v>-0</v>
      </c>
      <c r="AB84" s="70" t="n">
        <f aca="false">-IF(AB$5=Assumptions!$I$6,Assumptions!$I$23,0)</f>
        <v>-0</v>
      </c>
      <c r="AC84" s="70" t="n">
        <f aca="false">-IF(AC$5=Assumptions!$I$6,Assumptions!$I$23,0)</f>
        <v>-0</v>
      </c>
      <c r="AD84" s="70" t="n">
        <f aca="false">-IF(AD$5=Assumptions!$I$6,Assumptions!$I$23,0)</f>
        <v>-0</v>
      </c>
      <c r="AE84" s="70" t="n">
        <f aca="false">-IF(AE$5=Assumptions!$I$6,Assumptions!$I$23,0)</f>
        <v>-0</v>
      </c>
      <c r="AF84" s="70" t="n">
        <f aca="false">-IF(AF$5=Assumptions!$I$6,Assumptions!$I$23,0)</f>
        <v>-0</v>
      </c>
      <c r="AG84" s="70" t="n">
        <f aca="false">-IF(AG$5=Assumptions!$I$6,Assumptions!$I$23,0)</f>
        <v>-0</v>
      </c>
      <c r="AH84" s="70" t="n">
        <f aca="false">-IF(AH$5=Assumptions!$I$6,Assumptions!$I$23,0)</f>
        <v>-0</v>
      </c>
      <c r="AI84" s="70" t="n">
        <f aca="false">-IF(AI$5=Assumptions!$I$6,Assumptions!$I$23,0)</f>
        <v>-0</v>
      </c>
      <c r="AJ84" s="70" t="n">
        <f aca="false">-IF(AJ$5=Assumptions!$I$6,Assumptions!$I$23,0)</f>
        <v>-0</v>
      </c>
      <c r="AK84" s="70" t="n">
        <f aca="false">-IF(AK$5=Assumptions!$I$6,Assumptions!$I$23,0)</f>
        <v>-0</v>
      </c>
      <c r="AL84" s="70" t="n">
        <f aca="false">-IF(AL$5=Assumptions!$I$6,Assumptions!$I$23,0)</f>
        <v>-0</v>
      </c>
      <c r="AM84" s="70" t="n">
        <f aca="false">SUM(C84:AL84)</f>
        <v>-60000</v>
      </c>
    </row>
    <row r="85" customFormat="false" ht="15" hidden="false" customHeight="false" outlineLevel="0" collapsed="false">
      <c r="A85" s="10" t="s">
        <v>806</v>
      </c>
      <c r="B85" s="9" t="s">
        <v>97</v>
      </c>
      <c r="C85" s="70" t="n">
        <f aca="false">-C8*Assumptions!$I$98</f>
        <v>-0</v>
      </c>
      <c r="D85" s="70" t="n">
        <f aca="false">-D8*Assumptions!$I$98</f>
        <v>-15000</v>
      </c>
      <c r="E85" s="70" t="n">
        <f aca="false">-E8*Assumptions!$I$98</f>
        <v>-15000</v>
      </c>
      <c r="F85" s="70" t="n">
        <f aca="false">-F8*Assumptions!$I$98</f>
        <v>-15000</v>
      </c>
      <c r="G85" s="70" t="n">
        <f aca="false">-G8*Assumptions!$I$98</f>
        <v>-15000</v>
      </c>
      <c r="H85" s="70" t="n">
        <f aca="false">-H8*Assumptions!$I$98</f>
        <v>-15000</v>
      </c>
      <c r="I85" s="70" t="n">
        <f aca="false">-I8*Assumptions!$I$98</f>
        <v>-15000</v>
      </c>
      <c r="J85" s="70" t="n">
        <f aca="false">-J8*Assumptions!$I$98</f>
        <v>-15000</v>
      </c>
      <c r="K85" s="70" t="n">
        <f aca="false">-K8*Assumptions!$I$98</f>
        <v>-15000</v>
      </c>
      <c r="L85" s="70" t="n">
        <f aca="false">-L8*Assumptions!$I$98</f>
        <v>-15000</v>
      </c>
      <c r="M85" s="70" t="n">
        <f aca="false">-M8*Assumptions!$I$98</f>
        <v>-15000</v>
      </c>
      <c r="N85" s="70" t="n">
        <f aca="false">-N8*Assumptions!$I$98</f>
        <v>-15000</v>
      </c>
      <c r="O85" s="70" t="n">
        <f aca="false">-O8*Assumptions!$I$98</f>
        <v>-15000</v>
      </c>
      <c r="P85" s="70" t="n">
        <f aca="false">-P8*Assumptions!$I$98</f>
        <v>-15000</v>
      </c>
      <c r="Q85" s="70" t="n">
        <f aca="false">-Q8*Assumptions!$I$98</f>
        <v>-15000</v>
      </c>
      <c r="R85" s="70" t="n">
        <f aca="false">-R8*Assumptions!$I$98</f>
        <v>-15000</v>
      </c>
      <c r="S85" s="70" t="n">
        <f aca="false">-S8*Assumptions!$I$98</f>
        <v>-15000</v>
      </c>
      <c r="T85" s="70" t="n">
        <f aca="false">-T8*Assumptions!$I$98</f>
        <v>-15000</v>
      </c>
      <c r="U85" s="70" t="n">
        <f aca="false">-U8*Assumptions!$I$98</f>
        <v>-15000</v>
      </c>
      <c r="V85" s="70" t="n">
        <f aca="false">-V8*Assumptions!$I$98</f>
        <v>-15000</v>
      </c>
      <c r="W85" s="70" t="n">
        <f aca="false">-W8*Assumptions!$I$98</f>
        <v>-15000</v>
      </c>
      <c r="X85" s="70" t="n">
        <f aca="false">-X8*Assumptions!$I$98</f>
        <v>-15000</v>
      </c>
      <c r="Y85" s="70" t="n">
        <f aca="false">-Y8*Assumptions!$I$98</f>
        <v>-15000</v>
      </c>
      <c r="Z85" s="70" t="n">
        <f aca="false">-Z8*Assumptions!$I$98</f>
        <v>-15000</v>
      </c>
      <c r="AA85" s="70" t="n">
        <f aca="false">-AA8*Assumptions!$I$98</f>
        <v>-15000</v>
      </c>
      <c r="AB85" s="70" t="n">
        <f aca="false">-AB8*Assumptions!$I$98</f>
        <v>-15000</v>
      </c>
      <c r="AC85" s="70" t="n">
        <f aca="false">-AC8*Assumptions!$I$98</f>
        <v>-15000</v>
      </c>
      <c r="AD85" s="70" t="n">
        <f aca="false">-AD8*Assumptions!$I$98</f>
        <v>-15000</v>
      </c>
      <c r="AE85" s="70" t="n">
        <f aca="false">-AE8*Assumptions!$I$98</f>
        <v>-15000</v>
      </c>
      <c r="AF85" s="70" t="n">
        <f aca="false">-AF8*Assumptions!$I$98</f>
        <v>-15000</v>
      </c>
      <c r="AG85" s="70" t="n">
        <f aca="false">-AG8*Assumptions!$I$98</f>
        <v>-15000</v>
      </c>
      <c r="AH85" s="70" t="n">
        <f aca="false">-AH8*Assumptions!$I$98</f>
        <v>-15000</v>
      </c>
      <c r="AI85" s="70" t="n">
        <f aca="false">-AI8*Assumptions!$I$98</f>
        <v>-15000</v>
      </c>
      <c r="AJ85" s="70" t="n">
        <f aca="false">-AJ8*Assumptions!$I$98</f>
        <v>-15000</v>
      </c>
      <c r="AK85" s="70" t="n">
        <f aca="false">-AK8*Assumptions!$I$98</f>
        <v>-15000</v>
      </c>
      <c r="AL85" s="70" t="n">
        <f aca="false">-AL8*Assumptions!$I$98</f>
        <v>-15000</v>
      </c>
      <c r="AM85" s="70" t="n">
        <f aca="false">SUM(C85:AL85)</f>
        <v>-525000</v>
      </c>
    </row>
    <row r="86" customFormat="false" ht="15" hidden="false" customHeight="false" outlineLevel="0" collapsed="false">
      <c r="A86" s="10" t="s">
        <v>362</v>
      </c>
      <c r="B86" s="9" t="s">
        <v>97</v>
      </c>
      <c r="C86" s="70" t="n">
        <f aca="false">-C72*Assumptions!$I$99</f>
        <v>-0</v>
      </c>
      <c r="D86" s="70" t="n">
        <f aca="false">-D72*Assumptions!$I$99</f>
        <v>-5674.5</v>
      </c>
      <c r="E86" s="70" t="n">
        <f aca="false">-E72*Assumptions!$I$99</f>
        <v>-9998.469</v>
      </c>
      <c r="F86" s="70" t="n">
        <f aca="false">-F72*Assumptions!$I$99</f>
        <v>-12459.2427328736</v>
      </c>
      <c r="G86" s="70" t="n">
        <f aca="false">-G72*Assumptions!$I$99</f>
        <v>-14509.9308595468</v>
      </c>
      <c r="H86" s="70" t="n">
        <f aca="false">-H72*Assumptions!$I$99</f>
        <v>-16324.1796648493</v>
      </c>
      <c r="I86" s="70" t="n">
        <f aca="false">-I72*Assumptions!$I$99</f>
        <v>-18678.3658946648</v>
      </c>
      <c r="J86" s="70" t="n">
        <f aca="false">-J72*Assumptions!$I$99</f>
        <v>-20594.7199507597</v>
      </c>
      <c r="K86" s="70" t="n">
        <f aca="false">-K72*Assumptions!$I$99</f>
        <v>-22336.3479474493</v>
      </c>
      <c r="L86" s="70" t="n">
        <f aca="false">-L72*Assumptions!$I$99</f>
        <v>-23943.3509964348</v>
      </c>
      <c r="M86" s="70" t="n">
        <f aca="false">-M72*Assumptions!$I$99</f>
        <v>-25443.1144061733</v>
      </c>
      <c r="N86" s="70" t="n">
        <f aca="false">-N72*Assumptions!$I$99</f>
        <v>-26856.9702961217</v>
      </c>
      <c r="O86" s="70" t="n">
        <f aca="false">-O72*Assumptions!$I$99</f>
        <v>-28202.6824457849</v>
      </c>
      <c r="P86" s="70" t="n">
        <f aca="false">-P72*Assumptions!$I$99</f>
        <v>-29495.2893071782</v>
      </c>
      <c r="Q86" s="70" t="n">
        <f aca="false">-Q72*Assumptions!$I$99</f>
        <v>-30747.6699219113</v>
      </c>
      <c r="R86" s="70" t="n">
        <f aca="false">-R72*Assumptions!$I$99</f>
        <v>-31970.9876944597</v>
      </c>
      <c r="S86" s="70" t="n">
        <f aca="false">-S72*Assumptions!$I$99</f>
        <v>-33175.0538224711</v>
      </c>
      <c r="T86" s="70" t="n">
        <f aca="false">-T72*Assumptions!$I$99</f>
        <v>-34368.6289820164</v>
      </c>
      <c r="U86" s="70" t="n">
        <f aca="false">-U72*Assumptions!$I$99</f>
        <v>-35559.6756386885</v>
      </c>
      <c r="V86" s="70" t="n">
        <f aca="false">-V72*Assumptions!$I$99</f>
        <v>-36755.570524194</v>
      </c>
      <c r="W86" s="70" t="n">
        <f aca="false">-W72*Assumptions!$I$99</f>
        <v>-37963.2850181163</v>
      </c>
      <c r="X86" s="70" t="n">
        <f aca="false">-X72*Assumptions!$I$99</f>
        <v>-39189.5398289019</v>
      </c>
      <c r="Y86" s="70" t="n">
        <f aca="false">-Y72*Assumptions!$I$99</f>
        <v>-40440.9392940603</v>
      </c>
      <c r="Z86" s="70" t="n">
        <f aca="false">-Z72*Assumptions!$I$99</f>
        <v>-41724.0897415845</v>
      </c>
      <c r="AA86" s="70" t="n">
        <f aca="false">-AA72*Assumptions!$I$99</f>
        <v>-43045.7056322713</v>
      </c>
      <c r="AB86" s="70" t="n">
        <f aca="false">-AB72*Assumptions!$I$99</f>
        <v>-44368.4792217512</v>
      </c>
      <c r="AC86" s="70" t="n">
        <f aca="false">-AC72*Assumptions!$I$99</f>
        <v>-45684.3652422655</v>
      </c>
      <c r="AD86" s="70" t="n">
        <f aca="false">-AD72*Assumptions!$I$99</f>
        <v>-47012.0986088601</v>
      </c>
      <c r="AE86" s="70" t="n">
        <f aca="false">-AE72*Assumptions!$I$99</f>
        <v>-48360.4991502733</v>
      </c>
      <c r="AF86" s="70" t="n">
        <f aca="false">-AF72*Assumptions!$I$99</f>
        <v>-49738.2135453799</v>
      </c>
      <c r="AG86" s="70" t="n">
        <f aca="false">-AG72*Assumptions!$I$99</f>
        <v>-51154.015183418</v>
      </c>
      <c r="AH86" s="70" t="n">
        <f aca="false">-AH72*Assumptions!$I$99</f>
        <v>-52616.932005882</v>
      </c>
      <c r="AI86" s="70" t="n">
        <f aca="false">-AI72*Assumptions!$I$99</f>
        <v>-54136.3273980241</v>
      </c>
      <c r="AJ86" s="70" t="n">
        <f aca="false">-AJ72*Assumptions!$I$99</f>
        <v>-55721.9761067541</v>
      </c>
      <c r="AK86" s="70" t="n">
        <f aca="false">-AK72*Assumptions!$I$99</f>
        <v>-57384.1400425281</v>
      </c>
      <c r="AL86" s="70" t="n">
        <f aca="false">-AL72*Assumptions!$I$99</f>
        <v>-59133.645417484</v>
      </c>
      <c r="AM86" s="70" t="n">
        <f aca="false">SUM(C86:AL86)</f>
        <v>-1224769.00152313</v>
      </c>
    </row>
    <row r="87" customFormat="false" ht="15" hidden="false" customHeight="false" outlineLevel="0" collapsed="false">
      <c r="A87" s="37" t="s">
        <v>807</v>
      </c>
      <c r="B87" s="9" t="s">
        <v>97</v>
      </c>
      <c r="C87" s="53" t="n">
        <f aca="false">C75+C76+C77+C78+C79+C80+C81+C82+C83+C84+C85+C86</f>
        <v>-37080</v>
      </c>
      <c r="D87" s="53" t="n">
        <f aca="false">D75+D76+D77+D78+D79+D80+D81+D82+D83+D84+D85+D86</f>
        <v>-152254.5</v>
      </c>
      <c r="E87" s="53" t="n">
        <f aca="false">E75+E76+E77+E78+E79+E80+E81+E82+E83+E84+E85+E86</f>
        <v>-96578.469</v>
      </c>
      <c r="F87" s="53" t="n">
        <f aca="false">F75+F76+F77+F78+F79+F80+F81+F82+F83+F84+F85+F86</f>
        <v>-106931.648972874</v>
      </c>
      <c r="G87" s="53" t="n">
        <f aca="false">G75+G76+G77+G78+G79+G80+G81+G82+G83+G84+G85+G86</f>
        <v>-130417.396181037</v>
      </c>
      <c r="H87" s="53" t="n">
        <f aca="false">H75+H76+H77+H78+H79+H80+H81+H82+H83+H84+H85+H86</f>
        <v>-144840.319189431</v>
      </c>
      <c r="I87" s="53" t="n">
        <f aca="false">I75+I76+I77+I78+I79+I80+I81+I82+I83+I84+I85+I86</f>
        <v>-159277.402462561</v>
      </c>
      <c r="J87" s="53" t="n">
        <f aca="false">J75+J76+J77+J78+J79+J80+J81+J82+J83+J84+J85+J86</f>
        <v>-176872.636809227</v>
      </c>
      <c r="K87" s="53" t="n">
        <f aca="false">K75+K76+K77+K78+K79+K80+K81+K82+K83+K84+K85+K86</f>
        <v>-191377.182819509</v>
      </c>
      <c r="L87" s="53" t="n">
        <f aca="false">L75+L76+L77+L78+L79+L80+L81+L82+L83+L84+L85+L86</f>
        <v>-204583.428326447</v>
      </c>
      <c r="M87" s="53" t="n">
        <f aca="false">M75+M76+M77+M78+M79+M80+M81+M82+M83+M84+M85+M86</f>
        <v>-216785.832042429</v>
      </c>
      <c r="N87" s="53" t="n">
        <f aca="false">N75+N76+N77+N78+N79+N80+N81+N82+N83+N84+N85+N86</f>
        <v>-228188.112241236</v>
      </c>
      <c r="O87" s="53" t="n">
        <f aca="false">O75+O76+O77+O78+O79+O80+O81+O82+O83+O84+O85+O86</f>
        <v>-240721.740262609</v>
      </c>
      <c r="P87" s="53" t="n">
        <f aca="false">P75+P76+P77+P78+P79+P80+P81+P82+P83+P84+P85+P86</f>
        <v>-249361.935461164</v>
      </c>
      <c r="Q87" s="53" t="n">
        <f aca="false">Q75+Q76+Q77+Q78+Q79+Q80+Q81+Q82+Q83+Q84+Q85+Q86</f>
        <v>-259066.296707718</v>
      </c>
      <c r="R87" s="53" t="n">
        <f aca="false">R75+R76+R77+R78+R79+R80+R81+R82+R83+R84+R85+R86</f>
        <v>-268630.469374389</v>
      </c>
      <c r="S87" s="53" t="n">
        <f aca="false">S75+S76+S77+S78+S79+S80+S81+S82+S83+S84+S85+S86</f>
        <v>-277981.831867573</v>
      </c>
      <c r="T87" s="53" t="n">
        <f aca="false">T75+T76+T77+T78+T79+T80+T81+T82+T83+T84+T85+T86</f>
        <v>-287194.487439674</v>
      </c>
      <c r="U87" s="53" t="n">
        <f aca="false">U75+U76+U77+U78+U79+U80+U81+U82+U83+U84+U85+U86</f>
        <v>-296334.744658918</v>
      </c>
      <c r="V87" s="53" t="n">
        <f aca="false">V75+V76+V77+V78+V79+V80+V81+V82+V83+V84+V85+V86</f>
        <v>-305463.01027786</v>
      </c>
      <c r="W87" s="53" t="n">
        <f aca="false">W75+W76+W77+W78+W79+W80+W81+W82+W83+W84+W85+W86</f>
        <v>-314635.384709248</v>
      </c>
      <c r="X87" s="53" t="n">
        <f aca="false">X75+X76+X77+X78+X79+X80+X81+X82+X83+X84+X85+X86</f>
        <v>-323905.018049557</v>
      </c>
      <c r="Y87" s="53" t="n">
        <f aca="false">Y75+Y76+Y77+Y78+Y79+Y80+Y81+Y82+Y83+Y84+Y85+Y86</f>
        <v>-333323.274554547</v>
      </c>
      <c r="Z87" s="53" t="n">
        <f aca="false">Z75+Z76+Z77+Z78+Z79+Z80+Z81+Z82+Z83+Z84+Z85+Z86</f>
        <v>-342940.745440026</v>
      </c>
      <c r="AA87" s="53" t="n">
        <f aca="false">AA75+AA76+AA77+AA78+AA79+AA80+AA81+AA82+AA83+AA84+AA85+AA86</f>
        <v>-357739.235621323</v>
      </c>
      <c r="AB87" s="53" t="n">
        <f aca="false">AB75+AB76+AB77+AB78+AB79+AB80+AB81+AB82+AB83+AB84+AB85+AB86</f>
        <v>-366278.031973953</v>
      </c>
      <c r="AC87" s="53" t="n">
        <f aca="false">AC75+AC76+AC77+AC78+AC79+AC80+AC81+AC82+AC83+AC84+AC85+AC86</f>
        <v>-374816.261793027</v>
      </c>
      <c r="AD87" s="53" t="n">
        <f aca="false">AD75+AD76+AD77+AD78+AD79+AD80+AD81+AD82+AD83+AD84+AD85+AD86</f>
        <v>-383328.73283163</v>
      </c>
      <c r="AE87" s="53" t="n">
        <f aca="false">AE75+AE76+AE77+AE78+AE79+AE80+AE81+AE82+AE83+AE84+AE85+AE86</f>
        <v>-393341.075885282</v>
      </c>
      <c r="AF87" s="53" t="n">
        <f aca="false">AF75+AF76+AF77+AF78+AF79+AF80+AF81+AF82+AF83+AF84+AF85+AF86</f>
        <v>-403699.1378862</v>
      </c>
      <c r="AG87" s="53" t="n">
        <f aca="false">AG75+AG76+AG77+AG78+AG79+AG80+AG81+AG82+AG83+AG84+AG85+AG86</f>
        <v>-414290.517395648</v>
      </c>
      <c r="AH87" s="53" t="n">
        <f aca="false">AH75+AH76+AH77+AH78+AH79+AH80+AH81+AH82+AH83+AH84+AH85+AH86</f>
        <v>-425182.673127446</v>
      </c>
      <c r="AI87" s="53" t="n">
        <f aca="false">AI75+AI76+AI77+AI78+AI79+AI80+AI81+AI82+AI83+AI84+AI85+AI86</f>
        <v>-436445.094557198</v>
      </c>
      <c r="AJ87" s="53" t="n">
        <f aca="false">AJ75+AJ76+AJ77+AJ78+AJ79+AJ80+AJ81+AJ82+AJ83+AJ84+AJ85+AJ86</f>
        <v>-448149.916577595</v>
      </c>
      <c r="AK87" s="53" t="n">
        <f aca="false">AK75+AK76+AK77+AK78+AK79+AK80+AK81+AK82+AK83+AK84+AK85+AK86</f>
        <v>-460372.50091351</v>
      </c>
      <c r="AL87" s="53" t="n">
        <f aca="false">AL75+AL76+AL77+AL78+AL79+AL80+AL81+AL82+AL83+AL84+AL85+AL86</f>
        <v>-473192.018100721</v>
      </c>
      <c r="AM87" s="53" t="n">
        <f aca="false">SUM(C87:AL87)</f>
        <v>-10281581.0635116</v>
      </c>
    </row>
    <row r="88" customFormat="false" ht="15" hidden="false" customHeight="false" outlineLevel="0" collapsed="false">
      <c r="A88" s="37" t="s">
        <v>808</v>
      </c>
      <c r="B88" s="9" t="s">
        <v>97</v>
      </c>
      <c r="C88" s="53" t="n">
        <f aca="false">C73+C87</f>
        <v>-37080</v>
      </c>
      <c r="D88" s="53" t="n">
        <f aca="false">D73+D87</f>
        <v>-83725.71</v>
      </c>
      <c r="E88" s="53" t="n">
        <f aca="false">E73+E87</f>
        <v>24169.25898</v>
      </c>
      <c r="F88" s="53" t="n">
        <f aca="false">F73+F87</f>
        <v>43533.9125391753</v>
      </c>
      <c r="G88" s="53" t="n">
        <f aca="false">G73+G87</f>
        <v>44813.5501205589</v>
      </c>
      <c r="H88" s="53" t="n">
        <f aca="false">H73+H87</f>
        <v>52300.6236557054</v>
      </c>
      <c r="I88" s="53" t="n">
        <f aca="false">I73+I87</f>
        <v>63985.2714501871</v>
      </c>
      <c r="J88" s="53" t="n">
        <f aca="false">J73+J87</f>
        <v>68390.7181487463</v>
      </c>
      <c r="K88" s="53" t="n">
        <f aca="false">K73+K87</f>
        <v>73835.021964478</v>
      </c>
      <c r="L88" s="53" t="n">
        <f aca="false">L73+L87</f>
        <v>78995.8366951156</v>
      </c>
      <c r="M88" s="53" t="n">
        <f aca="false">M73+M87</f>
        <v>83896.765009027</v>
      </c>
      <c r="N88" s="53" t="n">
        <f aca="false">N73+N87</f>
        <v>88580.9792326316</v>
      </c>
      <c r="O88" s="53" t="n">
        <f aca="false">O73+O87</f>
        <v>91322.152157993</v>
      </c>
      <c r="P88" s="53" t="n">
        <f aca="false">P73+P87</f>
        <v>97318.3894324802</v>
      </c>
      <c r="Q88" s="53" t="n">
        <f aca="false">Q73+Q87</f>
        <v>101760.234980197</v>
      </c>
      <c r="R88" s="53" t="n">
        <f aca="false">R73+R87</f>
        <v>105980.184687856</v>
      </c>
      <c r="S88" s="53" t="n">
        <f aca="false">S73+S87</f>
        <v>110163.224440236</v>
      </c>
      <c r="T88" s="53" t="n">
        <f aca="false">T73+T87</f>
        <v>114335.330908587</v>
      </c>
      <c r="U88" s="53" t="n">
        <f aca="false">U73+U87</f>
        <v>118520.900408222</v>
      </c>
      <c r="V88" s="53" t="n">
        <f aca="false">V73+V87</f>
        <v>122743.296058397</v>
      </c>
      <c r="W88" s="53" t="n">
        <f aca="false">W73+W87</f>
        <v>127025.314929741</v>
      </c>
      <c r="X88" s="53" t="n">
        <f aca="false">X73+X87</f>
        <v>131389.592718118</v>
      </c>
      <c r="Y88" s="53" t="n">
        <f aca="false">Y73+Y87</f>
        <v>135858.960503898</v>
      </c>
      <c r="Z88" s="53" t="n">
        <f aca="false">Z73+Z87</f>
        <v>140456.765610412</v>
      </c>
      <c r="AA88" s="53" t="n">
        <f aca="false">AA73+AA87</f>
        <v>140276.074177095</v>
      </c>
      <c r="AB88" s="53" t="n">
        <f aca="false">AB73+AB87</f>
        <v>146431.554464472</v>
      </c>
      <c r="AC88" s="53" t="n">
        <f aca="false">AC73+AC87</f>
        <v>152584.650617094</v>
      </c>
      <c r="AD88" s="53" t="n">
        <f aca="false">AD73+AD87</f>
        <v>158931.886382607</v>
      </c>
      <c r="AE88" s="53" t="n">
        <f aca="false">AE73+AE87</f>
        <v>164042.277738761</v>
      </c>
      <c r="AF88" s="53" t="n">
        <f aca="false">AF73+AF87</f>
        <v>169163.18480229</v>
      </c>
      <c r="AG88" s="53" t="n">
        <f aca="false">AG73+AG87</f>
        <v>174502.21458087</v>
      </c>
      <c r="AH88" s="53" t="n">
        <f aca="false">AH73+AH87</f>
        <v>180090.491653665</v>
      </c>
      <c r="AI88" s="53" t="n">
        <f aca="false">AI73+AI87</f>
        <v>185961.335462778</v>
      </c>
      <c r="AJ88" s="53" t="n">
        <f aca="false">AJ73+AJ87</f>
        <v>192150.445361595</v>
      </c>
      <c r="AK88" s="53" t="n">
        <f aca="false">AK73+AK87</f>
        <v>198696.124576829</v>
      </c>
      <c r="AL88" s="53" t="n">
        <f aca="false">AL73+AL87</f>
        <v>205639.524777999</v>
      </c>
      <c r="AM88" s="53" t="n">
        <f aca="false">SUM(C88:AL88)</f>
        <v>3967040.33922782</v>
      </c>
    </row>
    <row r="89" customFormat="false" ht="15" hidden="false" customHeight="false" outlineLevel="0" collapsed="false">
      <c r="A89" s="37" t="s">
        <v>809</v>
      </c>
      <c r="B89" s="9" t="s">
        <v>61</v>
      </c>
      <c r="C89" s="52" t="n">
        <f aca="false">IFERROR(C88/C72,0)</f>
        <v>0</v>
      </c>
      <c r="D89" s="52" t="n">
        <f aca="false">IFERROR(D88/D72,0)</f>
        <v>-0.737736452550886</v>
      </c>
      <c r="E89" s="52" t="n">
        <f aca="false">IFERROR(E88/E72,0)</f>
        <v>0.120864799300773</v>
      </c>
      <c r="F89" s="52" t="n">
        <f aca="false">IFERROR(F88/F72,0)</f>
        <v>0.17470529097371</v>
      </c>
      <c r="G89" s="52" t="n">
        <f aca="false">IFERROR(G88/G72,0)</f>
        <v>0.154423720396551</v>
      </c>
      <c r="H89" s="52" t="n">
        <f aca="false">IFERROR(H88/H72,0)</f>
        <v>0.160193727125914</v>
      </c>
      <c r="I89" s="52" t="n">
        <f aca="false">IFERROR(I88/I72,0)</f>
        <v>0.171281770073001</v>
      </c>
      <c r="J89" s="52" t="n">
        <f aca="false">IFERROR(J88/J72,0)</f>
        <v>0.166039446790884</v>
      </c>
      <c r="K89" s="52" t="n">
        <f aca="false">IFERROR(K88/K72,0)</f>
        <v>0.165279978038911</v>
      </c>
      <c r="L89" s="52" t="n">
        <f aca="false">IFERROR(L88/L72,0)</f>
        <v>0.164964036794345</v>
      </c>
      <c r="M89" s="52" t="n">
        <f aca="false">IFERROR(M88/M72,0)</f>
        <v>0.164871256855</v>
      </c>
      <c r="N89" s="52" t="n">
        <f aca="false">IFERROR(N88/N72,0)</f>
        <v>0.16491245709391</v>
      </c>
      <c r="O89" s="52" t="n">
        <f aca="false">IFERROR(O88/O72,0)</f>
        <v>0.161903308902522</v>
      </c>
      <c r="P89" s="52" t="n">
        <f aca="false">IFERROR(P88/P72,0)</f>
        <v>0.164972766361027</v>
      </c>
      <c r="Q89" s="52" t="n">
        <f aca="false">IFERROR(Q88/Q72,0)</f>
        <v>0.16547633566809</v>
      </c>
      <c r="R89" s="52" t="n">
        <f aca="false">IFERROR(R88/R72,0)</f>
        <v>0.165744308090646</v>
      </c>
      <c r="S89" s="52" t="n">
        <f aca="false">IFERROR(S88/S72,0)</f>
        <v>0.16603322639618</v>
      </c>
      <c r="T89" s="52" t="n">
        <f aca="false">IFERROR(T88/T72,0)</f>
        <v>0.166336764507559</v>
      </c>
      <c r="U89" s="52" t="n">
        <f aca="false">IFERROR(U88/U72,0)</f>
        <v>0.166650705158954</v>
      </c>
      <c r="V89" s="52" t="n">
        <f aca="false">IFERROR(V88/V72,0)</f>
        <v>0.166972372225324</v>
      </c>
      <c r="W89" s="52" t="n">
        <f aca="false">IFERROR(W88/W72,0)</f>
        <v>0.167300215022388</v>
      </c>
      <c r="X89" s="52" t="n">
        <f aca="false">IFERROR(X88/X72,0)</f>
        <v>0.167633497728927</v>
      </c>
      <c r="Y89" s="52" t="n">
        <f aca="false">IFERROR(Y88/Y72,0)</f>
        <v>0.167972063551763</v>
      </c>
      <c r="Z89" s="52" t="n">
        <f aca="false">IFERROR(Z88/Z72,0)</f>
        <v>0.168316153186711</v>
      </c>
      <c r="AA89" s="52" t="n">
        <f aca="false">IFERROR(AA88/AA72,0)</f>
        <v>0.162938523270402</v>
      </c>
      <c r="AB89" s="52" t="n">
        <f aca="false">IFERROR(AB88/AB72,0)</f>
        <v>0.165017549657962</v>
      </c>
      <c r="AC89" s="52" t="n">
        <f aca="false">IFERROR(AC88/AC72,0)</f>
        <v>0.166998764027839</v>
      </c>
      <c r="AD89" s="52" t="n">
        <f aca="false">IFERROR(AD88/AD72,0)</f>
        <v>0.169032962881446</v>
      </c>
      <c r="AE89" s="52" t="n">
        <f aca="false">IFERROR(AE88/AE72,0)</f>
        <v>0.169603582077413</v>
      </c>
      <c r="AF89" s="52" t="n">
        <f aca="false">IFERROR(AF88/AF72,0)</f>
        <v>0.170053539064034</v>
      </c>
      <c r="AG89" s="52" t="n">
        <f aca="false">IFERROR(AG88/AG72,0)</f>
        <v>0.170565510796341</v>
      </c>
      <c r="AH89" s="52" t="n">
        <f aca="false">IFERROR(AH88/AH72,0)</f>
        <v>0.171133592161486</v>
      </c>
      <c r="AI89" s="52" t="n">
        <f aca="false">IFERROR(AI88/AI72,0)</f>
        <v>0.171752817748</v>
      </c>
      <c r="AJ89" s="52" t="n">
        <f aca="false">IFERROR(AJ88/AJ72,0)</f>
        <v>0.172418907930927</v>
      </c>
      <c r="AK89" s="52" t="n">
        <f aca="false">IFERROR(AK88/AK72,0)</f>
        <v>0.173128084196759</v>
      </c>
      <c r="AL89" s="52" t="n">
        <f aca="false">IFERROR(AL88/AL72,0)</f>
        <v>0.173876921781316</v>
      </c>
      <c r="AM89" s="52" t="n">
        <f aca="false">AVERAGE(N89:AL89)</f>
        <v>0.167869797179517</v>
      </c>
    </row>
    <row r="90" customFormat="false" ht="15" hidden="false" customHeight="false" outlineLevel="0" collapsed="false">
      <c r="A90" s="10" t="s">
        <v>810</v>
      </c>
      <c r="B90" s="9" t="s">
        <v>97</v>
      </c>
      <c r="C90" s="70" t="n">
        <f aca="false">-C43*Assumptions!$I$102</f>
        <v>0</v>
      </c>
      <c r="D90" s="70" t="n">
        <f aca="false">-D43*Assumptions!$I$102</f>
        <v>60840</v>
      </c>
      <c r="E90" s="70" t="n">
        <f aca="false">-E43*Assumptions!$I$102</f>
        <v>107200.08</v>
      </c>
      <c r="F90" s="70" t="n">
        <f aca="false">-F43*Assumptions!$I$102</f>
        <v>133583.633424624</v>
      </c>
      <c r="G90" s="70" t="n">
        <f aca="false">-G43*Assumptions!$I$102</f>
        <v>155570.392720914</v>
      </c>
      <c r="H90" s="70" t="n">
        <f aca="false">-H43*Assumptions!$I$102</f>
        <v>175022.132489106</v>
      </c>
      <c r="I90" s="70" t="n">
        <f aca="false">-I43*Assumptions!$I$102</f>
        <v>191917.215266592</v>
      </c>
      <c r="J90" s="70" t="n">
        <f aca="false">-J43*Assumptions!$I$102</f>
        <v>207617.549520098</v>
      </c>
      <c r="K90" s="70" t="n">
        <f aca="false">-K43*Assumptions!$I$102</f>
        <v>221699.448565849</v>
      </c>
      <c r="L90" s="70" t="n">
        <f aca="false">-L43*Assumptions!$I$102</f>
        <v>234534.810935904</v>
      </c>
      <c r="M90" s="70" t="n">
        <f aca="false">-M43*Assumptions!$I$102</f>
        <v>246364.156296759</v>
      </c>
      <c r="N90" s="70" t="n">
        <f aca="false">-N43*Assumptions!$I$102</f>
        <v>257370.235718305</v>
      </c>
      <c r="O90" s="70" t="n">
        <f aca="false">-O43*Assumptions!$I$102</f>
        <v>267703.077156839</v>
      </c>
      <c r="P90" s="70" t="n">
        <f aca="false">-P43*Assumptions!$I$102</f>
        <v>277488.155263363</v>
      </c>
      <c r="Q90" s="70" t="n">
        <f aca="false">-Q43*Assumptions!$I$102</f>
        <v>286831.687559911</v>
      </c>
      <c r="R90" s="70" t="n">
        <f aca="false">-R43*Assumptions!$I$102</f>
        <v>295824.659926594</v>
      </c>
      <c r="S90" s="70" t="n">
        <f aca="false">-S43*Assumptions!$I$102</f>
        <v>304546.034803236</v>
      </c>
      <c r="T90" s="70" t="n">
        <f aca="false">-T43*Assumptions!$I$102</f>
        <v>313065.348168675</v>
      </c>
      <c r="U90" s="70" t="n">
        <f aca="false">-U43*Assumptions!$I$102</f>
        <v>321444.828948874</v>
      </c>
      <c r="V90" s="70" t="n">
        <f aca="false">-V43*Assumptions!$I$102</f>
        <v>329741.140036409</v>
      </c>
      <c r="W90" s="70" t="n">
        <f aca="false">-W43*Assumptions!$I$102</f>
        <v>338006.818429339</v>
      </c>
      <c r="X90" s="70" t="n">
        <f aca="false">-X43*Assumptions!$I$102</f>
        <v>346291.476365448</v>
      </c>
      <c r="Y90" s="70" t="n">
        <f aca="false">-Y43*Assumptions!$I$102</f>
        <v>354642.813328179</v>
      </c>
      <c r="Z90" s="70" t="n">
        <f aca="false">-Z43*Assumptions!$I$102</f>
        <v>363107.479326987</v>
      </c>
      <c r="AA90" s="70" t="n">
        <f aca="false">-AA43*Assumptions!$I$102</f>
        <v>371731.822285137</v>
      </c>
      <c r="AB90" s="70" t="n">
        <f aca="false">-AB43*Assumptions!$I$102</f>
        <v>380562.546293141</v>
      </c>
      <c r="AC90" s="70" t="n">
        <f aca="false">-AC43*Assumptions!$I$102</f>
        <v>389614.659086611</v>
      </c>
      <c r="AD90" s="70" t="n">
        <f aca="false">-AD43*Assumptions!$I$102</f>
        <v>398912.495006215</v>
      </c>
      <c r="AE90" s="70" t="n">
        <f aca="false">-AE43*Assumptions!$I$102</f>
        <v>408500.421797868</v>
      </c>
      <c r="AF90" s="70" t="n">
        <f aca="false">-AF43*Assumptions!$I$102</f>
        <v>418423.684499208</v>
      </c>
      <c r="AG90" s="70" t="n">
        <f aca="false">-AG43*Assumptions!$I$102</f>
        <v>428730.94981431</v>
      </c>
      <c r="AH90" s="70" t="n">
        <f aca="false">-AH43*Assumptions!$I$102</f>
        <v>439475.020684971</v>
      </c>
      <c r="AI90" s="70" t="n">
        <f aca="false">-AI43*Assumptions!$I$102</f>
        <v>450713.15922269</v>
      </c>
      <c r="AJ90" s="70" t="n">
        <f aca="false">-AJ43*Assumptions!$I$102</f>
        <v>462507.402627292</v>
      </c>
      <c r="AK90" s="70" t="n">
        <f aca="false">-AK43*Assumptions!$I$102</f>
        <v>474924.908632438</v>
      </c>
      <c r="AL90" s="70" t="n">
        <f aca="false">-AL43*Assumptions!$I$102</f>
        <v>488038.337974595</v>
      </c>
      <c r="AM90" s="70" t="n">
        <f aca="false">AL90</f>
        <v>488038.337974595</v>
      </c>
    </row>
    <row r="91" customFormat="false" ht="15" hidden="false" customHeight="false" outlineLevel="0" collapsed="false">
      <c r="A91" s="10" t="s">
        <v>811</v>
      </c>
      <c r="B91" s="9" t="s">
        <v>97</v>
      </c>
      <c r="C91" s="70" t="n">
        <f aca="false">-C90</f>
        <v>-0</v>
      </c>
      <c r="D91" s="70" t="n">
        <f aca="false">-(D90-C90)</f>
        <v>-60840</v>
      </c>
      <c r="E91" s="70" t="n">
        <f aca="false">-(E90-D90)</f>
        <v>-46360.08</v>
      </c>
      <c r="F91" s="70" t="n">
        <f aca="false">-(F90-E90)</f>
        <v>-26383.5534246242</v>
      </c>
      <c r="G91" s="70" t="n">
        <f aca="false">-(G90-F90)</f>
        <v>-21986.7592962902</v>
      </c>
      <c r="H91" s="70" t="n">
        <f aca="false">-(H90-G90)</f>
        <v>-19451.7397681913</v>
      </c>
      <c r="I91" s="70" t="n">
        <f aca="false">-(I90-H90)</f>
        <v>-16895.0827774865</v>
      </c>
      <c r="J91" s="70" t="n">
        <f aca="false">-(J90-I90)</f>
        <v>-15700.3342535055</v>
      </c>
      <c r="K91" s="70" t="n">
        <f aca="false">-(K90-J90)</f>
        <v>-14081.8990457513</v>
      </c>
      <c r="L91" s="70" t="n">
        <f aca="false">-(L90-K90)</f>
        <v>-12835.3623700545</v>
      </c>
      <c r="M91" s="70" t="n">
        <f aca="false">-(M90-L90)</f>
        <v>-11829.3453608559</v>
      </c>
      <c r="N91" s="70" t="n">
        <f aca="false">-(N90-M90)</f>
        <v>-11006.0794215452</v>
      </c>
      <c r="O91" s="70" t="n">
        <f aca="false">-(O90-N90)</f>
        <v>-10332.8414385343</v>
      </c>
      <c r="P91" s="70" t="n">
        <f aca="false">-(P90-O90)</f>
        <v>-9785.07810652437</v>
      </c>
      <c r="Q91" s="70" t="n">
        <f aca="false">-(Q90-P90)</f>
        <v>-9343.5322965479</v>
      </c>
      <c r="R91" s="70" t="n">
        <f aca="false">-(R90-Q90)</f>
        <v>-8992.97236668307</v>
      </c>
      <c r="S91" s="70" t="n">
        <f aca="false">-(S90-R90)</f>
        <v>-8721.37487664144</v>
      </c>
      <c r="T91" s="70" t="n">
        <f aca="false">-(T90-S90)</f>
        <v>-8519.31336543954</v>
      </c>
      <c r="U91" s="70" t="n">
        <f aca="false">-(U90-T90)</f>
        <v>-8379.48078019841</v>
      </c>
      <c r="V91" s="70" t="n">
        <f aca="false">-(V90-U90)</f>
        <v>-8296.31108753494</v>
      </c>
      <c r="W91" s="70" t="n">
        <f aca="false">-(W90-V90)</f>
        <v>-8265.67839293025</v>
      </c>
      <c r="X91" s="70" t="n">
        <f aca="false">-(X90-W90)</f>
        <v>-8284.65793610964</v>
      </c>
      <c r="Y91" s="70" t="n">
        <f aca="false">-(Y90-X90)</f>
        <v>-8351.33696273097</v>
      </c>
      <c r="Z91" s="70" t="n">
        <f aca="false">-(Z90-Y90)</f>
        <v>-8464.66599880782</v>
      </c>
      <c r="AA91" s="70" t="n">
        <f aca="false">-(AA90-Z90)</f>
        <v>-8624.34295814927</v>
      </c>
      <c r="AB91" s="70" t="n">
        <f aca="false">-(AB90-AA90)</f>
        <v>-8830.72400800488</v>
      </c>
      <c r="AC91" s="70" t="n">
        <f aca="false">-(AC90-AB90)</f>
        <v>-9052.11279346922</v>
      </c>
      <c r="AD91" s="70" t="n">
        <f aca="false">-(AD90-AC90)</f>
        <v>-9297.83591960446</v>
      </c>
      <c r="AE91" s="70" t="n">
        <f aca="false">-(AE90-AD90)</f>
        <v>-9587.92679165269</v>
      </c>
      <c r="AF91" s="70" t="n">
        <f aca="false">-(AF90-AE90)</f>
        <v>-9923.26270134002</v>
      </c>
      <c r="AG91" s="70" t="n">
        <f aca="false">-(AG90-AF90)</f>
        <v>-10307.2653151026</v>
      </c>
      <c r="AH91" s="70" t="n">
        <f aca="false">-(AH90-AG90)</f>
        <v>-10744.0708706605</v>
      </c>
      <c r="AI91" s="70" t="n">
        <f aca="false">-(AI90-AH90)</f>
        <v>-11238.1385377192</v>
      </c>
      <c r="AJ91" s="70" t="n">
        <f aca="false">-(AJ90-AI90)</f>
        <v>-11794.2434046016</v>
      </c>
      <c r="AK91" s="70" t="n">
        <f aca="false">-(AK90-AJ90)</f>
        <v>-12417.5060051463</v>
      </c>
      <c r="AL91" s="70" t="n">
        <f aca="false">-(AL90-AK90)</f>
        <v>-13113.4293421567</v>
      </c>
      <c r="AM91" s="70" t="n">
        <f aca="false">SUM(C91:AL91)</f>
        <v>-488038.337974595</v>
      </c>
    </row>
    <row r="92" customFormat="false" ht="15" hidden="false" customHeight="false" outlineLevel="0" collapsed="false">
      <c r="A92" s="10" t="s">
        <v>812</v>
      </c>
      <c r="B92" s="9" t="s">
        <v>97</v>
      </c>
      <c r="C92" s="70" t="n">
        <f aca="false">C88+C91</f>
        <v>-37080</v>
      </c>
      <c r="D92" s="70" t="n">
        <f aca="false">D88+D91</f>
        <v>-144565.71</v>
      </c>
      <c r="E92" s="70" t="n">
        <f aca="false">E88+E91</f>
        <v>-22190.82102</v>
      </c>
      <c r="F92" s="70" t="n">
        <f aca="false">F88+F91</f>
        <v>17150.359114551</v>
      </c>
      <c r="G92" s="70" t="n">
        <f aca="false">G88+G91</f>
        <v>22826.7908242686</v>
      </c>
      <c r="H92" s="70" t="n">
        <f aca="false">H88+H91</f>
        <v>32848.8838875141</v>
      </c>
      <c r="I92" s="70" t="n">
        <f aca="false">I88+I91</f>
        <v>47090.1886727006</v>
      </c>
      <c r="J92" s="70" t="n">
        <f aca="false">J88+J91</f>
        <v>52690.3838952408</v>
      </c>
      <c r="K92" s="70" t="n">
        <f aca="false">K88+K91</f>
        <v>59753.1229187267</v>
      </c>
      <c r="L92" s="70" t="n">
        <f aca="false">L88+L91</f>
        <v>66160.4743250611</v>
      </c>
      <c r="M92" s="70" t="n">
        <f aca="false">M88+M91</f>
        <v>72067.4196481711</v>
      </c>
      <c r="N92" s="70" t="n">
        <f aca="false">N88+N91</f>
        <v>77574.8998110865</v>
      </c>
      <c r="O92" s="70" t="n">
        <f aca="false">O88+O91</f>
        <v>80989.3107194587</v>
      </c>
      <c r="P92" s="70" t="n">
        <f aca="false">P88+P91</f>
        <v>87533.3113259559</v>
      </c>
      <c r="Q92" s="70" t="n">
        <f aca="false">Q88+Q91</f>
        <v>92416.7026836488</v>
      </c>
      <c r="R92" s="70" t="n">
        <f aca="false">R88+R91</f>
        <v>96987.2123211726</v>
      </c>
      <c r="S92" s="70" t="n">
        <f aca="false">S88+S91</f>
        <v>101441.849563595</v>
      </c>
      <c r="T92" s="70" t="n">
        <f aca="false">T88+T91</f>
        <v>105816.017543147</v>
      </c>
      <c r="U92" s="70" t="n">
        <f aca="false">U88+U91</f>
        <v>110141.419628024</v>
      </c>
      <c r="V92" s="70" t="n">
        <f aca="false">V88+V91</f>
        <v>114446.984970862</v>
      </c>
      <c r="W92" s="70" t="n">
        <f aca="false">W88+W91</f>
        <v>118759.636536811</v>
      </c>
      <c r="X92" s="70" t="n">
        <f aca="false">X88+X91</f>
        <v>123104.934782009</v>
      </c>
      <c r="Y92" s="70" t="n">
        <f aca="false">Y88+Y91</f>
        <v>127507.623541167</v>
      </c>
      <c r="Z92" s="70" t="n">
        <f aca="false">Z88+Z91</f>
        <v>131992.099611604</v>
      </c>
      <c r="AA92" s="70" t="n">
        <f aca="false">AA88+AA91</f>
        <v>131651.731218945</v>
      </c>
      <c r="AB92" s="70" t="n">
        <f aca="false">AB88+AB91</f>
        <v>137600.830456467</v>
      </c>
      <c r="AC92" s="70" t="n">
        <f aca="false">AC88+AC91</f>
        <v>143532.537823625</v>
      </c>
      <c r="AD92" s="70" t="n">
        <f aca="false">AD88+AD91</f>
        <v>149634.050463002</v>
      </c>
      <c r="AE92" s="70" t="n">
        <f aca="false">AE88+AE91</f>
        <v>154454.350947108</v>
      </c>
      <c r="AF92" s="70" t="n">
        <f aca="false">AF88+AF91</f>
        <v>159239.92210095</v>
      </c>
      <c r="AG92" s="70" t="n">
        <f aca="false">AG88+AG91</f>
        <v>164194.949265767</v>
      </c>
      <c r="AH92" s="70" t="n">
        <f aca="false">AH88+AH91</f>
        <v>169346.420783005</v>
      </c>
      <c r="AI92" s="70" t="n">
        <f aca="false">AI88+AI91</f>
        <v>174723.196925058</v>
      </c>
      <c r="AJ92" s="70" t="n">
        <f aca="false">AJ88+AJ91</f>
        <v>180356.201956993</v>
      </c>
      <c r="AK92" s="70" t="n">
        <f aca="false">AK88+AK91</f>
        <v>186278.618571682</v>
      </c>
      <c r="AL92" s="70" t="n">
        <f aca="false">AL88+AL91</f>
        <v>192526.095435843</v>
      </c>
      <c r="AM92" s="70" t="n">
        <f aca="false">SUM(C92:AL92)</f>
        <v>3479002.00125322</v>
      </c>
    </row>
    <row r="93" customFormat="false" ht="15" hidden="false" customHeight="false" outlineLevel="0" collapsed="false">
      <c r="A93" s="37" t="s">
        <v>813</v>
      </c>
      <c r="B93" s="9" t="s">
        <v>97</v>
      </c>
      <c r="C93" s="53" t="n">
        <f aca="false">C92</f>
        <v>-37080</v>
      </c>
      <c r="D93" s="53" t="n">
        <f aca="false">C93+D92</f>
        <v>-181645.71</v>
      </c>
      <c r="E93" s="53" t="n">
        <f aca="false">D93+E92</f>
        <v>-203836.53102</v>
      </c>
      <c r="F93" s="53" t="n">
        <f aca="false">E93+F92</f>
        <v>-186686.171905449</v>
      </c>
      <c r="G93" s="53" t="n">
        <f aca="false">F93+G92</f>
        <v>-163859.38108118</v>
      </c>
      <c r="H93" s="53" t="n">
        <f aca="false">G93+H92</f>
        <v>-131010.497193666</v>
      </c>
      <c r="I93" s="53" t="n">
        <f aca="false">H93+I92</f>
        <v>-83920.3085209657</v>
      </c>
      <c r="J93" s="53" t="n">
        <f aca="false">I93+J92</f>
        <v>-31229.9246257249</v>
      </c>
      <c r="K93" s="53" t="n">
        <f aca="false">J93+K92</f>
        <v>28523.1982930017</v>
      </c>
      <c r="L93" s="53" t="n">
        <f aca="false">K93+L92</f>
        <v>94683.6726180628</v>
      </c>
      <c r="M93" s="53" t="n">
        <f aca="false">L93+M92</f>
        <v>166751.092266234</v>
      </c>
      <c r="N93" s="53" t="n">
        <f aca="false">M93+N92</f>
        <v>244325.99207732</v>
      </c>
      <c r="O93" s="53" t="n">
        <f aca="false">N93+O92</f>
        <v>325315.302796779</v>
      </c>
      <c r="P93" s="53" t="n">
        <f aca="false">O93+P92</f>
        <v>412848.614122735</v>
      </c>
      <c r="Q93" s="53" t="n">
        <f aca="false">P93+Q92</f>
        <v>505265.316806384</v>
      </c>
      <c r="R93" s="53" t="n">
        <f aca="false">Q93+R92</f>
        <v>602252.529127556</v>
      </c>
      <c r="S93" s="53" t="n">
        <f aca="false">R93+S92</f>
        <v>703694.378691151</v>
      </c>
      <c r="T93" s="53" t="n">
        <f aca="false">S93+T92</f>
        <v>809510.396234298</v>
      </c>
      <c r="U93" s="53" t="n">
        <f aca="false">T93+U92</f>
        <v>919651.815862322</v>
      </c>
      <c r="V93" s="53" t="n">
        <f aca="false">U93+V92</f>
        <v>1034098.80083318</v>
      </c>
      <c r="W93" s="53" t="n">
        <f aca="false">V93+W92</f>
        <v>1152858.43737</v>
      </c>
      <c r="X93" s="53" t="n">
        <f aca="false">W93+X92</f>
        <v>1275963.372152</v>
      </c>
      <c r="Y93" s="53" t="n">
        <f aca="false">X93+Y92</f>
        <v>1403470.99569317</v>
      </c>
      <c r="Z93" s="53" t="n">
        <f aca="false">Y93+Z92</f>
        <v>1535463.09530478</v>
      </c>
      <c r="AA93" s="53" t="n">
        <f aca="false">Z93+AA92</f>
        <v>1667114.82652372</v>
      </c>
      <c r="AB93" s="53" t="n">
        <f aca="false">AA93+AB92</f>
        <v>1804715.65698019</v>
      </c>
      <c r="AC93" s="53" t="n">
        <f aca="false">AB93+AC92</f>
        <v>1948248.19480381</v>
      </c>
      <c r="AD93" s="53" t="n">
        <f aca="false">AC93+AD92</f>
        <v>2097882.24526681</v>
      </c>
      <c r="AE93" s="53" t="n">
        <f aca="false">AD93+AE92</f>
        <v>2252336.59621392</v>
      </c>
      <c r="AF93" s="53" t="n">
        <f aca="false">AE93+AF92</f>
        <v>2411576.51831487</v>
      </c>
      <c r="AG93" s="53" t="n">
        <f aca="false">AF93+AG92</f>
        <v>2575771.46758064</v>
      </c>
      <c r="AH93" s="53" t="n">
        <f aca="false">AG93+AH92</f>
        <v>2745117.88836364</v>
      </c>
      <c r="AI93" s="53" t="n">
        <f aca="false">AH93+AI92</f>
        <v>2919841.0852887</v>
      </c>
      <c r="AJ93" s="53" t="n">
        <f aca="false">AI93+AJ92</f>
        <v>3100197.2872457</v>
      </c>
      <c r="AK93" s="53" t="n">
        <f aca="false">AJ93+AK92</f>
        <v>3286475.90581738</v>
      </c>
      <c r="AL93" s="53" t="n">
        <f aca="false">AK93+AL92</f>
        <v>3479002.00125322</v>
      </c>
      <c r="AM93" s="53" t="n">
        <f aca="false">AL93</f>
        <v>3479002.00125322</v>
      </c>
    </row>
    <row r="94" customFormat="false" ht="15" hidden="false" customHeight="false" outlineLevel="0" collapsed="false">
      <c r="A94" s="10" t="s">
        <v>814</v>
      </c>
      <c r="B94" s="9" t="s">
        <v>51</v>
      </c>
      <c r="C94" s="69" t="n">
        <f aca="false">IF(C88&gt;0,C$5,999)</f>
        <v>999</v>
      </c>
      <c r="D94" s="69" t="n">
        <f aca="false">IF(D88&gt;0,D$5,999)</f>
        <v>999</v>
      </c>
      <c r="E94" s="69" t="n">
        <f aca="false">IF(E88&gt;0,E$5,999)</f>
        <v>3</v>
      </c>
      <c r="F94" s="69" t="n">
        <f aca="false">IF(F88&gt;0,F$5,999)</f>
        <v>4</v>
      </c>
      <c r="G94" s="69" t="n">
        <f aca="false">IF(G88&gt;0,G$5,999)</f>
        <v>5</v>
      </c>
      <c r="H94" s="69" t="n">
        <f aca="false">IF(H88&gt;0,H$5,999)</f>
        <v>6</v>
      </c>
      <c r="I94" s="69" t="n">
        <f aca="false">IF(I88&gt;0,I$5,999)</f>
        <v>7</v>
      </c>
      <c r="J94" s="69" t="n">
        <f aca="false">IF(J88&gt;0,J$5,999)</f>
        <v>8</v>
      </c>
      <c r="K94" s="69" t="n">
        <f aca="false">IF(K88&gt;0,K$5,999)</f>
        <v>9</v>
      </c>
      <c r="L94" s="69" t="n">
        <f aca="false">IF(L88&gt;0,L$5,999)</f>
        <v>10</v>
      </c>
      <c r="M94" s="69" t="n">
        <f aca="false">IF(M88&gt;0,M$5,999)</f>
        <v>11</v>
      </c>
      <c r="N94" s="69" t="n">
        <f aca="false">IF(N88&gt;0,N$5,999)</f>
        <v>12</v>
      </c>
      <c r="O94" s="69" t="n">
        <f aca="false">IF(O88&gt;0,O$5,999)</f>
        <v>13</v>
      </c>
      <c r="P94" s="69" t="n">
        <f aca="false">IF(P88&gt;0,P$5,999)</f>
        <v>14</v>
      </c>
      <c r="Q94" s="69" t="n">
        <f aca="false">IF(Q88&gt;0,Q$5,999)</f>
        <v>15</v>
      </c>
      <c r="R94" s="69" t="n">
        <f aca="false">IF(R88&gt;0,R$5,999)</f>
        <v>16</v>
      </c>
      <c r="S94" s="69" t="n">
        <f aca="false">IF(S88&gt;0,S$5,999)</f>
        <v>17</v>
      </c>
      <c r="T94" s="69" t="n">
        <f aca="false">IF(T88&gt;0,T$5,999)</f>
        <v>18</v>
      </c>
      <c r="U94" s="69" t="n">
        <f aca="false">IF(U88&gt;0,U$5,999)</f>
        <v>19</v>
      </c>
      <c r="V94" s="69" t="n">
        <f aca="false">IF(V88&gt;0,V$5,999)</f>
        <v>20</v>
      </c>
      <c r="W94" s="69" t="n">
        <f aca="false">IF(W88&gt;0,W$5,999)</f>
        <v>21</v>
      </c>
      <c r="X94" s="69" t="n">
        <f aca="false">IF(X88&gt;0,X$5,999)</f>
        <v>22</v>
      </c>
      <c r="Y94" s="69" t="n">
        <f aca="false">IF(Y88&gt;0,Y$5,999)</f>
        <v>23</v>
      </c>
      <c r="Z94" s="69" t="n">
        <f aca="false">IF(Z88&gt;0,Z$5,999)</f>
        <v>24</v>
      </c>
      <c r="AA94" s="69" t="n">
        <f aca="false">IF(AA88&gt;0,AA$5,999)</f>
        <v>25</v>
      </c>
      <c r="AB94" s="69" t="n">
        <f aca="false">IF(AB88&gt;0,AB$5,999)</f>
        <v>26</v>
      </c>
      <c r="AC94" s="69" t="n">
        <f aca="false">IF(AC88&gt;0,AC$5,999)</f>
        <v>27</v>
      </c>
      <c r="AD94" s="69" t="n">
        <f aca="false">IF(AD88&gt;0,AD$5,999)</f>
        <v>28</v>
      </c>
      <c r="AE94" s="69" t="n">
        <f aca="false">IF(AE88&gt;0,AE$5,999)</f>
        <v>29</v>
      </c>
      <c r="AF94" s="69" t="n">
        <f aca="false">IF(AF88&gt;0,AF$5,999)</f>
        <v>30</v>
      </c>
      <c r="AG94" s="69" t="n">
        <f aca="false">IF(AG88&gt;0,AG$5,999)</f>
        <v>31</v>
      </c>
      <c r="AH94" s="69" t="n">
        <f aca="false">IF(AH88&gt;0,AH$5,999)</f>
        <v>32</v>
      </c>
      <c r="AI94" s="69" t="n">
        <f aca="false">IF(AI88&gt;0,AI$5,999)</f>
        <v>33</v>
      </c>
      <c r="AJ94" s="69" t="n">
        <f aca="false">IF(AJ88&gt;0,AJ$5,999)</f>
        <v>34</v>
      </c>
      <c r="AK94" s="69" t="n">
        <f aca="false">IF(AK88&gt;0,AK$5,999)</f>
        <v>35</v>
      </c>
      <c r="AL94" s="69" t="n">
        <f aca="false">IF(AL88&gt;0,AL$5,999)</f>
        <v>36</v>
      </c>
      <c r="AM94" s="69"/>
    </row>
    <row r="95" customFormat="false" ht="15" hidden="false" customHeight="false" outlineLevel="0" collapsed="false">
      <c r="A95" s="10" t="s">
        <v>815</v>
      </c>
      <c r="B95" s="9" t="s">
        <v>51</v>
      </c>
      <c r="C95" s="61" t="n">
        <f aca="false">C32+C56</f>
        <v>0</v>
      </c>
      <c r="D95" s="61" t="n">
        <f aca="false">D32+D56</f>
        <v>1500</v>
      </c>
      <c r="E95" s="61" t="n">
        <f aca="false">E32+E56</f>
        <v>2025</v>
      </c>
      <c r="F95" s="61" t="n">
        <f aca="false">F32+F56</f>
        <v>1962.32208640592</v>
      </c>
      <c r="G95" s="61" t="n">
        <f aca="false">G32+G56</f>
        <v>1904.18165111364</v>
      </c>
      <c r="H95" s="61" t="n">
        <f aca="false">H32+H56</f>
        <v>1858.77664939792</v>
      </c>
      <c r="I95" s="61" t="n">
        <f aca="false">I32+I56</f>
        <v>1851.72091824208</v>
      </c>
      <c r="J95" s="61" t="n">
        <f aca="false">J32+J56</f>
        <v>1837.93844623342</v>
      </c>
      <c r="K95" s="61" t="n">
        <f aca="false">K32+K56</f>
        <v>1825.38655600074</v>
      </c>
      <c r="L95" s="61" t="n">
        <f aca="false">L32+L56</f>
        <v>1820.38420868451</v>
      </c>
      <c r="M95" s="61" t="n">
        <f aca="false">M32+M56</f>
        <v>1822.46447007831</v>
      </c>
      <c r="N95" s="61" t="n">
        <f aca="false">N32+N56</f>
        <v>1830.76947507355</v>
      </c>
      <c r="O95" s="61" t="n">
        <f aca="false">O32+O56</f>
        <v>1844.44849751423</v>
      </c>
      <c r="P95" s="61" t="n">
        <f aca="false">P32+P56</f>
        <v>1862.7690183558</v>
      </c>
      <c r="Q95" s="61" t="n">
        <f aca="false">Q32+Q56</f>
        <v>1885.13511179991</v>
      </c>
      <c r="R95" s="61" t="n">
        <f aca="false">R32+R56</f>
        <v>1911.08165396485</v>
      </c>
      <c r="S95" s="61" t="n">
        <f aca="false">S32+S56</f>
        <v>1940.26103497307</v>
      </c>
      <c r="T95" s="61" t="n">
        <f aca="false">T32+T56</f>
        <v>1972.42838977152</v>
      </c>
      <c r="U95" s="61" t="n">
        <f aca="false">U32+U56</f>
        <v>2007.42771291078</v>
      </c>
      <c r="V95" s="61" t="n">
        <f aca="false">V32+V56</f>
        <v>2045.17974128922</v>
      </c>
      <c r="W95" s="61" t="n">
        <f aca="false">W32+W56</f>
        <v>2085.67183557304</v>
      </c>
      <c r="X95" s="61" t="n">
        <f aca="false">X32+X56</f>
        <v>2128.94980253643</v>
      </c>
      <c r="Y95" s="61" t="n">
        <f aca="false">Y32+Y56</f>
        <v>2175.1114831145</v>
      </c>
      <c r="Z95" s="61" t="n">
        <f aca="false">Z32+Z56</f>
        <v>2224.30189528587</v>
      </c>
      <c r="AA95" s="61" t="n">
        <f aca="false">AA32+AA56</f>
        <v>2276.70972373587</v>
      </c>
      <c r="AB95" s="61" t="n">
        <f aca="false">AB32+AB56</f>
        <v>2330.40771304503</v>
      </c>
      <c r="AC95" s="61" t="n">
        <f aca="false">AC32+AC56</f>
        <v>2385.37067971088</v>
      </c>
      <c r="AD95" s="61" t="n">
        <f aca="false">AD32+AD56</f>
        <v>2442.98475839278</v>
      </c>
      <c r="AE95" s="61" t="n">
        <f aca="false">AE32+AE56</f>
        <v>2503.79609177533</v>
      </c>
      <c r="AF95" s="61" t="n">
        <f aca="false">AF32+AF56</f>
        <v>2568.20914312561</v>
      </c>
      <c r="AG95" s="61" t="n">
        <f aca="false">AG32+AG56</f>
        <v>2636.6473739548</v>
      </c>
      <c r="AH95" s="61" t="n">
        <f aca="false">AH32+AH56</f>
        <v>2709.56449244118</v>
      </c>
      <c r="AI95" s="61" t="n">
        <f aca="false">AI32+AI56</f>
        <v>2787.44857289122</v>
      </c>
      <c r="AJ95" s="61" t="n">
        <f aca="false">AJ32+AJ56</f>
        <v>2870.82514506408</v>
      </c>
      <c r="AK95" s="61" t="n">
        <f aca="false">AK32+AK56</f>
        <v>2960.26044701374</v>
      </c>
      <c r="AL95" s="61" t="n">
        <f aca="false">AL32+AL56</f>
        <v>3056.36498823636</v>
      </c>
      <c r="AM95" s="61" t="n">
        <f aca="false">SUM(C95:AL95)</f>
        <v>75850.2997677062</v>
      </c>
    </row>
    <row r="96" customFormat="false" ht="15" hidden="false" customHeight="false" outlineLevel="0" collapsed="false">
      <c r="A96" s="37" t="s">
        <v>816</v>
      </c>
      <c r="B96" s="9" t="s">
        <v>97</v>
      </c>
      <c r="C96" s="51" t="n">
        <f aca="false">IFERROR((C26-C82)/C95,0)</f>
        <v>0</v>
      </c>
      <c r="D96" s="51" t="n">
        <f aca="false">IFERROR((D26-D82)/D95,0)</f>
        <v>24</v>
      </c>
      <c r="E96" s="51" t="n">
        <f aca="false">IFERROR((E26-E82)/E95,0)</f>
        <v>17.7777777777778</v>
      </c>
      <c r="F96" s="51" t="n">
        <f aca="false">IFERROR((F26-F82)/F95,0)</f>
        <v>27.5146733423818</v>
      </c>
      <c r="G96" s="51" t="n">
        <f aca="false">IFERROR((G26-G82)/G95,0)</f>
        <v>34.6784070971437</v>
      </c>
      <c r="H96" s="51" t="n">
        <f aca="false">IFERROR((H26-H82)/H95,0)</f>
        <v>41.3727133814103</v>
      </c>
      <c r="I96" s="51" t="n">
        <f aca="false">IFERROR((I26-I82)/I95,0)</f>
        <v>46.72310571824</v>
      </c>
      <c r="J96" s="51" t="n">
        <f aca="false">IFERROR((J26-J82)/J95,0)</f>
        <v>53.8621624922202</v>
      </c>
      <c r="K96" s="51" t="n">
        <f aca="false">IFERROR((K26-K82)/K95,0)</f>
        <v>59.7966580723422</v>
      </c>
      <c r="L96" s="51" t="n">
        <f aca="false">IFERROR((L26-L82)/L95,0)</f>
        <v>65.031680431369</v>
      </c>
      <c r="M96" s="51" t="n">
        <f aca="false">IFERROR((M26-M82)/M95,0)</f>
        <v>69.6308555610149</v>
      </c>
      <c r="N96" s="51" t="n">
        <f aca="false">IFERROR((N26-N82)/N95,0)</f>
        <v>73.6567373384359</v>
      </c>
      <c r="O96" s="51" t="n">
        <f aca="false">IFERROR((O26-O82)/O95,0)</f>
        <v>77.1731727729345</v>
      </c>
      <c r="P96" s="51" t="n">
        <f aca="false">IFERROR((P26-P82)/P95,0)</f>
        <v>80.2430228813853</v>
      </c>
      <c r="Q96" s="51" t="n">
        <f aca="false">IFERROR((Q26-Q82)/Q95,0)</f>
        <v>82.9251083116197</v>
      </c>
      <c r="R96" s="51" t="n">
        <f aca="false">IFERROR((R26-R82)/R95,0)</f>
        <v>85.2724687341526</v>
      </c>
      <c r="S96" s="51" t="n">
        <f aca="false">IFERROR((S26-S82)/S95,0)</f>
        <v>87.3316691550158</v>
      </c>
      <c r="T96" s="51" t="n">
        <f aca="false">IFERROR((T26-T82)/T95,0)</f>
        <v>89.1427978682987</v>
      </c>
      <c r="U96" s="51" t="n">
        <f aca="false">IFERROR((U26-U82)/U95,0)</f>
        <v>90.7398719431662</v>
      </c>
      <c r="V96" s="51" t="n">
        <f aca="false">IFERROR((V26-V82)/V95,0)</f>
        <v>92.15145108285</v>
      </c>
      <c r="W96" s="51" t="n">
        <f aca="false">IFERROR((W26-W82)/W95,0)</f>
        <v>93.4013301880281</v>
      </c>
      <c r="X96" s="51" t="n">
        <f aca="false">IFERROR((X26-X82)/X95,0)</f>
        <v>94.5092319021802</v>
      </c>
      <c r="Y96" s="51" t="n">
        <f aca="false">IFERROR((Y26-Y82)/Y95,0)</f>
        <v>95.4914553601511</v>
      </c>
      <c r="Z96" s="51" t="n">
        <f aca="false">IFERROR((Z26-Z82)/Z95,0)</f>
        <v>96.3614600665407</v>
      </c>
      <c r="AA96" s="51" t="n">
        <f aca="false">IFERROR((AA26-AA82)/AA95,0)</f>
        <v>97.130377810102</v>
      </c>
      <c r="AB96" s="51" t="n">
        <f aca="false">IFERROR((AB26-AB82)/AB95,0)</f>
        <v>97.8979938033827</v>
      </c>
      <c r="AC96" s="51" t="n">
        <f aca="false">IFERROR((AC26-AC82)/AC95,0)</f>
        <v>98.5812988628596</v>
      </c>
      <c r="AD96" s="51" t="n">
        <f aca="false">IFERROR((AD26-AD82)/AD95,0)</f>
        <v>99.1111937772793</v>
      </c>
      <c r="AE96" s="51" t="n">
        <f aca="false">IFERROR((AE26-AE82)/AE95,0)</f>
        <v>99.5145425162349</v>
      </c>
      <c r="AF96" s="51" t="n">
        <f aca="false">IFERROR((AF26-AF82)/AF95,0)</f>
        <v>99.8013133714292</v>
      </c>
      <c r="AG96" s="51" t="n">
        <f aca="false">IFERROR((AG26-AG82)/AG95,0)</f>
        <v>99.9802000049448</v>
      </c>
      <c r="AH96" s="51" t="n">
        <f aca="false">IFERROR((AH26-AH82)/AH95,0)</f>
        <v>100.058987792482</v>
      </c>
      <c r="AI96" s="51" t="n">
        <f aca="false">IFERROR((AI26-AI82)/AI95,0)</f>
        <v>100.044801666752</v>
      </c>
      <c r="AJ96" s="51" t="n">
        <f aca="false">IFERROR((AJ26-AJ82)/AJ95,0)</f>
        <v>99.9442741062947</v>
      </c>
      <c r="AK96" s="51" t="n">
        <f aca="false">IFERROR((AK26-AK82)/AK95,0)</f>
        <v>99.7636791261785</v>
      </c>
      <c r="AL96" s="51" t="n">
        <f aca="false">IFERROR((AL26-AL82)/AL95,0)</f>
        <v>99.5090388078608</v>
      </c>
      <c r="AM96" s="51" t="n">
        <f aca="false">AVERAGE(N96:AL96)</f>
        <v>93.1894991700224</v>
      </c>
    </row>
    <row r="97" customFormat="false" ht="15" hidden="false" customHeight="false" outlineLevel="0" collapsed="false">
      <c r="A97" s="10" t="s">
        <v>817</v>
      </c>
      <c r="B97" s="9" t="s">
        <v>97</v>
      </c>
      <c r="C97" s="63" t="n">
        <f aca="false">IFERROR(C18/(C19*Assumptions!$I$49*Assumptions!$I$31*Assumptions!$I$32),0)</f>
        <v>0</v>
      </c>
      <c r="D97" s="63" t="n">
        <f aca="false">IFERROR(D18/(D19*Assumptions!$I$49*Assumptions!$I$31*Assumptions!$I$32),0)</f>
        <v>58.2010582010582</v>
      </c>
      <c r="E97" s="63" t="n">
        <f aca="false">IFERROR(E18/(E19*Assumptions!$I$49*Assumptions!$I$31*Assumptions!$I$32),0)</f>
        <v>58.2010582010582</v>
      </c>
      <c r="F97" s="63" t="n">
        <f aca="false">IFERROR(F18/(F19*Assumptions!$I$49*Assumptions!$I$31*Assumptions!$I$32),0)</f>
        <v>58.2010582010582</v>
      </c>
      <c r="G97" s="63" t="n">
        <f aca="false">IFERROR(G18/(G19*Assumptions!$I$49*Assumptions!$I$31*Assumptions!$I$32),0)</f>
        <v>58.2010582010582</v>
      </c>
      <c r="H97" s="63" t="n">
        <f aca="false">IFERROR(H18/(H19*Assumptions!$I$49*Assumptions!$I$31*Assumptions!$I$32),0)</f>
        <v>58.2010582010582</v>
      </c>
      <c r="I97" s="63" t="n">
        <f aca="false">IFERROR(I18/(I19*Assumptions!$I$49*Assumptions!$I$31*Assumptions!$I$32),0)</f>
        <v>58.2010582010582</v>
      </c>
      <c r="J97" s="63" t="n">
        <f aca="false">IFERROR(J18/(J19*Assumptions!$I$49*Assumptions!$I$31*Assumptions!$I$32),0)</f>
        <v>58.2010582010582</v>
      </c>
      <c r="K97" s="63" t="n">
        <f aca="false">IFERROR(K18/(K19*Assumptions!$I$49*Assumptions!$I$31*Assumptions!$I$32),0)</f>
        <v>58.2010582010582</v>
      </c>
      <c r="L97" s="63" t="n">
        <f aca="false">IFERROR(L18/(L19*Assumptions!$I$49*Assumptions!$I$31*Assumptions!$I$32),0)</f>
        <v>58.2010582010582</v>
      </c>
      <c r="M97" s="63" t="n">
        <f aca="false">IFERROR(M18/(M19*Assumptions!$I$49*Assumptions!$I$31*Assumptions!$I$32),0)</f>
        <v>58.2010582010582</v>
      </c>
      <c r="N97" s="63" t="n">
        <f aca="false">IFERROR(N18/(N19*Assumptions!$I$49*Assumptions!$I$31*Assumptions!$I$32),0)</f>
        <v>58.2010582010582</v>
      </c>
      <c r="O97" s="63" t="n">
        <f aca="false">IFERROR(O18/(O19*Assumptions!$I$49*Assumptions!$I$31*Assumptions!$I$32),0)</f>
        <v>58.2010582010582</v>
      </c>
      <c r="P97" s="63" t="n">
        <f aca="false">IFERROR(P18/(P19*Assumptions!$I$49*Assumptions!$I$31*Assumptions!$I$32),0)</f>
        <v>58.2010582010582</v>
      </c>
      <c r="Q97" s="63" t="n">
        <f aca="false">IFERROR(Q18/(Q19*Assumptions!$I$49*Assumptions!$I$31*Assumptions!$I$32),0)</f>
        <v>58.2010582010582</v>
      </c>
      <c r="R97" s="63" t="n">
        <f aca="false">IFERROR(R18/(R19*Assumptions!$I$49*Assumptions!$I$31*Assumptions!$I$32),0)</f>
        <v>58.2010582010582</v>
      </c>
      <c r="S97" s="63" t="n">
        <f aca="false">IFERROR(S18/(S19*Assumptions!$I$49*Assumptions!$I$31*Assumptions!$I$32),0)</f>
        <v>58.2010582010582</v>
      </c>
      <c r="T97" s="63" t="n">
        <f aca="false">IFERROR(T18/(T19*Assumptions!$I$49*Assumptions!$I$31*Assumptions!$I$32),0)</f>
        <v>58.2010582010582</v>
      </c>
      <c r="U97" s="63" t="n">
        <f aca="false">IFERROR(U18/(U19*Assumptions!$I$49*Assumptions!$I$31*Assumptions!$I$32),0)</f>
        <v>58.2010582010582</v>
      </c>
      <c r="V97" s="63" t="n">
        <f aca="false">IFERROR(V18/(V19*Assumptions!$I$49*Assumptions!$I$31*Assumptions!$I$32),0)</f>
        <v>58.2010582010582</v>
      </c>
      <c r="W97" s="63" t="n">
        <f aca="false">IFERROR(W18/(W19*Assumptions!$I$49*Assumptions!$I$31*Assumptions!$I$32),0)</f>
        <v>58.2010582010582</v>
      </c>
      <c r="X97" s="63" t="n">
        <f aca="false">IFERROR(X18/(X19*Assumptions!$I$49*Assumptions!$I$31*Assumptions!$I$32),0)</f>
        <v>58.2010582010582</v>
      </c>
      <c r="Y97" s="63" t="n">
        <f aca="false">IFERROR(Y18/(Y19*Assumptions!$I$49*Assumptions!$I$31*Assumptions!$I$32),0)</f>
        <v>58.2010582010582</v>
      </c>
      <c r="Z97" s="63" t="n">
        <f aca="false">IFERROR(Z18/(Z19*Assumptions!$I$49*Assumptions!$I$31*Assumptions!$I$32),0)</f>
        <v>58.2010582010582</v>
      </c>
      <c r="AA97" s="63" t="n">
        <f aca="false">IFERROR(AA18/(AA19*Assumptions!$I$49*Assumptions!$I$31*Assumptions!$I$32),0)</f>
        <v>58.2010582010582</v>
      </c>
      <c r="AB97" s="63" t="n">
        <f aca="false">IFERROR(AB18/(AB19*Assumptions!$I$49*Assumptions!$I$31*Assumptions!$I$32),0)</f>
        <v>58.2010582010582</v>
      </c>
      <c r="AC97" s="63" t="n">
        <f aca="false">IFERROR(AC18/(AC19*Assumptions!$I$49*Assumptions!$I$31*Assumptions!$I$32),0)</f>
        <v>58.2010582010582</v>
      </c>
      <c r="AD97" s="63" t="n">
        <f aca="false">IFERROR(AD18/(AD19*Assumptions!$I$49*Assumptions!$I$31*Assumptions!$I$32),0)</f>
        <v>58.2010582010582</v>
      </c>
      <c r="AE97" s="63" t="n">
        <f aca="false">IFERROR(AE18/(AE19*Assumptions!$I$49*Assumptions!$I$31*Assumptions!$I$32),0)</f>
        <v>58.2010582010582</v>
      </c>
      <c r="AF97" s="63" t="n">
        <f aca="false">IFERROR(AF18/(AF19*Assumptions!$I$49*Assumptions!$I$31*Assumptions!$I$32),0)</f>
        <v>58.2010582010582</v>
      </c>
      <c r="AG97" s="63" t="n">
        <f aca="false">IFERROR(AG18/(AG19*Assumptions!$I$49*Assumptions!$I$31*Assumptions!$I$32),0)</f>
        <v>58.2010582010582</v>
      </c>
      <c r="AH97" s="63" t="n">
        <f aca="false">IFERROR(AH18/(AH19*Assumptions!$I$49*Assumptions!$I$31*Assumptions!$I$32),0)</f>
        <v>58.2010582010582</v>
      </c>
      <c r="AI97" s="63" t="n">
        <f aca="false">IFERROR(AI18/(AI19*Assumptions!$I$49*Assumptions!$I$31*Assumptions!$I$32),0)</f>
        <v>58.2010582010582</v>
      </c>
      <c r="AJ97" s="63" t="n">
        <f aca="false">IFERROR(AJ18/(AJ19*Assumptions!$I$49*Assumptions!$I$31*Assumptions!$I$32),0)</f>
        <v>58.2010582010582</v>
      </c>
      <c r="AK97" s="63" t="n">
        <f aca="false">IFERROR(AK18/(AK19*Assumptions!$I$49*Assumptions!$I$31*Assumptions!$I$32),0)</f>
        <v>58.2010582010582</v>
      </c>
      <c r="AL97" s="63" t="n">
        <f aca="false">IFERROR(AL18/(AL19*Assumptions!$I$49*Assumptions!$I$31*Assumptions!$I$32),0)</f>
        <v>58.2010582010582</v>
      </c>
      <c r="AM97" s="63" t="n">
        <f aca="false">AVERAGE(N97:AL97)</f>
        <v>58.2010582010582</v>
      </c>
    </row>
    <row r="98" customFormat="false" ht="15" hidden="false" customHeight="false" outlineLevel="0" collapsed="false">
      <c r="A98" s="10" t="s">
        <v>818</v>
      </c>
      <c r="B98" s="9" t="s">
        <v>97</v>
      </c>
      <c r="C98" s="63" t="n">
        <f aca="false">IFERROR(C22/(C23*Assumptions!$I$49*Assumptions!$I$38*Assumptions!$I$39),0)</f>
        <v>0</v>
      </c>
      <c r="D98" s="63" t="n">
        <f aca="false">IFERROR(D22/(D23*Assumptions!$I$49*Assumptions!$I$38*Assumptions!$I$39),0)</f>
        <v>161.111111111111</v>
      </c>
      <c r="E98" s="63" t="n">
        <f aca="false">IFERROR(E22/(E23*Assumptions!$I$49*Assumptions!$I$38*Assumptions!$I$39),0)</f>
        <v>161.111111111111</v>
      </c>
      <c r="F98" s="63" t="n">
        <f aca="false">IFERROR(F22/(F23*Assumptions!$I$49*Assumptions!$I$38*Assumptions!$I$39),0)</f>
        <v>161.111111111111</v>
      </c>
      <c r="G98" s="63" t="n">
        <f aca="false">IFERROR(G22/(G23*Assumptions!$I$49*Assumptions!$I$38*Assumptions!$I$39),0)</f>
        <v>161.111111111111</v>
      </c>
      <c r="H98" s="63" t="n">
        <f aca="false">IFERROR(H22/(H23*Assumptions!$I$49*Assumptions!$I$38*Assumptions!$I$39),0)</f>
        <v>161.111111111111</v>
      </c>
      <c r="I98" s="63" t="n">
        <f aca="false">IFERROR(I22/(I23*Assumptions!$I$49*Assumptions!$I$38*Assumptions!$I$39),0)</f>
        <v>161.111111111111</v>
      </c>
      <c r="J98" s="63" t="n">
        <f aca="false">IFERROR(J22/(J23*Assumptions!$I$49*Assumptions!$I$38*Assumptions!$I$39),0)</f>
        <v>161.111111111111</v>
      </c>
      <c r="K98" s="63" t="n">
        <f aca="false">IFERROR(K22/(K23*Assumptions!$I$49*Assumptions!$I$38*Assumptions!$I$39),0)</f>
        <v>161.111111111111</v>
      </c>
      <c r="L98" s="63" t="n">
        <f aca="false">IFERROR(L22/(L23*Assumptions!$I$49*Assumptions!$I$38*Assumptions!$I$39),0)</f>
        <v>161.111111111111</v>
      </c>
      <c r="M98" s="63" t="n">
        <f aca="false">IFERROR(M22/(M23*Assumptions!$I$49*Assumptions!$I$38*Assumptions!$I$39),0)</f>
        <v>161.111111111111</v>
      </c>
      <c r="N98" s="63" t="n">
        <f aca="false">IFERROR(N22/(N23*Assumptions!$I$49*Assumptions!$I$38*Assumptions!$I$39),0)</f>
        <v>161.111111111111</v>
      </c>
      <c r="O98" s="63" t="n">
        <f aca="false">IFERROR(O22/(O23*Assumptions!$I$49*Assumptions!$I$38*Assumptions!$I$39),0)</f>
        <v>161.111111111111</v>
      </c>
      <c r="P98" s="63" t="n">
        <f aca="false">IFERROR(P22/(P23*Assumptions!$I$49*Assumptions!$I$38*Assumptions!$I$39),0)</f>
        <v>161.111111111111</v>
      </c>
      <c r="Q98" s="63" t="n">
        <f aca="false">IFERROR(Q22/(Q23*Assumptions!$I$49*Assumptions!$I$38*Assumptions!$I$39),0)</f>
        <v>161.111111111111</v>
      </c>
      <c r="R98" s="63" t="n">
        <f aca="false">IFERROR(R22/(R23*Assumptions!$I$49*Assumptions!$I$38*Assumptions!$I$39),0)</f>
        <v>161.111111111111</v>
      </c>
      <c r="S98" s="63" t="n">
        <f aca="false">IFERROR(S22/(S23*Assumptions!$I$49*Assumptions!$I$38*Assumptions!$I$39),0)</f>
        <v>161.111111111111</v>
      </c>
      <c r="T98" s="63" t="n">
        <f aca="false">IFERROR(T22/(T23*Assumptions!$I$49*Assumptions!$I$38*Assumptions!$I$39),0)</f>
        <v>161.111111111111</v>
      </c>
      <c r="U98" s="63" t="n">
        <f aca="false">IFERROR(U22/(U23*Assumptions!$I$49*Assumptions!$I$38*Assumptions!$I$39),0)</f>
        <v>161.111111111111</v>
      </c>
      <c r="V98" s="63" t="n">
        <f aca="false">IFERROR(V22/(V23*Assumptions!$I$49*Assumptions!$I$38*Assumptions!$I$39),0)</f>
        <v>161.111111111111</v>
      </c>
      <c r="W98" s="63" t="n">
        <f aca="false">IFERROR(W22/(W23*Assumptions!$I$49*Assumptions!$I$38*Assumptions!$I$39),0)</f>
        <v>161.111111111111</v>
      </c>
      <c r="X98" s="63" t="n">
        <f aca="false">IFERROR(X22/(X23*Assumptions!$I$49*Assumptions!$I$38*Assumptions!$I$39),0)</f>
        <v>161.111111111111</v>
      </c>
      <c r="Y98" s="63" t="n">
        <f aca="false">IFERROR(Y22/(Y23*Assumptions!$I$49*Assumptions!$I$38*Assumptions!$I$39),0)</f>
        <v>161.111111111111</v>
      </c>
      <c r="Z98" s="63" t="n">
        <f aca="false">IFERROR(Z22/(Z23*Assumptions!$I$49*Assumptions!$I$38*Assumptions!$I$39),0)</f>
        <v>161.111111111111</v>
      </c>
      <c r="AA98" s="63" t="n">
        <f aca="false">IFERROR(AA22/(AA23*Assumptions!$I$49*Assumptions!$I$38*Assumptions!$I$39),0)</f>
        <v>161.111111111111</v>
      </c>
      <c r="AB98" s="63" t="n">
        <f aca="false">IFERROR(AB22/(AB23*Assumptions!$I$49*Assumptions!$I$38*Assumptions!$I$39),0)</f>
        <v>161.111111111111</v>
      </c>
      <c r="AC98" s="63" t="n">
        <f aca="false">IFERROR(AC22/(AC23*Assumptions!$I$49*Assumptions!$I$38*Assumptions!$I$39),0)</f>
        <v>161.111111111111</v>
      </c>
      <c r="AD98" s="63" t="n">
        <f aca="false">IFERROR(AD22/(AD23*Assumptions!$I$49*Assumptions!$I$38*Assumptions!$I$39),0)</f>
        <v>161.111111111111</v>
      </c>
      <c r="AE98" s="63" t="n">
        <f aca="false">IFERROR(AE22/(AE23*Assumptions!$I$49*Assumptions!$I$38*Assumptions!$I$39),0)</f>
        <v>161.111111111111</v>
      </c>
      <c r="AF98" s="63" t="n">
        <f aca="false">IFERROR(AF22/(AF23*Assumptions!$I$49*Assumptions!$I$38*Assumptions!$I$39),0)</f>
        <v>161.111111111111</v>
      </c>
      <c r="AG98" s="63" t="n">
        <f aca="false">IFERROR(AG22/(AG23*Assumptions!$I$49*Assumptions!$I$38*Assumptions!$I$39),0)</f>
        <v>161.111111111111</v>
      </c>
      <c r="AH98" s="63" t="n">
        <f aca="false">IFERROR(AH22/(AH23*Assumptions!$I$49*Assumptions!$I$38*Assumptions!$I$39),0)</f>
        <v>161.111111111111</v>
      </c>
      <c r="AI98" s="63" t="n">
        <f aca="false">IFERROR(AI22/(AI23*Assumptions!$I$49*Assumptions!$I$38*Assumptions!$I$39),0)</f>
        <v>161.111111111111</v>
      </c>
      <c r="AJ98" s="63" t="n">
        <f aca="false">IFERROR(AJ22/(AJ23*Assumptions!$I$49*Assumptions!$I$38*Assumptions!$I$39),0)</f>
        <v>161.111111111111</v>
      </c>
      <c r="AK98" s="63" t="n">
        <f aca="false">IFERROR(AK22/(AK23*Assumptions!$I$49*Assumptions!$I$38*Assumptions!$I$39),0)</f>
        <v>161.111111111111</v>
      </c>
      <c r="AL98" s="63" t="n">
        <f aca="false">IFERROR(AL22/(AL23*Assumptions!$I$49*Assumptions!$I$38*Assumptions!$I$39),0)</f>
        <v>161.111111111111</v>
      </c>
      <c r="AM98" s="63" t="n">
        <f aca="false">AVERAGE(N98:AL98)</f>
        <v>161.111111111111</v>
      </c>
    </row>
    <row r="99" customFormat="false" ht="15" hidden="false" customHeight="false" outlineLevel="0" collapsed="false">
      <c r="A99" s="10" t="s">
        <v>819</v>
      </c>
      <c r="B99" s="9" t="s">
        <v>97</v>
      </c>
      <c r="C99" s="63" t="n">
        <f aca="false">IFERROR(C24/(C25*Assumptions!$I$49*Assumptions!$I$43),0)</f>
        <v>88.8829500645938</v>
      </c>
      <c r="D99" s="63" t="n">
        <f aca="false">IFERROR(D24/(D25*Assumptions!$I$49*Assumptions!$I$43),0)</f>
        <v>0</v>
      </c>
      <c r="E99" s="63" t="n">
        <f aca="false">IFERROR(E24/(E25*Assumptions!$I$49*Assumptions!$I$43),0)</f>
        <v>0</v>
      </c>
      <c r="F99" s="63" t="n">
        <f aca="false">IFERROR(F24/(F25*Assumptions!$I$49*Assumptions!$I$43),0)</f>
        <v>0</v>
      </c>
      <c r="G99" s="63" t="n">
        <f aca="false">IFERROR(G24/(G25*Assumptions!$I$49*Assumptions!$I$43),0)</f>
        <v>75.4674771506312</v>
      </c>
      <c r="H99" s="63" t="n">
        <f aca="false">IFERROR(H24/(H25*Assumptions!$I$49*Assumptions!$I$43),0)</f>
        <v>107.750533131919</v>
      </c>
      <c r="I99" s="63" t="n">
        <f aca="false">IFERROR(I24/(I25*Assumptions!$I$49*Assumptions!$I$43),0)</f>
        <v>123.191395970197</v>
      </c>
      <c r="J99" s="63" t="n">
        <f aca="false">IFERROR(J24/(J25*Assumptions!$I$49*Assumptions!$I$43),0)</f>
        <v>136.440413166035</v>
      </c>
      <c r="K99" s="63" t="n">
        <f aca="false">IFERROR(K24/(K25*Assumptions!$I$49*Assumptions!$I$43),0)</f>
        <v>144.81559767888</v>
      </c>
      <c r="L99" s="63" t="n">
        <f aca="false">IFERROR(L24/(L25*Assumptions!$I$49*Assumptions!$I$43),0)</f>
        <v>151.287233525299</v>
      </c>
      <c r="M99" s="63" t="n">
        <f aca="false">IFERROR(M24/(M25*Assumptions!$I$49*Assumptions!$I$43),0)</f>
        <v>156.507379847869</v>
      </c>
      <c r="N99" s="63" t="n">
        <f aca="false">IFERROR(N24/(N25*Assumptions!$I$49*Assumptions!$I$43),0)</f>
        <v>160.860554693583</v>
      </c>
      <c r="O99" s="63" t="n">
        <f aca="false">IFERROR(O24/(O25*Assumptions!$I$49*Assumptions!$I$43),0)</f>
        <v>164.587294112762</v>
      </c>
      <c r="P99" s="63" t="n">
        <f aca="false">IFERROR(P24/(P25*Assumptions!$I$49*Assumptions!$I$43),0)</f>
        <v>167.848512842991</v>
      </c>
      <c r="Q99" s="63" t="n">
        <f aca="false">IFERROR(Q24/(Q25*Assumptions!$I$49*Assumptions!$I$43),0)</f>
        <v>170.756824917429</v>
      </c>
      <c r="R99" s="63" t="n">
        <f aca="false">IFERROR(R24/(R25*Assumptions!$I$49*Assumptions!$I$43),0)</f>
        <v>173.393816097196</v>
      </c>
      <c r="S99" s="63" t="n">
        <f aca="false">IFERROR(S24/(S25*Assumptions!$I$49*Assumptions!$I$43),0)</f>
        <v>175.820248713315</v>
      </c>
      <c r="T99" s="63" t="n">
        <f aca="false">IFERROR(T24/(T25*Assumptions!$I$49*Assumptions!$I$43),0)</f>
        <v>178.082436188132</v>
      </c>
      <c r="U99" s="63" t="n">
        <f aca="false">IFERROR(U24/(U25*Assumptions!$I$49*Assumptions!$I$43),0)</f>
        <v>180.216404931702</v>
      </c>
      <c r="V99" s="63" t="n">
        <f aca="false">IFERROR(V24/(V25*Assumptions!$I$49*Assumptions!$I$43),0)</f>
        <v>182.250710024643</v>
      </c>
      <c r="W99" s="63" t="n">
        <f aca="false">IFERROR(W24/(W25*Assumptions!$I$49*Assumptions!$I$43),0)</f>
        <v>184.20839593379</v>
      </c>
      <c r="X99" s="63" t="n">
        <f aca="false">IFERROR(X24/(X25*Assumptions!$I$49*Assumptions!$I$43),0)</f>
        <v>186.10839447626</v>
      </c>
      <c r="Y99" s="63" t="n">
        <f aca="false">IFERROR(Y24/(Y25*Assumptions!$I$49*Assumptions!$I$43),0)</f>
        <v>187.966541077267</v>
      </c>
      <c r="Z99" s="63" t="n">
        <f aca="false">IFERROR(Z24/(Z25*Assumptions!$I$49*Assumptions!$I$43),0)</f>
        <v>189.796325462615</v>
      </c>
      <c r="AA99" s="63" t="n">
        <f aca="false">IFERROR(AA24/(AA25*Assumptions!$I$49*Assumptions!$I$43),0)</f>
        <v>191.609453547938</v>
      </c>
      <c r="AB99" s="63" t="n">
        <f aca="false">IFERROR(AB24/(AB25*Assumptions!$I$49*Assumptions!$I$43),0)</f>
        <v>193.416272575344</v>
      </c>
      <c r="AC99" s="63" t="n">
        <f aca="false">IFERROR(AC24/(AC25*Assumptions!$I$49*Assumptions!$I$43),0)</f>
        <v>195.160744123331</v>
      </c>
      <c r="AD99" s="63" t="n">
        <f aca="false">IFERROR(AD24/(AD25*Assumptions!$I$49*Assumptions!$I$43),0)</f>
        <v>196.837537750292</v>
      </c>
      <c r="AE99" s="63" t="n">
        <f aca="false">IFERROR(AE24/(AE25*Assumptions!$I$49*Assumptions!$I$43),0)</f>
        <v>198.477429383997</v>
      </c>
      <c r="AF99" s="63" t="n">
        <f aca="false">IFERROR(AF24/(AF25*Assumptions!$I$49*Assumptions!$I$43),0)</f>
        <v>200.092533361139</v>
      </c>
      <c r="AG99" s="63" t="n">
        <f aca="false">IFERROR(AG24/(AG25*Assumptions!$I$49*Assumptions!$I$43),0)</f>
        <v>201.694013767358</v>
      </c>
      <c r="AH99" s="63" t="n">
        <f aca="false">IFERROR(AH24/(AH25*Assumptions!$I$49*Assumptions!$I$43),0)</f>
        <v>203.292139435524</v>
      </c>
      <c r="AI99" s="63" t="n">
        <f aca="false">IFERROR(AI24/(AI25*Assumptions!$I$49*Assumptions!$I$43),0)</f>
        <v>204.896469335708</v>
      </c>
      <c r="AJ99" s="63" t="n">
        <f aca="false">IFERROR(AJ24/(AJ25*Assumptions!$I$49*Assumptions!$I$43),0)</f>
        <v>206.515985135409</v>
      </c>
      <c r="AK99" s="63" t="n">
        <f aca="false">IFERROR(AK24/(AK25*Assumptions!$I$49*Assumptions!$I$43),0)</f>
        <v>208.159196102086</v>
      </c>
      <c r="AL99" s="63" t="n">
        <f aca="false">IFERROR(AL24/(AL25*Assumptions!$I$49*Assumptions!$I$43),0)</f>
        <v>209.834221146958</v>
      </c>
      <c r="AM99" s="63" t="n">
        <f aca="false">AVERAGE(N99:AL99)</f>
        <v>188.475298205471</v>
      </c>
    </row>
    <row r="100" customFormat="false" ht="15" hidden="false" customHeight="false" outlineLevel="0" collapsed="false">
      <c r="A100" s="37" t="s">
        <v>820</v>
      </c>
      <c r="B100" s="9" t="s">
        <v>97</v>
      </c>
      <c r="C100" s="51" t="n">
        <f aca="false">IFERROR(C26/((C19*Assumptions!$I$31*Assumptions!$I$32+C23*Assumptions!$I$38*Assumptions!$I$39+C25*Assumptions!$I$43)*Assumptions!$I$49),0)</f>
        <v>88.8829500645938</v>
      </c>
      <c r="D100" s="51" t="n">
        <f aca="false">IFERROR(D26/((D19*Assumptions!$I$31*Assumptions!$I$32+D23*Assumptions!$I$38*Assumptions!$I$39+D25*Assumptions!$I$43)*Assumptions!$I$49),0)</f>
        <v>61.9290080961943</v>
      </c>
      <c r="E100" s="51" t="n">
        <f aca="false">IFERROR(E26/((E19*Assumptions!$I$31*Assumptions!$I$32+E23*Assumptions!$I$38*Assumptions!$I$39+E25*Assumptions!$I$43)*Assumptions!$I$49),0)</f>
        <v>99.7151949563063</v>
      </c>
      <c r="F100" s="51" t="n">
        <f aca="false">IFERROR(F26/((F19*Assumptions!$I$31*Assumptions!$I$32+F23*Assumptions!$I$38*Assumptions!$I$39+F25*Assumptions!$I$43)*Assumptions!$I$49),0)</f>
        <v>120.015928130427</v>
      </c>
      <c r="G100" s="51" t="n">
        <f aca="false">IFERROR(G26/((G19*Assumptions!$I$31*Assumptions!$I$32+G23*Assumptions!$I$38*Assumptions!$I$39+G25*Assumptions!$I$43)*Assumptions!$I$49),0)</f>
        <v>121.268719630607</v>
      </c>
      <c r="H100" s="51" t="n">
        <f aca="false">IFERROR(H26/((H19*Assumptions!$I$31*Assumptions!$I$32+H23*Assumptions!$I$38*Assumptions!$I$39+H25*Assumptions!$I$43)*Assumptions!$I$49),0)</f>
        <v>122.670162184287</v>
      </c>
      <c r="I100" s="51" t="n">
        <f aca="false">IFERROR(I26/((I19*Assumptions!$I$31*Assumptions!$I$32+I23*Assumptions!$I$38*Assumptions!$I$39+I25*Assumptions!$I$43)*Assumptions!$I$49),0)</f>
        <v>126.885165924736</v>
      </c>
      <c r="J100" s="51" t="n">
        <f aca="false">IFERROR(J26/((J19*Assumptions!$I$31*Assumptions!$I$32+J23*Assumptions!$I$38*Assumptions!$I$39+J25*Assumptions!$I$43)*Assumptions!$I$49),0)</f>
        <v>132.691501039209</v>
      </c>
      <c r="K100" s="51" t="n">
        <f aca="false">IFERROR(K26/((K19*Assumptions!$I$31*Assumptions!$I$32+K23*Assumptions!$I$38*Assumptions!$I$39+K25*Assumptions!$I$43)*Assumptions!$I$49),0)</f>
        <v>137.555386151357</v>
      </c>
      <c r="L100" s="51" t="n">
        <f aca="false">IFERROR(L26/((L19*Assumptions!$I$31*Assumptions!$I$32+L23*Assumptions!$I$38*Assumptions!$I$39+L25*Assumptions!$I$43)*Assumptions!$I$49),0)</f>
        <v>141.846800798739</v>
      </c>
      <c r="M100" s="51" t="n">
        <f aca="false">IFERROR(M26/((M19*Assumptions!$I$31*Assumptions!$I$32+M23*Assumptions!$I$38*Assumptions!$I$39+M25*Assumptions!$I$43)*Assumptions!$I$49),0)</f>
        <v>145.617865341173</v>
      </c>
      <c r="N100" s="51" t="n">
        <f aca="false">IFERROR(N26/((N19*Assumptions!$I$31*Assumptions!$I$32+N23*Assumptions!$I$38*Assumptions!$I$39+N25*Assumptions!$I$43)*Assumptions!$I$49),0)</f>
        <v>148.942409296114</v>
      </c>
      <c r="O100" s="51" t="n">
        <f aca="false">IFERROR(O26/((O19*Assumptions!$I$31*Assumptions!$I$32+O23*Assumptions!$I$38*Assumptions!$I$39+O25*Assumptions!$I$43)*Assumptions!$I$49),0)</f>
        <v>151.892637088304</v>
      </c>
      <c r="P100" s="51" t="n">
        <f aca="false">IFERROR(P26/((P19*Assumptions!$I$31*Assumptions!$I$32+P23*Assumptions!$I$38*Assumptions!$I$39+P25*Assumptions!$I$43)*Assumptions!$I$49),0)</f>
        <v>154.533049422132</v>
      </c>
      <c r="Q100" s="51" t="n">
        <f aca="false">IFERROR(Q26/((Q19*Assumptions!$I$31*Assumptions!$I$32+Q23*Assumptions!$I$38*Assumptions!$I$39+Q25*Assumptions!$I$43)*Assumptions!$I$49),0)</f>
        <v>156.918724507101</v>
      </c>
      <c r="R100" s="51" t="n">
        <f aca="false">IFERROR(R26/((R19*Assumptions!$I$31*Assumptions!$I$32+R23*Assumptions!$I$38*Assumptions!$I$39+R25*Assumptions!$I$43)*Assumptions!$I$49),0)</f>
        <v>159.095736087194</v>
      </c>
      <c r="S100" s="51" t="n">
        <f aca="false">IFERROR(S26/((S19*Assumptions!$I$31*Assumptions!$I$32+S23*Assumptions!$I$38*Assumptions!$I$39+S25*Assumptions!$I$43)*Assumptions!$I$49),0)</f>
        <v>161.102265694625</v>
      </c>
      <c r="T100" s="51" t="n">
        <f aca="false">IFERROR(T26/((T19*Assumptions!$I$31*Assumptions!$I$32+T23*Assumptions!$I$38*Assumptions!$I$39+T25*Assumptions!$I$43)*Assumptions!$I$49),0)</f>
        <v>162.969848042312</v>
      </c>
      <c r="U100" s="51" t="n">
        <f aca="false">IFERROR(U26/((U19*Assumptions!$I$31*Assumptions!$I$32+U23*Assumptions!$I$38*Assumptions!$I$39+U25*Assumptions!$I$43)*Assumptions!$I$49),0)</f>
        <v>164.724536650739</v>
      </c>
      <c r="V100" s="51" t="n">
        <f aca="false">IFERROR(V26/((V19*Assumptions!$I$31*Assumptions!$I$32+V23*Assumptions!$I$38*Assumptions!$I$39+V25*Assumptions!$I$43)*Assumptions!$I$49),0)</f>
        <v>166.38791985554</v>
      </c>
      <c r="W100" s="51" t="n">
        <f aca="false">IFERROR(W26/((W19*Assumptions!$I$31*Assumptions!$I$32+W23*Assumptions!$I$38*Assumptions!$I$39+W25*Assumptions!$I$43)*Assumptions!$I$49),0)</f>
        <v>167.977975950365</v>
      </c>
      <c r="X100" s="51" t="n">
        <f aca="false">IFERROR(X26/((X19*Assumptions!$I$31*Assumptions!$I$32+X23*Assumptions!$I$38*Assumptions!$I$39+X25*Assumptions!$I$43)*Assumptions!$I$49),0)</f>
        <v>169.509779245598</v>
      </c>
      <c r="Y100" s="51" t="n">
        <f aca="false">IFERROR(Y26/((Y19*Assumptions!$I$31*Assumptions!$I$32+Y23*Assumptions!$I$38*Assumptions!$I$39+Y25*Assumptions!$I$43)*Assumptions!$I$49),0)</f>
        <v>170.996076500177</v>
      </c>
      <c r="Z100" s="51" t="n">
        <f aca="false">IFERROR(Z26/((Z19*Assumptions!$I$31*Assumptions!$I$32+Z23*Assumptions!$I$38*Assumptions!$I$39+Z25*Assumptions!$I$43)*Assumptions!$I$49),0)</f>
        <v>172.447754269821</v>
      </c>
      <c r="AA100" s="51" t="n">
        <f aca="false">IFERROR(AA26/((AA19*Assumptions!$I$31*Assumptions!$I$32+AA23*Assumptions!$I$38*Assumptions!$I$39+AA25*Assumptions!$I$43)*Assumptions!$I$49),0)</f>
        <v>173.87421611883</v>
      </c>
      <c r="AB100" s="51" t="n">
        <f aca="false">IFERROR(AB26/((AB19*Assumptions!$I$31*Assumptions!$I$32+AB23*Assumptions!$I$38*Assumptions!$I$39+AB25*Assumptions!$I$43)*Assumptions!$I$49),0)</f>
        <v>175.283686129777</v>
      </c>
      <c r="AC100" s="51" t="n">
        <f aca="false">IFERROR(AC26/((AC19*Assumptions!$I$31*Assumptions!$I$32+AC23*Assumptions!$I$38*Assumptions!$I$39+AC25*Assumptions!$I$43)*Assumptions!$I$49),0)</f>
        <v>176.625320975295</v>
      </c>
      <c r="AD100" s="51" t="n">
        <f aca="false">IFERROR(AD26/((AD19*Assumptions!$I$31*Assumptions!$I$32+AD23*Assumptions!$I$38*Assumptions!$I$39+AD25*Assumptions!$I$43)*Assumptions!$I$49),0)</f>
        <v>177.893236438397</v>
      </c>
      <c r="AE100" s="51" t="n">
        <f aca="false">IFERROR(AE26/((AE19*Assumptions!$I$31*Assumptions!$I$32+AE23*Assumptions!$I$38*Assumptions!$I$39+AE25*Assumptions!$I$43)*Assumptions!$I$49),0)</f>
        <v>179.113414153041</v>
      </c>
      <c r="AF100" s="51" t="n">
        <f aca="false">IFERROR(AF26/((AF19*Assumptions!$I$31*Assumptions!$I$32+AF23*Assumptions!$I$38*Assumptions!$I$39+AF25*Assumptions!$I$43)*Assumptions!$I$49),0)</f>
        <v>180.294804934573</v>
      </c>
      <c r="AG100" s="51" t="n">
        <f aca="false">IFERROR(AG26/((AG19*Assumptions!$I$31*Assumptions!$I$32+AG23*Assumptions!$I$38*Assumptions!$I$39+AG25*Assumptions!$I$43)*Assumptions!$I$49),0)</f>
        <v>181.445668023858</v>
      </c>
      <c r="AH100" s="51" t="n">
        <f aca="false">IFERROR(AH26/((AH19*Assumptions!$I$31*Assumptions!$I$32+AH23*Assumptions!$I$38*Assumptions!$I$39+AH25*Assumptions!$I$43)*Assumptions!$I$49),0)</f>
        <v>182.573470042431</v>
      </c>
      <c r="AI100" s="51" t="n">
        <f aca="false">IFERROR(AI26/((AI19*Assumptions!$I$31*Assumptions!$I$32+AI23*Assumptions!$I$38*Assumptions!$I$39+AI25*Assumptions!$I$43)*Assumptions!$I$49),0)</f>
        <v>183.685015049644</v>
      </c>
      <c r="AJ100" s="51" t="n">
        <f aca="false">IFERROR(AJ26/((AJ19*Assumptions!$I$31*Assumptions!$I$32+AJ23*Assumptions!$I$38*Assumptions!$I$39+AJ25*Assumptions!$I$43)*Assumptions!$I$49),0)</f>
        <v>184.786546532501</v>
      </c>
      <c r="AK100" s="51" t="n">
        <f aca="false">IFERROR(AK26/((AK19*Assumptions!$I$31*Assumptions!$I$32+AK23*Assumptions!$I$38*Assumptions!$I$39+AK25*Assumptions!$I$43)*Assumptions!$I$49),0)</f>
        <v>185.883831123356</v>
      </c>
      <c r="AL100" s="51" t="n">
        <f aca="false">IFERROR(AL26/((AL19*Assumptions!$I$31*Assumptions!$I$32+AL23*Assumptions!$I$38*Assumptions!$I$39+AL25*Assumptions!$I$43)*Assumptions!$I$49),0)</f>
        <v>186.982225247767</v>
      </c>
      <c r="AM100" s="51" t="n">
        <f aca="false">AVERAGE(N100:AL100)</f>
        <v>171.03760589518</v>
      </c>
    </row>
    <row r="101" customFormat="false" ht="15" hidden="false" customHeight="false" outlineLevel="0" collapsed="false">
      <c r="A101" s="37" t="s">
        <v>821</v>
      </c>
      <c r="B101" s="9" t="s">
        <v>370</v>
      </c>
      <c r="C101" s="72" t="n">
        <f aca="false">IFERROR(C100/C104,0)</f>
        <v>1.94552428398182</v>
      </c>
      <c r="D101" s="72" t="n">
        <f aca="false">IFERROR(D100/D104,0)</f>
        <v>1.35553994378555</v>
      </c>
      <c r="E101" s="72" t="n">
        <f aca="false">IFERROR(E100/E104,0)</f>
        <v>2.18262707446694</v>
      </c>
      <c r="F101" s="72" t="n">
        <f aca="false">IFERROR(F100/F104,0)</f>
        <v>2.626981918047</v>
      </c>
      <c r="G101" s="72" t="n">
        <f aca="false">IFERROR(G100/G104,0)</f>
        <v>2.65440378337208</v>
      </c>
      <c r="H101" s="72" t="n">
        <f aca="false">IFERROR(H100/H104,0)</f>
        <v>2.68507941372423</v>
      </c>
      <c r="I101" s="72" t="n">
        <f aca="false">IFERROR(I100/I104,0)</f>
        <v>2.77733998932571</v>
      </c>
      <c r="J101" s="72" t="n">
        <f aca="false">IFERROR(J100/J104,0)</f>
        <v>2.90443259772738</v>
      </c>
      <c r="K101" s="72" t="n">
        <f aca="false">IFERROR(K100/K104,0)</f>
        <v>3.01089628500716</v>
      </c>
      <c r="L101" s="72" t="n">
        <f aca="false">IFERROR(L100/L104,0)</f>
        <v>3.10482938919698</v>
      </c>
      <c r="M101" s="72" t="n">
        <f aca="false">IFERROR(M100/M104,0)</f>
        <v>3.18737275255786</v>
      </c>
      <c r="N101" s="72" t="n">
        <f aca="false">IFERROR(N100/N104,0)</f>
        <v>3.260142400649</v>
      </c>
      <c r="O101" s="72" t="n">
        <f aca="false">IFERROR(O100/O104,0)</f>
        <v>3.32471878800801</v>
      </c>
      <c r="P101" s="72" t="n">
        <f aca="false">IFERROR(P100/P104,0)</f>
        <v>3.38251374543748</v>
      </c>
      <c r="Q101" s="72" t="n">
        <f aca="false">IFERROR(Q100/Q104,0)</f>
        <v>3.43473285841836</v>
      </c>
      <c r="R101" s="72" t="n">
        <f aca="false">IFERROR(R100/R104,0)</f>
        <v>3.48238461719216</v>
      </c>
      <c r="S101" s="72" t="n">
        <f aca="false">IFERROR(S100/S104,0)</f>
        <v>3.52630476245002</v>
      </c>
      <c r="T101" s="72" t="n">
        <f aca="false">IFERROR(T100/T104,0)</f>
        <v>3.56718354524379</v>
      </c>
      <c r="U101" s="72" t="n">
        <f aca="false">IFERROR(U100/U104,0)</f>
        <v>3.60559124093841</v>
      </c>
      <c r="V101" s="72" t="n">
        <f aca="false">IFERROR(V100/V104,0)</f>
        <v>3.64200038820634</v>
      </c>
      <c r="W101" s="72" t="n">
        <f aca="false">IFERROR(W100/W104,0)</f>
        <v>3.6768045069167</v>
      </c>
      <c r="X101" s="72" t="n">
        <f aca="false">IFERROR(X100/X104,0)</f>
        <v>3.71033355277975</v>
      </c>
      <c r="Y101" s="72" t="n">
        <f aca="false">IFERROR(Y100/Y104,0)</f>
        <v>3.74286653463845</v>
      </c>
      <c r="Z101" s="72" t="n">
        <f aca="false">IFERROR(Z100/Z104,0)</f>
        <v>3.77464174407182</v>
      </c>
      <c r="AA101" s="72" t="n">
        <f aca="false">IFERROR(AA100/AA104,0)</f>
        <v>3.80586501203721</v>
      </c>
      <c r="AB101" s="72" t="n">
        <f aca="false">IFERROR(AB100/AB104,0)</f>
        <v>3.83671635227568</v>
      </c>
      <c r="AC101" s="72" t="n">
        <f aca="false">IFERROR(AC100/AC104,0)</f>
        <v>3.86608287499228</v>
      </c>
      <c r="AD101" s="72" t="n">
        <f aca="false">IFERROR(AD100/AD104,0)</f>
        <v>3.89383578285266</v>
      </c>
      <c r="AE101" s="72" t="n">
        <f aca="false">IFERROR(AE100/AE104,0)</f>
        <v>3.92054377772557</v>
      </c>
      <c r="AF101" s="72" t="n">
        <f aca="false">IFERROR(AF100/AF104,0)</f>
        <v>3.94640278052275</v>
      </c>
      <c r="AG101" s="72" t="n">
        <f aca="false">IFERROR(AG100/AG104,0)</f>
        <v>3.97159357455148</v>
      </c>
      <c r="AH101" s="72" t="n">
        <f aca="false">IFERROR(AH100/AH104,0)</f>
        <v>3.99627959378309</v>
      </c>
      <c r="AI101" s="72" t="n">
        <f aca="false">IFERROR(AI100/AI104,0)</f>
        <v>4.02060976962334</v>
      </c>
      <c r="AJ101" s="72" t="n">
        <f aca="false">IFERROR(AJ100/AJ104,0)</f>
        <v>4.0447207633281</v>
      </c>
      <c r="AK101" s="72" t="n">
        <f aca="false">IFERROR(AK100/AK104,0)</f>
        <v>4.06873879846753</v>
      </c>
      <c r="AL101" s="72" t="n">
        <f aca="false">IFERROR(AL100/AL104,0)</f>
        <v>4.09278111975493</v>
      </c>
      <c r="AM101" s="72" t="n">
        <f aca="false">AVERAGE(N101:AL101)</f>
        <v>3.7437755553946</v>
      </c>
    </row>
    <row r="102" customFormat="false" ht="15" hidden="false" customHeight="false" outlineLevel="0" collapsed="false">
      <c r="A102" s="10" t="s">
        <v>822</v>
      </c>
      <c r="B102" s="9" t="s">
        <v>97</v>
      </c>
      <c r="C102" s="63" t="n">
        <f aca="false">Assumptions!$I$70*(1-Assumptions!$I$80)*(1-Assumptions!$I$79)-Assumptions!$I$73-Assumptions!$I$75-Assumptions!$I$76-Assumptions!$I$77</f>
        <v>116.02563</v>
      </c>
      <c r="D102" s="63" t="n">
        <f aca="false">Assumptions!$I$70*(1-Assumptions!$I$80)*(1-Assumptions!$I$79)-Assumptions!$I$73-Assumptions!$I$75-Assumptions!$I$76-Assumptions!$I$77</f>
        <v>116.02563</v>
      </c>
      <c r="E102" s="63" t="n">
        <f aca="false">Assumptions!$I$70*(1-Assumptions!$I$80)*(1-Assumptions!$I$79)-Assumptions!$I$73-Assumptions!$I$75-Assumptions!$I$76-Assumptions!$I$77</f>
        <v>116.02563</v>
      </c>
      <c r="F102" s="63" t="n">
        <f aca="false">Assumptions!$I$70*(1-Assumptions!$I$80)*(1-Assumptions!$I$79)-Assumptions!$I$73-Assumptions!$I$75-Assumptions!$I$76-Assumptions!$I$77</f>
        <v>116.02563</v>
      </c>
      <c r="G102" s="63" t="n">
        <f aca="false">Assumptions!$I$70*(1-Assumptions!$I$80)*(1-Assumptions!$I$79)-Assumptions!$I$73-Assumptions!$I$75-Assumptions!$I$76-Assumptions!$I$77</f>
        <v>116.02563</v>
      </c>
      <c r="H102" s="63" t="n">
        <f aca="false">Assumptions!$I$70*(1-Assumptions!$I$80)*(1-Assumptions!$I$79)-Assumptions!$I$73-Assumptions!$I$75-Assumptions!$I$76-Assumptions!$I$77</f>
        <v>116.02563</v>
      </c>
      <c r="I102" s="63" t="n">
        <f aca="false">Assumptions!$I$70*(1-Assumptions!$I$80)*(1-Assumptions!$I$79)-Assumptions!$I$73-Assumptions!$I$75-Assumptions!$I$76-Assumptions!$I$77</f>
        <v>116.02563</v>
      </c>
      <c r="J102" s="63" t="n">
        <f aca="false">Assumptions!$I$70*(1-Assumptions!$I$80)*(1-Assumptions!$I$79)-Assumptions!$I$73-Assumptions!$I$75-Assumptions!$I$76-Assumptions!$I$77</f>
        <v>116.02563</v>
      </c>
      <c r="K102" s="63" t="n">
        <f aca="false">Assumptions!$I$70*(1-Assumptions!$I$80)*(1-Assumptions!$I$79)-Assumptions!$I$73-Assumptions!$I$75-Assumptions!$I$76-Assumptions!$I$77</f>
        <v>116.02563</v>
      </c>
      <c r="L102" s="63" t="n">
        <f aca="false">Assumptions!$I$70*(1-Assumptions!$I$80)*(1-Assumptions!$I$79)-Assumptions!$I$73-Assumptions!$I$75-Assumptions!$I$76-Assumptions!$I$77</f>
        <v>116.02563</v>
      </c>
      <c r="M102" s="63" t="n">
        <f aca="false">Assumptions!$I$70*(1-Assumptions!$I$80)*(1-Assumptions!$I$79)-Assumptions!$I$73-Assumptions!$I$75-Assumptions!$I$76-Assumptions!$I$77</f>
        <v>116.02563</v>
      </c>
      <c r="N102" s="63" t="n">
        <f aca="false">Assumptions!$I$70*(1-Assumptions!$I$80)*(1-Assumptions!$I$79)-Assumptions!$I$73-Assumptions!$I$75-Assumptions!$I$76-Assumptions!$I$77</f>
        <v>116.02563</v>
      </c>
      <c r="O102" s="63" t="n">
        <f aca="false">Assumptions!$I$70*(1-Assumptions!$I$80)*(1-Assumptions!$I$79)-Assumptions!$I$73-Assumptions!$I$75-Assumptions!$I$76-Assumptions!$I$77</f>
        <v>116.02563</v>
      </c>
      <c r="P102" s="63" t="n">
        <f aca="false">Assumptions!$I$70*(1-Assumptions!$I$80)*(1-Assumptions!$I$79)-Assumptions!$I$73-Assumptions!$I$75-Assumptions!$I$76-Assumptions!$I$77</f>
        <v>116.02563</v>
      </c>
      <c r="Q102" s="63" t="n">
        <f aca="false">Assumptions!$I$70*(1-Assumptions!$I$80)*(1-Assumptions!$I$79)-Assumptions!$I$73-Assumptions!$I$75-Assumptions!$I$76-Assumptions!$I$77</f>
        <v>116.02563</v>
      </c>
      <c r="R102" s="63" t="n">
        <f aca="false">Assumptions!$I$70*(1-Assumptions!$I$80)*(1-Assumptions!$I$79)-Assumptions!$I$73-Assumptions!$I$75-Assumptions!$I$76-Assumptions!$I$77</f>
        <v>116.02563</v>
      </c>
      <c r="S102" s="63" t="n">
        <f aca="false">Assumptions!$I$70*(1-Assumptions!$I$80)*(1-Assumptions!$I$79)-Assumptions!$I$73-Assumptions!$I$75-Assumptions!$I$76-Assumptions!$I$77</f>
        <v>116.02563</v>
      </c>
      <c r="T102" s="63" t="n">
        <f aca="false">Assumptions!$I$70*(1-Assumptions!$I$80)*(1-Assumptions!$I$79)-Assumptions!$I$73-Assumptions!$I$75-Assumptions!$I$76-Assumptions!$I$77</f>
        <v>116.02563</v>
      </c>
      <c r="U102" s="63" t="n">
        <f aca="false">Assumptions!$I$70*(1-Assumptions!$I$80)*(1-Assumptions!$I$79)-Assumptions!$I$73-Assumptions!$I$75-Assumptions!$I$76-Assumptions!$I$77</f>
        <v>116.02563</v>
      </c>
      <c r="V102" s="63" t="n">
        <f aca="false">Assumptions!$I$70*(1-Assumptions!$I$80)*(1-Assumptions!$I$79)-Assumptions!$I$73-Assumptions!$I$75-Assumptions!$I$76-Assumptions!$I$77</f>
        <v>116.02563</v>
      </c>
      <c r="W102" s="63" t="n">
        <f aca="false">Assumptions!$I$70*(1-Assumptions!$I$80)*(1-Assumptions!$I$79)-Assumptions!$I$73-Assumptions!$I$75-Assumptions!$I$76-Assumptions!$I$77</f>
        <v>116.02563</v>
      </c>
      <c r="X102" s="63" t="n">
        <f aca="false">Assumptions!$I$70*(1-Assumptions!$I$80)*(1-Assumptions!$I$79)-Assumptions!$I$73-Assumptions!$I$75-Assumptions!$I$76-Assumptions!$I$77</f>
        <v>116.02563</v>
      </c>
      <c r="Y102" s="63" t="n">
        <f aca="false">Assumptions!$I$70*(1-Assumptions!$I$80)*(1-Assumptions!$I$79)-Assumptions!$I$73-Assumptions!$I$75-Assumptions!$I$76-Assumptions!$I$77</f>
        <v>116.02563</v>
      </c>
      <c r="Z102" s="63" t="n">
        <f aca="false">Assumptions!$I$70*(1-Assumptions!$I$80)*(1-Assumptions!$I$79)-Assumptions!$I$73-Assumptions!$I$75-Assumptions!$I$76-Assumptions!$I$77</f>
        <v>116.02563</v>
      </c>
      <c r="AA102" s="63" t="n">
        <f aca="false">Assumptions!$I$70*(1-Assumptions!$I$80)*(1-Assumptions!$I$79)-Assumptions!$I$73-Assumptions!$I$75-Assumptions!$I$76-Assumptions!$I$77</f>
        <v>116.02563</v>
      </c>
      <c r="AB102" s="63" t="n">
        <f aca="false">Assumptions!$I$70*(1-Assumptions!$I$80)*(1-Assumptions!$I$79)-Assumptions!$I$73-Assumptions!$I$75-Assumptions!$I$76-Assumptions!$I$77</f>
        <v>116.02563</v>
      </c>
      <c r="AC102" s="63" t="n">
        <f aca="false">Assumptions!$I$70*(1-Assumptions!$I$80)*(1-Assumptions!$I$79)-Assumptions!$I$73-Assumptions!$I$75-Assumptions!$I$76-Assumptions!$I$77</f>
        <v>116.02563</v>
      </c>
      <c r="AD102" s="63" t="n">
        <f aca="false">Assumptions!$I$70*(1-Assumptions!$I$80)*(1-Assumptions!$I$79)-Assumptions!$I$73-Assumptions!$I$75-Assumptions!$I$76-Assumptions!$I$77</f>
        <v>116.02563</v>
      </c>
      <c r="AE102" s="63" t="n">
        <f aca="false">Assumptions!$I$70*(1-Assumptions!$I$80)*(1-Assumptions!$I$79)-Assumptions!$I$73-Assumptions!$I$75-Assumptions!$I$76-Assumptions!$I$77</f>
        <v>116.02563</v>
      </c>
      <c r="AF102" s="63" t="n">
        <f aca="false">Assumptions!$I$70*(1-Assumptions!$I$80)*(1-Assumptions!$I$79)-Assumptions!$I$73-Assumptions!$I$75-Assumptions!$I$76-Assumptions!$I$77</f>
        <v>116.02563</v>
      </c>
      <c r="AG102" s="63" t="n">
        <f aca="false">Assumptions!$I$70*(1-Assumptions!$I$80)*(1-Assumptions!$I$79)-Assumptions!$I$73-Assumptions!$I$75-Assumptions!$I$76-Assumptions!$I$77</f>
        <v>116.02563</v>
      </c>
      <c r="AH102" s="63" t="n">
        <f aca="false">Assumptions!$I$70*(1-Assumptions!$I$80)*(1-Assumptions!$I$79)-Assumptions!$I$73-Assumptions!$I$75-Assumptions!$I$76-Assumptions!$I$77</f>
        <v>116.02563</v>
      </c>
      <c r="AI102" s="63" t="n">
        <f aca="false">Assumptions!$I$70*(1-Assumptions!$I$80)*(1-Assumptions!$I$79)-Assumptions!$I$73-Assumptions!$I$75-Assumptions!$I$76-Assumptions!$I$77</f>
        <v>116.02563</v>
      </c>
      <c r="AJ102" s="63" t="n">
        <f aca="false">Assumptions!$I$70*(1-Assumptions!$I$80)*(1-Assumptions!$I$79)-Assumptions!$I$73-Assumptions!$I$75-Assumptions!$I$76-Assumptions!$I$77</f>
        <v>116.02563</v>
      </c>
      <c r="AK102" s="63" t="n">
        <f aca="false">Assumptions!$I$70*(1-Assumptions!$I$80)*(1-Assumptions!$I$79)-Assumptions!$I$73-Assumptions!$I$75-Assumptions!$I$76-Assumptions!$I$77</f>
        <v>116.02563</v>
      </c>
      <c r="AL102" s="63" t="n">
        <f aca="false">Assumptions!$I$70*(1-Assumptions!$I$80)*(1-Assumptions!$I$79)-Assumptions!$I$73-Assumptions!$I$75-Assumptions!$I$76-Assumptions!$I$77</f>
        <v>116.02563</v>
      </c>
      <c r="AM102" s="63" t="n">
        <f aca="false">AVERAGE(N102:AL102)</f>
        <v>116.02563</v>
      </c>
    </row>
    <row r="103" customFormat="false" ht="15" hidden="false" customHeight="false" outlineLevel="0" collapsed="false">
      <c r="A103" s="10" t="s">
        <v>823</v>
      </c>
      <c r="B103" s="9" t="s">
        <v>97</v>
      </c>
      <c r="C103" s="70" t="n">
        <f aca="false">C102/Assumptions!$I$68</f>
        <v>892.504846153846</v>
      </c>
      <c r="D103" s="70" t="n">
        <f aca="false">D102/Assumptions!$I$68</f>
        <v>892.504846153846</v>
      </c>
      <c r="E103" s="70" t="n">
        <f aca="false">E102/Assumptions!$I$68</f>
        <v>892.504846153846</v>
      </c>
      <c r="F103" s="70" t="n">
        <f aca="false">F102/Assumptions!$I$68</f>
        <v>892.504846153846</v>
      </c>
      <c r="G103" s="70" t="n">
        <f aca="false">G102/Assumptions!$I$68</f>
        <v>892.504846153846</v>
      </c>
      <c r="H103" s="70" t="n">
        <f aca="false">H102/Assumptions!$I$68</f>
        <v>892.504846153846</v>
      </c>
      <c r="I103" s="70" t="n">
        <f aca="false">I102/Assumptions!$I$68</f>
        <v>892.504846153846</v>
      </c>
      <c r="J103" s="70" t="n">
        <f aca="false">J102/Assumptions!$I$68</f>
        <v>892.504846153846</v>
      </c>
      <c r="K103" s="70" t="n">
        <f aca="false">K102/Assumptions!$I$68</f>
        <v>892.504846153846</v>
      </c>
      <c r="L103" s="70" t="n">
        <f aca="false">L102/Assumptions!$I$68</f>
        <v>892.504846153846</v>
      </c>
      <c r="M103" s="70" t="n">
        <f aca="false">M102/Assumptions!$I$68</f>
        <v>892.504846153846</v>
      </c>
      <c r="N103" s="70" t="n">
        <f aca="false">N102/Assumptions!$I$68</f>
        <v>892.504846153846</v>
      </c>
      <c r="O103" s="70" t="n">
        <f aca="false">O102/Assumptions!$I$68</f>
        <v>892.504846153846</v>
      </c>
      <c r="P103" s="70" t="n">
        <f aca="false">P102/Assumptions!$I$68</f>
        <v>892.504846153846</v>
      </c>
      <c r="Q103" s="70" t="n">
        <f aca="false">Q102/Assumptions!$I$68</f>
        <v>892.504846153846</v>
      </c>
      <c r="R103" s="70" t="n">
        <f aca="false">R102/Assumptions!$I$68</f>
        <v>892.504846153846</v>
      </c>
      <c r="S103" s="70" t="n">
        <f aca="false">S102/Assumptions!$I$68</f>
        <v>892.504846153846</v>
      </c>
      <c r="T103" s="70" t="n">
        <f aca="false">T102/Assumptions!$I$68</f>
        <v>892.504846153846</v>
      </c>
      <c r="U103" s="70" t="n">
        <f aca="false">U102/Assumptions!$I$68</f>
        <v>892.504846153846</v>
      </c>
      <c r="V103" s="70" t="n">
        <f aca="false">V102/Assumptions!$I$68</f>
        <v>892.504846153846</v>
      </c>
      <c r="W103" s="70" t="n">
        <f aca="false">W102/Assumptions!$I$68</f>
        <v>892.504846153846</v>
      </c>
      <c r="X103" s="70" t="n">
        <f aca="false">X102/Assumptions!$I$68</f>
        <v>892.504846153846</v>
      </c>
      <c r="Y103" s="70" t="n">
        <f aca="false">Y102/Assumptions!$I$68</f>
        <v>892.504846153846</v>
      </c>
      <c r="Z103" s="70" t="n">
        <f aca="false">Z102/Assumptions!$I$68</f>
        <v>892.504846153846</v>
      </c>
      <c r="AA103" s="70" t="n">
        <f aca="false">AA102/Assumptions!$I$68</f>
        <v>892.504846153846</v>
      </c>
      <c r="AB103" s="70" t="n">
        <f aca="false">AB102/Assumptions!$I$68</f>
        <v>892.504846153846</v>
      </c>
      <c r="AC103" s="70" t="n">
        <f aca="false">AC102/Assumptions!$I$68</f>
        <v>892.504846153846</v>
      </c>
      <c r="AD103" s="70" t="n">
        <f aca="false">AD102/Assumptions!$I$68</f>
        <v>892.504846153846</v>
      </c>
      <c r="AE103" s="70" t="n">
        <f aca="false">AE102/Assumptions!$I$68</f>
        <v>892.504846153846</v>
      </c>
      <c r="AF103" s="70" t="n">
        <f aca="false">AF102/Assumptions!$I$68</f>
        <v>892.504846153846</v>
      </c>
      <c r="AG103" s="70" t="n">
        <f aca="false">AG102/Assumptions!$I$68</f>
        <v>892.504846153846</v>
      </c>
      <c r="AH103" s="70" t="n">
        <f aca="false">AH102/Assumptions!$I$68</f>
        <v>892.504846153846</v>
      </c>
      <c r="AI103" s="70" t="n">
        <f aca="false">AI102/Assumptions!$I$68</f>
        <v>892.504846153846</v>
      </c>
      <c r="AJ103" s="70" t="n">
        <f aca="false">AJ102/Assumptions!$I$68</f>
        <v>892.504846153846</v>
      </c>
      <c r="AK103" s="70" t="n">
        <f aca="false">AK102/Assumptions!$I$68</f>
        <v>892.504846153846</v>
      </c>
      <c r="AL103" s="70" t="n">
        <f aca="false">AL102/Assumptions!$I$68</f>
        <v>892.504846153846</v>
      </c>
      <c r="AM103" s="70" t="n">
        <f aca="false">AVERAGE(N103:AL103)</f>
        <v>892.504846153846</v>
      </c>
    </row>
    <row r="104" customFormat="false" ht="15" hidden="false" customHeight="false" outlineLevel="0" collapsed="false">
      <c r="A104" s="10" t="s">
        <v>402</v>
      </c>
      <c r="B104" s="9" t="s">
        <v>97</v>
      </c>
      <c r="C104" s="63" t="n">
        <f aca="false">Assumptions!$I$50*(1-Assumptions!$I$80)*(1-Assumptions!$I$79)-Assumptions!$I$50*Assumptions!$I$55-Assumptions!$I$56</f>
        <v>45.68586</v>
      </c>
      <c r="D104" s="63" t="n">
        <f aca="false">Assumptions!$I$50*(1-Assumptions!$I$80)*(1-Assumptions!$I$79)-Assumptions!$I$50*Assumptions!$I$55-Assumptions!$I$56</f>
        <v>45.68586</v>
      </c>
      <c r="E104" s="63" t="n">
        <f aca="false">Assumptions!$I$50*(1-Assumptions!$I$80)*(1-Assumptions!$I$79)-Assumptions!$I$50*Assumptions!$I$55-Assumptions!$I$56</f>
        <v>45.68586</v>
      </c>
      <c r="F104" s="63" t="n">
        <f aca="false">Assumptions!$I$50*(1-Assumptions!$I$80)*(1-Assumptions!$I$79)-Assumptions!$I$50*Assumptions!$I$55-Assumptions!$I$56</f>
        <v>45.68586</v>
      </c>
      <c r="G104" s="63" t="n">
        <f aca="false">Assumptions!$I$50*(1-Assumptions!$I$80)*(1-Assumptions!$I$79)-Assumptions!$I$50*Assumptions!$I$55-Assumptions!$I$56</f>
        <v>45.68586</v>
      </c>
      <c r="H104" s="63" t="n">
        <f aca="false">Assumptions!$I$50*(1-Assumptions!$I$80)*(1-Assumptions!$I$79)-Assumptions!$I$50*Assumptions!$I$55-Assumptions!$I$56</f>
        <v>45.68586</v>
      </c>
      <c r="I104" s="63" t="n">
        <f aca="false">Assumptions!$I$50*(1-Assumptions!$I$80)*(1-Assumptions!$I$79)-Assumptions!$I$50*Assumptions!$I$55-Assumptions!$I$56</f>
        <v>45.68586</v>
      </c>
      <c r="J104" s="63" t="n">
        <f aca="false">Assumptions!$I$50*(1-Assumptions!$I$80)*(1-Assumptions!$I$79)-Assumptions!$I$50*Assumptions!$I$55-Assumptions!$I$56</f>
        <v>45.68586</v>
      </c>
      <c r="K104" s="63" t="n">
        <f aca="false">Assumptions!$I$50*(1-Assumptions!$I$80)*(1-Assumptions!$I$79)-Assumptions!$I$50*Assumptions!$I$55-Assumptions!$I$56</f>
        <v>45.68586</v>
      </c>
      <c r="L104" s="63" t="n">
        <f aca="false">Assumptions!$I$50*(1-Assumptions!$I$80)*(1-Assumptions!$I$79)-Assumptions!$I$50*Assumptions!$I$55-Assumptions!$I$56</f>
        <v>45.68586</v>
      </c>
      <c r="M104" s="63" t="n">
        <f aca="false">Assumptions!$I$50*(1-Assumptions!$I$80)*(1-Assumptions!$I$79)-Assumptions!$I$50*Assumptions!$I$55-Assumptions!$I$56</f>
        <v>45.68586</v>
      </c>
      <c r="N104" s="63" t="n">
        <f aca="false">Assumptions!$I$50*(1-Assumptions!$I$80)*(1-Assumptions!$I$79)-Assumptions!$I$50*Assumptions!$I$55-Assumptions!$I$56</f>
        <v>45.68586</v>
      </c>
      <c r="O104" s="63" t="n">
        <f aca="false">Assumptions!$I$50*(1-Assumptions!$I$80)*(1-Assumptions!$I$79)-Assumptions!$I$50*Assumptions!$I$55-Assumptions!$I$56</f>
        <v>45.68586</v>
      </c>
      <c r="P104" s="63" t="n">
        <f aca="false">Assumptions!$I$50*(1-Assumptions!$I$80)*(1-Assumptions!$I$79)-Assumptions!$I$50*Assumptions!$I$55-Assumptions!$I$56</f>
        <v>45.68586</v>
      </c>
      <c r="Q104" s="63" t="n">
        <f aca="false">Assumptions!$I$50*(1-Assumptions!$I$80)*(1-Assumptions!$I$79)-Assumptions!$I$50*Assumptions!$I$55-Assumptions!$I$56</f>
        <v>45.68586</v>
      </c>
      <c r="R104" s="63" t="n">
        <f aca="false">Assumptions!$I$50*(1-Assumptions!$I$80)*(1-Assumptions!$I$79)-Assumptions!$I$50*Assumptions!$I$55-Assumptions!$I$56</f>
        <v>45.68586</v>
      </c>
      <c r="S104" s="63" t="n">
        <f aca="false">Assumptions!$I$50*(1-Assumptions!$I$80)*(1-Assumptions!$I$79)-Assumptions!$I$50*Assumptions!$I$55-Assumptions!$I$56</f>
        <v>45.68586</v>
      </c>
      <c r="T104" s="63" t="n">
        <f aca="false">Assumptions!$I$50*(1-Assumptions!$I$80)*(1-Assumptions!$I$79)-Assumptions!$I$50*Assumptions!$I$55-Assumptions!$I$56</f>
        <v>45.68586</v>
      </c>
      <c r="U104" s="63" t="n">
        <f aca="false">Assumptions!$I$50*(1-Assumptions!$I$80)*(1-Assumptions!$I$79)-Assumptions!$I$50*Assumptions!$I$55-Assumptions!$I$56</f>
        <v>45.68586</v>
      </c>
      <c r="V104" s="63" t="n">
        <f aca="false">Assumptions!$I$50*(1-Assumptions!$I$80)*(1-Assumptions!$I$79)-Assumptions!$I$50*Assumptions!$I$55-Assumptions!$I$56</f>
        <v>45.68586</v>
      </c>
      <c r="W104" s="63" t="n">
        <f aca="false">Assumptions!$I$50*(1-Assumptions!$I$80)*(1-Assumptions!$I$79)-Assumptions!$I$50*Assumptions!$I$55-Assumptions!$I$56</f>
        <v>45.68586</v>
      </c>
      <c r="X104" s="63" t="n">
        <f aca="false">Assumptions!$I$50*(1-Assumptions!$I$80)*(1-Assumptions!$I$79)-Assumptions!$I$50*Assumptions!$I$55-Assumptions!$I$56</f>
        <v>45.68586</v>
      </c>
      <c r="Y104" s="63" t="n">
        <f aca="false">Assumptions!$I$50*(1-Assumptions!$I$80)*(1-Assumptions!$I$79)-Assumptions!$I$50*Assumptions!$I$55-Assumptions!$I$56</f>
        <v>45.68586</v>
      </c>
      <c r="Z104" s="63" t="n">
        <f aca="false">Assumptions!$I$50*(1-Assumptions!$I$80)*(1-Assumptions!$I$79)-Assumptions!$I$50*Assumptions!$I$55-Assumptions!$I$56</f>
        <v>45.68586</v>
      </c>
      <c r="AA104" s="63" t="n">
        <f aca="false">Assumptions!$I$50*(1-Assumptions!$I$80)*(1-Assumptions!$I$79)-Assumptions!$I$50*Assumptions!$I$55-Assumptions!$I$56</f>
        <v>45.68586</v>
      </c>
      <c r="AB104" s="63" t="n">
        <f aca="false">Assumptions!$I$50*(1-Assumptions!$I$80)*(1-Assumptions!$I$79)-Assumptions!$I$50*Assumptions!$I$55-Assumptions!$I$56</f>
        <v>45.68586</v>
      </c>
      <c r="AC104" s="63" t="n">
        <f aca="false">Assumptions!$I$50*(1-Assumptions!$I$80)*(1-Assumptions!$I$79)-Assumptions!$I$50*Assumptions!$I$55-Assumptions!$I$56</f>
        <v>45.68586</v>
      </c>
      <c r="AD104" s="63" t="n">
        <f aca="false">Assumptions!$I$50*(1-Assumptions!$I$80)*(1-Assumptions!$I$79)-Assumptions!$I$50*Assumptions!$I$55-Assumptions!$I$56</f>
        <v>45.68586</v>
      </c>
      <c r="AE104" s="63" t="n">
        <f aca="false">Assumptions!$I$50*(1-Assumptions!$I$80)*(1-Assumptions!$I$79)-Assumptions!$I$50*Assumptions!$I$55-Assumptions!$I$56</f>
        <v>45.68586</v>
      </c>
      <c r="AF104" s="63" t="n">
        <f aca="false">Assumptions!$I$50*(1-Assumptions!$I$80)*(1-Assumptions!$I$79)-Assumptions!$I$50*Assumptions!$I$55-Assumptions!$I$56</f>
        <v>45.68586</v>
      </c>
      <c r="AG104" s="63" t="n">
        <f aca="false">Assumptions!$I$50*(1-Assumptions!$I$80)*(1-Assumptions!$I$79)-Assumptions!$I$50*Assumptions!$I$55-Assumptions!$I$56</f>
        <v>45.68586</v>
      </c>
      <c r="AH104" s="63" t="n">
        <f aca="false">Assumptions!$I$50*(1-Assumptions!$I$80)*(1-Assumptions!$I$79)-Assumptions!$I$50*Assumptions!$I$55-Assumptions!$I$56</f>
        <v>45.68586</v>
      </c>
      <c r="AI104" s="63" t="n">
        <f aca="false">Assumptions!$I$50*(1-Assumptions!$I$80)*(1-Assumptions!$I$79)-Assumptions!$I$50*Assumptions!$I$55-Assumptions!$I$56</f>
        <v>45.68586</v>
      </c>
      <c r="AJ104" s="63" t="n">
        <f aca="false">Assumptions!$I$50*(1-Assumptions!$I$80)*(1-Assumptions!$I$79)-Assumptions!$I$50*Assumptions!$I$55-Assumptions!$I$56</f>
        <v>45.68586</v>
      </c>
      <c r="AK104" s="63" t="n">
        <f aca="false">Assumptions!$I$50*(1-Assumptions!$I$80)*(1-Assumptions!$I$79)-Assumptions!$I$50*Assumptions!$I$55-Assumptions!$I$56</f>
        <v>45.68586</v>
      </c>
      <c r="AL104" s="63" t="n">
        <f aca="false">Assumptions!$I$50*(1-Assumptions!$I$80)*(1-Assumptions!$I$79)-Assumptions!$I$50*Assumptions!$I$55-Assumptions!$I$56</f>
        <v>45.68586</v>
      </c>
      <c r="AM104" s="63" t="n">
        <f aca="false">AVERAGE(N104:AL104)</f>
        <v>45.68586</v>
      </c>
    </row>
    <row r="105" customFormat="false" ht="15" hidden="false" customHeight="false" outlineLevel="0" collapsed="false">
      <c r="A105" s="10" t="s">
        <v>403</v>
      </c>
      <c r="B105" s="9" t="s">
        <v>97</v>
      </c>
      <c r="C105" s="70" t="n">
        <f aca="false">C104/Assumptions!$I$52</f>
        <v>507.620666666667</v>
      </c>
      <c r="D105" s="70" t="n">
        <f aca="false">D104/Assumptions!$I$52</f>
        <v>507.620666666667</v>
      </c>
      <c r="E105" s="70" t="n">
        <f aca="false">E104/Assumptions!$I$52</f>
        <v>507.620666666667</v>
      </c>
      <c r="F105" s="70" t="n">
        <f aca="false">F104/Assumptions!$I$52</f>
        <v>507.620666666667</v>
      </c>
      <c r="G105" s="70" t="n">
        <f aca="false">G104/Assumptions!$I$52</f>
        <v>507.620666666667</v>
      </c>
      <c r="H105" s="70" t="n">
        <f aca="false">H104/Assumptions!$I$52</f>
        <v>507.620666666667</v>
      </c>
      <c r="I105" s="70" t="n">
        <f aca="false">I104/Assumptions!$I$52</f>
        <v>507.620666666667</v>
      </c>
      <c r="J105" s="70" t="n">
        <f aca="false">J104/Assumptions!$I$52</f>
        <v>507.620666666667</v>
      </c>
      <c r="K105" s="70" t="n">
        <f aca="false">K104/Assumptions!$I$52</f>
        <v>507.620666666667</v>
      </c>
      <c r="L105" s="70" t="n">
        <f aca="false">L104/Assumptions!$I$52</f>
        <v>507.620666666667</v>
      </c>
      <c r="M105" s="70" t="n">
        <f aca="false">M104/Assumptions!$I$52</f>
        <v>507.620666666667</v>
      </c>
      <c r="N105" s="70" t="n">
        <f aca="false">N104/Assumptions!$I$52</f>
        <v>507.620666666667</v>
      </c>
      <c r="O105" s="70" t="n">
        <f aca="false">O104/Assumptions!$I$52</f>
        <v>507.620666666667</v>
      </c>
      <c r="P105" s="70" t="n">
        <f aca="false">P104/Assumptions!$I$52</f>
        <v>507.620666666667</v>
      </c>
      <c r="Q105" s="70" t="n">
        <f aca="false">Q104/Assumptions!$I$52</f>
        <v>507.620666666667</v>
      </c>
      <c r="R105" s="70" t="n">
        <f aca="false">R104/Assumptions!$I$52</f>
        <v>507.620666666667</v>
      </c>
      <c r="S105" s="70" t="n">
        <f aca="false">S104/Assumptions!$I$52</f>
        <v>507.620666666667</v>
      </c>
      <c r="T105" s="70" t="n">
        <f aca="false">T104/Assumptions!$I$52</f>
        <v>507.620666666667</v>
      </c>
      <c r="U105" s="70" t="n">
        <f aca="false">U104/Assumptions!$I$52</f>
        <v>507.620666666667</v>
      </c>
      <c r="V105" s="70" t="n">
        <f aca="false">V104/Assumptions!$I$52</f>
        <v>507.620666666667</v>
      </c>
      <c r="W105" s="70" t="n">
        <f aca="false">W104/Assumptions!$I$52</f>
        <v>507.620666666667</v>
      </c>
      <c r="X105" s="70" t="n">
        <f aca="false">X104/Assumptions!$I$52</f>
        <v>507.620666666667</v>
      </c>
      <c r="Y105" s="70" t="n">
        <f aca="false">Y104/Assumptions!$I$52</f>
        <v>507.620666666667</v>
      </c>
      <c r="Z105" s="70" t="n">
        <f aca="false">Z104/Assumptions!$I$52</f>
        <v>507.620666666667</v>
      </c>
      <c r="AA105" s="70" t="n">
        <f aca="false">AA104/Assumptions!$I$52</f>
        <v>507.620666666667</v>
      </c>
      <c r="AB105" s="70" t="n">
        <f aca="false">AB104/Assumptions!$I$52</f>
        <v>507.620666666667</v>
      </c>
      <c r="AC105" s="70" t="n">
        <f aca="false">AC104/Assumptions!$I$52</f>
        <v>507.620666666667</v>
      </c>
      <c r="AD105" s="70" t="n">
        <f aca="false">AD104/Assumptions!$I$52</f>
        <v>507.620666666667</v>
      </c>
      <c r="AE105" s="70" t="n">
        <f aca="false">AE104/Assumptions!$I$52</f>
        <v>507.620666666667</v>
      </c>
      <c r="AF105" s="70" t="n">
        <f aca="false">AF104/Assumptions!$I$52</f>
        <v>507.620666666667</v>
      </c>
      <c r="AG105" s="70" t="n">
        <f aca="false">AG104/Assumptions!$I$52</f>
        <v>507.620666666667</v>
      </c>
      <c r="AH105" s="70" t="n">
        <f aca="false">AH104/Assumptions!$I$52</f>
        <v>507.620666666667</v>
      </c>
      <c r="AI105" s="70" t="n">
        <f aca="false">AI104/Assumptions!$I$52</f>
        <v>507.620666666667</v>
      </c>
      <c r="AJ105" s="70" t="n">
        <f aca="false">AJ104/Assumptions!$I$52</f>
        <v>507.620666666667</v>
      </c>
      <c r="AK105" s="70" t="n">
        <f aca="false">AK104/Assumptions!$I$52</f>
        <v>507.620666666667</v>
      </c>
      <c r="AL105" s="70" t="n">
        <f aca="false">AL104/Assumptions!$I$52</f>
        <v>507.620666666667</v>
      </c>
      <c r="AM105" s="70" t="n">
        <f aca="false">AVERAGE(N105:AL105)</f>
        <v>507.620666666667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2026-09-18T22:17:11Z</dcterms:created>
  <dc:creator>openpyxl</dc:creator>
  <dc:description/>
  <dc:language>en-US</dc:language>
  <cp:lastModifiedBy/>
  <dcterms:modified xsi:type="dcterms:W3CDTF">2026-09-18T22:17:12Z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